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05" yWindow="-105" windowWidth="19425" windowHeight="10425" activeTab="7"/>
  </bookViews>
  <sheets>
    <sheet name="Riskometers" sheetId="20" r:id="rId1"/>
    <sheet name="MMF01" sheetId="1" r:id="rId2"/>
    <sheet name="MMF02" sheetId="2" r:id="rId3"/>
    <sheet name="MMF03" sheetId="3" r:id="rId4"/>
    <sheet name="MMF04" sheetId="4" r:id="rId5"/>
    <sheet name="MMF05" sheetId="5" r:id="rId6"/>
    <sheet name="MMF07" sheetId="6" r:id="rId7"/>
    <sheet name="MMF08" sheetId="7" r:id="rId8"/>
    <sheet name="MMF09" sheetId="8" r:id="rId9"/>
    <sheet name="MMF10" sheetId="9" r:id="rId10"/>
    <sheet name="MMF11" sheetId="10" r:id="rId11"/>
    <sheet name="MMF12" sheetId="11" r:id="rId12"/>
    <sheet name="MMF13" sheetId="12" r:id="rId13"/>
    <sheet name="MMF14" sheetId="13" r:id="rId14"/>
    <sheet name="MMF15" sheetId="14" r:id="rId15"/>
    <sheet name="MMF16" sheetId="15" r:id="rId16"/>
    <sheet name="MMF17" sheetId="16" r:id="rId17"/>
    <sheet name="MMF18" sheetId="17" r:id="rId18"/>
    <sheet name="MMF19" sheetId="18" r:id="rId19"/>
    <sheet name="MMF20" sheetId="19" r:id="rId20"/>
  </sheets>
  <definedNames>
    <definedName name="JR_PAGE_ANCHOR_0_1" localSheetId="0">#REF!</definedName>
    <definedName name="JR_PAGE_ANCHOR_0_1">'MMF01'!$A$1</definedName>
    <definedName name="JR_PAGE_ANCHOR_0_10">'MMF11'!$A$1</definedName>
    <definedName name="JR_PAGE_ANCHOR_0_11">'MMF12'!$A$1</definedName>
    <definedName name="JR_PAGE_ANCHOR_0_12">'MMF13'!$A$1</definedName>
    <definedName name="JR_PAGE_ANCHOR_0_13">'MMF14'!$A$1</definedName>
    <definedName name="JR_PAGE_ANCHOR_0_14">'MMF15'!$A$1</definedName>
    <definedName name="JR_PAGE_ANCHOR_0_15">'MMF16'!$A$1</definedName>
    <definedName name="JR_PAGE_ANCHOR_0_16">'MMF17'!$A$1</definedName>
    <definedName name="JR_PAGE_ANCHOR_0_17">'MMF18'!$A$1</definedName>
    <definedName name="JR_PAGE_ANCHOR_0_18">'MMF19'!$A$1</definedName>
    <definedName name="JR_PAGE_ANCHOR_0_19">'MMF20'!$A$1</definedName>
    <definedName name="JR_PAGE_ANCHOR_0_2">'MMF02'!$A$1</definedName>
    <definedName name="JR_PAGE_ANCHOR_0_3">'MMF03'!$A$1</definedName>
    <definedName name="JR_PAGE_ANCHOR_0_4">'MMF04'!$A$1</definedName>
    <definedName name="JR_PAGE_ANCHOR_0_5">'MMF05'!$A$1</definedName>
    <definedName name="JR_PAGE_ANCHOR_0_6">'MMF07'!$A$1</definedName>
    <definedName name="JR_PAGE_ANCHOR_0_7">'MMF08'!$A$1</definedName>
    <definedName name="JR_PAGE_ANCHOR_0_8">'MMF09'!$A$1</definedName>
    <definedName name="JR_PAGE_ANCHOR_0_9">'MMF10'!$A$1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9" i="12" l="1"/>
  <c r="G70" i="12"/>
  <c r="F70" i="12"/>
  <c r="G81" i="4"/>
  <c r="F81" i="4"/>
  <c r="G125" i="3"/>
  <c r="F125" i="3"/>
</calcChain>
</file>

<file path=xl/sharedStrings.xml><?xml version="1.0" encoding="utf-8"?>
<sst xmlns="http://schemas.openxmlformats.org/spreadsheetml/2006/main" count="3661" uniqueCount="1032">
  <si>
    <t>MAHINDRA MANULIFE MUTUAL FUND</t>
  </si>
  <si>
    <t>Monthly Portfolio Statement as on March 31, 2022</t>
  </si>
  <si>
    <t>Name of the Instrument</t>
  </si>
  <si>
    <t>ISIN</t>
  </si>
  <si>
    <t>Industry* / Rating</t>
  </si>
  <si>
    <t>Quantity</t>
  </si>
  <si>
    <t>Market/Fair Value (Rs. in Lakhs)</t>
  </si>
  <si>
    <t>% to Net Assets</t>
  </si>
  <si>
    <t>Debt Instruments</t>
  </si>
  <si>
    <t>(a) Listed / awaiting listing on Stock Exchange</t>
  </si>
  <si>
    <t>GOI892</t>
  </si>
  <si>
    <t>8.15% Government of India 2022</t>
  </si>
  <si>
    <t>IN0020120013</t>
  </si>
  <si>
    <t>SOVEREIGN</t>
  </si>
  <si>
    <t>GOI2522</t>
  </si>
  <si>
    <t>5.09% Government of India 2022</t>
  </si>
  <si>
    <t>IN0020200021</t>
  </si>
  <si>
    <t>SIDB404</t>
  </si>
  <si>
    <t>7.95% Small Industries Dev Bank of India 2022 **</t>
  </si>
  <si>
    <t>INE556F08JK7</t>
  </si>
  <si>
    <t>ICRA AAA</t>
  </si>
  <si>
    <t>Sub Total</t>
  </si>
  <si>
    <t>(b) Privately placed / Unlisted</t>
  </si>
  <si>
    <t>Nil</t>
  </si>
  <si>
    <t>Total</t>
  </si>
  <si>
    <t>Money Market Instruments</t>
  </si>
  <si>
    <t>Treasury Bill/Cash Management Bill</t>
  </si>
  <si>
    <t>TBIL1908</t>
  </si>
  <si>
    <t>364 Days Tbill (MD 09/06/2022)</t>
  </si>
  <si>
    <t>IN002021Z103</t>
  </si>
  <si>
    <t>TBIL2027</t>
  </si>
  <si>
    <t>91 Days Tbill (MD 23/06/2022)</t>
  </si>
  <si>
    <t>IN002021X587</t>
  </si>
  <si>
    <t>TBIL2022</t>
  </si>
  <si>
    <t>91 Days Tbill (MD 09/06/2022)</t>
  </si>
  <si>
    <t>IN002021X561</t>
  </si>
  <si>
    <t>TBIL1878</t>
  </si>
  <si>
    <t>364 Days Tbill (MD 07/04/2022)</t>
  </si>
  <si>
    <t>IN002021Z012</t>
  </si>
  <si>
    <t>TBIL2001</t>
  </si>
  <si>
    <t>91 Days Tbill (MD 28/04/2022)</t>
  </si>
  <si>
    <t>IN002021X504</t>
  </si>
  <si>
    <t>Certificate of Deposit</t>
  </si>
  <si>
    <t>BKBA344</t>
  </si>
  <si>
    <t>Bank of Baroda 2022 #</t>
  </si>
  <si>
    <t>INE028A16CK6</t>
  </si>
  <si>
    <t>FITCH A1+</t>
  </si>
  <si>
    <t>UTIB1228</t>
  </si>
  <si>
    <t>Axis Bank Limited 2022 #</t>
  </si>
  <si>
    <t>INE238A160Y8</t>
  </si>
  <si>
    <t>CRISIL A1+</t>
  </si>
  <si>
    <t>BKBA350</t>
  </si>
  <si>
    <t>Bank of Baroda 2022 ** #</t>
  </si>
  <si>
    <t>INE028A16CR1</t>
  </si>
  <si>
    <t>UTIB1226</t>
  </si>
  <si>
    <t>Axis Bank Limited 2022 ** #</t>
  </si>
  <si>
    <t>INE238A169X1</t>
  </si>
  <si>
    <t>INBK364</t>
  </si>
  <si>
    <t>Indian Bank 2022 ** #</t>
  </si>
  <si>
    <t>INE562A16KF7</t>
  </si>
  <si>
    <t>HDFB803</t>
  </si>
  <si>
    <t>HDFC Bank Limited 2022 ** #</t>
  </si>
  <si>
    <t>INE040A16CQ8</t>
  </si>
  <si>
    <t>CARE A1+</t>
  </si>
  <si>
    <t>INBK365</t>
  </si>
  <si>
    <t>Indian Bank 2022 #</t>
  </si>
  <si>
    <t>INE562A16KE0</t>
  </si>
  <si>
    <t>CANB840</t>
  </si>
  <si>
    <t>Canara Bank 2022 ** #</t>
  </si>
  <si>
    <t>INE476A16SW8</t>
  </si>
  <si>
    <t>SIDB447</t>
  </si>
  <si>
    <t>Small Industries Dev Bank of India 2022 ** #</t>
  </si>
  <si>
    <t>INE556F16879</t>
  </si>
  <si>
    <t>INBK367</t>
  </si>
  <si>
    <t>INE562A16KH3</t>
  </si>
  <si>
    <t>Commercial Paper</t>
  </si>
  <si>
    <t>NBAR664</t>
  </si>
  <si>
    <t>National Bank For Agriculture and Rural Development 2022 **</t>
  </si>
  <si>
    <t>INE261F14IP3</t>
  </si>
  <si>
    <t>MOFS126</t>
  </si>
  <si>
    <t>Motilal Oswal Financial Services Limited 2022 **</t>
  </si>
  <si>
    <t>INE338I14DD0</t>
  </si>
  <si>
    <t>GBNL105</t>
  </si>
  <si>
    <t>TV18 Broadcast Limited 2022 **</t>
  </si>
  <si>
    <t>INE886H14GY9</t>
  </si>
  <si>
    <t>HPEC270</t>
  </si>
  <si>
    <t>Hindustan Petroleum Corporation Limited 2022 **</t>
  </si>
  <si>
    <t>INE094A14IJ2</t>
  </si>
  <si>
    <t>IOIC621</t>
  </si>
  <si>
    <t>Indian Oil Corporation Limited 2022 **</t>
  </si>
  <si>
    <t>INE242A14WC3</t>
  </si>
  <si>
    <t>ICRA A1+</t>
  </si>
  <si>
    <t>NEFL211</t>
  </si>
  <si>
    <t>Network18 Media &amp; Investments Limited 2022 **</t>
  </si>
  <si>
    <t>INE870H14NT9</t>
  </si>
  <si>
    <t>SUHF233</t>
  </si>
  <si>
    <t>Sundaram Home Finance Limited 2022 **</t>
  </si>
  <si>
    <t>INE667F14FP7</t>
  </si>
  <si>
    <t>ICBR356</t>
  </si>
  <si>
    <t>ICICI Securities Limited 2022 **</t>
  </si>
  <si>
    <t>INE763G14LW6</t>
  </si>
  <si>
    <t>NBAR671</t>
  </si>
  <si>
    <t>INE261F14IT5</t>
  </si>
  <si>
    <t>JMFP865</t>
  </si>
  <si>
    <t>JM Financial Products  Limited 2022 **</t>
  </si>
  <si>
    <t>INE523H14Z31</t>
  </si>
  <si>
    <t>TCCL37</t>
  </si>
  <si>
    <t>Tata Cleantech Capital Limited 2022 **</t>
  </si>
  <si>
    <t>INE857Q14873</t>
  </si>
  <si>
    <t>IIFW250</t>
  </si>
  <si>
    <t>IIFL Wealth Prime Limited 2022 **</t>
  </si>
  <si>
    <t>INE248U14KR1</t>
  </si>
  <si>
    <t>JKCE52</t>
  </si>
  <si>
    <t>JK Cement Limited 2022 **</t>
  </si>
  <si>
    <t>INE823G14710</t>
  </si>
  <si>
    <t>TRIF96</t>
  </si>
  <si>
    <t>TATA Realty &amp; Infrastructure Limited 2022 **</t>
  </si>
  <si>
    <t>INE371K14AW3</t>
  </si>
  <si>
    <t>INBS430</t>
  </si>
  <si>
    <t>Reliance Jio Infocomm Limited 2022 **</t>
  </si>
  <si>
    <t>INE110L14QI8</t>
  </si>
  <si>
    <t>RIND431</t>
  </si>
  <si>
    <t>Reliance Industries Limited 2022</t>
  </si>
  <si>
    <t>INE002A14IN7</t>
  </si>
  <si>
    <t>TRP_040422</t>
  </si>
  <si>
    <t>Reverse Repo</t>
  </si>
  <si>
    <t>REP_28167</t>
  </si>
  <si>
    <t>Net Receivables / (Payables)</t>
  </si>
  <si>
    <t>GRAND TOTAL</t>
  </si>
  <si>
    <t>#  Unlisted Security</t>
  </si>
  <si>
    <t>(7) Average maturity of the portfolio :</t>
  </si>
  <si>
    <t>Industry*</t>
  </si>
  <si>
    <t>Equity &amp; Equity related</t>
  </si>
  <si>
    <t>(a) Listed / awaiting listing on Stock Exchanges</t>
  </si>
  <si>
    <t>INFS02</t>
  </si>
  <si>
    <t>Infosys Limited</t>
  </si>
  <si>
    <t>INE009A01021</t>
  </si>
  <si>
    <t>Software</t>
  </si>
  <si>
    <t>IBCL05</t>
  </si>
  <si>
    <t>ICICI Bank Limited</t>
  </si>
  <si>
    <t>INE090A01021</t>
  </si>
  <si>
    <t>Banks</t>
  </si>
  <si>
    <t>HDFB03</t>
  </si>
  <si>
    <t>HDFC Bank Limited</t>
  </si>
  <si>
    <t>INE040A01034</t>
  </si>
  <si>
    <t>RIND01</t>
  </si>
  <si>
    <t>Reliance Industries Limited</t>
  </si>
  <si>
    <t>INE002A01018</t>
  </si>
  <si>
    <t>Petroleum Products</t>
  </si>
  <si>
    <t>UTIB02</t>
  </si>
  <si>
    <t>Axis Bank Limited</t>
  </si>
  <si>
    <t>INE238A01034</t>
  </si>
  <si>
    <t>BAFL02</t>
  </si>
  <si>
    <t>Bajaj Finance Limited</t>
  </si>
  <si>
    <t>INE296A01024</t>
  </si>
  <si>
    <t>Finance</t>
  </si>
  <si>
    <t>HLEL02</t>
  </si>
  <si>
    <t>Hindustan Unilever Limited</t>
  </si>
  <si>
    <t>INE030A01027</t>
  </si>
  <si>
    <t>Consumer Non Durables</t>
  </si>
  <si>
    <t>LARS02</t>
  </si>
  <si>
    <t>Larsen &amp; Toubro Limited</t>
  </si>
  <si>
    <t>INE018A01030</t>
  </si>
  <si>
    <t>Construction Project</t>
  </si>
  <si>
    <t>KOMA02</t>
  </si>
  <si>
    <t>Kotak Mahindra Bank Limited</t>
  </si>
  <si>
    <t>INE237A01028</t>
  </si>
  <si>
    <t>SLIF01</t>
  </si>
  <si>
    <t>SBI Life Insurance Company Limited</t>
  </si>
  <si>
    <t>INE123W01016</t>
  </si>
  <si>
    <t>Insurance</t>
  </si>
  <si>
    <t>MAUD01</t>
  </si>
  <si>
    <t>Maruti Suzuki India Limited</t>
  </si>
  <si>
    <t>INE585B01010</t>
  </si>
  <si>
    <t>Auto</t>
  </si>
  <si>
    <t>WIPR02</t>
  </si>
  <si>
    <t>Wipro Limited</t>
  </si>
  <si>
    <t>INE075A01022</t>
  </si>
  <si>
    <t>LAKM02</t>
  </si>
  <si>
    <t>Trent Limited</t>
  </si>
  <si>
    <t>INE849A01020</t>
  </si>
  <si>
    <t>Retailing</t>
  </si>
  <si>
    <t>TCSL01</t>
  </si>
  <si>
    <t>Tata Consultancy Services Limited</t>
  </si>
  <si>
    <t>INE467B01029</t>
  </si>
  <si>
    <t>ULCC01</t>
  </si>
  <si>
    <t>UltraTech Cement Limited</t>
  </si>
  <si>
    <t>INE481G01011</t>
  </si>
  <si>
    <t>Cement &amp; Cement Products</t>
  </si>
  <si>
    <t>DIVI02</t>
  </si>
  <si>
    <t>Divi's Laboratories Limited</t>
  </si>
  <si>
    <t>INE361B01024</t>
  </si>
  <si>
    <t>Pharmaceuticals</t>
  </si>
  <si>
    <t>HINI02</t>
  </si>
  <si>
    <t>Hindalco Industries Limited</t>
  </si>
  <si>
    <t>INE038A01020</t>
  </si>
  <si>
    <t>Non - Ferrous Metals</t>
  </si>
  <si>
    <t>GLAN02</t>
  </si>
  <si>
    <t>Gland Pharma Limited</t>
  </si>
  <si>
    <t>INE068V01023</t>
  </si>
  <si>
    <t>JSTA02</t>
  </si>
  <si>
    <t>Jindal Stainless Limited</t>
  </si>
  <si>
    <t>INE220G01021</t>
  </si>
  <si>
    <t>Ferrous Metals</t>
  </si>
  <si>
    <t>ASTP04</t>
  </si>
  <si>
    <t>Astral Limited</t>
  </si>
  <si>
    <t>INE006I01046</t>
  </si>
  <si>
    <t>Industrial Products</t>
  </si>
  <si>
    <t>NTPC01</t>
  </si>
  <si>
    <t>NTPC Limited</t>
  </si>
  <si>
    <t>INE733E01010</t>
  </si>
  <si>
    <t>Power</t>
  </si>
  <si>
    <t>UBBL02</t>
  </si>
  <si>
    <t>United Breweries Limited</t>
  </si>
  <si>
    <t>INE686F01025</t>
  </si>
  <si>
    <t>MIIL02</t>
  </si>
  <si>
    <t>Minda Industries Limited</t>
  </si>
  <si>
    <t>INE405E01023</t>
  </si>
  <si>
    <t>Auto Ancillaries</t>
  </si>
  <si>
    <t>JKPA01</t>
  </si>
  <si>
    <t>JK Paper Limited</t>
  </si>
  <si>
    <t>INE789E01012</t>
  </si>
  <si>
    <t>Paper</t>
  </si>
  <si>
    <t>PIIN03</t>
  </si>
  <si>
    <t>PI Industries Limited</t>
  </si>
  <si>
    <t>INE603J01030</t>
  </si>
  <si>
    <t>Pesticides</t>
  </si>
  <si>
    <t>BLDA01</t>
  </si>
  <si>
    <t>Blue Dart Express Limited</t>
  </si>
  <si>
    <t>INE233B01017</t>
  </si>
  <si>
    <t>Transportation</t>
  </si>
  <si>
    <t>DLFL01</t>
  </si>
  <si>
    <t>DLF Limited</t>
  </si>
  <si>
    <t>INE271C01023</t>
  </si>
  <si>
    <t>Construction</t>
  </si>
  <si>
    <t>ARVI01</t>
  </si>
  <si>
    <t>Arvind Limited</t>
  </si>
  <si>
    <t>INE034A01011</t>
  </si>
  <si>
    <t>Textile Products</t>
  </si>
  <si>
    <t>MEBR01</t>
  </si>
  <si>
    <t>Metro Brands Limited</t>
  </si>
  <si>
    <t>INE317I01021</t>
  </si>
  <si>
    <t>Consumer Durables</t>
  </si>
  <si>
    <t>VORL03</t>
  </si>
  <si>
    <t>Vinati Organics Limited</t>
  </si>
  <si>
    <t>INE410B01037</t>
  </si>
  <si>
    <t>Chemicals</t>
  </si>
  <si>
    <t>CARB02</t>
  </si>
  <si>
    <t>Graphite India Limited</t>
  </si>
  <si>
    <t>INE371A01025</t>
  </si>
  <si>
    <t>INGE01</t>
  </si>
  <si>
    <t>Ingersoll Rand (India) Limited</t>
  </si>
  <si>
    <t>INE177A01018</t>
  </si>
  <si>
    <t>ALKE01</t>
  </si>
  <si>
    <t>Alkem Laboratories Limited</t>
  </si>
  <si>
    <t>INE540L01014</t>
  </si>
  <si>
    <t>MINT01</t>
  </si>
  <si>
    <t>MindTree Limited</t>
  </si>
  <si>
    <t>INE018I01017</t>
  </si>
  <si>
    <t>BHEL02</t>
  </si>
  <si>
    <t>Bharat Electronics Limited</t>
  </si>
  <si>
    <t>INE263A01024</t>
  </si>
  <si>
    <t>Aerospace &amp; Defense</t>
  </si>
  <si>
    <t>GUAM02</t>
  </si>
  <si>
    <t>Ambuja Cements Limited</t>
  </si>
  <si>
    <t>INE079A01024</t>
  </si>
  <si>
    <t>ILOM01</t>
  </si>
  <si>
    <t>ICICI Lombard General Insurance Company Limited</t>
  </si>
  <si>
    <t>INE765G01017</t>
  </si>
  <si>
    <t>ASEA02</t>
  </si>
  <si>
    <t>ABB India Limited</t>
  </si>
  <si>
    <t>INE117A01022</t>
  </si>
  <si>
    <t>Industrial Capital Goods</t>
  </si>
  <si>
    <t>KPTL02</t>
  </si>
  <si>
    <t>Kalpataru Power Transmission Limited</t>
  </si>
  <si>
    <t>INE220B01022</t>
  </si>
  <si>
    <t>SAIL01</t>
  </si>
  <si>
    <t>Steel Authority of India Limited</t>
  </si>
  <si>
    <t>INE114A01011</t>
  </si>
  <si>
    <t>MFOR01</t>
  </si>
  <si>
    <t>MM Forgings Limited</t>
  </si>
  <si>
    <t>INE227C01017</t>
  </si>
  <si>
    <t>MOTI02</t>
  </si>
  <si>
    <t>Bosch Limited</t>
  </si>
  <si>
    <t>INE323A01026</t>
  </si>
  <si>
    <t>VSNL01</t>
  </si>
  <si>
    <t>Tata Communications Limited</t>
  </si>
  <si>
    <t>INE151A01013</t>
  </si>
  <si>
    <t>Telecom - Services</t>
  </si>
  <si>
    <t>TAHO01</t>
  </si>
  <si>
    <t>Honeywell Automation India Limited</t>
  </si>
  <si>
    <t>INE671A01010</t>
  </si>
  <si>
    <t>TIIN01</t>
  </si>
  <si>
    <t>Timken India Limited</t>
  </si>
  <si>
    <t>INE325A01013</t>
  </si>
  <si>
    <t>BINL01</t>
  </si>
  <si>
    <t>Indus Towers Limited</t>
  </si>
  <si>
    <t>INE121J01017</t>
  </si>
  <si>
    <t>INRL02</t>
  </si>
  <si>
    <t>Indoco Remedies Limited</t>
  </si>
  <si>
    <t>INE873D01024</t>
  </si>
  <si>
    <t>BKBA02</t>
  </si>
  <si>
    <t>Bank of Baroda</t>
  </si>
  <si>
    <t>INE028A01039</t>
  </si>
  <si>
    <t>BIRM01</t>
  </si>
  <si>
    <t>3M India Limited</t>
  </si>
  <si>
    <t>INE470A01017</t>
  </si>
  <si>
    <t>KPRM03</t>
  </si>
  <si>
    <t>K.P.R. Mill Limited</t>
  </si>
  <si>
    <t>INE930H01031</t>
  </si>
  <si>
    <t>VIPI02</t>
  </si>
  <si>
    <t>VIP Industries Limited</t>
  </si>
  <si>
    <t>INE054A01027</t>
  </si>
  <si>
    <t>IHOT02</t>
  </si>
  <si>
    <t>The Indian Hotels Company Limited</t>
  </si>
  <si>
    <t>INE053A01029</t>
  </si>
  <si>
    <t>Leisure Services</t>
  </si>
  <si>
    <t>PSYL01</t>
  </si>
  <si>
    <t>Persistent Systems Limited</t>
  </si>
  <si>
    <t>INE262H01013</t>
  </si>
  <si>
    <t>HCLT02</t>
  </si>
  <si>
    <t>HCL Technologies Limited</t>
  </si>
  <si>
    <t>INE860A01027</t>
  </si>
  <si>
    <t>BALC02</t>
  </si>
  <si>
    <t>Balrampur Chini Mills Limited</t>
  </si>
  <si>
    <t>INE119A01028</t>
  </si>
  <si>
    <t>(b) Unlisted</t>
  </si>
  <si>
    <t>*  Industry Classification is as recommended by AMFI</t>
  </si>
  <si>
    <t>SBAI02</t>
  </si>
  <si>
    <t>State Bank of India</t>
  </si>
  <si>
    <t>INE062A01020</t>
  </si>
  <si>
    <t>MCSP02</t>
  </si>
  <si>
    <t>United Spirits Limited</t>
  </si>
  <si>
    <t>INE854D01024</t>
  </si>
  <si>
    <t>HDFC03</t>
  </si>
  <si>
    <t>Housing Development Finance Corporation Limited</t>
  </si>
  <si>
    <t>INE001A01036</t>
  </si>
  <si>
    <t>BTVL02</t>
  </si>
  <si>
    <t>Bharti Airtel Limited</t>
  </si>
  <si>
    <t>INE397D01024</t>
  </si>
  <si>
    <t>HERO02</t>
  </si>
  <si>
    <t>Hero MotoCorp Limited</t>
  </si>
  <si>
    <t>INE158A01026</t>
  </si>
  <si>
    <t>ITCL02</t>
  </si>
  <si>
    <t>ITC Limited</t>
  </si>
  <si>
    <t>INE154A01025</t>
  </si>
  <si>
    <t>TEMA02</t>
  </si>
  <si>
    <t>Tech Mahindra Limited</t>
  </si>
  <si>
    <t>INE669C01036</t>
  </si>
  <si>
    <t>GRAS02</t>
  </si>
  <si>
    <t>Grasim Industries Limited</t>
  </si>
  <si>
    <t>INE047A01021</t>
  </si>
  <si>
    <t>TPOW02</t>
  </si>
  <si>
    <t>Tata Power Company Limited</t>
  </si>
  <si>
    <t>INE245A01021</t>
  </si>
  <si>
    <t>ZEET02</t>
  </si>
  <si>
    <t>Zee Entertainment Enterprises Limited</t>
  </si>
  <si>
    <t>INE256A01028</t>
  </si>
  <si>
    <t>Entertainment</t>
  </si>
  <si>
    <t>CANB01</t>
  </si>
  <si>
    <t>Canara Bank</t>
  </si>
  <si>
    <t>INE476A01014</t>
  </si>
  <si>
    <t>LICH02</t>
  </si>
  <si>
    <t>LIC Housing Finance Limited</t>
  </si>
  <si>
    <t>INE115A01026</t>
  </si>
  <si>
    <t>HPEC01</t>
  </si>
  <si>
    <t>Hindustan Petroleum Corporation Limited</t>
  </si>
  <si>
    <t>INE094A01015</t>
  </si>
  <si>
    <t>TELC04</t>
  </si>
  <si>
    <t>Tata Motors Limited</t>
  </si>
  <si>
    <t>IN9155A01020</t>
  </si>
  <si>
    <t>JSPL03</t>
  </si>
  <si>
    <t>Jindal Steel &amp; Power Limited</t>
  </si>
  <si>
    <t>INE749A01030</t>
  </si>
  <si>
    <t>FRHL01</t>
  </si>
  <si>
    <t>Fortis Healthcare Limited</t>
  </si>
  <si>
    <t>INE061F01013</t>
  </si>
  <si>
    <t>Healthcare Services</t>
  </si>
  <si>
    <t>IIBL01</t>
  </si>
  <si>
    <t>IndusInd Bank Limited</t>
  </si>
  <si>
    <t>INE095A01012</t>
  </si>
  <si>
    <t>MUND02</t>
  </si>
  <si>
    <t>Adani Ports and Special Economic Zone Limited</t>
  </si>
  <si>
    <t>INE742F01042</t>
  </si>
  <si>
    <t>PEFR01</t>
  </si>
  <si>
    <t>Aditya Birla Fashion and Retail Limited</t>
  </si>
  <si>
    <t>INE647O01011</t>
  </si>
  <si>
    <t>SRFL01</t>
  </si>
  <si>
    <t>SRF Limited</t>
  </si>
  <si>
    <t>INE647A01010</t>
  </si>
  <si>
    <t>ONGC02</t>
  </si>
  <si>
    <t>Oil &amp; Natural Gas Corporation Limited</t>
  </si>
  <si>
    <t>INE213A01029</t>
  </si>
  <si>
    <t>Oil</t>
  </si>
  <si>
    <t>GAIL01</t>
  </si>
  <si>
    <t>GAIL (India) Limited</t>
  </si>
  <si>
    <t>INE129A01019</t>
  </si>
  <si>
    <t>Gas</t>
  </si>
  <si>
    <t>LTIL01</t>
  </si>
  <si>
    <t>Larsen &amp; Toubro Infotech Limited</t>
  </si>
  <si>
    <t>INE214T01019</t>
  </si>
  <si>
    <t>MINC01</t>
  </si>
  <si>
    <t>Minda Corporation Limited</t>
  </si>
  <si>
    <t>INE842C01021</t>
  </si>
  <si>
    <t>NAPH02</t>
  </si>
  <si>
    <t>Natco Pharma Limited</t>
  </si>
  <si>
    <t>INE987B01026</t>
  </si>
  <si>
    <t>BTVL03</t>
  </si>
  <si>
    <t>Bharti Airtel Ltd Partly Paid 1.25 FV</t>
  </si>
  <si>
    <t>IN9397D01014</t>
  </si>
  <si>
    <t>SHTR01</t>
  </si>
  <si>
    <t>Shriram Transport Finance Company Limited</t>
  </si>
  <si>
    <t>INE721A01013</t>
  </si>
  <si>
    <t>Derivatives</t>
  </si>
  <si>
    <t>Index / Stock Futures</t>
  </si>
  <si>
    <t>SHTRAPR22</t>
  </si>
  <si>
    <t>Shriram Transport Finance Company Limited April 2022 Future</t>
  </si>
  <si>
    <t>WIPRAPR22</t>
  </si>
  <si>
    <t>Wipro Limited April 2022 Future</t>
  </si>
  <si>
    <t>JSPLAPR22</t>
  </si>
  <si>
    <t>Jindal Steel &amp; Power Limited April 2022 Future</t>
  </si>
  <si>
    <t>GUAMAPR22</t>
  </si>
  <si>
    <t>Ambuja Cements Limited April 2022 Future</t>
  </si>
  <si>
    <t>LTILAPR22</t>
  </si>
  <si>
    <t>Larsen &amp; Toubro Infotech Limited April 2022 Future</t>
  </si>
  <si>
    <t>KMBKAPR22</t>
  </si>
  <si>
    <t>Kotak Mahindra Bank Limited April 2022 Future</t>
  </si>
  <si>
    <t>SBAIAPR22</t>
  </si>
  <si>
    <t>State Bank of India April 2022 Future</t>
  </si>
  <si>
    <t>HINIAPR22</t>
  </si>
  <si>
    <t>Hindalco Industries Limited April 2022 Future</t>
  </si>
  <si>
    <t>HDFBAPR22</t>
  </si>
  <si>
    <t>HDFC Bank Limited April 2022 Future</t>
  </si>
  <si>
    <t>IIBLAPR22</t>
  </si>
  <si>
    <t>IndusInd Bank Limited April 2022 Future</t>
  </si>
  <si>
    <t>HLELAPR22</t>
  </si>
  <si>
    <t>Hindustan Unilever Limited April 2022 Future</t>
  </si>
  <si>
    <t>BTVLAPR22</t>
  </si>
  <si>
    <t>Bharti Airtel Limited April 2022 Future</t>
  </si>
  <si>
    <t>INFSAPR22</t>
  </si>
  <si>
    <t>Infosys Limited April 2022 Future</t>
  </si>
  <si>
    <t>LARSAPR22</t>
  </si>
  <si>
    <t>Larsen &amp; Toubro Limited April 2022 Future</t>
  </si>
  <si>
    <t>GRASAPR22</t>
  </si>
  <si>
    <t>Grasim Industries Limited April 2022 Future</t>
  </si>
  <si>
    <t>TCSLAPR22</t>
  </si>
  <si>
    <t>Tata Consultancy Services Limited April 2022 Future</t>
  </si>
  <si>
    <t>MAUDAPR22</t>
  </si>
  <si>
    <t>Maruti Suzuki India Limited April 2022 Future</t>
  </si>
  <si>
    <t>HEROAPR22</t>
  </si>
  <si>
    <t>Hero MotoCorp Limited April 2022 Future</t>
  </si>
  <si>
    <t>MCSPAPR22</t>
  </si>
  <si>
    <t>United Spirits Limited April 2022 Future</t>
  </si>
  <si>
    <t>HDFCAPR22</t>
  </si>
  <si>
    <t>Housing Development Finance Corporation Limited April 2022 Future</t>
  </si>
  <si>
    <t>RINDAPR22</t>
  </si>
  <si>
    <t>Reliance Industries Limited April 2022 Future</t>
  </si>
  <si>
    <t>TRIF90</t>
  </si>
  <si>
    <t>8.4% TATA Realty &amp; Infrastructure Limited 2022 **</t>
  </si>
  <si>
    <t>INE371K08144</t>
  </si>
  <si>
    <t>CRISIL AA</t>
  </si>
  <si>
    <t>BAFL745</t>
  </si>
  <si>
    <t>4.85% Bajaj Housing Finance Limited 2022 **</t>
  </si>
  <si>
    <t>INE377Y07185</t>
  </si>
  <si>
    <t>CRISIL AAA</t>
  </si>
  <si>
    <t>BHFL77</t>
  </si>
  <si>
    <t>5.69% Bajaj Housing Finance Limited 2024 **</t>
  </si>
  <si>
    <t>INE377Y07250</t>
  </si>
  <si>
    <t>NBAR406</t>
  </si>
  <si>
    <t>8.20% National Bank For Agriculture and Rural Development 2028 **</t>
  </si>
  <si>
    <t>INE261F08AE6</t>
  </si>
  <si>
    <t>CGPO20</t>
  </si>
  <si>
    <t>9.70% Coastal Gujarat Power Limited 2023 **</t>
  </si>
  <si>
    <t>INE295J08014</t>
  </si>
  <si>
    <t>CARE AA(CE)</t>
  </si>
  <si>
    <t>GOI2186</t>
  </si>
  <si>
    <t>7.32% Government of India 2024</t>
  </si>
  <si>
    <t>IN0020180488</t>
  </si>
  <si>
    <t>RECL327</t>
  </si>
  <si>
    <t>7.09% REC Limited 2022 **</t>
  </si>
  <si>
    <t>INE020B08AM8</t>
  </si>
  <si>
    <t>HDFC1121</t>
  </si>
  <si>
    <t>5.4% Housing Development Finance Corporation Limited 2023 **</t>
  </si>
  <si>
    <t>INE001A07SP7</t>
  </si>
  <si>
    <t>GOI3734</t>
  </si>
  <si>
    <t>6.54% Government of India 2032</t>
  </si>
  <si>
    <t>IN0020210244</t>
  </si>
  <si>
    <t>GOI2491</t>
  </si>
  <si>
    <t>5.22% Government of India 2025</t>
  </si>
  <si>
    <t>IN0020200112</t>
  </si>
  <si>
    <t>GOI3639</t>
  </si>
  <si>
    <t>5.74% Government of India 2026</t>
  </si>
  <si>
    <t>IN0020210186</t>
  </si>
  <si>
    <t>GOI2797</t>
  </si>
  <si>
    <t>5.15% Government of India 2025</t>
  </si>
  <si>
    <t>IN0020200278</t>
  </si>
  <si>
    <t>CANB837</t>
  </si>
  <si>
    <t>INE476A16ST4</t>
  </si>
  <si>
    <t>GOI698</t>
  </si>
  <si>
    <t>8.08% Government of India 2022</t>
  </si>
  <si>
    <t>IN0020070028</t>
  </si>
  <si>
    <t>RECL383</t>
  </si>
  <si>
    <t>7.24% REC Limited 2022</t>
  </si>
  <si>
    <t>INE020B08CG6</t>
  </si>
  <si>
    <t>POWF447</t>
  </si>
  <si>
    <t>7.35% Power Finance Corporation Limited 2022 **</t>
  </si>
  <si>
    <t>INE134E08KG2</t>
  </si>
  <si>
    <t>CGPO24</t>
  </si>
  <si>
    <t>9.15% Coastal Gujarat Power Limited 2022 **</t>
  </si>
  <si>
    <t>INE295J08055</t>
  </si>
  <si>
    <t>NBAR466</t>
  </si>
  <si>
    <t>8.5% National Bank For Agriculture and Rural Development 2023 **</t>
  </si>
  <si>
    <t>INE261F08AT4</t>
  </si>
  <si>
    <t>CHOL941</t>
  </si>
  <si>
    <t>7.38% Cholamandalam Investment and Finance Company Ltd 2024 **</t>
  </si>
  <si>
    <t>INE121A07PN4</t>
  </si>
  <si>
    <t>ICRA AA+</t>
  </si>
  <si>
    <t>TRIF98</t>
  </si>
  <si>
    <t>7.09% TATA Realty &amp; Infrastructure Limited 2024 **</t>
  </si>
  <si>
    <t>INE371K08169</t>
  </si>
  <si>
    <t>ICRA AA</t>
  </si>
  <si>
    <t>HINI105</t>
  </si>
  <si>
    <t>9.55% Hindalco Industries Limited 2022 **</t>
  </si>
  <si>
    <t>INE038A07258</t>
  </si>
  <si>
    <t>CRISIL AA+</t>
  </si>
  <si>
    <t>HDFC1138</t>
  </si>
  <si>
    <t>4.50% Housing Development Finance Corporation Limited 2022 **</t>
  </si>
  <si>
    <t>INE001A07SU7</t>
  </si>
  <si>
    <t>GOI2788</t>
  </si>
  <si>
    <t>4.48% Government of India 2023</t>
  </si>
  <si>
    <t>IN0020200211</t>
  </si>
  <si>
    <t>BHFL71</t>
  </si>
  <si>
    <t>5.60% Bajaj Housing Finance Limited 2024 **</t>
  </si>
  <si>
    <t>INE377Y07235</t>
  </si>
  <si>
    <t>GOI1358</t>
  </si>
  <si>
    <t>8.16% State Government Securities 2025</t>
  </si>
  <si>
    <t>IN2220150097</t>
  </si>
  <si>
    <t>LICH209</t>
  </si>
  <si>
    <t>8.37% LIC Housing Finance Limited 2023 **</t>
  </si>
  <si>
    <t>INE115A07DX1</t>
  </si>
  <si>
    <t>LICH420</t>
  </si>
  <si>
    <t>7.4% LIC Housing Finance Limited 2024 **</t>
  </si>
  <si>
    <t>INE115A07ML7</t>
  </si>
  <si>
    <t>GOI2349</t>
  </si>
  <si>
    <t>6.18% Government of India 2024</t>
  </si>
  <si>
    <t>IN0020190396</t>
  </si>
  <si>
    <t>RECL380</t>
  </si>
  <si>
    <t>INE020B08CD3</t>
  </si>
  <si>
    <t>HDFC1115</t>
  </si>
  <si>
    <t>7% Housing Development Finance Corporation Limited 2022 **</t>
  </si>
  <si>
    <t>INE001A07SM4</t>
  </si>
  <si>
    <t>PEFR131</t>
  </si>
  <si>
    <t>5.8% Aditya Birla Fashion and Retail Limited 2024 **</t>
  </si>
  <si>
    <t>INE647O08107</t>
  </si>
  <si>
    <t>GOI3103</t>
  </si>
  <si>
    <t>5.63% Government of India 2026</t>
  </si>
  <si>
    <t>IN0020210012</t>
  </si>
  <si>
    <t>TBIL1884</t>
  </si>
  <si>
    <t>364 Days Tbill (MD 14/04/2022)</t>
  </si>
  <si>
    <t>IN002021Z020</t>
  </si>
  <si>
    <t>TBIL1995</t>
  </si>
  <si>
    <t>182 Days Tbill (MD 14/07/2022)</t>
  </si>
  <si>
    <t>IN002021Y445</t>
  </si>
  <si>
    <t>TBIL1963</t>
  </si>
  <si>
    <t>182 Days Tbill (MD 04/05/2022)</t>
  </si>
  <si>
    <t>IN002021Y320</t>
  </si>
  <si>
    <t>UTIB1220</t>
  </si>
  <si>
    <t>INE238A164X2</t>
  </si>
  <si>
    <t>NBAR663</t>
  </si>
  <si>
    <t>National Bank For Agriculture and Rural Development 2023 ** #</t>
  </si>
  <si>
    <t>INE261F16652</t>
  </si>
  <si>
    <t>UTIB1231</t>
  </si>
  <si>
    <t>INE238A163Y2</t>
  </si>
  <si>
    <t>MOFS125</t>
  </si>
  <si>
    <t>INE338I14DC2</t>
  </si>
  <si>
    <t>IFMC77</t>
  </si>
  <si>
    <t>Northern Arc Capital Limited 2022 **</t>
  </si>
  <si>
    <t>INE850M14AP6</t>
  </si>
  <si>
    <t>IIFW254</t>
  </si>
  <si>
    <t>INE248U14IW5</t>
  </si>
  <si>
    <t>GODP195</t>
  </si>
  <si>
    <t>Godrej Properties Limited 2022 **</t>
  </si>
  <si>
    <t>INE484J14NG2</t>
  </si>
  <si>
    <t>RRVL68</t>
  </si>
  <si>
    <t>Reliance Retail Ventures Limited 2022 **</t>
  </si>
  <si>
    <t>INE929O14636</t>
  </si>
  <si>
    <t>JMMS374</t>
  </si>
  <si>
    <t>JM Financial Services Limited 2022 **</t>
  </si>
  <si>
    <t>INE012I14MW2</t>
  </si>
  <si>
    <t>IFMC78</t>
  </si>
  <si>
    <t>INE850M14AU6</t>
  </si>
  <si>
    <t>GMDC02</t>
  </si>
  <si>
    <t>Gujarat Mineral Development Corporation Limited</t>
  </si>
  <si>
    <t>INE131A01031</t>
  </si>
  <si>
    <t>Minerals/Mining</t>
  </si>
  <si>
    <t>HALT01</t>
  </si>
  <si>
    <t>Hindustan Aeronautics Limited</t>
  </si>
  <si>
    <t>INE066F01012</t>
  </si>
  <si>
    <t>IRBL01</t>
  </si>
  <si>
    <t>IRB Infrastructure Developers Limited</t>
  </si>
  <si>
    <t>INE821I01014</t>
  </si>
  <si>
    <t>KIMS01</t>
  </si>
  <si>
    <t>Krishna Institute Of Medical Sciences Limited</t>
  </si>
  <si>
    <t>INE967H01017</t>
  </si>
  <si>
    <t>ABBP01</t>
  </si>
  <si>
    <t>Hitachi Energy India Limited</t>
  </si>
  <si>
    <t>INE07Y701011</t>
  </si>
  <si>
    <t>POCA01</t>
  </si>
  <si>
    <t>Polycab India Limited</t>
  </si>
  <si>
    <t>INE455K01017</t>
  </si>
  <si>
    <t>PREP01</t>
  </si>
  <si>
    <t>Prestige Estates Projects Limited</t>
  </si>
  <si>
    <t>INE811K01011</t>
  </si>
  <si>
    <t>AMUL01</t>
  </si>
  <si>
    <t>Apollo Pipes Limited</t>
  </si>
  <si>
    <t>INE126J01016</t>
  </si>
  <si>
    <t>VEPL01</t>
  </si>
  <si>
    <t>Varroc Engineering Limited</t>
  </si>
  <si>
    <t>INE665L01035</t>
  </si>
  <si>
    <t>BHAE01</t>
  </si>
  <si>
    <t>BEML Limited</t>
  </si>
  <si>
    <t>INE258A01016</t>
  </si>
  <si>
    <t>GUJN01</t>
  </si>
  <si>
    <t>Gujarat Narmada Valley Fertilizers and Chemicals Limited</t>
  </si>
  <si>
    <t>INE113A01013</t>
  </si>
  <si>
    <t>FUJI02</t>
  </si>
  <si>
    <t>Zensar Technologies Limited</t>
  </si>
  <si>
    <t>INE520A01027</t>
  </si>
  <si>
    <t>ATUL01</t>
  </si>
  <si>
    <t>Atul Limited</t>
  </si>
  <si>
    <t>INE100A01010</t>
  </si>
  <si>
    <t>KPIT03</t>
  </si>
  <si>
    <t>Birlasoft Limited</t>
  </si>
  <si>
    <t>INE836A01035</t>
  </si>
  <si>
    <t>ESCO01</t>
  </si>
  <si>
    <t>Escorts Limited</t>
  </si>
  <si>
    <t>INE042A01014</t>
  </si>
  <si>
    <t>CRED02</t>
  </si>
  <si>
    <t>CRISIL Limited</t>
  </si>
  <si>
    <t>INE007A01025</t>
  </si>
  <si>
    <t>GRIN02</t>
  </si>
  <si>
    <t>Grindwell Norton Limited</t>
  </si>
  <si>
    <t>INE536A01023</t>
  </si>
  <si>
    <t>FEBA02</t>
  </si>
  <si>
    <t>The Federal Bank  Limited</t>
  </si>
  <si>
    <t>INE171A01029</t>
  </si>
  <si>
    <t>KCUL02</t>
  </si>
  <si>
    <t>Cummins India Limited</t>
  </si>
  <si>
    <t>INE298A01020</t>
  </si>
  <si>
    <t>LMAW02</t>
  </si>
  <si>
    <t>Lakshmi Machine Works Limited</t>
  </si>
  <si>
    <t>INE269B01029</t>
  </si>
  <si>
    <t>BHFO02</t>
  </si>
  <si>
    <t>Bharat Forge Limited</t>
  </si>
  <si>
    <t>INE465A01025</t>
  </si>
  <si>
    <t>MAXI02</t>
  </si>
  <si>
    <t>Max Financial Services Limited</t>
  </si>
  <si>
    <t>INE180A01020</t>
  </si>
  <si>
    <t>BATA02</t>
  </si>
  <si>
    <t>Bata India Limited</t>
  </si>
  <si>
    <t>INE176A01028</t>
  </si>
  <si>
    <t>WABT01</t>
  </si>
  <si>
    <t>WABCO India Limited</t>
  </si>
  <si>
    <t>INE342J01019</t>
  </si>
  <si>
    <t>CENT02</t>
  </si>
  <si>
    <t>Century Textiles &amp; Industries Limited</t>
  </si>
  <si>
    <t>INE055A01016</t>
  </si>
  <si>
    <t>NMDC01</t>
  </si>
  <si>
    <t>NMDC Limited</t>
  </si>
  <si>
    <t>INE584A01023</t>
  </si>
  <si>
    <t>VOLT02</t>
  </si>
  <si>
    <t>Voltas Limited</t>
  </si>
  <si>
    <t>INE226A01021</t>
  </si>
  <si>
    <t>OBRL01</t>
  </si>
  <si>
    <t>Oberoi Realty Limited</t>
  </si>
  <si>
    <t>INE093I01010</t>
  </si>
  <si>
    <t>FAGP02</t>
  </si>
  <si>
    <t>Schaeffler India Limited</t>
  </si>
  <si>
    <t>INE513A01022</t>
  </si>
  <si>
    <t>BFLS01</t>
  </si>
  <si>
    <t>MphasiS Limited</t>
  </si>
  <si>
    <t>INE356A01018</t>
  </si>
  <si>
    <t>IDFC01</t>
  </si>
  <si>
    <t>IDFC Limited</t>
  </si>
  <si>
    <t>INE043D01016</t>
  </si>
  <si>
    <t>BOOT01</t>
  </si>
  <si>
    <t>Abbott India Limited</t>
  </si>
  <si>
    <t>INE358A01014</t>
  </si>
  <si>
    <t>MCEL03</t>
  </si>
  <si>
    <t>The Ramco Cements Limited</t>
  </si>
  <si>
    <t>INE331A01037</t>
  </si>
  <si>
    <t>DENI02</t>
  </si>
  <si>
    <t>Deepak Nitrite Limited</t>
  </si>
  <si>
    <t>INE288B01029</t>
  </si>
  <si>
    <t>KACE03</t>
  </si>
  <si>
    <t>Kajaria Ceramics Limited</t>
  </si>
  <si>
    <t>INE217B01036</t>
  </si>
  <si>
    <t>NACL03</t>
  </si>
  <si>
    <t>National Aluminium Company Limited</t>
  </si>
  <si>
    <t>INE139A01034</t>
  </si>
  <si>
    <t>SOEL02</t>
  </si>
  <si>
    <t>Solar Industries India Limited</t>
  </si>
  <si>
    <t>INE343H01029</t>
  </si>
  <si>
    <t>THER02</t>
  </si>
  <si>
    <t>Thermax Limited</t>
  </si>
  <si>
    <t>INE152A01029</t>
  </si>
  <si>
    <t>BIRJ01</t>
  </si>
  <si>
    <t>Birla Corporation Limited</t>
  </si>
  <si>
    <t>INE340A01012</t>
  </si>
  <si>
    <t>AUAX01</t>
  </si>
  <si>
    <t>Automotive Axles Limited</t>
  </si>
  <si>
    <t>INE449A01011</t>
  </si>
  <si>
    <t>SUPI02</t>
  </si>
  <si>
    <t>Supreme Industries Limited</t>
  </si>
  <si>
    <t>INE195A01028</t>
  </si>
  <si>
    <t>GOI1659</t>
  </si>
  <si>
    <t>7.39% State Government Securities 2026</t>
  </si>
  <si>
    <t>IN2220160104</t>
  </si>
  <si>
    <t>HDFC1124</t>
  </si>
  <si>
    <t>6.43% Housing Development Finance Corporation Limited 2025 **</t>
  </si>
  <si>
    <t>INE001A07SR3</t>
  </si>
  <si>
    <t>GOI3531</t>
  </si>
  <si>
    <t>6.95% State Government Securities 2031</t>
  </si>
  <si>
    <t>IN1520210056</t>
  </si>
  <si>
    <t>GOI3574</t>
  </si>
  <si>
    <t>IN0020210137</t>
  </si>
  <si>
    <t>GOI3102</t>
  </si>
  <si>
    <t>6.64% Government of India 2035</t>
  </si>
  <si>
    <t>IN0020210020</t>
  </si>
  <si>
    <t>ASPA02</t>
  </si>
  <si>
    <t>Asian Paints Limited</t>
  </si>
  <si>
    <t>INE021A01026</t>
  </si>
  <si>
    <t>TTEA02</t>
  </si>
  <si>
    <t>Tata Consumer Products Limited</t>
  </si>
  <si>
    <t>INE192A01025</t>
  </si>
  <si>
    <t>TWAT02</t>
  </si>
  <si>
    <t>Titan Company Limited</t>
  </si>
  <si>
    <t>INE280A01028</t>
  </si>
  <si>
    <t>AVSP01</t>
  </si>
  <si>
    <t>Avenue Supermarts Limited</t>
  </si>
  <si>
    <t>INE192R01011</t>
  </si>
  <si>
    <t>BRIT03</t>
  </si>
  <si>
    <t>Britannia Industries Limited</t>
  </si>
  <si>
    <t>INE216A01030</t>
  </si>
  <si>
    <t>EIML02</t>
  </si>
  <si>
    <t>Eicher Motors Limited</t>
  </si>
  <si>
    <t>INE066A01021</t>
  </si>
  <si>
    <t>NEST01</t>
  </si>
  <si>
    <t>Nestle India Limited</t>
  </si>
  <si>
    <t>INE239A01016</t>
  </si>
  <si>
    <t>TTPL02</t>
  </si>
  <si>
    <t>TTK Prestige Limited</t>
  </si>
  <si>
    <t>INE690A01028</t>
  </si>
  <si>
    <t>DABU02</t>
  </si>
  <si>
    <t>Dabur India Limited</t>
  </si>
  <si>
    <t>INE016A01026</t>
  </si>
  <si>
    <t>COAL01</t>
  </si>
  <si>
    <t>Coal India Limited</t>
  </si>
  <si>
    <t>INE522F01014</t>
  </si>
  <si>
    <t>IFEL01</t>
  </si>
  <si>
    <t>Oracle Financial Services Software Limited</t>
  </si>
  <si>
    <t>INE881D01027</t>
  </si>
  <si>
    <t>APOL02</t>
  </si>
  <si>
    <t>Apollo Hospitals Enterprise Limited</t>
  </si>
  <si>
    <t>INE437A01024</t>
  </si>
  <si>
    <t>COLG02</t>
  </si>
  <si>
    <t>Colgate Palmolive (India) Limited</t>
  </si>
  <si>
    <t>INE259A01022</t>
  </si>
  <si>
    <t>SECH03</t>
  </si>
  <si>
    <t>UPL Limited</t>
  </si>
  <si>
    <t>INE628A01036</t>
  </si>
  <si>
    <t>PAGE01</t>
  </si>
  <si>
    <t>Page Industries Limited</t>
  </si>
  <si>
    <t>INE761H01022</t>
  </si>
  <si>
    <t>BAYE02</t>
  </si>
  <si>
    <t>Bayer Cropscience Limited</t>
  </si>
  <si>
    <t>INE462A01022</t>
  </si>
  <si>
    <t>CGCE01</t>
  </si>
  <si>
    <t>Crompton Greaves Consumer Electricals Limited</t>
  </si>
  <si>
    <t>INE299U01018</t>
  </si>
  <si>
    <t>BRIT29</t>
  </si>
  <si>
    <t>8% Britannia Industries Limited 2022 **</t>
  </si>
  <si>
    <t>INE216A07052</t>
  </si>
  <si>
    <t>BRIT32</t>
  </si>
  <si>
    <t>5.50% Britannia Industries Limited 2024 **</t>
  </si>
  <si>
    <t>INE216A08027</t>
  </si>
  <si>
    <t>TELC03</t>
  </si>
  <si>
    <t>INE155A01022</t>
  </si>
  <si>
    <t>SPIL03</t>
  </si>
  <si>
    <t>Sun Pharmaceutical Industries Limited</t>
  </si>
  <si>
    <t>INE044A01036</t>
  </si>
  <si>
    <t>NICH02</t>
  </si>
  <si>
    <t>Piramal Enterprises Limited</t>
  </si>
  <si>
    <t>INE140A01024</t>
  </si>
  <si>
    <t>MOSU03</t>
  </si>
  <si>
    <t>Motherson Sumi Systems Limited</t>
  </si>
  <si>
    <t>INE775A01035</t>
  </si>
  <si>
    <t>NHPC01</t>
  </si>
  <si>
    <t>NHPC Limited</t>
  </si>
  <si>
    <t>INE848E01016</t>
  </si>
  <si>
    <t>MSUW01</t>
  </si>
  <si>
    <t>Motherson Sumi Wiring India Limited</t>
  </si>
  <si>
    <t>INE0FS801015</t>
  </si>
  <si>
    <t>GOI3528</t>
  </si>
  <si>
    <t>6.1% Government of India 2031</t>
  </si>
  <si>
    <t>IN0020210095</t>
  </si>
  <si>
    <t>BAFL697</t>
  </si>
  <si>
    <t>8.5383% Bajaj Finance Limited 2022 **</t>
  </si>
  <si>
    <t>INE296A07QU7</t>
  </si>
  <si>
    <t>LICH183</t>
  </si>
  <si>
    <t>9.05% LIC Housing Finance Limited 2022 **</t>
  </si>
  <si>
    <t>INE115A07DA9</t>
  </si>
  <si>
    <t>GOI1644</t>
  </si>
  <si>
    <t>6.84% Government of India 2022</t>
  </si>
  <si>
    <t>IN0020160050</t>
  </si>
  <si>
    <t>TBIL2020</t>
  </si>
  <si>
    <t>182 Days Tbill (MD 08/09/2022)</t>
  </si>
  <si>
    <t>IN002021Y528</t>
  </si>
  <si>
    <t>TBIL2028</t>
  </si>
  <si>
    <t>182 Days Tbill (MD 22/09/2022)</t>
  </si>
  <si>
    <t>IN002021Y544</t>
  </si>
  <si>
    <t>TBIL1996</t>
  </si>
  <si>
    <t>364 Days Tbill (MD 12/01/2023)</t>
  </si>
  <si>
    <t>IN002021Z434</t>
  </si>
  <si>
    <t>SKFB02</t>
  </si>
  <si>
    <t>SKF India Limited</t>
  </si>
  <si>
    <t>INE640A01023</t>
  </si>
  <si>
    <t>LUPL02</t>
  </si>
  <si>
    <t>Lupin Limited</t>
  </si>
  <si>
    <t>INE326A01037</t>
  </si>
  <si>
    <t>TCHE01</t>
  </si>
  <si>
    <t>Tata Chemicals Limited</t>
  </si>
  <si>
    <t>INE092A01019</t>
  </si>
  <si>
    <t>HDLI01</t>
  </si>
  <si>
    <t>HDFC Life Insurance Company Limited</t>
  </si>
  <si>
    <t>INE795G01014</t>
  </si>
  <si>
    <t>TISC01</t>
  </si>
  <si>
    <t>Tata Steel Limited</t>
  </si>
  <si>
    <t>INE081A01012</t>
  </si>
  <si>
    <t>LARSMAY22</t>
  </si>
  <si>
    <t>Larsen &amp; Toubro Limited May 2022 Future</t>
  </si>
  <si>
    <t>TISCAPR22</t>
  </si>
  <si>
    <t>Tata Steel Limited April 2022 Future</t>
  </si>
  <si>
    <t>ITCLAPR22</t>
  </si>
  <si>
    <t>ITC Limited April 2022 Future</t>
  </si>
  <si>
    <t>HLELMAY22</t>
  </si>
  <si>
    <t>Hindustan Unilever Limited May 2022 Future</t>
  </si>
  <si>
    <t>HDLIAPR22</t>
  </si>
  <si>
    <t>HDFC Life Insurance Company Limited April 2022 Future</t>
  </si>
  <si>
    <t>TCHEAPR22</t>
  </si>
  <si>
    <t>Tata Chemicals Limited April 2022 Future</t>
  </si>
  <si>
    <t>LUPLAPR22</t>
  </si>
  <si>
    <t>Lupin Limited April 2022 Future</t>
  </si>
  <si>
    <t>IBCLAPR22</t>
  </si>
  <si>
    <t>ICICI Bank Limited April 2022 Future</t>
  </si>
  <si>
    <t>TPOWAPR22</t>
  </si>
  <si>
    <t>Tata Power Company Limited April 2022 Future</t>
  </si>
  <si>
    <t>MUNDAPR22</t>
  </si>
  <si>
    <t>Adani Ports and Special Economic Zone Limited April 2022 Future</t>
  </si>
  <si>
    <t>Others</t>
  </si>
  <si>
    <t>Mutual Fund Units</t>
  </si>
  <si>
    <t>139538</t>
  </si>
  <si>
    <t>Mahindra Manulife Liquid Fund -Direct Plan -Growth</t>
  </si>
  <si>
    <t>INF174V01044</t>
  </si>
  <si>
    <t>CHOL934</t>
  </si>
  <si>
    <t>7.41% Cholamandalam Investment and Finance Company Ltd 2023 **</t>
  </si>
  <si>
    <t>INE121A07PF0</t>
  </si>
  <si>
    <t>RECL324</t>
  </si>
  <si>
    <t>7.03% REC Limited 2022 **</t>
  </si>
  <si>
    <t>INE020B08AK2</t>
  </si>
  <si>
    <t>TCHF351</t>
  </si>
  <si>
    <t>6.50% Tata Capital Housing Finance Limited 2026 **</t>
  </si>
  <si>
    <t>INE033L07HF1</t>
  </si>
  <si>
    <t>GOI2505</t>
  </si>
  <si>
    <t>7.24% State Government Securities 2026</t>
  </si>
  <si>
    <t>IN1520160160</t>
  </si>
  <si>
    <t>TPOW110</t>
  </si>
  <si>
    <t>7.99% Tata Power Company Limited 2022 **</t>
  </si>
  <si>
    <t>INE245A08117</t>
  </si>
  <si>
    <t>CARE AA</t>
  </si>
  <si>
    <t>SIEM02</t>
  </si>
  <si>
    <t>Siemens Limited</t>
  </si>
  <si>
    <t>INE003A01024</t>
  </si>
  <si>
    <t>SUMI01</t>
  </si>
  <si>
    <t>Sumitomo Chemical India Limited</t>
  </si>
  <si>
    <t>INE258G01013</t>
  </si>
  <si>
    <t>CEPL02</t>
  </si>
  <si>
    <t>Century Plyboards (India) Limited</t>
  </si>
  <si>
    <t>INE348B01021</t>
  </si>
  <si>
    <t>HFFC02</t>
  </si>
  <si>
    <t>Home First Finance Company India Limited</t>
  </si>
  <si>
    <t>INE481N01025</t>
  </si>
  <si>
    <t>PGCI01</t>
  </si>
  <si>
    <t>Power Grid Corporation of India Limited</t>
  </si>
  <si>
    <t>INE752E01010</t>
  </si>
  <si>
    <t>Foreign Securities / Overseas ETFs</t>
  </si>
  <si>
    <t>111795290USD</t>
  </si>
  <si>
    <t>LU2297069002</t>
  </si>
  <si>
    <t>ASHL02</t>
  </si>
  <si>
    <t>Ashok Leyland Limited</t>
  </si>
  <si>
    <t>INE208A01029</t>
  </si>
  <si>
    <t>IGAS02</t>
  </si>
  <si>
    <t>Indraprastha Gas Limited</t>
  </si>
  <si>
    <t>INE203G01027</t>
  </si>
  <si>
    <t>CHEL02</t>
  </si>
  <si>
    <t>Zydus Lifesciences Limited</t>
  </si>
  <si>
    <t>INE010B01027</t>
  </si>
  <si>
    <t>DRRL02</t>
  </si>
  <si>
    <t>Dr. Reddy's Laboratories Limited</t>
  </si>
  <si>
    <t>INE089A01023</t>
  </si>
  <si>
    <t>DLFLAPR22</t>
  </si>
  <si>
    <t>DLF Limited April 2022 Future</t>
  </si>
  <si>
    <t>ONGCAPR22</t>
  </si>
  <si>
    <t>Oil &amp; Natural Gas Corporation Limited April 2022 Future</t>
  </si>
  <si>
    <t>DRRLAPR22</t>
  </si>
  <si>
    <t>Dr. Reddy's Laboratories Limited April 2022 Future</t>
  </si>
  <si>
    <t>POCAAPR22</t>
  </si>
  <si>
    <t>Polycab India Limited April 2022 Future</t>
  </si>
  <si>
    <t>CHELAPR22</t>
  </si>
  <si>
    <t>Zydus Lifesciences Limited April 2022 Future</t>
  </si>
  <si>
    <t>SECHAPR22</t>
  </si>
  <si>
    <t>UPL Limited April 2022 Future</t>
  </si>
  <si>
    <t>TWATAPR22</t>
  </si>
  <si>
    <t>Titan Company Limited April 2022 Future</t>
  </si>
  <si>
    <t>IGASAPR22</t>
  </si>
  <si>
    <t>Indraprastha Gas Limited April 2022 Future</t>
  </si>
  <si>
    <t>DIVIAPR22</t>
  </si>
  <si>
    <t>Divi's Laboratories Limited April 2022 Future</t>
  </si>
  <si>
    <t>ASHLAPR22</t>
  </si>
  <si>
    <t>Ashok Leyland Limited April 2022 Future</t>
  </si>
  <si>
    <t>TBIL1967</t>
  </si>
  <si>
    <t>182 Days Tbill (MD 19/05/2022)</t>
  </si>
  <si>
    <t>IN002021Y346</t>
  </si>
  <si>
    <t>TBIL1975</t>
  </si>
  <si>
    <t>182 Days Tbill (MD 09/06/2022)</t>
  </si>
  <si>
    <t>IN002021Y379</t>
  </si>
  <si>
    <t>TBIL1992</t>
  </si>
  <si>
    <t>182 Days Tbill (MD 07/07/2022)</t>
  </si>
  <si>
    <t>IN002021Y437</t>
  </si>
  <si>
    <t>TBIL1999</t>
  </si>
  <si>
    <t>182 Days Tbill (MD 21/07/2022)</t>
  </si>
  <si>
    <t>IN002021Y452</t>
  </si>
  <si>
    <t>MAHINDRA MANULIFE LIQUID FUND
(AN OPEN ENDED LIQUID SCHEME. A RELATIVELY LOW INTEREST RATE RISK AND MODERATE CREDIT RISK. )</t>
  </si>
  <si>
    <t>MAHINDRA MANULIFE ELSS KAR BACHAT YOJANA
(AN OPEN ENDED EQUITY LINKED SAVINGS SCHEME WITH A STATUTORY LOCK IN OF 3 YEARS AND TAX BENEFIT)</t>
  </si>
  <si>
    <t>MAHINDRA MANULIFE EQUITY SAVINGS DHAN SANCHAY YOJANA
(AN OPEN ENDED SCHEME INVESTING IN EQUITY, ARBITRAGE AND DEBT)</t>
  </si>
  <si>
    <t>MAHINDRA MANULIFE LOW DURATION FUND
(AN OPEN ENDED LOW DURATION DEBT SCHEME INVESTING IN INSTRUMENTS SUCH THAT THE MACAULAY DURATION OF THE PORTFOLIO IS BETWEEN 6 MONTHS AND 12 MONTHS. A RELATIVELY LOW INTEREST RATE RISK AND MODERATE CREDIT RISK. )</t>
  </si>
  <si>
    <t>MAHINDRA MANULIFE MULTI CAP BADHAT YOJANA  
(MULTI CAP FUND - AN OPEN-ENDED EQUITY SCHEME INVESTING ACROSS LARGE CAP,MID CAP, SMALL CAP STOCKS)</t>
  </si>
  <si>
    <t>MAHINDRA MANULIFE MID CAP UNNATI YOJANA 
(MID CAP FUND – AN OPEN ENDED EQUITY SCHEME PREDOMINANTLY INVESTING IN MID CAP STOCKS)</t>
  </si>
  <si>
    <t>MAHINDRA MANULIFE DYNAMIC BOND YOJANA                                                                                                                                                                                                                                                                                   (AN OPEN ENDED DYNAMIC DEBT SCHEME INVESTING ACROSS DURATION. A RELATIVELY HIGH INTEREST RATE RISK AND MODERATE CREDIT RISK. )</t>
  </si>
  <si>
    <t>MAHINDRA MANULIFE RURAL BHARAT AND CONSUMPTION YOJANA
(AN OPEN ENDED EQUITY SCHEME FOLLOWING RURAL INDIA THEME)</t>
  </si>
  <si>
    <t xml:space="preserve">MAHINDRA MANULIFE LARGE CAP PRAGATI YOJANA                                                                                                                                                                                                                                                                                                (LARGE CAP FUND - AN OPEN ENDED EQUITY SCHEME PREDOMINANTLY INVESTING IN LARGE CAP STOCKS) </t>
  </si>
  <si>
    <t>MAHINDRA MANULIFE HYBRID EQUITY NIVESH YOJANA                                                                                                                                                                                                                                                                                                       (AN OPEN ENDED HYBRID SCHEME INVESTING PREDOMINANTLY IN EQUITY AND EQUITY RELATED INSTRUMENTS)</t>
  </si>
  <si>
    <t>MAHINDRA MANULIFE OVERNIGHT FUND                                                                                                                                                                                                                                                                                                                           (AN OPEN ENDED DEBT SCHEME INVESTING IN OVERNIGHT SECURITIES. A RELATIVELY LOW INTEREST RATE RISK AND RELATIVELY LOW CREDIT RISK. )</t>
  </si>
  <si>
    <t xml:space="preserve">MAHINDRA MANULIFE ULTRA SHORT TERM FUND                                                                                                                                                                                                                  ( AN OPEN ENDED ULTRA-SHORT TERM DEBT SCHEME INVESTING IN INSTRUMENTS SUCH THAT THE MACAULAY DURATION OF THE PORTFOLIO IS BETWEEN 3 TO 6 MONTHS. A RELATIVELY LOW INTEREST RATE RISK AND MODERATE CREDIT RISK.) </t>
  </si>
  <si>
    <t>MAHINDRA MANULIFE TOP 250 NIVESH YOJANA                                                                                                                                                                                                                   (LARGE &amp; MID CAP FUND- AN OPEN ENDED EQUITY SCHEME INVESTING IN BOTH LARGE CAP AND MID CAP STOCKS)</t>
  </si>
  <si>
    <t>MAHINDRA MANULIFE ARBITRAGE YOJANA                                                                                                                                                                                                                                                                                       AN OPEN ENDED SCHEME INVESTING IN ARBITRAGE OPPORTUNITIES</t>
  </si>
  <si>
    <t>MAHINDRA MANULIFE FOCUSED EQUITY YOJANA                                                                                                                                                                                                                                                                           AN OPEN ENDED EQUITY SCHEME INVESTING IN MAXIMUM 30 STOCKS ACROSS MARKET CAPS I.E MULTI CAP</t>
  </si>
  <si>
    <t>MAHINDRA MANULIFE SHORT TERM FUND                                                                                                                                                                                                                                                           (AN OPEN ENDED SHORT TERM DEBT SCHEME INVESTING IN INSTRUMENTS SUCH THAT THE MACAULAY DURATION OF THE PORTFOLIO IS BETWEEN 1 YEAR AND 3 YEARS. A MODERATE INTEREST RATE RISK AND MODERATE CREDIT RISK. )</t>
  </si>
  <si>
    <t>MAHINDRA MANULIFE FLEXI CAP YOJANA                                                                                                                                                                                                                                                                                      AN OPEN ENDED EQUITY SCHEME INVESTING  ACROSS LARGE CAP, MID CAP, SMALL CAP STOCKS</t>
  </si>
  <si>
    <t>Yield to Maturity</t>
  </si>
  <si>
    <t>(c) Securitized Debt Instrutments</t>
  </si>
  <si>
    <t>Listed / awaiting listing on Stock Exchange</t>
  </si>
  <si>
    <t>TREPS</t>
  </si>
  <si>
    <t>TRI Party Repo</t>
  </si>
  <si>
    <t>**  Non Traded Security</t>
  </si>
  <si>
    <t>$ less than 0.01% of net assets</t>
  </si>
  <si>
    <t>Total Exposure</t>
  </si>
  <si>
    <t xml:space="preserve"> </t>
  </si>
  <si>
    <t>IN001222C057</t>
  </si>
  <si>
    <t>6.80% GOI (MD15/12/2060)-Strips (C)-(MD15/12/2022)</t>
  </si>
  <si>
    <t>MAHINDRA MANULIFE ASIA PACIFIC REITs FOF                                                                                                                                                                                                                                  (AN OPEN ENDED FUND OF FUND SCHEME INVESTING IN MANULIFE GLOBAL FUND – ASIA PACIFIC REIT FUND)</t>
  </si>
  <si>
    <t>MAHINDRA MANULIFE BALANCED ADVANTAGE YOJANA 
 (AN OPEN ENDED DYNAMIC ASSET ALLOCATION FUND)</t>
  </si>
  <si>
    <t>Scheme Name and Type</t>
  </si>
  <si>
    <t>Product Labeling</t>
  </si>
  <si>
    <r>
      <t>Scheme Riskometers</t>
    </r>
    <r>
      <rPr>
        <b/>
        <vertAlign val="superscript"/>
        <sz val="14"/>
        <rFont val="Arial"/>
        <family val="2"/>
      </rPr>
      <t xml:space="preserve"> </t>
    </r>
  </si>
  <si>
    <t>Scheme Benchmark</t>
  </si>
  <si>
    <r>
      <t>Benchmark Riskometers</t>
    </r>
    <r>
      <rPr>
        <b/>
        <vertAlign val="superscript"/>
        <sz val="14"/>
        <rFont val="Arial"/>
        <family val="2"/>
      </rPr>
      <t xml:space="preserve"> </t>
    </r>
  </si>
  <si>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</si>
  <si>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</si>
  <si>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CRISIL Liquid Fund Index</t>
  </si>
  <si>
    <t>MAHINDRA MANULIFE LOW DURATION FUND
(AN OPEN ENDED LOW DURATION DEBT SCHEME INVESTING IN INSTRUMENTS SUCH THAT THE MACAULAY DURATION OF THE PORTFOLIO IS BETWEEN 6 MONTHS AND 12 MONTHS (PLEASE REFER TO PAGE NO. 32 OF SID). A RELATIVELY LOW INTEREST RATE RISK AND MODERATE CREDIT RISK. )</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</si>
  <si>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</si>
  <si>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t>CRISIL Low Duration Debt Index</t>
  </si>
  <si>
    <t>MAHINDRA MANULIFE DYNAMIC BOND YOJANA 
(AN OPEN ENDED DYNAMIC DEBT SCHEME INVESTING ACROSS DURATION. A RELATIVELY HIGH INTEREST RATE RISK AND MODERATE CREDIT RISK. )</t>
  </si>
  <si>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</si>
  <si>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t>CRISIL Composite Bond Fund Index</t>
  </si>
  <si>
    <t>MAHINDRA MANULIFE OVERNIGHT FUND
(AN OPEN ENDED DEBT SCHEME INVESTING IN OVERNIGHT SECURITIES. A RELATIVELY LOW INTEREST RATE RISK AND RELATIVELY LOW CREDIT RISK. )</t>
  </si>
  <si>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</si>
  <si>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t>CRISIL Overnight Index</t>
  </si>
  <si>
    <t xml:space="preserve">MAHINDRA MANULIFE ULTRA SHORT TERM FUND
  ( AN OPEN ENDED ULTRA-SHORT TERM DEBT SCHEME INVESTING IN INSTRUMENTS SUCH THAT THE MACAULAY DURATION OF THE PORTFOLIO IS BETWEEN 3 TO 6 MONTHS (PLEASE REFER TO PAGE NO. 32 OF SID). A RELATIVELY LOW INTEREST RATE RISK AND MODERATE CREDIT RISK.)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</si>
  <si>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</si>
  <si>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t>CRISIL Ultra Short Term Debt Index</t>
  </si>
  <si>
    <t>MAHINDRA MANULIFE SHORT TERM FUND                                                                                                                                                                                                                                                                                  (AN OPEN ENDED SHORT TERM DEBT SCHEME INVESTING IN INSTRUMENTS SUCH THAT THE MACAULAY DURATION OF THE PORTFOLIO IS BETWEEN 1 YEAR AND 3 YEARS (PLEASE REFER TO PAGE NO. 35 OF SID). A MODERATE INTEREST RATE RISK AND MODERATE CREDIT RISK. )</t>
  </si>
  <si>
    <r>
      <rPr>
        <sz val="10"/>
        <rFont val="Wingdings"/>
        <charset val="2"/>
      </rPr>
      <t xml:space="preserve">l </t>
    </r>
    <r>
      <rPr>
        <sz val="10"/>
        <rFont val="Arial"/>
        <family val="2"/>
      </rPr>
      <t xml:space="preserve">Income over short to medium term.
</t>
    </r>
    <r>
      <rPr>
        <sz val="10"/>
        <rFont val="Wingdings"/>
        <charset val="2"/>
      </rPr>
      <t xml:space="preserve">l </t>
    </r>
    <r>
      <rPr>
        <sz val="10"/>
        <rFont val="Arial"/>
        <family val="2"/>
      </rPr>
      <t>Investment in debt and money market instruments.</t>
    </r>
  </si>
  <si>
    <t>CRISIL Short Term Bond Fund Index</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</si>
  <si>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</si>
  <si>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</si>
  <si>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t xml:space="preserve"> 
</t>
    </r>
    <r>
      <rPr>
        <sz val="10"/>
        <rFont val="Wingdings"/>
        <charset val="2"/>
      </rPr>
      <t xml:space="preserve">l </t>
    </r>
    <r>
      <rPr>
        <sz val="10"/>
        <rFont val="Arial"/>
        <family val="2"/>
      </rPr>
      <t xml:space="preserve">Medium to Long term capital appreciation.
</t>
    </r>
    <r>
      <rPr>
        <sz val="10"/>
        <rFont val="Wingdings"/>
        <charset val="2"/>
      </rPr>
      <t xml:space="preserve">l </t>
    </r>
    <r>
      <rPr>
        <sz val="10"/>
        <rFont val="Arial"/>
        <family val="2"/>
      </rPr>
      <t xml:space="preserve">Investment predominantly in equity and equity related securities including derivatives.
    </t>
    </r>
  </si>
  <si>
    <t>Nifty 500 Multicap 50:25:25 Index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</si>
  <si>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mid cap companies.</t>
    </r>
  </si>
  <si>
    <t>Nifty Midcap 150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</si>
  <si>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entities engaged in and/or expected to benefit from the growth in rural India</t>
    </r>
  </si>
  <si>
    <t>Nifty India Consumption Index TRI</t>
  </si>
  <si>
    <t xml:space="preserve">MAHINDRA MANULIFE LARGE CAP PRAGATI YOJANA
(LARGE CAP FUND - AN OPEN ENDED EQUITY SCHEME PREDOMINANTLY INVESTING IN LARGE CAP STOCKS) </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</si>
  <si>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large cap companies.</t>
    </r>
  </si>
  <si>
    <t>Nifty 100 Index TRI</t>
  </si>
  <si>
    <t>MAHINDRA MANULIFE TOP 250 NIVESH YOJANA
(LARGE &amp; MID CAP FUND- AN OPEN ENDED EQUITY SCHEME INVESTING IN BOTH LARGE CAP AND MID CAP STOCKS)</t>
  </si>
  <si>
    <r>
      <rPr>
        <sz val="10"/>
        <rFont val="Wingdings"/>
        <charset val="2"/>
      </rPr>
      <t xml:space="preserve">l </t>
    </r>
    <r>
      <rPr>
        <sz val="10"/>
        <rFont val="Arial"/>
        <family val="2"/>
      </rPr>
      <t xml:space="preserve">Long term wealth creation and income
</t>
    </r>
    <r>
      <rPr>
        <sz val="10"/>
        <rFont val="Wingdings"/>
        <charset val="2"/>
      </rPr>
      <t xml:space="preserve">l </t>
    </r>
    <r>
      <rPr>
        <sz val="10"/>
        <rFont val="Arial"/>
        <family val="2"/>
      </rPr>
      <t>Investment predominantly in equity and equity related securities of large and mid cap companies</t>
    </r>
  </si>
  <si>
    <t>Nifty LargeMidcap 250 Index TRI</t>
  </si>
  <si>
    <t>MAHINDRA MANULIFE FOCUSED EQUITY YOJANA
(AN OPEN ENDED EQUITY SCHEME INVESTING IN MAXIMUM 30 STOCKS ACROSS MARKET CAPS I.E MULTI CAP)</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</si>
  <si>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equity and equity related instruments in concentrated portfolio of maximum 30 stocks across market capitalziation</t>
    </r>
  </si>
  <si>
    <t>Nifty 500 Index TRI</t>
  </si>
  <si>
    <t>MAHINDRA MANULIFE FLEXI CAP YOJANA  
(AN OPEN ENDED EQUITY SCHEME INVESTING  ACROSS LARGE CAP, MID CAP, SMALL CAP STOCKS)</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</si>
  <si>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diversified portfolio of equity &amp; equity related instruments across market capitalization</t>
    </r>
  </si>
  <si>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arbitrage opportunities and debt and money market instruments.</t>
    </r>
  </si>
  <si>
    <t>Nifty Equity Savings Index TRI</t>
  </si>
  <si>
    <t>MAHINDRA MANULIFE HYBRID EQUITY NIVESH YOJANA
(AN OPEN ENDED HYBRID SCHEME INVESTING PREDOMINANTLY IN EQUITY AND EQUITY RELATED INSTRUMENTS)</t>
  </si>
  <si>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and debt and money market instruments</t>
    </r>
  </si>
  <si>
    <t>CRISIL Hybrid 35+65 Aggressive Index</t>
  </si>
  <si>
    <t>MAHINDRA MANULIFE ARBITRAGE YOJANA                                                                                                                                                                                                                                                                                        (AN OPEN ENDED SCHEME INVESTING IN ARBITRAGE OPPORTUNITIES)</t>
  </si>
  <si>
    <r>
      <rPr>
        <sz val="10"/>
        <rFont val="Wingdings"/>
        <charset val="2"/>
      </rPr>
      <t xml:space="preserve">l </t>
    </r>
    <r>
      <rPr>
        <sz val="10"/>
        <rFont val="Arial"/>
        <family val="2"/>
      </rPr>
      <t xml:space="preserve">Income over short term.
</t>
    </r>
    <r>
      <rPr>
        <sz val="10"/>
        <rFont val="Wingdings"/>
        <charset val="2"/>
      </rPr>
      <t xml:space="preserve">l </t>
    </r>
    <r>
      <rPr>
        <sz val="10"/>
        <rFont val="Arial"/>
        <family val="2"/>
      </rPr>
      <t>Income through arbitrage opportunities between cash and derivative market and arbitrage opportunities within the derivative segment.</t>
    </r>
  </si>
  <si>
    <t>Nifty 50 Arbitrage Index</t>
  </si>
  <si>
    <t>MAHINDRA MANULIFE ASIA PACIFIC REITS FOF (AN OPEN ENDED FUND OF FUND SCHEME INVESTING IN MANULIFE GLOBAL FUND – ASIA PACIFIC REIT FUND)</t>
  </si>
  <si>
    <r>
      <rPr>
        <sz val="10"/>
        <rFont val="Wingdings"/>
        <charset val="2"/>
      </rPr>
      <t xml:space="preserve">l </t>
    </r>
    <r>
      <rPr>
        <sz val="10"/>
        <rFont val="Arial"/>
        <family val="2"/>
      </rPr>
      <t xml:space="preserve">Capital appreciation over long term
</t>
    </r>
    <r>
      <rPr>
        <sz val="10"/>
        <rFont val="Wingdings"/>
        <charset val="2"/>
      </rPr>
      <t xml:space="preserve">l </t>
    </r>
    <r>
      <rPr>
        <sz val="10"/>
        <rFont val="Arial"/>
        <family val="2"/>
      </rPr>
      <t>Investments in units of Manulife Global Fund – Asia Pacific REIT Fund</t>
    </r>
  </si>
  <si>
    <t>FTSE EPRA Nareit Asia ex Japan REITs Index</t>
  </si>
  <si>
    <t>MAHINDRA MANULIFE BALANCED ADVANTAGE YOJANA (AN OPEN ENDED DYNAMIC ASSET ALLOCATION FUND)</t>
  </si>
  <si>
    <r>
      <rPr>
        <sz val="10"/>
        <rFont val="Wingdings"/>
        <charset val="2"/>
      </rPr>
      <t xml:space="preserve">l </t>
    </r>
    <r>
      <rPr>
        <sz val="10"/>
        <rFont val="Arial"/>
        <family val="2"/>
      </rPr>
      <t xml:space="preserve">Capital appreciation while generating income over medium to long term
</t>
    </r>
    <r>
      <rPr>
        <sz val="10"/>
        <rFont val="Wingdings"/>
        <charset val="2"/>
      </rPr>
      <t xml:space="preserve">l </t>
    </r>
    <r>
      <rPr>
        <sz val="10"/>
        <rFont val="Arial"/>
        <family val="2"/>
      </rPr>
      <t>Investments in a dynamically managed portfolio of equity and equity related instruments and debt and money market instruments.</t>
    </r>
  </si>
  <si>
    <t>Nifty 50 Hybrid Composite Debt 50: 50 Index TRI</t>
  </si>
  <si>
    <t>*Investors should consult their financial advisers if in doubt about whether the product is suitable for them.</t>
  </si>
  <si>
    <t>Manulife Global Fund SICAV-Asia Pacific REIT</t>
  </si>
  <si>
    <t>4.45% Government of India 2034 FRB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</si>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</sst>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0;\(#,##0.00\)"/>
    <numFmt numFmtId="166" formatCode="#,##0.00%"/>
    <numFmt numFmtId="167" formatCode="#,##0.000;\(#,##0.000\)"/>
    <numFmt numFmtId="168" formatCode="#.###"/>
    <numFmt numFmtId="169" formatCode="#,##0.0"/>
  </numFmts>
  <fonts count="27">
    <font>
      <sz val="11"/>
      <color theme="1"/>
      <name val="Calibri"/>
      <family val="2"/>
      <scheme val="minor"/>
    </font>
    <font>
      <b/>
      <sz val="16"/>
      <color rgb="FFFFFFFF"/>
      <name val="Arial"/>
      <family val="2"/>
    </font>
    <font>
      <sz val="9"/>
      <color rgb="FF000000"/>
      <name val="Arial"/>
      <family val="2"/>
    </font>
    <font>
      <b/>
      <sz val="9"/>
      <color rgb="FF000000"/>
      <name val="Arial"/>
      <family val="2"/>
    </font>
    <font>
      <sz val="9"/>
      <color rgb="FFFFFFFF"/>
      <name val="Arial"/>
      <family val="2"/>
    </font>
    <font>
      <b/>
      <sz val="10"/>
      <color rgb="FF000000"/>
      <name val="SansSerif"/>
      <family val="2"/>
    </font>
    <font>
      <b/>
      <sz val="12"/>
      <color indexed="9"/>
      <name val="Arial"/>
      <family val="2"/>
    </font>
    <font>
      <sz val="12"/>
      <name val="Arial"/>
      <family val="2"/>
    </font>
    <font>
      <sz val="10"/>
      <name val="SansSerif"/>
    </font>
    <font>
      <b/>
      <sz val="9"/>
      <color indexed="72"/>
      <name val="Arial"/>
      <family val="2"/>
    </font>
    <font>
      <sz val="9"/>
      <color indexed="72"/>
      <name val="Arial"/>
      <family val="2"/>
    </font>
    <font>
      <sz val="10"/>
      <name val="Arial"/>
      <family val="2"/>
    </font>
    <font>
      <b/>
      <sz val="10"/>
      <name val="Arial"/>
      <family val="2"/>
    </font>
    <font>
      <b/>
      <sz val="10"/>
      <name val="SansSerif"/>
    </font>
    <font>
      <sz val="9"/>
      <name val="Arial"/>
      <family val="2"/>
    </font>
    <font>
      <b/>
      <sz val="9"/>
      <name val="Arial"/>
      <family val="2"/>
    </font>
    <font>
      <sz val="11"/>
      <color theme="1"/>
      <name val="Calibri"/>
      <family val="2"/>
      <scheme val="minor"/>
    </font>
    <font>
      <b/>
      <sz val="12"/>
      <color rgb="FFFFFFFF"/>
      <name val="Arial"/>
      <family val="2"/>
    </font>
    <font>
      <b/>
      <sz val="14"/>
      <name val="Arial"/>
      <family val="2"/>
    </font>
    <font>
      <b/>
      <vertAlign val="superscript"/>
      <sz val="14"/>
      <name val="Arial"/>
      <family val="2"/>
    </font>
    <font>
      <b/>
      <sz val="11"/>
      <name val="Arial"/>
      <family val="2"/>
    </font>
    <font>
      <sz val="11"/>
      <name val="Arial"/>
      <family val="2"/>
    </font>
    <font>
      <sz val="11"/>
      <name val="Wingdings"/>
      <charset val="2"/>
    </font>
    <font>
      <sz val="10"/>
      <name val="Wingdings"/>
      <charset val="2"/>
    </font>
    <font>
      <b/>
      <sz val="12"/>
      <name val="Arial"/>
      <family val="2"/>
    </font>
    <font>
      <sz val="16"/>
      <name val="Arial"/>
      <family val="2"/>
    </font>
    <font>
      <sz val="9"/>
      <color theme="1"/>
      <name val="Arial"/>
      <family val="2"/>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indexed="8"/>
        <bgColor indexed="64"/>
      </patternFill>
    </fill>
  </fills>
  <borders count="4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8"/>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64"/>
      </right>
      <top style="thin">
        <color indexed="8"/>
      </top>
      <bottom style="thin">
        <color indexed="64"/>
      </bottom>
      <diagonal/>
    </border>
  </borders>
  <cellStyleXfs count="3">
    <xf numFmtId="0" fontId="0" fillId="0" borderId="0"/>
    <xf numFmtId="0" fontId="11" fillId="35" borderId="2" applyNumberFormat="0" applyFont="0" applyFill="0" applyBorder="0" applyAlignment="0" applyProtection="0"/>
    <xf numFmtId="0" fontId="16" fillId="35" borderId="2"/>
  </cellStyleXfs>
  <cellXfs count="119">
    <xf numFmtId="0" fontId="0" fillId="0" borderId="0" xfId="0"/>
    <xf numFmtId="0" fontId="0" fillId="2" borderId="0" xfId="0" applyNumberFormat="1" applyFont="1" applyFill="1" applyBorder="1" applyAlignment="1" applyProtection="1">
      <alignment wrapText="1"/>
      <protection locked="0"/>
    </xf>
    <xf numFmtId="0" fontId="2" fillId="4" borderId="2" xfId="0" applyNumberFormat="1" applyFont="1" applyFill="1" applyBorder="1" applyAlignment="1" applyProtection="1">
      <alignment horizontal="left" vertical="top" wrapText="1"/>
    </xf>
    <xf numFmtId="0" fontId="3" fillId="5" borderId="3" xfId="0" applyNumberFormat="1" applyFont="1" applyFill="1" applyBorder="1" applyAlignment="1" applyProtection="1">
      <alignment horizontal="center" vertical="center" wrapText="1"/>
    </xf>
    <xf numFmtId="0" fontId="3" fillId="6" borderId="4" xfId="0" applyNumberFormat="1" applyFont="1" applyFill="1" applyBorder="1" applyAlignment="1" applyProtection="1">
      <alignment horizontal="center" vertical="center" wrapText="1"/>
    </xf>
    <xf numFmtId="0" fontId="3" fillId="7" borderId="5" xfId="0" applyNumberFormat="1" applyFont="1" applyFill="1" applyBorder="1" applyAlignment="1" applyProtection="1">
      <alignment horizontal="center" vertical="center" wrapText="1"/>
    </xf>
    <xf numFmtId="0" fontId="3" fillId="8" borderId="6" xfId="0" applyNumberFormat="1" applyFont="1" applyFill="1" applyBorder="1" applyAlignment="1" applyProtection="1">
      <alignment horizontal="left" vertical="top" wrapText="1"/>
    </xf>
    <xf numFmtId="0" fontId="2" fillId="9" borderId="7" xfId="0" applyNumberFormat="1" applyFont="1" applyFill="1" applyBorder="1" applyAlignment="1" applyProtection="1">
      <alignment horizontal="left" vertical="top" wrapText="1"/>
    </xf>
    <xf numFmtId="0" fontId="2" fillId="10" borderId="8" xfId="0" applyNumberFormat="1" applyFont="1" applyFill="1" applyBorder="1" applyAlignment="1" applyProtection="1">
      <alignment horizontal="left" vertical="top" wrapText="1"/>
    </xf>
    <xf numFmtId="0" fontId="3" fillId="11" borderId="7" xfId="0" applyNumberFormat="1" applyFont="1" applyFill="1" applyBorder="1" applyAlignment="1" applyProtection="1">
      <alignment horizontal="left" vertical="top" wrapText="1"/>
    </xf>
    <xf numFmtId="0" fontId="4" fillId="12" borderId="1" xfId="0" applyNumberFormat="1" applyFont="1" applyFill="1" applyBorder="1" applyAlignment="1" applyProtection="1">
      <alignment horizontal="left" vertical="top" wrapText="1"/>
    </xf>
    <xf numFmtId="0" fontId="2" fillId="13" borderId="6" xfId="0" applyNumberFormat="1" applyFont="1" applyFill="1" applyBorder="1" applyAlignment="1" applyProtection="1">
      <alignment horizontal="left" vertical="top" wrapText="1"/>
    </xf>
    <xf numFmtId="0" fontId="2" fillId="14" borderId="9" xfId="0" applyNumberFormat="1" applyFont="1" applyFill="1" applyBorder="1" applyAlignment="1" applyProtection="1">
      <alignment horizontal="left" vertical="top" wrapText="1"/>
    </xf>
    <xf numFmtId="164" fontId="2" fillId="15" borderId="7" xfId="0" applyNumberFormat="1" applyFont="1" applyFill="1" applyBorder="1" applyAlignment="1" applyProtection="1">
      <alignment horizontal="right" vertical="top" wrapText="1"/>
    </xf>
    <xf numFmtId="165" fontId="2" fillId="16" borderId="7" xfId="0" applyNumberFormat="1" applyFont="1" applyFill="1" applyBorder="1" applyAlignment="1" applyProtection="1">
      <alignment horizontal="right" vertical="top" wrapText="1"/>
    </xf>
    <xf numFmtId="166" fontId="2" fillId="17" borderId="8" xfId="0" applyNumberFormat="1" applyFont="1" applyFill="1" applyBorder="1" applyAlignment="1" applyProtection="1">
      <alignment horizontal="right" vertical="top" wrapText="1"/>
    </xf>
    <xf numFmtId="165" fontId="3" fillId="18" borderId="10" xfId="0" applyNumberFormat="1" applyFont="1" applyFill="1" applyBorder="1" applyAlignment="1" applyProtection="1">
      <alignment horizontal="right" vertical="top" wrapText="1"/>
    </xf>
    <xf numFmtId="0" fontId="2" fillId="19" borderId="8" xfId="0" applyNumberFormat="1" applyFont="1" applyFill="1" applyBorder="1" applyAlignment="1" applyProtection="1">
      <alignment horizontal="right" vertical="top" wrapText="1"/>
    </xf>
    <xf numFmtId="0" fontId="3" fillId="20" borderId="11" xfId="0" applyNumberFormat="1" applyFont="1" applyFill="1" applyBorder="1" applyAlignment="1" applyProtection="1">
      <alignment horizontal="left" vertical="top" wrapText="1"/>
    </xf>
    <xf numFmtId="0" fontId="2" fillId="21" borderId="12" xfId="0" applyNumberFormat="1" applyFont="1" applyFill="1" applyBorder="1" applyAlignment="1" applyProtection="1">
      <alignment horizontal="left" vertical="top" wrapText="1"/>
    </xf>
    <xf numFmtId="0" fontId="3" fillId="22" borderId="13" xfId="0" applyNumberFormat="1" applyFont="1" applyFill="1" applyBorder="1" applyAlignment="1" applyProtection="1">
      <alignment horizontal="right" vertical="top" wrapText="1"/>
    </xf>
    <xf numFmtId="0" fontId="3" fillId="23" borderId="12" xfId="0" applyNumberFormat="1" applyFont="1" applyFill="1" applyBorder="1" applyAlignment="1" applyProtection="1">
      <alignment horizontal="right" vertical="top" wrapText="1"/>
    </xf>
    <xf numFmtId="0" fontId="3" fillId="24" borderId="14" xfId="0" applyNumberFormat="1" applyFont="1" applyFill="1" applyBorder="1" applyAlignment="1" applyProtection="1">
      <alignment horizontal="right" vertical="top" wrapText="1"/>
    </xf>
    <xf numFmtId="0" fontId="3" fillId="25" borderId="15" xfId="0" applyNumberFormat="1" applyFont="1" applyFill="1" applyBorder="1" applyAlignment="1" applyProtection="1">
      <alignment horizontal="left" vertical="top" wrapText="1"/>
    </xf>
    <xf numFmtId="0" fontId="2" fillId="26" borderId="16" xfId="0" applyNumberFormat="1" applyFont="1" applyFill="1" applyBorder="1" applyAlignment="1" applyProtection="1">
      <alignment horizontal="left" vertical="top" wrapText="1"/>
    </xf>
    <xf numFmtId="0" fontId="2" fillId="27" borderId="10" xfId="0" applyNumberFormat="1" applyFont="1" applyFill="1" applyBorder="1" applyAlignment="1" applyProtection="1">
      <alignment horizontal="left" vertical="top" wrapText="1"/>
    </xf>
    <xf numFmtId="0" fontId="3" fillId="28" borderId="17" xfId="0" applyNumberFormat="1" applyFont="1" applyFill="1" applyBorder="1" applyAlignment="1" applyProtection="1">
      <alignment horizontal="left" vertical="top" wrapText="1"/>
    </xf>
    <xf numFmtId="0" fontId="2" fillId="29" borderId="18" xfId="0" applyNumberFormat="1" applyFont="1" applyFill="1" applyBorder="1" applyAlignment="1" applyProtection="1">
      <alignment horizontal="left" vertical="top" wrapText="1"/>
    </xf>
    <xf numFmtId="165" fontId="3" fillId="30" borderId="18" xfId="0" applyNumberFormat="1" applyFont="1" applyFill="1" applyBorder="1" applyAlignment="1" applyProtection="1">
      <alignment horizontal="right" vertical="top" wrapText="1"/>
    </xf>
    <xf numFmtId="4" fontId="3" fillId="31" borderId="18" xfId="0" applyNumberFormat="1" applyFont="1" applyFill="1" applyBorder="1" applyAlignment="1" applyProtection="1">
      <alignment horizontal="right" vertical="top" wrapText="1"/>
    </xf>
    <xf numFmtId="0" fontId="3" fillId="32" borderId="19" xfId="0" applyNumberFormat="1" applyFont="1" applyFill="1" applyBorder="1" applyAlignment="1" applyProtection="1">
      <alignment horizontal="right" vertical="top" wrapText="1"/>
    </xf>
    <xf numFmtId="167" fontId="2" fillId="35" borderId="7" xfId="0" applyNumberFormat="1" applyFont="1" applyFill="1" applyBorder="1" applyAlignment="1" applyProtection="1">
      <alignment horizontal="right" vertical="top" wrapText="1"/>
    </xf>
    <xf numFmtId="0" fontId="3" fillId="35" borderId="5" xfId="0" applyFont="1" applyFill="1" applyBorder="1" applyAlignment="1">
      <alignment horizontal="center" vertical="center" wrapText="1"/>
    </xf>
    <xf numFmtId="0" fontId="0" fillId="2" borderId="2" xfId="0" applyNumberFormat="1" applyFont="1" applyFill="1" applyBorder="1" applyAlignment="1" applyProtection="1">
      <alignment wrapText="1"/>
      <protection locked="0"/>
    </xf>
    <xf numFmtId="0" fontId="8" fillId="35" borderId="2" xfId="0" applyFont="1" applyFill="1" applyBorder="1" applyAlignment="1">
      <alignment horizontal="left" vertical="top" wrapText="1"/>
    </xf>
    <xf numFmtId="0" fontId="9" fillId="35" borderId="20" xfId="0" applyFont="1" applyFill="1" applyBorder="1" applyAlignment="1">
      <alignment horizontal="left" vertical="top" wrapText="1"/>
    </xf>
    <xf numFmtId="0" fontId="9" fillId="35" borderId="21" xfId="0" applyFont="1" applyFill="1" applyBorder="1" applyAlignment="1">
      <alignment horizontal="left" vertical="top" wrapText="1"/>
    </xf>
    <xf numFmtId="0" fontId="10" fillId="35" borderId="21" xfId="0" applyFont="1" applyFill="1" applyBorder="1" applyAlignment="1">
      <alignment horizontal="left" vertical="top" wrapText="1"/>
    </xf>
    <xf numFmtId="0" fontId="9" fillId="35" borderId="22" xfId="0" applyFont="1" applyFill="1" applyBorder="1" applyAlignment="1">
      <alignment horizontal="right" vertical="top" wrapText="1"/>
    </xf>
    <xf numFmtId="0" fontId="9" fillId="35" borderId="23" xfId="0" applyFont="1" applyFill="1" applyBorder="1" applyAlignment="1">
      <alignment horizontal="right" vertical="top" wrapText="1"/>
    </xf>
    <xf numFmtId="0" fontId="0" fillId="35" borderId="2" xfId="0" applyFill="1" applyBorder="1"/>
    <xf numFmtId="165" fontId="9" fillId="35" borderId="24" xfId="1" applyNumberFormat="1" applyFont="1" applyFill="1" applyBorder="1" applyAlignment="1" applyProtection="1">
      <alignment horizontal="right" vertical="top" wrapText="1"/>
    </xf>
    <xf numFmtId="165" fontId="9" fillId="35" borderId="25" xfId="1" applyNumberFormat="1" applyFont="1" applyFill="1" applyBorder="1" applyAlignment="1" applyProtection="1">
      <alignment horizontal="right" vertical="top" wrapText="1"/>
    </xf>
    <xf numFmtId="165" fontId="9" fillId="35" borderId="26" xfId="1" applyNumberFormat="1" applyFont="1" applyFill="1" applyBorder="1" applyAlignment="1" applyProtection="1">
      <alignment horizontal="right" vertical="top" wrapText="1"/>
    </xf>
    <xf numFmtId="0" fontId="3" fillId="35" borderId="6" xfId="0" applyFont="1" applyFill="1" applyBorder="1" applyAlignment="1">
      <alignment horizontal="left" vertical="top" wrapText="1"/>
    </xf>
    <xf numFmtId="0" fontId="2" fillId="35" borderId="6" xfId="0" applyFont="1" applyFill="1" applyBorder="1" applyAlignment="1">
      <alignment horizontal="left" vertical="top" wrapText="1"/>
    </xf>
    <xf numFmtId="0" fontId="0" fillId="35" borderId="2" xfId="0" applyFill="1" applyBorder="1" applyAlignment="1" applyProtection="1">
      <alignment wrapText="1"/>
      <protection locked="0"/>
    </xf>
    <xf numFmtId="0" fontId="3" fillId="35" borderId="15" xfId="0" applyFont="1" applyFill="1" applyBorder="1" applyAlignment="1">
      <alignment horizontal="left" vertical="top" wrapText="1"/>
    </xf>
    <xf numFmtId="0" fontId="2" fillId="35" borderId="16" xfId="0" applyFont="1" applyFill="1" applyBorder="1" applyAlignment="1">
      <alignment horizontal="left" vertical="top" wrapText="1"/>
    </xf>
    <xf numFmtId="0" fontId="3" fillId="35" borderId="12" xfId="0" applyFont="1" applyFill="1" applyBorder="1" applyAlignment="1">
      <alignment horizontal="right" vertical="top" wrapText="1"/>
    </xf>
    <xf numFmtId="0" fontId="3" fillId="35" borderId="14" xfId="0" applyFont="1" applyFill="1" applyBorder="1" applyAlignment="1">
      <alignment horizontal="right" vertical="top" wrapText="1"/>
    </xf>
    <xf numFmtId="0" fontId="9" fillId="35" borderId="6" xfId="0" applyFont="1" applyFill="1" applyBorder="1" applyAlignment="1">
      <alignment horizontal="left" vertical="top" wrapText="1"/>
    </xf>
    <xf numFmtId="0" fontId="9" fillId="35" borderId="27"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4" fillId="35" borderId="2" xfId="0" applyFont="1" applyFill="1" applyBorder="1" applyAlignment="1">
      <alignment horizontal="left" vertical="top" wrapText="1"/>
    </xf>
    <xf numFmtId="0" fontId="2" fillId="35" borderId="9" xfId="0" applyFont="1" applyFill="1" applyBorder="1" applyAlignment="1">
      <alignment horizontal="left" vertical="top" wrapText="1"/>
    </xf>
    <xf numFmtId="0" fontId="2" fillId="35" borderId="7" xfId="0" applyFont="1" applyFill="1" applyBorder="1" applyAlignment="1">
      <alignment horizontal="left" vertical="top" wrapText="1"/>
    </xf>
    <xf numFmtId="164" fontId="2" fillId="35" borderId="7" xfId="0" applyNumberFormat="1" applyFont="1" applyFill="1" applyBorder="1" applyAlignment="1">
      <alignment horizontal="right" vertical="top" wrapText="1"/>
    </xf>
    <xf numFmtId="165" fontId="2" fillId="35" borderId="7" xfId="0" applyNumberFormat="1" applyFont="1" applyFill="1" applyBorder="1" applyAlignment="1">
      <alignment horizontal="right" vertical="top" wrapText="1"/>
    </xf>
    <xf numFmtId="166" fontId="2" fillId="35" borderId="8" xfId="0" applyNumberFormat="1" applyFont="1" applyFill="1" applyBorder="1" applyAlignment="1">
      <alignment horizontal="right" vertical="top" wrapText="1"/>
    </xf>
    <xf numFmtId="0" fontId="10" fillId="35" borderId="30" xfId="0" applyFont="1" applyFill="1" applyBorder="1" applyAlignment="1">
      <alignment horizontal="left" vertical="top" wrapText="1"/>
    </xf>
    <xf numFmtId="168" fontId="9" fillId="35" borderId="31" xfId="0" applyNumberFormat="1" applyFont="1" applyFill="1" applyBorder="1" applyAlignment="1">
      <alignment horizontal="right" vertical="top" wrapText="1"/>
    </xf>
    <xf numFmtId="0" fontId="10" fillId="35" borderId="31" xfId="0" applyFont="1" applyFill="1" applyBorder="1" applyAlignment="1">
      <alignment horizontal="left" vertical="top" wrapText="1"/>
    </xf>
    <xf numFmtId="0" fontId="13" fillId="35" borderId="31" xfId="0" applyFont="1" applyFill="1" applyBorder="1" applyAlignment="1">
      <alignment horizontal="left" vertical="top" wrapText="1"/>
    </xf>
    <xf numFmtId="165" fontId="10" fillId="35" borderId="31" xfId="0" applyNumberFormat="1" applyFont="1" applyFill="1" applyBorder="1" applyAlignment="1">
      <alignment horizontal="right" vertical="top" wrapText="1"/>
    </xf>
    <xf numFmtId="165" fontId="10" fillId="35" borderId="32" xfId="0" applyNumberFormat="1" applyFont="1" applyFill="1" applyBorder="1" applyAlignment="1">
      <alignment horizontal="right" vertical="top" wrapText="1"/>
    </xf>
    <xf numFmtId="0" fontId="9" fillId="35" borderId="33" xfId="0" applyFont="1" applyFill="1" applyBorder="1" applyAlignment="1">
      <alignment horizontal="left" vertical="top" wrapText="1"/>
    </xf>
    <xf numFmtId="168" fontId="9" fillId="35" borderId="34" xfId="0" applyNumberFormat="1" applyFont="1" applyFill="1" applyBorder="1" applyAlignment="1">
      <alignment horizontal="right" vertical="top" wrapText="1"/>
    </xf>
    <xf numFmtId="0" fontId="13" fillId="35" borderId="34" xfId="0" applyFont="1" applyFill="1" applyBorder="1" applyAlignment="1">
      <alignment horizontal="left" vertical="top" wrapText="1"/>
    </xf>
    <xf numFmtId="165" fontId="13" fillId="35" borderId="34" xfId="0" applyNumberFormat="1" applyFont="1" applyFill="1" applyBorder="1" applyAlignment="1">
      <alignment horizontal="right" vertical="top" wrapText="1"/>
    </xf>
    <xf numFmtId="165" fontId="13" fillId="35" borderId="35" xfId="0" applyNumberFormat="1" applyFont="1" applyFill="1" applyBorder="1" applyAlignment="1">
      <alignment horizontal="right" vertical="top" wrapText="1"/>
    </xf>
    <xf numFmtId="0" fontId="10" fillId="35" borderId="36" xfId="0" applyFont="1" applyFill="1" applyBorder="1" applyAlignment="1">
      <alignment horizontal="left" vertical="top" wrapText="1"/>
    </xf>
    <xf numFmtId="0" fontId="10" fillId="35" borderId="37" xfId="0" applyFont="1" applyFill="1" applyBorder="1" applyAlignment="1">
      <alignment horizontal="left" vertical="top" wrapText="1"/>
    </xf>
    <xf numFmtId="165" fontId="14" fillId="35" borderId="24" xfId="1" applyNumberFormat="1" applyFont="1" applyFill="1" applyBorder="1" applyAlignment="1" applyProtection="1">
      <alignment horizontal="right" vertical="top" wrapText="1"/>
    </xf>
    <xf numFmtId="165" fontId="14" fillId="35" borderId="25" xfId="1" applyNumberFormat="1" applyFont="1" applyFill="1" applyBorder="1" applyAlignment="1" applyProtection="1">
      <alignment horizontal="right" vertical="top" wrapText="1"/>
    </xf>
    <xf numFmtId="165" fontId="14" fillId="35" borderId="26" xfId="1" applyNumberFormat="1" applyFont="1" applyFill="1" applyBorder="1" applyAlignment="1" applyProtection="1">
      <alignment horizontal="right" vertical="top" wrapText="1"/>
    </xf>
    <xf numFmtId="0" fontId="9" fillId="35" borderId="38" xfId="0" applyFont="1" applyFill="1" applyBorder="1" applyAlignment="1">
      <alignment horizontal="left" vertical="top" wrapText="1"/>
    </xf>
    <xf numFmtId="0" fontId="10" fillId="35" borderId="39" xfId="0" applyFont="1" applyFill="1" applyBorder="1" applyAlignment="1">
      <alignment horizontal="left" vertical="top" wrapText="1"/>
    </xf>
    <xf numFmtId="0" fontId="10" fillId="35" borderId="40" xfId="0" applyFont="1" applyFill="1" applyBorder="1" applyAlignment="1">
      <alignment horizontal="left" vertical="top" wrapText="1"/>
    </xf>
    <xf numFmtId="165" fontId="15" fillId="35" borderId="40" xfId="0" applyNumberFormat="1" applyFont="1" applyFill="1" applyBorder="1" applyAlignment="1">
      <alignment horizontal="right" vertical="top" wrapText="1"/>
    </xf>
    <xf numFmtId="165" fontId="15" fillId="35" borderId="41" xfId="1" applyNumberFormat="1" applyFont="1" applyFill="1" applyBorder="1" applyAlignment="1" applyProtection="1">
      <alignment horizontal="right" vertical="top" wrapText="1"/>
    </xf>
    <xf numFmtId="0" fontId="4" fillId="12" borderId="2" xfId="0" applyNumberFormat="1" applyFont="1" applyFill="1" applyBorder="1" applyAlignment="1" applyProtection="1">
      <alignment horizontal="left" vertical="top" wrapText="1"/>
    </xf>
    <xf numFmtId="0" fontId="2" fillId="14" borderId="7" xfId="0" applyNumberFormat="1" applyFont="1" applyFill="1" applyBorder="1" applyAlignment="1" applyProtection="1">
      <alignment horizontal="left" vertical="top" wrapText="1"/>
    </xf>
    <xf numFmtId="4" fontId="0" fillId="0" borderId="0" xfId="0" applyNumberFormat="1"/>
    <xf numFmtId="169" fontId="0" fillId="0" borderId="0" xfId="0" applyNumberFormat="1"/>
    <xf numFmtId="0" fontId="18" fillId="35" borderId="2" xfId="1" applyNumberFormat="1" applyFont="1" applyFill="1" applyBorder="1" applyAlignment="1">
      <alignment vertical="center"/>
    </xf>
    <xf numFmtId="0" fontId="11" fillId="35" borderId="2" xfId="1" applyNumberFormat="1" applyFont="1" applyFill="1" applyBorder="1" applyAlignment="1">
      <alignment vertical="center"/>
    </xf>
    <xf numFmtId="0" fontId="18" fillId="35" borderId="2" xfId="1" applyNumberFormat="1" applyFont="1" applyFill="1" applyBorder="1" applyAlignment="1">
      <alignment vertical="center" wrapText="1"/>
    </xf>
    <xf numFmtId="0" fontId="20" fillId="35" borderId="2" xfId="1" applyNumberFormat="1" applyFont="1" applyFill="1" applyBorder="1" applyAlignment="1">
      <alignment vertical="center" wrapText="1"/>
    </xf>
    <xf numFmtId="0" fontId="21" fillId="35" borderId="2" xfId="1" applyNumberFormat="1" applyFont="1" applyFill="1" applyBorder="1" applyAlignment="1">
      <alignment vertical="center" wrapText="1"/>
    </xf>
    <xf numFmtId="0" fontId="20" fillId="35" borderId="2" xfId="1" applyNumberFormat="1" applyFont="1" applyFill="1" applyBorder="1" applyAlignment="1">
      <alignment horizontal="center" vertical="center" wrapText="1"/>
    </xf>
    <xf numFmtId="0" fontId="12" fillId="35" borderId="2" xfId="1" applyNumberFormat="1" applyFont="1" applyFill="1" applyBorder="1" applyAlignment="1">
      <alignment vertical="center" wrapText="1"/>
    </xf>
    <xf numFmtId="0" fontId="11" fillId="35" borderId="2" xfId="1" applyNumberFormat="1" applyFont="1" applyFill="1" applyBorder="1" applyAlignment="1">
      <alignment vertical="center" wrapText="1"/>
    </xf>
    <xf numFmtId="0" fontId="16" fillId="35" borderId="2" xfId="2"/>
    <xf numFmtId="0" fontId="12" fillId="35" borderId="2" xfId="1" applyNumberFormat="1" applyFont="1" applyFill="1" applyBorder="1" applyAlignment="1">
      <alignment vertical="center"/>
    </xf>
    <xf numFmtId="0" fontId="24" fillId="35" borderId="2" xfId="1" applyNumberFormat="1" applyFont="1" applyFill="1" applyBorder="1" applyAlignment="1"/>
    <xf numFmtId="0" fontId="11" fillId="35" borderId="2" xfId="1" applyNumberFormat="1" applyFont="1" applyFill="1" applyBorder="1" applyAlignment="1">
      <alignment horizontal="center" vertical="center" wrapText="1"/>
    </xf>
    <xf numFmtId="0" fontId="25" fillId="35" borderId="2" xfId="1" applyNumberFormat="1" applyFont="1" applyFill="1" applyBorder="1" applyAlignment="1">
      <alignment horizontal="center" vertical="center"/>
    </xf>
    <xf numFmtId="0" fontId="18" fillId="35" borderId="2" xfId="1" applyNumberFormat="1" applyFont="1" applyFill="1" applyBorder="1" applyAlignment="1">
      <alignment vertical="center"/>
    </xf>
    <xf numFmtId="0" fontId="18" fillId="35" borderId="2" xfId="1" applyNumberFormat="1" applyFont="1" applyFill="1" applyBorder="1" applyAlignment="1">
      <alignment horizontal="center" vertical="center"/>
    </xf>
    <xf numFmtId="0" fontId="9" fillId="35" borderId="2" xfId="0" applyFont="1" applyFill="1" applyBorder="1" applyAlignment="1">
      <alignment horizontal="left" vertical="top" wrapText="1"/>
    </xf>
    <xf numFmtId="0" fontId="0" fillId="35" borderId="2" xfId="0" applyFill="1" applyBorder="1"/>
    <xf numFmtId="0" fontId="1" fillId="3" borderId="1" xfId="0" applyNumberFormat="1" applyFont="1" applyFill="1" applyBorder="1" applyAlignment="1" applyProtection="1">
      <alignment horizontal="center" vertical="top" wrapText="1"/>
    </xf>
    <xf numFmtId="0" fontId="17" fillId="3" borderId="2" xfId="0" applyFont="1" applyFill="1" applyBorder="1" applyAlignment="1">
      <alignment horizontal="center" vertical="top" wrapText="1"/>
    </xf>
    <xf numFmtId="0" fontId="3" fillId="33"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2" fillId="4" borderId="2" xfId="0" applyNumberFormat="1" applyFont="1" applyFill="1" applyBorder="1" applyAlignment="1" applyProtection="1">
      <alignment horizontal="left" vertical="top" wrapText="1"/>
    </xf>
    <xf numFmtId="0" fontId="6" fillId="36" borderId="2" xfId="0" applyFont="1" applyFill="1" applyBorder="1" applyAlignment="1">
      <alignment horizontal="center" vertical="top" wrapText="1"/>
    </xf>
    <xf numFmtId="0" fontId="7" fillId="35" borderId="2" xfId="0" applyFont="1" applyFill="1" applyBorder="1"/>
    <xf numFmtId="0" fontId="12" fillId="35" borderId="2" xfId="0" applyFont="1" applyFill="1" applyBorder="1"/>
    <xf numFmtId="0" fontId="2" fillId="35" borderId="2" xfId="0" applyFont="1" applyFill="1" applyBorder="1" applyAlignment="1">
      <alignment horizontal="left" vertical="top" wrapText="1"/>
    </xf>
    <xf numFmtId="0" fontId="3" fillId="35" borderId="2" xfId="0" applyFont="1" applyFill="1" applyBorder="1" applyAlignment="1">
      <alignment horizontal="left" vertical="top" wrapText="1"/>
    </xf>
    <xf numFmtId="0" fontId="6" fillId="36" borderId="0" xfId="0" applyFont="1" applyFill="1" applyAlignment="1">
      <alignment horizontal="center" vertical="top" wrapText="1"/>
    </xf>
    <xf numFmtId="0" fontId="7" fillId="0" borderId="0" xfId="0" applyFont="1"/>
    <xf numFmtId="0" fontId="17" fillId="3" borderId="2" xfId="0" applyNumberFormat="1" applyFont="1" applyFill="1" applyBorder="1" applyAlignment="1" applyProtection="1">
      <alignment horizontal="center" vertical="top" wrapText="1"/>
    </xf>
    <xf numFmtId="0" fontId="2" fillId="35" borderId="6" xfId="0" applyNumberFormat="1" applyFont="1" applyFill="1" applyBorder="1" applyAlignment="1" applyProtection="1">
      <alignment horizontal="left" vertical="top" wrapText="1"/>
    </xf>
    <xf numFmtId="166" fontId="2" fillId="35" borderId="8" xfId="0" applyNumberFormat="1" applyFont="1" applyFill="1" applyBorder="1" applyAlignment="1" applyProtection="1">
      <alignment horizontal="right" vertical="top" wrapText="1"/>
    </xf>
    <xf numFmtId="0" fontId="26" fillId="35" borderId="0" xfId="0" applyFont="1" applyFill="1" applyAlignment="1">
      <alignment horizontal="left"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76200</xdr:rowOff>
    </xdr:from>
    <xdr:to>
      <xdr:col>2</xdr:col>
      <xdr:colOff>3248025</xdr:colOff>
      <xdr:row>2</xdr:row>
      <xdr:rowOff>1619250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00975" y="990600"/>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3</xdr:row>
      <xdr:rowOff>57150</xdr:rowOff>
    </xdr:from>
    <xdr:to>
      <xdr:col>2</xdr:col>
      <xdr:colOff>3200400</xdr:colOff>
      <xdr:row>3</xdr:row>
      <xdr:rowOff>1581150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260032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4</xdr:row>
      <xdr:rowOff>57150</xdr:rowOff>
    </xdr:from>
    <xdr:to>
      <xdr:col>4</xdr:col>
      <xdr:colOff>3238500</xdr:colOff>
      <xdr:row>4</xdr:row>
      <xdr:rowOff>1590675</xdr:rowOff>
    </xdr:to>
    <xdr:pic>
      <xdr:nvPicPr>
        <xdr:cNvPr id="4"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422910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xdr:row>
      <xdr:rowOff>57150</xdr:rowOff>
    </xdr:from>
    <xdr:to>
      <xdr:col>2</xdr:col>
      <xdr:colOff>3228975</xdr:colOff>
      <xdr:row>5</xdr:row>
      <xdr:rowOff>1609725</xdr:rowOff>
    </xdr:to>
    <xdr:pic>
      <xdr:nvPicPr>
        <xdr:cNvPr id="5"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1450" y="585787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xdr:row>
      <xdr:rowOff>57150</xdr:rowOff>
    </xdr:from>
    <xdr:to>
      <xdr:col>4</xdr:col>
      <xdr:colOff>3181350</xdr:colOff>
      <xdr:row>5</xdr:row>
      <xdr:rowOff>1590675</xdr:rowOff>
    </xdr:to>
    <xdr:pic>
      <xdr:nvPicPr>
        <xdr:cNvPr id="6" name="Picture 3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7271"/>
        <a:stretch>
          <a:fillRect/>
        </a:stretch>
      </xdr:blipFill>
      <xdr:spPr bwMode="auto">
        <a:xfrm>
          <a:off x="14544675" y="5857875"/>
          <a:ext cx="30956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6</xdr:row>
      <xdr:rowOff>57150</xdr:rowOff>
    </xdr:from>
    <xdr:to>
      <xdr:col>2</xdr:col>
      <xdr:colOff>3228975</xdr:colOff>
      <xdr:row>6</xdr:row>
      <xdr:rowOff>1609725</xdr:rowOff>
    </xdr:to>
    <xdr:pic>
      <xdr:nvPicPr>
        <xdr:cNvPr id="7"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7486650"/>
          <a:ext cx="316230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7</xdr:row>
      <xdr:rowOff>57150</xdr:rowOff>
    </xdr:from>
    <xdr:to>
      <xdr:col>2</xdr:col>
      <xdr:colOff>3171825</xdr:colOff>
      <xdr:row>7</xdr:row>
      <xdr:rowOff>1590675</xdr:rowOff>
    </xdr:to>
    <xdr:pic>
      <xdr:nvPicPr>
        <xdr:cNvPr id="8"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9115425"/>
          <a:ext cx="31051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xdr:row>
      <xdr:rowOff>57150</xdr:rowOff>
    </xdr:from>
    <xdr:to>
      <xdr:col>4</xdr:col>
      <xdr:colOff>3228975</xdr:colOff>
      <xdr:row>7</xdr:row>
      <xdr:rowOff>1590675</xdr:rowOff>
    </xdr:to>
    <xdr:pic>
      <xdr:nvPicPr>
        <xdr:cNvPr id="9"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4675" y="9115425"/>
          <a:ext cx="31432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8</xdr:row>
      <xdr:rowOff>57150</xdr:rowOff>
    </xdr:from>
    <xdr:to>
      <xdr:col>2</xdr:col>
      <xdr:colOff>3152775</xdr:colOff>
      <xdr:row>8</xdr:row>
      <xdr:rowOff>1581150</xdr:rowOff>
    </xdr:to>
    <xdr:pic>
      <xdr:nvPicPr>
        <xdr:cNvPr id="1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0744200"/>
          <a:ext cx="3095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8</xdr:row>
      <xdr:rowOff>66675</xdr:rowOff>
    </xdr:from>
    <xdr:to>
      <xdr:col>4</xdr:col>
      <xdr:colOff>3267075</xdr:colOff>
      <xdr:row>8</xdr:row>
      <xdr:rowOff>1581150</xdr:rowOff>
    </xdr:to>
    <xdr:pic>
      <xdr:nvPicPr>
        <xdr:cNvPr id="1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0753725"/>
          <a:ext cx="32004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9</xdr:row>
      <xdr:rowOff>85725</xdr:rowOff>
    </xdr:from>
    <xdr:to>
      <xdr:col>2</xdr:col>
      <xdr:colOff>3248025</xdr:colOff>
      <xdr:row>9</xdr:row>
      <xdr:rowOff>1562100</xdr:rowOff>
    </xdr:to>
    <xdr:pic>
      <xdr:nvPicPr>
        <xdr:cNvPr id="1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2401550"/>
          <a:ext cx="3190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9</xdr:row>
      <xdr:rowOff>57150</xdr:rowOff>
    </xdr:from>
    <xdr:to>
      <xdr:col>4</xdr:col>
      <xdr:colOff>3228975</xdr:colOff>
      <xdr:row>9</xdr:row>
      <xdr:rowOff>1533525</xdr:rowOff>
    </xdr:to>
    <xdr:pic>
      <xdr:nvPicPr>
        <xdr:cNvPr id="1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2372975"/>
          <a:ext cx="31623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85725</xdr:rowOff>
    </xdr:from>
    <xdr:to>
      <xdr:col>2</xdr:col>
      <xdr:colOff>3248025</xdr:colOff>
      <xdr:row>10</xdr:row>
      <xdr:rowOff>1562100</xdr:rowOff>
    </xdr:to>
    <xdr:pic>
      <xdr:nvPicPr>
        <xdr:cNvPr id="1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4030325"/>
          <a:ext cx="318135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57150</xdr:rowOff>
    </xdr:from>
    <xdr:to>
      <xdr:col>4</xdr:col>
      <xdr:colOff>3238500</xdr:colOff>
      <xdr:row>10</xdr:row>
      <xdr:rowOff>1562100</xdr:rowOff>
    </xdr:to>
    <xdr:pic>
      <xdr:nvPicPr>
        <xdr:cNvPr id="1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8661"/>
        <a:stretch>
          <a:fillRect/>
        </a:stretch>
      </xdr:blipFill>
      <xdr:spPr bwMode="auto">
        <a:xfrm>
          <a:off x="14544675" y="14001750"/>
          <a:ext cx="31527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11</xdr:row>
      <xdr:rowOff>38100</xdr:rowOff>
    </xdr:from>
    <xdr:to>
      <xdr:col>2</xdr:col>
      <xdr:colOff>3238500</xdr:colOff>
      <xdr:row>11</xdr:row>
      <xdr:rowOff>1590675</xdr:rowOff>
    </xdr:to>
    <xdr:pic>
      <xdr:nvPicPr>
        <xdr:cNvPr id="1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5611475"/>
          <a:ext cx="31813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11</xdr:row>
      <xdr:rowOff>57150</xdr:rowOff>
    </xdr:from>
    <xdr:to>
      <xdr:col>4</xdr:col>
      <xdr:colOff>3238500</xdr:colOff>
      <xdr:row>11</xdr:row>
      <xdr:rowOff>1581150</xdr:rowOff>
    </xdr:to>
    <xdr:pic>
      <xdr:nvPicPr>
        <xdr:cNvPr id="1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563052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12</xdr:row>
      <xdr:rowOff>66675</xdr:rowOff>
    </xdr:from>
    <xdr:to>
      <xdr:col>2</xdr:col>
      <xdr:colOff>3209925</xdr:colOff>
      <xdr:row>12</xdr:row>
      <xdr:rowOff>1562100</xdr:rowOff>
    </xdr:to>
    <xdr:pic>
      <xdr:nvPicPr>
        <xdr:cNvPr id="1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726882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12</xdr:row>
      <xdr:rowOff>66675</xdr:rowOff>
    </xdr:from>
    <xdr:to>
      <xdr:col>4</xdr:col>
      <xdr:colOff>3228975</xdr:colOff>
      <xdr:row>12</xdr:row>
      <xdr:rowOff>1562100</xdr:rowOff>
    </xdr:to>
    <xdr:pic>
      <xdr:nvPicPr>
        <xdr:cNvPr id="1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7268825"/>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13</xdr:row>
      <xdr:rowOff>38100</xdr:rowOff>
    </xdr:from>
    <xdr:to>
      <xdr:col>2</xdr:col>
      <xdr:colOff>3228975</xdr:colOff>
      <xdr:row>13</xdr:row>
      <xdr:rowOff>1590675</xdr:rowOff>
    </xdr:to>
    <xdr:pic>
      <xdr:nvPicPr>
        <xdr:cNvPr id="2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886902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66675</xdr:rowOff>
    </xdr:from>
    <xdr:to>
      <xdr:col>4</xdr:col>
      <xdr:colOff>3200400</xdr:colOff>
      <xdr:row>13</xdr:row>
      <xdr:rowOff>1581150</xdr:rowOff>
    </xdr:to>
    <xdr:pic>
      <xdr:nvPicPr>
        <xdr:cNvPr id="2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18897600"/>
          <a:ext cx="31432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14</xdr:row>
      <xdr:rowOff>66675</xdr:rowOff>
    </xdr:from>
    <xdr:to>
      <xdr:col>2</xdr:col>
      <xdr:colOff>3228975</xdr:colOff>
      <xdr:row>14</xdr:row>
      <xdr:rowOff>1552575</xdr:rowOff>
    </xdr:to>
    <xdr:pic>
      <xdr:nvPicPr>
        <xdr:cNvPr id="2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20526375"/>
          <a:ext cx="3162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14</xdr:row>
      <xdr:rowOff>66675</xdr:rowOff>
    </xdr:from>
    <xdr:to>
      <xdr:col>4</xdr:col>
      <xdr:colOff>3209925</xdr:colOff>
      <xdr:row>14</xdr:row>
      <xdr:rowOff>1562100</xdr:rowOff>
    </xdr:to>
    <xdr:pic>
      <xdr:nvPicPr>
        <xdr:cNvPr id="2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052637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15</xdr:row>
      <xdr:rowOff>57150</xdr:rowOff>
    </xdr:from>
    <xdr:to>
      <xdr:col>2</xdr:col>
      <xdr:colOff>3200400</xdr:colOff>
      <xdr:row>15</xdr:row>
      <xdr:rowOff>1581150</xdr:rowOff>
    </xdr:to>
    <xdr:pic>
      <xdr:nvPicPr>
        <xdr:cNvPr id="2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2145625"/>
          <a:ext cx="31432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57150</xdr:rowOff>
    </xdr:from>
    <xdr:to>
      <xdr:col>4</xdr:col>
      <xdr:colOff>3248025</xdr:colOff>
      <xdr:row>15</xdr:row>
      <xdr:rowOff>1590675</xdr:rowOff>
    </xdr:to>
    <xdr:pic>
      <xdr:nvPicPr>
        <xdr:cNvPr id="2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2145625"/>
          <a:ext cx="3190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16</xdr:row>
      <xdr:rowOff>57150</xdr:rowOff>
    </xdr:from>
    <xdr:to>
      <xdr:col>2</xdr:col>
      <xdr:colOff>3267075</xdr:colOff>
      <xdr:row>16</xdr:row>
      <xdr:rowOff>1581150</xdr:rowOff>
    </xdr:to>
    <xdr:pic>
      <xdr:nvPicPr>
        <xdr:cNvPr id="26"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91450" y="23774400"/>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16</xdr:row>
      <xdr:rowOff>66675</xdr:rowOff>
    </xdr:from>
    <xdr:to>
      <xdr:col>4</xdr:col>
      <xdr:colOff>3209925</xdr:colOff>
      <xdr:row>16</xdr:row>
      <xdr:rowOff>1590675</xdr:rowOff>
    </xdr:to>
    <xdr:pic>
      <xdr:nvPicPr>
        <xdr:cNvPr id="27"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931"/>
        <a:stretch>
          <a:fillRect/>
        </a:stretch>
      </xdr:blipFill>
      <xdr:spPr bwMode="auto">
        <a:xfrm>
          <a:off x="14544675" y="23783925"/>
          <a:ext cx="31242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17</xdr:row>
      <xdr:rowOff>57150</xdr:rowOff>
    </xdr:from>
    <xdr:to>
      <xdr:col>2</xdr:col>
      <xdr:colOff>3267075</xdr:colOff>
      <xdr:row>17</xdr:row>
      <xdr:rowOff>1609725</xdr:rowOff>
    </xdr:to>
    <xdr:pic>
      <xdr:nvPicPr>
        <xdr:cNvPr id="2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5403175"/>
          <a:ext cx="3209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17</xdr:row>
      <xdr:rowOff>66675</xdr:rowOff>
    </xdr:from>
    <xdr:to>
      <xdr:col>4</xdr:col>
      <xdr:colOff>3228975</xdr:colOff>
      <xdr:row>17</xdr:row>
      <xdr:rowOff>1581150</xdr:rowOff>
    </xdr:to>
    <xdr:pic>
      <xdr:nvPicPr>
        <xdr:cNvPr id="2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5412700"/>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18</xdr:row>
      <xdr:rowOff>66675</xdr:rowOff>
    </xdr:from>
    <xdr:to>
      <xdr:col>2</xdr:col>
      <xdr:colOff>3238500</xdr:colOff>
      <xdr:row>18</xdr:row>
      <xdr:rowOff>1590675</xdr:rowOff>
    </xdr:to>
    <xdr:pic>
      <xdr:nvPicPr>
        <xdr:cNvPr id="30" name="Picture 3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00975" y="2704147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18</xdr:row>
      <xdr:rowOff>66675</xdr:rowOff>
    </xdr:from>
    <xdr:to>
      <xdr:col>4</xdr:col>
      <xdr:colOff>3238500</xdr:colOff>
      <xdr:row>18</xdr:row>
      <xdr:rowOff>1581150</xdr:rowOff>
    </xdr:to>
    <xdr:pic>
      <xdr:nvPicPr>
        <xdr:cNvPr id="31"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6714"/>
        <a:stretch>
          <a:fillRect/>
        </a:stretch>
      </xdr:blipFill>
      <xdr:spPr bwMode="auto">
        <a:xfrm>
          <a:off x="14525625" y="27041475"/>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19</xdr:row>
      <xdr:rowOff>66675</xdr:rowOff>
    </xdr:from>
    <xdr:to>
      <xdr:col>2</xdr:col>
      <xdr:colOff>3248025</xdr:colOff>
      <xdr:row>19</xdr:row>
      <xdr:rowOff>1562100</xdr:rowOff>
    </xdr:to>
    <xdr:pic>
      <xdr:nvPicPr>
        <xdr:cNvPr id="3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8670250"/>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19</xdr:row>
      <xdr:rowOff>66675</xdr:rowOff>
    </xdr:from>
    <xdr:to>
      <xdr:col>4</xdr:col>
      <xdr:colOff>3228975</xdr:colOff>
      <xdr:row>19</xdr:row>
      <xdr:rowOff>1562100</xdr:rowOff>
    </xdr:to>
    <xdr:pic>
      <xdr:nvPicPr>
        <xdr:cNvPr id="3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28670250"/>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20</xdr:row>
      <xdr:rowOff>57150</xdr:rowOff>
    </xdr:from>
    <xdr:to>
      <xdr:col>4</xdr:col>
      <xdr:colOff>3238500</xdr:colOff>
      <xdr:row>20</xdr:row>
      <xdr:rowOff>1609725</xdr:rowOff>
    </xdr:to>
    <xdr:pic>
      <xdr:nvPicPr>
        <xdr:cNvPr id="34"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540" t="17259" r="9714" b="16200"/>
        <a:stretch>
          <a:fillRect/>
        </a:stretch>
      </xdr:blipFill>
      <xdr:spPr bwMode="auto">
        <a:xfrm>
          <a:off x="14592300" y="30289500"/>
          <a:ext cx="3105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20</xdr:row>
      <xdr:rowOff>85725</xdr:rowOff>
    </xdr:from>
    <xdr:to>
      <xdr:col>2</xdr:col>
      <xdr:colOff>3248025</xdr:colOff>
      <xdr:row>20</xdr:row>
      <xdr:rowOff>1609725</xdr:rowOff>
    </xdr:to>
    <xdr:pic>
      <xdr:nvPicPr>
        <xdr:cNvPr id="35"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72400" y="30318075"/>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xdr:row>
      <xdr:rowOff>28575</xdr:rowOff>
    </xdr:from>
    <xdr:to>
      <xdr:col>4</xdr:col>
      <xdr:colOff>3238500</xdr:colOff>
      <xdr:row>3</xdr:row>
      <xdr:rowOff>1562100</xdr:rowOff>
    </xdr:to>
    <xdr:pic>
      <xdr:nvPicPr>
        <xdr:cNvPr id="37"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257175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4</xdr:row>
      <xdr:rowOff>54428</xdr:rowOff>
    </xdr:from>
    <xdr:to>
      <xdr:col>2</xdr:col>
      <xdr:colOff>3215367</xdr:colOff>
      <xdr:row>4</xdr:row>
      <xdr:rowOff>1578428</xdr:rowOff>
    </xdr:to>
    <xdr:pic>
      <xdr:nvPicPr>
        <xdr:cNvPr id="39"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4226378"/>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136071</xdr:colOff>
      <xdr:row>2</xdr:row>
      <xdr:rowOff>68036</xdr:rowOff>
    </xdr:from>
    <xdr:to>
      <xdr:col>4</xdr:col>
      <xdr:colOff>3250794</xdr:colOff>
      <xdr:row>2</xdr:row>
      <xdr:rowOff>1578427</xdr:rowOff>
    </xdr:to>
    <xdr:pic>
      <xdr:nvPicPr>
        <xdr:cNvPr id="40" name="Picture 39"/>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9357" t="18376" r="9851" b="18163"/>
        <a:stretch/>
      </xdr:blipFill>
      <xdr:spPr>
        <a:xfrm>
          <a:off x="14586857" y="979715"/>
          <a:ext cx="3114723" cy="1510391"/>
        </a:xfrm>
        <a:prstGeom prst="rect">
          <a:avLst/>
        </a:prstGeom>
      </xdr:spPr>
    </xdr:pic>
    <xdr:clientData/>
  </xdr:twoCellAnchor>
  <xdr:twoCellAnchor editAs="oneCell">
    <xdr:from>
      <xdr:col>4</xdr:col>
      <xdr:colOff>81642</xdr:colOff>
      <xdr:row>6</xdr:row>
      <xdr:rowOff>54428</xdr:rowOff>
    </xdr:from>
    <xdr:to>
      <xdr:col>4</xdr:col>
      <xdr:colOff>3253467</xdr:colOff>
      <xdr:row>6</xdr:row>
      <xdr:rowOff>1587953</xdr:rowOff>
    </xdr:to>
    <xdr:pic>
      <xdr:nvPicPr>
        <xdr:cNvPr id="41"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32428" y="7497535"/>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A9" zoomScale="70" zoomScaleNormal="70" workbookViewId="0">
      <selection activeCell="A9" sqref="A9"/>
    </sheetView>
  </sheetViews>
  <sheetFormatPr defaultRowHeight="128.25" customHeight="1"/>
  <cols>
    <col min="1" max="1" width="64.140625" style="95" customWidth="1"/>
    <col min="2" max="2" width="51.85546875" style="87" customWidth="1"/>
    <col min="3" max="3" width="49.85546875" style="87" customWidth="1"/>
    <col min="4" max="4" width="51" style="98" customWidth="1"/>
    <col min="5" max="5" width="49.85546875" style="87" customWidth="1"/>
    <col min="6" max="256" width="9.140625" style="87"/>
    <col min="257" max="257" width="64.140625" style="87" customWidth="1"/>
    <col min="258" max="258" width="51.85546875" style="87" customWidth="1"/>
    <col min="259" max="259" width="49.85546875" style="87" customWidth="1"/>
    <col min="260" max="260" width="51" style="87" customWidth="1"/>
    <col min="261" max="261" width="49.85546875" style="87" customWidth="1"/>
    <col min="262" max="512" width="9.140625" style="87"/>
    <col min="513" max="513" width="64.140625" style="87" customWidth="1"/>
    <col min="514" max="514" width="51.85546875" style="87" customWidth="1"/>
    <col min="515" max="515" width="49.85546875" style="87" customWidth="1"/>
    <col min="516" max="516" width="51" style="87" customWidth="1"/>
    <col min="517" max="517" width="49.85546875" style="87" customWidth="1"/>
    <col min="518" max="768" width="9.140625" style="87"/>
    <col min="769" max="769" width="64.140625" style="87" customWidth="1"/>
    <col min="770" max="770" width="51.85546875" style="87" customWidth="1"/>
    <col min="771" max="771" width="49.85546875" style="87" customWidth="1"/>
    <col min="772" max="772" width="51" style="87" customWidth="1"/>
    <col min="773" max="773" width="49.85546875" style="87" customWidth="1"/>
    <col min="774" max="1024" width="9.140625" style="87"/>
    <col min="1025" max="1025" width="64.140625" style="87" customWidth="1"/>
    <col min="1026" max="1026" width="51.85546875" style="87" customWidth="1"/>
    <col min="1027" max="1027" width="49.85546875" style="87" customWidth="1"/>
    <col min="1028" max="1028" width="51" style="87" customWidth="1"/>
    <col min="1029" max="1029" width="49.85546875" style="87" customWidth="1"/>
    <col min="1030" max="1280" width="9.140625" style="87"/>
    <col min="1281" max="1281" width="64.140625" style="87" customWidth="1"/>
    <col min="1282" max="1282" width="51.85546875" style="87" customWidth="1"/>
    <col min="1283" max="1283" width="49.85546875" style="87" customWidth="1"/>
    <col min="1284" max="1284" width="51" style="87" customWidth="1"/>
    <col min="1285" max="1285" width="49.85546875" style="87" customWidth="1"/>
    <col min="1286" max="1536" width="9.140625" style="87"/>
    <col min="1537" max="1537" width="64.140625" style="87" customWidth="1"/>
    <col min="1538" max="1538" width="51.85546875" style="87" customWidth="1"/>
    <col min="1539" max="1539" width="49.85546875" style="87" customWidth="1"/>
    <col min="1540" max="1540" width="51" style="87" customWidth="1"/>
    <col min="1541" max="1541" width="49.85546875" style="87" customWidth="1"/>
    <col min="1542" max="1792" width="9.140625" style="87"/>
    <col min="1793" max="1793" width="64.140625" style="87" customWidth="1"/>
    <col min="1794" max="1794" width="51.85546875" style="87" customWidth="1"/>
    <col min="1795" max="1795" width="49.85546875" style="87" customWidth="1"/>
    <col min="1796" max="1796" width="51" style="87" customWidth="1"/>
    <col min="1797" max="1797" width="49.85546875" style="87" customWidth="1"/>
    <col min="1798" max="2048" width="9.140625" style="87"/>
    <col min="2049" max="2049" width="64.140625" style="87" customWidth="1"/>
    <col min="2050" max="2050" width="51.85546875" style="87" customWidth="1"/>
    <col min="2051" max="2051" width="49.85546875" style="87" customWidth="1"/>
    <col min="2052" max="2052" width="51" style="87" customWidth="1"/>
    <col min="2053" max="2053" width="49.85546875" style="87" customWidth="1"/>
    <col min="2054" max="2304" width="9.140625" style="87"/>
    <col min="2305" max="2305" width="64.140625" style="87" customWidth="1"/>
    <col min="2306" max="2306" width="51.85546875" style="87" customWidth="1"/>
    <col min="2307" max="2307" width="49.85546875" style="87" customWidth="1"/>
    <col min="2308" max="2308" width="51" style="87" customWidth="1"/>
    <col min="2309" max="2309" width="49.85546875" style="87" customWidth="1"/>
    <col min="2310" max="2560" width="9.140625" style="87"/>
    <col min="2561" max="2561" width="64.140625" style="87" customWidth="1"/>
    <col min="2562" max="2562" width="51.85546875" style="87" customWidth="1"/>
    <col min="2563" max="2563" width="49.85546875" style="87" customWidth="1"/>
    <col min="2564" max="2564" width="51" style="87" customWidth="1"/>
    <col min="2565" max="2565" width="49.85546875" style="87" customWidth="1"/>
    <col min="2566" max="2816" width="9.140625" style="87"/>
    <col min="2817" max="2817" width="64.140625" style="87" customWidth="1"/>
    <col min="2818" max="2818" width="51.85546875" style="87" customWidth="1"/>
    <col min="2819" max="2819" width="49.85546875" style="87" customWidth="1"/>
    <col min="2820" max="2820" width="51" style="87" customWidth="1"/>
    <col min="2821" max="2821" width="49.85546875" style="87" customWidth="1"/>
    <col min="2822" max="3072" width="9.140625" style="87"/>
    <col min="3073" max="3073" width="64.140625" style="87" customWidth="1"/>
    <col min="3074" max="3074" width="51.85546875" style="87" customWidth="1"/>
    <col min="3075" max="3075" width="49.85546875" style="87" customWidth="1"/>
    <col min="3076" max="3076" width="51" style="87" customWidth="1"/>
    <col min="3077" max="3077" width="49.85546875" style="87" customWidth="1"/>
    <col min="3078" max="3328" width="9.140625" style="87"/>
    <col min="3329" max="3329" width="64.140625" style="87" customWidth="1"/>
    <col min="3330" max="3330" width="51.85546875" style="87" customWidth="1"/>
    <col min="3331" max="3331" width="49.85546875" style="87" customWidth="1"/>
    <col min="3332" max="3332" width="51" style="87" customWidth="1"/>
    <col min="3333" max="3333" width="49.85546875" style="87" customWidth="1"/>
    <col min="3334" max="3584" width="9.140625" style="87"/>
    <col min="3585" max="3585" width="64.140625" style="87" customWidth="1"/>
    <col min="3586" max="3586" width="51.85546875" style="87" customWidth="1"/>
    <col min="3587" max="3587" width="49.85546875" style="87" customWidth="1"/>
    <col min="3588" max="3588" width="51" style="87" customWidth="1"/>
    <col min="3589" max="3589" width="49.85546875" style="87" customWidth="1"/>
    <col min="3590" max="3840" width="9.140625" style="87"/>
    <col min="3841" max="3841" width="64.140625" style="87" customWidth="1"/>
    <col min="3842" max="3842" width="51.85546875" style="87" customWidth="1"/>
    <col min="3843" max="3843" width="49.85546875" style="87" customWidth="1"/>
    <col min="3844" max="3844" width="51" style="87" customWidth="1"/>
    <col min="3845" max="3845" width="49.85546875" style="87" customWidth="1"/>
    <col min="3846" max="4096" width="9.140625" style="87"/>
    <col min="4097" max="4097" width="64.140625" style="87" customWidth="1"/>
    <col min="4098" max="4098" width="51.85546875" style="87" customWidth="1"/>
    <col min="4099" max="4099" width="49.85546875" style="87" customWidth="1"/>
    <col min="4100" max="4100" width="51" style="87" customWidth="1"/>
    <col min="4101" max="4101" width="49.85546875" style="87" customWidth="1"/>
    <col min="4102" max="4352" width="9.140625" style="87"/>
    <col min="4353" max="4353" width="64.140625" style="87" customWidth="1"/>
    <col min="4354" max="4354" width="51.85546875" style="87" customWidth="1"/>
    <col min="4355" max="4355" width="49.85546875" style="87" customWidth="1"/>
    <col min="4356" max="4356" width="51" style="87" customWidth="1"/>
    <col min="4357" max="4357" width="49.85546875" style="87" customWidth="1"/>
    <col min="4358" max="4608" width="9.140625" style="87"/>
    <col min="4609" max="4609" width="64.140625" style="87" customWidth="1"/>
    <col min="4610" max="4610" width="51.85546875" style="87" customWidth="1"/>
    <col min="4611" max="4611" width="49.85546875" style="87" customWidth="1"/>
    <col min="4612" max="4612" width="51" style="87" customWidth="1"/>
    <col min="4613" max="4613" width="49.85546875" style="87" customWidth="1"/>
    <col min="4614" max="4864" width="9.140625" style="87"/>
    <col min="4865" max="4865" width="64.140625" style="87" customWidth="1"/>
    <col min="4866" max="4866" width="51.85546875" style="87" customWidth="1"/>
    <col min="4867" max="4867" width="49.85546875" style="87" customWidth="1"/>
    <col min="4868" max="4868" width="51" style="87" customWidth="1"/>
    <col min="4869" max="4869" width="49.85546875" style="87" customWidth="1"/>
    <col min="4870" max="5120" width="9.140625" style="87"/>
    <col min="5121" max="5121" width="64.140625" style="87" customWidth="1"/>
    <col min="5122" max="5122" width="51.85546875" style="87" customWidth="1"/>
    <col min="5123" max="5123" width="49.85546875" style="87" customWidth="1"/>
    <col min="5124" max="5124" width="51" style="87" customWidth="1"/>
    <col min="5125" max="5125" width="49.85546875" style="87" customWidth="1"/>
    <col min="5126" max="5376" width="9.140625" style="87"/>
    <col min="5377" max="5377" width="64.140625" style="87" customWidth="1"/>
    <col min="5378" max="5378" width="51.85546875" style="87" customWidth="1"/>
    <col min="5379" max="5379" width="49.85546875" style="87" customWidth="1"/>
    <col min="5380" max="5380" width="51" style="87" customWidth="1"/>
    <col min="5381" max="5381" width="49.85546875" style="87" customWidth="1"/>
    <col min="5382" max="5632" width="9.140625" style="87"/>
    <col min="5633" max="5633" width="64.140625" style="87" customWidth="1"/>
    <col min="5634" max="5634" width="51.85546875" style="87" customWidth="1"/>
    <col min="5635" max="5635" width="49.85546875" style="87" customWidth="1"/>
    <col min="5636" max="5636" width="51" style="87" customWidth="1"/>
    <col min="5637" max="5637" width="49.85546875" style="87" customWidth="1"/>
    <col min="5638" max="5888" width="9.140625" style="87"/>
    <col min="5889" max="5889" width="64.140625" style="87" customWidth="1"/>
    <col min="5890" max="5890" width="51.85546875" style="87" customWidth="1"/>
    <col min="5891" max="5891" width="49.85546875" style="87" customWidth="1"/>
    <col min="5892" max="5892" width="51" style="87" customWidth="1"/>
    <col min="5893" max="5893" width="49.85546875" style="87" customWidth="1"/>
    <col min="5894" max="6144" width="9.140625" style="87"/>
    <col min="6145" max="6145" width="64.140625" style="87" customWidth="1"/>
    <col min="6146" max="6146" width="51.85546875" style="87" customWidth="1"/>
    <col min="6147" max="6147" width="49.85546875" style="87" customWidth="1"/>
    <col min="6148" max="6148" width="51" style="87" customWidth="1"/>
    <col min="6149" max="6149" width="49.85546875" style="87" customWidth="1"/>
    <col min="6150" max="6400" width="9.140625" style="87"/>
    <col min="6401" max="6401" width="64.140625" style="87" customWidth="1"/>
    <col min="6402" max="6402" width="51.85546875" style="87" customWidth="1"/>
    <col min="6403" max="6403" width="49.85546875" style="87" customWidth="1"/>
    <col min="6404" max="6404" width="51" style="87" customWidth="1"/>
    <col min="6405" max="6405" width="49.85546875" style="87" customWidth="1"/>
    <col min="6406" max="6656" width="9.140625" style="87"/>
    <col min="6657" max="6657" width="64.140625" style="87" customWidth="1"/>
    <col min="6658" max="6658" width="51.85546875" style="87" customWidth="1"/>
    <col min="6659" max="6659" width="49.85546875" style="87" customWidth="1"/>
    <col min="6660" max="6660" width="51" style="87" customWidth="1"/>
    <col min="6661" max="6661" width="49.85546875" style="87" customWidth="1"/>
    <col min="6662" max="6912" width="9.140625" style="87"/>
    <col min="6913" max="6913" width="64.140625" style="87" customWidth="1"/>
    <col min="6914" max="6914" width="51.85546875" style="87" customWidth="1"/>
    <col min="6915" max="6915" width="49.85546875" style="87" customWidth="1"/>
    <col min="6916" max="6916" width="51" style="87" customWidth="1"/>
    <col min="6917" max="6917" width="49.85546875" style="87" customWidth="1"/>
    <col min="6918" max="7168" width="9.140625" style="87"/>
    <col min="7169" max="7169" width="64.140625" style="87" customWidth="1"/>
    <col min="7170" max="7170" width="51.85546875" style="87" customWidth="1"/>
    <col min="7171" max="7171" width="49.85546875" style="87" customWidth="1"/>
    <col min="7172" max="7172" width="51" style="87" customWidth="1"/>
    <col min="7173" max="7173" width="49.85546875" style="87" customWidth="1"/>
    <col min="7174" max="7424" width="9.140625" style="87"/>
    <col min="7425" max="7425" width="64.140625" style="87" customWidth="1"/>
    <col min="7426" max="7426" width="51.85546875" style="87" customWidth="1"/>
    <col min="7427" max="7427" width="49.85546875" style="87" customWidth="1"/>
    <col min="7428" max="7428" width="51" style="87" customWidth="1"/>
    <col min="7429" max="7429" width="49.85546875" style="87" customWidth="1"/>
    <col min="7430" max="7680" width="9.140625" style="87"/>
    <col min="7681" max="7681" width="64.140625" style="87" customWidth="1"/>
    <col min="7682" max="7682" width="51.85546875" style="87" customWidth="1"/>
    <col min="7683" max="7683" width="49.85546875" style="87" customWidth="1"/>
    <col min="7684" max="7684" width="51" style="87" customWidth="1"/>
    <col min="7685" max="7685" width="49.85546875" style="87" customWidth="1"/>
    <col min="7686" max="7936" width="9.140625" style="87"/>
    <col min="7937" max="7937" width="64.140625" style="87" customWidth="1"/>
    <col min="7938" max="7938" width="51.85546875" style="87" customWidth="1"/>
    <col min="7939" max="7939" width="49.85546875" style="87" customWidth="1"/>
    <col min="7940" max="7940" width="51" style="87" customWidth="1"/>
    <col min="7941" max="7941" width="49.85546875" style="87" customWidth="1"/>
    <col min="7942" max="8192" width="9.140625" style="87"/>
    <col min="8193" max="8193" width="64.140625" style="87" customWidth="1"/>
    <col min="8194" max="8194" width="51.85546875" style="87" customWidth="1"/>
    <col min="8195" max="8195" width="49.85546875" style="87" customWidth="1"/>
    <col min="8196" max="8196" width="51" style="87" customWidth="1"/>
    <col min="8197" max="8197" width="49.85546875" style="87" customWidth="1"/>
    <col min="8198" max="8448" width="9.140625" style="87"/>
    <col min="8449" max="8449" width="64.140625" style="87" customWidth="1"/>
    <col min="8450" max="8450" width="51.85546875" style="87" customWidth="1"/>
    <col min="8451" max="8451" width="49.85546875" style="87" customWidth="1"/>
    <col min="8452" max="8452" width="51" style="87" customWidth="1"/>
    <col min="8453" max="8453" width="49.85546875" style="87" customWidth="1"/>
    <col min="8454" max="8704" width="9.140625" style="87"/>
    <col min="8705" max="8705" width="64.140625" style="87" customWidth="1"/>
    <col min="8706" max="8706" width="51.85546875" style="87" customWidth="1"/>
    <col min="8707" max="8707" width="49.85546875" style="87" customWidth="1"/>
    <col min="8708" max="8708" width="51" style="87" customWidth="1"/>
    <col min="8709" max="8709" width="49.85546875" style="87" customWidth="1"/>
    <col min="8710" max="8960" width="9.140625" style="87"/>
    <col min="8961" max="8961" width="64.140625" style="87" customWidth="1"/>
    <col min="8962" max="8962" width="51.85546875" style="87" customWidth="1"/>
    <col min="8963" max="8963" width="49.85546875" style="87" customWidth="1"/>
    <col min="8964" max="8964" width="51" style="87" customWidth="1"/>
    <col min="8965" max="8965" width="49.85546875" style="87" customWidth="1"/>
    <col min="8966" max="9216" width="9.140625" style="87"/>
    <col min="9217" max="9217" width="64.140625" style="87" customWidth="1"/>
    <col min="9218" max="9218" width="51.85546875" style="87" customWidth="1"/>
    <col min="9219" max="9219" width="49.85546875" style="87" customWidth="1"/>
    <col min="9220" max="9220" width="51" style="87" customWidth="1"/>
    <col min="9221" max="9221" width="49.85546875" style="87" customWidth="1"/>
    <col min="9222" max="9472" width="9.140625" style="87"/>
    <col min="9473" max="9473" width="64.140625" style="87" customWidth="1"/>
    <col min="9474" max="9474" width="51.85546875" style="87" customWidth="1"/>
    <col min="9475" max="9475" width="49.85546875" style="87" customWidth="1"/>
    <col min="9476" max="9476" width="51" style="87" customWidth="1"/>
    <col min="9477" max="9477" width="49.85546875" style="87" customWidth="1"/>
    <col min="9478" max="9728" width="9.140625" style="87"/>
    <col min="9729" max="9729" width="64.140625" style="87" customWidth="1"/>
    <col min="9730" max="9730" width="51.85546875" style="87" customWidth="1"/>
    <col min="9731" max="9731" width="49.85546875" style="87" customWidth="1"/>
    <col min="9732" max="9732" width="51" style="87" customWidth="1"/>
    <col min="9733" max="9733" width="49.85546875" style="87" customWidth="1"/>
    <col min="9734" max="9984" width="9.140625" style="87"/>
    <col min="9985" max="9985" width="64.140625" style="87" customWidth="1"/>
    <col min="9986" max="9986" width="51.85546875" style="87" customWidth="1"/>
    <col min="9987" max="9987" width="49.85546875" style="87" customWidth="1"/>
    <col min="9988" max="9988" width="51" style="87" customWidth="1"/>
    <col min="9989" max="9989" width="49.85546875" style="87" customWidth="1"/>
    <col min="9990" max="10240" width="9.140625" style="87"/>
    <col min="10241" max="10241" width="64.140625" style="87" customWidth="1"/>
    <col min="10242" max="10242" width="51.85546875" style="87" customWidth="1"/>
    <col min="10243" max="10243" width="49.85546875" style="87" customWidth="1"/>
    <col min="10244" max="10244" width="51" style="87" customWidth="1"/>
    <col min="10245" max="10245" width="49.85546875" style="87" customWidth="1"/>
    <col min="10246" max="10496" width="9.140625" style="87"/>
    <col min="10497" max="10497" width="64.140625" style="87" customWidth="1"/>
    <col min="10498" max="10498" width="51.85546875" style="87" customWidth="1"/>
    <col min="10499" max="10499" width="49.85546875" style="87" customWidth="1"/>
    <col min="10500" max="10500" width="51" style="87" customWidth="1"/>
    <col min="10501" max="10501" width="49.85546875" style="87" customWidth="1"/>
    <col min="10502" max="10752" width="9.140625" style="87"/>
    <col min="10753" max="10753" width="64.140625" style="87" customWidth="1"/>
    <col min="10754" max="10754" width="51.85546875" style="87" customWidth="1"/>
    <col min="10755" max="10755" width="49.85546875" style="87" customWidth="1"/>
    <col min="10756" max="10756" width="51" style="87" customWidth="1"/>
    <col min="10757" max="10757" width="49.85546875" style="87" customWidth="1"/>
    <col min="10758" max="11008" width="9.140625" style="87"/>
    <col min="11009" max="11009" width="64.140625" style="87" customWidth="1"/>
    <col min="11010" max="11010" width="51.85546875" style="87" customWidth="1"/>
    <col min="11011" max="11011" width="49.85546875" style="87" customWidth="1"/>
    <col min="11012" max="11012" width="51" style="87" customWidth="1"/>
    <col min="11013" max="11013" width="49.85546875" style="87" customWidth="1"/>
    <col min="11014" max="11264" width="9.140625" style="87"/>
    <col min="11265" max="11265" width="64.140625" style="87" customWidth="1"/>
    <col min="11266" max="11266" width="51.85546875" style="87" customWidth="1"/>
    <col min="11267" max="11267" width="49.85546875" style="87" customWidth="1"/>
    <col min="11268" max="11268" width="51" style="87" customWidth="1"/>
    <col min="11269" max="11269" width="49.85546875" style="87" customWidth="1"/>
    <col min="11270" max="11520" width="9.140625" style="87"/>
    <col min="11521" max="11521" width="64.140625" style="87" customWidth="1"/>
    <col min="11522" max="11522" width="51.85546875" style="87" customWidth="1"/>
    <col min="11523" max="11523" width="49.85546875" style="87" customWidth="1"/>
    <col min="11524" max="11524" width="51" style="87" customWidth="1"/>
    <col min="11525" max="11525" width="49.85546875" style="87" customWidth="1"/>
    <col min="11526" max="11776" width="9.140625" style="87"/>
    <col min="11777" max="11777" width="64.140625" style="87" customWidth="1"/>
    <col min="11778" max="11778" width="51.85546875" style="87" customWidth="1"/>
    <col min="11779" max="11779" width="49.85546875" style="87" customWidth="1"/>
    <col min="11780" max="11780" width="51" style="87" customWidth="1"/>
    <col min="11781" max="11781" width="49.85546875" style="87" customWidth="1"/>
    <col min="11782" max="12032" width="9.140625" style="87"/>
    <col min="12033" max="12033" width="64.140625" style="87" customWidth="1"/>
    <col min="12034" max="12034" width="51.85546875" style="87" customWidth="1"/>
    <col min="12035" max="12035" width="49.85546875" style="87" customWidth="1"/>
    <col min="12036" max="12036" width="51" style="87" customWidth="1"/>
    <col min="12037" max="12037" width="49.85546875" style="87" customWidth="1"/>
    <col min="12038" max="12288" width="9.140625" style="87"/>
    <col min="12289" max="12289" width="64.140625" style="87" customWidth="1"/>
    <col min="12290" max="12290" width="51.85546875" style="87" customWidth="1"/>
    <col min="12291" max="12291" width="49.85546875" style="87" customWidth="1"/>
    <col min="12292" max="12292" width="51" style="87" customWidth="1"/>
    <col min="12293" max="12293" width="49.85546875" style="87" customWidth="1"/>
    <col min="12294" max="12544" width="9.140625" style="87"/>
    <col min="12545" max="12545" width="64.140625" style="87" customWidth="1"/>
    <col min="12546" max="12546" width="51.85546875" style="87" customWidth="1"/>
    <col min="12547" max="12547" width="49.85546875" style="87" customWidth="1"/>
    <col min="12548" max="12548" width="51" style="87" customWidth="1"/>
    <col min="12549" max="12549" width="49.85546875" style="87" customWidth="1"/>
    <col min="12550" max="12800" width="9.140625" style="87"/>
    <col min="12801" max="12801" width="64.140625" style="87" customWidth="1"/>
    <col min="12802" max="12802" width="51.85546875" style="87" customWidth="1"/>
    <col min="12803" max="12803" width="49.85546875" style="87" customWidth="1"/>
    <col min="12804" max="12804" width="51" style="87" customWidth="1"/>
    <col min="12805" max="12805" width="49.85546875" style="87" customWidth="1"/>
    <col min="12806" max="13056" width="9.140625" style="87"/>
    <col min="13057" max="13057" width="64.140625" style="87" customWidth="1"/>
    <col min="13058" max="13058" width="51.85546875" style="87" customWidth="1"/>
    <col min="13059" max="13059" width="49.85546875" style="87" customWidth="1"/>
    <col min="13060" max="13060" width="51" style="87" customWidth="1"/>
    <col min="13061" max="13061" width="49.85546875" style="87" customWidth="1"/>
    <col min="13062" max="13312" width="9.140625" style="87"/>
    <col min="13313" max="13313" width="64.140625" style="87" customWidth="1"/>
    <col min="13314" max="13314" width="51.85546875" style="87" customWidth="1"/>
    <col min="13315" max="13315" width="49.85546875" style="87" customWidth="1"/>
    <col min="13316" max="13316" width="51" style="87" customWidth="1"/>
    <col min="13317" max="13317" width="49.85546875" style="87" customWidth="1"/>
    <col min="13318" max="13568" width="9.140625" style="87"/>
    <col min="13569" max="13569" width="64.140625" style="87" customWidth="1"/>
    <col min="13570" max="13570" width="51.85546875" style="87" customWidth="1"/>
    <col min="13571" max="13571" width="49.85546875" style="87" customWidth="1"/>
    <col min="13572" max="13572" width="51" style="87" customWidth="1"/>
    <col min="13573" max="13573" width="49.85546875" style="87" customWidth="1"/>
    <col min="13574" max="13824" width="9.140625" style="87"/>
    <col min="13825" max="13825" width="64.140625" style="87" customWidth="1"/>
    <col min="13826" max="13826" width="51.85546875" style="87" customWidth="1"/>
    <col min="13827" max="13827" width="49.85546875" style="87" customWidth="1"/>
    <col min="13828" max="13828" width="51" style="87" customWidth="1"/>
    <col min="13829" max="13829" width="49.85546875" style="87" customWidth="1"/>
    <col min="13830" max="14080" width="9.140625" style="87"/>
    <col min="14081" max="14081" width="64.140625" style="87" customWidth="1"/>
    <col min="14082" max="14082" width="51.85546875" style="87" customWidth="1"/>
    <col min="14083" max="14083" width="49.85546875" style="87" customWidth="1"/>
    <col min="14084" max="14084" width="51" style="87" customWidth="1"/>
    <col min="14085" max="14085" width="49.85546875" style="87" customWidth="1"/>
    <col min="14086" max="14336" width="9.140625" style="87"/>
    <col min="14337" max="14337" width="64.140625" style="87" customWidth="1"/>
    <col min="14338" max="14338" width="51.85546875" style="87" customWidth="1"/>
    <col min="14339" max="14339" width="49.85546875" style="87" customWidth="1"/>
    <col min="14340" max="14340" width="51" style="87" customWidth="1"/>
    <col min="14341" max="14341" width="49.85546875" style="87" customWidth="1"/>
    <col min="14342" max="14592" width="9.140625" style="87"/>
    <col min="14593" max="14593" width="64.140625" style="87" customWidth="1"/>
    <col min="14594" max="14594" width="51.85546875" style="87" customWidth="1"/>
    <col min="14595" max="14595" width="49.85546875" style="87" customWidth="1"/>
    <col min="14596" max="14596" width="51" style="87" customWidth="1"/>
    <col min="14597" max="14597" width="49.85546875" style="87" customWidth="1"/>
    <col min="14598" max="14848" width="9.140625" style="87"/>
    <col min="14849" max="14849" width="64.140625" style="87" customWidth="1"/>
    <col min="14850" max="14850" width="51.85546875" style="87" customWidth="1"/>
    <col min="14851" max="14851" width="49.85546875" style="87" customWidth="1"/>
    <col min="14852" max="14852" width="51" style="87" customWidth="1"/>
    <col min="14853" max="14853" width="49.85546875" style="87" customWidth="1"/>
    <col min="14854" max="15104" width="9.140625" style="87"/>
    <col min="15105" max="15105" width="64.140625" style="87" customWidth="1"/>
    <col min="15106" max="15106" width="51.85546875" style="87" customWidth="1"/>
    <col min="15107" max="15107" width="49.85546875" style="87" customWidth="1"/>
    <col min="15108" max="15108" width="51" style="87" customWidth="1"/>
    <col min="15109" max="15109" width="49.85546875" style="87" customWidth="1"/>
    <col min="15110" max="15360" width="9.140625" style="87"/>
    <col min="15361" max="15361" width="64.140625" style="87" customWidth="1"/>
    <col min="15362" max="15362" width="51.85546875" style="87" customWidth="1"/>
    <col min="15363" max="15363" width="49.85546875" style="87" customWidth="1"/>
    <col min="15364" max="15364" width="51" style="87" customWidth="1"/>
    <col min="15365" max="15365" width="49.85546875" style="87" customWidth="1"/>
    <col min="15366" max="15616" width="9.140625" style="87"/>
    <col min="15617" max="15617" width="64.140625" style="87" customWidth="1"/>
    <col min="15618" max="15618" width="51.85546875" style="87" customWidth="1"/>
    <col min="15619" max="15619" width="49.85546875" style="87" customWidth="1"/>
    <col min="15620" max="15620" width="51" style="87" customWidth="1"/>
    <col min="15621" max="15621" width="49.85546875" style="87" customWidth="1"/>
    <col min="15622" max="15872" width="9.140625" style="87"/>
    <col min="15873" max="15873" width="64.140625" style="87" customWidth="1"/>
    <col min="15874" max="15874" width="51.85546875" style="87" customWidth="1"/>
    <col min="15875" max="15875" width="49.85546875" style="87" customWidth="1"/>
    <col min="15876" max="15876" width="51" style="87" customWidth="1"/>
    <col min="15877" max="15877" width="49.85546875" style="87" customWidth="1"/>
    <col min="15878" max="16128" width="9.140625" style="87"/>
    <col min="16129" max="16129" width="64.140625" style="87" customWidth="1"/>
    <col min="16130" max="16130" width="51.85546875" style="87" customWidth="1"/>
    <col min="16131" max="16131" width="49.85546875" style="87" customWidth="1"/>
    <col min="16132" max="16132" width="51" style="87" customWidth="1"/>
    <col min="16133" max="16133" width="49.85546875" style="87" customWidth="1"/>
    <col min="16134" max="16384" width="9.140625" style="87"/>
  </cols>
  <sheetData>
    <row r="1" spans="1:5" ht="18">
      <c r="A1" s="99" t="s">
        <v>972</v>
      </c>
      <c r="B1" s="86" t="s">
        <v>973</v>
      </c>
      <c r="C1" s="100" t="s">
        <v>974</v>
      </c>
      <c r="D1" s="100" t="s">
        <v>975</v>
      </c>
      <c r="E1" s="100" t="s">
        <v>976</v>
      </c>
    </row>
    <row r="2" spans="1:5" ht="54">
      <c r="A2" s="99"/>
      <c r="B2" s="88" t="s">
        <v>977</v>
      </c>
      <c r="C2" s="100"/>
      <c r="D2" s="100"/>
      <c r="E2" s="100"/>
    </row>
    <row r="3" spans="1:5" ht="128.25" customHeight="1">
      <c r="A3" s="89" t="s">
        <v>942</v>
      </c>
      <c r="B3" s="90" t="s">
        <v>978</v>
      </c>
      <c r="D3" s="91" t="s">
        <v>979</v>
      </c>
    </row>
    <row r="4" spans="1:5" ht="128.25" customHeight="1">
      <c r="A4" s="89" t="s">
        <v>980</v>
      </c>
      <c r="B4" s="90" t="s">
        <v>981</v>
      </c>
      <c r="D4" s="91" t="s">
        <v>982</v>
      </c>
    </row>
    <row r="5" spans="1:5" ht="128.25" customHeight="1">
      <c r="A5" s="89" t="s">
        <v>983</v>
      </c>
      <c r="B5" s="90" t="s">
        <v>984</v>
      </c>
      <c r="D5" s="91" t="s">
        <v>985</v>
      </c>
    </row>
    <row r="6" spans="1:5" ht="128.25" customHeight="1">
      <c r="A6" s="89" t="s">
        <v>986</v>
      </c>
      <c r="B6" s="90" t="s">
        <v>987</v>
      </c>
      <c r="D6" s="91" t="s">
        <v>988</v>
      </c>
    </row>
    <row r="7" spans="1:5" ht="128.25" customHeight="1">
      <c r="A7" s="89" t="s">
        <v>989</v>
      </c>
      <c r="B7" s="90" t="s">
        <v>990</v>
      </c>
      <c r="D7" s="91" t="s">
        <v>991</v>
      </c>
    </row>
    <row r="8" spans="1:5" ht="128.25" customHeight="1">
      <c r="A8" s="92" t="s">
        <v>992</v>
      </c>
      <c r="B8" s="93" t="s">
        <v>993</v>
      </c>
      <c r="D8" s="91" t="s">
        <v>994</v>
      </c>
    </row>
    <row r="9" spans="1:5" ht="128.25" customHeight="1">
      <c r="A9" s="92" t="s">
        <v>943</v>
      </c>
      <c r="B9" s="93" t="s">
        <v>995</v>
      </c>
      <c r="D9" s="91" t="s">
        <v>996</v>
      </c>
    </row>
    <row r="10" spans="1:5" ht="128.25" customHeight="1">
      <c r="A10" s="92" t="s">
        <v>946</v>
      </c>
      <c r="B10" s="93" t="s">
        <v>997</v>
      </c>
      <c r="D10" s="91" t="s">
        <v>998</v>
      </c>
    </row>
    <row r="11" spans="1:5" ht="128.25" customHeight="1">
      <c r="A11" s="92" t="s">
        <v>947</v>
      </c>
      <c r="B11" s="93" t="s">
        <v>999</v>
      </c>
      <c r="D11" s="91" t="s">
        <v>1000</v>
      </c>
    </row>
    <row r="12" spans="1:5" ht="128.25" customHeight="1">
      <c r="A12" s="92" t="s">
        <v>949</v>
      </c>
      <c r="B12" s="93" t="s">
        <v>1001</v>
      </c>
      <c r="D12" s="91" t="s">
        <v>1002</v>
      </c>
    </row>
    <row r="13" spans="1:5" ht="128.25" customHeight="1">
      <c r="A13" s="92" t="s">
        <v>1003</v>
      </c>
      <c r="B13" s="93" t="s">
        <v>1004</v>
      </c>
      <c r="D13" s="91" t="s">
        <v>1005</v>
      </c>
    </row>
    <row r="14" spans="1:5" ht="128.25" customHeight="1">
      <c r="A14" s="92" t="s">
        <v>1006</v>
      </c>
      <c r="B14" s="93" t="s">
        <v>1007</v>
      </c>
      <c r="D14" s="91" t="s">
        <v>1008</v>
      </c>
    </row>
    <row r="15" spans="1:5" ht="128.25" customHeight="1">
      <c r="A15" s="92" t="s">
        <v>1009</v>
      </c>
      <c r="B15" s="93" t="s">
        <v>1010</v>
      </c>
      <c r="D15" s="91" t="s">
        <v>1011</v>
      </c>
    </row>
    <row r="16" spans="1:5" ht="128.25" customHeight="1">
      <c r="A16" s="92" t="s">
        <v>1012</v>
      </c>
      <c r="B16" s="93" t="s">
        <v>1013</v>
      </c>
      <c r="D16" s="91" t="s">
        <v>1011</v>
      </c>
    </row>
    <row r="17" spans="1:5" ht="128.25" customHeight="1">
      <c r="A17" s="92" t="s">
        <v>944</v>
      </c>
      <c r="B17" s="93" t="s">
        <v>1014</v>
      </c>
      <c r="D17" s="91" t="s">
        <v>1015</v>
      </c>
    </row>
    <row r="18" spans="1:5" ht="128.25" customHeight="1">
      <c r="A18" s="92" t="s">
        <v>1016</v>
      </c>
      <c r="B18" s="93" t="s">
        <v>1017</v>
      </c>
      <c r="D18" s="91" t="s">
        <v>1018</v>
      </c>
    </row>
    <row r="19" spans="1:5" ht="128.25" customHeight="1">
      <c r="A19" s="92" t="s">
        <v>1019</v>
      </c>
      <c r="B19" s="93" t="s">
        <v>1020</v>
      </c>
      <c r="D19" s="91" t="s">
        <v>1021</v>
      </c>
    </row>
    <row r="20" spans="1:5" ht="128.25" customHeight="1">
      <c r="A20" s="92" t="s">
        <v>1022</v>
      </c>
      <c r="B20" s="93" t="s">
        <v>1023</v>
      </c>
      <c r="D20" s="91" t="s">
        <v>1024</v>
      </c>
    </row>
    <row r="21" spans="1:5" s="94" customFormat="1" ht="128.25" customHeight="1">
      <c r="A21" s="92" t="s">
        <v>1025</v>
      </c>
      <c r="B21" s="93" t="s">
        <v>1026</v>
      </c>
      <c r="C21" s="87"/>
      <c r="D21" s="91" t="s">
        <v>1027</v>
      </c>
      <c r="E21" s="87"/>
    </row>
    <row r="22" spans="1:5" ht="15.75">
      <c r="B22" s="96" t="s">
        <v>1028</v>
      </c>
      <c r="C22" s="89"/>
      <c r="D22" s="97"/>
      <c r="E22" s="89"/>
    </row>
  </sheetData>
  <mergeCells count="4">
    <mergeCell ref="A1:A2"/>
    <mergeCell ref="C1:C2"/>
    <mergeCell ref="D1:D2"/>
    <mergeCell ref="E1: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9"/>
  <sheetViews>
    <sheetView topLeftCell="A6" workbookViewId="0">
      <selection activeCell="B30" sqref="B30"/>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0.75" customHeight="1">
      <c r="A3" s="1"/>
      <c r="B3" s="104" t="s">
        <v>942</v>
      </c>
      <c r="C3" s="104"/>
      <c r="D3" s="104"/>
      <c r="E3" s="104"/>
      <c r="F3" s="104"/>
      <c r="G3" s="104"/>
      <c r="H3" s="104"/>
    </row>
    <row r="4" spans="1:8" ht="12.95" customHeight="1">
      <c r="A4" s="2"/>
      <c r="B4" s="1"/>
      <c r="C4" s="1"/>
      <c r="D4" s="1"/>
      <c r="E4" s="1"/>
      <c r="F4" s="1"/>
      <c r="G4" s="1"/>
      <c r="H4" s="1"/>
    </row>
    <row r="5" spans="1:8" ht="27.95" customHeight="1">
      <c r="A5" s="1"/>
      <c r="B5" s="3" t="s">
        <v>2</v>
      </c>
      <c r="C5" s="4" t="s">
        <v>3</v>
      </c>
      <c r="D5" s="4" t="s">
        <v>4</v>
      </c>
      <c r="E5" s="4" t="s">
        <v>5</v>
      </c>
      <c r="F5" s="4" t="s">
        <v>6</v>
      </c>
      <c r="G5" s="4" t="s">
        <v>7</v>
      </c>
      <c r="H5" s="32" t="s">
        <v>959</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10</v>
      </c>
      <c r="B8" s="11" t="s">
        <v>11</v>
      </c>
      <c r="C8" s="12" t="s">
        <v>12</v>
      </c>
      <c r="D8" s="7" t="s">
        <v>13</v>
      </c>
      <c r="E8" s="13">
        <v>5000000</v>
      </c>
      <c r="F8" s="14">
        <v>5041.34</v>
      </c>
      <c r="G8" s="14">
        <v>2.74</v>
      </c>
      <c r="H8" s="15">
        <v>3.7718000000000002E-2</v>
      </c>
    </row>
    <row r="9" spans="1:8" ht="12.95" customHeight="1">
      <c r="A9" s="10" t="s">
        <v>14</v>
      </c>
      <c r="B9" s="11" t="s">
        <v>15</v>
      </c>
      <c r="C9" s="12" t="s">
        <v>16</v>
      </c>
      <c r="D9" s="7" t="s">
        <v>13</v>
      </c>
      <c r="E9" s="13">
        <v>5000000</v>
      </c>
      <c r="F9" s="14">
        <v>5002.84</v>
      </c>
      <c r="G9" s="14">
        <v>2.72</v>
      </c>
      <c r="H9" s="15">
        <v>3.3506000000000001E-2</v>
      </c>
    </row>
    <row r="10" spans="1:8" ht="12.95" customHeight="1">
      <c r="A10" s="10" t="s">
        <v>17</v>
      </c>
      <c r="B10" s="11" t="s">
        <v>18</v>
      </c>
      <c r="C10" s="12" t="s">
        <v>19</v>
      </c>
      <c r="D10" s="7" t="s">
        <v>20</v>
      </c>
      <c r="E10" s="13">
        <v>3500000</v>
      </c>
      <c r="F10" s="14">
        <v>3509.4</v>
      </c>
      <c r="G10" s="14">
        <v>1.91</v>
      </c>
      <c r="H10" s="15">
        <v>3.7400000000000003E-2</v>
      </c>
    </row>
    <row r="11" spans="1:8" ht="12.95" customHeight="1">
      <c r="A11" s="1"/>
      <c r="B11" s="6" t="s">
        <v>21</v>
      </c>
      <c r="C11" s="7"/>
      <c r="D11" s="7"/>
      <c r="E11" s="7"/>
      <c r="F11" s="16">
        <v>13553.58</v>
      </c>
      <c r="G11" s="16">
        <v>7.37</v>
      </c>
      <c r="H11" s="17"/>
    </row>
    <row r="12" spans="1:8" ht="12.95" customHeight="1">
      <c r="A12" s="1"/>
      <c r="B12" s="18" t="s">
        <v>22</v>
      </c>
      <c r="C12" s="19"/>
      <c r="D12" s="19"/>
      <c r="E12" s="20"/>
      <c r="F12" s="21" t="s">
        <v>23</v>
      </c>
      <c r="G12" s="21"/>
      <c r="H12" s="22"/>
    </row>
    <row r="13" spans="1:8" ht="12.95" customHeight="1">
      <c r="A13" s="1"/>
      <c r="B13" s="23" t="s">
        <v>21</v>
      </c>
      <c r="C13" s="24"/>
      <c r="D13" s="24"/>
      <c r="E13" s="21"/>
      <c r="F13" s="21" t="s">
        <v>23</v>
      </c>
      <c r="G13" s="21"/>
      <c r="H13" s="22"/>
    </row>
    <row r="14" spans="1:8" s="40" customFormat="1" ht="12.95" customHeight="1">
      <c r="A14" s="34"/>
      <c r="B14" s="35" t="s">
        <v>960</v>
      </c>
      <c r="C14" s="36"/>
      <c r="D14" s="36"/>
      <c r="E14" s="37"/>
      <c r="F14" s="38" t="s">
        <v>23</v>
      </c>
      <c r="G14" s="38"/>
      <c r="H14" s="39"/>
    </row>
    <row r="15" spans="1:8" s="40" customFormat="1" ht="12.95" customHeight="1">
      <c r="A15" s="34"/>
      <c r="B15" s="35" t="s">
        <v>21</v>
      </c>
      <c r="C15" s="36"/>
      <c r="D15" s="36"/>
      <c r="E15" s="37"/>
      <c r="F15" s="41" t="s">
        <v>23</v>
      </c>
      <c r="G15" s="42"/>
      <c r="H15" s="43"/>
    </row>
    <row r="16" spans="1:8" ht="12.95" customHeight="1">
      <c r="A16" s="1"/>
      <c r="B16" s="18" t="s">
        <v>24</v>
      </c>
      <c r="C16" s="19"/>
      <c r="D16" s="19"/>
      <c r="E16" s="25"/>
      <c r="F16" s="16">
        <v>13553.58</v>
      </c>
      <c r="G16" s="16">
        <v>7.37</v>
      </c>
      <c r="H16" s="22"/>
    </row>
    <row r="17" spans="1:8" ht="12.95" customHeight="1">
      <c r="A17" s="1"/>
      <c r="B17" s="6" t="s">
        <v>25</v>
      </c>
      <c r="C17" s="7"/>
      <c r="D17" s="7"/>
      <c r="E17" s="7"/>
      <c r="F17" s="7"/>
      <c r="G17" s="7"/>
      <c r="H17" s="8"/>
    </row>
    <row r="18" spans="1:8" ht="12.95" customHeight="1">
      <c r="A18" s="1"/>
      <c r="B18" s="6" t="s">
        <v>26</v>
      </c>
      <c r="C18" s="9"/>
      <c r="D18" s="9"/>
      <c r="E18" s="7"/>
      <c r="F18" s="7"/>
      <c r="G18" s="7"/>
      <c r="H18" s="8"/>
    </row>
    <row r="19" spans="1:8" ht="12.95" customHeight="1">
      <c r="A19" s="10" t="s">
        <v>27</v>
      </c>
      <c r="B19" s="11" t="s">
        <v>28</v>
      </c>
      <c r="C19" s="12" t="s">
        <v>29</v>
      </c>
      <c r="D19" s="7" t="s">
        <v>13</v>
      </c>
      <c r="E19" s="13">
        <v>10000000</v>
      </c>
      <c r="F19" s="14">
        <v>9929.7900000000009</v>
      </c>
      <c r="G19" s="14">
        <v>5.39</v>
      </c>
      <c r="H19" s="15">
        <v>3.7404E-2</v>
      </c>
    </row>
    <row r="20" spans="1:8" ht="12.95" customHeight="1">
      <c r="A20" s="10" t="s">
        <v>30</v>
      </c>
      <c r="B20" s="11" t="s">
        <v>31</v>
      </c>
      <c r="C20" s="12" t="s">
        <v>32</v>
      </c>
      <c r="D20" s="7" t="s">
        <v>13</v>
      </c>
      <c r="E20" s="13">
        <v>7500000</v>
      </c>
      <c r="F20" s="14">
        <v>7437.43</v>
      </c>
      <c r="G20" s="14">
        <v>4.04</v>
      </c>
      <c r="H20" s="15">
        <v>3.6999999999999998E-2</v>
      </c>
    </row>
    <row r="21" spans="1:8" ht="12.95" customHeight="1">
      <c r="A21" s="10" t="s">
        <v>33</v>
      </c>
      <c r="B21" s="11" t="s">
        <v>34</v>
      </c>
      <c r="C21" s="12" t="s">
        <v>35</v>
      </c>
      <c r="D21" s="7" t="s">
        <v>13</v>
      </c>
      <c r="E21" s="13">
        <v>5000000</v>
      </c>
      <c r="F21" s="14">
        <v>4964.8999999999996</v>
      </c>
      <c r="G21" s="14">
        <v>2.7</v>
      </c>
      <c r="H21" s="15">
        <v>3.7404E-2</v>
      </c>
    </row>
    <row r="22" spans="1:8" ht="12.95" customHeight="1">
      <c r="A22" s="10" t="s">
        <v>36</v>
      </c>
      <c r="B22" s="11" t="s">
        <v>37</v>
      </c>
      <c r="C22" s="12" t="s">
        <v>38</v>
      </c>
      <c r="D22" s="7" t="s">
        <v>13</v>
      </c>
      <c r="E22" s="13">
        <v>400000</v>
      </c>
      <c r="F22" s="14">
        <v>399.78</v>
      </c>
      <c r="G22" s="14">
        <v>0.22</v>
      </c>
      <c r="H22" s="15">
        <v>3.3449E-2</v>
      </c>
    </row>
    <row r="23" spans="1:8" ht="12.95" customHeight="1">
      <c r="A23" s="10" t="s">
        <v>39</v>
      </c>
      <c r="B23" s="11" t="s">
        <v>40</v>
      </c>
      <c r="C23" s="12" t="s">
        <v>41</v>
      </c>
      <c r="D23" s="7" t="s">
        <v>13</v>
      </c>
      <c r="E23" s="13">
        <v>400000</v>
      </c>
      <c r="F23" s="14">
        <v>399.03</v>
      </c>
      <c r="G23" s="14">
        <v>0.22</v>
      </c>
      <c r="H23" s="15">
        <v>3.2998E-2</v>
      </c>
    </row>
    <row r="24" spans="1:8" ht="12.95" customHeight="1">
      <c r="A24" s="1"/>
      <c r="B24" s="6" t="s">
        <v>21</v>
      </c>
      <c r="C24" s="7"/>
      <c r="D24" s="7"/>
      <c r="E24" s="7"/>
      <c r="F24" s="16">
        <v>23130.93</v>
      </c>
      <c r="G24" s="16">
        <v>12.57</v>
      </c>
      <c r="H24" s="17"/>
    </row>
    <row r="25" spans="1:8" ht="12.95" customHeight="1">
      <c r="A25" s="1"/>
      <c r="B25" s="6" t="s">
        <v>42</v>
      </c>
      <c r="C25" s="9"/>
      <c r="D25" s="9"/>
      <c r="E25" s="7"/>
      <c r="F25" s="7"/>
      <c r="G25" s="7"/>
      <c r="H25" s="8"/>
    </row>
    <row r="26" spans="1:8" ht="12.95" customHeight="1">
      <c r="A26" s="10" t="s">
        <v>43</v>
      </c>
      <c r="B26" s="11" t="s">
        <v>44</v>
      </c>
      <c r="C26" s="12" t="s">
        <v>45</v>
      </c>
      <c r="D26" s="7" t="s">
        <v>46</v>
      </c>
      <c r="E26" s="13">
        <v>5000000</v>
      </c>
      <c r="F26" s="14">
        <v>4991.5200000000004</v>
      </c>
      <c r="G26" s="14">
        <v>2.71</v>
      </c>
      <c r="H26" s="15">
        <v>3.6505000000000003E-2</v>
      </c>
    </row>
    <row r="27" spans="1:8" ht="12.95" customHeight="1">
      <c r="A27" s="10" t="s">
        <v>47</v>
      </c>
      <c r="B27" s="11" t="s">
        <v>48</v>
      </c>
      <c r="C27" s="12" t="s">
        <v>49</v>
      </c>
      <c r="D27" s="7" t="s">
        <v>50</v>
      </c>
      <c r="E27" s="13">
        <v>5000000</v>
      </c>
      <c r="F27" s="14">
        <v>4983.29</v>
      </c>
      <c r="G27" s="14">
        <v>2.71</v>
      </c>
      <c r="H27" s="15">
        <v>3.9498999999999999E-2</v>
      </c>
    </row>
    <row r="28" spans="1:8" ht="12.95" customHeight="1">
      <c r="A28" s="10" t="s">
        <v>51</v>
      </c>
      <c r="B28" s="11" t="s">
        <v>52</v>
      </c>
      <c r="C28" s="12" t="s">
        <v>53</v>
      </c>
      <c r="D28" s="7" t="s">
        <v>46</v>
      </c>
      <c r="E28" s="13">
        <v>5000000</v>
      </c>
      <c r="F28" s="14">
        <v>4982.74</v>
      </c>
      <c r="G28" s="14">
        <v>2.71</v>
      </c>
      <c r="H28" s="15">
        <v>3.7186999999999998E-2</v>
      </c>
    </row>
    <row r="29" spans="1:8" ht="12.95" customHeight="1">
      <c r="A29" s="10" t="s">
        <v>54</v>
      </c>
      <c r="B29" s="11" t="s">
        <v>55</v>
      </c>
      <c r="C29" s="12" t="s">
        <v>56</v>
      </c>
      <c r="D29" s="7" t="s">
        <v>50</v>
      </c>
      <c r="E29" s="13">
        <v>5000000</v>
      </c>
      <c r="F29" s="14">
        <v>4979.79</v>
      </c>
      <c r="G29" s="14">
        <v>2.7</v>
      </c>
      <c r="H29" s="15">
        <v>3.8996999999999997E-2</v>
      </c>
    </row>
    <row r="30" spans="1:8" ht="12.95" customHeight="1">
      <c r="A30" s="10" t="s">
        <v>57</v>
      </c>
      <c r="B30" s="11" t="s">
        <v>58</v>
      </c>
      <c r="C30" s="12" t="s">
        <v>59</v>
      </c>
      <c r="D30" s="7" t="s">
        <v>46</v>
      </c>
      <c r="E30" s="13">
        <v>5000000</v>
      </c>
      <c r="F30" s="14">
        <v>4974.96</v>
      </c>
      <c r="G30" s="14">
        <v>2.7</v>
      </c>
      <c r="H30" s="15">
        <v>3.7499999999999999E-2</v>
      </c>
    </row>
    <row r="31" spans="1:8" ht="12.95" customHeight="1">
      <c r="A31" s="10" t="s">
        <v>60</v>
      </c>
      <c r="B31" s="11" t="s">
        <v>61</v>
      </c>
      <c r="C31" s="12" t="s">
        <v>62</v>
      </c>
      <c r="D31" s="7" t="s">
        <v>63</v>
      </c>
      <c r="E31" s="13">
        <v>5000000</v>
      </c>
      <c r="F31" s="14">
        <v>4972.5600000000004</v>
      </c>
      <c r="G31" s="14">
        <v>2.7</v>
      </c>
      <c r="H31" s="15">
        <v>3.7999999999999999E-2</v>
      </c>
    </row>
    <row r="32" spans="1:8" ht="12.95" customHeight="1">
      <c r="A32" s="10" t="s">
        <v>64</v>
      </c>
      <c r="B32" s="11" t="s">
        <v>65</v>
      </c>
      <c r="C32" s="12" t="s">
        <v>66</v>
      </c>
      <c r="D32" s="7" t="s">
        <v>50</v>
      </c>
      <c r="E32" s="13">
        <v>5000000</v>
      </c>
      <c r="F32" s="14">
        <v>4968.22</v>
      </c>
      <c r="G32" s="14">
        <v>2.7</v>
      </c>
      <c r="H32" s="15">
        <v>3.8275000000000003E-2</v>
      </c>
    </row>
    <row r="33" spans="1:8" ht="12.95" customHeight="1">
      <c r="A33" s="10" t="s">
        <v>67</v>
      </c>
      <c r="B33" s="11" t="s">
        <v>68</v>
      </c>
      <c r="C33" s="12" t="s">
        <v>69</v>
      </c>
      <c r="D33" s="7" t="s">
        <v>50</v>
      </c>
      <c r="E33" s="13">
        <v>5000000</v>
      </c>
      <c r="F33" s="14">
        <v>4964.2299999999996</v>
      </c>
      <c r="G33" s="14">
        <v>2.7</v>
      </c>
      <c r="H33" s="15">
        <v>3.8123999999999998E-2</v>
      </c>
    </row>
    <row r="34" spans="1:8" ht="12.95" customHeight="1">
      <c r="A34" s="10" t="s">
        <v>70</v>
      </c>
      <c r="B34" s="11" t="s">
        <v>71</v>
      </c>
      <c r="C34" s="12" t="s">
        <v>72</v>
      </c>
      <c r="D34" s="7" t="s">
        <v>50</v>
      </c>
      <c r="E34" s="13">
        <v>3000000</v>
      </c>
      <c r="F34" s="14">
        <v>2980.69</v>
      </c>
      <c r="G34" s="14">
        <v>1.62</v>
      </c>
      <c r="H34" s="15">
        <v>3.8150000000000003E-2</v>
      </c>
    </row>
    <row r="35" spans="1:8" ht="12.95" customHeight="1">
      <c r="A35" s="10" t="s">
        <v>73</v>
      </c>
      <c r="B35" s="11" t="s">
        <v>65</v>
      </c>
      <c r="C35" s="12" t="s">
        <v>74</v>
      </c>
      <c r="D35" s="7" t="s">
        <v>46</v>
      </c>
      <c r="E35" s="13">
        <v>2000000</v>
      </c>
      <c r="F35" s="14">
        <v>1981.28</v>
      </c>
      <c r="G35" s="14">
        <v>1.08</v>
      </c>
      <c r="H35" s="15">
        <v>3.8748999999999999E-2</v>
      </c>
    </row>
    <row r="36" spans="1:8" ht="12.95" customHeight="1">
      <c r="A36" s="1"/>
      <c r="B36" s="6" t="s">
        <v>21</v>
      </c>
      <c r="C36" s="7"/>
      <c r="D36" s="7"/>
      <c r="E36" s="7"/>
      <c r="F36" s="16">
        <v>44779.28</v>
      </c>
      <c r="G36" s="16">
        <v>24.33</v>
      </c>
      <c r="H36" s="17"/>
    </row>
    <row r="37" spans="1:8" ht="12.95" customHeight="1">
      <c r="A37" s="1"/>
      <c r="B37" s="6" t="s">
        <v>75</v>
      </c>
      <c r="C37" s="9"/>
      <c r="D37" s="9"/>
      <c r="E37" s="7"/>
      <c r="F37" s="7"/>
      <c r="G37" s="7"/>
      <c r="H37" s="8"/>
    </row>
    <row r="38" spans="1:8" ht="12.95" customHeight="1">
      <c r="A38" s="33"/>
      <c r="B38" s="35" t="s">
        <v>961</v>
      </c>
      <c r="C38" s="9"/>
      <c r="D38" s="9"/>
      <c r="E38" s="7"/>
      <c r="F38" s="7"/>
      <c r="G38" s="7"/>
      <c r="H38" s="8"/>
    </row>
    <row r="39" spans="1:8" ht="12.95" customHeight="1">
      <c r="A39" s="10" t="s">
        <v>76</v>
      </c>
      <c r="B39" s="11" t="s">
        <v>77</v>
      </c>
      <c r="C39" s="12" t="s">
        <v>78</v>
      </c>
      <c r="D39" s="7" t="s">
        <v>50</v>
      </c>
      <c r="E39" s="13">
        <v>7500000</v>
      </c>
      <c r="F39" s="14">
        <v>7458.35</v>
      </c>
      <c r="G39" s="14">
        <v>4.05</v>
      </c>
      <c r="H39" s="15">
        <v>3.7747000000000003E-2</v>
      </c>
    </row>
    <row r="40" spans="1:8" ht="12.95" customHeight="1">
      <c r="A40" s="10" t="s">
        <v>79</v>
      </c>
      <c r="B40" s="11" t="s">
        <v>80</v>
      </c>
      <c r="C40" s="12" t="s">
        <v>81</v>
      </c>
      <c r="D40" s="7" t="s">
        <v>50</v>
      </c>
      <c r="E40" s="13">
        <v>5500000</v>
      </c>
      <c r="F40" s="14">
        <v>5462.26</v>
      </c>
      <c r="G40" s="14">
        <v>2.97</v>
      </c>
      <c r="H40" s="15">
        <v>4.8499E-2</v>
      </c>
    </row>
    <row r="41" spans="1:8" ht="12.95" customHeight="1">
      <c r="A41" s="10" t="s">
        <v>82</v>
      </c>
      <c r="B41" s="11" t="s">
        <v>83</v>
      </c>
      <c r="C41" s="12" t="s">
        <v>84</v>
      </c>
      <c r="D41" s="7" t="s">
        <v>63</v>
      </c>
      <c r="E41" s="13">
        <v>5000000</v>
      </c>
      <c r="F41" s="14">
        <v>4996.24</v>
      </c>
      <c r="G41" s="14">
        <v>2.71</v>
      </c>
      <c r="H41" s="15">
        <v>3.9240999999999998E-2</v>
      </c>
    </row>
    <row r="42" spans="1:8" ht="12.95" customHeight="1">
      <c r="A42" s="10" t="s">
        <v>85</v>
      </c>
      <c r="B42" s="11" t="s">
        <v>86</v>
      </c>
      <c r="C42" s="12" t="s">
        <v>87</v>
      </c>
      <c r="D42" s="7" t="s">
        <v>50</v>
      </c>
      <c r="E42" s="13">
        <v>5000000</v>
      </c>
      <c r="F42" s="14">
        <v>4994.3999999999996</v>
      </c>
      <c r="G42" s="14">
        <v>2.71</v>
      </c>
      <c r="H42" s="15">
        <v>3.7255000000000003E-2</v>
      </c>
    </row>
    <row r="43" spans="1:8" ht="12.95" customHeight="1">
      <c r="A43" s="10" t="s">
        <v>88</v>
      </c>
      <c r="B43" s="11" t="s">
        <v>89</v>
      </c>
      <c r="C43" s="12" t="s">
        <v>90</v>
      </c>
      <c r="D43" s="7" t="s">
        <v>91</v>
      </c>
      <c r="E43" s="13">
        <v>5000000</v>
      </c>
      <c r="F43" s="14">
        <v>4991.29</v>
      </c>
      <c r="G43" s="14">
        <v>2.71</v>
      </c>
      <c r="H43" s="15">
        <v>3.7498999999999998E-2</v>
      </c>
    </row>
    <row r="44" spans="1:8" ht="12.95" customHeight="1">
      <c r="A44" s="10" t="s">
        <v>92</v>
      </c>
      <c r="B44" s="11" t="s">
        <v>93</v>
      </c>
      <c r="C44" s="12" t="s">
        <v>94</v>
      </c>
      <c r="D44" s="7" t="s">
        <v>63</v>
      </c>
      <c r="E44" s="13">
        <v>5000000</v>
      </c>
      <c r="F44" s="14">
        <v>4987.13</v>
      </c>
      <c r="G44" s="14">
        <v>2.71</v>
      </c>
      <c r="H44" s="15">
        <v>3.9254999999999998E-2</v>
      </c>
    </row>
    <row r="45" spans="1:8" ht="12.95" customHeight="1">
      <c r="A45" s="10" t="s">
        <v>95</v>
      </c>
      <c r="B45" s="11" t="s">
        <v>96</v>
      </c>
      <c r="C45" s="12" t="s">
        <v>97</v>
      </c>
      <c r="D45" s="7" t="s">
        <v>50</v>
      </c>
      <c r="E45" s="13">
        <v>5000000</v>
      </c>
      <c r="F45" s="14">
        <v>4984.8900000000003</v>
      </c>
      <c r="G45" s="14">
        <v>2.71</v>
      </c>
      <c r="H45" s="15">
        <v>4.0996999999999999E-2</v>
      </c>
    </row>
    <row r="46" spans="1:8" ht="12.95" customHeight="1">
      <c r="A46" s="10" t="s">
        <v>98</v>
      </c>
      <c r="B46" s="11" t="s">
        <v>99</v>
      </c>
      <c r="C46" s="12" t="s">
        <v>100</v>
      </c>
      <c r="D46" s="7" t="s">
        <v>50</v>
      </c>
      <c r="E46" s="13">
        <v>5000000</v>
      </c>
      <c r="F46" s="14">
        <v>4973.3</v>
      </c>
      <c r="G46" s="14">
        <v>2.7</v>
      </c>
      <c r="H46" s="15">
        <v>4.2599999999999999E-2</v>
      </c>
    </row>
    <row r="47" spans="1:8" ht="12.95" customHeight="1">
      <c r="A47" s="10" t="s">
        <v>101</v>
      </c>
      <c r="B47" s="11" t="s">
        <v>77</v>
      </c>
      <c r="C47" s="12" t="s">
        <v>102</v>
      </c>
      <c r="D47" s="7" t="s">
        <v>50</v>
      </c>
      <c r="E47" s="13">
        <v>5000000</v>
      </c>
      <c r="F47" s="14">
        <v>4969.68</v>
      </c>
      <c r="G47" s="14">
        <v>2.7</v>
      </c>
      <c r="H47" s="15">
        <v>3.7749999999999999E-2</v>
      </c>
    </row>
    <row r="48" spans="1:8" ht="12.95" customHeight="1">
      <c r="A48" s="10" t="s">
        <v>103</v>
      </c>
      <c r="B48" s="11" t="s">
        <v>104</v>
      </c>
      <c r="C48" s="12" t="s">
        <v>105</v>
      </c>
      <c r="D48" s="7" t="s">
        <v>50</v>
      </c>
      <c r="E48" s="13">
        <v>5000000</v>
      </c>
      <c r="F48" s="14">
        <v>4965.87</v>
      </c>
      <c r="G48" s="14">
        <v>2.7</v>
      </c>
      <c r="H48" s="15">
        <v>4.8250000000000001E-2</v>
      </c>
    </row>
    <row r="49" spans="1:8" ht="12.95" customHeight="1">
      <c r="A49" s="10" t="s">
        <v>106</v>
      </c>
      <c r="B49" s="11" t="s">
        <v>107</v>
      </c>
      <c r="C49" s="12" t="s">
        <v>108</v>
      </c>
      <c r="D49" s="7" t="s">
        <v>50</v>
      </c>
      <c r="E49" s="13">
        <v>5000000</v>
      </c>
      <c r="F49" s="14">
        <v>4951.59</v>
      </c>
      <c r="G49" s="14">
        <v>2.69</v>
      </c>
      <c r="H49" s="15">
        <v>4.2999999999999997E-2</v>
      </c>
    </row>
    <row r="50" spans="1:8" ht="12.95" customHeight="1">
      <c r="A50" s="10" t="s">
        <v>109</v>
      </c>
      <c r="B50" s="11" t="s">
        <v>110</v>
      </c>
      <c r="C50" s="12" t="s">
        <v>111</v>
      </c>
      <c r="D50" s="7" t="s">
        <v>50</v>
      </c>
      <c r="E50" s="13">
        <v>4500000</v>
      </c>
      <c r="F50" s="14">
        <v>4464.6400000000003</v>
      </c>
      <c r="G50" s="14">
        <v>2.42</v>
      </c>
      <c r="H50" s="15">
        <v>4.9001000000000003E-2</v>
      </c>
    </row>
    <row r="51" spans="1:8" ht="12.95" customHeight="1">
      <c r="A51" s="10" t="s">
        <v>112</v>
      </c>
      <c r="B51" s="11" t="s">
        <v>113</v>
      </c>
      <c r="C51" s="12" t="s">
        <v>114</v>
      </c>
      <c r="D51" s="7" t="s">
        <v>63</v>
      </c>
      <c r="E51" s="13">
        <v>3000000</v>
      </c>
      <c r="F51" s="14">
        <v>2993.87</v>
      </c>
      <c r="G51" s="14">
        <v>1.63</v>
      </c>
      <c r="H51" s="15">
        <v>4.1500000000000002E-2</v>
      </c>
    </row>
    <row r="52" spans="1:8" ht="12.95" customHeight="1">
      <c r="A52" s="10" t="s">
        <v>115</v>
      </c>
      <c r="B52" s="11" t="s">
        <v>116</v>
      </c>
      <c r="C52" s="12" t="s">
        <v>117</v>
      </c>
      <c r="D52" s="7" t="s">
        <v>50</v>
      </c>
      <c r="E52" s="13">
        <v>2500000</v>
      </c>
      <c r="F52" s="14">
        <v>2483.9299999999998</v>
      </c>
      <c r="G52" s="14">
        <v>1.35</v>
      </c>
      <c r="H52" s="15">
        <v>4.3747000000000001E-2</v>
      </c>
    </row>
    <row r="53" spans="1:8" ht="12.95" customHeight="1">
      <c r="A53" s="10" t="s">
        <v>118</v>
      </c>
      <c r="B53" s="11" t="s">
        <v>119</v>
      </c>
      <c r="C53" s="12" t="s">
        <v>120</v>
      </c>
      <c r="D53" s="7" t="s">
        <v>50</v>
      </c>
      <c r="E53" s="13">
        <v>2500000</v>
      </c>
      <c r="F53" s="14">
        <v>2478.44</v>
      </c>
      <c r="G53" s="14">
        <v>1.35</v>
      </c>
      <c r="H53" s="15">
        <v>3.9698999999999998E-2</v>
      </c>
    </row>
    <row r="54" spans="1:8" ht="12.95" customHeight="1">
      <c r="A54" s="10" t="s">
        <v>121</v>
      </c>
      <c r="B54" s="11" t="s">
        <v>122</v>
      </c>
      <c r="C54" s="12" t="s">
        <v>123</v>
      </c>
      <c r="D54" s="7" t="s">
        <v>50</v>
      </c>
      <c r="E54" s="13">
        <v>2500000</v>
      </c>
      <c r="F54" s="14">
        <v>2476.6799999999998</v>
      </c>
      <c r="G54" s="14">
        <v>1.34</v>
      </c>
      <c r="H54" s="15">
        <v>3.9497999999999998E-2</v>
      </c>
    </row>
    <row r="55" spans="1:8" ht="12.95" customHeight="1">
      <c r="A55" s="1"/>
      <c r="B55" s="6" t="s">
        <v>21</v>
      </c>
      <c r="C55" s="7"/>
      <c r="D55" s="7"/>
      <c r="E55" s="7"/>
      <c r="F55" s="16">
        <v>72632.56</v>
      </c>
      <c r="G55" s="16">
        <v>39.450000000000003</v>
      </c>
      <c r="H55" s="17"/>
    </row>
    <row r="56" spans="1:8" ht="12.95" customHeight="1">
      <c r="A56" s="1"/>
      <c r="B56" s="44" t="s">
        <v>962</v>
      </c>
      <c r="C56" s="9"/>
      <c r="D56" s="9"/>
      <c r="E56" s="7"/>
      <c r="F56" s="7"/>
      <c r="G56" s="7"/>
      <c r="H56" s="8"/>
    </row>
    <row r="57" spans="1:8" ht="12.95" customHeight="1">
      <c r="A57" s="10" t="s">
        <v>124</v>
      </c>
      <c r="B57" s="45" t="s">
        <v>963</v>
      </c>
      <c r="C57" s="12"/>
      <c r="D57" s="7"/>
      <c r="E57" s="13"/>
      <c r="F57" s="14">
        <v>1907.29</v>
      </c>
      <c r="G57" s="14">
        <v>1.04</v>
      </c>
      <c r="H57" s="15">
        <v>3.6005000000000002E-2</v>
      </c>
    </row>
    <row r="58" spans="1:8" ht="12.95" customHeight="1">
      <c r="A58" s="1"/>
      <c r="B58" s="6" t="s">
        <v>21</v>
      </c>
      <c r="C58" s="7"/>
      <c r="D58" s="7"/>
      <c r="E58" s="7"/>
      <c r="F58" s="16">
        <v>1907.29</v>
      </c>
      <c r="G58" s="16">
        <v>1.04</v>
      </c>
      <c r="H58" s="17"/>
    </row>
    <row r="59" spans="1:8" ht="12.95" customHeight="1">
      <c r="A59" s="1"/>
      <c r="B59" s="6" t="s">
        <v>125</v>
      </c>
      <c r="C59" s="9"/>
      <c r="D59" s="9"/>
      <c r="E59" s="7"/>
      <c r="F59" s="7"/>
      <c r="G59" s="7"/>
      <c r="H59" s="8"/>
    </row>
    <row r="60" spans="1:8" ht="12.95" customHeight="1">
      <c r="A60" s="10" t="s">
        <v>126</v>
      </c>
      <c r="B60" s="11" t="s">
        <v>125</v>
      </c>
      <c r="C60" s="12"/>
      <c r="D60" s="7"/>
      <c r="E60" s="13">
        <v>2771808200</v>
      </c>
      <c r="F60" s="14">
        <v>27718.080000000002</v>
      </c>
      <c r="G60" s="14">
        <v>15.05</v>
      </c>
      <c r="H60" s="15">
        <v>3.7499999999999999E-2</v>
      </c>
    </row>
    <row r="61" spans="1:8" ht="12.95" customHeight="1">
      <c r="A61" s="1"/>
      <c r="B61" s="6" t="s">
        <v>21</v>
      </c>
      <c r="C61" s="7"/>
      <c r="D61" s="7"/>
      <c r="E61" s="7"/>
      <c r="F61" s="16">
        <v>27718.080000000002</v>
      </c>
      <c r="G61" s="16">
        <v>15.05</v>
      </c>
      <c r="H61" s="17"/>
    </row>
    <row r="62" spans="1:8" ht="12.95" customHeight="1">
      <c r="A62" s="1"/>
      <c r="B62" s="18" t="s">
        <v>24</v>
      </c>
      <c r="C62" s="19"/>
      <c r="D62" s="19"/>
      <c r="E62" s="25"/>
      <c r="F62" s="16">
        <v>170168.14</v>
      </c>
      <c r="G62" s="16">
        <v>92.44</v>
      </c>
      <c r="H62" s="22"/>
    </row>
    <row r="63" spans="1:8" ht="12.95" customHeight="1">
      <c r="A63" s="1"/>
      <c r="B63" s="18" t="s">
        <v>127</v>
      </c>
      <c r="C63" s="19"/>
      <c r="D63" s="19"/>
      <c r="E63" s="7"/>
      <c r="F63" s="16">
        <v>476.17</v>
      </c>
      <c r="G63" s="16">
        <v>0.19</v>
      </c>
      <c r="H63" s="22"/>
    </row>
    <row r="64" spans="1:8" ht="12.95" customHeight="1">
      <c r="A64" s="1"/>
      <c r="B64" s="26" t="s">
        <v>128</v>
      </c>
      <c r="C64" s="27"/>
      <c r="D64" s="27"/>
      <c r="E64" s="27"/>
      <c r="F64" s="28">
        <v>184197.89</v>
      </c>
      <c r="G64" s="29">
        <v>100</v>
      </c>
      <c r="H64" s="30"/>
    </row>
    <row r="65" spans="1:8" ht="12.95" customHeight="1">
      <c r="A65" s="1"/>
      <c r="B65" s="105"/>
      <c r="C65" s="105"/>
      <c r="D65" s="105"/>
      <c r="E65" s="105"/>
      <c r="F65" s="1"/>
      <c r="G65" s="1"/>
      <c r="H65" s="1"/>
    </row>
    <row r="66" spans="1:8" ht="12.95" customHeight="1">
      <c r="A66" s="1"/>
      <c r="B66" s="105"/>
      <c r="C66" s="105"/>
      <c r="D66" s="105"/>
      <c r="E66" s="105"/>
      <c r="F66" s="1"/>
      <c r="G66" s="1"/>
      <c r="H66" s="1"/>
    </row>
    <row r="67" spans="1:8" ht="12.95" customHeight="1">
      <c r="A67" s="1"/>
      <c r="B67" s="101" t="s">
        <v>327</v>
      </c>
      <c r="C67" s="102"/>
      <c r="D67" s="102"/>
      <c r="E67" s="102"/>
      <c r="F67" s="1"/>
      <c r="G67" s="1"/>
      <c r="H67" s="1"/>
    </row>
    <row r="68" spans="1:8" ht="12.95" customHeight="1">
      <c r="A68" s="1"/>
      <c r="B68" s="101" t="s">
        <v>964</v>
      </c>
      <c r="C68" s="102"/>
      <c r="D68" s="102"/>
      <c r="E68" s="102"/>
      <c r="F68" s="1"/>
      <c r="G68" s="1"/>
      <c r="H68" s="1"/>
    </row>
    <row r="69" spans="1:8" ht="12.95" customHeight="1">
      <c r="A69" s="1"/>
      <c r="B69" s="101" t="s">
        <v>129</v>
      </c>
      <c r="C69" s="102"/>
      <c r="D69" s="102"/>
      <c r="E69" s="102"/>
      <c r="F69" s="1"/>
      <c r="G69" s="1"/>
      <c r="H69" s="1"/>
    </row>
  </sheetData>
  <mergeCells count="8">
    <mergeCell ref="B67:E67"/>
    <mergeCell ref="B68:E68"/>
    <mergeCell ref="B69:E69"/>
    <mergeCell ref="B1:H1"/>
    <mergeCell ref="B2:H2"/>
    <mergeCell ref="B3:H3"/>
    <mergeCell ref="B65:E65"/>
    <mergeCell ref="B66:E66"/>
  </mergeCells>
  <pageMargins left="0" right="0" top="0" bottom="0" header="0" footer="0"/>
  <pageSetup orientation="portrait" r:id="rId1"/>
  <headerFooter>
    <oddFooter>&amp;C&amp;1#&amp;"Calibri"&amp;10&amp;K000000 For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9"/>
  <sheetViews>
    <sheetView topLeftCell="A54" workbookViewId="0">
      <selection activeCell="D66" sqref="D66"/>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2.450000000000003" customHeight="1">
      <c r="A3" s="1"/>
      <c r="B3" s="104" t="s">
        <v>943</v>
      </c>
      <c r="C3" s="104"/>
      <c r="D3" s="104"/>
      <c r="E3" s="104"/>
      <c r="F3" s="104"/>
      <c r="G3" s="104"/>
      <c r="H3" s="104"/>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134</v>
      </c>
      <c r="B8" s="11" t="s">
        <v>135</v>
      </c>
      <c r="C8" s="12" t="s">
        <v>136</v>
      </c>
      <c r="D8" s="7" t="s">
        <v>137</v>
      </c>
      <c r="E8" s="13">
        <v>198307</v>
      </c>
      <c r="F8" s="14">
        <v>3781.42</v>
      </c>
      <c r="G8" s="14">
        <v>8.17</v>
      </c>
      <c r="H8" s="15"/>
    </row>
    <row r="9" spans="1:8" ht="12.95" customHeight="1">
      <c r="A9" s="10" t="s">
        <v>138</v>
      </c>
      <c r="B9" s="11" t="s">
        <v>139</v>
      </c>
      <c r="C9" s="12" t="s">
        <v>140</v>
      </c>
      <c r="D9" s="7" t="s">
        <v>141</v>
      </c>
      <c r="E9" s="13">
        <v>503120</v>
      </c>
      <c r="F9" s="14">
        <v>3674.29</v>
      </c>
      <c r="G9" s="14">
        <v>7.94</v>
      </c>
      <c r="H9" s="15"/>
    </row>
    <row r="10" spans="1:8" ht="12.95" customHeight="1">
      <c r="A10" s="10" t="s">
        <v>142</v>
      </c>
      <c r="B10" s="11" t="s">
        <v>143</v>
      </c>
      <c r="C10" s="12" t="s">
        <v>144</v>
      </c>
      <c r="D10" s="7" t="s">
        <v>141</v>
      </c>
      <c r="E10" s="13">
        <v>210876</v>
      </c>
      <c r="F10" s="14">
        <v>3100.62</v>
      </c>
      <c r="G10" s="14">
        <v>6.7</v>
      </c>
      <c r="H10" s="15"/>
    </row>
    <row r="11" spans="1:8" ht="12.95" customHeight="1">
      <c r="A11" s="10" t="s">
        <v>145</v>
      </c>
      <c r="B11" s="11" t="s">
        <v>146</v>
      </c>
      <c r="C11" s="12" t="s">
        <v>147</v>
      </c>
      <c r="D11" s="7" t="s">
        <v>148</v>
      </c>
      <c r="E11" s="13">
        <v>99014</v>
      </c>
      <c r="F11" s="14">
        <v>2608.77</v>
      </c>
      <c r="G11" s="14">
        <v>5.64</v>
      </c>
      <c r="H11" s="15"/>
    </row>
    <row r="12" spans="1:8" ht="12.95" customHeight="1">
      <c r="A12" s="10" t="s">
        <v>149</v>
      </c>
      <c r="B12" s="11" t="s">
        <v>150</v>
      </c>
      <c r="C12" s="12" t="s">
        <v>151</v>
      </c>
      <c r="D12" s="7" t="s">
        <v>141</v>
      </c>
      <c r="E12" s="13">
        <v>188500</v>
      </c>
      <c r="F12" s="14">
        <v>1434.77</v>
      </c>
      <c r="G12" s="14">
        <v>3.1</v>
      </c>
      <c r="H12" s="15"/>
    </row>
    <row r="13" spans="1:8" ht="12.95" customHeight="1">
      <c r="A13" s="10" t="s">
        <v>152</v>
      </c>
      <c r="B13" s="11" t="s">
        <v>153</v>
      </c>
      <c r="C13" s="12" t="s">
        <v>154</v>
      </c>
      <c r="D13" s="7" t="s">
        <v>155</v>
      </c>
      <c r="E13" s="13">
        <v>19000</v>
      </c>
      <c r="F13" s="14">
        <v>1379.39</v>
      </c>
      <c r="G13" s="14">
        <v>2.98</v>
      </c>
      <c r="H13" s="15"/>
    </row>
    <row r="14" spans="1:8" ht="12.95" customHeight="1">
      <c r="A14" s="10" t="s">
        <v>156</v>
      </c>
      <c r="B14" s="11" t="s">
        <v>157</v>
      </c>
      <c r="C14" s="12" t="s">
        <v>158</v>
      </c>
      <c r="D14" s="7" t="s">
        <v>159</v>
      </c>
      <c r="E14" s="13">
        <v>61900</v>
      </c>
      <c r="F14" s="14">
        <v>1268.1099999999999</v>
      </c>
      <c r="G14" s="14">
        <v>2.74</v>
      </c>
      <c r="H14" s="15"/>
    </row>
    <row r="15" spans="1:8" ht="12.95" customHeight="1">
      <c r="A15" s="10" t="s">
        <v>160</v>
      </c>
      <c r="B15" s="11" t="s">
        <v>161</v>
      </c>
      <c r="C15" s="12" t="s">
        <v>162</v>
      </c>
      <c r="D15" s="7" t="s">
        <v>163</v>
      </c>
      <c r="E15" s="13">
        <v>65042</v>
      </c>
      <c r="F15" s="14">
        <v>1149.71</v>
      </c>
      <c r="G15" s="14">
        <v>2.48</v>
      </c>
      <c r="H15" s="15"/>
    </row>
    <row r="16" spans="1:8" ht="12.95" customHeight="1">
      <c r="A16" s="10" t="s">
        <v>164</v>
      </c>
      <c r="B16" s="11" t="s">
        <v>165</v>
      </c>
      <c r="C16" s="12" t="s">
        <v>166</v>
      </c>
      <c r="D16" s="7" t="s">
        <v>141</v>
      </c>
      <c r="E16" s="13">
        <v>63689</v>
      </c>
      <c r="F16" s="14">
        <v>1117.01</v>
      </c>
      <c r="G16" s="14">
        <v>2.41</v>
      </c>
      <c r="H16" s="15"/>
    </row>
    <row r="17" spans="1:8" ht="12.95" customHeight="1">
      <c r="A17" s="10" t="s">
        <v>167</v>
      </c>
      <c r="B17" s="11" t="s">
        <v>168</v>
      </c>
      <c r="C17" s="12" t="s">
        <v>169</v>
      </c>
      <c r="D17" s="7" t="s">
        <v>170</v>
      </c>
      <c r="E17" s="13">
        <v>97000</v>
      </c>
      <c r="F17" s="14">
        <v>1087.81</v>
      </c>
      <c r="G17" s="14">
        <v>2.35</v>
      </c>
      <c r="H17" s="15"/>
    </row>
    <row r="18" spans="1:8" ht="12.95" customHeight="1">
      <c r="A18" s="10" t="s">
        <v>171</v>
      </c>
      <c r="B18" s="11" t="s">
        <v>172</v>
      </c>
      <c r="C18" s="12" t="s">
        <v>173</v>
      </c>
      <c r="D18" s="7" t="s">
        <v>174</v>
      </c>
      <c r="E18" s="13">
        <v>13726</v>
      </c>
      <c r="F18" s="14">
        <v>1037.8599999999999</v>
      </c>
      <c r="G18" s="14">
        <v>2.2400000000000002</v>
      </c>
      <c r="H18" s="15"/>
    </row>
    <row r="19" spans="1:8" ht="12.95" customHeight="1">
      <c r="A19" s="10" t="s">
        <v>175</v>
      </c>
      <c r="B19" s="11" t="s">
        <v>176</v>
      </c>
      <c r="C19" s="12" t="s">
        <v>177</v>
      </c>
      <c r="D19" s="7" t="s">
        <v>137</v>
      </c>
      <c r="E19" s="13">
        <v>171200</v>
      </c>
      <c r="F19" s="14">
        <v>1013.33</v>
      </c>
      <c r="G19" s="14">
        <v>2.19</v>
      </c>
      <c r="H19" s="15"/>
    </row>
    <row r="20" spans="1:8" ht="12.95" customHeight="1">
      <c r="A20" s="10" t="s">
        <v>178</v>
      </c>
      <c r="B20" s="11" t="s">
        <v>179</v>
      </c>
      <c r="C20" s="12" t="s">
        <v>180</v>
      </c>
      <c r="D20" s="7" t="s">
        <v>181</v>
      </c>
      <c r="E20" s="13">
        <v>70000</v>
      </c>
      <c r="F20" s="14">
        <v>892.85</v>
      </c>
      <c r="G20" s="14">
        <v>1.93</v>
      </c>
      <c r="H20" s="15"/>
    </row>
    <row r="21" spans="1:8" ht="12.95" customHeight="1">
      <c r="A21" s="10" t="s">
        <v>182</v>
      </c>
      <c r="B21" s="11" t="s">
        <v>183</v>
      </c>
      <c r="C21" s="12" t="s">
        <v>184</v>
      </c>
      <c r="D21" s="7" t="s">
        <v>137</v>
      </c>
      <c r="E21" s="13">
        <v>22286</v>
      </c>
      <c r="F21" s="14">
        <v>833.49</v>
      </c>
      <c r="G21" s="14">
        <v>1.8</v>
      </c>
      <c r="H21" s="15"/>
    </row>
    <row r="22" spans="1:8" ht="12.95" customHeight="1">
      <c r="A22" s="10" t="s">
        <v>185</v>
      </c>
      <c r="B22" s="11" t="s">
        <v>186</v>
      </c>
      <c r="C22" s="12" t="s">
        <v>187</v>
      </c>
      <c r="D22" s="7" t="s">
        <v>188</v>
      </c>
      <c r="E22" s="13">
        <v>12507</v>
      </c>
      <c r="F22" s="14">
        <v>825.75</v>
      </c>
      <c r="G22" s="14">
        <v>1.78</v>
      </c>
      <c r="H22" s="15"/>
    </row>
    <row r="23" spans="1:8" ht="12.95" customHeight="1">
      <c r="A23" s="10" t="s">
        <v>189</v>
      </c>
      <c r="B23" s="11" t="s">
        <v>190</v>
      </c>
      <c r="C23" s="12" t="s">
        <v>191</v>
      </c>
      <c r="D23" s="7" t="s">
        <v>192</v>
      </c>
      <c r="E23" s="13">
        <v>16467</v>
      </c>
      <c r="F23" s="14">
        <v>724.89</v>
      </c>
      <c r="G23" s="14">
        <v>1.57</v>
      </c>
      <c r="H23" s="15"/>
    </row>
    <row r="24" spans="1:8" ht="12.95" customHeight="1">
      <c r="A24" s="10" t="s">
        <v>193</v>
      </c>
      <c r="B24" s="11" t="s">
        <v>194</v>
      </c>
      <c r="C24" s="12" t="s">
        <v>195</v>
      </c>
      <c r="D24" s="7" t="s">
        <v>196</v>
      </c>
      <c r="E24" s="13">
        <v>126000</v>
      </c>
      <c r="F24" s="14">
        <v>717.57</v>
      </c>
      <c r="G24" s="14">
        <v>1.55</v>
      </c>
      <c r="H24" s="15"/>
    </row>
    <row r="25" spans="1:8" ht="12.95" customHeight="1">
      <c r="A25" s="10" t="s">
        <v>197</v>
      </c>
      <c r="B25" s="11" t="s">
        <v>198</v>
      </c>
      <c r="C25" s="12" t="s">
        <v>199</v>
      </c>
      <c r="D25" s="7" t="s">
        <v>192</v>
      </c>
      <c r="E25" s="13">
        <v>20037</v>
      </c>
      <c r="F25" s="14">
        <v>655.74</v>
      </c>
      <c r="G25" s="14">
        <v>1.42</v>
      </c>
      <c r="H25" s="15"/>
    </row>
    <row r="26" spans="1:8" ht="12.95" customHeight="1">
      <c r="A26" s="10" t="s">
        <v>200</v>
      </c>
      <c r="B26" s="11" t="s">
        <v>201</v>
      </c>
      <c r="C26" s="12" t="s">
        <v>202</v>
      </c>
      <c r="D26" s="7" t="s">
        <v>203</v>
      </c>
      <c r="E26" s="13">
        <v>319000</v>
      </c>
      <c r="F26" s="14">
        <v>646.13</v>
      </c>
      <c r="G26" s="14">
        <v>1.4</v>
      </c>
      <c r="H26" s="15"/>
    </row>
    <row r="27" spans="1:8" ht="12.95" customHeight="1">
      <c r="A27" s="10" t="s">
        <v>204</v>
      </c>
      <c r="B27" s="11" t="s">
        <v>205</v>
      </c>
      <c r="C27" s="12" t="s">
        <v>206</v>
      </c>
      <c r="D27" s="7" t="s">
        <v>207</v>
      </c>
      <c r="E27" s="13">
        <v>31146</v>
      </c>
      <c r="F27" s="14">
        <v>630.07000000000005</v>
      </c>
      <c r="G27" s="14">
        <v>1.36</v>
      </c>
      <c r="H27" s="15"/>
    </row>
    <row r="28" spans="1:8" ht="12.95" customHeight="1">
      <c r="A28" s="10" t="s">
        <v>208</v>
      </c>
      <c r="B28" s="11" t="s">
        <v>209</v>
      </c>
      <c r="C28" s="12" t="s">
        <v>210</v>
      </c>
      <c r="D28" s="7" t="s">
        <v>211</v>
      </c>
      <c r="E28" s="13">
        <v>466000</v>
      </c>
      <c r="F28" s="14">
        <v>629.1</v>
      </c>
      <c r="G28" s="14">
        <v>1.36</v>
      </c>
      <c r="H28" s="15"/>
    </row>
    <row r="29" spans="1:8" ht="12.95" customHeight="1">
      <c r="A29" s="10" t="s">
        <v>212</v>
      </c>
      <c r="B29" s="11" t="s">
        <v>213</v>
      </c>
      <c r="C29" s="12" t="s">
        <v>214</v>
      </c>
      <c r="D29" s="7" t="s">
        <v>159</v>
      </c>
      <c r="E29" s="13">
        <v>40150</v>
      </c>
      <c r="F29" s="14">
        <v>598.04999999999995</v>
      </c>
      <c r="G29" s="14">
        <v>1.29</v>
      </c>
      <c r="H29" s="15"/>
    </row>
    <row r="30" spans="1:8" ht="12.95" customHeight="1">
      <c r="A30" s="10" t="s">
        <v>215</v>
      </c>
      <c r="B30" s="11" t="s">
        <v>216</v>
      </c>
      <c r="C30" s="12" t="s">
        <v>217</v>
      </c>
      <c r="D30" s="7" t="s">
        <v>218</v>
      </c>
      <c r="E30" s="13">
        <v>62413</v>
      </c>
      <c r="F30" s="14">
        <v>581.88</v>
      </c>
      <c r="G30" s="14">
        <v>1.26</v>
      </c>
      <c r="H30" s="15"/>
    </row>
    <row r="31" spans="1:8" ht="12.95" customHeight="1">
      <c r="A31" s="10" t="s">
        <v>219</v>
      </c>
      <c r="B31" s="11" t="s">
        <v>220</v>
      </c>
      <c r="C31" s="12" t="s">
        <v>221</v>
      </c>
      <c r="D31" s="7" t="s">
        <v>222</v>
      </c>
      <c r="E31" s="13">
        <v>188483</v>
      </c>
      <c r="F31" s="14">
        <v>572.89</v>
      </c>
      <c r="G31" s="14">
        <v>1.24</v>
      </c>
      <c r="H31" s="15"/>
    </row>
    <row r="32" spans="1:8" ht="12.95" customHeight="1">
      <c r="A32" s="10" t="s">
        <v>223</v>
      </c>
      <c r="B32" s="11" t="s">
        <v>224</v>
      </c>
      <c r="C32" s="12" t="s">
        <v>225</v>
      </c>
      <c r="D32" s="7" t="s">
        <v>226</v>
      </c>
      <c r="E32" s="13">
        <v>20091</v>
      </c>
      <c r="F32" s="14">
        <v>566.5</v>
      </c>
      <c r="G32" s="14">
        <v>1.22</v>
      </c>
      <c r="H32" s="15"/>
    </row>
    <row r="33" spans="1:8" ht="12.95" customHeight="1">
      <c r="A33" s="10" t="s">
        <v>227</v>
      </c>
      <c r="B33" s="11" t="s">
        <v>228</v>
      </c>
      <c r="C33" s="12" t="s">
        <v>229</v>
      </c>
      <c r="D33" s="7" t="s">
        <v>230</v>
      </c>
      <c r="E33" s="13">
        <v>8045</v>
      </c>
      <c r="F33" s="14">
        <v>552.07000000000005</v>
      </c>
      <c r="G33" s="14">
        <v>1.19</v>
      </c>
      <c r="H33" s="15"/>
    </row>
    <row r="34" spans="1:8" ht="12.95" customHeight="1">
      <c r="A34" s="10" t="s">
        <v>231</v>
      </c>
      <c r="B34" s="11" t="s">
        <v>232</v>
      </c>
      <c r="C34" s="12" t="s">
        <v>233</v>
      </c>
      <c r="D34" s="7" t="s">
        <v>234</v>
      </c>
      <c r="E34" s="13">
        <v>145000</v>
      </c>
      <c r="F34" s="14">
        <v>551.65</v>
      </c>
      <c r="G34" s="14">
        <v>1.19</v>
      </c>
      <c r="H34" s="15"/>
    </row>
    <row r="35" spans="1:8" ht="12.95" customHeight="1">
      <c r="A35" s="10" t="s">
        <v>235</v>
      </c>
      <c r="B35" s="11" t="s">
        <v>236</v>
      </c>
      <c r="C35" s="12" t="s">
        <v>237</v>
      </c>
      <c r="D35" s="7" t="s">
        <v>238</v>
      </c>
      <c r="E35" s="13">
        <v>477500</v>
      </c>
      <c r="F35" s="14">
        <v>551.27</v>
      </c>
      <c r="G35" s="14">
        <v>1.19</v>
      </c>
      <c r="H35" s="15"/>
    </row>
    <row r="36" spans="1:8" ht="12.95" customHeight="1">
      <c r="A36" s="10" t="s">
        <v>239</v>
      </c>
      <c r="B36" s="11" t="s">
        <v>240</v>
      </c>
      <c r="C36" s="12" t="s">
        <v>241</v>
      </c>
      <c r="D36" s="7" t="s">
        <v>242</v>
      </c>
      <c r="E36" s="13">
        <v>90000</v>
      </c>
      <c r="F36" s="14">
        <v>550.98</v>
      </c>
      <c r="G36" s="14">
        <v>1.19</v>
      </c>
      <c r="H36" s="15"/>
    </row>
    <row r="37" spans="1:8" ht="12.95" customHeight="1">
      <c r="A37" s="10" t="s">
        <v>243</v>
      </c>
      <c r="B37" s="11" t="s">
        <v>244</v>
      </c>
      <c r="C37" s="12" t="s">
        <v>245</v>
      </c>
      <c r="D37" s="7" t="s">
        <v>246</v>
      </c>
      <c r="E37" s="13">
        <v>28161</v>
      </c>
      <c r="F37" s="14">
        <v>550.04</v>
      </c>
      <c r="G37" s="14">
        <v>1.19</v>
      </c>
      <c r="H37" s="15"/>
    </row>
    <row r="38" spans="1:8" ht="12.95" customHeight="1">
      <c r="A38" s="10" t="s">
        <v>247</v>
      </c>
      <c r="B38" s="11" t="s">
        <v>248</v>
      </c>
      <c r="C38" s="12" t="s">
        <v>249</v>
      </c>
      <c r="D38" s="7" t="s">
        <v>207</v>
      </c>
      <c r="E38" s="13">
        <v>103613</v>
      </c>
      <c r="F38" s="14">
        <v>521.02</v>
      </c>
      <c r="G38" s="14">
        <v>1.1299999999999999</v>
      </c>
      <c r="H38" s="15"/>
    </row>
    <row r="39" spans="1:8" ht="12.95" customHeight="1">
      <c r="A39" s="10" t="s">
        <v>250</v>
      </c>
      <c r="B39" s="11" t="s">
        <v>251</v>
      </c>
      <c r="C39" s="12" t="s">
        <v>252</v>
      </c>
      <c r="D39" s="7" t="s">
        <v>207</v>
      </c>
      <c r="E39" s="13">
        <v>31787</v>
      </c>
      <c r="F39" s="14">
        <v>507.85</v>
      </c>
      <c r="G39" s="14">
        <v>1.1000000000000001</v>
      </c>
      <c r="H39" s="15"/>
    </row>
    <row r="40" spans="1:8" ht="12.95" customHeight="1">
      <c r="A40" s="10" t="s">
        <v>253</v>
      </c>
      <c r="B40" s="11" t="s">
        <v>254</v>
      </c>
      <c r="C40" s="12" t="s">
        <v>255</v>
      </c>
      <c r="D40" s="7" t="s">
        <v>192</v>
      </c>
      <c r="E40" s="13">
        <v>13950</v>
      </c>
      <c r="F40" s="14">
        <v>505.09</v>
      </c>
      <c r="G40" s="14">
        <v>1.0900000000000001</v>
      </c>
      <c r="H40" s="15"/>
    </row>
    <row r="41" spans="1:8" ht="12.95" customHeight="1">
      <c r="A41" s="10" t="s">
        <v>256</v>
      </c>
      <c r="B41" s="11" t="s">
        <v>257</v>
      </c>
      <c r="C41" s="12" t="s">
        <v>258</v>
      </c>
      <c r="D41" s="7" t="s">
        <v>137</v>
      </c>
      <c r="E41" s="13">
        <v>11700</v>
      </c>
      <c r="F41" s="14">
        <v>503.44</v>
      </c>
      <c r="G41" s="14">
        <v>1.0900000000000001</v>
      </c>
      <c r="H41" s="15"/>
    </row>
    <row r="42" spans="1:8" ht="12.95" customHeight="1">
      <c r="A42" s="10" t="s">
        <v>259</v>
      </c>
      <c r="B42" s="11" t="s">
        <v>260</v>
      </c>
      <c r="C42" s="12" t="s">
        <v>261</v>
      </c>
      <c r="D42" s="7" t="s">
        <v>262</v>
      </c>
      <c r="E42" s="13">
        <v>232947</v>
      </c>
      <c r="F42" s="14">
        <v>491.05</v>
      </c>
      <c r="G42" s="14">
        <v>1.06</v>
      </c>
      <c r="H42" s="15"/>
    </row>
    <row r="43" spans="1:8" ht="12.95" customHeight="1">
      <c r="A43" s="10" t="s">
        <v>263</v>
      </c>
      <c r="B43" s="11" t="s">
        <v>264</v>
      </c>
      <c r="C43" s="12" t="s">
        <v>265</v>
      </c>
      <c r="D43" s="7" t="s">
        <v>188</v>
      </c>
      <c r="E43" s="13">
        <v>159800</v>
      </c>
      <c r="F43" s="14">
        <v>478.2</v>
      </c>
      <c r="G43" s="14">
        <v>1.03</v>
      </c>
      <c r="H43" s="15"/>
    </row>
    <row r="44" spans="1:8" ht="12.95" customHeight="1">
      <c r="A44" s="10" t="s">
        <v>266</v>
      </c>
      <c r="B44" s="11" t="s">
        <v>267</v>
      </c>
      <c r="C44" s="12" t="s">
        <v>268</v>
      </c>
      <c r="D44" s="7" t="s">
        <v>170</v>
      </c>
      <c r="E44" s="13">
        <v>33428</v>
      </c>
      <c r="F44" s="14">
        <v>444.02</v>
      </c>
      <c r="G44" s="14">
        <v>0.96</v>
      </c>
      <c r="H44" s="15"/>
    </row>
    <row r="45" spans="1:8" ht="12.95" customHeight="1">
      <c r="A45" s="10" t="s">
        <v>269</v>
      </c>
      <c r="B45" s="11" t="s">
        <v>270</v>
      </c>
      <c r="C45" s="12" t="s">
        <v>271</v>
      </c>
      <c r="D45" s="7" t="s">
        <v>272</v>
      </c>
      <c r="E45" s="13">
        <v>20500</v>
      </c>
      <c r="F45" s="14">
        <v>442.38</v>
      </c>
      <c r="G45" s="14">
        <v>0.96</v>
      </c>
      <c r="H45" s="15"/>
    </row>
    <row r="46" spans="1:8" ht="12.95" customHeight="1">
      <c r="A46" s="10" t="s">
        <v>273</v>
      </c>
      <c r="B46" s="11" t="s">
        <v>274</v>
      </c>
      <c r="C46" s="12" t="s">
        <v>275</v>
      </c>
      <c r="D46" s="7" t="s">
        <v>211</v>
      </c>
      <c r="E46" s="13">
        <v>120000</v>
      </c>
      <c r="F46" s="14">
        <v>440.1</v>
      </c>
      <c r="G46" s="14">
        <v>0.95</v>
      </c>
      <c r="H46" s="15"/>
    </row>
    <row r="47" spans="1:8" ht="12.95" customHeight="1">
      <c r="A47" s="10" t="s">
        <v>276</v>
      </c>
      <c r="B47" s="11" t="s">
        <v>277</v>
      </c>
      <c r="C47" s="12" t="s">
        <v>278</v>
      </c>
      <c r="D47" s="7" t="s">
        <v>203</v>
      </c>
      <c r="E47" s="13">
        <v>430000</v>
      </c>
      <c r="F47" s="14">
        <v>423.77</v>
      </c>
      <c r="G47" s="14">
        <v>0.92</v>
      </c>
      <c r="H47" s="15"/>
    </row>
    <row r="48" spans="1:8" ht="12.95" customHeight="1">
      <c r="A48" s="10" t="s">
        <v>279</v>
      </c>
      <c r="B48" s="11" t="s">
        <v>280</v>
      </c>
      <c r="C48" s="12" t="s">
        <v>281</v>
      </c>
      <c r="D48" s="7" t="s">
        <v>207</v>
      </c>
      <c r="E48" s="13">
        <v>49618</v>
      </c>
      <c r="F48" s="14">
        <v>419.64</v>
      </c>
      <c r="G48" s="14">
        <v>0.91</v>
      </c>
      <c r="H48" s="15"/>
    </row>
    <row r="49" spans="1:8" ht="12.95" customHeight="1">
      <c r="A49" s="10" t="s">
        <v>282</v>
      </c>
      <c r="B49" s="11" t="s">
        <v>283</v>
      </c>
      <c r="C49" s="12" t="s">
        <v>284</v>
      </c>
      <c r="D49" s="7" t="s">
        <v>218</v>
      </c>
      <c r="E49" s="13">
        <v>2825</v>
      </c>
      <c r="F49" s="14">
        <v>407.89</v>
      </c>
      <c r="G49" s="14">
        <v>0.88</v>
      </c>
      <c r="H49" s="15"/>
    </row>
    <row r="50" spans="1:8" ht="12.95" customHeight="1">
      <c r="A50" s="10" t="s">
        <v>285</v>
      </c>
      <c r="B50" s="11" t="s">
        <v>286</v>
      </c>
      <c r="C50" s="12" t="s">
        <v>287</v>
      </c>
      <c r="D50" s="7" t="s">
        <v>288</v>
      </c>
      <c r="E50" s="13">
        <v>33155</v>
      </c>
      <c r="F50" s="14">
        <v>407.34</v>
      </c>
      <c r="G50" s="14">
        <v>0.88</v>
      </c>
      <c r="H50" s="15"/>
    </row>
    <row r="51" spans="1:8" ht="12.95" customHeight="1">
      <c r="A51" s="10" t="s">
        <v>289</v>
      </c>
      <c r="B51" s="11" t="s">
        <v>290</v>
      </c>
      <c r="C51" s="12" t="s">
        <v>291</v>
      </c>
      <c r="D51" s="7" t="s">
        <v>272</v>
      </c>
      <c r="E51" s="13">
        <v>1006</v>
      </c>
      <c r="F51" s="14">
        <v>399.15</v>
      </c>
      <c r="G51" s="14">
        <v>0.86</v>
      </c>
      <c r="H51" s="15"/>
    </row>
    <row r="52" spans="1:8" ht="12.95" customHeight="1">
      <c r="A52" s="10" t="s">
        <v>292</v>
      </c>
      <c r="B52" s="11" t="s">
        <v>293</v>
      </c>
      <c r="C52" s="12" t="s">
        <v>294</v>
      </c>
      <c r="D52" s="7" t="s">
        <v>207</v>
      </c>
      <c r="E52" s="13">
        <v>18221</v>
      </c>
      <c r="F52" s="14">
        <v>390.13</v>
      </c>
      <c r="G52" s="14">
        <v>0.84</v>
      </c>
      <c r="H52" s="15"/>
    </row>
    <row r="53" spans="1:8" ht="12.95" customHeight="1">
      <c r="A53" s="10" t="s">
        <v>295</v>
      </c>
      <c r="B53" s="11" t="s">
        <v>296</v>
      </c>
      <c r="C53" s="12" t="s">
        <v>297</v>
      </c>
      <c r="D53" s="7" t="s">
        <v>288</v>
      </c>
      <c r="E53" s="13">
        <v>170000</v>
      </c>
      <c r="F53" s="14">
        <v>377.49</v>
      </c>
      <c r="G53" s="14">
        <v>0.82</v>
      </c>
      <c r="H53" s="15"/>
    </row>
    <row r="54" spans="1:8" ht="12.95" customHeight="1">
      <c r="A54" s="10" t="s">
        <v>298</v>
      </c>
      <c r="B54" s="11" t="s">
        <v>299</v>
      </c>
      <c r="C54" s="12" t="s">
        <v>300</v>
      </c>
      <c r="D54" s="7" t="s">
        <v>192</v>
      </c>
      <c r="E54" s="13">
        <v>100000</v>
      </c>
      <c r="F54" s="14">
        <v>377.05</v>
      </c>
      <c r="G54" s="14">
        <v>0.81</v>
      </c>
      <c r="H54" s="15"/>
    </row>
    <row r="55" spans="1:8" ht="12.95" customHeight="1">
      <c r="A55" s="10" t="s">
        <v>301</v>
      </c>
      <c r="B55" s="11" t="s">
        <v>302</v>
      </c>
      <c r="C55" s="12" t="s">
        <v>303</v>
      </c>
      <c r="D55" s="7" t="s">
        <v>141</v>
      </c>
      <c r="E55" s="13">
        <v>300000</v>
      </c>
      <c r="F55" s="14">
        <v>334.8</v>
      </c>
      <c r="G55" s="14">
        <v>0.72</v>
      </c>
      <c r="H55" s="15"/>
    </row>
    <row r="56" spans="1:8" ht="12.95" customHeight="1">
      <c r="A56" s="10" t="s">
        <v>304</v>
      </c>
      <c r="B56" s="11" t="s">
        <v>305</v>
      </c>
      <c r="C56" s="12" t="s">
        <v>306</v>
      </c>
      <c r="D56" s="7" t="s">
        <v>159</v>
      </c>
      <c r="E56" s="13">
        <v>1500</v>
      </c>
      <c r="F56" s="14">
        <v>295.45999999999998</v>
      </c>
      <c r="G56" s="14">
        <v>0.64</v>
      </c>
      <c r="H56" s="15"/>
    </row>
    <row r="57" spans="1:8" ht="12.95" customHeight="1">
      <c r="A57" s="10" t="s">
        <v>307</v>
      </c>
      <c r="B57" s="11" t="s">
        <v>308</v>
      </c>
      <c r="C57" s="12" t="s">
        <v>309</v>
      </c>
      <c r="D57" s="7" t="s">
        <v>238</v>
      </c>
      <c r="E57" s="13">
        <v>47000</v>
      </c>
      <c r="F57" s="14">
        <v>292.60000000000002</v>
      </c>
      <c r="G57" s="14">
        <v>0.63</v>
      </c>
      <c r="H57" s="15"/>
    </row>
    <row r="58" spans="1:8" ht="12.95" customHeight="1">
      <c r="A58" s="10" t="s">
        <v>310</v>
      </c>
      <c r="B58" s="11" t="s">
        <v>311</v>
      </c>
      <c r="C58" s="12" t="s">
        <v>312</v>
      </c>
      <c r="D58" s="7" t="s">
        <v>242</v>
      </c>
      <c r="E58" s="13">
        <v>38000</v>
      </c>
      <c r="F58" s="14">
        <v>283.35000000000002</v>
      </c>
      <c r="G58" s="14">
        <v>0.61</v>
      </c>
      <c r="H58" s="15"/>
    </row>
    <row r="59" spans="1:8" ht="12.95" customHeight="1">
      <c r="A59" s="10" t="s">
        <v>313</v>
      </c>
      <c r="B59" s="11" t="s">
        <v>314</v>
      </c>
      <c r="C59" s="12" t="s">
        <v>315</v>
      </c>
      <c r="D59" s="7" t="s">
        <v>316</v>
      </c>
      <c r="E59" s="13">
        <v>114731</v>
      </c>
      <c r="F59" s="14">
        <v>273.63</v>
      </c>
      <c r="G59" s="14">
        <v>0.59</v>
      </c>
      <c r="H59" s="15"/>
    </row>
    <row r="60" spans="1:8" ht="12.95" customHeight="1">
      <c r="A60" s="10" t="s">
        <v>317</v>
      </c>
      <c r="B60" s="11" t="s">
        <v>318</v>
      </c>
      <c r="C60" s="12" t="s">
        <v>319</v>
      </c>
      <c r="D60" s="7" t="s">
        <v>137</v>
      </c>
      <c r="E60" s="13">
        <v>4750</v>
      </c>
      <c r="F60" s="14">
        <v>226.35</v>
      </c>
      <c r="G60" s="14">
        <v>0.49</v>
      </c>
      <c r="H60" s="15"/>
    </row>
    <row r="61" spans="1:8" ht="12.95" customHeight="1">
      <c r="A61" s="10" t="s">
        <v>320</v>
      </c>
      <c r="B61" s="11" t="s">
        <v>321</v>
      </c>
      <c r="C61" s="12" t="s">
        <v>322</v>
      </c>
      <c r="D61" s="7" t="s">
        <v>137</v>
      </c>
      <c r="E61" s="13">
        <v>19100</v>
      </c>
      <c r="F61" s="14">
        <v>222.28</v>
      </c>
      <c r="G61" s="14">
        <v>0.48</v>
      </c>
      <c r="H61" s="15"/>
    </row>
    <row r="62" spans="1:8" ht="12.95" customHeight="1">
      <c r="A62" s="10" t="s">
        <v>323</v>
      </c>
      <c r="B62" s="11" t="s">
        <v>324</v>
      </c>
      <c r="C62" s="12" t="s">
        <v>325</v>
      </c>
      <c r="D62" s="7" t="s">
        <v>159</v>
      </c>
      <c r="E62" s="13">
        <v>43380</v>
      </c>
      <c r="F62" s="14">
        <v>212.3</v>
      </c>
      <c r="G62" s="14">
        <v>0.46</v>
      </c>
      <c r="H62" s="15"/>
    </row>
    <row r="63" spans="1:8" ht="12.95" customHeight="1">
      <c r="A63" s="1"/>
      <c r="B63" s="6" t="s">
        <v>21</v>
      </c>
      <c r="C63" s="7"/>
      <c r="D63" s="7"/>
      <c r="E63" s="7"/>
      <c r="F63" s="16">
        <v>43960.39</v>
      </c>
      <c r="G63" s="16">
        <v>94.98</v>
      </c>
      <c r="H63" s="17"/>
    </row>
    <row r="64" spans="1:8" ht="12.95" customHeight="1">
      <c r="A64" s="1"/>
      <c r="B64" s="18" t="s">
        <v>326</v>
      </c>
      <c r="C64" s="19"/>
      <c r="D64" s="19"/>
      <c r="E64" s="20"/>
      <c r="F64" s="21" t="s">
        <v>23</v>
      </c>
      <c r="G64" s="21"/>
      <c r="H64" s="22"/>
    </row>
    <row r="65" spans="1:8" ht="12.95" customHeight="1">
      <c r="A65" s="1"/>
      <c r="B65" s="23" t="s">
        <v>21</v>
      </c>
      <c r="C65" s="24"/>
      <c r="D65" s="24"/>
      <c r="E65" s="21"/>
      <c r="F65" s="21" t="s">
        <v>23</v>
      </c>
      <c r="G65" s="21"/>
      <c r="H65" s="22"/>
    </row>
    <row r="66" spans="1:8" ht="12.95" customHeight="1">
      <c r="A66" s="1"/>
      <c r="B66" s="18" t="s">
        <v>24</v>
      </c>
      <c r="C66" s="19"/>
      <c r="D66" s="19"/>
      <c r="E66" s="25"/>
      <c r="F66" s="16">
        <v>43960.39</v>
      </c>
      <c r="G66" s="16">
        <v>94.98</v>
      </c>
      <c r="H66" s="22"/>
    </row>
    <row r="67" spans="1:8" ht="12.95" customHeight="1">
      <c r="A67" s="1"/>
      <c r="B67" s="6" t="s">
        <v>25</v>
      </c>
      <c r="C67" s="7"/>
      <c r="D67" s="7"/>
      <c r="E67" s="7"/>
      <c r="F67" s="7"/>
      <c r="G67" s="7"/>
      <c r="H67" s="8"/>
    </row>
    <row r="68" spans="1:8" ht="12.95" customHeight="1">
      <c r="A68" s="1"/>
      <c r="B68" s="44" t="s">
        <v>962</v>
      </c>
      <c r="C68" s="9"/>
      <c r="D68" s="9"/>
      <c r="E68" s="7"/>
      <c r="F68" s="7"/>
      <c r="G68" s="7"/>
      <c r="H68" s="8"/>
    </row>
    <row r="69" spans="1:8" ht="12.95" customHeight="1">
      <c r="A69" s="10" t="s">
        <v>124</v>
      </c>
      <c r="B69" s="45" t="s">
        <v>963</v>
      </c>
      <c r="C69" s="12"/>
      <c r="D69" s="7"/>
      <c r="E69" s="13"/>
      <c r="F69" s="14">
        <v>1961.14</v>
      </c>
      <c r="G69" s="14">
        <v>4.24</v>
      </c>
      <c r="H69" s="15">
        <v>3.6005000000000002E-2</v>
      </c>
    </row>
    <row r="70" spans="1:8" ht="12.95" customHeight="1">
      <c r="A70" s="1"/>
      <c r="B70" s="6" t="s">
        <v>21</v>
      </c>
      <c r="C70" s="7"/>
      <c r="D70" s="7"/>
      <c r="E70" s="7"/>
      <c r="F70" s="16">
        <v>1961.14</v>
      </c>
      <c r="G70" s="16">
        <v>4.24</v>
      </c>
      <c r="H70" s="17"/>
    </row>
    <row r="71" spans="1:8" ht="12.95" customHeight="1">
      <c r="A71" s="1"/>
      <c r="B71" s="18" t="s">
        <v>24</v>
      </c>
      <c r="C71" s="19"/>
      <c r="D71" s="19"/>
      <c r="E71" s="25"/>
      <c r="F71" s="16">
        <v>1961.14</v>
      </c>
      <c r="G71" s="16">
        <v>4.24</v>
      </c>
      <c r="H71" s="22"/>
    </row>
    <row r="72" spans="1:8" ht="12.95" customHeight="1">
      <c r="A72" s="1"/>
      <c r="B72" s="18" t="s">
        <v>127</v>
      </c>
      <c r="C72" s="19"/>
      <c r="D72" s="19"/>
      <c r="E72" s="7"/>
      <c r="F72" s="16">
        <v>355.24</v>
      </c>
      <c r="G72" s="16">
        <v>0.78</v>
      </c>
      <c r="H72" s="22"/>
    </row>
    <row r="73" spans="1:8" ht="12.95" customHeight="1">
      <c r="A73" s="1"/>
      <c r="B73" s="26" t="s">
        <v>128</v>
      </c>
      <c r="C73" s="27"/>
      <c r="D73" s="27"/>
      <c r="E73" s="27"/>
      <c r="F73" s="28">
        <v>46276.77</v>
      </c>
      <c r="G73" s="29">
        <v>100</v>
      </c>
      <c r="H73" s="30"/>
    </row>
    <row r="74" spans="1:8" ht="12.95" customHeight="1">
      <c r="A74" s="1"/>
      <c r="B74" s="105"/>
      <c r="C74" s="105"/>
      <c r="D74" s="105"/>
      <c r="E74" s="105"/>
      <c r="F74" s="1"/>
      <c r="G74" s="1"/>
      <c r="H74" s="1"/>
    </row>
    <row r="75" spans="1:8" ht="12.95" customHeight="1">
      <c r="A75" s="1"/>
      <c r="B75" s="105"/>
      <c r="C75" s="105"/>
      <c r="D75" s="105"/>
      <c r="E75" s="105"/>
      <c r="F75" s="1"/>
      <c r="G75" s="1"/>
      <c r="H75" s="1"/>
    </row>
    <row r="76" spans="1:8" ht="12.95" customHeight="1">
      <c r="A76" s="1"/>
      <c r="B76" s="105"/>
      <c r="C76" s="105"/>
      <c r="D76" s="105"/>
      <c r="E76" s="105"/>
      <c r="F76" s="1"/>
      <c r="G76" s="1"/>
      <c r="H76" s="1"/>
    </row>
    <row r="77" spans="1:8" ht="12.95" customHeight="1">
      <c r="A77" s="1"/>
      <c r="B77" s="106"/>
      <c r="C77" s="106"/>
      <c r="D77" s="106"/>
      <c r="E77" s="106"/>
      <c r="F77" s="1"/>
      <c r="G77" s="1"/>
      <c r="H77" s="1"/>
    </row>
    <row r="78" spans="1:8" ht="12.95" customHeight="1">
      <c r="A78" s="1"/>
      <c r="B78" s="105" t="s">
        <v>327</v>
      </c>
      <c r="C78" s="105"/>
      <c r="D78" s="105"/>
      <c r="E78" s="105"/>
      <c r="F78" s="1"/>
      <c r="G78" s="1"/>
      <c r="H78" s="1"/>
    </row>
    <row r="79" spans="1:8" ht="12.95" customHeight="1">
      <c r="A79" s="1"/>
      <c r="B79" s="107"/>
      <c r="C79" s="107"/>
      <c r="D79" s="107"/>
      <c r="E79" s="107"/>
      <c r="F79" s="1"/>
      <c r="G79" s="1"/>
      <c r="H79" s="1"/>
    </row>
  </sheetData>
  <mergeCells count="9">
    <mergeCell ref="B76:E76"/>
    <mergeCell ref="B77:E77"/>
    <mergeCell ref="B78:E78"/>
    <mergeCell ref="B79:E79"/>
    <mergeCell ref="B1:H1"/>
    <mergeCell ref="B2:H2"/>
    <mergeCell ref="B3:H3"/>
    <mergeCell ref="B74:E74"/>
    <mergeCell ref="B75:E75"/>
  </mergeCells>
  <pageMargins left="0" right="0" top="0" bottom="0" header="0" footer="0"/>
  <pageSetup orientation="portrait" r:id="rId1"/>
  <headerFooter>
    <oddFooter>&amp;C&amp;1#&amp;"Calibri"&amp;10&amp;K000000 For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5"/>
  <sheetViews>
    <sheetView topLeftCell="A92" workbookViewId="0">
      <selection activeCell="G117" sqref="G117"/>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2.25" customHeight="1">
      <c r="A3" s="1"/>
      <c r="B3" s="108" t="s">
        <v>944</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145</v>
      </c>
      <c r="B8" s="11" t="s">
        <v>146</v>
      </c>
      <c r="C8" s="12" t="s">
        <v>147</v>
      </c>
      <c r="D8" s="7" t="s">
        <v>148</v>
      </c>
      <c r="E8" s="13">
        <v>75000</v>
      </c>
      <c r="F8" s="14">
        <v>1976.06</v>
      </c>
      <c r="G8" s="14">
        <v>4.78</v>
      </c>
      <c r="H8" s="15"/>
    </row>
    <row r="9" spans="1:8" ht="12.95" customHeight="1">
      <c r="A9" s="10" t="s">
        <v>328</v>
      </c>
      <c r="B9" s="11" t="s">
        <v>329</v>
      </c>
      <c r="C9" s="12" t="s">
        <v>330</v>
      </c>
      <c r="D9" s="7" t="s">
        <v>141</v>
      </c>
      <c r="E9" s="13">
        <v>351000</v>
      </c>
      <c r="F9" s="14">
        <v>1732.36</v>
      </c>
      <c r="G9" s="14">
        <v>4.1900000000000004</v>
      </c>
      <c r="H9" s="15"/>
    </row>
    <row r="10" spans="1:8" ht="12.95" customHeight="1">
      <c r="A10" s="10" t="s">
        <v>134</v>
      </c>
      <c r="B10" s="11" t="s">
        <v>135</v>
      </c>
      <c r="C10" s="12" t="s">
        <v>136</v>
      </c>
      <c r="D10" s="7" t="s">
        <v>137</v>
      </c>
      <c r="E10" s="13">
        <v>90000</v>
      </c>
      <c r="F10" s="14">
        <v>1716.17</v>
      </c>
      <c r="G10" s="14">
        <v>4.1500000000000004</v>
      </c>
      <c r="H10" s="15"/>
    </row>
    <row r="11" spans="1:8" ht="12.95" customHeight="1">
      <c r="A11" s="10" t="s">
        <v>138</v>
      </c>
      <c r="B11" s="11" t="s">
        <v>139</v>
      </c>
      <c r="C11" s="12" t="s">
        <v>140</v>
      </c>
      <c r="D11" s="7" t="s">
        <v>141</v>
      </c>
      <c r="E11" s="13">
        <v>225000</v>
      </c>
      <c r="F11" s="14">
        <v>1643.18</v>
      </c>
      <c r="G11" s="14">
        <v>3.98</v>
      </c>
      <c r="H11" s="15"/>
    </row>
    <row r="12" spans="1:8" ht="12.95" customHeight="1">
      <c r="A12" s="10" t="s">
        <v>331</v>
      </c>
      <c r="B12" s="11" t="s">
        <v>332</v>
      </c>
      <c r="C12" s="12" t="s">
        <v>333</v>
      </c>
      <c r="D12" s="7" t="s">
        <v>159</v>
      </c>
      <c r="E12" s="13">
        <v>137450</v>
      </c>
      <c r="F12" s="14">
        <v>1221.04</v>
      </c>
      <c r="G12" s="14">
        <v>2.95</v>
      </c>
      <c r="H12" s="15"/>
    </row>
    <row r="13" spans="1:8" ht="12.95" customHeight="1">
      <c r="A13" s="10" t="s">
        <v>334</v>
      </c>
      <c r="B13" s="11" t="s">
        <v>335</v>
      </c>
      <c r="C13" s="12" t="s">
        <v>336</v>
      </c>
      <c r="D13" s="7" t="s">
        <v>155</v>
      </c>
      <c r="E13" s="13">
        <v>45000</v>
      </c>
      <c r="F13" s="14">
        <v>1075.68</v>
      </c>
      <c r="G13" s="14">
        <v>2.6</v>
      </c>
      <c r="H13" s="15"/>
    </row>
    <row r="14" spans="1:8" ht="12.95" customHeight="1">
      <c r="A14" s="10" t="s">
        <v>171</v>
      </c>
      <c r="B14" s="11" t="s">
        <v>172</v>
      </c>
      <c r="C14" s="12" t="s">
        <v>173</v>
      </c>
      <c r="D14" s="7" t="s">
        <v>174</v>
      </c>
      <c r="E14" s="13">
        <v>13500</v>
      </c>
      <c r="F14" s="14">
        <v>1020.78</v>
      </c>
      <c r="G14" s="14">
        <v>2.4700000000000002</v>
      </c>
      <c r="H14" s="15"/>
    </row>
    <row r="15" spans="1:8" ht="12.95" customHeight="1">
      <c r="A15" s="10" t="s">
        <v>337</v>
      </c>
      <c r="B15" s="11" t="s">
        <v>338</v>
      </c>
      <c r="C15" s="12" t="s">
        <v>339</v>
      </c>
      <c r="D15" s="7" t="s">
        <v>288</v>
      </c>
      <c r="E15" s="13">
        <v>126954</v>
      </c>
      <c r="F15" s="14">
        <v>958.44</v>
      </c>
      <c r="G15" s="14">
        <v>2.3199999999999998</v>
      </c>
      <c r="H15" s="15"/>
    </row>
    <row r="16" spans="1:8" ht="12.95" customHeight="1">
      <c r="A16" s="10" t="s">
        <v>142</v>
      </c>
      <c r="B16" s="11" t="s">
        <v>143</v>
      </c>
      <c r="C16" s="12" t="s">
        <v>144</v>
      </c>
      <c r="D16" s="7" t="s">
        <v>141</v>
      </c>
      <c r="E16" s="13">
        <v>56650</v>
      </c>
      <c r="F16" s="14">
        <v>832.95</v>
      </c>
      <c r="G16" s="14">
        <v>2.02</v>
      </c>
      <c r="H16" s="15"/>
    </row>
    <row r="17" spans="1:8" ht="12.95" customHeight="1">
      <c r="A17" s="10" t="s">
        <v>340</v>
      </c>
      <c r="B17" s="11" t="s">
        <v>341</v>
      </c>
      <c r="C17" s="12" t="s">
        <v>342</v>
      </c>
      <c r="D17" s="7" t="s">
        <v>174</v>
      </c>
      <c r="E17" s="13">
        <v>36000</v>
      </c>
      <c r="F17" s="14">
        <v>825.89</v>
      </c>
      <c r="G17" s="14">
        <v>2</v>
      </c>
      <c r="H17" s="15"/>
    </row>
    <row r="18" spans="1:8" ht="12.95" customHeight="1">
      <c r="A18" s="10" t="s">
        <v>343</v>
      </c>
      <c r="B18" s="11" t="s">
        <v>344</v>
      </c>
      <c r="C18" s="12" t="s">
        <v>345</v>
      </c>
      <c r="D18" s="7" t="s">
        <v>159</v>
      </c>
      <c r="E18" s="13">
        <v>286200</v>
      </c>
      <c r="F18" s="14">
        <v>717.36</v>
      </c>
      <c r="G18" s="14">
        <v>1.74</v>
      </c>
      <c r="H18" s="15"/>
    </row>
    <row r="19" spans="1:8" ht="12.95" customHeight="1">
      <c r="A19" s="10" t="s">
        <v>182</v>
      </c>
      <c r="B19" s="11" t="s">
        <v>183</v>
      </c>
      <c r="C19" s="12" t="s">
        <v>184</v>
      </c>
      <c r="D19" s="7" t="s">
        <v>137</v>
      </c>
      <c r="E19" s="13">
        <v>19050</v>
      </c>
      <c r="F19" s="14">
        <v>712.46</v>
      </c>
      <c r="G19" s="14">
        <v>1.72</v>
      </c>
      <c r="H19" s="15"/>
    </row>
    <row r="20" spans="1:8" ht="12.95" customHeight="1">
      <c r="A20" s="10" t="s">
        <v>164</v>
      </c>
      <c r="B20" s="11" t="s">
        <v>165</v>
      </c>
      <c r="C20" s="12" t="s">
        <v>166</v>
      </c>
      <c r="D20" s="7" t="s">
        <v>141</v>
      </c>
      <c r="E20" s="13">
        <v>38700</v>
      </c>
      <c r="F20" s="14">
        <v>678.74</v>
      </c>
      <c r="G20" s="14">
        <v>1.64</v>
      </c>
      <c r="H20" s="15"/>
    </row>
    <row r="21" spans="1:8" ht="12.95" customHeight="1">
      <c r="A21" s="10" t="s">
        <v>149</v>
      </c>
      <c r="B21" s="11" t="s">
        <v>150</v>
      </c>
      <c r="C21" s="12" t="s">
        <v>151</v>
      </c>
      <c r="D21" s="7" t="s">
        <v>141</v>
      </c>
      <c r="E21" s="13">
        <v>82066</v>
      </c>
      <c r="F21" s="14">
        <v>624.65</v>
      </c>
      <c r="G21" s="14">
        <v>1.51</v>
      </c>
      <c r="H21" s="15"/>
    </row>
    <row r="22" spans="1:8" ht="12.95" customHeight="1">
      <c r="A22" s="10" t="s">
        <v>346</v>
      </c>
      <c r="B22" s="11" t="s">
        <v>347</v>
      </c>
      <c r="C22" s="12" t="s">
        <v>348</v>
      </c>
      <c r="D22" s="7" t="s">
        <v>137</v>
      </c>
      <c r="E22" s="13">
        <v>38700</v>
      </c>
      <c r="F22" s="14">
        <v>580.29</v>
      </c>
      <c r="G22" s="14">
        <v>1.4</v>
      </c>
      <c r="H22" s="15"/>
    </row>
    <row r="23" spans="1:8" ht="12.95" customHeight="1">
      <c r="A23" s="10" t="s">
        <v>349</v>
      </c>
      <c r="B23" s="11" t="s">
        <v>350</v>
      </c>
      <c r="C23" s="12" t="s">
        <v>351</v>
      </c>
      <c r="D23" s="7" t="s">
        <v>188</v>
      </c>
      <c r="E23" s="13">
        <v>33250</v>
      </c>
      <c r="F23" s="14">
        <v>553.28</v>
      </c>
      <c r="G23" s="14">
        <v>1.34</v>
      </c>
      <c r="H23" s="15"/>
    </row>
    <row r="24" spans="1:8" ht="12.95" customHeight="1">
      <c r="A24" s="10" t="s">
        <v>160</v>
      </c>
      <c r="B24" s="11" t="s">
        <v>161</v>
      </c>
      <c r="C24" s="12" t="s">
        <v>162</v>
      </c>
      <c r="D24" s="7" t="s">
        <v>163</v>
      </c>
      <c r="E24" s="13">
        <v>31050</v>
      </c>
      <c r="F24" s="14">
        <v>548.86</v>
      </c>
      <c r="G24" s="14">
        <v>1.33</v>
      </c>
      <c r="H24" s="15"/>
    </row>
    <row r="25" spans="1:8" ht="12.95" customHeight="1">
      <c r="A25" s="10" t="s">
        <v>352</v>
      </c>
      <c r="B25" s="11" t="s">
        <v>353</v>
      </c>
      <c r="C25" s="12" t="s">
        <v>354</v>
      </c>
      <c r="D25" s="7" t="s">
        <v>211</v>
      </c>
      <c r="E25" s="13">
        <v>207000</v>
      </c>
      <c r="F25" s="14">
        <v>494.01</v>
      </c>
      <c r="G25" s="14">
        <v>1.2</v>
      </c>
      <c r="H25" s="15"/>
    </row>
    <row r="26" spans="1:8" ht="12.95" customHeight="1">
      <c r="A26" s="10" t="s">
        <v>355</v>
      </c>
      <c r="B26" s="11" t="s">
        <v>356</v>
      </c>
      <c r="C26" s="12" t="s">
        <v>357</v>
      </c>
      <c r="D26" s="7" t="s">
        <v>358</v>
      </c>
      <c r="E26" s="13">
        <v>171000</v>
      </c>
      <c r="F26" s="14">
        <v>493.08</v>
      </c>
      <c r="G26" s="14">
        <v>1.19</v>
      </c>
      <c r="H26" s="15"/>
    </row>
    <row r="27" spans="1:8" ht="12.95" customHeight="1">
      <c r="A27" s="10" t="s">
        <v>359</v>
      </c>
      <c r="B27" s="11" t="s">
        <v>360</v>
      </c>
      <c r="C27" s="12" t="s">
        <v>361</v>
      </c>
      <c r="D27" s="7" t="s">
        <v>141</v>
      </c>
      <c r="E27" s="13">
        <v>216000</v>
      </c>
      <c r="F27" s="14">
        <v>491.94</v>
      </c>
      <c r="G27" s="14">
        <v>1.19</v>
      </c>
      <c r="H27" s="15"/>
    </row>
    <row r="28" spans="1:8" ht="12.95" customHeight="1">
      <c r="A28" s="10" t="s">
        <v>208</v>
      </c>
      <c r="B28" s="11" t="s">
        <v>209</v>
      </c>
      <c r="C28" s="12" t="s">
        <v>210</v>
      </c>
      <c r="D28" s="7" t="s">
        <v>211</v>
      </c>
      <c r="E28" s="13">
        <v>342000</v>
      </c>
      <c r="F28" s="14">
        <v>461.7</v>
      </c>
      <c r="G28" s="14">
        <v>1.1200000000000001</v>
      </c>
      <c r="H28" s="15"/>
    </row>
    <row r="29" spans="1:8" ht="12.95" customHeight="1">
      <c r="A29" s="10" t="s">
        <v>362</v>
      </c>
      <c r="B29" s="11" t="s">
        <v>363</v>
      </c>
      <c r="C29" s="12" t="s">
        <v>364</v>
      </c>
      <c r="D29" s="7" t="s">
        <v>155</v>
      </c>
      <c r="E29" s="13">
        <v>121500</v>
      </c>
      <c r="F29" s="14">
        <v>436.12</v>
      </c>
      <c r="G29" s="14">
        <v>1.06</v>
      </c>
      <c r="H29" s="15"/>
    </row>
    <row r="30" spans="1:8" ht="12.95" customHeight="1">
      <c r="A30" s="10" t="s">
        <v>365</v>
      </c>
      <c r="B30" s="11" t="s">
        <v>366</v>
      </c>
      <c r="C30" s="12" t="s">
        <v>367</v>
      </c>
      <c r="D30" s="7" t="s">
        <v>148</v>
      </c>
      <c r="E30" s="13">
        <v>153000</v>
      </c>
      <c r="F30" s="14">
        <v>412.11</v>
      </c>
      <c r="G30" s="14">
        <v>1</v>
      </c>
      <c r="H30" s="15"/>
    </row>
    <row r="31" spans="1:8" ht="12.95" customHeight="1">
      <c r="A31" s="10" t="s">
        <v>152</v>
      </c>
      <c r="B31" s="11" t="s">
        <v>153</v>
      </c>
      <c r="C31" s="12" t="s">
        <v>154</v>
      </c>
      <c r="D31" s="7" t="s">
        <v>155</v>
      </c>
      <c r="E31" s="13">
        <v>5400</v>
      </c>
      <c r="F31" s="14">
        <v>392.04</v>
      </c>
      <c r="G31" s="14">
        <v>0.95</v>
      </c>
      <c r="H31" s="15"/>
    </row>
    <row r="32" spans="1:8" ht="12.95" customHeight="1">
      <c r="A32" s="10" t="s">
        <v>368</v>
      </c>
      <c r="B32" s="11" t="s">
        <v>369</v>
      </c>
      <c r="C32" s="12" t="s">
        <v>370</v>
      </c>
      <c r="D32" s="7" t="s">
        <v>174</v>
      </c>
      <c r="E32" s="13">
        <v>184957</v>
      </c>
      <c r="F32" s="14">
        <v>381.94</v>
      </c>
      <c r="G32" s="14">
        <v>0.92</v>
      </c>
      <c r="H32" s="15"/>
    </row>
    <row r="33" spans="1:8" ht="12.95" customHeight="1">
      <c r="A33" s="10" t="s">
        <v>371</v>
      </c>
      <c r="B33" s="11" t="s">
        <v>372</v>
      </c>
      <c r="C33" s="12" t="s">
        <v>373</v>
      </c>
      <c r="D33" s="7" t="s">
        <v>203</v>
      </c>
      <c r="E33" s="13">
        <v>70014</v>
      </c>
      <c r="F33" s="14">
        <v>373.07</v>
      </c>
      <c r="G33" s="14">
        <v>0.9</v>
      </c>
      <c r="H33" s="15"/>
    </row>
    <row r="34" spans="1:8" ht="12.95" customHeight="1">
      <c r="A34" s="10" t="s">
        <v>204</v>
      </c>
      <c r="B34" s="11" t="s">
        <v>205</v>
      </c>
      <c r="C34" s="12" t="s">
        <v>206</v>
      </c>
      <c r="D34" s="7" t="s">
        <v>207</v>
      </c>
      <c r="E34" s="13">
        <v>18300</v>
      </c>
      <c r="F34" s="14">
        <v>370.2</v>
      </c>
      <c r="G34" s="14">
        <v>0.9</v>
      </c>
      <c r="H34" s="15"/>
    </row>
    <row r="35" spans="1:8" ht="12.95" customHeight="1">
      <c r="A35" s="10" t="s">
        <v>156</v>
      </c>
      <c r="B35" s="11" t="s">
        <v>157</v>
      </c>
      <c r="C35" s="12" t="s">
        <v>158</v>
      </c>
      <c r="D35" s="7" t="s">
        <v>159</v>
      </c>
      <c r="E35" s="13">
        <v>18000</v>
      </c>
      <c r="F35" s="14">
        <v>368.76</v>
      </c>
      <c r="G35" s="14">
        <v>0.89</v>
      </c>
      <c r="H35" s="15"/>
    </row>
    <row r="36" spans="1:8" ht="12.95" customHeight="1">
      <c r="A36" s="10" t="s">
        <v>189</v>
      </c>
      <c r="B36" s="11" t="s">
        <v>190</v>
      </c>
      <c r="C36" s="12" t="s">
        <v>191</v>
      </c>
      <c r="D36" s="7" t="s">
        <v>192</v>
      </c>
      <c r="E36" s="13">
        <v>8100</v>
      </c>
      <c r="F36" s="14">
        <v>356.57</v>
      </c>
      <c r="G36" s="14">
        <v>0.86</v>
      </c>
      <c r="H36" s="15"/>
    </row>
    <row r="37" spans="1:8" ht="12.95" customHeight="1">
      <c r="A37" s="10" t="s">
        <v>219</v>
      </c>
      <c r="B37" s="11" t="s">
        <v>220</v>
      </c>
      <c r="C37" s="12" t="s">
        <v>221</v>
      </c>
      <c r="D37" s="7" t="s">
        <v>222</v>
      </c>
      <c r="E37" s="13">
        <v>117000</v>
      </c>
      <c r="F37" s="14">
        <v>355.62</v>
      </c>
      <c r="G37" s="14">
        <v>0.86</v>
      </c>
      <c r="H37" s="15"/>
    </row>
    <row r="38" spans="1:8" ht="12.95" customHeight="1">
      <c r="A38" s="10" t="s">
        <v>374</v>
      </c>
      <c r="B38" s="11" t="s">
        <v>375</v>
      </c>
      <c r="C38" s="12" t="s">
        <v>376</v>
      </c>
      <c r="D38" s="7" t="s">
        <v>377</v>
      </c>
      <c r="E38" s="13">
        <v>122400</v>
      </c>
      <c r="F38" s="14">
        <v>355.45</v>
      </c>
      <c r="G38" s="14">
        <v>0.86</v>
      </c>
      <c r="H38" s="15"/>
    </row>
    <row r="39" spans="1:8" ht="12.95" customHeight="1">
      <c r="A39" s="10" t="s">
        <v>378</v>
      </c>
      <c r="B39" s="11" t="s">
        <v>379</v>
      </c>
      <c r="C39" s="12" t="s">
        <v>380</v>
      </c>
      <c r="D39" s="7" t="s">
        <v>141</v>
      </c>
      <c r="E39" s="13">
        <v>37800</v>
      </c>
      <c r="F39" s="14">
        <v>353.58</v>
      </c>
      <c r="G39" s="14">
        <v>0.86</v>
      </c>
      <c r="H39" s="15"/>
    </row>
    <row r="40" spans="1:8" ht="12.95" customHeight="1">
      <c r="A40" s="10" t="s">
        <v>381</v>
      </c>
      <c r="B40" s="11" t="s">
        <v>382</v>
      </c>
      <c r="C40" s="12" t="s">
        <v>383</v>
      </c>
      <c r="D40" s="7" t="s">
        <v>230</v>
      </c>
      <c r="E40" s="13">
        <v>45000</v>
      </c>
      <c r="F40" s="14">
        <v>348.39</v>
      </c>
      <c r="G40" s="14">
        <v>0.84</v>
      </c>
      <c r="H40" s="15"/>
    </row>
    <row r="41" spans="1:8" ht="12.95" customHeight="1">
      <c r="A41" s="10" t="s">
        <v>175</v>
      </c>
      <c r="B41" s="11" t="s">
        <v>176</v>
      </c>
      <c r="C41" s="12" t="s">
        <v>177</v>
      </c>
      <c r="D41" s="7" t="s">
        <v>137</v>
      </c>
      <c r="E41" s="13">
        <v>58500</v>
      </c>
      <c r="F41" s="14">
        <v>346.26</v>
      </c>
      <c r="G41" s="14">
        <v>0.84</v>
      </c>
      <c r="H41" s="15"/>
    </row>
    <row r="42" spans="1:8" ht="12.95" customHeight="1">
      <c r="A42" s="10" t="s">
        <v>384</v>
      </c>
      <c r="B42" s="11" t="s">
        <v>385</v>
      </c>
      <c r="C42" s="12" t="s">
        <v>386</v>
      </c>
      <c r="D42" s="7" t="s">
        <v>181</v>
      </c>
      <c r="E42" s="13">
        <v>112500</v>
      </c>
      <c r="F42" s="14">
        <v>339.86</v>
      </c>
      <c r="G42" s="14">
        <v>0.82</v>
      </c>
      <c r="H42" s="15"/>
    </row>
    <row r="43" spans="1:8" ht="12.95" customHeight="1">
      <c r="A43" s="10" t="s">
        <v>387</v>
      </c>
      <c r="B43" s="11" t="s">
        <v>388</v>
      </c>
      <c r="C43" s="12" t="s">
        <v>389</v>
      </c>
      <c r="D43" s="7" t="s">
        <v>246</v>
      </c>
      <c r="E43" s="13">
        <v>11700</v>
      </c>
      <c r="F43" s="14">
        <v>313.48</v>
      </c>
      <c r="G43" s="14">
        <v>0.76</v>
      </c>
      <c r="H43" s="15"/>
    </row>
    <row r="44" spans="1:8" ht="12.95" customHeight="1">
      <c r="A44" s="10" t="s">
        <v>390</v>
      </c>
      <c r="B44" s="11" t="s">
        <v>391</v>
      </c>
      <c r="C44" s="12" t="s">
        <v>392</v>
      </c>
      <c r="D44" s="7" t="s">
        <v>393</v>
      </c>
      <c r="E44" s="13">
        <v>189000</v>
      </c>
      <c r="F44" s="14">
        <v>309.77</v>
      </c>
      <c r="G44" s="14">
        <v>0.75</v>
      </c>
      <c r="H44" s="15"/>
    </row>
    <row r="45" spans="1:8" ht="12.95" customHeight="1">
      <c r="A45" s="10" t="s">
        <v>193</v>
      </c>
      <c r="B45" s="11" t="s">
        <v>194</v>
      </c>
      <c r="C45" s="12" t="s">
        <v>195</v>
      </c>
      <c r="D45" s="7" t="s">
        <v>196</v>
      </c>
      <c r="E45" s="13">
        <v>52675</v>
      </c>
      <c r="F45" s="14">
        <v>299.98</v>
      </c>
      <c r="G45" s="14">
        <v>0.73</v>
      </c>
      <c r="H45" s="15"/>
    </row>
    <row r="46" spans="1:8" ht="12.95" customHeight="1">
      <c r="A46" s="10" t="s">
        <v>394</v>
      </c>
      <c r="B46" s="11" t="s">
        <v>395</v>
      </c>
      <c r="C46" s="12" t="s">
        <v>396</v>
      </c>
      <c r="D46" s="7" t="s">
        <v>397</v>
      </c>
      <c r="E46" s="13">
        <v>180000</v>
      </c>
      <c r="F46" s="14">
        <v>280.17</v>
      </c>
      <c r="G46" s="14">
        <v>0.68</v>
      </c>
      <c r="H46" s="15"/>
    </row>
    <row r="47" spans="1:8" ht="12.95" customHeight="1">
      <c r="A47" s="10" t="s">
        <v>200</v>
      </c>
      <c r="B47" s="11" t="s">
        <v>201</v>
      </c>
      <c r="C47" s="12" t="s">
        <v>202</v>
      </c>
      <c r="D47" s="7" t="s">
        <v>203</v>
      </c>
      <c r="E47" s="13">
        <v>117000</v>
      </c>
      <c r="F47" s="14">
        <v>236.98</v>
      </c>
      <c r="G47" s="14">
        <v>0.56999999999999995</v>
      </c>
      <c r="H47" s="15"/>
    </row>
    <row r="48" spans="1:8" ht="12.95" customHeight="1">
      <c r="A48" s="10" t="s">
        <v>276</v>
      </c>
      <c r="B48" s="11" t="s">
        <v>277</v>
      </c>
      <c r="C48" s="12" t="s">
        <v>278</v>
      </c>
      <c r="D48" s="7" t="s">
        <v>203</v>
      </c>
      <c r="E48" s="13">
        <v>232750</v>
      </c>
      <c r="F48" s="14">
        <v>229.38</v>
      </c>
      <c r="G48" s="14">
        <v>0.55000000000000004</v>
      </c>
      <c r="H48" s="15"/>
    </row>
    <row r="49" spans="1:8" ht="12.95" customHeight="1">
      <c r="A49" s="10" t="s">
        <v>398</v>
      </c>
      <c r="B49" s="11" t="s">
        <v>399</v>
      </c>
      <c r="C49" s="12" t="s">
        <v>400</v>
      </c>
      <c r="D49" s="7" t="s">
        <v>137</v>
      </c>
      <c r="E49" s="13">
        <v>3450</v>
      </c>
      <c r="F49" s="14">
        <v>212.36</v>
      </c>
      <c r="G49" s="14">
        <v>0.51</v>
      </c>
      <c r="H49" s="15"/>
    </row>
    <row r="50" spans="1:8" ht="12.95" customHeight="1">
      <c r="A50" s="10" t="s">
        <v>323</v>
      </c>
      <c r="B50" s="11" t="s">
        <v>324</v>
      </c>
      <c r="C50" s="12" t="s">
        <v>325</v>
      </c>
      <c r="D50" s="7" t="s">
        <v>159</v>
      </c>
      <c r="E50" s="13">
        <v>39600</v>
      </c>
      <c r="F50" s="14">
        <v>193.8</v>
      </c>
      <c r="G50" s="14">
        <v>0.47</v>
      </c>
      <c r="H50" s="15"/>
    </row>
    <row r="51" spans="1:8" ht="12.95" customHeight="1">
      <c r="A51" s="10" t="s">
        <v>401</v>
      </c>
      <c r="B51" s="11" t="s">
        <v>402</v>
      </c>
      <c r="C51" s="12" t="s">
        <v>403</v>
      </c>
      <c r="D51" s="7" t="s">
        <v>218</v>
      </c>
      <c r="E51" s="13">
        <v>90000</v>
      </c>
      <c r="F51" s="14">
        <v>186.12</v>
      </c>
      <c r="G51" s="14">
        <v>0.45</v>
      </c>
      <c r="H51" s="15"/>
    </row>
    <row r="52" spans="1:8" ht="12.95" customHeight="1">
      <c r="A52" s="10" t="s">
        <v>263</v>
      </c>
      <c r="B52" s="11" t="s">
        <v>264</v>
      </c>
      <c r="C52" s="12" t="s">
        <v>265</v>
      </c>
      <c r="D52" s="7" t="s">
        <v>188</v>
      </c>
      <c r="E52" s="13">
        <v>57000</v>
      </c>
      <c r="F52" s="14">
        <v>170.57</v>
      </c>
      <c r="G52" s="14">
        <v>0.41</v>
      </c>
      <c r="H52" s="15"/>
    </row>
    <row r="53" spans="1:8" ht="12.95" customHeight="1">
      <c r="A53" s="10" t="s">
        <v>404</v>
      </c>
      <c r="B53" s="11" t="s">
        <v>405</v>
      </c>
      <c r="C53" s="12" t="s">
        <v>406</v>
      </c>
      <c r="D53" s="7" t="s">
        <v>192</v>
      </c>
      <c r="E53" s="13">
        <v>22500</v>
      </c>
      <c r="F53" s="14">
        <v>170.13</v>
      </c>
      <c r="G53" s="14">
        <v>0.41</v>
      </c>
      <c r="H53" s="15"/>
    </row>
    <row r="54" spans="1:8" ht="12.95" customHeight="1">
      <c r="A54" s="10" t="s">
        <v>407</v>
      </c>
      <c r="B54" s="11" t="s">
        <v>408</v>
      </c>
      <c r="C54" s="12" t="s">
        <v>409</v>
      </c>
      <c r="D54" s="7" t="s">
        <v>288</v>
      </c>
      <c r="E54" s="13">
        <v>7139</v>
      </c>
      <c r="F54" s="14">
        <v>28.27</v>
      </c>
      <c r="G54" s="14">
        <v>7.0000000000000007E-2</v>
      </c>
      <c r="H54" s="15"/>
    </row>
    <row r="55" spans="1:8" ht="12.95" customHeight="1">
      <c r="A55" s="10" t="s">
        <v>410</v>
      </c>
      <c r="B55" s="11" t="s">
        <v>411</v>
      </c>
      <c r="C55" s="12" t="s">
        <v>412</v>
      </c>
      <c r="D55" s="7" t="s">
        <v>155</v>
      </c>
      <c r="E55" s="13">
        <v>2000</v>
      </c>
      <c r="F55" s="14">
        <v>22.7</v>
      </c>
      <c r="G55" s="14">
        <v>0.05</v>
      </c>
      <c r="H55" s="15"/>
    </row>
    <row r="56" spans="1:8" ht="12.95" customHeight="1">
      <c r="A56" s="1"/>
      <c r="B56" s="6" t="s">
        <v>21</v>
      </c>
      <c r="C56" s="7"/>
      <c r="D56" s="7"/>
      <c r="E56" s="7"/>
      <c r="F56" s="16">
        <v>27202.6</v>
      </c>
      <c r="G56" s="16">
        <v>65.81</v>
      </c>
      <c r="H56" s="17"/>
    </row>
    <row r="57" spans="1:8" ht="12.95" customHeight="1">
      <c r="A57" s="1"/>
      <c r="B57" s="18" t="s">
        <v>326</v>
      </c>
      <c r="C57" s="19"/>
      <c r="D57" s="19"/>
      <c r="E57" s="20"/>
      <c r="F57" s="21" t="s">
        <v>23</v>
      </c>
      <c r="G57" s="21"/>
      <c r="H57" s="22"/>
    </row>
    <row r="58" spans="1:8" ht="12.95" customHeight="1">
      <c r="A58" s="1"/>
      <c r="B58" s="23" t="s">
        <v>21</v>
      </c>
      <c r="C58" s="24"/>
      <c r="D58" s="24"/>
      <c r="E58" s="21"/>
      <c r="F58" s="21" t="s">
        <v>23</v>
      </c>
      <c r="G58" s="21"/>
      <c r="H58" s="22"/>
    </row>
    <row r="59" spans="1:8" ht="12.95" customHeight="1">
      <c r="A59" s="1"/>
      <c r="B59" s="18" t="s">
        <v>24</v>
      </c>
      <c r="C59" s="19"/>
      <c r="D59" s="19"/>
      <c r="E59" s="25"/>
      <c r="F59" s="16">
        <v>27202.6</v>
      </c>
      <c r="G59" s="16">
        <v>65.81</v>
      </c>
      <c r="H59" s="22"/>
    </row>
    <row r="60" spans="1:8" ht="12.95" customHeight="1">
      <c r="A60" s="1"/>
      <c r="B60" s="6" t="s">
        <v>413</v>
      </c>
      <c r="C60" s="7"/>
      <c r="D60" s="7"/>
      <c r="E60" s="7"/>
      <c r="F60" s="7"/>
      <c r="G60" s="7"/>
      <c r="H60" s="8"/>
    </row>
    <row r="61" spans="1:8" ht="12.95" customHeight="1">
      <c r="A61" s="1"/>
      <c r="B61" s="6" t="s">
        <v>414</v>
      </c>
      <c r="C61" s="9"/>
      <c r="D61" s="9"/>
      <c r="E61" s="7"/>
      <c r="F61" s="7"/>
      <c r="G61" s="7"/>
      <c r="H61" s="8"/>
    </row>
    <row r="62" spans="1:8" ht="12.95" customHeight="1">
      <c r="A62" s="10" t="s">
        <v>415</v>
      </c>
      <c r="B62" s="11" t="s">
        <v>416</v>
      </c>
      <c r="C62" s="12"/>
      <c r="D62" s="7"/>
      <c r="E62" s="13">
        <v>-2000</v>
      </c>
      <c r="F62" s="14">
        <v>-22.82</v>
      </c>
      <c r="G62" s="14">
        <v>-0.06</v>
      </c>
      <c r="H62" s="15"/>
    </row>
    <row r="63" spans="1:8" ht="12.95" customHeight="1">
      <c r="A63" s="10" t="s">
        <v>417</v>
      </c>
      <c r="B63" s="11" t="s">
        <v>418</v>
      </c>
      <c r="C63" s="12"/>
      <c r="D63" s="7"/>
      <c r="E63" s="13">
        <v>-17600</v>
      </c>
      <c r="F63" s="14">
        <v>-103.9</v>
      </c>
      <c r="G63" s="14">
        <v>-0.25</v>
      </c>
      <c r="H63" s="15"/>
    </row>
    <row r="64" spans="1:8" ht="12.95" customHeight="1">
      <c r="A64" s="10" t="s">
        <v>419</v>
      </c>
      <c r="B64" s="11" t="s">
        <v>420</v>
      </c>
      <c r="C64" s="12"/>
      <c r="D64" s="7"/>
      <c r="E64" s="13">
        <v>-25000</v>
      </c>
      <c r="F64" s="14">
        <v>-133.65</v>
      </c>
      <c r="G64" s="14">
        <v>-0.32</v>
      </c>
      <c r="H64" s="15"/>
    </row>
    <row r="65" spans="1:8" ht="12.95" customHeight="1">
      <c r="A65" s="10" t="s">
        <v>421</v>
      </c>
      <c r="B65" s="11" t="s">
        <v>422</v>
      </c>
      <c r="C65" s="12"/>
      <c r="D65" s="7"/>
      <c r="E65" s="13">
        <v>-57000</v>
      </c>
      <c r="F65" s="14">
        <v>-171.48</v>
      </c>
      <c r="G65" s="14">
        <v>-0.41</v>
      </c>
      <c r="H65" s="15"/>
    </row>
    <row r="66" spans="1:8" ht="12.95" customHeight="1">
      <c r="A66" s="10" t="s">
        <v>423</v>
      </c>
      <c r="B66" s="11" t="s">
        <v>424</v>
      </c>
      <c r="C66" s="12"/>
      <c r="D66" s="7"/>
      <c r="E66" s="13">
        <v>-3450</v>
      </c>
      <c r="F66" s="14">
        <v>-213.66</v>
      </c>
      <c r="G66" s="14">
        <v>-0.52</v>
      </c>
      <c r="H66" s="15"/>
    </row>
    <row r="67" spans="1:8" ht="12.95" customHeight="1">
      <c r="A67" s="10" t="s">
        <v>425</v>
      </c>
      <c r="B67" s="11" t="s">
        <v>426</v>
      </c>
      <c r="C67" s="12"/>
      <c r="D67" s="7"/>
      <c r="E67" s="13">
        <v>-12400</v>
      </c>
      <c r="F67" s="14">
        <v>-218.51</v>
      </c>
      <c r="G67" s="14">
        <v>-0.53</v>
      </c>
      <c r="H67" s="15"/>
    </row>
    <row r="68" spans="1:8" ht="12.95" customHeight="1">
      <c r="A68" s="10" t="s">
        <v>427</v>
      </c>
      <c r="B68" s="11" t="s">
        <v>428</v>
      </c>
      <c r="C68" s="12"/>
      <c r="D68" s="7"/>
      <c r="E68" s="13">
        <v>-45000</v>
      </c>
      <c r="F68" s="14">
        <v>-223.25</v>
      </c>
      <c r="G68" s="14">
        <v>-0.54</v>
      </c>
      <c r="H68" s="15"/>
    </row>
    <row r="69" spans="1:8" ht="12.95" customHeight="1">
      <c r="A69" s="10" t="s">
        <v>429</v>
      </c>
      <c r="B69" s="11" t="s">
        <v>430</v>
      </c>
      <c r="C69" s="12"/>
      <c r="D69" s="7"/>
      <c r="E69" s="13">
        <v>-52675</v>
      </c>
      <c r="F69" s="14">
        <v>-301.99</v>
      </c>
      <c r="G69" s="14">
        <v>-0.73</v>
      </c>
      <c r="H69" s="15"/>
    </row>
    <row r="70" spans="1:8" ht="12.95" customHeight="1">
      <c r="A70" s="10" t="s">
        <v>431</v>
      </c>
      <c r="B70" s="11" t="s">
        <v>432</v>
      </c>
      <c r="C70" s="12"/>
      <c r="D70" s="7"/>
      <c r="E70" s="13">
        <v>-23650</v>
      </c>
      <c r="F70" s="14">
        <v>-349</v>
      </c>
      <c r="G70" s="14">
        <v>-0.84</v>
      </c>
      <c r="H70" s="15"/>
    </row>
    <row r="71" spans="1:8" ht="12.95" customHeight="1">
      <c r="A71" s="10" t="s">
        <v>433</v>
      </c>
      <c r="B71" s="11" t="s">
        <v>434</v>
      </c>
      <c r="C71" s="12"/>
      <c r="D71" s="7"/>
      <c r="E71" s="13">
        <v>-37800</v>
      </c>
      <c r="F71" s="14">
        <v>-355.21</v>
      </c>
      <c r="G71" s="14">
        <v>-0.86</v>
      </c>
      <c r="H71" s="15"/>
    </row>
    <row r="72" spans="1:8" ht="12.95" customHeight="1">
      <c r="A72" s="10" t="s">
        <v>435</v>
      </c>
      <c r="B72" s="11" t="s">
        <v>436</v>
      </c>
      <c r="C72" s="12"/>
      <c r="D72" s="7"/>
      <c r="E72" s="13">
        <v>-18000</v>
      </c>
      <c r="F72" s="14">
        <v>-369.91</v>
      </c>
      <c r="G72" s="14">
        <v>-0.89</v>
      </c>
      <c r="H72" s="15"/>
    </row>
    <row r="73" spans="1:8" ht="12.95" customHeight="1">
      <c r="A73" s="10" t="s">
        <v>437</v>
      </c>
      <c r="B73" s="11" t="s">
        <v>438</v>
      </c>
      <c r="C73" s="12"/>
      <c r="D73" s="7"/>
      <c r="E73" s="13">
        <v>-51300</v>
      </c>
      <c r="F73" s="14">
        <v>-388.49</v>
      </c>
      <c r="G73" s="14">
        <v>-0.94</v>
      </c>
      <c r="H73" s="15"/>
    </row>
    <row r="74" spans="1:8" ht="12.95" customHeight="1">
      <c r="A74" s="10" t="s">
        <v>439</v>
      </c>
      <c r="B74" s="11" t="s">
        <v>440</v>
      </c>
      <c r="C74" s="12"/>
      <c r="D74" s="7"/>
      <c r="E74" s="13">
        <v>-24900</v>
      </c>
      <c r="F74" s="14">
        <v>-476.51</v>
      </c>
      <c r="G74" s="14">
        <v>-1.1499999999999999</v>
      </c>
      <c r="H74" s="15"/>
    </row>
    <row r="75" spans="1:8" ht="12.95" customHeight="1">
      <c r="A75" s="10" t="s">
        <v>441</v>
      </c>
      <c r="B75" s="11" t="s">
        <v>442</v>
      </c>
      <c r="C75" s="12"/>
      <c r="D75" s="7"/>
      <c r="E75" s="13">
        <v>-31050</v>
      </c>
      <c r="F75" s="14">
        <v>-551.12</v>
      </c>
      <c r="G75" s="14">
        <v>-1.33</v>
      </c>
      <c r="H75" s="15"/>
    </row>
    <row r="76" spans="1:8" ht="12.95" customHeight="1">
      <c r="A76" s="10" t="s">
        <v>443</v>
      </c>
      <c r="B76" s="11" t="s">
        <v>444</v>
      </c>
      <c r="C76" s="12"/>
      <c r="D76" s="7"/>
      <c r="E76" s="13">
        <v>-33250</v>
      </c>
      <c r="F76" s="14">
        <v>-556.22</v>
      </c>
      <c r="G76" s="14">
        <v>-1.35</v>
      </c>
      <c r="H76" s="15"/>
    </row>
    <row r="77" spans="1:8" ht="12.95" customHeight="1">
      <c r="A77" s="10" t="s">
        <v>445</v>
      </c>
      <c r="B77" s="11" t="s">
        <v>446</v>
      </c>
      <c r="C77" s="12"/>
      <c r="D77" s="7"/>
      <c r="E77" s="13">
        <v>-19050</v>
      </c>
      <c r="F77" s="14">
        <v>-715</v>
      </c>
      <c r="G77" s="14">
        <v>-1.73</v>
      </c>
      <c r="H77" s="15"/>
    </row>
    <row r="78" spans="1:8" ht="12.95" customHeight="1">
      <c r="A78" s="10" t="s">
        <v>447</v>
      </c>
      <c r="B78" s="11" t="s">
        <v>448</v>
      </c>
      <c r="C78" s="12"/>
      <c r="D78" s="7"/>
      <c r="E78" s="13">
        <v>-10200</v>
      </c>
      <c r="F78" s="14">
        <v>-775.06</v>
      </c>
      <c r="G78" s="14">
        <v>-1.88</v>
      </c>
      <c r="H78" s="15"/>
    </row>
    <row r="79" spans="1:8" ht="12.95" customHeight="1">
      <c r="A79" s="10" t="s">
        <v>449</v>
      </c>
      <c r="B79" s="11" t="s">
        <v>450</v>
      </c>
      <c r="C79" s="12"/>
      <c r="D79" s="7"/>
      <c r="E79" s="13">
        <v>-36000</v>
      </c>
      <c r="F79" s="14">
        <v>-830.97</v>
      </c>
      <c r="G79" s="14">
        <v>-2.0099999999999998</v>
      </c>
      <c r="H79" s="15"/>
    </row>
    <row r="80" spans="1:8" ht="12.95" customHeight="1">
      <c r="A80" s="10" t="s">
        <v>451</v>
      </c>
      <c r="B80" s="11" t="s">
        <v>452</v>
      </c>
      <c r="C80" s="12"/>
      <c r="D80" s="7"/>
      <c r="E80" s="13">
        <v>-106250</v>
      </c>
      <c r="F80" s="14">
        <v>-946.21</v>
      </c>
      <c r="G80" s="14">
        <v>-2.29</v>
      </c>
      <c r="H80" s="15"/>
    </row>
    <row r="81" spans="1:8" ht="12.95" customHeight="1">
      <c r="A81" s="10" t="s">
        <v>453</v>
      </c>
      <c r="B81" s="11" t="s">
        <v>454</v>
      </c>
      <c r="C81" s="12"/>
      <c r="D81" s="7"/>
      <c r="E81" s="13">
        <v>-45000</v>
      </c>
      <c r="F81" s="14">
        <v>-1081.31</v>
      </c>
      <c r="G81" s="14">
        <v>-2.62</v>
      </c>
      <c r="H81" s="15"/>
    </row>
    <row r="82" spans="1:8" ht="12.95" customHeight="1">
      <c r="A82" s="10" t="s">
        <v>455</v>
      </c>
      <c r="B82" s="11" t="s">
        <v>456</v>
      </c>
      <c r="C82" s="12"/>
      <c r="D82" s="7"/>
      <c r="E82" s="13">
        <v>-54000</v>
      </c>
      <c r="F82" s="14">
        <v>-1431.24</v>
      </c>
      <c r="G82" s="14">
        <v>-3.46</v>
      </c>
      <c r="H82" s="15"/>
    </row>
    <row r="83" spans="1:8" ht="12.95" customHeight="1">
      <c r="A83" s="1"/>
      <c r="B83" s="6" t="s">
        <v>21</v>
      </c>
      <c r="C83" s="7"/>
      <c r="D83" s="7"/>
      <c r="E83" s="7"/>
      <c r="F83" s="16">
        <v>-10215.51</v>
      </c>
      <c r="G83" s="16">
        <v>-24.71</v>
      </c>
      <c r="H83" s="17"/>
    </row>
    <row r="84" spans="1:8" ht="12.95" customHeight="1">
      <c r="A84" s="1"/>
      <c r="B84" s="18" t="s">
        <v>24</v>
      </c>
      <c r="C84" s="19"/>
      <c r="D84" s="19"/>
      <c r="E84" s="25"/>
      <c r="F84" s="16">
        <v>-10215.51</v>
      </c>
      <c r="G84" s="16">
        <v>-24.71</v>
      </c>
      <c r="H84" s="22"/>
    </row>
    <row r="85" spans="1:8" ht="12.95" customHeight="1">
      <c r="A85" s="1"/>
      <c r="B85" s="6" t="s">
        <v>8</v>
      </c>
      <c r="C85" s="7"/>
      <c r="D85" s="7"/>
      <c r="E85" s="7"/>
      <c r="F85" s="7"/>
      <c r="G85" s="7"/>
      <c r="H85" s="8"/>
    </row>
    <row r="86" spans="1:8" ht="12.95" customHeight="1">
      <c r="A86" s="1"/>
      <c r="B86" s="6" t="s">
        <v>9</v>
      </c>
      <c r="C86" s="9"/>
      <c r="D86" s="9"/>
      <c r="E86" s="7"/>
      <c r="F86" s="7"/>
      <c r="G86" s="7"/>
      <c r="H86" s="8"/>
    </row>
    <row r="87" spans="1:8" ht="12.95" customHeight="1">
      <c r="A87" s="10" t="s">
        <v>457</v>
      </c>
      <c r="B87" s="11" t="s">
        <v>458</v>
      </c>
      <c r="C87" s="12" t="s">
        <v>459</v>
      </c>
      <c r="D87" s="7" t="s">
        <v>460</v>
      </c>
      <c r="E87" s="13">
        <v>1000000</v>
      </c>
      <c r="F87" s="14">
        <v>1006.63</v>
      </c>
      <c r="G87" s="14">
        <v>2.44</v>
      </c>
      <c r="H87" s="15">
        <v>4.6449999999999998E-2</v>
      </c>
    </row>
    <row r="88" spans="1:8" ht="12.95" customHeight="1">
      <c r="A88" s="10" t="s">
        <v>461</v>
      </c>
      <c r="B88" s="11" t="s">
        <v>462</v>
      </c>
      <c r="C88" s="12" t="s">
        <v>463</v>
      </c>
      <c r="D88" s="7" t="s">
        <v>464</v>
      </c>
      <c r="E88" s="13">
        <v>1000000</v>
      </c>
      <c r="F88" s="14">
        <v>998.81</v>
      </c>
      <c r="G88" s="14">
        <v>2.42</v>
      </c>
      <c r="H88" s="15">
        <v>4.9599999999999998E-2</v>
      </c>
    </row>
    <row r="89" spans="1:8" ht="12.95" customHeight="1">
      <c r="A89" s="10" t="s">
        <v>465</v>
      </c>
      <c r="B89" s="11" t="s">
        <v>466</v>
      </c>
      <c r="C89" s="12" t="s">
        <v>467</v>
      </c>
      <c r="D89" s="7" t="s">
        <v>464</v>
      </c>
      <c r="E89" s="13">
        <v>1000000</v>
      </c>
      <c r="F89" s="14">
        <v>991.69</v>
      </c>
      <c r="G89" s="14">
        <v>2.4</v>
      </c>
      <c r="H89" s="15">
        <v>6.0199000000000003E-2</v>
      </c>
    </row>
    <row r="90" spans="1:8" ht="12.95" customHeight="1">
      <c r="A90" s="10" t="s">
        <v>468</v>
      </c>
      <c r="B90" s="11" t="s">
        <v>469</v>
      </c>
      <c r="C90" s="12" t="s">
        <v>470</v>
      </c>
      <c r="D90" s="7" t="s">
        <v>464</v>
      </c>
      <c r="E90" s="13">
        <v>500000</v>
      </c>
      <c r="F90" s="14">
        <v>535.89</v>
      </c>
      <c r="G90" s="14">
        <v>1.3</v>
      </c>
      <c r="H90" s="15">
        <v>6.8273E-2</v>
      </c>
    </row>
    <row r="91" spans="1:8" ht="12.95" customHeight="1">
      <c r="A91" s="10" t="s">
        <v>471</v>
      </c>
      <c r="B91" s="11" t="s">
        <v>472</v>
      </c>
      <c r="C91" s="12" t="s">
        <v>473</v>
      </c>
      <c r="D91" s="7" t="s">
        <v>474</v>
      </c>
      <c r="E91" s="13">
        <v>500000</v>
      </c>
      <c r="F91" s="14">
        <v>524.58000000000004</v>
      </c>
      <c r="G91" s="14">
        <v>1.27</v>
      </c>
      <c r="H91" s="15">
        <v>5.8900000000000001E-2</v>
      </c>
    </row>
    <row r="92" spans="1:8" ht="12.95" customHeight="1">
      <c r="A92" s="10" t="s">
        <v>475</v>
      </c>
      <c r="B92" s="11" t="s">
        <v>476</v>
      </c>
      <c r="C92" s="12" t="s">
        <v>477</v>
      </c>
      <c r="D92" s="7" t="s">
        <v>13</v>
      </c>
      <c r="E92" s="13">
        <v>500000</v>
      </c>
      <c r="F92" s="14">
        <v>519.97</v>
      </c>
      <c r="G92" s="14">
        <v>1.26</v>
      </c>
      <c r="H92" s="15">
        <v>4.9972999999999997E-2</v>
      </c>
    </row>
    <row r="93" spans="1:8" ht="12.95" customHeight="1">
      <c r="A93" s="10" t="s">
        <v>478</v>
      </c>
      <c r="B93" s="11" t="s">
        <v>479</v>
      </c>
      <c r="C93" s="12" t="s">
        <v>480</v>
      </c>
      <c r="D93" s="7" t="s">
        <v>464</v>
      </c>
      <c r="E93" s="13">
        <v>500000</v>
      </c>
      <c r="F93" s="14">
        <v>505.98</v>
      </c>
      <c r="G93" s="14">
        <v>1.22</v>
      </c>
      <c r="H93" s="15">
        <v>4.6899999999999997E-2</v>
      </c>
    </row>
    <row r="94" spans="1:8" ht="12.95" customHeight="1">
      <c r="A94" s="10" t="s">
        <v>481</v>
      </c>
      <c r="B94" s="11" t="s">
        <v>482</v>
      </c>
      <c r="C94" s="12" t="s">
        <v>483</v>
      </c>
      <c r="D94" s="7" t="s">
        <v>464</v>
      </c>
      <c r="E94" s="13">
        <v>500000</v>
      </c>
      <c r="F94" s="14">
        <v>499.84</v>
      </c>
      <c r="G94" s="14">
        <v>1.21</v>
      </c>
      <c r="H94" s="15">
        <v>5.3999999999999999E-2</v>
      </c>
    </row>
    <row r="95" spans="1:8" ht="12.95" customHeight="1">
      <c r="A95" s="10" t="s">
        <v>484</v>
      </c>
      <c r="B95" s="11" t="s">
        <v>485</v>
      </c>
      <c r="C95" s="12" t="s">
        <v>486</v>
      </c>
      <c r="D95" s="7" t="s">
        <v>13</v>
      </c>
      <c r="E95" s="13">
        <v>500000</v>
      </c>
      <c r="F95" s="14">
        <v>490.09</v>
      </c>
      <c r="G95" s="14">
        <v>1.19</v>
      </c>
      <c r="H95" s="15">
        <v>6.8186999999999998E-2</v>
      </c>
    </row>
    <row r="96" spans="1:8" ht="12.95" customHeight="1">
      <c r="A96" s="10" t="s">
        <v>487</v>
      </c>
      <c r="B96" s="11" t="s">
        <v>488</v>
      </c>
      <c r="C96" s="12" t="s">
        <v>489</v>
      </c>
      <c r="D96" s="7" t="s">
        <v>13</v>
      </c>
      <c r="E96" s="13">
        <v>250000</v>
      </c>
      <c r="F96" s="14">
        <v>246.75</v>
      </c>
      <c r="G96" s="14">
        <v>0.6</v>
      </c>
      <c r="H96" s="15">
        <v>5.6665E-2</v>
      </c>
    </row>
    <row r="97" spans="1:8" ht="12.95" customHeight="1">
      <c r="A97" s="10" t="s">
        <v>490</v>
      </c>
      <c r="B97" s="11" t="s">
        <v>491</v>
      </c>
      <c r="C97" s="12" t="s">
        <v>492</v>
      </c>
      <c r="D97" s="7" t="s">
        <v>13</v>
      </c>
      <c r="E97" s="13">
        <v>250000</v>
      </c>
      <c r="F97" s="14">
        <v>246.46</v>
      </c>
      <c r="G97" s="14">
        <v>0.6</v>
      </c>
      <c r="H97" s="15">
        <v>6.0943999999999998E-2</v>
      </c>
    </row>
    <row r="98" spans="1:8" ht="12.95" customHeight="1">
      <c r="A98" s="10" t="s">
        <v>493</v>
      </c>
      <c r="B98" s="11" t="s">
        <v>494</v>
      </c>
      <c r="C98" s="12" t="s">
        <v>495</v>
      </c>
      <c r="D98" s="7" t="s">
        <v>13</v>
      </c>
      <c r="E98" s="13">
        <v>250000</v>
      </c>
      <c r="F98" s="14">
        <v>244.44</v>
      </c>
      <c r="G98" s="14">
        <v>0.59</v>
      </c>
      <c r="H98" s="15">
        <v>5.8413E-2</v>
      </c>
    </row>
    <row r="99" spans="1:8" ht="12.95" customHeight="1">
      <c r="A99" s="1"/>
      <c r="B99" s="6" t="s">
        <v>21</v>
      </c>
      <c r="C99" s="7"/>
      <c r="D99" s="7"/>
      <c r="E99" s="7"/>
      <c r="F99" s="16">
        <v>6811.13</v>
      </c>
      <c r="G99" s="16">
        <v>16.5</v>
      </c>
      <c r="H99" s="17"/>
    </row>
    <row r="100" spans="1:8" ht="12.95" customHeight="1">
      <c r="A100" s="1"/>
      <c r="B100" s="18" t="s">
        <v>22</v>
      </c>
      <c r="C100" s="19"/>
      <c r="D100" s="19"/>
      <c r="E100" s="20"/>
      <c r="F100" s="21" t="s">
        <v>23</v>
      </c>
      <c r="G100" s="21"/>
      <c r="H100" s="22"/>
    </row>
    <row r="101" spans="1:8" s="40" customFormat="1" ht="12.95" customHeight="1">
      <c r="A101" s="34"/>
      <c r="B101" s="35" t="s">
        <v>960</v>
      </c>
      <c r="C101" s="36"/>
      <c r="D101" s="36"/>
      <c r="E101" s="37"/>
      <c r="F101" s="38" t="s">
        <v>23</v>
      </c>
      <c r="G101" s="38"/>
      <c r="H101" s="39"/>
    </row>
    <row r="102" spans="1:8" ht="12.95" customHeight="1">
      <c r="A102" s="46"/>
      <c r="B102" s="47" t="s">
        <v>21</v>
      </c>
      <c r="C102" s="48"/>
      <c r="D102" s="48"/>
      <c r="E102" s="49"/>
      <c r="F102" s="49" t="s">
        <v>23</v>
      </c>
      <c r="G102" s="49"/>
      <c r="H102" s="50"/>
    </row>
    <row r="103" spans="1:8" ht="12.95" customHeight="1">
      <c r="A103" s="1"/>
      <c r="B103" s="23" t="s">
        <v>21</v>
      </c>
      <c r="C103" s="24"/>
      <c r="D103" s="24"/>
      <c r="E103" s="21"/>
      <c r="F103" s="21" t="s">
        <v>23</v>
      </c>
      <c r="G103" s="21"/>
      <c r="H103" s="22"/>
    </row>
    <row r="104" spans="1:8" ht="12.95" customHeight="1">
      <c r="A104" s="1"/>
      <c r="B104" s="18" t="s">
        <v>24</v>
      </c>
      <c r="C104" s="19"/>
      <c r="D104" s="19"/>
      <c r="E104" s="25"/>
      <c r="F104" s="16">
        <v>6811.13</v>
      </c>
      <c r="G104" s="16">
        <v>16.5</v>
      </c>
      <c r="H104" s="22"/>
    </row>
    <row r="105" spans="1:8" ht="12.95" customHeight="1">
      <c r="A105" s="1"/>
      <c r="B105" s="6" t="s">
        <v>25</v>
      </c>
      <c r="C105" s="7"/>
      <c r="D105" s="7"/>
      <c r="E105" s="7"/>
      <c r="F105" s="7"/>
      <c r="G105" s="7"/>
      <c r="H105" s="8"/>
    </row>
    <row r="106" spans="1:8" ht="12.95" customHeight="1">
      <c r="A106" s="1"/>
      <c r="B106" s="6" t="s">
        <v>42</v>
      </c>
      <c r="C106" s="9"/>
      <c r="D106" s="9"/>
      <c r="E106" s="7"/>
      <c r="F106" s="7"/>
      <c r="G106" s="7"/>
      <c r="H106" s="8"/>
    </row>
    <row r="107" spans="1:8" ht="12.95" customHeight="1">
      <c r="A107" s="10" t="s">
        <v>496</v>
      </c>
      <c r="B107" s="11" t="s">
        <v>68</v>
      </c>
      <c r="C107" s="12" t="s">
        <v>497</v>
      </c>
      <c r="D107" s="7" t="s">
        <v>50</v>
      </c>
      <c r="E107" s="13">
        <v>500000</v>
      </c>
      <c r="F107" s="14">
        <v>491.77</v>
      </c>
      <c r="G107" s="14">
        <v>1.19</v>
      </c>
      <c r="H107" s="15">
        <v>4.2700000000000002E-2</v>
      </c>
    </row>
    <row r="108" spans="1:8" ht="12.95" customHeight="1">
      <c r="A108" s="1"/>
      <c r="B108" s="6" t="s">
        <v>21</v>
      </c>
      <c r="C108" s="7"/>
      <c r="D108" s="7"/>
      <c r="E108" s="7"/>
      <c r="F108" s="16">
        <v>491.77</v>
      </c>
      <c r="G108" s="16">
        <v>1.19</v>
      </c>
      <c r="H108" s="17"/>
    </row>
    <row r="109" spans="1:8" ht="12.95" customHeight="1">
      <c r="A109" s="1"/>
      <c r="B109" s="44" t="s">
        <v>962</v>
      </c>
      <c r="C109" s="9"/>
      <c r="D109" s="9"/>
      <c r="E109" s="7"/>
      <c r="F109" s="7"/>
      <c r="G109" s="7"/>
      <c r="H109" s="8"/>
    </row>
    <row r="110" spans="1:8" ht="12.95" customHeight="1">
      <c r="A110" s="10" t="s">
        <v>124</v>
      </c>
      <c r="B110" s="45" t="s">
        <v>963</v>
      </c>
      <c r="C110" s="12"/>
      <c r="D110" s="7"/>
      <c r="E110" s="13"/>
      <c r="F110" s="14">
        <v>3426.07</v>
      </c>
      <c r="G110" s="14">
        <v>8.2899999999999991</v>
      </c>
      <c r="H110" s="15">
        <v>3.6005000000000002E-2</v>
      </c>
    </row>
    <row r="111" spans="1:8" ht="12.95" customHeight="1">
      <c r="A111" s="1"/>
      <c r="B111" s="6" t="s">
        <v>21</v>
      </c>
      <c r="C111" s="7"/>
      <c r="D111" s="7"/>
      <c r="E111" s="7"/>
      <c r="F111" s="16">
        <v>3426.07</v>
      </c>
      <c r="G111" s="16">
        <v>8.2899999999999991</v>
      </c>
      <c r="H111" s="17"/>
    </row>
    <row r="112" spans="1:8" ht="12.95" customHeight="1">
      <c r="A112" s="1"/>
      <c r="B112" s="18" t="s">
        <v>24</v>
      </c>
      <c r="C112" s="19"/>
      <c r="D112" s="19"/>
      <c r="E112" s="25"/>
      <c r="F112" s="16">
        <v>3917.84</v>
      </c>
      <c r="G112" s="16">
        <v>9.48</v>
      </c>
      <c r="H112" s="22"/>
    </row>
    <row r="113" spans="1:8" ht="12.95" customHeight="1">
      <c r="A113" s="1"/>
      <c r="B113" s="18" t="s">
        <v>127</v>
      </c>
      <c r="C113" s="19"/>
      <c r="D113" s="19"/>
      <c r="E113" s="7"/>
      <c r="F113" s="16">
        <v>13617.62</v>
      </c>
      <c r="G113" s="16">
        <v>32.92</v>
      </c>
      <c r="H113" s="22"/>
    </row>
    <row r="114" spans="1:8" ht="12.95" customHeight="1">
      <c r="A114" s="1"/>
      <c r="B114" s="26" t="s">
        <v>128</v>
      </c>
      <c r="C114" s="27"/>
      <c r="D114" s="27"/>
      <c r="E114" s="27"/>
      <c r="F114" s="28">
        <v>41333.68</v>
      </c>
      <c r="G114" s="29">
        <v>100</v>
      </c>
      <c r="H114" s="30"/>
    </row>
    <row r="115" spans="1:8" ht="12.95" customHeight="1">
      <c r="A115" s="1"/>
      <c r="B115" s="105"/>
      <c r="C115" s="105"/>
      <c r="D115" s="105"/>
      <c r="E115" s="105"/>
      <c r="F115" s="1"/>
      <c r="G115" s="1"/>
      <c r="H115" s="1"/>
    </row>
    <row r="116" spans="1:8" ht="12.95" customHeight="1">
      <c r="A116" s="1"/>
      <c r="B116" s="105"/>
      <c r="C116" s="105"/>
      <c r="D116" s="105"/>
      <c r="E116" s="105"/>
      <c r="F116" s="1"/>
      <c r="G116" s="1"/>
      <c r="H116" s="1"/>
    </row>
    <row r="117" spans="1:8" ht="12.95" customHeight="1">
      <c r="A117" s="46"/>
      <c r="B117" s="101" t="s">
        <v>327</v>
      </c>
      <c r="C117" s="102"/>
      <c r="D117" s="102"/>
      <c r="E117" s="102"/>
      <c r="F117" s="46"/>
      <c r="G117" s="46"/>
      <c r="H117" s="46"/>
    </row>
    <row r="118" spans="1:8" ht="12.95" customHeight="1">
      <c r="A118" s="46"/>
      <c r="B118" s="101" t="s">
        <v>964</v>
      </c>
      <c r="C118" s="102"/>
      <c r="D118" s="102"/>
      <c r="E118" s="102"/>
      <c r="F118" s="46"/>
      <c r="G118" s="46"/>
      <c r="H118" s="46"/>
    </row>
    <row r="119" spans="1:8" ht="12.95" customHeight="1">
      <c r="A119" s="46"/>
      <c r="B119" s="101" t="s">
        <v>129</v>
      </c>
      <c r="C119" s="102"/>
      <c r="D119" s="102"/>
      <c r="E119" s="102"/>
      <c r="F119" s="46"/>
      <c r="G119" s="46"/>
      <c r="H119" s="46"/>
    </row>
    <row r="120" spans="1:8" ht="12.95" customHeight="1">
      <c r="A120" s="46"/>
      <c r="B120" s="101" t="s">
        <v>965</v>
      </c>
      <c r="C120" s="110"/>
      <c r="D120" s="110"/>
      <c r="E120" s="110"/>
      <c r="F120" s="46"/>
      <c r="G120" s="46"/>
      <c r="H120" s="46"/>
    </row>
    <row r="121" spans="1:8" ht="12.95" customHeight="1" thickBot="1">
      <c r="A121" s="46"/>
      <c r="B121" s="111"/>
      <c r="C121" s="111"/>
      <c r="D121" s="111"/>
      <c r="E121" s="111"/>
      <c r="F121" s="46"/>
      <c r="G121" s="46"/>
      <c r="H121" s="46"/>
    </row>
    <row r="122" spans="1:8" s="40" customFormat="1" ht="24">
      <c r="B122" s="52" t="s">
        <v>2</v>
      </c>
      <c r="C122" s="53" t="s">
        <v>3</v>
      </c>
      <c r="D122" s="53" t="s">
        <v>4</v>
      </c>
      <c r="E122" s="53" t="s">
        <v>5</v>
      </c>
      <c r="F122" s="53" t="s">
        <v>6</v>
      </c>
      <c r="G122" s="53" t="s">
        <v>7</v>
      </c>
      <c r="H122" s="54" t="s">
        <v>959</v>
      </c>
    </row>
    <row r="123" spans="1:8" ht="12.95" customHeight="1">
      <c r="A123" s="55" t="s">
        <v>471</v>
      </c>
      <c r="B123" s="45" t="s">
        <v>472</v>
      </c>
      <c r="C123" s="56" t="s">
        <v>473</v>
      </c>
      <c r="D123" s="57" t="s">
        <v>474</v>
      </c>
      <c r="E123" s="58">
        <v>500000</v>
      </c>
      <c r="F123" s="59">
        <v>524.58000000000004</v>
      </c>
      <c r="G123" s="59">
        <v>1.27</v>
      </c>
      <c r="H123" s="60">
        <v>5.8900000000000001E-2</v>
      </c>
    </row>
    <row r="124" spans="1:8" s="40" customFormat="1">
      <c r="B124" s="61"/>
      <c r="C124" s="62"/>
      <c r="D124" s="63"/>
      <c r="E124" s="64"/>
      <c r="F124" s="65"/>
      <c r="G124" s="65"/>
      <c r="H124" s="66"/>
    </row>
    <row r="125" spans="1:8" s="40" customFormat="1" ht="15.75" thickBot="1">
      <c r="B125" s="67" t="s">
        <v>966</v>
      </c>
      <c r="C125" s="68"/>
      <c r="D125" s="69"/>
      <c r="E125" s="69"/>
      <c r="F125" s="70">
        <f>SUM(F123:F123)</f>
        <v>524.58000000000004</v>
      </c>
      <c r="G125" s="71">
        <f>SUM(G123:G123)</f>
        <v>1.27</v>
      </c>
      <c r="H125" s="71"/>
    </row>
  </sheetData>
  <mergeCells count="10">
    <mergeCell ref="B117:E117"/>
    <mergeCell ref="B118:E118"/>
    <mergeCell ref="B119:E119"/>
    <mergeCell ref="B120:E120"/>
    <mergeCell ref="B121:E121"/>
    <mergeCell ref="B1:H1"/>
    <mergeCell ref="B2:H2"/>
    <mergeCell ref="B3:H3"/>
    <mergeCell ref="B115:E115"/>
    <mergeCell ref="B116:E116"/>
  </mergeCells>
  <pageMargins left="0" right="0" top="0" bottom="0" header="0" footer="0"/>
  <pageSetup orientation="portrait" r:id="rId1"/>
  <headerFooter>
    <oddFooter>&amp;C&amp;1#&amp;"Calibri"&amp;10&amp;K000000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97"/>
  <sheetViews>
    <sheetView workbookViewId="0">
      <selection activeCell="G33" sqref="G33:H34"/>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46.5" customHeight="1">
      <c r="A3" s="1"/>
      <c r="B3" s="108" t="s">
        <v>945</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959</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498</v>
      </c>
      <c r="B8" s="11" t="s">
        <v>499</v>
      </c>
      <c r="C8" s="12" t="s">
        <v>500</v>
      </c>
      <c r="D8" s="7" t="s">
        <v>13</v>
      </c>
      <c r="E8" s="13">
        <v>2500000</v>
      </c>
      <c r="F8" s="14">
        <v>2531.9699999999998</v>
      </c>
      <c r="G8" s="14">
        <v>4.7300000000000004</v>
      </c>
      <c r="H8" s="15">
        <v>4.1568000000000001E-2</v>
      </c>
    </row>
    <row r="9" spans="1:8" ht="12.95" customHeight="1">
      <c r="A9" s="10" t="s">
        <v>457</v>
      </c>
      <c r="B9" s="11" t="s">
        <v>458</v>
      </c>
      <c r="C9" s="12" t="s">
        <v>459</v>
      </c>
      <c r="D9" s="7" t="s">
        <v>460</v>
      </c>
      <c r="E9" s="13">
        <v>2500000</v>
      </c>
      <c r="F9" s="14">
        <v>2516.5700000000002</v>
      </c>
      <c r="G9" s="14">
        <v>4.7</v>
      </c>
      <c r="H9" s="15">
        <v>4.6449999999999998E-2</v>
      </c>
    </row>
    <row r="10" spans="1:8" ht="12.95" customHeight="1">
      <c r="A10" s="10" t="s">
        <v>501</v>
      </c>
      <c r="B10" s="11" t="s">
        <v>502</v>
      </c>
      <c r="C10" s="12" t="s">
        <v>503</v>
      </c>
      <c r="D10" s="7" t="s">
        <v>464</v>
      </c>
      <c r="E10" s="13">
        <v>1500000</v>
      </c>
      <c r="F10" s="14">
        <v>1526.7</v>
      </c>
      <c r="G10" s="14">
        <v>2.85</v>
      </c>
      <c r="H10" s="15">
        <v>4.7E-2</v>
      </c>
    </row>
    <row r="11" spans="1:8" ht="12.95" customHeight="1">
      <c r="A11" s="10" t="s">
        <v>504</v>
      </c>
      <c r="B11" s="11" t="s">
        <v>505</v>
      </c>
      <c r="C11" s="12" t="s">
        <v>506</v>
      </c>
      <c r="D11" s="7" t="s">
        <v>464</v>
      </c>
      <c r="E11" s="13">
        <v>1500000</v>
      </c>
      <c r="F11" s="14">
        <v>1519.83</v>
      </c>
      <c r="G11" s="14">
        <v>2.84</v>
      </c>
      <c r="H11" s="15">
        <v>4.6800000000000001E-2</v>
      </c>
    </row>
    <row r="12" spans="1:8" ht="12.95" customHeight="1">
      <c r="A12" s="10" t="s">
        <v>507</v>
      </c>
      <c r="B12" s="11" t="s">
        <v>508</v>
      </c>
      <c r="C12" s="12" t="s">
        <v>509</v>
      </c>
      <c r="D12" s="7" t="s">
        <v>474</v>
      </c>
      <c r="E12" s="13">
        <v>1500000</v>
      </c>
      <c r="F12" s="14">
        <v>1512.42</v>
      </c>
      <c r="G12" s="14">
        <v>2.83</v>
      </c>
      <c r="H12" s="15">
        <v>4.6850999999999997E-2</v>
      </c>
    </row>
    <row r="13" spans="1:8" ht="12.95" customHeight="1">
      <c r="A13" s="10" t="s">
        <v>510</v>
      </c>
      <c r="B13" s="11" t="s">
        <v>511</v>
      </c>
      <c r="C13" s="12" t="s">
        <v>512</v>
      </c>
      <c r="D13" s="7" t="s">
        <v>464</v>
      </c>
      <c r="E13" s="13">
        <v>1000000</v>
      </c>
      <c r="F13" s="14">
        <v>1029.1500000000001</v>
      </c>
      <c r="G13" s="14">
        <v>1.92</v>
      </c>
      <c r="H13" s="15">
        <v>4.8050000000000002E-2</v>
      </c>
    </row>
    <row r="14" spans="1:8" ht="12.95" customHeight="1">
      <c r="A14" s="10" t="s">
        <v>513</v>
      </c>
      <c r="B14" s="11" t="s">
        <v>514</v>
      </c>
      <c r="C14" s="12" t="s">
        <v>515</v>
      </c>
      <c r="D14" s="7" t="s">
        <v>516</v>
      </c>
      <c r="E14" s="13">
        <v>1000000</v>
      </c>
      <c r="F14" s="14">
        <v>1019.21</v>
      </c>
      <c r="G14" s="14">
        <v>1.9</v>
      </c>
      <c r="H14" s="15">
        <v>6.4422999999999994E-2</v>
      </c>
    </row>
    <row r="15" spans="1:8" ht="12.95" customHeight="1">
      <c r="A15" s="10" t="s">
        <v>517</v>
      </c>
      <c r="B15" s="11" t="s">
        <v>518</v>
      </c>
      <c r="C15" s="12" t="s">
        <v>519</v>
      </c>
      <c r="D15" s="7" t="s">
        <v>520</v>
      </c>
      <c r="E15" s="13">
        <v>1000000</v>
      </c>
      <c r="F15" s="14">
        <v>1013.44</v>
      </c>
      <c r="G15" s="14">
        <v>1.89</v>
      </c>
      <c r="H15" s="15">
        <v>6.4249000000000001E-2</v>
      </c>
    </row>
    <row r="16" spans="1:8" ht="12.95" customHeight="1">
      <c r="A16" s="10" t="s">
        <v>521</v>
      </c>
      <c r="B16" s="11" t="s">
        <v>522</v>
      </c>
      <c r="C16" s="12" t="s">
        <v>523</v>
      </c>
      <c r="D16" s="7" t="s">
        <v>524</v>
      </c>
      <c r="E16" s="13">
        <v>1000000</v>
      </c>
      <c r="F16" s="14">
        <v>1003.23</v>
      </c>
      <c r="G16" s="14">
        <v>1.87</v>
      </c>
      <c r="H16" s="15">
        <v>4.2403000000000003E-2</v>
      </c>
    </row>
    <row r="17" spans="1:8" ht="12.95" customHeight="1">
      <c r="A17" s="10" t="s">
        <v>481</v>
      </c>
      <c r="B17" s="11" t="s">
        <v>482</v>
      </c>
      <c r="C17" s="12" t="s">
        <v>483</v>
      </c>
      <c r="D17" s="7" t="s">
        <v>464</v>
      </c>
      <c r="E17" s="13">
        <v>1000000</v>
      </c>
      <c r="F17" s="14">
        <v>999.67</v>
      </c>
      <c r="G17" s="14">
        <v>1.87</v>
      </c>
      <c r="H17" s="15">
        <v>5.3999999999999999E-2</v>
      </c>
    </row>
    <row r="18" spans="1:8" ht="12.95" customHeight="1">
      <c r="A18" s="10" t="s">
        <v>525</v>
      </c>
      <c r="B18" s="11" t="s">
        <v>526</v>
      </c>
      <c r="C18" s="12" t="s">
        <v>527</v>
      </c>
      <c r="D18" s="7" t="s">
        <v>464</v>
      </c>
      <c r="E18" s="13">
        <v>1000000</v>
      </c>
      <c r="F18" s="14">
        <v>997.52</v>
      </c>
      <c r="G18" s="14">
        <v>1.86</v>
      </c>
      <c r="H18" s="15">
        <v>4.8000000000000001E-2</v>
      </c>
    </row>
    <row r="19" spans="1:8" ht="12.95" customHeight="1">
      <c r="A19" s="10" t="s">
        <v>528</v>
      </c>
      <c r="B19" s="11" t="s">
        <v>529</v>
      </c>
      <c r="C19" s="12" t="s">
        <v>530</v>
      </c>
      <c r="D19" s="7" t="s">
        <v>13</v>
      </c>
      <c r="E19" s="13">
        <v>1000000</v>
      </c>
      <c r="F19" s="14">
        <v>995.12</v>
      </c>
      <c r="G19" s="14">
        <v>1.86</v>
      </c>
      <c r="H19" s="15">
        <v>4.8009999999999997E-2</v>
      </c>
    </row>
    <row r="20" spans="1:8" ht="12.95" customHeight="1">
      <c r="A20" s="10" t="s">
        <v>531</v>
      </c>
      <c r="B20" s="11" t="s">
        <v>532</v>
      </c>
      <c r="C20" s="12" t="s">
        <v>533</v>
      </c>
      <c r="D20" s="7" t="s">
        <v>464</v>
      </c>
      <c r="E20" s="13">
        <v>1000000</v>
      </c>
      <c r="F20" s="14">
        <v>994.35</v>
      </c>
      <c r="G20" s="14">
        <v>1.86</v>
      </c>
      <c r="H20" s="15">
        <v>5.8650000000000001E-2</v>
      </c>
    </row>
    <row r="21" spans="1:8" ht="12.95" customHeight="1">
      <c r="A21" s="10" t="s">
        <v>534</v>
      </c>
      <c r="B21" s="11" t="s">
        <v>535</v>
      </c>
      <c r="C21" s="12" t="s">
        <v>536</v>
      </c>
      <c r="D21" s="7" t="s">
        <v>13</v>
      </c>
      <c r="E21" s="13">
        <v>500000</v>
      </c>
      <c r="F21" s="14">
        <v>533.75</v>
      </c>
      <c r="G21" s="14">
        <v>1</v>
      </c>
      <c r="H21" s="15">
        <v>5.9806999999999999E-2</v>
      </c>
    </row>
    <row r="22" spans="1:8" ht="12.95" customHeight="1">
      <c r="A22" s="10" t="s">
        <v>475</v>
      </c>
      <c r="B22" s="11" t="s">
        <v>476</v>
      </c>
      <c r="C22" s="12" t="s">
        <v>477</v>
      </c>
      <c r="D22" s="7" t="s">
        <v>13</v>
      </c>
      <c r="E22" s="13">
        <v>500000</v>
      </c>
      <c r="F22" s="14">
        <v>519.97</v>
      </c>
      <c r="G22" s="14">
        <v>0.97</v>
      </c>
      <c r="H22" s="15">
        <v>4.9972999999999997E-2</v>
      </c>
    </row>
    <row r="23" spans="1:8" ht="12.95" customHeight="1">
      <c r="A23" s="10" t="s">
        <v>537</v>
      </c>
      <c r="B23" s="11" t="s">
        <v>538</v>
      </c>
      <c r="C23" s="12" t="s">
        <v>539</v>
      </c>
      <c r="D23" s="7" t="s">
        <v>464</v>
      </c>
      <c r="E23" s="13">
        <v>500000</v>
      </c>
      <c r="F23" s="14">
        <v>516.33000000000004</v>
      </c>
      <c r="G23" s="14">
        <v>0.96</v>
      </c>
      <c r="H23" s="15">
        <v>5.3100000000000001E-2</v>
      </c>
    </row>
    <row r="24" spans="1:8" ht="12.95" customHeight="1">
      <c r="A24" s="10" t="s">
        <v>540</v>
      </c>
      <c r="B24" s="11" t="s">
        <v>541</v>
      </c>
      <c r="C24" s="12" t="s">
        <v>542</v>
      </c>
      <c r="D24" s="7" t="s">
        <v>464</v>
      </c>
      <c r="E24" s="13">
        <v>500000</v>
      </c>
      <c r="F24" s="14">
        <v>516.29</v>
      </c>
      <c r="G24" s="14">
        <v>0.96</v>
      </c>
      <c r="H24" s="15">
        <v>5.8999999999999997E-2</v>
      </c>
    </row>
    <row r="25" spans="1:8" ht="12.95" customHeight="1">
      <c r="A25" s="10" t="s">
        <v>543</v>
      </c>
      <c r="B25" s="11" t="s">
        <v>544</v>
      </c>
      <c r="C25" s="12" t="s">
        <v>545</v>
      </c>
      <c r="D25" s="7" t="s">
        <v>13</v>
      </c>
      <c r="E25" s="13">
        <v>500000</v>
      </c>
      <c r="F25" s="14">
        <v>509.53</v>
      </c>
      <c r="G25" s="14">
        <v>0.95</v>
      </c>
      <c r="H25" s="15">
        <v>5.3800000000000001E-2</v>
      </c>
    </row>
    <row r="26" spans="1:8" ht="12.95" customHeight="1">
      <c r="A26" s="10" t="s">
        <v>546</v>
      </c>
      <c r="B26" s="11" t="s">
        <v>479</v>
      </c>
      <c r="C26" s="12" t="s">
        <v>547</v>
      </c>
      <c r="D26" s="7" t="s">
        <v>464</v>
      </c>
      <c r="E26" s="13">
        <v>500000</v>
      </c>
      <c r="F26" s="14">
        <v>507.78</v>
      </c>
      <c r="G26" s="14">
        <v>0.95</v>
      </c>
      <c r="H26" s="15">
        <v>4.7E-2</v>
      </c>
    </row>
    <row r="27" spans="1:8" ht="12.95" customHeight="1">
      <c r="A27" s="10" t="s">
        <v>548</v>
      </c>
      <c r="B27" s="11" t="s">
        <v>549</v>
      </c>
      <c r="C27" s="12" t="s">
        <v>550</v>
      </c>
      <c r="D27" s="7" t="s">
        <v>464</v>
      </c>
      <c r="E27" s="13">
        <v>500000</v>
      </c>
      <c r="F27" s="14">
        <v>501.81</v>
      </c>
      <c r="G27" s="14">
        <v>0.94</v>
      </c>
      <c r="H27" s="15">
        <v>3.9948999999999998E-2</v>
      </c>
    </row>
    <row r="28" spans="1:8" ht="12.95" customHeight="1">
      <c r="A28" s="10" t="s">
        <v>551</v>
      </c>
      <c r="B28" s="11" t="s">
        <v>552</v>
      </c>
      <c r="C28" s="12" t="s">
        <v>553</v>
      </c>
      <c r="D28" s="7" t="s">
        <v>460</v>
      </c>
      <c r="E28" s="13">
        <v>500000</v>
      </c>
      <c r="F28" s="14">
        <v>494.17</v>
      </c>
      <c r="G28" s="14">
        <v>0.92</v>
      </c>
      <c r="H28" s="15">
        <v>6.3099000000000002E-2</v>
      </c>
    </row>
    <row r="29" spans="1:8" ht="12.95" customHeight="1">
      <c r="A29" s="10" t="s">
        <v>554</v>
      </c>
      <c r="B29" s="11" t="s">
        <v>555</v>
      </c>
      <c r="C29" s="12" t="s">
        <v>556</v>
      </c>
      <c r="D29" s="7" t="s">
        <v>13</v>
      </c>
      <c r="E29" s="13">
        <v>500000</v>
      </c>
      <c r="F29" s="14">
        <v>493.26</v>
      </c>
      <c r="G29" s="14">
        <v>0.92</v>
      </c>
      <c r="H29" s="15">
        <v>6.0107000000000001E-2</v>
      </c>
    </row>
    <row r="30" spans="1:8" ht="12.95" customHeight="1">
      <c r="A30" s="10" t="s">
        <v>493</v>
      </c>
      <c r="B30" s="11" t="s">
        <v>494</v>
      </c>
      <c r="C30" s="12" t="s">
        <v>495</v>
      </c>
      <c r="D30" s="7" t="s">
        <v>13</v>
      </c>
      <c r="E30" s="13">
        <v>500000</v>
      </c>
      <c r="F30" s="14">
        <v>488.88</v>
      </c>
      <c r="G30" s="14">
        <v>0.91</v>
      </c>
      <c r="H30" s="15">
        <v>5.8413E-2</v>
      </c>
    </row>
    <row r="31" spans="1:8" ht="12.95" customHeight="1">
      <c r="A31" s="10" t="s">
        <v>484</v>
      </c>
      <c r="B31" s="11" t="s">
        <v>485</v>
      </c>
      <c r="C31" s="12" t="s">
        <v>486</v>
      </c>
      <c r="D31" s="7" t="s">
        <v>13</v>
      </c>
      <c r="E31" s="13">
        <v>250000</v>
      </c>
      <c r="F31" s="14">
        <v>245.05</v>
      </c>
      <c r="G31" s="14">
        <v>0.46</v>
      </c>
      <c r="H31" s="15">
        <v>6.8186999999999998E-2</v>
      </c>
    </row>
    <row r="32" spans="1:8" ht="12.95" customHeight="1">
      <c r="A32" s="1"/>
      <c r="B32" s="6" t="s">
        <v>21</v>
      </c>
      <c r="C32" s="7"/>
      <c r="D32" s="7"/>
      <c r="E32" s="7"/>
      <c r="F32" s="16">
        <v>22986</v>
      </c>
      <c r="G32" s="16">
        <v>42.92</v>
      </c>
      <c r="H32" s="17"/>
    </row>
    <row r="33" spans="1:8" ht="12.95" customHeight="1">
      <c r="A33" s="1"/>
      <c r="B33" s="18" t="s">
        <v>22</v>
      </c>
      <c r="C33" s="19"/>
      <c r="D33" s="19"/>
      <c r="E33" s="20"/>
      <c r="F33" s="21" t="s">
        <v>23</v>
      </c>
      <c r="G33" s="21"/>
      <c r="H33" s="22"/>
    </row>
    <row r="34" spans="1:8" s="40" customFormat="1" ht="12.95" customHeight="1">
      <c r="A34" s="34"/>
      <c r="B34" s="35" t="s">
        <v>960</v>
      </c>
      <c r="C34" s="36"/>
      <c r="D34" s="36"/>
      <c r="E34" s="37"/>
      <c r="F34" s="38" t="s">
        <v>23</v>
      </c>
      <c r="G34" s="38"/>
      <c r="H34" s="39"/>
    </row>
    <row r="35" spans="1:8" ht="12.95" customHeight="1">
      <c r="A35" s="46"/>
      <c r="B35" s="47" t="s">
        <v>21</v>
      </c>
      <c r="C35" s="48"/>
      <c r="D35" s="48"/>
      <c r="E35" s="49"/>
      <c r="F35" s="49" t="s">
        <v>23</v>
      </c>
      <c r="G35" s="49"/>
      <c r="H35" s="50"/>
    </row>
    <row r="36" spans="1:8" ht="12.95" customHeight="1">
      <c r="A36" s="1"/>
      <c r="B36" s="23" t="s">
        <v>21</v>
      </c>
      <c r="C36" s="24"/>
      <c r="D36" s="24"/>
      <c r="E36" s="21"/>
      <c r="F36" s="21" t="s">
        <v>23</v>
      </c>
      <c r="G36" s="21"/>
      <c r="H36" s="22"/>
    </row>
    <row r="37" spans="1:8" ht="12.95" customHeight="1">
      <c r="A37" s="1"/>
      <c r="B37" s="18" t="s">
        <v>24</v>
      </c>
      <c r="C37" s="19"/>
      <c r="D37" s="19"/>
      <c r="E37" s="25"/>
      <c r="F37" s="16">
        <v>22986</v>
      </c>
      <c r="G37" s="16">
        <v>42.92</v>
      </c>
      <c r="H37" s="22"/>
    </row>
    <row r="38" spans="1:8" ht="12.95" customHeight="1">
      <c r="A38" s="1"/>
      <c r="B38" s="6" t="s">
        <v>25</v>
      </c>
      <c r="C38" s="7"/>
      <c r="D38" s="7"/>
      <c r="E38" s="7"/>
      <c r="F38" s="7"/>
      <c r="G38" s="7"/>
      <c r="H38" s="8"/>
    </row>
    <row r="39" spans="1:8" ht="12.95" customHeight="1">
      <c r="A39" s="1"/>
      <c r="B39" s="6" t="s">
        <v>26</v>
      </c>
      <c r="C39" s="9"/>
      <c r="D39" s="9"/>
      <c r="E39" s="7"/>
      <c r="F39" s="7"/>
      <c r="G39" s="7"/>
      <c r="H39" s="8"/>
    </row>
    <row r="40" spans="1:8" ht="12.95" customHeight="1">
      <c r="A40" s="10" t="s">
        <v>557</v>
      </c>
      <c r="B40" s="11" t="s">
        <v>558</v>
      </c>
      <c r="C40" s="12" t="s">
        <v>559</v>
      </c>
      <c r="D40" s="7" t="s">
        <v>13</v>
      </c>
      <c r="E40" s="13">
        <v>2500000</v>
      </c>
      <c r="F40" s="14">
        <v>2497.11</v>
      </c>
      <c r="G40" s="14">
        <v>4.67</v>
      </c>
      <c r="H40" s="15">
        <v>3.2463499999999999E-2</v>
      </c>
    </row>
    <row r="41" spans="1:8" ht="12.95" customHeight="1">
      <c r="A41" s="10" t="s">
        <v>560</v>
      </c>
      <c r="B41" s="11" t="s">
        <v>561</v>
      </c>
      <c r="C41" s="12" t="s">
        <v>562</v>
      </c>
      <c r="D41" s="7" t="s">
        <v>13</v>
      </c>
      <c r="E41" s="13">
        <v>2000000</v>
      </c>
      <c r="F41" s="14">
        <v>1978.02</v>
      </c>
      <c r="G41" s="14">
        <v>3.7</v>
      </c>
      <c r="H41" s="15">
        <v>3.9E-2</v>
      </c>
    </row>
    <row r="42" spans="1:8" ht="12.95" customHeight="1">
      <c r="A42" s="10" t="s">
        <v>563</v>
      </c>
      <c r="B42" s="11" t="s">
        <v>564</v>
      </c>
      <c r="C42" s="12" t="s">
        <v>565</v>
      </c>
      <c r="D42" s="7" t="s">
        <v>13</v>
      </c>
      <c r="E42" s="13">
        <v>500000</v>
      </c>
      <c r="F42" s="14">
        <v>498.42</v>
      </c>
      <c r="G42" s="14">
        <v>0.93</v>
      </c>
      <c r="H42" s="15">
        <v>3.5000000000000003E-2</v>
      </c>
    </row>
    <row r="43" spans="1:8" ht="12.95" customHeight="1">
      <c r="A43" s="1"/>
      <c r="B43" s="6" t="s">
        <v>21</v>
      </c>
      <c r="C43" s="7"/>
      <c r="D43" s="7"/>
      <c r="E43" s="7"/>
      <c r="F43" s="16">
        <v>4973.55</v>
      </c>
      <c r="G43" s="16">
        <v>9.3000000000000007</v>
      </c>
      <c r="H43" s="17"/>
    </row>
    <row r="44" spans="1:8" ht="12.95" customHeight="1">
      <c r="A44" s="1"/>
      <c r="B44" s="6" t="s">
        <v>42</v>
      </c>
      <c r="C44" s="9"/>
      <c r="D44" s="9"/>
      <c r="E44" s="7"/>
      <c r="F44" s="7"/>
      <c r="G44" s="7"/>
      <c r="H44" s="8"/>
    </row>
    <row r="45" spans="1:8" ht="12.95" customHeight="1">
      <c r="A45" s="10" t="s">
        <v>70</v>
      </c>
      <c r="B45" s="11" t="s">
        <v>71</v>
      </c>
      <c r="C45" s="12" t="s">
        <v>72</v>
      </c>
      <c r="D45" s="7" t="s">
        <v>50</v>
      </c>
      <c r="E45" s="13">
        <v>2500000</v>
      </c>
      <c r="F45" s="14">
        <v>2483.91</v>
      </c>
      <c r="G45" s="14">
        <v>4.6399999999999997</v>
      </c>
      <c r="H45" s="15">
        <v>3.8150000000000003E-2</v>
      </c>
    </row>
    <row r="46" spans="1:8" ht="12.95" customHeight="1">
      <c r="A46" s="10" t="s">
        <v>566</v>
      </c>
      <c r="B46" s="11" t="s">
        <v>55</v>
      </c>
      <c r="C46" s="12" t="s">
        <v>567</v>
      </c>
      <c r="D46" s="7" t="s">
        <v>50</v>
      </c>
      <c r="E46" s="13">
        <v>2000000</v>
      </c>
      <c r="F46" s="14">
        <v>1984.06</v>
      </c>
      <c r="G46" s="14">
        <v>3.71</v>
      </c>
      <c r="H46" s="15">
        <v>3.8581999999999998E-2</v>
      </c>
    </row>
    <row r="47" spans="1:8" ht="12.95" customHeight="1">
      <c r="A47" s="10" t="s">
        <v>568</v>
      </c>
      <c r="B47" s="11" t="s">
        <v>569</v>
      </c>
      <c r="C47" s="12" t="s">
        <v>570</v>
      </c>
      <c r="D47" s="7" t="s">
        <v>46</v>
      </c>
      <c r="E47" s="13">
        <v>2000000</v>
      </c>
      <c r="F47" s="14">
        <v>1920.86</v>
      </c>
      <c r="G47" s="14">
        <v>3.59</v>
      </c>
      <c r="H47" s="15">
        <v>4.6850000000000003E-2</v>
      </c>
    </row>
    <row r="48" spans="1:8" ht="12.95" customHeight="1">
      <c r="A48" s="10" t="s">
        <v>571</v>
      </c>
      <c r="B48" s="11" t="s">
        <v>55</v>
      </c>
      <c r="C48" s="12" t="s">
        <v>572</v>
      </c>
      <c r="D48" s="7" t="s">
        <v>50</v>
      </c>
      <c r="E48" s="13">
        <v>1500000</v>
      </c>
      <c r="F48" s="14">
        <v>1459</v>
      </c>
      <c r="G48" s="14">
        <v>2.73</v>
      </c>
      <c r="H48" s="15">
        <v>4.5999999999999999E-2</v>
      </c>
    </row>
    <row r="49" spans="1:8" ht="12.95" customHeight="1">
      <c r="A49" s="1"/>
      <c r="B49" s="6" t="s">
        <v>21</v>
      </c>
      <c r="C49" s="7"/>
      <c r="D49" s="7"/>
      <c r="E49" s="7"/>
      <c r="F49" s="16">
        <v>7847.83</v>
      </c>
      <c r="G49" s="16">
        <v>14.67</v>
      </c>
      <c r="H49" s="17"/>
    </row>
    <row r="50" spans="1:8" ht="12.95" customHeight="1">
      <c r="A50" s="1"/>
      <c r="B50" s="6" t="s">
        <v>75</v>
      </c>
      <c r="C50" s="9"/>
      <c r="D50" s="9"/>
      <c r="E50" s="7"/>
      <c r="F50" s="7"/>
      <c r="G50" s="7"/>
      <c r="H50" s="8"/>
    </row>
    <row r="51" spans="1:8" ht="12.95" customHeight="1">
      <c r="A51" s="33"/>
      <c r="B51" s="51" t="s">
        <v>961</v>
      </c>
      <c r="C51" s="9"/>
      <c r="D51" s="9"/>
      <c r="E51" s="7"/>
      <c r="F51" s="7"/>
      <c r="G51" s="7"/>
      <c r="H51" s="8"/>
    </row>
    <row r="52" spans="1:8" ht="12.95" customHeight="1">
      <c r="A52" s="10" t="s">
        <v>112</v>
      </c>
      <c r="B52" s="11" t="s">
        <v>113</v>
      </c>
      <c r="C52" s="12" t="s">
        <v>114</v>
      </c>
      <c r="D52" s="7" t="s">
        <v>63</v>
      </c>
      <c r="E52" s="13">
        <v>2500000</v>
      </c>
      <c r="F52" s="14">
        <v>2494.9</v>
      </c>
      <c r="G52" s="14">
        <v>4.66</v>
      </c>
      <c r="H52" s="15">
        <v>4.1500000000000002E-2</v>
      </c>
    </row>
    <row r="53" spans="1:8" ht="12.95" customHeight="1">
      <c r="A53" s="10" t="s">
        <v>573</v>
      </c>
      <c r="B53" s="11" t="s">
        <v>80</v>
      </c>
      <c r="C53" s="12" t="s">
        <v>574</v>
      </c>
      <c r="D53" s="7" t="s">
        <v>50</v>
      </c>
      <c r="E53" s="13">
        <v>2500000</v>
      </c>
      <c r="F53" s="14">
        <v>2449.8200000000002</v>
      </c>
      <c r="G53" s="14">
        <v>4.58</v>
      </c>
      <c r="H53" s="15">
        <v>5.3400999999999997E-2</v>
      </c>
    </row>
    <row r="54" spans="1:8" ht="12.95" customHeight="1">
      <c r="A54" s="10" t="s">
        <v>575</v>
      </c>
      <c r="B54" s="11" t="s">
        <v>576</v>
      </c>
      <c r="C54" s="12" t="s">
        <v>577</v>
      </c>
      <c r="D54" s="7" t="s">
        <v>91</v>
      </c>
      <c r="E54" s="13">
        <v>2000000</v>
      </c>
      <c r="F54" s="14">
        <v>1997.38</v>
      </c>
      <c r="G54" s="14">
        <v>3.73</v>
      </c>
      <c r="H54" s="15">
        <v>6.83E-2</v>
      </c>
    </row>
    <row r="55" spans="1:8" ht="12.95" customHeight="1">
      <c r="A55" s="10" t="s">
        <v>578</v>
      </c>
      <c r="B55" s="11" t="s">
        <v>110</v>
      </c>
      <c r="C55" s="12" t="s">
        <v>579</v>
      </c>
      <c r="D55" s="7" t="s">
        <v>91</v>
      </c>
      <c r="E55" s="13">
        <v>2000000</v>
      </c>
      <c r="F55" s="14">
        <v>1986.93</v>
      </c>
      <c r="G55" s="14">
        <v>3.71</v>
      </c>
      <c r="H55" s="15">
        <v>4.8999000000000001E-2</v>
      </c>
    </row>
    <row r="56" spans="1:8" ht="12.95" customHeight="1">
      <c r="A56" s="10" t="s">
        <v>580</v>
      </c>
      <c r="B56" s="11" t="s">
        <v>581</v>
      </c>
      <c r="C56" s="12" t="s">
        <v>582</v>
      </c>
      <c r="D56" s="7" t="s">
        <v>50</v>
      </c>
      <c r="E56" s="13">
        <v>2000000</v>
      </c>
      <c r="F56" s="14">
        <v>1984.37</v>
      </c>
      <c r="G56" s="14">
        <v>3.71</v>
      </c>
      <c r="H56" s="15">
        <v>4.2276000000000001E-2</v>
      </c>
    </row>
    <row r="57" spans="1:8" ht="12.95" customHeight="1">
      <c r="A57" s="10" t="s">
        <v>121</v>
      </c>
      <c r="B57" s="11" t="s">
        <v>122</v>
      </c>
      <c r="C57" s="12" t="s">
        <v>123</v>
      </c>
      <c r="D57" s="7" t="s">
        <v>50</v>
      </c>
      <c r="E57" s="13">
        <v>1500000</v>
      </c>
      <c r="F57" s="14">
        <v>1486.01</v>
      </c>
      <c r="G57" s="14">
        <v>2.78</v>
      </c>
      <c r="H57" s="15">
        <v>3.9497999999999998E-2</v>
      </c>
    </row>
    <row r="58" spans="1:8" ht="12.95" customHeight="1">
      <c r="A58" s="10" t="s">
        <v>583</v>
      </c>
      <c r="B58" s="11" t="s">
        <v>584</v>
      </c>
      <c r="C58" s="12" t="s">
        <v>585</v>
      </c>
      <c r="D58" s="7" t="s">
        <v>50</v>
      </c>
      <c r="E58" s="13">
        <v>1500000</v>
      </c>
      <c r="F58" s="14">
        <v>1470.21</v>
      </c>
      <c r="G58" s="14">
        <v>2.75</v>
      </c>
      <c r="H58" s="15">
        <v>4.5100000000000001E-2</v>
      </c>
    </row>
    <row r="59" spans="1:8" ht="12.95" customHeight="1">
      <c r="A59" s="10" t="s">
        <v>586</v>
      </c>
      <c r="B59" s="11" t="s">
        <v>587</v>
      </c>
      <c r="C59" s="12" t="s">
        <v>588</v>
      </c>
      <c r="D59" s="7" t="s">
        <v>50</v>
      </c>
      <c r="E59" s="13">
        <v>1500000</v>
      </c>
      <c r="F59" s="14">
        <v>1463.4</v>
      </c>
      <c r="G59" s="14">
        <v>2.73</v>
      </c>
      <c r="H59" s="15">
        <v>5.5001000000000001E-2</v>
      </c>
    </row>
    <row r="60" spans="1:8" ht="12.95" customHeight="1">
      <c r="A60" s="10" t="s">
        <v>589</v>
      </c>
      <c r="B60" s="11" t="s">
        <v>576</v>
      </c>
      <c r="C60" s="12" t="s">
        <v>590</v>
      </c>
      <c r="D60" s="7" t="s">
        <v>91</v>
      </c>
      <c r="E60" s="13">
        <v>500000</v>
      </c>
      <c r="F60" s="14">
        <v>494.43</v>
      </c>
      <c r="G60" s="14">
        <v>0.92</v>
      </c>
      <c r="H60" s="15">
        <v>6.8501000000000006E-2</v>
      </c>
    </row>
    <row r="61" spans="1:8" ht="12.95" customHeight="1">
      <c r="A61" s="1"/>
      <c r="B61" s="6" t="s">
        <v>21</v>
      </c>
      <c r="C61" s="7"/>
      <c r="D61" s="7"/>
      <c r="E61" s="7"/>
      <c r="F61" s="16">
        <v>15827.45</v>
      </c>
      <c r="G61" s="16">
        <v>29.57</v>
      </c>
      <c r="H61" s="17"/>
    </row>
    <row r="62" spans="1:8" ht="12.95" customHeight="1">
      <c r="A62" s="1"/>
      <c r="B62" s="44" t="s">
        <v>962</v>
      </c>
      <c r="C62" s="9"/>
      <c r="D62" s="9"/>
      <c r="E62" s="7"/>
      <c r="F62" s="7"/>
      <c r="G62" s="7"/>
      <c r="H62" s="8"/>
    </row>
    <row r="63" spans="1:8" ht="12.95" customHeight="1">
      <c r="A63" s="10" t="s">
        <v>124</v>
      </c>
      <c r="B63" s="45" t="s">
        <v>963</v>
      </c>
      <c r="C63" s="12"/>
      <c r="D63" s="7"/>
      <c r="E63" s="13"/>
      <c r="F63" s="14">
        <v>1050.53</v>
      </c>
      <c r="G63" s="14">
        <v>1.96</v>
      </c>
      <c r="H63" s="15">
        <v>3.6005000000000002E-2</v>
      </c>
    </row>
    <row r="64" spans="1:8" ht="12.95" customHeight="1">
      <c r="A64" s="1"/>
      <c r="B64" s="6" t="s">
        <v>21</v>
      </c>
      <c r="C64" s="7"/>
      <c r="D64" s="7"/>
      <c r="E64" s="7"/>
      <c r="F64" s="16">
        <v>1050.53</v>
      </c>
      <c r="G64" s="16">
        <v>1.96</v>
      </c>
      <c r="H64" s="17"/>
    </row>
    <row r="65" spans="1:8" ht="12.95" customHeight="1">
      <c r="A65" s="1"/>
      <c r="B65" s="6" t="s">
        <v>125</v>
      </c>
      <c r="C65" s="9"/>
      <c r="D65" s="9"/>
      <c r="E65" s="7"/>
      <c r="F65" s="7"/>
      <c r="G65" s="7"/>
      <c r="H65" s="8"/>
    </row>
    <row r="66" spans="1:8" ht="12.95" customHeight="1">
      <c r="A66" s="10" t="s">
        <v>126</v>
      </c>
      <c r="B66" s="11" t="s">
        <v>125</v>
      </c>
      <c r="C66" s="12"/>
      <c r="D66" s="7"/>
      <c r="E66" s="13">
        <v>67405800</v>
      </c>
      <c r="F66" s="14">
        <v>674.06</v>
      </c>
      <c r="G66" s="14">
        <v>1.26</v>
      </c>
      <c r="H66" s="15">
        <v>3.7499999999999999E-2</v>
      </c>
    </row>
    <row r="67" spans="1:8" ht="12.95" customHeight="1">
      <c r="A67" s="1"/>
      <c r="B67" s="6" t="s">
        <v>21</v>
      </c>
      <c r="C67" s="7"/>
      <c r="D67" s="7"/>
      <c r="E67" s="7"/>
      <c r="F67" s="16">
        <v>674.06</v>
      </c>
      <c r="G67" s="16">
        <v>1.26</v>
      </c>
      <c r="H67" s="17"/>
    </row>
    <row r="68" spans="1:8" ht="12.95" customHeight="1">
      <c r="A68" s="1"/>
      <c r="B68" s="18" t="s">
        <v>24</v>
      </c>
      <c r="C68" s="19"/>
      <c r="D68" s="19"/>
      <c r="E68" s="25"/>
      <c r="F68" s="16">
        <v>30373.42</v>
      </c>
      <c r="G68" s="16">
        <v>56.76</v>
      </c>
      <c r="H68" s="22"/>
    </row>
    <row r="69" spans="1:8" ht="12.95" customHeight="1">
      <c r="A69" s="1"/>
      <c r="B69" s="18" t="s">
        <v>127</v>
      </c>
      <c r="C69" s="19"/>
      <c r="D69" s="19"/>
      <c r="E69" s="7"/>
      <c r="F69" s="16">
        <v>151.91999999999999</v>
      </c>
      <c r="G69" s="16">
        <v>0.32</v>
      </c>
      <c r="H69" s="22"/>
    </row>
    <row r="70" spans="1:8" ht="12.95" customHeight="1">
      <c r="A70" s="1"/>
      <c r="B70" s="26" t="s">
        <v>128</v>
      </c>
      <c r="C70" s="27"/>
      <c r="D70" s="27"/>
      <c r="E70" s="27"/>
      <c r="F70" s="28">
        <v>53511.34</v>
      </c>
      <c r="G70" s="29">
        <v>100</v>
      </c>
      <c r="H70" s="30"/>
    </row>
    <row r="71" spans="1:8" ht="12.95" customHeight="1">
      <c r="A71" s="1"/>
      <c r="B71" s="105"/>
      <c r="C71" s="105"/>
      <c r="D71" s="105"/>
      <c r="E71" s="105"/>
      <c r="F71" s="1"/>
      <c r="G71" s="1"/>
      <c r="H71" s="1"/>
    </row>
    <row r="72" spans="1:8" ht="12.95" customHeight="1">
      <c r="A72" s="1"/>
      <c r="B72" s="105"/>
      <c r="C72" s="105"/>
      <c r="D72" s="105"/>
      <c r="E72" s="105"/>
      <c r="F72" s="1"/>
      <c r="G72" s="1"/>
      <c r="H72" s="1"/>
    </row>
    <row r="73" spans="1:8" ht="12.95" customHeight="1">
      <c r="A73" s="46"/>
      <c r="B73" s="112"/>
      <c r="C73" s="112"/>
      <c r="D73" s="112"/>
      <c r="E73" s="112"/>
      <c r="F73" s="46"/>
      <c r="G73" s="46"/>
      <c r="H73" s="46"/>
    </row>
    <row r="74" spans="1:8" ht="12.95" customHeight="1">
      <c r="A74" s="46"/>
      <c r="B74" s="101" t="s">
        <v>327</v>
      </c>
      <c r="C74" s="102"/>
      <c r="D74" s="102"/>
      <c r="E74" s="102"/>
      <c r="F74" s="46"/>
      <c r="G74" s="46"/>
      <c r="H74" s="46"/>
    </row>
    <row r="75" spans="1:8" ht="12.95" customHeight="1">
      <c r="A75" s="46"/>
      <c r="B75" s="101" t="s">
        <v>964</v>
      </c>
      <c r="C75" s="102"/>
      <c r="D75" s="102"/>
      <c r="E75" s="102"/>
      <c r="F75" s="46"/>
      <c r="G75" s="46"/>
      <c r="H75" s="46"/>
    </row>
    <row r="76" spans="1:8" ht="12.95" customHeight="1">
      <c r="A76" s="46"/>
      <c r="B76" s="101" t="s">
        <v>129</v>
      </c>
      <c r="C76" s="102"/>
      <c r="D76" s="102"/>
      <c r="E76" s="102"/>
      <c r="F76" s="46"/>
      <c r="G76" s="46"/>
      <c r="H76" s="46"/>
    </row>
    <row r="77" spans="1:8" ht="15.75" thickBot="1"/>
    <row r="78" spans="1:8" s="40" customFormat="1" ht="24">
      <c r="B78" s="52" t="s">
        <v>2</v>
      </c>
      <c r="C78" s="53" t="s">
        <v>3</v>
      </c>
      <c r="D78" s="53" t="s">
        <v>4</v>
      </c>
      <c r="E78" s="53" t="s">
        <v>5</v>
      </c>
      <c r="F78" s="53" t="s">
        <v>6</v>
      </c>
      <c r="G78" s="53" t="s">
        <v>7</v>
      </c>
      <c r="H78" s="54" t="s">
        <v>959</v>
      </c>
    </row>
    <row r="79" spans="1:8" ht="12.95" customHeight="1">
      <c r="A79" s="55" t="s">
        <v>507</v>
      </c>
      <c r="B79" s="45" t="s">
        <v>508</v>
      </c>
      <c r="C79" s="56" t="s">
        <v>509</v>
      </c>
      <c r="D79" s="57" t="s">
        <v>474</v>
      </c>
      <c r="E79" s="58">
        <v>1500000</v>
      </c>
      <c r="F79" s="59">
        <v>1512.42</v>
      </c>
      <c r="G79" s="59">
        <v>2.83</v>
      </c>
      <c r="H79" s="60">
        <v>4.6850999999999997E-2</v>
      </c>
    </row>
    <row r="80" spans="1:8" s="40" customFormat="1">
      <c r="B80" s="61"/>
      <c r="C80" s="62"/>
      <c r="D80" s="63"/>
      <c r="E80" s="64"/>
      <c r="F80" s="65"/>
      <c r="G80" s="65"/>
      <c r="H80" s="66"/>
    </row>
    <row r="81" spans="2:8" s="40" customFormat="1" ht="15.75" thickBot="1">
      <c r="B81" s="67" t="s">
        <v>966</v>
      </c>
      <c r="C81" s="68"/>
      <c r="D81" s="69"/>
      <c r="E81" s="69"/>
      <c r="F81" s="70">
        <f>SUM(F79:F79)</f>
        <v>1512.42</v>
      </c>
      <c r="G81" s="71">
        <f>SUM(G79:G79)</f>
        <v>2.83</v>
      </c>
      <c r="H81" s="71"/>
    </row>
    <row r="97" spans="1:8" ht="12.95" customHeight="1">
      <c r="A97" s="1"/>
      <c r="B97" s="2" t="s">
        <v>130</v>
      </c>
      <c r="C97" s="1"/>
      <c r="D97" s="1"/>
      <c r="E97" s="1"/>
      <c r="F97" s="1"/>
      <c r="G97" s="1"/>
      <c r="H97" s="1"/>
    </row>
  </sheetData>
  <mergeCells count="9">
    <mergeCell ref="B73:E73"/>
    <mergeCell ref="B74:E74"/>
    <mergeCell ref="B75:E75"/>
    <mergeCell ref="B76:E76"/>
    <mergeCell ref="B1:H1"/>
    <mergeCell ref="B2:H2"/>
    <mergeCell ref="B3:H3"/>
    <mergeCell ref="B71:E71"/>
    <mergeCell ref="B72:E72"/>
  </mergeCells>
  <pageMargins left="0" right="0" top="0" bottom="0" header="0" footer="0"/>
  <pageSetup orientation="portrait" r:id="rId1"/>
  <headerFooter>
    <oddFooter>&amp;C&amp;1#&amp;"Calibri"&amp;10&amp;K000000 For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4"/>
  <sheetViews>
    <sheetView topLeftCell="A51" workbookViewId="0">
      <selection activeCell="F76" sqref="F76"/>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0" customHeight="1">
      <c r="A3" s="1"/>
      <c r="B3" s="108" t="s">
        <v>946</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328</v>
      </c>
      <c r="B8" s="11" t="s">
        <v>329</v>
      </c>
      <c r="C8" s="12" t="s">
        <v>330</v>
      </c>
      <c r="D8" s="7" t="s">
        <v>141</v>
      </c>
      <c r="E8" s="13">
        <v>1249051</v>
      </c>
      <c r="F8" s="14">
        <v>6164.69</v>
      </c>
      <c r="G8" s="14">
        <v>5.61</v>
      </c>
      <c r="H8" s="15"/>
    </row>
    <row r="9" spans="1:8" ht="12.95" customHeight="1">
      <c r="A9" s="10" t="s">
        <v>138</v>
      </c>
      <c r="B9" s="11" t="s">
        <v>139</v>
      </c>
      <c r="C9" s="12" t="s">
        <v>140</v>
      </c>
      <c r="D9" s="7" t="s">
        <v>141</v>
      </c>
      <c r="E9" s="13">
        <v>792900</v>
      </c>
      <c r="F9" s="14">
        <v>5790.55</v>
      </c>
      <c r="G9" s="14">
        <v>5.27</v>
      </c>
      <c r="H9" s="15"/>
    </row>
    <row r="10" spans="1:8" ht="12.95" customHeight="1">
      <c r="A10" s="10" t="s">
        <v>134</v>
      </c>
      <c r="B10" s="11" t="s">
        <v>135</v>
      </c>
      <c r="C10" s="12" t="s">
        <v>136</v>
      </c>
      <c r="D10" s="7" t="s">
        <v>137</v>
      </c>
      <c r="E10" s="13">
        <v>284850</v>
      </c>
      <c r="F10" s="14">
        <v>5431.66</v>
      </c>
      <c r="G10" s="14">
        <v>4.9400000000000004</v>
      </c>
      <c r="H10" s="15"/>
    </row>
    <row r="11" spans="1:8" ht="12.95" customHeight="1">
      <c r="A11" s="10" t="s">
        <v>343</v>
      </c>
      <c r="B11" s="11" t="s">
        <v>344</v>
      </c>
      <c r="C11" s="12" t="s">
        <v>345</v>
      </c>
      <c r="D11" s="7" t="s">
        <v>159</v>
      </c>
      <c r="E11" s="13">
        <v>1665000</v>
      </c>
      <c r="F11" s="14">
        <v>4173.32</v>
      </c>
      <c r="G11" s="14">
        <v>3.8</v>
      </c>
      <c r="H11" s="15"/>
    </row>
    <row r="12" spans="1:8" ht="12.95" customHeight="1">
      <c r="A12" s="10" t="s">
        <v>171</v>
      </c>
      <c r="B12" s="11" t="s">
        <v>172</v>
      </c>
      <c r="C12" s="12" t="s">
        <v>173</v>
      </c>
      <c r="D12" s="7" t="s">
        <v>174</v>
      </c>
      <c r="E12" s="13">
        <v>45000</v>
      </c>
      <c r="F12" s="14">
        <v>3402.59</v>
      </c>
      <c r="G12" s="14">
        <v>3.1</v>
      </c>
      <c r="H12" s="15"/>
    </row>
    <row r="13" spans="1:8" ht="12.95" customHeight="1">
      <c r="A13" s="10" t="s">
        <v>149</v>
      </c>
      <c r="B13" s="11" t="s">
        <v>150</v>
      </c>
      <c r="C13" s="12" t="s">
        <v>151</v>
      </c>
      <c r="D13" s="7" t="s">
        <v>141</v>
      </c>
      <c r="E13" s="13">
        <v>432000</v>
      </c>
      <c r="F13" s="14">
        <v>3288.17</v>
      </c>
      <c r="G13" s="14">
        <v>2.99</v>
      </c>
      <c r="H13" s="15"/>
    </row>
    <row r="14" spans="1:8" ht="12.95" customHeight="1">
      <c r="A14" s="10" t="s">
        <v>152</v>
      </c>
      <c r="B14" s="11" t="s">
        <v>153</v>
      </c>
      <c r="C14" s="12" t="s">
        <v>154</v>
      </c>
      <c r="D14" s="7" t="s">
        <v>155</v>
      </c>
      <c r="E14" s="13">
        <v>42300</v>
      </c>
      <c r="F14" s="14">
        <v>3070.96</v>
      </c>
      <c r="G14" s="14">
        <v>2.8</v>
      </c>
      <c r="H14" s="15"/>
    </row>
    <row r="15" spans="1:8" ht="12.95" customHeight="1">
      <c r="A15" s="10" t="s">
        <v>355</v>
      </c>
      <c r="B15" s="11" t="s">
        <v>356</v>
      </c>
      <c r="C15" s="12" t="s">
        <v>357</v>
      </c>
      <c r="D15" s="7" t="s">
        <v>358</v>
      </c>
      <c r="E15" s="13">
        <v>1044000</v>
      </c>
      <c r="F15" s="14">
        <v>3010.37</v>
      </c>
      <c r="G15" s="14">
        <v>2.74</v>
      </c>
      <c r="H15" s="15"/>
    </row>
    <row r="16" spans="1:8" ht="12.95" customHeight="1">
      <c r="A16" s="10" t="s">
        <v>359</v>
      </c>
      <c r="B16" s="11" t="s">
        <v>360</v>
      </c>
      <c r="C16" s="12" t="s">
        <v>361</v>
      </c>
      <c r="D16" s="7" t="s">
        <v>141</v>
      </c>
      <c r="E16" s="13">
        <v>1301400</v>
      </c>
      <c r="F16" s="14">
        <v>2963.94</v>
      </c>
      <c r="G16" s="14">
        <v>2.7</v>
      </c>
      <c r="H16" s="15"/>
    </row>
    <row r="17" spans="1:8" ht="12.95" customHeight="1">
      <c r="A17" s="10" t="s">
        <v>591</v>
      </c>
      <c r="B17" s="11" t="s">
        <v>592</v>
      </c>
      <c r="C17" s="12" t="s">
        <v>593</v>
      </c>
      <c r="D17" s="7" t="s">
        <v>594</v>
      </c>
      <c r="E17" s="13">
        <v>1350000</v>
      </c>
      <c r="F17" s="14">
        <v>2561.63</v>
      </c>
      <c r="G17" s="14">
        <v>2.33</v>
      </c>
      <c r="H17" s="15"/>
    </row>
    <row r="18" spans="1:8" ht="12.95" customHeight="1">
      <c r="A18" s="10" t="s">
        <v>384</v>
      </c>
      <c r="B18" s="11" t="s">
        <v>385</v>
      </c>
      <c r="C18" s="12" t="s">
        <v>386</v>
      </c>
      <c r="D18" s="7" t="s">
        <v>181</v>
      </c>
      <c r="E18" s="13">
        <v>810000</v>
      </c>
      <c r="F18" s="14">
        <v>2447.0100000000002</v>
      </c>
      <c r="G18" s="14">
        <v>2.23</v>
      </c>
      <c r="H18" s="15"/>
    </row>
    <row r="19" spans="1:8" ht="12.95" customHeight="1">
      <c r="A19" s="10" t="s">
        <v>323</v>
      </c>
      <c r="B19" s="11" t="s">
        <v>324</v>
      </c>
      <c r="C19" s="12" t="s">
        <v>325</v>
      </c>
      <c r="D19" s="7" t="s">
        <v>159</v>
      </c>
      <c r="E19" s="13">
        <v>479700</v>
      </c>
      <c r="F19" s="14">
        <v>2347.65</v>
      </c>
      <c r="G19" s="14">
        <v>2.14</v>
      </c>
      <c r="H19" s="15"/>
    </row>
    <row r="20" spans="1:8" ht="12.95" customHeight="1">
      <c r="A20" s="10" t="s">
        <v>595</v>
      </c>
      <c r="B20" s="11" t="s">
        <v>596</v>
      </c>
      <c r="C20" s="12" t="s">
        <v>597</v>
      </c>
      <c r="D20" s="7" t="s">
        <v>262</v>
      </c>
      <c r="E20" s="13">
        <v>154800</v>
      </c>
      <c r="F20" s="14">
        <v>2298.63</v>
      </c>
      <c r="G20" s="14">
        <v>2.09</v>
      </c>
      <c r="H20" s="15"/>
    </row>
    <row r="21" spans="1:8" ht="12.95" customHeight="1">
      <c r="A21" s="10" t="s">
        <v>362</v>
      </c>
      <c r="B21" s="11" t="s">
        <v>363</v>
      </c>
      <c r="C21" s="12" t="s">
        <v>364</v>
      </c>
      <c r="D21" s="7" t="s">
        <v>155</v>
      </c>
      <c r="E21" s="13">
        <v>630000</v>
      </c>
      <c r="F21" s="14">
        <v>2261.39</v>
      </c>
      <c r="G21" s="14">
        <v>2.06</v>
      </c>
      <c r="H21" s="15"/>
    </row>
    <row r="22" spans="1:8" ht="12.95" customHeight="1">
      <c r="A22" s="10" t="s">
        <v>598</v>
      </c>
      <c r="B22" s="11" t="s">
        <v>599</v>
      </c>
      <c r="C22" s="12" t="s">
        <v>600</v>
      </c>
      <c r="D22" s="7" t="s">
        <v>234</v>
      </c>
      <c r="E22" s="13">
        <v>900000</v>
      </c>
      <c r="F22" s="14">
        <v>2261.25</v>
      </c>
      <c r="G22" s="14">
        <v>2.06</v>
      </c>
      <c r="H22" s="15"/>
    </row>
    <row r="23" spans="1:8" ht="12.95" customHeight="1">
      <c r="A23" s="10" t="s">
        <v>204</v>
      </c>
      <c r="B23" s="11" t="s">
        <v>205</v>
      </c>
      <c r="C23" s="12" t="s">
        <v>206</v>
      </c>
      <c r="D23" s="7" t="s">
        <v>207</v>
      </c>
      <c r="E23" s="13">
        <v>109260</v>
      </c>
      <c r="F23" s="14">
        <v>2210.2800000000002</v>
      </c>
      <c r="G23" s="14">
        <v>2.0099999999999998</v>
      </c>
      <c r="H23" s="15"/>
    </row>
    <row r="24" spans="1:8" ht="12.95" customHeight="1">
      <c r="A24" s="10" t="s">
        <v>601</v>
      </c>
      <c r="B24" s="11" t="s">
        <v>602</v>
      </c>
      <c r="C24" s="12" t="s">
        <v>603</v>
      </c>
      <c r="D24" s="7" t="s">
        <v>377</v>
      </c>
      <c r="E24" s="13">
        <v>159300</v>
      </c>
      <c r="F24" s="14">
        <v>2203.44</v>
      </c>
      <c r="G24" s="14">
        <v>2.0099999999999998</v>
      </c>
      <c r="H24" s="15"/>
    </row>
    <row r="25" spans="1:8" ht="12.95" customHeight="1">
      <c r="A25" s="10" t="s">
        <v>337</v>
      </c>
      <c r="B25" s="11" t="s">
        <v>338</v>
      </c>
      <c r="C25" s="12" t="s">
        <v>339</v>
      </c>
      <c r="D25" s="7" t="s">
        <v>288</v>
      </c>
      <c r="E25" s="13">
        <v>290700</v>
      </c>
      <c r="F25" s="14">
        <v>2194.64</v>
      </c>
      <c r="G25" s="14">
        <v>2</v>
      </c>
      <c r="H25" s="15"/>
    </row>
    <row r="26" spans="1:8" ht="12.95" customHeight="1">
      <c r="A26" s="10" t="s">
        <v>352</v>
      </c>
      <c r="B26" s="11" t="s">
        <v>353</v>
      </c>
      <c r="C26" s="12" t="s">
        <v>354</v>
      </c>
      <c r="D26" s="7" t="s">
        <v>211</v>
      </c>
      <c r="E26" s="13">
        <v>909000</v>
      </c>
      <c r="F26" s="14">
        <v>2169.33</v>
      </c>
      <c r="G26" s="14">
        <v>1.97</v>
      </c>
      <c r="H26" s="15"/>
    </row>
    <row r="27" spans="1:8" ht="12.95" customHeight="1">
      <c r="A27" s="10" t="s">
        <v>365</v>
      </c>
      <c r="B27" s="11" t="s">
        <v>366</v>
      </c>
      <c r="C27" s="12" t="s">
        <v>367</v>
      </c>
      <c r="D27" s="7" t="s">
        <v>148</v>
      </c>
      <c r="E27" s="13">
        <v>792000</v>
      </c>
      <c r="F27" s="14">
        <v>2133.25</v>
      </c>
      <c r="G27" s="14">
        <v>1.94</v>
      </c>
      <c r="H27" s="15"/>
    </row>
    <row r="28" spans="1:8" ht="12.95" customHeight="1">
      <c r="A28" s="10" t="s">
        <v>604</v>
      </c>
      <c r="B28" s="11" t="s">
        <v>605</v>
      </c>
      <c r="C28" s="12" t="s">
        <v>606</v>
      </c>
      <c r="D28" s="7" t="s">
        <v>272</v>
      </c>
      <c r="E28" s="13">
        <v>60120</v>
      </c>
      <c r="F28" s="14">
        <v>2116.98</v>
      </c>
      <c r="G28" s="14">
        <v>1.93</v>
      </c>
      <c r="H28" s="15"/>
    </row>
    <row r="29" spans="1:8" ht="12.95" customHeight="1">
      <c r="A29" s="10" t="s">
        <v>269</v>
      </c>
      <c r="B29" s="11" t="s">
        <v>270</v>
      </c>
      <c r="C29" s="12" t="s">
        <v>271</v>
      </c>
      <c r="D29" s="7" t="s">
        <v>272</v>
      </c>
      <c r="E29" s="13">
        <v>97200</v>
      </c>
      <c r="F29" s="14">
        <v>2097.5300000000002</v>
      </c>
      <c r="G29" s="14">
        <v>1.91</v>
      </c>
      <c r="H29" s="15"/>
    </row>
    <row r="30" spans="1:8" ht="12.95" customHeight="1">
      <c r="A30" s="10" t="s">
        <v>189</v>
      </c>
      <c r="B30" s="11" t="s">
        <v>190</v>
      </c>
      <c r="C30" s="12" t="s">
        <v>191</v>
      </c>
      <c r="D30" s="7" t="s">
        <v>192</v>
      </c>
      <c r="E30" s="13">
        <v>45000</v>
      </c>
      <c r="F30" s="14">
        <v>1980.92</v>
      </c>
      <c r="G30" s="14">
        <v>1.8</v>
      </c>
      <c r="H30" s="15"/>
    </row>
    <row r="31" spans="1:8" ht="12.95" customHeight="1">
      <c r="A31" s="10" t="s">
        <v>200</v>
      </c>
      <c r="B31" s="11" t="s">
        <v>201</v>
      </c>
      <c r="C31" s="12" t="s">
        <v>202</v>
      </c>
      <c r="D31" s="7" t="s">
        <v>203</v>
      </c>
      <c r="E31" s="13">
        <v>954457</v>
      </c>
      <c r="F31" s="14">
        <v>1933.25</v>
      </c>
      <c r="G31" s="14">
        <v>1.76</v>
      </c>
      <c r="H31" s="15"/>
    </row>
    <row r="32" spans="1:8" ht="12.95" customHeight="1">
      <c r="A32" s="10" t="s">
        <v>208</v>
      </c>
      <c r="B32" s="11" t="s">
        <v>209</v>
      </c>
      <c r="C32" s="12" t="s">
        <v>210</v>
      </c>
      <c r="D32" s="7" t="s">
        <v>211</v>
      </c>
      <c r="E32" s="13">
        <v>1404000</v>
      </c>
      <c r="F32" s="14">
        <v>1895.4</v>
      </c>
      <c r="G32" s="14">
        <v>1.73</v>
      </c>
      <c r="H32" s="15"/>
    </row>
    <row r="33" spans="1:8" ht="12.95" customHeight="1">
      <c r="A33" s="10" t="s">
        <v>607</v>
      </c>
      <c r="B33" s="11" t="s">
        <v>608</v>
      </c>
      <c r="C33" s="12" t="s">
        <v>609</v>
      </c>
      <c r="D33" s="7" t="s">
        <v>207</v>
      </c>
      <c r="E33" s="13">
        <v>76500</v>
      </c>
      <c r="F33" s="14">
        <v>1808.77</v>
      </c>
      <c r="G33" s="14">
        <v>1.65</v>
      </c>
      <c r="H33" s="15"/>
    </row>
    <row r="34" spans="1:8" ht="12.95" customHeight="1">
      <c r="A34" s="10" t="s">
        <v>346</v>
      </c>
      <c r="B34" s="11" t="s">
        <v>347</v>
      </c>
      <c r="C34" s="12" t="s">
        <v>348</v>
      </c>
      <c r="D34" s="7" t="s">
        <v>137</v>
      </c>
      <c r="E34" s="13">
        <v>117000</v>
      </c>
      <c r="F34" s="14">
        <v>1754.36</v>
      </c>
      <c r="G34" s="14">
        <v>1.6</v>
      </c>
      <c r="H34" s="15"/>
    </row>
    <row r="35" spans="1:8" ht="12.95" customHeight="1">
      <c r="A35" s="10" t="s">
        <v>381</v>
      </c>
      <c r="B35" s="11" t="s">
        <v>382</v>
      </c>
      <c r="C35" s="12" t="s">
        <v>383</v>
      </c>
      <c r="D35" s="7" t="s">
        <v>230</v>
      </c>
      <c r="E35" s="13">
        <v>225000</v>
      </c>
      <c r="F35" s="14">
        <v>1741.95</v>
      </c>
      <c r="G35" s="14">
        <v>1.59</v>
      </c>
      <c r="H35" s="15"/>
    </row>
    <row r="36" spans="1:8" ht="12.95" customHeight="1">
      <c r="A36" s="10" t="s">
        <v>610</v>
      </c>
      <c r="B36" s="11" t="s">
        <v>611</v>
      </c>
      <c r="C36" s="12" t="s">
        <v>612</v>
      </c>
      <c r="D36" s="7" t="s">
        <v>234</v>
      </c>
      <c r="E36" s="13">
        <v>346518</v>
      </c>
      <c r="F36" s="14">
        <v>1711.11</v>
      </c>
      <c r="G36" s="14">
        <v>1.56</v>
      </c>
      <c r="H36" s="15"/>
    </row>
    <row r="37" spans="1:8" ht="12.95" customHeight="1">
      <c r="A37" s="10" t="s">
        <v>613</v>
      </c>
      <c r="B37" s="11" t="s">
        <v>614</v>
      </c>
      <c r="C37" s="12" t="s">
        <v>615</v>
      </c>
      <c r="D37" s="7" t="s">
        <v>207</v>
      </c>
      <c r="E37" s="13">
        <v>351000</v>
      </c>
      <c r="F37" s="14">
        <v>1702.35</v>
      </c>
      <c r="G37" s="14">
        <v>1.55</v>
      </c>
      <c r="H37" s="15"/>
    </row>
    <row r="38" spans="1:8" ht="12.95" customHeight="1">
      <c r="A38" s="10" t="s">
        <v>401</v>
      </c>
      <c r="B38" s="11" t="s">
        <v>402</v>
      </c>
      <c r="C38" s="12" t="s">
        <v>403</v>
      </c>
      <c r="D38" s="7" t="s">
        <v>218</v>
      </c>
      <c r="E38" s="13">
        <v>818046</v>
      </c>
      <c r="F38" s="14">
        <v>1691.72</v>
      </c>
      <c r="G38" s="14">
        <v>1.54</v>
      </c>
      <c r="H38" s="15"/>
    </row>
    <row r="39" spans="1:8" ht="12.95" customHeight="1">
      <c r="A39" s="10" t="s">
        <v>394</v>
      </c>
      <c r="B39" s="11" t="s">
        <v>395</v>
      </c>
      <c r="C39" s="12" t="s">
        <v>396</v>
      </c>
      <c r="D39" s="7" t="s">
        <v>397</v>
      </c>
      <c r="E39" s="13">
        <v>1080000</v>
      </c>
      <c r="F39" s="14">
        <v>1681.02</v>
      </c>
      <c r="G39" s="14">
        <v>1.53</v>
      </c>
      <c r="H39" s="15"/>
    </row>
    <row r="40" spans="1:8" ht="12.95" customHeight="1">
      <c r="A40" s="10" t="s">
        <v>331</v>
      </c>
      <c r="B40" s="11" t="s">
        <v>332</v>
      </c>
      <c r="C40" s="12" t="s">
        <v>333</v>
      </c>
      <c r="D40" s="7" t="s">
        <v>159</v>
      </c>
      <c r="E40" s="13">
        <v>189000</v>
      </c>
      <c r="F40" s="14">
        <v>1678.98</v>
      </c>
      <c r="G40" s="14">
        <v>1.53</v>
      </c>
      <c r="H40" s="15"/>
    </row>
    <row r="41" spans="1:8" ht="12.95" customHeight="1">
      <c r="A41" s="10" t="s">
        <v>616</v>
      </c>
      <c r="B41" s="11" t="s">
        <v>617</v>
      </c>
      <c r="C41" s="12" t="s">
        <v>618</v>
      </c>
      <c r="D41" s="7" t="s">
        <v>218</v>
      </c>
      <c r="E41" s="13">
        <v>477000</v>
      </c>
      <c r="F41" s="14">
        <v>1649.23</v>
      </c>
      <c r="G41" s="14">
        <v>1.5</v>
      </c>
      <c r="H41" s="15"/>
    </row>
    <row r="42" spans="1:8" ht="12.95" customHeight="1">
      <c r="A42" s="10" t="s">
        <v>619</v>
      </c>
      <c r="B42" s="11" t="s">
        <v>620</v>
      </c>
      <c r="C42" s="12" t="s">
        <v>621</v>
      </c>
      <c r="D42" s="7" t="s">
        <v>272</v>
      </c>
      <c r="E42" s="13">
        <v>90000</v>
      </c>
      <c r="F42" s="14">
        <v>1636.97</v>
      </c>
      <c r="G42" s="14">
        <v>1.49</v>
      </c>
      <c r="H42" s="15"/>
    </row>
    <row r="43" spans="1:8" ht="12.95" customHeight="1">
      <c r="A43" s="10" t="s">
        <v>622</v>
      </c>
      <c r="B43" s="11" t="s">
        <v>623</v>
      </c>
      <c r="C43" s="12" t="s">
        <v>624</v>
      </c>
      <c r="D43" s="7" t="s">
        <v>246</v>
      </c>
      <c r="E43" s="13">
        <v>189000</v>
      </c>
      <c r="F43" s="14">
        <v>1596.01</v>
      </c>
      <c r="G43" s="14">
        <v>1.45</v>
      </c>
      <c r="H43" s="15"/>
    </row>
    <row r="44" spans="1:8" ht="12.95" customHeight="1">
      <c r="A44" s="10" t="s">
        <v>235</v>
      </c>
      <c r="B44" s="11" t="s">
        <v>236</v>
      </c>
      <c r="C44" s="12" t="s">
        <v>237</v>
      </c>
      <c r="D44" s="7" t="s">
        <v>238</v>
      </c>
      <c r="E44" s="13">
        <v>1332000</v>
      </c>
      <c r="F44" s="14">
        <v>1537.79</v>
      </c>
      <c r="G44" s="14">
        <v>1.4</v>
      </c>
      <c r="H44" s="15"/>
    </row>
    <row r="45" spans="1:8" ht="12.95" customHeight="1">
      <c r="A45" s="10" t="s">
        <v>404</v>
      </c>
      <c r="B45" s="11" t="s">
        <v>405</v>
      </c>
      <c r="C45" s="12" t="s">
        <v>406</v>
      </c>
      <c r="D45" s="7" t="s">
        <v>192</v>
      </c>
      <c r="E45" s="13">
        <v>200610</v>
      </c>
      <c r="F45" s="14">
        <v>1516.91</v>
      </c>
      <c r="G45" s="14">
        <v>1.38</v>
      </c>
      <c r="H45" s="15"/>
    </row>
    <row r="46" spans="1:8" ht="12.95" customHeight="1">
      <c r="A46" s="10" t="s">
        <v>285</v>
      </c>
      <c r="B46" s="11" t="s">
        <v>286</v>
      </c>
      <c r="C46" s="12" t="s">
        <v>287</v>
      </c>
      <c r="D46" s="7" t="s">
        <v>288</v>
      </c>
      <c r="E46" s="13">
        <v>120600</v>
      </c>
      <c r="F46" s="14">
        <v>1481.69</v>
      </c>
      <c r="G46" s="14">
        <v>1.35</v>
      </c>
      <c r="H46" s="15"/>
    </row>
    <row r="47" spans="1:8" ht="12.95" customHeight="1">
      <c r="A47" s="10" t="s">
        <v>625</v>
      </c>
      <c r="B47" s="11" t="s">
        <v>626</v>
      </c>
      <c r="C47" s="12" t="s">
        <v>627</v>
      </c>
      <c r="D47" s="7" t="s">
        <v>137</v>
      </c>
      <c r="E47" s="13">
        <v>378000</v>
      </c>
      <c r="F47" s="14">
        <v>1387.07</v>
      </c>
      <c r="G47" s="14">
        <v>1.26</v>
      </c>
      <c r="H47" s="15"/>
    </row>
    <row r="48" spans="1:8" ht="12.95" customHeight="1">
      <c r="A48" s="10" t="s">
        <v>164</v>
      </c>
      <c r="B48" s="11" t="s">
        <v>165</v>
      </c>
      <c r="C48" s="12" t="s">
        <v>166</v>
      </c>
      <c r="D48" s="7" t="s">
        <v>141</v>
      </c>
      <c r="E48" s="13">
        <v>73260</v>
      </c>
      <c r="F48" s="14">
        <v>1284.8699999999999</v>
      </c>
      <c r="G48" s="14">
        <v>1.17</v>
      </c>
      <c r="H48" s="15"/>
    </row>
    <row r="49" spans="1:8" ht="12.95" customHeight="1">
      <c r="A49" s="10" t="s">
        <v>628</v>
      </c>
      <c r="B49" s="11" t="s">
        <v>629</v>
      </c>
      <c r="C49" s="12" t="s">
        <v>630</v>
      </c>
      <c r="D49" s="7" t="s">
        <v>246</v>
      </c>
      <c r="E49" s="13">
        <v>12477</v>
      </c>
      <c r="F49" s="14">
        <v>1284.2</v>
      </c>
      <c r="G49" s="14">
        <v>1.17</v>
      </c>
      <c r="H49" s="15"/>
    </row>
    <row r="50" spans="1:8" ht="12.95" customHeight="1">
      <c r="A50" s="10" t="s">
        <v>298</v>
      </c>
      <c r="B50" s="11" t="s">
        <v>299</v>
      </c>
      <c r="C50" s="12" t="s">
        <v>300</v>
      </c>
      <c r="D50" s="7" t="s">
        <v>192</v>
      </c>
      <c r="E50" s="13">
        <v>318000</v>
      </c>
      <c r="F50" s="14">
        <v>1199.02</v>
      </c>
      <c r="G50" s="14">
        <v>1.0900000000000001</v>
      </c>
      <c r="H50" s="15"/>
    </row>
    <row r="51" spans="1:8" ht="12.95" customHeight="1">
      <c r="A51" s="10" t="s">
        <v>398</v>
      </c>
      <c r="B51" s="11" t="s">
        <v>399</v>
      </c>
      <c r="C51" s="12" t="s">
        <v>400</v>
      </c>
      <c r="D51" s="7" t="s">
        <v>137</v>
      </c>
      <c r="E51" s="13">
        <v>17400</v>
      </c>
      <c r="F51" s="14">
        <v>1071.04</v>
      </c>
      <c r="G51" s="14">
        <v>0.97</v>
      </c>
      <c r="H51" s="15"/>
    </row>
    <row r="52" spans="1:8" ht="12.95" customHeight="1">
      <c r="A52" s="10" t="s">
        <v>247</v>
      </c>
      <c r="B52" s="11" t="s">
        <v>248</v>
      </c>
      <c r="C52" s="12" t="s">
        <v>249</v>
      </c>
      <c r="D52" s="7" t="s">
        <v>207</v>
      </c>
      <c r="E52" s="13">
        <v>211500</v>
      </c>
      <c r="F52" s="14">
        <v>1063.53</v>
      </c>
      <c r="G52" s="14">
        <v>0.97</v>
      </c>
      <c r="H52" s="15"/>
    </row>
    <row r="53" spans="1:8" ht="12.95" customHeight="1">
      <c r="A53" s="10" t="s">
        <v>185</v>
      </c>
      <c r="B53" s="11" t="s">
        <v>186</v>
      </c>
      <c r="C53" s="12" t="s">
        <v>187</v>
      </c>
      <c r="D53" s="7" t="s">
        <v>188</v>
      </c>
      <c r="E53" s="13">
        <v>15300</v>
      </c>
      <c r="F53" s="14">
        <v>1010.15</v>
      </c>
      <c r="G53" s="14">
        <v>0.92</v>
      </c>
      <c r="H53" s="15"/>
    </row>
    <row r="54" spans="1:8" ht="12.95" customHeight="1">
      <c r="A54" s="10" t="s">
        <v>631</v>
      </c>
      <c r="B54" s="11" t="s">
        <v>632</v>
      </c>
      <c r="C54" s="12" t="s">
        <v>633</v>
      </c>
      <c r="D54" s="7" t="s">
        <v>137</v>
      </c>
      <c r="E54" s="13">
        <v>216000</v>
      </c>
      <c r="F54" s="14">
        <v>982.69</v>
      </c>
      <c r="G54" s="14">
        <v>0.89</v>
      </c>
      <c r="H54" s="15"/>
    </row>
    <row r="55" spans="1:8" ht="12.95" customHeight="1">
      <c r="A55" s="10" t="s">
        <v>295</v>
      </c>
      <c r="B55" s="11" t="s">
        <v>296</v>
      </c>
      <c r="C55" s="12" t="s">
        <v>297</v>
      </c>
      <c r="D55" s="7" t="s">
        <v>288</v>
      </c>
      <c r="E55" s="13">
        <v>360000</v>
      </c>
      <c r="F55" s="14">
        <v>799.38</v>
      </c>
      <c r="G55" s="14">
        <v>0.73</v>
      </c>
      <c r="H55" s="15"/>
    </row>
    <row r="56" spans="1:8" ht="12.95" customHeight="1">
      <c r="A56" s="10" t="s">
        <v>634</v>
      </c>
      <c r="B56" s="11" t="s">
        <v>635</v>
      </c>
      <c r="C56" s="12" t="s">
        <v>636</v>
      </c>
      <c r="D56" s="7" t="s">
        <v>174</v>
      </c>
      <c r="E56" s="13">
        <v>37800</v>
      </c>
      <c r="F56" s="14">
        <v>639.14</v>
      </c>
      <c r="G56" s="14">
        <v>0.57999999999999996</v>
      </c>
      <c r="H56" s="15"/>
    </row>
    <row r="57" spans="1:8" ht="12.95" customHeight="1">
      <c r="A57" s="10" t="s">
        <v>407</v>
      </c>
      <c r="B57" s="11" t="s">
        <v>408</v>
      </c>
      <c r="C57" s="12" t="s">
        <v>409</v>
      </c>
      <c r="D57" s="7" t="s">
        <v>288</v>
      </c>
      <c r="E57" s="13">
        <v>7907</v>
      </c>
      <c r="F57" s="14">
        <v>31.31</v>
      </c>
      <c r="G57" s="14">
        <v>0.03</v>
      </c>
      <c r="H57" s="15"/>
    </row>
    <row r="58" spans="1:8" ht="12.95" customHeight="1">
      <c r="A58" s="1"/>
      <c r="B58" s="6" t="s">
        <v>21</v>
      </c>
      <c r="C58" s="7"/>
      <c r="D58" s="7"/>
      <c r="E58" s="7"/>
      <c r="F58" s="16">
        <v>106350.09</v>
      </c>
      <c r="G58" s="16">
        <v>96.82</v>
      </c>
      <c r="H58" s="17"/>
    </row>
    <row r="59" spans="1:8" ht="12.95" customHeight="1">
      <c r="A59" s="1"/>
      <c r="B59" s="18" t="s">
        <v>326</v>
      </c>
      <c r="C59" s="19"/>
      <c r="D59" s="19"/>
      <c r="E59" s="20"/>
      <c r="F59" s="21" t="s">
        <v>23</v>
      </c>
      <c r="G59" s="21"/>
      <c r="H59" s="22"/>
    </row>
    <row r="60" spans="1:8" ht="12.95" customHeight="1">
      <c r="A60" s="1"/>
      <c r="B60" s="23" t="s">
        <v>21</v>
      </c>
      <c r="C60" s="24"/>
      <c r="D60" s="24"/>
      <c r="E60" s="21"/>
      <c r="F60" s="21" t="s">
        <v>23</v>
      </c>
      <c r="G60" s="21"/>
      <c r="H60" s="22"/>
    </row>
    <row r="61" spans="1:8" ht="12.95" customHeight="1">
      <c r="A61" s="1"/>
      <c r="B61" s="18" t="s">
        <v>24</v>
      </c>
      <c r="C61" s="19"/>
      <c r="D61" s="19"/>
      <c r="E61" s="25"/>
      <c r="F61" s="16">
        <v>106350.09</v>
      </c>
      <c r="G61" s="16">
        <v>96.82</v>
      </c>
      <c r="H61" s="22"/>
    </row>
    <row r="62" spans="1:8" ht="12.95" customHeight="1">
      <c r="A62" s="1"/>
      <c r="B62" s="6" t="s">
        <v>25</v>
      </c>
      <c r="C62" s="7"/>
      <c r="D62" s="7"/>
      <c r="E62" s="7"/>
      <c r="F62" s="7"/>
      <c r="G62" s="7"/>
      <c r="H62" s="8"/>
    </row>
    <row r="63" spans="1:8" ht="12.95" customHeight="1">
      <c r="A63" s="1"/>
      <c r="B63" s="44" t="s">
        <v>962</v>
      </c>
      <c r="C63" s="9"/>
      <c r="D63" s="9"/>
      <c r="E63" s="7"/>
      <c r="F63" s="7"/>
      <c r="G63" s="7"/>
      <c r="H63" s="8"/>
    </row>
    <row r="64" spans="1:8" ht="12.95" customHeight="1">
      <c r="A64" s="10" t="s">
        <v>124</v>
      </c>
      <c r="B64" s="45" t="s">
        <v>963</v>
      </c>
      <c r="C64" s="12"/>
      <c r="D64" s="7"/>
      <c r="E64" s="13"/>
      <c r="F64" s="14">
        <v>2930.27</v>
      </c>
      <c r="G64" s="14">
        <v>2.67</v>
      </c>
      <c r="H64" s="15">
        <v>3.6005000000000002E-2</v>
      </c>
    </row>
    <row r="65" spans="1:8" ht="12.95" customHeight="1">
      <c r="A65" s="1"/>
      <c r="B65" s="6" t="s">
        <v>21</v>
      </c>
      <c r="C65" s="7"/>
      <c r="D65" s="7"/>
      <c r="E65" s="7"/>
      <c r="F65" s="16">
        <v>2930.27</v>
      </c>
      <c r="G65" s="16">
        <v>2.67</v>
      </c>
      <c r="H65" s="17"/>
    </row>
    <row r="66" spans="1:8" ht="12.95" customHeight="1">
      <c r="A66" s="1"/>
      <c r="B66" s="18" t="s">
        <v>24</v>
      </c>
      <c r="C66" s="19"/>
      <c r="D66" s="19"/>
      <c r="E66" s="25"/>
      <c r="F66" s="16">
        <v>2930.27</v>
      </c>
      <c r="G66" s="16">
        <v>2.67</v>
      </c>
      <c r="H66" s="22"/>
    </row>
    <row r="67" spans="1:8" ht="12.95" customHeight="1">
      <c r="A67" s="1"/>
      <c r="B67" s="18" t="s">
        <v>127</v>
      </c>
      <c r="C67" s="19"/>
      <c r="D67" s="19"/>
      <c r="E67" s="7"/>
      <c r="F67" s="16">
        <v>577.46</v>
      </c>
      <c r="G67" s="16">
        <v>0.51</v>
      </c>
      <c r="H67" s="22"/>
    </row>
    <row r="68" spans="1:8" ht="12.95" customHeight="1">
      <c r="A68" s="1"/>
      <c r="B68" s="26" t="s">
        <v>128</v>
      </c>
      <c r="C68" s="27"/>
      <c r="D68" s="27"/>
      <c r="E68" s="27"/>
      <c r="F68" s="28">
        <v>109857.82</v>
      </c>
      <c r="G68" s="29">
        <v>100</v>
      </c>
      <c r="H68" s="30"/>
    </row>
    <row r="69" spans="1:8" ht="12.95" customHeight="1">
      <c r="A69" s="1"/>
      <c r="B69" s="105"/>
      <c r="C69" s="105"/>
      <c r="D69" s="105"/>
      <c r="E69" s="105"/>
      <c r="F69" s="1"/>
      <c r="G69" s="1"/>
      <c r="H69" s="1"/>
    </row>
    <row r="70" spans="1:8" ht="12.95" customHeight="1">
      <c r="A70" s="1"/>
      <c r="B70" s="105"/>
      <c r="C70" s="105"/>
      <c r="D70" s="105"/>
      <c r="E70" s="105"/>
      <c r="F70" s="1"/>
      <c r="G70" s="1"/>
      <c r="H70" s="1"/>
    </row>
    <row r="71" spans="1:8" ht="12.95" customHeight="1">
      <c r="A71" s="1"/>
      <c r="B71" s="105"/>
      <c r="C71" s="105"/>
      <c r="D71" s="105"/>
      <c r="E71" s="105"/>
      <c r="F71" s="1"/>
      <c r="G71" s="1"/>
      <c r="H71" s="1"/>
    </row>
    <row r="72" spans="1:8" ht="12.95" customHeight="1">
      <c r="A72" s="1"/>
      <c r="B72" s="106"/>
      <c r="C72" s="106"/>
      <c r="D72" s="106"/>
      <c r="E72" s="106"/>
      <c r="F72" s="1"/>
      <c r="G72" s="1"/>
      <c r="H72" s="1"/>
    </row>
    <row r="73" spans="1:8" ht="12.95" customHeight="1">
      <c r="A73" s="1"/>
      <c r="B73" s="105" t="s">
        <v>327</v>
      </c>
      <c r="C73" s="105"/>
      <c r="D73" s="105"/>
      <c r="E73" s="105"/>
      <c r="F73" s="1"/>
      <c r="G73" s="1"/>
      <c r="H73" s="1"/>
    </row>
    <row r="74" spans="1:8" ht="12.95" customHeight="1">
      <c r="A74" s="1"/>
      <c r="B74" s="107"/>
      <c r="C74" s="107"/>
      <c r="D74" s="107"/>
      <c r="E74" s="107"/>
      <c r="F74" s="1"/>
      <c r="G74" s="1"/>
      <c r="H74" s="1"/>
    </row>
  </sheetData>
  <mergeCells count="9">
    <mergeCell ref="B71:E71"/>
    <mergeCell ref="B72:E72"/>
    <mergeCell ref="B73:E73"/>
    <mergeCell ref="B74:E74"/>
    <mergeCell ref="B1:H1"/>
    <mergeCell ref="B2:H2"/>
    <mergeCell ref="B3:H3"/>
    <mergeCell ref="B69:E69"/>
    <mergeCell ref="B70:E70"/>
  </mergeCells>
  <pageMargins left="0" right="0" top="0" bottom="0" header="0" footer="0"/>
  <pageSetup orientation="portrait" r:id="rId1"/>
  <headerFooter>
    <oddFooter>&amp;C&amp;1#&amp;"Calibri"&amp;10&amp;K000000 For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9"/>
  <sheetViews>
    <sheetView topLeftCell="C53" workbookViewId="0">
      <selection activeCell="D59" sqref="D59"/>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0.75" customHeight="1">
      <c r="A3" s="1"/>
      <c r="B3" s="108" t="s">
        <v>947</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355</v>
      </c>
      <c r="B8" s="11" t="s">
        <v>356</v>
      </c>
      <c r="C8" s="12" t="s">
        <v>357</v>
      </c>
      <c r="D8" s="7" t="s">
        <v>358</v>
      </c>
      <c r="E8" s="13">
        <v>1021000</v>
      </c>
      <c r="F8" s="14">
        <v>2944.05</v>
      </c>
      <c r="G8" s="14">
        <v>3.22</v>
      </c>
      <c r="H8" s="15"/>
    </row>
    <row r="9" spans="1:8" ht="12.95" customHeight="1">
      <c r="A9" s="10" t="s">
        <v>328</v>
      </c>
      <c r="B9" s="11" t="s">
        <v>329</v>
      </c>
      <c r="C9" s="12" t="s">
        <v>330</v>
      </c>
      <c r="D9" s="7" t="s">
        <v>141</v>
      </c>
      <c r="E9" s="13">
        <v>535000</v>
      </c>
      <c r="F9" s="14">
        <v>2640.49</v>
      </c>
      <c r="G9" s="14">
        <v>2.89</v>
      </c>
      <c r="H9" s="15"/>
    </row>
    <row r="10" spans="1:8" ht="12.95" customHeight="1">
      <c r="A10" s="10" t="s">
        <v>628</v>
      </c>
      <c r="B10" s="11" t="s">
        <v>629</v>
      </c>
      <c r="C10" s="12" t="s">
        <v>630</v>
      </c>
      <c r="D10" s="7" t="s">
        <v>246</v>
      </c>
      <c r="E10" s="13">
        <v>25000</v>
      </c>
      <c r="F10" s="14">
        <v>2573.14</v>
      </c>
      <c r="G10" s="14">
        <v>2.82</v>
      </c>
      <c r="H10" s="15"/>
    </row>
    <row r="11" spans="1:8" ht="12.95" customHeight="1">
      <c r="A11" s="10" t="s">
        <v>637</v>
      </c>
      <c r="B11" s="11" t="s">
        <v>638</v>
      </c>
      <c r="C11" s="12" t="s">
        <v>639</v>
      </c>
      <c r="D11" s="7" t="s">
        <v>155</v>
      </c>
      <c r="E11" s="13">
        <v>77000</v>
      </c>
      <c r="F11" s="14">
        <v>2539.65</v>
      </c>
      <c r="G11" s="14">
        <v>2.78</v>
      </c>
      <c r="H11" s="15"/>
    </row>
    <row r="12" spans="1:8" ht="12.95" customHeight="1">
      <c r="A12" s="10" t="s">
        <v>640</v>
      </c>
      <c r="B12" s="11" t="s">
        <v>641</v>
      </c>
      <c r="C12" s="12" t="s">
        <v>642</v>
      </c>
      <c r="D12" s="7" t="s">
        <v>207</v>
      </c>
      <c r="E12" s="13">
        <v>135507</v>
      </c>
      <c r="F12" s="14">
        <v>2439.06</v>
      </c>
      <c r="G12" s="14">
        <v>2.67</v>
      </c>
      <c r="H12" s="15"/>
    </row>
    <row r="13" spans="1:8" ht="12.95" customHeight="1">
      <c r="A13" s="10" t="s">
        <v>643</v>
      </c>
      <c r="B13" s="11" t="s">
        <v>644</v>
      </c>
      <c r="C13" s="12" t="s">
        <v>645</v>
      </c>
      <c r="D13" s="7" t="s">
        <v>141</v>
      </c>
      <c r="E13" s="13">
        <v>2500000</v>
      </c>
      <c r="F13" s="14">
        <v>2435</v>
      </c>
      <c r="G13" s="14">
        <v>2.67</v>
      </c>
      <c r="H13" s="15"/>
    </row>
    <row r="14" spans="1:8" ht="12.95" customHeight="1">
      <c r="A14" s="10" t="s">
        <v>371</v>
      </c>
      <c r="B14" s="11" t="s">
        <v>372</v>
      </c>
      <c r="C14" s="12" t="s">
        <v>373</v>
      </c>
      <c r="D14" s="7" t="s">
        <v>203</v>
      </c>
      <c r="E14" s="13">
        <v>450000</v>
      </c>
      <c r="F14" s="14">
        <v>2397.83</v>
      </c>
      <c r="G14" s="14">
        <v>2.63</v>
      </c>
      <c r="H14" s="15"/>
    </row>
    <row r="15" spans="1:8" ht="12.95" customHeight="1">
      <c r="A15" s="10" t="s">
        <v>384</v>
      </c>
      <c r="B15" s="11" t="s">
        <v>385</v>
      </c>
      <c r="C15" s="12" t="s">
        <v>386</v>
      </c>
      <c r="D15" s="7" t="s">
        <v>181</v>
      </c>
      <c r="E15" s="13">
        <v>735000</v>
      </c>
      <c r="F15" s="14">
        <v>2220.44</v>
      </c>
      <c r="G15" s="14">
        <v>2.4300000000000002</v>
      </c>
      <c r="H15" s="15"/>
    </row>
    <row r="16" spans="1:8" ht="12.95" customHeight="1">
      <c r="A16" s="10" t="s">
        <v>359</v>
      </c>
      <c r="B16" s="11" t="s">
        <v>360</v>
      </c>
      <c r="C16" s="12" t="s">
        <v>361</v>
      </c>
      <c r="D16" s="7" t="s">
        <v>141</v>
      </c>
      <c r="E16" s="13">
        <v>970000</v>
      </c>
      <c r="F16" s="14">
        <v>2209.1799999999998</v>
      </c>
      <c r="G16" s="14">
        <v>2.42</v>
      </c>
      <c r="H16" s="15"/>
    </row>
    <row r="17" spans="1:8" ht="12.95" customHeight="1">
      <c r="A17" s="10" t="s">
        <v>269</v>
      </c>
      <c r="B17" s="11" t="s">
        <v>270</v>
      </c>
      <c r="C17" s="12" t="s">
        <v>271</v>
      </c>
      <c r="D17" s="7" t="s">
        <v>272</v>
      </c>
      <c r="E17" s="13">
        <v>100000</v>
      </c>
      <c r="F17" s="14">
        <v>2157.9499999999998</v>
      </c>
      <c r="G17" s="14">
        <v>2.36</v>
      </c>
      <c r="H17" s="15"/>
    </row>
    <row r="18" spans="1:8" ht="12.95" customHeight="1">
      <c r="A18" s="10" t="s">
        <v>646</v>
      </c>
      <c r="B18" s="11" t="s">
        <v>647</v>
      </c>
      <c r="C18" s="12" t="s">
        <v>648</v>
      </c>
      <c r="D18" s="7" t="s">
        <v>207</v>
      </c>
      <c r="E18" s="13">
        <v>188000</v>
      </c>
      <c r="F18" s="14">
        <v>2108.04</v>
      </c>
      <c r="G18" s="14">
        <v>2.31</v>
      </c>
      <c r="H18" s="15"/>
    </row>
    <row r="19" spans="1:8" ht="12.95" customHeight="1">
      <c r="A19" s="10" t="s">
        <v>649</v>
      </c>
      <c r="B19" s="11" t="s">
        <v>650</v>
      </c>
      <c r="C19" s="12" t="s">
        <v>651</v>
      </c>
      <c r="D19" s="7" t="s">
        <v>272</v>
      </c>
      <c r="E19" s="13">
        <v>21866</v>
      </c>
      <c r="F19" s="14">
        <v>2103.1</v>
      </c>
      <c r="G19" s="14">
        <v>2.2999999999999998</v>
      </c>
      <c r="H19" s="15"/>
    </row>
    <row r="20" spans="1:8" ht="12.95" customHeight="1">
      <c r="A20" s="10" t="s">
        <v>374</v>
      </c>
      <c r="B20" s="11" t="s">
        <v>375</v>
      </c>
      <c r="C20" s="12" t="s">
        <v>376</v>
      </c>
      <c r="D20" s="7" t="s">
        <v>377</v>
      </c>
      <c r="E20" s="13">
        <v>700000</v>
      </c>
      <c r="F20" s="14">
        <v>2032.8</v>
      </c>
      <c r="G20" s="14">
        <v>2.23</v>
      </c>
      <c r="H20" s="15"/>
    </row>
    <row r="21" spans="1:8" ht="12.95" customHeight="1">
      <c r="A21" s="10" t="s">
        <v>652</v>
      </c>
      <c r="B21" s="11" t="s">
        <v>653</v>
      </c>
      <c r="C21" s="12" t="s">
        <v>654</v>
      </c>
      <c r="D21" s="7" t="s">
        <v>207</v>
      </c>
      <c r="E21" s="13">
        <v>289350</v>
      </c>
      <c r="F21" s="14">
        <v>2027.19</v>
      </c>
      <c r="G21" s="14">
        <v>2.2200000000000002</v>
      </c>
      <c r="H21" s="15"/>
    </row>
    <row r="22" spans="1:8" ht="12.95" customHeight="1">
      <c r="A22" s="10" t="s">
        <v>289</v>
      </c>
      <c r="B22" s="11" t="s">
        <v>290</v>
      </c>
      <c r="C22" s="12" t="s">
        <v>291</v>
      </c>
      <c r="D22" s="7" t="s">
        <v>272</v>
      </c>
      <c r="E22" s="13">
        <v>5000</v>
      </c>
      <c r="F22" s="14">
        <v>1983.84</v>
      </c>
      <c r="G22" s="14">
        <v>2.17</v>
      </c>
      <c r="H22" s="15"/>
    </row>
    <row r="23" spans="1:8" ht="12.95" customHeight="1">
      <c r="A23" s="10" t="s">
        <v>323</v>
      </c>
      <c r="B23" s="11" t="s">
        <v>324</v>
      </c>
      <c r="C23" s="12" t="s">
        <v>325</v>
      </c>
      <c r="D23" s="7" t="s">
        <v>159</v>
      </c>
      <c r="E23" s="13">
        <v>390000</v>
      </c>
      <c r="F23" s="14">
        <v>1908.66</v>
      </c>
      <c r="G23" s="14">
        <v>2.09</v>
      </c>
      <c r="H23" s="15"/>
    </row>
    <row r="24" spans="1:8" ht="12.95" customHeight="1">
      <c r="A24" s="10" t="s">
        <v>301</v>
      </c>
      <c r="B24" s="11" t="s">
        <v>302</v>
      </c>
      <c r="C24" s="12" t="s">
        <v>303</v>
      </c>
      <c r="D24" s="7" t="s">
        <v>141</v>
      </c>
      <c r="E24" s="13">
        <v>1700000</v>
      </c>
      <c r="F24" s="14">
        <v>1897.2</v>
      </c>
      <c r="G24" s="14">
        <v>2.08</v>
      </c>
      <c r="H24" s="15"/>
    </row>
    <row r="25" spans="1:8" ht="12.95" customHeight="1">
      <c r="A25" s="10" t="s">
        <v>655</v>
      </c>
      <c r="B25" s="11" t="s">
        <v>656</v>
      </c>
      <c r="C25" s="12" t="s">
        <v>657</v>
      </c>
      <c r="D25" s="7" t="s">
        <v>170</v>
      </c>
      <c r="E25" s="13">
        <v>250000</v>
      </c>
      <c r="F25" s="14">
        <v>1884.75</v>
      </c>
      <c r="G25" s="14">
        <v>2.06</v>
      </c>
      <c r="H25" s="15"/>
    </row>
    <row r="26" spans="1:8" ht="12.95" customHeight="1">
      <c r="A26" s="10" t="s">
        <v>658</v>
      </c>
      <c r="B26" s="11" t="s">
        <v>659</v>
      </c>
      <c r="C26" s="12" t="s">
        <v>660</v>
      </c>
      <c r="D26" s="7" t="s">
        <v>242</v>
      </c>
      <c r="E26" s="13">
        <v>88132</v>
      </c>
      <c r="F26" s="14">
        <v>1728.62</v>
      </c>
      <c r="G26" s="14">
        <v>1.89</v>
      </c>
      <c r="H26" s="15"/>
    </row>
    <row r="27" spans="1:8" ht="12.95" customHeight="1">
      <c r="A27" s="10" t="s">
        <v>661</v>
      </c>
      <c r="B27" s="11" t="s">
        <v>662</v>
      </c>
      <c r="C27" s="12" t="s">
        <v>663</v>
      </c>
      <c r="D27" s="7" t="s">
        <v>218</v>
      </c>
      <c r="E27" s="13">
        <v>22466</v>
      </c>
      <c r="F27" s="14">
        <v>1714.54</v>
      </c>
      <c r="G27" s="14">
        <v>1.88</v>
      </c>
      <c r="H27" s="15"/>
    </row>
    <row r="28" spans="1:8" ht="12.95" customHeight="1">
      <c r="A28" s="10" t="s">
        <v>664</v>
      </c>
      <c r="B28" s="11" t="s">
        <v>665</v>
      </c>
      <c r="C28" s="12" t="s">
        <v>666</v>
      </c>
      <c r="D28" s="7" t="s">
        <v>222</v>
      </c>
      <c r="E28" s="13">
        <v>200000</v>
      </c>
      <c r="F28" s="14">
        <v>1709.2</v>
      </c>
      <c r="G28" s="14">
        <v>1.87</v>
      </c>
      <c r="H28" s="15"/>
    </row>
    <row r="29" spans="1:8" ht="12.95" customHeight="1">
      <c r="A29" s="10" t="s">
        <v>667</v>
      </c>
      <c r="B29" s="11" t="s">
        <v>668</v>
      </c>
      <c r="C29" s="12" t="s">
        <v>669</v>
      </c>
      <c r="D29" s="7" t="s">
        <v>594</v>
      </c>
      <c r="E29" s="13">
        <v>1000000</v>
      </c>
      <c r="F29" s="14">
        <v>1625.5</v>
      </c>
      <c r="G29" s="14">
        <v>1.78</v>
      </c>
      <c r="H29" s="15"/>
    </row>
    <row r="30" spans="1:8" ht="12.95" customHeight="1">
      <c r="A30" s="10" t="s">
        <v>670</v>
      </c>
      <c r="B30" s="11" t="s">
        <v>671</v>
      </c>
      <c r="C30" s="12" t="s">
        <v>672</v>
      </c>
      <c r="D30" s="7" t="s">
        <v>242</v>
      </c>
      <c r="E30" s="13">
        <v>128000</v>
      </c>
      <c r="F30" s="14">
        <v>1594.11</v>
      </c>
      <c r="G30" s="14">
        <v>1.75</v>
      </c>
      <c r="H30" s="15"/>
    </row>
    <row r="31" spans="1:8" ht="12.95" customHeight="1">
      <c r="A31" s="10" t="s">
        <v>673</v>
      </c>
      <c r="B31" s="11" t="s">
        <v>674</v>
      </c>
      <c r="C31" s="12" t="s">
        <v>675</v>
      </c>
      <c r="D31" s="7" t="s">
        <v>234</v>
      </c>
      <c r="E31" s="13">
        <v>168200</v>
      </c>
      <c r="F31" s="14">
        <v>1580.83</v>
      </c>
      <c r="G31" s="14">
        <v>1.73</v>
      </c>
      <c r="H31" s="15"/>
    </row>
    <row r="32" spans="1:8" ht="12.95" customHeight="1">
      <c r="A32" s="10" t="s">
        <v>676</v>
      </c>
      <c r="B32" s="11" t="s">
        <v>677</v>
      </c>
      <c r="C32" s="12" t="s">
        <v>678</v>
      </c>
      <c r="D32" s="7" t="s">
        <v>207</v>
      </c>
      <c r="E32" s="13">
        <v>78500</v>
      </c>
      <c r="F32" s="14">
        <v>1524.47</v>
      </c>
      <c r="G32" s="14">
        <v>1.67</v>
      </c>
      <c r="H32" s="15"/>
    </row>
    <row r="33" spans="1:8" ht="12.95" customHeight="1">
      <c r="A33" s="10" t="s">
        <v>200</v>
      </c>
      <c r="B33" s="11" t="s">
        <v>201</v>
      </c>
      <c r="C33" s="12" t="s">
        <v>202</v>
      </c>
      <c r="D33" s="7" t="s">
        <v>203</v>
      </c>
      <c r="E33" s="13">
        <v>750000</v>
      </c>
      <c r="F33" s="14">
        <v>1519.13</v>
      </c>
      <c r="G33" s="14">
        <v>1.66</v>
      </c>
      <c r="H33" s="15"/>
    </row>
    <row r="34" spans="1:8" ht="12.95" customHeight="1">
      <c r="A34" s="10" t="s">
        <v>171</v>
      </c>
      <c r="B34" s="11" t="s">
        <v>172</v>
      </c>
      <c r="C34" s="12" t="s">
        <v>173</v>
      </c>
      <c r="D34" s="7" t="s">
        <v>174</v>
      </c>
      <c r="E34" s="13">
        <v>20000</v>
      </c>
      <c r="F34" s="14">
        <v>1512.26</v>
      </c>
      <c r="G34" s="14">
        <v>1.66</v>
      </c>
      <c r="H34" s="15"/>
    </row>
    <row r="35" spans="1:8" ht="12.95" customHeight="1">
      <c r="A35" s="10" t="s">
        <v>679</v>
      </c>
      <c r="B35" s="11" t="s">
        <v>680</v>
      </c>
      <c r="C35" s="12" t="s">
        <v>681</v>
      </c>
      <c r="D35" s="7" t="s">
        <v>137</v>
      </c>
      <c r="E35" s="13">
        <v>43000</v>
      </c>
      <c r="F35" s="14">
        <v>1452.05</v>
      </c>
      <c r="G35" s="14">
        <v>1.59</v>
      </c>
      <c r="H35" s="15"/>
    </row>
    <row r="36" spans="1:8" ht="12.95" customHeight="1">
      <c r="A36" s="10" t="s">
        <v>682</v>
      </c>
      <c r="B36" s="11" t="s">
        <v>683</v>
      </c>
      <c r="C36" s="12" t="s">
        <v>684</v>
      </c>
      <c r="D36" s="7" t="s">
        <v>155</v>
      </c>
      <c r="E36" s="13">
        <v>2350000</v>
      </c>
      <c r="F36" s="14">
        <v>1451.13</v>
      </c>
      <c r="G36" s="14">
        <v>1.59</v>
      </c>
      <c r="H36" s="15"/>
    </row>
    <row r="37" spans="1:8" ht="12.95" customHeight="1">
      <c r="A37" s="10" t="s">
        <v>134</v>
      </c>
      <c r="B37" s="11" t="s">
        <v>135</v>
      </c>
      <c r="C37" s="12" t="s">
        <v>136</v>
      </c>
      <c r="D37" s="7" t="s">
        <v>137</v>
      </c>
      <c r="E37" s="13">
        <v>75000</v>
      </c>
      <c r="F37" s="14">
        <v>1430.14</v>
      </c>
      <c r="G37" s="14">
        <v>1.57</v>
      </c>
      <c r="H37" s="15"/>
    </row>
    <row r="38" spans="1:8" ht="12.95" customHeight="1">
      <c r="A38" s="10" t="s">
        <v>685</v>
      </c>
      <c r="B38" s="11" t="s">
        <v>686</v>
      </c>
      <c r="C38" s="12" t="s">
        <v>687</v>
      </c>
      <c r="D38" s="7" t="s">
        <v>192</v>
      </c>
      <c r="E38" s="13">
        <v>7850</v>
      </c>
      <c r="F38" s="14">
        <v>1389.67</v>
      </c>
      <c r="G38" s="14">
        <v>1.52</v>
      </c>
      <c r="H38" s="15"/>
    </row>
    <row r="39" spans="1:8" ht="12.95" customHeight="1">
      <c r="A39" s="10" t="s">
        <v>688</v>
      </c>
      <c r="B39" s="11" t="s">
        <v>689</v>
      </c>
      <c r="C39" s="12" t="s">
        <v>690</v>
      </c>
      <c r="D39" s="7" t="s">
        <v>188</v>
      </c>
      <c r="E39" s="13">
        <v>180000</v>
      </c>
      <c r="F39" s="14">
        <v>1382.49</v>
      </c>
      <c r="G39" s="14">
        <v>1.51</v>
      </c>
      <c r="H39" s="15"/>
    </row>
    <row r="40" spans="1:8" ht="12.95" customHeight="1">
      <c r="A40" s="10" t="s">
        <v>256</v>
      </c>
      <c r="B40" s="11" t="s">
        <v>257</v>
      </c>
      <c r="C40" s="12" t="s">
        <v>258</v>
      </c>
      <c r="D40" s="7" t="s">
        <v>137</v>
      </c>
      <c r="E40" s="13">
        <v>32000</v>
      </c>
      <c r="F40" s="14">
        <v>1376.93</v>
      </c>
      <c r="G40" s="14">
        <v>1.51</v>
      </c>
      <c r="H40" s="15"/>
    </row>
    <row r="41" spans="1:8" ht="12.95" customHeight="1">
      <c r="A41" s="10" t="s">
        <v>619</v>
      </c>
      <c r="B41" s="11" t="s">
        <v>620</v>
      </c>
      <c r="C41" s="12" t="s">
        <v>621</v>
      </c>
      <c r="D41" s="7" t="s">
        <v>272</v>
      </c>
      <c r="E41" s="13">
        <v>75000</v>
      </c>
      <c r="F41" s="14">
        <v>1364.14</v>
      </c>
      <c r="G41" s="14">
        <v>1.49</v>
      </c>
      <c r="H41" s="15"/>
    </row>
    <row r="42" spans="1:8" ht="12.95" customHeight="1">
      <c r="A42" s="10" t="s">
        <v>691</v>
      </c>
      <c r="B42" s="11" t="s">
        <v>692</v>
      </c>
      <c r="C42" s="12" t="s">
        <v>693</v>
      </c>
      <c r="D42" s="7" t="s">
        <v>246</v>
      </c>
      <c r="E42" s="13">
        <v>60000</v>
      </c>
      <c r="F42" s="14">
        <v>1346.25</v>
      </c>
      <c r="G42" s="14">
        <v>1.47</v>
      </c>
      <c r="H42" s="15"/>
    </row>
    <row r="43" spans="1:8" ht="12.95" customHeight="1">
      <c r="A43" s="10" t="s">
        <v>595</v>
      </c>
      <c r="B43" s="11" t="s">
        <v>596</v>
      </c>
      <c r="C43" s="12" t="s">
        <v>597</v>
      </c>
      <c r="D43" s="7" t="s">
        <v>262</v>
      </c>
      <c r="E43" s="13">
        <v>90000</v>
      </c>
      <c r="F43" s="14">
        <v>1336.41</v>
      </c>
      <c r="G43" s="14">
        <v>1.46</v>
      </c>
      <c r="H43" s="15"/>
    </row>
    <row r="44" spans="1:8" ht="12.95" customHeight="1">
      <c r="A44" s="10" t="s">
        <v>401</v>
      </c>
      <c r="B44" s="11" t="s">
        <v>402</v>
      </c>
      <c r="C44" s="12" t="s">
        <v>403</v>
      </c>
      <c r="D44" s="7" t="s">
        <v>218</v>
      </c>
      <c r="E44" s="13">
        <v>624326</v>
      </c>
      <c r="F44" s="14">
        <v>1291.1099999999999</v>
      </c>
      <c r="G44" s="14">
        <v>1.41</v>
      </c>
      <c r="H44" s="15"/>
    </row>
    <row r="45" spans="1:8" ht="12.95" customHeight="1">
      <c r="A45" s="10" t="s">
        <v>694</v>
      </c>
      <c r="B45" s="11" t="s">
        <v>695</v>
      </c>
      <c r="C45" s="12" t="s">
        <v>696</v>
      </c>
      <c r="D45" s="7" t="s">
        <v>242</v>
      </c>
      <c r="E45" s="13">
        <v>121773</v>
      </c>
      <c r="F45" s="14">
        <v>1241.23</v>
      </c>
      <c r="G45" s="14">
        <v>1.36</v>
      </c>
      <c r="H45" s="15"/>
    </row>
    <row r="46" spans="1:8" ht="12.95" customHeight="1">
      <c r="A46" s="10" t="s">
        <v>697</v>
      </c>
      <c r="B46" s="11" t="s">
        <v>698</v>
      </c>
      <c r="C46" s="12" t="s">
        <v>699</v>
      </c>
      <c r="D46" s="7" t="s">
        <v>196</v>
      </c>
      <c r="E46" s="13">
        <v>1000000</v>
      </c>
      <c r="F46" s="14">
        <v>1218</v>
      </c>
      <c r="G46" s="14">
        <v>1.33</v>
      </c>
      <c r="H46" s="15"/>
    </row>
    <row r="47" spans="1:8" ht="12.95" customHeight="1">
      <c r="A47" s="10" t="s">
        <v>607</v>
      </c>
      <c r="B47" s="11" t="s">
        <v>608</v>
      </c>
      <c r="C47" s="12" t="s">
        <v>609</v>
      </c>
      <c r="D47" s="7" t="s">
        <v>207</v>
      </c>
      <c r="E47" s="13">
        <v>50000</v>
      </c>
      <c r="F47" s="14">
        <v>1182.2</v>
      </c>
      <c r="G47" s="14">
        <v>1.29</v>
      </c>
      <c r="H47" s="15"/>
    </row>
    <row r="48" spans="1:8" ht="12.95" customHeight="1">
      <c r="A48" s="10" t="s">
        <v>204</v>
      </c>
      <c r="B48" s="11" t="s">
        <v>205</v>
      </c>
      <c r="C48" s="12" t="s">
        <v>206</v>
      </c>
      <c r="D48" s="7" t="s">
        <v>207</v>
      </c>
      <c r="E48" s="13">
        <v>55616</v>
      </c>
      <c r="F48" s="14">
        <v>1125.08</v>
      </c>
      <c r="G48" s="14">
        <v>1.23</v>
      </c>
      <c r="H48" s="15"/>
    </row>
    <row r="49" spans="1:8" ht="12.95" customHeight="1">
      <c r="A49" s="10" t="s">
        <v>235</v>
      </c>
      <c r="B49" s="11" t="s">
        <v>236</v>
      </c>
      <c r="C49" s="12" t="s">
        <v>237</v>
      </c>
      <c r="D49" s="7" t="s">
        <v>238</v>
      </c>
      <c r="E49" s="13">
        <v>946148</v>
      </c>
      <c r="F49" s="14">
        <v>1092.33</v>
      </c>
      <c r="G49" s="14">
        <v>1.2</v>
      </c>
      <c r="H49" s="15"/>
    </row>
    <row r="50" spans="1:8" ht="12.95" customHeight="1">
      <c r="A50" s="10" t="s">
        <v>700</v>
      </c>
      <c r="B50" s="11" t="s">
        <v>701</v>
      </c>
      <c r="C50" s="12" t="s">
        <v>702</v>
      </c>
      <c r="D50" s="7" t="s">
        <v>246</v>
      </c>
      <c r="E50" s="13">
        <v>39044</v>
      </c>
      <c r="F50" s="14">
        <v>1091.8699999999999</v>
      </c>
      <c r="G50" s="14">
        <v>1.2</v>
      </c>
      <c r="H50" s="15"/>
    </row>
    <row r="51" spans="1:8" ht="12.95" customHeight="1">
      <c r="A51" s="10" t="s">
        <v>352</v>
      </c>
      <c r="B51" s="11" t="s">
        <v>353</v>
      </c>
      <c r="C51" s="12" t="s">
        <v>354</v>
      </c>
      <c r="D51" s="7" t="s">
        <v>211</v>
      </c>
      <c r="E51" s="13">
        <v>452000</v>
      </c>
      <c r="F51" s="14">
        <v>1078.7</v>
      </c>
      <c r="G51" s="14">
        <v>1.18</v>
      </c>
      <c r="H51" s="15"/>
    </row>
    <row r="52" spans="1:8" ht="12.95" customHeight="1">
      <c r="A52" s="10" t="s">
        <v>703</v>
      </c>
      <c r="B52" s="11" t="s">
        <v>704</v>
      </c>
      <c r="C52" s="12" t="s">
        <v>705</v>
      </c>
      <c r="D52" s="7" t="s">
        <v>272</v>
      </c>
      <c r="E52" s="13">
        <v>55000</v>
      </c>
      <c r="F52" s="14">
        <v>1066.48</v>
      </c>
      <c r="G52" s="14">
        <v>1.17</v>
      </c>
      <c r="H52" s="15"/>
    </row>
    <row r="53" spans="1:8" ht="12.95" customHeight="1">
      <c r="A53" s="10" t="s">
        <v>591</v>
      </c>
      <c r="B53" s="11" t="s">
        <v>592</v>
      </c>
      <c r="C53" s="12" t="s">
        <v>593</v>
      </c>
      <c r="D53" s="7" t="s">
        <v>594</v>
      </c>
      <c r="E53" s="13">
        <v>560000</v>
      </c>
      <c r="F53" s="14">
        <v>1062.5999999999999</v>
      </c>
      <c r="G53" s="14">
        <v>1.1599999999999999</v>
      </c>
      <c r="H53" s="15"/>
    </row>
    <row r="54" spans="1:8" ht="12.95" customHeight="1">
      <c r="A54" s="10" t="s">
        <v>313</v>
      </c>
      <c r="B54" s="11" t="s">
        <v>314</v>
      </c>
      <c r="C54" s="12" t="s">
        <v>315</v>
      </c>
      <c r="D54" s="7" t="s">
        <v>316</v>
      </c>
      <c r="E54" s="13">
        <v>424328</v>
      </c>
      <c r="F54" s="14">
        <v>1012.02</v>
      </c>
      <c r="G54" s="14">
        <v>1.1100000000000001</v>
      </c>
      <c r="H54" s="15"/>
    </row>
    <row r="55" spans="1:8" ht="12.95" customHeight="1">
      <c r="A55" s="10" t="s">
        <v>247</v>
      </c>
      <c r="B55" s="11" t="s">
        <v>248</v>
      </c>
      <c r="C55" s="12" t="s">
        <v>249</v>
      </c>
      <c r="D55" s="7" t="s">
        <v>207</v>
      </c>
      <c r="E55" s="13">
        <v>200000</v>
      </c>
      <c r="F55" s="14">
        <v>1005.7</v>
      </c>
      <c r="G55" s="14">
        <v>1.1000000000000001</v>
      </c>
      <c r="H55" s="15"/>
    </row>
    <row r="56" spans="1:8" ht="12.95" customHeight="1">
      <c r="A56" s="10" t="s">
        <v>317</v>
      </c>
      <c r="B56" s="11" t="s">
        <v>318</v>
      </c>
      <c r="C56" s="12" t="s">
        <v>319</v>
      </c>
      <c r="D56" s="7" t="s">
        <v>137</v>
      </c>
      <c r="E56" s="13">
        <v>19500</v>
      </c>
      <c r="F56" s="14">
        <v>929.23</v>
      </c>
      <c r="G56" s="14">
        <v>1.02</v>
      </c>
      <c r="H56" s="15"/>
    </row>
    <row r="57" spans="1:8" ht="12.95" customHeight="1">
      <c r="A57" s="10" t="s">
        <v>212</v>
      </c>
      <c r="B57" s="11" t="s">
        <v>213</v>
      </c>
      <c r="C57" s="12" t="s">
        <v>214</v>
      </c>
      <c r="D57" s="7" t="s">
        <v>159</v>
      </c>
      <c r="E57" s="13">
        <v>62000</v>
      </c>
      <c r="F57" s="14">
        <v>923.52</v>
      </c>
      <c r="G57" s="14">
        <v>1.01</v>
      </c>
      <c r="H57" s="15"/>
    </row>
    <row r="58" spans="1:8" ht="12.95" customHeight="1">
      <c r="A58" s="10" t="s">
        <v>706</v>
      </c>
      <c r="B58" s="11" t="s">
        <v>707</v>
      </c>
      <c r="C58" s="12" t="s">
        <v>708</v>
      </c>
      <c r="D58" s="7" t="s">
        <v>188</v>
      </c>
      <c r="E58" s="13">
        <v>75759</v>
      </c>
      <c r="F58" s="14">
        <v>895.62</v>
      </c>
      <c r="G58" s="14">
        <v>0.98</v>
      </c>
      <c r="H58" s="15"/>
    </row>
    <row r="59" spans="1:8" ht="12.95" customHeight="1">
      <c r="A59" s="10" t="s">
        <v>634</v>
      </c>
      <c r="B59" s="11" t="s">
        <v>635</v>
      </c>
      <c r="C59" s="12" t="s">
        <v>636</v>
      </c>
      <c r="D59" s="7" t="s">
        <v>174</v>
      </c>
      <c r="E59" s="13">
        <v>52956</v>
      </c>
      <c r="F59" s="14">
        <v>895.41</v>
      </c>
      <c r="G59" s="14">
        <v>0.98</v>
      </c>
      <c r="H59" s="15"/>
    </row>
    <row r="60" spans="1:8" ht="12.95" customHeight="1">
      <c r="A60" s="10" t="s">
        <v>709</v>
      </c>
      <c r="B60" s="11" t="s">
        <v>710</v>
      </c>
      <c r="C60" s="12" t="s">
        <v>711</v>
      </c>
      <c r="D60" s="7" t="s">
        <v>218</v>
      </c>
      <c r="E60" s="13">
        <v>51093</v>
      </c>
      <c r="F60" s="14">
        <v>875.84</v>
      </c>
      <c r="G60" s="14">
        <v>0.96</v>
      </c>
      <c r="H60" s="15"/>
    </row>
    <row r="61" spans="1:8" ht="12.95" customHeight="1">
      <c r="A61" s="10" t="s">
        <v>243</v>
      </c>
      <c r="B61" s="11" t="s">
        <v>244</v>
      </c>
      <c r="C61" s="12" t="s">
        <v>245</v>
      </c>
      <c r="D61" s="7" t="s">
        <v>246</v>
      </c>
      <c r="E61" s="13">
        <v>44824</v>
      </c>
      <c r="F61" s="14">
        <v>875.5</v>
      </c>
      <c r="G61" s="14">
        <v>0.96</v>
      </c>
      <c r="H61" s="15"/>
    </row>
    <row r="62" spans="1:8" ht="12.95" customHeight="1">
      <c r="A62" s="10" t="s">
        <v>712</v>
      </c>
      <c r="B62" s="11" t="s">
        <v>713</v>
      </c>
      <c r="C62" s="12" t="s">
        <v>714</v>
      </c>
      <c r="D62" s="7" t="s">
        <v>207</v>
      </c>
      <c r="E62" s="13">
        <v>41846</v>
      </c>
      <c r="F62" s="14">
        <v>856.67</v>
      </c>
      <c r="G62" s="14">
        <v>0.94</v>
      </c>
      <c r="H62" s="15"/>
    </row>
    <row r="63" spans="1:8" ht="12.95" customHeight="1">
      <c r="A63" s="10" t="s">
        <v>215</v>
      </c>
      <c r="B63" s="11" t="s">
        <v>216</v>
      </c>
      <c r="C63" s="12" t="s">
        <v>217</v>
      </c>
      <c r="D63" s="7" t="s">
        <v>218</v>
      </c>
      <c r="E63" s="13">
        <v>89543</v>
      </c>
      <c r="F63" s="14">
        <v>834.81</v>
      </c>
      <c r="G63" s="14">
        <v>0.91</v>
      </c>
      <c r="H63" s="15"/>
    </row>
    <row r="64" spans="1:8" ht="12.95" customHeight="1">
      <c r="A64" s="1"/>
      <c r="B64" s="6" t="s">
        <v>21</v>
      </c>
      <c r="C64" s="7"/>
      <c r="D64" s="7"/>
      <c r="E64" s="7"/>
      <c r="F64" s="16">
        <v>88094.16</v>
      </c>
      <c r="G64" s="16">
        <v>96.45</v>
      </c>
      <c r="H64" s="17"/>
    </row>
    <row r="65" spans="1:8" ht="12.95" customHeight="1">
      <c r="A65" s="1"/>
      <c r="B65" s="18" t="s">
        <v>326</v>
      </c>
      <c r="C65" s="19"/>
      <c r="D65" s="19"/>
      <c r="E65" s="20"/>
      <c r="F65" s="21" t="s">
        <v>23</v>
      </c>
      <c r="G65" s="21"/>
      <c r="H65" s="22"/>
    </row>
    <row r="66" spans="1:8" ht="12.95" customHeight="1">
      <c r="A66" s="1"/>
      <c r="B66" s="23" t="s">
        <v>21</v>
      </c>
      <c r="C66" s="24"/>
      <c r="D66" s="24"/>
      <c r="E66" s="21"/>
      <c r="F66" s="21" t="s">
        <v>23</v>
      </c>
      <c r="G66" s="21"/>
      <c r="H66" s="22"/>
    </row>
    <row r="67" spans="1:8" ht="12.95" customHeight="1">
      <c r="A67" s="1"/>
      <c r="B67" s="18" t="s">
        <v>24</v>
      </c>
      <c r="C67" s="19"/>
      <c r="D67" s="19"/>
      <c r="E67" s="25"/>
      <c r="F67" s="16">
        <v>88094.16</v>
      </c>
      <c r="G67" s="16">
        <v>96.45</v>
      </c>
      <c r="H67" s="22"/>
    </row>
    <row r="68" spans="1:8" ht="12.95" customHeight="1">
      <c r="A68" s="1"/>
      <c r="B68" s="6" t="s">
        <v>25</v>
      </c>
      <c r="C68" s="7"/>
      <c r="D68" s="7"/>
      <c r="E68" s="7"/>
      <c r="F68" s="7"/>
      <c r="G68" s="7"/>
      <c r="H68" s="8"/>
    </row>
    <row r="69" spans="1:8" ht="12.95" customHeight="1">
      <c r="A69" s="1"/>
      <c r="B69" s="44" t="s">
        <v>962</v>
      </c>
      <c r="C69" s="9"/>
      <c r="D69" s="9"/>
      <c r="E69" s="7"/>
      <c r="F69" s="7"/>
      <c r="G69" s="7"/>
      <c r="H69" s="8"/>
    </row>
    <row r="70" spans="1:8" ht="12.95" customHeight="1">
      <c r="A70" s="10" t="s">
        <v>124</v>
      </c>
      <c r="B70" s="45" t="s">
        <v>963</v>
      </c>
      <c r="C70" s="12"/>
      <c r="D70" s="7"/>
      <c r="E70" s="13"/>
      <c r="F70" s="14">
        <v>3489.13</v>
      </c>
      <c r="G70" s="14">
        <v>3.82</v>
      </c>
      <c r="H70" s="15">
        <v>3.6005000000000002E-2</v>
      </c>
    </row>
    <row r="71" spans="1:8" ht="12.95" customHeight="1">
      <c r="A71" s="1"/>
      <c r="B71" s="6" t="s">
        <v>21</v>
      </c>
      <c r="C71" s="7"/>
      <c r="D71" s="7"/>
      <c r="E71" s="7"/>
      <c r="F71" s="16">
        <v>3489.13</v>
      </c>
      <c r="G71" s="16">
        <v>3.82</v>
      </c>
      <c r="H71" s="17"/>
    </row>
    <row r="72" spans="1:8" ht="12.95" customHeight="1">
      <c r="A72" s="1"/>
      <c r="B72" s="18" t="s">
        <v>24</v>
      </c>
      <c r="C72" s="19"/>
      <c r="D72" s="19"/>
      <c r="E72" s="25"/>
      <c r="F72" s="16">
        <v>3489.13</v>
      </c>
      <c r="G72" s="16">
        <v>3.82</v>
      </c>
      <c r="H72" s="22"/>
    </row>
    <row r="73" spans="1:8" ht="12.95" customHeight="1">
      <c r="A73" s="1"/>
      <c r="B73" s="18" t="s">
        <v>127</v>
      </c>
      <c r="C73" s="19"/>
      <c r="D73" s="19"/>
      <c r="E73" s="7"/>
      <c r="F73" s="16">
        <v>-264.31</v>
      </c>
      <c r="G73" s="16">
        <v>-0.27</v>
      </c>
      <c r="H73" s="22"/>
    </row>
    <row r="74" spans="1:8" ht="12.95" customHeight="1">
      <c r="A74" s="1"/>
      <c r="B74" s="26" t="s">
        <v>128</v>
      </c>
      <c r="C74" s="27"/>
      <c r="D74" s="27"/>
      <c r="E74" s="27"/>
      <c r="F74" s="28">
        <v>91318.98</v>
      </c>
      <c r="G74" s="29">
        <v>100</v>
      </c>
      <c r="H74" s="30"/>
    </row>
    <row r="75" spans="1:8" ht="12.95" customHeight="1">
      <c r="A75" s="1"/>
      <c r="B75" s="105"/>
      <c r="C75" s="105"/>
      <c r="D75" s="105"/>
      <c r="E75" s="105"/>
      <c r="F75" s="1"/>
      <c r="G75" s="1"/>
      <c r="H75" s="1"/>
    </row>
    <row r="76" spans="1:8" ht="12.95" customHeight="1">
      <c r="A76" s="1"/>
      <c r="B76" s="105"/>
      <c r="C76" s="105"/>
      <c r="D76" s="105"/>
      <c r="E76" s="105"/>
      <c r="F76" s="1"/>
      <c r="G76" s="1"/>
      <c r="H76" s="1"/>
    </row>
    <row r="77" spans="1:8" ht="12.95" customHeight="1">
      <c r="A77" s="1"/>
      <c r="B77" s="105"/>
      <c r="C77" s="105"/>
      <c r="D77" s="105"/>
      <c r="E77" s="105"/>
      <c r="F77" s="1"/>
      <c r="G77" s="1"/>
      <c r="H77" s="1"/>
    </row>
    <row r="78" spans="1:8" ht="12.95" customHeight="1">
      <c r="A78" s="1"/>
      <c r="B78" s="106"/>
      <c r="C78" s="106"/>
      <c r="D78" s="106"/>
      <c r="E78" s="106"/>
      <c r="F78" s="1"/>
      <c r="G78" s="1"/>
      <c r="H78" s="1"/>
    </row>
    <row r="79" spans="1:8" ht="12.95" customHeight="1">
      <c r="A79" s="1"/>
      <c r="B79" s="105" t="s">
        <v>327</v>
      </c>
      <c r="C79" s="105"/>
      <c r="D79" s="105"/>
      <c r="E79" s="105"/>
      <c r="F79" s="1"/>
      <c r="G79" s="1"/>
      <c r="H79" s="1"/>
    </row>
  </sheetData>
  <mergeCells count="8">
    <mergeCell ref="B77:E77"/>
    <mergeCell ref="B78:E78"/>
    <mergeCell ref="B79:E79"/>
    <mergeCell ref="B1:H1"/>
    <mergeCell ref="B2:H2"/>
    <mergeCell ref="B3:H3"/>
    <mergeCell ref="B75:E75"/>
    <mergeCell ref="B76:E76"/>
  </mergeCells>
  <pageMargins left="0" right="0" top="0" bottom="0" header="0" footer="0"/>
  <pageSetup orientation="portrait" r:id="rId1"/>
  <headerFooter>
    <oddFooter>&amp;C&amp;1#&amp;"Calibri"&amp;10&amp;K000000 For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3"/>
  <sheetViews>
    <sheetView tabSelected="1" topLeftCell="A21" workbookViewId="0">
      <selection activeCell="B43" sqref="B43:H43"/>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5.25" customHeight="1">
      <c r="A3" s="1"/>
      <c r="B3" s="108" t="s">
        <v>948</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959</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490</v>
      </c>
      <c r="B8" s="11" t="s">
        <v>491</v>
      </c>
      <c r="C8" s="12" t="s">
        <v>492</v>
      </c>
      <c r="D8" s="7" t="s">
        <v>13</v>
      </c>
      <c r="E8" s="13">
        <v>1000000</v>
      </c>
      <c r="F8" s="14">
        <v>985.83</v>
      </c>
      <c r="G8" s="14">
        <v>13.49</v>
      </c>
      <c r="H8" s="15">
        <v>6.0943999999999998E-2</v>
      </c>
    </row>
    <row r="9" spans="1:8" ht="12.95" customHeight="1">
      <c r="A9" s="10" t="s">
        <v>484</v>
      </c>
      <c r="B9" s="11" t="s">
        <v>485</v>
      </c>
      <c r="C9" s="12" t="s">
        <v>486</v>
      </c>
      <c r="D9" s="7" t="s">
        <v>13</v>
      </c>
      <c r="E9" s="13">
        <v>1000000</v>
      </c>
      <c r="F9" s="14">
        <v>980.19</v>
      </c>
      <c r="G9" s="14">
        <v>13.41</v>
      </c>
      <c r="H9" s="15">
        <v>6.8186999999999998E-2</v>
      </c>
    </row>
    <row r="10" spans="1:8" ht="12.95" customHeight="1">
      <c r="A10" s="10" t="s">
        <v>715</v>
      </c>
      <c r="B10" s="11" t="s">
        <v>716</v>
      </c>
      <c r="C10" s="12" t="s">
        <v>717</v>
      </c>
      <c r="D10" s="7" t="s">
        <v>13</v>
      </c>
      <c r="E10" s="13">
        <v>500000</v>
      </c>
      <c r="F10" s="14">
        <v>520.82000000000005</v>
      </c>
      <c r="G10" s="14">
        <v>7.13</v>
      </c>
      <c r="H10" s="15">
        <v>6.3311000000000006E-2</v>
      </c>
    </row>
    <row r="11" spans="1:8" ht="12.95" customHeight="1">
      <c r="A11" s="10" t="s">
        <v>718</v>
      </c>
      <c r="B11" s="11" t="s">
        <v>719</v>
      </c>
      <c r="C11" s="12" t="s">
        <v>720</v>
      </c>
      <c r="D11" s="7" t="s">
        <v>464</v>
      </c>
      <c r="E11" s="13">
        <v>500000</v>
      </c>
      <c r="F11" s="14">
        <v>504.05</v>
      </c>
      <c r="G11" s="14">
        <v>6.9</v>
      </c>
      <c r="H11" s="15">
        <v>6.1499999999999999E-2</v>
      </c>
    </row>
    <row r="12" spans="1:8" ht="12.95" customHeight="1">
      <c r="A12" s="10" t="s">
        <v>721</v>
      </c>
      <c r="B12" s="11" t="s">
        <v>722</v>
      </c>
      <c r="C12" s="12" t="s">
        <v>723</v>
      </c>
      <c r="D12" s="7" t="s">
        <v>13</v>
      </c>
      <c r="E12" s="13">
        <v>500000</v>
      </c>
      <c r="F12" s="14">
        <v>494.41</v>
      </c>
      <c r="G12" s="14">
        <v>6.77</v>
      </c>
      <c r="H12" s="15">
        <v>7.1145E-2</v>
      </c>
    </row>
    <row r="13" spans="1:8" ht="12.95" customHeight="1">
      <c r="A13" s="10" t="s">
        <v>487</v>
      </c>
      <c r="B13" s="11" t="s">
        <v>488</v>
      </c>
      <c r="C13" s="12" t="s">
        <v>489</v>
      </c>
      <c r="D13" s="7" t="s">
        <v>13</v>
      </c>
      <c r="E13" s="13">
        <v>500000</v>
      </c>
      <c r="F13" s="14">
        <v>493.5</v>
      </c>
      <c r="G13" s="14">
        <v>6.75</v>
      </c>
      <c r="H13" s="15">
        <v>5.6665E-2</v>
      </c>
    </row>
    <row r="14" spans="1:8" ht="12.95" customHeight="1">
      <c r="A14" s="10" t="s">
        <v>724</v>
      </c>
      <c r="B14" s="116" t="s">
        <v>1030</v>
      </c>
      <c r="C14" s="12" t="s">
        <v>725</v>
      </c>
      <c r="D14" s="7" t="s">
        <v>13</v>
      </c>
      <c r="E14" s="13">
        <v>500000</v>
      </c>
      <c r="F14" s="14">
        <v>484.74</v>
      </c>
      <c r="G14" s="14">
        <v>6.63</v>
      </c>
      <c r="H14" s="117">
        <v>4.4989713026291178E-2</v>
      </c>
    </row>
    <row r="15" spans="1:8" ht="12.95" customHeight="1">
      <c r="A15" s="10" t="s">
        <v>726</v>
      </c>
      <c r="B15" s="11" t="s">
        <v>727</v>
      </c>
      <c r="C15" s="12" t="s">
        <v>728</v>
      </c>
      <c r="D15" s="7" t="s">
        <v>13</v>
      </c>
      <c r="E15" s="13">
        <v>250000</v>
      </c>
      <c r="F15" s="14">
        <v>239.38</v>
      </c>
      <c r="G15" s="14">
        <v>3.28</v>
      </c>
      <c r="H15" s="15">
        <v>7.1405999999999997E-2</v>
      </c>
    </row>
    <row r="16" spans="1:8" ht="12.95" customHeight="1">
      <c r="A16" s="1"/>
      <c r="B16" s="6" t="s">
        <v>21</v>
      </c>
      <c r="C16" s="7"/>
      <c r="D16" s="7"/>
      <c r="E16" s="7"/>
      <c r="F16" s="16">
        <v>4702.92</v>
      </c>
      <c r="G16" s="16">
        <v>64.36</v>
      </c>
      <c r="H16" s="17"/>
    </row>
    <row r="17" spans="1:8" ht="12.95" customHeight="1">
      <c r="A17" s="1"/>
      <c r="B17" s="18" t="s">
        <v>22</v>
      </c>
      <c r="C17" s="19"/>
      <c r="D17" s="19"/>
      <c r="E17" s="20"/>
      <c r="F17" s="21" t="s">
        <v>23</v>
      </c>
      <c r="G17" s="21"/>
      <c r="H17" s="22"/>
    </row>
    <row r="18" spans="1:8" ht="12.95" customHeight="1">
      <c r="A18" s="1"/>
      <c r="B18" s="23" t="s">
        <v>21</v>
      </c>
      <c r="C18" s="24"/>
      <c r="D18" s="24"/>
      <c r="E18" s="21"/>
      <c r="F18" s="21" t="s">
        <v>23</v>
      </c>
      <c r="G18" s="21"/>
      <c r="H18" s="22"/>
    </row>
    <row r="19" spans="1:8" s="40" customFormat="1" ht="12.95" customHeight="1">
      <c r="A19" s="34"/>
      <c r="B19" s="35" t="s">
        <v>960</v>
      </c>
      <c r="C19" s="36"/>
      <c r="D19" s="36"/>
      <c r="E19" s="37"/>
      <c r="F19" s="38" t="s">
        <v>23</v>
      </c>
      <c r="G19" s="38"/>
      <c r="H19" s="39"/>
    </row>
    <row r="20" spans="1:8" ht="12.95" customHeight="1">
      <c r="A20" s="46"/>
      <c r="B20" s="47" t="s">
        <v>21</v>
      </c>
      <c r="C20" s="48"/>
      <c r="D20" s="48"/>
      <c r="E20" s="49"/>
      <c r="F20" s="49" t="s">
        <v>23</v>
      </c>
      <c r="G20" s="49"/>
      <c r="H20" s="50"/>
    </row>
    <row r="21" spans="1:8" ht="12.95" customHeight="1">
      <c r="A21" s="1"/>
      <c r="B21" s="18" t="s">
        <v>24</v>
      </c>
      <c r="C21" s="19"/>
      <c r="D21" s="19"/>
      <c r="E21" s="25"/>
      <c r="F21" s="16">
        <v>4702.92</v>
      </c>
      <c r="G21" s="16">
        <v>64.36</v>
      </c>
      <c r="H21" s="22"/>
    </row>
    <row r="22" spans="1:8" ht="12.95" customHeight="1">
      <c r="A22" s="1"/>
      <c r="B22" s="6" t="s">
        <v>25</v>
      </c>
      <c r="C22" s="7"/>
      <c r="D22" s="7"/>
      <c r="E22" s="7"/>
      <c r="F22" s="7"/>
      <c r="G22" s="7"/>
      <c r="H22" s="8"/>
    </row>
    <row r="23" spans="1:8" ht="12.95" customHeight="1">
      <c r="A23" s="1"/>
      <c r="B23" s="6" t="s">
        <v>26</v>
      </c>
      <c r="C23" s="9"/>
      <c r="D23" s="9"/>
      <c r="E23" s="7"/>
      <c r="F23" s="7"/>
      <c r="G23" s="7"/>
      <c r="H23" s="8"/>
    </row>
    <row r="24" spans="1:8" ht="12.95" customHeight="1">
      <c r="A24" s="10" t="s">
        <v>563</v>
      </c>
      <c r="B24" s="11" t="s">
        <v>564</v>
      </c>
      <c r="C24" s="12" t="s">
        <v>565</v>
      </c>
      <c r="D24" s="7" t="s">
        <v>13</v>
      </c>
      <c r="E24" s="13">
        <v>250000</v>
      </c>
      <c r="F24" s="14">
        <v>249.21</v>
      </c>
      <c r="G24" s="14">
        <v>3.41</v>
      </c>
      <c r="H24" s="15">
        <v>3.5000000000000003E-2</v>
      </c>
    </row>
    <row r="25" spans="1:8" ht="12.95" customHeight="1">
      <c r="A25" s="1"/>
      <c r="B25" s="6" t="s">
        <v>21</v>
      </c>
      <c r="C25" s="7"/>
      <c r="D25" s="7"/>
      <c r="E25" s="7"/>
      <c r="F25" s="16">
        <v>249.21</v>
      </c>
      <c r="G25" s="16">
        <v>3.41</v>
      </c>
      <c r="H25" s="17"/>
    </row>
    <row r="26" spans="1:8" ht="12.95" customHeight="1">
      <c r="A26" s="1"/>
      <c r="B26" s="6" t="s">
        <v>75</v>
      </c>
      <c r="C26" s="9"/>
      <c r="D26" s="9"/>
      <c r="E26" s="7"/>
      <c r="F26" s="7"/>
      <c r="G26" s="7"/>
      <c r="H26" s="8"/>
    </row>
    <row r="27" spans="1:8" ht="12.95" customHeight="1">
      <c r="A27" s="33"/>
      <c r="B27" s="51" t="s">
        <v>961</v>
      </c>
      <c r="C27" s="9"/>
      <c r="D27" s="9"/>
      <c r="E27" s="7"/>
      <c r="F27" s="7"/>
      <c r="G27" s="7"/>
      <c r="H27" s="8"/>
    </row>
    <row r="28" spans="1:8" ht="12.95" customHeight="1">
      <c r="A28" s="10" t="s">
        <v>79</v>
      </c>
      <c r="B28" s="11" t="s">
        <v>80</v>
      </c>
      <c r="C28" s="12" t="s">
        <v>81</v>
      </c>
      <c r="D28" s="7" t="s">
        <v>50</v>
      </c>
      <c r="E28" s="13">
        <v>500000</v>
      </c>
      <c r="F28" s="14">
        <v>496.57</v>
      </c>
      <c r="G28" s="14">
        <v>6.8</v>
      </c>
      <c r="H28" s="15">
        <v>4.8499E-2</v>
      </c>
    </row>
    <row r="29" spans="1:8" ht="12.95" customHeight="1">
      <c r="A29" s="1"/>
      <c r="B29" s="6" t="s">
        <v>21</v>
      </c>
      <c r="C29" s="7"/>
      <c r="D29" s="7"/>
      <c r="E29" s="7"/>
      <c r="F29" s="16">
        <v>496.57</v>
      </c>
      <c r="G29" s="16">
        <v>6.8</v>
      </c>
      <c r="H29" s="17"/>
    </row>
    <row r="30" spans="1:8" ht="12.95" customHeight="1">
      <c r="A30" s="1"/>
      <c r="B30" s="44" t="s">
        <v>962</v>
      </c>
      <c r="C30" s="9"/>
      <c r="D30" s="9"/>
      <c r="E30" s="7"/>
      <c r="F30" s="7"/>
      <c r="G30" s="7"/>
      <c r="H30" s="8"/>
    </row>
    <row r="31" spans="1:8" ht="12.95" customHeight="1">
      <c r="A31" s="10" t="s">
        <v>124</v>
      </c>
      <c r="B31" s="45" t="s">
        <v>963</v>
      </c>
      <c r="C31" s="12"/>
      <c r="D31" s="7"/>
      <c r="E31" s="13"/>
      <c r="F31" s="14">
        <v>262.64999999999998</v>
      </c>
      <c r="G31" s="14">
        <v>3.59</v>
      </c>
      <c r="H31" s="15">
        <v>3.6005000000000002E-2</v>
      </c>
    </row>
    <row r="32" spans="1:8" ht="12.95" customHeight="1">
      <c r="A32" s="1"/>
      <c r="B32" s="6" t="s">
        <v>21</v>
      </c>
      <c r="C32" s="7"/>
      <c r="D32" s="7"/>
      <c r="E32" s="7"/>
      <c r="F32" s="16">
        <v>262.64999999999998</v>
      </c>
      <c r="G32" s="16">
        <v>3.59</v>
      </c>
      <c r="H32" s="17"/>
    </row>
    <row r="33" spans="1:8" ht="12.95" customHeight="1">
      <c r="A33" s="1"/>
      <c r="B33" s="6" t="s">
        <v>125</v>
      </c>
      <c r="C33" s="9"/>
      <c r="D33" s="9"/>
      <c r="E33" s="7"/>
      <c r="F33" s="7"/>
      <c r="G33" s="7"/>
      <c r="H33" s="8"/>
    </row>
    <row r="34" spans="1:8" ht="12.95" customHeight="1">
      <c r="A34" s="10" t="s">
        <v>126</v>
      </c>
      <c r="B34" s="11" t="s">
        <v>125</v>
      </c>
      <c r="C34" s="12"/>
      <c r="D34" s="7"/>
      <c r="E34" s="13">
        <v>150641750</v>
      </c>
      <c r="F34" s="14">
        <v>1506.42</v>
      </c>
      <c r="G34" s="14">
        <v>20.62</v>
      </c>
      <c r="H34" s="15">
        <v>3.7499999999999999E-2</v>
      </c>
    </row>
    <row r="35" spans="1:8" ht="12.95" customHeight="1">
      <c r="A35" s="1"/>
      <c r="B35" s="6" t="s">
        <v>21</v>
      </c>
      <c r="C35" s="7"/>
      <c r="D35" s="7"/>
      <c r="E35" s="7"/>
      <c r="F35" s="16">
        <v>1506.42</v>
      </c>
      <c r="G35" s="16">
        <v>20.62</v>
      </c>
      <c r="H35" s="17"/>
    </row>
    <row r="36" spans="1:8" ht="12.95" customHeight="1">
      <c r="A36" s="1"/>
      <c r="B36" s="18" t="s">
        <v>24</v>
      </c>
      <c r="C36" s="19"/>
      <c r="D36" s="19"/>
      <c r="E36" s="25"/>
      <c r="F36" s="16">
        <v>2514.85</v>
      </c>
      <c r="G36" s="16">
        <v>34.42</v>
      </c>
      <c r="H36" s="22"/>
    </row>
    <row r="37" spans="1:8" ht="12.95" customHeight="1">
      <c r="A37" s="1"/>
      <c r="B37" s="18" t="s">
        <v>127</v>
      </c>
      <c r="C37" s="19"/>
      <c r="D37" s="19"/>
      <c r="E37" s="7"/>
      <c r="F37" s="16">
        <v>89.48</v>
      </c>
      <c r="G37" s="16">
        <v>1.22</v>
      </c>
      <c r="H37" s="22"/>
    </row>
    <row r="38" spans="1:8" ht="12.95" customHeight="1">
      <c r="A38" s="1"/>
      <c r="B38" s="26" t="s">
        <v>128</v>
      </c>
      <c r="C38" s="27"/>
      <c r="D38" s="27"/>
      <c r="E38" s="27"/>
      <c r="F38" s="28">
        <v>7307.25</v>
      </c>
      <c r="G38" s="29">
        <v>100</v>
      </c>
      <c r="H38" s="30"/>
    </row>
    <row r="39" spans="1:8" ht="12.95" customHeight="1">
      <c r="A39" s="1"/>
      <c r="B39" s="105"/>
      <c r="C39" s="105"/>
      <c r="D39" s="105"/>
      <c r="E39" s="105"/>
      <c r="F39" s="1"/>
      <c r="G39" s="1"/>
      <c r="H39" s="1"/>
    </row>
    <row r="40" spans="1:8" ht="12.95" customHeight="1">
      <c r="A40" s="1"/>
      <c r="B40" s="105"/>
      <c r="C40" s="105"/>
      <c r="D40" s="105"/>
      <c r="E40" s="105"/>
      <c r="F40" s="1"/>
      <c r="G40" s="1"/>
      <c r="H40" s="1"/>
    </row>
    <row r="41" spans="1:8" ht="12.95" customHeight="1">
      <c r="A41" s="1"/>
      <c r="B41" s="101" t="s">
        <v>964</v>
      </c>
      <c r="C41" s="102"/>
      <c r="D41" s="102"/>
      <c r="E41" s="102"/>
      <c r="F41" s="1"/>
      <c r="G41" s="1"/>
      <c r="H41" s="1"/>
    </row>
    <row r="42" spans="1:8" ht="12.95" customHeight="1">
      <c r="A42" s="1"/>
      <c r="B42" s="101" t="s">
        <v>129</v>
      </c>
      <c r="C42" s="102"/>
      <c r="D42" s="102"/>
      <c r="E42" s="102"/>
      <c r="F42" s="1"/>
      <c r="G42" s="1"/>
      <c r="H42" s="1"/>
    </row>
    <row r="43" spans="1:8" ht="37.5" customHeight="1">
      <c r="B43" s="118" t="s">
        <v>1031</v>
      </c>
      <c r="C43" s="118"/>
      <c r="D43" s="118"/>
      <c r="E43" s="118"/>
      <c r="F43" s="118"/>
      <c r="G43" s="118"/>
      <c r="H43" s="118"/>
    </row>
  </sheetData>
  <mergeCells count="8">
    <mergeCell ref="B43:H43"/>
    <mergeCell ref="B41:E41"/>
    <mergeCell ref="B42:E42"/>
    <mergeCell ref="B1:H1"/>
    <mergeCell ref="B2:H2"/>
    <mergeCell ref="B3:H3"/>
    <mergeCell ref="B39:E39"/>
    <mergeCell ref="B40:E40"/>
  </mergeCells>
  <pageMargins left="0" right="0" top="0" bottom="0" header="0" footer="0"/>
  <pageSetup orientation="portrait" r:id="rId1"/>
  <headerFooter>
    <oddFooter>&amp;C&amp;1#&amp;"Calibri"&amp;10&amp;K000000 For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3"/>
  <sheetViews>
    <sheetView topLeftCell="A40" workbookViewId="0">
      <selection activeCell="E65" sqref="E65"/>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1.5" customHeight="1">
      <c r="A3" s="1"/>
      <c r="B3" s="108" t="s">
        <v>949</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337</v>
      </c>
      <c r="B8" s="11" t="s">
        <v>338</v>
      </c>
      <c r="C8" s="12" t="s">
        <v>339</v>
      </c>
      <c r="D8" s="7" t="s">
        <v>288</v>
      </c>
      <c r="E8" s="13">
        <v>60000</v>
      </c>
      <c r="F8" s="14">
        <v>452.97</v>
      </c>
      <c r="G8" s="14">
        <v>9.5299999999999994</v>
      </c>
      <c r="H8" s="15"/>
    </row>
    <row r="9" spans="1:8" ht="12.95" customHeight="1">
      <c r="A9" s="10" t="s">
        <v>343</v>
      </c>
      <c r="B9" s="11" t="s">
        <v>344</v>
      </c>
      <c r="C9" s="12" t="s">
        <v>345</v>
      </c>
      <c r="D9" s="7" t="s">
        <v>159</v>
      </c>
      <c r="E9" s="13">
        <v>170000</v>
      </c>
      <c r="F9" s="14">
        <v>426.11</v>
      </c>
      <c r="G9" s="14">
        <v>8.9700000000000006</v>
      </c>
      <c r="H9" s="15"/>
    </row>
    <row r="10" spans="1:8" ht="12.95" customHeight="1">
      <c r="A10" s="10" t="s">
        <v>156</v>
      </c>
      <c r="B10" s="11" t="s">
        <v>157</v>
      </c>
      <c r="C10" s="12" t="s">
        <v>158</v>
      </c>
      <c r="D10" s="7" t="s">
        <v>159</v>
      </c>
      <c r="E10" s="13">
        <v>18000</v>
      </c>
      <c r="F10" s="14">
        <v>368.76</v>
      </c>
      <c r="G10" s="14">
        <v>7.76</v>
      </c>
      <c r="H10" s="15"/>
    </row>
    <row r="11" spans="1:8" ht="12.95" customHeight="1">
      <c r="A11" s="10" t="s">
        <v>729</v>
      </c>
      <c r="B11" s="11" t="s">
        <v>730</v>
      </c>
      <c r="C11" s="12" t="s">
        <v>731</v>
      </c>
      <c r="D11" s="7" t="s">
        <v>159</v>
      </c>
      <c r="E11" s="13">
        <v>10000</v>
      </c>
      <c r="F11" s="14">
        <v>308</v>
      </c>
      <c r="G11" s="14">
        <v>6.48</v>
      </c>
      <c r="H11" s="15"/>
    </row>
    <row r="12" spans="1:8" ht="12.95" customHeight="1">
      <c r="A12" s="10" t="s">
        <v>171</v>
      </c>
      <c r="B12" s="11" t="s">
        <v>172</v>
      </c>
      <c r="C12" s="12" t="s">
        <v>173</v>
      </c>
      <c r="D12" s="7" t="s">
        <v>174</v>
      </c>
      <c r="E12" s="13">
        <v>3400</v>
      </c>
      <c r="F12" s="14">
        <v>257.08</v>
      </c>
      <c r="G12" s="14">
        <v>5.41</v>
      </c>
      <c r="H12" s="15"/>
    </row>
    <row r="13" spans="1:8" ht="12.95" customHeight="1">
      <c r="A13" s="10" t="s">
        <v>323</v>
      </c>
      <c r="B13" s="11" t="s">
        <v>324</v>
      </c>
      <c r="C13" s="12" t="s">
        <v>325</v>
      </c>
      <c r="D13" s="7" t="s">
        <v>159</v>
      </c>
      <c r="E13" s="13">
        <v>50000</v>
      </c>
      <c r="F13" s="14">
        <v>244.7</v>
      </c>
      <c r="G13" s="14">
        <v>5.15</v>
      </c>
      <c r="H13" s="15"/>
    </row>
    <row r="14" spans="1:8" ht="12.95" customHeight="1">
      <c r="A14" s="10" t="s">
        <v>328</v>
      </c>
      <c r="B14" s="11" t="s">
        <v>329</v>
      </c>
      <c r="C14" s="12" t="s">
        <v>330</v>
      </c>
      <c r="D14" s="7" t="s">
        <v>141</v>
      </c>
      <c r="E14" s="13">
        <v>37000</v>
      </c>
      <c r="F14" s="14">
        <v>182.61</v>
      </c>
      <c r="G14" s="14">
        <v>3.84</v>
      </c>
      <c r="H14" s="15"/>
    </row>
    <row r="15" spans="1:8" ht="12.95" customHeight="1">
      <c r="A15" s="10" t="s">
        <v>138</v>
      </c>
      <c r="B15" s="11" t="s">
        <v>139</v>
      </c>
      <c r="C15" s="12" t="s">
        <v>140</v>
      </c>
      <c r="D15" s="7" t="s">
        <v>141</v>
      </c>
      <c r="E15" s="13">
        <v>25000</v>
      </c>
      <c r="F15" s="14">
        <v>182.58</v>
      </c>
      <c r="G15" s="14">
        <v>3.84</v>
      </c>
      <c r="H15" s="15"/>
    </row>
    <row r="16" spans="1:8" ht="12.95" customHeight="1">
      <c r="A16" s="10" t="s">
        <v>355</v>
      </c>
      <c r="B16" s="11" t="s">
        <v>356</v>
      </c>
      <c r="C16" s="12" t="s">
        <v>357</v>
      </c>
      <c r="D16" s="7" t="s">
        <v>358</v>
      </c>
      <c r="E16" s="13">
        <v>60000</v>
      </c>
      <c r="F16" s="14">
        <v>173.01</v>
      </c>
      <c r="G16" s="14">
        <v>3.64</v>
      </c>
      <c r="H16" s="15"/>
    </row>
    <row r="17" spans="1:8" ht="12.95" customHeight="1">
      <c r="A17" s="10" t="s">
        <v>331</v>
      </c>
      <c r="B17" s="11" t="s">
        <v>332</v>
      </c>
      <c r="C17" s="12" t="s">
        <v>333</v>
      </c>
      <c r="D17" s="7" t="s">
        <v>159</v>
      </c>
      <c r="E17" s="13">
        <v>18000</v>
      </c>
      <c r="F17" s="14">
        <v>159.9</v>
      </c>
      <c r="G17" s="14">
        <v>3.36</v>
      </c>
      <c r="H17" s="15"/>
    </row>
    <row r="18" spans="1:8" ht="12.95" customHeight="1">
      <c r="A18" s="10" t="s">
        <v>732</v>
      </c>
      <c r="B18" s="11" t="s">
        <v>733</v>
      </c>
      <c r="C18" s="12" t="s">
        <v>734</v>
      </c>
      <c r="D18" s="7" t="s">
        <v>159</v>
      </c>
      <c r="E18" s="13">
        <v>20000</v>
      </c>
      <c r="F18" s="14">
        <v>155.47999999999999</v>
      </c>
      <c r="G18" s="14">
        <v>3.27</v>
      </c>
      <c r="H18" s="15"/>
    </row>
    <row r="19" spans="1:8" ht="12.95" customHeight="1">
      <c r="A19" s="10" t="s">
        <v>735</v>
      </c>
      <c r="B19" s="11" t="s">
        <v>736</v>
      </c>
      <c r="C19" s="12" t="s">
        <v>737</v>
      </c>
      <c r="D19" s="7" t="s">
        <v>242</v>
      </c>
      <c r="E19" s="13">
        <v>6000</v>
      </c>
      <c r="F19" s="14">
        <v>152.16999999999999</v>
      </c>
      <c r="G19" s="14">
        <v>3.2</v>
      </c>
      <c r="H19" s="15"/>
    </row>
    <row r="20" spans="1:8" ht="12.95" customHeight="1">
      <c r="A20" s="10" t="s">
        <v>738</v>
      </c>
      <c r="B20" s="11" t="s">
        <v>739</v>
      </c>
      <c r="C20" s="12" t="s">
        <v>740</v>
      </c>
      <c r="D20" s="7" t="s">
        <v>181</v>
      </c>
      <c r="E20" s="13">
        <v>3500</v>
      </c>
      <c r="F20" s="14">
        <v>140.12</v>
      </c>
      <c r="G20" s="14">
        <v>2.95</v>
      </c>
      <c r="H20" s="15"/>
    </row>
    <row r="21" spans="1:8" ht="12.95" customHeight="1">
      <c r="A21" s="10" t="s">
        <v>741</v>
      </c>
      <c r="B21" s="11" t="s">
        <v>742</v>
      </c>
      <c r="C21" s="12" t="s">
        <v>743</v>
      </c>
      <c r="D21" s="7" t="s">
        <v>159</v>
      </c>
      <c r="E21" s="13">
        <v>3300</v>
      </c>
      <c r="F21" s="14">
        <v>105.81</v>
      </c>
      <c r="G21" s="14">
        <v>2.23</v>
      </c>
      <c r="H21" s="15"/>
    </row>
    <row r="22" spans="1:8" ht="12.95" customHeight="1">
      <c r="A22" s="10" t="s">
        <v>670</v>
      </c>
      <c r="B22" s="11" t="s">
        <v>671</v>
      </c>
      <c r="C22" s="12" t="s">
        <v>672</v>
      </c>
      <c r="D22" s="7" t="s">
        <v>242</v>
      </c>
      <c r="E22" s="13">
        <v>8000</v>
      </c>
      <c r="F22" s="14">
        <v>99.63</v>
      </c>
      <c r="G22" s="14">
        <v>2.1</v>
      </c>
      <c r="H22" s="15"/>
    </row>
    <row r="23" spans="1:8" ht="12.95" customHeight="1">
      <c r="A23" s="10" t="s">
        <v>744</v>
      </c>
      <c r="B23" s="11" t="s">
        <v>745</v>
      </c>
      <c r="C23" s="12" t="s">
        <v>746</v>
      </c>
      <c r="D23" s="7" t="s">
        <v>174</v>
      </c>
      <c r="E23" s="13">
        <v>4000</v>
      </c>
      <c r="F23" s="14">
        <v>98.29</v>
      </c>
      <c r="G23" s="14">
        <v>2.0699999999999998</v>
      </c>
      <c r="H23" s="15"/>
    </row>
    <row r="24" spans="1:8" ht="12.95" customHeight="1">
      <c r="A24" s="10" t="s">
        <v>747</v>
      </c>
      <c r="B24" s="11" t="s">
        <v>748</v>
      </c>
      <c r="C24" s="12" t="s">
        <v>749</v>
      </c>
      <c r="D24" s="7" t="s">
        <v>159</v>
      </c>
      <c r="E24" s="13">
        <v>500</v>
      </c>
      <c r="F24" s="14">
        <v>86.9</v>
      </c>
      <c r="G24" s="14">
        <v>1.83</v>
      </c>
      <c r="H24" s="15"/>
    </row>
    <row r="25" spans="1:8" ht="12.95" customHeight="1">
      <c r="A25" s="10" t="s">
        <v>634</v>
      </c>
      <c r="B25" s="11" t="s">
        <v>635</v>
      </c>
      <c r="C25" s="12" t="s">
        <v>636</v>
      </c>
      <c r="D25" s="7" t="s">
        <v>174</v>
      </c>
      <c r="E25" s="13">
        <v>5000</v>
      </c>
      <c r="F25" s="14">
        <v>84.54</v>
      </c>
      <c r="G25" s="14">
        <v>1.78</v>
      </c>
      <c r="H25" s="15"/>
    </row>
    <row r="26" spans="1:8" ht="12.95" customHeight="1">
      <c r="A26" s="10" t="s">
        <v>750</v>
      </c>
      <c r="B26" s="11" t="s">
        <v>751</v>
      </c>
      <c r="C26" s="12" t="s">
        <v>752</v>
      </c>
      <c r="D26" s="7" t="s">
        <v>242</v>
      </c>
      <c r="E26" s="13">
        <v>10000</v>
      </c>
      <c r="F26" s="14">
        <v>82.68</v>
      </c>
      <c r="G26" s="14">
        <v>1.74</v>
      </c>
      <c r="H26" s="15"/>
    </row>
    <row r="27" spans="1:8" ht="12.95" customHeight="1">
      <c r="A27" s="10" t="s">
        <v>384</v>
      </c>
      <c r="B27" s="11" t="s">
        <v>385</v>
      </c>
      <c r="C27" s="12" t="s">
        <v>386</v>
      </c>
      <c r="D27" s="7" t="s">
        <v>181</v>
      </c>
      <c r="E27" s="13">
        <v>27000</v>
      </c>
      <c r="F27" s="14">
        <v>81.569999999999993</v>
      </c>
      <c r="G27" s="14">
        <v>1.72</v>
      </c>
      <c r="H27" s="15"/>
    </row>
    <row r="28" spans="1:8" ht="12.95" customHeight="1">
      <c r="A28" s="10" t="s">
        <v>753</v>
      </c>
      <c r="B28" s="11" t="s">
        <v>754</v>
      </c>
      <c r="C28" s="12" t="s">
        <v>755</v>
      </c>
      <c r="D28" s="7" t="s">
        <v>159</v>
      </c>
      <c r="E28" s="13">
        <v>15000</v>
      </c>
      <c r="F28" s="14">
        <v>80.430000000000007</v>
      </c>
      <c r="G28" s="14">
        <v>1.69</v>
      </c>
      <c r="H28" s="15"/>
    </row>
    <row r="29" spans="1:8" ht="12.95" customHeight="1">
      <c r="A29" s="10" t="s">
        <v>756</v>
      </c>
      <c r="B29" s="11" t="s">
        <v>757</v>
      </c>
      <c r="C29" s="12" t="s">
        <v>758</v>
      </c>
      <c r="D29" s="7" t="s">
        <v>594</v>
      </c>
      <c r="E29" s="13">
        <v>40000</v>
      </c>
      <c r="F29" s="14">
        <v>73.22</v>
      </c>
      <c r="G29" s="14">
        <v>1.54</v>
      </c>
      <c r="H29" s="15"/>
    </row>
    <row r="30" spans="1:8" ht="12.95" customHeight="1">
      <c r="A30" s="10" t="s">
        <v>759</v>
      </c>
      <c r="B30" s="11" t="s">
        <v>760</v>
      </c>
      <c r="C30" s="12" t="s">
        <v>761</v>
      </c>
      <c r="D30" s="7" t="s">
        <v>137</v>
      </c>
      <c r="E30" s="13">
        <v>2000</v>
      </c>
      <c r="F30" s="14">
        <v>71.760000000000005</v>
      </c>
      <c r="G30" s="14">
        <v>1.51</v>
      </c>
      <c r="H30" s="15"/>
    </row>
    <row r="31" spans="1:8" ht="12.95" customHeight="1">
      <c r="A31" s="10" t="s">
        <v>762</v>
      </c>
      <c r="B31" s="11" t="s">
        <v>763</v>
      </c>
      <c r="C31" s="12" t="s">
        <v>764</v>
      </c>
      <c r="D31" s="7" t="s">
        <v>377</v>
      </c>
      <c r="E31" s="13">
        <v>1550</v>
      </c>
      <c r="F31" s="14">
        <v>70</v>
      </c>
      <c r="G31" s="14">
        <v>1.47</v>
      </c>
      <c r="H31" s="15"/>
    </row>
    <row r="32" spans="1:8" ht="12.95" customHeight="1">
      <c r="A32" s="10" t="s">
        <v>178</v>
      </c>
      <c r="B32" s="11" t="s">
        <v>179</v>
      </c>
      <c r="C32" s="12" t="s">
        <v>180</v>
      </c>
      <c r="D32" s="7" t="s">
        <v>181</v>
      </c>
      <c r="E32" s="13">
        <v>5000</v>
      </c>
      <c r="F32" s="14">
        <v>63.78</v>
      </c>
      <c r="G32" s="14">
        <v>1.34</v>
      </c>
      <c r="H32" s="15"/>
    </row>
    <row r="33" spans="1:8" ht="12.95" customHeight="1">
      <c r="A33" s="10" t="s">
        <v>765</v>
      </c>
      <c r="B33" s="11" t="s">
        <v>766</v>
      </c>
      <c r="C33" s="12" t="s">
        <v>767</v>
      </c>
      <c r="D33" s="7" t="s">
        <v>159</v>
      </c>
      <c r="E33" s="13">
        <v>4000</v>
      </c>
      <c r="F33" s="14">
        <v>61.69</v>
      </c>
      <c r="G33" s="14">
        <v>1.3</v>
      </c>
      <c r="H33" s="15"/>
    </row>
    <row r="34" spans="1:8" ht="12.95" customHeight="1">
      <c r="A34" s="10" t="s">
        <v>768</v>
      </c>
      <c r="B34" s="11" t="s">
        <v>769</v>
      </c>
      <c r="C34" s="12" t="s">
        <v>770</v>
      </c>
      <c r="D34" s="7" t="s">
        <v>226</v>
      </c>
      <c r="E34" s="13">
        <v>7000</v>
      </c>
      <c r="F34" s="14">
        <v>53.87</v>
      </c>
      <c r="G34" s="14">
        <v>1.1299999999999999</v>
      </c>
      <c r="H34" s="15"/>
    </row>
    <row r="35" spans="1:8" ht="12.95" customHeight="1">
      <c r="A35" s="10" t="s">
        <v>771</v>
      </c>
      <c r="B35" s="11" t="s">
        <v>772</v>
      </c>
      <c r="C35" s="12" t="s">
        <v>773</v>
      </c>
      <c r="D35" s="7" t="s">
        <v>238</v>
      </c>
      <c r="E35" s="13">
        <v>120</v>
      </c>
      <c r="F35" s="14">
        <v>51.83</v>
      </c>
      <c r="G35" s="14">
        <v>1.0900000000000001</v>
      </c>
      <c r="H35" s="15"/>
    </row>
    <row r="36" spans="1:8" ht="12.95" customHeight="1">
      <c r="A36" s="10" t="s">
        <v>774</v>
      </c>
      <c r="B36" s="11" t="s">
        <v>775</v>
      </c>
      <c r="C36" s="12" t="s">
        <v>776</v>
      </c>
      <c r="D36" s="7" t="s">
        <v>226</v>
      </c>
      <c r="E36" s="13">
        <v>1000</v>
      </c>
      <c r="F36" s="14">
        <v>49.69</v>
      </c>
      <c r="G36" s="14">
        <v>1.05</v>
      </c>
      <c r="H36" s="15"/>
    </row>
    <row r="37" spans="1:8" ht="12.95" customHeight="1">
      <c r="A37" s="10" t="s">
        <v>649</v>
      </c>
      <c r="B37" s="11" t="s">
        <v>650</v>
      </c>
      <c r="C37" s="12" t="s">
        <v>651</v>
      </c>
      <c r="D37" s="7" t="s">
        <v>272</v>
      </c>
      <c r="E37" s="13">
        <v>475</v>
      </c>
      <c r="F37" s="14">
        <v>45.69</v>
      </c>
      <c r="G37" s="14">
        <v>0.96</v>
      </c>
      <c r="H37" s="15"/>
    </row>
    <row r="38" spans="1:8" ht="12.95" customHeight="1">
      <c r="A38" s="10" t="s">
        <v>777</v>
      </c>
      <c r="B38" s="11" t="s">
        <v>778</v>
      </c>
      <c r="C38" s="12" t="s">
        <v>779</v>
      </c>
      <c r="D38" s="7" t="s">
        <v>242</v>
      </c>
      <c r="E38" s="13">
        <v>12000</v>
      </c>
      <c r="F38" s="14">
        <v>44.88</v>
      </c>
      <c r="G38" s="14">
        <v>0.94</v>
      </c>
      <c r="H38" s="15"/>
    </row>
    <row r="39" spans="1:8" ht="12.95" customHeight="1">
      <c r="A39" s="1"/>
      <c r="B39" s="6" t="s">
        <v>21</v>
      </c>
      <c r="C39" s="7"/>
      <c r="D39" s="7"/>
      <c r="E39" s="7"/>
      <c r="F39" s="16">
        <v>4509.75</v>
      </c>
      <c r="G39" s="16">
        <v>94.89</v>
      </c>
      <c r="H39" s="17"/>
    </row>
    <row r="40" spans="1:8" ht="12.95" customHeight="1">
      <c r="A40" s="1"/>
      <c r="B40" s="18" t="s">
        <v>326</v>
      </c>
      <c r="C40" s="19"/>
      <c r="D40" s="19"/>
      <c r="E40" s="20"/>
      <c r="F40" s="21" t="s">
        <v>23</v>
      </c>
      <c r="G40" s="21"/>
      <c r="H40" s="22"/>
    </row>
    <row r="41" spans="1:8" ht="12.95" customHeight="1">
      <c r="A41" s="1"/>
      <c r="B41" s="23" t="s">
        <v>21</v>
      </c>
      <c r="C41" s="24"/>
      <c r="D41" s="24"/>
      <c r="E41" s="21"/>
      <c r="F41" s="21" t="s">
        <v>23</v>
      </c>
      <c r="G41" s="21"/>
      <c r="H41" s="22"/>
    </row>
    <row r="42" spans="1:8" ht="12.95" customHeight="1">
      <c r="A42" s="1"/>
      <c r="B42" s="18" t="s">
        <v>24</v>
      </c>
      <c r="C42" s="19"/>
      <c r="D42" s="19"/>
      <c r="E42" s="25"/>
      <c r="F42" s="16">
        <v>4509.75</v>
      </c>
      <c r="G42" s="16">
        <v>94.89</v>
      </c>
      <c r="H42" s="22"/>
    </row>
    <row r="43" spans="1:8" ht="12.95" customHeight="1">
      <c r="A43" s="1"/>
      <c r="B43" s="6" t="s">
        <v>8</v>
      </c>
      <c r="C43" s="7"/>
      <c r="D43" s="7"/>
      <c r="E43" s="7"/>
      <c r="F43" s="7"/>
      <c r="G43" s="7"/>
      <c r="H43" s="8"/>
    </row>
    <row r="44" spans="1:8" ht="12.95" customHeight="1">
      <c r="A44" s="1"/>
      <c r="B44" s="6" t="s">
        <v>9</v>
      </c>
      <c r="C44" s="9"/>
      <c r="D44" s="9"/>
      <c r="E44" s="7"/>
      <c r="F44" s="7"/>
      <c r="G44" s="7"/>
      <c r="H44" s="8"/>
    </row>
    <row r="45" spans="1:8" ht="12.95" customHeight="1">
      <c r="A45" s="10" t="s">
        <v>780</v>
      </c>
      <c r="B45" s="11" t="s">
        <v>781</v>
      </c>
      <c r="C45" s="12" t="s">
        <v>782</v>
      </c>
      <c r="D45" s="7" t="s">
        <v>464</v>
      </c>
      <c r="E45" s="13">
        <v>10000</v>
      </c>
      <c r="F45" s="14">
        <v>3.04</v>
      </c>
      <c r="G45" s="14">
        <v>0.06</v>
      </c>
      <c r="H45" s="15">
        <v>4.5048999999999999E-2</v>
      </c>
    </row>
    <row r="46" spans="1:8" ht="12.95" customHeight="1">
      <c r="A46" s="10" t="s">
        <v>783</v>
      </c>
      <c r="B46" s="11" t="s">
        <v>784</v>
      </c>
      <c r="C46" s="12" t="s">
        <v>785</v>
      </c>
      <c r="D46" s="7" t="s">
        <v>464</v>
      </c>
      <c r="E46" s="13">
        <v>3500</v>
      </c>
      <c r="F46" s="14">
        <v>1.01</v>
      </c>
      <c r="G46" s="14">
        <v>0.02</v>
      </c>
      <c r="H46" s="15">
        <v>5.6500000000000002E-2</v>
      </c>
    </row>
    <row r="47" spans="1:8" ht="12.95" customHeight="1">
      <c r="A47" s="1"/>
      <c r="B47" s="6" t="s">
        <v>21</v>
      </c>
      <c r="C47" s="7"/>
      <c r="D47" s="7"/>
      <c r="E47" s="7"/>
      <c r="F47" s="16">
        <v>4.05</v>
      </c>
      <c r="G47" s="16">
        <v>0.08</v>
      </c>
      <c r="H47" s="17"/>
    </row>
    <row r="48" spans="1:8" ht="12.95" customHeight="1">
      <c r="A48" s="1"/>
      <c r="B48" s="18" t="s">
        <v>22</v>
      </c>
      <c r="C48" s="19"/>
      <c r="D48" s="19"/>
      <c r="E48" s="20"/>
      <c r="F48" s="21" t="s">
        <v>23</v>
      </c>
      <c r="G48" s="21"/>
      <c r="H48" s="22"/>
    </row>
    <row r="49" spans="1:8" ht="12.95" customHeight="1">
      <c r="A49" s="46"/>
      <c r="B49" s="47" t="s">
        <v>21</v>
      </c>
      <c r="C49" s="48"/>
      <c r="D49" s="48"/>
      <c r="E49" s="49"/>
      <c r="F49" s="49" t="s">
        <v>23</v>
      </c>
      <c r="G49" s="49"/>
      <c r="H49" s="50"/>
    </row>
    <row r="50" spans="1:8" s="40" customFormat="1" ht="12.95" customHeight="1">
      <c r="A50" s="34"/>
      <c r="B50" s="35" t="s">
        <v>960</v>
      </c>
      <c r="C50" s="36"/>
      <c r="D50" s="36"/>
      <c r="E50" s="37"/>
      <c r="F50" s="38" t="s">
        <v>23</v>
      </c>
      <c r="G50" s="38"/>
      <c r="H50" s="39"/>
    </row>
    <row r="51" spans="1:8" ht="12.95" customHeight="1">
      <c r="A51" s="1"/>
      <c r="B51" s="23" t="s">
        <v>21</v>
      </c>
      <c r="C51" s="24"/>
      <c r="D51" s="24"/>
      <c r="E51" s="21"/>
      <c r="F51" s="21" t="s">
        <v>23</v>
      </c>
      <c r="G51" s="21"/>
      <c r="H51" s="22"/>
    </row>
    <row r="52" spans="1:8" ht="12.95" customHeight="1">
      <c r="A52" s="1"/>
      <c r="B52" s="18" t="s">
        <v>24</v>
      </c>
      <c r="C52" s="19"/>
      <c r="D52" s="19"/>
      <c r="E52" s="25"/>
      <c r="F52" s="16">
        <v>4.05</v>
      </c>
      <c r="G52" s="16">
        <v>0.08</v>
      </c>
      <c r="H52" s="22"/>
    </row>
    <row r="53" spans="1:8" ht="12.95" customHeight="1">
      <c r="A53" s="1"/>
      <c r="B53" s="6" t="s">
        <v>25</v>
      </c>
      <c r="C53" s="7"/>
      <c r="D53" s="7"/>
      <c r="E53" s="7"/>
      <c r="F53" s="7"/>
      <c r="G53" s="7"/>
      <c r="H53" s="8"/>
    </row>
    <row r="54" spans="1:8" ht="12.95" customHeight="1">
      <c r="A54" s="1"/>
      <c r="B54" s="44" t="s">
        <v>962</v>
      </c>
      <c r="C54" s="9"/>
      <c r="D54" s="9"/>
      <c r="E54" s="7"/>
      <c r="F54" s="7"/>
      <c r="G54" s="7"/>
      <c r="H54" s="8"/>
    </row>
    <row r="55" spans="1:8" ht="12.95" customHeight="1">
      <c r="A55" s="10" t="s">
        <v>124</v>
      </c>
      <c r="B55" s="45" t="s">
        <v>963</v>
      </c>
      <c r="C55" s="12"/>
      <c r="D55" s="7"/>
      <c r="E55" s="13"/>
      <c r="F55" s="14">
        <v>170.5</v>
      </c>
      <c r="G55" s="14">
        <v>3.59</v>
      </c>
      <c r="H55" s="15">
        <v>3.6005000000000002E-2</v>
      </c>
    </row>
    <row r="56" spans="1:8" ht="12.95" customHeight="1">
      <c r="A56" s="1"/>
      <c r="B56" s="6" t="s">
        <v>21</v>
      </c>
      <c r="C56" s="7"/>
      <c r="D56" s="7"/>
      <c r="E56" s="7"/>
      <c r="F56" s="16">
        <v>170.5</v>
      </c>
      <c r="G56" s="16">
        <v>3.59</v>
      </c>
      <c r="H56" s="17"/>
    </row>
    <row r="57" spans="1:8" ht="12.95" customHeight="1">
      <c r="A57" s="1"/>
      <c r="B57" s="18" t="s">
        <v>24</v>
      </c>
      <c r="C57" s="19"/>
      <c r="D57" s="19"/>
      <c r="E57" s="25"/>
      <c r="F57" s="16">
        <v>170.5</v>
      </c>
      <c r="G57" s="16">
        <v>3.59</v>
      </c>
      <c r="H57" s="22"/>
    </row>
    <row r="58" spans="1:8" ht="12.95" customHeight="1">
      <c r="A58" s="1"/>
      <c r="B58" s="18" t="s">
        <v>127</v>
      </c>
      <c r="C58" s="19"/>
      <c r="D58" s="19"/>
      <c r="E58" s="7"/>
      <c r="F58" s="16">
        <v>68.349999999999994</v>
      </c>
      <c r="G58" s="16">
        <v>1.44</v>
      </c>
      <c r="H58" s="22"/>
    </row>
    <row r="59" spans="1:8" ht="12.95" customHeight="1">
      <c r="A59" s="1"/>
      <c r="B59" s="26" t="s">
        <v>128</v>
      </c>
      <c r="C59" s="27"/>
      <c r="D59" s="27"/>
      <c r="E59" s="27"/>
      <c r="F59" s="28">
        <v>4752.6499999999996</v>
      </c>
      <c r="G59" s="29">
        <v>100</v>
      </c>
      <c r="H59" s="30"/>
    </row>
    <row r="60" spans="1:8" ht="12.95" customHeight="1">
      <c r="A60" s="1"/>
      <c r="B60" s="105"/>
      <c r="C60" s="105"/>
      <c r="D60" s="105"/>
      <c r="E60" s="105"/>
      <c r="F60" s="1"/>
      <c r="G60" s="1"/>
      <c r="H60" s="1"/>
    </row>
    <row r="61" spans="1:8" ht="12.95" customHeight="1">
      <c r="A61" s="46"/>
      <c r="B61" s="101" t="s">
        <v>327</v>
      </c>
      <c r="C61" s="102"/>
      <c r="D61" s="102"/>
      <c r="E61" s="102"/>
      <c r="F61" s="46"/>
      <c r="G61" s="46"/>
      <c r="H61" s="46"/>
    </row>
    <row r="62" spans="1:8" ht="12.95" customHeight="1">
      <c r="A62" s="46"/>
      <c r="B62" s="101" t="s">
        <v>964</v>
      </c>
      <c r="C62" s="102"/>
      <c r="D62" s="102"/>
      <c r="E62" s="102"/>
      <c r="F62" s="46"/>
      <c r="G62" s="46"/>
      <c r="H62" s="46"/>
    </row>
    <row r="63" spans="1:8" ht="12.95" customHeight="1">
      <c r="A63" s="46"/>
      <c r="B63" s="101" t="s">
        <v>129</v>
      </c>
      <c r="C63" s="102"/>
      <c r="D63" s="102"/>
      <c r="E63" s="102"/>
      <c r="F63" s="46"/>
      <c r="G63" s="46"/>
      <c r="H63" s="46"/>
    </row>
  </sheetData>
  <mergeCells count="7">
    <mergeCell ref="B62:E62"/>
    <mergeCell ref="B63:E63"/>
    <mergeCell ref="B1:H1"/>
    <mergeCell ref="B2:H2"/>
    <mergeCell ref="B3:H3"/>
    <mergeCell ref="B60:E60"/>
    <mergeCell ref="B61:E61"/>
  </mergeCells>
  <pageMargins left="0" right="0" top="0" bottom="0" header="0" footer="0"/>
  <pageSetup orientation="portrait" r:id="rId1"/>
  <headerFooter>
    <oddFooter>&amp;C&amp;1#&amp;"Calibri"&amp;10&amp;K000000 For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8"/>
  <sheetViews>
    <sheetView topLeftCell="A29" workbookViewId="0">
      <selection activeCell="F49" sqref="F49"/>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5.25" customHeight="1">
      <c r="A3" s="1"/>
      <c r="B3" s="108" t="s">
        <v>950</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138</v>
      </c>
      <c r="B8" s="11" t="s">
        <v>139</v>
      </c>
      <c r="C8" s="12" t="s">
        <v>140</v>
      </c>
      <c r="D8" s="7" t="s">
        <v>141</v>
      </c>
      <c r="E8" s="13">
        <v>170000</v>
      </c>
      <c r="F8" s="14">
        <v>1241.51</v>
      </c>
      <c r="G8" s="14">
        <v>8.5299999999999994</v>
      </c>
      <c r="H8" s="15"/>
    </row>
    <row r="9" spans="1:8" ht="12.95" customHeight="1">
      <c r="A9" s="10" t="s">
        <v>134</v>
      </c>
      <c r="B9" s="11" t="s">
        <v>135</v>
      </c>
      <c r="C9" s="12" t="s">
        <v>136</v>
      </c>
      <c r="D9" s="7" t="s">
        <v>137</v>
      </c>
      <c r="E9" s="13">
        <v>63700</v>
      </c>
      <c r="F9" s="14">
        <v>1214.6600000000001</v>
      </c>
      <c r="G9" s="14">
        <v>8.35</v>
      </c>
      <c r="H9" s="15"/>
    </row>
    <row r="10" spans="1:8" ht="12.95" customHeight="1">
      <c r="A10" s="10" t="s">
        <v>142</v>
      </c>
      <c r="B10" s="11" t="s">
        <v>143</v>
      </c>
      <c r="C10" s="12" t="s">
        <v>144</v>
      </c>
      <c r="D10" s="7" t="s">
        <v>141</v>
      </c>
      <c r="E10" s="13">
        <v>76000</v>
      </c>
      <c r="F10" s="14">
        <v>1117.47</v>
      </c>
      <c r="G10" s="14">
        <v>7.68</v>
      </c>
      <c r="H10" s="15"/>
    </row>
    <row r="11" spans="1:8" ht="12.95" customHeight="1">
      <c r="A11" s="10" t="s">
        <v>145</v>
      </c>
      <c r="B11" s="11" t="s">
        <v>146</v>
      </c>
      <c r="C11" s="12" t="s">
        <v>147</v>
      </c>
      <c r="D11" s="7" t="s">
        <v>148</v>
      </c>
      <c r="E11" s="13">
        <v>42000</v>
      </c>
      <c r="F11" s="14">
        <v>1106.5999999999999</v>
      </c>
      <c r="G11" s="14">
        <v>7.61</v>
      </c>
      <c r="H11" s="15"/>
    </row>
    <row r="12" spans="1:8" ht="12.95" customHeight="1">
      <c r="A12" s="10" t="s">
        <v>328</v>
      </c>
      <c r="B12" s="11" t="s">
        <v>329</v>
      </c>
      <c r="C12" s="12" t="s">
        <v>330</v>
      </c>
      <c r="D12" s="7" t="s">
        <v>141</v>
      </c>
      <c r="E12" s="13">
        <v>175000</v>
      </c>
      <c r="F12" s="14">
        <v>863.71</v>
      </c>
      <c r="G12" s="14">
        <v>5.94</v>
      </c>
      <c r="H12" s="15"/>
    </row>
    <row r="13" spans="1:8" ht="12.95" customHeight="1">
      <c r="A13" s="10" t="s">
        <v>337</v>
      </c>
      <c r="B13" s="11" t="s">
        <v>338</v>
      </c>
      <c r="C13" s="12" t="s">
        <v>339</v>
      </c>
      <c r="D13" s="7" t="s">
        <v>288</v>
      </c>
      <c r="E13" s="13">
        <v>90000</v>
      </c>
      <c r="F13" s="14">
        <v>679.46</v>
      </c>
      <c r="G13" s="14">
        <v>4.67</v>
      </c>
      <c r="H13" s="15"/>
    </row>
    <row r="14" spans="1:8" ht="12.95" customHeight="1">
      <c r="A14" s="10" t="s">
        <v>343</v>
      </c>
      <c r="B14" s="11" t="s">
        <v>344</v>
      </c>
      <c r="C14" s="12" t="s">
        <v>345</v>
      </c>
      <c r="D14" s="7" t="s">
        <v>159</v>
      </c>
      <c r="E14" s="13">
        <v>225000</v>
      </c>
      <c r="F14" s="14">
        <v>563.96</v>
      </c>
      <c r="G14" s="14">
        <v>3.88</v>
      </c>
      <c r="H14" s="15"/>
    </row>
    <row r="15" spans="1:8" ht="12.95" customHeight="1">
      <c r="A15" s="10" t="s">
        <v>149</v>
      </c>
      <c r="B15" s="11" t="s">
        <v>150</v>
      </c>
      <c r="C15" s="12" t="s">
        <v>151</v>
      </c>
      <c r="D15" s="7" t="s">
        <v>141</v>
      </c>
      <c r="E15" s="13">
        <v>66000</v>
      </c>
      <c r="F15" s="14">
        <v>502.36</v>
      </c>
      <c r="G15" s="14">
        <v>3.45</v>
      </c>
      <c r="H15" s="15"/>
    </row>
    <row r="16" spans="1:8" ht="12.95" customHeight="1">
      <c r="A16" s="10" t="s">
        <v>334</v>
      </c>
      <c r="B16" s="11" t="s">
        <v>335</v>
      </c>
      <c r="C16" s="12" t="s">
        <v>336</v>
      </c>
      <c r="D16" s="7" t="s">
        <v>155</v>
      </c>
      <c r="E16" s="13">
        <v>21000</v>
      </c>
      <c r="F16" s="14">
        <v>501.98</v>
      </c>
      <c r="G16" s="14">
        <v>3.45</v>
      </c>
      <c r="H16" s="15"/>
    </row>
    <row r="17" spans="1:8" ht="12.95" customHeight="1">
      <c r="A17" s="10" t="s">
        <v>175</v>
      </c>
      <c r="B17" s="11" t="s">
        <v>176</v>
      </c>
      <c r="C17" s="12" t="s">
        <v>177</v>
      </c>
      <c r="D17" s="7" t="s">
        <v>137</v>
      </c>
      <c r="E17" s="13">
        <v>80000</v>
      </c>
      <c r="F17" s="14">
        <v>473.52</v>
      </c>
      <c r="G17" s="14">
        <v>3.26</v>
      </c>
      <c r="H17" s="15"/>
    </row>
    <row r="18" spans="1:8" ht="12.95" customHeight="1">
      <c r="A18" s="10" t="s">
        <v>349</v>
      </c>
      <c r="B18" s="11" t="s">
        <v>350</v>
      </c>
      <c r="C18" s="12" t="s">
        <v>351</v>
      </c>
      <c r="D18" s="7" t="s">
        <v>188</v>
      </c>
      <c r="E18" s="13">
        <v>27000</v>
      </c>
      <c r="F18" s="14">
        <v>449.28</v>
      </c>
      <c r="G18" s="14">
        <v>3.09</v>
      </c>
      <c r="H18" s="15"/>
    </row>
    <row r="19" spans="1:8" ht="12.95" customHeight="1">
      <c r="A19" s="10" t="s">
        <v>182</v>
      </c>
      <c r="B19" s="11" t="s">
        <v>183</v>
      </c>
      <c r="C19" s="12" t="s">
        <v>184</v>
      </c>
      <c r="D19" s="7" t="s">
        <v>137</v>
      </c>
      <c r="E19" s="13">
        <v>11860</v>
      </c>
      <c r="F19" s="14">
        <v>443.56</v>
      </c>
      <c r="G19" s="14">
        <v>3.05</v>
      </c>
      <c r="H19" s="15"/>
    </row>
    <row r="20" spans="1:8" ht="12.95" customHeight="1">
      <c r="A20" s="10" t="s">
        <v>160</v>
      </c>
      <c r="B20" s="11" t="s">
        <v>161</v>
      </c>
      <c r="C20" s="12" t="s">
        <v>162</v>
      </c>
      <c r="D20" s="7" t="s">
        <v>163</v>
      </c>
      <c r="E20" s="13">
        <v>24800</v>
      </c>
      <c r="F20" s="14">
        <v>438.38</v>
      </c>
      <c r="G20" s="14">
        <v>3.01</v>
      </c>
      <c r="H20" s="15"/>
    </row>
    <row r="21" spans="1:8" ht="12.95" customHeight="1">
      <c r="A21" s="10" t="s">
        <v>185</v>
      </c>
      <c r="B21" s="11" t="s">
        <v>186</v>
      </c>
      <c r="C21" s="12" t="s">
        <v>187</v>
      </c>
      <c r="D21" s="7" t="s">
        <v>188</v>
      </c>
      <c r="E21" s="13">
        <v>5100</v>
      </c>
      <c r="F21" s="14">
        <v>336.72</v>
      </c>
      <c r="G21" s="14">
        <v>2.31</v>
      </c>
      <c r="H21" s="15"/>
    </row>
    <row r="22" spans="1:8" ht="12.95" customHeight="1">
      <c r="A22" s="10" t="s">
        <v>331</v>
      </c>
      <c r="B22" s="11" t="s">
        <v>332</v>
      </c>
      <c r="C22" s="12" t="s">
        <v>333</v>
      </c>
      <c r="D22" s="7" t="s">
        <v>159</v>
      </c>
      <c r="E22" s="13">
        <v>35000</v>
      </c>
      <c r="F22" s="14">
        <v>310.92</v>
      </c>
      <c r="G22" s="14">
        <v>2.14</v>
      </c>
      <c r="H22" s="15"/>
    </row>
    <row r="23" spans="1:8" ht="12.95" customHeight="1">
      <c r="A23" s="10" t="s">
        <v>171</v>
      </c>
      <c r="B23" s="11" t="s">
        <v>172</v>
      </c>
      <c r="C23" s="12" t="s">
        <v>173</v>
      </c>
      <c r="D23" s="7" t="s">
        <v>174</v>
      </c>
      <c r="E23" s="13">
        <v>4000</v>
      </c>
      <c r="F23" s="14">
        <v>302.45</v>
      </c>
      <c r="G23" s="14">
        <v>2.08</v>
      </c>
      <c r="H23" s="15"/>
    </row>
    <row r="24" spans="1:8" ht="12.95" customHeight="1">
      <c r="A24" s="10" t="s">
        <v>156</v>
      </c>
      <c r="B24" s="11" t="s">
        <v>157</v>
      </c>
      <c r="C24" s="12" t="s">
        <v>158</v>
      </c>
      <c r="D24" s="7" t="s">
        <v>159</v>
      </c>
      <c r="E24" s="13">
        <v>14000</v>
      </c>
      <c r="F24" s="14">
        <v>286.81</v>
      </c>
      <c r="G24" s="14">
        <v>1.97</v>
      </c>
      <c r="H24" s="15"/>
    </row>
    <row r="25" spans="1:8" ht="12.95" customHeight="1">
      <c r="A25" s="10" t="s">
        <v>371</v>
      </c>
      <c r="B25" s="11" t="s">
        <v>372</v>
      </c>
      <c r="C25" s="12" t="s">
        <v>373</v>
      </c>
      <c r="D25" s="7" t="s">
        <v>203</v>
      </c>
      <c r="E25" s="13">
        <v>45000</v>
      </c>
      <c r="F25" s="14">
        <v>239.78</v>
      </c>
      <c r="G25" s="14">
        <v>1.65</v>
      </c>
      <c r="H25" s="15"/>
    </row>
    <row r="26" spans="1:8" ht="12.95" customHeight="1">
      <c r="A26" s="10" t="s">
        <v>381</v>
      </c>
      <c r="B26" s="11" t="s">
        <v>382</v>
      </c>
      <c r="C26" s="12" t="s">
        <v>383</v>
      </c>
      <c r="D26" s="7" t="s">
        <v>230</v>
      </c>
      <c r="E26" s="13">
        <v>30000</v>
      </c>
      <c r="F26" s="14">
        <v>232.26</v>
      </c>
      <c r="G26" s="14">
        <v>1.6</v>
      </c>
      <c r="H26" s="15"/>
    </row>
    <row r="27" spans="1:8" ht="12.95" customHeight="1">
      <c r="A27" s="10" t="s">
        <v>768</v>
      </c>
      <c r="B27" s="11" t="s">
        <v>769</v>
      </c>
      <c r="C27" s="12" t="s">
        <v>770</v>
      </c>
      <c r="D27" s="7" t="s">
        <v>226</v>
      </c>
      <c r="E27" s="13">
        <v>30000</v>
      </c>
      <c r="F27" s="14">
        <v>230.88</v>
      </c>
      <c r="G27" s="14">
        <v>1.59</v>
      </c>
      <c r="H27" s="15"/>
    </row>
    <row r="28" spans="1:8" ht="12.95" customHeight="1">
      <c r="A28" s="10" t="s">
        <v>378</v>
      </c>
      <c r="B28" s="11" t="s">
        <v>379</v>
      </c>
      <c r="C28" s="12" t="s">
        <v>380</v>
      </c>
      <c r="D28" s="7" t="s">
        <v>141</v>
      </c>
      <c r="E28" s="13">
        <v>24500</v>
      </c>
      <c r="F28" s="14">
        <v>229.17</v>
      </c>
      <c r="G28" s="14">
        <v>1.58</v>
      </c>
      <c r="H28" s="15"/>
    </row>
    <row r="29" spans="1:8" ht="12.95" customHeight="1">
      <c r="A29" s="10" t="s">
        <v>295</v>
      </c>
      <c r="B29" s="11" t="s">
        <v>296</v>
      </c>
      <c r="C29" s="12" t="s">
        <v>297</v>
      </c>
      <c r="D29" s="7" t="s">
        <v>288</v>
      </c>
      <c r="E29" s="13">
        <v>100000</v>
      </c>
      <c r="F29" s="14">
        <v>222.05</v>
      </c>
      <c r="G29" s="14">
        <v>1.53</v>
      </c>
      <c r="H29" s="15"/>
    </row>
    <row r="30" spans="1:8" ht="12.95" customHeight="1">
      <c r="A30" s="10" t="s">
        <v>384</v>
      </c>
      <c r="B30" s="11" t="s">
        <v>385</v>
      </c>
      <c r="C30" s="12" t="s">
        <v>386</v>
      </c>
      <c r="D30" s="7" t="s">
        <v>181</v>
      </c>
      <c r="E30" s="13">
        <v>71000</v>
      </c>
      <c r="F30" s="14">
        <v>214.49</v>
      </c>
      <c r="G30" s="14">
        <v>1.47</v>
      </c>
      <c r="H30" s="15"/>
    </row>
    <row r="31" spans="1:8" ht="12.95" customHeight="1">
      <c r="A31" s="10" t="s">
        <v>786</v>
      </c>
      <c r="B31" s="11" t="s">
        <v>369</v>
      </c>
      <c r="C31" s="12" t="s">
        <v>787</v>
      </c>
      <c r="D31" s="7" t="s">
        <v>174</v>
      </c>
      <c r="E31" s="13">
        <v>48150</v>
      </c>
      <c r="F31" s="14">
        <v>208.85</v>
      </c>
      <c r="G31" s="14">
        <v>1.44</v>
      </c>
      <c r="H31" s="15"/>
    </row>
    <row r="32" spans="1:8" ht="12.95" customHeight="1">
      <c r="A32" s="10" t="s">
        <v>193</v>
      </c>
      <c r="B32" s="11" t="s">
        <v>194</v>
      </c>
      <c r="C32" s="12" t="s">
        <v>195</v>
      </c>
      <c r="D32" s="7" t="s">
        <v>196</v>
      </c>
      <c r="E32" s="13">
        <v>35000</v>
      </c>
      <c r="F32" s="14">
        <v>199.33</v>
      </c>
      <c r="G32" s="14">
        <v>1.37</v>
      </c>
      <c r="H32" s="15"/>
    </row>
    <row r="33" spans="1:8" ht="12.95" customHeight="1">
      <c r="A33" s="10" t="s">
        <v>208</v>
      </c>
      <c r="B33" s="11" t="s">
        <v>209</v>
      </c>
      <c r="C33" s="12" t="s">
        <v>210</v>
      </c>
      <c r="D33" s="7" t="s">
        <v>211</v>
      </c>
      <c r="E33" s="13">
        <v>145000</v>
      </c>
      <c r="F33" s="14">
        <v>195.75</v>
      </c>
      <c r="G33" s="14">
        <v>1.35</v>
      </c>
      <c r="H33" s="15"/>
    </row>
    <row r="34" spans="1:8" ht="12.95" customHeight="1">
      <c r="A34" s="10" t="s">
        <v>655</v>
      </c>
      <c r="B34" s="11" t="s">
        <v>656</v>
      </c>
      <c r="C34" s="12" t="s">
        <v>657</v>
      </c>
      <c r="D34" s="7" t="s">
        <v>170</v>
      </c>
      <c r="E34" s="13">
        <v>25000</v>
      </c>
      <c r="F34" s="14">
        <v>188.48</v>
      </c>
      <c r="G34" s="14">
        <v>1.3</v>
      </c>
      <c r="H34" s="15"/>
    </row>
    <row r="35" spans="1:8" ht="12.95" customHeight="1">
      <c r="A35" s="10" t="s">
        <v>756</v>
      </c>
      <c r="B35" s="11" t="s">
        <v>757</v>
      </c>
      <c r="C35" s="12" t="s">
        <v>758</v>
      </c>
      <c r="D35" s="7" t="s">
        <v>594</v>
      </c>
      <c r="E35" s="13">
        <v>100000</v>
      </c>
      <c r="F35" s="14">
        <v>183.05</v>
      </c>
      <c r="G35" s="14">
        <v>1.26</v>
      </c>
      <c r="H35" s="15"/>
    </row>
    <row r="36" spans="1:8" ht="12.95" customHeight="1">
      <c r="A36" s="10" t="s">
        <v>164</v>
      </c>
      <c r="B36" s="11" t="s">
        <v>165</v>
      </c>
      <c r="C36" s="12" t="s">
        <v>166</v>
      </c>
      <c r="D36" s="7" t="s">
        <v>141</v>
      </c>
      <c r="E36" s="13">
        <v>10000</v>
      </c>
      <c r="F36" s="14">
        <v>175.39</v>
      </c>
      <c r="G36" s="14">
        <v>1.21</v>
      </c>
      <c r="H36" s="15"/>
    </row>
    <row r="37" spans="1:8" ht="12.95" customHeight="1">
      <c r="A37" s="10" t="s">
        <v>667</v>
      </c>
      <c r="B37" s="11" t="s">
        <v>668</v>
      </c>
      <c r="C37" s="12" t="s">
        <v>669</v>
      </c>
      <c r="D37" s="7" t="s">
        <v>594</v>
      </c>
      <c r="E37" s="13">
        <v>100000</v>
      </c>
      <c r="F37" s="14">
        <v>162.55000000000001</v>
      </c>
      <c r="G37" s="14">
        <v>1.1200000000000001</v>
      </c>
      <c r="H37" s="15"/>
    </row>
    <row r="38" spans="1:8" ht="12.95" customHeight="1">
      <c r="A38" s="10" t="s">
        <v>282</v>
      </c>
      <c r="B38" s="11" t="s">
        <v>283</v>
      </c>
      <c r="C38" s="12" t="s">
        <v>284</v>
      </c>
      <c r="D38" s="7" t="s">
        <v>218</v>
      </c>
      <c r="E38" s="13">
        <v>1000</v>
      </c>
      <c r="F38" s="14">
        <v>144.38999999999999</v>
      </c>
      <c r="G38" s="14">
        <v>0.99</v>
      </c>
      <c r="H38" s="15"/>
    </row>
    <row r="39" spans="1:8" ht="12.95" customHeight="1">
      <c r="A39" s="10" t="s">
        <v>788</v>
      </c>
      <c r="B39" s="11" t="s">
        <v>789</v>
      </c>
      <c r="C39" s="12" t="s">
        <v>790</v>
      </c>
      <c r="D39" s="7" t="s">
        <v>192</v>
      </c>
      <c r="E39" s="13">
        <v>15000</v>
      </c>
      <c r="F39" s="14">
        <v>137.21</v>
      </c>
      <c r="G39" s="14">
        <v>0.94</v>
      </c>
      <c r="H39" s="15"/>
    </row>
    <row r="40" spans="1:8" ht="12.95" customHeight="1">
      <c r="A40" s="10" t="s">
        <v>259</v>
      </c>
      <c r="B40" s="11" t="s">
        <v>260</v>
      </c>
      <c r="C40" s="12" t="s">
        <v>261</v>
      </c>
      <c r="D40" s="7" t="s">
        <v>262</v>
      </c>
      <c r="E40" s="13">
        <v>63000</v>
      </c>
      <c r="F40" s="14">
        <v>132.80000000000001</v>
      </c>
      <c r="G40" s="14">
        <v>0.91</v>
      </c>
      <c r="H40" s="15"/>
    </row>
    <row r="41" spans="1:8" ht="12.95" customHeight="1">
      <c r="A41" s="10" t="s">
        <v>649</v>
      </c>
      <c r="B41" s="11" t="s">
        <v>650</v>
      </c>
      <c r="C41" s="12" t="s">
        <v>651</v>
      </c>
      <c r="D41" s="7" t="s">
        <v>272</v>
      </c>
      <c r="E41" s="13">
        <v>1290</v>
      </c>
      <c r="F41" s="14">
        <v>124.07</v>
      </c>
      <c r="G41" s="14">
        <v>0.85</v>
      </c>
      <c r="H41" s="15"/>
    </row>
    <row r="42" spans="1:8" ht="12.95" customHeight="1">
      <c r="A42" s="1"/>
      <c r="B42" s="6" t="s">
        <v>21</v>
      </c>
      <c r="C42" s="7"/>
      <c r="D42" s="7"/>
      <c r="E42" s="7"/>
      <c r="F42" s="16">
        <v>14053.85</v>
      </c>
      <c r="G42" s="16">
        <v>96.63</v>
      </c>
      <c r="H42" s="17"/>
    </row>
    <row r="43" spans="1:8" ht="12.95" customHeight="1">
      <c r="A43" s="1"/>
      <c r="B43" s="18" t="s">
        <v>326</v>
      </c>
      <c r="C43" s="19"/>
      <c r="D43" s="19"/>
      <c r="E43" s="20"/>
      <c r="F43" s="21" t="s">
        <v>23</v>
      </c>
      <c r="G43" s="21"/>
      <c r="H43" s="22"/>
    </row>
    <row r="44" spans="1:8" ht="12.95" customHeight="1">
      <c r="A44" s="1"/>
      <c r="B44" s="23" t="s">
        <v>21</v>
      </c>
      <c r="C44" s="24"/>
      <c r="D44" s="24"/>
      <c r="E44" s="21"/>
      <c r="F44" s="21" t="s">
        <v>23</v>
      </c>
      <c r="G44" s="21"/>
      <c r="H44" s="22"/>
    </row>
    <row r="45" spans="1:8" ht="12.95" customHeight="1">
      <c r="A45" s="1"/>
      <c r="B45" s="18" t="s">
        <v>24</v>
      </c>
      <c r="C45" s="19"/>
      <c r="D45" s="19"/>
      <c r="E45" s="25"/>
      <c r="F45" s="16">
        <v>14053.85</v>
      </c>
      <c r="G45" s="16">
        <v>96.63</v>
      </c>
      <c r="H45" s="22"/>
    </row>
    <row r="46" spans="1:8" ht="12.95" customHeight="1">
      <c r="A46" s="1"/>
      <c r="B46" s="6" t="s">
        <v>25</v>
      </c>
      <c r="C46" s="7"/>
      <c r="D46" s="7"/>
      <c r="E46" s="7"/>
      <c r="F46" s="7"/>
      <c r="G46" s="7"/>
      <c r="H46" s="8"/>
    </row>
    <row r="47" spans="1:8" ht="12.95" customHeight="1">
      <c r="A47" s="1"/>
      <c r="B47" s="6" t="s">
        <v>962</v>
      </c>
      <c r="C47" s="9"/>
      <c r="D47" s="9"/>
      <c r="E47" s="7"/>
      <c r="F47" s="7"/>
      <c r="G47" s="7"/>
      <c r="H47" s="8"/>
    </row>
    <row r="48" spans="1:8" ht="12.95" customHeight="1">
      <c r="A48" s="10" t="s">
        <v>124</v>
      </c>
      <c r="B48" s="11" t="s">
        <v>963</v>
      </c>
      <c r="C48" s="12"/>
      <c r="D48" s="7"/>
      <c r="E48" s="13"/>
      <c r="F48" s="14">
        <v>504.15</v>
      </c>
      <c r="G48" s="14">
        <v>3.47</v>
      </c>
      <c r="H48" s="15">
        <v>3.6005000000000002E-2</v>
      </c>
    </row>
    <row r="49" spans="1:8" ht="12.95" customHeight="1">
      <c r="A49" s="1"/>
      <c r="B49" s="6" t="s">
        <v>21</v>
      </c>
      <c r="C49" s="7"/>
      <c r="D49" s="7"/>
      <c r="E49" s="7"/>
      <c r="F49" s="16">
        <v>504.15</v>
      </c>
      <c r="G49" s="16">
        <v>3.47</v>
      </c>
      <c r="H49" s="17"/>
    </row>
    <row r="50" spans="1:8" ht="12.95" customHeight="1">
      <c r="A50" s="1"/>
      <c r="B50" s="18" t="s">
        <v>24</v>
      </c>
      <c r="C50" s="19"/>
      <c r="D50" s="19"/>
      <c r="E50" s="25"/>
      <c r="F50" s="16">
        <v>504.15</v>
      </c>
      <c r="G50" s="16">
        <v>3.47</v>
      </c>
      <c r="H50" s="22"/>
    </row>
    <row r="51" spans="1:8" ht="12.95" customHeight="1">
      <c r="A51" s="1"/>
      <c r="B51" s="18" t="s">
        <v>127</v>
      </c>
      <c r="C51" s="19"/>
      <c r="D51" s="19"/>
      <c r="E51" s="7"/>
      <c r="F51" s="16">
        <v>-11.6</v>
      </c>
      <c r="G51" s="16">
        <v>-0.1</v>
      </c>
      <c r="H51" s="22"/>
    </row>
    <row r="52" spans="1:8" ht="12.95" customHeight="1">
      <c r="A52" s="1"/>
      <c r="B52" s="26" t="s">
        <v>128</v>
      </c>
      <c r="C52" s="27"/>
      <c r="D52" s="27"/>
      <c r="E52" s="27"/>
      <c r="F52" s="28">
        <v>14546.4</v>
      </c>
      <c r="G52" s="29">
        <v>100</v>
      </c>
      <c r="H52" s="30"/>
    </row>
    <row r="53" spans="1:8" ht="12.95" customHeight="1">
      <c r="A53" s="1"/>
      <c r="B53" s="105"/>
      <c r="C53" s="105"/>
      <c r="D53" s="105"/>
      <c r="E53" s="105"/>
      <c r="F53" s="1"/>
      <c r="G53" s="1"/>
      <c r="H53" s="1"/>
    </row>
    <row r="54" spans="1:8" ht="12.95" customHeight="1">
      <c r="A54" s="1"/>
      <c r="B54" s="105"/>
      <c r="C54" s="105"/>
      <c r="D54" s="105"/>
      <c r="E54" s="105"/>
      <c r="F54" s="1"/>
      <c r="G54" s="1"/>
      <c r="H54" s="1"/>
    </row>
    <row r="55" spans="1:8" ht="12.95" customHeight="1">
      <c r="A55" s="1"/>
      <c r="B55" s="105"/>
      <c r="C55" s="105"/>
      <c r="D55" s="105"/>
      <c r="E55" s="105"/>
      <c r="F55" s="1"/>
      <c r="G55" s="1"/>
      <c r="H55" s="1"/>
    </row>
    <row r="56" spans="1:8" ht="12.95" customHeight="1">
      <c r="A56" s="1"/>
      <c r="B56" s="106"/>
      <c r="C56" s="106"/>
      <c r="D56" s="106"/>
      <c r="E56" s="106"/>
      <c r="F56" s="1"/>
      <c r="G56" s="1"/>
      <c r="H56" s="1"/>
    </row>
    <row r="57" spans="1:8" ht="12.95" customHeight="1">
      <c r="A57" s="1"/>
      <c r="B57" s="105" t="s">
        <v>327</v>
      </c>
      <c r="C57" s="105"/>
      <c r="D57" s="105"/>
      <c r="E57" s="105"/>
      <c r="F57" s="1"/>
      <c r="G57" s="1"/>
      <c r="H57" s="1"/>
    </row>
    <row r="58" spans="1:8" ht="12.95" customHeight="1">
      <c r="A58" s="1"/>
      <c r="B58" s="107"/>
      <c r="C58" s="107"/>
      <c r="D58" s="107"/>
      <c r="E58" s="107"/>
      <c r="F58" s="1"/>
      <c r="G58" s="1"/>
      <c r="H58" s="1"/>
    </row>
  </sheetData>
  <mergeCells count="9">
    <mergeCell ref="B55:E55"/>
    <mergeCell ref="B56:E56"/>
    <mergeCell ref="B57:E57"/>
    <mergeCell ref="B58:E58"/>
    <mergeCell ref="B1:H1"/>
    <mergeCell ref="B2:H2"/>
    <mergeCell ref="B3:H3"/>
    <mergeCell ref="B53:E53"/>
    <mergeCell ref="B54:E54"/>
  </mergeCells>
  <pageMargins left="0" right="0" top="0" bottom="0" header="0" footer="0"/>
  <pageSetup orientation="portrait" r:id="rId1"/>
  <headerFooter>
    <oddFooter>&amp;C&amp;1#&amp;"Calibri"&amp;10&amp;K000000 For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8"/>
  <sheetViews>
    <sheetView topLeftCell="A55" workbookViewId="0">
      <selection activeCell="F59" sqref="F59"/>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0.75" customHeight="1">
      <c r="A3" s="1"/>
      <c r="B3" s="108" t="s">
        <v>951</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138</v>
      </c>
      <c r="B8" s="11" t="s">
        <v>139</v>
      </c>
      <c r="C8" s="12" t="s">
        <v>140</v>
      </c>
      <c r="D8" s="7" t="s">
        <v>141</v>
      </c>
      <c r="E8" s="13">
        <v>400321</v>
      </c>
      <c r="F8" s="14">
        <v>2923.54</v>
      </c>
      <c r="G8" s="14">
        <v>6.9</v>
      </c>
      <c r="H8" s="15"/>
    </row>
    <row r="9" spans="1:8" ht="12.95" customHeight="1">
      <c r="A9" s="10" t="s">
        <v>134</v>
      </c>
      <c r="B9" s="11" t="s">
        <v>135</v>
      </c>
      <c r="C9" s="12" t="s">
        <v>136</v>
      </c>
      <c r="D9" s="7" t="s">
        <v>137</v>
      </c>
      <c r="E9" s="13">
        <v>107240</v>
      </c>
      <c r="F9" s="14">
        <v>2044.91</v>
      </c>
      <c r="G9" s="14">
        <v>4.83</v>
      </c>
      <c r="H9" s="15"/>
    </row>
    <row r="10" spans="1:8" ht="12.95" customHeight="1">
      <c r="A10" s="10" t="s">
        <v>145</v>
      </c>
      <c r="B10" s="11" t="s">
        <v>146</v>
      </c>
      <c r="C10" s="12" t="s">
        <v>147</v>
      </c>
      <c r="D10" s="7" t="s">
        <v>148</v>
      </c>
      <c r="E10" s="13">
        <v>73320</v>
      </c>
      <c r="F10" s="14">
        <v>1931.8</v>
      </c>
      <c r="G10" s="14">
        <v>4.5599999999999996</v>
      </c>
      <c r="H10" s="15"/>
    </row>
    <row r="11" spans="1:8" ht="12.95" customHeight="1">
      <c r="A11" s="10" t="s">
        <v>182</v>
      </c>
      <c r="B11" s="11" t="s">
        <v>183</v>
      </c>
      <c r="C11" s="12" t="s">
        <v>184</v>
      </c>
      <c r="D11" s="7" t="s">
        <v>137</v>
      </c>
      <c r="E11" s="13">
        <v>46361</v>
      </c>
      <c r="F11" s="14">
        <v>1733.88</v>
      </c>
      <c r="G11" s="14">
        <v>4.09</v>
      </c>
      <c r="H11" s="15"/>
    </row>
    <row r="12" spans="1:8" ht="12.95" customHeight="1">
      <c r="A12" s="10" t="s">
        <v>149</v>
      </c>
      <c r="B12" s="11" t="s">
        <v>150</v>
      </c>
      <c r="C12" s="12" t="s">
        <v>151</v>
      </c>
      <c r="D12" s="7" t="s">
        <v>141</v>
      </c>
      <c r="E12" s="13">
        <v>177800</v>
      </c>
      <c r="F12" s="14">
        <v>1353.32</v>
      </c>
      <c r="G12" s="14">
        <v>3.2</v>
      </c>
      <c r="H12" s="15"/>
    </row>
    <row r="13" spans="1:8" ht="12.95" customHeight="1">
      <c r="A13" s="10" t="s">
        <v>164</v>
      </c>
      <c r="B13" s="11" t="s">
        <v>165</v>
      </c>
      <c r="C13" s="12" t="s">
        <v>166</v>
      </c>
      <c r="D13" s="7" t="s">
        <v>141</v>
      </c>
      <c r="E13" s="13">
        <v>76338</v>
      </c>
      <c r="F13" s="14">
        <v>1338.85</v>
      </c>
      <c r="G13" s="14">
        <v>3.16</v>
      </c>
      <c r="H13" s="15"/>
    </row>
    <row r="14" spans="1:8" ht="12.95" customHeight="1">
      <c r="A14" s="10" t="s">
        <v>328</v>
      </c>
      <c r="B14" s="11" t="s">
        <v>329</v>
      </c>
      <c r="C14" s="12" t="s">
        <v>330</v>
      </c>
      <c r="D14" s="7" t="s">
        <v>141</v>
      </c>
      <c r="E14" s="13">
        <v>233967</v>
      </c>
      <c r="F14" s="14">
        <v>1154.74</v>
      </c>
      <c r="G14" s="14">
        <v>2.73</v>
      </c>
      <c r="H14" s="15"/>
    </row>
    <row r="15" spans="1:8" ht="12.95" customHeight="1">
      <c r="A15" s="10" t="s">
        <v>160</v>
      </c>
      <c r="B15" s="11" t="s">
        <v>161</v>
      </c>
      <c r="C15" s="12" t="s">
        <v>162</v>
      </c>
      <c r="D15" s="7" t="s">
        <v>163</v>
      </c>
      <c r="E15" s="13">
        <v>63247</v>
      </c>
      <c r="F15" s="14">
        <v>1117.99</v>
      </c>
      <c r="G15" s="14">
        <v>2.64</v>
      </c>
      <c r="H15" s="15"/>
    </row>
    <row r="16" spans="1:8" ht="12.95" customHeight="1">
      <c r="A16" s="10" t="s">
        <v>398</v>
      </c>
      <c r="B16" s="11" t="s">
        <v>399</v>
      </c>
      <c r="C16" s="12" t="s">
        <v>400</v>
      </c>
      <c r="D16" s="7" t="s">
        <v>137</v>
      </c>
      <c r="E16" s="13">
        <v>17300</v>
      </c>
      <c r="F16" s="14">
        <v>1064.8800000000001</v>
      </c>
      <c r="G16" s="14">
        <v>2.5099999999999998</v>
      </c>
      <c r="H16" s="15"/>
    </row>
    <row r="17" spans="1:8" ht="12.95" customHeight="1">
      <c r="A17" s="10" t="s">
        <v>334</v>
      </c>
      <c r="B17" s="11" t="s">
        <v>335</v>
      </c>
      <c r="C17" s="12" t="s">
        <v>336</v>
      </c>
      <c r="D17" s="7" t="s">
        <v>155</v>
      </c>
      <c r="E17" s="13">
        <v>42200</v>
      </c>
      <c r="F17" s="14">
        <v>1008.75</v>
      </c>
      <c r="G17" s="14">
        <v>2.38</v>
      </c>
      <c r="H17" s="15"/>
    </row>
    <row r="18" spans="1:8" ht="12.95" customHeight="1">
      <c r="A18" s="10" t="s">
        <v>337</v>
      </c>
      <c r="B18" s="11" t="s">
        <v>338</v>
      </c>
      <c r="C18" s="12" t="s">
        <v>339</v>
      </c>
      <c r="D18" s="7" t="s">
        <v>288</v>
      </c>
      <c r="E18" s="13">
        <v>133000</v>
      </c>
      <c r="F18" s="14">
        <v>1004.08</v>
      </c>
      <c r="G18" s="14">
        <v>2.37</v>
      </c>
      <c r="H18" s="15"/>
    </row>
    <row r="19" spans="1:8" ht="12.95" customHeight="1">
      <c r="A19" s="10" t="s">
        <v>343</v>
      </c>
      <c r="B19" s="11" t="s">
        <v>344</v>
      </c>
      <c r="C19" s="12" t="s">
        <v>345</v>
      </c>
      <c r="D19" s="7" t="s">
        <v>159</v>
      </c>
      <c r="E19" s="13">
        <v>350000</v>
      </c>
      <c r="F19" s="14">
        <v>877.28</v>
      </c>
      <c r="G19" s="14">
        <v>2.0699999999999998</v>
      </c>
      <c r="H19" s="15"/>
    </row>
    <row r="20" spans="1:8" ht="12.95" customHeight="1">
      <c r="A20" s="10" t="s">
        <v>349</v>
      </c>
      <c r="B20" s="11" t="s">
        <v>350</v>
      </c>
      <c r="C20" s="12" t="s">
        <v>351</v>
      </c>
      <c r="D20" s="7" t="s">
        <v>188</v>
      </c>
      <c r="E20" s="13">
        <v>40000</v>
      </c>
      <c r="F20" s="14">
        <v>665.6</v>
      </c>
      <c r="G20" s="14">
        <v>1.57</v>
      </c>
      <c r="H20" s="15"/>
    </row>
    <row r="21" spans="1:8" ht="12.95" customHeight="1">
      <c r="A21" s="10" t="s">
        <v>167</v>
      </c>
      <c r="B21" s="11" t="s">
        <v>168</v>
      </c>
      <c r="C21" s="12" t="s">
        <v>169</v>
      </c>
      <c r="D21" s="7" t="s">
        <v>170</v>
      </c>
      <c r="E21" s="13">
        <v>56156</v>
      </c>
      <c r="F21" s="14">
        <v>629.76</v>
      </c>
      <c r="G21" s="14">
        <v>1.49</v>
      </c>
      <c r="H21" s="15"/>
    </row>
    <row r="22" spans="1:8" ht="12.95" customHeight="1">
      <c r="A22" s="10" t="s">
        <v>788</v>
      </c>
      <c r="B22" s="11" t="s">
        <v>789</v>
      </c>
      <c r="C22" s="12" t="s">
        <v>790</v>
      </c>
      <c r="D22" s="7" t="s">
        <v>192</v>
      </c>
      <c r="E22" s="13">
        <v>60100</v>
      </c>
      <c r="F22" s="14">
        <v>549.76</v>
      </c>
      <c r="G22" s="14">
        <v>1.3</v>
      </c>
      <c r="H22" s="15"/>
    </row>
    <row r="23" spans="1:8" ht="12.95" customHeight="1">
      <c r="A23" s="10" t="s">
        <v>384</v>
      </c>
      <c r="B23" s="11" t="s">
        <v>385</v>
      </c>
      <c r="C23" s="12" t="s">
        <v>386</v>
      </c>
      <c r="D23" s="7" t="s">
        <v>181</v>
      </c>
      <c r="E23" s="13">
        <v>174500</v>
      </c>
      <c r="F23" s="14">
        <v>527.16</v>
      </c>
      <c r="G23" s="14">
        <v>1.24</v>
      </c>
      <c r="H23" s="15"/>
    </row>
    <row r="24" spans="1:8" ht="12.95" customHeight="1">
      <c r="A24" s="10" t="s">
        <v>390</v>
      </c>
      <c r="B24" s="11" t="s">
        <v>391</v>
      </c>
      <c r="C24" s="12" t="s">
        <v>392</v>
      </c>
      <c r="D24" s="7" t="s">
        <v>393</v>
      </c>
      <c r="E24" s="13">
        <v>320000</v>
      </c>
      <c r="F24" s="14">
        <v>524.48</v>
      </c>
      <c r="G24" s="14">
        <v>1.24</v>
      </c>
      <c r="H24" s="15"/>
    </row>
    <row r="25" spans="1:8" ht="12.95" customHeight="1">
      <c r="A25" s="10" t="s">
        <v>791</v>
      </c>
      <c r="B25" s="11" t="s">
        <v>792</v>
      </c>
      <c r="C25" s="12" t="s">
        <v>793</v>
      </c>
      <c r="D25" s="7" t="s">
        <v>155</v>
      </c>
      <c r="E25" s="13">
        <v>23000</v>
      </c>
      <c r="F25" s="14">
        <v>502.99</v>
      </c>
      <c r="G25" s="14">
        <v>1.19</v>
      </c>
      <c r="H25" s="15"/>
    </row>
    <row r="26" spans="1:8" ht="12.95" customHeight="1">
      <c r="A26" s="10" t="s">
        <v>263</v>
      </c>
      <c r="B26" s="11" t="s">
        <v>264</v>
      </c>
      <c r="C26" s="12" t="s">
        <v>265</v>
      </c>
      <c r="D26" s="7" t="s">
        <v>188</v>
      </c>
      <c r="E26" s="13">
        <v>167500</v>
      </c>
      <c r="F26" s="14">
        <v>501.24</v>
      </c>
      <c r="G26" s="14">
        <v>1.18</v>
      </c>
      <c r="H26" s="15"/>
    </row>
    <row r="27" spans="1:8" ht="12.95" customHeight="1">
      <c r="A27" s="10" t="s">
        <v>215</v>
      </c>
      <c r="B27" s="11" t="s">
        <v>216</v>
      </c>
      <c r="C27" s="12" t="s">
        <v>217</v>
      </c>
      <c r="D27" s="7" t="s">
        <v>218</v>
      </c>
      <c r="E27" s="13">
        <v>53081</v>
      </c>
      <c r="F27" s="14">
        <v>494.87</v>
      </c>
      <c r="G27" s="14">
        <v>1.17</v>
      </c>
      <c r="H27" s="15"/>
    </row>
    <row r="28" spans="1:8" ht="12.95" customHeight="1">
      <c r="A28" s="10" t="s">
        <v>142</v>
      </c>
      <c r="B28" s="11" t="s">
        <v>143</v>
      </c>
      <c r="C28" s="12" t="s">
        <v>144</v>
      </c>
      <c r="D28" s="7" t="s">
        <v>141</v>
      </c>
      <c r="E28" s="13">
        <v>33240</v>
      </c>
      <c r="F28" s="14">
        <v>488.74</v>
      </c>
      <c r="G28" s="14">
        <v>1.1499999999999999</v>
      </c>
      <c r="H28" s="15"/>
    </row>
    <row r="29" spans="1:8" ht="12.95" customHeight="1">
      <c r="A29" s="10" t="s">
        <v>189</v>
      </c>
      <c r="B29" s="11" t="s">
        <v>190</v>
      </c>
      <c r="C29" s="12" t="s">
        <v>191</v>
      </c>
      <c r="D29" s="7" t="s">
        <v>192</v>
      </c>
      <c r="E29" s="13">
        <v>11046</v>
      </c>
      <c r="F29" s="14">
        <v>486.25</v>
      </c>
      <c r="G29" s="14">
        <v>1.1499999999999999</v>
      </c>
      <c r="H29" s="15"/>
    </row>
    <row r="30" spans="1:8" ht="12.95" customHeight="1">
      <c r="A30" s="10" t="s">
        <v>667</v>
      </c>
      <c r="B30" s="11" t="s">
        <v>668</v>
      </c>
      <c r="C30" s="12" t="s">
        <v>669</v>
      </c>
      <c r="D30" s="7" t="s">
        <v>594</v>
      </c>
      <c r="E30" s="13">
        <v>270000</v>
      </c>
      <c r="F30" s="14">
        <v>438.89</v>
      </c>
      <c r="G30" s="14">
        <v>1.04</v>
      </c>
      <c r="H30" s="15"/>
    </row>
    <row r="31" spans="1:8" ht="12.95" customHeight="1">
      <c r="A31" s="10" t="s">
        <v>673</v>
      </c>
      <c r="B31" s="11" t="s">
        <v>674</v>
      </c>
      <c r="C31" s="12" t="s">
        <v>675</v>
      </c>
      <c r="D31" s="7" t="s">
        <v>234</v>
      </c>
      <c r="E31" s="13">
        <v>46000</v>
      </c>
      <c r="F31" s="14">
        <v>432.33</v>
      </c>
      <c r="G31" s="14">
        <v>1.02</v>
      </c>
      <c r="H31" s="15"/>
    </row>
    <row r="32" spans="1:8" ht="12.95" customHeight="1">
      <c r="A32" s="10" t="s">
        <v>331</v>
      </c>
      <c r="B32" s="11" t="s">
        <v>332</v>
      </c>
      <c r="C32" s="12" t="s">
        <v>333</v>
      </c>
      <c r="D32" s="7" t="s">
        <v>159</v>
      </c>
      <c r="E32" s="13">
        <v>48000</v>
      </c>
      <c r="F32" s="14">
        <v>426.41</v>
      </c>
      <c r="G32" s="14">
        <v>1.01</v>
      </c>
      <c r="H32" s="15"/>
    </row>
    <row r="33" spans="1:8" ht="12.95" customHeight="1">
      <c r="A33" s="10" t="s">
        <v>200</v>
      </c>
      <c r="B33" s="11" t="s">
        <v>201</v>
      </c>
      <c r="C33" s="12" t="s">
        <v>202</v>
      </c>
      <c r="D33" s="7" t="s">
        <v>203</v>
      </c>
      <c r="E33" s="13">
        <v>210000</v>
      </c>
      <c r="F33" s="14">
        <v>425.36</v>
      </c>
      <c r="G33" s="14">
        <v>1</v>
      </c>
      <c r="H33" s="15"/>
    </row>
    <row r="34" spans="1:8" ht="12.95" customHeight="1">
      <c r="A34" s="10" t="s">
        <v>685</v>
      </c>
      <c r="B34" s="11" t="s">
        <v>686</v>
      </c>
      <c r="C34" s="12" t="s">
        <v>687</v>
      </c>
      <c r="D34" s="7" t="s">
        <v>192</v>
      </c>
      <c r="E34" s="13">
        <v>2400</v>
      </c>
      <c r="F34" s="14">
        <v>424.87</v>
      </c>
      <c r="G34" s="14">
        <v>1</v>
      </c>
      <c r="H34" s="15"/>
    </row>
    <row r="35" spans="1:8" ht="12.95" customHeight="1">
      <c r="A35" s="10" t="s">
        <v>374</v>
      </c>
      <c r="B35" s="11" t="s">
        <v>375</v>
      </c>
      <c r="C35" s="12" t="s">
        <v>376</v>
      </c>
      <c r="D35" s="7" t="s">
        <v>377</v>
      </c>
      <c r="E35" s="13">
        <v>145626</v>
      </c>
      <c r="F35" s="14">
        <v>422.9</v>
      </c>
      <c r="G35" s="14">
        <v>1</v>
      </c>
      <c r="H35" s="15"/>
    </row>
    <row r="36" spans="1:8" ht="12.95" customHeight="1">
      <c r="A36" s="10" t="s">
        <v>223</v>
      </c>
      <c r="B36" s="11" t="s">
        <v>224</v>
      </c>
      <c r="C36" s="12" t="s">
        <v>225</v>
      </c>
      <c r="D36" s="7" t="s">
        <v>226</v>
      </c>
      <c r="E36" s="13">
        <v>14125</v>
      </c>
      <c r="F36" s="14">
        <v>398.28</v>
      </c>
      <c r="G36" s="14">
        <v>0.94</v>
      </c>
      <c r="H36" s="15"/>
    </row>
    <row r="37" spans="1:8" ht="12.95" customHeight="1">
      <c r="A37" s="10" t="s">
        <v>697</v>
      </c>
      <c r="B37" s="11" t="s">
        <v>698</v>
      </c>
      <c r="C37" s="12" t="s">
        <v>699</v>
      </c>
      <c r="D37" s="7" t="s">
        <v>196</v>
      </c>
      <c r="E37" s="13">
        <v>322500</v>
      </c>
      <c r="F37" s="14">
        <v>392.81</v>
      </c>
      <c r="G37" s="14">
        <v>0.93</v>
      </c>
      <c r="H37" s="15"/>
    </row>
    <row r="38" spans="1:8" ht="12.95" customHeight="1">
      <c r="A38" s="10" t="s">
        <v>649</v>
      </c>
      <c r="B38" s="11" t="s">
        <v>650</v>
      </c>
      <c r="C38" s="12" t="s">
        <v>651</v>
      </c>
      <c r="D38" s="7" t="s">
        <v>272</v>
      </c>
      <c r="E38" s="13">
        <v>4050</v>
      </c>
      <c r="F38" s="14">
        <v>389.54</v>
      </c>
      <c r="G38" s="14">
        <v>0.92</v>
      </c>
      <c r="H38" s="15"/>
    </row>
    <row r="39" spans="1:8" ht="12.95" customHeight="1">
      <c r="A39" s="10" t="s">
        <v>204</v>
      </c>
      <c r="B39" s="11" t="s">
        <v>205</v>
      </c>
      <c r="C39" s="12" t="s">
        <v>206</v>
      </c>
      <c r="D39" s="7" t="s">
        <v>207</v>
      </c>
      <c r="E39" s="13">
        <v>19047</v>
      </c>
      <c r="F39" s="14">
        <v>385.31</v>
      </c>
      <c r="G39" s="14">
        <v>0.91</v>
      </c>
      <c r="H39" s="15"/>
    </row>
    <row r="40" spans="1:8" ht="12.95" customHeight="1">
      <c r="A40" s="10" t="s">
        <v>301</v>
      </c>
      <c r="B40" s="11" t="s">
        <v>302</v>
      </c>
      <c r="C40" s="12" t="s">
        <v>303</v>
      </c>
      <c r="D40" s="7" t="s">
        <v>141</v>
      </c>
      <c r="E40" s="13">
        <v>341000</v>
      </c>
      <c r="F40" s="14">
        <v>380.56</v>
      </c>
      <c r="G40" s="14">
        <v>0.9</v>
      </c>
      <c r="H40" s="15"/>
    </row>
    <row r="41" spans="1:8" ht="12.95" customHeight="1">
      <c r="A41" s="10" t="s">
        <v>794</v>
      </c>
      <c r="B41" s="11" t="s">
        <v>795</v>
      </c>
      <c r="C41" s="12" t="s">
        <v>796</v>
      </c>
      <c r="D41" s="7" t="s">
        <v>218</v>
      </c>
      <c r="E41" s="13">
        <v>272000</v>
      </c>
      <c r="F41" s="14">
        <v>379.3</v>
      </c>
      <c r="G41" s="14">
        <v>0.9</v>
      </c>
      <c r="H41" s="15"/>
    </row>
    <row r="42" spans="1:8" ht="12.95" customHeight="1">
      <c r="A42" s="10" t="s">
        <v>628</v>
      </c>
      <c r="B42" s="11" t="s">
        <v>629</v>
      </c>
      <c r="C42" s="12" t="s">
        <v>630</v>
      </c>
      <c r="D42" s="7" t="s">
        <v>246</v>
      </c>
      <c r="E42" s="13">
        <v>3535</v>
      </c>
      <c r="F42" s="14">
        <v>363.84</v>
      </c>
      <c r="G42" s="14">
        <v>0.86</v>
      </c>
      <c r="H42" s="15"/>
    </row>
    <row r="43" spans="1:8" ht="12.95" customHeight="1">
      <c r="A43" s="10" t="s">
        <v>664</v>
      </c>
      <c r="B43" s="11" t="s">
        <v>665</v>
      </c>
      <c r="C43" s="12" t="s">
        <v>666</v>
      </c>
      <c r="D43" s="7" t="s">
        <v>222</v>
      </c>
      <c r="E43" s="13">
        <v>41700</v>
      </c>
      <c r="F43" s="14">
        <v>356.37</v>
      </c>
      <c r="G43" s="14">
        <v>0.84</v>
      </c>
      <c r="H43" s="15"/>
    </row>
    <row r="44" spans="1:8" ht="12.95" customHeight="1">
      <c r="A44" s="10" t="s">
        <v>797</v>
      </c>
      <c r="B44" s="11" t="s">
        <v>798</v>
      </c>
      <c r="C44" s="12" t="s">
        <v>799</v>
      </c>
      <c r="D44" s="7" t="s">
        <v>211</v>
      </c>
      <c r="E44" s="13">
        <v>1275000</v>
      </c>
      <c r="F44" s="14">
        <v>354.45</v>
      </c>
      <c r="G44" s="14">
        <v>0.84</v>
      </c>
      <c r="H44" s="15"/>
    </row>
    <row r="45" spans="1:8" ht="12.95" customHeight="1">
      <c r="A45" s="10" t="s">
        <v>658</v>
      </c>
      <c r="B45" s="11" t="s">
        <v>659</v>
      </c>
      <c r="C45" s="12" t="s">
        <v>660</v>
      </c>
      <c r="D45" s="7" t="s">
        <v>242</v>
      </c>
      <c r="E45" s="13">
        <v>18000</v>
      </c>
      <c r="F45" s="14">
        <v>353.05</v>
      </c>
      <c r="G45" s="14">
        <v>0.83</v>
      </c>
      <c r="H45" s="15"/>
    </row>
    <row r="46" spans="1:8" ht="12.95" customHeight="1">
      <c r="A46" s="10" t="s">
        <v>282</v>
      </c>
      <c r="B46" s="11" t="s">
        <v>283</v>
      </c>
      <c r="C46" s="12" t="s">
        <v>284</v>
      </c>
      <c r="D46" s="7" t="s">
        <v>218</v>
      </c>
      <c r="E46" s="13">
        <v>2380</v>
      </c>
      <c r="F46" s="14">
        <v>343.64</v>
      </c>
      <c r="G46" s="14">
        <v>0.81</v>
      </c>
      <c r="H46" s="15"/>
    </row>
    <row r="47" spans="1:8" ht="12.95" customHeight="1">
      <c r="A47" s="10" t="s">
        <v>269</v>
      </c>
      <c r="B47" s="11" t="s">
        <v>270</v>
      </c>
      <c r="C47" s="12" t="s">
        <v>271</v>
      </c>
      <c r="D47" s="7" t="s">
        <v>272</v>
      </c>
      <c r="E47" s="13">
        <v>15526</v>
      </c>
      <c r="F47" s="14">
        <v>335.04</v>
      </c>
      <c r="G47" s="14">
        <v>0.79</v>
      </c>
      <c r="H47" s="15"/>
    </row>
    <row r="48" spans="1:8" ht="12.95" customHeight="1">
      <c r="A48" s="10" t="s">
        <v>227</v>
      </c>
      <c r="B48" s="11" t="s">
        <v>228</v>
      </c>
      <c r="C48" s="12" t="s">
        <v>229</v>
      </c>
      <c r="D48" s="7" t="s">
        <v>230</v>
      </c>
      <c r="E48" s="13">
        <v>4627</v>
      </c>
      <c r="F48" s="14">
        <v>317.52</v>
      </c>
      <c r="G48" s="14">
        <v>0.75</v>
      </c>
      <c r="H48" s="15"/>
    </row>
    <row r="49" spans="1:8" ht="12.95" customHeight="1">
      <c r="A49" s="10" t="s">
        <v>646</v>
      </c>
      <c r="B49" s="11" t="s">
        <v>647</v>
      </c>
      <c r="C49" s="12" t="s">
        <v>648</v>
      </c>
      <c r="D49" s="7" t="s">
        <v>207</v>
      </c>
      <c r="E49" s="13">
        <v>27450</v>
      </c>
      <c r="F49" s="14">
        <v>307.8</v>
      </c>
      <c r="G49" s="14">
        <v>0.73</v>
      </c>
      <c r="H49" s="15"/>
    </row>
    <row r="50" spans="1:8" ht="12.95" customHeight="1">
      <c r="A50" s="10" t="s">
        <v>273</v>
      </c>
      <c r="B50" s="11" t="s">
        <v>274</v>
      </c>
      <c r="C50" s="12" t="s">
        <v>275</v>
      </c>
      <c r="D50" s="7" t="s">
        <v>211</v>
      </c>
      <c r="E50" s="13">
        <v>83800</v>
      </c>
      <c r="F50" s="14">
        <v>307.33999999999997</v>
      </c>
      <c r="G50" s="14">
        <v>0.73</v>
      </c>
      <c r="H50" s="15"/>
    </row>
    <row r="51" spans="1:8" ht="12.95" customHeight="1">
      <c r="A51" s="10" t="s">
        <v>285</v>
      </c>
      <c r="B51" s="11" t="s">
        <v>286</v>
      </c>
      <c r="C51" s="12" t="s">
        <v>287</v>
      </c>
      <c r="D51" s="7" t="s">
        <v>288</v>
      </c>
      <c r="E51" s="13">
        <v>24821</v>
      </c>
      <c r="F51" s="14">
        <v>304.95</v>
      </c>
      <c r="G51" s="14">
        <v>0.72</v>
      </c>
      <c r="H51" s="15"/>
    </row>
    <row r="52" spans="1:8" ht="12.95" customHeight="1">
      <c r="A52" s="10" t="s">
        <v>276</v>
      </c>
      <c r="B52" s="11" t="s">
        <v>277</v>
      </c>
      <c r="C52" s="12" t="s">
        <v>278</v>
      </c>
      <c r="D52" s="7" t="s">
        <v>203</v>
      </c>
      <c r="E52" s="13">
        <v>300000</v>
      </c>
      <c r="F52" s="14">
        <v>295.64999999999998</v>
      </c>
      <c r="G52" s="14">
        <v>0.7</v>
      </c>
      <c r="H52" s="15"/>
    </row>
    <row r="53" spans="1:8" ht="12.95" customHeight="1">
      <c r="A53" s="10" t="s">
        <v>292</v>
      </c>
      <c r="B53" s="11" t="s">
        <v>293</v>
      </c>
      <c r="C53" s="12" t="s">
        <v>294</v>
      </c>
      <c r="D53" s="7" t="s">
        <v>207</v>
      </c>
      <c r="E53" s="13">
        <v>13765</v>
      </c>
      <c r="F53" s="14">
        <v>294.72000000000003</v>
      </c>
      <c r="G53" s="14">
        <v>0.7</v>
      </c>
      <c r="H53" s="15"/>
    </row>
    <row r="54" spans="1:8" ht="12.95" customHeight="1">
      <c r="A54" s="10" t="s">
        <v>640</v>
      </c>
      <c r="B54" s="11" t="s">
        <v>641</v>
      </c>
      <c r="C54" s="12" t="s">
        <v>642</v>
      </c>
      <c r="D54" s="7" t="s">
        <v>207</v>
      </c>
      <c r="E54" s="13">
        <v>14686</v>
      </c>
      <c r="F54" s="14">
        <v>264.33999999999997</v>
      </c>
      <c r="G54" s="14">
        <v>0.62</v>
      </c>
      <c r="H54" s="15"/>
    </row>
    <row r="55" spans="1:8" ht="12.95" customHeight="1">
      <c r="A55" s="10" t="s">
        <v>323</v>
      </c>
      <c r="B55" s="11" t="s">
        <v>324</v>
      </c>
      <c r="C55" s="12" t="s">
        <v>325</v>
      </c>
      <c r="D55" s="7" t="s">
        <v>159</v>
      </c>
      <c r="E55" s="13">
        <v>48614</v>
      </c>
      <c r="F55" s="14">
        <v>237.92</v>
      </c>
      <c r="G55" s="14">
        <v>0.56000000000000005</v>
      </c>
      <c r="H55" s="15"/>
    </row>
    <row r="56" spans="1:8" ht="12.95" customHeight="1">
      <c r="A56" s="10" t="s">
        <v>310</v>
      </c>
      <c r="B56" s="11" t="s">
        <v>311</v>
      </c>
      <c r="C56" s="12" t="s">
        <v>312</v>
      </c>
      <c r="D56" s="7" t="s">
        <v>242</v>
      </c>
      <c r="E56" s="13">
        <v>25500</v>
      </c>
      <c r="F56" s="14">
        <v>190.14</v>
      </c>
      <c r="G56" s="14">
        <v>0.45</v>
      </c>
      <c r="H56" s="15"/>
    </row>
    <row r="57" spans="1:8" ht="12.95" customHeight="1">
      <c r="A57" s="10" t="s">
        <v>800</v>
      </c>
      <c r="B57" s="11" t="s">
        <v>801</v>
      </c>
      <c r="C57" s="12" t="s">
        <v>802</v>
      </c>
      <c r="D57" s="7" t="s">
        <v>218</v>
      </c>
      <c r="E57" s="13">
        <v>145000</v>
      </c>
      <c r="F57" s="14">
        <v>93.45</v>
      </c>
      <c r="G57" s="14">
        <v>0.22</v>
      </c>
      <c r="H57" s="15"/>
    </row>
    <row r="58" spans="1:8" ht="12.95" customHeight="1">
      <c r="A58" s="1"/>
      <c r="B58" s="6" t="s">
        <v>21</v>
      </c>
      <c r="C58" s="7"/>
      <c r="D58" s="7"/>
      <c r="E58" s="7"/>
      <c r="F58" s="16">
        <v>32541.65</v>
      </c>
      <c r="G58" s="16">
        <v>76.84</v>
      </c>
      <c r="H58" s="17"/>
    </row>
    <row r="59" spans="1:8" ht="12.95" customHeight="1">
      <c r="A59" s="1"/>
      <c r="B59" s="18" t="s">
        <v>326</v>
      </c>
      <c r="C59" s="19"/>
      <c r="D59" s="19"/>
      <c r="E59" s="20"/>
      <c r="F59" s="21" t="s">
        <v>23</v>
      </c>
      <c r="G59" s="21"/>
      <c r="H59" s="22"/>
    </row>
    <row r="60" spans="1:8" ht="12.95" customHeight="1">
      <c r="A60" s="1"/>
      <c r="B60" s="23" t="s">
        <v>21</v>
      </c>
      <c r="C60" s="24"/>
      <c r="D60" s="24"/>
      <c r="E60" s="21"/>
      <c r="F60" s="21" t="s">
        <v>23</v>
      </c>
      <c r="G60" s="21"/>
      <c r="H60" s="22"/>
    </row>
    <row r="61" spans="1:8" ht="12.95" customHeight="1">
      <c r="A61" s="1"/>
      <c r="B61" s="18" t="s">
        <v>24</v>
      </c>
      <c r="C61" s="19"/>
      <c r="D61" s="19"/>
      <c r="E61" s="25"/>
      <c r="F61" s="16">
        <v>32541.65</v>
      </c>
      <c r="G61" s="16">
        <v>76.84</v>
      </c>
      <c r="H61" s="22"/>
    </row>
    <row r="62" spans="1:8" ht="12.95" customHeight="1">
      <c r="A62" s="1"/>
      <c r="B62" s="6" t="s">
        <v>8</v>
      </c>
      <c r="C62" s="7"/>
      <c r="D62" s="7"/>
      <c r="E62" s="7"/>
      <c r="F62" s="7"/>
      <c r="G62" s="7"/>
      <c r="H62" s="8"/>
    </row>
    <row r="63" spans="1:8" ht="12.95" customHeight="1">
      <c r="A63" s="1"/>
      <c r="B63" s="6" t="s">
        <v>9</v>
      </c>
      <c r="C63" s="9"/>
      <c r="D63" s="9"/>
      <c r="E63" s="7"/>
      <c r="F63" s="7"/>
      <c r="G63" s="7"/>
      <c r="H63" s="8"/>
    </row>
    <row r="64" spans="1:8" ht="12.95" customHeight="1">
      <c r="A64" s="10" t="s">
        <v>490</v>
      </c>
      <c r="B64" s="11" t="s">
        <v>491</v>
      </c>
      <c r="C64" s="12" t="s">
        <v>492</v>
      </c>
      <c r="D64" s="7" t="s">
        <v>13</v>
      </c>
      <c r="E64" s="13">
        <v>1250000</v>
      </c>
      <c r="F64" s="14">
        <v>1232.29</v>
      </c>
      <c r="G64" s="14">
        <v>2.91</v>
      </c>
      <c r="H64" s="15">
        <v>6.0943999999999998E-2</v>
      </c>
    </row>
    <row r="65" spans="1:8" ht="12.95" customHeight="1">
      <c r="A65" s="10" t="s">
        <v>803</v>
      </c>
      <c r="B65" s="11" t="s">
        <v>804</v>
      </c>
      <c r="C65" s="12" t="s">
        <v>805</v>
      </c>
      <c r="D65" s="7" t="s">
        <v>13</v>
      </c>
      <c r="E65" s="13">
        <v>1000000</v>
      </c>
      <c r="F65" s="14">
        <v>949.39</v>
      </c>
      <c r="G65" s="14">
        <v>2.2400000000000002</v>
      </c>
      <c r="H65" s="15">
        <v>6.8439E-2</v>
      </c>
    </row>
    <row r="66" spans="1:8" ht="12.95" customHeight="1">
      <c r="A66" s="10" t="s">
        <v>806</v>
      </c>
      <c r="B66" s="11" t="s">
        <v>807</v>
      </c>
      <c r="C66" s="12" t="s">
        <v>808</v>
      </c>
      <c r="D66" s="7" t="s">
        <v>464</v>
      </c>
      <c r="E66" s="13">
        <v>500000</v>
      </c>
      <c r="F66" s="14">
        <v>503.68</v>
      </c>
      <c r="G66" s="14">
        <v>1.19</v>
      </c>
      <c r="H66" s="15">
        <v>4.2049000000000003E-2</v>
      </c>
    </row>
    <row r="67" spans="1:8" ht="12.95" customHeight="1">
      <c r="A67" s="10" t="s">
        <v>554</v>
      </c>
      <c r="B67" s="11" t="s">
        <v>555</v>
      </c>
      <c r="C67" s="12" t="s">
        <v>556</v>
      </c>
      <c r="D67" s="7" t="s">
        <v>13</v>
      </c>
      <c r="E67" s="13">
        <v>500000</v>
      </c>
      <c r="F67" s="14">
        <v>493.26</v>
      </c>
      <c r="G67" s="14">
        <v>1.1599999999999999</v>
      </c>
      <c r="H67" s="15">
        <v>6.0107000000000001E-2</v>
      </c>
    </row>
    <row r="68" spans="1:8" ht="12.95" customHeight="1">
      <c r="A68" s="10" t="s">
        <v>484</v>
      </c>
      <c r="B68" s="11" t="s">
        <v>485</v>
      </c>
      <c r="C68" s="12" t="s">
        <v>486</v>
      </c>
      <c r="D68" s="7" t="s">
        <v>13</v>
      </c>
      <c r="E68" s="13">
        <v>500000</v>
      </c>
      <c r="F68" s="14">
        <v>490.09</v>
      </c>
      <c r="G68" s="14">
        <v>1.1599999999999999</v>
      </c>
      <c r="H68" s="15">
        <v>6.8186999999999998E-2</v>
      </c>
    </row>
    <row r="69" spans="1:8" ht="12.95" customHeight="1">
      <c r="A69" s="10" t="s">
        <v>487</v>
      </c>
      <c r="B69" s="11" t="s">
        <v>488</v>
      </c>
      <c r="C69" s="12" t="s">
        <v>489</v>
      </c>
      <c r="D69" s="7" t="s">
        <v>13</v>
      </c>
      <c r="E69" s="13">
        <v>250000</v>
      </c>
      <c r="F69" s="14">
        <v>246.75</v>
      </c>
      <c r="G69" s="14">
        <v>0.57999999999999996</v>
      </c>
      <c r="H69" s="15">
        <v>5.6665E-2</v>
      </c>
    </row>
    <row r="70" spans="1:8" ht="12.95" customHeight="1">
      <c r="A70" s="10" t="s">
        <v>493</v>
      </c>
      <c r="B70" s="11" t="s">
        <v>494</v>
      </c>
      <c r="C70" s="12" t="s">
        <v>495</v>
      </c>
      <c r="D70" s="7" t="s">
        <v>13</v>
      </c>
      <c r="E70" s="13">
        <v>250000</v>
      </c>
      <c r="F70" s="14">
        <v>244.44</v>
      </c>
      <c r="G70" s="14">
        <v>0.57999999999999996</v>
      </c>
      <c r="H70" s="15">
        <v>5.8413E-2</v>
      </c>
    </row>
    <row r="71" spans="1:8" ht="12.95" customHeight="1">
      <c r="A71" s="10" t="s">
        <v>726</v>
      </c>
      <c r="B71" s="11" t="s">
        <v>727</v>
      </c>
      <c r="C71" s="12" t="s">
        <v>728</v>
      </c>
      <c r="D71" s="7" t="s">
        <v>13</v>
      </c>
      <c r="E71" s="13">
        <v>250000</v>
      </c>
      <c r="F71" s="14">
        <v>239.38</v>
      </c>
      <c r="G71" s="14">
        <v>0.56999999999999995</v>
      </c>
      <c r="H71" s="15">
        <v>7.1405999999999997E-2</v>
      </c>
    </row>
    <row r="72" spans="1:8" ht="12.95" customHeight="1">
      <c r="A72" s="1"/>
      <c r="B72" s="6" t="s">
        <v>21</v>
      </c>
      <c r="C72" s="7"/>
      <c r="D72" s="7"/>
      <c r="E72" s="7"/>
      <c r="F72" s="16">
        <v>4399.28</v>
      </c>
      <c r="G72" s="16">
        <v>10.39</v>
      </c>
      <c r="H72" s="17"/>
    </row>
    <row r="73" spans="1:8" ht="12.95" customHeight="1">
      <c r="A73" s="1"/>
      <c r="B73" s="18" t="s">
        <v>22</v>
      </c>
      <c r="C73" s="19"/>
      <c r="D73" s="19"/>
      <c r="E73" s="20"/>
      <c r="F73" s="21" t="s">
        <v>23</v>
      </c>
      <c r="G73" s="21"/>
      <c r="H73" s="22"/>
    </row>
    <row r="74" spans="1:8" ht="12.95" customHeight="1">
      <c r="A74" s="1"/>
      <c r="B74" s="23" t="s">
        <v>21</v>
      </c>
      <c r="C74" s="24"/>
      <c r="D74" s="24"/>
      <c r="E74" s="21"/>
      <c r="F74" s="21" t="s">
        <v>23</v>
      </c>
      <c r="G74" s="21"/>
      <c r="H74" s="22"/>
    </row>
    <row r="75" spans="1:8" s="40" customFormat="1" ht="12.95" customHeight="1">
      <c r="A75" s="34"/>
      <c r="B75" s="35" t="s">
        <v>960</v>
      </c>
      <c r="C75" s="36"/>
      <c r="D75" s="36"/>
      <c r="E75" s="37"/>
      <c r="F75" s="38" t="s">
        <v>23</v>
      </c>
      <c r="G75" s="38"/>
      <c r="H75" s="39"/>
    </row>
    <row r="76" spans="1:8" ht="12.95" customHeight="1">
      <c r="A76" s="46"/>
      <c r="B76" s="47" t="s">
        <v>21</v>
      </c>
      <c r="C76" s="48"/>
      <c r="D76" s="48"/>
      <c r="E76" s="49"/>
      <c r="F76" s="49" t="s">
        <v>23</v>
      </c>
      <c r="G76" s="49"/>
      <c r="H76" s="50"/>
    </row>
    <row r="77" spans="1:8" ht="12.95" customHeight="1">
      <c r="A77" s="1"/>
      <c r="B77" s="6" t="s">
        <v>25</v>
      </c>
      <c r="C77" s="7"/>
      <c r="D77" s="7"/>
      <c r="E77" s="7"/>
      <c r="F77" s="7"/>
      <c r="G77" s="7"/>
      <c r="H77" s="8"/>
    </row>
    <row r="78" spans="1:8" ht="12.95" customHeight="1">
      <c r="A78" s="1"/>
      <c r="B78" s="44" t="s">
        <v>962</v>
      </c>
      <c r="C78" s="9"/>
      <c r="D78" s="9"/>
      <c r="E78" s="7"/>
      <c r="F78" s="7"/>
      <c r="G78" s="7"/>
      <c r="H78" s="8"/>
    </row>
    <row r="79" spans="1:8" ht="12.95" customHeight="1">
      <c r="A79" s="10" t="s">
        <v>124</v>
      </c>
      <c r="B79" s="45" t="s">
        <v>963</v>
      </c>
      <c r="C79" s="12"/>
      <c r="D79" s="7"/>
      <c r="E79" s="13"/>
      <c r="F79" s="14">
        <v>5294.73</v>
      </c>
      <c r="G79" s="14">
        <v>12.5</v>
      </c>
      <c r="H79" s="15">
        <v>3.6005000000000002E-2</v>
      </c>
    </row>
    <row r="80" spans="1:8" ht="12.95" customHeight="1">
      <c r="A80" s="1"/>
      <c r="B80" s="6" t="s">
        <v>21</v>
      </c>
      <c r="C80" s="7"/>
      <c r="D80" s="7"/>
      <c r="E80" s="7"/>
      <c r="F80" s="16">
        <v>5294.73</v>
      </c>
      <c r="G80" s="16">
        <v>12.5</v>
      </c>
      <c r="H80" s="17"/>
    </row>
    <row r="81" spans="1:8" ht="12.95" customHeight="1">
      <c r="A81" s="1"/>
      <c r="B81" s="18" t="s">
        <v>24</v>
      </c>
      <c r="C81" s="19"/>
      <c r="D81" s="19"/>
      <c r="E81" s="25"/>
      <c r="F81" s="16">
        <v>5294.73</v>
      </c>
      <c r="G81" s="16">
        <v>12.5</v>
      </c>
      <c r="H81" s="22"/>
    </row>
    <row r="82" spans="1:8" ht="12.95" customHeight="1">
      <c r="A82" s="1"/>
      <c r="B82" s="18" t="s">
        <v>127</v>
      </c>
      <c r="C82" s="19"/>
      <c r="D82" s="19"/>
      <c r="E82" s="7"/>
      <c r="F82" s="16">
        <v>117.22</v>
      </c>
      <c r="G82" s="16">
        <v>0.27</v>
      </c>
      <c r="H82" s="22"/>
    </row>
    <row r="83" spans="1:8" ht="12.95" customHeight="1">
      <c r="A83" s="1"/>
      <c r="B83" s="26" t="s">
        <v>128</v>
      </c>
      <c r="C83" s="27"/>
      <c r="D83" s="27"/>
      <c r="E83" s="27"/>
      <c r="F83" s="28">
        <v>42352.88</v>
      </c>
      <c r="G83" s="29">
        <v>100</v>
      </c>
      <c r="H83" s="30"/>
    </row>
    <row r="84" spans="1:8" ht="12.95" customHeight="1">
      <c r="A84" s="1"/>
      <c r="B84" s="105"/>
      <c r="C84" s="105"/>
      <c r="D84" s="105"/>
      <c r="E84" s="105"/>
      <c r="F84" s="1"/>
      <c r="G84" s="1"/>
      <c r="H84" s="1"/>
    </row>
    <row r="85" spans="1:8" ht="12.95" customHeight="1">
      <c r="A85" s="1"/>
      <c r="B85" s="105"/>
      <c r="C85" s="105"/>
      <c r="D85" s="105"/>
      <c r="E85" s="105"/>
      <c r="F85" s="1"/>
      <c r="G85" s="1"/>
      <c r="H85" s="1"/>
    </row>
    <row r="86" spans="1:8" ht="12.95" customHeight="1">
      <c r="A86" s="1"/>
      <c r="B86" s="101" t="s">
        <v>327</v>
      </c>
      <c r="C86" s="102"/>
      <c r="D86" s="102"/>
      <c r="E86" s="102"/>
      <c r="F86" s="1"/>
      <c r="G86" s="1"/>
      <c r="H86" s="1"/>
    </row>
    <row r="87" spans="1:8" ht="12.95" customHeight="1">
      <c r="A87" s="1"/>
      <c r="B87" s="101" t="s">
        <v>964</v>
      </c>
      <c r="C87" s="102"/>
      <c r="D87" s="102"/>
      <c r="E87" s="102"/>
      <c r="F87" s="1"/>
      <c r="G87" s="1"/>
      <c r="H87" s="1"/>
    </row>
    <row r="88" spans="1:8" ht="12.95" customHeight="1">
      <c r="A88" s="1"/>
      <c r="B88" s="101" t="s">
        <v>129</v>
      </c>
      <c r="C88" s="102"/>
      <c r="D88" s="102"/>
      <c r="E88" s="102"/>
      <c r="F88" s="1"/>
      <c r="G88" s="1"/>
      <c r="H88" s="1"/>
    </row>
  </sheetData>
  <mergeCells count="8">
    <mergeCell ref="B86:E86"/>
    <mergeCell ref="B87:E87"/>
    <mergeCell ref="B88:E88"/>
    <mergeCell ref="B1:H1"/>
    <mergeCell ref="B2:H2"/>
    <mergeCell ref="B3:H3"/>
    <mergeCell ref="B84:E84"/>
    <mergeCell ref="B85:E85"/>
  </mergeCells>
  <pageMargins left="0" right="0" top="0" bottom="0" header="0" footer="0"/>
  <pageSetup orientation="portrait" r:id="rId1"/>
  <headerFooter>
    <oddFooter>&amp;C&amp;1#&amp;"Calibri"&amp;10&amp;K000000 For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7"/>
  <sheetViews>
    <sheetView topLeftCell="A14" zoomScaleNormal="100" workbookViewId="0">
      <selection activeCell="B38" sqref="B38"/>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3" customHeight="1">
      <c r="A3" s="1"/>
      <c r="B3" s="108" t="s">
        <v>952</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959</v>
      </c>
    </row>
    <row r="6" spans="1:8" s="40" customFormat="1" ht="12.95" customHeight="1">
      <c r="A6" s="34"/>
      <c r="B6" s="35" t="s">
        <v>8</v>
      </c>
      <c r="C6" s="37"/>
      <c r="D6" s="37"/>
      <c r="E6" s="37"/>
      <c r="F6" s="37"/>
      <c r="G6" s="72"/>
      <c r="H6" s="73"/>
    </row>
    <row r="7" spans="1:8" s="40" customFormat="1" ht="12.95" customHeight="1">
      <c r="A7" s="34"/>
      <c r="B7" s="35" t="s">
        <v>9</v>
      </c>
      <c r="C7" s="36"/>
      <c r="D7" s="36"/>
      <c r="E7" s="37"/>
      <c r="F7" s="74" t="s">
        <v>23</v>
      </c>
      <c r="G7" s="75" t="s">
        <v>23</v>
      </c>
      <c r="H7" s="76" t="s">
        <v>23</v>
      </c>
    </row>
    <row r="8" spans="1:8" s="40" customFormat="1" ht="12.95" customHeight="1">
      <c r="A8" s="34"/>
      <c r="B8" s="35" t="s">
        <v>21</v>
      </c>
      <c r="C8" s="36"/>
      <c r="D8" s="36"/>
      <c r="E8" s="37"/>
      <c r="F8" s="74" t="s">
        <v>23</v>
      </c>
      <c r="G8" s="75" t="s">
        <v>23</v>
      </c>
      <c r="H8" s="76" t="s">
        <v>23</v>
      </c>
    </row>
    <row r="9" spans="1:8" s="40" customFormat="1" ht="12.95" customHeight="1">
      <c r="A9" s="34"/>
      <c r="B9" s="35" t="s">
        <v>22</v>
      </c>
      <c r="C9" s="36"/>
      <c r="D9" s="36"/>
      <c r="E9" s="37"/>
      <c r="F9" s="74" t="s">
        <v>23</v>
      </c>
      <c r="G9" s="75" t="s">
        <v>23</v>
      </c>
      <c r="H9" s="76" t="s">
        <v>23</v>
      </c>
    </row>
    <row r="10" spans="1:8" s="40" customFormat="1" ht="12.95" customHeight="1">
      <c r="A10" s="34"/>
      <c r="B10" s="35" t="s">
        <v>21</v>
      </c>
      <c r="C10" s="36"/>
      <c r="D10" s="36"/>
      <c r="E10" s="37"/>
      <c r="F10" s="74" t="s">
        <v>23</v>
      </c>
      <c r="G10" s="75" t="s">
        <v>23</v>
      </c>
      <c r="H10" s="76" t="s">
        <v>23</v>
      </c>
    </row>
    <row r="11" spans="1:8" s="40" customFormat="1" ht="12.95" customHeight="1">
      <c r="A11" s="34"/>
      <c r="B11" s="35" t="s">
        <v>960</v>
      </c>
      <c r="C11" s="36"/>
      <c r="D11" s="36"/>
      <c r="E11" s="37"/>
      <c r="F11" s="74" t="s">
        <v>23</v>
      </c>
      <c r="G11" s="75" t="s">
        <v>23</v>
      </c>
      <c r="H11" s="76" t="s">
        <v>23</v>
      </c>
    </row>
    <row r="12" spans="1:8" s="40" customFormat="1" ht="12.95" customHeight="1">
      <c r="A12" s="34"/>
      <c r="B12" s="35" t="s">
        <v>21</v>
      </c>
      <c r="C12" s="36"/>
      <c r="D12" s="36"/>
      <c r="E12" s="37"/>
      <c r="F12" s="74" t="s">
        <v>23</v>
      </c>
      <c r="G12" s="75" t="s">
        <v>23</v>
      </c>
      <c r="H12" s="76" t="s">
        <v>23</v>
      </c>
    </row>
    <row r="13" spans="1:8" s="40" customFormat="1" ht="12.95" customHeight="1">
      <c r="A13" s="34"/>
      <c r="B13" s="77" t="s">
        <v>24</v>
      </c>
      <c r="C13" s="78"/>
      <c r="D13" s="78"/>
      <c r="E13" s="79"/>
      <c r="F13" s="80" t="s">
        <v>23</v>
      </c>
      <c r="G13" s="80" t="s">
        <v>23</v>
      </c>
      <c r="H13" s="81" t="s">
        <v>23</v>
      </c>
    </row>
    <row r="14" spans="1:8" ht="12.95" customHeight="1">
      <c r="A14" s="33"/>
      <c r="B14" s="6" t="s">
        <v>25</v>
      </c>
      <c r="C14" s="7"/>
      <c r="D14" s="7"/>
      <c r="E14" s="7"/>
      <c r="F14" s="7"/>
      <c r="G14" s="7"/>
      <c r="H14" s="8"/>
    </row>
    <row r="15" spans="1:8" ht="12.95" customHeight="1">
      <c r="A15" s="1"/>
      <c r="B15" s="6" t="s">
        <v>26</v>
      </c>
      <c r="C15" s="9"/>
      <c r="D15" s="9"/>
      <c r="E15" s="7"/>
      <c r="F15" s="7"/>
      <c r="G15" s="7"/>
      <c r="H15" s="8"/>
    </row>
    <row r="16" spans="1:8" ht="12.95" customHeight="1">
      <c r="A16" s="10" t="s">
        <v>36</v>
      </c>
      <c r="B16" s="11" t="s">
        <v>37</v>
      </c>
      <c r="C16" s="12" t="s">
        <v>38</v>
      </c>
      <c r="D16" s="7" t="s">
        <v>13</v>
      </c>
      <c r="E16" s="13">
        <v>100000</v>
      </c>
      <c r="F16" s="14">
        <v>99.95</v>
      </c>
      <c r="G16" s="14">
        <v>0.93</v>
      </c>
      <c r="H16" s="15">
        <v>3.3449E-2</v>
      </c>
    </row>
    <row r="17" spans="1:8" ht="12.95" customHeight="1">
      <c r="A17" s="10" t="s">
        <v>39</v>
      </c>
      <c r="B17" s="11" t="s">
        <v>40</v>
      </c>
      <c r="C17" s="12" t="s">
        <v>41</v>
      </c>
      <c r="D17" s="7" t="s">
        <v>13</v>
      </c>
      <c r="E17" s="13">
        <v>100000</v>
      </c>
      <c r="F17" s="14">
        <v>99.76</v>
      </c>
      <c r="G17" s="14">
        <v>0.93</v>
      </c>
      <c r="H17" s="15">
        <v>3.2998E-2</v>
      </c>
    </row>
    <row r="18" spans="1:8" ht="12.95" customHeight="1">
      <c r="A18" s="1"/>
      <c r="B18" s="6" t="s">
        <v>21</v>
      </c>
      <c r="C18" s="7"/>
      <c r="D18" s="7"/>
      <c r="E18" s="7"/>
      <c r="F18" s="16">
        <v>199.71</v>
      </c>
      <c r="G18" s="16">
        <v>1.86</v>
      </c>
      <c r="H18" s="17"/>
    </row>
    <row r="19" spans="1:8" ht="12.95" customHeight="1">
      <c r="A19" s="1"/>
      <c r="B19" s="44" t="s">
        <v>962</v>
      </c>
      <c r="C19" s="9"/>
      <c r="D19" s="9"/>
      <c r="E19" s="7"/>
      <c r="F19" s="7"/>
      <c r="G19" s="7"/>
      <c r="H19" s="8"/>
    </row>
    <row r="20" spans="1:8" ht="12.95" customHeight="1">
      <c r="A20" s="10" t="s">
        <v>124</v>
      </c>
      <c r="B20" s="45" t="s">
        <v>963</v>
      </c>
      <c r="C20" s="12"/>
      <c r="D20" s="7"/>
      <c r="E20" s="13"/>
      <c r="F20" s="14">
        <v>3418.05</v>
      </c>
      <c r="G20" s="14">
        <v>31.88</v>
      </c>
      <c r="H20" s="15">
        <v>3.6005000000000002E-2</v>
      </c>
    </row>
    <row r="21" spans="1:8" ht="12.95" customHeight="1">
      <c r="A21" s="1"/>
      <c r="B21" s="6" t="s">
        <v>21</v>
      </c>
      <c r="C21" s="7"/>
      <c r="D21" s="7"/>
      <c r="E21" s="7"/>
      <c r="F21" s="16">
        <v>3418.05</v>
      </c>
      <c r="G21" s="16">
        <v>31.88</v>
      </c>
      <c r="H21" s="17"/>
    </row>
    <row r="22" spans="1:8" ht="12.95" customHeight="1">
      <c r="A22" s="1"/>
      <c r="B22" s="6" t="s">
        <v>125</v>
      </c>
      <c r="C22" s="9"/>
      <c r="D22" s="9"/>
      <c r="E22" s="7"/>
      <c r="F22" s="7"/>
      <c r="G22" s="7"/>
      <c r="H22" s="8"/>
    </row>
    <row r="23" spans="1:8" ht="12.95" customHeight="1">
      <c r="A23" s="10" t="s">
        <v>126</v>
      </c>
      <c r="B23" s="11" t="s">
        <v>125</v>
      </c>
      <c r="C23" s="12"/>
      <c r="D23" s="7"/>
      <c r="E23" s="13">
        <v>709292850</v>
      </c>
      <c r="F23" s="14">
        <v>7092.93</v>
      </c>
      <c r="G23" s="14">
        <v>66.16</v>
      </c>
      <c r="H23" s="15">
        <v>3.7499999999999999E-2</v>
      </c>
    </row>
    <row r="24" spans="1:8" ht="12.95" customHeight="1">
      <c r="A24" s="1"/>
      <c r="B24" s="6" t="s">
        <v>21</v>
      </c>
      <c r="C24" s="7"/>
      <c r="D24" s="7"/>
      <c r="E24" s="7"/>
      <c r="F24" s="16">
        <v>7092.93</v>
      </c>
      <c r="G24" s="16">
        <v>66.16</v>
      </c>
      <c r="H24" s="17"/>
    </row>
    <row r="25" spans="1:8" ht="12.95" customHeight="1">
      <c r="A25" s="1"/>
      <c r="B25" s="18" t="s">
        <v>24</v>
      </c>
      <c r="C25" s="19"/>
      <c r="D25" s="19"/>
      <c r="E25" s="25"/>
      <c r="F25" s="16">
        <v>10710.69</v>
      </c>
      <c r="G25" s="16">
        <v>99.9</v>
      </c>
      <c r="H25" s="22"/>
    </row>
    <row r="26" spans="1:8" ht="12.95" customHeight="1">
      <c r="A26" s="1"/>
      <c r="B26" s="18" t="s">
        <v>127</v>
      </c>
      <c r="C26" s="19"/>
      <c r="D26" s="19"/>
      <c r="E26" s="7"/>
      <c r="F26" s="16">
        <v>9.77</v>
      </c>
      <c r="G26" s="16">
        <v>0.1</v>
      </c>
      <c r="H26" s="22"/>
    </row>
    <row r="27" spans="1:8" ht="12.95" customHeight="1">
      <c r="A27" s="1"/>
      <c r="B27" s="26" t="s">
        <v>128</v>
      </c>
      <c r="C27" s="27"/>
      <c r="D27" s="27"/>
      <c r="E27" s="27"/>
      <c r="F27" s="28">
        <v>10720.46</v>
      </c>
      <c r="G27" s="29">
        <v>100</v>
      </c>
      <c r="H27" s="30"/>
    </row>
    <row r="28" spans="1:8" ht="12.95" customHeight="1">
      <c r="A28" s="1"/>
      <c r="B28" s="105"/>
      <c r="C28" s="105"/>
      <c r="D28" s="105"/>
      <c r="E28" s="105"/>
      <c r="F28" s="1"/>
      <c r="G28" s="1"/>
      <c r="H28" s="1"/>
    </row>
    <row r="29" spans="1:8" ht="12.95" customHeight="1">
      <c r="A29" s="1"/>
      <c r="B29" s="105"/>
      <c r="C29" s="105"/>
      <c r="D29" s="105"/>
      <c r="E29" s="105"/>
      <c r="F29" s="1"/>
      <c r="G29" s="1"/>
      <c r="H29" s="1"/>
    </row>
    <row r="30" spans="1:8" ht="12.95" customHeight="1">
      <c r="A30" s="1"/>
      <c r="B30" s="112" t="s">
        <v>327</v>
      </c>
      <c r="C30" s="112"/>
      <c r="D30" s="112"/>
      <c r="E30" s="112"/>
      <c r="F30" s="1"/>
      <c r="G30" s="1"/>
      <c r="H30" s="1"/>
    </row>
    <row r="31" spans="1:8" ht="12.95" customHeight="1">
      <c r="A31" s="1"/>
      <c r="B31" s="106"/>
      <c r="C31" s="106"/>
      <c r="D31" s="106"/>
      <c r="E31" s="106"/>
      <c r="F31" s="1"/>
      <c r="G31" s="1"/>
      <c r="H31" s="1"/>
    </row>
    <row r="37" spans="2:2">
      <c r="B37" t="s">
        <v>967</v>
      </c>
    </row>
  </sheetData>
  <mergeCells count="7">
    <mergeCell ref="B30:E30"/>
    <mergeCell ref="B31:E31"/>
    <mergeCell ref="B1:H1"/>
    <mergeCell ref="B2:H2"/>
    <mergeCell ref="B3:H3"/>
    <mergeCell ref="B28:E28"/>
    <mergeCell ref="B29:E29"/>
  </mergeCells>
  <pageMargins left="0" right="0" top="0" bottom="0" header="0" footer="0"/>
  <pageSetup orientation="portrait" r:id="rId1"/>
  <headerFooter>
    <oddFooter>&amp;C&amp;1#&amp;"Calibri"&amp;10&amp;K000000 For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70"/>
  <sheetViews>
    <sheetView workbookViewId="0">
      <selection activeCell="G22" sqref="G22:H25"/>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9" ht="20.100000000000001" customHeight="1">
      <c r="A1" s="1"/>
      <c r="B1" s="103" t="s">
        <v>0</v>
      </c>
      <c r="C1" s="103"/>
      <c r="D1" s="103"/>
      <c r="E1" s="103"/>
      <c r="F1" s="103"/>
      <c r="G1" s="103"/>
      <c r="H1" s="103"/>
    </row>
    <row r="2" spans="1:9" ht="20.100000000000001" customHeight="1">
      <c r="A2" s="1"/>
      <c r="B2" s="103" t="s">
        <v>1</v>
      </c>
      <c r="C2" s="103"/>
      <c r="D2" s="103"/>
      <c r="E2" s="103"/>
      <c r="F2" s="103"/>
      <c r="G2" s="103"/>
      <c r="H2" s="103"/>
    </row>
    <row r="3" spans="1:9" ht="45.75" customHeight="1">
      <c r="A3" s="1"/>
      <c r="B3" s="108" t="s">
        <v>953</v>
      </c>
      <c r="C3" s="109"/>
      <c r="D3" s="109"/>
      <c r="E3" s="109"/>
      <c r="F3" s="109"/>
      <c r="G3" s="109"/>
      <c r="H3" s="109"/>
    </row>
    <row r="4" spans="1:9" ht="12.95" customHeight="1">
      <c r="A4" s="2"/>
      <c r="B4" s="1"/>
      <c r="C4" s="1"/>
      <c r="D4" s="1"/>
      <c r="E4" s="1"/>
      <c r="F4" s="1"/>
      <c r="G4" s="1"/>
      <c r="H4" s="1"/>
    </row>
    <row r="5" spans="1:9" ht="27.95" customHeight="1">
      <c r="A5" s="1"/>
      <c r="B5" s="3" t="s">
        <v>2</v>
      </c>
      <c r="C5" s="4" t="s">
        <v>3</v>
      </c>
      <c r="D5" s="4" t="s">
        <v>4</v>
      </c>
      <c r="E5" s="4" t="s">
        <v>5</v>
      </c>
      <c r="F5" s="4" t="s">
        <v>6</v>
      </c>
      <c r="G5" s="4" t="s">
        <v>7</v>
      </c>
      <c r="H5" s="5" t="s">
        <v>959</v>
      </c>
    </row>
    <row r="6" spans="1:9" ht="12.95" customHeight="1">
      <c r="A6" s="1"/>
      <c r="B6" s="6" t="s">
        <v>8</v>
      </c>
      <c r="C6" s="7"/>
      <c r="D6" s="7"/>
      <c r="E6" s="7"/>
      <c r="F6" s="7"/>
      <c r="G6" s="7"/>
      <c r="H6" s="8"/>
    </row>
    <row r="7" spans="1:9" ht="12.95" customHeight="1">
      <c r="A7" s="1"/>
      <c r="B7" s="6" t="s">
        <v>9</v>
      </c>
      <c r="C7" s="9"/>
      <c r="D7" s="9"/>
      <c r="E7" s="7"/>
      <c r="F7" s="7"/>
      <c r="G7" s="7"/>
      <c r="H7" s="8"/>
      <c r="I7" s="14"/>
    </row>
    <row r="8" spans="1:9" ht="12.95" customHeight="1">
      <c r="A8" s="10" t="s">
        <v>501</v>
      </c>
      <c r="B8" s="11" t="s">
        <v>502</v>
      </c>
      <c r="C8" s="12" t="s">
        <v>503</v>
      </c>
      <c r="D8" s="7" t="s">
        <v>464</v>
      </c>
      <c r="E8" s="13">
        <v>1000000</v>
      </c>
      <c r="F8" s="14">
        <v>1017.8</v>
      </c>
      <c r="G8" s="14">
        <v>3.6</v>
      </c>
      <c r="H8" s="15">
        <v>4.7E-2</v>
      </c>
    </row>
    <row r="9" spans="1:9" ht="12.95" customHeight="1">
      <c r="A9" s="10" t="s">
        <v>10</v>
      </c>
      <c r="B9" s="11" t="s">
        <v>11</v>
      </c>
      <c r="C9" s="12" t="s">
        <v>12</v>
      </c>
      <c r="D9" s="7" t="s">
        <v>13</v>
      </c>
      <c r="E9" s="13">
        <v>1000000</v>
      </c>
      <c r="F9" s="14">
        <v>1008.27</v>
      </c>
      <c r="G9" s="14">
        <v>3.57</v>
      </c>
      <c r="H9" s="15">
        <v>3.7718000000000002E-2</v>
      </c>
    </row>
    <row r="10" spans="1:9" ht="12.95" customHeight="1">
      <c r="A10" s="10" t="s">
        <v>521</v>
      </c>
      <c r="B10" s="11" t="s">
        <v>522</v>
      </c>
      <c r="C10" s="12" t="s">
        <v>523</v>
      </c>
      <c r="D10" s="7" t="s">
        <v>524</v>
      </c>
      <c r="E10" s="13">
        <v>1000000</v>
      </c>
      <c r="F10" s="14">
        <v>1003.23</v>
      </c>
      <c r="G10" s="14">
        <v>3.55</v>
      </c>
      <c r="H10" s="15">
        <v>4.2403000000000003E-2</v>
      </c>
    </row>
    <row r="11" spans="1:9" ht="12.95" customHeight="1">
      <c r="A11" s="10" t="s">
        <v>461</v>
      </c>
      <c r="B11" s="11" t="s">
        <v>462</v>
      </c>
      <c r="C11" s="12" t="s">
        <v>463</v>
      </c>
      <c r="D11" s="7" t="s">
        <v>464</v>
      </c>
      <c r="E11" s="13">
        <v>1000000</v>
      </c>
      <c r="F11" s="14">
        <v>998.81</v>
      </c>
      <c r="G11" s="14">
        <v>3.54</v>
      </c>
      <c r="H11" s="15">
        <v>4.9599999999999998E-2</v>
      </c>
    </row>
    <row r="12" spans="1:9" ht="12.95" customHeight="1">
      <c r="A12" s="10" t="s">
        <v>510</v>
      </c>
      <c r="B12" s="11" t="s">
        <v>511</v>
      </c>
      <c r="C12" s="12" t="s">
        <v>512</v>
      </c>
      <c r="D12" s="7" t="s">
        <v>464</v>
      </c>
      <c r="E12" s="13">
        <v>500000</v>
      </c>
      <c r="F12" s="14">
        <v>514.57000000000005</v>
      </c>
      <c r="G12" s="14">
        <v>1.82</v>
      </c>
      <c r="H12" s="15">
        <v>4.8050000000000002E-2</v>
      </c>
    </row>
    <row r="13" spans="1:9" ht="12.95" customHeight="1">
      <c r="A13" s="10" t="s">
        <v>809</v>
      </c>
      <c r="B13" s="11" t="s">
        <v>810</v>
      </c>
      <c r="C13" s="12" t="s">
        <v>811</v>
      </c>
      <c r="D13" s="7" t="s">
        <v>464</v>
      </c>
      <c r="E13" s="13">
        <v>500000</v>
      </c>
      <c r="F13" s="14">
        <v>511.21</v>
      </c>
      <c r="G13" s="14">
        <v>1.81</v>
      </c>
      <c r="H13" s="15">
        <v>4.8000000000000001E-2</v>
      </c>
    </row>
    <row r="14" spans="1:9" ht="12.95" customHeight="1">
      <c r="A14" s="10" t="s">
        <v>812</v>
      </c>
      <c r="B14" s="11" t="s">
        <v>813</v>
      </c>
      <c r="C14" s="12" t="s">
        <v>814</v>
      </c>
      <c r="D14" s="7" t="s">
        <v>13</v>
      </c>
      <c r="E14" s="13">
        <v>500000</v>
      </c>
      <c r="F14" s="14">
        <v>508.75</v>
      </c>
      <c r="G14" s="14">
        <v>1.8</v>
      </c>
      <c r="H14" s="15">
        <v>4.3208999999999997E-2</v>
      </c>
    </row>
    <row r="15" spans="1:9" ht="12.95" customHeight="1">
      <c r="A15" s="10" t="s">
        <v>504</v>
      </c>
      <c r="B15" s="11" t="s">
        <v>505</v>
      </c>
      <c r="C15" s="12" t="s">
        <v>506</v>
      </c>
      <c r="D15" s="7" t="s">
        <v>464</v>
      </c>
      <c r="E15" s="13">
        <v>500000</v>
      </c>
      <c r="F15" s="14">
        <v>506.61</v>
      </c>
      <c r="G15" s="14">
        <v>1.79</v>
      </c>
      <c r="H15" s="15">
        <v>4.6800000000000001E-2</v>
      </c>
    </row>
    <row r="16" spans="1:9" ht="12.95" customHeight="1">
      <c r="A16" s="10" t="s">
        <v>507</v>
      </c>
      <c r="B16" s="11" t="s">
        <v>508</v>
      </c>
      <c r="C16" s="12" t="s">
        <v>509</v>
      </c>
      <c r="D16" s="7" t="s">
        <v>474</v>
      </c>
      <c r="E16" s="13">
        <v>500000</v>
      </c>
      <c r="F16" s="14">
        <v>504.14</v>
      </c>
      <c r="G16" s="14">
        <v>1.79</v>
      </c>
      <c r="H16" s="15">
        <v>4.6850999999999997E-2</v>
      </c>
    </row>
    <row r="17" spans="1:8" ht="12.95" customHeight="1">
      <c r="A17" s="10" t="s">
        <v>457</v>
      </c>
      <c r="B17" s="11" t="s">
        <v>458</v>
      </c>
      <c r="C17" s="12" t="s">
        <v>459</v>
      </c>
      <c r="D17" s="7" t="s">
        <v>460</v>
      </c>
      <c r="E17" s="13">
        <v>500000</v>
      </c>
      <c r="F17" s="14">
        <v>503.31</v>
      </c>
      <c r="G17" s="14">
        <v>1.78</v>
      </c>
      <c r="H17" s="15">
        <v>4.6449999999999998E-2</v>
      </c>
    </row>
    <row r="18" spans="1:8" ht="12.95" customHeight="1">
      <c r="A18" s="10" t="s">
        <v>548</v>
      </c>
      <c r="B18" s="11" t="s">
        <v>549</v>
      </c>
      <c r="C18" s="12" t="s">
        <v>550</v>
      </c>
      <c r="D18" s="7" t="s">
        <v>464</v>
      </c>
      <c r="E18" s="13">
        <v>500000</v>
      </c>
      <c r="F18" s="14">
        <v>501.81</v>
      </c>
      <c r="G18" s="14">
        <v>1.78</v>
      </c>
      <c r="H18" s="15">
        <v>3.9948999999999998E-2</v>
      </c>
    </row>
    <row r="19" spans="1:8" ht="12.95" customHeight="1">
      <c r="A19" s="10" t="s">
        <v>525</v>
      </c>
      <c r="B19" s="11" t="s">
        <v>526</v>
      </c>
      <c r="C19" s="12" t="s">
        <v>527</v>
      </c>
      <c r="D19" s="7" t="s">
        <v>464</v>
      </c>
      <c r="E19" s="13">
        <v>500000</v>
      </c>
      <c r="F19" s="14">
        <v>498.76</v>
      </c>
      <c r="G19" s="14">
        <v>1.77</v>
      </c>
      <c r="H19" s="15">
        <v>4.8000000000000001E-2</v>
      </c>
    </row>
    <row r="20" spans="1:8" ht="12.95" customHeight="1">
      <c r="A20" s="82"/>
      <c r="B20" s="11" t="s">
        <v>969</v>
      </c>
      <c r="C20" s="83" t="s">
        <v>968</v>
      </c>
      <c r="D20" s="7" t="s">
        <v>13</v>
      </c>
      <c r="E20" s="13">
        <v>1000000</v>
      </c>
      <c r="F20" s="14">
        <v>970.05</v>
      </c>
      <c r="G20" s="14">
        <v>3.44</v>
      </c>
      <c r="H20" s="15">
        <v>4.3683E-2</v>
      </c>
    </row>
    <row r="21" spans="1:8" ht="12.95" customHeight="1">
      <c r="A21" s="1"/>
      <c r="B21" s="6" t="s">
        <v>21</v>
      </c>
      <c r="C21" s="7"/>
      <c r="D21" s="7"/>
      <c r="E21" s="7"/>
      <c r="F21" s="16">
        <v>9047.32</v>
      </c>
      <c r="G21" s="16">
        <v>32.04</v>
      </c>
      <c r="H21" s="17"/>
    </row>
    <row r="22" spans="1:8" ht="12.95" customHeight="1">
      <c r="A22" s="1"/>
      <c r="B22" s="18" t="s">
        <v>22</v>
      </c>
      <c r="C22" s="19"/>
      <c r="D22" s="19"/>
      <c r="E22" s="20"/>
      <c r="F22" s="21" t="s">
        <v>23</v>
      </c>
      <c r="G22" s="21"/>
      <c r="H22" s="22"/>
    </row>
    <row r="23" spans="1:8" ht="12.95" customHeight="1">
      <c r="A23" s="1"/>
      <c r="B23" s="23" t="s">
        <v>21</v>
      </c>
      <c r="C23" s="24"/>
      <c r="D23" s="24"/>
      <c r="E23" s="21"/>
      <c r="F23" s="21" t="s">
        <v>23</v>
      </c>
      <c r="G23" s="21"/>
      <c r="H23" s="22"/>
    </row>
    <row r="24" spans="1:8" s="40" customFormat="1" ht="12.95" customHeight="1">
      <c r="A24" s="34"/>
      <c r="B24" s="35" t="s">
        <v>960</v>
      </c>
      <c r="C24" s="36"/>
      <c r="D24" s="36"/>
      <c r="E24" s="37"/>
      <c r="F24" s="38" t="s">
        <v>23</v>
      </c>
      <c r="G24" s="38"/>
      <c r="H24" s="39"/>
    </row>
    <row r="25" spans="1:8" ht="12.95" customHeight="1">
      <c r="A25" s="46"/>
      <c r="B25" s="47" t="s">
        <v>21</v>
      </c>
      <c r="C25" s="48"/>
      <c r="D25" s="48"/>
      <c r="E25" s="49"/>
      <c r="F25" s="49" t="s">
        <v>23</v>
      </c>
      <c r="G25" s="49"/>
      <c r="H25" s="50"/>
    </row>
    <row r="26" spans="1:8" ht="12.95" customHeight="1">
      <c r="A26" s="1"/>
      <c r="B26" s="18" t="s">
        <v>24</v>
      </c>
      <c r="C26" s="19"/>
      <c r="D26" s="19"/>
      <c r="E26" s="25"/>
      <c r="F26" s="16">
        <v>9047.32</v>
      </c>
      <c r="G26" s="16">
        <v>32.04</v>
      </c>
      <c r="H26" s="22"/>
    </row>
    <row r="27" spans="1:8" ht="12.95" customHeight="1">
      <c r="A27" s="1"/>
      <c r="B27" s="6" t="s">
        <v>25</v>
      </c>
      <c r="C27" s="7"/>
      <c r="D27" s="7"/>
      <c r="E27" s="7"/>
      <c r="F27" s="7"/>
      <c r="G27" s="7"/>
      <c r="H27" s="8"/>
    </row>
    <row r="28" spans="1:8" ht="12.95" customHeight="1">
      <c r="A28" s="1"/>
      <c r="B28" s="6" t="s">
        <v>26</v>
      </c>
      <c r="C28" s="9"/>
      <c r="D28" s="9"/>
      <c r="E28" s="7"/>
      <c r="F28" s="7"/>
      <c r="G28" s="7"/>
      <c r="H28" s="8"/>
    </row>
    <row r="29" spans="1:8" ht="12.95" customHeight="1">
      <c r="A29" s="10" t="s">
        <v>815</v>
      </c>
      <c r="B29" s="11" t="s">
        <v>816</v>
      </c>
      <c r="C29" s="12" t="s">
        <v>817</v>
      </c>
      <c r="D29" s="7" t="s">
        <v>13</v>
      </c>
      <c r="E29" s="13">
        <v>2500000</v>
      </c>
      <c r="F29" s="14">
        <v>2455.16</v>
      </c>
      <c r="G29" s="14">
        <v>8.6999999999999993</v>
      </c>
      <c r="H29" s="15">
        <v>4.1662999999999999E-2</v>
      </c>
    </row>
    <row r="30" spans="1:8" ht="12.95" customHeight="1">
      <c r="A30" s="10" t="s">
        <v>818</v>
      </c>
      <c r="B30" s="11" t="s">
        <v>819</v>
      </c>
      <c r="C30" s="12" t="s">
        <v>820</v>
      </c>
      <c r="D30" s="7" t="s">
        <v>13</v>
      </c>
      <c r="E30" s="13">
        <v>2500000</v>
      </c>
      <c r="F30" s="14">
        <v>2451.0300000000002</v>
      </c>
      <c r="G30" s="14">
        <v>8.68</v>
      </c>
      <c r="H30" s="15">
        <v>4.1912999999999999E-2</v>
      </c>
    </row>
    <row r="31" spans="1:8" ht="12.95" customHeight="1">
      <c r="A31" s="10" t="s">
        <v>821</v>
      </c>
      <c r="B31" s="11" t="s">
        <v>822</v>
      </c>
      <c r="C31" s="12" t="s">
        <v>823</v>
      </c>
      <c r="D31" s="7" t="s">
        <v>13</v>
      </c>
      <c r="E31" s="13">
        <v>1000000</v>
      </c>
      <c r="F31" s="14">
        <v>966.32</v>
      </c>
      <c r="G31" s="14">
        <v>3.42</v>
      </c>
      <c r="H31" s="15">
        <v>4.4484000000000003E-2</v>
      </c>
    </row>
    <row r="32" spans="1:8" ht="12.95" customHeight="1">
      <c r="A32" s="10" t="s">
        <v>560</v>
      </c>
      <c r="B32" s="11" t="s">
        <v>561</v>
      </c>
      <c r="C32" s="12" t="s">
        <v>562</v>
      </c>
      <c r="D32" s="7" t="s">
        <v>13</v>
      </c>
      <c r="E32" s="13">
        <v>500000</v>
      </c>
      <c r="F32" s="14">
        <v>494.51</v>
      </c>
      <c r="G32" s="14">
        <v>1.75</v>
      </c>
      <c r="H32" s="15">
        <v>3.9E-2</v>
      </c>
    </row>
    <row r="33" spans="1:8" ht="12.95" customHeight="1">
      <c r="A33" s="1"/>
      <c r="B33" s="6" t="s">
        <v>21</v>
      </c>
      <c r="C33" s="7"/>
      <c r="D33" s="7"/>
      <c r="E33" s="7"/>
      <c r="F33" s="16">
        <v>6367.02</v>
      </c>
      <c r="G33" s="16">
        <v>22.55</v>
      </c>
      <c r="H33" s="17"/>
    </row>
    <row r="34" spans="1:8" ht="12.95" customHeight="1">
      <c r="A34" s="1"/>
      <c r="B34" s="6" t="s">
        <v>42</v>
      </c>
      <c r="C34" s="9"/>
      <c r="D34" s="9"/>
      <c r="E34" s="7"/>
      <c r="F34" s="7"/>
      <c r="G34" s="7"/>
      <c r="H34" s="8"/>
    </row>
    <row r="35" spans="1:8" ht="12.95" customHeight="1">
      <c r="A35" s="10" t="s">
        <v>496</v>
      </c>
      <c r="B35" s="11" t="s">
        <v>68</v>
      </c>
      <c r="C35" s="12" t="s">
        <v>497</v>
      </c>
      <c r="D35" s="7" t="s">
        <v>50</v>
      </c>
      <c r="E35" s="13">
        <v>2000000</v>
      </c>
      <c r="F35" s="14">
        <v>1967.09</v>
      </c>
      <c r="G35" s="14">
        <v>6.97</v>
      </c>
      <c r="H35" s="15">
        <v>4.2700000000000002E-2</v>
      </c>
    </row>
    <row r="36" spans="1:8" ht="12.95" customHeight="1">
      <c r="A36" s="10" t="s">
        <v>571</v>
      </c>
      <c r="B36" s="11" t="s">
        <v>55</v>
      </c>
      <c r="C36" s="12" t="s">
        <v>572</v>
      </c>
      <c r="D36" s="7" t="s">
        <v>50</v>
      </c>
      <c r="E36" s="13">
        <v>1000000</v>
      </c>
      <c r="F36" s="14">
        <v>972.66</v>
      </c>
      <c r="G36" s="14">
        <v>3.45</v>
      </c>
      <c r="H36" s="15">
        <v>4.5999999999999999E-2</v>
      </c>
    </row>
    <row r="37" spans="1:8" ht="12.95" customHeight="1">
      <c r="A37" s="10" t="s">
        <v>566</v>
      </c>
      <c r="B37" s="11" t="s">
        <v>55</v>
      </c>
      <c r="C37" s="12" t="s">
        <v>567</v>
      </c>
      <c r="D37" s="7" t="s">
        <v>50</v>
      </c>
      <c r="E37" s="13">
        <v>500000</v>
      </c>
      <c r="F37" s="14">
        <v>496.02</v>
      </c>
      <c r="G37" s="14">
        <v>1.76</v>
      </c>
      <c r="H37" s="15">
        <v>3.8581999999999998E-2</v>
      </c>
    </row>
    <row r="38" spans="1:8" ht="12.95" customHeight="1">
      <c r="A38" s="10" t="s">
        <v>568</v>
      </c>
      <c r="B38" s="11" t="s">
        <v>569</v>
      </c>
      <c r="C38" s="12" t="s">
        <v>570</v>
      </c>
      <c r="D38" s="7" t="s">
        <v>46</v>
      </c>
      <c r="E38" s="13">
        <v>500000</v>
      </c>
      <c r="F38" s="14">
        <v>480.21</v>
      </c>
      <c r="G38" s="14">
        <v>1.7</v>
      </c>
      <c r="H38" s="15">
        <v>4.6850000000000003E-2</v>
      </c>
    </row>
    <row r="39" spans="1:8" ht="12.95" customHeight="1">
      <c r="A39" s="1"/>
      <c r="B39" s="6" t="s">
        <v>21</v>
      </c>
      <c r="C39" s="7"/>
      <c r="D39" s="7"/>
      <c r="E39" s="7"/>
      <c r="F39" s="16">
        <v>3915.98</v>
      </c>
      <c r="G39" s="16">
        <v>13.88</v>
      </c>
      <c r="H39" s="17"/>
    </row>
    <row r="40" spans="1:8" ht="12.95" customHeight="1">
      <c r="A40" s="1"/>
      <c r="B40" s="6" t="s">
        <v>75</v>
      </c>
      <c r="C40" s="9"/>
      <c r="D40" s="9"/>
      <c r="E40" s="7"/>
      <c r="F40" s="7"/>
      <c r="G40" s="7"/>
      <c r="H40" s="8"/>
    </row>
    <row r="41" spans="1:8" ht="12.95" customHeight="1">
      <c r="A41" s="33"/>
      <c r="B41" s="51" t="s">
        <v>961</v>
      </c>
      <c r="C41" s="9"/>
      <c r="D41" s="9"/>
      <c r="E41" s="7"/>
      <c r="F41" s="7"/>
      <c r="G41" s="7"/>
      <c r="H41" s="8"/>
    </row>
    <row r="42" spans="1:8" ht="12.95" customHeight="1">
      <c r="A42" s="10" t="s">
        <v>112</v>
      </c>
      <c r="B42" s="11" t="s">
        <v>113</v>
      </c>
      <c r="C42" s="12" t="s">
        <v>114</v>
      </c>
      <c r="D42" s="7" t="s">
        <v>63</v>
      </c>
      <c r="E42" s="13">
        <v>1000000</v>
      </c>
      <c r="F42" s="14">
        <v>997.96</v>
      </c>
      <c r="G42" s="14">
        <v>3.53</v>
      </c>
      <c r="H42" s="15">
        <v>4.1500000000000002E-2</v>
      </c>
    </row>
    <row r="43" spans="1:8" ht="12.95" customHeight="1">
      <c r="A43" s="10" t="s">
        <v>121</v>
      </c>
      <c r="B43" s="11" t="s">
        <v>122</v>
      </c>
      <c r="C43" s="12" t="s">
        <v>123</v>
      </c>
      <c r="D43" s="7" t="s">
        <v>50</v>
      </c>
      <c r="E43" s="13">
        <v>1000000</v>
      </c>
      <c r="F43" s="14">
        <v>990.67</v>
      </c>
      <c r="G43" s="14">
        <v>3.51</v>
      </c>
      <c r="H43" s="15">
        <v>3.9497999999999998E-2</v>
      </c>
    </row>
    <row r="44" spans="1:8" ht="12.95" customHeight="1">
      <c r="A44" s="10" t="s">
        <v>583</v>
      </c>
      <c r="B44" s="11" t="s">
        <v>584</v>
      </c>
      <c r="C44" s="12" t="s">
        <v>585</v>
      </c>
      <c r="D44" s="7" t="s">
        <v>50</v>
      </c>
      <c r="E44" s="13">
        <v>1000000</v>
      </c>
      <c r="F44" s="14">
        <v>980.14</v>
      </c>
      <c r="G44" s="14">
        <v>3.47</v>
      </c>
      <c r="H44" s="15">
        <v>4.5100000000000001E-2</v>
      </c>
    </row>
    <row r="45" spans="1:8" ht="12.95" customHeight="1">
      <c r="A45" s="10" t="s">
        <v>573</v>
      </c>
      <c r="B45" s="11" t="s">
        <v>80</v>
      </c>
      <c r="C45" s="12" t="s">
        <v>574</v>
      </c>
      <c r="D45" s="7" t="s">
        <v>50</v>
      </c>
      <c r="E45" s="13">
        <v>1000000</v>
      </c>
      <c r="F45" s="14">
        <v>979.93</v>
      </c>
      <c r="G45" s="14">
        <v>3.47</v>
      </c>
      <c r="H45" s="15">
        <v>5.3400999999999997E-2</v>
      </c>
    </row>
    <row r="46" spans="1:8" ht="12.95" customHeight="1">
      <c r="A46" s="10" t="s">
        <v>586</v>
      </c>
      <c r="B46" s="11" t="s">
        <v>587</v>
      </c>
      <c r="C46" s="12" t="s">
        <v>588</v>
      </c>
      <c r="D46" s="7" t="s">
        <v>50</v>
      </c>
      <c r="E46" s="13">
        <v>1000000</v>
      </c>
      <c r="F46" s="14">
        <v>975.6</v>
      </c>
      <c r="G46" s="14">
        <v>3.46</v>
      </c>
      <c r="H46" s="15">
        <v>5.5001000000000001E-2</v>
      </c>
    </row>
    <row r="47" spans="1:8" ht="12.95" customHeight="1">
      <c r="A47" s="10" t="s">
        <v>575</v>
      </c>
      <c r="B47" s="11" t="s">
        <v>576</v>
      </c>
      <c r="C47" s="12" t="s">
        <v>577</v>
      </c>
      <c r="D47" s="7" t="s">
        <v>91</v>
      </c>
      <c r="E47" s="13">
        <v>500000</v>
      </c>
      <c r="F47" s="14">
        <v>499.35</v>
      </c>
      <c r="G47" s="14">
        <v>1.77</v>
      </c>
      <c r="H47" s="15">
        <v>6.83E-2</v>
      </c>
    </row>
    <row r="48" spans="1:8" ht="12.95" customHeight="1">
      <c r="A48" s="10" t="s">
        <v>578</v>
      </c>
      <c r="B48" s="11" t="s">
        <v>110</v>
      </c>
      <c r="C48" s="12" t="s">
        <v>579</v>
      </c>
      <c r="D48" s="7" t="s">
        <v>91</v>
      </c>
      <c r="E48" s="13">
        <v>500000</v>
      </c>
      <c r="F48" s="14">
        <v>496.73</v>
      </c>
      <c r="G48" s="14">
        <v>1.76</v>
      </c>
      <c r="H48" s="15">
        <v>4.8999000000000001E-2</v>
      </c>
    </row>
    <row r="49" spans="1:12" ht="12.95" customHeight="1">
      <c r="A49" s="10" t="s">
        <v>580</v>
      </c>
      <c r="B49" s="11" t="s">
        <v>581</v>
      </c>
      <c r="C49" s="12" t="s">
        <v>582</v>
      </c>
      <c r="D49" s="7" t="s">
        <v>50</v>
      </c>
      <c r="E49" s="13">
        <v>500000</v>
      </c>
      <c r="F49" s="14">
        <v>496.09</v>
      </c>
      <c r="G49" s="14">
        <v>1.76</v>
      </c>
      <c r="H49" s="15">
        <v>4.2276000000000001E-2</v>
      </c>
    </row>
    <row r="50" spans="1:12" ht="12.95" customHeight="1">
      <c r="A50" s="10" t="s">
        <v>109</v>
      </c>
      <c r="B50" s="11" t="s">
        <v>110</v>
      </c>
      <c r="C50" s="12" t="s">
        <v>111</v>
      </c>
      <c r="D50" s="7" t="s">
        <v>50</v>
      </c>
      <c r="E50" s="13">
        <v>500000</v>
      </c>
      <c r="F50" s="14">
        <v>496.07</v>
      </c>
      <c r="G50" s="14">
        <v>1.76</v>
      </c>
      <c r="H50" s="15">
        <v>4.9001000000000003E-2</v>
      </c>
    </row>
    <row r="51" spans="1:12" ht="12.95" customHeight="1">
      <c r="A51" s="10" t="s">
        <v>589</v>
      </c>
      <c r="B51" s="11" t="s">
        <v>576</v>
      </c>
      <c r="C51" s="12" t="s">
        <v>590</v>
      </c>
      <c r="D51" s="7" t="s">
        <v>91</v>
      </c>
      <c r="E51" s="13">
        <v>500000</v>
      </c>
      <c r="F51" s="14">
        <v>494.43</v>
      </c>
      <c r="G51" s="14">
        <v>1.75</v>
      </c>
      <c r="H51" s="15">
        <v>6.8501000000000006E-2</v>
      </c>
    </row>
    <row r="52" spans="1:12" ht="12.95" customHeight="1">
      <c r="A52" s="1"/>
      <c r="B52" s="6" t="s">
        <v>21</v>
      </c>
      <c r="C52" s="7"/>
      <c r="D52" s="7"/>
      <c r="E52" s="7"/>
      <c r="F52" s="16">
        <v>7406.97</v>
      </c>
      <c r="G52" s="16">
        <v>26.24</v>
      </c>
      <c r="H52" s="17"/>
    </row>
    <row r="53" spans="1:12" ht="12.95" customHeight="1">
      <c r="A53" s="1"/>
      <c r="B53" s="6" t="s">
        <v>962</v>
      </c>
      <c r="C53" s="9"/>
      <c r="D53" s="9"/>
      <c r="E53" s="7"/>
      <c r="F53" s="7"/>
      <c r="G53" s="7"/>
      <c r="H53" s="8"/>
    </row>
    <row r="54" spans="1:12" ht="12.95" customHeight="1">
      <c r="A54" s="10" t="s">
        <v>124</v>
      </c>
      <c r="B54" s="11" t="s">
        <v>963</v>
      </c>
      <c r="C54" s="12"/>
      <c r="D54" s="7"/>
      <c r="E54" s="13"/>
      <c r="F54" s="14">
        <v>53.27</v>
      </c>
      <c r="G54" s="14">
        <v>0.19</v>
      </c>
      <c r="H54" s="15">
        <v>3.6005000000000002E-2</v>
      </c>
    </row>
    <row r="55" spans="1:12" ht="12.95" customHeight="1">
      <c r="A55" s="1"/>
      <c r="B55" s="6" t="s">
        <v>21</v>
      </c>
      <c r="C55" s="7"/>
      <c r="D55" s="7"/>
      <c r="E55" s="7"/>
      <c r="F55" s="16">
        <v>53.27</v>
      </c>
      <c r="G55" s="16">
        <v>0.19</v>
      </c>
      <c r="H55" s="17"/>
    </row>
    <row r="56" spans="1:12" ht="12.95" customHeight="1">
      <c r="A56" s="1"/>
      <c r="B56" s="6" t="s">
        <v>125</v>
      </c>
      <c r="C56" s="9"/>
      <c r="D56" s="9"/>
      <c r="E56" s="7"/>
      <c r="F56" s="7"/>
      <c r="G56" s="7"/>
      <c r="H56" s="8"/>
    </row>
    <row r="57" spans="1:12" ht="12.95" customHeight="1">
      <c r="A57" s="10" t="s">
        <v>126</v>
      </c>
      <c r="B57" s="11" t="s">
        <v>125</v>
      </c>
      <c r="C57" s="12"/>
      <c r="D57" s="7"/>
      <c r="E57" s="13">
        <v>118470800</v>
      </c>
      <c r="F57" s="14">
        <v>1184.71</v>
      </c>
      <c r="G57" s="14">
        <v>4.2</v>
      </c>
      <c r="H57" s="15">
        <v>3.7499999999999999E-2</v>
      </c>
    </row>
    <row r="58" spans="1:12" ht="12.95" customHeight="1">
      <c r="A58" s="1"/>
      <c r="B58" s="6" t="s">
        <v>21</v>
      </c>
      <c r="C58" s="7"/>
      <c r="D58" s="7"/>
      <c r="E58" s="7"/>
      <c r="F58" s="16">
        <v>1184.71</v>
      </c>
      <c r="G58" s="16">
        <v>4.2</v>
      </c>
      <c r="H58" s="17"/>
      <c r="I58" s="85"/>
    </row>
    <row r="59" spans="1:12" ht="12.95" customHeight="1">
      <c r="A59" s="1"/>
      <c r="B59" s="18" t="s">
        <v>24</v>
      </c>
      <c r="C59" s="19"/>
      <c r="D59" s="19"/>
      <c r="E59" s="25"/>
      <c r="F59" s="16">
        <v>18927.95</v>
      </c>
      <c r="G59" s="16">
        <v>67.06</v>
      </c>
      <c r="H59" s="22"/>
      <c r="I59" s="84"/>
      <c r="J59" s="84"/>
      <c r="K59" s="84"/>
      <c r="L59" s="84">
        <f>+G59+G26</f>
        <v>99.1</v>
      </c>
    </row>
    <row r="60" spans="1:12" ht="12.95" customHeight="1">
      <c r="A60" s="1"/>
      <c r="B60" s="18" t="s">
        <v>127</v>
      </c>
      <c r="C60" s="19"/>
      <c r="D60" s="19"/>
      <c r="E60" s="7"/>
      <c r="F60" s="16">
        <v>258.22999999999956</v>
      </c>
      <c r="G60" s="16">
        <v>0.9</v>
      </c>
      <c r="H60" s="22"/>
      <c r="I60" s="84"/>
      <c r="K60" s="84"/>
    </row>
    <row r="61" spans="1:12" ht="12.95" customHeight="1">
      <c r="A61" s="1"/>
      <c r="B61" s="26" t="s">
        <v>128</v>
      </c>
      <c r="C61" s="27"/>
      <c r="D61" s="27"/>
      <c r="E61" s="27"/>
      <c r="F61" s="28">
        <v>28233.5</v>
      </c>
      <c r="G61" s="29">
        <v>100</v>
      </c>
      <c r="H61" s="30"/>
      <c r="I61" s="84"/>
    </row>
    <row r="62" spans="1:12" ht="12.95" customHeight="1">
      <c r="A62" s="1"/>
      <c r="B62" s="105"/>
      <c r="C62" s="105"/>
      <c r="D62" s="105"/>
      <c r="E62" s="105"/>
      <c r="F62" s="1"/>
      <c r="G62" s="1"/>
      <c r="H62" s="1"/>
    </row>
    <row r="63" spans="1:12" ht="12.95" customHeight="1">
      <c r="A63" s="1"/>
      <c r="B63" s="105"/>
      <c r="C63" s="105"/>
      <c r="D63" s="105"/>
      <c r="E63" s="105"/>
      <c r="F63" s="1"/>
      <c r="G63" s="1"/>
      <c r="H63" s="1"/>
    </row>
    <row r="64" spans="1:12" ht="12.95" customHeight="1">
      <c r="A64" s="46"/>
      <c r="B64" s="101" t="s">
        <v>964</v>
      </c>
      <c r="C64" s="102"/>
      <c r="D64" s="102"/>
      <c r="E64" s="102"/>
      <c r="F64" s="46"/>
      <c r="G64" s="46"/>
      <c r="H64" s="46"/>
    </row>
    <row r="65" spans="1:8" ht="12.95" customHeight="1">
      <c r="A65" s="46"/>
      <c r="B65" s="101" t="s">
        <v>129</v>
      </c>
      <c r="C65" s="102"/>
      <c r="D65" s="102"/>
      <c r="E65" s="102"/>
      <c r="F65" s="46"/>
      <c r="G65" s="46"/>
      <c r="H65" s="46"/>
    </row>
    <row r="66" spans="1:8" ht="15.75" thickBot="1"/>
    <row r="67" spans="1:8" s="40" customFormat="1" ht="24">
      <c r="B67" s="52" t="s">
        <v>2</v>
      </c>
      <c r="C67" s="53" t="s">
        <v>3</v>
      </c>
      <c r="D67" s="53" t="s">
        <v>4</v>
      </c>
      <c r="E67" s="53" t="s">
        <v>5</v>
      </c>
      <c r="F67" s="53" t="s">
        <v>6</v>
      </c>
      <c r="G67" s="53" t="s">
        <v>7</v>
      </c>
      <c r="H67" s="54" t="s">
        <v>959</v>
      </c>
    </row>
    <row r="68" spans="1:8" ht="12.95" customHeight="1">
      <c r="A68" s="55" t="s">
        <v>507</v>
      </c>
      <c r="B68" s="11" t="s">
        <v>508</v>
      </c>
      <c r="C68" s="12" t="s">
        <v>509</v>
      </c>
      <c r="D68" s="7" t="s">
        <v>474</v>
      </c>
      <c r="E68" s="13">
        <v>500000</v>
      </c>
      <c r="F68" s="14">
        <v>504.14</v>
      </c>
      <c r="G68" s="14">
        <v>1.79</v>
      </c>
      <c r="H68" s="15">
        <v>4.6850999999999997E-2</v>
      </c>
    </row>
    <row r="69" spans="1:8" s="40" customFormat="1">
      <c r="B69" s="61"/>
      <c r="C69" s="62"/>
      <c r="D69" s="63"/>
      <c r="E69" s="64"/>
      <c r="F69" s="65"/>
      <c r="G69" s="65"/>
      <c r="H69" s="66"/>
    </row>
    <row r="70" spans="1:8" s="40" customFormat="1" ht="15.75" thickBot="1">
      <c r="B70" s="67" t="s">
        <v>966</v>
      </c>
      <c r="C70" s="68"/>
      <c r="D70" s="69"/>
      <c r="E70" s="69"/>
      <c r="F70" s="70">
        <f>SUM(F68:F68)</f>
        <v>504.14</v>
      </c>
      <c r="G70" s="71">
        <f>SUM(G68:G68)</f>
        <v>1.79</v>
      </c>
      <c r="H70" s="71"/>
    </row>
  </sheetData>
  <mergeCells count="7">
    <mergeCell ref="B64:E64"/>
    <mergeCell ref="B65:E65"/>
    <mergeCell ref="B1:H1"/>
    <mergeCell ref="B2:H2"/>
    <mergeCell ref="B3:H3"/>
    <mergeCell ref="B62:E62"/>
    <mergeCell ref="B63:E63"/>
  </mergeCells>
  <pageMargins left="0" right="0" top="0" bottom="0" header="0" footer="0"/>
  <pageSetup orientation="portrait" r:id="rId1"/>
  <headerFooter>
    <oddFooter>&amp;C&amp;1#&amp;"Calibri"&amp;10&amp;K000000 For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5"/>
  <sheetViews>
    <sheetView topLeftCell="A49" workbookViewId="0">
      <selection activeCell="B74" sqref="B74:E74"/>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5.25" customHeight="1">
      <c r="A3" s="1"/>
      <c r="B3" s="108" t="s">
        <v>954</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328</v>
      </c>
      <c r="B8" s="11" t="s">
        <v>329</v>
      </c>
      <c r="C8" s="12" t="s">
        <v>330</v>
      </c>
      <c r="D8" s="7" t="s">
        <v>141</v>
      </c>
      <c r="E8" s="13">
        <v>782100</v>
      </c>
      <c r="F8" s="14">
        <v>3860.05</v>
      </c>
      <c r="G8" s="14">
        <v>5.52</v>
      </c>
      <c r="H8" s="15"/>
    </row>
    <row r="9" spans="1:8" ht="12.95" customHeight="1">
      <c r="A9" s="10" t="s">
        <v>138</v>
      </c>
      <c r="B9" s="11" t="s">
        <v>139</v>
      </c>
      <c r="C9" s="12" t="s">
        <v>140</v>
      </c>
      <c r="D9" s="7" t="s">
        <v>141</v>
      </c>
      <c r="E9" s="13">
        <v>495000</v>
      </c>
      <c r="F9" s="14">
        <v>3614.99</v>
      </c>
      <c r="G9" s="14">
        <v>5.17</v>
      </c>
      <c r="H9" s="15"/>
    </row>
    <row r="10" spans="1:8" ht="12.95" customHeight="1">
      <c r="A10" s="10" t="s">
        <v>134</v>
      </c>
      <c r="B10" s="11" t="s">
        <v>135</v>
      </c>
      <c r="C10" s="12" t="s">
        <v>136</v>
      </c>
      <c r="D10" s="7" t="s">
        <v>137</v>
      </c>
      <c r="E10" s="13">
        <v>179442</v>
      </c>
      <c r="F10" s="14">
        <v>3421.69</v>
      </c>
      <c r="G10" s="14">
        <v>4.9000000000000004</v>
      </c>
      <c r="H10" s="15"/>
    </row>
    <row r="11" spans="1:8" ht="12.95" customHeight="1">
      <c r="A11" s="10" t="s">
        <v>343</v>
      </c>
      <c r="B11" s="11" t="s">
        <v>344</v>
      </c>
      <c r="C11" s="12" t="s">
        <v>345</v>
      </c>
      <c r="D11" s="7" t="s">
        <v>159</v>
      </c>
      <c r="E11" s="13">
        <v>1057500</v>
      </c>
      <c r="F11" s="14">
        <v>2650.62</v>
      </c>
      <c r="G11" s="14">
        <v>3.79</v>
      </c>
      <c r="H11" s="15"/>
    </row>
    <row r="12" spans="1:8" ht="12.95" customHeight="1">
      <c r="A12" s="10" t="s">
        <v>171</v>
      </c>
      <c r="B12" s="11" t="s">
        <v>172</v>
      </c>
      <c r="C12" s="12" t="s">
        <v>173</v>
      </c>
      <c r="D12" s="7" t="s">
        <v>174</v>
      </c>
      <c r="E12" s="13">
        <v>27000</v>
      </c>
      <c r="F12" s="14">
        <v>2041.55</v>
      </c>
      <c r="G12" s="14">
        <v>2.92</v>
      </c>
      <c r="H12" s="15"/>
    </row>
    <row r="13" spans="1:8" ht="12.95" customHeight="1">
      <c r="A13" s="10" t="s">
        <v>355</v>
      </c>
      <c r="B13" s="11" t="s">
        <v>356</v>
      </c>
      <c r="C13" s="12" t="s">
        <v>357</v>
      </c>
      <c r="D13" s="7" t="s">
        <v>358</v>
      </c>
      <c r="E13" s="13">
        <v>663300</v>
      </c>
      <c r="F13" s="14">
        <v>1912.63</v>
      </c>
      <c r="G13" s="14">
        <v>2.74</v>
      </c>
      <c r="H13" s="15"/>
    </row>
    <row r="14" spans="1:8" ht="12.95" customHeight="1">
      <c r="A14" s="10" t="s">
        <v>384</v>
      </c>
      <c r="B14" s="11" t="s">
        <v>385</v>
      </c>
      <c r="C14" s="12" t="s">
        <v>386</v>
      </c>
      <c r="D14" s="7" t="s">
        <v>181</v>
      </c>
      <c r="E14" s="13">
        <v>549000</v>
      </c>
      <c r="F14" s="14">
        <v>1658.53</v>
      </c>
      <c r="G14" s="14">
        <v>2.37</v>
      </c>
      <c r="H14" s="15"/>
    </row>
    <row r="15" spans="1:8" ht="12.95" customHeight="1">
      <c r="A15" s="10" t="s">
        <v>359</v>
      </c>
      <c r="B15" s="11" t="s">
        <v>360</v>
      </c>
      <c r="C15" s="12" t="s">
        <v>361</v>
      </c>
      <c r="D15" s="7" t="s">
        <v>141</v>
      </c>
      <c r="E15" s="13">
        <v>720000</v>
      </c>
      <c r="F15" s="14">
        <v>1639.8</v>
      </c>
      <c r="G15" s="14">
        <v>2.35</v>
      </c>
      <c r="H15" s="15"/>
    </row>
    <row r="16" spans="1:8" ht="12.95" customHeight="1">
      <c r="A16" s="10" t="s">
        <v>371</v>
      </c>
      <c r="B16" s="11" t="s">
        <v>372</v>
      </c>
      <c r="C16" s="12" t="s">
        <v>373</v>
      </c>
      <c r="D16" s="7" t="s">
        <v>203</v>
      </c>
      <c r="E16" s="13">
        <v>307691</v>
      </c>
      <c r="F16" s="14">
        <v>1639.53</v>
      </c>
      <c r="G16" s="14">
        <v>2.35</v>
      </c>
      <c r="H16" s="15"/>
    </row>
    <row r="17" spans="1:8" ht="12.95" customHeight="1">
      <c r="A17" s="10" t="s">
        <v>152</v>
      </c>
      <c r="B17" s="11" t="s">
        <v>153</v>
      </c>
      <c r="C17" s="12" t="s">
        <v>154</v>
      </c>
      <c r="D17" s="7" t="s">
        <v>155</v>
      </c>
      <c r="E17" s="13">
        <v>22500</v>
      </c>
      <c r="F17" s="14">
        <v>1633.49</v>
      </c>
      <c r="G17" s="14">
        <v>2.34</v>
      </c>
      <c r="H17" s="15"/>
    </row>
    <row r="18" spans="1:8" ht="12.95" customHeight="1">
      <c r="A18" s="10" t="s">
        <v>149</v>
      </c>
      <c r="B18" s="11" t="s">
        <v>150</v>
      </c>
      <c r="C18" s="12" t="s">
        <v>151</v>
      </c>
      <c r="D18" s="7" t="s">
        <v>141</v>
      </c>
      <c r="E18" s="13">
        <v>202500</v>
      </c>
      <c r="F18" s="14">
        <v>1541.33</v>
      </c>
      <c r="G18" s="14">
        <v>2.21</v>
      </c>
      <c r="H18" s="15"/>
    </row>
    <row r="19" spans="1:8" ht="12.95" customHeight="1">
      <c r="A19" s="10" t="s">
        <v>646</v>
      </c>
      <c r="B19" s="11" t="s">
        <v>647</v>
      </c>
      <c r="C19" s="12" t="s">
        <v>648</v>
      </c>
      <c r="D19" s="7" t="s">
        <v>207</v>
      </c>
      <c r="E19" s="13">
        <v>132804</v>
      </c>
      <c r="F19" s="14">
        <v>1489.13</v>
      </c>
      <c r="G19" s="14">
        <v>2.13</v>
      </c>
      <c r="H19" s="15"/>
    </row>
    <row r="20" spans="1:8" ht="12.95" customHeight="1">
      <c r="A20" s="10" t="s">
        <v>352</v>
      </c>
      <c r="B20" s="11" t="s">
        <v>353</v>
      </c>
      <c r="C20" s="12" t="s">
        <v>354</v>
      </c>
      <c r="D20" s="7" t="s">
        <v>211</v>
      </c>
      <c r="E20" s="13">
        <v>613924</v>
      </c>
      <c r="F20" s="14">
        <v>1465.13</v>
      </c>
      <c r="G20" s="14">
        <v>2.1</v>
      </c>
      <c r="H20" s="15"/>
    </row>
    <row r="21" spans="1:8" ht="12.95" customHeight="1">
      <c r="A21" s="10" t="s">
        <v>595</v>
      </c>
      <c r="B21" s="11" t="s">
        <v>596</v>
      </c>
      <c r="C21" s="12" t="s">
        <v>597</v>
      </c>
      <c r="D21" s="7" t="s">
        <v>262</v>
      </c>
      <c r="E21" s="13">
        <v>98100</v>
      </c>
      <c r="F21" s="14">
        <v>1456.69</v>
      </c>
      <c r="G21" s="14">
        <v>2.08</v>
      </c>
      <c r="H21" s="15"/>
    </row>
    <row r="22" spans="1:8" ht="12.95" customHeight="1">
      <c r="A22" s="10" t="s">
        <v>362</v>
      </c>
      <c r="B22" s="11" t="s">
        <v>363</v>
      </c>
      <c r="C22" s="12" t="s">
        <v>364</v>
      </c>
      <c r="D22" s="7" t="s">
        <v>155</v>
      </c>
      <c r="E22" s="13">
        <v>405000</v>
      </c>
      <c r="F22" s="14">
        <v>1453.75</v>
      </c>
      <c r="G22" s="14">
        <v>2.08</v>
      </c>
      <c r="H22" s="15"/>
    </row>
    <row r="23" spans="1:8" ht="12.95" customHeight="1">
      <c r="A23" s="10" t="s">
        <v>145</v>
      </c>
      <c r="B23" s="11" t="s">
        <v>146</v>
      </c>
      <c r="C23" s="12" t="s">
        <v>147</v>
      </c>
      <c r="D23" s="7" t="s">
        <v>148</v>
      </c>
      <c r="E23" s="13">
        <v>54000</v>
      </c>
      <c r="F23" s="14">
        <v>1422.77</v>
      </c>
      <c r="G23" s="14">
        <v>2.04</v>
      </c>
      <c r="H23" s="15"/>
    </row>
    <row r="24" spans="1:8" ht="12.95" customHeight="1">
      <c r="A24" s="10" t="s">
        <v>331</v>
      </c>
      <c r="B24" s="11" t="s">
        <v>332</v>
      </c>
      <c r="C24" s="12" t="s">
        <v>333</v>
      </c>
      <c r="D24" s="7" t="s">
        <v>159</v>
      </c>
      <c r="E24" s="13">
        <v>157500</v>
      </c>
      <c r="F24" s="14">
        <v>1399.15</v>
      </c>
      <c r="G24" s="14">
        <v>2</v>
      </c>
      <c r="H24" s="15"/>
    </row>
    <row r="25" spans="1:8" ht="12.95" customHeight="1">
      <c r="A25" s="10" t="s">
        <v>637</v>
      </c>
      <c r="B25" s="11" t="s">
        <v>638</v>
      </c>
      <c r="C25" s="12" t="s">
        <v>639</v>
      </c>
      <c r="D25" s="7" t="s">
        <v>155</v>
      </c>
      <c r="E25" s="13">
        <v>42300</v>
      </c>
      <c r="F25" s="14">
        <v>1395.16</v>
      </c>
      <c r="G25" s="14">
        <v>2</v>
      </c>
      <c r="H25" s="15"/>
    </row>
    <row r="26" spans="1:8" ht="12.95" customHeight="1">
      <c r="A26" s="10" t="s">
        <v>667</v>
      </c>
      <c r="B26" s="11" t="s">
        <v>668</v>
      </c>
      <c r="C26" s="12" t="s">
        <v>669</v>
      </c>
      <c r="D26" s="7" t="s">
        <v>594</v>
      </c>
      <c r="E26" s="13">
        <v>846000</v>
      </c>
      <c r="F26" s="14">
        <v>1375.17</v>
      </c>
      <c r="G26" s="14">
        <v>1.97</v>
      </c>
      <c r="H26" s="15"/>
    </row>
    <row r="27" spans="1:8" ht="12.95" customHeight="1">
      <c r="A27" s="10" t="s">
        <v>204</v>
      </c>
      <c r="B27" s="11" t="s">
        <v>205</v>
      </c>
      <c r="C27" s="12" t="s">
        <v>206</v>
      </c>
      <c r="D27" s="7" t="s">
        <v>207</v>
      </c>
      <c r="E27" s="13">
        <v>67950</v>
      </c>
      <c r="F27" s="14">
        <v>1374.59</v>
      </c>
      <c r="G27" s="14">
        <v>1.97</v>
      </c>
      <c r="H27" s="15"/>
    </row>
    <row r="28" spans="1:8" ht="12.95" customHeight="1">
      <c r="A28" s="10" t="s">
        <v>337</v>
      </c>
      <c r="B28" s="11" t="s">
        <v>338</v>
      </c>
      <c r="C28" s="12" t="s">
        <v>339</v>
      </c>
      <c r="D28" s="7" t="s">
        <v>288</v>
      </c>
      <c r="E28" s="13">
        <v>181800</v>
      </c>
      <c r="F28" s="14">
        <v>1372.5</v>
      </c>
      <c r="G28" s="14">
        <v>1.96</v>
      </c>
      <c r="H28" s="15"/>
    </row>
    <row r="29" spans="1:8" ht="12.95" customHeight="1">
      <c r="A29" s="10" t="s">
        <v>323</v>
      </c>
      <c r="B29" s="11" t="s">
        <v>324</v>
      </c>
      <c r="C29" s="12" t="s">
        <v>325</v>
      </c>
      <c r="D29" s="7" t="s">
        <v>159</v>
      </c>
      <c r="E29" s="13">
        <v>279000</v>
      </c>
      <c r="F29" s="14">
        <v>1365.43</v>
      </c>
      <c r="G29" s="14">
        <v>1.95</v>
      </c>
      <c r="H29" s="15"/>
    </row>
    <row r="30" spans="1:8" ht="12.95" customHeight="1">
      <c r="A30" s="10" t="s">
        <v>346</v>
      </c>
      <c r="B30" s="11" t="s">
        <v>347</v>
      </c>
      <c r="C30" s="12" t="s">
        <v>348</v>
      </c>
      <c r="D30" s="7" t="s">
        <v>137</v>
      </c>
      <c r="E30" s="13">
        <v>87300</v>
      </c>
      <c r="F30" s="14">
        <v>1309.02</v>
      </c>
      <c r="G30" s="14">
        <v>1.87</v>
      </c>
      <c r="H30" s="15"/>
    </row>
    <row r="31" spans="1:8" ht="12.95" customHeight="1">
      <c r="A31" s="10" t="s">
        <v>368</v>
      </c>
      <c r="B31" s="11" t="s">
        <v>369</v>
      </c>
      <c r="C31" s="12" t="s">
        <v>370</v>
      </c>
      <c r="D31" s="7" t="s">
        <v>174</v>
      </c>
      <c r="E31" s="13">
        <v>611287</v>
      </c>
      <c r="F31" s="14">
        <v>1262.31</v>
      </c>
      <c r="G31" s="14">
        <v>1.81</v>
      </c>
      <c r="H31" s="15"/>
    </row>
    <row r="32" spans="1:8" ht="12.95" customHeight="1">
      <c r="A32" s="10" t="s">
        <v>374</v>
      </c>
      <c r="B32" s="11" t="s">
        <v>375</v>
      </c>
      <c r="C32" s="12" t="s">
        <v>376</v>
      </c>
      <c r="D32" s="7" t="s">
        <v>377</v>
      </c>
      <c r="E32" s="13">
        <v>432000</v>
      </c>
      <c r="F32" s="14">
        <v>1254.53</v>
      </c>
      <c r="G32" s="14">
        <v>1.8</v>
      </c>
      <c r="H32" s="15"/>
    </row>
    <row r="33" spans="1:8" ht="12.95" customHeight="1">
      <c r="A33" s="10" t="s">
        <v>365</v>
      </c>
      <c r="B33" s="11" t="s">
        <v>366</v>
      </c>
      <c r="C33" s="12" t="s">
        <v>367</v>
      </c>
      <c r="D33" s="7" t="s">
        <v>148</v>
      </c>
      <c r="E33" s="13">
        <v>459000</v>
      </c>
      <c r="F33" s="14">
        <v>1236.32</v>
      </c>
      <c r="G33" s="14">
        <v>1.77</v>
      </c>
      <c r="H33" s="15"/>
    </row>
    <row r="34" spans="1:8" ht="12.95" customHeight="1">
      <c r="A34" s="10" t="s">
        <v>189</v>
      </c>
      <c r="B34" s="11" t="s">
        <v>190</v>
      </c>
      <c r="C34" s="12" t="s">
        <v>191</v>
      </c>
      <c r="D34" s="7" t="s">
        <v>192</v>
      </c>
      <c r="E34" s="13">
        <v>27900</v>
      </c>
      <c r="F34" s="14">
        <v>1228.17</v>
      </c>
      <c r="G34" s="14">
        <v>1.76</v>
      </c>
      <c r="H34" s="15"/>
    </row>
    <row r="35" spans="1:8" ht="12.95" customHeight="1">
      <c r="A35" s="10" t="s">
        <v>643</v>
      </c>
      <c r="B35" s="11" t="s">
        <v>644</v>
      </c>
      <c r="C35" s="12" t="s">
        <v>645</v>
      </c>
      <c r="D35" s="7" t="s">
        <v>141</v>
      </c>
      <c r="E35" s="13">
        <v>1233000</v>
      </c>
      <c r="F35" s="14">
        <v>1200.94</v>
      </c>
      <c r="G35" s="14">
        <v>1.72</v>
      </c>
      <c r="H35" s="15"/>
    </row>
    <row r="36" spans="1:8" ht="12.95" customHeight="1">
      <c r="A36" s="10" t="s">
        <v>394</v>
      </c>
      <c r="B36" s="11" t="s">
        <v>395</v>
      </c>
      <c r="C36" s="12" t="s">
        <v>396</v>
      </c>
      <c r="D36" s="7" t="s">
        <v>397</v>
      </c>
      <c r="E36" s="13">
        <v>765000</v>
      </c>
      <c r="F36" s="14">
        <v>1190.72</v>
      </c>
      <c r="G36" s="14">
        <v>1.7</v>
      </c>
      <c r="H36" s="15"/>
    </row>
    <row r="37" spans="1:8" ht="12.95" customHeight="1">
      <c r="A37" s="10" t="s">
        <v>390</v>
      </c>
      <c r="B37" s="11" t="s">
        <v>391</v>
      </c>
      <c r="C37" s="12" t="s">
        <v>392</v>
      </c>
      <c r="D37" s="7" t="s">
        <v>393</v>
      </c>
      <c r="E37" s="13">
        <v>720000</v>
      </c>
      <c r="F37" s="14">
        <v>1180.08</v>
      </c>
      <c r="G37" s="14">
        <v>1.69</v>
      </c>
      <c r="H37" s="15"/>
    </row>
    <row r="38" spans="1:8" ht="12.95" customHeight="1">
      <c r="A38" s="10" t="s">
        <v>208</v>
      </c>
      <c r="B38" s="11" t="s">
        <v>209</v>
      </c>
      <c r="C38" s="12" t="s">
        <v>210</v>
      </c>
      <c r="D38" s="7" t="s">
        <v>211</v>
      </c>
      <c r="E38" s="13">
        <v>873000</v>
      </c>
      <c r="F38" s="14">
        <v>1178.55</v>
      </c>
      <c r="G38" s="14">
        <v>1.69</v>
      </c>
      <c r="H38" s="15"/>
    </row>
    <row r="39" spans="1:8" ht="12.95" customHeight="1">
      <c r="A39" s="10" t="s">
        <v>607</v>
      </c>
      <c r="B39" s="11" t="s">
        <v>608</v>
      </c>
      <c r="C39" s="12" t="s">
        <v>609</v>
      </c>
      <c r="D39" s="7" t="s">
        <v>207</v>
      </c>
      <c r="E39" s="13">
        <v>47601</v>
      </c>
      <c r="F39" s="14">
        <v>1125.48</v>
      </c>
      <c r="G39" s="14">
        <v>1.61</v>
      </c>
      <c r="H39" s="15"/>
    </row>
    <row r="40" spans="1:8" ht="12.95" customHeight="1">
      <c r="A40" s="10" t="s">
        <v>381</v>
      </c>
      <c r="B40" s="11" t="s">
        <v>382</v>
      </c>
      <c r="C40" s="12" t="s">
        <v>383</v>
      </c>
      <c r="D40" s="7" t="s">
        <v>230</v>
      </c>
      <c r="E40" s="13">
        <v>139500</v>
      </c>
      <c r="F40" s="14">
        <v>1080.01</v>
      </c>
      <c r="G40" s="14">
        <v>1.55</v>
      </c>
      <c r="H40" s="15"/>
    </row>
    <row r="41" spans="1:8" ht="12.95" customHeight="1">
      <c r="A41" s="10" t="s">
        <v>610</v>
      </c>
      <c r="B41" s="11" t="s">
        <v>611</v>
      </c>
      <c r="C41" s="12" t="s">
        <v>612</v>
      </c>
      <c r="D41" s="7" t="s">
        <v>234</v>
      </c>
      <c r="E41" s="13">
        <v>198000</v>
      </c>
      <c r="F41" s="14">
        <v>977.72</v>
      </c>
      <c r="G41" s="14">
        <v>1.4</v>
      </c>
      <c r="H41" s="15"/>
    </row>
    <row r="42" spans="1:8" ht="12.95" customHeight="1">
      <c r="A42" s="10" t="s">
        <v>185</v>
      </c>
      <c r="B42" s="11" t="s">
        <v>186</v>
      </c>
      <c r="C42" s="12" t="s">
        <v>187</v>
      </c>
      <c r="D42" s="7" t="s">
        <v>188</v>
      </c>
      <c r="E42" s="13">
        <v>14400</v>
      </c>
      <c r="F42" s="14">
        <v>950.73</v>
      </c>
      <c r="G42" s="14">
        <v>1.36</v>
      </c>
      <c r="H42" s="15"/>
    </row>
    <row r="43" spans="1:8" ht="12.95" customHeight="1">
      <c r="A43" s="10" t="s">
        <v>285</v>
      </c>
      <c r="B43" s="11" t="s">
        <v>286</v>
      </c>
      <c r="C43" s="12" t="s">
        <v>287</v>
      </c>
      <c r="D43" s="7" t="s">
        <v>288</v>
      </c>
      <c r="E43" s="13">
        <v>75060</v>
      </c>
      <c r="F43" s="14">
        <v>922.19</v>
      </c>
      <c r="G43" s="14">
        <v>1.32</v>
      </c>
      <c r="H43" s="15"/>
    </row>
    <row r="44" spans="1:8" ht="12.95" customHeight="1">
      <c r="A44" s="10" t="s">
        <v>824</v>
      </c>
      <c r="B44" s="11" t="s">
        <v>825</v>
      </c>
      <c r="C44" s="12" t="s">
        <v>826</v>
      </c>
      <c r="D44" s="7" t="s">
        <v>207</v>
      </c>
      <c r="E44" s="13">
        <v>25650</v>
      </c>
      <c r="F44" s="14">
        <v>906.57</v>
      </c>
      <c r="G44" s="14">
        <v>1.3</v>
      </c>
      <c r="H44" s="15"/>
    </row>
    <row r="45" spans="1:8" ht="12.95" customHeight="1">
      <c r="A45" s="10" t="s">
        <v>404</v>
      </c>
      <c r="B45" s="11" t="s">
        <v>405</v>
      </c>
      <c r="C45" s="12" t="s">
        <v>406</v>
      </c>
      <c r="D45" s="7" t="s">
        <v>192</v>
      </c>
      <c r="E45" s="13">
        <v>115200</v>
      </c>
      <c r="F45" s="14">
        <v>871.08</v>
      </c>
      <c r="G45" s="14">
        <v>1.25</v>
      </c>
      <c r="H45" s="15"/>
    </row>
    <row r="46" spans="1:8" ht="12.95" customHeight="1">
      <c r="A46" s="10" t="s">
        <v>628</v>
      </c>
      <c r="B46" s="11" t="s">
        <v>629</v>
      </c>
      <c r="C46" s="12" t="s">
        <v>630</v>
      </c>
      <c r="D46" s="7" t="s">
        <v>246</v>
      </c>
      <c r="E46" s="13">
        <v>8125</v>
      </c>
      <c r="F46" s="14">
        <v>836.27</v>
      </c>
      <c r="G46" s="14">
        <v>1.2</v>
      </c>
      <c r="H46" s="15"/>
    </row>
    <row r="47" spans="1:8" ht="12.95" customHeight="1">
      <c r="A47" s="10" t="s">
        <v>243</v>
      </c>
      <c r="B47" s="11" t="s">
        <v>244</v>
      </c>
      <c r="C47" s="12" t="s">
        <v>245</v>
      </c>
      <c r="D47" s="7" t="s">
        <v>246</v>
      </c>
      <c r="E47" s="13">
        <v>39699</v>
      </c>
      <c r="F47" s="14">
        <v>775.4</v>
      </c>
      <c r="G47" s="14">
        <v>1.1100000000000001</v>
      </c>
      <c r="H47" s="15"/>
    </row>
    <row r="48" spans="1:8" ht="12.95" customHeight="1">
      <c r="A48" s="10" t="s">
        <v>164</v>
      </c>
      <c r="B48" s="11" t="s">
        <v>165</v>
      </c>
      <c r="C48" s="12" t="s">
        <v>166</v>
      </c>
      <c r="D48" s="7" t="s">
        <v>141</v>
      </c>
      <c r="E48" s="13">
        <v>42210</v>
      </c>
      <c r="F48" s="14">
        <v>740.3</v>
      </c>
      <c r="G48" s="14">
        <v>1.06</v>
      </c>
      <c r="H48" s="15"/>
    </row>
    <row r="49" spans="1:8" ht="12.95" customHeight="1">
      <c r="A49" s="10" t="s">
        <v>759</v>
      </c>
      <c r="B49" s="11" t="s">
        <v>760</v>
      </c>
      <c r="C49" s="12" t="s">
        <v>761</v>
      </c>
      <c r="D49" s="7" t="s">
        <v>137</v>
      </c>
      <c r="E49" s="13">
        <v>19899</v>
      </c>
      <c r="F49" s="14">
        <v>713.93</v>
      </c>
      <c r="G49" s="14">
        <v>1.02</v>
      </c>
      <c r="H49" s="15"/>
    </row>
    <row r="50" spans="1:8" ht="12.95" customHeight="1">
      <c r="A50" s="10" t="s">
        <v>313</v>
      </c>
      <c r="B50" s="11" t="s">
        <v>314</v>
      </c>
      <c r="C50" s="12" t="s">
        <v>315</v>
      </c>
      <c r="D50" s="7" t="s">
        <v>316</v>
      </c>
      <c r="E50" s="13">
        <v>297030</v>
      </c>
      <c r="F50" s="14">
        <v>708.42</v>
      </c>
      <c r="G50" s="14">
        <v>1.01</v>
      </c>
      <c r="H50" s="15"/>
    </row>
    <row r="51" spans="1:8" ht="12.95" customHeight="1">
      <c r="A51" s="10" t="s">
        <v>398</v>
      </c>
      <c r="B51" s="11" t="s">
        <v>399</v>
      </c>
      <c r="C51" s="12" t="s">
        <v>400</v>
      </c>
      <c r="D51" s="7" t="s">
        <v>137</v>
      </c>
      <c r="E51" s="13">
        <v>11070</v>
      </c>
      <c r="F51" s="14">
        <v>681.4</v>
      </c>
      <c r="G51" s="14">
        <v>0.97</v>
      </c>
      <c r="H51" s="15"/>
    </row>
    <row r="52" spans="1:8" ht="12.95" customHeight="1">
      <c r="A52" s="10" t="s">
        <v>631</v>
      </c>
      <c r="B52" s="11" t="s">
        <v>632</v>
      </c>
      <c r="C52" s="12" t="s">
        <v>633</v>
      </c>
      <c r="D52" s="7" t="s">
        <v>137</v>
      </c>
      <c r="E52" s="13">
        <v>144000</v>
      </c>
      <c r="F52" s="14">
        <v>655.13</v>
      </c>
      <c r="G52" s="14">
        <v>0.94</v>
      </c>
      <c r="H52" s="15"/>
    </row>
    <row r="53" spans="1:8" ht="12.95" customHeight="1">
      <c r="A53" s="10" t="s">
        <v>625</v>
      </c>
      <c r="B53" s="11" t="s">
        <v>626</v>
      </c>
      <c r="C53" s="12" t="s">
        <v>627</v>
      </c>
      <c r="D53" s="7" t="s">
        <v>137</v>
      </c>
      <c r="E53" s="13">
        <v>162000</v>
      </c>
      <c r="F53" s="14">
        <v>594.46</v>
      </c>
      <c r="G53" s="14">
        <v>0.85</v>
      </c>
      <c r="H53" s="15"/>
    </row>
    <row r="54" spans="1:8" ht="12.95" customHeight="1">
      <c r="A54" s="10" t="s">
        <v>295</v>
      </c>
      <c r="B54" s="11" t="s">
        <v>296</v>
      </c>
      <c r="C54" s="12" t="s">
        <v>297</v>
      </c>
      <c r="D54" s="7" t="s">
        <v>288</v>
      </c>
      <c r="E54" s="13">
        <v>243000</v>
      </c>
      <c r="F54" s="14">
        <v>539.58000000000004</v>
      </c>
      <c r="G54" s="14">
        <v>0.77</v>
      </c>
      <c r="H54" s="15"/>
    </row>
    <row r="55" spans="1:8" ht="12.95" customHeight="1">
      <c r="A55" s="10" t="s">
        <v>616</v>
      </c>
      <c r="B55" s="11" t="s">
        <v>617</v>
      </c>
      <c r="C55" s="12" t="s">
        <v>618</v>
      </c>
      <c r="D55" s="7" t="s">
        <v>218</v>
      </c>
      <c r="E55" s="13">
        <v>135000</v>
      </c>
      <c r="F55" s="14">
        <v>466.76</v>
      </c>
      <c r="G55" s="14">
        <v>0.67</v>
      </c>
      <c r="H55" s="15"/>
    </row>
    <row r="56" spans="1:8" ht="12.95" customHeight="1">
      <c r="A56" s="10" t="s">
        <v>634</v>
      </c>
      <c r="B56" s="11" t="s">
        <v>635</v>
      </c>
      <c r="C56" s="12" t="s">
        <v>636</v>
      </c>
      <c r="D56" s="7" t="s">
        <v>174</v>
      </c>
      <c r="E56" s="13">
        <v>20700</v>
      </c>
      <c r="F56" s="14">
        <v>350.01</v>
      </c>
      <c r="G56" s="14">
        <v>0.5</v>
      </c>
      <c r="H56" s="15"/>
    </row>
    <row r="57" spans="1:8" ht="12.95" customHeight="1">
      <c r="A57" s="10" t="s">
        <v>619</v>
      </c>
      <c r="B57" s="11" t="s">
        <v>620</v>
      </c>
      <c r="C57" s="12" t="s">
        <v>621</v>
      </c>
      <c r="D57" s="7" t="s">
        <v>272</v>
      </c>
      <c r="E57" s="13">
        <v>18000</v>
      </c>
      <c r="F57" s="14">
        <v>327.39</v>
      </c>
      <c r="G57" s="14">
        <v>0.47</v>
      </c>
      <c r="H57" s="15"/>
    </row>
    <row r="58" spans="1:8" ht="12.95" customHeight="1">
      <c r="A58" s="10" t="s">
        <v>407</v>
      </c>
      <c r="B58" s="11" t="s">
        <v>408</v>
      </c>
      <c r="C58" s="12" t="s">
        <v>409</v>
      </c>
      <c r="D58" s="7" t="s">
        <v>288</v>
      </c>
      <c r="E58" s="13">
        <v>4178</v>
      </c>
      <c r="F58" s="14">
        <v>16.54</v>
      </c>
      <c r="G58" s="14">
        <v>0.02</v>
      </c>
      <c r="H58" s="15"/>
    </row>
    <row r="59" spans="1:8" ht="12.95" customHeight="1">
      <c r="A59" s="1"/>
      <c r="B59" s="6" t="s">
        <v>21</v>
      </c>
      <c r="C59" s="7"/>
      <c r="D59" s="7"/>
      <c r="E59" s="7"/>
      <c r="F59" s="16">
        <v>66463.69</v>
      </c>
      <c r="G59" s="16">
        <v>95.13</v>
      </c>
      <c r="H59" s="17"/>
    </row>
    <row r="60" spans="1:8" ht="12.95" customHeight="1">
      <c r="A60" s="1"/>
      <c r="B60" s="18" t="s">
        <v>326</v>
      </c>
      <c r="C60" s="19"/>
      <c r="D60" s="19"/>
      <c r="E60" s="20"/>
      <c r="F60" s="21" t="s">
        <v>23</v>
      </c>
      <c r="G60" s="21"/>
      <c r="H60" s="22"/>
    </row>
    <row r="61" spans="1:8" ht="12.95" customHeight="1">
      <c r="A61" s="1"/>
      <c r="B61" s="23" t="s">
        <v>21</v>
      </c>
      <c r="C61" s="24"/>
      <c r="D61" s="24"/>
      <c r="E61" s="21"/>
      <c r="F61" s="21" t="s">
        <v>23</v>
      </c>
      <c r="G61" s="21"/>
      <c r="H61" s="22"/>
    </row>
    <row r="62" spans="1:8" ht="12.95" customHeight="1">
      <c r="A62" s="1"/>
      <c r="B62" s="18" t="s">
        <v>24</v>
      </c>
      <c r="C62" s="19"/>
      <c r="D62" s="19"/>
      <c r="E62" s="25"/>
      <c r="F62" s="16">
        <v>66463.69</v>
      </c>
      <c r="G62" s="16">
        <v>95.13</v>
      </c>
      <c r="H62" s="22"/>
    </row>
    <row r="63" spans="1:8" ht="12.95" customHeight="1">
      <c r="A63" s="1"/>
      <c r="B63" s="6" t="s">
        <v>25</v>
      </c>
      <c r="C63" s="7"/>
      <c r="D63" s="7"/>
      <c r="E63" s="7"/>
      <c r="F63" s="7"/>
      <c r="G63" s="7"/>
      <c r="H63" s="8"/>
    </row>
    <row r="64" spans="1:8" ht="12.95" customHeight="1">
      <c r="A64" s="1"/>
      <c r="B64" s="44" t="s">
        <v>962</v>
      </c>
      <c r="C64" s="9"/>
      <c r="D64" s="9"/>
      <c r="E64" s="7"/>
      <c r="F64" s="7"/>
      <c r="G64" s="7"/>
      <c r="H64" s="8"/>
    </row>
    <row r="65" spans="1:8" ht="12.95" customHeight="1">
      <c r="A65" s="10" t="s">
        <v>124</v>
      </c>
      <c r="B65" s="45" t="s">
        <v>963</v>
      </c>
      <c r="C65" s="12"/>
      <c r="D65" s="7"/>
      <c r="E65" s="13"/>
      <c r="F65" s="14">
        <v>3176.94</v>
      </c>
      <c r="G65" s="14">
        <v>4.55</v>
      </c>
      <c r="H65" s="15">
        <v>3.6005000000000002E-2</v>
      </c>
    </row>
    <row r="66" spans="1:8" ht="12.95" customHeight="1">
      <c r="A66" s="1"/>
      <c r="B66" s="6" t="s">
        <v>21</v>
      </c>
      <c r="C66" s="7"/>
      <c r="D66" s="7"/>
      <c r="E66" s="7"/>
      <c r="F66" s="16">
        <v>3176.94</v>
      </c>
      <c r="G66" s="16">
        <v>4.55</v>
      </c>
      <c r="H66" s="17"/>
    </row>
    <row r="67" spans="1:8" ht="12.95" customHeight="1">
      <c r="A67" s="1"/>
      <c r="B67" s="18" t="s">
        <v>24</v>
      </c>
      <c r="C67" s="19"/>
      <c r="D67" s="19"/>
      <c r="E67" s="25"/>
      <c r="F67" s="16">
        <v>3176.94</v>
      </c>
      <c r="G67" s="16">
        <v>4.55</v>
      </c>
      <c r="H67" s="22"/>
    </row>
    <row r="68" spans="1:8" ht="12.95" customHeight="1">
      <c r="A68" s="1"/>
      <c r="B68" s="18" t="s">
        <v>127</v>
      </c>
      <c r="C68" s="19"/>
      <c r="D68" s="19"/>
      <c r="E68" s="7"/>
      <c r="F68" s="16">
        <v>249.36</v>
      </c>
      <c r="G68" s="16">
        <v>0.32</v>
      </c>
      <c r="H68" s="22"/>
    </row>
    <row r="69" spans="1:8" ht="12.95" customHeight="1">
      <c r="A69" s="1"/>
      <c r="B69" s="26" t="s">
        <v>128</v>
      </c>
      <c r="C69" s="27"/>
      <c r="D69" s="27"/>
      <c r="E69" s="27"/>
      <c r="F69" s="28">
        <v>69889.990000000005</v>
      </c>
      <c r="G69" s="29">
        <v>100</v>
      </c>
      <c r="H69" s="30"/>
    </row>
    <row r="70" spans="1:8" ht="12.95" customHeight="1">
      <c r="A70" s="1"/>
      <c r="B70" s="105"/>
      <c r="C70" s="105"/>
      <c r="D70" s="105"/>
      <c r="E70" s="105"/>
      <c r="F70" s="1"/>
      <c r="G70" s="1"/>
      <c r="H70" s="1"/>
    </row>
    <row r="71" spans="1:8" ht="12.95" customHeight="1">
      <c r="A71" s="1"/>
      <c r="B71" s="105"/>
      <c r="C71" s="105"/>
      <c r="D71" s="105"/>
      <c r="E71" s="105"/>
      <c r="F71" s="1"/>
      <c r="G71" s="1"/>
      <c r="H71" s="1"/>
    </row>
    <row r="72" spans="1:8" ht="12.95" customHeight="1">
      <c r="A72" s="1"/>
      <c r="B72" s="105"/>
      <c r="C72" s="105"/>
      <c r="D72" s="105"/>
      <c r="E72" s="105"/>
      <c r="F72" s="1"/>
      <c r="G72" s="1"/>
      <c r="H72" s="1"/>
    </row>
    <row r="73" spans="1:8" ht="12.95" customHeight="1">
      <c r="A73" s="1"/>
      <c r="B73" s="106"/>
      <c r="C73" s="106"/>
      <c r="D73" s="106"/>
      <c r="E73" s="106"/>
      <c r="F73" s="1"/>
      <c r="G73" s="1"/>
      <c r="H73" s="1"/>
    </row>
    <row r="74" spans="1:8" ht="12.95" customHeight="1">
      <c r="A74" s="1"/>
      <c r="B74" s="105" t="s">
        <v>327</v>
      </c>
      <c r="C74" s="105"/>
      <c r="D74" s="105"/>
      <c r="E74" s="105"/>
      <c r="F74" s="1"/>
      <c r="G74" s="1"/>
      <c r="H74" s="1"/>
    </row>
    <row r="75" spans="1:8" ht="12.95" customHeight="1">
      <c r="A75" s="1"/>
      <c r="B75" s="107"/>
      <c r="C75" s="107"/>
      <c r="D75" s="107"/>
      <c r="E75" s="107"/>
      <c r="F75" s="1"/>
      <c r="G75" s="1"/>
      <c r="H75" s="1"/>
    </row>
  </sheetData>
  <mergeCells count="9">
    <mergeCell ref="B72:E72"/>
    <mergeCell ref="B73:E73"/>
    <mergeCell ref="B74:E74"/>
    <mergeCell ref="B75:E75"/>
    <mergeCell ref="B1:H1"/>
    <mergeCell ref="B2:H2"/>
    <mergeCell ref="B3:H3"/>
    <mergeCell ref="B70:E70"/>
    <mergeCell ref="B71:E71"/>
  </mergeCells>
  <pageMargins left="0" right="0" top="0" bottom="0" header="0" footer="0"/>
  <pageSetup orientation="portrait" r:id="rId1"/>
  <headerFooter>
    <oddFooter>&amp;C&amp;1#&amp;"Calibri"&amp;10&amp;K000000 For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0"/>
  <sheetViews>
    <sheetView topLeftCell="C32" workbookViewId="0">
      <selection activeCell="F49" sqref="F49"/>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5.25" customHeight="1">
      <c r="A3" s="1"/>
      <c r="B3" s="108" t="s">
        <v>955</v>
      </c>
      <c r="C3" s="109"/>
      <c r="D3" s="109"/>
      <c r="E3" s="109"/>
      <c r="F3" s="109"/>
      <c r="G3" s="109"/>
      <c r="H3" s="109"/>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371</v>
      </c>
      <c r="B8" s="11" t="s">
        <v>372</v>
      </c>
      <c r="C8" s="12" t="s">
        <v>373</v>
      </c>
      <c r="D8" s="7" t="s">
        <v>203</v>
      </c>
      <c r="E8" s="13">
        <v>27500</v>
      </c>
      <c r="F8" s="14">
        <v>146.53</v>
      </c>
      <c r="G8" s="14">
        <v>7.76</v>
      </c>
      <c r="H8" s="15"/>
    </row>
    <row r="9" spans="1:8" ht="12.95" customHeight="1">
      <c r="A9" s="10" t="s">
        <v>381</v>
      </c>
      <c r="B9" s="11" t="s">
        <v>382</v>
      </c>
      <c r="C9" s="12" t="s">
        <v>383</v>
      </c>
      <c r="D9" s="7" t="s">
        <v>230</v>
      </c>
      <c r="E9" s="13">
        <v>18750</v>
      </c>
      <c r="F9" s="14">
        <v>145.16</v>
      </c>
      <c r="G9" s="14">
        <v>7.69</v>
      </c>
      <c r="H9" s="15"/>
    </row>
    <row r="10" spans="1:8" ht="12.95" customHeight="1">
      <c r="A10" s="10" t="s">
        <v>352</v>
      </c>
      <c r="B10" s="11" t="s">
        <v>353</v>
      </c>
      <c r="C10" s="12" t="s">
        <v>354</v>
      </c>
      <c r="D10" s="7" t="s">
        <v>211</v>
      </c>
      <c r="E10" s="13">
        <v>60750</v>
      </c>
      <c r="F10" s="14">
        <v>144.97999999999999</v>
      </c>
      <c r="G10" s="14">
        <v>7.68</v>
      </c>
      <c r="H10" s="15"/>
    </row>
    <row r="11" spans="1:8" ht="12.95" customHeight="1">
      <c r="A11" s="10" t="s">
        <v>138</v>
      </c>
      <c r="B11" s="11" t="s">
        <v>139</v>
      </c>
      <c r="C11" s="12" t="s">
        <v>140</v>
      </c>
      <c r="D11" s="7" t="s">
        <v>141</v>
      </c>
      <c r="E11" s="13">
        <v>17875</v>
      </c>
      <c r="F11" s="14">
        <v>130.54</v>
      </c>
      <c r="G11" s="14">
        <v>6.92</v>
      </c>
      <c r="H11" s="15"/>
    </row>
    <row r="12" spans="1:8" ht="12.95" customHeight="1">
      <c r="A12" s="10" t="s">
        <v>145</v>
      </c>
      <c r="B12" s="11" t="s">
        <v>146</v>
      </c>
      <c r="C12" s="12" t="s">
        <v>147</v>
      </c>
      <c r="D12" s="7" t="s">
        <v>148</v>
      </c>
      <c r="E12" s="13">
        <v>4500</v>
      </c>
      <c r="F12" s="14">
        <v>118.56</v>
      </c>
      <c r="G12" s="14">
        <v>6.28</v>
      </c>
      <c r="H12" s="15"/>
    </row>
    <row r="13" spans="1:8" ht="12.95" customHeight="1">
      <c r="A13" s="10" t="s">
        <v>160</v>
      </c>
      <c r="B13" s="11" t="s">
        <v>161</v>
      </c>
      <c r="C13" s="12" t="s">
        <v>162</v>
      </c>
      <c r="D13" s="7" t="s">
        <v>163</v>
      </c>
      <c r="E13" s="13">
        <v>6325</v>
      </c>
      <c r="F13" s="14">
        <v>111.8</v>
      </c>
      <c r="G13" s="14">
        <v>5.92</v>
      </c>
      <c r="H13" s="15"/>
    </row>
    <row r="14" spans="1:8" ht="12.95" customHeight="1">
      <c r="A14" s="10" t="s">
        <v>827</v>
      </c>
      <c r="B14" s="11" t="s">
        <v>828</v>
      </c>
      <c r="C14" s="12" t="s">
        <v>829</v>
      </c>
      <c r="D14" s="7" t="s">
        <v>192</v>
      </c>
      <c r="E14" s="13">
        <v>13600</v>
      </c>
      <c r="F14" s="14">
        <v>101.6</v>
      </c>
      <c r="G14" s="14">
        <v>5.38</v>
      </c>
      <c r="H14" s="15"/>
    </row>
    <row r="15" spans="1:8" ht="12.95" customHeight="1">
      <c r="A15" s="10" t="s">
        <v>182</v>
      </c>
      <c r="B15" s="11" t="s">
        <v>183</v>
      </c>
      <c r="C15" s="12" t="s">
        <v>184</v>
      </c>
      <c r="D15" s="7" t="s">
        <v>137</v>
      </c>
      <c r="E15" s="13">
        <v>2250</v>
      </c>
      <c r="F15" s="14">
        <v>84.15</v>
      </c>
      <c r="G15" s="14">
        <v>4.46</v>
      </c>
      <c r="H15" s="15"/>
    </row>
    <row r="16" spans="1:8" ht="12.95" customHeight="1">
      <c r="A16" s="10" t="s">
        <v>830</v>
      </c>
      <c r="B16" s="11" t="s">
        <v>831</v>
      </c>
      <c r="C16" s="12" t="s">
        <v>832</v>
      </c>
      <c r="D16" s="7" t="s">
        <v>246</v>
      </c>
      <c r="E16" s="13">
        <v>8000</v>
      </c>
      <c r="F16" s="14">
        <v>77.95</v>
      </c>
      <c r="G16" s="14">
        <v>4.13</v>
      </c>
      <c r="H16" s="15"/>
    </row>
    <row r="17" spans="1:8" ht="12.95" customHeight="1">
      <c r="A17" s="10" t="s">
        <v>833</v>
      </c>
      <c r="B17" s="11" t="s">
        <v>834</v>
      </c>
      <c r="C17" s="12" t="s">
        <v>835</v>
      </c>
      <c r="D17" s="7" t="s">
        <v>170</v>
      </c>
      <c r="E17" s="13">
        <v>13200</v>
      </c>
      <c r="F17" s="14">
        <v>71.040000000000006</v>
      </c>
      <c r="G17" s="14">
        <v>3.76</v>
      </c>
      <c r="H17" s="15"/>
    </row>
    <row r="18" spans="1:8" ht="12.95" customHeight="1">
      <c r="A18" s="10" t="s">
        <v>156</v>
      </c>
      <c r="B18" s="11" t="s">
        <v>157</v>
      </c>
      <c r="C18" s="12" t="s">
        <v>158</v>
      </c>
      <c r="D18" s="7" t="s">
        <v>159</v>
      </c>
      <c r="E18" s="13">
        <v>3000</v>
      </c>
      <c r="F18" s="14">
        <v>61.46</v>
      </c>
      <c r="G18" s="14">
        <v>3.26</v>
      </c>
      <c r="H18" s="15"/>
    </row>
    <row r="19" spans="1:8" ht="12.95" customHeight="1">
      <c r="A19" s="10" t="s">
        <v>343</v>
      </c>
      <c r="B19" s="11" t="s">
        <v>344</v>
      </c>
      <c r="C19" s="12" t="s">
        <v>345</v>
      </c>
      <c r="D19" s="7" t="s">
        <v>159</v>
      </c>
      <c r="E19" s="13">
        <v>12800</v>
      </c>
      <c r="F19" s="14">
        <v>32.08</v>
      </c>
      <c r="G19" s="14">
        <v>1.7</v>
      </c>
      <c r="H19" s="15"/>
    </row>
    <row r="20" spans="1:8" ht="12.95" customHeight="1">
      <c r="A20" s="10" t="s">
        <v>836</v>
      </c>
      <c r="B20" s="11" t="s">
        <v>837</v>
      </c>
      <c r="C20" s="12" t="s">
        <v>838</v>
      </c>
      <c r="D20" s="7" t="s">
        <v>203</v>
      </c>
      <c r="E20" s="13">
        <v>1700</v>
      </c>
      <c r="F20" s="14">
        <v>22.22</v>
      </c>
      <c r="G20" s="14">
        <v>1.18</v>
      </c>
      <c r="H20" s="15"/>
    </row>
    <row r="21" spans="1:8" ht="12.95" customHeight="1">
      <c r="A21" s="1"/>
      <c r="B21" s="6" t="s">
        <v>21</v>
      </c>
      <c r="C21" s="7"/>
      <c r="D21" s="7"/>
      <c r="E21" s="7"/>
      <c r="F21" s="16">
        <v>1248.07</v>
      </c>
      <c r="G21" s="16">
        <v>66.12</v>
      </c>
      <c r="H21" s="17"/>
    </row>
    <row r="22" spans="1:8" ht="12.95" customHeight="1">
      <c r="A22" s="1"/>
      <c r="B22" s="18" t="s">
        <v>326</v>
      </c>
      <c r="C22" s="19"/>
      <c r="D22" s="19"/>
      <c r="E22" s="20"/>
      <c r="F22" s="21" t="s">
        <v>23</v>
      </c>
      <c r="G22" s="21"/>
      <c r="H22" s="22"/>
    </row>
    <row r="23" spans="1:8" ht="12.95" customHeight="1">
      <c r="A23" s="1"/>
      <c r="B23" s="23" t="s">
        <v>21</v>
      </c>
      <c r="C23" s="24"/>
      <c r="D23" s="24"/>
      <c r="E23" s="21"/>
      <c r="F23" s="21" t="s">
        <v>23</v>
      </c>
      <c r="G23" s="21"/>
      <c r="H23" s="22"/>
    </row>
    <row r="24" spans="1:8" ht="12.95" customHeight="1">
      <c r="A24" s="1"/>
      <c r="B24" s="18" t="s">
        <v>24</v>
      </c>
      <c r="C24" s="19"/>
      <c r="D24" s="19"/>
      <c r="E24" s="25"/>
      <c r="F24" s="16">
        <v>1248.07</v>
      </c>
      <c r="G24" s="16">
        <v>66.12</v>
      </c>
      <c r="H24" s="22"/>
    </row>
    <row r="25" spans="1:8" ht="12.95" customHeight="1">
      <c r="A25" s="1"/>
      <c r="B25" s="6" t="s">
        <v>413</v>
      </c>
      <c r="C25" s="7"/>
      <c r="D25" s="7"/>
      <c r="E25" s="7"/>
      <c r="F25" s="7"/>
      <c r="G25" s="7"/>
      <c r="H25" s="8"/>
    </row>
    <row r="26" spans="1:8" ht="12.95" customHeight="1">
      <c r="A26" s="1"/>
      <c r="B26" s="6" t="s">
        <v>414</v>
      </c>
      <c r="C26" s="9"/>
      <c r="D26" s="9"/>
      <c r="E26" s="7"/>
      <c r="F26" s="7"/>
      <c r="G26" s="7"/>
      <c r="H26" s="8"/>
    </row>
    <row r="27" spans="1:8" ht="12.95" customHeight="1">
      <c r="A27" s="10" t="s">
        <v>839</v>
      </c>
      <c r="B27" s="11" t="s">
        <v>840</v>
      </c>
      <c r="C27" s="12"/>
      <c r="D27" s="7"/>
      <c r="E27" s="13">
        <v>-575</v>
      </c>
      <c r="F27" s="14">
        <v>-10.25</v>
      </c>
      <c r="G27" s="14">
        <v>-0.54</v>
      </c>
      <c r="H27" s="15"/>
    </row>
    <row r="28" spans="1:8" ht="12.95" customHeight="1">
      <c r="A28" s="10" t="s">
        <v>841</v>
      </c>
      <c r="B28" s="11" t="s">
        <v>842</v>
      </c>
      <c r="C28" s="12"/>
      <c r="D28" s="7"/>
      <c r="E28" s="13">
        <v>-1700</v>
      </c>
      <c r="F28" s="14">
        <v>-22.36</v>
      </c>
      <c r="G28" s="14">
        <v>-1.18</v>
      </c>
      <c r="H28" s="15"/>
    </row>
    <row r="29" spans="1:8" ht="12.95" customHeight="1">
      <c r="A29" s="10" t="s">
        <v>843</v>
      </c>
      <c r="B29" s="11" t="s">
        <v>844</v>
      </c>
      <c r="C29" s="12"/>
      <c r="D29" s="7"/>
      <c r="E29" s="13">
        <v>-12800</v>
      </c>
      <c r="F29" s="14">
        <v>-32.270000000000003</v>
      </c>
      <c r="G29" s="14">
        <v>-1.71</v>
      </c>
      <c r="H29" s="15"/>
    </row>
    <row r="30" spans="1:8" ht="12.95" customHeight="1">
      <c r="A30" s="10" t="s">
        <v>845</v>
      </c>
      <c r="B30" s="11" t="s">
        <v>846</v>
      </c>
      <c r="C30" s="12"/>
      <c r="D30" s="7"/>
      <c r="E30" s="13">
        <v>-3000</v>
      </c>
      <c r="F30" s="14">
        <v>-61.89</v>
      </c>
      <c r="G30" s="14">
        <v>-3.28</v>
      </c>
      <c r="H30" s="15"/>
    </row>
    <row r="31" spans="1:8" ht="12.95" customHeight="1">
      <c r="A31" s="10" t="s">
        <v>847</v>
      </c>
      <c r="B31" s="11" t="s">
        <v>848</v>
      </c>
      <c r="C31" s="12"/>
      <c r="D31" s="7"/>
      <c r="E31" s="13">
        <v>-13200</v>
      </c>
      <c r="F31" s="14">
        <v>-71.290000000000006</v>
      </c>
      <c r="G31" s="14">
        <v>-3.78</v>
      </c>
      <c r="H31" s="15"/>
    </row>
    <row r="32" spans="1:8" ht="12.95" customHeight="1">
      <c r="A32" s="10" t="s">
        <v>849</v>
      </c>
      <c r="B32" s="11" t="s">
        <v>850</v>
      </c>
      <c r="C32" s="12"/>
      <c r="D32" s="7"/>
      <c r="E32" s="13">
        <v>-8000</v>
      </c>
      <c r="F32" s="14">
        <v>-78.41</v>
      </c>
      <c r="G32" s="14">
        <v>-4.1500000000000004</v>
      </c>
      <c r="H32" s="15"/>
    </row>
    <row r="33" spans="1:8" ht="12.95" customHeight="1">
      <c r="A33" s="10" t="s">
        <v>445</v>
      </c>
      <c r="B33" s="11" t="s">
        <v>446</v>
      </c>
      <c r="C33" s="12"/>
      <c r="D33" s="7"/>
      <c r="E33" s="13">
        <v>-2250</v>
      </c>
      <c r="F33" s="14">
        <v>-84.45</v>
      </c>
      <c r="G33" s="14">
        <v>-4.47</v>
      </c>
      <c r="H33" s="15"/>
    </row>
    <row r="34" spans="1:8" ht="12.95" customHeight="1">
      <c r="A34" s="10" t="s">
        <v>851</v>
      </c>
      <c r="B34" s="11" t="s">
        <v>852</v>
      </c>
      <c r="C34" s="12"/>
      <c r="D34" s="7"/>
      <c r="E34" s="13">
        <v>-13600</v>
      </c>
      <c r="F34" s="14">
        <v>-101.94</v>
      </c>
      <c r="G34" s="14">
        <v>-5.4</v>
      </c>
      <c r="H34" s="15"/>
    </row>
    <row r="35" spans="1:8" ht="12.95" customHeight="1">
      <c r="A35" s="10" t="s">
        <v>441</v>
      </c>
      <c r="B35" s="11" t="s">
        <v>442</v>
      </c>
      <c r="C35" s="12"/>
      <c r="D35" s="7"/>
      <c r="E35" s="13">
        <v>-5750</v>
      </c>
      <c r="F35" s="14">
        <v>-102.06</v>
      </c>
      <c r="G35" s="14">
        <v>-5.41</v>
      </c>
      <c r="H35" s="15"/>
    </row>
    <row r="36" spans="1:8" ht="12.95" customHeight="1">
      <c r="A36" s="10" t="s">
        <v>455</v>
      </c>
      <c r="B36" s="11" t="s">
        <v>456</v>
      </c>
      <c r="C36" s="12"/>
      <c r="D36" s="7"/>
      <c r="E36" s="13">
        <v>-4500</v>
      </c>
      <c r="F36" s="14">
        <v>-119.27</v>
      </c>
      <c r="G36" s="14">
        <v>-6.32</v>
      </c>
      <c r="H36" s="15"/>
    </row>
    <row r="37" spans="1:8" ht="12.95" customHeight="1">
      <c r="A37" s="10" t="s">
        <v>853</v>
      </c>
      <c r="B37" s="11" t="s">
        <v>854</v>
      </c>
      <c r="C37" s="12"/>
      <c r="D37" s="7"/>
      <c r="E37" s="13">
        <v>-17875</v>
      </c>
      <c r="F37" s="14">
        <v>-130.77000000000001</v>
      </c>
      <c r="G37" s="14">
        <v>-6.93</v>
      </c>
      <c r="H37" s="15"/>
    </row>
    <row r="38" spans="1:8" ht="12.95" customHeight="1">
      <c r="A38" s="10" t="s">
        <v>855</v>
      </c>
      <c r="B38" s="11" t="s">
        <v>856</v>
      </c>
      <c r="C38" s="12"/>
      <c r="D38" s="7"/>
      <c r="E38" s="13">
        <v>-60750</v>
      </c>
      <c r="F38" s="14">
        <v>-145.83000000000001</v>
      </c>
      <c r="G38" s="14">
        <v>-7.73</v>
      </c>
      <c r="H38" s="15"/>
    </row>
    <row r="39" spans="1:8" ht="12.95" customHeight="1">
      <c r="A39" s="10" t="s">
        <v>857</v>
      </c>
      <c r="B39" s="11" t="s">
        <v>858</v>
      </c>
      <c r="C39" s="12"/>
      <c r="D39" s="7"/>
      <c r="E39" s="13">
        <v>-18750</v>
      </c>
      <c r="F39" s="14">
        <v>-145.85</v>
      </c>
      <c r="G39" s="14">
        <v>-7.73</v>
      </c>
      <c r="H39" s="15"/>
    </row>
    <row r="40" spans="1:8" ht="12.95" customHeight="1">
      <c r="A40" s="10" t="s">
        <v>419</v>
      </c>
      <c r="B40" s="11" t="s">
        <v>420</v>
      </c>
      <c r="C40" s="12"/>
      <c r="D40" s="7"/>
      <c r="E40" s="13">
        <v>-27500</v>
      </c>
      <c r="F40" s="14">
        <v>-147.02000000000001</v>
      </c>
      <c r="G40" s="14">
        <v>-7.79</v>
      </c>
      <c r="H40" s="15"/>
    </row>
    <row r="41" spans="1:8" ht="12.95" customHeight="1">
      <c r="A41" s="1"/>
      <c r="B41" s="6" t="s">
        <v>21</v>
      </c>
      <c r="C41" s="7"/>
      <c r="D41" s="7"/>
      <c r="E41" s="7"/>
      <c r="F41" s="16">
        <v>-1253.6600000000001</v>
      </c>
      <c r="G41" s="16">
        <v>-66.42</v>
      </c>
      <c r="H41" s="17"/>
    </row>
    <row r="42" spans="1:8" ht="12.95" customHeight="1">
      <c r="A42" s="1"/>
      <c r="B42" s="18" t="s">
        <v>24</v>
      </c>
      <c r="C42" s="19"/>
      <c r="D42" s="19"/>
      <c r="E42" s="25"/>
      <c r="F42" s="16">
        <v>-1253.6600000000001</v>
      </c>
      <c r="G42" s="16">
        <v>-66.42</v>
      </c>
      <c r="H42" s="22"/>
    </row>
    <row r="43" spans="1:8" ht="12.95" customHeight="1">
      <c r="A43" s="1"/>
      <c r="B43" s="6" t="s">
        <v>25</v>
      </c>
      <c r="C43" s="7"/>
      <c r="D43" s="7"/>
      <c r="E43" s="7"/>
      <c r="F43" s="7"/>
      <c r="G43" s="7"/>
      <c r="H43" s="8"/>
    </row>
    <row r="44" spans="1:8" ht="12.95" customHeight="1">
      <c r="A44" s="1"/>
      <c r="B44" s="44" t="s">
        <v>962</v>
      </c>
      <c r="C44" s="9"/>
      <c r="D44" s="9"/>
      <c r="E44" s="7"/>
      <c r="F44" s="7"/>
      <c r="G44" s="7"/>
      <c r="H44" s="8"/>
    </row>
    <row r="45" spans="1:8" ht="12.95" customHeight="1">
      <c r="A45" s="10" t="s">
        <v>124</v>
      </c>
      <c r="B45" s="45" t="s">
        <v>963</v>
      </c>
      <c r="C45" s="12"/>
      <c r="D45" s="7"/>
      <c r="E45" s="13"/>
      <c r="F45" s="14">
        <v>21.57</v>
      </c>
      <c r="G45" s="14">
        <v>1.1399999999999999</v>
      </c>
      <c r="H45" s="15">
        <v>3.6005000000000002E-2</v>
      </c>
    </row>
    <row r="46" spans="1:8" ht="12.95" customHeight="1">
      <c r="A46" s="1"/>
      <c r="B46" s="6" t="s">
        <v>21</v>
      </c>
      <c r="C46" s="7"/>
      <c r="D46" s="7"/>
      <c r="E46" s="7"/>
      <c r="F46" s="16">
        <v>21.57</v>
      </c>
      <c r="G46" s="16">
        <v>1.1399999999999999</v>
      </c>
      <c r="H46" s="17"/>
    </row>
    <row r="47" spans="1:8" ht="12.95" customHeight="1">
      <c r="A47" s="1"/>
      <c r="B47" s="18" t="s">
        <v>24</v>
      </c>
      <c r="C47" s="19"/>
      <c r="D47" s="19"/>
      <c r="E47" s="25"/>
      <c r="F47" s="16">
        <v>21.57</v>
      </c>
      <c r="G47" s="16">
        <v>1.1399999999999999</v>
      </c>
      <c r="H47" s="22"/>
    </row>
    <row r="48" spans="1:8" ht="12.95" customHeight="1">
      <c r="A48" s="1"/>
      <c r="B48" s="6" t="s">
        <v>859</v>
      </c>
      <c r="C48" s="7"/>
      <c r="D48" s="7"/>
      <c r="E48" s="7"/>
      <c r="F48" s="7"/>
      <c r="G48" s="7"/>
      <c r="H48" s="8"/>
    </row>
    <row r="49" spans="1:8" ht="12.95" customHeight="1">
      <c r="A49" s="1"/>
      <c r="B49" s="6" t="s">
        <v>860</v>
      </c>
      <c r="C49" s="9"/>
      <c r="D49" s="9"/>
      <c r="E49" s="7"/>
      <c r="F49" s="7"/>
      <c r="G49" s="7"/>
      <c r="H49" s="8"/>
    </row>
    <row r="50" spans="1:8" ht="12.95" customHeight="1">
      <c r="A50" s="10" t="s">
        <v>861</v>
      </c>
      <c r="B50" s="11" t="s">
        <v>862</v>
      </c>
      <c r="C50" s="12" t="s">
        <v>863</v>
      </c>
      <c r="D50" s="7"/>
      <c r="E50" s="31">
        <v>39522.857000000004</v>
      </c>
      <c r="F50" s="14">
        <v>547.07000000000005</v>
      </c>
      <c r="G50" s="14">
        <v>28.99</v>
      </c>
      <c r="H50" s="15"/>
    </row>
    <row r="51" spans="1:8" ht="12.95" customHeight="1">
      <c r="A51" s="1"/>
      <c r="B51" s="6" t="s">
        <v>21</v>
      </c>
      <c r="C51" s="7"/>
      <c r="D51" s="7"/>
      <c r="E51" s="7"/>
      <c r="F51" s="16">
        <v>547.07000000000005</v>
      </c>
      <c r="G51" s="16">
        <v>28.99</v>
      </c>
      <c r="H51" s="17"/>
    </row>
    <row r="52" spans="1:8" ht="12.95" customHeight="1">
      <c r="A52" s="1"/>
      <c r="B52" s="18" t="s">
        <v>24</v>
      </c>
      <c r="C52" s="19"/>
      <c r="D52" s="19"/>
      <c r="E52" s="25"/>
      <c r="F52" s="16">
        <v>547.07000000000005</v>
      </c>
      <c r="G52" s="16">
        <v>28.99</v>
      </c>
      <c r="H52" s="22"/>
    </row>
    <row r="53" spans="1:8" ht="12.95" customHeight="1">
      <c r="A53" s="1"/>
      <c r="B53" s="18" t="s">
        <v>127</v>
      </c>
      <c r="C53" s="19"/>
      <c r="D53" s="19"/>
      <c r="E53" s="7"/>
      <c r="F53" s="16">
        <v>1324.2</v>
      </c>
      <c r="G53" s="16">
        <v>70.17</v>
      </c>
      <c r="H53" s="22"/>
    </row>
    <row r="54" spans="1:8" ht="12.95" customHeight="1">
      <c r="A54" s="1"/>
      <c r="B54" s="26" t="s">
        <v>128</v>
      </c>
      <c r="C54" s="27"/>
      <c r="D54" s="27"/>
      <c r="E54" s="27"/>
      <c r="F54" s="28">
        <v>1887.25</v>
      </c>
      <c r="G54" s="29">
        <v>100</v>
      </c>
      <c r="H54" s="30"/>
    </row>
    <row r="55" spans="1:8" ht="12.95" customHeight="1">
      <c r="A55" s="1"/>
      <c r="B55" s="105"/>
      <c r="C55" s="105"/>
      <c r="D55" s="105"/>
      <c r="E55" s="105"/>
      <c r="F55" s="1"/>
      <c r="G55" s="1"/>
      <c r="H55" s="1"/>
    </row>
    <row r="56" spans="1:8" ht="12.95" customHeight="1">
      <c r="A56" s="1"/>
      <c r="B56" s="105"/>
      <c r="C56" s="105"/>
      <c r="D56" s="105"/>
      <c r="E56" s="105"/>
      <c r="F56" s="1"/>
      <c r="G56" s="1"/>
      <c r="H56" s="1"/>
    </row>
    <row r="57" spans="1:8" ht="12.95" customHeight="1">
      <c r="A57" s="1"/>
      <c r="B57" s="105"/>
      <c r="C57" s="105"/>
      <c r="D57" s="105"/>
      <c r="E57" s="105"/>
      <c r="F57" s="1"/>
      <c r="G57" s="1"/>
      <c r="H57" s="1"/>
    </row>
    <row r="58" spans="1:8" ht="12.95" customHeight="1">
      <c r="A58" s="1"/>
      <c r="B58" s="106"/>
      <c r="C58" s="106"/>
      <c r="D58" s="106"/>
      <c r="E58" s="106"/>
      <c r="F58" s="1"/>
      <c r="G58" s="1"/>
      <c r="H58" s="1"/>
    </row>
    <row r="59" spans="1:8" ht="12.95" customHeight="1">
      <c r="A59" s="1"/>
      <c r="B59" s="105" t="s">
        <v>327</v>
      </c>
      <c r="C59" s="105"/>
      <c r="D59" s="105"/>
      <c r="E59" s="105"/>
      <c r="F59" s="1"/>
      <c r="G59" s="1"/>
      <c r="H59" s="1"/>
    </row>
    <row r="60" spans="1:8" ht="12.95" customHeight="1">
      <c r="A60" s="1"/>
      <c r="B60" s="107"/>
      <c r="C60" s="107"/>
      <c r="D60" s="107"/>
      <c r="E60" s="107"/>
      <c r="F60" s="1"/>
      <c r="G60" s="1"/>
      <c r="H60" s="1"/>
    </row>
  </sheetData>
  <mergeCells count="9">
    <mergeCell ref="B57:E57"/>
    <mergeCell ref="B58:E58"/>
    <mergeCell ref="B59:E59"/>
    <mergeCell ref="B60:E60"/>
    <mergeCell ref="B1:H1"/>
    <mergeCell ref="B2:H2"/>
    <mergeCell ref="B3:H3"/>
    <mergeCell ref="B55:E55"/>
    <mergeCell ref="B56:E56"/>
  </mergeCells>
  <pageMargins left="0" right="0" top="0" bottom="0" header="0" footer="0"/>
  <pageSetup orientation="portrait" r:id="rId1"/>
  <headerFooter>
    <oddFooter>&amp;C&amp;1#&amp;"Calibri"&amp;10&amp;K000000 For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4"/>
  <sheetViews>
    <sheetView topLeftCell="A25" workbookViewId="0">
      <selection activeCell="F37" sqref="F37"/>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6.75" customHeight="1">
      <c r="A3" s="1"/>
      <c r="B3" s="113" t="s">
        <v>956</v>
      </c>
      <c r="C3" s="114"/>
      <c r="D3" s="114"/>
      <c r="E3" s="114"/>
      <c r="F3" s="114"/>
      <c r="G3" s="114"/>
      <c r="H3" s="114"/>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138</v>
      </c>
      <c r="B8" s="11" t="s">
        <v>139</v>
      </c>
      <c r="C8" s="12" t="s">
        <v>140</v>
      </c>
      <c r="D8" s="7" t="s">
        <v>141</v>
      </c>
      <c r="E8" s="13">
        <v>646500</v>
      </c>
      <c r="F8" s="14">
        <v>4721.3900000000003</v>
      </c>
      <c r="G8" s="14">
        <v>9.2799999999999994</v>
      </c>
      <c r="H8" s="15"/>
    </row>
    <row r="9" spans="1:8" ht="12.95" customHeight="1">
      <c r="A9" s="10" t="s">
        <v>134</v>
      </c>
      <c r="B9" s="11" t="s">
        <v>135</v>
      </c>
      <c r="C9" s="12" t="s">
        <v>136</v>
      </c>
      <c r="D9" s="7" t="s">
        <v>137</v>
      </c>
      <c r="E9" s="13">
        <v>200571</v>
      </c>
      <c r="F9" s="14">
        <v>3824.59</v>
      </c>
      <c r="G9" s="14">
        <v>7.52</v>
      </c>
      <c r="H9" s="15"/>
    </row>
    <row r="10" spans="1:8" ht="12.95" customHeight="1">
      <c r="A10" s="10" t="s">
        <v>145</v>
      </c>
      <c r="B10" s="11" t="s">
        <v>146</v>
      </c>
      <c r="C10" s="12" t="s">
        <v>147</v>
      </c>
      <c r="D10" s="7" t="s">
        <v>148</v>
      </c>
      <c r="E10" s="13">
        <v>142900</v>
      </c>
      <c r="F10" s="14">
        <v>3765.06</v>
      </c>
      <c r="G10" s="14">
        <v>7.4</v>
      </c>
      <c r="H10" s="15"/>
    </row>
    <row r="11" spans="1:8" ht="12.95" customHeight="1">
      <c r="A11" s="10" t="s">
        <v>164</v>
      </c>
      <c r="B11" s="11" t="s">
        <v>165</v>
      </c>
      <c r="C11" s="12" t="s">
        <v>166</v>
      </c>
      <c r="D11" s="7" t="s">
        <v>141</v>
      </c>
      <c r="E11" s="13">
        <v>162000</v>
      </c>
      <c r="F11" s="14">
        <v>2841.24</v>
      </c>
      <c r="G11" s="14">
        <v>5.59</v>
      </c>
      <c r="H11" s="15"/>
    </row>
    <row r="12" spans="1:8" ht="12.95" customHeight="1">
      <c r="A12" s="10" t="s">
        <v>328</v>
      </c>
      <c r="B12" s="11" t="s">
        <v>329</v>
      </c>
      <c r="C12" s="12" t="s">
        <v>330</v>
      </c>
      <c r="D12" s="7" t="s">
        <v>141</v>
      </c>
      <c r="E12" s="13">
        <v>544933</v>
      </c>
      <c r="F12" s="14">
        <v>2689.52</v>
      </c>
      <c r="G12" s="14">
        <v>5.29</v>
      </c>
      <c r="H12" s="15"/>
    </row>
    <row r="13" spans="1:8" ht="12.95" customHeight="1">
      <c r="A13" s="10" t="s">
        <v>160</v>
      </c>
      <c r="B13" s="11" t="s">
        <v>161</v>
      </c>
      <c r="C13" s="12" t="s">
        <v>162</v>
      </c>
      <c r="D13" s="7" t="s">
        <v>163</v>
      </c>
      <c r="E13" s="13">
        <v>138500</v>
      </c>
      <c r="F13" s="14">
        <v>2448.1999999999998</v>
      </c>
      <c r="G13" s="14">
        <v>4.8099999999999996</v>
      </c>
      <c r="H13" s="15"/>
    </row>
    <row r="14" spans="1:8" ht="12.95" customHeight="1">
      <c r="A14" s="10" t="s">
        <v>343</v>
      </c>
      <c r="B14" s="11" t="s">
        <v>344</v>
      </c>
      <c r="C14" s="12" t="s">
        <v>345</v>
      </c>
      <c r="D14" s="7" t="s">
        <v>159</v>
      </c>
      <c r="E14" s="13">
        <v>895000</v>
      </c>
      <c r="F14" s="14">
        <v>2243.3200000000002</v>
      </c>
      <c r="G14" s="14">
        <v>4.41</v>
      </c>
      <c r="H14" s="15"/>
    </row>
    <row r="15" spans="1:8" ht="12.95" customHeight="1">
      <c r="A15" s="10" t="s">
        <v>337</v>
      </c>
      <c r="B15" s="11" t="s">
        <v>338</v>
      </c>
      <c r="C15" s="12" t="s">
        <v>339</v>
      </c>
      <c r="D15" s="7" t="s">
        <v>288</v>
      </c>
      <c r="E15" s="13">
        <v>295000</v>
      </c>
      <c r="F15" s="14">
        <v>2227.1</v>
      </c>
      <c r="G15" s="14">
        <v>4.38</v>
      </c>
      <c r="H15" s="15"/>
    </row>
    <row r="16" spans="1:8" ht="12.95" customHeight="1">
      <c r="A16" s="10" t="s">
        <v>349</v>
      </c>
      <c r="B16" s="11" t="s">
        <v>350</v>
      </c>
      <c r="C16" s="12" t="s">
        <v>351</v>
      </c>
      <c r="D16" s="7" t="s">
        <v>188</v>
      </c>
      <c r="E16" s="13">
        <v>131200</v>
      </c>
      <c r="F16" s="14">
        <v>2183.17</v>
      </c>
      <c r="G16" s="14">
        <v>4.29</v>
      </c>
      <c r="H16" s="15"/>
    </row>
    <row r="17" spans="1:8" ht="12.95" customHeight="1">
      <c r="A17" s="10" t="s">
        <v>149</v>
      </c>
      <c r="B17" s="11" t="s">
        <v>150</v>
      </c>
      <c r="C17" s="12" t="s">
        <v>151</v>
      </c>
      <c r="D17" s="7" t="s">
        <v>141</v>
      </c>
      <c r="E17" s="13">
        <v>284000</v>
      </c>
      <c r="F17" s="14">
        <v>2161.67</v>
      </c>
      <c r="G17" s="14">
        <v>4.25</v>
      </c>
      <c r="H17" s="15"/>
    </row>
    <row r="18" spans="1:8" ht="12.95" customHeight="1">
      <c r="A18" s="10" t="s">
        <v>171</v>
      </c>
      <c r="B18" s="11" t="s">
        <v>172</v>
      </c>
      <c r="C18" s="12" t="s">
        <v>173</v>
      </c>
      <c r="D18" s="7" t="s">
        <v>174</v>
      </c>
      <c r="E18" s="13">
        <v>21425</v>
      </c>
      <c r="F18" s="14">
        <v>1620.01</v>
      </c>
      <c r="G18" s="14">
        <v>3.19</v>
      </c>
      <c r="H18" s="15"/>
    </row>
    <row r="19" spans="1:8" ht="12.95" customHeight="1">
      <c r="A19" s="10" t="s">
        <v>390</v>
      </c>
      <c r="B19" s="11" t="s">
        <v>391</v>
      </c>
      <c r="C19" s="12" t="s">
        <v>392</v>
      </c>
      <c r="D19" s="7" t="s">
        <v>393</v>
      </c>
      <c r="E19" s="13">
        <v>815000</v>
      </c>
      <c r="F19" s="14">
        <v>1335.79</v>
      </c>
      <c r="G19" s="14">
        <v>2.63</v>
      </c>
      <c r="H19" s="15"/>
    </row>
    <row r="20" spans="1:8" ht="12.95" customHeight="1">
      <c r="A20" s="10" t="s">
        <v>371</v>
      </c>
      <c r="B20" s="11" t="s">
        <v>372</v>
      </c>
      <c r="C20" s="12" t="s">
        <v>373</v>
      </c>
      <c r="D20" s="7" t="s">
        <v>203</v>
      </c>
      <c r="E20" s="13">
        <v>247000</v>
      </c>
      <c r="F20" s="14">
        <v>1316.14</v>
      </c>
      <c r="G20" s="14">
        <v>2.59</v>
      </c>
      <c r="H20" s="15"/>
    </row>
    <row r="21" spans="1:8" ht="12.95" customHeight="1">
      <c r="A21" s="10" t="s">
        <v>320</v>
      </c>
      <c r="B21" s="11" t="s">
        <v>321</v>
      </c>
      <c r="C21" s="12" t="s">
        <v>322</v>
      </c>
      <c r="D21" s="7" t="s">
        <v>137</v>
      </c>
      <c r="E21" s="13">
        <v>109495</v>
      </c>
      <c r="F21" s="14">
        <v>1274.25</v>
      </c>
      <c r="G21" s="14">
        <v>2.5099999999999998</v>
      </c>
      <c r="H21" s="15"/>
    </row>
    <row r="22" spans="1:8" ht="12.95" customHeight="1">
      <c r="A22" s="10" t="s">
        <v>263</v>
      </c>
      <c r="B22" s="11" t="s">
        <v>264</v>
      </c>
      <c r="C22" s="12" t="s">
        <v>265</v>
      </c>
      <c r="D22" s="7" t="s">
        <v>188</v>
      </c>
      <c r="E22" s="13">
        <v>405534</v>
      </c>
      <c r="F22" s="14">
        <v>1213.56</v>
      </c>
      <c r="G22" s="14">
        <v>2.39</v>
      </c>
      <c r="H22" s="15"/>
    </row>
    <row r="23" spans="1:8" ht="12.95" customHeight="1">
      <c r="A23" s="10" t="s">
        <v>175</v>
      </c>
      <c r="B23" s="11" t="s">
        <v>176</v>
      </c>
      <c r="C23" s="12" t="s">
        <v>177</v>
      </c>
      <c r="D23" s="7" t="s">
        <v>137</v>
      </c>
      <c r="E23" s="13">
        <v>205000</v>
      </c>
      <c r="F23" s="14">
        <v>1213.4000000000001</v>
      </c>
      <c r="G23" s="14">
        <v>2.39</v>
      </c>
      <c r="H23" s="15"/>
    </row>
    <row r="24" spans="1:8" ht="12.95" customHeight="1">
      <c r="A24" s="10" t="s">
        <v>355</v>
      </c>
      <c r="B24" s="11" t="s">
        <v>356</v>
      </c>
      <c r="C24" s="12" t="s">
        <v>357</v>
      </c>
      <c r="D24" s="7" t="s">
        <v>358</v>
      </c>
      <c r="E24" s="13">
        <v>410300</v>
      </c>
      <c r="F24" s="14">
        <v>1183.0999999999999</v>
      </c>
      <c r="G24" s="14">
        <v>2.33</v>
      </c>
      <c r="H24" s="15"/>
    </row>
    <row r="25" spans="1:8" ht="12.95" customHeight="1">
      <c r="A25" s="10" t="s">
        <v>331</v>
      </c>
      <c r="B25" s="11" t="s">
        <v>332</v>
      </c>
      <c r="C25" s="12" t="s">
        <v>333</v>
      </c>
      <c r="D25" s="7" t="s">
        <v>159</v>
      </c>
      <c r="E25" s="13">
        <v>125000</v>
      </c>
      <c r="F25" s="14">
        <v>1110.44</v>
      </c>
      <c r="G25" s="14">
        <v>2.1800000000000002</v>
      </c>
      <c r="H25" s="15"/>
    </row>
    <row r="26" spans="1:8" ht="12.95" customHeight="1">
      <c r="A26" s="10" t="s">
        <v>788</v>
      </c>
      <c r="B26" s="11" t="s">
        <v>789</v>
      </c>
      <c r="C26" s="12" t="s">
        <v>790</v>
      </c>
      <c r="D26" s="7" t="s">
        <v>192</v>
      </c>
      <c r="E26" s="13">
        <v>118000</v>
      </c>
      <c r="F26" s="14">
        <v>1079.4100000000001</v>
      </c>
      <c r="G26" s="14">
        <v>2.12</v>
      </c>
      <c r="H26" s="15"/>
    </row>
    <row r="27" spans="1:8" ht="12.95" customHeight="1">
      <c r="A27" s="10" t="s">
        <v>682</v>
      </c>
      <c r="B27" s="11" t="s">
        <v>683</v>
      </c>
      <c r="C27" s="12" t="s">
        <v>684</v>
      </c>
      <c r="D27" s="7" t="s">
        <v>155</v>
      </c>
      <c r="E27" s="13">
        <v>1650000</v>
      </c>
      <c r="F27" s="14">
        <v>1018.88</v>
      </c>
      <c r="G27" s="14">
        <v>2</v>
      </c>
      <c r="H27" s="15"/>
    </row>
    <row r="28" spans="1:8" ht="12.95" customHeight="1">
      <c r="A28" s="10" t="s">
        <v>673</v>
      </c>
      <c r="B28" s="11" t="s">
        <v>674</v>
      </c>
      <c r="C28" s="12" t="s">
        <v>675</v>
      </c>
      <c r="D28" s="7" t="s">
        <v>234</v>
      </c>
      <c r="E28" s="13">
        <v>101000</v>
      </c>
      <c r="F28" s="14">
        <v>949.25</v>
      </c>
      <c r="G28" s="14">
        <v>1.87</v>
      </c>
      <c r="H28" s="15"/>
    </row>
    <row r="29" spans="1:8" ht="12.95" customHeight="1">
      <c r="A29" s="10" t="s">
        <v>628</v>
      </c>
      <c r="B29" s="11" t="s">
        <v>629</v>
      </c>
      <c r="C29" s="12" t="s">
        <v>630</v>
      </c>
      <c r="D29" s="7" t="s">
        <v>246</v>
      </c>
      <c r="E29" s="13">
        <v>9206</v>
      </c>
      <c r="F29" s="14">
        <v>947.53</v>
      </c>
      <c r="G29" s="14">
        <v>1.86</v>
      </c>
      <c r="H29" s="15"/>
    </row>
    <row r="30" spans="1:8" ht="12.95" customHeight="1">
      <c r="A30" s="10" t="s">
        <v>833</v>
      </c>
      <c r="B30" s="11" t="s">
        <v>834</v>
      </c>
      <c r="C30" s="12" t="s">
        <v>835</v>
      </c>
      <c r="D30" s="7" t="s">
        <v>170</v>
      </c>
      <c r="E30" s="13">
        <v>175000</v>
      </c>
      <c r="F30" s="14">
        <v>941.85</v>
      </c>
      <c r="G30" s="14">
        <v>1.85</v>
      </c>
      <c r="H30" s="15"/>
    </row>
    <row r="31" spans="1:8" ht="12.95" customHeight="1">
      <c r="A31" s="10" t="s">
        <v>759</v>
      </c>
      <c r="B31" s="11" t="s">
        <v>760</v>
      </c>
      <c r="C31" s="12" t="s">
        <v>761</v>
      </c>
      <c r="D31" s="7" t="s">
        <v>137</v>
      </c>
      <c r="E31" s="13">
        <v>26250</v>
      </c>
      <c r="F31" s="14">
        <v>941.78</v>
      </c>
      <c r="G31" s="14">
        <v>1.85</v>
      </c>
      <c r="H31" s="15"/>
    </row>
    <row r="32" spans="1:8" ht="12.95" customHeight="1">
      <c r="A32" s="10" t="s">
        <v>791</v>
      </c>
      <c r="B32" s="11" t="s">
        <v>792</v>
      </c>
      <c r="C32" s="12" t="s">
        <v>793</v>
      </c>
      <c r="D32" s="7" t="s">
        <v>155</v>
      </c>
      <c r="E32" s="13">
        <v>42000</v>
      </c>
      <c r="F32" s="14">
        <v>918.5</v>
      </c>
      <c r="G32" s="14">
        <v>1.81</v>
      </c>
      <c r="H32" s="15"/>
    </row>
    <row r="33" spans="1:8" ht="12.95" customHeight="1">
      <c r="A33" s="10" t="s">
        <v>664</v>
      </c>
      <c r="B33" s="11" t="s">
        <v>665</v>
      </c>
      <c r="C33" s="12" t="s">
        <v>666</v>
      </c>
      <c r="D33" s="7" t="s">
        <v>222</v>
      </c>
      <c r="E33" s="13">
        <v>101000</v>
      </c>
      <c r="F33" s="14">
        <v>863.15</v>
      </c>
      <c r="G33" s="14">
        <v>1.7</v>
      </c>
      <c r="H33" s="15"/>
    </row>
    <row r="34" spans="1:8" ht="12.95" customHeight="1">
      <c r="A34" s="10" t="s">
        <v>259</v>
      </c>
      <c r="B34" s="11" t="s">
        <v>260</v>
      </c>
      <c r="C34" s="12" t="s">
        <v>261</v>
      </c>
      <c r="D34" s="7" t="s">
        <v>262</v>
      </c>
      <c r="E34" s="13">
        <v>400000</v>
      </c>
      <c r="F34" s="14">
        <v>843.2</v>
      </c>
      <c r="G34" s="14">
        <v>1.66</v>
      </c>
      <c r="H34" s="15"/>
    </row>
    <row r="35" spans="1:8" ht="12.95" customHeight="1">
      <c r="A35" s="10" t="s">
        <v>652</v>
      </c>
      <c r="B35" s="11" t="s">
        <v>653</v>
      </c>
      <c r="C35" s="12" t="s">
        <v>654</v>
      </c>
      <c r="D35" s="7" t="s">
        <v>207</v>
      </c>
      <c r="E35" s="13">
        <v>120000</v>
      </c>
      <c r="F35" s="14">
        <v>840.72</v>
      </c>
      <c r="G35" s="14">
        <v>1.65</v>
      </c>
      <c r="H35" s="15"/>
    </row>
    <row r="36" spans="1:8" ht="12.95" customHeight="1">
      <c r="A36" s="10" t="s">
        <v>374</v>
      </c>
      <c r="B36" s="11" t="s">
        <v>375</v>
      </c>
      <c r="C36" s="12" t="s">
        <v>376</v>
      </c>
      <c r="D36" s="7" t="s">
        <v>377</v>
      </c>
      <c r="E36" s="13">
        <v>261000</v>
      </c>
      <c r="F36" s="14">
        <v>757.94</v>
      </c>
      <c r="G36" s="14">
        <v>1.49</v>
      </c>
      <c r="H36" s="15"/>
    </row>
    <row r="37" spans="1:8" ht="12.95" customHeight="1">
      <c r="A37" s="10" t="s">
        <v>658</v>
      </c>
      <c r="B37" s="11" t="s">
        <v>659</v>
      </c>
      <c r="C37" s="12" t="s">
        <v>660</v>
      </c>
      <c r="D37" s="7" t="s">
        <v>242</v>
      </c>
      <c r="E37" s="13">
        <v>34288</v>
      </c>
      <c r="F37" s="14">
        <v>672.52</v>
      </c>
      <c r="G37" s="14">
        <v>1.32</v>
      </c>
      <c r="H37" s="15"/>
    </row>
    <row r="38" spans="1:8" ht="12.95" customHeight="1">
      <c r="A38" s="1"/>
      <c r="B38" s="6" t="s">
        <v>21</v>
      </c>
      <c r="C38" s="7"/>
      <c r="D38" s="7"/>
      <c r="E38" s="7"/>
      <c r="F38" s="16">
        <v>50146.68</v>
      </c>
      <c r="G38" s="16">
        <v>98.61</v>
      </c>
      <c r="H38" s="17"/>
    </row>
    <row r="39" spans="1:8" ht="12.95" customHeight="1">
      <c r="A39" s="1"/>
      <c r="B39" s="18" t="s">
        <v>326</v>
      </c>
      <c r="C39" s="19"/>
      <c r="D39" s="19"/>
      <c r="E39" s="20"/>
      <c r="F39" s="21" t="s">
        <v>23</v>
      </c>
      <c r="G39" s="21"/>
      <c r="H39" s="22"/>
    </row>
    <row r="40" spans="1:8" ht="12.95" customHeight="1">
      <c r="A40" s="1"/>
      <c r="B40" s="23" t="s">
        <v>21</v>
      </c>
      <c r="C40" s="24"/>
      <c r="D40" s="24"/>
      <c r="E40" s="21"/>
      <c r="F40" s="21" t="s">
        <v>23</v>
      </c>
      <c r="G40" s="21"/>
      <c r="H40" s="22"/>
    </row>
    <row r="41" spans="1:8" ht="12.95" customHeight="1">
      <c r="A41" s="1"/>
      <c r="B41" s="18" t="s">
        <v>24</v>
      </c>
      <c r="C41" s="19"/>
      <c r="D41" s="19"/>
      <c r="E41" s="25"/>
      <c r="F41" s="16">
        <v>50146.68</v>
      </c>
      <c r="G41" s="16">
        <v>98.61</v>
      </c>
      <c r="H41" s="22"/>
    </row>
    <row r="42" spans="1:8" ht="12.95" customHeight="1">
      <c r="A42" s="1"/>
      <c r="B42" s="6" t="s">
        <v>25</v>
      </c>
      <c r="C42" s="7"/>
      <c r="D42" s="7"/>
      <c r="E42" s="7"/>
      <c r="F42" s="7"/>
      <c r="G42" s="7"/>
      <c r="H42" s="8"/>
    </row>
    <row r="43" spans="1:8" ht="12.95" customHeight="1">
      <c r="A43" s="1"/>
      <c r="B43" s="44" t="s">
        <v>962</v>
      </c>
      <c r="C43" s="9"/>
      <c r="D43" s="9"/>
      <c r="E43" s="7"/>
      <c r="F43" s="7"/>
      <c r="G43" s="7"/>
      <c r="H43" s="8"/>
    </row>
    <row r="44" spans="1:8" ht="12.95" customHeight="1">
      <c r="A44" s="10" t="s">
        <v>124</v>
      </c>
      <c r="B44" s="45" t="s">
        <v>963</v>
      </c>
      <c r="C44" s="12"/>
      <c r="D44" s="7"/>
      <c r="E44" s="13"/>
      <c r="F44" s="14">
        <v>1402.24</v>
      </c>
      <c r="G44" s="14">
        <v>2.76</v>
      </c>
      <c r="H44" s="15">
        <v>3.6005000000000002E-2</v>
      </c>
    </row>
    <row r="45" spans="1:8" ht="12.95" customHeight="1">
      <c r="A45" s="1"/>
      <c r="B45" s="6" t="s">
        <v>21</v>
      </c>
      <c r="C45" s="7"/>
      <c r="D45" s="7"/>
      <c r="E45" s="7"/>
      <c r="F45" s="16">
        <v>1402.24</v>
      </c>
      <c r="G45" s="16">
        <v>2.76</v>
      </c>
      <c r="H45" s="17"/>
    </row>
    <row r="46" spans="1:8" ht="12.95" customHeight="1">
      <c r="A46" s="1"/>
      <c r="B46" s="18" t="s">
        <v>24</v>
      </c>
      <c r="C46" s="19"/>
      <c r="D46" s="19"/>
      <c r="E46" s="25"/>
      <c r="F46" s="16">
        <v>1402.24</v>
      </c>
      <c r="G46" s="16">
        <v>2.76</v>
      </c>
      <c r="H46" s="22"/>
    </row>
    <row r="47" spans="1:8" ht="12.95" customHeight="1">
      <c r="A47" s="1"/>
      <c r="B47" s="18" t="s">
        <v>127</v>
      </c>
      <c r="C47" s="19"/>
      <c r="D47" s="19"/>
      <c r="E47" s="7"/>
      <c r="F47" s="16">
        <v>-696.45</v>
      </c>
      <c r="G47" s="16">
        <v>-1.37</v>
      </c>
      <c r="H47" s="22"/>
    </row>
    <row r="48" spans="1:8" ht="12.95" customHeight="1">
      <c r="A48" s="1"/>
      <c r="B48" s="26" t="s">
        <v>128</v>
      </c>
      <c r="C48" s="27"/>
      <c r="D48" s="27"/>
      <c r="E48" s="27"/>
      <c r="F48" s="28">
        <v>50852.47</v>
      </c>
      <c r="G48" s="29">
        <v>100</v>
      </c>
      <c r="H48" s="30"/>
    </row>
    <row r="49" spans="1:8" ht="12.95" customHeight="1">
      <c r="A49" s="1"/>
      <c r="B49" s="105"/>
      <c r="C49" s="105"/>
      <c r="D49" s="105"/>
      <c r="E49" s="105"/>
      <c r="F49" s="1"/>
      <c r="G49" s="1"/>
      <c r="H49" s="1"/>
    </row>
    <row r="50" spans="1:8" ht="12.95" customHeight="1">
      <c r="A50" s="1"/>
      <c r="B50" s="105"/>
      <c r="C50" s="105"/>
      <c r="D50" s="105"/>
      <c r="E50" s="105"/>
      <c r="F50" s="1"/>
      <c r="G50" s="1"/>
      <c r="H50" s="1"/>
    </row>
    <row r="51" spans="1:8" ht="12.95" customHeight="1">
      <c r="A51" s="1"/>
      <c r="B51" s="105"/>
      <c r="C51" s="105"/>
      <c r="D51" s="105"/>
      <c r="E51" s="105"/>
      <c r="F51" s="1"/>
      <c r="G51" s="1"/>
      <c r="H51" s="1"/>
    </row>
    <row r="52" spans="1:8" ht="12.95" customHeight="1">
      <c r="A52" s="1"/>
      <c r="B52" s="106"/>
      <c r="C52" s="106"/>
      <c r="D52" s="106"/>
      <c r="E52" s="106"/>
      <c r="F52" s="1"/>
      <c r="G52" s="1"/>
      <c r="H52" s="1"/>
    </row>
    <row r="53" spans="1:8" ht="12.95" customHeight="1">
      <c r="A53" s="1"/>
      <c r="B53" s="105" t="s">
        <v>327</v>
      </c>
      <c r="C53" s="105"/>
      <c r="D53" s="105"/>
      <c r="E53" s="105"/>
      <c r="F53" s="1"/>
      <c r="G53" s="1"/>
      <c r="H53" s="1"/>
    </row>
    <row r="54" spans="1:8" ht="12.95" customHeight="1">
      <c r="A54" s="1"/>
      <c r="B54" s="107"/>
      <c r="C54" s="107"/>
      <c r="D54" s="107"/>
      <c r="E54" s="107"/>
      <c r="F54" s="1"/>
      <c r="G54" s="1"/>
      <c r="H54" s="1"/>
    </row>
  </sheetData>
  <mergeCells count="9">
    <mergeCell ref="B51:E51"/>
    <mergeCell ref="B52:E52"/>
    <mergeCell ref="B53:E53"/>
    <mergeCell ref="B54:E54"/>
    <mergeCell ref="B1:H1"/>
    <mergeCell ref="B2:H2"/>
    <mergeCell ref="B3:H3"/>
    <mergeCell ref="B49:E49"/>
    <mergeCell ref="B50:E50"/>
  </mergeCells>
  <pageMargins left="0" right="0" top="0" bottom="0" header="0" footer="0"/>
  <pageSetup orientation="portrait" r:id="rId1"/>
  <headerFooter>
    <oddFooter>&amp;C&amp;1#&amp;"Calibri"&amp;10&amp;K000000 For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1"/>
  <sheetViews>
    <sheetView workbookViewId="0">
      <selection activeCell="F9" sqref="F9"/>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51.75" customHeight="1">
      <c r="A3" s="1"/>
      <c r="B3" s="108" t="s">
        <v>957</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959</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864</v>
      </c>
      <c r="B8" s="11" t="s">
        <v>865</v>
      </c>
      <c r="C8" s="12" t="s">
        <v>866</v>
      </c>
      <c r="D8" s="7" t="s">
        <v>516</v>
      </c>
      <c r="E8" s="13">
        <v>1000000</v>
      </c>
      <c r="F8" s="14">
        <v>1014.77</v>
      </c>
      <c r="G8" s="14">
        <v>8.82</v>
      </c>
      <c r="H8" s="15">
        <v>5.5626000000000002E-2</v>
      </c>
    </row>
    <row r="9" spans="1:8" ht="12.95" customHeight="1">
      <c r="A9" s="10" t="s">
        <v>867</v>
      </c>
      <c r="B9" s="11" t="s">
        <v>868</v>
      </c>
      <c r="C9" s="12" t="s">
        <v>869</v>
      </c>
      <c r="D9" s="7" t="s">
        <v>464</v>
      </c>
      <c r="E9" s="13">
        <v>1000000</v>
      </c>
      <c r="F9" s="14">
        <v>1010.5</v>
      </c>
      <c r="G9" s="14">
        <v>8.7799999999999994</v>
      </c>
      <c r="H9" s="15">
        <v>4.3999999999999997E-2</v>
      </c>
    </row>
    <row r="10" spans="1:8" ht="12.95" customHeight="1">
      <c r="A10" s="10" t="s">
        <v>870</v>
      </c>
      <c r="B10" s="11" t="s">
        <v>871</v>
      </c>
      <c r="C10" s="12" t="s">
        <v>872</v>
      </c>
      <c r="D10" s="7" t="s">
        <v>464</v>
      </c>
      <c r="E10" s="13">
        <v>1000000</v>
      </c>
      <c r="F10" s="14">
        <v>991.91</v>
      </c>
      <c r="G10" s="14">
        <v>8.6199999999999992</v>
      </c>
      <c r="H10" s="15">
        <v>6.7174999999999999E-2</v>
      </c>
    </row>
    <row r="11" spans="1:8" ht="12.95" customHeight="1">
      <c r="A11" s="10" t="s">
        <v>551</v>
      </c>
      <c r="B11" s="11" t="s">
        <v>552</v>
      </c>
      <c r="C11" s="12" t="s">
        <v>553</v>
      </c>
      <c r="D11" s="7" t="s">
        <v>460</v>
      </c>
      <c r="E11" s="13">
        <v>1000000</v>
      </c>
      <c r="F11" s="14">
        <v>988.35</v>
      </c>
      <c r="G11" s="14">
        <v>8.59</v>
      </c>
      <c r="H11" s="15">
        <v>6.3099000000000002E-2</v>
      </c>
    </row>
    <row r="12" spans="1:8" ht="12.95" customHeight="1">
      <c r="A12" s="10" t="s">
        <v>873</v>
      </c>
      <c r="B12" s="11" t="s">
        <v>874</v>
      </c>
      <c r="C12" s="12" t="s">
        <v>875</v>
      </c>
      <c r="D12" s="7" t="s">
        <v>13</v>
      </c>
      <c r="E12" s="13">
        <v>500000</v>
      </c>
      <c r="F12" s="14">
        <v>518.32000000000005</v>
      </c>
      <c r="G12" s="14">
        <v>4.5</v>
      </c>
      <c r="H12" s="15">
        <v>6.3299999999999995E-2</v>
      </c>
    </row>
    <row r="13" spans="1:8" ht="12.95" customHeight="1">
      <c r="A13" s="10" t="s">
        <v>876</v>
      </c>
      <c r="B13" s="11" t="s">
        <v>877</v>
      </c>
      <c r="C13" s="12" t="s">
        <v>878</v>
      </c>
      <c r="D13" s="7" t="s">
        <v>879</v>
      </c>
      <c r="E13" s="13">
        <v>500000</v>
      </c>
      <c r="F13" s="14">
        <v>509.06</v>
      </c>
      <c r="G13" s="14">
        <v>4.42</v>
      </c>
      <c r="H13" s="15">
        <v>4.87E-2</v>
      </c>
    </row>
    <row r="14" spans="1:8" ht="12.95" customHeight="1">
      <c r="A14" s="10" t="s">
        <v>457</v>
      </c>
      <c r="B14" s="11" t="s">
        <v>458</v>
      </c>
      <c r="C14" s="12" t="s">
        <v>459</v>
      </c>
      <c r="D14" s="7" t="s">
        <v>460</v>
      </c>
      <c r="E14" s="13">
        <v>500000</v>
      </c>
      <c r="F14" s="14">
        <v>503.31</v>
      </c>
      <c r="G14" s="14">
        <v>4.37</v>
      </c>
      <c r="H14" s="15">
        <v>4.6449999999999998E-2</v>
      </c>
    </row>
    <row r="15" spans="1:8" ht="12.95" customHeight="1">
      <c r="A15" s="10" t="s">
        <v>465</v>
      </c>
      <c r="B15" s="11" t="s">
        <v>466</v>
      </c>
      <c r="C15" s="12" t="s">
        <v>467</v>
      </c>
      <c r="D15" s="7" t="s">
        <v>464</v>
      </c>
      <c r="E15" s="13">
        <v>500000</v>
      </c>
      <c r="F15" s="14">
        <v>495.84</v>
      </c>
      <c r="G15" s="14">
        <v>4.3099999999999996</v>
      </c>
      <c r="H15" s="15">
        <v>6.0199000000000003E-2</v>
      </c>
    </row>
    <row r="16" spans="1:8" ht="12.95" customHeight="1">
      <c r="A16" s="10" t="s">
        <v>493</v>
      </c>
      <c r="B16" s="11" t="s">
        <v>494</v>
      </c>
      <c r="C16" s="12" t="s">
        <v>495</v>
      </c>
      <c r="D16" s="7" t="s">
        <v>13</v>
      </c>
      <c r="E16" s="13">
        <v>500000</v>
      </c>
      <c r="F16" s="14">
        <v>488.88</v>
      </c>
      <c r="G16" s="14">
        <v>4.25</v>
      </c>
      <c r="H16" s="15">
        <v>5.8413E-2</v>
      </c>
    </row>
    <row r="17" spans="1:8" ht="12.95" customHeight="1">
      <c r="A17" s="10" t="s">
        <v>803</v>
      </c>
      <c r="B17" s="11" t="s">
        <v>804</v>
      </c>
      <c r="C17" s="12" t="s">
        <v>805</v>
      </c>
      <c r="D17" s="7" t="s">
        <v>13</v>
      </c>
      <c r="E17" s="13">
        <v>500000</v>
      </c>
      <c r="F17" s="14">
        <v>474.69</v>
      </c>
      <c r="G17" s="14">
        <v>4.12</v>
      </c>
      <c r="H17" s="15">
        <v>6.8439E-2</v>
      </c>
    </row>
    <row r="18" spans="1:8" ht="12.95" customHeight="1">
      <c r="A18" s="10" t="s">
        <v>484</v>
      </c>
      <c r="B18" s="11" t="s">
        <v>485</v>
      </c>
      <c r="C18" s="12" t="s">
        <v>486</v>
      </c>
      <c r="D18" s="7" t="s">
        <v>13</v>
      </c>
      <c r="E18" s="13">
        <v>250000</v>
      </c>
      <c r="F18" s="14">
        <v>245.05</v>
      </c>
      <c r="G18" s="14">
        <v>2.13</v>
      </c>
      <c r="H18" s="15">
        <v>6.8186999999999998E-2</v>
      </c>
    </row>
    <row r="19" spans="1:8" ht="12.95" customHeight="1">
      <c r="A19" s="1"/>
      <c r="B19" s="6" t="s">
        <v>21</v>
      </c>
      <c r="C19" s="7"/>
      <c r="D19" s="7"/>
      <c r="E19" s="7"/>
      <c r="F19" s="16">
        <v>7240.68</v>
      </c>
      <c r="G19" s="16">
        <v>62.91</v>
      </c>
      <c r="H19" s="17"/>
    </row>
    <row r="20" spans="1:8" ht="12.95" customHeight="1">
      <c r="A20" s="1"/>
      <c r="B20" s="18" t="s">
        <v>22</v>
      </c>
      <c r="C20" s="19"/>
      <c r="D20" s="19"/>
      <c r="E20" s="20"/>
      <c r="F20" s="21" t="s">
        <v>23</v>
      </c>
      <c r="G20" s="21"/>
      <c r="H20" s="22"/>
    </row>
    <row r="21" spans="1:8" ht="12.95" customHeight="1">
      <c r="A21" s="1"/>
      <c r="B21" s="23" t="s">
        <v>21</v>
      </c>
      <c r="C21" s="24"/>
      <c r="D21" s="24"/>
      <c r="E21" s="21"/>
      <c r="F21" s="21" t="s">
        <v>23</v>
      </c>
      <c r="G21" s="21"/>
      <c r="H21" s="22"/>
    </row>
    <row r="22" spans="1:8" s="40" customFormat="1" ht="12.95" customHeight="1">
      <c r="A22" s="34"/>
      <c r="B22" s="35" t="s">
        <v>960</v>
      </c>
      <c r="C22" s="36"/>
      <c r="D22" s="36"/>
      <c r="E22" s="37"/>
      <c r="F22" s="38" t="s">
        <v>23</v>
      </c>
      <c r="G22" s="38"/>
      <c r="H22" s="39"/>
    </row>
    <row r="23" spans="1:8" ht="12.95" customHeight="1">
      <c r="A23" s="46"/>
      <c r="B23" s="47" t="s">
        <v>21</v>
      </c>
      <c r="C23" s="48"/>
      <c r="D23" s="48"/>
      <c r="E23" s="49"/>
      <c r="F23" s="49" t="s">
        <v>23</v>
      </c>
      <c r="G23" s="49"/>
      <c r="H23" s="50"/>
    </row>
    <row r="24" spans="1:8" ht="12.95" customHeight="1">
      <c r="A24" s="1"/>
      <c r="B24" s="18" t="s">
        <v>24</v>
      </c>
      <c r="C24" s="19"/>
      <c r="D24" s="19"/>
      <c r="E24" s="25"/>
      <c r="F24" s="16">
        <v>7240.68</v>
      </c>
      <c r="G24" s="16">
        <v>62.91</v>
      </c>
      <c r="H24" s="22"/>
    </row>
    <row r="25" spans="1:8" ht="12.95" customHeight="1">
      <c r="A25" s="1"/>
      <c r="B25" s="6" t="s">
        <v>25</v>
      </c>
      <c r="C25" s="7"/>
      <c r="D25" s="7"/>
      <c r="E25" s="7"/>
      <c r="F25" s="7"/>
      <c r="G25" s="7"/>
      <c r="H25" s="8"/>
    </row>
    <row r="26" spans="1:8" ht="12.95" customHeight="1">
      <c r="A26" s="1"/>
      <c r="B26" s="6" t="s">
        <v>26</v>
      </c>
      <c r="C26" s="9"/>
      <c r="D26" s="9"/>
      <c r="E26" s="7"/>
      <c r="F26" s="7"/>
      <c r="G26" s="7"/>
      <c r="H26" s="8"/>
    </row>
    <row r="27" spans="1:8" ht="12.95" customHeight="1">
      <c r="A27" s="10" t="s">
        <v>563</v>
      </c>
      <c r="B27" s="11" t="s">
        <v>564</v>
      </c>
      <c r="C27" s="12" t="s">
        <v>565</v>
      </c>
      <c r="D27" s="7" t="s">
        <v>13</v>
      </c>
      <c r="E27" s="13">
        <v>250000</v>
      </c>
      <c r="F27" s="14">
        <v>249.21</v>
      </c>
      <c r="G27" s="14">
        <v>2.17</v>
      </c>
      <c r="H27" s="15">
        <v>3.5000000000000003E-2</v>
      </c>
    </row>
    <row r="28" spans="1:8" ht="12.95" customHeight="1">
      <c r="A28" s="1"/>
      <c r="B28" s="6" t="s">
        <v>21</v>
      </c>
      <c r="C28" s="7"/>
      <c r="D28" s="7"/>
      <c r="E28" s="7"/>
      <c r="F28" s="16">
        <v>249.21</v>
      </c>
      <c r="G28" s="16">
        <v>2.17</v>
      </c>
      <c r="H28" s="17"/>
    </row>
    <row r="29" spans="1:8" ht="12.95" customHeight="1">
      <c r="A29" s="1"/>
      <c r="B29" s="6" t="s">
        <v>42</v>
      </c>
      <c r="C29" s="9"/>
      <c r="D29" s="9"/>
      <c r="E29" s="7"/>
      <c r="F29" s="7"/>
      <c r="G29" s="7"/>
      <c r="H29" s="8"/>
    </row>
    <row r="30" spans="1:8" ht="12.95" customHeight="1">
      <c r="A30" s="10" t="s">
        <v>566</v>
      </c>
      <c r="B30" s="11" t="s">
        <v>55</v>
      </c>
      <c r="C30" s="12" t="s">
        <v>567</v>
      </c>
      <c r="D30" s="7" t="s">
        <v>50</v>
      </c>
      <c r="E30" s="13">
        <v>500000</v>
      </c>
      <c r="F30" s="14">
        <v>496.02</v>
      </c>
      <c r="G30" s="14">
        <v>4.3099999999999996</v>
      </c>
      <c r="H30" s="15">
        <v>3.8581999999999998E-2</v>
      </c>
    </row>
    <row r="31" spans="1:8" ht="12.95" customHeight="1">
      <c r="A31" s="10" t="s">
        <v>73</v>
      </c>
      <c r="B31" s="11" t="s">
        <v>65</v>
      </c>
      <c r="C31" s="12" t="s">
        <v>74</v>
      </c>
      <c r="D31" s="7" t="s">
        <v>46</v>
      </c>
      <c r="E31" s="13">
        <v>500000</v>
      </c>
      <c r="F31" s="14">
        <v>495.32</v>
      </c>
      <c r="G31" s="14">
        <v>4.3</v>
      </c>
      <c r="H31" s="15">
        <v>3.8748999999999999E-2</v>
      </c>
    </row>
    <row r="32" spans="1:8" ht="12.95" customHeight="1">
      <c r="A32" s="1"/>
      <c r="B32" s="6" t="s">
        <v>21</v>
      </c>
      <c r="C32" s="7"/>
      <c r="D32" s="7"/>
      <c r="E32" s="7"/>
      <c r="F32" s="16">
        <v>991.34</v>
      </c>
      <c r="G32" s="16">
        <v>8.61</v>
      </c>
      <c r="H32" s="17"/>
    </row>
    <row r="33" spans="1:8" ht="12.95" customHeight="1">
      <c r="A33" s="1"/>
      <c r="B33" s="6" t="s">
        <v>75</v>
      </c>
      <c r="C33" s="9"/>
      <c r="D33" s="9"/>
      <c r="E33" s="7"/>
      <c r="F33" s="7"/>
      <c r="G33" s="7"/>
      <c r="H33" s="8"/>
    </row>
    <row r="34" spans="1:8" ht="12.95" customHeight="1">
      <c r="A34" s="33"/>
      <c r="B34" s="51" t="s">
        <v>961</v>
      </c>
      <c r="C34" s="9"/>
      <c r="D34" s="9"/>
      <c r="E34" s="7"/>
      <c r="F34" s="7"/>
      <c r="G34" s="7"/>
      <c r="H34" s="8"/>
    </row>
    <row r="35" spans="1:8" ht="12.95" customHeight="1">
      <c r="A35" s="10" t="s">
        <v>112</v>
      </c>
      <c r="B35" s="11" t="s">
        <v>113</v>
      </c>
      <c r="C35" s="12" t="s">
        <v>114</v>
      </c>
      <c r="D35" s="7" t="s">
        <v>63</v>
      </c>
      <c r="E35" s="13">
        <v>1000000</v>
      </c>
      <c r="F35" s="14">
        <v>997.96</v>
      </c>
      <c r="G35" s="14">
        <v>8.67</v>
      </c>
      <c r="H35" s="15">
        <v>4.1500000000000002E-2</v>
      </c>
    </row>
    <row r="36" spans="1:8" ht="12.95" customHeight="1">
      <c r="A36" s="10" t="s">
        <v>575</v>
      </c>
      <c r="B36" s="11" t="s">
        <v>576</v>
      </c>
      <c r="C36" s="12" t="s">
        <v>577</v>
      </c>
      <c r="D36" s="7" t="s">
        <v>91</v>
      </c>
      <c r="E36" s="13">
        <v>500000</v>
      </c>
      <c r="F36" s="14">
        <v>499.35</v>
      </c>
      <c r="G36" s="14">
        <v>4.34</v>
      </c>
      <c r="H36" s="15">
        <v>6.83E-2</v>
      </c>
    </row>
    <row r="37" spans="1:8" ht="12.95" customHeight="1">
      <c r="A37" s="10" t="s">
        <v>573</v>
      </c>
      <c r="B37" s="11" t="s">
        <v>80</v>
      </c>
      <c r="C37" s="12" t="s">
        <v>574</v>
      </c>
      <c r="D37" s="7" t="s">
        <v>50</v>
      </c>
      <c r="E37" s="13">
        <v>500000</v>
      </c>
      <c r="F37" s="14">
        <v>489.96</v>
      </c>
      <c r="G37" s="14">
        <v>4.26</v>
      </c>
      <c r="H37" s="15">
        <v>5.3400999999999997E-2</v>
      </c>
    </row>
    <row r="38" spans="1:8" ht="12.95" customHeight="1">
      <c r="A38" s="1"/>
      <c r="B38" s="6" t="s">
        <v>21</v>
      </c>
      <c r="C38" s="7"/>
      <c r="D38" s="7"/>
      <c r="E38" s="7"/>
      <c r="F38" s="16">
        <v>1987.27</v>
      </c>
      <c r="G38" s="16">
        <v>17.27</v>
      </c>
      <c r="H38" s="17"/>
    </row>
    <row r="39" spans="1:8" ht="12.95" customHeight="1">
      <c r="A39" s="1"/>
      <c r="B39" s="44" t="s">
        <v>962</v>
      </c>
      <c r="C39" s="9"/>
      <c r="D39" s="9"/>
      <c r="E39" s="7"/>
      <c r="F39" s="7"/>
      <c r="G39" s="7"/>
      <c r="H39" s="8"/>
    </row>
    <row r="40" spans="1:8" ht="12.95" customHeight="1">
      <c r="A40" s="10" t="s">
        <v>124</v>
      </c>
      <c r="B40" s="45" t="s">
        <v>963</v>
      </c>
      <c r="C40" s="12"/>
      <c r="D40" s="7"/>
      <c r="E40" s="13"/>
      <c r="F40" s="14">
        <v>31.79</v>
      </c>
      <c r="G40" s="14">
        <v>0.28000000000000003</v>
      </c>
      <c r="H40" s="15">
        <v>3.6005000000000002E-2</v>
      </c>
    </row>
    <row r="41" spans="1:8" ht="12.95" customHeight="1">
      <c r="A41" s="1"/>
      <c r="B41" s="6" t="s">
        <v>21</v>
      </c>
      <c r="C41" s="7"/>
      <c r="D41" s="7"/>
      <c r="E41" s="7"/>
      <c r="F41" s="16">
        <v>31.79</v>
      </c>
      <c r="G41" s="16">
        <v>0.28000000000000003</v>
      </c>
      <c r="H41" s="17"/>
    </row>
    <row r="42" spans="1:8" ht="12.95" customHeight="1">
      <c r="A42" s="1"/>
      <c r="B42" s="6" t="s">
        <v>125</v>
      </c>
      <c r="C42" s="9"/>
      <c r="D42" s="9"/>
      <c r="E42" s="7"/>
      <c r="F42" s="7"/>
      <c r="G42" s="7"/>
      <c r="H42" s="8"/>
    </row>
    <row r="43" spans="1:8" ht="12.95" customHeight="1">
      <c r="A43" s="10" t="s">
        <v>126</v>
      </c>
      <c r="B43" s="11" t="s">
        <v>125</v>
      </c>
      <c r="C43" s="12"/>
      <c r="D43" s="7"/>
      <c r="E43" s="13">
        <v>83746600</v>
      </c>
      <c r="F43" s="14">
        <v>837.47</v>
      </c>
      <c r="G43" s="14">
        <v>7.28</v>
      </c>
      <c r="H43" s="15">
        <v>3.7499999999999999E-2</v>
      </c>
    </row>
    <row r="44" spans="1:8" ht="12.95" customHeight="1">
      <c r="A44" s="1"/>
      <c r="B44" s="6" t="s">
        <v>21</v>
      </c>
      <c r="C44" s="7"/>
      <c r="D44" s="7"/>
      <c r="E44" s="7"/>
      <c r="F44" s="16">
        <v>837.47</v>
      </c>
      <c r="G44" s="16">
        <v>7.28</v>
      </c>
      <c r="H44" s="17"/>
    </row>
    <row r="45" spans="1:8" ht="12.95" customHeight="1">
      <c r="A45" s="1"/>
      <c r="B45" s="18" t="s">
        <v>24</v>
      </c>
      <c r="C45" s="19"/>
      <c r="D45" s="19"/>
      <c r="E45" s="25"/>
      <c r="F45" s="16">
        <v>4097.08</v>
      </c>
      <c r="G45" s="16">
        <v>35.61</v>
      </c>
      <c r="H45" s="22"/>
    </row>
    <row r="46" spans="1:8" ht="12.95" customHeight="1">
      <c r="A46" s="1"/>
      <c r="B46" s="18" t="s">
        <v>127</v>
      </c>
      <c r="C46" s="19"/>
      <c r="D46" s="19"/>
      <c r="E46" s="7"/>
      <c r="F46" s="16">
        <v>170.38</v>
      </c>
      <c r="G46" s="16">
        <v>1.48</v>
      </c>
      <c r="H46" s="22"/>
    </row>
    <row r="47" spans="1:8" ht="12.95" customHeight="1">
      <c r="A47" s="1"/>
      <c r="B47" s="26" t="s">
        <v>128</v>
      </c>
      <c r="C47" s="27"/>
      <c r="D47" s="27"/>
      <c r="E47" s="27"/>
      <c r="F47" s="28">
        <v>11508.14</v>
      </c>
      <c r="G47" s="29">
        <v>100</v>
      </c>
      <c r="H47" s="30"/>
    </row>
    <row r="48" spans="1:8" ht="12.95" customHeight="1">
      <c r="A48" s="1"/>
      <c r="B48" s="105"/>
      <c r="C48" s="105"/>
      <c r="D48" s="105"/>
      <c r="E48" s="105"/>
      <c r="F48" s="1"/>
      <c r="G48" s="1"/>
      <c r="H48" s="1"/>
    </row>
    <row r="49" spans="1:8" ht="12.95" customHeight="1">
      <c r="A49" s="1"/>
      <c r="B49" s="105"/>
      <c r="C49" s="105"/>
      <c r="D49" s="105"/>
      <c r="E49" s="105"/>
      <c r="F49" s="1"/>
      <c r="G49" s="1"/>
      <c r="H49" s="1"/>
    </row>
    <row r="50" spans="1:8" ht="12.95" customHeight="1">
      <c r="A50" s="1"/>
      <c r="B50" s="101" t="s">
        <v>964</v>
      </c>
      <c r="C50" s="102"/>
      <c r="D50" s="102"/>
      <c r="E50" s="102"/>
      <c r="F50" s="1"/>
      <c r="G50" s="1"/>
      <c r="H50" s="1"/>
    </row>
    <row r="51" spans="1:8" ht="12.95" customHeight="1">
      <c r="A51" s="1"/>
      <c r="B51" s="101" t="s">
        <v>129</v>
      </c>
      <c r="C51" s="102"/>
      <c r="D51" s="102"/>
      <c r="E51" s="102"/>
      <c r="F51" s="1"/>
      <c r="G51" s="1"/>
      <c r="H51" s="1"/>
    </row>
  </sheetData>
  <mergeCells count="7">
    <mergeCell ref="B50:E50"/>
    <mergeCell ref="B51:E51"/>
    <mergeCell ref="B1:H1"/>
    <mergeCell ref="B2:H2"/>
    <mergeCell ref="B3:H3"/>
    <mergeCell ref="B48:E48"/>
    <mergeCell ref="B49:E49"/>
  </mergeCells>
  <pageMargins left="0" right="0" top="0" bottom="0" header="0" footer="0"/>
  <pageSetup orientation="portrait" r:id="rId1"/>
  <headerFooter>
    <oddFooter>&amp;C&amp;1#&amp;"Calibri"&amp;10&amp;K000000 For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6"/>
  <sheetViews>
    <sheetView topLeftCell="A55" workbookViewId="0">
      <selection activeCell="A80" sqref="A80"/>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3" customHeight="1">
      <c r="A3" s="1"/>
      <c r="B3" s="108" t="s">
        <v>958</v>
      </c>
      <c r="C3" s="108"/>
      <c r="D3" s="108"/>
      <c r="E3" s="108"/>
      <c r="F3" s="108"/>
      <c r="G3" s="108"/>
      <c r="H3" s="108"/>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134</v>
      </c>
      <c r="B8" s="11" t="s">
        <v>135</v>
      </c>
      <c r="C8" s="12" t="s">
        <v>136</v>
      </c>
      <c r="D8" s="7" t="s">
        <v>137</v>
      </c>
      <c r="E8" s="13">
        <v>399900</v>
      </c>
      <c r="F8" s="14">
        <v>7625.49</v>
      </c>
      <c r="G8" s="14">
        <v>8.17</v>
      </c>
      <c r="H8" s="15"/>
    </row>
    <row r="9" spans="1:8" ht="12.95" customHeight="1">
      <c r="A9" s="10" t="s">
        <v>138</v>
      </c>
      <c r="B9" s="11" t="s">
        <v>139</v>
      </c>
      <c r="C9" s="12" t="s">
        <v>140</v>
      </c>
      <c r="D9" s="7" t="s">
        <v>141</v>
      </c>
      <c r="E9" s="13">
        <v>993000</v>
      </c>
      <c r="F9" s="14">
        <v>7251.88</v>
      </c>
      <c r="G9" s="14">
        <v>7.77</v>
      </c>
      <c r="H9" s="15"/>
    </row>
    <row r="10" spans="1:8" ht="12.95" customHeight="1">
      <c r="A10" s="10" t="s">
        <v>142</v>
      </c>
      <c r="B10" s="11" t="s">
        <v>143</v>
      </c>
      <c r="C10" s="12" t="s">
        <v>144</v>
      </c>
      <c r="D10" s="7" t="s">
        <v>141</v>
      </c>
      <c r="E10" s="13">
        <v>424400</v>
      </c>
      <c r="F10" s="14">
        <v>6240.17</v>
      </c>
      <c r="G10" s="14">
        <v>6.68</v>
      </c>
      <c r="H10" s="15"/>
    </row>
    <row r="11" spans="1:8" ht="12.95" customHeight="1">
      <c r="A11" s="10" t="s">
        <v>145</v>
      </c>
      <c r="B11" s="11" t="s">
        <v>146</v>
      </c>
      <c r="C11" s="12" t="s">
        <v>147</v>
      </c>
      <c r="D11" s="7" t="s">
        <v>148</v>
      </c>
      <c r="E11" s="13">
        <v>211400</v>
      </c>
      <c r="F11" s="14">
        <v>5569.86</v>
      </c>
      <c r="G11" s="14">
        <v>5.96</v>
      </c>
      <c r="H11" s="15"/>
    </row>
    <row r="12" spans="1:8" ht="12.95" customHeight="1">
      <c r="A12" s="10" t="s">
        <v>149</v>
      </c>
      <c r="B12" s="11" t="s">
        <v>150</v>
      </c>
      <c r="C12" s="12" t="s">
        <v>151</v>
      </c>
      <c r="D12" s="7" t="s">
        <v>141</v>
      </c>
      <c r="E12" s="13">
        <v>388500</v>
      </c>
      <c r="F12" s="14">
        <v>2957.07</v>
      </c>
      <c r="G12" s="14">
        <v>3.17</v>
      </c>
      <c r="H12" s="15"/>
    </row>
    <row r="13" spans="1:8" ht="12.95" customHeight="1">
      <c r="A13" s="10" t="s">
        <v>156</v>
      </c>
      <c r="B13" s="11" t="s">
        <v>157</v>
      </c>
      <c r="C13" s="12" t="s">
        <v>158</v>
      </c>
      <c r="D13" s="7" t="s">
        <v>159</v>
      </c>
      <c r="E13" s="13">
        <v>134900</v>
      </c>
      <c r="F13" s="14">
        <v>2763.63</v>
      </c>
      <c r="G13" s="14">
        <v>2.96</v>
      </c>
      <c r="H13" s="15"/>
    </row>
    <row r="14" spans="1:8" ht="12.95" customHeight="1">
      <c r="A14" s="10" t="s">
        <v>343</v>
      </c>
      <c r="B14" s="11" t="s">
        <v>344</v>
      </c>
      <c r="C14" s="12" t="s">
        <v>345</v>
      </c>
      <c r="D14" s="7" t="s">
        <v>159</v>
      </c>
      <c r="E14" s="13">
        <v>1100000</v>
      </c>
      <c r="F14" s="14">
        <v>2757.15</v>
      </c>
      <c r="G14" s="14">
        <v>2.95</v>
      </c>
      <c r="H14" s="15"/>
    </row>
    <row r="15" spans="1:8" ht="12.95" customHeight="1">
      <c r="A15" s="10" t="s">
        <v>152</v>
      </c>
      <c r="B15" s="11" t="s">
        <v>153</v>
      </c>
      <c r="C15" s="12" t="s">
        <v>154</v>
      </c>
      <c r="D15" s="7" t="s">
        <v>155</v>
      </c>
      <c r="E15" s="13">
        <v>37300</v>
      </c>
      <c r="F15" s="14">
        <v>2707.96</v>
      </c>
      <c r="G15" s="14">
        <v>2.9</v>
      </c>
      <c r="H15" s="15"/>
    </row>
    <row r="16" spans="1:8" ht="12.95" customHeight="1">
      <c r="A16" s="10" t="s">
        <v>164</v>
      </c>
      <c r="B16" s="11" t="s">
        <v>165</v>
      </c>
      <c r="C16" s="12" t="s">
        <v>166</v>
      </c>
      <c r="D16" s="7" t="s">
        <v>141</v>
      </c>
      <c r="E16" s="13">
        <v>135800</v>
      </c>
      <c r="F16" s="14">
        <v>2381.73</v>
      </c>
      <c r="G16" s="14">
        <v>2.5499999999999998</v>
      </c>
      <c r="H16" s="15"/>
    </row>
    <row r="17" spans="1:8" ht="12.95" customHeight="1">
      <c r="A17" s="10" t="s">
        <v>160</v>
      </c>
      <c r="B17" s="11" t="s">
        <v>161</v>
      </c>
      <c r="C17" s="12" t="s">
        <v>162</v>
      </c>
      <c r="D17" s="7" t="s">
        <v>163</v>
      </c>
      <c r="E17" s="13">
        <v>129770</v>
      </c>
      <c r="F17" s="14">
        <v>2293.88</v>
      </c>
      <c r="G17" s="14">
        <v>2.46</v>
      </c>
      <c r="H17" s="15"/>
    </row>
    <row r="18" spans="1:8" ht="12.95" customHeight="1">
      <c r="A18" s="10" t="s">
        <v>175</v>
      </c>
      <c r="B18" s="11" t="s">
        <v>176</v>
      </c>
      <c r="C18" s="12" t="s">
        <v>177</v>
      </c>
      <c r="D18" s="7" t="s">
        <v>137</v>
      </c>
      <c r="E18" s="13">
        <v>380101</v>
      </c>
      <c r="F18" s="14">
        <v>2249.8200000000002</v>
      </c>
      <c r="G18" s="14">
        <v>2.41</v>
      </c>
      <c r="H18" s="15"/>
    </row>
    <row r="19" spans="1:8" ht="12.95" customHeight="1">
      <c r="A19" s="10" t="s">
        <v>185</v>
      </c>
      <c r="B19" s="11" t="s">
        <v>186</v>
      </c>
      <c r="C19" s="12" t="s">
        <v>187</v>
      </c>
      <c r="D19" s="7" t="s">
        <v>188</v>
      </c>
      <c r="E19" s="13">
        <v>32200</v>
      </c>
      <c r="F19" s="14">
        <v>2125.94</v>
      </c>
      <c r="G19" s="14">
        <v>2.2799999999999998</v>
      </c>
      <c r="H19" s="15"/>
    </row>
    <row r="20" spans="1:8" ht="12.95" customHeight="1">
      <c r="A20" s="10" t="s">
        <v>171</v>
      </c>
      <c r="B20" s="11" t="s">
        <v>172</v>
      </c>
      <c r="C20" s="12" t="s">
        <v>173</v>
      </c>
      <c r="D20" s="7" t="s">
        <v>174</v>
      </c>
      <c r="E20" s="13">
        <v>27900</v>
      </c>
      <c r="F20" s="14">
        <v>2109.6</v>
      </c>
      <c r="G20" s="14">
        <v>2.2599999999999998</v>
      </c>
      <c r="H20" s="15"/>
    </row>
    <row r="21" spans="1:8" ht="12.95" customHeight="1">
      <c r="A21" s="10" t="s">
        <v>167</v>
      </c>
      <c r="B21" s="11" t="s">
        <v>168</v>
      </c>
      <c r="C21" s="12" t="s">
        <v>169</v>
      </c>
      <c r="D21" s="7" t="s">
        <v>170</v>
      </c>
      <c r="E21" s="13">
        <v>179728</v>
      </c>
      <c r="F21" s="14">
        <v>2015.56</v>
      </c>
      <c r="G21" s="14">
        <v>2.16</v>
      </c>
      <c r="H21" s="15"/>
    </row>
    <row r="22" spans="1:8" ht="12.95" customHeight="1">
      <c r="A22" s="10" t="s">
        <v>178</v>
      </c>
      <c r="B22" s="11" t="s">
        <v>179</v>
      </c>
      <c r="C22" s="12" t="s">
        <v>180</v>
      </c>
      <c r="D22" s="7" t="s">
        <v>181</v>
      </c>
      <c r="E22" s="13">
        <v>142747</v>
      </c>
      <c r="F22" s="14">
        <v>1820.74</v>
      </c>
      <c r="G22" s="14">
        <v>1.95</v>
      </c>
      <c r="H22" s="15"/>
    </row>
    <row r="23" spans="1:8" ht="12.95" customHeight="1">
      <c r="A23" s="10" t="s">
        <v>833</v>
      </c>
      <c r="B23" s="11" t="s">
        <v>834</v>
      </c>
      <c r="C23" s="12" t="s">
        <v>835</v>
      </c>
      <c r="D23" s="7" t="s">
        <v>170</v>
      </c>
      <c r="E23" s="13">
        <v>307000</v>
      </c>
      <c r="F23" s="14">
        <v>1652.27</v>
      </c>
      <c r="G23" s="14">
        <v>1.77</v>
      </c>
      <c r="H23" s="15"/>
    </row>
    <row r="24" spans="1:8" ht="12.95" customHeight="1">
      <c r="A24" s="10" t="s">
        <v>836</v>
      </c>
      <c r="B24" s="11" t="s">
        <v>837</v>
      </c>
      <c r="C24" s="12" t="s">
        <v>838</v>
      </c>
      <c r="D24" s="7" t="s">
        <v>203</v>
      </c>
      <c r="E24" s="13">
        <v>125000</v>
      </c>
      <c r="F24" s="14">
        <v>1634</v>
      </c>
      <c r="G24" s="14">
        <v>1.75</v>
      </c>
      <c r="H24" s="15"/>
    </row>
    <row r="25" spans="1:8" ht="12.95" customHeight="1">
      <c r="A25" s="10" t="s">
        <v>197</v>
      </c>
      <c r="B25" s="11" t="s">
        <v>198</v>
      </c>
      <c r="C25" s="12" t="s">
        <v>199</v>
      </c>
      <c r="D25" s="7" t="s">
        <v>192</v>
      </c>
      <c r="E25" s="13">
        <v>49800</v>
      </c>
      <c r="F25" s="14">
        <v>1629.78</v>
      </c>
      <c r="G25" s="14">
        <v>1.75</v>
      </c>
      <c r="H25" s="15"/>
    </row>
    <row r="26" spans="1:8" ht="12.95" customHeight="1">
      <c r="A26" s="10" t="s">
        <v>193</v>
      </c>
      <c r="B26" s="11" t="s">
        <v>194</v>
      </c>
      <c r="C26" s="12" t="s">
        <v>195</v>
      </c>
      <c r="D26" s="7" t="s">
        <v>196</v>
      </c>
      <c r="E26" s="13">
        <v>257184</v>
      </c>
      <c r="F26" s="14">
        <v>1464.66</v>
      </c>
      <c r="G26" s="14">
        <v>1.57</v>
      </c>
      <c r="H26" s="15"/>
    </row>
    <row r="27" spans="1:8" ht="12.95" customHeight="1">
      <c r="A27" s="10" t="s">
        <v>355</v>
      </c>
      <c r="B27" s="11" t="s">
        <v>356</v>
      </c>
      <c r="C27" s="12" t="s">
        <v>357</v>
      </c>
      <c r="D27" s="7" t="s">
        <v>358</v>
      </c>
      <c r="E27" s="13">
        <v>503000</v>
      </c>
      <c r="F27" s="14">
        <v>1450.4</v>
      </c>
      <c r="G27" s="14">
        <v>1.55</v>
      </c>
      <c r="H27" s="15"/>
    </row>
    <row r="28" spans="1:8" ht="12.95" customHeight="1">
      <c r="A28" s="10" t="s">
        <v>256</v>
      </c>
      <c r="B28" s="11" t="s">
        <v>257</v>
      </c>
      <c r="C28" s="12" t="s">
        <v>258</v>
      </c>
      <c r="D28" s="7" t="s">
        <v>137</v>
      </c>
      <c r="E28" s="13">
        <v>31000</v>
      </c>
      <c r="F28" s="14">
        <v>1333.9</v>
      </c>
      <c r="G28" s="14">
        <v>1.43</v>
      </c>
      <c r="H28" s="15"/>
    </row>
    <row r="29" spans="1:8" ht="12.95" customHeight="1">
      <c r="A29" s="10" t="s">
        <v>204</v>
      </c>
      <c r="B29" s="11" t="s">
        <v>205</v>
      </c>
      <c r="C29" s="12" t="s">
        <v>206</v>
      </c>
      <c r="D29" s="7" t="s">
        <v>207</v>
      </c>
      <c r="E29" s="13">
        <v>65083</v>
      </c>
      <c r="F29" s="14">
        <v>1316.6</v>
      </c>
      <c r="G29" s="14">
        <v>1.41</v>
      </c>
      <c r="H29" s="15"/>
    </row>
    <row r="30" spans="1:8" ht="12.95" customHeight="1">
      <c r="A30" s="10" t="s">
        <v>231</v>
      </c>
      <c r="B30" s="11" t="s">
        <v>232</v>
      </c>
      <c r="C30" s="12" t="s">
        <v>233</v>
      </c>
      <c r="D30" s="7" t="s">
        <v>234</v>
      </c>
      <c r="E30" s="13">
        <v>345000</v>
      </c>
      <c r="F30" s="14">
        <v>1312.55</v>
      </c>
      <c r="G30" s="14">
        <v>1.41</v>
      </c>
      <c r="H30" s="15"/>
    </row>
    <row r="31" spans="1:8" ht="12.95" customHeight="1">
      <c r="A31" s="10" t="s">
        <v>880</v>
      </c>
      <c r="B31" s="11" t="s">
        <v>881</v>
      </c>
      <c r="C31" s="12" t="s">
        <v>882</v>
      </c>
      <c r="D31" s="7" t="s">
        <v>272</v>
      </c>
      <c r="E31" s="13">
        <v>54900</v>
      </c>
      <c r="F31" s="14">
        <v>1300.1400000000001</v>
      </c>
      <c r="G31" s="14">
        <v>1.39</v>
      </c>
      <c r="H31" s="15"/>
    </row>
    <row r="32" spans="1:8" ht="12.95" customHeight="1">
      <c r="A32" s="10" t="s">
        <v>235</v>
      </c>
      <c r="B32" s="11" t="s">
        <v>236</v>
      </c>
      <c r="C32" s="12" t="s">
        <v>237</v>
      </c>
      <c r="D32" s="7" t="s">
        <v>238</v>
      </c>
      <c r="E32" s="13">
        <v>1097500</v>
      </c>
      <c r="F32" s="14">
        <v>1267.06</v>
      </c>
      <c r="G32" s="14">
        <v>1.36</v>
      </c>
      <c r="H32" s="15"/>
    </row>
    <row r="33" spans="1:8" ht="12.95" customHeight="1">
      <c r="A33" s="10" t="s">
        <v>243</v>
      </c>
      <c r="B33" s="11" t="s">
        <v>244</v>
      </c>
      <c r="C33" s="12" t="s">
        <v>245</v>
      </c>
      <c r="D33" s="7" t="s">
        <v>246</v>
      </c>
      <c r="E33" s="13">
        <v>63537</v>
      </c>
      <c r="F33" s="14">
        <v>1241</v>
      </c>
      <c r="G33" s="14">
        <v>1.33</v>
      </c>
      <c r="H33" s="15"/>
    </row>
    <row r="34" spans="1:8" ht="12.95" customHeight="1">
      <c r="A34" s="10" t="s">
        <v>212</v>
      </c>
      <c r="B34" s="11" t="s">
        <v>213</v>
      </c>
      <c r="C34" s="12" t="s">
        <v>214</v>
      </c>
      <c r="D34" s="7" t="s">
        <v>159</v>
      </c>
      <c r="E34" s="13">
        <v>79984</v>
      </c>
      <c r="F34" s="14">
        <v>1191.4000000000001</v>
      </c>
      <c r="G34" s="14">
        <v>1.28</v>
      </c>
      <c r="H34" s="15"/>
    </row>
    <row r="35" spans="1:8" ht="12.95" customHeight="1">
      <c r="A35" s="10" t="s">
        <v>759</v>
      </c>
      <c r="B35" s="11" t="s">
        <v>760</v>
      </c>
      <c r="C35" s="12" t="s">
        <v>761</v>
      </c>
      <c r="D35" s="7" t="s">
        <v>137</v>
      </c>
      <c r="E35" s="13">
        <v>33000</v>
      </c>
      <c r="F35" s="14">
        <v>1183.96</v>
      </c>
      <c r="G35" s="14">
        <v>1.27</v>
      </c>
      <c r="H35" s="15"/>
    </row>
    <row r="36" spans="1:8" ht="12.95" customHeight="1">
      <c r="A36" s="10" t="s">
        <v>661</v>
      </c>
      <c r="B36" s="11" t="s">
        <v>662</v>
      </c>
      <c r="C36" s="12" t="s">
        <v>663</v>
      </c>
      <c r="D36" s="7" t="s">
        <v>218</v>
      </c>
      <c r="E36" s="13">
        <v>14909</v>
      </c>
      <c r="F36" s="14">
        <v>1137.81</v>
      </c>
      <c r="G36" s="14">
        <v>1.22</v>
      </c>
      <c r="H36" s="15"/>
    </row>
    <row r="37" spans="1:8" ht="12.95" customHeight="1">
      <c r="A37" s="10" t="s">
        <v>401</v>
      </c>
      <c r="B37" s="11" t="s">
        <v>402</v>
      </c>
      <c r="C37" s="12" t="s">
        <v>403</v>
      </c>
      <c r="D37" s="7" t="s">
        <v>218</v>
      </c>
      <c r="E37" s="13">
        <v>544784</v>
      </c>
      <c r="F37" s="14">
        <v>1126.6099999999999</v>
      </c>
      <c r="G37" s="14">
        <v>1.21</v>
      </c>
      <c r="H37" s="15"/>
    </row>
    <row r="38" spans="1:8" ht="12.95" customHeight="1">
      <c r="A38" s="10" t="s">
        <v>250</v>
      </c>
      <c r="B38" s="11" t="s">
        <v>251</v>
      </c>
      <c r="C38" s="12" t="s">
        <v>252</v>
      </c>
      <c r="D38" s="7" t="s">
        <v>207</v>
      </c>
      <c r="E38" s="13">
        <v>69605</v>
      </c>
      <c r="F38" s="14">
        <v>1112.04</v>
      </c>
      <c r="G38" s="14">
        <v>1.19</v>
      </c>
      <c r="H38" s="15"/>
    </row>
    <row r="39" spans="1:8" ht="12.95" customHeight="1">
      <c r="A39" s="10" t="s">
        <v>652</v>
      </c>
      <c r="B39" s="11" t="s">
        <v>653</v>
      </c>
      <c r="C39" s="12" t="s">
        <v>654</v>
      </c>
      <c r="D39" s="7" t="s">
        <v>207</v>
      </c>
      <c r="E39" s="13">
        <v>156000</v>
      </c>
      <c r="F39" s="14">
        <v>1092.94</v>
      </c>
      <c r="G39" s="14">
        <v>1.17</v>
      </c>
      <c r="H39" s="15"/>
    </row>
    <row r="40" spans="1:8" ht="12.95" customHeight="1">
      <c r="A40" s="10" t="s">
        <v>266</v>
      </c>
      <c r="B40" s="11" t="s">
        <v>267</v>
      </c>
      <c r="C40" s="12" t="s">
        <v>268</v>
      </c>
      <c r="D40" s="7" t="s">
        <v>170</v>
      </c>
      <c r="E40" s="13">
        <v>80000</v>
      </c>
      <c r="F40" s="14">
        <v>1062.6400000000001</v>
      </c>
      <c r="G40" s="14">
        <v>1.1399999999999999</v>
      </c>
      <c r="H40" s="15"/>
    </row>
    <row r="41" spans="1:8" ht="12.95" customHeight="1">
      <c r="A41" s="10" t="s">
        <v>883</v>
      </c>
      <c r="B41" s="11" t="s">
        <v>884</v>
      </c>
      <c r="C41" s="12" t="s">
        <v>885</v>
      </c>
      <c r="D41" s="7" t="s">
        <v>226</v>
      </c>
      <c r="E41" s="13">
        <v>235000</v>
      </c>
      <c r="F41" s="14">
        <v>1053.98</v>
      </c>
      <c r="G41" s="14">
        <v>1.1299999999999999</v>
      </c>
      <c r="H41" s="15"/>
    </row>
    <row r="42" spans="1:8" ht="12.95" customHeight="1">
      <c r="A42" s="10" t="s">
        <v>320</v>
      </c>
      <c r="B42" s="11" t="s">
        <v>321</v>
      </c>
      <c r="C42" s="12" t="s">
        <v>322</v>
      </c>
      <c r="D42" s="7" t="s">
        <v>137</v>
      </c>
      <c r="E42" s="13">
        <v>90489</v>
      </c>
      <c r="F42" s="14">
        <v>1053.07</v>
      </c>
      <c r="G42" s="14">
        <v>1.1299999999999999</v>
      </c>
      <c r="H42" s="15"/>
    </row>
    <row r="43" spans="1:8" ht="12.95" customHeight="1">
      <c r="A43" s="10" t="s">
        <v>253</v>
      </c>
      <c r="B43" s="11" t="s">
        <v>254</v>
      </c>
      <c r="C43" s="12" t="s">
        <v>255</v>
      </c>
      <c r="D43" s="7" t="s">
        <v>192</v>
      </c>
      <c r="E43" s="13">
        <v>28000</v>
      </c>
      <c r="F43" s="14">
        <v>1013.8</v>
      </c>
      <c r="G43" s="14">
        <v>1.0900000000000001</v>
      </c>
      <c r="H43" s="15"/>
    </row>
    <row r="44" spans="1:8" ht="12.95" customHeight="1">
      <c r="A44" s="10" t="s">
        <v>658</v>
      </c>
      <c r="B44" s="11" t="s">
        <v>659</v>
      </c>
      <c r="C44" s="12" t="s">
        <v>660</v>
      </c>
      <c r="D44" s="7" t="s">
        <v>242</v>
      </c>
      <c r="E44" s="13">
        <v>46736</v>
      </c>
      <c r="F44" s="14">
        <v>916.68</v>
      </c>
      <c r="G44" s="14">
        <v>0.98</v>
      </c>
      <c r="H44" s="15"/>
    </row>
    <row r="45" spans="1:8" ht="12.95" customHeight="1">
      <c r="A45" s="10" t="s">
        <v>219</v>
      </c>
      <c r="B45" s="11" t="s">
        <v>220</v>
      </c>
      <c r="C45" s="12" t="s">
        <v>221</v>
      </c>
      <c r="D45" s="7" t="s">
        <v>222</v>
      </c>
      <c r="E45" s="13">
        <v>292781</v>
      </c>
      <c r="F45" s="14">
        <v>889.91</v>
      </c>
      <c r="G45" s="14">
        <v>0.95</v>
      </c>
      <c r="H45" s="15"/>
    </row>
    <row r="46" spans="1:8" ht="12.95" customHeight="1">
      <c r="A46" s="10" t="s">
        <v>295</v>
      </c>
      <c r="B46" s="11" t="s">
        <v>296</v>
      </c>
      <c r="C46" s="12" t="s">
        <v>297</v>
      </c>
      <c r="D46" s="7" t="s">
        <v>288</v>
      </c>
      <c r="E46" s="13">
        <v>398000</v>
      </c>
      <c r="F46" s="14">
        <v>883.76</v>
      </c>
      <c r="G46" s="14">
        <v>0.95</v>
      </c>
      <c r="H46" s="15"/>
    </row>
    <row r="47" spans="1:8" ht="12.95" customHeight="1">
      <c r="A47" s="10" t="s">
        <v>619</v>
      </c>
      <c r="B47" s="11" t="s">
        <v>620</v>
      </c>
      <c r="C47" s="12" t="s">
        <v>621</v>
      </c>
      <c r="D47" s="7" t="s">
        <v>272</v>
      </c>
      <c r="E47" s="13">
        <v>47000</v>
      </c>
      <c r="F47" s="14">
        <v>854.86</v>
      </c>
      <c r="G47" s="14">
        <v>0.92</v>
      </c>
      <c r="H47" s="15"/>
    </row>
    <row r="48" spans="1:8" ht="12.95" customHeight="1">
      <c r="A48" s="10" t="s">
        <v>307</v>
      </c>
      <c r="B48" s="11" t="s">
        <v>308</v>
      </c>
      <c r="C48" s="12" t="s">
        <v>309</v>
      </c>
      <c r="D48" s="7" t="s">
        <v>238</v>
      </c>
      <c r="E48" s="13">
        <v>134000</v>
      </c>
      <c r="F48" s="14">
        <v>834.22</v>
      </c>
      <c r="G48" s="14">
        <v>0.89</v>
      </c>
      <c r="H48" s="15"/>
    </row>
    <row r="49" spans="1:8" ht="12.95" customHeight="1">
      <c r="A49" s="10" t="s">
        <v>886</v>
      </c>
      <c r="B49" s="11" t="s">
        <v>887</v>
      </c>
      <c r="C49" s="12" t="s">
        <v>888</v>
      </c>
      <c r="D49" s="7" t="s">
        <v>242</v>
      </c>
      <c r="E49" s="13">
        <v>112602</v>
      </c>
      <c r="F49" s="14">
        <v>806.57</v>
      </c>
      <c r="G49" s="14">
        <v>0.86</v>
      </c>
      <c r="H49" s="15"/>
    </row>
    <row r="50" spans="1:8" ht="12.95" customHeight="1">
      <c r="A50" s="10" t="s">
        <v>259</v>
      </c>
      <c r="B50" s="11" t="s">
        <v>260</v>
      </c>
      <c r="C50" s="12" t="s">
        <v>261</v>
      </c>
      <c r="D50" s="7" t="s">
        <v>262</v>
      </c>
      <c r="E50" s="13">
        <v>382000</v>
      </c>
      <c r="F50" s="14">
        <v>805.26</v>
      </c>
      <c r="G50" s="14">
        <v>0.86</v>
      </c>
      <c r="H50" s="15"/>
    </row>
    <row r="51" spans="1:8" ht="12.95" customHeight="1">
      <c r="A51" s="10" t="s">
        <v>298</v>
      </c>
      <c r="B51" s="11" t="s">
        <v>299</v>
      </c>
      <c r="C51" s="12" t="s">
        <v>300</v>
      </c>
      <c r="D51" s="7" t="s">
        <v>192</v>
      </c>
      <c r="E51" s="13">
        <v>212204</v>
      </c>
      <c r="F51" s="14">
        <v>800.12</v>
      </c>
      <c r="G51" s="14">
        <v>0.86</v>
      </c>
      <c r="H51" s="15"/>
    </row>
    <row r="52" spans="1:8" ht="12.95" customHeight="1">
      <c r="A52" s="10" t="s">
        <v>247</v>
      </c>
      <c r="B52" s="11" t="s">
        <v>248</v>
      </c>
      <c r="C52" s="12" t="s">
        <v>249</v>
      </c>
      <c r="D52" s="7" t="s">
        <v>207</v>
      </c>
      <c r="E52" s="13">
        <v>154447</v>
      </c>
      <c r="F52" s="14">
        <v>776.64</v>
      </c>
      <c r="G52" s="14">
        <v>0.83</v>
      </c>
      <c r="H52" s="15"/>
    </row>
    <row r="53" spans="1:8" ht="12.95" customHeight="1">
      <c r="A53" s="10" t="s">
        <v>304</v>
      </c>
      <c r="B53" s="11" t="s">
        <v>305</v>
      </c>
      <c r="C53" s="12" t="s">
        <v>306</v>
      </c>
      <c r="D53" s="7" t="s">
        <v>159</v>
      </c>
      <c r="E53" s="13">
        <v>3500</v>
      </c>
      <c r="F53" s="14">
        <v>689.41</v>
      </c>
      <c r="G53" s="14">
        <v>0.74</v>
      </c>
      <c r="H53" s="15"/>
    </row>
    <row r="54" spans="1:8" ht="12.95" customHeight="1">
      <c r="A54" s="10" t="s">
        <v>301</v>
      </c>
      <c r="B54" s="11" t="s">
        <v>302</v>
      </c>
      <c r="C54" s="12" t="s">
        <v>303</v>
      </c>
      <c r="D54" s="7" t="s">
        <v>141</v>
      </c>
      <c r="E54" s="13">
        <v>600000</v>
      </c>
      <c r="F54" s="14">
        <v>669.6</v>
      </c>
      <c r="G54" s="14">
        <v>0.72</v>
      </c>
      <c r="H54" s="15"/>
    </row>
    <row r="55" spans="1:8" ht="12.95" customHeight="1">
      <c r="A55" s="10" t="s">
        <v>317</v>
      </c>
      <c r="B55" s="11" t="s">
        <v>318</v>
      </c>
      <c r="C55" s="12" t="s">
        <v>319</v>
      </c>
      <c r="D55" s="7" t="s">
        <v>137</v>
      </c>
      <c r="E55" s="13">
        <v>10750</v>
      </c>
      <c r="F55" s="14">
        <v>512.27</v>
      </c>
      <c r="G55" s="14">
        <v>0.55000000000000004</v>
      </c>
      <c r="H55" s="15"/>
    </row>
    <row r="56" spans="1:8" ht="12.95" customHeight="1">
      <c r="A56" s="10" t="s">
        <v>263</v>
      </c>
      <c r="B56" s="11" t="s">
        <v>264</v>
      </c>
      <c r="C56" s="12" t="s">
        <v>265</v>
      </c>
      <c r="D56" s="7" t="s">
        <v>188</v>
      </c>
      <c r="E56" s="13">
        <v>170000</v>
      </c>
      <c r="F56" s="14">
        <v>508.73</v>
      </c>
      <c r="G56" s="14">
        <v>0.54</v>
      </c>
      <c r="H56" s="15"/>
    </row>
    <row r="57" spans="1:8" ht="12.95" customHeight="1">
      <c r="A57" s="10" t="s">
        <v>310</v>
      </c>
      <c r="B57" s="11" t="s">
        <v>311</v>
      </c>
      <c r="C57" s="12" t="s">
        <v>312</v>
      </c>
      <c r="D57" s="7" t="s">
        <v>242</v>
      </c>
      <c r="E57" s="13">
        <v>64153</v>
      </c>
      <c r="F57" s="14">
        <v>478.36</v>
      </c>
      <c r="G57" s="14">
        <v>0.51</v>
      </c>
      <c r="H57" s="15"/>
    </row>
    <row r="58" spans="1:8" ht="12.95" customHeight="1">
      <c r="A58" s="10" t="s">
        <v>313</v>
      </c>
      <c r="B58" s="11" t="s">
        <v>314</v>
      </c>
      <c r="C58" s="12" t="s">
        <v>315</v>
      </c>
      <c r="D58" s="7" t="s">
        <v>316</v>
      </c>
      <c r="E58" s="13">
        <v>144597</v>
      </c>
      <c r="F58" s="14">
        <v>344.86</v>
      </c>
      <c r="G58" s="14">
        <v>0.37</v>
      </c>
      <c r="H58" s="15"/>
    </row>
    <row r="59" spans="1:8" ht="12.95" customHeight="1">
      <c r="A59" s="10" t="s">
        <v>387</v>
      </c>
      <c r="B59" s="11" t="s">
        <v>388</v>
      </c>
      <c r="C59" s="12" t="s">
        <v>389</v>
      </c>
      <c r="D59" s="7" t="s">
        <v>246</v>
      </c>
      <c r="E59" s="13">
        <v>12000</v>
      </c>
      <c r="F59" s="14">
        <v>321.52</v>
      </c>
      <c r="G59" s="14">
        <v>0.34</v>
      </c>
      <c r="H59" s="15"/>
    </row>
    <row r="60" spans="1:8" ht="12.95" customHeight="1">
      <c r="A60" s="10" t="s">
        <v>889</v>
      </c>
      <c r="B60" s="11" t="s">
        <v>890</v>
      </c>
      <c r="C60" s="12" t="s">
        <v>891</v>
      </c>
      <c r="D60" s="7" t="s">
        <v>155</v>
      </c>
      <c r="E60" s="13">
        <v>9820</v>
      </c>
      <c r="F60" s="14">
        <v>75.56</v>
      </c>
      <c r="G60" s="14">
        <v>0.08</v>
      </c>
      <c r="H60" s="15"/>
    </row>
    <row r="61" spans="1:8" ht="12.95" customHeight="1">
      <c r="A61" s="10" t="s">
        <v>892</v>
      </c>
      <c r="B61" s="11" t="s">
        <v>893</v>
      </c>
      <c r="C61" s="12" t="s">
        <v>894</v>
      </c>
      <c r="D61" s="7" t="s">
        <v>211</v>
      </c>
      <c r="E61" s="13">
        <v>6042</v>
      </c>
      <c r="F61" s="14">
        <v>13.1</v>
      </c>
      <c r="G61" s="14">
        <v>0.01</v>
      </c>
      <c r="H61" s="15"/>
    </row>
    <row r="62" spans="1:8" ht="12.95" customHeight="1">
      <c r="A62" s="1"/>
      <c r="B62" s="6" t="s">
        <v>21</v>
      </c>
      <c r="C62" s="7"/>
      <c r="D62" s="7"/>
      <c r="E62" s="7"/>
      <c r="F62" s="16">
        <v>90682.52</v>
      </c>
      <c r="G62" s="16">
        <v>97.14</v>
      </c>
      <c r="H62" s="17"/>
    </row>
    <row r="63" spans="1:8" ht="12.95" customHeight="1">
      <c r="A63" s="1"/>
      <c r="B63" s="18" t="s">
        <v>326</v>
      </c>
      <c r="C63" s="19"/>
      <c r="D63" s="19"/>
      <c r="E63" s="20"/>
      <c r="F63" s="21" t="s">
        <v>23</v>
      </c>
      <c r="G63" s="21"/>
      <c r="H63" s="22"/>
    </row>
    <row r="64" spans="1:8" ht="12.95" customHeight="1">
      <c r="A64" s="1"/>
      <c r="B64" s="23" t="s">
        <v>21</v>
      </c>
      <c r="C64" s="24"/>
      <c r="D64" s="24"/>
      <c r="E64" s="21"/>
      <c r="F64" s="21" t="s">
        <v>23</v>
      </c>
      <c r="G64" s="21"/>
      <c r="H64" s="22"/>
    </row>
    <row r="65" spans="1:8" ht="12.95" customHeight="1">
      <c r="A65" s="1"/>
      <c r="B65" s="18" t="s">
        <v>24</v>
      </c>
      <c r="C65" s="19"/>
      <c r="D65" s="19"/>
      <c r="E65" s="25"/>
      <c r="F65" s="16">
        <v>90682.52</v>
      </c>
      <c r="G65" s="16">
        <v>97.14</v>
      </c>
      <c r="H65" s="22"/>
    </row>
    <row r="66" spans="1:8" ht="12.95" customHeight="1">
      <c r="A66" s="1"/>
      <c r="B66" s="6" t="s">
        <v>25</v>
      </c>
      <c r="C66" s="7"/>
      <c r="D66" s="7"/>
      <c r="E66" s="7"/>
      <c r="F66" s="7"/>
      <c r="G66" s="7"/>
      <c r="H66" s="8"/>
    </row>
    <row r="67" spans="1:8" ht="12.95" customHeight="1">
      <c r="A67" s="1"/>
      <c r="B67" s="44" t="s">
        <v>962</v>
      </c>
      <c r="C67" s="9"/>
      <c r="D67" s="9"/>
      <c r="E67" s="7"/>
      <c r="F67" s="7"/>
      <c r="G67" s="7"/>
      <c r="H67" s="8"/>
    </row>
    <row r="68" spans="1:8" ht="12.95" customHeight="1">
      <c r="A68" s="10" t="s">
        <v>124</v>
      </c>
      <c r="B68" s="45" t="s">
        <v>963</v>
      </c>
      <c r="C68" s="12"/>
      <c r="D68" s="7"/>
      <c r="E68" s="13"/>
      <c r="F68" s="14">
        <v>2178.81</v>
      </c>
      <c r="G68" s="14">
        <v>2.33</v>
      </c>
      <c r="H68" s="15">
        <v>3.6005000000000002E-2</v>
      </c>
    </row>
    <row r="69" spans="1:8" ht="12.95" customHeight="1">
      <c r="A69" s="1"/>
      <c r="B69" s="6" t="s">
        <v>21</v>
      </c>
      <c r="C69" s="7"/>
      <c r="D69" s="7"/>
      <c r="E69" s="7"/>
      <c r="F69" s="16">
        <v>2178.81</v>
      </c>
      <c r="G69" s="16">
        <v>2.33</v>
      </c>
      <c r="H69" s="17"/>
    </row>
    <row r="70" spans="1:8" ht="12.95" customHeight="1">
      <c r="A70" s="1"/>
      <c r="B70" s="18" t="s">
        <v>24</v>
      </c>
      <c r="C70" s="19"/>
      <c r="D70" s="19"/>
      <c r="E70" s="25"/>
      <c r="F70" s="16">
        <v>2178.81</v>
      </c>
      <c r="G70" s="16">
        <v>2.33</v>
      </c>
      <c r="H70" s="22"/>
    </row>
    <row r="71" spans="1:8" ht="12.95" customHeight="1">
      <c r="A71" s="1"/>
      <c r="B71" s="18" t="s">
        <v>127</v>
      </c>
      <c r="C71" s="19"/>
      <c r="D71" s="19"/>
      <c r="E71" s="7"/>
      <c r="F71" s="16">
        <v>526.66</v>
      </c>
      <c r="G71" s="16">
        <v>0.53</v>
      </c>
      <c r="H71" s="22"/>
    </row>
    <row r="72" spans="1:8" ht="12.95" customHeight="1">
      <c r="A72" s="1"/>
      <c r="B72" s="26" t="s">
        <v>128</v>
      </c>
      <c r="C72" s="27"/>
      <c r="D72" s="27"/>
      <c r="E72" s="27"/>
      <c r="F72" s="28">
        <v>93387.99</v>
      </c>
      <c r="G72" s="29">
        <v>100</v>
      </c>
      <c r="H72" s="30"/>
    </row>
    <row r="73" spans="1:8" ht="12.95" customHeight="1">
      <c r="A73" s="1"/>
      <c r="B73" s="105"/>
      <c r="C73" s="105"/>
      <c r="D73" s="105"/>
      <c r="E73" s="105"/>
      <c r="F73" s="1"/>
      <c r="G73" s="1"/>
      <c r="H73" s="1"/>
    </row>
    <row r="74" spans="1:8" ht="12.95" customHeight="1">
      <c r="A74" s="1"/>
      <c r="B74" s="105"/>
      <c r="C74" s="105"/>
      <c r="D74" s="105"/>
      <c r="E74" s="105"/>
      <c r="F74" s="1"/>
      <c r="G74" s="1"/>
      <c r="H74" s="1"/>
    </row>
    <row r="75" spans="1:8" ht="12.95" customHeight="1">
      <c r="A75" s="1"/>
      <c r="B75" s="112" t="s">
        <v>327</v>
      </c>
      <c r="C75" s="112"/>
      <c r="D75" s="112"/>
      <c r="E75" s="112"/>
      <c r="F75" s="1"/>
      <c r="G75" s="1"/>
      <c r="H75" s="1"/>
    </row>
    <row r="76" spans="1:8" ht="12.95" customHeight="1">
      <c r="A76" s="1"/>
      <c r="B76" s="106"/>
      <c r="C76" s="106"/>
      <c r="D76" s="106"/>
      <c r="E76" s="106"/>
      <c r="F76" s="1"/>
      <c r="G76" s="1"/>
      <c r="H76" s="1"/>
    </row>
  </sheetData>
  <mergeCells count="7">
    <mergeCell ref="B75:E75"/>
    <mergeCell ref="B76:E76"/>
    <mergeCell ref="B1:H1"/>
    <mergeCell ref="B2:H2"/>
    <mergeCell ref="B3:H3"/>
    <mergeCell ref="B73:E73"/>
    <mergeCell ref="B74:E74"/>
  </mergeCells>
  <pageMargins left="0" right="0" top="0" bottom="0" header="0" footer="0"/>
  <pageSetup orientation="portrait" r:id="rId1"/>
  <headerFooter>
    <oddFooter>&amp;C&amp;1#&amp;"Calibri"&amp;10&amp;K000000 For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topLeftCell="B1" workbookViewId="0">
      <selection activeCell="C7" sqref="C7"/>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3.75" customHeight="1">
      <c r="A3" s="1"/>
      <c r="B3" s="104" t="s">
        <v>970</v>
      </c>
      <c r="C3" s="104"/>
      <c r="D3" s="104"/>
      <c r="E3" s="104"/>
      <c r="F3" s="104"/>
      <c r="G3" s="104"/>
      <c r="H3" s="104"/>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959</v>
      </c>
    </row>
    <row r="6" spans="1:8" ht="12.95" customHeight="1">
      <c r="A6" s="1"/>
      <c r="B6" s="6" t="s">
        <v>895</v>
      </c>
      <c r="C6" s="9"/>
      <c r="D6" s="9"/>
      <c r="E6" s="7"/>
      <c r="F6" s="7"/>
      <c r="G6" s="7"/>
      <c r="H6" s="8"/>
    </row>
    <row r="7" spans="1:8" ht="12.95" customHeight="1">
      <c r="A7" s="10" t="s">
        <v>896</v>
      </c>
      <c r="B7" s="11" t="s">
        <v>1029</v>
      </c>
      <c r="C7" s="12" t="s">
        <v>897</v>
      </c>
      <c r="D7" s="7"/>
      <c r="E7" s="31">
        <v>5399307.8946000002</v>
      </c>
      <c r="F7" s="14">
        <v>3790.17</v>
      </c>
      <c r="G7" s="14">
        <v>99.25</v>
      </c>
      <c r="H7" s="15"/>
    </row>
    <row r="8" spans="1:8" ht="12.95" customHeight="1">
      <c r="A8" s="1"/>
      <c r="B8" s="6" t="s">
        <v>21</v>
      </c>
      <c r="C8" s="7"/>
      <c r="D8" s="7"/>
      <c r="E8" s="7"/>
      <c r="F8" s="16">
        <v>3790.17</v>
      </c>
      <c r="G8" s="16">
        <v>99.25</v>
      </c>
      <c r="H8" s="17"/>
    </row>
    <row r="9" spans="1:8" ht="12.95" customHeight="1">
      <c r="A9" s="1"/>
      <c r="B9" s="18" t="s">
        <v>24</v>
      </c>
      <c r="C9" s="19"/>
      <c r="D9" s="19"/>
      <c r="E9" s="25"/>
      <c r="F9" s="16">
        <v>3790.17</v>
      </c>
      <c r="G9" s="16">
        <v>99.25</v>
      </c>
      <c r="H9" s="22"/>
    </row>
    <row r="10" spans="1:8" ht="12.95" customHeight="1">
      <c r="A10" s="1"/>
      <c r="B10" s="6" t="s">
        <v>25</v>
      </c>
      <c r="C10" s="7"/>
      <c r="D10" s="7"/>
      <c r="E10" s="7"/>
      <c r="F10" s="7"/>
      <c r="G10" s="7"/>
      <c r="H10" s="8"/>
    </row>
    <row r="11" spans="1:8" ht="12.95" customHeight="1">
      <c r="A11" s="1"/>
      <c r="B11" s="44" t="s">
        <v>962</v>
      </c>
      <c r="C11" s="9"/>
      <c r="D11" s="9"/>
      <c r="E11" s="7"/>
      <c r="F11" s="7"/>
      <c r="G11" s="7"/>
      <c r="H11" s="8"/>
    </row>
    <row r="12" spans="1:8" ht="12.95" customHeight="1">
      <c r="A12" s="10" t="s">
        <v>124</v>
      </c>
      <c r="B12" s="45" t="s">
        <v>963</v>
      </c>
      <c r="C12" s="12"/>
      <c r="D12" s="7"/>
      <c r="E12" s="13"/>
      <c r="F12" s="14">
        <v>52.29</v>
      </c>
      <c r="G12" s="14">
        <v>1.37</v>
      </c>
      <c r="H12" s="15">
        <v>3.6005000000000002E-2</v>
      </c>
    </row>
    <row r="13" spans="1:8" ht="12.95" customHeight="1">
      <c r="A13" s="1"/>
      <c r="B13" s="6" t="s">
        <v>21</v>
      </c>
      <c r="C13" s="7"/>
      <c r="D13" s="7"/>
      <c r="E13" s="7"/>
      <c r="F13" s="16">
        <v>52.29</v>
      </c>
      <c r="G13" s="16">
        <v>1.37</v>
      </c>
      <c r="H13" s="17"/>
    </row>
    <row r="14" spans="1:8" ht="12.95" customHeight="1">
      <c r="A14" s="1"/>
      <c r="B14" s="18" t="s">
        <v>24</v>
      </c>
      <c r="C14" s="19"/>
      <c r="D14" s="19"/>
      <c r="E14" s="25"/>
      <c r="F14" s="16">
        <v>52.29</v>
      </c>
      <c r="G14" s="16">
        <v>1.37</v>
      </c>
      <c r="H14" s="22"/>
    </row>
    <row r="15" spans="1:8" ht="12.95" customHeight="1">
      <c r="A15" s="1"/>
      <c r="B15" s="18" t="s">
        <v>127</v>
      </c>
      <c r="C15" s="19"/>
      <c r="D15" s="19"/>
      <c r="E15" s="7"/>
      <c r="F15" s="16">
        <v>-23.82</v>
      </c>
      <c r="G15" s="16">
        <v>-0.62</v>
      </c>
      <c r="H15" s="22"/>
    </row>
    <row r="16" spans="1:8" ht="12.95" customHeight="1">
      <c r="A16" s="1"/>
      <c r="B16" s="26" t="s">
        <v>128</v>
      </c>
      <c r="C16" s="27"/>
      <c r="D16" s="27"/>
      <c r="E16" s="27"/>
      <c r="F16" s="28">
        <v>3818.64</v>
      </c>
      <c r="G16" s="29">
        <v>100</v>
      </c>
      <c r="H16" s="30"/>
    </row>
    <row r="17" spans="1:8" ht="12.95" customHeight="1">
      <c r="A17" s="1"/>
      <c r="B17" s="105"/>
      <c r="C17" s="105"/>
      <c r="D17" s="105"/>
      <c r="E17" s="105"/>
      <c r="F17" s="1"/>
      <c r="G17" s="1"/>
      <c r="H17" s="1"/>
    </row>
    <row r="18" spans="1:8" ht="12.95" customHeight="1">
      <c r="A18" s="1"/>
      <c r="B18" s="112" t="s">
        <v>327</v>
      </c>
      <c r="C18" s="112"/>
      <c r="D18" s="112"/>
      <c r="E18" s="112"/>
      <c r="F18" s="1"/>
      <c r="G18" s="1"/>
      <c r="H18" s="1"/>
    </row>
    <row r="19" spans="1:8" ht="12.95" customHeight="1">
      <c r="A19" s="1"/>
      <c r="B19" s="105"/>
      <c r="C19" s="105"/>
      <c r="D19" s="105"/>
      <c r="E19" s="105"/>
      <c r="F19" s="1"/>
      <c r="G19" s="1"/>
      <c r="H19" s="1"/>
    </row>
  </sheetData>
  <mergeCells count="6">
    <mergeCell ref="B19:E19"/>
    <mergeCell ref="B1:H1"/>
    <mergeCell ref="B2:H2"/>
    <mergeCell ref="B3:H3"/>
    <mergeCell ref="B17:E17"/>
    <mergeCell ref="B18:E18"/>
  </mergeCells>
  <pageMargins left="0" right="0" top="0" bottom="0" header="0" footer="0"/>
  <pageSetup orientation="portrait" r:id="rId1"/>
  <headerFooter>
    <oddFooter>&amp;C&amp;1#&amp;"Calibri"&amp;10&amp;K000000 For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8"/>
  <sheetViews>
    <sheetView topLeftCell="A88" workbookViewId="0">
      <selection activeCell="B113" sqref="B113:E113"/>
    </sheetView>
  </sheetViews>
  <sheetFormatPr defaultRowHeight="15"/>
  <cols>
    <col min="1" max="1" width="3.42578125" customWidth="1"/>
    <col min="2" max="2" width="41.5703125" customWidth="1"/>
    <col min="3" max="4" width="25" customWidth="1"/>
    <col min="5" max="5" width="20" customWidth="1"/>
    <col min="6" max="6" width="25" customWidth="1"/>
    <col min="7" max="8" width="20" customWidth="1"/>
  </cols>
  <sheetData>
    <row r="1" spans="1:8" ht="20.100000000000001" customHeight="1">
      <c r="A1" s="1"/>
      <c r="B1" s="103" t="s">
        <v>0</v>
      </c>
      <c r="C1" s="103"/>
      <c r="D1" s="103"/>
      <c r="E1" s="103"/>
      <c r="F1" s="103"/>
      <c r="G1" s="103"/>
      <c r="H1" s="103"/>
    </row>
    <row r="2" spans="1:8" ht="20.100000000000001" customHeight="1">
      <c r="A2" s="1"/>
      <c r="B2" s="103" t="s">
        <v>1</v>
      </c>
      <c r="C2" s="103"/>
      <c r="D2" s="103"/>
      <c r="E2" s="103"/>
      <c r="F2" s="103"/>
      <c r="G2" s="103"/>
      <c r="H2" s="103"/>
    </row>
    <row r="3" spans="1:8" ht="33.75" customHeight="1">
      <c r="A3" s="1"/>
      <c r="B3" s="115" t="s">
        <v>971</v>
      </c>
      <c r="C3" s="115"/>
      <c r="D3" s="115"/>
      <c r="E3" s="115"/>
      <c r="F3" s="115"/>
      <c r="G3" s="115"/>
      <c r="H3" s="115"/>
    </row>
    <row r="4" spans="1:8" ht="12.95" customHeight="1">
      <c r="A4" s="2"/>
      <c r="B4" s="1"/>
      <c r="C4" s="1"/>
      <c r="D4" s="1"/>
      <c r="E4" s="1"/>
      <c r="F4" s="1"/>
      <c r="G4" s="1"/>
      <c r="H4" s="1"/>
    </row>
    <row r="5" spans="1:8" ht="27.95" customHeight="1">
      <c r="A5" s="1"/>
      <c r="B5" s="3" t="s">
        <v>2</v>
      </c>
      <c r="C5" s="4" t="s">
        <v>3</v>
      </c>
      <c r="D5" s="4" t="s">
        <v>131</v>
      </c>
      <c r="E5" s="4" t="s">
        <v>5</v>
      </c>
      <c r="F5" s="4" t="s">
        <v>6</v>
      </c>
      <c r="G5" s="4" t="s">
        <v>7</v>
      </c>
      <c r="H5" s="5" t="s">
        <v>959</v>
      </c>
    </row>
    <row r="6" spans="1:8" ht="12.95" customHeight="1">
      <c r="A6" s="1"/>
      <c r="B6" s="6" t="s">
        <v>132</v>
      </c>
      <c r="C6" s="7"/>
      <c r="D6" s="7"/>
      <c r="E6" s="7"/>
      <c r="F6" s="7"/>
      <c r="G6" s="7"/>
      <c r="H6" s="8"/>
    </row>
    <row r="7" spans="1:8" ht="12.95" customHeight="1">
      <c r="A7" s="1"/>
      <c r="B7" s="6" t="s">
        <v>133</v>
      </c>
      <c r="C7" s="9"/>
      <c r="D7" s="9"/>
      <c r="E7" s="7"/>
      <c r="F7" s="7"/>
      <c r="G7" s="7"/>
      <c r="H7" s="8"/>
    </row>
    <row r="8" spans="1:8" ht="12.95" customHeight="1">
      <c r="A8" s="10" t="s">
        <v>138</v>
      </c>
      <c r="B8" s="11" t="s">
        <v>139</v>
      </c>
      <c r="C8" s="12" t="s">
        <v>140</v>
      </c>
      <c r="D8" s="7" t="s">
        <v>141</v>
      </c>
      <c r="E8" s="13">
        <v>409250</v>
      </c>
      <c r="F8" s="14">
        <v>2988.75</v>
      </c>
      <c r="G8" s="14">
        <v>5.16</v>
      </c>
      <c r="H8" s="15"/>
    </row>
    <row r="9" spans="1:8" ht="12.95" customHeight="1">
      <c r="A9" s="10" t="s">
        <v>134</v>
      </c>
      <c r="B9" s="11" t="s">
        <v>135</v>
      </c>
      <c r="C9" s="12" t="s">
        <v>136</v>
      </c>
      <c r="D9" s="7" t="s">
        <v>137</v>
      </c>
      <c r="E9" s="13">
        <v>138500</v>
      </c>
      <c r="F9" s="14">
        <v>2640.99</v>
      </c>
      <c r="G9" s="14">
        <v>4.5599999999999996</v>
      </c>
      <c r="H9" s="15"/>
    </row>
    <row r="10" spans="1:8" ht="12.95" customHeight="1">
      <c r="A10" s="10" t="s">
        <v>328</v>
      </c>
      <c r="B10" s="11" t="s">
        <v>329</v>
      </c>
      <c r="C10" s="12" t="s">
        <v>330</v>
      </c>
      <c r="D10" s="7" t="s">
        <v>141</v>
      </c>
      <c r="E10" s="13">
        <v>495000</v>
      </c>
      <c r="F10" s="14">
        <v>2443.0700000000002</v>
      </c>
      <c r="G10" s="14">
        <v>4.22</v>
      </c>
      <c r="H10" s="15"/>
    </row>
    <row r="11" spans="1:8" ht="12.95" customHeight="1">
      <c r="A11" s="10" t="s">
        <v>352</v>
      </c>
      <c r="B11" s="11" t="s">
        <v>353</v>
      </c>
      <c r="C11" s="12" t="s">
        <v>354</v>
      </c>
      <c r="D11" s="7" t="s">
        <v>211</v>
      </c>
      <c r="E11" s="13">
        <v>767250</v>
      </c>
      <c r="F11" s="14">
        <v>1831.04</v>
      </c>
      <c r="G11" s="14">
        <v>3.16</v>
      </c>
      <c r="H11" s="15"/>
    </row>
    <row r="12" spans="1:8" ht="12.95" customHeight="1">
      <c r="A12" s="10" t="s">
        <v>381</v>
      </c>
      <c r="B12" s="11" t="s">
        <v>382</v>
      </c>
      <c r="C12" s="12" t="s">
        <v>383</v>
      </c>
      <c r="D12" s="7" t="s">
        <v>230</v>
      </c>
      <c r="E12" s="13">
        <v>189000</v>
      </c>
      <c r="F12" s="14">
        <v>1463.24</v>
      </c>
      <c r="G12" s="14">
        <v>2.5299999999999998</v>
      </c>
      <c r="H12" s="15"/>
    </row>
    <row r="13" spans="1:8" ht="12.95" customHeight="1">
      <c r="A13" s="10" t="s">
        <v>189</v>
      </c>
      <c r="B13" s="11" t="s">
        <v>190</v>
      </c>
      <c r="C13" s="12" t="s">
        <v>191</v>
      </c>
      <c r="D13" s="7" t="s">
        <v>192</v>
      </c>
      <c r="E13" s="13">
        <v>30350</v>
      </c>
      <c r="F13" s="14">
        <v>1336.02</v>
      </c>
      <c r="G13" s="14">
        <v>2.31</v>
      </c>
      <c r="H13" s="15"/>
    </row>
    <row r="14" spans="1:8" ht="12.95" customHeight="1">
      <c r="A14" s="10" t="s">
        <v>343</v>
      </c>
      <c r="B14" s="11" t="s">
        <v>344</v>
      </c>
      <c r="C14" s="12" t="s">
        <v>345</v>
      </c>
      <c r="D14" s="7" t="s">
        <v>159</v>
      </c>
      <c r="E14" s="13">
        <v>441000</v>
      </c>
      <c r="F14" s="14">
        <v>1105.3699999999999</v>
      </c>
      <c r="G14" s="14">
        <v>1.91</v>
      </c>
      <c r="H14" s="15"/>
    </row>
    <row r="15" spans="1:8" ht="12.95" customHeight="1">
      <c r="A15" s="10" t="s">
        <v>378</v>
      </c>
      <c r="B15" s="11" t="s">
        <v>379</v>
      </c>
      <c r="C15" s="12" t="s">
        <v>380</v>
      </c>
      <c r="D15" s="7" t="s">
        <v>141</v>
      </c>
      <c r="E15" s="13">
        <v>109800</v>
      </c>
      <c r="F15" s="14">
        <v>1027.07</v>
      </c>
      <c r="G15" s="14">
        <v>1.77</v>
      </c>
      <c r="H15" s="15"/>
    </row>
    <row r="16" spans="1:8" ht="12.95" customHeight="1">
      <c r="A16" s="10" t="s">
        <v>346</v>
      </c>
      <c r="B16" s="11" t="s">
        <v>347</v>
      </c>
      <c r="C16" s="12" t="s">
        <v>348</v>
      </c>
      <c r="D16" s="7" t="s">
        <v>137</v>
      </c>
      <c r="E16" s="13">
        <v>68400</v>
      </c>
      <c r="F16" s="14">
        <v>1025.6199999999999</v>
      </c>
      <c r="G16" s="14">
        <v>1.77</v>
      </c>
      <c r="H16" s="15"/>
    </row>
    <row r="17" spans="1:8" ht="12.95" customHeight="1">
      <c r="A17" s="10" t="s">
        <v>149</v>
      </c>
      <c r="B17" s="11" t="s">
        <v>150</v>
      </c>
      <c r="C17" s="12" t="s">
        <v>151</v>
      </c>
      <c r="D17" s="7" t="s">
        <v>141</v>
      </c>
      <c r="E17" s="13">
        <v>128700</v>
      </c>
      <c r="F17" s="14">
        <v>979.6</v>
      </c>
      <c r="G17" s="14">
        <v>1.69</v>
      </c>
      <c r="H17" s="15"/>
    </row>
    <row r="18" spans="1:8" ht="12.95" customHeight="1">
      <c r="A18" s="10" t="s">
        <v>145</v>
      </c>
      <c r="B18" s="11" t="s">
        <v>146</v>
      </c>
      <c r="C18" s="12" t="s">
        <v>147</v>
      </c>
      <c r="D18" s="7" t="s">
        <v>148</v>
      </c>
      <c r="E18" s="13">
        <v>36250</v>
      </c>
      <c r="F18" s="14">
        <v>955.1</v>
      </c>
      <c r="G18" s="14">
        <v>1.65</v>
      </c>
      <c r="H18" s="15"/>
    </row>
    <row r="19" spans="1:8" ht="12.95" customHeight="1">
      <c r="A19" s="10" t="s">
        <v>898</v>
      </c>
      <c r="B19" s="11" t="s">
        <v>899</v>
      </c>
      <c r="C19" s="12" t="s">
        <v>900</v>
      </c>
      <c r="D19" s="7" t="s">
        <v>174</v>
      </c>
      <c r="E19" s="13">
        <v>796500</v>
      </c>
      <c r="F19" s="14">
        <v>933.9</v>
      </c>
      <c r="G19" s="14">
        <v>1.61</v>
      </c>
      <c r="H19" s="15"/>
    </row>
    <row r="20" spans="1:8" ht="12.95" customHeight="1">
      <c r="A20" s="10" t="s">
        <v>355</v>
      </c>
      <c r="B20" s="11" t="s">
        <v>356</v>
      </c>
      <c r="C20" s="12" t="s">
        <v>357</v>
      </c>
      <c r="D20" s="7" t="s">
        <v>358</v>
      </c>
      <c r="E20" s="13">
        <v>288000</v>
      </c>
      <c r="F20" s="14">
        <v>830.45</v>
      </c>
      <c r="G20" s="14">
        <v>1.43</v>
      </c>
      <c r="H20" s="15"/>
    </row>
    <row r="21" spans="1:8" ht="12.95" customHeight="1">
      <c r="A21" s="10" t="s">
        <v>337</v>
      </c>
      <c r="B21" s="11" t="s">
        <v>338</v>
      </c>
      <c r="C21" s="12" t="s">
        <v>339</v>
      </c>
      <c r="D21" s="7" t="s">
        <v>288</v>
      </c>
      <c r="E21" s="13">
        <v>109650</v>
      </c>
      <c r="F21" s="14">
        <v>827.8</v>
      </c>
      <c r="G21" s="14">
        <v>1.43</v>
      </c>
      <c r="H21" s="15"/>
    </row>
    <row r="22" spans="1:8" ht="12.95" customHeight="1">
      <c r="A22" s="10" t="s">
        <v>171</v>
      </c>
      <c r="B22" s="11" t="s">
        <v>172</v>
      </c>
      <c r="C22" s="12" t="s">
        <v>173</v>
      </c>
      <c r="D22" s="7" t="s">
        <v>174</v>
      </c>
      <c r="E22" s="13">
        <v>10800</v>
      </c>
      <c r="F22" s="14">
        <v>816.62</v>
      </c>
      <c r="G22" s="14">
        <v>1.41</v>
      </c>
      <c r="H22" s="15"/>
    </row>
    <row r="23" spans="1:8" ht="12.95" customHeight="1">
      <c r="A23" s="10" t="s">
        <v>142</v>
      </c>
      <c r="B23" s="11" t="s">
        <v>143</v>
      </c>
      <c r="C23" s="12" t="s">
        <v>144</v>
      </c>
      <c r="D23" s="7" t="s">
        <v>141</v>
      </c>
      <c r="E23" s="13">
        <v>54000</v>
      </c>
      <c r="F23" s="14">
        <v>793.99</v>
      </c>
      <c r="G23" s="14">
        <v>1.37</v>
      </c>
      <c r="H23" s="15"/>
    </row>
    <row r="24" spans="1:8" ht="12.95" customHeight="1">
      <c r="A24" s="10" t="s">
        <v>152</v>
      </c>
      <c r="B24" s="11" t="s">
        <v>153</v>
      </c>
      <c r="C24" s="12" t="s">
        <v>154</v>
      </c>
      <c r="D24" s="7" t="s">
        <v>155</v>
      </c>
      <c r="E24" s="13">
        <v>10800</v>
      </c>
      <c r="F24" s="14">
        <v>784.07</v>
      </c>
      <c r="G24" s="14">
        <v>1.35</v>
      </c>
      <c r="H24" s="15"/>
    </row>
    <row r="25" spans="1:8" ht="12.95" customHeight="1">
      <c r="A25" s="10" t="s">
        <v>359</v>
      </c>
      <c r="B25" s="11" t="s">
        <v>360</v>
      </c>
      <c r="C25" s="12" t="s">
        <v>361</v>
      </c>
      <c r="D25" s="7" t="s">
        <v>141</v>
      </c>
      <c r="E25" s="13">
        <v>333000</v>
      </c>
      <c r="F25" s="14">
        <v>758.41</v>
      </c>
      <c r="G25" s="14">
        <v>1.31</v>
      </c>
      <c r="H25" s="15"/>
    </row>
    <row r="26" spans="1:8" ht="12.95" customHeight="1">
      <c r="A26" s="10" t="s">
        <v>164</v>
      </c>
      <c r="B26" s="11" t="s">
        <v>165</v>
      </c>
      <c r="C26" s="12" t="s">
        <v>166</v>
      </c>
      <c r="D26" s="7" t="s">
        <v>141</v>
      </c>
      <c r="E26" s="13">
        <v>36000</v>
      </c>
      <c r="F26" s="14">
        <v>631.39</v>
      </c>
      <c r="G26" s="14">
        <v>1.0900000000000001</v>
      </c>
      <c r="H26" s="15"/>
    </row>
    <row r="27" spans="1:8" ht="12.95" customHeight="1">
      <c r="A27" s="10" t="s">
        <v>390</v>
      </c>
      <c r="B27" s="11" t="s">
        <v>391</v>
      </c>
      <c r="C27" s="12" t="s">
        <v>392</v>
      </c>
      <c r="D27" s="7" t="s">
        <v>393</v>
      </c>
      <c r="E27" s="13">
        <v>374000</v>
      </c>
      <c r="F27" s="14">
        <v>612.99</v>
      </c>
      <c r="G27" s="14">
        <v>1.06</v>
      </c>
      <c r="H27" s="15"/>
    </row>
    <row r="28" spans="1:8" ht="12.95" customHeight="1">
      <c r="A28" s="10" t="s">
        <v>901</v>
      </c>
      <c r="B28" s="11" t="s">
        <v>902</v>
      </c>
      <c r="C28" s="12" t="s">
        <v>903</v>
      </c>
      <c r="D28" s="7" t="s">
        <v>397</v>
      </c>
      <c r="E28" s="13">
        <v>162250</v>
      </c>
      <c r="F28" s="14">
        <v>605.44000000000005</v>
      </c>
      <c r="G28" s="14">
        <v>1.05</v>
      </c>
      <c r="H28" s="15"/>
    </row>
    <row r="29" spans="1:8" ht="12.95" customHeight="1">
      <c r="A29" s="10" t="s">
        <v>595</v>
      </c>
      <c r="B29" s="11" t="s">
        <v>596</v>
      </c>
      <c r="C29" s="12" t="s">
        <v>597</v>
      </c>
      <c r="D29" s="7" t="s">
        <v>262</v>
      </c>
      <c r="E29" s="13">
        <v>40500</v>
      </c>
      <c r="F29" s="14">
        <v>601.38</v>
      </c>
      <c r="G29" s="14">
        <v>1.04</v>
      </c>
      <c r="H29" s="15"/>
    </row>
    <row r="30" spans="1:8" ht="12.95" customHeight="1">
      <c r="A30" s="10" t="s">
        <v>637</v>
      </c>
      <c r="B30" s="11" t="s">
        <v>638</v>
      </c>
      <c r="C30" s="12" t="s">
        <v>639</v>
      </c>
      <c r="D30" s="7" t="s">
        <v>155</v>
      </c>
      <c r="E30" s="13">
        <v>18000</v>
      </c>
      <c r="F30" s="14">
        <v>593.69000000000005</v>
      </c>
      <c r="G30" s="14">
        <v>1.03</v>
      </c>
      <c r="H30" s="15"/>
    </row>
    <row r="31" spans="1:8" ht="12.95" customHeight="1">
      <c r="A31" s="10" t="s">
        <v>371</v>
      </c>
      <c r="B31" s="11" t="s">
        <v>372</v>
      </c>
      <c r="C31" s="12" t="s">
        <v>373</v>
      </c>
      <c r="D31" s="7" t="s">
        <v>203</v>
      </c>
      <c r="E31" s="13">
        <v>111159</v>
      </c>
      <c r="F31" s="14">
        <v>592.30999999999995</v>
      </c>
      <c r="G31" s="14">
        <v>1.02</v>
      </c>
      <c r="H31" s="15"/>
    </row>
    <row r="32" spans="1:8" ht="12.95" customHeight="1">
      <c r="A32" s="10" t="s">
        <v>331</v>
      </c>
      <c r="B32" s="11" t="s">
        <v>332</v>
      </c>
      <c r="C32" s="12" t="s">
        <v>333</v>
      </c>
      <c r="D32" s="7" t="s">
        <v>159</v>
      </c>
      <c r="E32" s="13">
        <v>65700</v>
      </c>
      <c r="F32" s="14">
        <v>583.65</v>
      </c>
      <c r="G32" s="14">
        <v>1.01</v>
      </c>
      <c r="H32" s="15"/>
    </row>
    <row r="33" spans="1:8" ht="12.95" customHeight="1">
      <c r="A33" s="10" t="s">
        <v>368</v>
      </c>
      <c r="B33" s="11" t="s">
        <v>369</v>
      </c>
      <c r="C33" s="12" t="s">
        <v>370</v>
      </c>
      <c r="D33" s="7" t="s">
        <v>174</v>
      </c>
      <c r="E33" s="13">
        <v>277652</v>
      </c>
      <c r="F33" s="14">
        <v>573.35</v>
      </c>
      <c r="G33" s="14">
        <v>0.99</v>
      </c>
      <c r="H33" s="15"/>
    </row>
    <row r="34" spans="1:8" ht="12.95" customHeight="1">
      <c r="A34" s="10" t="s">
        <v>735</v>
      </c>
      <c r="B34" s="11" t="s">
        <v>736</v>
      </c>
      <c r="C34" s="12" t="s">
        <v>737</v>
      </c>
      <c r="D34" s="7" t="s">
        <v>242</v>
      </c>
      <c r="E34" s="13">
        <v>21000</v>
      </c>
      <c r="F34" s="14">
        <v>532.59</v>
      </c>
      <c r="G34" s="14">
        <v>0.92</v>
      </c>
      <c r="H34" s="15"/>
    </row>
    <row r="35" spans="1:8" ht="12.95" customHeight="1">
      <c r="A35" s="10" t="s">
        <v>643</v>
      </c>
      <c r="B35" s="11" t="s">
        <v>644</v>
      </c>
      <c r="C35" s="12" t="s">
        <v>645</v>
      </c>
      <c r="D35" s="7" t="s">
        <v>141</v>
      </c>
      <c r="E35" s="13">
        <v>540000</v>
      </c>
      <c r="F35" s="14">
        <v>525.96</v>
      </c>
      <c r="G35" s="14">
        <v>0.91</v>
      </c>
      <c r="H35" s="15"/>
    </row>
    <row r="36" spans="1:8" ht="12.95" customHeight="1">
      <c r="A36" s="10" t="s">
        <v>208</v>
      </c>
      <c r="B36" s="11" t="s">
        <v>209</v>
      </c>
      <c r="C36" s="12" t="s">
        <v>210</v>
      </c>
      <c r="D36" s="7" t="s">
        <v>211</v>
      </c>
      <c r="E36" s="13">
        <v>386000</v>
      </c>
      <c r="F36" s="14">
        <v>521.1</v>
      </c>
      <c r="G36" s="14">
        <v>0.9</v>
      </c>
      <c r="H36" s="15"/>
    </row>
    <row r="37" spans="1:8" ht="12.95" customHeight="1">
      <c r="A37" s="10" t="s">
        <v>768</v>
      </c>
      <c r="B37" s="11" t="s">
        <v>769</v>
      </c>
      <c r="C37" s="12" t="s">
        <v>770</v>
      </c>
      <c r="D37" s="7" t="s">
        <v>226</v>
      </c>
      <c r="E37" s="13">
        <v>65000</v>
      </c>
      <c r="F37" s="14">
        <v>500.24</v>
      </c>
      <c r="G37" s="14">
        <v>0.86</v>
      </c>
      <c r="H37" s="15"/>
    </row>
    <row r="38" spans="1:8" ht="12.95" customHeight="1">
      <c r="A38" s="10" t="s">
        <v>365</v>
      </c>
      <c r="B38" s="11" t="s">
        <v>366</v>
      </c>
      <c r="C38" s="12" t="s">
        <v>367</v>
      </c>
      <c r="D38" s="7" t="s">
        <v>148</v>
      </c>
      <c r="E38" s="13">
        <v>180000</v>
      </c>
      <c r="F38" s="14">
        <v>484.83</v>
      </c>
      <c r="G38" s="14">
        <v>0.84</v>
      </c>
      <c r="H38" s="15"/>
    </row>
    <row r="39" spans="1:8" ht="12.95" customHeight="1">
      <c r="A39" s="10" t="s">
        <v>219</v>
      </c>
      <c r="B39" s="11" t="s">
        <v>220</v>
      </c>
      <c r="C39" s="12" t="s">
        <v>221</v>
      </c>
      <c r="D39" s="7" t="s">
        <v>222</v>
      </c>
      <c r="E39" s="13">
        <v>152815</v>
      </c>
      <c r="F39" s="14">
        <v>464.48</v>
      </c>
      <c r="G39" s="14">
        <v>0.8</v>
      </c>
      <c r="H39" s="15"/>
    </row>
    <row r="40" spans="1:8" ht="12.95" customHeight="1">
      <c r="A40" s="10" t="s">
        <v>384</v>
      </c>
      <c r="B40" s="11" t="s">
        <v>385</v>
      </c>
      <c r="C40" s="12" t="s">
        <v>386</v>
      </c>
      <c r="D40" s="7" t="s">
        <v>181</v>
      </c>
      <c r="E40" s="13">
        <v>153000</v>
      </c>
      <c r="F40" s="14">
        <v>462.21</v>
      </c>
      <c r="G40" s="14">
        <v>0.8</v>
      </c>
      <c r="H40" s="15"/>
    </row>
    <row r="41" spans="1:8" ht="12.95" customHeight="1">
      <c r="A41" s="10" t="s">
        <v>667</v>
      </c>
      <c r="B41" s="11" t="s">
        <v>668</v>
      </c>
      <c r="C41" s="12" t="s">
        <v>669</v>
      </c>
      <c r="D41" s="7" t="s">
        <v>594</v>
      </c>
      <c r="E41" s="13">
        <v>270000</v>
      </c>
      <c r="F41" s="14">
        <v>438.89</v>
      </c>
      <c r="G41" s="14">
        <v>0.76</v>
      </c>
      <c r="H41" s="15"/>
    </row>
    <row r="42" spans="1:8" ht="12.95" customHeight="1">
      <c r="A42" s="10" t="s">
        <v>334</v>
      </c>
      <c r="B42" s="11" t="s">
        <v>335</v>
      </c>
      <c r="C42" s="12" t="s">
        <v>336</v>
      </c>
      <c r="D42" s="7" t="s">
        <v>155</v>
      </c>
      <c r="E42" s="13">
        <v>18000</v>
      </c>
      <c r="F42" s="14">
        <v>430.27</v>
      </c>
      <c r="G42" s="14">
        <v>0.74</v>
      </c>
      <c r="H42" s="15"/>
    </row>
    <row r="43" spans="1:8" ht="12.95" customHeight="1">
      <c r="A43" s="10" t="s">
        <v>204</v>
      </c>
      <c r="B43" s="11" t="s">
        <v>205</v>
      </c>
      <c r="C43" s="12" t="s">
        <v>206</v>
      </c>
      <c r="D43" s="7" t="s">
        <v>207</v>
      </c>
      <c r="E43" s="13">
        <v>21150</v>
      </c>
      <c r="F43" s="14">
        <v>427.85</v>
      </c>
      <c r="G43" s="14">
        <v>0.74</v>
      </c>
      <c r="H43" s="15"/>
    </row>
    <row r="44" spans="1:8" ht="12.95" customHeight="1">
      <c r="A44" s="10" t="s">
        <v>904</v>
      </c>
      <c r="B44" s="11" t="s">
        <v>905</v>
      </c>
      <c r="C44" s="12" t="s">
        <v>906</v>
      </c>
      <c r="D44" s="7" t="s">
        <v>192</v>
      </c>
      <c r="E44" s="13">
        <v>121000</v>
      </c>
      <c r="F44" s="14">
        <v>421.69</v>
      </c>
      <c r="G44" s="14">
        <v>0.73</v>
      </c>
      <c r="H44" s="15"/>
    </row>
    <row r="45" spans="1:8" ht="12.95" customHeight="1">
      <c r="A45" s="10" t="s">
        <v>394</v>
      </c>
      <c r="B45" s="11" t="s">
        <v>395</v>
      </c>
      <c r="C45" s="12" t="s">
        <v>396</v>
      </c>
      <c r="D45" s="7" t="s">
        <v>397</v>
      </c>
      <c r="E45" s="13">
        <v>270000</v>
      </c>
      <c r="F45" s="14">
        <v>420.26</v>
      </c>
      <c r="G45" s="14">
        <v>0.73</v>
      </c>
      <c r="H45" s="15"/>
    </row>
    <row r="46" spans="1:8" ht="12.95" customHeight="1">
      <c r="A46" s="10" t="s">
        <v>160</v>
      </c>
      <c r="B46" s="11" t="s">
        <v>161</v>
      </c>
      <c r="C46" s="12" t="s">
        <v>162</v>
      </c>
      <c r="D46" s="7" t="s">
        <v>163</v>
      </c>
      <c r="E46" s="13">
        <v>22500</v>
      </c>
      <c r="F46" s="14">
        <v>397.72</v>
      </c>
      <c r="G46" s="14">
        <v>0.69</v>
      </c>
      <c r="H46" s="15"/>
    </row>
    <row r="47" spans="1:8" ht="12.95" customHeight="1">
      <c r="A47" s="10" t="s">
        <v>607</v>
      </c>
      <c r="B47" s="11" t="s">
        <v>608</v>
      </c>
      <c r="C47" s="12" t="s">
        <v>609</v>
      </c>
      <c r="D47" s="7" t="s">
        <v>207</v>
      </c>
      <c r="E47" s="13">
        <v>16200</v>
      </c>
      <c r="F47" s="14">
        <v>383.03</v>
      </c>
      <c r="G47" s="14">
        <v>0.66</v>
      </c>
      <c r="H47" s="15"/>
    </row>
    <row r="48" spans="1:8" ht="12.95" customHeight="1">
      <c r="A48" s="10" t="s">
        <v>175</v>
      </c>
      <c r="B48" s="11" t="s">
        <v>176</v>
      </c>
      <c r="C48" s="12" t="s">
        <v>177</v>
      </c>
      <c r="D48" s="7" t="s">
        <v>137</v>
      </c>
      <c r="E48" s="13">
        <v>63000</v>
      </c>
      <c r="F48" s="14">
        <v>372.9</v>
      </c>
      <c r="G48" s="14">
        <v>0.64</v>
      </c>
      <c r="H48" s="15"/>
    </row>
    <row r="49" spans="1:8" ht="12.95" customHeight="1">
      <c r="A49" s="10" t="s">
        <v>193</v>
      </c>
      <c r="B49" s="11" t="s">
        <v>194</v>
      </c>
      <c r="C49" s="12" t="s">
        <v>195</v>
      </c>
      <c r="D49" s="7" t="s">
        <v>196</v>
      </c>
      <c r="E49" s="13">
        <v>64500</v>
      </c>
      <c r="F49" s="14">
        <v>367.33</v>
      </c>
      <c r="G49" s="14">
        <v>0.63</v>
      </c>
      <c r="H49" s="15"/>
    </row>
    <row r="50" spans="1:8" ht="12.95" customHeight="1">
      <c r="A50" s="10" t="s">
        <v>276</v>
      </c>
      <c r="B50" s="11" t="s">
        <v>277</v>
      </c>
      <c r="C50" s="12" t="s">
        <v>278</v>
      </c>
      <c r="D50" s="7" t="s">
        <v>203</v>
      </c>
      <c r="E50" s="13">
        <v>360000</v>
      </c>
      <c r="F50" s="14">
        <v>354.78</v>
      </c>
      <c r="G50" s="14">
        <v>0.61</v>
      </c>
      <c r="H50" s="15"/>
    </row>
    <row r="51" spans="1:8" ht="12.95" customHeight="1">
      <c r="A51" s="10" t="s">
        <v>824</v>
      </c>
      <c r="B51" s="11" t="s">
        <v>825</v>
      </c>
      <c r="C51" s="12" t="s">
        <v>826</v>
      </c>
      <c r="D51" s="7" t="s">
        <v>207</v>
      </c>
      <c r="E51" s="13">
        <v>9900</v>
      </c>
      <c r="F51" s="14">
        <v>349.91</v>
      </c>
      <c r="G51" s="14">
        <v>0.6</v>
      </c>
      <c r="H51" s="15"/>
    </row>
    <row r="52" spans="1:8" ht="12.95" customHeight="1">
      <c r="A52" s="10" t="s">
        <v>374</v>
      </c>
      <c r="B52" s="11" t="s">
        <v>375</v>
      </c>
      <c r="C52" s="12" t="s">
        <v>376</v>
      </c>
      <c r="D52" s="7" t="s">
        <v>377</v>
      </c>
      <c r="E52" s="13">
        <v>117000</v>
      </c>
      <c r="F52" s="14">
        <v>339.77</v>
      </c>
      <c r="G52" s="14">
        <v>0.59</v>
      </c>
      <c r="H52" s="15"/>
    </row>
    <row r="53" spans="1:8" ht="12.95" customHeight="1">
      <c r="A53" s="10" t="s">
        <v>285</v>
      </c>
      <c r="B53" s="11" t="s">
        <v>286</v>
      </c>
      <c r="C53" s="12" t="s">
        <v>287</v>
      </c>
      <c r="D53" s="7" t="s">
        <v>288</v>
      </c>
      <c r="E53" s="13">
        <v>27000</v>
      </c>
      <c r="F53" s="14">
        <v>331.72</v>
      </c>
      <c r="G53" s="14">
        <v>0.56999999999999995</v>
      </c>
      <c r="H53" s="15"/>
    </row>
    <row r="54" spans="1:8" ht="12.95" customHeight="1">
      <c r="A54" s="10" t="s">
        <v>323</v>
      </c>
      <c r="B54" s="11" t="s">
        <v>324</v>
      </c>
      <c r="C54" s="12" t="s">
        <v>325</v>
      </c>
      <c r="D54" s="7" t="s">
        <v>159</v>
      </c>
      <c r="E54" s="13">
        <v>63000</v>
      </c>
      <c r="F54" s="14">
        <v>308.32</v>
      </c>
      <c r="G54" s="14">
        <v>0.53</v>
      </c>
      <c r="H54" s="15"/>
    </row>
    <row r="55" spans="1:8" ht="12.95" customHeight="1">
      <c r="A55" s="10" t="s">
        <v>759</v>
      </c>
      <c r="B55" s="11" t="s">
        <v>760</v>
      </c>
      <c r="C55" s="12" t="s">
        <v>761</v>
      </c>
      <c r="D55" s="7" t="s">
        <v>137</v>
      </c>
      <c r="E55" s="13">
        <v>7869</v>
      </c>
      <c r="F55" s="14">
        <v>282.32</v>
      </c>
      <c r="G55" s="14">
        <v>0.49</v>
      </c>
      <c r="H55" s="15"/>
    </row>
    <row r="56" spans="1:8" ht="12.95" customHeight="1">
      <c r="A56" s="10" t="s">
        <v>610</v>
      </c>
      <c r="B56" s="11" t="s">
        <v>611</v>
      </c>
      <c r="C56" s="12" t="s">
        <v>612</v>
      </c>
      <c r="D56" s="7" t="s">
        <v>234</v>
      </c>
      <c r="E56" s="13">
        <v>54000</v>
      </c>
      <c r="F56" s="14">
        <v>266.64999999999998</v>
      </c>
      <c r="G56" s="14">
        <v>0.46</v>
      </c>
      <c r="H56" s="15"/>
    </row>
    <row r="57" spans="1:8" ht="12.95" customHeight="1">
      <c r="A57" s="10" t="s">
        <v>907</v>
      </c>
      <c r="B57" s="11" t="s">
        <v>908</v>
      </c>
      <c r="C57" s="12" t="s">
        <v>909</v>
      </c>
      <c r="D57" s="7" t="s">
        <v>192</v>
      </c>
      <c r="E57" s="13">
        <v>6125</v>
      </c>
      <c r="F57" s="14">
        <v>263.10000000000002</v>
      </c>
      <c r="G57" s="14">
        <v>0.45</v>
      </c>
      <c r="H57" s="15"/>
    </row>
    <row r="58" spans="1:8" ht="12.95" customHeight="1">
      <c r="A58" s="10" t="s">
        <v>200</v>
      </c>
      <c r="B58" s="11" t="s">
        <v>201</v>
      </c>
      <c r="C58" s="12" t="s">
        <v>202</v>
      </c>
      <c r="D58" s="7" t="s">
        <v>203</v>
      </c>
      <c r="E58" s="13">
        <v>117000</v>
      </c>
      <c r="F58" s="14">
        <v>236.98</v>
      </c>
      <c r="G58" s="14">
        <v>0.41</v>
      </c>
      <c r="H58" s="15"/>
    </row>
    <row r="59" spans="1:8" ht="12.95" customHeight="1">
      <c r="A59" s="10" t="s">
        <v>398</v>
      </c>
      <c r="B59" s="11" t="s">
        <v>399</v>
      </c>
      <c r="C59" s="12" t="s">
        <v>400</v>
      </c>
      <c r="D59" s="7" t="s">
        <v>137</v>
      </c>
      <c r="E59" s="13">
        <v>3000</v>
      </c>
      <c r="F59" s="14">
        <v>184.66</v>
      </c>
      <c r="G59" s="14">
        <v>0.32</v>
      </c>
      <c r="H59" s="15"/>
    </row>
    <row r="60" spans="1:8" ht="12.95" customHeight="1">
      <c r="A60" s="10" t="s">
        <v>243</v>
      </c>
      <c r="B60" s="11" t="s">
        <v>244</v>
      </c>
      <c r="C60" s="12" t="s">
        <v>245</v>
      </c>
      <c r="D60" s="7" t="s">
        <v>246</v>
      </c>
      <c r="E60" s="13">
        <v>9000</v>
      </c>
      <c r="F60" s="14">
        <v>175.79</v>
      </c>
      <c r="G60" s="14">
        <v>0.3</v>
      </c>
      <c r="H60" s="15"/>
    </row>
    <row r="61" spans="1:8" ht="12.95" customHeight="1">
      <c r="A61" s="10" t="s">
        <v>231</v>
      </c>
      <c r="B61" s="11" t="s">
        <v>232</v>
      </c>
      <c r="C61" s="12" t="s">
        <v>233</v>
      </c>
      <c r="D61" s="7" t="s">
        <v>234</v>
      </c>
      <c r="E61" s="13">
        <v>34650</v>
      </c>
      <c r="F61" s="14">
        <v>131.83000000000001</v>
      </c>
      <c r="G61" s="14">
        <v>0.23</v>
      </c>
      <c r="H61" s="15"/>
    </row>
    <row r="62" spans="1:8" ht="12.95" customHeight="1">
      <c r="A62" s="1"/>
      <c r="B62" s="6" t="s">
        <v>21</v>
      </c>
      <c r="C62" s="7"/>
      <c r="D62" s="7"/>
      <c r="E62" s="7"/>
      <c r="F62" s="16">
        <v>38712.49</v>
      </c>
      <c r="G62" s="16">
        <v>66.84</v>
      </c>
      <c r="H62" s="17"/>
    </row>
    <row r="63" spans="1:8" ht="12.95" customHeight="1">
      <c r="A63" s="1"/>
      <c r="B63" s="18" t="s">
        <v>326</v>
      </c>
      <c r="C63" s="19"/>
      <c r="D63" s="19"/>
      <c r="E63" s="20"/>
      <c r="F63" s="21" t="s">
        <v>23</v>
      </c>
      <c r="G63" s="21"/>
      <c r="H63" s="22"/>
    </row>
    <row r="64" spans="1:8" ht="12.95" customHeight="1">
      <c r="A64" s="1"/>
      <c r="B64" s="23" t="s">
        <v>21</v>
      </c>
      <c r="C64" s="24"/>
      <c r="D64" s="24"/>
      <c r="E64" s="21"/>
      <c r="F64" s="21" t="s">
        <v>23</v>
      </c>
      <c r="G64" s="21"/>
      <c r="H64" s="22"/>
    </row>
    <row r="65" spans="1:8" ht="12.95" customHeight="1">
      <c r="A65" s="1"/>
      <c r="B65" s="18" t="s">
        <v>24</v>
      </c>
      <c r="C65" s="19"/>
      <c r="D65" s="19"/>
      <c r="E65" s="25"/>
      <c r="F65" s="16">
        <v>38712.49</v>
      </c>
      <c r="G65" s="16">
        <v>66.84</v>
      </c>
      <c r="H65" s="22"/>
    </row>
    <row r="66" spans="1:8" ht="12.95" customHeight="1">
      <c r="A66" s="1"/>
      <c r="B66" s="6" t="s">
        <v>413</v>
      </c>
      <c r="C66" s="7"/>
      <c r="D66" s="7"/>
      <c r="E66" s="7"/>
      <c r="F66" s="7"/>
      <c r="G66" s="7"/>
      <c r="H66" s="8"/>
    </row>
    <row r="67" spans="1:8" ht="12.95" customHeight="1">
      <c r="A67" s="1"/>
      <c r="B67" s="6" t="s">
        <v>414</v>
      </c>
      <c r="C67" s="9"/>
      <c r="D67" s="9"/>
      <c r="E67" s="7"/>
      <c r="F67" s="7"/>
      <c r="G67" s="7"/>
      <c r="H67" s="8"/>
    </row>
    <row r="68" spans="1:8" ht="12.95" customHeight="1">
      <c r="A68" s="10" t="s">
        <v>910</v>
      </c>
      <c r="B68" s="11" t="s">
        <v>911</v>
      </c>
      <c r="C68" s="12"/>
      <c r="D68" s="7"/>
      <c r="E68" s="13">
        <v>-34650</v>
      </c>
      <c r="F68" s="14">
        <v>-132.66</v>
      </c>
      <c r="G68" s="14">
        <v>-0.23</v>
      </c>
      <c r="H68" s="15"/>
    </row>
    <row r="69" spans="1:8" ht="12.95" customHeight="1">
      <c r="A69" s="10" t="s">
        <v>912</v>
      </c>
      <c r="B69" s="11" t="s">
        <v>913</v>
      </c>
      <c r="C69" s="12"/>
      <c r="D69" s="7"/>
      <c r="E69" s="13">
        <v>-92400</v>
      </c>
      <c r="F69" s="14">
        <v>-152.32</v>
      </c>
      <c r="G69" s="14">
        <v>-0.26</v>
      </c>
      <c r="H69" s="15"/>
    </row>
    <row r="70" spans="1:8" ht="12.95" customHeight="1">
      <c r="A70" s="10" t="s">
        <v>451</v>
      </c>
      <c r="B70" s="11" t="s">
        <v>452</v>
      </c>
      <c r="C70" s="12"/>
      <c r="D70" s="7"/>
      <c r="E70" s="13">
        <v>-17500</v>
      </c>
      <c r="F70" s="14">
        <v>-155.85</v>
      </c>
      <c r="G70" s="14">
        <v>-0.27</v>
      </c>
      <c r="H70" s="15"/>
    </row>
    <row r="71" spans="1:8" ht="12.95" customHeight="1">
      <c r="A71" s="10" t="s">
        <v>423</v>
      </c>
      <c r="B71" s="11" t="s">
        <v>424</v>
      </c>
      <c r="C71" s="12"/>
      <c r="D71" s="7"/>
      <c r="E71" s="13">
        <v>-3000</v>
      </c>
      <c r="F71" s="14">
        <v>-185.79</v>
      </c>
      <c r="G71" s="14">
        <v>-0.32</v>
      </c>
      <c r="H71" s="15"/>
    </row>
    <row r="72" spans="1:8" ht="12.95" customHeight="1">
      <c r="A72" s="10" t="s">
        <v>419</v>
      </c>
      <c r="B72" s="11" t="s">
        <v>420</v>
      </c>
      <c r="C72" s="12"/>
      <c r="D72" s="7"/>
      <c r="E72" s="13">
        <v>-35000</v>
      </c>
      <c r="F72" s="14">
        <v>-187.11</v>
      </c>
      <c r="G72" s="14">
        <v>-0.32</v>
      </c>
      <c r="H72" s="15"/>
    </row>
    <row r="73" spans="1:8" ht="12.95" customHeight="1">
      <c r="A73" s="10" t="s">
        <v>914</v>
      </c>
      <c r="B73" s="11" t="s">
        <v>915</v>
      </c>
      <c r="C73" s="12"/>
      <c r="D73" s="7"/>
      <c r="E73" s="13">
        <v>-6125</v>
      </c>
      <c r="F73" s="14">
        <v>-264.39999999999998</v>
      </c>
      <c r="G73" s="14">
        <v>-0.46</v>
      </c>
      <c r="H73" s="15"/>
    </row>
    <row r="74" spans="1:8" ht="12.95" customHeight="1">
      <c r="A74" s="10" t="s">
        <v>429</v>
      </c>
      <c r="B74" s="11" t="s">
        <v>430</v>
      </c>
      <c r="C74" s="12"/>
      <c r="D74" s="7"/>
      <c r="E74" s="13">
        <v>-64500</v>
      </c>
      <c r="F74" s="14">
        <v>-369.78</v>
      </c>
      <c r="G74" s="14">
        <v>-0.64</v>
      </c>
      <c r="H74" s="15"/>
    </row>
    <row r="75" spans="1:8" ht="12.95" customHeight="1">
      <c r="A75" s="10" t="s">
        <v>916</v>
      </c>
      <c r="B75" s="11" t="s">
        <v>917</v>
      </c>
      <c r="C75" s="12"/>
      <c r="D75" s="7"/>
      <c r="E75" s="13">
        <v>-16200</v>
      </c>
      <c r="F75" s="14">
        <v>-385.27</v>
      </c>
      <c r="G75" s="14">
        <v>-0.67</v>
      </c>
      <c r="H75" s="15"/>
    </row>
    <row r="76" spans="1:8" ht="12.95" customHeight="1">
      <c r="A76" s="10" t="s">
        <v>441</v>
      </c>
      <c r="B76" s="11" t="s">
        <v>442</v>
      </c>
      <c r="C76" s="12"/>
      <c r="D76" s="7"/>
      <c r="E76" s="13">
        <v>-22425</v>
      </c>
      <c r="F76" s="14">
        <v>-398.03</v>
      </c>
      <c r="G76" s="14">
        <v>-0.69</v>
      </c>
      <c r="H76" s="15"/>
    </row>
    <row r="77" spans="1:8" ht="12.95" customHeight="1">
      <c r="A77" s="10" t="s">
        <v>447</v>
      </c>
      <c r="B77" s="11" t="s">
        <v>448</v>
      </c>
      <c r="C77" s="12"/>
      <c r="D77" s="7"/>
      <c r="E77" s="13">
        <v>-5400</v>
      </c>
      <c r="F77" s="14">
        <v>-410.33</v>
      </c>
      <c r="G77" s="14">
        <v>-0.71</v>
      </c>
      <c r="H77" s="15"/>
    </row>
    <row r="78" spans="1:8" ht="12.95" customHeight="1">
      <c r="A78" s="10" t="s">
        <v>918</v>
      </c>
      <c r="B78" s="11" t="s">
        <v>919</v>
      </c>
      <c r="C78" s="12"/>
      <c r="D78" s="7"/>
      <c r="E78" s="13">
        <v>-121000</v>
      </c>
      <c r="F78" s="14">
        <v>-424.11</v>
      </c>
      <c r="G78" s="14">
        <v>-0.73</v>
      </c>
      <c r="H78" s="15"/>
    </row>
    <row r="79" spans="1:8" ht="12.95" customHeight="1">
      <c r="A79" s="10" t="s">
        <v>453</v>
      </c>
      <c r="B79" s="11" t="s">
        <v>454</v>
      </c>
      <c r="C79" s="12"/>
      <c r="D79" s="7"/>
      <c r="E79" s="13">
        <v>-18000</v>
      </c>
      <c r="F79" s="14">
        <v>-432.52</v>
      </c>
      <c r="G79" s="14">
        <v>-0.75</v>
      </c>
      <c r="H79" s="15"/>
    </row>
    <row r="80" spans="1:8" ht="12.95" customHeight="1">
      <c r="A80" s="10" t="s">
        <v>920</v>
      </c>
      <c r="B80" s="11" t="s">
        <v>921</v>
      </c>
      <c r="C80" s="12"/>
      <c r="D80" s="7"/>
      <c r="E80" s="13">
        <v>-65000</v>
      </c>
      <c r="F80" s="14">
        <v>-503.39</v>
      </c>
      <c r="G80" s="14">
        <v>-0.87</v>
      </c>
      <c r="H80" s="15"/>
    </row>
    <row r="81" spans="1:8" ht="12.95" customHeight="1">
      <c r="A81" s="10" t="s">
        <v>922</v>
      </c>
      <c r="B81" s="11" t="s">
        <v>923</v>
      </c>
      <c r="C81" s="12"/>
      <c r="D81" s="7"/>
      <c r="E81" s="13">
        <v>-21000</v>
      </c>
      <c r="F81" s="14">
        <v>-535.41999999999996</v>
      </c>
      <c r="G81" s="14">
        <v>-0.92</v>
      </c>
      <c r="H81" s="15"/>
    </row>
    <row r="82" spans="1:8" ht="12.95" customHeight="1">
      <c r="A82" s="10" t="s">
        <v>924</v>
      </c>
      <c r="B82" s="11" t="s">
        <v>925</v>
      </c>
      <c r="C82" s="12"/>
      <c r="D82" s="7"/>
      <c r="E82" s="13">
        <v>-162250</v>
      </c>
      <c r="F82" s="14">
        <v>-607.38</v>
      </c>
      <c r="G82" s="14">
        <v>-1.05</v>
      </c>
      <c r="H82" s="15"/>
    </row>
    <row r="83" spans="1:8" ht="12.95" customHeight="1">
      <c r="A83" s="10" t="s">
        <v>926</v>
      </c>
      <c r="B83" s="11" t="s">
        <v>927</v>
      </c>
      <c r="C83" s="12"/>
      <c r="D83" s="7"/>
      <c r="E83" s="13">
        <v>-19100</v>
      </c>
      <c r="F83" s="14">
        <v>-846.07</v>
      </c>
      <c r="G83" s="14">
        <v>-1.46</v>
      </c>
      <c r="H83" s="15"/>
    </row>
    <row r="84" spans="1:8" ht="12.95" customHeight="1">
      <c r="A84" s="10" t="s">
        <v>928</v>
      </c>
      <c r="B84" s="11" t="s">
        <v>929</v>
      </c>
      <c r="C84" s="12"/>
      <c r="D84" s="7"/>
      <c r="E84" s="13">
        <v>-796500</v>
      </c>
      <c r="F84" s="14">
        <v>-939.07</v>
      </c>
      <c r="G84" s="14">
        <v>-1.62</v>
      </c>
      <c r="H84" s="15"/>
    </row>
    <row r="85" spans="1:8" ht="12.95" customHeight="1">
      <c r="A85" s="10" t="s">
        <v>439</v>
      </c>
      <c r="B85" s="11" t="s">
        <v>440</v>
      </c>
      <c r="C85" s="12"/>
      <c r="D85" s="7"/>
      <c r="E85" s="13">
        <v>-49800</v>
      </c>
      <c r="F85" s="14">
        <v>-953.02</v>
      </c>
      <c r="G85" s="14">
        <v>-1.65</v>
      </c>
      <c r="H85" s="15"/>
    </row>
    <row r="86" spans="1:8" ht="12.95" customHeight="1">
      <c r="A86" s="10" t="s">
        <v>433</v>
      </c>
      <c r="B86" s="11" t="s">
        <v>434</v>
      </c>
      <c r="C86" s="12"/>
      <c r="D86" s="7"/>
      <c r="E86" s="13">
        <v>-109800</v>
      </c>
      <c r="F86" s="14">
        <v>-1031.79</v>
      </c>
      <c r="G86" s="14">
        <v>-1.78</v>
      </c>
      <c r="H86" s="15"/>
    </row>
    <row r="87" spans="1:8" ht="12.95" customHeight="1">
      <c r="A87" s="10" t="s">
        <v>857</v>
      </c>
      <c r="B87" s="11" t="s">
        <v>858</v>
      </c>
      <c r="C87" s="12"/>
      <c r="D87" s="7"/>
      <c r="E87" s="13">
        <v>-133750</v>
      </c>
      <c r="F87" s="14">
        <v>-1040.3699999999999</v>
      </c>
      <c r="G87" s="14">
        <v>-1.8</v>
      </c>
      <c r="H87" s="15"/>
    </row>
    <row r="88" spans="1:8" ht="12.95" customHeight="1">
      <c r="A88" s="10" t="s">
        <v>855</v>
      </c>
      <c r="B88" s="11" t="s">
        <v>856</v>
      </c>
      <c r="C88" s="12"/>
      <c r="D88" s="7"/>
      <c r="E88" s="13">
        <v>-546750</v>
      </c>
      <c r="F88" s="14">
        <v>-1312.47</v>
      </c>
      <c r="G88" s="14">
        <v>-2.27</v>
      </c>
      <c r="H88" s="15"/>
    </row>
    <row r="89" spans="1:8" ht="12.95" customHeight="1">
      <c r="A89" s="1"/>
      <c r="B89" s="6" t="s">
        <v>21</v>
      </c>
      <c r="C89" s="7"/>
      <c r="D89" s="7"/>
      <c r="E89" s="7"/>
      <c r="F89" s="16">
        <v>-11267.15</v>
      </c>
      <c r="G89" s="16">
        <v>-19.47</v>
      </c>
      <c r="H89" s="17"/>
    </row>
    <row r="90" spans="1:8" ht="12.95" customHeight="1">
      <c r="A90" s="1"/>
      <c r="B90" s="18" t="s">
        <v>24</v>
      </c>
      <c r="C90" s="19"/>
      <c r="D90" s="19"/>
      <c r="E90" s="25"/>
      <c r="F90" s="16">
        <v>-11267.15</v>
      </c>
      <c r="G90" s="16">
        <v>-19.47</v>
      </c>
      <c r="H90" s="22"/>
    </row>
    <row r="91" spans="1:8" ht="12.95" customHeight="1">
      <c r="A91" s="1"/>
      <c r="B91" s="6" t="s">
        <v>8</v>
      </c>
      <c r="C91" s="7"/>
      <c r="D91" s="7"/>
      <c r="E91" s="7"/>
      <c r="F91" s="7"/>
      <c r="G91" s="7"/>
      <c r="H91" s="8"/>
    </row>
    <row r="92" spans="1:8" ht="12.95" customHeight="1">
      <c r="A92" s="1"/>
      <c r="B92" s="6" t="s">
        <v>9</v>
      </c>
      <c r="C92" s="9"/>
      <c r="D92" s="9"/>
      <c r="E92" s="7"/>
      <c r="F92" s="7"/>
      <c r="G92" s="7"/>
      <c r="H92" s="8"/>
    </row>
    <row r="93" spans="1:8" ht="12.95" customHeight="1">
      <c r="A93" s="10" t="s">
        <v>484</v>
      </c>
      <c r="B93" s="11" t="s">
        <v>485</v>
      </c>
      <c r="C93" s="12" t="s">
        <v>486</v>
      </c>
      <c r="D93" s="7" t="s">
        <v>13</v>
      </c>
      <c r="E93" s="13">
        <v>2000000</v>
      </c>
      <c r="F93" s="14">
        <v>1960.38</v>
      </c>
      <c r="G93" s="14">
        <v>3.39</v>
      </c>
      <c r="H93" s="15">
        <v>6.8186999999999998E-2</v>
      </c>
    </row>
    <row r="94" spans="1:8" ht="12.95" customHeight="1">
      <c r="A94" s="1"/>
      <c r="B94" s="6" t="s">
        <v>21</v>
      </c>
      <c r="C94" s="7"/>
      <c r="D94" s="7"/>
      <c r="E94" s="7"/>
      <c r="F94" s="16">
        <v>1960.38</v>
      </c>
      <c r="G94" s="16">
        <v>3.39</v>
      </c>
      <c r="H94" s="17"/>
    </row>
    <row r="95" spans="1:8" ht="12.95" customHeight="1">
      <c r="A95" s="1"/>
      <c r="B95" s="18" t="s">
        <v>22</v>
      </c>
      <c r="C95" s="19"/>
      <c r="D95" s="19"/>
      <c r="E95" s="20"/>
      <c r="F95" s="21" t="s">
        <v>23</v>
      </c>
      <c r="G95" s="21"/>
      <c r="H95" s="22"/>
    </row>
    <row r="96" spans="1:8" ht="12.95" customHeight="1">
      <c r="A96" s="1"/>
      <c r="B96" s="23" t="s">
        <v>21</v>
      </c>
      <c r="C96" s="24"/>
      <c r="D96" s="24"/>
      <c r="E96" s="21"/>
      <c r="F96" s="21" t="s">
        <v>23</v>
      </c>
      <c r="G96" s="21"/>
      <c r="H96" s="22"/>
    </row>
    <row r="97" spans="1:8" s="40" customFormat="1" ht="12.95" customHeight="1">
      <c r="A97" s="34"/>
      <c r="B97" s="35" t="s">
        <v>960</v>
      </c>
      <c r="C97" s="36"/>
      <c r="D97" s="36"/>
      <c r="E97" s="37"/>
      <c r="F97" s="38" t="s">
        <v>23</v>
      </c>
      <c r="G97" s="38"/>
      <c r="H97" s="39"/>
    </row>
    <row r="98" spans="1:8" ht="12.95" customHeight="1">
      <c r="A98" s="46"/>
      <c r="B98" s="47" t="s">
        <v>21</v>
      </c>
      <c r="C98" s="48"/>
      <c r="D98" s="48"/>
      <c r="E98" s="49"/>
      <c r="F98" s="49" t="s">
        <v>23</v>
      </c>
      <c r="G98" s="49"/>
      <c r="H98" s="50"/>
    </row>
    <row r="99" spans="1:8" ht="12.95" customHeight="1">
      <c r="A99" s="1"/>
      <c r="B99" s="18" t="s">
        <v>24</v>
      </c>
      <c r="C99" s="19"/>
      <c r="D99" s="19"/>
      <c r="E99" s="25"/>
      <c r="F99" s="16">
        <v>1960.38</v>
      </c>
      <c r="G99" s="16">
        <v>3.39</v>
      </c>
      <c r="H99" s="22"/>
    </row>
    <row r="100" spans="1:8" ht="12.95" customHeight="1">
      <c r="A100" s="1"/>
      <c r="B100" s="6" t="s">
        <v>25</v>
      </c>
      <c r="C100" s="7"/>
      <c r="D100" s="7"/>
      <c r="E100" s="7"/>
      <c r="F100" s="7"/>
      <c r="G100" s="7"/>
      <c r="H100" s="8"/>
    </row>
    <row r="101" spans="1:8" ht="12.95" customHeight="1">
      <c r="A101" s="1"/>
      <c r="B101" s="6" t="s">
        <v>26</v>
      </c>
      <c r="C101" s="9"/>
      <c r="D101" s="9"/>
      <c r="E101" s="7"/>
      <c r="F101" s="7"/>
      <c r="G101" s="7"/>
      <c r="H101" s="8"/>
    </row>
    <row r="102" spans="1:8" ht="12.95" customHeight="1">
      <c r="A102" s="10" t="s">
        <v>930</v>
      </c>
      <c r="B102" s="11" t="s">
        <v>931</v>
      </c>
      <c r="C102" s="12" t="s">
        <v>932</v>
      </c>
      <c r="D102" s="7" t="s">
        <v>13</v>
      </c>
      <c r="E102" s="13">
        <v>1000000</v>
      </c>
      <c r="F102" s="14">
        <v>995.33</v>
      </c>
      <c r="G102" s="14">
        <v>1.72</v>
      </c>
      <c r="H102" s="15">
        <v>3.5700000000000003E-2</v>
      </c>
    </row>
    <row r="103" spans="1:8" ht="12.95" customHeight="1">
      <c r="A103" s="10" t="s">
        <v>933</v>
      </c>
      <c r="B103" s="11" t="s">
        <v>934</v>
      </c>
      <c r="C103" s="12" t="s">
        <v>935</v>
      </c>
      <c r="D103" s="7" t="s">
        <v>13</v>
      </c>
      <c r="E103" s="13">
        <v>1000000</v>
      </c>
      <c r="F103" s="14">
        <v>992.98</v>
      </c>
      <c r="G103" s="14">
        <v>1.72</v>
      </c>
      <c r="H103" s="15">
        <v>3.7404E-2</v>
      </c>
    </row>
    <row r="104" spans="1:8" ht="12.95" customHeight="1">
      <c r="A104" s="10" t="s">
        <v>936</v>
      </c>
      <c r="B104" s="11" t="s">
        <v>937</v>
      </c>
      <c r="C104" s="12" t="s">
        <v>938</v>
      </c>
      <c r="D104" s="7" t="s">
        <v>13</v>
      </c>
      <c r="E104" s="13">
        <v>1000000</v>
      </c>
      <c r="F104" s="14">
        <v>989.74</v>
      </c>
      <c r="G104" s="14">
        <v>1.71</v>
      </c>
      <c r="H104" s="15">
        <v>3.9024999999999997E-2</v>
      </c>
    </row>
    <row r="105" spans="1:8" ht="12.95" customHeight="1">
      <c r="A105" s="10" t="s">
        <v>939</v>
      </c>
      <c r="B105" s="11" t="s">
        <v>940</v>
      </c>
      <c r="C105" s="12" t="s">
        <v>941</v>
      </c>
      <c r="D105" s="7" t="s">
        <v>13</v>
      </c>
      <c r="E105" s="13">
        <v>1000000</v>
      </c>
      <c r="F105" s="14">
        <v>988.27</v>
      </c>
      <c r="G105" s="14">
        <v>1.71</v>
      </c>
      <c r="H105" s="15">
        <v>3.9043000000000001E-2</v>
      </c>
    </row>
    <row r="106" spans="1:8" ht="12.95" customHeight="1">
      <c r="A106" s="1"/>
      <c r="B106" s="6" t="s">
        <v>21</v>
      </c>
      <c r="C106" s="7"/>
      <c r="D106" s="7"/>
      <c r="E106" s="7"/>
      <c r="F106" s="16">
        <v>3966.32</v>
      </c>
      <c r="G106" s="16">
        <v>6.86</v>
      </c>
      <c r="H106" s="17"/>
    </row>
    <row r="107" spans="1:8" ht="12.95" customHeight="1">
      <c r="A107" s="1"/>
      <c r="B107" s="44" t="s">
        <v>962</v>
      </c>
      <c r="C107" s="9"/>
      <c r="D107" s="9"/>
      <c r="E107" s="7"/>
      <c r="F107" s="7"/>
      <c r="G107" s="7"/>
      <c r="H107" s="8"/>
    </row>
    <row r="108" spans="1:8" ht="12.95" customHeight="1">
      <c r="A108" s="10" t="s">
        <v>124</v>
      </c>
      <c r="B108" s="45" t="s">
        <v>963</v>
      </c>
      <c r="C108" s="12"/>
      <c r="D108" s="7"/>
      <c r="E108" s="13"/>
      <c r="F108" s="14">
        <v>12350.67</v>
      </c>
      <c r="G108" s="14">
        <v>21.33</v>
      </c>
      <c r="H108" s="15">
        <v>3.6005000000000002E-2</v>
      </c>
    </row>
    <row r="109" spans="1:8" ht="12.95" customHeight="1">
      <c r="A109" s="1"/>
      <c r="B109" s="6" t="s">
        <v>21</v>
      </c>
      <c r="C109" s="7"/>
      <c r="D109" s="7"/>
      <c r="E109" s="7"/>
      <c r="F109" s="16">
        <v>12350.67</v>
      </c>
      <c r="G109" s="16">
        <v>21.33</v>
      </c>
      <c r="H109" s="17"/>
    </row>
    <row r="110" spans="1:8" ht="12.95" customHeight="1">
      <c r="A110" s="1"/>
      <c r="B110" s="18" t="s">
        <v>24</v>
      </c>
      <c r="C110" s="19"/>
      <c r="D110" s="19"/>
      <c r="E110" s="25"/>
      <c r="F110" s="16">
        <v>16316.99</v>
      </c>
      <c r="G110" s="16">
        <v>28.19</v>
      </c>
      <c r="H110" s="22"/>
    </row>
    <row r="111" spans="1:8" ht="12.95" customHeight="1">
      <c r="A111" s="1"/>
      <c r="B111" s="18" t="s">
        <v>127</v>
      </c>
      <c r="C111" s="19"/>
      <c r="D111" s="19"/>
      <c r="E111" s="7"/>
      <c r="F111" s="16">
        <v>12175.44</v>
      </c>
      <c r="G111" s="16">
        <v>21.05</v>
      </c>
      <c r="H111" s="22"/>
    </row>
    <row r="112" spans="1:8" ht="12.95" customHeight="1">
      <c r="A112" s="1"/>
      <c r="B112" s="26" t="s">
        <v>128</v>
      </c>
      <c r="C112" s="27"/>
      <c r="D112" s="27"/>
      <c r="E112" s="27"/>
      <c r="F112" s="28">
        <v>57898.15</v>
      </c>
      <c r="G112" s="29">
        <v>100</v>
      </c>
      <c r="H112" s="30"/>
    </row>
    <row r="113" spans="1:8" ht="12.95" customHeight="1">
      <c r="A113" s="1"/>
      <c r="B113" s="105"/>
      <c r="C113" s="105"/>
      <c r="D113" s="105"/>
      <c r="E113" s="105"/>
      <c r="F113" s="1"/>
      <c r="G113" s="1"/>
      <c r="H113" s="1"/>
    </row>
    <row r="114" spans="1:8" ht="12.95" customHeight="1">
      <c r="A114" s="1"/>
      <c r="B114" s="105"/>
      <c r="C114" s="105"/>
      <c r="D114" s="105"/>
      <c r="E114" s="105"/>
      <c r="F114" s="1"/>
      <c r="G114" s="1"/>
      <c r="H114" s="1"/>
    </row>
    <row r="115" spans="1:8" ht="12.95" customHeight="1">
      <c r="A115" s="1"/>
      <c r="B115" s="105"/>
      <c r="C115" s="105"/>
      <c r="D115" s="105"/>
      <c r="E115" s="105"/>
      <c r="F115" s="1"/>
      <c r="G115" s="1"/>
      <c r="H115" s="1"/>
    </row>
    <row r="116" spans="1:8" ht="12.95" customHeight="1">
      <c r="A116" s="1"/>
      <c r="B116" s="106"/>
      <c r="C116" s="106"/>
      <c r="D116" s="106"/>
      <c r="E116" s="106"/>
      <c r="F116" s="1"/>
      <c r="G116" s="1"/>
      <c r="H116" s="1"/>
    </row>
    <row r="117" spans="1:8" ht="12.95" customHeight="1">
      <c r="A117" s="1"/>
      <c r="B117" s="105" t="s">
        <v>327</v>
      </c>
      <c r="C117" s="105"/>
      <c r="D117" s="105"/>
      <c r="E117" s="105"/>
      <c r="F117" s="1"/>
      <c r="G117" s="1"/>
      <c r="H117" s="1"/>
    </row>
    <row r="118" spans="1:8" ht="12.95" customHeight="1">
      <c r="A118" s="1"/>
      <c r="B118" s="107"/>
      <c r="C118" s="107"/>
      <c r="D118" s="107"/>
      <c r="E118" s="107"/>
      <c r="F118" s="1"/>
      <c r="G118" s="1"/>
      <c r="H118" s="1"/>
    </row>
  </sheetData>
  <mergeCells count="9">
    <mergeCell ref="B115:E115"/>
    <mergeCell ref="B116:E116"/>
    <mergeCell ref="B117:E117"/>
    <mergeCell ref="B118:E118"/>
    <mergeCell ref="B1:H1"/>
    <mergeCell ref="B2:H2"/>
    <mergeCell ref="B3:H3"/>
    <mergeCell ref="B113:E113"/>
    <mergeCell ref="B114:E114"/>
  </mergeCells>
  <pageMargins left="0" right="0" top="0" bottom="0" header="0" footer="0"/>
  <pageSetup orientation="portrait" r:id="rId1"/>
  <headerFooter>
    <oddFooter>&amp;C&amp;1#&amp;"Calibri"&amp;10&amp;K000000 For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Riskometers</vt: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2022-04-03T19:09:23Z</dcterms:created>
  <dcterms:modified xsi:type="dcterms:W3CDTF">2022-04-11T12:26:10Z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2022-04-03T20:54:51Z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b9f4e1dc-f0cc-4352-9e3f-9f2d4ad452e7</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