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filterPrivacy="1" defaultThemeVersion="124226"/>
  <xr:revisionPtr revIDLastSave="0" documentId="13_ncr:1_{456ABCE0-84D2-489E-8EBA-8AE412069F35}" xr6:coauthVersionLast="47" xr6:coauthVersionMax="47" xr10:uidLastSave="{00000000-0000-0000-0000-000000000000}"/>
  <bookViews>
    <workbookView xWindow="-108" yWindow="-108" windowWidth="23256" windowHeight="12576" xr2:uid="{00000000-000D-0000-FFFF-FFFF00000000}"/>
  </bookViews>
  <sheets>
    <sheet name="FILF" sheetId="53" r:id="rId1"/>
    <sheet name="FIONF" sheetId="54" r:id="rId2"/>
    <sheet name="FISF" sheetId="55" r:id="rId3"/>
    <sheet name="FIFRF" sheetId="56" r:id="rId4"/>
    <sheet name="FICDF" sheetId="57" r:id="rId5"/>
    <sheet name="FBPF" sheetId="58" r:id="rId6"/>
    <sheet name="FIGSF" sheetId="59" r:id="rId7"/>
    <sheet name="FMPS6C" sheetId="60" r:id="rId8"/>
    <sheet name="FMPS5F" sheetId="61" r:id="rId9"/>
    <sheet name="FMPS5E" sheetId="62" r:id="rId10"/>
    <sheet name="FMPS5D" sheetId="63" r:id="rId11"/>
    <sheet name="FMPS5C" sheetId="64" r:id="rId12"/>
    <sheet name="FMPS5B" sheetId="65" r:id="rId13"/>
    <sheet name="FMPS5A" sheetId="66" r:id="rId14"/>
    <sheet name="FMPS4F" sheetId="67" r:id="rId15"/>
    <sheet name="FMPS4E" sheetId="68" r:id="rId16"/>
    <sheet name="FMPS4D" sheetId="69" r:id="rId17"/>
    <sheet name="FMPS4C" sheetId="70" r:id="rId18"/>
    <sheet name="FIPP" sheetId="71" r:id="rId19"/>
    <sheet name="FIDHY" sheetId="72" r:id="rId20"/>
    <sheet name="FIDA" sheetId="73" r:id="rId21"/>
    <sheet name="FILDF" sheetId="74" r:id="rId22"/>
    <sheet name="FISTIP" sheetId="75" r:id="rId23"/>
    <sheet name="FIUBF" sheetId="76" r:id="rId24"/>
    <sheet name="FIIOF" sheetId="77" r:id="rId25"/>
    <sheet name="FICRF" sheetId="78" r:id="rId26"/>
    <sheet name="FIESF" sheetId="28" r:id="rId27"/>
    <sheet name="FIEHF" sheetId="29" r:id="rId28"/>
    <sheet name="TIVF" sheetId="30" r:id="rId29"/>
    <sheet name="TIEIF" sheetId="31" r:id="rId30"/>
    <sheet name="FITF" sheetId="32" r:id="rId31"/>
    <sheet name="FISCF" sheetId="33" r:id="rId32"/>
    <sheet name="FIPF" sheetId="34" r:id="rId33"/>
    <sheet name="FIOF" sheetId="35" r:id="rId34"/>
    <sheet name="FIFEF" sheetId="36" r:id="rId35"/>
    <sheet name="FIEF" sheetId="37" r:id="rId36"/>
    <sheet name="FIEAF" sheetId="38" r:id="rId37"/>
    <sheet name="FIBF" sheetId="39" r:id="rId38"/>
    <sheet name="FBIF" sheetId="40" r:id="rId39"/>
    <sheet name="FAEF" sheetId="41" r:id="rId40"/>
    <sheet name="FIIF-NSE" sheetId="42" r:id="rId41"/>
    <sheet name="FITX" sheetId="43" r:id="rId42"/>
    <sheet name="FIUS" sheetId="44" r:id="rId43"/>
    <sheet name="FEGF" sheetId="45" r:id="rId44"/>
    <sheet name="FIMAS" sheetId="46" r:id="rId45"/>
    <sheet name="FIFOF-50's+" sheetId="47" r:id="rId46"/>
    <sheet name="FIFOF-50's" sheetId="48" r:id="rId47"/>
    <sheet name="FIFOF-40's" sheetId="49" r:id="rId48"/>
    <sheet name="FIFOF-30's" sheetId="50" r:id="rId49"/>
    <sheet name="FIFOF-20's" sheetId="51" r:id="rId50"/>
    <sheet name="FF" sheetId="5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1" i="78" l="1"/>
  <c r="F113" i="78" s="1"/>
  <c r="E111" i="78"/>
  <c r="E113" i="78" s="1"/>
  <c r="F27" i="78"/>
  <c r="E27" i="78"/>
  <c r="F23" i="78"/>
  <c r="E23" i="78"/>
  <c r="F18" i="78"/>
  <c r="E18" i="78"/>
  <c r="F22" i="77"/>
  <c r="E22" i="77"/>
  <c r="F18" i="77"/>
  <c r="E18" i="77"/>
  <c r="F12" i="77"/>
  <c r="E12" i="77"/>
  <c r="F18" i="76"/>
  <c r="E18" i="76"/>
  <c r="F14" i="76"/>
  <c r="E14" i="76"/>
  <c r="F129" i="75"/>
  <c r="F131" i="75" s="1"/>
  <c r="E129" i="75"/>
  <c r="E133" i="75" s="1"/>
  <c r="F89" i="75"/>
  <c r="F91" i="75" s="1"/>
  <c r="E89" i="75"/>
  <c r="E93" i="75" s="1"/>
  <c r="F32" i="75"/>
  <c r="E32" i="75"/>
  <c r="F28" i="75"/>
  <c r="E28" i="75"/>
  <c r="F17" i="75"/>
  <c r="E17" i="75"/>
  <c r="F16" i="74"/>
  <c r="E16" i="74"/>
  <c r="F12" i="74"/>
  <c r="F18" i="74" s="1"/>
  <c r="E12" i="74"/>
  <c r="F109" i="73"/>
  <c r="F111" i="73" s="1"/>
  <c r="E109" i="73"/>
  <c r="E113" i="73" s="1"/>
  <c r="F74" i="73"/>
  <c r="F76" i="73" s="1"/>
  <c r="E74" i="73"/>
  <c r="E76" i="73" s="1"/>
  <c r="F25" i="73"/>
  <c r="E25" i="73"/>
  <c r="E21" i="73"/>
  <c r="F15" i="73"/>
  <c r="E15" i="73"/>
  <c r="E27" i="73" s="1"/>
  <c r="F64" i="72"/>
  <c r="E64" i="72"/>
  <c r="F54" i="72"/>
  <c r="E54" i="72"/>
  <c r="F50" i="72"/>
  <c r="E50" i="72"/>
  <c r="F45" i="72"/>
  <c r="E45" i="72"/>
  <c r="F38" i="72"/>
  <c r="E38" i="72"/>
  <c r="F34" i="72"/>
  <c r="E34" i="72"/>
  <c r="F30" i="72"/>
  <c r="F68" i="72" s="1"/>
  <c r="E30" i="72"/>
  <c r="E68" i="72" s="1"/>
  <c r="F59" i="71"/>
  <c r="E59" i="71"/>
  <c r="F48" i="71"/>
  <c r="E48" i="71"/>
  <c r="F43" i="71"/>
  <c r="E43" i="71"/>
  <c r="F35" i="71"/>
  <c r="F61" i="71" s="1"/>
  <c r="E35" i="71"/>
  <c r="E63" i="71" s="1"/>
  <c r="F13" i="69"/>
  <c r="E13" i="69"/>
  <c r="F8" i="69"/>
  <c r="F17" i="69" s="1"/>
  <c r="E8" i="69"/>
  <c r="E17" i="69" s="1"/>
  <c r="F17" i="68"/>
  <c r="E17" i="68"/>
  <c r="F12" i="68"/>
  <c r="E12" i="68"/>
  <c r="F8" i="68"/>
  <c r="F21" i="68" s="1"/>
  <c r="E8" i="68"/>
  <c r="E19" i="68" s="1"/>
  <c r="F26" i="67"/>
  <c r="E26" i="67"/>
  <c r="F22" i="67"/>
  <c r="F30" i="67" s="1"/>
  <c r="E22" i="67"/>
  <c r="E30" i="67" s="1"/>
  <c r="F19" i="66"/>
  <c r="F23" i="66" s="1"/>
  <c r="E19" i="66"/>
  <c r="E21" i="66" s="1"/>
  <c r="F23" i="65"/>
  <c r="F27" i="65" s="1"/>
  <c r="E23" i="65"/>
  <c r="E25" i="65" s="1"/>
  <c r="F28" i="64"/>
  <c r="E28" i="64"/>
  <c r="F23" i="64"/>
  <c r="F32" i="64" s="1"/>
  <c r="E23" i="64"/>
  <c r="E30" i="64" s="1"/>
  <c r="F26" i="63"/>
  <c r="E26" i="63"/>
  <c r="F21" i="63"/>
  <c r="F28" i="63" s="1"/>
  <c r="E21" i="63"/>
  <c r="E30" i="63" s="1"/>
  <c r="F25" i="62"/>
  <c r="E25" i="62"/>
  <c r="F20" i="62"/>
  <c r="F29" i="62" s="1"/>
  <c r="E20" i="62"/>
  <c r="E29" i="62" s="1"/>
  <c r="F26" i="61"/>
  <c r="E26" i="61"/>
  <c r="F21" i="61"/>
  <c r="F30" i="61" s="1"/>
  <c r="E21" i="61"/>
  <c r="E28" i="61" s="1"/>
  <c r="F27" i="60"/>
  <c r="E27" i="60"/>
  <c r="F22" i="60"/>
  <c r="F29" i="60" s="1"/>
  <c r="E22" i="60"/>
  <c r="E31" i="60" s="1"/>
  <c r="F12" i="59"/>
  <c r="F16" i="59" s="1"/>
  <c r="E12" i="59"/>
  <c r="E16" i="59" s="1"/>
  <c r="F54" i="58"/>
  <c r="E54" i="58"/>
  <c r="F46" i="58"/>
  <c r="E46" i="58"/>
  <c r="F41" i="58"/>
  <c r="E41" i="58"/>
  <c r="F35" i="58"/>
  <c r="F56" i="58" s="1"/>
  <c r="E35" i="58"/>
  <c r="E58" i="58" s="1"/>
  <c r="F54" i="57"/>
  <c r="E54" i="57"/>
  <c r="F46" i="57"/>
  <c r="E46" i="57"/>
  <c r="F41" i="57"/>
  <c r="F58" i="57" s="1"/>
  <c r="E41" i="57"/>
  <c r="E58" i="57" s="1"/>
  <c r="F30" i="56"/>
  <c r="E30" i="56"/>
  <c r="F21" i="56"/>
  <c r="E21" i="56"/>
  <c r="F16" i="56"/>
  <c r="E16" i="56"/>
  <c r="F11" i="56"/>
  <c r="F32" i="56" s="1"/>
  <c r="E11" i="56"/>
  <c r="E34" i="56" s="1"/>
  <c r="F36" i="55"/>
  <c r="E36" i="55"/>
  <c r="F31" i="55"/>
  <c r="E31" i="55"/>
  <c r="F24" i="55"/>
  <c r="E24" i="55"/>
  <c r="F13" i="55"/>
  <c r="F38" i="55" s="1"/>
  <c r="E13" i="55"/>
  <c r="E40" i="55" s="1"/>
  <c r="F36" i="53"/>
  <c r="E36" i="53"/>
  <c r="F26" i="53"/>
  <c r="E26" i="53"/>
  <c r="F10" i="53"/>
  <c r="F38" i="53" s="1"/>
  <c r="E10" i="53"/>
  <c r="E40" i="53" s="1"/>
  <c r="F28" i="61" l="1"/>
  <c r="F27" i="62"/>
  <c r="F25" i="65"/>
  <c r="F21" i="66"/>
  <c r="F19" i="68"/>
  <c r="F15" i="69"/>
  <c r="E20" i="76"/>
  <c r="F40" i="53"/>
  <c r="F40" i="55"/>
  <c r="F34" i="56"/>
  <c r="F30" i="64"/>
  <c r="F28" i="67"/>
  <c r="F20" i="76"/>
  <c r="E29" i="78"/>
  <c r="F29" i="78"/>
  <c r="E31" i="78"/>
  <c r="E115" i="78"/>
  <c r="F31" i="78"/>
  <c r="E26" i="77"/>
  <c r="F26" i="77"/>
  <c r="E22" i="76"/>
  <c r="F22" i="76"/>
  <c r="E36" i="75"/>
  <c r="F36" i="75"/>
  <c r="E131" i="75"/>
  <c r="E20" i="74"/>
  <c r="E18" i="74"/>
  <c r="F27" i="73"/>
  <c r="E29" i="73"/>
  <c r="E78" i="73"/>
  <c r="F31" i="60"/>
  <c r="F30" i="63"/>
  <c r="E24" i="77"/>
  <c r="E56" i="57"/>
  <c r="E56" i="58"/>
  <c r="E14" i="59"/>
  <c r="E30" i="61"/>
  <c r="E27" i="62"/>
  <c r="E32" i="64"/>
  <c r="E27" i="65"/>
  <c r="E23" i="66"/>
  <c r="E28" i="67"/>
  <c r="E21" i="68"/>
  <c r="E15" i="69"/>
  <c r="E61" i="71"/>
  <c r="E66" i="72"/>
  <c r="F29" i="73"/>
  <c r="F20" i="74"/>
  <c r="F24" i="77"/>
  <c r="F56" i="57"/>
  <c r="F14" i="59"/>
  <c r="F66" i="72"/>
  <c r="E91" i="75"/>
  <c r="E38" i="53"/>
  <c r="E38" i="55"/>
  <c r="E32" i="56"/>
  <c r="E29" i="60"/>
  <c r="E28" i="63"/>
  <c r="E111" i="73"/>
  <c r="F34" i="75"/>
  <c r="E34" i="75"/>
  <c r="F58" i="58"/>
  <c r="F63" i="71"/>
  <c r="E10" i="52"/>
  <c r="E12" i="52" s="1"/>
  <c r="D10" i="52"/>
  <c r="D14" i="52" s="1"/>
  <c r="E13" i="51"/>
  <c r="E17" i="51" s="1"/>
  <c r="D13" i="51"/>
  <c r="D17" i="51" s="1"/>
  <c r="E13" i="50"/>
  <c r="E17" i="50" s="1"/>
  <c r="D13" i="50"/>
  <c r="D17" i="50" s="1"/>
  <c r="E13" i="49"/>
  <c r="E17" i="49" s="1"/>
  <c r="D13" i="49"/>
  <c r="D17" i="49" s="1"/>
  <c r="E12" i="48"/>
  <c r="E16" i="48" s="1"/>
  <c r="D12" i="48"/>
  <c r="D16" i="48" s="1"/>
  <c r="E9" i="47"/>
  <c r="E13" i="47" s="1"/>
  <c r="D9" i="47"/>
  <c r="D11" i="47" s="1"/>
  <c r="E12" i="46"/>
  <c r="E16" i="46" s="1"/>
  <c r="D12" i="46"/>
  <c r="D14" i="46" s="1"/>
  <c r="E7" i="45"/>
  <c r="E11" i="45" s="1"/>
  <c r="D7" i="45"/>
  <c r="D11" i="45" s="1"/>
  <c r="E7" i="44"/>
  <c r="E11" i="44" s="1"/>
  <c r="D7" i="44"/>
  <c r="D11" i="44" s="1"/>
  <c r="E14" i="52" l="1"/>
  <c r="D12" i="52"/>
  <c r="D15" i="51"/>
  <c r="E15" i="51"/>
  <c r="D15" i="50"/>
  <c r="E15" i="50"/>
  <c r="D15" i="49"/>
  <c r="E15" i="49"/>
  <c r="D14" i="48"/>
  <c r="E14" i="48"/>
  <c r="E11" i="47"/>
  <c r="D13" i="47"/>
  <c r="E14" i="46"/>
  <c r="D16" i="46"/>
  <c r="D9" i="45"/>
  <c r="E9" i="45"/>
  <c r="D9" i="44"/>
  <c r="E9" i="44"/>
  <c r="G37" i="28" l="1"/>
  <c r="D84" i="28" s="1"/>
  <c r="F64" i="43" l="1"/>
  <c r="E64" i="43"/>
  <c r="F58" i="43"/>
  <c r="F68" i="43" s="1"/>
  <c r="E58" i="43"/>
  <c r="F58" i="42"/>
  <c r="F62" i="42" s="1"/>
  <c r="E58" i="42"/>
  <c r="E62" i="42" s="1"/>
  <c r="F74" i="41"/>
  <c r="E74" i="41"/>
  <c r="F22" i="41"/>
  <c r="F78" i="41" s="1"/>
  <c r="E22" i="41"/>
  <c r="E78" i="41" s="1"/>
  <c r="F33" i="40"/>
  <c r="F35" i="40" s="1"/>
  <c r="E33" i="40"/>
  <c r="E35" i="40" s="1"/>
  <c r="F33" i="39"/>
  <c r="F37" i="39" s="1"/>
  <c r="E33" i="39"/>
  <c r="E35" i="39" s="1"/>
  <c r="F56" i="38"/>
  <c r="F60" i="38" s="1"/>
  <c r="E56" i="38"/>
  <c r="E60" i="38" s="1"/>
  <c r="E60" i="37"/>
  <c r="F58" i="37"/>
  <c r="E58" i="37"/>
  <c r="F52" i="37"/>
  <c r="F62" i="37" s="1"/>
  <c r="E52" i="37"/>
  <c r="E62" i="37" s="1"/>
  <c r="F33" i="36"/>
  <c r="F37" i="36" s="1"/>
  <c r="E33" i="36"/>
  <c r="E35" i="36" s="1"/>
  <c r="F43" i="35"/>
  <c r="E43" i="35"/>
  <c r="F36" i="35"/>
  <c r="F47" i="35" s="1"/>
  <c r="E36" i="35"/>
  <c r="E47" i="35" s="1"/>
  <c r="F66" i="34"/>
  <c r="F64" i="34"/>
  <c r="F62" i="34"/>
  <c r="E62" i="34"/>
  <c r="F58" i="34"/>
  <c r="E58" i="34"/>
  <c r="E66" i="34" s="1"/>
  <c r="F68" i="33"/>
  <c r="F72" i="33" s="1"/>
  <c r="E68" i="33"/>
  <c r="E72" i="33" s="1"/>
  <c r="F45" i="32"/>
  <c r="E45" i="32"/>
  <c r="F41" i="32"/>
  <c r="E41" i="32"/>
  <c r="F23" i="32"/>
  <c r="E23" i="32"/>
  <c r="F19" i="32"/>
  <c r="F49" i="32" s="1"/>
  <c r="E19" i="32"/>
  <c r="E47" i="32" s="1"/>
  <c r="F58" i="31"/>
  <c r="E58" i="31"/>
  <c r="F48" i="31"/>
  <c r="E48" i="31"/>
  <c r="F43" i="31"/>
  <c r="E43" i="31"/>
  <c r="E62" i="31" s="1"/>
  <c r="F45" i="30"/>
  <c r="E45" i="30"/>
  <c r="F41" i="30"/>
  <c r="F49" i="30" s="1"/>
  <c r="E41" i="30"/>
  <c r="E49" i="30" s="1"/>
  <c r="F83" i="29"/>
  <c r="E83" i="29"/>
  <c r="F72" i="29"/>
  <c r="E72" i="29"/>
  <c r="F67" i="29"/>
  <c r="E67" i="29"/>
  <c r="F62" i="29"/>
  <c r="E62" i="29"/>
  <c r="F55" i="29"/>
  <c r="E55" i="29"/>
  <c r="F51" i="29"/>
  <c r="E51" i="29"/>
  <c r="F46" i="29"/>
  <c r="E46" i="29"/>
  <c r="F41" i="29"/>
  <c r="F87" i="29" s="1"/>
  <c r="E41" i="29"/>
  <c r="E87" i="29" s="1"/>
  <c r="F50" i="28"/>
  <c r="E50" i="28"/>
  <c r="F45" i="28"/>
  <c r="E45" i="28"/>
  <c r="F41" i="28"/>
  <c r="E41" i="28"/>
  <c r="F37" i="28"/>
  <c r="F54" i="28" s="1"/>
  <c r="E37" i="28"/>
  <c r="E52" i="28" s="1"/>
  <c r="F60" i="42"/>
  <c r="F60" i="37"/>
  <c r="E70" i="33"/>
  <c r="E47" i="30" l="1"/>
  <c r="F62" i="31"/>
  <c r="F85" i="29"/>
  <c r="E85" i="29"/>
  <c r="E64" i="34"/>
  <c r="E45" i="35"/>
  <c r="E76" i="41"/>
  <c r="E60" i="42"/>
  <c r="F47" i="32"/>
  <c r="F45" i="35"/>
  <c r="E37" i="40"/>
  <c r="F52" i="28"/>
  <c r="E54" i="28"/>
  <c r="E49" i="32"/>
  <c r="E66" i="43"/>
  <c r="F66" i="43"/>
  <c r="E68" i="43"/>
  <c r="F76" i="41"/>
  <c r="F37" i="40"/>
  <c r="F35" i="39"/>
  <c r="E37" i="39"/>
  <c r="F47" i="30"/>
  <c r="F60" i="31"/>
  <c r="E60" i="31"/>
  <c r="E37" i="36"/>
  <c r="F35" i="36"/>
  <c r="E58" i="38"/>
  <c r="F58" i="38"/>
  <c r="F70" i="33"/>
</calcChain>
</file>

<file path=xl/sharedStrings.xml><?xml version="1.0" encoding="utf-8"?>
<sst xmlns="http://schemas.openxmlformats.org/spreadsheetml/2006/main" count="5740" uniqueCount="1199">
  <si>
    <t>Name of the Instrument</t>
  </si>
  <si>
    <t>Quantity</t>
  </si>
  <si>
    <t>ISIN Number</t>
  </si>
  <si>
    <t xml:space="preserve">Market Value(Rs. in Lakhs) </t>
  </si>
  <si>
    <t>% to Net Assets</t>
  </si>
  <si>
    <t>Industry Classification / Rating</t>
  </si>
  <si>
    <t>YTM</t>
  </si>
  <si>
    <t>Portfolio Statement as on August 31, 2021</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</si>
  <si>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</si>
  <si>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</si>
  <si>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</si>
  <si>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</si>
  <si>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</si>
  <si>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</si>
  <si>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</si>
  <si>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</si>
  <si>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</si>
  <si>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</si>
  <si>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</si>
  <si>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</si>
  <si>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</si>
  <si>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</si>
  <si>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</si>
  <si>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</si>
  <si>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</si>
  <si>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</si>
  <si>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</si>
  <si>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</si>
  <si>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</si>
  <si>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</si>
  <si>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</si>
  <si>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</si>
  <si>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</si>
  <si>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CARE AA-</t>
  </si>
  <si>
    <t>Sub Total</t>
  </si>
  <si>
    <t>Mutual Fund Units</t>
  </si>
  <si>
    <t>Total</t>
  </si>
  <si>
    <t>Net Assets</t>
  </si>
  <si>
    <t>Call, Cash &amp; Other Assets</t>
  </si>
  <si>
    <t>** Non- Traded Scrips</t>
  </si>
  <si>
    <t>Notes</t>
  </si>
  <si>
    <t>a) NAV at the beginning and at the end of the Half-year ended 31-Aug-2021</t>
  </si>
  <si>
    <t xml:space="preserve">      Plan/Option</t>
  </si>
  <si>
    <t>As on 31-Aug-2021</t>
  </si>
  <si>
    <t>As on 26-Feb-2021</t>
  </si>
  <si>
    <t>IDCW - Income Distribution cum capital withdrawal</t>
  </si>
  <si>
    <t>b) Aggregate Distributions declared during the Half - year ended 31-Aug-2021</t>
  </si>
  <si>
    <t>Nil</t>
  </si>
  <si>
    <t>(In Years)</t>
  </si>
  <si>
    <t xml:space="preserve">d) During the month additional instances of fair valuation/deviation from valuation price provided by the valuation agencies </t>
  </si>
  <si>
    <t xml:space="preserve">f) For product labeling and risk-o-meter refer the link below </t>
  </si>
  <si>
    <t>https://www.franklintempletonindia.com/downloadsServlet/pdf/product-labels-jg9o5k7l</t>
  </si>
  <si>
    <t>CRISIL AAA</t>
  </si>
  <si>
    <t>Refer below link for rationale of devation under Valuation policy</t>
  </si>
  <si>
    <t>Money Market Instruments</t>
  </si>
  <si>
    <t>Certificate of Deposit</t>
  </si>
  <si>
    <t>CRISIL A1+</t>
  </si>
  <si>
    <t>IND A1+</t>
  </si>
  <si>
    <t>Commercial Paper</t>
  </si>
  <si>
    <t>Housing Development Finance Corporation Ltd (28-Feb-2022) **@</t>
  </si>
  <si>
    <t>INE001A14XM0</t>
  </si>
  <si>
    <t>ICRA A1+</t>
  </si>
  <si>
    <t>SBI Cards and Payment Services Ltd (08-Oct-2021) **@</t>
  </si>
  <si>
    <t>INE018E14OX2</t>
  </si>
  <si>
    <t>Government Securities</t>
  </si>
  <si>
    <t>SOVEREIGN</t>
  </si>
  <si>
    <t>@ Listed</t>
  </si>
  <si>
    <t>Plan Name</t>
  </si>
  <si>
    <t>Distributions per unit (Rs.)+++</t>
  </si>
  <si>
    <t>+++ Distribution payouts/ re-investments are subject to deduction of TDS at the applicable rates.</t>
  </si>
  <si>
    <t xml:space="preserve">e) For product labeling and risk-o-meter refer the link below </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</si>
  <si>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</si>
  <si>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</si>
  <si>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</si>
  <si>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</si>
  <si>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</si>
  <si>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</si>
  <si>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 xml:space="preserve">      IDCW Plan</t>
  </si>
  <si>
    <t xml:space="preserve">      Direct IDCW Plan</t>
  </si>
  <si>
    <t>6.64% GOI 2035 (16-Jun-2035)</t>
  </si>
  <si>
    <t>IN0020210020</t>
  </si>
  <si>
    <t>6.79% GOI 2027 (15-May-2027)</t>
  </si>
  <si>
    <t>IN0020170026</t>
  </si>
  <si>
    <t>5.15% GOI 2025 (09-Nov-2025)</t>
  </si>
  <si>
    <t>IN0020200278</t>
  </si>
  <si>
    <t>7.17% GOI 2028 (08-Jan-2028)</t>
  </si>
  <si>
    <t>IN0020170174</t>
  </si>
  <si>
    <t>7.27% GOI 2026 (08-Apr-2026)</t>
  </si>
  <si>
    <t>IN0020190016</t>
  </si>
  <si>
    <t>5.22% GOI 2025 (15-Jun-2025)</t>
  </si>
  <si>
    <t>IN0020200112</t>
  </si>
  <si>
    <t xml:space="preserve">      Growth Option</t>
  </si>
  <si>
    <t xml:space="preserve">      Direct Growth Option</t>
  </si>
  <si>
    <t>Indostar Capital Finance Ltd (1Y SBI MCLR + 200 Bps) (02-May-2023) **</t>
  </si>
  <si>
    <t>INE896L07561</t>
  </si>
  <si>
    <t>7.32% GOI 2024 (28-Jan-2024)</t>
  </si>
  <si>
    <t>IN0020180488</t>
  </si>
  <si>
    <t xml:space="preserve">d) For product labeling and risk-o-meter refer the link below </t>
  </si>
  <si>
    <t>Equity &amp; Equity related</t>
  </si>
  <si>
    <t>Infosys Ltd</t>
  </si>
  <si>
    <t>INE009A01021</t>
  </si>
  <si>
    <t>Software</t>
  </si>
  <si>
    <t>HDFC Bank Ltd</t>
  </si>
  <si>
    <t>INE040A01034</t>
  </si>
  <si>
    <t>Banks</t>
  </si>
  <si>
    <t>Axis Bank Ltd</t>
  </si>
  <si>
    <t>INE238A01034</t>
  </si>
  <si>
    <t>ICICI Bank Ltd</t>
  </si>
  <si>
    <t>INE090A01021</t>
  </si>
  <si>
    <t>Bharti Airtel Ltd</t>
  </si>
  <si>
    <t>INE397D01024</t>
  </si>
  <si>
    <t>Telecom - Services</t>
  </si>
  <si>
    <t>Balkrishna Industries Ltd</t>
  </si>
  <si>
    <t>INE787D01026</t>
  </si>
  <si>
    <t>Auto Ancillaries</t>
  </si>
  <si>
    <t>Hindalco Industries Ltd</t>
  </si>
  <si>
    <t>INE038A01020</t>
  </si>
  <si>
    <t>Non - Ferrous Metals</t>
  </si>
  <si>
    <t>Voltas Ltd</t>
  </si>
  <si>
    <t>INE226A01021</t>
  </si>
  <si>
    <t>Consumer Durables</t>
  </si>
  <si>
    <t>Kotak Mahindra Bank Ltd</t>
  </si>
  <si>
    <t>INE237A01028</t>
  </si>
  <si>
    <t>Colgate Palmolive (India) Ltd</t>
  </si>
  <si>
    <t>INE259A01022</t>
  </si>
  <si>
    <t>Consumer Non Durables</t>
  </si>
  <si>
    <t>Petronet LNG Ltd</t>
  </si>
  <si>
    <t>INE347G01014</t>
  </si>
  <si>
    <t>Gas</t>
  </si>
  <si>
    <t>Tata Consultancy Services Ltd</t>
  </si>
  <si>
    <t>INE467B01029</t>
  </si>
  <si>
    <t>Hindustan Petroleum Corporation Ltd</t>
  </si>
  <si>
    <t>INE094A01015</t>
  </si>
  <si>
    <t>Petroleum Products</t>
  </si>
  <si>
    <t>Gujarat State Petronet Ltd</t>
  </si>
  <si>
    <t>INE246F01010</t>
  </si>
  <si>
    <t>Dr. Reddy's Laboratories Ltd</t>
  </si>
  <si>
    <t>INE089A01023</t>
  </si>
  <si>
    <t>Pharmaceuticals</t>
  </si>
  <si>
    <t>State Bank of India</t>
  </si>
  <si>
    <t>INE062A01020</t>
  </si>
  <si>
    <t>Hindustan Unilever Ltd</t>
  </si>
  <si>
    <t>INE030A01027</t>
  </si>
  <si>
    <t>Power Grid Corporation of India Ltd</t>
  </si>
  <si>
    <t>INE752E01010</t>
  </si>
  <si>
    <t>Power</t>
  </si>
  <si>
    <t>NTPC Ltd</t>
  </si>
  <si>
    <t>INE733E01010</t>
  </si>
  <si>
    <t>United Breweries Ltd</t>
  </si>
  <si>
    <t>INE686F01025</t>
  </si>
  <si>
    <t>Mahindra &amp; Mahindra Ltd</t>
  </si>
  <si>
    <t>INE101A01026</t>
  </si>
  <si>
    <t>Auto</t>
  </si>
  <si>
    <t>Bharat Petroleum Corporation Ltd</t>
  </si>
  <si>
    <t>INE029A01011</t>
  </si>
  <si>
    <t>Bajaj Auto Ltd</t>
  </si>
  <si>
    <t>INE917I01010</t>
  </si>
  <si>
    <t>Aditya Birla Fashion and Retail Ltd</t>
  </si>
  <si>
    <t>INE647O01011</t>
  </si>
  <si>
    <t>Retailing</t>
  </si>
  <si>
    <t>City Union Bank Ltd</t>
  </si>
  <si>
    <t>INE491A01021</t>
  </si>
  <si>
    <t>Cadila Healthcare Ltd</t>
  </si>
  <si>
    <t>INE010B01027</t>
  </si>
  <si>
    <t>Tata Motors Ltd</t>
  </si>
  <si>
    <t>INE155A01022</t>
  </si>
  <si>
    <t>6.95% Housing Development Finance Corporation Ltd (27-Apr-2023) **</t>
  </si>
  <si>
    <t>INE001A07SK8</t>
  </si>
  <si>
    <t>6.18% GOI 2024 (04-Nov-2024)</t>
  </si>
  <si>
    <t>IN0020190396</t>
  </si>
  <si>
    <t>Kansai Nerolac Paints Ltd</t>
  </si>
  <si>
    <t>INE531A01024</t>
  </si>
  <si>
    <t>Grasim Industries Ltd</t>
  </si>
  <si>
    <t>INE047A01021</t>
  </si>
  <si>
    <t>Cement &amp; Cement Products</t>
  </si>
  <si>
    <t>Coal India Ltd</t>
  </si>
  <si>
    <t>INE522F01014</t>
  </si>
  <si>
    <t>Minerals/Mining</t>
  </si>
  <si>
    <t>(b) Units of Real Estate Investment Trusts (REITs)</t>
  </si>
  <si>
    <t>Embassy Office Parks REIT</t>
  </si>
  <si>
    <t>INE041025011</t>
  </si>
  <si>
    <t>PowerGrid Infrastructure Investment Trust</t>
  </si>
  <si>
    <t>INE0GGX23010</t>
  </si>
  <si>
    <t>National Bank For Agriculture &amp; Rural Development (18-Feb-2022) **</t>
  </si>
  <si>
    <t>INE261F16595</t>
  </si>
  <si>
    <t>Housing Development Finance Corporation Ltd</t>
  </si>
  <si>
    <t>INE001A01036</t>
  </si>
  <si>
    <t>Finance</t>
  </si>
  <si>
    <t>Maruti Suzuki India Ltd</t>
  </si>
  <si>
    <t>INE585B01010</t>
  </si>
  <si>
    <t>Larsen &amp; Toubro Ltd</t>
  </si>
  <si>
    <t>INE018A01030</t>
  </si>
  <si>
    <t>Construction Project</t>
  </si>
  <si>
    <t>Tata Power Co Ltd</t>
  </si>
  <si>
    <t>INE245A01021</t>
  </si>
  <si>
    <t>Tech Mahindra Ltd</t>
  </si>
  <si>
    <t>INE669C01036</t>
  </si>
  <si>
    <t>Dabur India Ltd</t>
  </si>
  <si>
    <t>INE016A01026</t>
  </si>
  <si>
    <t>Himatsingka Seide Ltd</t>
  </si>
  <si>
    <t>INE049A01027</t>
  </si>
  <si>
    <t>Textile Products</t>
  </si>
  <si>
    <t>Indian Hotels Co Ltd</t>
  </si>
  <si>
    <t>INE053A01029</t>
  </si>
  <si>
    <t>Leisure Services</t>
  </si>
  <si>
    <t>Cholamandalam Financial Holdings Ltd</t>
  </si>
  <si>
    <t>INE149A01033</t>
  </si>
  <si>
    <t>Mahindra CIE Automotive Ltd</t>
  </si>
  <si>
    <t>INE536H01010</t>
  </si>
  <si>
    <t>Industrial Products</t>
  </si>
  <si>
    <t>PNB Housing Finance Ltd</t>
  </si>
  <si>
    <t>INE572E01012</t>
  </si>
  <si>
    <t>Indian Oil Corporation Ltd</t>
  </si>
  <si>
    <t>INE242A01010</t>
  </si>
  <si>
    <t>Nestle India Ltd</t>
  </si>
  <si>
    <t>INE239A01016</t>
  </si>
  <si>
    <t>GAIL (India) Ltd</t>
  </si>
  <si>
    <t>INE129A01019</t>
  </si>
  <si>
    <t>Federal Bank Ltd</t>
  </si>
  <si>
    <t>INE171A01029</t>
  </si>
  <si>
    <t>c) Portfolio Turnover Ratio during the Half - year 31-Aug-2021</t>
  </si>
  <si>
    <t>d) Average Maturity as on 31-Aug-2021</t>
  </si>
  <si>
    <t xml:space="preserve">e) During the month additional instances of fair valuation/deviation from valuation price provided by the valuation agencies </t>
  </si>
  <si>
    <t>NHPC Ltd</t>
  </si>
  <si>
    <t>INE848E01016</t>
  </si>
  <si>
    <t>Titan Co Ltd</t>
  </si>
  <si>
    <t>INE280A01028</t>
  </si>
  <si>
    <t>Nuvoco Vistas Corporation Ltd</t>
  </si>
  <si>
    <t>INE118D01016</t>
  </si>
  <si>
    <t xml:space="preserve">(b) Unlisted </t>
  </si>
  <si>
    <t>INE671B01018</t>
  </si>
  <si>
    <t>Commercial Services</t>
  </si>
  <si>
    <t>(c) Units of Real Estate Investment Trusts (REITs)</t>
  </si>
  <si>
    <t>Brookfield India Real Estate Trust</t>
  </si>
  <si>
    <t>INE0FDU25010</t>
  </si>
  <si>
    <t>Indostar Capital Finance Ltd (1Y SBI MCLR + 225 Bps) (02-Nov-2021) **</t>
  </si>
  <si>
    <t>INE896L07660</t>
  </si>
  <si>
    <t>HCL Technologies Ltd</t>
  </si>
  <si>
    <t>INE860A01027</t>
  </si>
  <si>
    <t>Bharat Electronics Ltd</t>
  </si>
  <si>
    <t>INE263A01024</t>
  </si>
  <si>
    <t>Aerospace &amp; Defense</t>
  </si>
  <si>
    <t>Tata Motors Ltd DVR</t>
  </si>
  <si>
    <t>IN9155A01020</t>
  </si>
  <si>
    <t>ITC Ltd</t>
  </si>
  <si>
    <t>INE154A01025</t>
  </si>
  <si>
    <t>Finolex Cables Ltd</t>
  </si>
  <si>
    <t>INE235A01022</t>
  </si>
  <si>
    <t>ACC Ltd</t>
  </si>
  <si>
    <t>INE012A01025</t>
  </si>
  <si>
    <t>Century Textile &amp; Industries Ltd</t>
  </si>
  <si>
    <t>INE055A01016</t>
  </si>
  <si>
    <t>Paper</t>
  </si>
  <si>
    <t>Bosch Ltd</t>
  </si>
  <si>
    <t>INE323A01026</t>
  </si>
  <si>
    <t>Hindustan Aeronautics Ltd</t>
  </si>
  <si>
    <t>INE066F01012</t>
  </si>
  <si>
    <t>United Spirits Ltd</t>
  </si>
  <si>
    <t>INE854D01024</t>
  </si>
  <si>
    <t>RBL Bank Ltd</t>
  </si>
  <si>
    <t>INE976G01028</t>
  </si>
  <si>
    <t>Equitas Holdings Ltd</t>
  </si>
  <si>
    <t>INE988K01017</t>
  </si>
  <si>
    <t>Lupin Ltd</t>
  </si>
  <si>
    <t>INE326A01037</t>
  </si>
  <si>
    <t>Sundaram Clayton Ltd</t>
  </si>
  <si>
    <t>INE105A01035</t>
  </si>
  <si>
    <t>Gulf Oil Lubricants India Ltd</t>
  </si>
  <si>
    <t>INE635Q01029</t>
  </si>
  <si>
    <t>Industry Classification</t>
  </si>
  <si>
    <t>Finolex Industries Ltd</t>
  </si>
  <si>
    <t>INE183A01024</t>
  </si>
  <si>
    <t>National Aluminium Co Ltd</t>
  </si>
  <si>
    <t>INE139A01034</t>
  </si>
  <si>
    <t>Vardhman Textiles Ltd</t>
  </si>
  <si>
    <t>INE825A01012</t>
  </si>
  <si>
    <t>Textiles - Cotton</t>
  </si>
  <si>
    <t>Redington (India) Ltd</t>
  </si>
  <si>
    <t>INE891D01026</t>
  </si>
  <si>
    <t>Trading</t>
  </si>
  <si>
    <t>Tata Consumer Products Ltd</t>
  </si>
  <si>
    <t>INE192A01025</t>
  </si>
  <si>
    <t>Tata Chemicals Ltd</t>
  </si>
  <si>
    <t>INE092A01019</t>
  </si>
  <si>
    <t>Chemicals</t>
  </si>
  <si>
    <t>Cyient Ltd</t>
  </si>
  <si>
    <t>INE136B01020</t>
  </si>
  <si>
    <t>K.P.R. Mill Ltd</t>
  </si>
  <si>
    <t>INE930H01023</t>
  </si>
  <si>
    <t>NMDC Ltd</t>
  </si>
  <si>
    <t>INE584A01023</t>
  </si>
  <si>
    <t>Oil &amp; Natural Gas Corporation Ltd</t>
  </si>
  <si>
    <t>INE213A01029</t>
  </si>
  <si>
    <t>Oil</t>
  </si>
  <si>
    <t>Ashok Leyland Ltd</t>
  </si>
  <si>
    <t>INE208A01029</t>
  </si>
  <si>
    <t>CESC Ltd</t>
  </si>
  <si>
    <t>INE486A01013</t>
  </si>
  <si>
    <t>Foreign Equity Securities</t>
  </si>
  <si>
    <t>Unilever PLC, (ADR)</t>
  </si>
  <si>
    <t>US9047677045</t>
  </si>
  <si>
    <t>Xtep International Holdings Ltd</t>
  </si>
  <si>
    <t>KYG982771092</t>
  </si>
  <si>
    <t>Xinyi Solar Holdings Ltd</t>
  </si>
  <si>
    <t>KYG9829N1025</t>
  </si>
  <si>
    <t>Industrial Capital Goods</t>
  </si>
  <si>
    <t>Novatek Microelectronics Corp. Ltd</t>
  </si>
  <si>
    <t>TW0003034005</t>
  </si>
  <si>
    <t>Aramex PJSC</t>
  </si>
  <si>
    <t>AEA002301017</t>
  </si>
  <si>
    <t>Transportation</t>
  </si>
  <si>
    <t>Travelsky Technology Ltd, H</t>
  </si>
  <si>
    <t>CNE1000004J3</t>
  </si>
  <si>
    <t>Primax Electronics Ltd</t>
  </si>
  <si>
    <t>TW0004915004</t>
  </si>
  <si>
    <t>Hardware</t>
  </si>
  <si>
    <t>Info Edge (India) Ltd</t>
  </si>
  <si>
    <t>INE663F01024</t>
  </si>
  <si>
    <t>Zomato Ltd</t>
  </si>
  <si>
    <t>INE758T01015</t>
  </si>
  <si>
    <t>Larsen &amp; Toubro Infotech Ltd</t>
  </si>
  <si>
    <t>INE214T01019</t>
  </si>
  <si>
    <t>Affle India Ltd</t>
  </si>
  <si>
    <t>INE00WC01019</t>
  </si>
  <si>
    <t>Indiamart Intermesh Ltd</t>
  </si>
  <si>
    <t>INE933S01016</t>
  </si>
  <si>
    <t>Xelpmoc Design and Tech Ltd</t>
  </si>
  <si>
    <t>INE01P501012</t>
  </si>
  <si>
    <t>Makemytrip Ltd</t>
  </si>
  <si>
    <t>MU0295S00016</t>
  </si>
  <si>
    <t>Taiwan Semiconductor Manufacturing Co. Ltd</t>
  </si>
  <si>
    <t>TW0002330008</t>
  </si>
  <si>
    <t>Salesforce.Com Inc</t>
  </si>
  <si>
    <t>US79466L3024</t>
  </si>
  <si>
    <t xml:space="preserve">Software                                </t>
  </si>
  <si>
    <t>Nvidia Corp</t>
  </si>
  <si>
    <t>US67066G1040</t>
  </si>
  <si>
    <t>Mediatek Inc</t>
  </si>
  <si>
    <t>TW0002454006</t>
  </si>
  <si>
    <t>Qualcomm Inc.</t>
  </si>
  <si>
    <t>US7475251036</t>
  </si>
  <si>
    <t>Telecom -  Equipment &amp; Accessories</t>
  </si>
  <si>
    <t>Samsung Electronics Co. Ltd</t>
  </si>
  <si>
    <t>KR7005930003</t>
  </si>
  <si>
    <t>Amazon.com INC</t>
  </si>
  <si>
    <t>US0231351067</t>
  </si>
  <si>
    <t>Microsoft Corp</t>
  </si>
  <si>
    <t>US5949181045</t>
  </si>
  <si>
    <t>Intel Corp</t>
  </si>
  <si>
    <t>US4581401001</t>
  </si>
  <si>
    <t>Alphabet Inc</t>
  </si>
  <si>
    <t>US02079K3059</t>
  </si>
  <si>
    <t>Uber Technologies Inc</t>
  </si>
  <si>
    <t>US90353T1007</t>
  </si>
  <si>
    <t>Alibaba Group Holding Ltd</t>
  </si>
  <si>
    <t>KYG017191142</t>
  </si>
  <si>
    <t>Tencent Holdings Ltd</t>
  </si>
  <si>
    <t>KYG875721634</t>
  </si>
  <si>
    <t>Wix.Com Ltd</t>
  </si>
  <si>
    <t>IL0011301780</t>
  </si>
  <si>
    <t>Foreign Mutual Fund Units</t>
  </si>
  <si>
    <t>Franklin Technology Fund, Class I (Acc)</t>
  </si>
  <si>
    <t>LU0626261944</t>
  </si>
  <si>
    <t>Foreign Mutual Fund</t>
  </si>
  <si>
    <t>Deepak Nitrite Ltd</t>
  </si>
  <si>
    <t>INE288B01029</t>
  </si>
  <si>
    <t>Brigade Enterprises Ltd</t>
  </si>
  <si>
    <t>INE791I01019</t>
  </si>
  <si>
    <t>Construction</t>
  </si>
  <si>
    <t>CCL Products (India) Ltd</t>
  </si>
  <si>
    <t>INE421D01022</t>
  </si>
  <si>
    <t>J.B. Chemicals &amp; Pharmaceuticals Ltd</t>
  </si>
  <si>
    <t>INE572A01028</t>
  </si>
  <si>
    <t>Quess Corp Ltd</t>
  </si>
  <si>
    <t>INE615P01015</t>
  </si>
  <si>
    <t>Other Services</t>
  </si>
  <si>
    <t>KPIT Technologies Ltd</t>
  </si>
  <si>
    <t>INE04I401011</t>
  </si>
  <si>
    <t>KNR Constructions Ltd</t>
  </si>
  <si>
    <t>INE634I01029</t>
  </si>
  <si>
    <t>Jyothy Labs Ltd</t>
  </si>
  <si>
    <t>INE668F01031</t>
  </si>
  <si>
    <t>Carborundum Universal Ltd</t>
  </si>
  <si>
    <t>INE120A01034</t>
  </si>
  <si>
    <t>Sobha Ltd</t>
  </si>
  <si>
    <t>INE671H01015</t>
  </si>
  <si>
    <t>Teamlease Services Ltd</t>
  </si>
  <si>
    <t>INE985S01024</t>
  </si>
  <si>
    <t>Nesco Ltd</t>
  </si>
  <si>
    <t>INE317F01035</t>
  </si>
  <si>
    <t>GHCL Ltd</t>
  </si>
  <si>
    <t>INE539A01019</t>
  </si>
  <si>
    <t>Eris Lifesciences Ltd</t>
  </si>
  <si>
    <t>INE406M01024</t>
  </si>
  <si>
    <t>Tube Investments of India Ltd</t>
  </si>
  <si>
    <t>INE974X01010</t>
  </si>
  <si>
    <t>Blue Star Ltd</t>
  </si>
  <si>
    <t>INE472A01039</t>
  </si>
  <si>
    <t>Ahluwalia Contracts (India) Ltd</t>
  </si>
  <si>
    <t>INE758C01029</t>
  </si>
  <si>
    <t>DCB Bank Ltd</t>
  </si>
  <si>
    <t>INE503A01015</t>
  </si>
  <si>
    <t>Multi Commodity Exchange Of India Ltd</t>
  </si>
  <si>
    <t>INE745G01035</t>
  </si>
  <si>
    <t>Capital Markets</t>
  </si>
  <si>
    <t>Lemon Tree Hotels Ltd</t>
  </si>
  <si>
    <t>INE970X01018</t>
  </si>
  <si>
    <t>TTK Prestige Ltd</t>
  </si>
  <si>
    <t>INE690A01010</t>
  </si>
  <si>
    <t>Westlife Development Ltd</t>
  </si>
  <si>
    <t>INE274F01020</t>
  </si>
  <si>
    <t>M M Forgings Ltd</t>
  </si>
  <si>
    <t>INE227C01017</t>
  </si>
  <si>
    <t>V.I.P. Industries Ltd</t>
  </si>
  <si>
    <t>INE054A01027</t>
  </si>
  <si>
    <t>Karur Vysya Bank Ltd</t>
  </si>
  <si>
    <t>INE036D01028</t>
  </si>
  <si>
    <t>Equitas Small Finance Bank Ltd</t>
  </si>
  <si>
    <t>INE063P01018</t>
  </si>
  <si>
    <t>Cholamandalam Investment and Finance Co Ltd</t>
  </si>
  <si>
    <t>INE121A01024</t>
  </si>
  <si>
    <t>JK Lakshmi Cement Ltd</t>
  </si>
  <si>
    <t>INE786A01032</t>
  </si>
  <si>
    <t>TV Today Network Ltd</t>
  </si>
  <si>
    <t>INE038F01029</t>
  </si>
  <si>
    <t>Entertainment</t>
  </si>
  <si>
    <t>CARE Ratings Ltd</t>
  </si>
  <si>
    <t>INE752H01013</t>
  </si>
  <si>
    <t>Atul Ltd</t>
  </si>
  <si>
    <t>INE100A01010</t>
  </si>
  <si>
    <t>Mrs Bectors Food Specialities Ltd</t>
  </si>
  <si>
    <t>INE495P01012</t>
  </si>
  <si>
    <t>Metropolis Healthcare Ltd</t>
  </si>
  <si>
    <t>INE112L01020</t>
  </si>
  <si>
    <t>Healthcare Services</t>
  </si>
  <si>
    <t>HeidelbergCement India Ltd</t>
  </si>
  <si>
    <t>INE578A01017</t>
  </si>
  <si>
    <t>Ashoka Buildcon Ltd</t>
  </si>
  <si>
    <t>INE442H01029</t>
  </si>
  <si>
    <t>Techno Electric &amp; Engineering Co Ltd</t>
  </si>
  <si>
    <t>INE285K01026</t>
  </si>
  <si>
    <t>Shankara Building Products Ltd</t>
  </si>
  <si>
    <t>INE274V01019</t>
  </si>
  <si>
    <t>IDFC Ltd</t>
  </si>
  <si>
    <t>INE043D01016</t>
  </si>
  <si>
    <t>Music Broadcast Ltd</t>
  </si>
  <si>
    <t>INE919I01024</t>
  </si>
  <si>
    <t>Navneet Education Ltd</t>
  </si>
  <si>
    <t>INE060A01024</t>
  </si>
  <si>
    <t>Printing &amp; Publication</t>
  </si>
  <si>
    <t>Ion Exchange (India) Ltd</t>
  </si>
  <si>
    <t>INE570A01014</t>
  </si>
  <si>
    <t>G R Infraprojects Ltd</t>
  </si>
  <si>
    <t>INE201P01022</t>
  </si>
  <si>
    <t>Indoco Remedies Ltd</t>
  </si>
  <si>
    <t>INE873D01024</t>
  </si>
  <si>
    <t>Ramco Systems Ltd</t>
  </si>
  <si>
    <t>INE246B01019</t>
  </si>
  <si>
    <t>ABB Power Products &amp; Systems India Ltd</t>
  </si>
  <si>
    <t>INE07Y701011</t>
  </si>
  <si>
    <t>HT Media Ltd</t>
  </si>
  <si>
    <t>INE501G01024</t>
  </si>
  <si>
    <t>Media</t>
  </si>
  <si>
    <t>Crompton Greaves Consumer Electricals Ltd</t>
  </si>
  <si>
    <t>INE299U01018</t>
  </si>
  <si>
    <t>Mphasis Ltd</t>
  </si>
  <si>
    <t>INE356A01018</t>
  </si>
  <si>
    <t>Apollo Hospitals Enterprise Ltd</t>
  </si>
  <si>
    <t>INE437A01024</t>
  </si>
  <si>
    <t>The Ramco Cements Ltd</t>
  </si>
  <si>
    <t>INE331A01037</t>
  </si>
  <si>
    <t>IPCA Laboratories Ltd</t>
  </si>
  <si>
    <t>INE571A01020</t>
  </si>
  <si>
    <t>Emami Ltd</t>
  </si>
  <si>
    <t>INE548C01032</t>
  </si>
  <si>
    <t>Oberoi Realty Ltd</t>
  </si>
  <si>
    <t>INE093I01010</t>
  </si>
  <si>
    <t>Trent Ltd</t>
  </si>
  <si>
    <t>INE849A01020</t>
  </si>
  <si>
    <t>J.K. Cement Ltd</t>
  </si>
  <si>
    <t>INE823G01014</t>
  </si>
  <si>
    <t>Sundaram Finance Ltd</t>
  </si>
  <si>
    <t>INE660A01013</t>
  </si>
  <si>
    <t>Sundram Fasteners Ltd</t>
  </si>
  <si>
    <t>INE387A01021</t>
  </si>
  <si>
    <t>Container Corporation Of India Ltd</t>
  </si>
  <si>
    <t>INE111A01025</t>
  </si>
  <si>
    <t>Coromandel International Ltd</t>
  </si>
  <si>
    <t>INE169A01031</t>
  </si>
  <si>
    <t>Fertilisers</t>
  </si>
  <si>
    <t>Apollo Tyres Ltd</t>
  </si>
  <si>
    <t>INE438A01022</t>
  </si>
  <si>
    <t>Escorts Ltd</t>
  </si>
  <si>
    <t>INE042A01014</t>
  </si>
  <si>
    <t>PI Industries Ltd</t>
  </si>
  <si>
    <t>INE603J01030</t>
  </si>
  <si>
    <t>Pesticides</t>
  </si>
  <si>
    <t>Chemplast Sanmar Ltd</t>
  </si>
  <si>
    <t>INE488A01050</t>
  </si>
  <si>
    <t>Kajaria Ceramics Ltd</t>
  </si>
  <si>
    <t>INE217B01036</t>
  </si>
  <si>
    <t>Aarti Industries Ltd</t>
  </si>
  <si>
    <t>INE769A01020</t>
  </si>
  <si>
    <t>Persistent Systems Ltd</t>
  </si>
  <si>
    <t>INE262H01013</t>
  </si>
  <si>
    <t>Bata India Ltd</t>
  </si>
  <si>
    <t>INE176A01028</t>
  </si>
  <si>
    <t>Phoenix Mills Ltd</t>
  </si>
  <si>
    <t>INE211B01039</t>
  </si>
  <si>
    <t>AIA Engineering Ltd</t>
  </si>
  <si>
    <t>INE212H01026</t>
  </si>
  <si>
    <t>EPL Ltd</t>
  </si>
  <si>
    <t>INE255A01020</t>
  </si>
  <si>
    <t>* Less than 0.01%</t>
  </si>
  <si>
    <t>Asian Paints Ltd</t>
  </si>
  <si>
    <t>INE021A01026</t>
  </si>
  <si>
    <t>GTPL Hathway Ltd</t>
  </si>
  <si>
    <t>INE869I01013</t>
  </si>
  <si>
    <t>Caplin Point Laboratories Ltd</t>
  </si>
  <si>
    <t>INE475E01026</t>
  </si>
  <si>
    <t>Ujjivan Financial Services Ltd</t>
  </si>
  <si>
    <t>INE334L01012</t>
  </si>
  <si>
    <t>INE696201123</t>
  </si>
  <si>
    <t>Cipla Ltd</t>
  </si>
  <si>
    <t>INE059A01026</t>
  </si>
  <si>
    <t>Interglobe Aviation Ltd</t>
  </si>
  <si>
    <t>INE646L01027</t>
  </si>
  <si>
    <t>KEI Industries Ltd</t>
  </si>
  <si>
    <t>INE878B01027</t>
  </si>
  <si>
    <t>SBI Life Insurance Co Ltd</t>
  </si>
  <si>
    <t>INE123W01016</t>
  </si>
  <si>
    <t>Insurance</t>
  </si>
  <si>
    <t>Orient Cement Ltd</t>
  </si>
  <si>
    <t>INE876N01018</t>
  </si>
  <si>
    <t>ITD Cementation India Ltd</t>
  </si>
  <si>
    <t>INE686A01026</t>
  </si>
  <si>
    <t>Somany Ceramics Ltd</t>
  </si>
  <si>
    <t>INE355A01028</t>
  </si>
  <si>
    <t>Marico Ltd</t>
  </si>
  <si>
    <t>INE196A01026</t>
  </si>
  <si>
    <t>Sun Pharmaceutical Industries Ltd</t>
  </si>
  <si>
    <t>INE044A01036</t>
  </si>
  <si>
    <t>Aditya Birla Capital Ltd</t>
  </si>
  <si>
    <t>INE674K01013</t>
  </si>
  <si>
    <t>SKF India Ltd</t>
  </si>
  <si>
    <t>INE640A01023</t>
  </si>
  <si>
    <t>Arvind Fashions Ltd</t>
  </si>
  <si>
    <t>INE955V01021</t>
  </si>
  <si>
    <t>SBI Cards and Payment Services Ltd</t>
  </si>
  <si>
    <t>INE018E01016</t>
  </si>
  <si>
    <t>IndusInd Bank Ltd</t>
  </si>
  <si>
    <t>INE095A01012</t>
  </si>
  <si>
    <t>Abbott India Ltd</t>
  </si>
  <si>
    <t>INE358A01014</t>
  </si>
  <si>
    <t>Ultratech Cement Ltd</t>
  </si>
  <si>
    <t>INE481G01011</t>
  </si>
  <si>
    <t>Ambuja Cements Ltd</t>
  </si>
  <si>
    <t>INE079A01024</t>
  </si>
  <si>
    <t>Puravankara Ltd</t>
  </si>
  <si>
    <t>INE323I01011</t>
  </si>
  <si>
    <t>NRB Bearings Ltd</t>
  </si>
  <si>
    <t>INE349A01021</t>
  </si>
  <si>
    <t>Gujarat Pipavav Port Ltd</t>
  </si>
  <si>
    <t>INE517F01014</t>
  </si>
  <si>
    <t>Gateway Distriparks Ltd</t>
  </si>
  <si>
    <t>INE852F01015</t>
  </si>
  <si>
    <t>The New India Assurance Co Ltd</t>
  </si>
  <si>
    <t>INE470Y01017</t>
  </si>
  <si>
    <t>Godrej Properties Ltd</t>
  </si>
  <si>
    <t>INE484J01027</t>
  </si>
  <si>
    <t>Motilal Oswal Financial Services Ltd</t>
  </si>
  <si>
    <t>INE338I01027</t>
  </si>
  <si>
    <t>AIA Group Ltd</t>
  </si>
  <si>
    <t>HK0000069689</t>
  </si>
  <si>
    <t>Naver Corp</t>
  </si>
  <si>
    <t>KR7035420009</t>
  </si>
  <si>
    <t>China Merchants Bank Co Ltd</t>
  </si>
  <si>
    <t>CNE1000002M1</t>
  </si>
  <si>
    <t>Bank Central Asia Tbk Pt</t>
  </si>
  <si>
    <t>ID1000109507</t>
  </si>
  <si>
    <t>JD.Com Inc</t>
  </si>
  <si>
    <t>KYG8208B1014</t>
  </si>
  <si>
    <t>China Mengniu Dairy Co. Ltd</t>
  </si>
  <si>
    <t>KYG210961051</t>
  </si>
  <si>
    <t>Techtronic Industries Co. Ltd</t>
  </si>
  <si>
    <t>HK0669013440</t>
  </si>
  <si>
    <t>SK Hynix Inc</t>
  </si>
  <si>
    <t>KR7000660001</t>
  </si>
  <si>
    <t>Ping An Insurance (Group) Co. Of China Ltd, H</t>
  </si>
  <si>
    <t>CNE1000003X6</t>
  </si>
  <si>
    <t>Sea Ltd (ADR)</t>
  </si>
  <si>
    <t>US81141R1005</t>
  </si>
  <si>
    <t>Midea Group Co Ltd</t>
  </si>
  <si>
    <t>CNE100001QQ5</t>
  </si>
  <si>
    <t>Longi Green Energy Technology Co Ltd</t>
  </si>
  <si>
    <t>CNE100001FR6</t>
  </si>
  <si>
    <t>LG Chem Ltd</t>
  </si>
  <si>
    <t>KR7051910008</t>
  </si>
  <si>
    <t>Hua Hong Semiconductor Ltd</t>
  </si>
  <si>
    <t>HK0000218211</t>
  </si>
  <si>
    <t>China Resources Land Ltd</t>
  </si>
  <si>
    <t>KYG2108Y1052</t>
  </si>
  <si>
    <t>Meituan Dianping</t>
  </si>
  <si>
    <t>KYG596691041</t>
  </si>
  <si>
    <t>Kweichow Moutai Co. Ltd, A</t>
  </si>
  <si>
    <t>CNE0000018R8</t>
  </si>
  <si>
    <t>Semen Indonesia (Persero) Tbk PT</t>
  </si>
  <si>
    <t>ID1000106800</t>
  </si>
  <si>
    <t>Yum China Holdings INC</t>
  </si>
  <si>
    <t>US98850P1093</t>
  </si>
  <si>
    <t>Country Garden Services Holdings Co Ltd</t>
  </si>
  <si>
    <t>KYG2453A1085</t>
  </si>
  <si>
    <t>DBS Group Holdings Ltd</t>
  </si>
  <si>
    <t>SG1L01001701</t>
  </si>
  <si>
    <t>Guangzhou Tinci Materials Technology Co Ltd</t>
  </si>
  <si>
    <t>CNE100001RG4</t>
  </si>
  <si>
    <t>Budweiser Brewing Co APAC Ltd</t>
  </si>
  <si>
    <t>KYG1674K1013</t>
  </si>
  <si>
    <t>Beijing Oriental Yuhong Waterproof Technology Co Ltd</t>
  </si>
  <si>
    <t>CNE100000CS3</t>
  </si>
  <si>
    <t>Engineering Services</t>
  </si>
  <si>
    <t>Indocement Tunggal Prakarsa Tbk Pt</t>
  </si>
  <si>
    <t>ID1000061302</t>
  </si>
  <si>
    <t>SM Investments Corp</t>
  </si>
  <si>
    <t>PHY806761029</t>
  </si>
  <si>
    <t>The Siam Cement PCL, Fgn.</t>
  </si>
  <si>
    <t>TH0003010Z12</t>
  </si>
  <si>
    <t>Minor International Pcl, Fgn.</t>
  </si>
  <si>
    <t>TH0128B10Z17</t>
  </si>
  <si>
    <t>Hotels/ Resorts And Other Recreational Activities</t>
  </si>
  <si>
    <t>Weichai Power Co Ltd</t>
  </si>
  <si>
    <t>CNE1000004L9</t>
  </si>
  <si>
    <t>China Resources Cement Holdings Ltd</t>
  </si>
  <si>
    <t>KYG2113L1068</t>
  </si>
  <si>
    <t>Trip.Com Group Ltd, (ADR)</t>
  </si>
  <si>
    <t>US89677Q1076</t>
  </si>
  <si>
    <t>L&amp;F Co Ltd</t>
  </si>
  <si>
    <t>KR7066970005</t>
  </si>
  <si>
    <t>ACE Hardware Indonesia Tbk Pt</t>
  </si>
  <si>
    <t>ID1000125503</t>
  </si>
  <si>
    <t>Will Semiconductor Co Ltd</t>
  </si>
  <si>
    <t>CNE100002XM8</t>
  </si>
  <si>
    <t>Bangkok Dusit Medical Services Pcl</t>
  </si>
  <si>
    <t>TH0264A10Z12</t>
  </si>
  <si>
    <t>Alibaba Health Information Technology Ltd</t>
  </si>
  <si>
    <t>BMG0171K1018</t>
  </si>
  <si>
    <t>Laobaixing Pharmacy Chain Jsc</t>
  </si>
  <si>
    <t>CNE1000023Q8</t>
  </si>
  <si>
    <t>China Resources Mixc Lifestyle Services Ltd</t>
  </si>
  <si>
    <t>KYG2122G1064</t>
  </si>
  <si>
    <t>Minor International PCL- Warrants (31-July-2023)</t>
  </si>
  <si>
    <t>TH0128053707</t>
  </si>
  <si>
    <t>TH0128053509</t>
  </si>
  <si>
    <t>TH0128054200</t>
  </si>
  <si>
    <t>Minor International PCL- Warrants (30-Sep-2021)</t>
  </si>
  <si>
    <t>TH0128051909</t>
  </si>
  <si>
    <t>Reliance Industries Ltd</t>
  </si>
  <si>
    <t>INE002A01018</t>
  </si>
  <si>
    <t>Bajaj Finance Ltd</t>
  </si>
  <si>
    <t>INE296A01024</t>
  </si>
  <si>
    <t>Tata Steel Ltd</t>
  </si>
  <si>
    <t>INE081A01012</t>
  </si>
  <si>
    <t>Ferrous Metals</t>
  </si>
  <si>
    <t>Bajaj Finserv Ltd</t>
  </si>
  <si>
    <t>INE918I01018</t>
  </si>
  <si>
    <t>Wipro Ltd</t>
  </si>
  <si>
    <t>INE075A01022</t>
  </si>
  <si>
    <t>JSW Steel Ltd</t>
  </si>
  <si>
    <t>INE019A01038</t>
  </si>
  <si>
    <t>Divi's Laboratories Ltd</t>
  </si>
  <si>
    <t>INE361B01024</t>
  </si>
  <si>
    <t>HDFC Life Insurance Co Ltd</t>
  </si>
  <si>
    <t>INE795G01014</t>
  </si>
  <si>
    <t>Adani Ports and Special Economic Zone Ltd</t>
  </si>
  <si>
    <t>INE742F01042</t>
  </si>
  <si>
    <t>Britannia Industries Ltd</t>
  </si>
  <si>
    <t>INE216A01030</t>
  </si>
  <si>
    <t>UPL Ltd</t>
  </si>
  <si>
    <t>INE628A01036</t>
  </si>
  <si>
    <t>Eicher Motors Ltd</t>
  </si>
  <si>
    <t>INE066A01021</t>
  </si>
  <si>
    <t>Shree Cement Ltd</t>
  </si>
  <si>
    <t>INE070A01015</t>
  </si>
  <si>
    <t>Hero MotoCorp Ltd</t>
  </si>
  <si>
    <t>INE158A01026</t>
  </si>
  <si>
    <t>Yes Bank Ltd</t>
  </si>
  <si>
    <t>INE528G01035</t>
  </si>
  <si>
    <t>Prestige Estates Projects Ltd</t>
  </si>
  <si>
    <t>INE811K01011</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</si>
  <si>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</si>
  <si>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</si>
  <si>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</si>
  <si>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</si>
  <si>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</si>
  <si>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</si>
  <si>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</si>
  <si>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</si>
  <si>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Liquid Fund Direct-Growth Plan</t>
  </si>
  <si>
    <t>INF090I01JV2</t>
  </si>
  <si>
    <t>INF090I01GK1</t>
  </si>
  <si>
    <t>Franklin India Short Term Income Plan-Segregated Portfolio 3- 9.50% Yes Bank Ltd CO 23Dec21-Direct-Growth Plan</t>
  </si>
  <si>
    <t>INF090I01VS3</t>
  </si>
  <si>
    <t>Franklin India Short Term Income Plan - Segregated Portfolio 2 - 10.90% Vodafone Idea Ltd 02 Sep 2023 - Direct - Growth Plan</t>
  </si>
  <si>
    <t>INF090I01UY3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</si>
  <si>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</si>
  <si>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</si>
  <si>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</si>
  <si>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</si>
  <si>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</si>
  <si>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</si>
  <si>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</si>
  <si>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</si>
  <si>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</si>
  <si>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Franklin India Dynamic Accrual Fund- Segregated Portfolio 3- 9.50% Yes Bank Ltd CO 23Dec21-Direct-Growth Plan</t>
  </si>
  <si>
    <t>INF090I01WD3</t>
  </si>
  <si>
    <t>Franklin India Dynamic Accrual Fund - Segregated Portfolio 2 - 10.90% Vodafone Idea Ltd 02 Sep 2023 - Direct - Growth Plan</t>
  </si>
  <si>
    <t>INF090I01TX7</t>
  </si>
  <si>
    <t>Franklin India Prima Fund Direct-Growth Plan</t>
  </si>
  <si>
    <t>INF090I01FH9</t>
  </si>
  <si>
    <t>Franklin India Flexi Cap Fund-Direct Growth Plan (Formerly known as Franklin India Equity Fund)</t>
  </si>
  <si>
    <t>INF090I01FK3</t>
  </si>
  <si>
    <t>(c) Units of Infrastructure Investment Trust</t>
  </si>
  <si>
    <t>(d) Units of Infrastructure Investment Trust</t>
  </si>
  <si>
    <t>^^ Securities are fair valued</t>
  </si>
  <si>
    <t>https://www.franklintempletonindia.com/investor/reports?firstFilter-4</t>
  </si>
  <si>
    <t>Franklin India Short-Term Income Plan (No. of Segregated Portfolios in the Scheme- 3) - (under winding up) Direct-Growth Plan ^^ $$$</t>
  </si>
  <si>
    <t>^^ Securities are fair Valued</t>
  </si>
  <si>
    <t>$$$ This scheme is under winding-up and SBI Funds Management Private Limited has been appointed as the liquidator as per the order of Hon'ble Supreme Court dated February 12, 2021.</t>
  </si>
  <si>
    <t>Franklin India Dynamic Accrual Fund (No. of Segregated Portfolios in the Scheme- 3) - (under winding up) Direct-Growth Plan ^^ $$$</t>
  </si>
  <si>
    <t>% to Net Assets Derivative</t>
  </si>
  <si>
    <t>% to Net Assets(Hedged &amp; Unhedged)</t>
  </si>
  <si>
    <t>d) Outstanding derivative exposure as % to net assets</t>
  </si>
  <si>
    <t>Rs. 3,973.05 Lacs</t>
  </si>
  <si>
    <t>e) Portfolio Turnover Ratio during the Half - year 31-Aug-2021</t>
  </si>
  <si>
    <t>f) Average Maturity as on 31-Aug-2021</t>
  </si>
  <si>
    <t xml:space="preserve">g) During the month additional instances of fair valuation/deviation from valuation price provided by the valuation agencies </t>
  </si>
  <si>
    <t xml:space="preserve">h) For product labeling and risk-o-meter refer the link below </t>
  </si>
  <si>
    <t>Globsyn Technologies Ltd ** ^^</t>
  </si>
  <si>
    <t>Numero Uno International Ltd ** ^^</t>
  </si>
  <si>
    <t>Brillio Technologies Pvt Ltd ** ^^</t>
  </si>
  <si>
    <t>Quantum Information Services ** ^^</t>
  </si>
  <si>
    <t>Chennai Interactive Business Services Pvt Ltd **  ^^</t>
  </si>
  <si>
    <t>Quantum Information Systems ** ^^</t>
  </si>
  <si>
    <t>Franklin India Feeder - Templeton European Opportunities Fund</t>
  </si>
  <si>
    <t>Franklin India Liquid Fund</t>
  </si>
  <si>
    <t>Rating</t>
  </si>
  <si>
    <t>INE134E08IM4</t>
  </si>
  <si>
    <t>7.40% Power Finance Corporation Ltd (30-Sep-2021)</t>
  </si>
  <si>
    <t>INE001A07RY1</t>
  </si>
  <si>
    <t>7.15% Housing Development Finance Corporation Ltd (16-Sep-2021) **</t>
  </si>
  <si>
    <t>INE134E08IJ0</t>
  </si>
  <si>
    <t>7.47% Power Finance Corporation Ltd (16-Sep-2021) **</t>
  </si>
  <si>
    <t>INE002A14IH9</t>
  </si>
  <si>
    <t>Reliance Industries Ltd (29-Sep-2021) **@</t>
  </si>
  <si>
    <t>INE053F14211</t>
  </si>
  <si>
    <t>Indian Railway Finance Corporation Ltd (22-Oct-2021) **@</t>
  </si>
  <si>
    <t>INE110L14PQ3</t>
  </si>
  <si>
    <t>Reliance Jio Infocomm Ltd (10-Nov-2021) **@</t>
  </si>
  <si>
    <t>INE916D140D0</t>
  </si>
  <si>
    <t>Kotak Mahindra Prime Ltd (30-Nov-2021)@</t>
  </si>
  <si>
    <t>INE589A14330</t>
  </si>
  <si>
    <t>NLC India Ltd (23-Sep-2021) **@</t>
  </si>
  <si>
    <t>CARE A1+</t>
  </si>
  <si>
    <t>INE763G14KF3</t>
  </si>
  <si>
    <t>ICICI Securities Ltd (01-Sep-2021) **@</t>
  </si>
  <si>
    <t>INE929O14271</t>
  </si>
  <si>
    <t>Reliance Retail Ventures Ltd (01-Sep-2021) **@</t>
  </si>
  <si>
    <t>INE178A14GV2</t>
  </si>
  <si>
    <t>Chennai Petroleum Corporation Ltd (18-Oct-2021) **@</t>
  </si>
  <si>
    <t>INE028E14IO2</t>
  </si>
  <si>
    <t>Kotak Securities Ltd (21-Oct-2021) **@</t>
  </si>
  <si>
    <t>INE242A14UM6</t>
  </si>
  <si>
    <t>Indian Oil Corporation Ltd (13-Sep-2021) **@</t>
  </si>
  <si>
    <t>INE178A14GT6</t>
  </si>
  <si>
    <t>Chennai Petroleum Corporation Ltd (17-Sep-2021) **@</t>
  </si>
  <si>
    <t>Treasury Bill</t>
  </si>
  <si>
    <t>IN002021X090</t>
  </si>
  <si>
    <t>91 DTB (02-Sep-2021)</t>
  </si>
  <si>
    <t>IN002021X116</t>
  </si>
  <si>
    <t>91 DTB (16-Sep-2021)</t>
  </si>
  <si>
    <t>IN002021X157</t>
  </si>
  <si>
    <t>91 DTB (14-Oct-2021)</t>
  </si>
  <si>
    <t>IN002021X140</t>
  </si>
  <si>
    <t>91 DTB (07-Oct-2021)</t>
  </si>
  <si>
    <t>IN002021Y072</t>
  </si>
  <si>
    <t>182 DTB (18-Nov-2021)</t>
  </si>
  <si>
    <t>IN002021Y080</t>
  </si>
  <si>
    <t>182 DTB (25-Nov-2021)</t>
  </si>
  <si>
    <t>IN002021X132</t>
  </si>
  <si>
    <t>91 DTB (30-Sep-2021)</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</si>
  <si>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</si>
  <si>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</si>
  <si>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</si>
  <si>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</si>
  <si>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</si>
  <si>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</si>
  <si>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</si>
  <si>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</si>
  <si>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</si>
  <si>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</si>
  <si>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</si>
  <si>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</si>
  <si>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</si>
  <si>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</si>
  <si>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</si>
  <si>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31-Aug-2021</t>
  </si>
  <si>
    <t>Franklin India Overnight Fund</t>
  </si>
  <si>
    <t xml:space="preserve">      Daily IDCW Plan</t>
  </si>
  <si>
    <t xml:space="preserve">      Weekly IDCW Plan</t>
  </si>
  <si>
    <t xml:space="preserve">      Direct Daily IDCW Plan</t>
  </si>
  <si>
    <t xml:space="preserve">      Direct Weekly IDCW Plan</t>
  </si>
  <si>
    <t>Franklin India Savings Fund</t>
  </si>
  <si>
    <t>INE238A164V6</t>
  </si>
  <si>
    <t>Axis Bank Ltd (MIBOR+30 Bps ) (23-Dec-2021) **</t>
  </si>
  <si>
    <t>INE514E16BV6</t>
  </si>
  <si>
    <t>Export-Import Bank Of India (14-Dec-2021) **</t>
  </si>
  <si>
    <t>INE237A164M6</t>
  </si>
  <si>
    <t>Kotak Mahindra Bank Ltd (25-Feb-2022) **</t>
  </si>
  <si>
    <t>INE556F16853</t>
  </si>
  <si>
    <t>Small Industries Development Bank of India (18-Mar-2022) **</t>
  </si>
  <si>
    <t>INE261F16587</t>
  </si>
  <si>
    <t>National Bank For Agriculture &amp; Rural Development (08-Feb-2022) **</t>
  </si>
  <si>
    <t>INE261F16603</t>
  </si>
  <si>
    <t>National Bank For Agriculture &amp; Rural Development (24-Feb-2022) **</t>
  </si>
  <si>
    <t>INE027E14KT9</t>
  </si>
  <si>
    <t>L&amp;T Finance Ltd (28-Jan-2022) **@</t>
  </si>
  <si>
    <t>INE377Y14801</t>
  </si>
  <si>
    <t>Bajaj Housing Finance Ltd (24-Feb-2022) **@</t>
  </si>
  <si>
    <t>INE916D14Y56</t>
  </si>
  <si>
    <t>Kotak Mahindra Prime Ltd (15-Apr-2022) **@</t>
  </si>
  <si>
    <t>INE763G14KK3</t>
  </si>
  <si>
    <t>ICICI Securities Ltd (25-Mar-2022) **@</t>
  </si>
  <si>
    <t>INE296A14RI6</t>
  </si>
  <si>
    <t>Bajaj Finance Ltd (16-Feb-2022) **@</t>
  </si>
  <si>
    <t>INE121A14TH4</t>
  </si>
  <si>
    <t>Cholamandalam Investment and Finance Co Ltd (14-Mar-2022) **@</t>
  </si>
  <si>
    <t>IN002020Z527</t>
  </si>
  <si>
    <t>364 DTB (30-Mar-2022)</t>
  </si>
  <si>
    <t>IN002021Y122</t>
  </si>
  <si>
    <t>182 DTB (23-Dec-2021)</t>
  </si>
  <si>
    <t>IN002021Y130</t>
  </si>
  <si>
    <t>182 DTB (30-Dec-2021)</t>
  </si>
  <si>
    <t>IN002020Z519</t>
  </si>
  <si>
    <t>364 DTB (24-Mar-2022)</t>
  </si>
  <si>
    <t>IN0020060037</t>
  </si>
  <si>
    <t>8.20% GOI 2022 (15-Feb-2022)</t>
  </si>
  <si>
    <t>IN0020110030</t>
  </si>
  <si>
    <t>8.79% GOI 2021 (08-Nov-2021)</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</si>
  <si>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</si>
  <si>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</si>
  <si>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</si>
  <si>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</si>
  <si>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</si>
  <si>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</si>
  <si>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</si>
  <si>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</si>
  <si>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Franklin India Floating Rate Fund</t>
  </si>
  <si>
    <t>INE261F08BQ8</t>
  </si>
  <si>
    <t>6.70% National Bank For Agriculture &amp; Rural Development (11-Nov-2022) **</t>
  </si>
  <si>
    <t>INE831R07268</t>
  </si>
  <si>
    <t>Aditya Birla Housing Finance Ltd (364DTB +250 Bps) (17-Feb-2023) **</t>
  </si>
  <si>
    <t>ICRA AAA</t>
  </si>
  <si>
    <t>INE651J07739</t>
  </si>
  <si>
    <t>JM Financial Credit Solutions Ltd (1Y SBI MCLR + 460 Bps) (23-Jul-2024) **</t>
  </si>
  <si>
    <t>ICRA AA</t>
  </si>
  <si>
    <t>INE514E14PS7</t>
  </si>
  <si>
    <t>Export-Import Bank Of India (30-Dec-2021) **@</t>
  </si>
  <si>
    <t>INE115A14DE7</t>
  </si>
  <si>
    <t>LIC Housing Finance Ltd (07-Jul-2022) **@</t>
  </si>
  <si>
    <t>IN0020160084</t>
  </si>
  <si>
    <t>GOI FRB 2024 (07-Nov-2024)</t>
  </si>
  <si>
    <t>IN0020200120</t>
  </si>
  <si>
    <t>GOI FRB 2033 (22-Sep-2033)</t>
  </si>
  <si>
    <t>IN0020180041</t>
  </si>
  <si>
    <t>GOI FRB 2031 (07-Dec-2031)</t>
  </si>
  <si>
    <t>IN0020020072</t>
  </si>
  <si>
    <t>8.35% GOI 2022 (14-May-2022)</t>
  </si>
  <si>
    <t>IN0020200211</t>
  </si>
  <si>
    <t>4.48% GOI 2023 (02-Nov-2023)</t>
  </si>
  <si>
    <t>IN0020160050</t>
  </si>
  <si>
    <t>6.84% GOI 2022 (19-Dec-2022)</t>
  </si>
  <si>
    <t>Franklin India Corporate Debt Fund</t>
  </si>
  <si>
    <t>INE861G08019</t>
  </si>
  <si>
    <t>8.62% Food Corporation Of India (22-Mar-2023) **</t>
  </si>
  <si>
    <t>ICRA AAA(CE)</t>
  </si>
  <si>
    <t>INE941D07133</t>
  </si>
  <si>
    <t>8.45% Sikka Ports &amp; Terminals Ltd (12-Jun-2023)</t>
  </si>
  <si>
    <t>INE001A07SL6</t>
  </si>
  <si>
    <t>7.06% Housing Development Finance Corporation Ltd (13-Dec-2021) **</t>
  </si>
  <si>
    <t>INE163N08065</t>
  </si>
  <si>
    <t>8.60% ONGC Petro Additions Ltd (11-Mar-2022) **</t>
  </si>
  <si>
    <t>CARE AAA(CE)</t>
  </si>
  <si>
    <t>INE163N08073</t>
  </si>
  <si>
    <t>8.85% ONGC Petro Additions Ltd (19-Apr-2022) **</t>
  </si>
  <si>
    <t>INE020B08CM4</t>
  </si>
  <si>
    <t>6.99% REC Ltd (30-Sep-2024) **</t>
  </si>
  <si>
    <t>INE134E08JC3</t>
  </si>
  <si>
    <t>7.44% Power Finance Corporation Ltd (11-Jun-2027) **</t>
  </si>
  <si>
    <t>INE020B08AM8</t>
  </si>
  <si>
    <t>7.09% REC Ltd (17-Oct-2022) **</t>
  </si>
  <si>
    <t>INE053F07CC9</t>
  </si>
  <si>
    <t>6.19% Indian Railway Finance Corporation Ltd (28-Apr-2023) **</t>
  </si>
  <si>
    <t>INE261F08BI5</t>
  </si>
  <si>
    <t>7.90% National Bank For Agriculture &amp; Rural Development (18-Apr-2022) **</t>
  </si>
  <si>
    <t>INE557F08FJ5</t>
  </si>
  <si>
    <t>5.80% National Housing Bank (15-May-2023) **</t>
  </si>
  <si>
    <t>INE906B07FG1</t>
  </si>
  <si>
    <t>7.60% National Highways Authority Of India (18-Mar-2022) **</t>
  </si>
  <si>
    <t>INE242A08460</t>
  </si>
  <si>
    <t>5.05% Indian Oil Corporation Ltd (25-Nov-2022)</t>
  </si>
  <si>
    <t>INE115A07NM3</t>
  </si>
  <si>
    <t>0.00% LIC Housing Finance Ltd (25-Feb-2022) **</t>
  </si>
  <si>
    <t>INE094A08036</t>
  </si>
  <si>
    <t>7.00% Hindustan Petroleum Corporation Ltd (14-Aug-2024) **</t>
  </si>
  <si>
    <t>INE848E07989</t>
  </si>
  <si>
    <t>7.52% NHPC Ltd (06-Jun-2023) **</t>
  </si>
  <si>
    <t>CARE AAA</t>
  </si>
  <si>
    <t>INE906B07FE6</t>
  </si>
  <si>
    <t>7.17% National Highways Authority Of India (23-Dec-2021)</t>
  </si>
  <si>
    <t>INE295J08022</t>
  </si>
  <si>
    <t>9.90% Coastal Gujarat Power Ltd (25-Aug-2028) **</t>
  </si>
  <si>
    <t>CARE AA(CE)</t>
  </si>
  <si>
    <t>INE053F07BB3</t>
  </si>
  <si>
    <t>8.25% Indian Railway Finance Corporation Ltd (28-Feb-2024) **</t>
  </si>
  <si>
    <t>INE115A07PA3</t>
  </si>
  <si>
    <t>5.23% LIC Housing Finance Ltd (26-Jul-2023) **</t>
  </si>
  <si>
    <t>INE020B08930</t>
  </si>
  <si>
    <t>8.30% REC Ltd (10-Apr-2025) **</t>
  </si>
  <si>
    <t>INE134E08KH0</t>
  </si>
  <si>
    <t>7.42% Power Finance Corporation Ltd (19-Nov-2024) **</t>
  </si>
  <si>
    <t>INE134E08KN8</t>
  </si>
  <si>
    <t>6.98% Power Finance Corporation Ltd (20-Apr-2023) **</t>
  </si>
  <si>
    <t>INE721A08DC8</t>
  </si>
  <si>
    <t>10.25% Shriram Transport Finance Co Ltd (26-Apr-2024)</t>
  </si>
  <si>
    <t>CRISIL AA+</t>
  </si>
  <si>
    <t>INE261F08AI7</t>
  </si>
  <si>
    <t>8.60% National Bank For Agriculture &amp; Rural Development (31-Jan-2022) **</t>
  </si>
  <si>
    <t>INE134E08JW1</t>
  </si>
  <si>
    <t>8.18% Power Finance Corporation Ltd (19-Mar-2022) **</t>
  </si>
  <si>
    <t>INE134E08JY7</t>
  </si>
  <si>
    <t>9.25% Power Finance Corporation Ltd (25-Sep-2024) **</t>
  </si>
  <si>
    <t>INE115A07NW2</t>
  </si>
  <si>
    <t>0.00% LIC Housing Finance Ltd (04-May-2022) **</t>
  </si>
  <si>
    <t>INE556F08JI1</t>
  </si>
  <si>
    <t>8.81% Small Industries Development Bank Of India (25-Jan-2022) **</t>
  </si>
  <si>
    <t>INE756I07CD9</t>
  </si>
  <si>
    <t>0.00% HDB Financial Services Ltd (29-Oct-2021) **</t>
  </si>
  <si>
    <t>INE752E07MZ9</t>
  </si>
  <si>
    <t>8.40% Power Grid Corporation of India Ltd (14-Sep-2021) **</t>
  </si>
  <si>
    <t>INE860H07GE0</t>
  </si>
  <si>
    <t>0.00% Aditya Birla Finance Ltd (08-Apr-2022) **</t>
  </si>
  <si>
    <t>INE029A07075</t>
  </si>
  <si>
    <t>7.35% Bharat Petroleum Corporation Ltd (10-Mar-2022) **</t>
  </si>
  <si>
    <t>INE053F07942</t>
  </si>
  <si>
    <t>6.70% Indian Railway Finance Corporation Ltd (24-Nov-2021) **</t>
  </si>
  <si>
    <t>INE238A162W8</t>
  </si>
  <si>
    <t>Axis Bank Ltd (11-May-2022)</t>
  </si>
  <si>
    <t>IN0020180025</t>
  </si>
  <si>
    <t>7.37% GOI 2023 (16-Apr-2023)</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</si>
  <si>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</si>
  <si>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</si>
  <si>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</si>
  <si>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</si>
  <si>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</si>
  <si>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</si>
  <si>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Franklin India Banking &amp; PSU Debt Fund</t>
  </si>
  <si>
    <t>INE031A08756</t>
  </si>
  <si>
    <t>6.99% Housing &amp; Urban Development Corporation Ltd (11-Nov-2022) **</t>
  </si>
  <si>
    <t>IND AAA</t>
  </si>
  <si>
    <t>INE020B08997</t>
  </si>
  <si>
    <t>7.24% REC Ltd (21-Oct-2021)</t>
  </si>
  <si>
    <t>INE556F08JM3</t>
  </si>
  <si>
    <t>7.29% Small Industries Development Bank Of India (01-Aug-2022) **</t>
  </si>
  <si>
    <t>INE733E07JO9</t>
  </si>
  <si>
    <t>9.17% NTPC Ltd (21-Sep-2024) **</t>
  </si>
  <si>
    <t>INE906B07FT4</t>
  </si>
  <si>
    <t>7.27% National Highways Authority Of India (06-Jun-2022) **</t>
  </si>
  <si>
    <t>INE094A08077</t>
  </si>
  <si>
    <t>5.36% Hindustan Petroleum Corporation Ltd (11-Apr-2025)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</si>
  <si>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</si>
  <si>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</si>
  <si>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</si>
  <si>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</si>
  <si>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</si>
  <si>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</si>
  <si>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</si>
  <si>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</si>
  <si>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</si>
  <si>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</si>
  <si>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</si>
  <si>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</si>
  <si>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</si>
  <si>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INE861G08076</t>
  </si>
  <si>
    <t>6.65% Food Corporation Of India (23-Oct-2030)</t>
  </si>
  <si>
    <t>INE861G08035</t>
  </si>
  <si>
    <t>9.95% Food Corporation Of India (07-Mar-2022) **</t>
  </si>
  <si>
    <t>CRISIL AAA(CE)</t>
  </si>
  <si>
    <t>INE020B08BM6</t>
  </si>
  <si>
    <t>8.35% REC Ltd (11-Mar-2022) **</t>
  </si>
  <si>
    <t>INE238A161W0</t>
  </si>
  <si>
    <t>Axis Bank Ltd (13-May-2022) **</t>
  </si>
  <si>
    <t>INE556F16861</t>
  </si>
  <si>
    <t>Small Industries Development Bank of India (25-Mar-2022) **</t>
  </si>
  <si>
    <t>Franklin India Government Securities Fund</t>
  </si>
  <si>
    <t xml:space="preserve">      Quarterly IDCW Option</t>
  </si>
  <si>
    <t xml:space="preserve">      Direct Quarterly IDCW Option</t>
  </si>
  <si>
    <t>Franklin India Fixed Maturity Plans - 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</si>
  <si>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</si>
  <si>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</si>
  <si>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</si>
  <si>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</si>
  <si>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</si>
  <si>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</si>
  <si>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</si>
  <si>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</si>
  <si>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</si>
  <si>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</si>
  <si>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</si>
  <si>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</si>
  <si>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 xml:space="preserve">      IDCW Plan </t>
  </si>
  <si>
    <t>Franklin India Fixed Maturity Plans - Series 5 - Plan F (1203 days)</t>
  </si>
  <si>
    <t>INE020B08BF0</t>
  </si>
  <si>
    <t>8.45% REC Ltd (22-Mar-2022) **</t>
  </si>
  <si>
    <t>INE134E08GT3</t>
  </si>
  <si>
    <t>8.55% Power Finance Corporation Ltd (09-Dec-2021) **</t>
  </si>
  <si>
    <t>INE831R07235</t>
  </si>
  <si>
    <t>0.00% Aditya Birla Housing Finance Ltd (13-Apr-2022) **</t>
  </si>
  <si>
    <t>Franklin India Fixed Maturity Plans - Series 5 - Plan E (1224 days)</t>
  </si>
  <si>
    <t>INE377Y07086</t>
  </si>
  <si>
    <t>0.00% Bajaj Housing Finance Ltd (05-May-2022) **</t>
  </si>
  <si>
    <t>INE756I07CI8</t>
  </si>
  <si>
    <t>0.00% HDB Financial Services Ltd (05-Apr-2022)</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</si>
  <si>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</si>
  <si>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</si>
  <si>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</si>
  <si>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</si>
  <si>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</si>
  <si>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 Plan C (1259 days)</t>
  </si>
  <si>
    <t>INE535H07AQ5</t>
  </si>
  <si>
    <t>0.00% Fullerton India Credit Co Ltd (19-Apr-2022) **</t>
  </si>
  <si>
    <t>INE476M07BR8</t>
  </si>
  <si>
    <t>9.3772% L&amp;T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</si>
  <si>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</si>
  <si>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</si>
  <si>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</si>
  <si>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</si>
  <si>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</si>
  <si>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</si>
  <si>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</si>
  <si>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</si>
  <si>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</si>
  <si>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(b) Privately Placed / Unlisted</t>
  </si>
  <si>
    <t>INE895D08790</t>
  </si>
  <si>
    <t>8.25% Tata Sons Pvt Ltd (23-Mar-2022) **</t>
  </si>
  <si>
    <t>Franklin India Fixed Maturity Plans - Series 4 - Plan E (1098 days)</t>
  </si>
  <si>
    <t>INE895D08634</t>
  </si>
  <si>
    <t>8.01% Tata Sons Pvt Ltd (02-Sep-2021) **</t>
  </si>
  <si>
    <t>Franklin India Fixed Maturity Plans - Series 4 - Plan D (1098 Days)</t>
  </si>
  <si>
    <t>Franklin India Fixed Maturity Plans - Series 4 - Plan C (1098 Days)</t>
  </si>
  <si>
    <t>Franklin India Pension Plan</t>
  </si>
  <si>
    <t>INE685A01028</t>
  </si>
  <si>
    <t>Torrent Pharmaceuticals Ltd</t>
  </si>
  <si>
    <t>INE110L08037</t>
  </si>
  <si>
    <t>9.25% Reliance Industries Ltd (17-Jun-2024) **</t>
  </si>
  <si>
    <t>INE115A14CU5</t>
  </si>
  <si>
    <t>LIC Housing Finance Ltd (14-Dec-2021) **@</t>
  </si>
  <si>
    <t>Franklin India Debt Hybrid Fund (No. of segregated Portfolio in the scheme - 1)</t>
  </si>
  <si>
    <t>Main Portfolio</t>
  </si>
  <si>
    <t>(b) Units of Infrastructure Investment Trust</t>
  </si>
  <si>
    <t>INE296A07RM2</t>
  </si>
  <si>
    <t>4.66% Bajaj Finance Ltd (02-Dec-2022)</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</si>
  <si>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</si>
  <si>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Franklin India Dynamic Accrual Fund (No. of segregated Portfolios in the scheme - 3) - (under winding up) $$$</t>
  </si>
  <si>
    <t>INE657N07605</t>
  </si>
  <si>
    <t>Edelweiss Rural &amp; Corporate Services Ltd (1Y SBI MCLR + 250 Bps) (29-Nov-2021) - Series II **</t>
  </si>
  <si>
    <t>CRISIL AA-</t>
  </si>
  <si>
    <t>INE01E708040</t>
  </si>
  <si>
    <t>10.32% Andhra Pradesh Capital Region Development Authority (16-Aug-2027) **</t>
  </si>
  <si>
    <t>CRISIL A+(CE)</t>
  </si>
  <si>
    <t>INE146O08100</t>
  </si>
  <si>
    <t>9.40% Hinduja Leyland Finance Ltd (28-Aug-2024) **</t>
  </si>
  <si>
    <t>INE540P07228</t>
  </si>
  <si>
    <t>9.75% Uttar Pradesh Power Corporation Ltd (20-Oct-2023) **</t>
  </si>
  <si>
    <t>INE657N07381</t>
  </si>
  <si>
    <t>8.70% Edelweiss Rural &amp; Corporate Services Ltd (30-Jun-2027) **</t>
  </si>
  <si>
    <t>ICRA A+</t>
  </si>
  <si>
    <t>INE146O08159</t>
  </si>
  <si>
    <t>11.60% Hinduja Leyland Finance Ltd (29-Sep-2024) **</t>
  </si>
  <si>
    <t>INE616U07036</t>
  </si>
  <si>
    <t>INE540P07293</t>
  </si>
  <si>
    <t>10.15% Uttar Pradesh Power Corporation Ltd (20-Jan-2022) **</t>
  </si>
  <si>
    <t>INE971Z07133</t>
  </si>
  <si>
    <t>12.25% Rivaaz Trade Ventures Pvt Ltd (30-Jun-2023) $$ @@@ **</t>
  </si>
  <si>
    <t>BWR D(CE)</t>
  </si>
  <si>
    <t>INE971Z07190</t>
  </si>
  <si>
    <t>13.00% Rivaaz Trade Ventures Pvt Ltd (31-Dec-2023) $$ @@@ **</t>
  </si>
  <si>
    <t>INE946S07189</t>
  </si>
  <si>
    <t>13.55% Nufuture Digital (India) Ltd (31-Dec-2023) $$ @@@ **</t>
  </si>
  <si>
    <t>INF200K01TK5</t>
  </si>
  <si>
    <t>SBI Overnight Fund - Direct Plan - Growth</t>
  </si>
  <si>
    <t>Mutual Fund</t>
  </si>
  <si>
    <t xml:space="preserve"> $$ Indicates securties below investment grade or default</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</si>
  <si>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</si>
  <si>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</si>
  <si>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&amp; Future Ideas Co Ltd. on July 31, 2020, by Rivaaz Trade Ventures Pvt. Ltd on August 31, 2020 , by Nufuture Digital (India) Ltd on September 02, 2020, by Future Ideas Co Ltd &amp; Rivaaz Trade Ventures Pvt. Ltd on September 30, 2020 , by Rivaaz Trade Ventures Pvt. Ltd on October 31, 2020 and by Rivaaz Trade Ventures Pvt. Ltd on November 7, 2020. However, these issuers were unable to meet their payment obligations. Due to default in payment, the securities of these issuers were valued at zero basis the AMFI standard haircut matrix.This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</si>
  <si>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</si>
  <si>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</si>
  <si>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</si>
  <si>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For product labeling and risk-o-meter refer the link below </t>
  </si>
  <si>
    <t>Franklin India Dynamic Accrual Fund - Segregated Portfolio 2 - 10.90% Vodafone Idea Ltd (02-Sep-2023)</t>
  </si>
  <si>
    <t>INE669E08318</t>
  </si>
  <si>
    <t>10.90% Vodafone Idea Ltd (02-Sep-2023) $$ ^^ **</t>
  </si>
  <si>
    <t>CARE B-</t>
  </si>
  <si>
    <t>^^ Securities are fair valued. This amount only reflects the realizable value as on the date of disclosure and does not indicate any reduction or write-off of the amount repayable by the issuers.</t>
  </si>
  <si>
    <t xml:space="preserve">c) For product labeling and risk-o-meter refer the link below </t>
  </si>
  <si>
    <t>Franklin India Dynamic Accrual Fund - Segregated Portfolio 3 - 9.50% Yes Bank Ltd CO 23 Dec 2021</t>
  </si>
  <si>
    <t>INE528G08352</t>
  </si>
  <si>
    <t>9.50% Yes Bank Ltd (23-Dec-2021)  $$ **</t>
  </si>
  <si>
    <t>CARE (withdrawn)/ ICRA D (hyb)</t>
  </si>
  <si>
    <t>Franklin India Low Duration Fund (No. of segregated Portfolio in the scheme -2) - (under winding up) $$$</t>
  </si>
  <si>
    <t>INE157D08027</t>
  </si>
  <si>
    <t>11.25% Clix Capital Services Pvt Ltd (27-Jun-2023) **</t>
  </si>
  <si>
    <t>CARE A+</t>
  </si>
  <si>
    <t>INE540P07202</t>
  </si>
  <si>
    <t>9.75% Uttar Pradesh Power Corporation Ltd (20-Oct-2021)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</si>
  <si>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</si>
  <si>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</si>
  <si>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</si>
  <si>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Low Duration Fund-Segregated Portfolio 2 - 10.90% Vodafone Idea Ltd (02-Sep-2023)</t>
  </si>
  <si>
    <t>Franklin India Short-Term Income Plan (No. of segregated Portfolios in the scheme - 3) - (under winding up) $$$</t>
  </si>
  <si>
    <t>YTC</t>
  </si>
  <si>
    <t>INE01E708024</t>
  </si>
  <si>
    <t>10.32% Andhra Pradesh Capital Region Development Authority (16-Aug-2025) **</t>
  </si>
  <si>
    <t>INE01E708016</t>
  </si>
  <si>
    <t>10.32% Andhra Pradesh Capital Region Development Authority (16-Aug-2024) **</t>
  </si>
  <si>
    <t>INE01E708032</t>
  </si>
  <si>
    <t>10.32% Andhra Pradesh Capital Region Development Authority (16-Aug-2026) **</t>
  </si>
  <si>
    <t>INE503A08028</t>
  </si>
  <si>
    <t>9.85% DCB Bank Ltd (18-Nov-2026) **</t>
  </si>
  <si>
    <t>INE971Z07125</t>
  </si>
  <si>
    <t>12.25% Rivaaz Trade Ventures Pvt Ltd (30-Jun-2022) $$ @@@ **</t>
  </si>
  <si>
    <t>INE946S07163</t>
  </si>
  <si>
    <t>13.55% Nufuture Digital (India) Ltd (31-Dec-2021) $$ @@@ **</t>
  </si>
  <si>
    <t>INE971Z07174</t>
  </si>
  <si>
    <t>13.00% Rivaaz Trade Ventures Pvt Ltd (30-Dec-2021) $$ @@@ **</t>
  </si>
  <si>
    <t>INE971Z07182</t>
  </si>
  <si>
    <t>13.00% Rivaaz Trade Ventures Pvt Ltd (30-Dec-2022) $$ @@@ **</t>
  </si>
  <si>
    <t>INE080T07110</t>
  </si>
  <si>
    <t>14.15% Future Ideas Co Ltd (31-Jan-2023) $$ @@@ **</t>
  </si>
  <si>
    <t>INE080T07102</t>
  </si>
  <si>
    <t>14.15% Future Ideas Co Ltd (31-Jan-2022) $$ @@@ **</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</si>
  <si>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</si>
  <si>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</si>
  <si>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</si>
  <si>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</si>
  <si>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</si>
  <si>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&amp; Future Ideas Co Ltd. on July 31, 2020, by Rivaaz Trade Ventures Pvt. Ltd &amp; Nufuture Digital (India) Ltd on August 31, 2020, by Nufuture Digital (India) Ltd on September 02, 2020, by Rivaaz Trade Ventures Pvt. Ltd &amp; Nufuture Digital (India) Ltd on September 30, 2020, by Nufuture Digital (India) Ltd., Future Ideas Co Ltd. &amp; Rivaaz Trade Ventures Pvt. Ltd on October 31, 2020, by Rivaaz Trade Ventures Pvt. Ltd on November 7, 2020, by Nufuture Digital (India) Ltd. on November 30, 2020 , by Rivaaz Trade Ventures Pvt. Ltd. on December 30, 2020, by Nufuture Digital (India) Ltd. on December 31, 2020 , by Nufuture Digital (India) Ltd. on January 31, 2021 , by Future Ideas Co Ltd. on January 31, 2021 , by Nufuture Digital (India) Ltd. on March 31, 2021 , by Future Ideas Co Ltd. &amp; Nufuture Digital (India) Ltd. on April 30, 2021, by Nufuture Digital (India) Ltd. on May 31, 2021 , by Rivaaz Trade Ventures Pvt. Ltd &amp; Nufuture Digital (India) Ltd. on June 30, 2021 and by Future Ideas Co Ltd. , Nufuture Digital (India) Ltd. on July 31, 2021 &amp; Nufuture Digital (India) Ltd. on August 31,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</si>
  <si>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</si>
  <si>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</si>
  <si>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For product labeling and risk-o-meter refer the link below </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</si>
  <si>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</si>
  <si>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</si>
  <si>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</si>
  <si>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INE157D08019</t>
  </si>
  <si>
    <t>11.25% Clix Capital Services Pvt Ltd (25-May-2023) **</t>
  </si>
  <si>
    <t>INE155A08316</t>
  </si>
  <si>
    <t>7.50% Tata Motors Ltd (20-Oct-2021)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</si>
  <si>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</si>
  <si>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</si>
  <si>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</si>
  <si>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</si>
  <si>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</si>
  <si>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</si>
  <si>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Income Opportunities Fund (No. of segregated Portfolio in the scheme - 2) - (under winding up) $$$</t>
  </si>
  <si>
    <t>INE503A08044</t>
  </si>
  <si>
    <t>9.85% DCB Bank Ltd (12-Jan-2028) **</t>
  </si>
  <si>
    <t>INE146O08118</t>
  </si>
  <si>
    <t>9.20% Hinduja Leyland Finance Ltd (13-Sep-2024) **</t>
  </si>
  <si>
    <t>INE01E708057</t>
  </si>
  <si>
    <t>10.32% Andhra Pradesh Capital Region Development Authority (16-Aug-2028) **</t>
  </si>
  <si>
    <t>INE080T07128</t>
  </si>
  <si>
    <t>14.15% Future Ideas Co Ltd (31-Dec-2023) $$ @@@ **</t>
  </si>
  <si>
    <t>e)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</si>
  <si>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</si>
  <si>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</si>
  <si>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</si>
  <si>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</si>
  <si>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</si>
  <si>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</si>
  <si>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&amp; Future Ideas Co Ltd. on July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</si>
  <si>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</si>
  <si>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Credit Risk Fund-Segregated Portfolio 2 - 10.90% Vodafone Idea Ltd (02-Sep-2023)</t>
  </si>
  <si>
    <t>Franklin India Credit Risk Fund - Segregated Portfolio 3 - 9.50% Yes Bank Ltd CO 23 Dec 2021</t>
  </si>
  <si>
    <t xml:space="preserve">b) During the month additional instances of fair valuation/deviation from valuation price provided by the valuation agencies </t>
  </si>
  <si>
    <t>Minor International PCL - Warrants (15-Feb-2024)</t>
  </si>
  <si>
    <t>Minor International PCL - Warrants (05-May-2023)</t>
  </si>
  <si>
    <t xml:space="preserve">c) Total outstanding position (as at Aug 31, 2021) in Derivative Instruments (Gross Notional) </t>
  </si>
  <si>
    <t>^ Franklin India Equity Fund is renamed as Franklin India Flexi Cap Fund effective Jan 29, 2021.</t>
  </si>
  <si>
    <t>Franklin India Flexi Cap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</si>
</sst>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
    <numFmt numFmtId="166" formatCode="#,##0.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82">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9" fillId="2" borderId="0" xfId="1" applyFont="1" applyFill="1"/>
    <xf numFmtId="0" fontId="7" fillId="2" borderId="4" xfId="0" applyFont="1" applyFill="1" applyBorder="1" applyAlignment="1">
      <alignment wrapText="1"/>
    </xf>
    <xf numFmtId="4" fontId="7" fillId="2" borderId="4" xfId="0" applyNumberFormat="1" applyFont="1" applyFill="1" applyBorder="1"/>
    <xf numFmtId="0" fontId="6" fillId="2" borderId="0" xfId="0" applyFont="1" applyFill="1" applyAlignment="1">
      <alignment wrapText="1"/>
    </xf>
    <xf numFmtId="0" fontId="0" fillId="0" borderId="0" xfId="0" applyAlignment="1">
      <alignment wrapText="1"/>
    </xf>
    <xf numFmtId="0" fontId="6" fillId="2" borderId="0" xfId="0" applyFont="1" applyFill="1" applyAlignment="1">
      <alignment wrapText="1"/>
    </xf>
    <xf numFmtId="2" fontId="6" fillId="0" borderId="1" xfId="0" applyNumberFormat="1" applyFont="1" applyBorder="1" applyAlignment="1">
      <alignment horizontal="center" vertical="center" wrapText="1"/>
    </xf>
    <xf numFmtId="0" fontId="6" fillId="3" borderId="0" xfId="0" applyFont="1" applyFill="1"/>
    <xf numFmtId="0" fontId="10" fillId="3" borderId="0" xfId="0" applyFont="1" applyFill="1" applyAlignment="1">
      <alignment horizontal="right"/>
    </xf>
    <xf numFmtId="0" fontId="6" fillId="0" borderId="0" xfId="0" applyFont="1" applyFill="1"/>
    <xf numFmtId="166" fontId="7" fillId="2" borderId="0" xfId="0" applyNumberFormat="1" applyFont="1" applyFill="1"/>
    <xf numFmtId="0" fontId="6" fillId="2" borderId="0" xfId="0" applyNumberFormat="1" applyFont="1" applyFill="1" applyAlignment="1">
      <alignment horizontal="right" wrapText="1"/>
    </xf>
    <xf numFmtId="0" fontId="11" fillId="2" borderId="0" xfId="0" applyFont="1" applyFill="1"/>
    <xf numFmtId="0" fontId="6" fillId="2" borderId="0" xfId="0" applyFont="1" applyFill="1" applyBorder="1"/>
    <xf numFmtId="0" fontId="7" fillId="2" borderId="0" xfId="0" applyFont="1" applyFill="1" applyBorder="1"/>
    <xf numFmtId="0" fontId="7" fillId="2" borderId="0" xfId="0" applyNumberFormat="1" applyFont="1" applyFill="1" applyBorder="1"/>
    <xf numFmtId="39" fontId="7" fillId="2" borderId="0" xfId="0" applyNumberFormat="1" applyFont="1" applyFill="1" applyBorder="1"/>
    <xf numFmtId="0" fontId="9" fillId="3" borderId="0" xfId="1" applyFont="1" applyFill="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horizontal="left" vertical="justify" wrapText="1"/>
    </xf>
    <xf numFmtId="0" fontId="6" fillId="2" borderId="0" xfId="0" applyFont="1" applyFill="1" applyAlignment="1">
      <alignment horizontal="left" vertical="top" wrapText="1"/>
    </xf>
    <xf numFmtId="0" fontId="6" fillId="2" borderId="0" xfId="0" applyFont="1" applyFill="1" applyAlignment="1">
      <alignment horizontal="justify" vertical="top" wrapText="1"/>
    </xf>
    <xf numFmtId="0" fontId="0" fillId="0" borderId="0" xfId="0" applyAlignment="1">
      <alignment horizontal="justify" vertical="top" wrapText="1"/>
    </xf>
    <xf numFmtId="0" fontId="6" fillId="2" borderId="0" xfId="0" applyFont="1" applyFill="1" applyAlignment="1">
      <alignment wrapText="1"/>
    </xf>
    <xf numFmtId="0" fontId="0" fillId="0" borderId="0" xfId="0" applyAlignment="1">
      <alignment wrapText="1"/>
    </xf>
  </cellXfs>
  <cellStyles count="2">
    <cellStyle name="Hyperlink" xfId="1" builtinId="8"/>
    <cellStyle name="Normal" xfId="0" builtinId="0"/>
  </cellStyles>
  <dxfs count="76">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ranklintempletonindia.com/downloadsServlet/pdf/product-labels-jg9o5k7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product-labels-jg9o5k7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ranklintempletonindia.com/downloadsServlet/pdf/product-labels-jg9o5k7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8" Type="http://schemas.openxmlformats.org/officeDocument/2006/relationships/printerSettings" Target="../printerSettings/printerSettings21.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22.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www.franklintempletonindia.com/investor/reports?firstFilter-4" TargetMode="External"/><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product-labels-jg9o5k7l" TargetMode="External"/><Relationship Id="rId9"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25.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8" Type="http://schemas.openxmlformats.org/officeDocument/2006/relationships/printerSettings" Target="../printerSettings/printerSettings26.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franklintempletonindia.com/downloadsServlet/pdf/product-labels-jg9o5k7l"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franklintempletonindia.com/downloadsServlet/pdf/product-labels-jg9o5k7l"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franklintempletonindia.com/downloadsServlet/pdf/product-labels-jg9o5k7l"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www.franklintempletonindia.com/downloadsServlet/pdf/product-labels-jg9o5k7l"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www.franklintempletonindia.com/downloadsServlet/pdf/product-labels-jg9o5k7l"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www.franklintempletonindia.com/downloadsServlet/pdf/product-labels-jg9o5k7l"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50.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
  <sheetViews>
    <sheetView tabSelected="1" workbookViewId="0">
      <selection sqref="A1:G1"/>
    </sheetView>
  </sheetViews>
  <sheetFormatPr defaultColWidth="9.109375" defaultRowHeight="10.199999999999999" x14ac:dyDescent="0.2"/>
  <cols>
    <col min="1" max="1" width="38.6640625" style="9" bestFit="1" customWidth="1"/>
    <col min="2" max="2" width="51.10937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69" t="s">
        <v>744</v>
      </c>
      <c r="B1" s="70"/>
      <c r="C1" s="70"/>
      <c r="D1" s="70"/>
      <c r="E1" s="70"/>
      <c r="F1" s="70"/>
      <c r="G1" s="7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746</v>
      </c>
      <c r="B7" s="27" t="s">
        <v>747</v>
      </c>
      <c r="C7" s="27" t="s">
        <v>52</v>
      </c>
      <c r="D7" s="31">
        <v>250</v>
      </c>
      <c r="E7" s="29">
        <v>2507.88</v>
      </c>
      <c r="F7" s="30">
        <v>1.4787085315708799</v>
      </c>
      <c r="G7" s="29">
        <v>3.2044000000000001</v>
      </c>
    </row>
    <row r="8" spans="1:9" x14ac:dyDescent="0.2">
      <c r="A8" s="27" t="s">
        <v>748</v>
      </c>
      <c r="B8" s="27" t="s">
        <v>749</v>
      </c>
      <c r="C8" s="27" t="s">
        <v>52</v>
      </c>
      <c r="D8" s="31">
        <v>250</v>
      </c>
      <c r="E8" s="29">
        <v>2503.7350000000001</v>
      </c>
      <c r="F8" s="30">
        <v>1.47626453629863</v>
      </c>
      <c r="G8" s="29">
        <v>3.2845</v>
      </c>
    </row>
    <row r="9" spans="1:9" x14ac:dyDescent="0.2">
      <c r="A9" s="27" t="s">
        <v>750</v>
      </c>
      <c r="B9" s="27" t="s">
        <v>751</v>
      </c>
      <c r="C9" s="27" t="s">
        <v>52</v>
      </c>
      <c r="D9" s="31">
        <v>150</v>
      </c>
      <c r="E9" s="29">
        <v>1502.4825000000001</v>
      </c>
      <c r="F9" s="30">
        <v>0.88590111619612799</v>
      </c>
      <c r="G9" s="29">
        <v>3.2078000000000002</v>
      </c>
    </row>
    <row r="10" spans="1:9" x14ac:dyDescent="0.2">
      <c r="A10" s="26" t="s">
        <v>34</v>
      </c>
      <c r="B10" s="26"/>
      <c r="C10" s="26"/>
      <c r="D10" s="32"/>
      <c r="E10" s="33">
        <f>SUM(E6:E9)</f>
        <v>6514.0974999999999</v>
      </c>
      <c r="F10" s="34">
        <f>SUM(F6:F9)</f>
        <v>3.8408741840656377</v>
      </c>
      <c r="G10" s="33"/>
      <c r="H10" s="18"/>
      <c r="I10" s="18"/>
    </row>
    <row r="11" spans="1:9" x14ac:dyDescent="0.2">
      <c r="A11" s="27"/>
      <c r="B11" s="27"/>
      <c r="C11" s="27"/>
      <c r="D11" s="28"/>
      <c r="E11" s="29"/>
      <c r="F11" s="30"/>
      <c r="G11" s="29"/>
    </row>
    <row r="12" spans="1:9" x14ac:dyDescent="0.2">
      <c r="A12" s="26" t="s">
        <v>54</v>
      </c>
      <c r="B12" s="27"/>
      <c r="C12" s="27"/>
      <c r="D12" s="28"/>
      <c r="E12" s="29"/>
      <c r="F12" s="30"/>
      <c r="G12" s="29"/>
    </row>
    <row r="13" spans="1:9" x14ac:dyDescent="0.2">
      <c r="A13" s="26" t="s">
        <v>58</v>
      </c>
      <c r="B13" s="27"/>
      <c r="C13" s="27"/>
      <c r="D13" s="28"/>
      <c r="E13" s="29"/>
      <c r="F13" s="30"/>
      <c r="G13" s="29"/>
    </row>
    <row r="14" spans="1:9" x14ac:dyDescent="0.2">
      <c r="A14" s="27" t="s">
        <v>752</v>
      </c>
      <c r="B14" s="27" t="s">
        <v>753</v>
      </c>
      <c r="C14" s="27" t="s">
        <v>56</v>
      </c>
      <c r="D14" s="31">
        <v>1500</v>
      </c>
      <c r="E14" s="29">
        <v>7481.2950000000001</v>
      </c>
      <c r="F14" s="30">
        <v>4.41115792769134</v>
      </c>
      <c r="G14" s="29">
        <v>3.2599</v>
      </c>
    </row>
    <row r="15" spans="1:9" x14ac:dyDescent="0.2">
      <c r="A15" s="27" t="s">
        <v>754</v>
      </c>
      <c r="B15" s="27" t="s">
        <v>755</v>
      </c>
      <c r="C15" s="27" t="s">
        <v>56</v>
      </c>
      <c r="D15" s="31">
        <v>1500</v>
      </c>
      <c r="E15" s="29">
        <v>7466.1975000000002</v>
      </c>
      <c r="F15" s="30">
        <v>4.4022560655386904</v>
      </c>
      <c r="G15" s="29">
        <v>3.2402000000000002</v>
      </c>
    </row>
    <row r="16" spans="1:9" x14ac:dyDescent="0.2">
      <c r="A16" s="27" t="s">
        <v>756</v>
      </c>
      <c r="B16" s="27" t="s">
        <v>757</v>
      </c>
      <c r="C16" s="27" t="s">
        <v>56</v>
      </c>
      <c r="D16" s="31">
        <v>1500</v>
      </c>
      <c r="E16" s="29">
        <v>7451.7</v>
      </c>
      <c r="F16" s="30">
        <v>4.3937079783349802</v>
      </c>
      <c r="G16" s="29">
        <v>3.3797999999999999</v>
      </c>
    </row>
    <row r="17" spans="1:9" x14ac:dyDescent="0.2">
      <c r="A17" s="27" t="s">
        <v>758</v>
      </c>
      <c r="B17" s="27" t="s">
        <v>759</v>
      </c>
      <c r="C17" s="27" t="s">
        <v>56</v>
      </c>
      <c r="D17" s="31">
        <v>1500</v>
      </c>
      <c r="E17" s="29">
        <v>7435.2825000000003</v>
      </c>
      <c r="F17" s="30">
        <v>4.3840278112946596</v>
      </c>
      <c r="G17" s="29">
        <v>3.53</v>
      </c>
    </row>
    <row r="18" spans="1:9" x14ac:dyDescent="0.2">
      <c r="A18" s="27" t="s">
        <v>63</v>
      </c>
      <c r="B18" s="27" t="s">
        <v>62</v>
      </c>
      <c r="C18" s="27" t="s">
        <v>56</v>
      </c>
      <c r="D18" s="31">
        <v>1300</v>
      </c>
      <c r="E18" s="29">
        <v>6477.0225</v>
      </c>
      <c r="F18" s="30">
        <v>3.8190138403458498</v>
      </c>
      <c r="G18" s="29">
        <v>3.4996</v>
      </c>
    </row>
    <row r="19" spans="1:9" x14ac:dyDescent="0.2">
      <c r="A19" s="27" t="s">
        <v>760</v>
      </c>
      <c r="B19" s="27" t="s">
        <v>761</v>
      </c>
      <c r="C19" s="27" t="s">
        <v>762</v>
      </c>
      <c r="D19" s="31">
        <v>1100</v>
      </c>
      <c r="E19" s="29">
        <v>5489.2804999999998</v>
      </c>
      <c r="F19" s="30">
        <v>3.23661654765605</v>
      </c>
      <c r="G19" s="29">
        <v>3.2399</v>
      </c>
    </row>
    <row r="20" spans="1:9" x14ac:dyDescent="0.2">
      <c r="A20" s="27" t="s">
        <v>763</v>
      </c>
      <c r="B20" s="27" t="s">
        <v>764</v>
      </c>
      <c r="C20" s="27" t="s">
        <v>56</v>
      </c>
      <c r="D20" s="31">
        <v>1000</v>
      </c>
      <c r="E20" s="29">
        <v>5000</v>
      </c>
      <c r="F20" s="30">
        <v>2.94812457448299</v>
      </c>
      <c r="G20" s="29">
        <v>3.4249999999999998</v>
      </c>
    </row>
    <row r="21" spans="1:9" x14ac:dyDescent="0.2">
      <c r="A21" s="27" t="s">
        <v>765</v>
      </c>
      <c r="B21" s="27" t="s">
        <v>766</v>
      </c>
      <c r="C21" s="27" t="s">
        <v>56</v>
      </c>
      <c r="D21" s="31">
        <v>1000</v>
      </c>
      <c r="E21" s="29">
        <v>5000</v>
      </c>
      <c r="F21" s="30">
        <v>2.94812457448299</v>
      </c>
      <c r="G21" s="29">
        <v>3.23</v>
      </c>
    </row>
    <row r="22" spans="1:9" x14ac:dyDescent="0.2">
      <c r="A22" s="27" t="s">
        <v>767</v>
      </c>
      <c r="B22" s="27" t="s">
        <v>768</v>
      </c>
      <c r="C22" s="27" t="s">
        <v>56</v>
      </c>
      <c r="D22" s="31">
        <v>1000</v>
      </c>
      <c r="E22" s="29">
        <v>4979.0050000000001</v>
      </c>
      <c r="F22" s="30">
        <v>2.9357453993947402</v>
      </c>
      <c r="G22" s="29">
        <v>3.2747000000000002</v>
      </c>
    </row>
    <row r="23" spans="1:9" x14ac:dyDescent="0.2">
      <c r="A23" s="27" t="s">
        <v>769</v>
      </c>
      <c r="B23" s="27" t="s">
        <v>770</v>
      </c>
      <c r="C23" s="27" t="s">
        <v>56</v>
      </c>
      <c r="D23" s="31">
        <v>800</v>
      </c>
      <c r="E23" s="29">
        <v>3980.616</v>
      </c>
      <c r="F23" s="30">
        <v>2.34707037023604</v>
      </c>
      <c r="G23" s="29">
        <v>3.5548000000000002</v>
      </c>
    </row>
    <row r="24" spans="1:9" x14ac:dyDescent="0.2">
      <c r="A24" s="27" t="s">
        <v>771</v>
      </c>
      <c r="B24" s="27" t="s">
        <v>772</v>
      </c>
      <c r="C24" s="27" t="s">
        <v>61</v>
      </c>
      <c r="D24" s="31">
        <v>700</v>
      </c>
      <c r="E24" s="29">
        <v>3496.3634999999999</v>
      </c>
      <c r="F24" s="30">
        <v>2.06154303113507</v>
      </c>
      <c r="G24" s="29">
        <v>3.1650999999999998</v>
      </c>
    </row>
    <row r="25" spans="1:9" x14ac:dyDescent="0.2">
      <c r="A25" s="27" t="s">
        <v>773</v>
      </c>
      <c r="B25" s="27" t="s">
        <v>774</v>
      </c>
      <c r="C25" s="27" t="s">
        <v>56</v>
      </c>
      <c r="D25" s="31">
        <v>500</v>
      </c>
      <c r="E25" s="29">
        <v>2496.5100000000002</v>
      </c>
      <c r="F25" s="30">
        <v>1.4720044962885099</v>
      </c>
      <c r="G25" s="29">
        <v>3.1901999999999999</v>
      </c>
    </row>
    <row r="26" spans="1:9" x14ac:dyDescent="0.2">
      <c r="A26" s="26" t="s">
        <v>34</v>
      </c>
      <c r="B26" s="26"/>
      <c r="C26" s="26"/>
      <c r="D26" s="32"/>
      <c r="E26" s="33">
        <f>SUM(E13:E25)</f>
        <v>66753.272500000006</v>
      </c>
      <c r="F26" s="34">
        <f>SUM(F13:F25)</f>
        <v>39.359392616881912</v>
      </c>
      <c r="G26" s="33"/>
      <c r="H26" s="18"/>
      <c r="I26" s="18"/>
    </row>
    <row r="27" spans="1:9" x14ac:dyDescent="0.2">
      <c r="A27" s="27"/>
      <c r="B27" s="27"/>
      <c r="C27" s="27"/>
      <c r="D27" s="28"/>
      <c r="E27" s="29"/>
      <c r="F27" s="30"/>
      <c r="G27" s="29"/>
    </row>
    <row r="28" spans="1:9" x14ac:dyDescent="0.2">
      <c r="A28" s="26" t="s">
        <v>775</v>
      </c>
      <c r="B28" s="27"/>
      <c r="C28" s="27"/>
      <c r="D28" s="28"/>
      <c r="E28" s="29"/>
      <c r="F28" s="30"/>
      <c r="G28" s="29"/>
    </row>
    <row r="29" spans="1:9" x14ac:dyDescent="0.2">
      <c r="A29" s="27" t="s">
        <v>776</v>
      </c>
      <c r="B29" s="27" t="s">
        <v>777</v>
      </c>
      <c r="C29" s="27" t="s">
        <v>65</v>
      </c>
      <c r="D29" s="31">
        <v>15300000</v>
      </c>
      <c r="E29" s="29">
        <v>15298.730100000001</v>
      </c>
      <c r="F29" s="30">
        <v>9.0205124332385207</v>
      </c>
      <c r="G29" s="29">
        <v>3.0297999999999998</v>
      </c>
    </row>
    <row r="30" spans="1:9" x14ac:dyDescent="0.2">
      <c r="A30" s="27" t="s">
        <v>778</v>
      </c>
      <c r="B30" s="27" t="s">
        <v>779</v>
      </c>
      <c r="C30" s="27" t="s">
        <v>65</v>
      </c>
      <c r="D30" s="31">
        <v>12500000</v>
      </c>
      <c r="E30" s="29">
        <v>12484.362499999999</v>
      </c>
      <c r="F30" s="30">
        <v>7.3610911766007803</v>
      </c>
      <c r="G30" s="29">
        <v>3.0478999999999998</v>
      </c>
    </row>
    <row r="31" spans="1:9" x14ac:dyDescent="0.2">
      <c r="A31" s="27" t="s">
        <v>780</v>
      </c>
      <c r="B31" s="27" t="s">
        <v>781</v>
      </c>
      <c r="C31" s="27" t="s">
        <v>65</v>
      </c>
      <c r="D31" s="31">
        <v>12500000</v>
      </c>
      <c r="E31" s="29">
        <v>12453.05</v>
      </c>
      <c r="F31" s="30">
        <v>7.3426285464530796</v>
      </c>
      <c r="G31" s="29">
        <v>3.2002999999999999</v>
      </c>
    </row>
    <row r="32" spans="1:9" x14ac:dyDescent="0.2">
      <c r="A32" s="27" t="s">
        <v>782</v>
      </c>
      <c r="B32" s="27" t="s">
        <v>783</v>
      </c>
      <c r="C32" s="27" t="s">
        <v>65</v>
      </c>
      <c r="D32" s="31">
        <v>10000000</v>
      </c>
      <c r="E32" s="29">
        <v>9969.52</v>
      </c>
      <c r="F32" s="30">
        <v>5.8782773815599301</v>
      </c>
      <c r="G32" s="29">
        <v>3.0998000000000001</v>
      </c>
    </row>
    <row r="33" spans="1:9" x14ac:dyDescent="0.2">
      <c r="A33" s="27" t="s">
        <v>784</v>
      </c>
      <c r="B33" s="27" t="s">
        <v>785</v>
      </c>
      <c r="C33" s="27" t="s">
        <v>65</v>
      </c>
      <c r="D33" s="31">
        <v>10000000</v>
      </c>
      <c r="E33" s="29">
        <v>9931.24</v>
      </c>
      <c r="F33" s="30">
        <v>5.8557065398176897</v>
      </c>
      <c r="G33" s="29">
        <v>3.2399</v>
      </c>
    </row>
    <row r="34" spans="1:9" x14ac:dyDescent="0.2">
      <c r="A34" s="27" t="s">
        <v>786</v>
      </c>
      <c r="B34" s="27" t="s">
        <v>787</v>
      </c>
      <c r="C34" s="27" t="s">
        <v>65</v>
      </c>
      <c r="D34" s="31">
        <v>7500000</v>
      </c>
      <c r="E34" s="29">
        <v>7443.3149999999996</v>
      </c>
      <c r="F34" s="30">
        <v>4.3887639734235702</v>
      </c>
      <c r="G34" s="29">
        <v>3.2702</v>
      </c>
    </row>
    <row r="35" spans="1:9" x14ac:dyDescent="0.2">
      <c r="A35" s="27" t="s">
        <v>788</v>
      </c>
      <c r="B35" s="27" t="s">
        <v>789</v>
      </c>
      <c r="C35" s="27" t="s">
        <v>65</v>
      </c>
      <c r="D35" s="31">
        <v>5000000</v>
      </c>
      <c r="E35" s="29">
        <v>4987.95</v>
      </c>
      <c r="F35" s="30">
        <v>2.9410195942584898</v>
      </c>
      <c r="G35" s="29">
        <v>3.0406</v>
      </c>
    </row>
    <row r="36" spans="1:9" x14ac:dyDescent="0.2">
      <c r="A36" s="26" t="s">
        <v>34</v>
      </c>
      <c r="B36" s="26"/>
      <c r="C36" s="26"/>
      <c r="D36" s="32"/>
      <c r="E36" s="33">
        <f>SUM(E28:E35)</f>
        <v>72568.167599999986</v>
      </c>
      <c r="F36" s="34">
        <f>SUM(F28:F35)</f>
        <v>42.787999645352066</v>
      </c>
      <c r="G36" s="33"/>
      <c r="H36" s="18"/>
      <c r="I36" s="18"/>
    </row>
    <row r="37" spans="1:9" x14ac:dyDescent="0.2">
      <c r="A37" s="27"/>
      <c r="B37" s="27"/>
      <c r="C37" s="27"/>
      <c r="D37" s="28"/>
      <c r="E37" s="29"/>
      <c r="F37" s="30"/>
      <c r="G37" s="29"/>
    </row>
    <row r="38" spans="1:9" x14ac:dyDescent="0.2">
      <c r="A38" s="26" t="s">
        <v>36</v>
      </c>
      <c r="B38" s="26"/>
      <c r="C38" s="26"/>
      <c r="D38" s="32"/>
      <c r="E38" s="33">
        <f>E10+E26+E36</f>
        <v>145835.53759999998</v>
      </c>
      <c r="F38" s="34">
        <f>F10+F26+F36</f>
        <v>85.988266446299619</v>
      </c>
      <c r="G38" s="33"/>
      <c r="H38" s="18"/>
      <c r="I38" s="18"/>
    </row>
    <row r="39" spans="1:9" x14ac:dyDescent="0.2">
      <c r="A39" s="26"/>
      <c r="B39" s="26"/>
      <c r="C39" s="26"/>
      <c r="D39" s="32"/>
      <c r="E39" s="33"/>
      <c r="F39" s="34"/>
      <c r="G39" s="33"/>
      <c r="H39" s="18"/>
      <c r="I39" s="18"/>
    </row>
    <row r="40" spans="1:9" x14ac:dyDescent="0.2">
      <c r="A40" s="26" t="s">
        <v>38</v>
      </c>
      <c r="B40" s="26"/>
      <c r="C40" s="26"/>
      <c r="D40" s="32"/>
      <c r="E40" s="33">
        <f>E42-(E10+E26+E36)</f>
        <v>23763.808481800021</v>
      </c>
      <c r="F40" s="34">
        <f>F42-(F10+F26+F36)</f>
        <v>14.011733553700381</v>
      </c>
      <c r="G40" s="33"/>
      <c r="H40" s="18"/>
      <c r="I40" s="18"/>
    </row>
    <row r="41" spans="1:9" x14ac:dyDescent="0.2">
      <c r="A41" s="26"/>
      <c r="B41" s="26"/>
      <c r="C41" s="26"/>
      <c r="D41" s="32"/>
      <c r="E41" s="33"/>
      <c r="F41" s="34"/>
      <c r="G41" s="33"/>
      <c r="H41" s="18"/>
      <c r="I41" s="18"/>
    </row>
    <row r="42" spans="1:9" x14ac:dyDescent="0.2">
      <c r="A42" s="35" t="s">
        <v>37</v>
      </c>
      <c r="B42" s="35"/>
      <c r="C42" s="35"/>
      <c r="D42" s="36"/>
      <c r="E42" s="37">
        <v>169599.3460818</v>
      </c>
      <c r="F42" s="38">
        <v>100</v>
      </c>
      <c r="G42" s="37"/>
      <c r="H42" s="18"/>
      <c r="I42" s="18"/>
    </row>
    <row r="44" spans="1:9" x14ac:dyDescent="0.2">
      <c r="A44" s="18" t="s">
        <v>66</v>
      </c>
    </row>
    <row r="45" spans="1:9" x14ac:dyDescent="0.2">
      <c r="A45" s="18" t="s">
        <v>39</v>
      </c>
    </row>
    <row r="47" spans="1:9" x14ac:dyDescent="0.2">
      <c r="A47" s="18" t="s">
        <v>40</v>
      </c>
    </row>
    <row r="48" spans="1:9" x14ac:dyDescent="0.2">
      <c r="A48" s="18" t="s">
        <v>41</v>
      </c>
    </row>
    <row r="49" spans="1:4" x14ac:dyDescent="0.2">
      <c r="A49" s="18" t="s">
        <v>42</v>
      </c>
      <c r="B49" s="18"/>
      <c r="C49" s="39" t="s">
        <v>44</v>
      </c>
      <c r="D49" s="19" t="s">
        <v>43</v>
      </c>
    </row>
    <row r="50" spans="1:4" x14ac:dyDescent="0.2">
      <c r="A50" s="9" t="s">
        <v>790</v>
      </c>
      <c r="C50" s="40">
        <v>4747.4727000000003</v>
      </c>
      <c r="D50" s="40">
        <v>4810.1030000000001</v>
      </c>
    </row>
    <row r="51" spans="1:4" x14ac:dyDescent="0.2">
      <c r="A51" s="9" t="s">
        <v>791</v>
      </c>
      <c r="C51" s="40">
        <v>1510.4899</v>
      </c>
      <c r="D51" s="40">
        <v>1510.4899</v>
      </c>
    </row>
    <row r="52" spans="1:4" x14ac:dyDescent="0.2">
      <c r="A52" s="9" t="s">
        <v>792</v>
      </c>
      <c r="C52" s="40">
        <v>1244.6681000000001</v>
      </c>
      <c r="D52" s="40">
        <v>1244.4788000000001</v>
      </c>
    </row>
    <row r="53" spans="1:4" x14ac:dyDescent="0.2">
      <c r="A53" s="9" t="s">
        <v>793</v>
      </c>
      <c r="C53" s="40">
        <v>1000</v>
      </c>
      <c r="D53" s="40">
        <v>1000</v>
      </c>
    </row>
    <row r="54" spans="1:4" x14ac:dyDescent="0.2">
      <c r="A54" s="9" t="s">
        <v>794</v>
      </c>
      <c r="C54" s="40">
        <v>1055.0717999999999</v>
      </c>
      <c r="D54" s="40">
        <v>1054.8862999999999</v>
      </c>
    </row>
    <row r="55" spans="1:4" x14ac:dyDescent="0.2">
      <c r="A55" s="9" t="s">
        <v>795</v>
      </c>
      <c r="C55" s="40">
        <v>3066.9159</v>
      </c>
      <c r="D55" s="40">
        <v>3117.9196999999999</v>
      </c>
    </row>
    <row r="56" spans="1:4" x14ac:dyDescent="0.2">
      <c r="A56" s="9" t="s">
        <v>796</v>
      </c>
      <c r="C56" s="40">
        <v>1000</v>
      </c>
      <c r="D56" s="40">
        <v>1000</v>
      </c>
    </row>
    <row r="57" spans="1:4" x14ac:dyDescent="0.2">
      <c r="A57" s="9" t="s">
        <v>797</v>
      </c>
      <c r="C57" s="40">
        <v>1022.3233</v>
      </c>
      <c r="D57" s="40">
        <v>1022.1106</v>
      </c>
    </row>
    <row r="58" spans="1:4" x14ac:dyDescent="0.2">
      <c r="A58" s="9" t="s">
        <v>798</v>
      </c>
      <c r="C58" s="40">
        <v>3082.5506</v>
      </c>
      <c r="D58" s="40">
        <v>3135.0353</v>
      </c>
    </row>
    <row r="59" spans="1:4" x14ac:dyDescent="0.2">
      <c r="A59" s="9" t="s">
        <v>799</v>
      </c>
      <c r="C59" s="40">
        <v>1002.2204</v>
      </c>
      <c r="D59" s="40">
        <v>1002.2204</v>
      </c>
    </row>
    <row r="60" spans="1:4" x14ac:dyDescent="0.2">
      <c r="A60" s="9" t="s">
        <v>800</v>
      </c>
      <c r="C60" s="40">
        <v>1021.7979</v>
      </c>
      <c r="D60" s="40">
        <v>1021.5794</v>
      </c>
    </row>
    <row r="61" spans="1:4" x14ac:dyDescent="0.2">
      <c r="A61" s="9" t="s">
        <v>801</v>
      </c>
      <c r="C61" s="40">
        <v>13.0123</v>
      </c>
      <c r="D61" s="40">
        <v>13.2339</v>
      </c>
    </row>
    <row r="62" spans="1:4" x14ac:dyDescent="0.2">
      <c r="A62" s="9" t="s">
        <v>802</v>
      </c>
      <c r="C62" s="40">
        <v>13.0123</v>
      </c>
      <c r="D62" s="40">
        <v>13.2339</v>
      </c>
    </row>
    <row r="63" spans="1:4" x14ac:dyDescent="0.2">
      <c r="A63" s="9" t="s">
        <v>803</v>
      </c>
      <c r="C63" s="40">
        <v>10</v>
      </c>
      <c r="D63" s="40">
        <v>10</v>
      </c>
    </row>
    <row r="64" spans="1:4" x14ac:dyDescent="0.2">
      <c r="A64" s="9" t="s">
        <v>804</v>
      </c>
      <c r="C64" s="40">
        <v>10</v>
      </c>
      <c r="D64" s="40">
        <v>10</v>
      </c>
    </row>
    <row r="66" spans="1:5" x14ac:dyDescent="0.2">
      <c r="A66" s="18" t="s">
        <v>46</v>
      </c>
    </row>
    <row r="67" spans="1:5" x14ac:dyDescent="0.2">
      <c r="A67" s="71" t="s">
        <v>67</v>
      </c>
      <c r="B67" s="72"/>
      <c r="C67" s="43" t="s">
        <v>68</v>
      </c>
    </row>
    <row r="68" spans="1:5" x14ac:dyDescent="0.2">
      <c r="A68" s="67" t="s">
        <v>791</v>
      </c>
      <c r="B68" s="68"/>
      <c r="C68" s="44">
        <v>19.596026093999999</v>
      </c>
    </row>
    <row r="69" spans="1:5" x14ac:dyDescent="0.2">
      <c r="A69" s="67" t="s">
        <v>792</v>
      </c>
      <c r="B69" s="68"/>
      <c r="C69" s="44">
        <v>15.963583343</v>
      </c>
    </row>
    <row r="70" spans="1:5" x14ac:dyDescent="0.2">
      <c r="A70" s="67" t="s">
        <v>793</v>
      </c>
      <c r="B70" s="68"/>
      <c r="C70" s="44">
        <v>14.232640885</v>
      </c>
    </row>
    <row r="71" spans="1:5" x14ac:dyDescent="0.2">
      <c r="A71" s="67" t="s">
        <v>794</v>
      </c>
      <c r="B71" s="68"/>
      <c r="C71" s="44">
        <v>14.874763058999999</v>
      </c>
    </row>
    <row r="72" spans="1:5" x14ac:dyDescent="0.2">
      <c r="A72" s="67" t="s">
        <v>796</v>
      </c>
      <c r="B72" s="68"/>
      <c r="C72" s="44">
        <v>16.319839193</v>
      </c>
    </row>
    <row r="73" spans="1:5" x14ac:dyDescent="0.2">
      <c r="A73" s="67" t="s">
        <v>797</v>
      </c>
      <c r="B73" s="68"/>
      <c r="C73" s="44">
        <v>16.502977857000001</v>
      </c>
    </row>
    <row r="74" spans="1:5" x14ac:dyDescent="0.2">
      <c r="A74" s="67" t="s">
        <v>799</v>
      </c>
      <c r="B74" s="68"/>
      <c r="C74" s="44">
        <v>16.716353823999999</v>
      </c>
    </row>
    <row r="75" spans="1:5" x14ac:dyDescent="0.2">
      <c r="A75" s="67" t="s">
        <v>800</v>
      </c>
      <c r="B75" s="68"/>
      <c r="C75" s="44">
        <v>16.859355146999999</v>
      </c>
    </row>
    <row r="76" spans="1:5" x14ac:dyDescent="0.2">
      <c r="A76" s="9" t="s">
        <v>69</v>
      </c>
    </row>
    <row r="77" spans="1:5" x14ac:dyDescent="0.2">
      <c r="A77" s="9" t="s">
        <v>45</v>
      </c>
    </row>
    <row r="79" spans="1:5" x14ac:dyDescent="0.2">
      <c r="A79" s="18" t="s">
        <v>805</v>
      </c>
      <c r="D79" s="42">
        <v>9.0204208986301396E-2</v>
      </c>
      <c r="E79" s="13" t="s">
        <v>48</v>
      </c>
    </row>
    <row r="81" spans="1:4" x14ac:dyDescent="0.2">
      <c r="A81" s="18" t="s">
        <v>49</v>
      </c>
      <c r="D81" s="41" t="s">
        <v>47</v>
      </c>
    </row>
    <row r="83" spans="1:4" x14ac:dyDescent="0.2">
      <c r="A83" s="18" t="s">
        <v>70</v>
      </c>
    </row>
    <row r="84" spans="1:4" x14ac:dyDescent="0.2">
      <c r="A84" s="46" t="s">
        <v>51</v>
      </c>
    </row>
    <row r="86" spans="1:4" x14ac:dyDescent="0.2">
      <c r="A86" s="46"/>
    </row>
  </sheetData>
  <mergeCells count="10">
    <mergeCell ref="A72:B72"/>
    <mergeCell ref="A73:B73"/>
    <mergeCell ref="A74:B74"/>
    <mergeCell ref="A75:B75"/>
    <mergeCell ref="A1:G1"/>
    <mergeCell ref="A67:B67"/>
    <mergeCell ref="A68:B68"/>
    <mergeCell ref="A69:B69"/>
    <mergeCell ref="A70:B70"/>
    <mergeCell ref="A71:B71"/>
  </mergeCells>
  <conditionalFormatting sqref="F2:F3 F5:F65536">
    <cfRule type="cellIs" dxfId="75" priority="1" stopIfTrue="1" operator="between">
      <formula>0.009</formula>
      <formula>-0.009</formula>
    </cfRule>
  </conditionalFormatting>
  <hyperlinks>
    <hyperlink ref="A84" r:id="rId1" tooltip="https://www.franklintempletonindia.com/downloadsServlet/pdf/product-labels-jg9o5k7l" xr:uid="{00000000-0004-0000-0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5"/>
  <sheetViews>
    <sheetView workbookViewId="0">
      <selection sqref="A1:G1"/>
    </sheetView>
  </sheetViews>
  <sheetFormatPr defaultColWidth="9.109375" defaultRowHeight="10.199999999999999" x14ac:dyDescent="0.2"/>
  <cols>
    <col min="1" max="1" width="34.44140625" style="9" bestFit="1" customWidth="1"/>
    <col min="2" max="2" width="20" style="9" bestFit="1" customWidth="1"/>
    <col min="3" max="3" width="44.109375" style="9"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69" t="s">
        <v>806</v>
      </c>
      <c r="B1" s="70"/>
      <c r="C1" s="70"/>
      <c r="D1" s="70"/>
      <c r="E1" s="70"/>
      <c r="F1" s="70"/>
      <c r="G1" s="7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row>
    <row r="5" spans="1:9" x14ac:dyDescent="0.2">
      <c r="A5" s="26" t="s">
        <v>38</v>
      </c>
      <c r="B5" s="26"/>
      <c r="C5" s="26"/>
      <c r="D5" s="32"/>
      <c r="E5" s="33">
        <v>15157.3928492</v>
      </c>
      <c r="F5" s="34">
        <v>100</v>
      </c>
      <c r="G5" s="33"/>
      <c r="H5" s="18"/>
      <c r="I5" s="18"/>
    </row>
    <row r="6" spans="1:9" x14ac:dyDescent="0.2">
      <c r="A6" s="26"/>
      <c r="B6" s="26"/>
      <c r="C6" s="26"/>
      <c r="D6" s="32"/>
      <c r="E6" s="33"/>
      <c r="F6" s="34"/>
      <c r="G6" s="33"/>
      <c r="H6" s="18"/>
      <c r="I6" s="18"/>
    </row>
    <row r="7" spans="1:9" x14ac:dyDescent="0.2">
      <c r="A7" s="35" t="s">
        <v>37</v>
      </c>
      <c r="B7" s="35"/>
      <c r="C7" s="35"/>
      <c r="D7" s="36"/>
      <c r="E7" s="37">
        <v>15157.3928492</v>
      </c>
      <c r="F7" s="38">
        <v>100</v>
      </c>
      <c r="G7" s="37"/>
      <c r="H7" s="18"/>
      <c r="I7" s="18"/>
    </row>
    <row r="9" spans="1:9" x14ac:dyDescent="0.2">
      <c r="A9" s="18" t="s">
        <v>40</v>
      </c>
    </row>
    <row r="10" spans="1:9" x14ac:dyDescent="0.2">
      <c r="A10" s="18" t="s">
        <v>41</v>
      </c>
    </row>
    <row r="11" spans="1:9" x14ac:dyDescent="0.2">
      <c r="A11" s="18" t="s">
        <v>42</v>
      </c>
      <c r="B11" s="18"/>
      <c r="C11" s="39" t="s">
        <v>44</v>
      </c>
      <c r="D11" s="19" t="s">
        <v>43</v>
      </c>
    </row>
    <row r="12" spans="1:9" x14ac:dyDescent="0.2">
      <c r="A12" s="9" t="s">
        <v>71</v>
      </c>
      <c r="C12" s="40">
        <v>1071.385</v>
      </c>
      <c r="D12" s="40">
        <v>1088.0885000000001</v>
      </c>
    </row>
    <row r="13" spans="1:9" x14ac:dyDescent="0.2">
      <c r="A13" s="9" t="s">
        <v>807</v>
      </c>
      <c r="C13" s="40">
        <v>1000</v>
      </c>
      <c r="D13" s="40">
        <v>1000</v>
      </c>
    </row>
    <row r="14" spans="1:9" x14ac:dyDescent="0.2">
      <c r="A14" s="9" t="s">
        <v>808</v>
      </c>
      <c r="C14" s="40">
        <v>1000.3806</v>
      </c>
      <c r="D14" s="40">
        <v>1000.1607</v>
      </c>
    </row>
    <row r="15" spans="1:9" x14ac:dyDescent="0.2">
      <c r="A15" s="9" t="s">
        <v>74</v>
      </c>
      <c r="C15" s="40">
        <v>1072.5155999999999</v>
      </c>
      <c r="D15" s="40">
        <v>1089.5197000000001</v>
      </c>
    </row>
    <row r="16" spans="1:9" x14ac:dyDescent="0.2">
      <c r="A16" s="9" t="s">
        <v>809</v>
      </c>
      <c r="C16" s="40">
        <v>1000</v>
      </c>
      <c r="D16" s="40">
        <v>1000</v>
      </c>
    </row>
    <row r="17" spans="1:5" x14ac:dyDescent="0.2">
      <c r="A17" s="9" t="s">
        <v>810</v>
      </c>
      <c r="C17" s="40">
        <v>1000.3864</v>
      </c>
      <c r="D17" s="40">
        <v>1000.1629</v>
      </c>
    </row>
    <row r="19" spans="1:5" x14ac:dyDescent="0.2">
      <c r="A19" s="18" t="s">
        <v>46</v>
      </c>
    </row>
    <row r="20" spans="1:5" x14ac:dyDescent="0.2">
      <c r="A20" s="71" t="s">
        <v>67</v>
      </c>
      <c r="B20" s="72"/>
      <c r="C20" s="43" t="s">
        <v>68</v>
      </c>
    </row>
    <row r="21" spans="1:5" x14ac:dyDescent="0.2">
      <c r="A21" s="67" t="s">
        <v>807</v>
      </c>
      <c r="B21" s="68"/>
      <c r="C21" s="44">
        <v>15.305161399999999</v>
      </c>
    </row>
    <row r="22" spans="1:5" x14ac:dyDescent="0.2">
      <c r="A22" s="67" t="s">
        <v>808</v>
      </c>
      <c r="B22" s="68"/>
      <c r="C22" s="44">
        <v>15.202793295999999</v>
      </c>
    </row>
    <row r="23" spans="1:5" x14ac:dyDescent="0.2">
      <c r="A23" s="67" t="s">
        <v>809</v>
      </c>
      <c r="B23" s="68"/>
      <c r="C23" s="44">
        <v>15.590193692</v>
      </c>
    </row>
    <row r="24" spans="1:5" x14ac:dyDescent="0.2">
      <c r="A24" s="67" t="s">
        <v>810</v>
      </c>
      <c r="B24" s="68"/>
      <c r="C24" s="44">
        <v>15.44214523</v>
      </c>
    </row>
    <row r="25" spans="1:5" x14ac:dyDescent="0.2">
      <c r="A25" s="9" t="s">
        <v>69</v>
      </c>
    </row>
    <row r="26" spans="1:5" x14ac:dyDescent="0.2">
      <c r="A26" s="9" t="s">
        <v>45</v>
      </c>
    </row>
    <row r="28" spans="1:5" x14ac:dyDescent="0.2">
      <c r="A28" s="18" t="s">
        <v>805</v>
      </c>
      <c r="D28" s="56">
        <v>2.7397260273972599E-3</v>
      </c>
      <c r="E28" s="13" t="s">
        <v>48</v>
      </c>
    </row>
    <row r="30" spans="1:5" x14ac:dyDescent="0.2">
      <c r="A30" s="18" t="s">
        <v>49</v>
      </c>
      <c r="B30" s="18"/>
      <c r="C30" s="18"/>
      <c r="D30" s="57" t="s">
        <v>47</v>
      </c>
    </row>
    <row r="32" spans="1:5" x14ac:dyDescent="0.2">
      <c r="A32" s="18" t="s">
        <v>70</v>
      </c>
    </row>
    <row r="33" spans="1:1" x14ac:dyDescent="0.2">
      <c r="A33" s="46" t="s">
        <v>51</v>
      </c>
    </row>
    <row r="35" spans="1:1" x14ac:dyDescent="0.2">
      <c r="A35" s="46"/>
    </row>
  </sheetData>
  <mergeCells count="6">
    <mergeCell ref="A24:B24"/>
    <mergeCell ref="A1:G1"/>
    <mergeCell ref="A20:B20"/>
    <mergeCell ref="A21:B21"/>
    <mergeCell ref="A22:B22"/>
    <mergeCell ref="A23:B23"/>
  </mergeCells>
  <conditionalFormatting sqref="F2:F3 F5:F65532">
    <cfRule type="cellIs" dxfId="74" priority="1" stopIfTrue="1" operator="between">
      <formula>0.009</formula>
      <formula>-0.009</formula>
    </cfRule>
  </conditionalFormatting>
  <hyperlinks>
    <hyperlink ref="A33" r:id="rId1" tooltip="https://www.franklintempletonindia.com/downloadsServlet/pdf/product-labels-jg9o5k7l" xr:uid="{00000000-0004-0000-0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selection sqref="A1:G1"/>
    </sheetView>
  </sheetViews>
  <sheetFormatPr defaultColWidth="9.109375" defaultRowHeight="10.199999999999999" x14ac:dyDescent="0.2"/>
  <cols>
    <col min="1" max="1" width="34.44140625" style="9" bestFit="1" customWidth="1"/>
    <col min="2" max="2" width="49"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69" t="s">
        <v>811</v>
      </c>
      <c r="B1" s="70"/>
      <c r="C1" s="70"/>
      <c r="D1" s="70"/>
      <c r="E1" s="70"/>
      <c r="F1" s="70"/>
      <c r="G1" s="7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row>
    <row r="5" spans="1:9" x14ac:dyDescent="0.2">
      <c r="A5" s="21" t="s">
        <v>54</v>
      </c>
      <c r="B5" s="22"/>
      <c r="C5" s="22"/>
      <c r="D5" s="23"/>
      <c r="E5" s="24"/>
      <c r="F5" s="25"/>
      <c r="G5" s="24"/>
    </row>
    <row r="6" spans="1:9" x14ac:dyDescent="0.2">
      <c r="A6" s="26" t="s">
        <v>55</v>
      </c>
      <c r="B6" s="27"/>
      <c r="C6" s="27"/>
      <c r="D6" s="28"/>
      <c r="E6" s="29"/>
      <c r="F6" s="30"/>
      <c r="G6" s="29"/>
    </row>
    <row r="7" spans="1:9" x14ac:dyDescent="0.2">
      <c r="A7" s="27" t="s">
        <v>812</v>
      </c>
      <c r="B7" s="27" t="s">
        <v>813</v>
      </c>
      <c r="C7" s="27" t="s">
        <v>56</v>
      </c>
      <c r="D7" s="31">
        <v>5000</v>
      </c>
      <c r="E7" s="29">
        <v>5003.76</v>
      </c>
      <c r="F7" s="30">
        <v>4.7948277506199402</v>
      </c>
      <c r="G7" s="29">
        <v>3.4950000000000001</v>
      </c>
    </row>
    <row r="8" spans="1:9" x14ac:dyDescent="0.2">
      <c r="A8" s="27" t="s">
        <v>814</v>
      </c>
      <c r="B8" s="27" t="s">
        <v>815</v>
      </c>
      <c r="C8" s="27" t="s">
        <v>56</v>
      </c>
      <c r="D8" s="31">
        <v>5000</v>
      </c>
      <c r="E8" s="29">
        <v>4952.585</v>
      </c>
      <c r="F8" s="30">
        <v>4.7457895653076996</v>
      </c>
      <c r="G8" s="29">
        <v>3.36</v>
      </c>
    </row>
    <row r="9" spans="1:9" x14ac:dyDescent="0.2">
      <c r="A9" s="27" t="s">
        <v>816</v>
      </c>
      <c r="B9" s="27" t="s">
        <v>817</v>
      </c>
      <c r="C9" s="27" t="s">
        <v>56</v>
      </c>
      <c r="D9" s="31">
        <v>5000</v>
      </c>
      <c r="E9" s="29">
        <v>4915.7349999999997</v>
      </c>
      <c r="F9" s="30">
        <v>4.7104782389030904</v>
      </c>
      <c r="G9" s="29">
        <v>3.5350000000000001</v>
      </c>
    </row>
    <row r="10" spans="1:9" x14ac:dyDescent="0.2">
      <c r="A10" s="27" t="s">
        <v>818</v>
      </c>
      <c r="B10" s="27" t="s">
        <v>819</v>
      </c>
      <c r="C10" s="27" t="s">
        <v>762</v>
      </c>
      <c r="D10" s="31">
        <v>5000</v>
      </c>
      <c r="E10" s="29">
        <v>4905.53</v>
      </c>
      <c r="F10" s="30">
        <v>4.70069934918914</v>
      </c>
      <c r="G10" s="29">
        <v>3.5501</v>
      </c>
    </row>
    <row r="11" spans="1:9" x14ac:dyDescent="0.2">
      <c r="A11" s="27" t="s">
        <v>820</v>
      </c>
      <c r="B11" s="27" t="s">
        <v>821</v>
      </c>
      <c r="C11" s="27" t="s">
        <v>56</v>
      </c>
      <c r="D11" s="31">
        <v>2500</v>
      </c>
      <c r="E11" s="29">
        <v>2461.8525</v>
      </c>
      <c r="F11" s="30">
        <v>2.3590577255769798</v>
      </c>
      <c r="G11" s="29">
        <v>3.5350000000000001</v>
      </c>
    </row>
    <row r="12" spans="1:9" x14ac:dyDescent="0.2">
      <c r="A12" s="27" t="s">
        <v>822</v>
      </c>
      <c r="B12" s="27" t="s">
        <v>823</v>
      </c>
      <c r="C12" s="27" t="s">
        <v>57</v>
      </c>
      <c r="D12" s="31">
        <v>2500</v>
      </c>
      <c r="E12" s="29">
        <v>2458.1</v>
      </c>
      <c r="F12" s="30">
        <v>2.3554619114023998</v>
      </c>
      <c r="G12" s="29">
        <v>3.5350000000000001</v>
      </c>
    </row>
    <row r="13" spans="1:9" x14ac:dyDescent="0.2">
      <c r="A13" s="26" t="s">
        <v>34</v>
      </c>
      <c r="B13" s="26"/>
      <c r="C13" s="26"/>
      <c r="D13" s="32"/>
      <c r="E13" s="33">
        <f>SUM(E6:E12)</f>
        <v>24697.5625</v>
      </c>
      <c r="F13" s="34">
        <f>SUM(F6:F12)</f>
        <v>23.666314540999252</v>
      </c>
      <c r="G13" s="33"/>
      <c r="H13" s="18"/>
      <c r="I13" s="18"/>
    </row>
    <row r="14" spans="1:9" x14ac:dyDescent="0.2">
      <c r="A14" s="27"/>
      <c r="B14" s="27"/>
      <c r="C14" s="27"/>
      <c r="D14" s="28"/>
      <c r="E14" s="29"/>
      <c r="F14" s="30"/>
      <c r="G14" s="29"/>
    </row>
    <row r="15" spans="1:9" x14ac:dyDescent="0.2">
      <c r="A15" s="26" t="s">
        <v>58</v>
      </c>
      <c r="B15" s="27"/>
      <c r="C15" s="27"/>
      <c r="D15" s="28"/>
      <c r="E15" s="29"/>
      <c r="F15" s="30"/>
      <c r="G15" s="29"/>
    </row>
    <row r="16" spans="1:9" x14ac:dyDescent="0.2">
      <c r="A16" s="27" t="s">
        <v>824</v>
      </c>
      <c r="B16" s="27" t="s">
        <v>825</v>
      </c>
      <c r="C16" s="27" t="s">
        <v>56</v>
      </c>
      <c r="D16" s="31">
        <v>1000</v>
      </c>
      <c r="E16" s="29">
        <v>4919.1750000000002</v>
      </c>
      <c r="F16" s="30">
        <v>4.7137746015308197</v>
      </c>
      <c r="G16" s="29">
        <v>4.0248999999999997</v>
      </c>
    </row>
    <row r="17" spans="1:9" x14ac:dyDescent="0.2">
      <c r="A17" s="27" t="s">
        <v>826</v>
      </c>
      <c r="B17" s="27" t="s">
        <v>827</v>
      </c>
      <c r="C17" s="27" t="s">
        <v>57</v>
      </c>
      <c r="D17" s="31">
        <v>1000</v>
      </c>
      <c r="E17" s="29">
        <v>4911.66</v>
      </c>
      <c r="F17" s="30">
        <v>4.7065733907321601</v>
      </c>
      <c r="G17" s="29">
        <v>3.73</v>
      </c>
    </row>
    <row r="18" spans="1:9" x14ac:dyDescent="0.2">
      <c r="A18" s="27" t="s">
        <v>60</v>
      </c>
      <c r="B18" s="27" t="s">
        <v>59</v>
      </c>
      <c r="C18" s="27" t="s">
        <v>61</v>
      </c>
      <c r="D18" s="31">
        <v>1000</v>
      </c>
      <c r="E18" s="29">
        <v>4910.76</v>
      </c>
      <c r="F18" s="30">
        <v>4.70571097027723</v>
      </c>
      <c r="G18" s="29">
        <v>3.6850999999999998</v>
      </c>
    </row>
    <row r="19" spans="1:9" x14ac:dyDescent="0.2">
      <c r="A19" s="27" t="s">
        <v>828</v>
      </c>
      <c r="B19" s="27" t="s">
        <v>829</v>
      </c>
      <c r="C19" s="27" t="s">
        <v>56</v>
      </c>
      <c r="D19" s="31">
        <v>1000</v>
      </c>
      <c r="E19" s="29">
        <v>4874.0050000000001</v>
      </c>
      <c r="F19" s="30">
        <v>4.67049067714286</v>
      </c>
      <c r="G19" s="29">
        <v>4.1749999999999998</v>
      </c>
    </row>
    <row r="20" spans="1:9" x14ac:dyDescent="0.2">
      <c r="A20" s="27" t="s">
        <v>830</v>
      </c>
      <c r="B20" s="27" t="s">
        <v>831</v>
      </c>
      <c r="C20" s="27" t="s">
        <v>56</v>
      </c>
      <c r="D20" s="31">
        <v>900</v>
      </c>
      <c r="E20" s="29">
        <v>4401.7335000000003</v>
      </c>
      <c r="F20" s="30">
        <v>4.21793889727594</v>
      </c>
      <c r="G20" s="29">
        <v>3.9748999999999999</v>
      </c>
    </row>
    <row r="21" spans="1:9" x14ac:dyDescent="0.2">
      <c r="A21" s="27" t="s">
        <v>63</v>
      </c>
      <c r="B21" s="27" t="s">
        <v>62</v>
      </c>
      <c r="C21" s="27" t="s">
        <v>56</v>
      </c>
      <c r="D21" s="31">
        <v>500</v>
      </c>
      <c r="E21" s="29">
        <v>2491.1624999999999</v>
      </c>
      <c r="F21" s="30">
        <v>2.38714388505919</v>
      </c>
      <c r="G21" s="29">
        <v>3.4996</v>
      </c>
    </row>
    <row r="22" spans="1:9" x14ac:dyDescent="0.2">
      <c r="A22" s="27" t="s">
        <v>832</v>
      </c>
      <c r="B22" s="27" t="s">
        <v>833</v>
      </c>
      <c r="C22" s="27" t="s">
        <v>56</v>
      </c>
      <c r="D22" s="31">
        <v>500</v>
      </c>
      <c r="E22" s="29">
        <v>2456.4699999999998</v>
      </c>
      <c r="F22" s="30">
        <v>2.3538999721340299</v>
      </c>
      <c r="G22" s="29">
        <v>3.85</v>
      </c>
    </row>
    <row r="23" spans="1:9" x14ac:dyDescent="0.2">
      <c r="A23" s="27" t="s">
        <v>834</v>
      </c>
      <c r="B23" s="27" t="s">
        <v>835</v>
      </c>
      <c r="C23" s="27" t="s">
        <v>56</v>
      </c>
      <c r="D23" s="31">
        <v>500</v>
      </c>
      <c r="E23" s="29">
        <v>2447.0025000000001</v>
      </c>
      <c r="F23" s="30">
        <v>2.3448277880706501</v>
      </c>
      <c r="G23" s="29">
        <v>4.0750000000000002</v>
      </c>
    </row>
    <row r="24" spans="1:9" x14ac:dyDescent="0.2">
      <c r="A24" s="26" t="s">
        <v>34</v>
      </c>
      <c r="B24" s="26"/>
      <c r="C24" s="26"/>
      <c r="D24" s="32"/>
      <c r="E24" s="33">
        <f>SUM(E15:E23)</f>
        <v>31411.968499999999</v>
      </c>
      <c r="F24" s="34">
        <f>SUM(F15:F23)</f>
        <v>30.100360182222879</v>
      </c>
      <c r="G24" s="33"/>
      <c r="H24" s="18"/>
      <c r="I24" s="18"/>
    </row>
    <row r="25" spans="1:9" x14ac:dyDescent="0.2">
      <c r="A25" s="27"/>
      <c r="B25" s="27"/>
      <c r="C25" s="27"/>
      <c r="D25" s="28"/>
      <c r="E25" s="29"/>
      <c r="F25" s="30"/>
      <c r="G25" s="29"/>
    </row>
    <row r="26" spans="1:9" x14ac:dyDescent="0.2">
      <c r="A26" s="26" t="s">
        <v>775</v>
      </c>
      <c r="B26" s="27"/>
      <c r="C26" s="27"/>
      <c r="D26" s="28"/>
      <c r="E26" s="29"/>
      <c r="F26" s="30"/>
      <c r="G26" s="29"/>
    </row>
    <row r="27" spans="1:9" x14ac:dyDescent="0.2">
      <c r="A27" s="27" t="s">
        <v>836</v>
      </c>
      <c r="B27" s="27" t="s">
        <v>837</v>
      </c>
      <c r="C27" s="27" t="s">
        <v>65</v>
      </c>
      <c r="D27" s="31">
        <v>10000000</v>
      </c>
      <c r="E27" s="29">
        <v>9805.3700000000008</v>
      </c>
      <c r="F27" s="30">
        <v>9.3959462846132205</v>
      </c>
      <c r="G27" s="29">
        <v>3.45</v>
      </c>
    </row>
    <row r="28" spans="1:9" x14ac:dyDescent="0.2">
      <c r="A28" s="27" t="s">
        <v>838</v>
      </c>
      <c r="B28" s="27" t="s">
        <v>839</v>
      </c>
      <c r="C28" s="27" t="s">
        <v>65</v>
      </c>
      <c r="D28" s="31">
        <v>5000000</v>
      </c>
      <c r="E28" s="29">
        <v>4949.2849999999999</v>
      </c>
      <c r="F28" s="30">
        <v>4.7426273569729602</v>
      </c>
      <c r="G28" s="29">
        <v>3.3098999999999998</v>
      </c>
    </row>
    <row r="29" spans="1:9" x14ac:dyDescent="0.2">
      <c r="A29" s="27" t="s">
        <v>840</v>
      </c>
      <c r="B29" s="27" t="s">
        <v>841</v>
      </c>
      <c r="C29" s="27" t="s">
        <v>65</v>
      </c>
      <c r="D29" s="31">
        <v>5000000</v>
      </c>
      <c r="E29" s="29">
        <v>4945.8549999999996</v>
      </c>
      <c r="F29" s="30">
        <v>4.7393405767947296</v>
      </c>
      <c r="G29" s="29">
        <v>3.3298999999999999</v>
      </c>
    </row>
    <row r="30" spans="1:9" x14ac:dyDescent="0.2">
      <c r="A30" s="27" t="s">
        <v>842</v>
      </c>
      <c r="B30" s="27" t="s">
        <v>843</v>
      </c>
      <c r="C30" s="27" t="s">
        <v>65</v>
      </c>
      <c r="D30" s="31">
        <v>5000000</v>
      </c>
      <c r="E30" s="29">
        <v>4905.415</v>
      </c>
      <c r="F30" s="30">
        <v>4.7005891510198996</v>
      </c>
      <c r="G30" s="29">
        <v>3.4499</v>
      </c>
    </row>
    <row r="31" spans="1:9" x14ac:dyDescent="0.2">
      <c r="A31" s="26" t="s">
        <v>34</v>
      </c>
      <c r="B31" s="26"/>
      <c r="C31" s="26"/>
      <c r="D31" s="32"/>
      <c r="E31" s="33">
        <f>SUM(E26:E30)</f>
        <v>24605.925000000003</v>
      </c>
      <c r="F31" s="34">
        <f>SUM(F26:F30)</f>
        <v>23.578503369400806</v>
      </c>
      <c r="G31" s="33"/>
      <c r="H31" s="18"/>
      <c r="I31" s="18"/>
    </row>
    <row r="32" spans="1:9" x14ac:dyDescent="0.2">
      <c r="A32" s="27"/>
      <c r="B32" s="27"/>
      <c r="C32" s="27"/>
      <c r="D32" s="28"/>
      <c r="E32" s="29"/>
      <c r="F32" s="30"/>
      <c r="G32" s="29"/>
    </row>
    <row r="33" spans="1:9" x14ac:dyDescent="0.2">
      <c r="A33" s="26" t="s">
        <v>64</v>
      </c>
      <c r="B33" s="27"/>
      <c r="C33" s="27"/>
      <c r="D33" s="28"/>
      <c r="E33" s="29"/>
      <c r="F33" s="30"/>
      <c r="G33" s="29"/>
    </row>
    <row r="34" spans="1:9" x14ac:dyDescent="0.2">
      <c r="A34" s="27" t="s">
        <v>844</v>
      </c>
      <c r="B34" s="27" t="s">
        <v>845</v>
      </c>
      <c r="C34" s="27" t="s">
        <v>65</v>
      </c>
      <c r="D34" s="31">
        <v>10000000</v>
      </c>
      <c r="E34" s="29">
        <v>10208.629999999999</v>
      </c>
      <c r="F34" s="30">
        <v>9.7823681431186298</v>
      </c>
      <c r="G34" s="29">
        <v>3.5184000000000002</v>
      </c>
    </row>
    <row r="35" spans="1:9" x14ac:dyDescent="0.2">
      <c r="A35" s="27" t="s">
        <v>846</v>
      </c>
      <c r="B35" s="27" t="s">
        <v>847</v>
      </c>
      <c r="C35" s="27" t="s">
        <v>65</v>
      </c>
      <c r="D35" s="31">
        <v>5000000</v>
      </c>
      <c r="E35" s="29">
        <v>5050.25</v>
      </c>
      <c r="F35" s="30">
        <v>4.8393765583418</v>
      </c>
      <c r="G35" s="29">
        <v>3.2637</v>
      </c>
    </row>
    <row r="36" spans="1:9" x14ac:dyDescent="0.2">
      <c r="A36" s="26" t="s">
        <v>34</v>
      </c>
      <c r="B36" s="26"/>
      <c r="C36" s="26"/>
      <c r="D36" s="32"/>
      <c r="E36" s="33">
        <f>SUM(E34:E35)</f>
        <v>15258.88</v>
      </c>
      <c r="F36" s="34">
        <f>SUM(F34:F35)</f>
        <v>14.621744701460429</v>
      </c>
      <c r="G36" s="33"/>
      <c r="H36" s="18"/>
      <c r="I36" s="18"/>
    </row>
    <row r="37" spans="1:9" x14ac:dyDescent="0.2">
      <c r="A37" s="27"/>
      <c r="B37" s="27"/>
      <c r="C37" s="27"/>
      <c r="D37" s="28"/>
      <c r="E37" s="29"/>
      <c r="F37" s="30"/>
      <c r="G37" s="29"/>
    </row>
    <row r="38" spans="1:9" x14ac:dyDescent="0.2">
      <c r="A38" s="26" t="s">
        <v>36</v>
      </c>
      <c r="B38" s="26"/>
      <c r="C38" s="26"/>
      <c r="D38" s="32"/>
      <c r="E38" s="33">
        <f>E13+E24+E31+E36</f>
        <v>95974.33600000001</v>
      </c>
      <c r="F38" s="34">
        <f>F13+F24+F31+F36</f>
        <v>91.966922794083374</v>
      </c>
      <c r="G38" s="33"/>
      <c r="H38" s="18"/>
      <c r="I38" s="18"/>
    </row>
    <row r="39" spans="1:9" x14ac:dyDescent="0.2">
      <c r="A39" s="26"/>
      <c r="B39" s="26"/>
      <c r="C39" s="26"/>
      <c r="D39" s="32"/>
      <c r="E39" s="33"/>
      <c r="F39" s="34"/>
      <c r="G39" s="33"/>
      <c r="H39" s="18"/>
      <c r="I39" s="18"/>
    </row>
    <row r="40" spans="1:9" x14ac:dyDescent="0.2">
      <c r="A40" s="26" t="s">
        <v>38</v>
      </c>
      <c r="B40" s="26"/>
      <c r="C40" s="26"/>
      <c r="D40" s="32"/>
      <c r="E40" s="33">
        <f>E42-(E13+E24+E31+E36)</f>
        <v>8383.1145747999835</v>
      </c>
      <c r="F40" s="34">
        <f>F42-(F13+F24+F31+F36)</f>
        <v>8.0330772059166264</v>
      </c>
      <c r="G40" s="33"/>
      <c r="H40" s="18"/>
      <c r="I40" s="18"/>
    </row>
    <row r="41" spans="1:9" x14ac:dyDescent="0.2">
      <c r="A41" s="26"/>
      <c r="B41" s="26"/>
      <c r="C41" s="26"/>
      <c r="D41" s="32"/>
      <c r="E41" s="33"/>
      <c r="F41" s="34"/>
      <c r="G41" s="33"/>
      <c r="H41" s="18"/>
      <c r="I41" s="18"/>
    </row>
    <row r="42" spans="1:9" x14ac:dyDescent="0.2">
      <c r="A42" s="35" t="s">
        <v>37</v>
      </c>
      <c r="B42" s="35"/>
      <c r="C42" s="35"/>
      <c r="D42" s="36"/>
      <c r="E42" s="37">
        <v>104357.45057479999</v>
      </c>
      <c r="F42" s="38">
        <v>100</v>
      </c>
      <c r="G42" s="37"/>
      <c r="H42" s="18"/>
      <c r="I42" s="18"/>
    </row>
    <row r="44" spans="1:9" x14ac:dyDescent="0.2">
      <c r="A44" s="18" t="s">
        <v>66</v>
      </c>
    </row>
    <row r="45" spans="1:9" x14ac:dyDescent="0.2">
      <c r="A45" s="18" t="s">
        <v>39</v>
      </c>
    </row>
    <row r="47" spans="1:9" x14ac:dyDescent="0.2">
      <c r="A47" s="18" t="s">
        <v>40</v>
      </c>
    </row>
    <row r="48" spans="1:9" x14ac:dyDescent="0.2">
      <c r="A48" s="18" t="s">
        <v>41</v>
      </c>
    </row>
    <row r="49" spans="1:4" x14ac:dyDescent="0.2">
      <c r="A49" s="18" t="s">
        <v>42</v>
      </c>
      <c r="B49" s="18"/>
      <c r="C49" s="39" t="s">
        <v>44</v>
      </c>
      <c r="D49" s="19" t="s">
        <v>43</v>
      </c>
    </row>
    <row r="50" spans="1:4" x14ac:dyDescent="0.2">
      <c r="A50" s="9" t="s">
        <v>848</v>
      </c>
      <c r="C50" s="40">
        <v>38.783099999999997</v>
      </c>
      <c r="D50" s="40">
        <v>39.555999999999997</v>
      </c>
    </row>
    <row r="51" spans="1:4" x14ac:dyDescent="0.2">
      <c r="A51" s="9" t="s">
        <v>849</v>
      </c>
      <c r="C51" s="40">
        <v>10.1099</v>
      </c>
      <c r="D51" s="40">
        <v>10.1074</v>
      </c>
    </row>
    <row r="52" spans="1:4" x14ac:dyDescent="0.2">
      <c r="A52" s="9" t="s">
        <v>850</v>
      </c>
      <c r="C52" s="40">
        <v>10.120200000000001</v>
      </c>
      <c r="D52" s="40">
        <v>10.1403</v>
      </c>
    </row>
    <row r="53" spans="1:4" x14ac:dyDescent="0.2">
      <c r="A53" s="9" t="s">
        <v>851</v>
      </c>
      <c r="C53" s="40">
        <v>10.6563</v>
      </c>
      <c r="D53" s="40">
        <v>10.4381</v>
      </c>
    </row>
    <row r="54" spans="1:4" x14ac:dyDescent="0.2">
      <c r="A54" s="9" t="s">
        <v>852</v>
      </c>
      <c r="C54" s="40">
        <v>39.794199999999996</v>
      </c>
      <c r="D54" s="40">
        <v>40.620600000000003</v>
      </c>
    </row>
    <row r="55" spans="1:4" x14ac:dyDescent="0.2">
      <c r="A55" s="9" t="s">
        <v>853</v>
      </c>
      <c r="C55" s="40">
        <v>10.1198</v>
      </c>
      <c r="D55" s="40">
        <v>10.1175</v>
      </c>
    </row>
    <row r="56" spans="1:4" x14ac:dyDescent="0.2">
      <c r="A56" s="9" t="s">
        <v>854</v>
      </c>
      <c r="C56" s="40">
        <v>10.463800000000001</v>
      </c>
      <c r="D56" s="40">
        <v>10.498900000000001</v>
      </c>
    </row>
    <row r="57" spans="1:4" x14ac:dyDescent="0.2">
      <c r="A57" s="9" t="s">
        <v>855</v>
      </c>
      <c r="C57" s="40">
        <v>11.049300000000001</v>
      </c>
      <c r="D57" s="40">
        <v>10.8475</v>
      </c>
    </row>
    <row r="59" spans="1:4" x14ac:dyDescent="0.2">
      <c r="A59" s="18" t="s">
        <v>46</v>
      </c>
    </row>
    <row r="60" spans="1:4" x14ac:dyDescent="0.2">
      <c r="A60" s="71" t="s">
        <v>67</v>
      </c>
      <c r="B60" s="72"/>
      <c r="C60" s="43" t="s">
        <v>68</v>
      </c>
    </row>
    <row r="61" spans="1:4" x14ac:dyDescent="0.2">
      <c r="A61" s="67" t="s">
        <v>849</v>
      </c>
      <c r="B61" s="68"/>
      <c r="C61" s="44">
        <v>0.20199947009999999</v>
      </c>
    </row>
    <row r="62" spans="1:4" x14ac:dyDescent="0.2">
      <c r="A62" s="67" t="s">
        <v>850</v>
      </c>
      <c r="B62" s="68"/>
      <c r="C62" s="44">
        <v>0.18</v>
      </c>
    </row>
    <row r="63" spans="1:4" x14ac:dyDescent="0.2">
      <c r="A63" s="67" t="s">
        <v>851</v>
      </c>
      <c r="B63" s="68"/>
      <c r="C63" s="44">
        <v>0.42499999999999999</v>
      </c>
    </row>
    <row r="64" spans="1:4" x14ac:dyDescent="0.2">
      <c r="A64" s="67" t="s">
        <v>853</v>
      </c>
      <c r="B64" s="68"/>
      <c r="C64" s="44">
        <v>0.2097960318</v>
      </c>
    </row>
    <row r="65" spans="1:5" x14ac:dyDescent="0.2">
      <c r="A65" s="67" t="s">
        <v>854</v>
      </c>
      <c r="B65" s="68"/>
      <c r="C65" s="44">
        <v>0.18</v>
      </c>
    </row>
    <row r="66" spans="1:5" x14ac:dyDescent="0.2">
      <c r="A66" s="67" t="s">
        <v>855</v>
      </c>
      <c r="B66" s="68"/>
      <c r="C66" s="44">
        <v>0.42499999999999999</v>
      </c>
    </row>
    <row r="67" spans="1:5" x14ac:dyDescent="0.2">
      <c r="A67" s="9" t="s">
        <v>69</v>
      </c>
    </row>
    <row r="68" spans="1:5" x14ac:dyDescent="0.2">
      <c r="A68" s="9" t="s">
        <v>45</v>
      </c>
    </row>
    <row r="70" spans="1:5" x14ac:dyDescent="0.2">
      <c r="A70" s="18" t="s">
        <v>805</v>
      </c>
      <c r="D70" s="42">
        <v>0.40876465345205498</v>
      </c>
      <c r="E70" s="13" t="s">
        <v>48</v>
      </c>
    </row>
    <row r="72" spans="1:5" x14ac:dyDescent="0.2">
      <c r="A72" s="18" t="s">
        <v>49</v>
      </c>
      <c r="D72" s="41" t="s">
        <v>47</v>
      </c>
    </row>
    <row r="74" spans="1:5" x14ac:dyDescent="0.2">
      <c r="A74" s="18" t="s">
        <v>70</v>
      </c>
    </row>
    <row r="75" spans="1:5" x14ac:dyDescent="0.2">
      <c r="A75" s="46" t="s">
        <v>51</v>
      </c>
    </row>
    <row r="77" spans="1:5" x14ac:dyDescent="0.2">
      <c r="A77" s="46"/>
    </row>
  </sheetData>
  <mergeCells count="8">
    <mergeCell ref="A65:B65"/>
    <mergeCell ref="A66:B66"/>
    <mergeCell ref="A1:G1"/>
    <mergeCell ref="A60:B60"/>
    <mergeCell ref="A61:B61"/>
    <mergeCell ref="A62:B62"/>
    <mergeCell ref="A63:B63"/>
    <mergeCell ref="A64:B64"/>
  </mergeCells>
  <conditionalFormatting sqref="F2:F3 F5:F65536">
    <cfRule type="cellIs" dxfId="73" priority="1" stopIfTrue="1" operator="between">
      <formula>0.009</formula>
      <formula>-0.009</formula>
    </cfRule>
  </conditionalFormatting>
  <hyperlinks>
    <hyperlink ref="A75" r:id="rId1" tooltip="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3"/>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69" t="s">
        <v>856</v>
      </c>
      <c r="B1" s="70"/>
      <c r="C1" s="70"/>
      <c r="D1" s="70"/>
      <c r="E1" s="70"/>
      <c r="F1" s="70"/>
      <c r="G1" s="7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857</v>
      </c>
      <c r="B7" s="27" t="s">
        <v>858</v>
      </c>
      <c r="C7" s="27" t="s">
        <v>52</v>
      </c>
      <c r="D7" s="31">
        <v>250</v>
      </c>
      <c r="E7" s="29">
        <v>2572.59</v>
      </c>
      <c r="F7" s="30">
        <v>7.1303110234543903</v>
      </c>
      <c r="G7" s="29">
        <v>4.1399999999999997</v>
      </c>
    </row>
    <row r="8" spans="1:9" x14ac:dyDescent="0.2">
      <c r="A8" s="27" t="s">
        <v>859</v>
      </c>
      <c r="B8" s="27" t="s">
        <v>860</v>
      </c>
      <c r="C8" s="27" t="s">
        <v>861</v>
      </c>
      <c r="D8" s="31">
        <v>250</v>
      </c>
      <c r="E8" s="29">
        <v>2530.9274999999998</v>
      </c>
      <c r="F8" s="30">
        <v>7.0148372856980199</v>
      </c>
      <c r="G8" s="29">
        <v>5.5944500000000001</v>
      </c>
    </row>
    <row r="9" spans="1:9" x14ac:dyDescent="0.2">
      <c r="A9" s="27" t="s">
        <v>94</v>
      </c>
      <c r="B9" s="27" t="s">
        <v>93</v>
      </c>
      <c r="C9" s="27" t="s">
        <v>33</v>
      </c>
      <c r="D9" s="31">
        <v>100</v>
      </c>
      <c r="E9" s="29">
        <v>1015.45</v>
      </c>
      <c r="F9" s="30">
        <v>2.8144688149945201</v>
      </c>
      <c r="G9" s="29">
        <v>8.2271000000000001</v>
      </c>
    </row>
    <row r="10" spans="1:9" x14ac:dyDescent="0.2">
      <c r="A10" s="27" t="s">
        <v>862</v>
      </c>
      <c r="B10" s="27" t="s">
        <v>863</v>
      </c>
      <c r="C10" s="27" t="s">
        <v>864</v>
      </c>
      <c r="D10" s="31">
        <v>100</v>
      </c>
      <c r="E10" s="29">
        <v>997.447</v>
      </c>
      <c r="F10" s="30">
        <v>2.7645708563787901</v>
      </c>
      <c r="G10" s="29">
        <v>9.0511999999999997</v>
      </c>
    </row>
    <row r="11" spans="1:9" x14ac:dyDescent="0.2">
      <c r="A11" s="26" t="s">
        <v>34</v>
      </c>
      <c r="B11" s="26"/>
      <c r="C11" s="26"/>
      <c r="D11" s="32"/>
      <c r="E11" s="33">
        <f>SUM(E6:E10)</f>
        <v>7116.4144999999999</v>
      </c>
      <c r="F11" s="34">
        <f>SUM(F6:F10)</f>
        <v>19.72418798052572</v>
      </c>
      <c r="G11" s="33"/>
      <c r="H11" s="18"/>
      <c r="I11" s="18"/>
    </row>
    <row r="12" spans="1:9" x14ac:dyDescent="0.2">
      <c r="A12" s="27"/>
      <c r="B12" s="27"/>
      <c r="C12" s="27"/>
      <c r="D12" s="28"/>
      <c r="E12" s="29"/>
      <c r="F12" s="30"/>
      <c r="G12" s="29"/>
    </row>
    <row r="13" spans="1:9" x14ac:dyDescent="0.2">
      <c r="A13" s="26" t="s">
        <v>54</v>
      </c>
      <c r="B13" s="27"/>
      <c r="C13" s="27"/>
      <c r="D13" s="28"/>
      <c r="E13" s="29"/>
      <c r="F13" s="30"/>
      <c r="G13" s="29"/>
    </row>
    <row r="14" spans="1:9" x14ac:dyDescent="0.2">
      <c r="A14" s="26" t="s">
        <v>55</v>
      </c>
      <c r="B14" s="27"/>
      <c r="C14" s="27"/>
      <c r="D14" s="28"/>
      <c r="E14" s="29"/>
      <c r="F14" s="30"/>
      <c r="G14" s="29"/>
    </row>
    <row r="15" spans="1:9" x14ac:dyDescent="0.2">
      <c r="A15" s="27" t="s">
        <v>812</v>
      </c>
      <c r="B15" s="27" t="s">
        <v>813</v>
      </c>
      <c r="C15" s="27" t="s">
        <v>56</v>
      </c>
      <c r="D15" s="31">
        <v>1000</v>
      </c>
      <c r="E15" s="29">
        <v>1000.752</v>
      </c>
      <c r="F15" s="30">
        <v>2.7737311492869199</v>
      </c>
      <c r="G15" s="29">
        <v>3.4950000000000001</v>
      </c>
    </row>
    <row r="16" spans="1:9" x14ac:dyDescent="0.2">
      <c r="A16" s="26" t="s">
        <v>34</v>
      </c>
      <c r="B16" s="26"/>
      <c r="C16" s="26"/>
      <c r="D16" s="32"/>
      <c r="E16" s="33">
        <f>SUM(E14:E15)</f>
        <v>1000.752</v>
      </c>
      <c r="F16" s="34">
        <f>SUM(F14:F15)</f>
        <v>2.7737311492869199</v>
      </c>
      <c r="G16" s="33"/>
      <c r="H16" s="18"/>
      <c r="I16" s="18"/>
    </row>
    <row r="17" spans="1:9" x14ac:dyDescent="0.2">
      <c r="A17" s="27"/>
      <c r="B17" s="27"/>
      <c r="C17" s="27"/>
      <c r="D17" s="28"/>
      <c r="E17" s="29"/>
      <c r="F17" s="30"/>
      <c r="G17" s="29"/>
    </row>
    <row r="18" spans="1:9" x14ac:dyDescent="0.2">
      <c r="A18" s="26" t="s">
        <v>58</v>
      </c>
      <c r="B18" s="27"/>
      <c r="C18" s="27"/>
      <c r="D18" s="28"/>
      <c r="E18" s="29"/>
      <c r="F18" s="30"/>
      <c r="G18" s="29"/>
    </row>
    <row r="19" spans="1:9" x14ac:dyDescent="0.2">
      <c r="A19" s="27" t="s">
        <v>865</v>
      </c>
      <c r="B19" s="27" t="s">
        <v>866</v>
      </c>
      <c r="C19" s="27" t="s">
        <v>56</v>
      </c>
      <c r="D19" s="31">
        <v>500</v>
      </c>
      <c r="E19" s="29">
        <v>2472.6849999999999</v>
      </c>
      <c r="F19" s="30">
        <v>6.8534096428231202</v>
      </c>
      <c r="G19" s="29">
        <v>3.36</v>
      </c>
    </row>
    <row r="20" spans="1:9" x14ac:dyDescent="0.2">
      <c r="A20" s="27" t="s">
        <v>867</v>
      </c>
      <c r="B20" s="27" t="s">
        <v>868</v>
      </c>
      <c r="C20" s="27" t="s">
        <v>56</v>
      </c>
      <c r="D20" s="31">
        <v>500</v>
      </c>
      <c r="E20" s="29">
        <v>2414.7550000000001</v>
      </c>
      <c r="F20" s="30">
        <v>6.6928481395953501</v>
      </c>
      <c r="G20" s="29">
        <v>4.1699000000000002</v>
      </c>
    </row>
    <row r="21" spans="1:9" x14ac:dyDescent="0.2">
      <c r="A21" s="26" t="s">
        <v>34</v>
      </c>
      <c r="B21" s="26"/>
      <c r="C21" s="26"/>
      <c r="D21" s="32"/>
      <c r="E21" s="33">
        <f>SUM(E18:E20)</f>
        <v>4887.4400000000005</v>
      </c>
      <c r="F21" s="34">
        <f>SUM(F18:F20)</f>
        <v>13.54625778241847</v>
      </c>
      <c r="G21" s="33"/>
      <c r="H21" s="18"/>
      <c r="I21" s="18"/>
    </row>
    <row r="22" spans="1:9" x14ac:dyDescent="0.2">
      <c r="A22" s="27"/>
      <c r="B22" s="27"/>
      <c r="C22" s="27"/>
      <c r="D22" s="28"/>
      <c r="E22" s="29"/>
      <c r="F22" s="30"/>
      <c r="G22" s="29"/>
    </row>
    <row r="23" spans="1:9" x14ac:dyDescent="0.2">
      <c r="A23" s="26" t="s">
        <v>64</v>
      </c>
      <c r="B23" s="27"/>
      <c r="C23" s="27"/>
      <c r="D23" s="28"/>
      <c r="E23" s="29"/>
      <c r="F23" s="30"/>
      <c r="G23" s="29"/>
    </row>
    <row r="24" spans="1:9" x14ac:dyDescent="0.2">
      <c r="A24" s="27" t="s">
        <v>869</v>
      </c>
      <c r="B24" s="27" t="s">
        <v>870</v>
      </c>
      <c r="C24" s="27" t="s">
        <v>65</v>
      </c>
      <c r="D24" s="31">
        <v>6500000</v>
      </c>
      <c r="E24" s="29">
        <v>6435.0585000000001</v>
      </c>
      <c r="F24" s="30">
        <v>17.835709755197598</v>
      </c>
      <c r="G24" s="29">
        <v>3.8451494452156001</v>
      </c>
    </row>
    <row r="25" spans="1:9" x14ac:dyDescent="0.2">
      <c r="A25" s="27" t="s">
        <v>871</v>
      </c>
      <c r="B25" s="27" t="s">
        <v>872</v>
      </c>
      <c r="C25" s="27" t="s">
        <v>65</v>
      </c>
      <c r="D25" s="31">
        <v>6000000</v>
      </c>
      <c r="E25" s="29">
        <v>6098.4719999999998</v>
      </c>
      <c r="F25" s="30">
        <v>16.902810835705601</v>
      </c>
      <c r="G25" s="29">
        <v>4.5216447804772102</v>
      </c>
    </row>
    <row r="26" spans="1:9" x14ac:dyDescent="0.2">
      <c r="A26" s="27" t="s">
        <v>873</v>
      </c>
      <c r="B26" s="27" t="s">
        <v>874</v>
      </c>
      <c r="C26" s="27" t="s">
        <v>65</v>
      </c>
      <c r="D26" s="31">
        <v>3000000</v>
      </c>
      <c r="E26" s="29">
        <v>3028.4940000000001</v>
      </c>
      <c r="F26" s="30">
        <v>8.39391591845785</v>
      </c>
      <c r="G26" s="29">
        <v>4.4728386541241898</v>
      </c>
    </row>
    <row r="27" spans="1:9" x14ac:dyDescent="0.2">
      <c r="A27" s="27" t="s">
        <v>875</v>
      </c>
      <c r="B27" s="27" t="s">
        <v>876</v>
      </c>
      <c r="C27" s="27" t="s">
        <v>65</v>
      </c>
      <c r="D27" s="31">
        <v>2000000</v>
      </c>
      <c r="E27" s="29">
        <v>2064.4520000000002</v>
      </c>
      <c r="F27" s="30">
        <v>5.7219319257994696</v>
      </c>
      <c r="G27" s="29">
        <v>3.6503999999999999</v>
      </c>
    </row>
    <row r="28" spans="1:9" x14ac:dyDescent="0.2">
      <c r="A28" s="27" t="s">
        <v>877</v>
      </c>
      <c r="B28" s="27" t="s">
        <v>878</v>
      </c>
      <c r="C28" s="27" t="s">
        <v>65</v>
      </c>
      <c r="D28" s="31">
        <v>1000000</v>
      </c>
      <c r="E28" s="29">
        <v>1002.3</v>
      </c>
      <c r="F28" s="30">
        <v>2.77802165864298</v>
      </c>
      <c r="G28" s="29">
        <v>4.3651</v>
      </c>
    </row>
    <row r="29" spans="1:9" x14ac:dyDescent="0.2">
      <c r="A29" s="27" t="s">
        <v>879</v>
      </c>
      <c r="B29" s="27" t="s">
        <v>880</v>
      </c>
      <c r="C29" s="27" t="s">
        <v>65</v>
      </c>
      <c r="D29" s="31">
        <v>500000</v>
      </c>
      <c r="E29" s="29">
        <v>518.78150000000005</v>
      </c>
      <c r="F29" s="30">
        <v>1.4378791211247099</v>
      </c>
      <c r="G29" s="29">
        <v>3.8439000000000001</v>
      </c>
    </row>
    <row r="30" spans="1:9" x14ac:dyDescent="0.2">
      <c r="A30" s="26" t="s">
        <v>34</v>
      </c>
      <c r="B30" s="26"/>
      <c r="C30" s="26"/>
      <c r="D30" s="32"/>
      <c r="E30" s="33">
        <f>SUM(E24:E29)</f>
        <v>19147.558000000001</v>
      </c>
      <c r="F30" s="34">
        <f>SUM(F24:F29)</f>
        <v>53.070269214928203</v>
      </c>
      <c r="G30" s="33"/>
      <c r="H30" s="18"/>
      <c r="I30" s="18"/>
    </row>
    <row r="31" spans="1:9" x14ac:dyDescent="0.2">
      <c r="A31" s="27"/>
      <c r="B31" s="27"/>
      <c r="C31" s="27"/>
      <c r="D31" s="28"/>
      <c r="E31" s="29"/>
      <c r="F31" s="30"/>
      <c r="G31" s="29"/>
    </row>
    <row r="32" spans="1:9" x14ac:dyDescent="0.2">
      <c r="A32" s="26" t="s">
        <v>36</v>
      </c>
      <c r="B32" s="26"/>
      <c r="C32" s="26"/>
      <c r="D32" s="32"/>
      <c r="E32" s="33">
        <f>E11+E16+E21+E30</f>
        <v>32152.164499999999</v>
      </c>
      <c r="F32" s="34">
        <f>F11+F16+F21+F30</f>
        <v>89.114446127159312</v>
      </c>
      <c r="G32" s="33"/>
      <c r="H32" s="18"/>
      <c r="I32" s="18"/>
    </row>
    <row r="33" spans="1:9" x14ac:dyDescent="0.2">
      <c r="A33" s="26"/>
      <c r="B33" s="26"/>
      <c r="C33" s="26"/>
      <c r="D33" s="32"/>
      <c r="E33" s="33"/>
      <c r="F33" s="34"/>
      <c r="G33" s="33"/>
      <c r="H33" s="18"/>
      <c r="I33" s="18"/>
    </row>
    <row r="34" spans="1:9" x14ac:dyDescent="0.2">
      <c r="A34" s="26" t="s">
        <v>38</v>
      </c>
      <c r="B34" s="26"/>
      <c r="C34" s="26"/>
      <c r="D34" s="32"/>
      <c r="E34" s="33">
        <f>E36-(E11+E16+E21+E30)</f>
        <v>3927.4678124999991</v>
      </c>
      <c r="F34" s="34">
        <f>F36-(F11+F16+F21+F30)</f>
        <v>10.885553872840688</v>
      </c>
      <c r="G34" s="33"/>
      <c r="H34" s="18"/>
      <c r="I34" s="18"/>
    </row>
    <row r="35" spans="1:9" x14ac:dyDescent="0.2">
      <c r="A35" s="26"/>
      <c r="B35" s="26"/>
      <c r="C35" s="26"/>
      <c r="D35" s="32"/>
      <c r="E35" s="33"/>
      <c r="F35" s="34"/>
      <c r="G35" s="33"/>
      <c r="H35" s="18"/>
      <c r="I35" s="18"/>
    </row>
    <row r="36" spans="1:9" x14ac:dyDescent="0.2">
      <c r="A36" s="35" t="s">
        <v>37</v>
      </c>
      <c r="B36" s="35"/>
      <c r="C36" s="35"/>
      <c r="D36" s="36"/>
      <c r="E36" s="37">
        <v>36079.632312499998</v>
      </c>
      <c r="F36" s="38">
        <v>100</v>
      </c>
      <c r="G36" s="37"/>
      <c r="H36" s="18"/>
      <c r="I36" s="18"/>
    </row>
    <row r="38" spans="1:9" x14ac:dyDescent="0.2">
      <c r="A38" s="18" t="s">
        <v>66</v>
      </c>
    </row>
    <row r="39" spans="1:9" x14ac:dyDescent="0.2">
      <c r="A39" s="18" t="s">
        <v>39</v>
      </c>
    </row>
    <row r="41" spans="1:9" x14ac:dyDescent="0.2">
      <c r="A41" s="18" t="s">
        <v>40</v>
      </c>
    </row>
    <row r="42" spans="1:9" x14ac:dyDescent="0.2">
      <c r="A42" s="18" t="s">
        <v>41</v>
      </c>
    </row>
    <row r="43" spans="1:9" x14ac:dyDescent="0.2">
      <c r="A43" s="18" t="s">
        <v>42</v>
      </c>
      <c r="B43" s="18"/>
      <c r="C43" s="39" t="s">
        <v>44</v>
      </c>
      <c r="D43" s="19" t="s">
        <v>43</v>
      </c>
    </row>
    <row r="44" spans="1:9" x14ac:dyDescent="0.2">
      <c r="A44" s="9" t="s">
        <v>71</v>
      </c>
      <c r="C44" s="40">
        <v>31.2606</v>
      </c>
      <c r="D44" s="40">
        <v>32.006300000000003</v>
      </c>
    </row>
    <row r="45" spans="1:9" x14ac:dyDescent="0.2">
      <c r="A45" s="9" t="s">
        <v>807</v>
      </c>
      <c r="C45" s="40">
        <v>10.1441</v>
      </c>
      <c r="D45" s="40">
        <v>10.187099999999999</v>
      </c>
    </row>
    <row r="46" spans="1:9" x14ac:dyDescent="0.2">
      <c r="A46" s="9" t="s">
        <v>74</v>
      </c>
      <c r="C46" s="40">
        <v>33.096800000000002</v>
      </c>
      <c r="D46" s="40">
        <v>33.999299999999998</v>
      </c>
    </row>
    <row r="47" spans="1:9" x14ac:dyDescent="0.2">
      <c r="A47" s="9" t="s">
        <v>809</v>
      </c>
      <c r="C47" s="40">
        <v>10.0474</v>
      </c>
      <c r="D47" s="40">
        <v>10.087199999999999</v>
      </c>
    </row>
    <row r="49" spans="1:5" x14ac:dyDescent="0.2">
      <c r="A49" s="18" t="s">
        <v>46</v>
      </c>
    </row>
    <row r="50" spans="1:5" x14ac:dyDescent="0.2">
      <c r="A50" s="71" t="s">
        <v>67</v>
      </c>
      <c r="B50" s="72"/>
      <c r="C50" s="43" t="s">
        <v>68</v>
      </c>
    </row>
    <row r="51" spans="1:5" x14ac:dyDescent="0.2">
      <c r="A51" s="67" t="s">
        <v>807</v>
      </c>
      <c r="B51" s="68"/>
      <c r="C51" s="44">
        <v>0.1964194695</v>
      </c>
    </row>
    <row r="52" spans="1:5" x14ac:dyDescent="0.2">
      <c r="A52" s="67" t="s">
        <v>809</v>
      </c>
      <c r="B52" s="68"/>
      <c r="C52" s="44">
        <v>0.22510454169999999</v>
      </c>
    </row>
    <row r="53" spans="1:5" x14ac:dyDescent="0.2">
      <c r="A53" s="9" t="s">
        <v>69</v>
      </c>
    </row>
    <row r="54" spans="1:5" x14ac:dyDescent="0.2">
      <c r="A54" s="9" t="s">
        <v>45</v>
      </c>
    </row>
    <row r="56" spans="1:5" x14ac:dyDescent="0.2">
      <c r="A56" s="18" t="s">
        <v>805</v>
      </c>
      <c r="D56" s="42">
        <v>3.99025367252055</v>
      </c>
      <c r="E56" s="13" t="s">
        <v>48</v>
      </c>
    </row>
    <row r="58" spans="1:5" x14ac:dyDescent="0.2">
      <c r="A58" s="18" t="s">
        <v>49</v>
      </c>
      <c r="D58" s="41" t="s">
        <v>47</v>
      </c>
    </row>
    <row r="60" spans="1:5" x14ac:dyDescent="0.2">
      <c r="A60" s="18" t="s">
        <v>70</v>
      </c>
    </row>
    <row r="61" spans="1:5" x14ac:dyDescent="0.2">
      <c r="A61" s="46" t="s">
        <v>51</v>
      </c>
    </row>
    <row r="63" spans="1:5" x14ac:dyDescent="0.2">
      <c r="A63" s="46"/>
    </row>
  </sheetData>
  <mergeCells count="4">
    <mergeCell ref="A1:G1"/>
    <mergeCell ref="A50:B50"/>
    <mergeCell ref="A51:B51"/>
    <mergeCell ref="A52:B52"/>
  </mergeCells>
  <conditionalFormatting sqref="F2:F3 F5:F65536">
    <cfRule type="cellIs" dxfId="72" priority="1" stopIfTrue="1" operator="between">
      <formula>0.009</formula>
      <formula>-0.009</formula>
    </cfRule>
  </conditionalFormatting>
  <hyperlinks>
    <hyperlink ref="A61" r:id="rId1" tooltip="https://www.franklintempletonindia.com/downloadsServlet/pdf/product-labels-jg9o5k7l" xr:uid="{00000000-0004-0000-0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881</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882</v>
      </c>
      <c r="B7" s="27" t="s">
        <v>883</v>
      </c>
      <c r="C7" s="27" t="s">
        <v>884</v>
      </c>
      <c r="D7" s="31">
        <v>550</v>
      </c>
      <c r="E7" s="29">
        <v>5846.0709999999999</v>
      </c>
      <c r="F7" s="30">
        <v>7.0000379262058701</v>
      </c>
      <c r="G7" s="29">
        <v>4.3148999999999997</v>
      </c>
    </row>
    <row r="8" spans="1:7" x14ac:dyDescent="0.2">
      <c r="A8" s="27" t="s">
        <v>885</v>
      </c>
      <c r="B8" s="27" t="s">
        <v>886</v>
      </c>
      <c r="C8" s="27" t="s">
        <v>52</v>
      </c>
      <c r="D8" s="31">
        <v>500</v>
      </c>
      <c r="E8" s="29">
        <v>5318.2150000000001</v>
      </c>
      <c r="F8" s="30">
        <v>6.3679874397209604</v>
      </c>
      <c r="G8" s="29">
        <v>4.62</v>
      </c>
    </row>
    <row r="9" spans="1:7" x14ac:dyDescent="0.2">
      <c r="A9" s="27" t="s">
        <v>887</v>
      </c>
      <c r="B9" s="27" t="s">
        <v>888</v>
      </c>
      <c r="C9" s="27" t="s">
        <v>52</v>
      </c>
      <c r="D9" s="31">
        <v>500</v>
      </c>
      <c r="E9" s="29">
        <v>5047.26</v>
      </c>
      <c r="F9" s="30">
        <v>6.0435481237606998</v>
      </c>
      <c r="G9" s="29">
        <v>3.5</v>
      </c>
    </row>
    <row r="10" spans="1:7" x14ac:dyDescent="0.2">
      <c r="A10" s="27" t="s">
        <v>889</v>
      </c>
      <c r="B10" s="27" t="s">
        <v>890</v>
      </c>
      <c r="C10" s="27" t="s">
        <v>891</v>
      </c>
      <c r="D10" s="31">
        <v>430</v>
      </c>
      <c r="E10" s="29">
        <v>4390.2613000000001</v>
      </c>
      <c r="F10" s="30">
        <v>5.2568632173563898</v>
      </c>
      <c r="G10" s="29">
        <v>4.4459</v>
      </c>
    </row>
    <row r="11" spans="1:7" x14ac:dyDescent="0.2">
      <c r="A11" s="27" t="s">
        <v>892</v>
      </c>
      <c r="B11" s="27" t="s">
        <v>893</v>
      </c>
      <c r="C11" s="27" t="s">
        <v>884</v>
      </c>
      <c r="D11" s="31">
        <v>264</v>
      </c>
      <c r="E11" s="29">
        <v>2707.3147199999999</v>
      </c>
      <c r="F11" s="30">
        <v>3.2417166534883699</v>
      </c>
      <c r="G11" s="29">
        <v>4.5960000000000001</v>
      </c>
    </row>
    <row r="12" spans="1:7" x14ac:dyDescent="0.2">
      <c r="A12" s="27" t="s">
        <v>894</v>
      </c>
      <c r="B12" s="27" t="s">
        <v>895</v>
      </c>
      <c r="C12" s="27" t="s">
        <v>52</v>
      </c>
      <c r="D12" s="31">
        <v>250</v>
      </c>
      <c r="E12" s="29">
        <v>2617.7375000000002</v>
      </c>
      <c r="F12" s="30">
        <v>3.1344576179200301</v>
      </c>
      <c r="G12" s="29">
        <v>5.2899000000000003</v>
      </c>
    </row>
    <row r="13" spans="1:7" x14ac:dyDescent="0.2">
      <c r="A13" s="27" t="s">
        <v>896</v>
      </c>
      <c r="B13" s="27" t="s">
        <v>897</v>
      </c>
      <c r="C13" s="27" t="s">
        <v>52</v>
      </c>
      <c r="D13" s="31">
        <v>250</v>
      </c>
      <c r="E13" s="29">
        <v>2616.5124999999998</v>
      </c>
      <c r="F13" s="30">
        <v>3.13299081287103</v>
      </c>
      <c r="G13" s="29">
        <v>6.4398999999999997</v>
      </c>
    </row>
    <row r="14" spans="1:7" x14ac:dyDescent="0.2">
      <c r="A14" s="27" t="s">
        <v>898</v>
      </c>
      <c r="B14" s="27" t="s">
        <v>899</v>
      </c>
      <c r="C14" s="27" t="s">
        <v>52</v>
      </c>
      <c r="D14" s="31">
        <v>250</v>
      </c>
      <c r="E14" s="29">
        <v>2574.9699999999998</v>
      </c>
      <c r="F14" s="30">
        <v>3.0832481608318401</v>
      </c>
      <c r="G14" s="29">
        <v>4.29</v>
      </c>
    </row>
    <row r="15" spans="1:7" x14ac:dyDescent="0.2">
      <c r="A15" s="27" t="s">
        <v>900</v>
      </c>
      <c r="B15" s="27" t="s">
        <v>901</v>
      </c>
      <c r="C15" s="27" t="s">
        <v>52</v>
      </c>
      <c r="D15" s="31">
        <v>250</v>
      </c>
      <c r="E15" s="29">
        <v>2569.6725000000001</v>
      </c>
      <c r="F15" s="30">
        <v>3.07690497736484</v>
      </c>
      <c r="G15" s="29">
        <v>4.3899999999999997</v>
      </c>
    </row>
    <row r="16" spans="1:7" x14ac:dyDescent="0.2">
      <c r="A16" s="27" t="s">
        <v>902</v>
      </c>
      <c r="B16" s="27" t="s">
        <v>903</v>
      </c>
      <c r="C16" s="27" t="s">
        <v>52</v>
      </c>
      <c r="D16" s="31">
        <v>250</v>
      </c>
      <c r="E16" s="29">
        <v>2561.0174999999999</v>
      </c>
      <c r="F16" s="30">
        <v>3.06654155067171</v>
      </c>
      <c r="G16" s="29">
        <v>3.8050000000000002</v>
      </c>
    </row>
    <row r="17" spans="1:7" x14ac:dyDescent="0.2">
      <c r="A17" s="27" t="s">
        <v>904</v>
      </c>
      <c r="B17" s="27" t="s">
        <v>905</v>
      </c>
      <c r="C17" s="27" t="s">
        <v>52</v>
      </c>
      <c r="D17" s="31">
        <v>250</v>
      </c>
      <c r="E17" s="29">
        <v>2553.4</v>
      </c>
      <c r="F17" s="30">
        <v>3.0574204180506999</v>
      </c>
      <c r="G17" s="29">
        <v>4.4516999999999998</v>
      </c>
    </row>
    <row r="18" spans="1:7" x14ac:dyDescent="0.2">
      <c r="A18" s="27" t="s">
        <v>906</v>
      </c>
      <c r="B18" s="27" t="s">
        <v>907</v>
      </c>
      <c r="C18" s="27" t="s">
        <v>52</v>
      </c>
      <c r="D18" s="31">
        <v>250</v>
      </c>
      <c r="E18" s="29">
        <v>2551.9850000000001</v>
      </c>
      <c r="F18" s="30">
        <v>3.0557261085451199</v>
      </c>
      <c r="G18" s="29">
        <v>3.57</v>
      </c>
    </row>
    <row r="19" spans="1:7" x14ac:dyDescent="0.2">
      <c r="A19" s="27" t="s">
        <v>908</v>
      </c>
      <c r="B19" s="27" t="s">
        <v>909</v>
      </c>
      <c r="C19" s="27" t="s">
        <v>52</v>
      </c>
      <c r="D19" s="31">
        <v>250</v>
      </c>
      <c r="E19" s="29">
        <v>2529.5949999999998</v>
      </c>
      <c r="F19" s="30">
        <v>3.0289165044250601</v>
      </c>
      <c r="G19" s="29">
        <v>4.05</v>
      </c>
    </row>
    <row r="20" spans="1:7" x14ac:dyDescent="0.2">
      <c r="A20" s="27" t="s">
        <v>910</v>
      </c>
      <c r="B20" s="27" t="s">
        <v>911</v>
      </c>
      <c r="C20" s="27" t="s">
        <v>52</v>
      </c>
      <c r="D20" s="31">
        <v>166</v>
      </c>
      <c r="E20" s="29">
        <v>2163.6207599999998</v>
      </c>
      <c r="F20" s="30">
        <v>2.5907019223554402</v>
      </c>
      <c r="G20" s="29">
        <v>3.7524999999999999</v>
      </c>
    </row>
    <row r="21" spans="1:7" x14ac:dyDescent="0.2">
      <c r="A21" s="27" t="s">
        <v>912</v>
      </c>
      <c r="B21" s="27" t="s">
        <v>913</v>
      </c>
      <c r="C21" s="27" t="s">
        <v>52</v>
      </c>
      <c r="D21" s="31">
        <v>200</v>
      </c>
      <c r="E21" s="29">
        <v>2102.11</v>
      </c>
      <c r="F21" s="30">
        <v>2.5170494379997499</v>
      </c>
      <c r="G21" s="29">
        <v>5.0899000000000001</v>
      </c>
    </row>
    <row r="22" spans="1:7" x14ac:dyDescent="0.2">
      <c r="A22" s="27" t="s">
        <v>914</v>
      </c>
      <c r="B22" s="27" t="s">
        <v>915</v>
      </c>
      <c r="C22" s="27" t="s">
        <v>916</v>
      </c>
      <c r="D22" s="31">
        <v>200</v>
      </c>
      <c r="E22" s="29">
        <v>2101.2800000000002</v>
      </c>
      <c r="F22" s="30">
        <v>2.51605560274206</v>
      </c>
      <c r="G22" s="29">
        <v>4.45</v>
      </c>
    </row>
    <row r="23" spans="1:7" x14ac:dyDescent="0.2">
      <c r="A23" s="27" t="s">
        <v>917</v>
      </c>
      <c r="B23" s="27" t="s">
        <v>918</v>
      </c>
      <c r="C23" s="27" t="s">
        <v>52</v>
      </c>
      <c r="D23" s="31">
        <v>180</v>
      </c>
      <c r="E23" s="29">
        <v>1820.1546000000001</v>
      </c>
      <c r="F23" s="30">
        <v>2.1794383324386701</v>
      </c>
      <c r="G23" s="29">
        <v>3.3498999999999999</v>
      </c>
    </row>
    <row r="24" spans="1:7" x14ac:dyDescent="0.2">
      <c r="A24" s="27" t="s">
        <v>919</v>
      </c>
      <c r="B24" s="27" t="s">
        <v>920</v>
      </c>
      <c r="C24" s="27" t="s">
        <v>921</v>
      </c>
      <c r="D24" s="31">
        <v>160</v>
      </c>
      <c r="E24" s="29">
        <v>1816.7136</v>
      </c>
      <c r="F24" s="30">
        <v>2.1753181069908298</v>
      </c>
      <c r="G24" s="29">
        <v>7.35</v>
      </c>
    </row>
    <row r="25" spans="1:7" x14ac:dyDescent="0.2">
      <c r="A25" s="27" t="s">
        <v>922</v>
      </c>
      <c r="B25" s="27" t="s">
        <v>923</v>
      </c>
      <c r="C25" s="27" t="s">
        <v>916</v>
      </c>
      <c r="D25" s="31">
        <v>140</v>
      </c>
      <c r="E25" s="29">
        <v>1512.8078</v>
      </c>
      <c r="F25" s="30">
        <v>1.81142377077871</v>
      </c>
      <c r="G25" s="29">
        <v>4.7549999999999999</v>
      </c>
    </row>
    <row r="26" spans="1:7" x14ac:dyDescent="0.2">
      <c r="A26" s="27" t="s">
        <v>924</v>
      </c>
      <c r="B26" s="27" t="s">
        <v>925</v>
      </c>
      <c r="C26" s="27" t="s">
        <v>916</v>
      </c>
      <c r="D26" s="31">
        <v>150</v>
      </c>
      <c r="E26" s="29">
        <v>1511.145</v>
      </c>
      <c r="F26" s="30">
        <v>1.8094327475660801</v>
      </c>
      <c r="G26" s="29">
        <v>4.8049999999999997</v>
      </c>
    </row>
    <row r="27" spans="1:7" x14ac:dyDescent="0.2">
      <c r="A27" s="27" t="s">
        <v>926</v>
      </c>
      <c r="B27" s="27" t="s">
        <v>927</v>
      </c>
      <c r="C27" s="27" t="s">
        <v>52</v>
      </c>
      <c r="D27" s="31">
        <v>100</v>
      </c>
      <c r="E27" s="29">
        <v>1080.1120000000001</v>
      </c>
      <c r="F27" s="30">
        <v>1.2933173347621101</v>
      </c>
      <c r="G27" s="29">
        <v>5.7731000000000003</v>
      </c>
    </row>
    <row r="28" spans="1:7" x14ac:dyDescent="0.2">
      <c r="A28" s="27" t="s">
        <v>928</v>
      </c>
      <c r="B28" s="27" t="s">
        <v>929</v>
      </c>
      <c r="C28" s="27" t="s">
        <v>52</v>
      </c>
      <c r="D28" s="31">
        <v>100</v>
      </c>
      <c r="E28" s="29">
        <v>1059.386</v>
      </c>
      <c r="F28" s="30">
        <v>1.26850019072494</v>
      </c>
      <c r="G28" s="29">
        <v>5.35</v>
      </c>
    </row>
    <row r="29" spans="1:7" x14ac:dyDescent="0.2">
      <c r="A29" s="27" t="s">
        <v>930</v>
      </c>
      <c r="B29" s="27" t="s">
        <v>931</v>
      </c>
      <c r="C29" s="27" t="s">
        <v>52</v>
      </c>
      <c r="D29" s="31">
        <v>100</v>
      </c>
      <c r="E29" s="29">
        <v>1038.0239999999999</v>
      </c>
      <c r="F29" s="30">
        <v>1.24292150545416</v>
      </c>
      <c r="G29" s="29">
        <v>4.49</v>
      </c>
    </row>
    <row r="30" spans="1:7" x14ac:dyDescent="0.2">
      <c r="A30" s="27" t="s">
        <v>932</v>
      </c>
      <c r="B30" s="27" t="s">
        <v>933</v>
      </c>
      <c r="C30" s="27" t="s">
        <v>934</v>
      </c>
      <c r="D30" s="31">
        <v>100</v>
      </c>
      <c r="E30" s="29">
        <v>1026.289</v>
      </c>
      <c r="F30" s="30">
        <v>1.2288701117806999</v>
      </c>
      <c r="G30" s="29">
        <v>9.52</v>
      </c>
    </row>
    <row r="31" spans="1:7" x14ac:dyDescent="0.2">
      <c r="A31" s="27" t="s">
        <v>935</v>
      </c>
      <c r="B31" s="27" t="s">
        <v>936</v>
      </c>
      <c r="C31" s="27" t="s">
        <v>52</v>
      </c>
      <c r="D31" s="31">
        <v>76</v>
      </c>
      <c r="E31" s="29">
        <v>775.14452000000006</v>
      </c>
      <c r="F31" s="30">
        <v>0.92815175154230001</v>
      </c>
      <c r="G31" s="29">
        <v>3.5649000000000002</v>
      </c>
    </row>
    <row r="32" spans="1:7" x14ac:dyDescent="0.2">
      <c r="A32" s="27" t="s">
        <v>937</v>
      </c>
      <c r="B32" s="27" t="s">
        <v>938</v>
      </c>
      <c r="C32" s="27" t="s">
        <v>861</v>
      </c>
      <c r="D32" s="31">
        <v>59</v>
      </c>
      <c r="E32" s="29">
        <v>603.94287999999995</v>
      </c>
      <c r="F32" s="30">
        <v>0.72315629852288799</v>
      </c>
      <c r="G32" s="29">
        <v>3.625</v>
      </c>
    </row>
    <row r="33" spans="1:9" x14ac:dyDescent="0.2">
      <c r="A33" s="27" t="s">
        <v>939</v>
      </c>
      <c r="B33" s="27" t="s">
        <v>940</v>
      </c>
      <c r="C33" s="27" t="s">
        <v>52</v>
      </c>
      <c r="D33" s="31">
        <v>45</v>
      </c>
      <c r="E33" s="29">
        <v>495.71370000000002</v>
      </c>
      <c r="F33" s="30">
        <v>0.59356355756538703</v>
      </c>
      <c r="G33" s="29">
        <v>5.5523999999999996</v>
      </c>
    </row>
    <row r="34" spans="1:9" x14ac:dyDescent="0.2">
      <c r="A34" s="27" t="s">
        <v>941</v>
      </c>
      <c r="B34" s="27" t="s">
        <v>942</v>
      </c>
      <c r="C34" s="27" t="s">
        <v>52</v>
      </c>
      <c r="D34" s="31">
        <v>31</v>
      </c>
      <c r="E34" s="29">
        <v>394.38882000000001</v>
      </c>
      <c r="F34" s="30">
        <v>0.47223796934241502</v>
      </c>
      <c r="G34" s="29">
        <v>3.9175</v>
      </c>
    </row>
    <row r="35" spans="1:9" x14ac:dyDescent="0.2">
      <c r="A35" s="27" t="s">
        <v>943</v>
      </c>
      <c r="B35" s="27" t="s">
        <v>944</v>
      </c>
      <c r="C35" s="27" t="s">
        <v>916</v>
      </c>
      <c r="D35" s="31">
        <v>34</v>
      </c>
      <c r="E35" s="29">
        <v>346.81632000000002</v>
      </c>
      <c r="F35" s="30">
        <v>0.41527504428652201</v>
      </c>
      <c r="G35" s="29">
        <v>3.54</v>
      </c>
    </row>
    <row r="36" spans="1:9" x14ac:dyDescent="0.2">
      <c r="A36" s="27" t="s">
        <v>945</v>
      </c>
      <c r="B36" s="27" t="s">
        <v>946</v>
      </c>
      <c r="C36" s="27" t="s">
        <v>52</v>
      </c>
      <c r="D36" s="31">
        <v>15</v>
      </c>
      <c r="E36" s="29">
        <v>195.94515000000001</v>
      </c>
      <c r="F36" s="30">
        <v>0.23462313089528</v>
      </c>
      <c r="G36" s="29">
        <v>3.4849999999999999</v>
      </c>
    </row>
    <row r="37" spans="1:9" x14ac:dyDescent="0.2">
      <c r="A37" s="27" t="s">
        <v>947</v>
      </c>
      <c r="B37" s="27" t="s">
        <v>948</v>
      </c>
      <c r="C37" s="27" t="s">
        <v>916</v>
      </c>
      <c r="D37" s="31">
        <v>19</v>
      </c>
      <c r="E37" s="29">
        <v>190.33953</v>
      </c>
      <c r="F37" s="30">
        <v>0.227911007043226</v>
      </c>
      <c r="G37" s="29">
        <v>3.1240000000000001</v>
      </c>
    </row>
    <row r="38" spans="1:9" x14ac:dyDescent="0.2">
      <c r="A38" s="27" t="s">
        <v>949</v>
      </c>
      <c r="B38" s="27" t="s">
        <v>950</v>
      </c>
      <c r="C38" s="27" t="s">
        <v>861</v>
      </c>
      <c r="D38" s="31">
        <v>3</v>
      </c>
      <c r="E38" s="29">
        <v>39.978479999999998</v>
      </c>
      <c r="F38" s="30">
        <v>4.7869907196143001E-2</v>
      </c>
      <c r="G38" s="29">
        <v>4.415</v>
      </c>
    </row>
    <row r="39" spans="1:9" x14ac:dyDescent="0.2">
      <c r="A39" s="27" t="s">
        <v>951</v>
      </c>
      <c r="B39" s="27" t="s">
        <v>952</v>
      </c>
      <c r="C39" s="27" t="s">
        <v>52</v>
      </c>
      <c r="D39" s="31">
        <v>3</v>
      </c>
      <c r="E39" s="29">
        <v>30.558150000000001</v>
      </c>
      <c r="F39" s="30">
        <v>3.6590080577996398E-2</v>
      </c>
      <c r="G39" s="29">
        <v>3.74</v>
      </c>
    </row>
    <row r="40" spans="1:9" x14ac:dyDescent="0.2">
      <c r="A40" s="27" t="s">
        <v>953</v>
      </c>
      <c r="B40" s="27" t="s">
        <v>954</v>
      </c>
      <c r="C40" s="27" t="s">
        <v>52</v>
      </c>
      <c r="D40" s="31">
        <v>2</v>
      </c>
      <c r="E40" s="29">
        <v>20.150639999999999</v>
      </c>
      <c r="F40" s="30">
        <v>2.4128212646976201E-2</v>
      </c>
      <c r="G40" s="29">
        <v>3.355</v>
      </c>
    </row>
    <row r="41" spans="1:9" x14ac:dyDescent="0.2">
      <c r="A41" s="26" t="s">
        <v>34</v>
      </c>
      <c r="B41" s="26"/>
      <c r="C41" s="26"/>
      <c r="D41" s="32"/>
      <c r="E41" s="33">
        <f>SUM(E6:E40)</f>
        <v>64208.632969999991</v>
      </c>
      <c r="F41" s="34">
        <f>SUM(F6:F40)</f>
        <v>76.882895534425231</v>
      </c>
      <c r="G41" s="33"/>
      <c r="H41" s="18"/>
      <c r="I41" s="18"/>
    </row>
    <row r="42" spans="1:9" x14ac:dyDescent="0.2">
      <c r="A42" s="27"/>
      <c r="B42" s="27"/>
      <c r="C42" s="27"/>
      <c r="D42" s="28"/>
      <c r="E42" s="29"/>
      <c r="F42" s="30"/>
      <c r="G42" s="29"/>
    </row>
    <row r="43" spans="1:9" x14ac:dyDescent="0.2">
      <c r="A43" s="26" t="s">
        <v>54</v>
      </c>
      <c r="B43" s="27"/>
      <c r="C43" s="27"/>
      <c r="D43" s="28"/>
      <c r="E43" s="29"/>
      <c r="F43" s="30"/>
      <c r="G43" s="29"/>
    </row>
    <row r="44" spans="1:9" x14ac:dyDescent="0.2">
      <c r="A44" s="26" t="s">
        <v>55</v>
      </c>
      <c r="B44" s="27"/>
      <c r="C44" s="27"/>
      <c r="D44" s="28"/>
      <c r="E44" s="29"/>
      <c r="F44" s="30"/>
      <c r="G44" s="29"/>
    </row>
    <row r="45" spans="1:9" x14ac:dyDescent="0.2">
      <c r="A45" s="27" t="s">
        <v>955</v>
      </c>
      <c r="B45" s="27" t="s">
        <v>956</v>
      </c>
      <c r="C45" s="27" t="s">
        <v>56</v>
      </c>
      <c r="D45" s="31">
        <v>160</v>
      </c>
      <c r="E45" s="29">
        <v>156.01455999999999</v>
      </c>
      <c r="F45" s="30">
        <v>0.18681056679611299</v>
      </c>
      <c r="G45" s="29">
        <v>3.7</v>
      </c>
    </row>
    <row r="46" spans="1:9" x14ac:dyDescent="0.2">
      <c r="A46" s="26" t="s">
        <v>34</v>
      </c>
      <c r="B46" s="26"/>
      <c r="C46" s="26"/>
      <c r="D46" s="32"/>
      <c r="E46" s="33">
        <f>SUM(E44:E45)</f>
        <v>156.01455999999999</v>
      </c>
      <c r="F46" s="34">
        <f>SUM(F44:F45)</f>
        <v>0.18681056679611299</v>
      </c>
      <c r="G46" s="33"/>
      <c r="H46" s="18"/>
      <c r="I46" s="18"/>
    </row>
    <row r="47" spans="1:9" x14ac:dyDescent="0.2">
      <c r="A47" s="27"/>
      <c r="B47" s="27"/>
      <c r="C47" s="27"/>
      <c r="D47" s="28"/>
      <c r="E47" s="29"/>
      <c r="F47" s="30"/>
      <c r="G47" s="29"/>
    </row>
    <row r="48" spans="1:9" x14ac:dyDescent="0.2">
      <c r="A48" s="26" t="s">
        <v>64</v>
      </c>
      <c r="B48" s="27"/>
      <c r="C48" s="27"/>
      <c r="D48" s="28"/>
      <c r="E48" s="29"/>
      <c r="F48" s="30"/>
      <c r="G48" s="29"/>
    </row>
    <row r="49" spans="1:9" x14ac:dyDescent="0.2">
      <c r="A49" s="27" t="s">
        <v>80</v>
      </c>
      <c r="B49" s="27" t="s">
        <v>79</v>
      </c>
      <c r="C49" s="27" t="s">
        <v>65</v>
      </c>
      <c r="D49" s="31">
        <v>5000000</v>
      </c>
      <c r="E49" s="29">
        <v>4939.72</v>
      </c>
      <c r="F49" s="30">
        <v>5.9147806013368101</v>
      </c>
      <c r="G49" s="29">
        <v>6.7744</v>
      </c>
    </row>
    <row r="50" spans="1:9" x14ac:dyDescent="0.2">
      <c r="A50" s="27" t="s">
        <v>86</v>
      </c>
      <c r="B50" s="27" t="s">
        <v>85</v>
      </c>
      <c r="C50" s="27" t="s">
        <v>65</v>
      </c>
      <c r="D50" s="31">
        <v>3000000</v>
      </c>
      <c r="E50" s="29">
        <v>3169.4250000000002</v>
      </c>
      <c r="F50" s="30">
        <v>3.7950437489153002</v>
      </c>
      <c r="G50" s="29">
        <v>6.0827999999999998</v>
      </c>
    </row>
    <row r="51" spans="1:9" x14ac:dyDescent="0.2">
      <c r="A51" s="27" t="s">
        <v>96</v>
      </c>
      <c r="B51" s="27" t="s">
        <v>95</v>
      </c>
      <c r="C51" s="27" t="s">
        <v>65</v>
      </c>
      <c r="D51" s="31">
        <v>2000000</v>
      </c>
      <c r="E51" s="29">
        <v>2129.9540000000002</v>
      </c>
      <c r="F51" s="30">
        <v>2.5503896174155098</v>
      </c>
      <c r="G51" s="29">
        <v>4.4425999999999997</v>
      </c>
    </row>
    <row r="52" spans="1:9" x14ac:dyDescent="0.2">
      <c r="A52" s="27" t="s">
        <v>957</v>
      </c>
      <c r="B52" s="27" t="s">
        <v>958</v>
      </c>
      <c r="C52" s="27" t="s">
        <v>65</v>
      </c>
      <c r="D52" s="31">
        <v>2000000</v>
      </c>
      <c r="E52" s="29">
        <v>2100.9319999999998</v>
      </c>
      <c r="F52" s="30">
        <v>2.5156389103689598</v>
      </c>
      <c r="G52" s="29">
        <v>4.1227999999999998</v>
      </c>
    </row>
    <row r="53" spans="1:9" x14ac:dyDescent="0.2">
      <c r="A53" s="27" t="s">
        <v>82</v>
      </c>
      <c r="B53" s="27" t="s">
        <v>81</v>
      </c>
      <c r="C53" s="27" t="s">
        <v>65</v>
      </c>
      <c r="D53" s="31">
        <v>1500000</v>
      </c>
      <c r="E53" s="29">
        <v>1560.0419999999999</v>
      </c>
      <c r="F53" s="30">
        <v>1.8679816181627</v>
      </c>
      <c r="G53" s="29">
        <v>5.9497999999999998</v>
      </c>
    </row>
    <row r="54" spans="1:9" x14ac:dyDescent="0.2">
      <c r="A54" s="26" t="s">
        <v>34</v>
      </c>
      <c r="B54" s="26"/>
      <c r="C54" s="26"/>
      <c r="D54" s="32"/>
      <c r="E54" s="33">
        <f>SUM(E49:E53)</f>
        <v>13900.072999999999</v>
      </c>
      <c r="F54" s="34">
        <f>SUM(F49:F53)</f>
        <v>16.643834496199279</v>
      </c>
      <c r="G54" s="33"/>
      <c r="H54" s="18"/>
      <c r="I54" s="18"/>
    </row>
    <row r="55" spans="1:9" x14ac:dyDescent="0.2">
      <c r="A55" s="27"/>
      <c r="B55" s="27"/>
      <c r="C55" s="27"/>
      <c r="D55" s="28"/>
      <c r="E55" s="29"/>
      <c r="F55" s="30"/>
      <c r="G55" s="29"/>
    </row>
    <row r="56" spans="1:9" x14ac:dyDescent="0.2">
      <c r="A56" s="26" t="s">
        <v>36</v>
      </c>
      <c r="B56" s="26"/>
      <c r="C56" s="26"/>
      <c r="D56" s="32"/>
      <c r="E56" s="33">
        <f>E41+E46+E54</f>
        <v>78264.720529999991</v>
      </c>
      <c r="F56" s="34">
        <f>F41+F46+F54</f>
        <v>93.713540597420618</v>
      </c>
      <c r="G56" s="33"/>
      <c r="H56" s="18"/>
      <c r="I56" s="18"/>
    </row>
    <row r="57" spans="1:9" x14ac:dyDescent="0.2">
      <c r="A57" s="26"/>
      <c r="B57" s="26"/>
      <c r="C57" s="26"/>
      <c r="D57" s="32"/>
      <c r="E57" s="33"/>
      <c r="F57" s="34"/>
      <c r="G57" s="33"/>
      <c r="H57" s="18"/>
      <c r="I57" s="18"/>
    </row>
    <row r="58" spans="1:9" x14ac:dyDescent="0.2">
      <c r="A58" s="26" t="s">
        <v>38</v>
      </c>
      <c r="B58" s="26"/>
      <c r="C58" s="26"/>
      <c r="D58" s="32"/>
      <c r="E58" s="33">
        <f>E60-(E41+E46+E54)</f>
        <v>5250.126984100003</v>
      </c>
      <c r="F58" s="34">
        <f>F60-(F41+F46+F54)</f>
        <v>6.2864594025793821</v>
      </c>
      <c r="G58" s="33"/>
      <c r="H58" s="18"/>
      <c r="I58" s="18"/>
    </row>
    <row r="59" spans="1:9" x14ac:dyDescent="0.2">
      <c r="A59" s="26"/>
      <c r="B59" s="26"/>
      <c r="C59" s="26"/>
      <c r="D59" s="32"/>
      <c r="E59" s="33"/>
      <c r="F59" s="34"/>
      <c r="G59" s="33"/>
      <c r="H59" s="18"/>
      <c r="I59" s="18"/>
    </row>
    <row r="60" spans="1:9" x14ac:dyDescent="0.2">
      <c r="A60" s="35" t="s">
        <v>37</v>
      </c>
      <c r="B60" s="35"/>
      <c r="C60" s="35"/>
      <c r="D60" s="36"/>
      <c r="E60" s="37">
        <v>83514.847514099994</v>
      </c>
      <c r="F60" s="38">
        <v>100</v>
      </c>
      <c r="G60" s="37"/>
      <c r="H60" s="18"/>
      <c r="I60" s="18"/>
    </row>
    <row r="62" spans="1:9" x14ac:dyDescent="0.2">
      <c r="A62" s="18" t="s">
        <v>39</v>
      </c>
    </row>
    <row r="64" spans="1:9" x14ac:dyDescent="0.2">
      <c r="A64" s="18" t="s">
        <v>40</v>
      </c>
    </row>
    <row r="65" spans="1:4" x14ac:dyDescent="0.2">
      <c r="A65" s="18" t="s">
        <v>41</v>
      </c>
    </row>
    <row r="66" spans="1:4" x14ac:dyDescent="0.2">
      <c r="A66" s="18" t="s">
        <v>42</v>
      </c>
      <c r="B66" s="18"/>
      <c r="C66" s="39" t="s">
        <v>44</v>
      </c>
      <c r="D66" s="19" t="s">
        <v>43</v>
      </c>
    </row>
    <row r="67" spans="1:4" x14ac:dyDescent="0.2">
      <c r="A67" s="9" t="s">
        <v>71</v>
      </c>
      <c r="C67" s="40">
        <v>76.493600000000001</v>
      </c>
      <c r="D67" s="40">
        <v>78.994699999999995</v>
      </c>
    </row>
    <row r="68" spans="1:4" x14ac:dyDescent="0.2">
      <c r="A68" s="9" t="s">
        <v>72</v>
      </c>
      <c r="C68" s="40">
        <v>15.9818</v>
      </c>
      <c r="D68" s="40">
        <v>15.866</v>
      </c>
    </row>
    <row r="69" spans="1:4" x14ac:dyDescent="0.2">
      <c r="A69" s="9" t="s">
        <v>73</v>
      </c>
      <c r="C69" s="40">
        <v>13.368499999999999</v>
      </c>
      <c r="D69" s="40">
        <v>13.2447</v>
      </c>
    </row>
    <row r="70" spans="1:4" x14ac:dyDescent="0.2">
      <c r="A70" s="9" t="s">
        <v>959</v>
      </c>
      <c r="C70" s="40">
        <v>14.164400000000001</v>
      </c>
      <c r="D70" s="40">
        <v>14.0618</v>
      </c>
    </row>
    <row r="71" spans="1:4" x14ac:dyDescent="0.2">
      <c r="A71" s="9" t="s">
        <v>960</v>
      </c>
      <c r="C71" s="40">
        <v>18.3916</v>
      </c>
      <c r="D71" s="40">
        <v>17.702100000000002</v>
      </c>
    </row>
    <row r="72" spans="1:4" x14ac:dyDescent="0.2">
      <c r="A72" s="9" t="s">
        <v>74</v>
      </c>
      <c r="C72" s="40">
        <v>80.902500000000003</v>
      </c>
      <c r="D72" s="40">
        <v>83.776799999999994</v>
      </c>
    </row>
    <row r="73" spans="1:4" x14ac:dyDescent="0.2">
      <c r="A73" s="9" t="s">
        <v>75</v>
      </c>
      <c r="C73" s="40">
        <v>17.3203</v>
      </c>
      <c r="D73" s="40">
        <v>17.296700000000001</v>
      </c>
    </row>
    <row r="74" spans="1:4" x14ac:dyDescent="0.2">
      <c r="A74" s="9" t="s">
        <v>76</v>
      </c>
      <c r="C74" s="40">
        <v>14.5219</v>
      </c>
      <c r="D74" s="40">
        <v>14.4763</v>
      </c>
    </row>
    <row r="75" spans="1:4" x14ac:dyDescent="0.2">
      <c r="A75" s="9" t="s">
        <v>961</v>
      </c>
      <c r="C75" s="40">
        <v>15.67</v>
      </c>
      <c r="D75" s="40">
        <v>15.661199999999999</v>
      </c>
    </row>
    <row r="76" spans="1:4" x14ac:dyDescent="0.2">
      <c r="A76" s="9" t="s">
        <v>962</v>
      </c>
      <c r="C76" s="40">
        <v>19.921099999999999</v>
      </c>
      <c r="D76" s="40">
        <v>19.3354</v>
      </c>
    </row>
    <row r="78" spans="1:4" x14ac:dyDescent="0.2">
      <c r="A78" s="18" t="s">
        <v>46</v>
      </c>
    </row>
    <row r="79" spans="1:4" x14ac:dyDescent="0.2">
      <c r="A79" s="71" t="s">
        <v>67</v>
      </c>
      <c r="B79" s="72"/>
      <c r="C79" s="43" t="s">
        <v>68</v>
      </c>
    </row>
    <row r="80" spans="1:4" x14ac:dyDescent="0.2">
      <c r="A80" s="67" t="s">
        <v>72</v>
      </c>
      <c r="B80" s="68"/>
      <c r="C80" s="44">
        <v>0.63</v>
      </c>
    </row>
    <row r="81" spans="1:5" x14ac:dyDescent="0.2">
      <c r="A81" s="67" t="s">
        <v>73</v>
      </c>
      <c r="B81" s="68"/>
      <c r="C81" s="44">
        <v>0.55000000000000004</v>
      </c>
    </row>
    <row r="82" spans="1:5" x14ac:dyDescent="0.2">
      <c r="A82" s="67" t="s">
        <v>959</v>
      </c>
      <c r="B82" s="68"/>
      <c r="C82" s="44">
        <v>0.55000000000000004</v>
      </c>
    </row>
    <row r="83" spans="1:5" x14ac:dyDescent="0.2">
      <c r="A83" s="67" t="s">
        <v>960</v>
      </c>
      <c r="B83" s="68"/>
      <c r="C83" s="44">
        <v>1.2549999999999999</v>
      </c>
    </row>
    <row r="84" spans="1:5" x14ac:dyDescent="0.2">
      <c r="A84" s="67" t="s">
        <v>75</v>
      </c>
      <c r="B84" s="68"/>
      <c r="C84" s="44">
        <v>0.63</v>
      </c>
    </row>
    <row r="85" spans="1:5" x14ac:dyDescent="0.2">
      <c r="A85" s="67" t="s">
        <v>76</v>
      </c>
      <c r="B85" s="68"/>
      <c r="C85" s="44">
        <v>0.55000000000000004</v>
      </c>
    </row>
    <row r="86" spans="1:5" x14ac:dyDescent="0.2">
      <c r="A86" s="67" t="s">
        <v>961</v>
      </c>
      <c r="B86" s="68"/>
      <c r="C86" s="44">
        <v>0.55000000000000004</v>
      </c>
    </row>
    <row r="87" spans="1:5" x14ac:dyDescent="0.2">
      <c r="A87" s="67" t="s">
        <v>962</v>
      </c>
      <c r="B87" s="68"/>
      <c r="C87" s="44">
        <v>1.2549999999999999</v>
      </c>
    </row>
    <row r="88" spans="1:5" x14ac:dyDescent="0.2">
      <c r="A88" s="9" t="s">
        <v>69</v>
      </c>
    </row>
    <row r="89" spans="1:5" x14ac:dyDescent="0.2">
      <c r="A89" s="9" t="s">
        <v>45</v>
      </c>
    </row>
    <row r="91" spans="1:5" x14ac:dyDescent="0.2">
      <c r="A91" s="18" t="s">
        <v>805</v>
      </c>
      <c r="D91" s="42">
        <v>2.5870229555342501</v>
      </c>
      <c r="E91" s="13" t="s">
        <v>48</v>
      </c>
    </row>
    <row r="93" spans="1:5" x14ac:dyDescent="0.2">
      <c r="A93" s="18" t="s">
        <v>49</v>
      </c>
      <c r="D93" s="41" t="s">
        <v>47</v>
      </c>
    </row>
    <row r="95" spans="1:5" x14ac:dyDescent="0.2">
      <c r="A95" s="18" t="s">
        <v>963</v>
      </c>
    </row>
    <row r="96" spans="1:5" x14ac:dyDescent="0.2">
      <c r="A96" s="46" t="s">
        <v>964</v>
      </c>
    </row>
    <row r="98" spans="1:1" x14ac:dyDescent="0.2">
      <c r="A98" s="18" t="s">
        <v>50</v>
      </c>
    </row>
    <row r="99" spans="1:1" x14ac:dyDescent="0.2">
      <c r="A99" s="46" t="s">
        <v>51</v>
      </c>
    </row>
    <row r="101" spans="1:1" x14ac:dyDescent="0.2">
      <c r="A101" s="46"/>
    </row>
  </sheetData>
  <mergeCells count="10">
    <mergeCell ref="A84:B84"/>
    <mergeCell ref="A85:B85"/>
    <mergeCell ref="A86:B86"/>
    <mergeCell ref="A87:B87"/>
    <mergeCell ref="A1:G1"/>
    <mergeCell ref="A79:B79"/>
    <mergeCell ref="A80:B80"/>
    <mergeCell ref="A81:B81"/>
    <mergeCell ref="A82:B82"/>
    <mergeCell ref="A83:B83"/>
  </mergeCells>
  <conditionalFormatting sqref="F2:F3 F5:F65536">
    <cfRule type="cellIs" dxfId="71" priority="1" stopIfTrue="1" operator="between">
      <formula>0.009</formula>
      <formula>-0.009</formula>
    </cfRule>
  </conditionalFormatting>
  <hyperlinks>
    <hyperlink ref="A96" r:id="rId1" tooltip="https://www.franklintempletonindia.com/downloadsServlet/pdf/franklin-templeton-update-on-reliance-broadcast-july-23-2020-kcg9m1gq" xr:uid="{00000000-0004-0000-0400-000000000000}"/>
    <hyperlink ref="A99" r:id="rId2" tooltip="https://www.franklintempletonindia.com/downloadsServlet/pdf/product-labels-jg9o5k7l" xr:uid="{00000000-0004-0000-04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7"/>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965</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966</v>
      </c>
      <c r="B7" s="27" t="s">
        <v>967</v>
      </c>
      <c r="C7" s="27" t="s">
        <v>968</v>
      </c>
      <c r="D7" s="31">
        <v>500</v>
      </c>
      <c r="E7" s="29">
        <v>5156.9750000000004</v>
      </c>
      <c r="F7" s="30">
        <v>6.1078641641790297</v>
      </c>
      <c r="G7" s="29">
        <v>4.22</v>
      </c>
    </row>
    <row r="8" spans="1:7" x14ac:dyDescent="0.2">
      <c r="A8" s="27" t="s">
        <v>908</v>
      </c>
      <c r="B8" s="27" t="s">
        <v>909</v>
      </c>
      <c r="C8" s="27" t="s">
        <v>52</v>
      </c>
      <c r="D8" s="31">
        <v>500</v>
      </c>
      <c r="E8" s="29">
        <v>5059.1899999999996</v>
      </c>
      <c r="F8" s="30">
        <v>5.9920486914854001</v>
      </c>
      <c r="G8" s="29">
        <v>4.05</v>
      </c>
    </row>
    <row r="9" spans="1:7" x14ac:dyDescent="0.2">
      <c r="A9" s="27" t="s">
        <v>969</v>
      </c>
      <c r="B9" s="27" t="s">
        <v>970</v>
      </c>
      <c r="C9" s="27" t="s">
        <v>52</v>
      </c>
      <c r="D9" s="31">
        <v>500</v>
      </c>
      <c r="E9" s="29">
        <v>5025.6850000000004</v>
      </c>
      <c r="F9" s="30">
        <v>5.9523657399836303</v>
      </c>
      <c r="G9" s="29">
        <v>3.2749999999999999</v>
      </c>
    </row>
    <row r="10" spans="1:7" x14ac:dyDescent="0.2">
      <c r="A10" s="27" t="s">
        <v>928</v>
      </c>
      <c r="B10" s="27" t="s">
        <v>929</v>
      </c>
      <c r="C10" s="27" t="s">
        <v>52</v>
      </c>
      <c r="D10" s="31">
        <v>400</v>
      </c>
      <c r="E10" s="29">
        <v>4237.5439999999999</v>
      </c>
      <c r="F10" s="30">
        <v>5.0189002548454997</v>
      </c>
      <c r="G10" s="29">
        <v>5.35</v>
      </c>
    </row>
    <row r="11" spans="1:7" x14ac:dyDescent="0.2">
      <c r="A11" s="27" t="s">
        <v>922</v>
      </c>
      <c r="B11" s="27" t="s">
        <v>923</v>
      </c>
      <c r="C11" s="27" t="s">
        <v>916</v>
      </c>
      <c r="D11" s="31">
        <v>360</v>
      </c>
      <c r="E11" s="29">
        <v>3890.0772000000002</v>
      </c>
      <c r="F11" s="30">
        <v>4.6073644192128</v>
      </c>
      <c r="G11" s="29">
        <v>4.7549999999999999</v>
      </c>
    </row>
    <row r="12" spans="1:7" x14ac:dyDescent="0.2">
      <c r="A12" s="27" t="s">
        <v>914</v>
      </c>
      <c r="B12" s="27" t="s">
        <v>915</v>
      </c>
      <c r="C12" s="27" t="s">
        <v>916</v>
      </c>
      <c r="D12" s="31">
        <v>300</v>
      </c>
      <c r="E12" s="29">
        <v>3151.92</v>
      </c>
      <c r="F12" s="30">
        <v>3.7330991940738798</v>
      </c>
      <c r="G12" s="29">
        <v>4.45</v>
      </c>
    </row>
    <row r="13" spans="1:7" x14ac:dyDescent="0.2">
      <c r="A13" s="27" t="s">
        <v>971</v>
      </c>
      <c r="B13" s="27" t="s">
        <v>972</v>
      </c>
      <c r="C13" s="27" t="s">
        <v>916</v>
      </c>
      <c r="D13" s="31">
        <v>300</v>
      </c>
      <c r="E13" s="29">
        <v>3089.904</v>
      </c>
      <c r="F13" s="30">
        <v>3.65964812944671</v>
      </c>
      <c r="G13" s="29">
        <v>3.875</v>
      </c>
    </row>
    <row r="14" spans="1:7" x14ac:dyDescent="0.2">
      <c r="A14" s="27" t="s">
        <v>889</v>
      </c>
      <c r="B14" s="27" t="s">
        <v>890</v>
      </c>
      <c r="C14" s="27" t="s">
        <v>891</v>
      </c>
      <c r="D14" s="31">
        <v>300</v>
      </c>
      <c r="E14" s="29">
        <v>3062.973</v>
      </c>
      <c r="F14" s="30">
        <v>3.6277513508496599</v>
      </c>
      <c r="G14" s="29">
        <v>4.4459</v>
      </c>
    </row>
    <row r="15" spans="1:7" x14ac:dyDescent="0.2">
      <c r="A15" s="27" t="s">
        <v>973</v>
      </c>
      <c r="B15" s="27" t="s">
        <v>974</v>
      </c>
      <c r="C15" s="27" t="s">
        <v>52</v>
      </c>
      <c r="D15" s="31">
        <v>250</v>
      </c>
      <c r="E15" s="29">
        <v>2782.8175000000001</v>
      </c>
      <c r="F15" s="30">
        <v>3.2959382746087198</v>
      </c>
      <c r="G15" s="29">
        <v>5.0750000000000002</v>
      </c>
    </row>
    <row r="16" spans="1:7" x14ac:dyDescent="0.2">
      <c r="A16" s="27" t="s">
        <v>857</v>
      </c>
      <c r="B16" s="27" t="s">
        <v>858</v>
      </c>
      <c r="C16" s="27" t="s">
        <v>52</v>
      </c>
      <c r="D16" s="31">
        <v>250</v>
      </c>
      <c r="E16" s="29">
        <v>2572.59</v>
      </c>
      <c r="F16" s="30">
        <v>3.04694714830406</v>
      </c>
      <c r="G16" s="29">
        <v>4.1399999999999997</v>
      </c>
    </row>
    <row r="17" spans="1:7" x14ac:dyDescent="0.2">
      <c r="A17" s="27" t="s">
        <v>975</v>
      </c>
      <c r="B17" s="27" t="s">
        <v>976</v>
      </c>
      <c r="C17" s="27" t="s">
        <v>916</v>
      </c>
      <c r="D17" s="31">
        <v>250</v>
      </c>
      <c r="E17" s="29">
        <v>2564.54</v>
      </c>
      <c r="F17" s="30">
        <v>3.0374128173209498</v>
      </c>
      <c r="G17" s="29">
        <v>3.72</v>
      </c>
    </row>
    <row r="18" spans="1:7" x14ac:dyDescent="0.2">
      <c r="A18" s="27" t="s">
        <v>977</v>
      </c>
      <c r="B18" s="27" t="s">
        <v>978</v>
      </c>
      <c r="C18" s="27" t="s">
        <v>52</v>
      </c>
      <c r="D18" s="31">
        <v>250</v>
      </c>
      <c r="E18" s="29">
        <v>2493.5925000000002</v>
      </c>
      <c r="F18" s="30">
        <v>2.9533833828582798</v>
      </c>
      <c r="G18" s="29">
        <v>5.4450000000000003</v>
      </c>
    </row>
    <row r="19" spans="1:7" x14ac:dyDescent="0.2">
      <c r="A19" s="27" t="s">
        <v>930</v>
      </c>
      <c r="B19" s="27" t="s">
        <v>931</v>
      </c>
      <c r="C19" s="27" t="s">
        <v>52</v>
      </c>
      <c r="D19" s="31">
        <v>150</v>
      </c>
      <c r="E19" s="29">
        <v>1557.0360000000001</v>
      </c>
      <c r="F19" s="30">
        <v>1.8441362206984999</v>
      </c>
      <c r="G19" s="29">
        <v>4.49</v>
      </c>
    </row>
    <row r="20" spans="1:7" x14ac:dyDescent="0.2">
      <c r="A20" s="27" t="s">
        <v>917</v>
      </c>
      <c r="B20" s="27" t="s">
        <v>918</v>
      </c>
      <c r="C20" s="27" t="s">
        <v>52</v>
      </c>
      <c r="D20" s="31">
        <v>120</v>
      </c>
      <c r="E20" s="29">
        <v>1213.4364</v>
      </c>
      <c r="F20" s="30">
        <v>1.43718065398231</v>
      </c>
      <c r="G20" s="29">
        <v>3.3498999999999999</v>
      </c>
    </row>
    <row r="21" spans="1:7" x14ac:dyDescent="0.2">
      <c r="A21" s="27" t="s">
        <v>939</v>
      </c>
      <c r="B21" s="27" t="s">
        <v>940</v>
      </c>
      <c r="C21" s="27" t="s">
        <v>52</v>
      </c>
      <c r="D21" s="31">
        <v>110</v>
      </c>
      <c r="E21" s="29">
        <v>1211.7446</v>
      </c>
      <c r="F21" s="30">
        <v>1.4351769047702301</v>
      </c>
      <c r="G21" s="29">
        <v>5.5523999999999996</v>
      </c>
    </row>
    <row r="22" spans="1:7" x14ac:dyDescent="0.2">
      <c r="A22" s="27" t="s">
        <v>979</v>
      </c>
      <c r="B22" s="27" t="s">
        <v>980</v>
      </c>
      <c r="C22" s="27" t="s">
        <v>916</v>
      </c>
      <c r="D22" s="31">
        <v>100</v>
      </c>
      <c r="E22" s="29">
        <v>1093.5329999999999</v>
      </c>
      <c r="F22" s="30">
        <v>1.2951683929139099</v>
      </c>
      <c r="G22" s="29">
        <v>5.8598999999999997</v>
      </c>
    </row>
    <row r="23" spans="1:7" x14ac:dyDescent="0.2">
      <c r="A23" s="27" t="s">
        <v>981</v>
      </c>
      <c r="B23" s="27" t="s">
        <v>982</v>
      </c>
      <c r="C23" s="27" t="s">
        <v>52</v>
      </c>
      <c r="D23" s="31">
        <v>100</v>
      </c>
      <c r="E23" s="29">
        <v>1081.942</v>
      </c>
      <c r="F23" s="30">
        <v>1.2814401406871601</v>
      </c>
      <c r="G23" s="29">
        <v>5.5781000000000001</v>
      </c>
    </row>
    <row r="24" spans="1:7" x14ac:dyDescent="0.2">
      <c r="A24" s="27" t="s">
        <v>983</v>
      </c>
      <c r="B24" s="27" t="s">
        <v>984</v>
      </c>
      <c r="C24" s="27" t="s">
        <v>985</v>
      </c>
      <c r="D24" s="31">
        <v>100</v>
      </c>
      <c r="E24" s="29">
        <v>1016.881</v>
      </c>
      <c r="F24" s="30">
        <v>1.2043826117315899</v>
      </c>
      <c r="G24" s="29">
        <v>9.3798999999999992</v>
      </c>
    </row>
    <row r="25" spans="1:7" x14ac:dyDescent="0.2">
      <c r="A25" s="27" t="s">
        <v>986</v>
      </c>
      <c r="B25" s="27" t="s">
        <v>987</v>
      </c>
      <c r="C25" s="27" t="s">
        <v>52</v>
      </c>
      <c r="D25" s="31">
        <v>50</v>
      </c>
      <c r="E25" s="29">
        <v>550.9325</v>
      </c>
      <c r="F25" s="30">
        <v>0.65251836078933201</v>
      </c>
      <c r="G25" s="29">
        <v>5.45</v>
      </c>
    </row>
    <row r="26" spans="1:7" x14ac:dyDescent="0.2">
      <c r="A26" s="27" t="s">
        <v>988</v>
      </c>
      <c r="B26" s="27" t="s">
        <v>989</v>
      </c>
      <c r="C26" s="27" t="s">
        <v>52</v>
      </c>
      <c r="D26" s="31">
        <v>50</v>
      </c>
      <c r="E26" s="29">
        <v>547.40250000000003</v>
      </c>
      <c r="F26" s="30">
        <v>0.64833746782406598</v>
      </c>
      <c r="G26" s="29">
        <v>5.58</v>
      </c>
    </row>
    <row r="27" spans="1:7" x14ac:dyDescent="0.2">
      <c r="A27" s="27" t="s">
        <v>990</v>
      </c>
      <c r="B27" s="27" t="s">
        <v>991</v>
      </c>
      <c r="C27" s="27" t="s">
        <v>52</v>
      </c>
      <c r="D27" s="31">
        <v>50</v>
      </c>
      <c r="E27" s="29">
        <v>543.65949999999998</v>
      </c>
      <c r="F27" s="30">
        <v>0.643904300014154</v>
      </c>
      <c r="G27" s="29">
        <v>4.8949999999999996</v>
      </c>
    </row>
    <row r="28" spans="1:7" x14ac:dyDescent="0.2">
      <c r="A28" s="27" t="s">
        <v>926</v>
      </c>
      <c r="B28" s="27" t="s">
        <v>927</v>
      </c>
      <c r="C28" s="27" t="s">
        <v>52</v>
      </c>
      <c r="D28" s="31">
        <v>50</v>
      </c>
      <c r="E28" s="29">
        <v>540.05600000000004</v>
      </c>
      <c r="F28" s="30">
        <v>0.63963635446165101</v>
      </c>
      <c r="G28" s="29">
        <v>5.7731000000000003</v>
      </c>
    </row>
    <row r="29" spans="1:7" x14ac:dyDescent="0.2">
      <c r="A29" s="27" t="s">
        <v>892</v>
      </c>
      <c r="B29" s="27" t="s">
        <v>893</v>
      </c>
      <c r="C29" s="27" t="s">
        <v>884</v>
      </c>
      <c r="D29" s="31">
        <v>50</v>
      </c>
      <c r="E29" s="29">
        <v>512.74900000000002</v>
      </c>
      <c r="F29" s="30">
        <v>0.60729424562241097</v>
      </c>
      <c r="G29" s="29">
        <v>4.5960000000000001</v>
      </c>
    </row>
    <row r="30" spans="1:7" x14ac:dyDescent="0.2">
      <c r="A30" s="27" t="s">
        <v>992</v>
      </c>
      <c r="B30" s="27" t="s">
        <v>993</v>
      </c>
      <c r="C30" s="27" t="s">
        <v>884</v>
      </c>
      <c r="D30" s="31">
        <v>50</v>
      </c>
      <c r="E30" s="29">
        <v>487.8655</v>
      </c>
      <c r="F30" s="30">
        <v>0.57782250338411301</v>
      </c>
      <c r="G30" s="29">
        <v>7.0143000000000004</v>
      </c>
    </row>
    <row r="31" spans="1:7" x14ac:dyDescent="0.2">
      <c r="A31" s="27" t="s">
        <v>902</v>
      </c>
      <c r="B31" s="27" t="s">
        <v>903</v>
      </c>
      <c r="C31" s="27" t="s">
        <v>52</v>
      </c>
      <c r="D31" s="31">
        <v>32</v>
      </c>
      <c r="E31" s="29">
        <v>327.81024000000002</v>
      </c>
      <c r="F31" s="30">
        <v>0.38825482333091199</v>
      </c>
      <c r="G31" s="29">
        <v>3.8050000000000002</v>
      </c>
    </row>
    <row r="32" spans="1:7" x14ac:dyDescent="0.2">
      <c r="A32" s="27" t="s">
        <v>994</v>
      </c>
      <c r="B32" s="27" t="s">
        <v>995</v>
      </c>
      <c r="C32" s="27" t="s">
        <v>996</v>
      </c>
      <c r="D32" s="31">
        <v>27</v>
      </c>
      <c r="E32" s="29">
        <v>278.47692000000001</v>
      </c>
      <c r="F32" s="30">
        <v>0.329824984650682</v>
      </c>
      <c r="G32" s="29">
        <v>3.54</v>
      </c>
    </row>
    <row r="33" spans="1:9" x14ac:dyDescent="0.2">
      <c r="A33" s="27" t="s">
        <v>953</v>
      </c>
      <c r="B33" s="27" t="s">
        <v>954</v>
      </c>
      <c r="C33" s="27" t="s">
        <v>52</v>
      </c>
      <c r="D33" s="31">
        <v>23</v>
      </c>
      <c r="E33" s="29">
        <v>231.73236</v>
      </c>
      <c r="F33" s="30">
        <v>0.27446124468794902</v>
      </c>
      <c r="G33" s="29">
        <v>3.355</v>
      </c>
    </row>
    <row r="34" spans="1:9" x14ac:dyDescent="0.2">
      <c r="A34" s="27" t="s">
        <v>997</v>
      </c>
      <c r="B34" s="27" t="s">
        <v>998</v>
      </c>
      <c r="C34" s="27" t="s">
        <v>916</v>
      </c>
      <c r="D34" s="31">
        <v>5</v>
      </c>
      <c r="E34" s="29">
        <v>51.173900000000003</v>
      </c>
      <c r="F34" s="30">
        <v>6.0609801279098999E-2</v>
      </c>
      <c r="G34" s="29">
        <v>3.6349999999999998</v>
      </c>
    </row>
    <row r="35" spans="1:9" x14ac:dyDescent="0.2">
      <c r="A35" s="26" t="s">
        <v>34</v>
      </c>
      <c r="B35" s="26"/>
      <c r="C35" s="26"/>
      <c r="D35" s="32"/>
      <c r="E35" s="33">
        <f>SUM(E6:E34)</f>
        <v>54334.23962</v>
      </c>
      <c r="F35" s="34">
        <f>SUM(F6:F34)</f>
        <v>64.352872577996678</v>
      </c>
      <c r="G35" s="33"/>
      <c r="H35" s="18"/>
      <c r="I35" s="18"/>
    </row>
    <row r="36" spans="1:9" x14ac:dyDescent="0.2">
      <c r="A36" s="27"/>
      <c r="B36" s="27"/>
      <c r="C36" s="27"/>
      <c r="D36" s="28"/>
      <c r="E36" s="29"/>
      <c r="F36" s="30"/>
      <c r="G36" s="29"/>
    </row>
    <row r="37" spans="1:9" x14ac:dyDescent="0.2">
      <c r="A37" s="26" t="s">
        <v>54</v>
      </c>
      <c r="B37" s="27"/>
      <c r="C37" s="27"/>
      <c r="D37" s="28"/>
      <c r="E37" s="29"/>
      <c r="F37" s="30"/>
      <c r="G37" s="29"/>
    </row>
    <row r="38" spans="1:9" x14ac:dyDescent="0.2">
      <c r="A38" s="26" t="s">
        <v>55</v>
      </c>
      <c r="B38" s="27"/>
      <c r="C38" s="27"/>
      <c r="D38" s="28"/>
      <c r="E38" s="29"/>
      <c r="F38" s="30"/>
      <c r="G38" s="29"/>
    </row>
    <row r="39" spans="1:9" x14ac:dyDescent="0.2">
      <c r="A39" s="27" t="s">
        <v>999</v>
      </c>
      <c r="B39" s="27" t="s">
        <v>1000</v>
      </c>
      <c r="C39" s="27" t="s">
        <v>56</v>
      </c>
      <c r="D39" s="31">
        <v>5000</v>
      </c>
      <c r="E39" s="29">
        <v>4874.49</v>
      </c>
      <c r="F39" s="30">
        <v>5.7732920538976904</v>
      </c>
      <c r="G39" s="29">
        <v>3.7000999999999999</v>
      </c>
    </row>
    <row r="40" spans="1:9" x14ac:dyDescent="0.2">
      <c r="A40" s="27" t="s">
        <v>1001</v>
      </c>
      <c r="B40" s="27" t="s">
        <v>1002</v>
      </c>
      <c r="C40" s="27" t="s">
        <v>56</v>
      </c>
      <c r="D40" s="31">
        <v>1000</v>
      </c>
      <c r="E40" s="29">
        <v>980.45100000000002</v>
      </c>
      <c r="F40" s="30">
        <v>1.16123532257447</v>
      </c>
      <c r="G40" s="29">
        <v>3.5501</v>
      </c>
    </row>
    <row r="41" spans="1:9" x14ac:dyDescent="0.2">
      <c r="A41" s="26" t="s">
        <v>34</v>
      </c>
      <c r="B41" s="26"/>
      <c r="C41" s="26"/>
      <c r="D41" s="32"/>
      <c r="E41" s="33">
        <f>SUM(E38:E40)</f>
        <v>5854.9409999999998</v>
      </c>
      <c r="F41" s="34">
        <f>SUM(F38:F40)</f>
        <v>6.9345273764721602</v>
      </c>
      <c r="G41" s="33"/>
      <c r="H41" s="18"/>
      <c r="I41" s="18"/>
    </row>
    <row r="42" spans="1:9" x14ac:dyDescent="0.2">
      <c r="A42" s="27"/>
      <c r="B42" s="27"/>
      <c r="C42" s="27"/>
      <c r="D42" s="28"/>
      <c r="E42" s="29"/>
      <c r="F42" s="30"/>
      <c r="G42" s="29"/>
    </row>
    <row r="43" spans="1:9" x14ac:dyDescent="0.2">
      <c r="A43" s="26" t="s">
        <v>58</v>
      </c>
      <c r="B43" s="27"/>
      <c r="C43" s="27"/>
      <c r="D43" s="28"/>
      <c r="E43" s="29"/>
      <c r="F43" s="30"/>
      <c r="G43" s="29"/>
    </row>
    <row r="44" spans="1:9" x14ac:dyDescent="0.2">
      <c r="A44" s="27" t="s">
        <v>767</v>
      </c>
      <c r="B44" s="27" t="s">
        <v>768</v>
      </c>
      <c r="C44" s="27" t="s">
        <v>56</v>
      </c>
      <c r="D44" s="31">
        <v>500</v>
      </c>
      <c r="E44" s="29">
        <v>2489.5025000000001</v>
      </c>
      <c r="F44" s="30">
        <v>2.9485392320855</v>
      </c>
      <c r="G44" s="29">
        <v>3.2747000000000002</v>
      </c>
    </row>
    <row r="45" spans="1:9" x14ac:dyDescent="0.2">
      <c r="A45" s="27" t="s">
        <v>865</v>
      </c>
      <c r="B45" s="27" t="s">
        <v>866</v>
      </c>
      <c r="C45" s="27" t="s">
        <v>56</v>
      </c>
      <c r="D45" s="31">
        <v>500</v>
      </c>
      <c r="E45" s="29">
        <v>2472.6849999999999</v>
      </c>
      <c r="F45" s="30">
        <v>2.9286207710533798</v>
      </c>
      <c r="G45" s="29">
        <v>3.36</v>
      </c>
    </row>
    <row r="46" spans="1:9" x14ac:dyDescent="0.2">
      <c r="A46" s="26" t="s">
        <v>34</v>
      </c>
      <c r="B46" s="26"/>
      <c r="C46" s="26"/>
      <c r="D46" s="32"/>
      <c r="E46" s="33">
        <f>SUM(E43:E45)</f>
        <v>4962.1875</v>
      </c>
      <c r="F46" s="34">
        <f>SUM(F43:F45)</f>
        <v>5.8771600031388793</v>
      </c>
      <c r="G46" s="33"/>
      <c r="H46" s="18"/>
      <c r="I46" s="18"/>
    </row>
    <row r="47" spans="1:9" x14ac:dyDescent="0.2">
      <c r="A47" s="27"/>
      <c r="B47" s="27"/>
      <c r="C47" s="27"/>
      <c r="D47" s="28"/>
      <c r="E47" s="29"/>
      <c r="F47" s="30"/>
      <c r="G47" s="29"/>
    </row>
    <row r="48" spans="1:9" x14ac:dyDescent="0.2">
      <c r="A48" s="26" t="s">
        <v>64</v>
      </c>
      <c r="B48" s="27"/>
      <c r="C48" s="27"/>
      <c r="D48" s="28"/>
      <c r="E48" s="29"/>
      <c r="F48" s="30"/>
      <c r="G48" s="29"/>
    </row>
    <row r="49" spans="1:9" x14ac:dyDescent="0.2">
      <c r="A49" s="27" t="s">
        <v>80</v>
      </c>
      <c r="B49" s="27" t="s">
        <v>79</v>
      </c>
      <c r="C49" s="27" t="s">
        <v>65</v>
      </c>
      <c r="D49" s="31">
        <v>7000000</v>
      </c>
      <c r="E49" s="29">
        <v>6915.6080000000002</v>
      </c>
      <c r="F49" s="30">
        <v>8.1907696424182408</v>
      </c>
      <c r="G49" s="29">
        <v>6.7744</v>
      </c>
    </row>
    <row r="50" spans="1:9" x14ac:dyDescent="0.2">
      <c r="A50" s="27" t="s">
        <v>86</v>
      </c>
      <c r="B50" s="27" t="s">
        <v>85</v>
      </c>
      <c r="C50" s="27" t="s">
        <v>65</v>
      </c>
      <c r="D50" s="31">
        <v>3500000</v>
      </c>
      <c r="E50" s="29">
        <v>3697.6624999999999</v>
      </c>
      <c r="F50" s="30">
        <v>4.3794705762542296</v>
      </c>
      <c r="G50" s="29">
        <v>6.0827999999999998</v>
      </c>
    </row>
    <row r="51" spans="1:9" x14ac:dyDescent="0.2">
      <c r="A51" s="27" t="s">
        <v>957</v>
      </c>
      <c r="B51" s="27" t="s">
        <v>958</v>
      </c>
      <c r="C51" s="27" t="s">
        <v>65</v>
      </c>
      <c r="D51" s="31">
        <v>2500000</v>
      </c>
      <c r="E51" s="29">
        <v>2626.165</v>
      </c>
      <c r="F51" s="30">
        <v>3.1104007858717999</v>
      </c>
      <c r="G51" s="29">
        <v>4.1227999999999998</v>
      </c>
    </row>
    <row r="52" spans="1:9" x14ac:dyDescent="0.2">
      <c r="A52" s="27" t="s">
        <v>82</v>
      </c>
      <c r="B52" s="27" t="s">
        <v>81</v>
      </c>
      <c r="C52" s="27" t="s">
        <v>65</v>
      </c>
      <c r="D52" s="31">
        <v>2000000</v>
      </c>
      <c r="E52" s="29">
        <v>2080.056</v>
      </c>
      <c r="F52" s="30">
        <v>2.46359532514421</v>
      </c>
      <c r="G52" s="29">
        <v>5.9497999999999998</v>
      </c>
    </row>
    <row r="53" spans="1:9" x14ac:dyDescent="0.2">
      <c r="A53" s="27" t="s">
        <v>90</v>
      </c>
      <c r="B53" s="27" t="s">
        <v>89</v>
      </c>
      <c r="C53" s="27" t="s">
        <v>65</v>
      </c>
      <c r="D53" s="31">
        <v>500000</v>
      </c>
      <c r="E53" s="29">
        <v>499.16899999999998</v>
      </c>
      <c r="F53" s="30">
        <v>0.59121024379002896</v>
      </c>
      <c r="G53" s="29">
        <v>5.2664999999999997</v>
      </c>
    </row>
    <row r="54" spans="1:9" x14ac:dyDescent="0.2">
      <c r="A54" s="26" t="s">
        <v>34</v>
      </c>
      <c r="B54" s="26"/>
      <c r="C54" s="26"/>
      <c r="D54" s="32"/>
      <c r="E54" s="33">
        <f>SUM(E49:E53)</f>
        <v>15818.6605</v>
      </c>
      <c r="F54" s="34">
        <f>SUM(F49:F53)</f>
        <v>18.735446573478512</v>
      </c>
      <c r="G54" s="33"/>
      <c r="H54" s="18"/>
      <c r="I54" s="18"/>
    </row>
    <row r="55" spans="1:9" x14ac:dyDescent="0.2">
      <c r="A55" s="27"/>
      <c r="B55" s="27"/>
      <c r="C55" s="27"/>
      <c r="D55" s="28"/>
      <c r="E55" s="29"/>
      <c r="F55" s="30"/>
      <c r="G55" s="29"/>
    </row>
    <row r="56" spans="1:9" x14ac:dyDescent="0.2">
      <c r="A56" s="26" t="s">
        <v>36</v>
      </c>
      <c r="B56" s="26"/>
      <c r="C56" s="26"/>
      <c r="D56" s="32"/>
      <c r="E56" s="33">
        <f>E35+E41+E46+E54</f>
        <v>80970.028619999997</v>
      </c>
      <c r="F56" s="34">
        <f>F35+F41+F46+F54</f>
        <v>95.900006531086234</v>
      </c>
      <c r="G56" s="33"/>
      <c r="H56" s="18"/>
      <c r="I56" s="18"/>
    </row>
    <row r="57" spans="1:9" x14ac:dyDescent="0.2">
      <c r="A57" s="26"/>
      <c r="B57" s="26"/>
      <c r="C57" s="26"/>
      <c r="D57" s="32"/>
      <c r="E57" s="33"/>
      <c r="F57" s="34"/>
      <c r="G57" s="33"/>
      <c r="H57" s="18"/>
      <c r="I57" s="18"/>
    </row>
    <row r="58" spans="1:9" x14ac:dyDescent="0.2">
      <c r="A58" s="26" t="s">
        <v>38</v>
      </c>
      <c r="B58" s="26"/>
      <c r="C58" s="26"/>
      <c r="D58" s="32"/>
      <c r="E58" s="33">
        <f>E60-(E35+E41+E46+E54)</f>
        <v>3461.6951607000083</v>
      </c>
      <c r="F58" s="34">
        <f>F60-(F35+F41+F46+F54)</f>
        <v>4.099993468913766</v>
      </c>
      <c r="G58" s="33"/>
      <c r="H58" s="18"/>
      <c r="I58" s="18"/>
    </row>
    <row r="59" spans="1:9" x14ac:dyDescent="0.2">
      <c r="A59" s="26"/>
      <c r="B59" s="26"/>
      <c r="C59" s="26"/>
      <c r="D59" s="32"/>
      <c r="E59" s="33"/>
      <c r="F59" s="34"/>
      <c r="G59" s="33"/>
      <c r="H59" s="18"/>
      <c r="I59" s="18"/>
    </row>
    <row r="60" spans="1:9" x14ac:dyDescent="0.2">
      <c r="A60" s="35" t="s">
        <v>37</v>
      </c>
      <c r="B60" s="35"/>
      <c r="C60" s="35"/>
      <c r="D60" s="36"/>
      <c r="E60" s="37">
        <v>84431.723780700006</v>
      </c>
      <c r="F60" s="38">
        <v>100</v>
      </c>
      <c r="G60" s="37"/>
      <c r="H60" s="18"/>
      <c r="I60" s="18"/>
    </row>
    <row r="62" spans="1:9" x14ac:dyDescent="0.2">
      <c r="A62" s="18" t="s">
        <v>66</v>
      </c>
    </row>
    <row r="63" spans="1:9" x14ac:dyDescent="0.2">
      <c r="A63" s="18" t="s">
        <v>39</v>
      </c>
    </row>
    <row r="65" spans="1:5" x14ac:dyDescent="0.2">
      <c r="A65" s="18" t="s">
        <v>40</v>
      </c>
    </row>
    <row r="66" spans="1:5" x14ac:dyDescent="0.2">
      <c r="A66" s="18" t="s">
        <v>41</v>
      </c>
    </row>
    <row r="67" spans="1:5" x14ac:dyDescent="0.2">
      <c r="A67" s="18" t="s">
        <v>42</v>
      </c>
      <c r="B67" s="18"/>
      <c r="C67" s="39" t="s">
        <v>44</v>
      </c>
      <c r="D67" s="19" t="s">
        <v>43</v>
      </c>
    </row>
    <row r="68" spans="1:5" x14ac:dyDescent="0.2">
      <c r="A68" s="9" t="s">
        <v>71</v>
      </c>
      <c r="C68" s="40">
        <v>17.3413</v>
      </c>
      <c r="D68" s="40">
        <v>17.926100000000002</v>
      </c>
    </row>
    <row r="69" spans="1:5" x14ac:dyDescent="0.2">
      <c r="A69" s="9" t="s">
        <v>77</v>
      </c>
      <c r="C69" s="40">
        <v>10.710599999999999</v>
      </c>
      <c r="D69" s="40">
        <v>10.663600000000001</v>
      </c>
    </row>
    <row r="70" spans="1:5" x14ac:dyDescent="0.2">
      <c r="A70" s="9" t="s">
        <v>74</v>
      </c>
      <c r="C70" s="40">
        <v>17.855</v>
      </c>
      <c r="D70" s="40">
        <v>18.488</v>
      </c>
    </row>
    <row r="71" spans="1:5" x14ac:dyDescent="0.2">
      <c r="A71" s="9" t="s">
        <v>78</v>
      </c>
      <c r="C71" s="40">
        <v>11.111499999999999</v>
      </c>
      <c r="D71" s="40">
        <v>11.0959</v>
      </c>
    </row>
    <row r="73" spans="1:5" x14ac:dyDescent="0.2">
      <c r="A73" s="18" t="s">
        <v>46</v>
      </c>
    </row>
    <row r="74" spans="1:5" x14ac:dyDescent="0.2">
      <c r="A74" s="71" t="s">
        <v>67</v>
      </c>
      <c r="B74" s="72"/>
      <c r="C74" s="43" t="s">
        <v>68</v>
      </c>
    </row>
    <row r="75" spans="1:5" x14ac:dyDescent="0.2">
      <c r="A75" s="67" t="s">
        <v>77</v>
      </c>
      <c r="B75" s="68"/>
      <c r="C75" s="44">
        <v>0.4</v>
      </c>
    </row>
    <row r="76" spans="1:5" x14ac:dyDescent="0.2">
      <c r="A76" s="67" t="s">
        <v>78</v>
      </c>
      <c r="B76" s="68"/>
      <c r="C76" s="44">
        <v>0.4</v>
      </c>
    </row>
    <row r="77" spans="1:5" x14ac:dyDescent="0.2">
      <c r="A77" s="9" t="s">
        <v>69</v>
      </c>
    </row>
    <row r="78" spans="1:5" x14ac:dyDescent="0.2">
      <c r="A78" s="9" t="s">
        <v>45</v>
      </c>
    </row>
    <row r="80" spans="1:5" x14ac:dyDescent="0.2">
      <c r="A80" s="18" t="s">
        <v>805</v>
      </c>
      <c r="D80" s="42">
        <v>2.8593041951780802</v>
      </c>
      <c r="E80" s="13" t="s">
        <v>48</v>
      </c>
    </row>
    <row r="82" spans="1:4" x14ac:dyDescent="0.2">
      <c r="A82" s="18" t="s">
        <v>49</v>
      </c>
      <c r="D82" s="41" t="s">
        <v>47</v>
      </c>
    </row>
    <row r="84" spans="1:4" x14ac:dyDescent="0.2">
      <c r="A84" s="18" t="s">
        <v>70</v>
      </c>
    </row>
    <row r="85" spans="1:4" x14ac:dyDescent="0.2">
      <c r="A85" s="46" t="s">
        <v>51</v>
      </c>
    </row>
    <row r="87" spans="1:4" x14ac:dyDescent="0.2">
      <c r="A87" s="46"/>
    </row>
  </sheetData>
  <mergeCells count="4">
    <mergeCell ref="A1:G1"/>
    <mergeCell ref="A74:B74"/>
    <mergeCell ref="A75:B75"/>
    <mergeCell ref="A76:B76"/>
  </mergeCells>
  <conditionalFormatting sqref="F2:F3 F5:F65536">
    <cfRule type="cellIs" dxfId="70" priority="1" stopIfTrue="1" operator="between">
      <formula>0.009</formula>
      <formula>-0.009</formula>
    </cfRule>
  </conditionalFormatting>
  <hyperlinks>
    <hyperlink ref="A85" r:id="rId1" tooltip="https://www.franklintempletonindia.com/downloadsServlet/pdf/product-labels-jg9o5k7l" xr:uid="{00000000-0004-0000-0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2"/>
  <sheetViews>
    <sheetView workbookViewId="0">
      <selection sqref="A1:G1"/>
    </sheetView>
  </sheetViews>
  <sheetFormatPr defaultColWidth="9.109375" defaultRowHeight="10.199999999999999" x14ac:dyDescent="0.2"/>
  <cols>
    <col min="1" max="1" width="34.44140625" style="9" bestFit="1" customWidth="1"/>
    <col min="2" max="2" width="23.44140625" style="9" bestFit="1" customWidth="1"/>
    <col min="3" max="3" width="25" style="9"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69" t="s">
        <v>1003</v>
      </c>
      <c r="B1" s="70"/>
      <c r="C1" s="70"/>
      <c r="D1" s="70"/>
      <c r="E1" s="70"/>
      <c r="F1" s="70"/>
      <c r="G1" s="7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row>
    <row r="5" spans="1:9" x14ac:dyDescent="0.2">
      <c r="A5" s="21" t="s">
        <v>64</v>
      </c>
      <c r="B5" s="22"/>
      <c r="C5" s="22"/>
      <c r="D5" s="23"/>
      <c r="E5" s="24"/>
      <c r="F5" s="25"/>
      <c r="G5" s="24"/>
    </row>
    <row r="6" spans="1:9" x14ac:dyDescent="0.2">
      <c r="A6" s="27" t="s">
        <v>80</v>
      </c>
      <c r="B6" s="27" t="s">
        <v>79</v>
      </c>
      <c r="C6" s="27" t="s">
        <v>65</v>
      </c>
      <c r="D6" s="31">
        <v>5500000</v>
      </c>
      <c r="E6" s="29">
        <v>5433.692</v>
      </c>
      <c r="F6" s="30">
        <v>27.224053699389799</v>
      </c>
      <c r="G6" s="29">
        <v>6.7744</v>
      </c>
    </row>
    <row r="7" spans="1:9" x14ac:dyDescent="0.2">
      <c r="A7" s="27" t="s">
        <v>82</v>
      </c>
      <c r="B7" s="27" t="s">
        <v>81</v>
      </c>
      <c r="C7" s="27" t="s">
        <v>65</v>
      </c>
      <c r="D7" s="31">
        <v>4590000</v>
      </c>
      <c r="E7" s="29">
        <v>4773.7285199999997</v>
      </c>
      <c r="F7" s="30">
        <v>23.917484019114202</v>
      </c>
      <c r="G7" s="29">
        <v>5.9497999999999998</v>
      </c>
    </row>
    <row r="8" spans="1:9" x14ac:dyDescent="0.2">
      <c r="A8" s="27" t="s">
        <v>84</v>
      </c>
      <c r="B8" s="27" t="s">
        <v>83</v>
      </c>
      <c r="C8" s="27" t="s">
        <v>65</v>
      </c>
      <c r="D8" s="31">
        <v>4000000</v>
      </c>
      <c r="E8" s="29">
        <v>3968.6559999999999</v>
      </c>
      <c r="F8" s="30">
        <v>19.8838844856141</v>
      </c>
      <c r="G8" s="29">
        <v>5.3592000000000004</v>
      </c>
    </row>
    <row r="9" spans="1:9" x14ac:dyDescent="0.2">
      <c r="A9" s="27" t="s">
        <v>86</v>
      </c>
      <c r="B9" s="27" t="s">
        <v>85</v>
      </c>
      <c r="C9" s="27" t="s">
        <v>65</v>
      </c>
      <c r="D9" s="31">
        <v>2125000</v>
      </c>
      <c r="E9" s="29">
        <v>2245.0093750000001</v>
      </c>
      <c r="F9" s="30">
        <v>11.2480162255486</v>
      </c>
      <c r="G9" s="29">
        <v>6.0827999999999998</v>
      </c>
    </row>
    <row r="10" spans="1:9" x14ac:dyDescent="0.2">
      <c r="A10" s="27" t="s">
        <v>88</v>
      </c>
      <c r="B10" s="27" t="s">
        <v>87</v>
      </c>
      <c r="C10" s="27" t="s">
        <v>65</v>
      </c>
      <c r="D10" s="31">
        <v>1900000</v>
      </c>
      <c r="E10" s="29">
        <v>2014.9462000000001</v>
      </c>
      <c r="F10" s="30">
        <v>10.0953465066076</v>
      </c>
      <c r="G10" s="29">
        <v>5.7530999999999999</v>
      </c>
    </row>
    <row r="11" spans="1:9" x14ac:dyDescent="0.2">
      <c r="A11" s="27" t="s">
        <v>90</v>
      </c>
      <c r="B11" s="27" t="s">
        <v>89</v>
      </c>
      <c r="C11" s="27" t="s">
        <v>65</v>
      </c>
      <c r="D11" s="31">
        <v>200000</v>
      </c>
      <c r="E11" s="29">
        <v>199.66759999999999</v>
      </c>
      <c r="F11" s="30">
        <v>1.0003808578823199</v>
      </c>
      <c r="G11" s="29">
        <v>5.2664999999999997</v>
      </c>
    </row>
    <row r="12" spans="1:9" x14ac:dyDescent="0.2">
      <c r="A12" s="26" t="s">
        <v>34</v>
      </c>
      <c r="B12" s="26"/>
      <c r="C12" s="26"/>
      <c r="D12" s="32"/>
      <c r="E12" s="33">
        <f>SUM(E6:E11)</f>
        <v>18635.699694999999</v>
      </c>
      <c r="F12" s="34">
        <f>SUM(F6:F11)</f>
        <v>93.369165794156615</v>
      </c>
      <c r="G12" s="33"/>
      <c r="H12" s="18"/>
      <c r="I12" s="18"/>
    </row>
    <row r="13" spans="1:9" x14ac:dyDescent="0.2">
      <c r="A13" s="27"/>
      <c r="B13" s="27"/>
      <c r="C13" s="27"/>
      <c r="D13" s="28"/>
      <c r="E13" s="29"/>
      <c r="F13" s="30"/>
      <c r="G13" s="29"/>
    </row>
    <row r="14" spans="1:9" x14ac:dyDescent="0.2">
      <c r="A14" s="26" t="s">
        <v>36</v>
      </c>
      <c r="B14" s="26"/>
      <c r="C14" s="26"/>
      <c r="D14" s="32"/>
      <c r="E14" s="33">
        <f>E12</f>
        <v>18635.699694999999</v>
      </c>
      <c r="F14" s="34">
        <f>F12</f>
        <v>93.369165794156615</v>
      </c>
      <c r="G14" s="33"/>
      <c r="H14" s="18"/>
      <c r="I14" s="18"/>
    </row>
    <row r="15" spans="1:9" x14ac:dyDescent="0.2">
      <c r="A15" s="26"/>
      <c r="B15" s="26"/>
      <c r="C15" s="26"/>
      <c r="D15" s="32"/>
      <c r="E15" s="33"/>
      <c r="F15" s="34"/>
      <c r="G15" s="33"/>
      <c r="H15" s="18"/>
      <c r="I15" s="18"/>
    </row>
    <row r="16" spans="1:9" x14ac:dyDescent="0.2">
      <c r="A16" s="26" t="s">
        <v>38</v>
      </c>
      <c r="B16" s="26"/>
      <c r="C16" s="26"/>
      <c r="D16" s="32"/>
      <c r="E16" s="33">
        <f>E18-(E12)</f>
        <v>1323.4587022000014</v>
      </c>
      <c r="F16" s="34">
        <f>F18-(F12)</f>
        <v>6.6308342058433851</v>
      </c>
      <c r="G16" s="33"/>
      <c r="H16" s="18"/>
      <c r="I16" s="18"/>
    </row>
    <row r="17" spans="1:9" x14ac:dyDescent="0.2">
      <c r="A17" s="26"/>
      <c r="B17" s="26"/>
      <c r="C17" s="26"/>
      <c r="D17" s="32"/>
      <c r="E17" s="33"/>
      <c r="F17" s="34"/>
      <c r="G17" s="33"/>
      <c r="H17" s="18"/>
      <c r="I17" s="18"/>
    </row>
    <row r="18" spans="1:9" x14ac:dyDescent="0.2">
      <c r="A18" s="35" t="s">
        <v>37</v>
      </c>
      <c r="B18" s="35"/>
      <c r="C18" s="35"/>
      <c r="D18" s="36"/>
      <c r="E18" s="37">
        <v>19959.158397200001</v>
      </c>
      <c r="F18" s="38">
        <v>100</v>
      </c>
      <c r="G18" s="37"/>
      <c r="H18" s="18"/>
      <c r="I18" s="18"/>
    </row>
    <row r="20" spans="1:9" x14ac:dyDescent="0.2">
      <c r="A20" s="18" t="s">
        <v>40</v>
      </c>
    </row>
    <row r="21" spans="1:9" x14ac:dyDescent="0.2">
      <c r="A21" s="18" t="s">
        <v>41</v>
      </c>
    </row>
    <row r="22" spans="1:9" x14ac:dyDescent="0.2">
      <c r="A22" s="18" t="s">
        <v>42</v>
      </c>
      <c r="B22" s="18"/>
      <c r="C22" s="39" t="s">
        <v>44</v>
      </c>
      <c r="D22" s="19" t="s">
        <v>43</v>
      </c>
    </row>
    <row r="23" spans="1:9" x14ac:dyDescent="0.2">
      <c r="A23" s="9" t="s">
        <v>91</v>
      </c>
      <c r="C23" s="40">
        <v>46.606099999999998</v>
      </c>
      <c r="D23" s="40">
        <v>48.2224</v>
      </c>
    </row>
    <row r="24" spans="1:9" x14ac:dyDescent="0.2">
      <c r="A24" s="9" t="s">
        <v>1004</v>
      </c>
      <c r="C24" s="40">
        <v>10.5007</v>
      </c>
      <c r="D24" s="40">
        <v>10.446099999999999</v>
      </c>
    </row>
    <row r="25" spans="1:9" x14ac:dyDescent="0.2">
      <c r="A25" s="9" t="s">
        <v>92</v>
      </c>
      <c r="C25" s="40">
        <v>50.011400000000002</v>
      </c>
      <c r="D25" s="40">
        <v>51.8598</v>
      </c>
    </row>
    <row r="26" spans="1:9" x14ac:dyDescent="0.2">
      <c r="A26" s="9" t="s">
        <v>1005</v>
      </c>
      <c r="C26" s="40">
        <v>11.5875</v>
      </c>
      <c r="D26" s="40">
        <v>11.596500000000001</v>
      </c>
    </row>
    <row r="28" spans="1:9" x14ac:dyDescent="0.2">
      <c r="A28" s="18" t="s">
        <v>46</v>
      </c>
    </row>
    <row r="29" spans="1:9" x14ac:dyDescent="0.2">
      <c r="A29" s="71" t="s">
        <v>67</v>
      </c>
      <c r="B29" s="72"/>
      <c r="C29" s="43" t="s">
        <v>68</v>
      </c>
    </row>
    <row r="30" spans="1:9" x14ac:dyDescent="0.2">
      <c r="A30" s="67" t="s">
        <v>1004</v>
      </c>
      <c r="B30" s="68"/>
      <c r="C30" s="44">
        <v>0.41</v>
      </c>
    </row>
    <row r="31" spans="1:9" x14ac:dyDescent="0.2">
      <c r="A31" s="67" t="s">
        <v>1005</v>
      </c>
      <c r="B31" s="68"/>
      <c r="C31" s="44">
        <v>0.41</v>
      </c>
    </row>
    <row r="32" spans="1:9" x14ac:dyDescent="0.2">
      <c r="A32" s="9" t="s">
        <v>69</v>
      </c>
    </row>
    <row r="33" spans="1:5" x14ac:dyDescent="0.2">
      <c r="A33" s="9" t="s">
        <v>45</v>
      </c>
    </row>
    <row r="35" spans="1:5" x14ac:dyDescent="0.2">
      <c r="A35" s="18" t="s">
        <v>805</v>
      </c>
      <c r="D35" s="42">
        <v>7.1740097622191801</v>
      </c>
      <c r="E35" s="13" t="s">
        <v>48</v>
      </c>
    </row>
    <row r="37" spans="1:5" ht="21.75" customHeight="1" x14ac:dyDescent="0.2">
      <c r="A37" s="73" t="s">
        <v>49</v>
      </c>
      <c r="B37" s="73"/>
      <c r="C37" s="73"/>
      <c r="D37" s="41" t="s">
        <v>47</v>
      </c>
    </row>
    <row r="39" spans="1:5" x14ac:dyDescent="0.2">
      <c r="A39" s="18" t="s">
        <v>70</v>
      </c>
    </row>
    <row r="40" spans="1:5" x14ac:dyDescent="0.2">
      <c r="A40" s="46" t="s">
        <v>51</v>
      </c>
    </row>
    <row r="42" spans="1:5" x14ac:dyDescent="0.2">
      <c r="A42" s="46"/>
    </row>
  </sheetData>
  <mergeCells count="5">
    <mergeCell ref="A1:G1"/>
    <mergeCell ref="A29:B29"/>
    <mergeCell ref="A30:B30"/>
    <mergeCell ref="A31:B31"/>
    <mergeCell ref="A37:C37"/>
  </mergeCells>
  <conditionalFormatting sqref="F2:F3 F5:F65534">
    <cfRule type="cellIs" dxfId="69" priority="1" stopIfTrue="1" operator="between">
      <formula>0.009</formula>
      <formula>-0.009</formula>
    </cfRule>
  </conditionalFormatting>
  <hyperlinks>
    <hyperlink ref="A40" r:id="rId1" tooltip="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9"/>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1006</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1007</v>
      </c>
      <c r="B7" s="27" t="s">
        <v>1008</v>
      </c>
      <c r="C7" s="27" t="s">
        <v>968</v>
      </c>
      <c r="D7" s="31">
        <v>40</v>
      </c>
      <c r="E7" s="29">
        <v>536.39480000000003</v>
      </c>
      <c r="F7" s="30">
        <v>10.1603657756758</v>
      </c>
      <c r="G7" s="29">
        <v>4.4499000000000004</v>
      </c>
    </row>
    <row r="8" spans="1:7" x14ac:dyDescent="0.2">
      <c r="A8" s="27" t="s">
        <v>1009</v>
      </c>
      <c r="B8" s="27" t="s">
        <v>1010</v>
      </c>
      <c r="C8" s="27" t="s">
        <v>52</v>
      </c>
      <c r="D8" s="31">
        <v>40</v>
      </c>
      <c r="E8" s="29">
        <v>532.23919999999998</v>
      </c>
      <c r="F8" s="30">
        <v>10.081650590484999</v>
      </c>
      <c r="G8" s="29">
        <v>4.2275999999999998</v>
      </c>
    </row>
    <row r="9" spans="1:7" x14ac:dyDescent="0.2">
      <c r="A9" s="27" t="s">
        <v>997</v>
      </c>
      <c r="B9" s="27" t="s">
        <v>998</v>
      </c>
      <c r="C9" s="27" t="s">
        <v>916</v>
      </c>
      <c r="D9" s="31">
        <v>42</v>
      </c>
      <c r="E9" s="29">
        <v>429.86076000000003</v>
      </c>
      <c r="F9" s="30">
        <v>8.1424028611202193</v>
      </c>
      <c r="G9" s="29">
        <v>3.6349999999999998</v>
      </c>
    </row>
    <row r="10" spans="1:7" x14ac:dyDescent="0.2">
      <c r="A10" s="27" t="s">
        <v>937</v>
      </c>
      <c r="B10" s="27" t="s">
        <v>938</v>
      </c>
      <c r="C10" s="27" t="s">
        <v>861</v>
      </c>
      <c r="D10" s="31">
        <v>41</v>
      </c>
      <c r="E10" s="29">
        <v>419.68912</v>
      </c>
      <c r="F10" s="30">
        <v>7.9497321213246499</v>
      </c>
      <c r="G10" s="29">
        <v>3.625</v>
      </c>
    </row>
    <row r="11" spans="1:7" x14ac:dyDescent="0.2">
      <c r="A11" s="27" t="s">
        <v>892</v>
      </c>
      <c r="B11" s="27" t="s">
        <v>893</v>
      </c>
      <c r="C11" s="27" t="s">
        <v>884</v>
      </c>
      <c r="D11" s="31">
        <v>40</v>
      </c>
      <c r="E11" s="29">
        <v>410.19920000000002</v>
      </c>
      <c r="F11" s="30">
        <v>7.7699744905983597</v>
      </c>
      <c r="G11" s="29">
        <v>4.5960000000000001</v>
      </c>
    </row>
    <row r="12" spans="1:7" x14ac:dyDescent="0.2">
      <c r="A12" s="27" t="s">
        <v>941</v>
      </c>
      <c r="B12" s="27" t="s">
        <v>942</v>
      </c>
      <c r="C12" s="27" t="s">
        <v>52</v>
      </c>
      <c r="D12" s="31">
        <v>30</v>
      </c>
      <c r="E12" s="29">
        <v>381.66660000000002</v>
      </c>
      <c r="F12" s="30">
        <v>7.2295112860127704</v>
      </c>
      <c r="G12" s="29">
        <v>3.9175</v>
      </c>
    </row>
    <row r="13" spans="1:7" x14ac:dyDescent="0.2">
      <c r="A13" s="27" t="s">
        <v>994</v>
      </c>
      <c r="B13" s="27" t="s">
        <v>995</v>
      </c>
      <c r="C13" s="27" t="s">
        <v>996</v>
      </c>
      <c r="D13" s="31">
        <v>37</v>
      </c>
      <c r="E13" s="29">
        <v>381.61651999999998</v>
      </c>
      <c r="F13" s="30">
        <v>7.2285626729426102</v>
      </c>
      <c r="G13" s="29">
        <v>3.54</v>
      </c>
    </row>
    <row r="14" spans="1:7" x14ac:dyDescent="0.2">
      <c r="A14" s="27" t="s">
        <v>935</v>
      </c>
      <c r="B14" s="27" t="s">
        <v>936</v>
      </c>
      <c r="C14" s="27" t="s">
        <v>52</v>
      </c>
      <c r="D14" s="31">
        <v>30</v>
      </c>
      <c r="E14" s="29">
        <v>305.97809999999998</v>
      </c>
      <c r="F14" s="30">
        <v>5.7958231797666899</v>
      </c>
      <c r="G14" s="29">
        <v>3.5649000000000002</v>
      </c>
    </row>
    <row r="15" spans="1:7" x14ac:dyDescent="0.2">
      <c r="A15" s="27" t="s">
        <v>1011</v>
      </c>
      <c r="B15" s="27" t="s">
        <v>1012</v>
      </c>
      <c r="C15" s="27" t="s">
        <v>968</v>
      </c>
      <c r="D15" s="31">
        <v>21</v>
      </c>
      <c r="E15" s="29">
        <v>275.33751000000001</v>
      </c>
      <c r="F15" s="30">
        <v>5.21543052498608</v>
      </c>
      <c r="G15" s="29">
        <v>4.1900000000000004</v>
      </c>
    </row>
    <row r="16" spans="1:7" x14ac:dyDescent="0.2">
      <c r="A16" s="27" t="s">
        <v>951</v>
      </c>
      <c r="B16" s="27" t="s">
        <v>952</v>
      </c>
      <c r="C16" s="27" t="s">
        <v>52</v>
      </c>
      <c r="D16" s="31">
        <v>25</v>
      </c>
      <c r="E16" s="29">
        <v>254.65125</v>
      </c>
      <c r="F16" s="30">
        <v>4.8235923339172402</v>
      </c>
      <c r="G16" s="29">
        <v>3.74</v>
      </c>
    </row>
    <row r="17" spans="1:9" x14ac:dyDescent="0.2">
      <c r="A17" s="27" t="s">
        <v>1013</v>
      </c>
      <c r="B17" s="27" t="s">
        <v>1014</v>
      </c>
      <c r="C17" s="27" t="s">
        <v>52</v>
      </c>
      <c r="D17" s="31">
        <v>19</v>
      </c>
      <c r="E17" s="29">
        <v>248.91900000000001</v>
      </c>
      <c r="F17" s="30">
        <v>4.7150123165165896</v>
      </c>
      <c r="G17" s="29">
        <v>4.2</v>
      </c>
    </row>
    <row r="18" spans="1:9" x14ac:dyDescent="0.2">
      <c r="A18" s="27" t="s">
        <v>1015</v>
      </c>
      <c r="B18" s="27" t="s">
        <v>1016</v>
      </c>
      <c r="C18" s="27" t="s">
        <v>861</v>
      </c>
      <c r="D18" s="31">
        <v>18</v>
      </c>
      <c r="E18" s="29">
        <v>184.75218000000001</v>
      </c>
      <c r="F18" s="30">
        <v>3.49956734601734</v>
      </c>
      <c r="G18" s="29">
        <v>3.83</v>
      </c>
    </row>
    <row r="19" spans="1:9" x14ac:dyDescent="0.2">
      <c r="A19" s="27" t="s">
        <v>1017</v>
      </c>
      <c r="B19" s="27" t="s">
        <v>1018</v>
      </c>
      <c r="C19" s="27" t="s">
        <v>52</v>
      </c>
      <c r="D19" s="31">
        <v>12</v>
      </c>
      <c r="E19" s="29">
        <v>156.90948</v>
      </c>
      <c r="F19" s="30">
        <v>2.9721721956870102</v>
      </c>
      <c r="G19" s="29">
        <v>4.9450000000000003</v>
      </c>
    </row>
    <row r="20" spans="1:9" x14ac:dyDescent="0.2">
      <c r="A20" s="27" t="s">
        <v>902</v>
      </c>
      <c r="B20" s="27" t="s">
        <v>903</v>
      </c>
      <c r="C20" s="27" t="s">
        <v>52</v>
      </c>
      <c r="D20" s="31">
        <v>10</v>
      </c>
      <c r="E20" s="29">
        <v>102.44070000000001</v>
      </c>
      <c r="F20" s="30">
        <v>1.9404270554380401</v>
      </c>
      <c r="G20" s="29">
        <v>3.8050000000000002</v>
      </c>
    </row>
    <row r="21" spans="1:9" x14ac:dyDescent="0.2">
      <c r="A21" s="27" t="s">
        <v>889</v>
      </c>
      <c r="B21" s="27" t="s">
        <v>890</v>
      </c>
      <c r="C21" s="27" t="s">
        <v>891</v>
      </c>
      <c r="D21" s="31">
        <v>5</v>
      </c>
      <c r="E21" s="29">
        <v>51.049550000000004</v>
      </c>
      <c r="F21" s="30">
        <v>0.96697824192861803</v>
      </c>
      <c r="G21" s="29">
        <v>4.4459</v>
      </c>
    </row>
    <row r="22" spans="1:9" x14ac:dyDescent="0.2">
      <c r="A22" s="26" t="s">
        <v>34</v>
      </c>
      <c r="B22" s="26"/>
      <c r="C22" s="26"/>
      <c r="D22" s="32"/>
      <c r="E22" s="33">
        <f>SUM(E6:E21)</f>
        <v>4671.7039700000005</v>
      </c>
      <c r="F22" s="34">
        <f>SUM(F6:F21)</f>
        <v>88.491202992417016</v>
      </c>
      <c r="G22" s="33"/>
      <c r="H22" s="18"/>
      <c r="I22" s="18"/>
    </row>
    <row r="23" spans="1:9" x14ac:dyDescent="0.2">
      <c r="A23" s="27"/>
      <c r="B23" s="27"/>
      <c r="C23" s="27"/>
      <c r="D23" s="28"/>
      <c r="E23" s="29"/>
      <c r="F23" s="30"/>
      <c r="G23" s="29"/>
    </row>
    <row r="24" spans="1:9" x14ac:dyDescent="0.2">
      <c r="A24" s="26" t="s">
        <v>54</v>
      </c>
      <c r="B24" s="27"/>
      <c r="C24" s="27"/>
      <c r="D24" s="28"/>
      <c r="E24" s="29"/>
      <c r="F24" s="30"/>
      <c r="G24" s="29"/>
    </row>
    <row r="25" spans="1:9" x14ac:dyDescent="0.2">
      <c r="A25" s="26" t="s">
        <v>55</v>
      </c>
      <c r="B25" s="27"/>
      <c r="C25" s="27"/>
      <c r="D25" s="28"/>
      <c r="E25" s="29"/>
      <c r="F25" s="30"/>
      <c r="G25" s="29"/>
    </row>
    <row r="26" spans="1:9" x14ac:dyDescent="0.2">
      <c r="A26" s="27" t="s">
        <v>955</v>
      </c>
      <c r="B26" s="27" t="s">
        <v>956</v>
      </c>
      <c r="C26" s="27" t="s">
        <v>56</v>
      </c>
      <c r="D26" s="31">
        <v>505</v>
      </c>
      <c r="E26" s="29">
        <v>492.42095499999999</v>
      </c>
      <c r="F26" s="30">
        <v>9.3274152143302107</v>
      </c>
      <c r="G26" s="29">
        <v>3.7</v>
      </c>
    </row>
    <row r="27" spans="1:9" x14ac:dyDescent="0.2">
      <c r="A27" s="26" t="s">
        <v>34</v>
      </c>
      <c r="B27" s="26"/>
      <c r="C27" s="26"/>
      <c r="D27" s="32"/>
      <c r="E27" s="33">
        <f>SUM(E25:E26)</f>
        <v>492.42095499999999</v>
      </c>
      <c r="F27" s="34">
        <f>SUM(F25:F26)</f>
        <v>9.3274152143302107</v>
      </c>
      <c r="G27" s="33"/>
      <c r="H27" s="18"/>
      <c r="I27" s="18"/>
    </row>
    <row r="28" spans="1:9" x14ac:dyDescent="0.2">
      <c r="A28" s="27"/>
      <c r="B28" s="27"/>
      <c r="C28" s="27"/>
      <c r="D28" s="28"/>
      <c r="E28" s="29"/>
      <c r="F28" s="30"/>
      <c r="G28" s="29"/>
    </row>
    <row r="29" spans="1:9" x14ac:dyDescent="0.2">
      <c r="A29" s="26" t="s">
        <v>36</v>
      </c>
      <c r="B29" s="26"/>
      <c r="C29" s="26"/>
      <c r="D29" s="32"/>
      <c r="E29" s="33">
        <f>E22+E27</f>
        <v>5164.1249250000001</v>
      </c>
      <c r="F29" s="34">
        <f>F22+F27</f>
        <v>97.818618206747232</v>
      </c>
      <c r="G29" s="33"/>
      <c r="H29" s="18"/>
      <c r="I29" s="18"/>
    </row>
    <row r="30" spans="1:9" x14ac:dyDescent="0.2">
      <c r="A30" s="26"/>
      <c r="B30" s="26"/>
      <c r="C30" s="26"/>
      <c r="D30" s="32"/>
      <c r="E30" s="33"/>
      <c r="F30" s="34"/>
      <c r="G30" s="33"/>
      <c r="H30" s="18"/>
      <c r="I30" s="18"/>
    </row>
    <row r="31" spans="1:9" x14ac:dyDescent="0.2">
      <c r="A31" s="26" t="s">
        <v>38</v>
      </c>
      <c r="B31" s="26"/>
      <c r="C31" s="26"/>
      <c r="D31" s="32"/>
      <c r="E31" s="33">
        <f>E33-(E22+E27)</f>
        <v>115.16139049999947</v>
      </c>
      <c r="F31" s="34">
        <f>F33-(F22+F27)</f>
        <v>2.1813817932527684</v>
      </c>
      <c r="G31" s="33"/>
      <c r="H31" s="18"/>
      <c r="I31" s="18"/>
    </row>
    <row r="32" spans="1:9" x14ac:dyDescent="0.2">
      <c r="A32" s="26"/>
      <c r="B32" s="26"/>
      <c r="C32" s="26"/>
      <c r="D32" s="32"/>
      <c r="E32" s="33"/>
      <c r="F32" s="34"/>
      <c r="G32" s="33"/>
      <c r="H32" s="18"/>
      <c r="I32" s="18"/>
    </row>
    <row r="33" spans="1:9" x14ac:dyDescent="0.2">
      <c r="A33" s="35" t="s">
        <v>37</v>
      </c>
      <c r="B33" s="35"/>
      <c r="C33" s="35"/>
      <c r="D33" s="36"/>
      <c r="E33" s="37">
        <v>5279.2863154999995</v>
      </c>
      <c r="F33" s="38">
        <v>100</v>
      </c>
      <c r="G33" s="37"/>
      <c r="H33" s="18"/>
      <c r="I33" s="18"/>
    </row>
    <row r="35" spans="1:9" x14ac:dyDescent="0.2">
      <c r="A35" s="18" t="s">
        <v>39</v>
      </c>
    </row>
    <row r="37" spans="1:9" x14ac:dyDescent="0.2">
      <c r="A37" s="18" t="s">
        <v>40</v>
      </c>
    </row>
    <row r="38" spans="1:9" x14ac:dyDescent="0.2">
      <c r="A38" s="18" t="s">
        <v>41</v>
      </c>
    </row>
    <row r="39" spans="1:9" x14ac:dyDescent="0.2">
      <c r="A39" s="18" t="s">
        <v>42</v>
      </c>
      <c r="B39" s="18"/>
      <c r="C39" s="39" t="s">
        <v>44</v>
      </c>
      <c r="D39" s="19" t="s">
        <v>43</v>
      </c>
    </row>
    <row r="40" spans="1:9" x14ac:dyDescent="0.2">
      <c r="A40" s="9" t="s">
        <v>71</v>
      </c>
      <c r="C40" s="40">
        <v>11.9666</v>
      </c>
      <c r="D40" s="40">
        <v>12.295</v>
      </c>
    </row>
    <row r="41" spans="1:9" x14ac:dyDescent="0.2">
      <c r="A41" s="9" t="s">
        <v>1019</v>
      </c>
      <c r="C41" s="40">
        <v>11.1257</v>
      </c>
      <c r="D41" s="40">
        <v>10.632400000000001</v>
      </c>
    </row>
    <row r="42" spans="1:9" x14ac:dyDescent="0.2">
      <c r="A42" s="9" t="s">
        <v>73</v>
      </c>
      <c r="C42" s="40">
        <v>10.5373</v>
      </c>
      <c r="D42" s="40">
        <v>10.4598</v>
      </c>
    </row>
    <row r="43" spans="1:9" x14ac:dyDescent="0.2">
      <c r="A43" s="9" t="s">
        <v>74</v>
      </c>
      <c r="C43" s="40">
        <v>12.013199999999999</v>
      </c>
      <c r="D43" s="40">
        <v>12.355399999999999</v>
      </c>
    </row>
    <row r="45" spans="1:9" x14ac:dyDescent="0.2">
      <c r="A45" s="18" t="s">
        <v>46</v>
      </c>
    </row>
    <row r="46" spans="1:9" x14ac:dyDescent="0.2">
      <c r="A46" s="71" t="s">
        <v>67</v>
      </c>
      <c r="B46" s="72"/>
      <c r="C46" s="43" t="s">
        <v>68</v>
      </c>
    </row>
    <row r="47" spans="1:9" x14ac:dyDescent="0.2">
      <c r="A47" s="67" t="s">
        <v>1019</v>
      </c>
      <c r="B47" s="68"/>
      <c r="C47" s="44">
        <v>0.78</v>
      </c>
    </row>
    <row r="48" spans="1:9" x14ac:dyDescent="0.2">
      <c r="A48" s="67" t="s">
        <v>73</v>
      </c>
      <c r="B48" s="68"/>
      <c r="C48" s="44">
        <v>0.36</v>
      </c>
    </row>
    <row r="49" spans="1:5" x14ac:dyDescent="0.2">
      <c r="A49" s="9" t="s">
        <v>69</v>
      </c>
    </row>
    <row r="50" spans="1:5" x14ac:dyDescent="0.2">
      <c r="A50" s="9" t="s">
        <v>45</v>
      </c>
    </row>
    <row r="52" spans="1:5" x14ac:dyDescent="0.2">
      <c r="A52" s="18" t="s">
        <v>805</v>
      </c>
      <c r="D52" s="42">
        <v>0.57539023638356201</v>
      </c>
      <c r="E52" s="13" t="s">
        <v>48</v>
      </c>
    </row>
    <row r="54" spans="1:5" x14ac:dyDescent="0.2">
      <c r="A54" s="18" t="s">
        <v>49</v>
      </c>
      <c r="D54" s="41" t="s">
        <v>47</v>
      </c>
    </row>
    <row r="56" spans="1:5" x14ac:dyDescent="0.2">
      <c r="A56" s="18" t="s">
        <v>70</v>
      </c>
    </row>
    <row r="57" spans="1:5" x14ac:dyDescent="0.2">
      <c r="A57" s="46" t="s">
        <v>51</v>
      </c>
    </row>
    <row r="59" spans="1:5" x14ac:dyDescent="0.2">
      <c r="A59" s="46"/>
    </row>
  </sheetData>
  <mergeCells count="4">
    <mergeCell ref="A1:G1"/>
    <mergeCell ref="A46:B46"/>
    <mergeCell ref="A47:B47"/>
    <mergeCell ref="A48:B48"/>
  </mergeCells>
  <conditionalFormatting sqref="F2:F3 F5:F65536">
    <cfRule type="cellIs" dxfId="68" priority="1" stopIfTrue="1" operator="between">
      <formula>0.009</formula>
      <formula>-0.009</formula>
    </cfRule>
  </conditionalFormatting>
  <hyperlinks>
    <hyperlink ref="A57" r:id="rId1" tooltip="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0"/>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1020</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941</v>
      </c>
      <c r="B7" s="27" t="s">
        <v>942</v>
      </c>
      <c r="C7" s="27" t="s">
        <v>52</v>
      </c>
      <c r="D7" s="31">
        <v>39</v>
      </c>
      <c r="E7" s="29">
        <v>496.16658000000001</v>
      </c>
      <c r="F7" s="30">
        <v>12.0280927749829</v>
      </c>
      <c r="G7" s="29">
        <v>3.9175</v>
      </c>
    </row>
    <row r="8" spans="1:7" x14ac:dyDescent="0.2">
      <c r="A8" s="27" t="s">
        <v>1021</v>
      </c>
      <c r="B8" s="27" t="s">
        <v>1022</v>
      </c>
      <c r="C8" s="27" t="s">
        <v>52</v>
      </c>
      <c r="D8" s="31">
        <v>39</v>
      </c>
      <c r="E8" s="29">
        <v>400.25349</v>
      </c>
      <c r="F8" s="30">
        <v>9.7029632895280393</v>
      </c>
      <c r="G8" s="29">
        <v>3.6349999999999998</v>
      </c>
    </row>
    <row r="9" spans="1:7" x14ac:dyDescent="0.2">
      <c r="A9" s="27" t="s">
        <v>1023</v>
      </c>
      <c r="B9" s="27" t="s">
        <v>1024</v>
      </c>
      <c r="C9" s="27" t="s">
        <v>52</v>
      </c>
      <c r="D9" s="31">
        <v>39</v>
      </c>
      <c r="E9" s="29">
        <v>395.11407000000003</v>
      </c>
      <c r="F9" s="30">
        <v>9.5783732363858007</v>
      </c>
      <c r="G9" s="29">
        <v>3.4550000000000001</v>
      </c>
    </row>
    <row r="10" spans="1:7" x14ac:dyDescent="0.2">
      <c r="A10" s="27" t="s">
        <v>1011</v>
      </c>
      <c r="B10" s="27" t="s">
        <v>1012</v>
      </c>
      <c r="C10" s="27" t="s">
        <v>968</v>
      </c>
      <c r="D10" s="31">
        <v>29</v>
      </c>
      <c r="E10" s="29">
        <v>380.22798999999998</v>
      </c>
      <c r="F10" s="30">
        <v>9.21750420869793</v>
      </c>
      <c r="G10" s="29">
        <v>4.1900000000000004</v>
      </c>
    </row>
    <row r="11" spans="1:7" x14ac:dyDescent="0.2">
      <c r="A11" s="27" t="s">
        <v>1015</v>
      </c>
      <c r="B11" s="27" t="s">
        <v>1016</v>
      </c>
      <c r="C11" s="27" t="s">
        <v>861</v>
      </c>
      <c r="D11" s="31">
        <v>37</v>
      </c>
      <c r="E11" s="29">
        <v>379.76837</v>
      </c>
      <c r="F11" s="30">
        <v>9.2063620797757508</v>
      </c>
      <c r="G11" s="29">
        <v>3.83</v>
      </c>
    </row>
    <row r="12" spans="1:7" x14ac:dyDescent="0.2">
      <c r="A12" s="27" t="s">
        <v>945</v>
      </c>
      <c r="B12" s="27" t="s">
        <v>946</v>
      </c>
      <c r="C12" s="27" t="s">
        <v>52</v>
      </c>
      <c r="D12" s="31">
        <v>27</v>
      </c>
      <c r="E12" s="29">
        <v>352.70127000000002</v>
      </c>
      <c r="F12" s="30">
        <v>8.5502002118205596</v>
      </c>
      <c r="G12" s="29">
        <v>3.4849999999999999</v>
      </c>
    </row>
    <row r="13" spans="1:7" x14ac:dyDescent="0.2">
      <c r="A13" s="27" t="s">
        <v>889</v>
      </c>
      <c r="B13" s="27" t="s">
        <v>890</v>
      </c>
      <c r="C13" s="27" t="s">
        <v>891</v>
      </c>
      <c r="D13" s="31">
        <v>34</v>
      </c>
      <c r="E13" s="29">
        <v>347.13693999999998</v>
      </c>
      <c r="F13" s="30">
        <v>8.4153094711531402</v>
      </c>
      <c r="G13" s="29">
        <v>4.4459</v>
      </c>
    </row>
    <row r="14" spans="1:7" x14ac:dyDescent="0.2">
      <c r="A14" s="27" t="s">
        <v>1017</v>
      </c>
      <c r="B14" s="27" t="s">
        <v>1018</v>
      </c>
      <c r="C14" s="27" t="s">
        <v>52</v>
      </c>
      <c r="D14" s="31">
        <v>24</v>
      </c>
      <c r="E14" s="29">
        <v>313.81896</v>
      </c>
      <c r="F14" s="30">
        <v>7.60761348623811</v>
      </c>
      <c r="G14" s="29">
        <v>4.9450000000000003</v>
      </c>
    </row>
    <row r="15" spans="1:7" x14ac:dyDescent="0.2">
      <c r="A15" s="27" t="s">
        <v>951</v>
      </c>
      <c r="B15" s="27" t="s">
        <v>952</v>
      </c>
      <c r="C15" s="27" t="s">
        <v>52</v>
      </c>
      <c r="D15" s="31">
        <v>19</v>
      </c>
      <c r="E15" s="29">
        <v>193.53495000000001</v>
      </c>
      <c r="F15" s="30">
        <v>4.6916830508851897</v>
      </c>
      <c r="G15" s="29">
        <v>3.74</v>
      </c>
    </row>
    <row r="16" spans="1:7" x14ac:dyDescent="0.2">
      <c r="A16" s="27" t="s">
        <v>935</v>
      </c>
      <c r="B16" s="27" t="s">
        <v>936</v>
      </c>
      <c r="C16" s="27" t="s">
        <v>52</v>
      </c>
      <c r="D16" s="31">
        <v>13</v>
      </c>
      <c r="E16" s="29">
        <v>132.59050999999999</v>
      </c>
      <c r="F16" s="30">
        <v>3.2142651674812401</v>
      </c>
      <c r="G16" s="29">
        <v>3.5649000000000002</v>
      </c>
    </row>
    <row r="17" spans="1:9" x14ac:dyDescent="0.2">
      <c r="A17" s="27" t="s">
        <v>902</v>
      </c>
      <c r="B17" s="27" t="s">
        <v>903</v>
      </c>
      <c r="C17" s="27" t="s">
        <v>52</v>
      </c>
      <c r="D17" s="31">
        <v>12</v>
      </c>
      <c r="E17" s="29">
        <v>122.92883999999999</v>
      </c>
      <c r="F17" s="30">
        <v>2.98004652437701</v>
      </c>
      <c r="G17" s="29">
        <v>3.8050000000000002</v>
      </c>
    </row>
    <row r="18" spans="1:9" x14ac:dyDescent="0.2">
      <c r="A18" s="27" t="s">
        <v>1009</v>
      </c>
      <c r="B18" s="27" t="s">
        <v>1010</v>
      </c>
      <c r="C18" s="27" t="s">
        <v>52</v>
      </c>
      <c r="D18" s="31">
        <v>4</v>
      </c>
      <c r="E18" s="29">
        <v>53.22392</v>
      </c>
      <c r="F18" s="30">
        <v>1.29025668679311</v>
      </c>
      <c r="G18" s="29">
        <v>4.2275999999999998</v>
      </c>
    </row>
    <row r="19" spans="1:9" x14ac:dyDescent="0.2">
      <c r="A19" s="27" t="s">
        <v>1025</v>
      </c>
      <c r="B19" s="27" t="s">
        <v>1026</v>
      </c>
      <c r="C19" s="27" t="s">
        <v>968</v>
      </c>
      <c r="D19" s="31">
        <v>1</v>
      </c>
      <c r="E19" s="29">
        <v>13.089700000000001</v>
      </c>
      <c r="F19" s="30">
        <v>0.31732110211190201</v>
      </c>
      <c r="G19" s="29">
        <v>4.5849000000000002</v>
      </c>
    </row>
    <row r="20" spans="1:9" x14ac:dyDescent="0.2">
      <c r="A20" s="27" t="s">
        <v>892</v>
      </c>
      <c r="B20" s="27" t="s">
        <v>893</v>
      </c>
      <c r="C20" s="27" t="s">
        <v>884</v>
      </c>
      <c r="D20" s="31">
        <v>1</v>
      </c>
      <c r="E20" s="29">
        <v>10.25498</v>
      </c>
      <c r="F20" s="30">
        <v>0.24860169108043101</v>
      </c>
      <c r="G20" s="29">
        <v>4.5960000000000001</v>
      </c>
    </row>
    <row r="21" spans="1:9" x14ac:dyDescent="0.2">
      <c r="A21" s="26" t="s">
        <v>34</v>
      </c>
      <c r="B21" s="26"/>
      <c r="C21" s="26"/>
      <c r="D21" s="32"/>
      <c r="E21" s="33">
        <f>SUM(E6:E20)</f>
        <v>3590.8105700000001</v>
      </c>
      <c r="F21" s="34">
        <f>SUM(F6:F20)</f>
        <v>87.048592981311131</v>
      </c>
      <c r="G21" s="33"/>
      <c r="H21" s="18"/>
      <c r="I21" s="18"/>
    </row>
    <row r="22" spans="1:9" x14ac:dyDescent="0.2">
      <c r="A22" s="27"/>
      <c r="B22" s="27"/>
      <c r="C22" s="27"/>
      <c r="D22" s="28"/>
      <c r="E22" s="29"/>
      <c r="F22" s="30"/>
      <c r="G22" s="29"/>
    </row>
    <row r="23" spans="1:9" x14ac:dyDescent="0.2">
      <c r="A23" s="26" t="s">
        <v>54</v>
      </c>
      <c r="B23" s="27"/>
      <c r="C23" s="27"/>
      <c r="D23" s="28"/>
      <c r="E23" s="29"/>
      <c r="F23" s="30"/>
      <c r="G23" s="29"/>
    </row>
    <row r="24" spans="1:9" x14ac:dyDescent="0.2">
      <c r="A24" s="26" t="s">
        <v>55</v>
      </c>
      <c r="B24" s="27"/>
      <c r="C24" s="27"/>
      <c r="D24" s="28"/>
      <c r="E24" s="29"/>
      <c r="F24" s="30"/>
      <c r="G24" s="29"/>
    </row>
    <row r="25" spans="1:9" x14ac:dyDescent="0.2">
      <c r="A25" s="27" t="s">
        <v>955</v>
      </c>
      <c r="B25" s="27" t="s">
        <v>956</v>
      </c>
      <c r="C25" s="27" t="s">
        <v>56</v>
      </c>
      <c r="D25" s="31">
        <v>415</v>
      </c>
      <c r="E25" s="29">
        <v>404.66276499999998</v>
      </c>
      <c r="F25" s="30">
        <v>9.8098531344071809</v>
      </c>
      <c r="G25" s="29">
        <v>3.7</v>
      </c>
    </row>
    <row r="26" spans="1:9" x14ac:dyDescent="0.2">
      <c r="A26" s="26" t="s">
        <v>34</v>
      </c>
      <c r="B26" s="26"/>
      <c r="C26" s="26"/>
      <c r="D26" s="32"/>
      <c r="E26" s="33">
        <f>SUM(E24:E25)</f>
        <v>404.66276499999998</v>
      </c>
      <c r="F26" s="34">
        <f>SUM(F24:F25)</f>
        <v>9.8098531344071809</v>
      </c>
      <c r="G26" s="33"/>
      <c r="H26" s="18"/>
      <c r="I26" s="18"/>
    </row>
    <row r="27" spans="1:9" x14ac:dyDescent="0.2">
      <c r="A27" s="27"/>
      <c r="B27" s="27"/>
      <c r="C27" s="27"/>
      <c r="D27" s="28"/>
      <c r="E27" s="29"/>
      <c r="F27" s="30"/>
      <c r="G27" s="29"/>
    </row>
    <row r="28" spans="1:9" x14ac:dyDescent="0.2">
      <c r="A28" s="26" t="s">
        <v>36</v>
      </c>
      <c r="B28" s="26"/>
      <c r="C28" s="26"/>
      <c r="D28" s="32"/>
      <c r="E28" s="33">
        <f>E21+E26</f>
        <v>3995.4733350000001</v>
      </c>
      <c r="F28" s="34">
        <f>F21+F26</f>
        <v>96.858446115718309</v>
      </c>
      <c r="G28" s="33"/>
      <c r="H28" s="18"/>
      <c r="I28" s="18"/>
    </row>
    <row r="29" spans="1:9" x14ac:dyDescent="0.2">
      <c r="A29" s="26"/>
      <c r="B29" s="26"/>
      <c r="C29" s="26"/>
      <c r="D29" s="32"/>
      <c r="E29" s="33"/>
      <c r="F29" s="34"/>
      <c r="G29" s="33"/>
      <c r="H29" s="18"/>
      <c r="I29" s="18"/>
    </row>
    <row r="30" spans="1:9" x14ac:dyDescent="0.2">
      <c r="A30" s="26" t="s">
        <v>38</v>
      </c>
      <c r="B30" s="26"/>
      <c r="C30" s="26"/>
      <c r="D30" s="32"/>
      <c r="E30" s="33">
        <f>E32-(E21+E26)</f>
        <v>129.59112270000014</v>
      </c>
      <c r="F30" s="34">
        <f>F32-(F21+F26)</f>
        <v>3.1415538842816915</v>
      </c>
      <c r="G30" s="33"/>
      <c r="H30" s="18"/>
      <c r="I30" s="18"/>
    </row>
    <row r="31" spans="1:9" x14ac:dyDescent="0.2">
      <c r="A31" s="26"/>
      <c r="B31" s="26"/>
      <c r="C31" s="26"/>
      <c r="D31" s="32"/>
      <c r="E31" s="33"/>
      <c r="F31" s="34"/>
      <c r="G31" s="33"/>
      <c r="H31" s="18"/>
      <c r="I31" s="18"/>
    </row>
    <row r="32" spans="1:9" x14ac:dyDescent="0.2">
      <c r="A32" s="35" t="s">
        <v>37</v>
      </c>
      <c r="B32" s="35"/>
      <c r="C32" s="35"/>
      <c r="D32" s="36"/>
      <c r="E32" s="37">
        <v>4125.0644577000003</v>
      </c>
      <c r="F32" s="38">
        <v>100</v>
      </c>
      <c r="G32" s="37"/>
      <c r="H32" s="18"/>
      <c r="I32" s="18"/>
    </row>
    <row r="34" spans="1:4" x14ac:dyDescent="0.2">
      <c r="A34" s="18" t="s">
        <v>39</v>
      </c>
    </row>
    <row r="36" spans="1:4" x14ac:dyDescent="0.2">
      <c r="A36" s="18" t="s">
        <v>40</v>
      </c>
    </row>
    <row r="37" spans="1:4" x14ac:dyDescent="0.2">
      <c r="A37" s="18" t="s">
        <v>41</v>
      </c>
    </row>
    <row r="38" spans="1:4" x14ac:dyDescent="0.2">
      <c r="A38" s="18" t="s">
        <v>42</v>
      </c>
      <c r="B38" s="18"/>
      <c r="C38" s="39" t="s">
        <v>44</v>
      </c>
      <c r="D38" s="19" t="s">
        <v>43</v>
      </c>
    </row>
    <row r="39" spans="1:4" x14ac:dyDescent="0.2">
      <c r="A39" s="9" t="s">
        <v>71</v>
      </c>
      <c r="C39" s="40">
        <v>12.1006</v>
      </c>
      <c r="D39" s="40">
        <v>12.427300000000001</v>
      </c>
    </row>
    <row r="40" spans="1:4" x14ac:dyDescent="0.2">
      <c r="A40" s="9" t="s">
        <v>1019</v>
      </c>
      <c r="C40" s="40">
        <v>11.2341</v>
      </c>
      <c r="D40" s="40">
        <v>10.6806</v>
      </c>
    </row>
    <row r="41" spans="1:4" x14ac:dyDescent="0.2">
      <c r="A41" s="9" t="s">
        <v>73</v>
      </c>
      <c r="C41" s="40">
        <v>10.604100000000001</v>
      </c>
      <c r="D41" s="40">
        <v>10.3071</v>
      </c>
    </row>
    <row r="42" spans="1:4" x14ac:dyDescent="0.2">
      <c r="A42" s="9" t="s">
        <v>74</v>
      </c>
      <c r="C42" s="40">
        <v>12.149900000000001</v>
      </c>
      <c r="D42" s="40">
        <v>12.4907</v>
      </c>
    </row>
    <row r="43" spans="1:4" x14ac:dyDescent="0.2">
      <c r="A43" s="9" t="s">
        <v>78</v>
      </c>
      <c r="C43" s="40">
        <v>11.2799</v>
      </c>
      <c r="D43" s="40">
        <v>10.7379</v>
      </c>
    </row>
    <row r="44" spans="1:4" x14ac:dyDescent="0.2">
      <c r="A44" s="9" t="s">
        <v>76</v>
      </c>
      <c r="C44" s="40">
        <v>10.651</v>
      </c>
      <c r="D44" s="40">
        <v>10.366099999999999</v>
      </c>
    </row>
    <row r="46" spans="1:4" x14ac:dyDescent="0.2">
      <c r="A46" s="18" t="s">
        <v>46</v>
      </c>
    </row>
    <row r="47" spans="1:4" x14ac:dyDescent="0.2">
      <c r="A47" s="71" t="s">
        <v>67</v>
      </c>
      <c r="B47" s="72"/>
      <c r="C47" s="43" t="s">
        <v>68</v>
      </c>
    </row>
    <row r="48" spans="1:4" x14ac:dyDescent="0.2">
      <c r="A48" s="67" t="s">
        <v>73</v>
      </c>
      <c r="B48" s="68"/>
      <c r="C48" s="44">
        <v>0.36499999999999999</v>
      </c>
    </row>
    <row r="49" spans="1:5" x14ac:dyDescent="0.2">
      <c r="A49" s="67" t="s">
        <v>76</v>
      </c>
      <c r="B49" s="68"/>
      <c r="C49" s="44">
        <v>0.36499999999999999</v>
      </c>
    </row>
    <row r="50" spans="1:5" x14ac:dyDescent="0.2">
      <c r="A50" s="9" t="s">
        <v>69</v>
      </c>
    </row>
    <row r="51" spans="1:5" x14ac:dyDescent="0.2">
      <c r="A51" s="9" t="s">
        <v>45</v>
      </c>
    </row>
    <row r="53" spans="1:5" x14ac:dyDescent="0.2">
      <c r="A53" s="18" t="s">
        <v>805</v>
      </c>
      <c r="D53" s="42">
        <v>0.51254497005479505</v>
      </c>
      <c r="E53" s="13" t="s">
        <v>48</v>
      </c>
    </row>
    <row r="55" spans="1:5" x14ac:dyDescent="0.2">
      <c r="A55" s="18" t="s">
        <v>49</v>
      </c>
      <c r="D55" s="41" t="s">
        <v>47</v>
      </c>
    </row>
    <row r="57" spans="1:5" x14ac:dyDescent="0.2">
      <c r="A57" s="18" t="s">
        <v>70</v>
      </c>
    </row>
    <row r="58" spans="1:5" x14ac:dyDescent="0.2">
      <c r="A58" s="46" t="s">
        <v>51</v>
      </c>
    </row>
    <row r="60" spans="1:5" x14ac:dyDescent="0.2">
      <c r="A60" s="46"/>
    </row>
  </sheetData>
  <mergeCells count="4">
    <mergeCell ref="A1:G1"/>
    <mergeCell ref="A47:B47"/>
    <mergeCell ref="A48:B48"/>
    <mergeCell ref="A49:B49"/>
  </mergeCells>
  <conditionalFormatting sqref="F2:F3 F5:F65536">
    <cfRule type="cellIs" dxfId="67" priority="1" stopIfTrue="1" operator="between">
      <formula>0.009</formula>
      <formula>-0.009</formula>
    </cfRule>
  </conditionalFormatting>
  <hyperlinks>
    <hyperlink ref="A58" r:id="rId1" tooltip="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9"/>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1027</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1028</v>
      </c>
      <c r="B7" s="27" t="s">
        <v>1029</v>
      </c>
      <c r="C7" s="27" t="s">
        <v>52</v>
      </c>
      <c r="D7" s="31">
        <v>23</v>
      </c>
      <c r="E7" s="29">
        <v>303.55630000000002</v>
      </c>
      <c r="F7" s="30">
        <v>12.047031391197001</v>
      </c>
      <c r="G7" s="29">
        <v>4.2275</v>
      </c>
    </row>
    <row r="8" spans="1:7" x14ac:dyDescent="0.2">
      <c r="A8" s="27" t="s">
        <v>1030</v>
      </c>
      <c r="B8" s="27" t="s">
        <v>1031</v>
      </c>
      <c r="C8" s="27" t="s">
        <v>52</v>
      </c>
      <c r="D8" s="31">
        <v>23</v>
      </c>
      <c r="E8" s="29">
        <v>301.19673</v>
      </c>
      <c r="F8" s="30">
        <v>11.9533887494211</v>
      </c>
      <c r="G8" s="29">
        <v>4.2</v>
      </c>
    </row>
    <row r="9" spans="1:7" x14ac:dyDescent="0.2">
      <c r="A9" s="27" t="s">
        <v>1015</v>
      </c>
      <c r="B9" s="27" t="s">
        <v>1016</v>
      </c>
      <c r="C9" s="27" t="s">
        <v>861</v>
      </c>
      <c r="D9" s="31">
        <v>24</v>
      </c>
      <c r="E9" s="29">
        <v>246.33624</v>
      </c>
      <c r="F9" s="30">
        <v>9.7761779810514398</v>
      </c>
      <c r="G9" s="29">
        <v>3.83</v>
      </c>
    </row>
    <row r="10" spans="1:7" x14ac:dyDescent="0.2">
      <c r="A10" s="27" t="s">
        <v>1023</v>
      </c>
      <c r="B10" s="27" t="s">
        <v>1024</v>
      </c>
      <c r="C10" s="27" t="s">
        <v>52</v>
      </c>
      <c r="D10" s="31">
        <v>24</v>
      </c>
      <c r="E10" s="29">
        <v>243.14712</v>
      </c>
      <c r="F10" s="30">
        <v>9.6496135554397995</v>
      </c>
      <c r="G10" s="29">
        <v>3.4550000000000001</v>
      </c>
    </row>
    <row r="11" spans="1:7" x14ac:dyDescent="0.2">
      <c r="A11" s="27" t="s">
        <v>1021</v>
      </c>
      <c r="B11" s="27" t="s">
        <v>1022</v>
      </c>
      <c r="C11" s="27" t="s">
        <v>52</v>
      </c>
      <c r="D11" s="31">
        <v>23</v>
      </c>
      <c r="E11" s="29">
        <v>236.04693</v>
      </c>
      <c r="F11" s="30">
        <v>9.3678331680340303</v>
      </c>
      <c r="G11" s="29">
        <v>3.6349999999999998</v>
      </c>
    </row>
    <row r="12" spans="1:7" x14ac:dyDescent="0.2">
      <c r="A12" s="27" t="s">
        <v>1025</v>
      </c>
      <c r="B12" s="27" t="s">
        <v>1026</v>
      </c>
      <c r="C12" s="27" t="s">
        <v>968</v>
      </c>
      <c r="D12" s="31">
        <v>18</v>
      </c>
      <c r="E12" s="29">
        <v>235.6146</v>
      </c>
      <c r="F12" s="30">
        <v>9.3506755828303696</v>
      </c>
      <c r="G12" s="29">
        <v>4.5849000000000002</v>
      </c>
    </row>
    <row r="13" spans="1:7" x14ac:dyDescent="0.2">
      <c r="A13" s="27" t="s">
        <v>889</v>
      </c>
      <c r="B13" s="27" t="s">
        <v>890</v>
      </c>
      <c r="C13" s="27" t="s">
        <v>891</v>
      </c>
      <c r="D13" s="31">
        <v>21</v>
      </c>
      <c r="E13" s="29">
        <v>214.40810999999999</v>
      </c>
      <c r="F13" s="30">
        <v>8.50906810926746</v>
      </c>
      <c r="G13" s="29">
        <v>4.4459</v>
      </c>
    </row>
    <row r="14" spans="1:7" x14ac:dyDescent="0.2">
      <c r="A14" s="27" t="s">
        <v>1017</v>
      </c>
      <c r="B14" s="27" t="s">
        <v>1018</v>
      </c>
      <c r="C14" s="27" t="s">
        <v>52</v>
      </c>
      <c r="D14" s="31">
        <v>14</v>
      </c>
      <c r="E14" s="29">
        <v>183.06106</v>
      </c>
      <c r="F14" s="30">
        <v>7.2650191622634797</v>
      </c>
      <c r="G14" s="29">
        <v>4.9450000000000003</v>
      </c>
    </row>
    <row r="15" spans="1:7" x14ac:dyDescent="0.2">
      <c r="A15" s="27" t="s">
        <v>951</v>
      </c>
      <c r="B15" s="27" t="s">
        <v>952</v>
      </c>
      <c r="C15" s="27" t="s">
        <v>52</v>
      </c>
      <c r="D15" s="31">
        <v>11</v>
      </c>
      <c r="E15" s="29">
        <v>112.04655</v>
      </c>
      <c r="F15" s="30">
        <v>4.4467148437549397</v>
      </c>
      <c r="G15" s="29">
        <v>3.74</v>
      </c>
    </row>
    <row r="16" spans="1:7" x14ac:dyDescent="0.2">
      <c r="A16" s="27" t="s">
        <v>902</v>
      </c>
      <c r="B16" s="27" t="s">
        <v>903</v>
      </c>
      <c r="C16" s="27" t="s">
        <v>52</v>
      </c>
      <c r="D16" s="31">
        <v>6</v>
      </c>
      <c r="E16" s="29">
        <v>61.464419999999997</v>
      </c>
      <c r="F16" s="30">
        <v>2.4392964243592301</v>
      </c>
      <c r="G16" s="29">
        <v>3.8050000000000002</v>
      </c>
    </row>
    <row r="17" spans="1:9" x14ac:dyDescent="0.2">
      <c r="A17" s="27" t="s">
        <v>935</v>
      </c>
      <c r="B17" s="27" t="s">
        <v>936</v>
      </c>
      <c r="C17" s="27" t="s">
        <v>52</v>
      </c>
      <c r="D17" s="31">
        <v>3</v>
      </c>
      <c r="E17" s="29">
        <v>30.597809999999999</v>
      </c>
      <c r="F17" s="30">
        <v>1.2143143712447499</v>
      </c>
      <c r="G17" s="29">
        <v>3.5649000000000002</v>
      </c>
    </row>
    <row r="18" spans="1:9" x14ac:dyDescent="0.2">
      <c r="A18" s="27" t="s">
        <v>906</v>
      </c>
      <c r="B18" s="27" t="s">
        <v>907</v>
      </c>
      <c r="C18" s="27" t="s">
        <v>52</v>
      </c>
      <c r="D18" s="31">
        <v>2</v>
      </c>
      <c r="E18" s="29">
        <v>20.415880000000001</v>
      </c>
      <c r="F18" s="30">
        <v>0.81023107489092305</v>
      </c>
      <c r="G18" s="29">
        <v>3.57</v>
      </c>
    </row>
    <row r="19" spans="1:9" x14ac:dyDescent="0.2">
      <c r="A19" s="27" t="s">
        <v>1032</v>
      </c>
      <c r="B19" s="27" t="s">
        <v>1033</v>
      </c>
      <c r="C19" s="27" t="s">
        <v>861</v>
      </c>
      <c r="D19" s="31">
        <v>1</v>
      </c>
      <c r="E19" s="29">
        <v>10.381460000000001</v>
      </c>
      <c r="F19" s="30">
        <v>0.41200190708101397</v>
      </c>
      <c r="G19" s="29">
        <v>4.3650000000000002</v>
      </c>
    </row>
    <row r="20" spans="1:9" x14ac:dyDescent="0.2">
      <c r="A20" s="26" t="s">
        <v>34</v>
      </c>
      <c r="B20" s="26"/>
      <c r="C20" s="26"/>
      <c r="D20" s="32"/>
      <c r="E20" s="33">
        <f>SUM(E6:E19)</f>
        <v>2198.2732099999998</v>
      </c>
      <c r="F20" s="34">
        <f>SUM(F6:F19)</f>
        <v>87.241366320835553</v>
      </c>
      <c r="G20" s="33"/>
      <c r="H20" s="18"/>
      <c r="I20" s="18"/>
    </row>
    <row r="21" spans="1:9" x14ac:dyDescent="0.2">
      <c r="A21" s="27"/>
      <c r="B21" s="27"/>
      <c r="C21" s="27"/>
      <c r="D21" s="28"/>
      <c r="E21" s="29"/>
      <c r="F21" s="30"/>
      <c r="G21" s="29"/>
    </row>
    <row r="22" spans="1:9" x14ac:dyDescent="0.2">
      <c r="A22" s="26" t="s">
        <v>54</v>
      </c>
      <c r="B22" s="27"/>
      <c r="C22" s="27"/>
      <c r="D22" s="28"/>
      <c r="E22" s="29"/>
      <c r="F22" s="30"/>
      <c r="G22" s="29"/>
    </row>
    <row r="23" spans="1:9" x14ac:dyDescent="0.2">
      <c r="A23" s="26" t="s">
        <v>55</v>
      </c>
      <c r="B23" s="27"/>
      <c r="C23" s="27"/>
      <c r="D23" s="28"/>
      <c r="E23" s="29"/>
      <c r="F23" s="30"/>
      <c r="G23" s="29"/>
    </row>
    <row r="24" spans="1:9" x14ac:dyDescent="0.2">
      <c r="A24" s="27" t="s">
        <v>955</v>
      </c>
      <c r="B24" s="27" t="s">
        <v>956</v>
      </c>
      <c r="C24" s="27" t="s">
        <v>56</v>
      </c>
      <c r="D24" s="31">
        <v>255</v>
      </c>
      <c r="E24" s="29">
        <v>248.64820499999999</v>
      </c>
      <c r="F24" s="30">
        <v>9.8679313557313506</v>
      </c>
      <c r="G24" s="29">
        <v>3.7</v>
      </c>
    </row>
    <row r="25" spans="1:9" x14ac:dyDescent="0.2">
      <c r="A25" s="26" t="s">
        <v>34</v>
      </c>
      <c r="B25" s="26"/>
      <c r="C25" s="26"/>
      <c r="D25" s="32"/>
      <c r="E25" s="33">
        <f>SUM(E23:E24)</f>
        <v>248.64820499999999</v>
      </c>
      <c r="F25" s="34">
        <f>SUM(F23:F24)</f>
        <v>9.8679313557313506</v>
      </c>
      <c r="G25" s="33"/>
      <c r="H25" s="18"/>
      <c r="I25" s="18"/>
    </row>
    <row r="26" spans="1:9" x14ac:dyDescent="0.2">
      <c r="A26" s="27"/>
      <c r="B26" s="27"/>
      <c r="C26" s="27"/>
      <c r="D26" s="28"/>
      <c r="E26" s="29"/>
      <c r="F26" s="30"/>
      <c r="G26" s="29"/>
    </row>
    <row r="27" spans="1:9" x14ac:dyDescent="0.2">
      <c r="A27" s="26" t="s">
        <v>36</v>
      </c>
      <c r="B27" s="26"/>
      <c r="C27" s="26"/>
      <c r="D27" s="32"/>
      <c r="E27" s="33">
        <f>E20+E25</f>
        <v>2446.9214149999998</v>
      </c>
      <c r="F27" s="34">
        <f>F20+F25</f>
        <v>97.109297676566911</v>
      </c>
      <c r="G27" s="33"/>
      <c r="H27" s="18"/>
      <c r="I27" s="18"/>
    </row>
    <row r="28" spans="1:9" x14ac:dyDescent="0.2">
      <c r="A28" s="26"/>
      <c r="B28" s="26"/>
      <c r="C28" s="26"/>
      <c r="D28" s="32"/>
      <c r="E28" s="33"/>
      <c r="F28" s="34"/>
      <c r="G28" s="33"/>
      <c r="H28" s="18"/>
      <c r="I28" s="18"/>
    </row>
    <row r="29" spans="1:9" x14ac:dyDescent="0.2">
      <c r="A29" s="26" t="s">
        <v>38</v>
      </c>
      <c r="B29" s="26"/>
      <c r="C29" s="26"/>
      <c r="D29" s="32"/>
      <c r="E29" s="33">
        <f>E31-(E20+E25)</f>
        <v>72.838766100000157</v>
      </c>
      <c r="F29" s="34">
        <f>F31-(F20+F25)</f>
        <v>2.8907023234330893</v>
      </c>
      <c r="G29" s="33"/>
      <c r="H29" s="18"/>
      <c r="I29" s="18"/>
    </row>
    <row r="30" spans="1:9" x14ac:dyDescent="0.2">
      <c r="A30" s="26"/>
      <c r="B30" s="26"/>
      <c r="C30" s="26"/>
      <c r="D30" s="32"/>
      <c r="E30" s="33"/>
      <c r="F30" s="34"/>
      <c r="G30" s="33"/>
      <c r="H30" s="18"/>
      <c r="I30" s="18"/>
    </row>
    <row r="31" spans="1:9" x14ac:dyDescent="0.2">
      <c r="A31" s="35" t="s">
        <v>37</v>
      </c>
      <c r="B31" s="35"/>
      <c r="C31" s="35"/>
      <c r="D31" s="36"/>
      <c r="E31" s="37">
        <v>2519.7601811</v>
      </c>
      <c r="F31" s="38">
        <v>100</v>
      </c>
      <c r="G31" s="37"/>
      <c r="H31" s="18"/>
      <c r="I31" s="18"/>
    </row>
    <row r="33" spans="1:4" x14ac:dyDescent="0.2">
      <c r="A33" s="18" t="s">
        <v>39</v>
      </c>
    </row>
    <row r="35" spans="1:4" x14ac:dyDescent="0.2">
      <c r="A35" s="18" t="s">
        <v>40</v>
      </c>
    </row>
    <row r="36" spans="1:4" x14ac:dyDescent="0.2">
      <c r="A36" s="18" t="s">
        <v>41</v>
      </c>
    </row>
    <row r="37" spans="1:4" x14ac:dyDescent="0.2">
      <c r="A37" s="18" t="s">
        <v>42</v>
      </c>
      <c r="B37" s="18"/>
      <c r="C37" s="39" t="s">
        <v>44</v>
      </c>
      <c r="D37" s="19" t="s">
        <v>43</v>
      </c>
    </row>
    <row r="38" spans="1:4" x14ac:dyDescent="0.2">
      <c r="A38" s="9" t="s">
        <v>71</v>
      </c>
      <c r="C38" s="40">
        <v>12.169499999999999</v>
      </c>
      <c r="D38" s="40">
        <v>12.5092</v>
      </c>
    </row>
    <row r="39" spans="1:4" x14ac:dyDescent="0.2">
      <c r="A39" s="9" t="s">
        <v>1019</v>
      </c>
      <c r="C39" s="40">
        <v>10.4702</v>
      </c>
      <c r="D39" s="40">
        <v>10.762499999999999</v>
      </c>
    </row>
    <row r="40" spans="1:4" x14ac:dyDescent="0.2">
      <c r="A40" s="9" t="s">
        <v>73</v>
      </c>
      <c r="C40" s="40">
        <v>10.4641</v>
      </c>
      <c r="D40" s="40">
        <v>10.391999999999999</v>
      </c>
    </row>
    <row r="41" spans="1:4" x14ac:dyDescent="0.2">
      <c r="A41" s="9" t="s">
        <v>74</v>
      </c>
      <c r="C41" s="40">
        <v>12.2333</v>
      </c>
      <c r="D41" s="40">
        <v>12.5909</v>
      </c>
    </row>
    <row r="42" spans="1:4" x14ac:dyDescent="0.2">
      <c r="A42" s="9" t="s">
        <v>78</v>
      </c>
      <c r="C42" s="40">
        <v>10.5318</v>
      </c>
      <c r="D42" s="40">
        <v>10.839600000000001</v>
      </c>
    </row>
    <row r="43" spans="1:4" x14ac:dyDescent="0.2">
      <c r="A43" s="9" t="s">
        <v>76</v>
      </c>
      <c r="C43" s="40">
        <v>10.5238</v>
      </c>
      <c r="D43" s="40">
        <v>10.466900000000001</v>
      </c>
    </row>
    <row r="45" spans="1:4" x14ac:dyDescent="0.2">
      <c r="A45" s="18" t="s">
        <v>46</v>
      </c>
    </row>
    <row r="46" spans="1:4" x14ac:dyDescent="0.2">
      <c r="A46" s="71" t="s">
        <v>67</v>
      </c>
      <c r="B46" s="72"/>
      <c r="C46" s="43" t="s">
        <v>68</v>
      </c>
    </row>
    <row r="47" spans="1:4" x14ac:dyDescent="0.2">
      <c r="A47" s="67" t="s">
        <v>73</v>
      </c>
      <c r="B47" s="68"/>
      <c r="C47" s="44">
        <v>0.36</v>
      </c>
    </row>
    <row r="48" spans="1:4" x14ac:dyDescent="0.2">
      <c r="A48" s="67" t="s">
        <v>76</v>
      </c>
      <c r="B48" s="68"/>
      <c r="C48" s="44">
        <v>0.36</v>
      </c>
    </row>
    <row r="49" spans="1:5" x14ac:dyDescent="0.2">
      <c r="A49" s="9" t="s">
        <v>69</v>
      </c>
    </row>
    <row r="50" spans="1:5" x14ac:dyDescent="0.2">
      <c r="A50" s="9" t="s">
        <v>45</v>
      </c>
    </row>
    <row r="52" spans="1:5" x14ac:dyDescent="0.2">
      <c r="A52" s="18" t="s">
        <v>805</v>
      </c>
      <c r="D52" s="42">
        <v>0.55814279575342496</v>
      </c>
      <c r="E52" s="13" t="s">
        <v>48</v>
      </c>
    </row>
    <row r="54" spans="1:5" x14ac:dyDescent="0.2">
      <c r="A54" s="18" t="s">
        <v>49</v>
      </c>
      <c r="D54" s="41" t="s">
        <v>47</v>
      </c>
    </row>
    <row r="56" spans="1:5" x14ac:dyDescent="0.2">
      <c r="A56" s="18" t="s">
        <v>70</v>
      </c>
    </row>
    <row r="57" spans="1:5" x14ac:dyDescent="0.2">
      <c r="A57" s="46" t="s">
        <v>51</v>
      </c>
    </row>
    <row r="59" spans="1:5" x14ac:dyDescent="0.2">
      <c r="A59" s="46"/>
    </row>
  </sheetData>
  <mergeCells count="4">
    <mergeCell ref="A1:G1"/>
    <mergeCell ref="A46:B46"/>
    <mergeCell ref="A47:B47"/>
    <mergeCell ref="A48:B48"/>
  </mergeCells>
  <conditionalFormatting sqref="F2:F3 F5:F65536">
    <cfRule type="cellIs" dxfId="66" priority="1" stopIfTrue="1" operator="between">
      <formula>0.009</formula>
      <formula>-0.009</formula>
    </cfRule>
  </conditionalFormatting>
  <hyperlinks>
    <hyperlink ref="A57" r:id="rId1" tooltip="https://www.franklintempletonindia.com/downloadsServlet/pdf/product-labels-jg9o5k7l" xr:uid="{00000000-0004-0000-0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8"/>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1034</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1028</v>
      </c>
      <c r="B7" s="27" t="s">
        <v>1029</v>
      </c>
      <c r="C7" s="27" t="s">
        <v>52</v>
      </c>
      <c r="D7" s="31">
        <v>68</v>
      </c>
      <c r="E7" s="29">
        <v>897.47080000000005</v>
      </c>
      <c r="F7" s="30">
        <v>11.9084213640285</v>
      </c>
      <c r="G7" s="29">
        <v>4.2275</v>
      </c>
    </row>
    <row r="8" spans="1:7" x14ac:dyDescent="0.2">
      <c r="A8" s="27" t="s">
        <v>1015</v>
      </c>
      <c r="B8" s="27" t="s">
        <v>1016</v>
      </c>
      <c r="C8" s="27" t="s">
        <v>861</v>
      </c>
      <c r="D8" s="31">
        <v>71</v>
      </c>
      <c r="E8" s="29">
        <v>728.74471000000005</v>
      </c>
      <c r="F8" s="30">
        <v>9.6696171880876491</v>
      </c>
      <c r="G8" s="29">
        <v>3.83</v>
      </c>
    </row>
    <row r="9" spans="1:7" x14ac:dyDescent="0.2">
      <c r="A9" s="27" t="s">
        <v>1023</v>
      </c>
      <c r="B9" s="27" t="s">
        <v>1024</v>
      </c>
      <c r="C9" s="27" t="s">
        <v>52</v>
      </c>
      <c r="D9" s="31">
        <v>71</v>
      </c>
      <c r="E9" s="29">
        <v>719.31023000000005</v>
      </c>
      <c r="F9" s="30">
        <v>9.5444323205794195</v>
      </c>
      <c r="G9" s="29">
        <v>3.4550000000000001</v>
      </c>
    </row>
    <row r="10" spans="1:7" x14ac:dyDescent="0.2">
      <c r="A10" s="27" t="s">
        <v>1035</v>
      </c>
      <c r="B10" s="27" t="s">
        <v>1036</v>
      </c>
      <c r="C10" s="27" t="s">
        <v>916</v>
      </c>
      <c r="D10" s="31">
        <v>70000</v>
      </c>
      <c r="E10" s="29">
        <v>719.04489999999998</v>
      </c>
      <c r="F10" s="30">
        <v>9.5409116918965502</v>
      </c>
      <c r="G10" s="29">
        <v>4.4898999999999996</v>
      </c>
    </row>
    <row r="11" spans="1:7" x14ac:dyDescent="0.2">
      <c r="A11" s="27" t="s">
        <v>1021</v>
      </c>
      <c r="B11" s="27" t="s">
        <v>1022</v>
      </c>
      <c r="C11" s="27" t="s">
        <v>52</v>
      </c>
      <c r="D11" s="31">
        <v>70</v>
      </c>
      <c r="E11" s="29">
        <v>718.40369999999996</v>
      </c>
      <c r="F11" s="30">
        <v>9.5324036938885808</v>
      </c>
      <c r="G11" s="29">
        <v>3.6349999999999998</v>
      </c>
    </row>
    <row r="12" spans="1:7" x14ac:dyDescent="0.2">
      <c r="A12" s="27" t="s">
        <v>889</v>
      </c>
      <c r="B12" s="27" t="s">
        <v>890</v>
      </c>
      <c r="C12" s="27" t="s">
        <v>891</v>
      </c>
      <c r="D12" s="31">
        <v>70</v>
      </c>
      <c r="E12" s="29">
        <v>714.69370000000004</v>
      </c>
      <c r="F12" s="30">
        <v>9.4831761944974602</v>
      </c>
      <c r="G12" s="29">
        <v>4.4459</v>
      </c>
    </row>
    <row r="13" spans="1:7" x14ac:dyDescent="0.2">
      <c r="A13" s="27" t="s">
        <v>949</v>
      </c>
      <c r="B13" s="27" t="s">
        <v>950</v>
      </c>
      <c r="C13" s="27" t="s">
        <v>861</v>
      </c>
      <c r="D13" s="31">
        <v>47</v>
      </c>
      <c r="E13" s="29">
        <v>626.32952</v>
      </c>
      <c r="F13" s="30">
        <v>8.3106835753204802</v>
      </c>
      <c r="G13" s="29">
        <v>4.415</v>
      </c>
    </row>
    <row r="14" spans="1:7" x14ac:dyDescent="0.2">
      <c r="A14" s="27" t="s">
        <v>951</v>
      </c>
      <c r="B14" s="27" t="s">
        <v>952</v>
      </c>
      <c r="C14" s="27" t="s">
        <v>52</v>
      </c>
      <c r="D14" s="31">
        <v>37</v>
      </c>
      <c r="E14" s="29">
        <v>376.88385</v>
      </c>
      <c r="F14" s="30">
        <v>5.0008219666838398</v>
      </c>
      <c r="G14" s="29">
        <v>3.74</v>
      </c>
    </row>
    <row r="15" spans="1:7" x14ac:dyDescent="0.2">
      <c r="A15" s="27" t="s">
        <v>1032</v>
      </c>
      <c r="B15" s="27" t="s">
        <v>1033</v>
      </c>
      <c r="C15" s="27" t="s">
        <v>861</v>
      </c>
      <c r="D15" s="31">
        <v>31</v>
      </c>
      <c r="E15" s="29">
        <v>321.82526000000001</v>
      </c>
      <c r="F15" s="30">
        <v>4.2702568168992601</v>
      </c>
      <c r="G15" s="29">
        <v>4.3650000000000002</v>
      </c>
    </row>
    <row r="16" spans="1:7" x14ac:dyDescent="0.2">
      <c r="A16" s="27" t="s">
        <v>1025</v>
      </c>
      <c r="B16" s="27" t="s">
        <v>1026</v>
      </c>
      <c r="C16" s="27" t="s">
        <v>968</v>
      </c>
      <c r="D16" s="31">
        <v>20</v>
      </c>
      <c r="E16" s="29">
        <v>261.79399999999998</v>
      </c>
      <c r="F16" s="30">
        <v>3.47370996646853</v>
      </c>
      <c r="G16" s="29">
        <v>4.5849000000000002</v>
      </c>
    </row>
    <row r="17" spans="1:9" x14ac:dyDescent="0.2">
      <c r="A17" s="27" t="s">
        <v>902</v>
      </c>
      <c r="B17" s="27" t="s">
        <v>903</v>
      </c>
      <c r="C17" s="27" t="s">
        <v>52</v>
      </c>
      <c r="D17" s="31">
        <v>22</v>
      </c>
      <c r="E17" s="29">
        <v>225.36954</v>
      </c>
      <c r="F17" s="30">
        <v>2.9903986234842201</v>
      </c>
      <c r="G17" s="29">
        <v>3.8050000000000002</v>
      </c>
    </row>
    <row r="18" spans="1:9" x14ac:dyDescent="0.2">
      <c r="A18" s="27" t="s">
        <v>994</v>
      </c>
      <c r="B18" s="27" t="s">
        <v>995</v>
      </c>
      <c r="C18" s="27" t="s">
        <v>996</v>
      </c>
      <c r="D18" s="31">
        <v>11</v>
      </c>
      <c r="E18" s="29">
        <v>113.45356</v>
      </c>
      <c r="F18" s="30">
        <v>1.50540028458763</v>
      </c>
      <c r="G18" s="29">
        <v>3.54</v>
      </c>
    </row>
    <row r="19" spans="1:9" x14ac:dyDescent="0.2">
      <c r="A19" s="27" t="s">
        <v>1013</v>
      </c>
      <c r="B19" s="27" t="s">
        <v>1014</v>
      </c>
      <c r="C19" s="27" t="s">
        <v>52</v>
      </c>
      <c r="D19" s="31">
        <v>2</v>
      </c>
      <c r="E19" s="29">
        <v>26.202000000000002</v>
      </c>
      <c r="F19" s="30">
        <v>0.34767087305823802</v>
      </c>
      <c r="G19" s="29">
        <v>4.2</v>
      </c>
    </row>
    <row r="20" spans="1:9" x14ac:dyDescent="0.2">
      <c r="A20" s="27" t="s">
        <v>935</v>
      </c>
      <c r="B20" s="27" t="s">
        <v>936</v>
      </c>
      <c r="C20" s="27" t="s">
        <v>52</v>
      </c>
      <c r="D20" s="31">
        <v>1</v>
      </c>
      <c r="E20" s="29">
        <v>10.19927</v>
      </c>
      <c r="F20" s="30">
        <v>0.13533276488270701</v>
      </c>
      <c r="G20" s="29">
        <v>3.5649000000000002</v>
      </c>
    </row>
    <row r="21" spans="1:9" x14ac:dyDescent="0.2">
      <c r="A21" s="26" t="s">
        <v>34</v>
      </c>
      <c r="B21" s="26"/>
      <c r="C21" s="26"/>
      <c r="D21" s="32"/>
      <c r="E21" s="33">
        <f>SUM(E6:E20)</f>
        <v>6459.7250399999994</v>
      </c>
      <c r="F21" s="34">
        <f>SUM(F6:F20)</f>
        <v>85.713237324363078</v>
      </c>
      <c r="G21" s="33"/>
      <c r="H21" s="18"/>
      <c r="I21" s="18"/>
    </row>
    <row r="22" spans="1:9" x14ac:dyDescent="0.2">
      <c r="A22" s="27"/>
      <c r="B22" s="27"/>
      <c r="C22" s="27"/>
      <c r="D22" s="28"/>
      <c r="E22" s="29"/>
      <c r="F22" s="30"/>
      <c r="G22" s="29"/>
    </row>
    <row r="23" spans="1:9" x14ac:dyDescent="0.2">
      <c r="A23" s="26" t="s">
        <v>54</v>
      </c>
      <c r="B23" s="27"/>
      <c r="C23" s="27"/>
      <c r="D23" s="28"/>
      <c r="E23" s="29"/>
      <c r="F23" s="30"/>
      <c r="G23" s="29"/>
    </row>
    <row r="24" spans="1:9" x14ac:dyDescent="0.2">
      <c r="A24" s="26" t="s">
        <v>55</v>
      </c>
      <c r="B24" s="27"/>
      <c r="C24" s="27"/>
      <c r="D24" s="28"/>
      <c r="E24" s="29"/>
      <c r="F24" s="30"/>
      <c r="G24" s="29"/>
    </row>
    <row r="25" spans="1:9" x14ac:dyDescent="0.2">
      <c r="A25" s="27" t="s">
        <v>955</v>
      </c>
      <c r="B25" s="27" t="s">
        <v>956</v>
      </c>
      <c r="C25" s="27" t="s">
        <v>56</v>
      </c>
      <c r="D25" s="31">
        <v>760</v>
      </c>
      <c r="E25" s="29">
        <v>741.06916000000001</v>
      </c>
      <c r="F25" s="30">
        <v>9.8331486853574201</v>
      </c>
      <c r="G25" s="29">
        <v>3.7</v>
      </c>
    </row>
    <row r="26" spans="1:9" x14ac:dyDescent="0.2">
      <c r="A26" s="26" t="s">
        <v>34</v>
      </c>
      <c r="B26" s="26"/>
      <c r="C26" s="26"/>
      <c r="D26" s="32"/>
      <c r="E26" s="33">
        <f>SUM(E24:E25)</f>
        <v>741.06916000000001</v>
      </c>
      <c r="F26" s="34">
        <f>SUM(F24:F25)</f>
        <v>9.8331486853574201</v>
      </c>
      <c r="G26" s="33"/>
      <c r="H26" s="18"/>
      <c r="I26" s="18"/>
    </row>
    <row r="27" spans="1:9" x14ac:dyDescent="0.2">
      <c r="A27" s="27"/>
      <c r="B27" s="27"/>
      <c r="C27" s="27"/>
      <c r="D27" s="28"/>
      <c r="E27" s="29"/>
      <c r="F27" s="30"/>
      <c r="G27" s="29"/>
    </row>
    <row r="28" spans="1:9" x14ac:dyDescent="0.2">
      <c r="A28" s="26" t="s">
        <v>36</v>
      </c>
      <c r="B28" s="26"/>
      <c r="C28" s="26"/>
      <c r="D28" s="32"/>
      <c r="E28" s="33">
        <f>E21+E26</f>
        <v>7200.7941999999994</v>
      </c>
      <c r="F28" s="34">
        <f>F21+F26</f>
        <v>95.546386009720493</v>
      </c>
      <c r="G28" s="33"/>
      <c r="H28" s="18"/>
      <c r="I28" s="18"/>
    </row>
    <row r="29" spans="1:9" x14ac:dyDescent="0.2">
      <c r="A29" s="26"/>
      <c r="B29" s="26"/>
      <c r="C29" s="26"/>
      <c r="D29" s="32"/>
      <c r="E29" s="33"/>
      <c r="F29" s="34"/>
      <c r="G29" s="33"/>
      <c r="H29" s="18"/>
      <c r="I29" s="18"/>
    </row>
    <row r="30" spans="1:9" x14ac:dyDescent="0.2">
      <c r="A30" s="26" t="s">
        <v>38</v>
      </c>
      <c r="B30" s="26"/>
      <c r="C30" s="26"/>
      <c r="D30" s="32"/>
      <c r="E30" s="33">
        <f>E32-(E21+E26)</f>
        <v>335.64385980000043</v>
      </c>
      <c r="F30" s="34">
        <f>F32-(F21+F26)</f>
        <v>4.4536139902795071</v>
      </c>
      <c r="G30" s="33"/>
      <c r="H30" s="18"/>
      <c r="I30" s="18"/>
    </row>
    <row r="31" spans="1:9" x14ac:dyDescent="0.2">
      <c r="A31" s="26"/>
      <c r="B31" s="26"/>
      <c r="C31" s="26"/>
      <c r="D31" s="32"/>
      <c r="E31" s="33"/>
      <c r="F31" s="34"/>
      <c r="G31" s="33"/>
      <c r="H31" s="18"/>
      <c r="I31" s="18"/>
    </row>
    <row r="32" spans="1:9" x14ac:dyDescent="0.2">
      <c r="A32" s="35" t="s">
        <v>37</v>
      </c>
      <c r="B32" s="35"/>
      <c r="C32" s="35"/>
      <c r="D32" s="36"/>
      <c r="E32" s="37">
        <v>7536.4380597999998</v>
      </c>
      <c r="F32" s="38">
        <v>100</v>
      </c>
      <c r="G32" s="37"/>
      <c r="H32" s="18"/>
      <c r="I32" s="18"/>
    </row>
    <row r="34" spans="1:4" x14ac:dyDescent="0.2">
      <c r="A34" s="18" t="s">
        <v>39</v>
      </c>
    </row>
    <row r="36" spans="1:4" x14ac:dyDescent="0.2">
      <c r="A36" s="18" t="s">
        <v>40</v>
      </c>
    </row>
    <row r="37" spans="1:4" x14ac:dyDescent="0.2">
      <c r="A37" s="18" t="s">
        <v>41</v>
      </c>
    </row>
    <row r="38" spans="1:4" x14ac:dyDescent="0.2">
      <c r="A38" s="18" t="s">
        <v>42</v>
      </c>
      <c r="B38" s="18"/>
      <c r="C38" s="39" t="s">
        <v>44</v>
      </c>
      <c r="D38" s="19" t="s">
        <v>43</v>
      </c>
    </row>
    <row r="39" spans="1:4" x14ac:dyDescent="0.2">
      <c r="A39" s="9" t="s">
        <v>71</v>
      </c>
      <c r="C39" s="40">
        <v>12.196</v>
      </c>
      <c r="D39" s="40">
        <v>12.5349</v>
      </c>
    </row>
    <row r="40" spans="1:4" x14ac:dyDescent="0.2">
      <c r="A40" s="9" t="s">
        <v>1019</v>
      </c>
      <c r="C40" s="40">
        <v>10.4748</v>
      </c>
      <c r="D40" s="40">
        <v>10.7658</v>
      </c>
    </row>
    <row r="41" spans="1:4" x14ac:dyDescent="0.2">
      <c r="A41" s="9" t="s">
        <v>73</v>
      </c>
      <c r="C41" s="40">
        <v>10.467700000000001</v>
      </c>
      <c r="D41" s="40">
        <v>10.3992</v>
      </c>
    </row>
    <row r="42" spans="1:4" x14ac:dyDescent="0.2">
      <c r="A42" s="9" t="s">
        <v>74</v>
      </c>
      <c r="C42" s="40">
        <v>12.261200000000001</v>
      </c>
      <c r="D42" s="40">
        <v>12.617900000000001</v>
      </c>
    </row>
    <row r="43" spans="1:4" x14ac:dyDescent="0.2">
      <c r="A43" s="9" t="s">
        <v>78</v>
      </c>
      <c r="C43" s="40">
        <v>10.5375</v>
      </c>
      <c r="D43" s="40">
        <v>10.843999999999999</v>
      </c>
    </row>
    <row r="45" spans="1:4" x14ac:dyDescent="0.2">
      <c r="A45" s="18" t="s">
        <v>46</v>
      </c>
    </row>
    <row r="46" spans="1:4" x14ac:dyDescent="0.2">
      <c r="A46" s="71" t="s">
        <v>67</v>
      </c>
      <c r="B46" s="72"/>
      <c r="C46" s="43" t="s">
        <v>68</v>
      </c>
    </row>
    <row r="47" spans="1:4" x14ac:dyDescent="0.2">
      <c r="A47" s="67" t="s">
        <v>73</v>
      </c>
      <c r="B47" s="68"/>
      <c r="C47" s="44">
        <v>0.35499999999999998</v>
      </c>
    </row>
    <row r="48" spans="1:4" x14ac:dyDescent="0.2">
      <c r="A48" s="9" t="s">
        <v>69</v>
      </c>
    </row>
    <row r="49" spans="1:5" x14ac:dyDescent="0.2">
      <c r="A49" s="9" t="s">
        <v>45</v>
      </c>
    </row>
    <row r="51" spans="1:5" x14ac:dyDescent="0.2">
      <c r="A51" s="18" t="s">
        <v>805</v>
      </c>
      <c r="D51" s="42">
        <v>0.55069525493150695</v>
      </c>
      <c r="E51" s="13" t="s">
        <v>48</v>
      </c>
    </row>
    <row r="53" spans="1:5" x14ac:dyDescent="0.2">
      <c r="A53" s="18" t="s">
        <v>49</v>
      </c>
      <c r="D53" s="41" t="s">
        <v>47</v>
      </c>
    </row>
    <row r="55" spans="1:5" x14ac:dyDescent="0.2">
      <c r="A55" s="18" t="s">
        <v>70</v>
      </c>
    </row>
    <row r="56" spans="1:5" x14ac:dyDescent="0.2">
      <c r="A56" s="46" t="s">
        <v>51</v>
      </c>
    </row>
    <row r="58" spans="1:5" x14ac:dyDescent="0.2">
      <c r="A58" s="46"/>
    </row>
  </sheetData>
  <mergeCells count="3">
    <mergeCell ref="A1:G1"/>
    <mergeCell ref="A46:B46"/>
    <mergeCell ref="A47:B47"/>
  </mergeCells>
  <conditionalFormatting sqref="F2:F3 F5:F65536">
    <cfRule type="cellIs" dxfId="65" priority="1" stopIfTrue="1" operator="between">
      <formula>0.009</formula>
      <formula>-0.009</formula>
    </cfRule>
  </conditionalFormatting>
  <hyperlinks>
    <hyperlink ref="A56" r:id="rId1" tooltip="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62"/>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1037</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910</v>
      </c>
      <c r="B7" s="27" t="s">
        <v>911</v>
      </c>
      <c r="C7" s="27" t="s">
        <v>52</v>
      </c>
      <c r="D7" s="31">
        <v>37</v>
      </c>
      <c r="E7" s="29">
        <v>482.25281999999999</v>
      </c>
      <c r="F7" s="30">
        <v>12.015162925560601</v>
      </c>
      <c r="G7" s="29">
        <v>3.7524999999999999</v>
      </c>
    </row>
    <row r="8" spans="1:7" x14ac:dyDescent="0.2">
      <c r="A8" s="27" t="s">
        <v>997</v>
      </c>
      <c r="B8" s="27" t="s">
        <v>998</v>
      </c>
      <c r="C8" s="27" t="s">
        <v>916</v>
      </c>
      <c r="D8" s="31">
        <v>37</v>
      </c>
      <c r="E8" s="29">
        <v>378.68686000000002</v>
      </c>
      <c r="F8" s="30">
        <v>9.4348526996046402</v>
      </c>
      <c r="G8" s="29">
        <v>3.6349999999999998</v>
      </c>
    </row>
    <row r="9" spans="1:7" x14ac:dyDescent="0.2">
      <c r="A9" s="27" t="s">
        <v>951</v>
      </c>
      <c r="B9" s="27" t="s">
        <v>952</v>
      </c>
      <c r="C9" s="27" t="s">
        <v>52</v>
      </c>
      <c r="D9" s="31">
        <v>37</v>
      </c>
      <c r="E9" s="29">
        <v>376.88385</v>
      </c>
      <c r="F9" s="30">
        <v>9.3899313263995694</v>
      </c>
      <c r="G9" s="29">
        <v>3.74</v>
      </c>
    </row>
    <row r="10" spans="1:7" x14ac:dyDescent="0.2">
      <c r="A10" s="27" t="s">
        <v>1032</v>
      </c>
      <c r="B10" s="27" t="s">
        <v>1033</v>
      </c>
      <c r="C10" s="27" t="s">
        <v>861</v>
      </c>
      <c r="D10" s="31">
        <v>36</v>
      </c>
      <c r="E10" s="29">
        <v>373.73255999999998</v>
      </c>
      <c r="F10" s="30">
        <v>9.3114180213333899</v>
      </c>
      <c r="G10" s="29">
        <v>4.3650000000000002</v>
      </c>
    </row>
    <row r="11" spans="1:7" x14ac:dyDescent="0.2">
      <c r="A11" s="27" t="s">
        <v>889</v>
      </c>
      <c r="B11" s="27" t="s">
        <v>890</v>
      </c>
      <c r="C11" s="27" t="s">
        <v>891</v>
      </c>
      <c r="D11" s="31">
        <v>33</v>
      </c>
      <c r="E11" s="29">
        <v>336.92703</v>
      </c>
      <c r="F11" s="30">
        <v>8.3944209169688992</v>
      </c>
      <c r="G11" s="29">
        <v>4.4459</v>
      </c>
    </row>
    <row r="12" spans="1:7" x14ac:dyDescent="0.2">
      <c r="A12" s="27" t="s">
        <v>1038</v>
      </c>
      <c r="B12" s="27" t="s">
        <v>1039</v>
      </c>
      <c r="C12" s="27" t="s">
        <v>52</v>
      </c>
      <c r="D12" s="31">
        <v>21</v>
      </c>
      <c r="E12" s="29">
        <v>278.53370999999999</v>
      </c>
      <c r="F12" s="30">
        <v>6.9395714594491</v>
      </c>
      <c r="G12" s="29">
        <v>4.9450000000000003</v>
      </c>
    </row>
    <row r="13" spans="1:7" x14ac:dyDescent="0.2">
      <c r="A13" s="27" t="s">
        <v>935</v>
      </c>
      <c r="B13" s="27" t="s">
        <v>936</v>
      </c>
      <c r="C13" s="27" t="s">
        <v>52</v>
      </c>
      <c r="D13" s="31">
        <v>27</v>
      </c>
      <c r="E13" s="29">
        <v>275.38029</v>
      </c>
      <c r="F13" s="30">
        <v>6.86100508616647</v>
      </c>
      <c r="G13" s="29">
        <v>3.5649000000000002</v>
      </c>
    </row>
    <row r="14" spans="1:7" x14ac:dyDescent="0.2">
      <c r="A14" s="27" t="s">
        <v>943</v>
      </c>
      <c r="B14" s="27" t="s">
        <v>944</v>
      </c>
      <c r="C14" s="27" t="s">
        <v>916</v>
      </c>
      <c r="D14" s="31">
        <v>20</v>
      </c>
      <c r="E14" s="29">
        <v>204.00960000000001</v>
      </c>
      <c r="F14" s="30">
        <v>5.08282892441862</v>
      </c>
      <c r="G14" s="29">
        <v>3.54</v>
      </c>
    </row>
    <row r="15" spans="1:7" x14ac:dyDescent="0.2">
      <c r="A15" s="27" t="s">
        <v>949</v>
      </c>
      <c r="B15" s="27" t="s">
        <v>950</v>
      </c>
      <c r="C15" s="27" t="s">
        <v>861</v>
      </c>
      <c r="D15" s="31">
        <v>12</v>
      </c>
      <c r="E15" s="29">
        <v>159.91391999999999</v>
      </c>
      <c r="F15" s="30">
        <v>3.9842002434844499</v>
      </c>
      <c r="G15" s="29">
        <v>4.415</v>
      </c>
    </row>
    <row r="16" spans="1:7" x14ac:dyDescent="0.2">
      <c r="A16" s="27" t="s">
        <v>945</v>
      </c>
      <c r="B16" s="27" t="s">
        <v>946</v>
      </c>
      <c r="C16" s="27" t="s">
        <v>52</v>
      </c>
      <c r="D16" s="31">
        <v>8</v>
      </c>
      <c r="E16" s="29">
        <v>104.50408</v>
      </c>
      <c r="F16" s="30">
        <v>2.60368316267351</v>
      </c>
      <c r="G16" s="29">
        <v>3.4849999999999999</v>
      </c>
    </row>
    <row r="17" spans="1:9" x14ac:dyDescent="0.2">
      <c r="A17" s="27" t="s">
        <v>902</v>
      </c>
      <c r="B17" s="27" t="s">
        <v>903</v>
      </c>
      <c r="C17" s="27" t="s">
        <v>52</v>
      </c>
      <c r="D17" s="31">
        <v>10</v>
      </c>
      <c r="E17" s="29">
        <v>102.44070000000001</v>
      </c>
      <c r="F17" s="30">
        <v>2.5522747605881801</v>
      </c>
      <c r="G17" s="29">
        <v>3.8050000000000002</v>
      </c>
    </row>
    <row r="18" spans="1:9" x14ac:dyDescent="0.2">
      <c r="A18" s="27" t="s">
        <v>1009</v>
      </c>
      <c r="B18" s="27" t="s">
        <v>1010</v>
      </c>
      <c r="C18" s="27" t="s">
        <v>52</v>
      </c>
      <c r="D18" s="31">
        <v>3</v>
      </c>
      <c r="E18" s="29">
        <v>39.917940000000002</v>
      </c>
      <c r="F18" s="30">
        <v>0.99454172762069404</v>
      </c>
      <c r="G18" s="29">
        <v>4.2275999999999998</v>
      </c>
    </row>
    <row r="19" spans="1:9" x14ac:dyDescent="0.2">
      <c r="A19" s="27" t="s">
        <v>1025</v>
      </c>
      <c r="B19" s="27" t="s">
        <v>1026</v>
      </c>
      <c r="C19" s="27" t="s">
        <v>968</v>
      </c>
      <c r="D19" s="31">
        <v>3</v>
      </c>
      <c r="E19" s="29">
        <v>39.269100000000002</v>
      </c>
      <c r="F19" s="30">
        <v>0.97837610247697704</v>
      </c>
      <c r="G19" s="29">
        <v>4.5849000000000002</v>
      </c>
    </row>
    <row r="20" spans="1:9" x14ac:dyDescent="0.2">
      <c r="A20" s="27" t="s">
        <v>1040</v>
      </c>
      <c r="B20" s="27" t="s">
        <v>1041</v>
      </c>
      <c r="C20" s="27" t="s">
        <v>861</v>
      </c>
      <c r="D20" s="31">
        <v>3</v>
      </c>
      <c r="E20" s="29">
        <v>31.023630000000001</v>
      </c>
      <c r="F20" s="30">
        <v>0.77294305711329803</v>
      </c>
      <c r="G20" s="29">
        <v>4.1150000000000002</v>
      </c>
    </row>
    <row r="21" spans="1:9" x14ac:dyDescent="0.2">
      <c r="A21" s="27" t="s">
        <v>906</v>
      </c>
      <c r="B21" s="27" t="s">
        <v>907</v>
      </c>
      <c r="C21" s="27" t="s">
        <v>52</v>
      </c>
      <c r="D21" s="31">
        <v>3</v>
      </c>
      <c r="E21" s="29">
        <v>30.623819999999998</v>
      </c>
      <c r="F21" s="30">
        <v>0.76298192865526604</v>
      </c>
      <c r="G21" s="29">
        <v>3.57</v>
      </c>
    </row>
    <row r="22" spans="1:9" x14ac:dyDescent="0.2">
      <c r="A22" s="27" t="s">
        <v>1013</v>
      </c>
      <c r="B22" s="27" t="s">
        <v>1014</v>
      </c>
      <c r="C22" s="27" t="s">
        <v>52</v>
      </c>
      <c r="D22" s="31">
        <v>2</v>
      </c>
      <c r="E22" s="29">
        <v>26.202000000000002</v>
      </c>
      <c r="F22" s="30">
        <v>0.65281380620135798</v>
      </c>
      <c r="G22" s="29">
        <v>4.2</v>
      </c>
    </row>
    <row r="23" spans="1:9" x14ac:dyDescent="0.2">
      <c r="A23" s="26" t="s">
        <v>34</v>
      </c>
      <c r="B23" s="26"/>
      <c r="C23" s="26"/>
      <c r="D23" s="32"/>
      <c r="E23" s="33">
        <f>SUM(E6:E22)</f>
        <v>3240.3019100000001</v>
      </c>
      <c r="F23" s="34">
        <f>SUM(F6:F22)</f>
        <v>80.731006148714997</v>
      </c>
      <c r="G23" s="33"/>
      <c r="H23" s="18"/>
      <c r="I23" s="18"/>
    </row>
    <row r="24" spans="1:9" x14ac:dyDescent="0.2">
      <c r="A24" s="27"/>
      <c r="B24" s="27"/>
      <c r="C24" s="27"/>
      <c r="D24" s="28"/>
      <c r="E24" s="29"/>
      <c r="F24" s="30"/>
      <c r="G24" s="29"/>
    </row>
    <row r="25" spans="1:9" x14ac:dyDescent="0.2">
      <c r="A25" s="26" t="s">
        <v>54</v>
      </c>
      <c r="B25" s="27"/>
      <c r="C25" s="27"/>
      <c r="D25" s="28"/>
      <c r="E25" s="29"/>
      <c r="F25" s="30"/>
      <c r="G25" s="29"/>
    </row>
    <row r="26" spans="1:9" x14ac:dyDescent="0.2">
      <c r="A26" s="26" t="s">
        <v>55</v>
      </c>
      <c r="B26" s="27"/>
      <c r="C26" s="27"/>
      <c r="D26" s="28"/>
      <c r="E26" s="29"/>
      <c r="F26" s="30"/>
      <c r="G26" s="29"/>
    </row>
    <row r="27" spans="1:9" x14ac:dyDescent="0.2">
      <c r="A27" s="27" t="s">
        <v>955</v>
      </c>
      <c r="B27" s="27" t="s">
        <v>956</v>
      </c>
      <c r="C27" s="27" t="s">
        <v>56</v>
      </c>
      <c r="D27" s="31">
        <v>405</v>
      </c>
      <c r="E27" s="29">
        <v>394.911855</v>
      </c>
      <c r="F27" s="30">
        <v>9.83909286224673</v>
      </c>
      <c r="G27" s="29">
        <v>3.7</v>
      </c>
    </row>
    <row r="28" spans="1:9" x14ac:dyDescent="0.2">
      <c r="A28" s="26" t="s">
        <v>34</v>
      </c>
      <c r="B28" s="26"/>
      <c r="C28" s="26"/>
      <c r="D28" s="32"/>
      <c r="E28" s="33">
        <f>SUM(E26:E27)</f>
        <v>394.911855</v>
      </c>
      <c r="F28" s="34">
        <f>SUM(F26:F27)</f>
        <v>9.83909286224673</v>
      </c>
      <c r="G28" s="33"/>
      <c r="H28" s="18"/>
      <c r="I28" s="18"/>
    </row>
    <row r="29" spans="1:9" x14ac:dyDescent="0.2">
      <c r="A29" s="27"/>
      <c r="B29" s="27"/>
      <c r="C29" s="27"/>
      <c r="D29" s="28"/>
      <c r="E29" s="29"/>
      <c r="F29" s="30"/>
      <c r="G29" s="29"/>
    </row>
    <row r="30" spans="1:9" x14ac:dyDescent="0.2">
      <c r="A30" s="26" t="s">
        <v>36</v>
      </c>
      <c r="B30" s="26"/>
      <c r="C30" s="26"/>
      <c r="D30" s="32"/>
      <c r="E30" s="33">
        <f>E23+E28</f>
        <v>3635.213765</v>
      </c>
      <c r="F30" s="34">
        <f>F23+F28</f>
        <v>90.570099010961727</v>
      </c>
      <c r="G30" s="33"/>
      <c r="H30" s="18"/>
      <c r="I30" s="18"/>
    </row>
    <row r="31" spans="1:9" x14ac:dyDescent="0.2">
      <c r="A31" s="26"/>
      <c r="B31" s="26"/>
      <c r="C31" s="26"/>
      <c r="D31" s="32"/>
      <c r="E31" s="33"/>
      <c r="F31" s="34"/>
      <c r="G31" s="33"/>
      <c r="H31" s="18"/>
      <c r="I31" s="18"/>
    </row>
    <row r="32" spans="1:9" x14ac:dyDescent="0.2">
      <c r="A32" s="26" t="s">
        <v>38</v>
      </c>
      <c r="B32" s="26"/>
      <c r="C32" s="26"/>
      <c r="D32" s="32"/>
      <c r="E32" s="33">
        <f>E34-(E23+E28)</f>
        <v>378.48811310000019</v>
      </c>
      <c r="F32" s="34">
        <f>F34-(F23+F28)</f>
        <v>9.4299009890382735</v>
      </c>
      <c r="G32" s="33"/>
      <c r="H32" s="18"/>
      <c r="I32" s="18"/>
    </row>
    <row r="33" spans="1:9" x14ac:dyDescent="0.2">
      <c r="A33" s="26"/>
      <c r="B33" s="26"/>
      <c r="C33" s="26"/>
      <c r="D33" s="32"/>
      <c r="E33" s="33"/>
      <c r="F33" s="34"/>
      <c r="G33" s="33"/>
      <c r="H33" s="18"/>
      <c r="I33" s="18"/>
    </row>
    <row r="34" spans="1:9" x14ac:dyDescent="0.2">
      <c r="A34" s="35" t="s">
        <v>37</v>
      </c>
      <c r="B34" s="35"/>
      <c r="C34" s="35"/>
      <c r="D34" s="36"/>
      <c r="E34" s="37">
        <v>4013.7018781000002</v>
      </c>
      <c r="F34" s="38">
        <v>100</v>
      </c>
      <c r="G34" s="37"/>
      <c r="H34" s="18"/>
      <c r="I34" s="18"/>
    </row>
    <row r="36" spans="1:9" x14ac:dyDescent="0.2">
      <c r="A36" s="18" t="s">
        <v>39</v>
      </c>
    </row>
    <row r="38" spans="1:9" x14ac:dyDescent="0.2">
      <c r="A38" s="18" t="s">
        <v>40</v>
      </c>
    </row>
    <row r="39" spans="1:9" x14ac:dyDescent="0.2">
      <c r="A39" s="18" t="s">
        <v>41</v>
      </c>
    </row>
    <row r="40" spans="1:9" x14ac:dyDescent="0.2">
      <c r="A40" s="18" t="s">
        <v>42</v>
      </c>
      <c r="B40" s="18"/>
      <c r="C40" s="39" t="s">
        <v>44</v>
      </c>
      <c r="D40" s="19" t="s">
        <v>43</v>
      </c>
    </row>
    <row r="41" spans="1:9" x14ac:dyDescent="0.2">
      <c r="A41" s="9" t="s">
        <v>71</v>
      </c>
      <c r="C41" s="40">
        <v>12.288399999999999</v>
      </c>
      <c r="D41" s="40">
        <v>12.617900000000001</v>
      </c>
    </row>
    <row r="42" spans="1:9" x14ac:dyDescent="0.2">
      <c r="A42" s="9" t="s">
        <v>1019</v>
      </c>
      <c r="C42" s="40">
        <v>10.5777</v>
      </c>
      <c r="D42" s="40">
        <v>10.8614</v>
      </c>
    </row>
    <row r="43" spans="1:9" x14ac:dyDescent="0.2">
      <c r="A43" s="9" t="s">
        <v>73</v>
      </c>
      <c r="C43" s="40">
        <v>10.562200000000001</v>
      </c>
      <c r="D43" s="40">
        <v>10.4689</v>
      </c>
    </row>
    <row r="44" spans="1:9" x14ac:dyDescent="0.2">
      <c r="A44" s="9" t="s">
        <v>74</v>
      </c>
      <c r="C44" s="40">
        <v>12.3558</v>
      </c>
      <c r="D44" s="40">
        <v>12.7033</v>
      </c>
    </row>
    <row r="45" spans="1:9" x14ac:dyDescent="0.2">
      <c r="A45" s="9" t="s">
        <v>78</v>
      </c>
      <c r="C45" s="40">
        <v>10.6426</v>
      </c>
      <c r="D45" s="40">
        <v>10.9419</v>
      </c>
    </row>
    <row r="46" spans="1:9" x14ac:dyDescent="0.2">
      <c r="A46" s="9" t="s">
        <v>76</v>
      </c>
      <c r="C46" s="40">
        <v>10.6289</v>
      </c>
      <c r="D46" s="40">
        <v>10.5528</v>
      </c>
    </row>
    <row r="48" spans="1:9" x14ac:dyDescent="0.2">
      <c r="A48" s="18" t="s">
        <v>46</v>
      </c>
    </row>
    <row r="49" spans="1:5" x14ac:dyDescent="0.2">
      <c r="A49" s="71" t="s">
        <v>67</v>
      </c>
      <c r="B49" s="72"/>
      <c r="C49" s="43" t="s">
        <v>68</v>
      </c>
    </row>
    <row r="50" spans="1:5" x14ac:dyDescent="0.2">
      <c r="A50" s="67" t="s">
        <v>73</v>
      </c>
      <c r="B50" s="68"/>
      <c r="C50" s="44">
        <v>0.37</v>
      </c>
    </row>
    <row r="51" spans="1:5" x14ac:dyDescent="0.2">
      <c r="A51" s="67" t="s">
        <v>76</v>
      </c>
      <c r="B51" s="68"/>
      <c r="C51" s="44">
        <v>0.37</v>
      </c>
    </row>
    <row r="52" spans="1:5" x14ac:dyDescent="0.2">
      <c r="A52" s="9" t="s">
        <v>69</v>
      </c>
    </row>
    <row r="53" spans="1:5" x14ac:dyDescent="0.2">
      <c r="A53" s="9" t="s">
        <v>45</v>
      </c>
    </row>
    <row r="55" spans="1:5" x14ac:dyDescent="0.2">
      <c r="A55" s="18" t="s">
        <v>805</v>
      </c>
      <c r="D55" s="42">
        <v>0.48734694065753398</v>
      </c>
      <c r="E55" s="13" t="s">
        <v>48</v>
      </c>
    </row>
    <row r="57" spans="1:5" x14ac:dyDescent="0.2">
      <c r="A57" s="18" t="s">
        <v>49</v>
      </c>
      <c r="D57" s="41" t="s">
        <v>47</v>
      </c>
    </row>
    <row r="59" spans="1:5" x14ac:dyDescent="0.2">
      <c r="A59" s="18" t="s">
        <v>70</v>
      </c>
    </row>
    <row r="60" spans="1:5" x14ac:dyDescent="0.2">
      <c r="A60" s="46" t="s">
        <v>51</v>
      </c>
    </row>
    <row r="62" spans="1:5" x14ac:dyDescent="0.2">
      <c r="A62" s="46"/>
    </row>
  </sheetData>
  <mergeCells count="4">
    <mergeCell ref="A1:G1"/>
    <mergeCell ref="A49:B49"/>
    <mergeCell ref="A50:B50"/>
    <mergeCell ref="A51:B51"/>
  </mergeCells>
  <conditionalFormatting sqref="F2:F3 F5:F65536">
    <cfRule type="cellIs" dxfId="64" priority="1" stopIfTrue="1" operator="between">
      <formula>0.009</formula>
      <formula>-0.009</formula>
    </cfRule>
  </conditionalFormatting>
  <hyperlinks>
    <hyperlink ref="A60" r:id="rId1" tooltip="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1042</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910</v>
      </c>
      <c r="B7" s="27" t="s">
        <v>911</v>
      </c>
      <c r="C7" s="27" t="s">
        <v>52</v>
      </c>
      <c r="D7" s="31">
        <v>47</v>
      </c>
      <c r="E7" s="29">
        <v>612.59141999999997</v>
      </c>
      <c r="F7" s="30">
        <v>12.050803465481801</v>
      </c>
      <c r="G7" s="29">
        <v>3.7524999999999999</v>
      </c>
    </row>
    <row r="8" spans="1:7" x14ac:dyDescent="0.2">
      <c r="A8" s="27" t="s">
        <v>949</v>
      </c>
      <c r="B8" s="27" t="s">
        <v>950</v>
      </c>
      <c r="C8" s="27" t="s">
        <v>861</v>
      </c>
      <c r="D8" s="31">
        <v>38</v>
      </c>
      <c r="E8" s="29">
        <v>506.39407999999997</v>
      </c>
      <c r="F8" s="30">
        <v>9.9617058530847</v>
      </c>
      <c r="G8" s="29">
        <v>4.415</v>
      </c>
    </row>
    <row r="9" spans="1:7" x14ac:dyDescent="0.2">
      <c r="A9" s="27" t="s">
        <v>997</v>
      </c>
      <c r="B9" s="27" t="s">
        <v>998</v>
      </c>
      <c r="C9" s="27" t="s">
        <v>916</v>
      </c>
      <c r="D9" s="31">
        <v>47</v>
      </c>
      <c r="E9" s="29">
        <v>481.03465999999997</v>
      </c>
      <c r="F9" s="30">
        <v>9.4628392734342608</v>
      </c>
      <c r="G9" s="29">
        <v>3.6349999999999998</v>
      </c>
    </row>
    <row r="10" spans="1:7" x14ac:dyDescent="0.2">
      <c r="A10" s="27" t="s">
        <v>953</v>
      </c>
      <c r="B10" s="27" t="s">
        <v>954</v>
      </c>
      <c r="C10" s="27" t="s">
        <v>52</v>
      </c>
      <c r="D10" s="31">
        <v>47</v>
      </c>
      <c r="E10" s="29">
        <v>473.54003999999998</v>
      </c>
      <c r="F10" s="30">
        <v>9.3154062704247291</v>
      </c>
      <c r="G10" s="29">
        <v>3.355</v>
      </c>
    </row>
    <row r="11" spans="1:7" x14ac:dyDescent="0.2">
      <c r="A11" s="27" t="s">
        <v>906</v>
      </c>
      <c r="B11" s="27" t="s">
        <v>907</v>
      </c>
      <c r="C11" s="27" t="s">
        <v>52</v>
      </c>
      <c r="D11" s="31">
        <v>45</v>
      </c>
      <c r="E11" s="29">
        <v>459.35730000000001</v>
      </c>
      <c r="F11" s="30">
        <v>9.0364056074020205</v>
      </c>
      <c r="G11" s="29">
        <v>3.57</v>
      </c>
    </row>
    <row r="12" spans="1:7" x14ac:dyDescent="0.2">
      <c r="A12" s="27" t="s">
        <v>1038</v>
      </c>
      <c r="B12" s="27" t="s">
        <v>1039</v>
      </c>
      <c r="C12" s="27" t="s">
        <v>52</v>
      </c>
      <c r="D12" s="31">
        <v>29</v>
      </c>
      <c r="E12" s="29">
        <v>384.64179000000001</v>
      </c>
      <c r="F12" s="30">
        <v>7.5666136752309097</v>
      </c>
      <c r="G12" s="29">
        <v>4.9450000000000003</v>
      </c>
    </row>
    <row r="13" spans="1:7" x14ac:dyDescent="0.2">
      <c r="A13" s="27" t="s">
        <v>1043</v>
      </c>
      <c r="B13" s="27" t="s">
        <v>1044</v>
      </c>
      <c r="C13" s="27" t="s">
        <v>52</v>
      </c>
      <c r="D13" s="31">
        <v>35</v>
      </c>
      <c r="E13" s="29">
        <v>362.58179999999999</v>
      </c>
      <c r="F13" s="30">
        <v>7.1326529711445001</v>
      </c>
      <c r="G13" s="29">
        <v>4.2350000000000003</v>
      </c>
    </row>
    <row r="14" spans="1:7" x14ac:dyDescent="0.2">
      <c r="A14" s="27" t="s">
        <v>951</v>
      </c>
      <c r="B14" s="27" t="s">
        <v>952</v>
      </c>
      <c r="C14" s="27" t="s">
        <v>52</v>
      </c>
      <c r="D14" s="31">
        <v>32</v>
      </c>
      <c r="E14" s="29">
        <v>325.95359999999999</v>
      </c>
      <c r="F14" s="30">
        <v>6.4121086979413899</v>
      </c>
      <c r="G14" s="29">
        <v>3.74</v>
      </c>
    </row>
    <row r="15" spans="1:7" x14ac:dyDescent="0.2">
      <c r="A15" s="27" t="s">
        <v>935</v>
      </c>
      <c r="B15" s="27" t="s">
        <v>936</v>
      </c>
      <c r="C15" s="27" t="s">
        <v>52</v>
      </c>
      <c r="D15" s="31">
        <v>24</v>
      </c>
      <c r="E15" s="29">
        <v>244.78247999999999</v>
      </c>
      <c r="F15" s="30">
        <v>4.8153230064391499</v>
      </c>
      <c r="G15" s="29">
        <v>3.5649000000000002</v>
      </c>
    </row>
    <row r="16" spans="1:7" x14ac:dyDescent="0.2">
      <c r="A16" s="27" t="s">
        <v>994</v>
      </c>
      <c r="B16" s="27" t="s">
        <v>995</v>
      </c>
      <c r="C16" s="27" t="s">
        <v>996</v>
      </c>
      <c r="D16" s="31">
        <v>22</v>
      </c>
      <c r="E16" s="29">
        <v>226.90711999999999</v>
      </c>
      <c r="F16" s="30">
        <v>4.46368169511498</v>
      </c>
      <c r="G16" s="29">
        <v>3.54</v>
      </c>
    </row>
    <row r="17" spans="1:9" x14ac:dyDescent="0.2">
      <c r="A17" s="27" t="s">
        <v>902</v>
      </c>
      <c r="B17" s="27" t="s">
        <v>903</v>
      </c>
      <c r="C17" s="27" t="s">
        <v>52</v>
      </c>
      <c r="D17" s="31">
        <v>8</v>
      </c>
      <c r="E17" s="29">
        <v>81.952560000000005</v>
      </c>
      <c r="F17" s="30">
        <v>1.6121580580627499</v>
      </c>
      <c r="G17" s="29">
        <v>3.8050000000000002</v>
      </c>
    </row>
    <row r="18" spans="1:9" x14ac:dyDescent="0.2">
      <c r="A18" s="27" t="s">
        <v>1025</v>
      </c>
      <c r="B18" s="27" t="s">
        <v>1026</v>
      </c>
      <c r="C18" s="27" t="s">
        <v>968</v>
      </c>
      <c r="D18" s="31">
        <v>5</v>
      </c>
      <c r="E18" s="29">
        <v>65.448499999999996</v>
      </c>
      <c r="F18" s="30">
        <v>1.2874927477936</v>
      </c>
      <c r="G18" s="29">
        <v>4.5849000000000002</v>
      </c>
    </row>
    <row r="19" spans="1:9" x14ac:dyDescent="0.2">
      <c r="A19" s="27" t="s">
        <v>889</v>
      </c>
      <c r="B19" s="27" t="s">
        <v>890</v>
      </c>
      <c r="C19" s="27" t="s">
        <v>891</v>
      </c>
      <c r="D19" s="31">
        <v>6</v>
      </c>
      <c r="E19" s="29">
        <v>61.259459999999997</v>
      </c>
      <c r="F19" s="30">
        <v>1.2050866021948901</v>
      </c>
      <c r="G19" s="29">
        <v>4.4459</v>
      </c>
    </row>
    <row r="20" spans="1:9" x14ac:dyDescent="0.2">
      <c r="A20" s="27" t="s">
        <v>1032</v>
      </c>
      <c r="B20" s="27" t="s">
        <v>1033</v>
      </c>
      <c r="C20" s="27" t="s">
        <v>861</v>
      </c>
      <c r="D20" s="31">
        <v>4</v>
      </c>
      <c r="E20" s="29">
        <v>41.525840000000002</v>
      </c>
      <c r="F20" s="30">
        <v>0.81688988817218899</v>
      </c>
      <c r="G20" s="29">
        <v>4.3650000000000002</v>
      </c>
    </row>
    <row r="21" spans="1:9" x14ac:dyDescent="0.2">
      <c r="A21" s="27" t="s">
        <v>1013</v>
      </c>
      <c r="B21" s="27" t="s">
        <v>1014</v>
      </c>
      <c r="C21" s="27" t="s">
        <v>52</v>
      </c>
      <c r="D21" s="31">
        <v>1</v>
      </c>
      <c r="E21" s="29">
        <v>13.101000000000001</v>
      </c>
      <c r="F21" s="30">
        <v>0.25772084140727403</v>
      </c>
      <c r="G21" s="29">
        <v>4.2</v>
      </c>
    </row>
    <row r="22" spans="1:9" x14ac:dyDescent="0.2">
      <c r="A22" s="27" t="s">
        <v>892</v>
      </c>
      <c r="B22" s="27" t="s">
        <v>893</v>
      </c>
      <c r="C22" s="27" t="s">
        <v>884</v>
      </c>
      <c r="D22" s="31">
        <v>1</v>
      </c>
      <c r="E22" s="29">
        <v>10.25498</v>
      </c>
      <c r="F22" s="30">
        <v>0.201734377086846</v>
      </c>
      <c r="G22" s="29">
        <v>4.5960000000000001</v>
      </c>
    </row>
    <row r="23" spans="1:9" x14ac:dyDescent="0.2">
      <c r="A23" s="26" t="s">
        <v>34</v>
      </c>
      <c r="B23" s="26"/>
      <c r="C23" s="26"/>
      <c r="D23" s="32"/>
      <c r="E23" s="33">
        <f>SUM(E6:E22)</f>
        <v>4351.3266299999996</v>
      </c>
      <c r="F23" s="34">
        <f>SUM(F6:F22)</f>
        <v>85.598623030416007</v>
      </c>
      <c r="G23" s="33"/>
      <c r="H23" s="18"/>
      <c r="I23" s="18"/>
    </row>
    <row r="24" spans="1:9" x14ac:dyDescent="0.2">
      <c r="A24" s="27"/>
      <c r="B24" s="27"/>
      <c r="C24" s="27"/>
      <c r="D24" s="28"/>
      <c r="E24" s="29"/>
      <c r="F24" s="30"/>
      <c r="G24" s="29"/>
    </row>
    <row r="25" spans="1:9" x14ac:dyDescent="0.2">
      <c r="A25" s="26" t="s">
        <v>36</v>
      </c>
      <c r="B25" s="26"/>
      <c r="C25" s="26"/>
      <c r="D25" s="32"/>
      <c r="E25" s="33">
        <f>E23</f>
        <v>4351.3266299999996</v>
      </c>
      <c r="F25" s="34">
        <f>F23</f>
        <v>85.598623030416007</v>
      </c>
      <c r="G25" s="33"/>
      <c r="H25" s="18"/>
      <c r="I25" s="18"/>
    </row>
    <row r="26" spans="1:9" x14ac:dyDescent="0.2">
      <c r="A26" s="26"/>
      <c r="B26" s="26"/>
      <c r="C26" s="26"/>
      <c r="D26" s="32"/>
      <c r="E26" s="33"/>
      <c r="F26" s="34"/>
      <c r="G26" s="33"/>
      <c r="H26" s="18"/>
      <c r="I26" s="18"/>
    </row>
    <row r="27" spans="1:9" x14ac:dyDescent="0.2">
      <c r="A27" s="26" t="s">
        <v>38</v>
      </c>
      <c r="B27" s="26"/>
      <c r="C27" s="26"/>
      <c r="D27" s="32"/>
      <c r="E27" s="33">
        <f>E29-(E23)</f>
        <v>732.08064450000074</v>
      </c>
      <c r="F27" s="34">
        <f>F29-(F23)</f>
        <v>14.401376969583993</v>
      </c>
      <c r="G27" s="33"/>
      <c r="H27" s="18"/>
      <c r="I27" s="18"/>
    </row>
    <row r="28" spans="1:9" x14ac:dyDescent="0.2">
      <c r="A28" s="26"/>
      <c r="B28" s="26"/>
      <c r="C28" s="26"/>
      <c r="D28" s="32"/>
      <c r="E28" s="33"/>
      <c r="F28" s="34"/>
      <c r="G28" s="33"/>
      <c r="H28" s="18"/>
      <c r="I28" s="18"/>
    </row>
    <row r="29" spans="1:9" x14ac:dyDescent="0.2">
      <c r="A29" s="35" t="s">
        <v>37</v>
      </c>
      <c r="B29" s="35"/>
      <c r="C29" s="35"/>
      <c r="D29" s="36"/>
      <c r="E29" s="37">
        <v>5083.4072745000003</v>
      </c>
      <c r="F29" s="38">
        <v>100</v>
      </c>
      <c r="G29" s="37"/>
      <c r="H29" s="18"/>
      <c r="I29" s="18"/>
    </row>
    <row r="31" spans="1:9" x14ac:dyDescent="0.2">
      <c r="A31" s="18" t="s">
        <v>39</v>
      </c>
    </row>
    <row r="33" spans="1:5" x14ac:dyDescent="0.2">
      <c r="A33" s="18" t="s">
        <v>40</v>
      </c>
    </row>
    <row r="34" spans="1:5" x14ac:dyDescent="0.2">
      <c r="A34" s="18" t="s">
        <v>41</v>
      </c>
    </row>
    <row r="35" spans="1:5" x14ac:dyDescent="0.2">
      <c r="A35" s="18" t="s">
        <v>42</v>
      </c>
      <c r="B35" s="18"/>
      <c r="C35" s="39" t="s">
        <v>44</v>
      </c>
      <c r="D35" s="19" t="s">
        <v>43</v>
      </c>
    </row>
    <row r="36" spans="1:5" x14ac:dyDescent="0.2">
      <c r="A36" s="9" t="s">
        <v>71</v>
      </c>
      <c r="C36" s="40">
        <v>12.3795</v>
      </c>
      <c r="D36" s="40">
        <v>12.6934</v>
      </c>
    </row>
    <row r="37" spans="1:5" x14ac:dyDescent="0.2">
      <c r="A37" s="9" t="s">
        <v>1019</v>
      </c>
      <c r="C37" s="40">
        <v>10.6715</v>
      </c>
      <c r="D37" s="40">
        <v>10.941800000000001</v>
      </c>
    </row>
    <row r="38" spans="1:5" x14ac:dyDescent="0.2">
      <c r="A38" s="9" t="s">
        <v>73</v>
      </c>
      <c r="C38" s="40">
        <v>10.6587</v>
      </c>
      <c r="D38" s="40">
        <v>10.3361</v>
      </c>
    </row>
    <row r="39" spans="1:5" x14ac:dyDescent="0.2">
      <c r="A39" s="9" t="s">
        <v>74</v>
      </c>
      <c r="C39" s="40">
        <v>12.4628</v>
      </c>
      <c r="D39" s="40">
        <v>12.798299999999999</v>
      </c>
    </row>
    <row r="41" spans="1:5" x14ac:dyDescent="0.2">
      <c r="A41" s="18" t="s">
        <v>46</v>
      </c>
    </row>
    <row r="42" spans="1:5" x14ac:dyDescent="0.2">
      <c r="A42" s="71" t="s">
        <v>67</v>
      </c>
      <c r="B42" s="72"/>
      <c r="C42" s="43" t="s">
        <v>68</v>
      </c>
    </row>
    <row r="43" spans="1:5" x14ac:dyDescent="0.2">
      <c r="A43" s="67" t="s">
        <v>73</v>
      </c>
      <c r="B43" s="68"/>
      <c r="C43" s="44">
        <v>0.37</v>
      </c>
    </row>
    <row r="44" spans="1:5" x14ac:dyDescent="0.2">
      <c r="A44" s="9" t="s">
        <v>69</v>
      </c>
    </row>
    <row r="45" spans="1:5" x14ac:dyDescent="0.2">
      <c r="A45" s="9" t="s">
        <v>45</v>
      </c>
    </row>
    <row r="47" spans="1:5" x14ac:dyDescent="0.2">
      <c r="A47" s="18" t="s">
        <v>805</v>
      </c>
      <c r="D47" s="42">
        <v>0.44030144216438399</v>
      </c>
      <c r="E47" s="13" t="s">
        <v>48</v>
      </c>
    </row>
    <row r="49" spans="1:4" x14ac:dyDescent="0.2">
      <c r="A49" s="18" t="s">
        <v>49</v>
      </c>
      <c r="D49" s="41" t="s">
        <v>47</v>
      </c>
    </row>
    <row r="51" spans="1:4" x14ac:dyDescent="0.2">
      <c r="A51" s="18" t="s">
        <v>70</v>
      </c>
    </row>
    <row r="52" spans="1:4" x14ac:dyDescent="0.2">
      <c r="A52" s="46" t="s">
        <v>51</v>
      </c>
    </row>
    <row r="54" spans="1:4" x14ac:dyDescent="0.2">
      <c r="A54" s="46"/>
    </row>
  </sheetData>
  <mergeCells count="3">
    <mergeCell ref="A1:G1"/>
    <mergeCell ref="A42:B42"/>
    <mergeCell ref="A43:B43"/>
  </mergeCells>
  <conditionalFormatting sqref="F2:F3 F5:F65536">
    <cfRule type="cellIs" dxfId="63" priority="1" stopIfTrue="1" operator="between">
      <formula>0.009</formula>
      <formula>-0.009</formula>
    </cfRule>
  </conditionalFormatting>
  <hyperlinks>
    <hyperlink ref="A52" r:id="rId1" tooltip="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3"/>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1045</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949</v>
      </c>
      <c r="B7" s="27" t="s">
        <v>950</v>
      </c>
      <c r="C7" s="27" t="s">
        <v>861</v>
      </c>
      <c r="D7" s="31">
        <v>26</v>
      </c>
      <c r="E7" s="29">
        <v>346.48016000000001</v>
      </c>
      <c r="F7" s="30">
        <v>12.058378524236799</v>
      </c>
      <c r="G7" s="29">
        <v>4.415</v>
      </c>
    </row>
    <row r="8" spans="1:7" x14ac:dyDescent="0.2">
      <c r="A8" s="27" t="s">
        <v>953</v>
      </c>
      <c r="B8" s="27" t="s">
        <v>954</v>
      </c>
      <c r="C8" s="27" t="s">
        <v>52</v>
      </c>
      <c r="D8" s="31">
        <v>28</v>
      </c>
      <c r="E8" s="29">
        <v>282.10896000000002</v>
      </c>
      <c r="F8" s="30">
        <v>9.8180993242405901</v>
      </c>
      <c r="G8" s="29">
        <v>3.355</v>
      </c>
    </row>
    <row r="9" spans="1:7" x14ac:dyDescent="0.2">
      <c r="A9" s="27" t="s">
        <v>997</v>
      </c>
      <c r="B9" s="27" t="s">
        <v>998</v>
      </c>
      <c r="C9" s="27" t="s">
        <v>916</v>
      </c>
      <c r="D9" s="31">
        <v>27</v>
      </c>
      <c r="E9" s="29">
        <v>276.33906000000002</v>
      </c>
      <c r="F9" s="30">
        <v>9.6172923335979199</v>
      </c>
      <c r="G9" s="29">
        <v>3.6349999999999998</v>
      </c>
    </row>
    <row r="10" spans="1:7" x14ac:dyDescent="0.2">
      <c r="A10" s="27" t="s">
        <v>1040</v>
      </c>
      <c r="B10" s="27" t="s">
        <v>1041</v>
      </c>
      <c r="C10" s="27" t="s">
        <v>861</v>
      </c>
      <c r="D10" s="31">
        <v>26</v>
      </c>
      <c r="E10" s="29">
        <v>268.87146000000001</v>
      </c>
      <c r="F10" s="30">
        <v>9.3574011252020597</v>
      </c>
      <c r="G10" s="29">
        <v>4.1150000000000002</v>
      </c>
    </row>
    <row r="11" spans="1:7" x14ac:dyDescent="0.2">
      <c r="A11" s="27" t="s">
        <v>943</v>
      </c>
      <c r="B11" s="27" t="s">
        <v>944</v>
      </c>
      <c r="C11" s="27" t="s">
        <v>916</v>
      </c>
      <c r="D11" s="31">
        <v>26</v>
      </c>
      <c r="E11" s="29">
        <v>265.21248000000003</v>
      </c>
      <c r="F11" s="30">
        <v>9.2300594446492301</v>
      </c>
      <c r="G11" s="29">
        <v>3.54</v>
      </c>
    </row>
    <row r="12" spans="1:7" x14ac:dyDescent="0.2">
      <c r="A12" s="27" t="s">
        <v>935</v>
      </c>
      <c r="B12" s="27" t="s">
        <v>936</v>
      </c>
      <c r="C12" s="27" t="s">
        <v>52</v>
      </c>
      <c r="D12" s="31">
        <v>26</v>
      </c>
      <c r="E12" s="29">
        <v>265.18101999999999</v>
      </c>
      <c r="F12" s="30">
        <v>9.2289645577490003</v>
      </c>
      <c r="G12" s="29">
        <v>3.5649000000000002</v>
      </c>
    </row>
    <row r="13" spans="1:7" x14ac:dyDescent="0.2">
      <c r="A13" s="27" t="s">
        <v>892</v>
      </c>
      <c r="B13" s="27" t="s">
        <v>893</v>
      </c>
      <c r="C13" s="27" t="s">
        <v>884</v>
      </c>
      <c r="D13" s="31">
        <v>24</v>
      </c>
      <c r="E13" s="29">
        <v>246.11951999999999</v>
      </c>
      <c r="F13" s="30">
        <v>8.5655765523874905</v>
      </c>
      <c r="G13" s="29">
        <v>4.5960000000000001</v>
      </c>
    </row>
    <row r="14" spans="1:7" x14ac:dyDescent="0.2">
      <c r="A14" s="27" t="s">
        <v>951</v>
      </c>
      <c r="B14" s="27" t="s">
        <v>952</v>
      </c>
      <c r="C14" s="27" t="s">
        <v>52</v>
      </c>
      <c r="D14" s="31">
        <v>16</v>
      </c>
      <c r="E14" s="29">
        <v>162.9768</v>
      </c>
      <c r="F14" s="30">
        <v>5.6720013782862297</v>
      </c>
      <c r="G14" s="29">
        <v>3.74</v>
      </c>
    </row>
    <row r="15" spans="1:7" x14ac:dyDescent="0.2">
      <c r="A15" s="27" t="s">
        <v>1038</v>
      </c>
      <c r="B15" s="27" t="s">
        <v>1039</v>
      </c>
      <c r="C15" s="27" t="s">
        <v>52</v>
      </c>
      <c r="D15" s="31">
        <v>10</v>
      </c>
      <c r="E15" s="29">
        <v>132.63509999999999</v>
      </c>
      <c r="F15" s="30">
        <v>4.6160341227041597</v>
      </c>
      <c r="G15" s="29">
        <v>4.9450000000000003</v>
      </c>
    </row>
    <row r="16" spans="1:7" x14ac:dyDescent="0.2">
      <c r="A16" s="27" t="s">
        <v>1023</v>
      </c>
      <c r="B16" s="27" t="s">
        <v>1024</v>
      </c>
      <c r="C16" s="27" t="s">
        <v>52</v>
      </c>
      <c r="D16" s="31">
        <v>12</v>
      </c>
      <c r="E16" s="29">
        <v>121.57356</v>
      </c>
      <c r="F16" s="30">
        <v>4.2310647888727901</v>
      </c>
      <c r="G16" s="29">
        <v>3.4550000000000001</v>
      </c>
    </row>
    <row r="17" spans="1:9" x14ac:dyDescent="0.2">
      <c r="A17" s="27" t="s">
        <v>1013</v>
      </c>
      <c r="B17" s="27" t="s">
        <v>1014</v>
      </c>
      <c r="C17" s="27" t="s">
        <v>52</v>
      </c>
      <c r="D17" s="31">
        <v>2</v>
      </c>
      <c r="E17" s="29">
        <v>26.202000000000002</v>
      </c>
      <c r="F17" s="30">
        <v>0.91189531340568597</v>
      </c>
      <c r="G17" s="29">
        <v>4.2</v>
      </c>
    </row>
    <row r="18" spans="1:9" x14ac:dyDescent="0.2">
      <c r="A18" s="27" t="s">
        <v>1032</v>
      </c>
      <c r="B18" s="27" t="s">
        <v>1033</v>
      </c>
      <c r="C18" s="27" t="s">
        <v>861</v>
      </c>
      <c r="D18" s="31">
        <v>2</v>
      </c>
      <c r="E18" s="29">
        <v>20.762920000000001</v>
      </c>
      <c r="F18" s="30">
        <v>0.72260168844428596</v>
      </c>
      <c r="G18" s="29">
        <v>4.3650000000000002</v>
      </c>
    </row>
    <row r="19" spans="1:9" x14ac:dyDescent="0.2">
      <c r="A19" s="26" t="s">
        <v>34</v>
      </c>
      <c r="B19" s="26"/>
      <c r="C19" s="26"/>
      <c r="D19" s="32"/>
      <c r="E19" s="33">
        <f>SUM(E6:E18)</f>
        <v>2414.4630400000005</v>
      </c>
      <c r="F19" s="34">
        <f>SUM(F6:F18)</f>
        <v>84.02936915377623</v>
      </c>
      <c r="G19" s="33"/>
      <c r="H19" s="18"/>
      <c r="I19" s="18"/>
    </row>
    <row r="20" spans="1:9" x14ac:dyDescent="0.2">
      <c r="A20" s="27"/>
      <c r="B20" s="27"/>
      <c r="C20" s="27"/>
      <c r="D20" s="28"/>
      <c r="E20" s="29"/>
      <c r="F20" s="30"/>
      <c r="G20" s="29"/>
    </row>
    <row r="21" spans="1:9" x14ac:dyDescent="0.2">
      <c r="A21" s="26" t="s">
        <v>36</v>
      </c>
      <c r="B21" s="26"/>
      <c r="C21" s="26"/>
      <c r="D21" s="32"/>
      <c r="E21" s="33">
        <f>E19</f>
        <v>2414.4630400000005</v>
      </c>
      <c r="F21" s="34">
        <f>F19</f>
        <v>84.02936915377623</v>
      </c>
      <c r="G21" s="33"/>
      <c r="H21" s="18"/>
      <c r="I21" s="18"/>
    </row>
    <row r="22" spans="1:9" x14ac:dyDescent="0.2">
      <c r="A22" s="26"/>
      <c r="B22" s="26"/>
      <c r="C22" s="26"/>
      <c r="D22" s="32"/>
      <c r="E22" s="33"/>
      <c r="F22" s="34"/>
      <c r="G22" s="33"/>
      <c r="H22" s="18"/>
      <c r="I22" s="18"/>
    </row>
    <row r="23" spans="1:9" x14ac:dyDescent="0.2">
      <c r="A23" s="26" t="s">
        <v>38</v>
      </c>
      <c r="B23" s="26"/>
      <c r="C23" s="26"/>
      <c r="D23" s="32"/>
      <c r="E23" s="33">
        <f>E25-(E19)</f>
        <v>458.89310239999941</v>
      </c>
      <c r="F23" s="34">
        <f>F25-(F19)</f>
        <v>15.97063084622377</v>
      </c>
      <c r="G23" s="33"/>
      <c r="H23" s="18"/>
      <c r="I23" s="18"/>
    </row>
    <row r="24" spans="1:9" x14ac:dyDescent="0.2">
      <c r="A24" s="26"/>
      <c r="B24" s="26"/>
      <c r="C24" s="26"/>
      <c r="D24" s="32"/>
      <c r="E24" s="33"/>
      <c r="F24" s="34"/>
      <c r="G24" s="33"/>
      <c r="H24" s="18"/>
      <c r="I24" s="18"/>
    </row>
    <row r="25" spans="1:9" x14ac:dyDescent="0.2">
      <c r="A25" s="35" t="s">
        <v>37</v>
      </c>
      <c r="B25" s="35"/>
      <c r="C25" s="35"/>
      <c r="D25" s="36"/>
      <c r="E25" s="37">
        <v>2873.3561424</v>
      </c>
      <c r="F25" s="38">
        <v>100</v>
      </c>
      <c r="G25" s="37"/>
      <c r="H25" s="18"/>
      <c r="I25" s="18"/>
    </row>
    <row r="27" spans="1:9" x14ac:dyDescent="0.2">
      <c r="A27" s="18" t="s">
        <v>39</v>
      </c>
    </row>
    <row r="29" spans="1:9" x14ac:dyDescent="0.2">
      <c r="A29" s="18" t="s">
        <v>40</v>
      </c>
    </row>
    <row r="30" spans="1:9" x14ac:dyDescent="0.2">
      <c r="A30" s="18" t="s">
        <v>41</v>
      </c>
    </row>
    <row r="31" spans="1:9" x14ac:dyDescent="0.2">
      <c r="A31" s="18" t="s">
        <v>42</v>
      </c>
      <c r="B31" s="18"/>
      <c r="C31" s="39" t="s">
        <v>44</v>
      </c>
      <c r="D31" s="19" t="s">
        <v>43</v>
      </c>
    </row>
    <row r="32" spans="1:9" x14ac:dyDescent="0.2">
      <c r="A32" s="9" t="s">
        <v>71</v>
      </c>
      <c r="C32" s="40">
        <v>12.531700000000001</v>
      </c>
      <c r="D32" s="40">
        <v>12.8622</v>
      </c>
    </row>
    <row r="33" spans="1:5" x14ac:dyDescent="0.2">
      <c r="A33" s="9" t="s">
        <v>1019</v>
      </c>
      <c r="C33" s="40">
        <v>10.7149</v>
      </c>
      <c r="D33" s="40">
        <v>10.9992</v>
      </c>
    </row>
    <row r="34" spans="1:5" x14ac:dyDescent="0.2">
      <c r="A34" s="9" t="s">
        <v>73</v>
      </c>
      <c r="C34" s="40">
        <v>10.4857</v>
      </c>
      <c r="D34" s="40">
        <v>10.393000000000001</v>
      </c>
    </row>
    <row r="35" spans="1:5" x14ac:dyDescent="0.2">
      <c r="A35" s="9" t="s">
        <v>74</v>
      </c>
      <c r="C35" s="40">
        <v>12.619400000000001</v>
      </c>
      <c r="D35" s="40">
        <v>12.972</v>
      </c>
    </row>
    <row r="36" spans="1:5" x14ac:dyDescent="0.2">
      <c r="A36" s="9" t="s">
        <v>78</v>
      </c>
      <c r="C36" s="40">
        <v>10.7926</v>
      </c>
      <c r="D36" s="40">
        <v>11.0939</v>
      </c>
    </row>
    <row r="37" spans="1:5" x14ac:dyDescent="0.2">
      <c r="A37" s="9" t="s">
        <v>76</v>
      </c>
      <c r="C37" s="40">
        <v>10.566800000000001</v>
      </c>
      <c r="D37" s="40">
        <v>10.492599999999999</v>
      </c>
    </row>
    <row r="39" spans="1:5" x14ac:dyDescent="0.2">
      <c r="A39" s="18" t="s">
        <v>46</v>
      </c>
    </row>
    <row r="40" spans="1:5" x14ac:dyDescent="0.2">
      <c r="A40" s="71" t="s">
        <v>67</v>
      </c>
      <c r="B40" s="72"/>
      <c r="C40" s="43" t="s">
        <v>68</v>
      </c>
    </row>
    <row r="41" spans="1:5" x14ac:dyDescent="0.2">
      <c r="A41" s="67" t="s">
        <v>73</v>
      </c>
      <c r="B41" s="68"/>
      <c r="C41" s="44">
        <v>0.36499999999999999</v>
      </c>
    </row>
    <row r="42" spans="1:5" x14ac:dyDescent="0.2">
      <c r="A42" s="67" t="s">
        <v>76</v>
      </c>
      <c r="B42" s="68"/>
      <c r="C42" s="44">
        <v>0.36499999999999999</v>
      </c>
    </row>
    <row r="43" spans="1:5" x14ac:dyDescent="0.2">
      <c r="A43" s="9" t="s">
        <v>69</v>
      </c>
    </row>
    <row r="44" spans="1:5" x14ac:dyDescent="0.2">
      <c r="A44" s="9" t="s">
        <v>45</v>
      </c>
    </row>
    <row r="46" spans="1:5" x14ac:dyDescent="0.2">
      <c r="A46" s="18" t="s">
        <v>805</v>
      </c>
      <c r="D46" s="42">
        <v>0.40568870290411002</v>
      </c>
      <c r="E46" s="13" t="s">
        <v>48</v>
      </c>
    </row>
    <row r="48" spans="1:5" x14ac:dyDescent="0.2">
      <c r="A48" s="18" t="s">
        <v>49</v>
      </c>
      <c r="D48" s="41" t="s">
        <v>47</v>
      </c>
    </row>
    <row r="50" spans="1:1" x14ac:dyDescent="0.2">
      <c r="A50" s="18" t="s">
        <v>70</v>
      </c>
    </row>
    <row r="51" spans="1:1" x14ac:dyDescent="0.2">
      <c r="A51" s="46" t="s">
        <v>51</v>
      </c>
    </row>
    <row r="53" spans="1:1" x14ac:dyDescent="0.2">
      <c r="A53" s="46"/>
    </row>
  </sheetData>
  <mergeCells count="4">
    <mergeCell ref="A1:G1"/>
    <mergeCell ref="A40:B40"/>
    <mergeCell ref="A41:B41"/>
    <mergeCell ref="A42:B42"/>
  </mergeCells>
  <conditionalFormatting sqref="F2:F3 F5:F65536">
    <cfRule type="cellIs" dxfId="62" priority="1" stopIfTrue="1" operator="between">
      <formula>0.009</formula>
      <formula>-0.009</formula>
    </cfRule>
  </conditionalFormatting>
  <hyperlinks>
    <hyperlink ref="A51" r:id="rId1" tooltip="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0"/>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1046</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745</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949</v>
      </c>
      <c r="B7" s="27" t="s">
        <v>950</v>
      </c>
      <c r="C7" s="27" t="s">
        <v>861</v>
      </c>
      <c r="D7" s="31">
        <v>50</v>
      </c>
      <c r="E7" s="29">
        <v>666.30799999999999</v>
      </c>
      <c r="F7" s="30">
        <v>12.135650745413001</v>
      </c>
      <c r="G7" s="29">
        <v>4.415</v>
      </c>
    </row>
    <row r="8" spans="1:7" x14ac:dyDescent="0.2">
      <c r="A8" s="27" t="s">
        <v>997</v>
      </c>
      <c r="B8" s="27" t="s">
        <v>998</v>
      </c>
      <c r="C8" s="27" t="s">
        <v>916</v>
      </c>
      <c r="D8" s="31">
        <v>50</v>
      </c>
      <c r="E8" s="29">
        <v>511.73899999999998</v>
      </c>
      <c r="F8" s="30">
        <v>9.3204430635785709</v>
      </c>
      <c r="G8" s="29">
        <v>3.6349999999999998</v>
      </c>
    </row>
    <row r="9" spans="1:7" x14ac:dyDescent="0.2">
      <c r="A9" s="27" t="s">
        <v>1047</v>
      </c>
      <c r="B9" s="27" t="s">
        <v>1048</v>
      </c>
      <c r="C9" s="27" t="s">
        <v>52</v>
      </c>
      <c r="D9" s="31">
        <v>50</v>
      </c>
      <c r="E9" s="29">
        <v>511.12900000000002</v>
      </c>
      <c r="F9" s="30">
        <v>9.3093329659139794</v>
      </c>
      <c r="G9" s="29">
        <v>3.7524999999999999</v>
      </c>
    </row>
    <row r="10" spans="1:7" x14ac:dyDescent="0.2">
      <c r="A10" s="27" t="s">
        <v>935</v>
      </c>
      <c r="B10" s="27" t="s">
        <v>936</v>
      </c>
      <c r="C10" s="27" t="s">
        <v>52</v>
      </c>
      <c r="D10" s="31">
        <v>50</v>
      </c>
      <c r="E10" s="29">
        <v>509.96350000000001</v>
      </c>
      <c r="F10" s="30">
        <v>9.2881053940646492</v>
      </c>
      <c r="G10" s="29">
        <v>3.5649000000000002</v>
      </c>
    </row>
    <row r="11" spans="1:7" x14ac:dyDescent="0.2">
      <c r="A11" s="27" t="s">
        <v>1049</v>
      </c>
      <c r="B11" s="27" t="s">
        <v>1050</v>
      </c>
      <c r="C11" s="27" t="s">
        <v>52</v>
      </c>
      <c r="D11" s="31">
        <v>50</v>
      </c>
      <c r="E11" s="29">
        <v>505.52749999999997</v>
      </c>
      <c r="F11" s="30">
        <v>9.2073113067857193</v>
      </c>
      <c r="G11" s="29">
        <v>3.4550000000000001</v>
      </c>
    </row>
    <row r="12" spans="1:7" x14ac:dyDescent="0.2">
      <c r="A12" s="27" t="s">
        <v>994</v>
      </c>
      <c r="B12" s="27" t="s">
        <v>995</v>
      </c>
      <c r="C12" s="27" t="s">
        <v>996</v>
      </c>
      <c r="D12" s="31">
        <v>48</v>
      </c>
      <c r="E12" s="29">
        <v>495.07008000000002</v>
      </c>
      <c r="F12" s="30">
        <v>9.0168474419993192</v>
      </c>
      <c r="G12" s="29">
        <v>3.54</v>
      </c>
    </row>
    <row r="13" spans="1:7" x14ac:dyDescent="0.2">
      <c r="A13" s="27" t="s">
        <v>951</v>
      </c>
      <c r="B13" s="27" t="s">
        <v>952</v>
      </c>
      <c r="C13" s="27" t="s">
        <v>52</v>
      </c>
      <c r="D13" s="31">
        <v>37</v>
      </c>
      <c r="E13" s="29">
        <v>376.88385</v>
      </c>
      <c r="F13" s="30">
        <v>6.86428915034283</v>
      </c>
      <c r="G13" s="29">
        <v>3.74</v>
      </c>
    </row>
    <row r="14" spans="1:7" x14ac:dyDescent="0.2">
      <c r="A14" s="27" t="s">
        <v>943</v>
      </c>
      <c r="B14" s="27" t="s">
        <v>944</v>
      </c>
      <c r="C14" s="27" t="s">
        <v>916</v>
      </c>
      <c r="D14" s="31">
        <v>20</v>
      </c>
      <c r="E14" s="29">
        <v>204.00960000000001</v>
      </c>
      <c r="F14" s="30">
        <v>3.7156829188774698</v>
      </c>
      <c r="G14" s="29">
        <v>3.54</v>
      </c>
    </row>
    <row r="15" spans="1:7" x14ac:dyDescent="0.2">
      <c r="A15" s="27" t="s">
        <v>1040</v>
      </c>
      <c r="B15" s="27" t="s">
        <v>1041</v>
      </c>
      <c r="C15" s="27" t="s">
        <v>861</v>
      </c>
      <c r="D15" s="31">
        <v>15</v>
      </c>
      <c r="E15" s="29">
        <v>155.11815000000001</v>
      </c>
      <c r="F15" s="30">
        <v>2.8252095017238101</v>
      </c>
      <c r="G15" s="29">
        <v>4.1150000000000002</v>
      </c>
    </row>
    <row r="16" spans="1:7" x14ac:dyDescent="0.2">
      <c r="A16" s="27" t="s">
        <v>1032</v>
      </c>
      <c r="B16" s="27" t="s">
        <v>1033</v>
      </c>
      <c r="C16" s="27" t="s">
        <v>861</v>
      </c>
      <c r="D16" s="31">
        <v>6</v>
      </c>
      <c r="E16" s="29">
        <v>62.288760000000003</v>
      </c>
      <c r="F16" s="30">
        <v>1.1344823065682099</v>
      </c>
      <c r="G16" s="29">
        <v>4.3650000000000002</v>
      </c>
    </row>
    <row r="17" spans="1:9" x14ac:dyDescent="0.2">
      <c r="A17" s="27" t="s">
        <v>1023</v>
      </c>
      <c r="B17" s="27" t="s">
        <v>1024</v>
      </c>
      <c r="C17" s="27" t="s">
        <v>52</v>
      </c>
      <c r="D17" s="31">
        <v>4</v>
      </c>
      <c r="E17" s="29">
        <v>40.524520000000003</v>
      </c>
      <c r="F17" s="30">
        <v>0.73808422132933205</v>
      </c>
      <c r="G17" s="29">
        <v>3.4550000000000001</v>
      </c>
    </row>
    <row r="18" spans="1:9" x14ac:dyDescent="0.2">
      <c r="A18" s="27" t="s">
        <v>1009</v>
      </c>
      <c r="B18" s="27" t="s">
        <v>1010</v>
      </c>
      <c r="C18" s="27" t="s">
        <v>52</v>
      </c>
      <c r="D18" s="31">
        <v>3</v>
      </c>
      <c r="E18" s="29">
        <v>39.917940000000002</v>
      </c>
      <c r="F18" s="30">
        <v>0.72703641306475697</v>
      </c>
      <c r="G18" s="29">
        <v>4.2275999999999998</v>
      </c>
    </row>
    <row r="19" spans="1:9" x14ac:dyDescent="0.2">
      <c r="A19" s="27" t="s">
        <v>1013</v>
      </c>
      <c r="B19" s="27" t="s">
        <v>1014</v>
      </c>
      <c r="C19" s="27" t="s">
        <v>52</v>
      </c>
      <c r="D19" s="31">
        <v>3</v>
      </c>
      <c r="E19" s="29">
        <v>39.302999999999997</v>
      </c>
      <c r="F19" s="30">
        <v>0.71583634182235201</v>
      </c>
      <c r="G19" s="29">
        <v>4.2</v>
      </c>
    </row>
    <row r="20" spans="1:9" x14ac:dyDescent="0.2">
      <c r="A20" s="27" t="s">
        <v>1025</v>
      </c>
      <c r="B20" s="27" t="s">
        <v>1026</v>
      </c>
      <c r="C20" s="27" t="s">
        <v>968</v>
      </c>
      <c r="D20" s="31">
        <v>3</v>
      </c>
      <c r="E20" s="29">
        <v>39.269100000000002</v>
      </c>
      <c r="F20" s="30">
        <v>0.71521891180459796</v>
      </c>
      <c r="G20" s="29">
        <v>4.5849000000000002</v>
      </c>
    </row>
    <row r="21" spans="1:9" x14ac:dyDescent="0.2">
      <c r="A21" s="27" t="s">
        <v>889</v>
      </c>
      <c r="B21" s="27" t="s">
        <v>890</v>
      </c>
      <c r="C21" s="27" t="s">
        <v>891</v>
      </c>
      <c r="D21" s="31">
        <v>1</v>
      </c>
      <c r="E21" s="29">
        <v>10.209910000000001</v>
      </c>
      <c r="F21" s="30">
        <v>0.18595589712580299</v>
      </c>
      <c r="G21" s="29">
        <v>4.4459</v>
      </c>
    </row>
    <row r="22" spans="1:9" x14ac:dyDescent="0.2">
      <c r="A22" s="26" t="s">
        <v>34</v>
      </c>
      <c r="B22" s="26"/>
      <c r="C22" s="26"/>
      <c r="D22" s="32"/>
      <c r="E22" s="33">
        <f>SUM(E6:E21)</f>
        <v>4167.2619099999993</v>
      </c>
      <c r="F22" s="34">
        <f>SUM(F6:F21)</f>
        <v>75.899486580414404</v>
      </c>
      <c r="G22" s="33"/>
      <c r="H22" s="18"/>
      <c r="I22" s="18"/>
    </row>
    <row r="23" spans="1:9" x14ac:dyDescent="0.2">
      <c r="A23" s="27"/>
      <c r="B23" s="27"/>
      <c r="C23" s="27"/>
      <c r="D23" s="28"/>
      <c r="E23" s="29"/>
      <c r="F23" s="30"/>
      <c r="G23" s="29"/>
    </row>
    <row r="24" spans="1:9" x14ac:dyDescent="0.2">
      <c r="A24" s="26" t="s">
        <v>1051</v>
      </c>
      <c r="B24" s="27"/>
      <c r="C24" s="27"/>
      <c r="D24" s="28"/>
      <c r="E24" s="29"/>
      <c r="F24" s="30"/>
      <c r="G24" s="29"/>
    </row>
    <row r="25" spans="1:9" x14ac:dyDescent="0.2">
      <c r="A25" s="27" t="s">
        <v>1052</v>
      </c>
      <c r="B25" s="27" t="s">
        <v>1053</v>
      </c>
      <c r="C25" s="27" t="s">
        <v>52</v>
      </c>
      <c r="D25" s="31">
        <v>50</v>
      </c>
      <c r="E25" s="29">
        <v>510.19299999999998</v>
      </c>
      <c r="F25" s="30">
        <v>9.2922853406450194</v>
      </c>
      <c r="G25" s="29">
        <v>4.3849999999999998</v>
      </c>
    </row>
    <row r="26" spans="1:9" x14ac:dyDescent="0.2">
      <c r="A26" s="26" t="s">
        <v>34</v>
      </c>
      <c r="B26" s="26"/>
      <c r="C26" s="26"/>
      <c r="D26" s="32"/>
      <c r="E26" s="33">
        <f>SUM(E24:E25)</f>
        <v>510.19299999999998</v>
      </c>
      <c r="F26" s="34">
        <f>SUM(F24:F25)</f>
        <v>9.2922853406450194</v>
      </c>
      <c r="G26" s="33"/>
      <c r="H26" s="18"/>
      <c r="I26" s="18"/>
    </row>
    <row r="27" spans="1:9" x14ac:dyDescent="0.2">
      <c r="A27" s="27"/>
      <c r="B27" s="27"/>
      <c r="C27" s="27"/>
      <c r="D27" s="28"/>
      <c r="E27" s="29"/>
      <c r="F27" s="30"/>
      <c r="G27" s="29"/>
    </row>
    <row r="28" spans="1:9" x14ac:dyDescent="0.2">
      <c r="A28" s="26" t="s">
        <v>36</v>
      </c>
      <c r="B28" s="26"/>
      <c r="C28" s="26"/>
      <c r="D28" s="32"/>
      <c r="E28" s="33">
        <f>E22+E26</f>
        <v>4677.4549099999995</v>
      </c>
      <c r="F28" s="34">
        <f>F22+F26</f>
        <v>85.191771921059427</v>
      </c>
      <c r="G28" s="33"/>
      <c r="H28" s="18"/>
      <c r="I28" s="18"/>
    </row>
    <row r="29" spans="1:9" x14ac:dyDescent="0.2">
      <c r="A29" s="26"/>
      <c r="B29" s="26"/>
      <c r="C29" s="26"/>
      <c r="D29" s="32"/>
      <c r="E29" s="33"/>
      <c r="F29" s="34"/>
      <c r="G29" s="33"/>
      <c r="H29" s="18"/>
      <c r="I29" s="18"/>
    </row>
    <row r="30" spans="1:9" x14ac:dyDescent="0.2">
      <c r="A30" s="26" t="s">
        <v>38</v>
      </c>
      <c r="B30" s="26"/>
      <c r="C30" s="26"/>
      <c r="D30" s="32"/>
      <c r="E30" s="33">
        <f>E32-(E22+E26)</f>
        <v>813.04587960000026</v>
      </c>
      <c r="F30" s="34">
        <f>F32-(F22+F26)</f>
        <v>14.808228078940573</v>
      </c>
      <c r="G30" s="33"/>
      <c r="H30" s="18"/>
      <c r="I30" s="18"/>
    </row>
    <row r="31" spans="1:9" x14ac:dyDescent="0.2">
      <c r="A31" s="26"/>
      <c r="B31" s="26"/>
      <c r="C31" s="26"/>
      <c r="D31" s="32"/>
      <c r="E31" s="33"/>
      <c r="F31" s="34"/>
      <c r="G31" s="33"/>
      <c r="H31" s="18"/>
      <c r="I31" s="18"/>
    </row>
    <row r="32" spans="1:9" x14ac:dyDescent="0.2">
      <c r="A32" s="35" t="s">
        <v>37</v>
      </c>
      <c r="B32" s="35"/>
      <c r="C32" s="35"/>
      <c r="D32" s="36"/>
      <c r="E32" s="37">
        <v>5490.5007895999997</v>
      </c>
      <c r="F32" s="38">
        <v>100</v>
      </c>
      <c r="G32" s="37"/>
      <c r="H32" s="18"/>
      <c r="I32" s="18"/>
    </row>
    <row r="34" spans="1:4" x14ac:dyDescent="0.2">
      <c r="A34" s="18" t="s">
        <v>39</v>
      </c>
    </row>
    <row r="36" spans="1:4" x14ac:dyDescent="0.2">
      <c r="A36" s="18" t="s">
        <v>40</v>
      </c>
    </row>
    <row r="37" spans="1:4" x14ac:dyDescent="0.2">
      <c r="A37" s="18" t="s">
        <v>41</v>
      </c>
    </row>
    <row r="38" spans="1:4" x14ac:dyDescent="0.2">
      <c r="A38" s="18" t="s">
        <v>42</v>
      </c>
      <c r="B38" s="18"/>
      <c r="C38" s="39" t="s">
        <v>44</v>
      </c>
      <c r="D38" s="19" t="s">
        <v>43</v>
      </c>
    </row>
    <row r="39" spans="1:4" x14ac:dyDescent="0.2">
      <c r="A39" s="9" t="s">
        <v>71</v>
      </c>
      <c r="C39" s="40">
        <v>12.5205</v>
      </c>
      <c r="D39" s="40">
        <v>12.849299999999999</v>
      </c>
    </row>
    <row r="40" spans="1:4" x14ac:dyDescent="0.2">
      <c r="A40" s="9" t="s">
        <v>1019</v>
      </c>
      <c r="C40" s="40">
        <v>10.767899999999999</v>
      </c>
      <c r="D40" s="40">
        <v>11.052899999999999</v>
      </c>
    </row>
    <row r="41" spans="1:4" x14ac:dyDescent="0.2">
      <c r="A41" s="9" t="s">
        <v>73</v>
      </c>
      <c r="C41" s="40">
        <v>10.5252</v>
      </c>
      <c r="D41" s="40">
        <v>10.4191</v>
      </c>
    </row>
    <row r="42" spans="1:4" x14ac:dyDescent="0.2">
      <c r="A42" s="9" t="s">
        <v>74</v>
      </c>
      <c r="C42" s="40">
        <v>12.652799999999999</v>
      </c>
      <c r="D42" s="40">
        <v>12.985099999999999</v>
      </c>
    </row>
    <row r="43" spans="1:4" x14ac:dyDescent="0.2">
      <c r="A43" s="9" t="s">
        <v>78</v>
      </c>
      <c r="C43" s="40">
        <v>10.7819</v>
      </c>
      <c r="D43" s="40">
        <v>11.065</v>
      </c>
    </row>
    <row r="44" spans="1:4" x14ac:dyDescent="0.2">
      <c r="A44" s="9" t="s">
        <v>76</v>
      </c>
      <c r="C44" s="40">
        <v>10.5519</v>
      </c>
      <c r="D44" s="40">
        <v>10.445399999999999</v>
      </c>
    </row>
    <row r="46" spans="1:4" x14ac:dyDescent="0.2">
      <c r="A46" s="18" t="s">
        <v>46</v>
      </c>
    </row>
    <row r="47" spans="1:4" x14ac:dyDescent="0.2">
      <c r="A47" s="71" t="s">
        <v>67</v>
      </c>
      <c r="B47" s="72"/>
      <c r="C47" s="43" t="s">
        <v>68</v>
      </c>
    </row>
    <row r="48" spans="1:4" x14ac:dyDescent="0.2">
      <c r="A48" s="67" t="s">
        <v>73</v>
      </c>
      <c r="B48" s="68"/>
      <c r="C48" s="44">
        <v>0.38</v>
      </c>
    </row>
    <row r="49" spans="1:5" x14ac:dyDescent="0.2">
      <c r="A49" s="67" t="s">
        <v>76</v>
      </c>
      <c r="B49" s="68"/>
      <c r="C49" s="44">
        <v>0.38</v>
      </c>
    </row>
    <row r="50" spans="1:5" x14ac:dyDescent="0.2">
      <c r="A50" s="9" t="s">
        <v>69</v>
      </c>
    </row>
    <row r="51" spans="1:5" x14ac:dyDescent="0.2">
      <c r="A51" s="9" t="s">
        <v>45</v>
      </c>
    </row>
    <row r="53" spans="1:5" x14ac:dyDescent="0.2">
      <c r="A53" s="18" t="s">
        <v>805</v>
      </c>
      <c r="D53" s="42">
        <v>0.428847439342466</v>
      </c>
      <c r="E53" s="13" t="s">
        <v>48</v>
      </c>
    </row>
    <row r="55" spans="1:5" x14ac:dyDescent="0.2">
      <c r="A55" s="18" t="s">
        <v>49</v>
      </c>
      <c r="D55" s="41" t="s">
        <v>47</v>
      </c>
    </row>
    <row r="57" spans="1:5" x14ac:dyDescent="0.2">
      <c r="A57" s="18" t="s">
        <v>70</v>
      </c>
    </row>
    <row r="58" spans="1:5" x14ac:dyDescent="0.2">
      <c r="A58" s="46" t="s">
        <v>51</v>
      </c>
    </row>
    <row r="60" spans="1:5" x14ac:dyDescent="0.2">
      <c r="A60" s="46"/>
    </row>
  </sheetData>
  <mergeCells count="4">
    <mergeCell ref="A1:G1"/>
    <mergeCell ref="A47:B47"/>
    <mergeCell ref="A48:B48"/>
    <mergeCell ref="A49:B49"/>
  </mergeCells>
  <conditionalFormatting sqref="F2:F3 F5:F65536">
    <cfRule type="cellIs" dxfId="61" priority="1" stopIfTrue="1" operator="between">
      <formula>0.009</formula>
      <formula>-0.009</formula>
    </cfRule>
  </conditionalFormatting>
  <hyperlinks>
    <hyperlink ref="A58" r:id="rId1" tooltip="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0"/>
  <sheetViews>
    <sheetView workbookViewId="0">
      <selection sqref="A1:G1"/>
    </sheetView>
  </sheetViews>
  <sheetFormatPr defaultColWidth="9.109375" defaultRowHeight="10.199999999999999" x14ac:dyDescent="0.2"/>
  <cols>
    <col min="1" max="1" width="38.6640625" style="9" bestFit="1" customWidth="1"/>
    <col min="2" max="2" width="43.4414062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69" t="s">
        <v>1054</v>
      </c>
      <c r="B1" s="70"/>
      <c r="C1" s="70"/>
      <c r="D1" s="70"/>
      <c r="E1" s="70"/>
      <c r="F1" s="70"/>
      <c r="G1" s="7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947</v>
      </c>
      <c r="B7" s="27" t="s">
        <v>948</v>
      </c>
      <c r="C7" s="27" t="s">
        <v>916</v>
      </c>
      <c r="D7" s="31">
        <v>31</v>
      </c>
      <c r="E7" s="29">
        <v>310.55396999999999</v>
      </c>
      <c r="F7" s="30">
        <v>9.3264046149753703</v>
      </c>
      <c r="G7" s="29">
        <v>3.1240000000000001</v>
      </c>
    </row>
    <row r="8" spans="1:9" x14ac:dyDescent="0.2">
      <c r="A8" s="26" t="s">
        <v>34</v>
      </c>
      <c r="B8" s="26"/>
      <c r="C8" s="26"/>
      <c r="D8" s="32"/>
      <c r="E8" s="33">
        <f>SUM(E6:E7)</f>
        <v>310.55396999999999</v>
      </c>
      <c r="F8" s="34">
        <f>SUM(F6:F7)</f>
        <v>9.3264046149753703</v>
      </c>
      <c r="G8" s="33"/>
      <c r="H8" s="18"/>
      <c r="I8" s="18"/>
    </row>
    <row r="9" spans="1:9" x14ac:dyDescent="0.2">
      <c r="A9" s="27"/>
      <c r="B9" s="27"/>
      <c r="C9" s="27"/>
      <c r="D9" s="28"/>
      <c r="E9" s="29"/>
      <c r="F9" s="30"/>
      <c r="G9" s="29"/>
    </row>
    <row r="10" spans="1:9" x14ac:dyDescent="0.2">
      <c r="A10" s="26" t="s">
        <v>1051</v>
      </c>
      <c r="B10" s="27"/>
      <c r="C10" s="27"/>
      <c r="D10" s="28"/>
      <c r="E10" s="29"/>
      <c r="F10" s="30"/>
      <c r="G10" s="29"/>
    </row>
    <row r="11" spans="1:9" x14ac:dyDescent="0.2">
      <c r="A11" s="27" t="s">
        <v>1055</v>
      </c>
      <c r="B11" s="27" t="s">
        <v>1056</v>
      </c>
      <c r="C11" s="27" t="s">
        <v>52</v>
      </c>
      <c r="D11" s="31">
        <v>3</v>
      </c>
      <c r="E11" s="29">
        <v>30.003329999999998</v>
      </c>
      <c r="F11" s="30">
        <v>0.90104530100397395</v>
      </c>
      <c r="G11" s="29">
        <v>3.8332999999999999</v>
      </c>
    </row>
    <row r="12" spans="1:9" x14ac:dyDescent="0.2">
      <c r="A12" s="26" t="s">
        <v>34</v>
      </c>
      <c r="B12" s="26"/>
      <c r="C12" s="26"/>
      <c r="D12" s="32"/>
      <c r="E12" s="33">
        <f>SUM(E10:E11)</f>
        <v>30.003329999999998</v>
      </c>
      <c r="F12" s="34">
        <f>SUM(F10:F11)</f>
        <v>0.90104530100397395</v>
      </c>
      <c r="G12" s="33"/>
      <c r="H12" s="18"/>
      <c r="I12" s="18"/>
    </row>
    <row r="13" spans="1:9" x14ac:dyDescent="0.2">
      <c r="A13" s="27"/>
      <c r="B13" s="27"/>
      <c r="C13" s="27"/>
      <c r="D13" s="28"/>
      <c r="E13" s="29"/>
      <c r="F13" s="30"/>
      <c r="G13" s="29"/>
    </row>
    <row r="14" spans="1:9" x14ac:dyDescent="0.2">
      <c r="A14" s="26" t="s">
        <v>54</v>
      </c>
      <c r="B14" s="27"/>
      <c r="C14" s="27"/>
      <c r="D14" s="28"/>
      <c r="E14" s="29"/>
      <c r="F14" s="30"/>
      <c r="G14" s="29"/>
    </row>
    <row r="15" spans="1:9" x14ac:dyDescent="0.2">
      <c r="A15" s="26" t="s">
        <v>775</v>
      </c>
      <c r="B15" s="27"/>
      <c r="C15" s="27"/>
      <c r="D15" s="28"/>
      <c r="E15" s="29"/>
      <c r="F15" s="30"/>
      <c r="G15" s="29"/>
    </row>
    <row r="16" spans="1:9" x14ac:dyDescent="0.2">
      <c r="A16" s="27" t="s">
        <v>776</v>
      </c>
      <c r="B16" s="27" t="s">
        <v>777</v>
      </c>
      <c r="C16" s="27" t="s">
        <v>65</v>
      </c>
      <c r="D16" s="31">
        <v>650000</v>
      </c>
      <c r="E16" s="29">
        <v>649.94605000000001</v>
      </c>
      <c r="F16" s="30">
        <v>19.518861215024899</v>
      </c>
      <c r="G16" s="29">
        <v>3.0297999999999998</v>
      </c>
    </row>
    <row r="17" spans="1:9" x14ac:dyDescent="0.2">
      <c r="A17" s="26" t="s">
        <v>34</v>
      </c>
      <c r="B17" s="26"/>
      <c r="C17" s="26"/>
      <c r="D17" s="32"/>
      <c r="E17" s="33">
        <f>SUM(E15:E16)</f>
        <v>649.94605000000001</v>
      </c>
      <c r="F17" s="34">
        <f>SUM(F15:F16)</f>
        <v>19.518861215024899</v>
      </c>
      <c r="G17" s="33"/>
      <c r="H17" s="18"/>
      <c r="I17" s="18"/>
    </row>
    <row r="18" spans="1:9" x14ac:dyDescent="0.2">
      <c r="A18" s="27"/>
      <c r="B18" s="27"/>
      <c r="C18" s="27"/>
      <c r="D18" s="28"/>
      <c r="E18" s="29"/>
      <c r="F18" s="30"/>
      <c r="G18" s="29"/>
    </row>
    <row r="19" spans="1:9" x14ac:dyDescent="0.2">
      <c r="A19" s="26" t="s">
        <v>36</v>
      </c>
      <c r="B19" s="26"/>
      <c r="C19" s="26"/>
      <c r="D19" s="32"/>
      <c r="E19" s="33">
        <f>E8+E12+E17</f>
        <v>990.50334999999995</v>
      </c>
      <c r="F19" s="34">
        <f>F8+F12+F17</f>
        <v>29.746311131004241</v>
      </c>
      <c r="G19" s="33"/>
      <c r="H19" s="18"/>
      <c r="I19" s="18"/>
    </row>
    <row r="20" spans="1:9" x14ac:dyDescent="0.2">
      <c r="A20" s="26"/>
      <c r="B20" s="26"/>
      <c r="C20" s="26"/>
      <c r="D20" s="32"/>
      <c r="E20" s="33"/>
      <c r="F20" s="34"/>
      <c r="G20" s="33"/>
      <c r="H20" s="18"/>
      <c r="I20" s="18"/>
    </row>
    <row r="21" spans="1:9" x14ac:dyDescent="0.2">
      <c r="A21" s="26" t="s">
        <v>38</v>
      </c>
      <c r="B21" s="26"/>
      <c r="C21" s="26"/>
      <c r="D21" s="32"/>
      <c r="E21" s="33">
        <f>E23-(E8+E12+E17)</f>
        <v>2339.3325602</v>
      </c>
      <c r="F21" s="34">
        <f>F23-(F8+F12+F17)</f>
        <v>70.253688868995766</v>
      </c>
      <c r="G21" s="33"/>
      <c r="H21" s="18"/>
      <c r="I21" s="18"/>
    </row>
    <row r="22" spans="1:9" x14ac:dyDescent="0.2">
      <c r="A22" s="26"/>
      <c r="B22" s="26"/>
      <c r="C22" s="26"/>
      <c r="D22" s="32"/>
      <c r="E22" s="33"/>
      <c r="F22" s="34"/>
      <c r="G22" s="33"/>
      <c r="H22" s="18"/>
      <c r="I22" s="18"/>
    </row>
    <row r="23" spans="1:9" x14ac:dyDescent="0.2">
      <c r="A23" s="35" t="s">
        <v>37</v>
      </c>
      <c r="B23" s="35"/>
      <c r="C23" s="35"/>
      <c r="D23" s="36"/>
      <c r="E23" s="37">
        <v>3329.8359101999999</v>
      </c>
      <c r="F23" s="38">
        <v>100</v>
      </c>
      <c r="G23" s="37"/>
      <c r="H23" s="18"/>
      <c r="I23" s="18"/>
    </row>
    <row r="25" spans="1:9" x14ac:dyDescent="0.2">
      <c r="A25" s="18" t="s">
        <v>39</v>
      </c>
    </row>
    <row r="27" spans="1:9" x14ac:dyDescent="0.2">
      <c r="A27" s="18" t="s">
        <v>40</v>
      </c>
    </row>
    <row r="28" spans="1:9" x14ac:dyDescent="0.2">
      <c r="A28" s="18" t="s">
        <v>41</v>
      </c>
    </row>
    <row r="29" spans="1:9" x14ac:dyDescent="0.2">
      <c r="A29" s="18" t="s">
        <v>42</v>
      </c>
      <c r="B29" s="18"/>
      <c r="C29" s="39" t="s">
        <v>44</v>
      </c>
      <c r="D29" s="19" t="s">
        <v>43</v>
      </c>
    </row>
    <row r="30" spans="1:9" x14ac:dyDescent="0.2">
      <c r="A30" s="9" t="s">
        <v>71</v>
      </c>
      <c r="C30" s="40">
        <v>12.393700000000001</v>
      </c>
      <c r="D30" s="40">
        <v>12.627599999999999</v>
      </c>
    </row>
    <row r="31" spans="1:9" x14ac:dyDescent="0.2">
      <c r="A31" s="9" t="s">
        <v>1019</v>
      </c>
      <c r="C31" s="40">
        <v>10.666</v>
      </c>
      <c r="D31" s="40">
        <v>10.8672</v>
      </c>
    </row>
    <row r="32" spans="1:9" x14ac:dyDescent="0.2">
      <c r="A32" s="9" t="s">
        <v>73</v>
      </c>
      <c r="C32" s="40">
        <v>10.4405</v>
      </c>
      <c r="D32" s="40">
        <v>10.2477</v>
      </c>
    </row>
    <row r="33" spans="1:5" x14ac:dyDescent="0.2">
      <c r="A33" s="9" t="s">
        <v>74</v>
      </c>
      <c r="C33" s="40">
        <v>12.517899999999999</v>
      </c>
      <c r="D33" s="40">
        <v>12.754099999999999</v>
      </c>
    </row>
    <row r="34" spans="1:5" x14ac:dyDescent="0.2">
      <c r="A34" s="9" t="s">
        <v>76</v>
      </c>
      <c r="C34" s="40">
        <v>10.5616</v>
      </c>
      <c r="D34" s="40">
        <v>10.3711</v>
      </c>
    </row>
    <row r="36" spans="1:5" x14ac:dyDescent="0.2">
      <c r="A36" s="18" t="s">
        <v>46</v>
      </c>
    </row>
    <row r="37" spans="1:5" x14ac:dyDescent="0.2">
      <c r="A37" s="71" t="s">
        <v>67</v>
      </c>
      <c r="B37" s="72"/>
      <c r="C37" s="43" t="s">
        <v>68</v>
      </c>
    </row>
    <row r="38" spans="1:5" x14ac:dyDescent="0.2">
      <c r="A38" s="67" t="s">
        <v>73</v>
      </c>
      <c r="B38" s="68"/>
      <c r="C38" s="44">
        <v>0.38500000000000001</v>
      </c>
    </row>
    <row r="39" spans="1:5" x14ac:dyDescent="0.2">
      <c r="A39" s="67" t="s">
        <v>76</v>
      </c>
      <c r="B39" s="68"/>
      <c r="C39" s="44">
        <v>0.38500000000000001</v>
      </c>
    </row>
    <row r="40" spans="1:5" x14ac:dyDescent="0.2">
      <c r="A40" s="9" t="s">
        <v>69</v>
      </c>
    </row>
    <row r="41" spans="1:5" x14ac:dyDescent="0.2">
      <c r="A41" s="9" t="s">
        <v>45</v>
      </c>
    </row>
    <row r="43" spans="1:5" x14ac:dyDescent="0.2">
      <c r="A43" s="18" t="s">
        <v>805</v>
      </c>
      <c r="D43" s="42">
        <v>4.69615019178082E-3</v>
      </c>
      <c r="E43" s="13" t="s">
        <v>48</v>
      </c>
    </row>
    <row r="45" spans="1:5" x14ac:dyDescent="0.2">
      <c r="A45" s="18" t="s">
        <v>49</v>
      </c>
      <c r="D45" s="41" t="s">
        <v>47</v>
      </c>
    </row>
    <row r="47" spans="1:5" x14ac:dyDescent="0.2">
      <c r="A47" s="18" t="s">
        <v>70</v>
      </c>
    </row>
    <row r="48" spans="1:5" x14ac:dyDescent="0.2">
      <c r="A48" s="46" t="s">
        <v>51</v>
      </c>
    </row>
    <row r="50" spans="1:1" x14ac:dyDescent="0.2">
      <c r="A50" s="46"/>
    </row>
  </sheetData>
  <mergeCells count="4">
    <mergeCell ref="A1:G1"/>
    <mergeCell ref="A37:B37"/>
    <mergeCell ref="A38:B38"/>
    <mergeCell ref="A39:B39"/>
  </mergeCells>
  <conditionalFormatting sqref="F2:F3 F5:F65536">
    <cfRule type="cellIs" dxfId="60" priority="1" stopIfTrue="1" operator="between">
      <formula>0.009</formula>
      <formula>-0.009</formula>
    </cfRule>
  </conditionalFormatting>
  <hyperlinks>
    <hyperlink ref="A48" r:id="rId1" tooltip="https://www.franklintempletonindia.com/downloadsServlet/pdf/product-labels-jg9o5k7l"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4"/>
  <sheetViews>
    <sheetView workbookViewId="0">
      <selection sqref="A1:G1"/>
    </sheetView>
  </sheetViews>
  <sheetFormatPr defaultColWidth="9.109375" defaultRowHeight="10.199999999999999" x14ac:dyDescent="0.2"/>
  <cols>
    <col min="1" max="1" width="34.44140625" style="9" bestFit="1" customWidth="1"/>
    <col min="2" max="2" width="30.88671875" style="9" bestFit="1" customWidth="1"/>
    <col min="3" max="3" width="36.33203125" style="9"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69" t="s">
        <v>1057</v>
      </c>
      <c r="B1" s="70"/>
      <c r="C1" s="70"/>
      <c r="D1" s="70"/>
      <c r="E1" s="70"/>
      <c r="F1" s="70"/>
      <c r="G1" s="7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row>
    <row r="5" spans="1:9" x14ac:dyDescent="0.2">
      <c r="A5" s="21" t="s">
        <v>31</v>
      </c>
      <c r="B5" s="22"/>
      <c r="C5" s="22"/>
      <c r="D5" s="23"/>
      <c r="E5" s="24"/>
      <c r="F5" s="25"/>
      <c r="G5" s="24"/>
    </row>
    <row r="6" spans="1:9" x14ac:dyDescent="0.2">
      <c r="A6" s="26" t="s">
        <v>1051</v>
      </c>
      <c r="B6" s="27"/>
      <c r="C6" s="27"/>
      <c r="D6" s="28"/>
      <c r="E6" s="29"/>
      <c r="F6" s="30"/>
      <c r="G6" s="29"/>
    </row>
    <row r="7" spans="1:9" x14ac:dyDescent="0.2">
      <c r="A7" s="27" t="s">
        <v>1055</v>
      </c>
      <c r="B7" s="27" t="s">
        <v>1056</v>
      </c>
      <c r="C7" s="27" t="s">
        <v>52</v>
      </c>
      <c r="D7" s="31">
        <v>34</v>
      </c>
      <c r="E7" s="29">
        <v>340.03773999999999</v>
      </c>
      <c r="F7" s="30">
        <v>8.1838131558615306</v>
      </c>
      <c r="G7" s="29">
        <v>3.8332999999999999</v>
      </c>
    </row>
    <row r="8" spans="1:9" x14ac:dyDescent="0.2">
      <c r="A8" s="26" t="s">
        <v>34</v>
      </c>
      <c r="B8" s="26"/>
      <c r="C8" s="26"/>
      <c r="D8" s="32"/>
      <c r="E8" s="33">
        <f>SUM(E6:E7)</f>
        <v>340.03773999999999</v>
      </c>
      <c r="F8" s="34">
        <f>SUM(F6:F7)</f>
        <v>8.1838131558615306</v>
      </c>
      <c r="G8" s="33"/>
      <c r="H8" s="18"/>
      <c r="I8" s="18"/>
    </row>
    <row r="9" spans="1:9" x14ac:dyDescent="0.2">
      <c r="A9" s="27"/>
      <c r="B9" s="27"/>
      <c r="C9" s="27"/>
      <c r="D9" s="28"/>
      <c r="E9" s="29"/>
      <c r="F9" s="30"/>
      <c r="G9" s="29"/>
    </row>
    <row r="10" spans="1:9" x14ac:dyDescent="0.2">
      <c r="A10" s="26" t="s">
        <v>54</v>
      </c>
      <c r="B10" s="27"/>
      <c r="C10" s="27"/>
      <c r="D10" s="28"/>
      <c r="E10" s="29"/>
      <c r="F10" s="30"/>
      <c r="G10" s="29"/>
    </row>
    <row r="11" spans="1:9" x14ac:dyDescent="0.2">
      <c r="A11" s="26" t="s">
        <v>775</v>
      </c>
      <c r="B11" s="27"/>
      <c r="C11" s="27"/>
      <c r="D11" s="28"/>
      <c r="E11" s="29"/>
      <c r="F11" s="30"/>
      <c r="G11" s="29"/>
    </row>
    <row r="12" spans="1:9" x14ac:dyDescent="0.2">
      <c r="A12" s="27" t="s">
        <v>776</v>
      </c>
      <c r="B12" s="27" t="s">
        <v>777</v>
      </c>
      <c r="C12" s="27" t="s">
        <v>65</v>
      </c>
      <c r="D12" s="31">
        <v>550000</v>
      </c>
      <c r="E12" s="29">
        <v>549.95434999999998</v>
      </c>
      <c r="F12" s="30">
        <v>13.235953293458801</v>
      </c>
      <c r="G12" s="29">
        <v>3.0297999999999998</v>
      </c>
    </row>
    <row r="13" spans="1:9" x14ac:dyDescent="0.2">
      <c r="A13" s="26" t="s">
        <v>34</v>
      </c>
      <c r="B13" s="26"/>
      <c r="C13" s="26"/>
      <c r="D13" s="32"/>
      <c r="E13" s="33">
        <f>SUM(E11:E12)</f>
        <v>549.95434999999998</v>
      </c>
      <c r="F13" s="34">
        <f>SUM(F11:F12)</f>
        <v>13.235953293458801</v>
      </c>
      <c r="G13" s="33"/>
      <c r="H13" s="18"/>
      <c r="I13" s="18"/>
    </row>
    <row r="14" spans="1:9" x14ac:dyDescent="0.2">
      <c r="A14" s="27"/>
      <c r="B14" s="27"/>
      <c r="C14" s="27"/>
      <c r="D14" s="28"/>
      <c r="E14" s="29"/>
      <c r="F14" s="30"/>
      <c r="G14" s="29"/>
    </row>
    <row r="15" spans="1:9" x14ac:dyDescent="0.2">
      <c r="A15" s="26" t="s">
        <v>36</v>
      </c>
      <c r="B15" s="26"/>
      <c r="C15" s="26"/>
      <c r="D15" s="32"/>
      <c r="E15" s="33">
        <f>E8+E13</f>
        <v>889.99208999999996</v>
      </c>
      <c r="F15" s="34">
        <f>F8+F13</f>
        <v>21.419766449320331</v>
      </c>
      <c r="G15" s="33"/>
      <c r="H15" s="18"/>
      <c r="I15" s="18"/>
    </row>
    <row r="16" spans="1:9" x14ac:dyDescent="0.2">
      <c r="A16" s="26"/>
      <c r="B16" s="26"/>
      <c r="C16" s="26"/>
      <c r="D16" s="32"/>
      <c r="E16" s="33"/>
      <c r="F16" s="34"/>
      <c r="G16" s="33"/>
      <c r="H16" s="18"/>
      <c r="I16" s="18"/>
    </row>
    <row r="17" spans="1:9" x14ac:dyDescent="0.2">
      <c r="A17" s="26" t="s">
        <v>38</v>
      </c>
      <c r="B17" s="26"/>
      <c r="C17" s="26"/>
      <c r="D17" s="32"/>
      <c r="E17" s="33">
        <f>E19-(E8+E13)</f>
        <v>3265.0116170000001</v>
      </c>
      <c r="F17" s="34">
        <f>F19-(F8+F13)</f>
        <v>78.580233550679665</v>
      </c>
      <c r="G17" s="33"/>
      <c r="H17" s="18"/>
      <c r="I17" s="18"/>
    </row>
    <row r="18" spans="1:9" x14ac:dyDescent="0.2">
      <c r="A18" s="26"/>
      <c r="B18" s="26"/>
      <c r="C18" s="26"/>
      <c r="D18" s="32"/>
      <c r="E18" s="33"/>
      <c r="F18" s="34"/>
      <c r="G18" s="33"/>
      <c r="H18" s="18"/>
      <c r="I18" s="18"/>
    </row>
    <row r="19" spans="1:9" x14ac:dyDescent="0.2">
      <c r="A19" s="35" t="s">
        <v>37</v>
      </c>
      <c r="B19" s="35"/>
      <c r="C19" s="35"/>
      <c r="D19" s="36"/>
      <c r="E19" s="37">
        <v>4155.0037069999998</v>
      </c>
      <c r="F19" s="38">
        <v>100</v>
      </c>
      <c r="G19" s="37"/>
      <c r="H19" s="18"/>
      <c r="I19" s="18"/>
    </row>
    <row r="21" spans="1:9" x14ac:dyDescent="0.2">
      <c r="A21" s="18" t="s">
        <v>39</v>
      </c>
    </row>
    <row r="23" spans="1:9" x14ac:dyDescent="0.2">
      <c r="A23" s="18" t="s">
        <v>40</v>
      </c>
    </row>
    <row r="24" spans="1:9" x14ac:dyDescent="0.2">
      <c r="A24" s="18" t="s">
        <v>41</v>
      </c>
    </row>
    <row r="25" spans="1:9" x14ac:dyDescent="0.2">
      <c r="A25" s="18" t="s">
        <v>42</v>
      </c>
      <c r="B25" s="18"/>
      <c r="C25" s="39" t="s">
        <v>44</v>
      </c>
      <c r="D25" s="19" t="s">
        <v>43</v>
      </c>
    </row>
    <row r="26" spans="1:9" x14ac:dyDescent="0.2">
      <c r="A26" s="9" t="s">
        <v>71</v>
      </c>
      <c r="C26" s="40">
        <v>11.780799999999999</v>
      </c>
      <c r="D26" s="40">
        <v>12.010300000000001</v>
      </c>
    </row>
    <row r="27" spans="1:9" x14ac:dyDescent="0.2">
      <c r="A27" s="9" t="s">
        <v>1019</v>
      </c>
      <c r="C27" s="40">
        <v>10.6325</v>
      </c>
      <c r="D27" s="40">
        <v>10.839600000000001</v>
      </c>
    </row>
    <row r="28" spans="1:9" x14ac:dyDescent="0.2">
      <c r="A28" s="9" t="s">
        <v>73</v>
      </c>
      <c r="C28" s="40">
        <v>10.406000000000001</v>
      </c>
      <c r="D28" s="40">
        <v>10.223800000000001</v>
      </c>
    </row>
    <row r="29" spans="1:9" x14ac:dyDescent="0.2">
      <c r="A29" s="9" t="s">
        <v>74</v>
      </c>
      <c r="C29" s="40">
        <v>11.8985</v>
      </c>
      <c r="D29" s="40">
        <v>12.1302</v>
      </c>
    </row>
    <row r="31" spans="1:9" x14ac:dyDescent="0.2">
      <c r="A31" s="18" t="s">
        <v>46</v>
      </c>
    </row>
    <row r="32" spans="1:9" x14ac:dyDescent="0.2">
      <c r="A32" s="71" t="s">
        <v>67</v>
      </c>
      <c r="B32" s="72"/>
      <c r="C32" s="43" t="s">
        <v>68</v>
      </c>
    </row>
    <row r="33" spans="1:5" x14ac:dyDescent="0.2">
      <c r="A33" s="67" t="s">
        <v>73</v>
      </c>
      <c r="B33" s="68"/>
      <c r="C33" s="44">
        <v>0.38</v>
      </c>
    </row>
    <row r="34" spans="1:5" x14ac:dyDescent="0.2">
      <c r="A34" s="9" t="s">
        <v>69</v>
      </c>
    </row>
    <row r="35" spans="1:5" x14ac:dyDescent="0.2">
      <c r="A35" s="9" t="s">
        <v>45</v>
      </c>
    </row>
    <row r="37" spans="1:5" x14ac:dyDescent="0.2">
      <c r="A37" s="18" t="s">
        <v>805</v>
      </c>
      <c r="D37" s="42">
        <v>1.17368580821918E-3</v>
      </c>
      <c r="E37" s="13" t="s">
        <v>48</v>
      </c>
    </row>
    <row r="39" spans="1:5" x14ac:dyDescent="0.2">
      <c r="A39" s="18" t="s">
        <v>49</v>
      </c>
      <c r="D39" s="41" t="s">
        <v>47</v>
      </c>
    </row>
    <row r="41" spans="1:5" x14ac:dyDescent="0.2">
      <c r="A41" s="18" t="s">
        <v>70</v>
      </c>
    </row>
    <row r="42" spans="1:5" x14ac:dyDescent="0.2">
      <c r="A42" s="46" t="s">
        <v>51</v>
      </c>
    </row>
    <row r="44" spans="1:5" x14ac:dyDescent="0.2">
      <c r="A44" s="46"/>
    </row>
  </sheetData>
  <mergeCells count="3">
    <mergeCell ref="A1:G1"/>
    <mergeCell ref="A32:B32"/>
    <mergeCell ref="A33:B33"/>
  </mergeCells>
  <conditionalFormatting sqref="F2:F3 F5:F65536">
    <cfRule type="cellIs" dxfId="59" priority="1" stopIfTrue="1" operator="between">
      <formula>0.009</formula>
      <formula>-0.009</formula>
    </cfRule>
  </conditionalFormatting>
  <hyperlinks>
    <hyperlink ref="A42" r:id="rId1" tooltip="https://www.franklintempletonindia.com/downloadsServlet/pdf/product-labels-jg9o5k7l"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33"/>
  <sheetViews>
    <sheetView workbookViewId="0">
      <selection sqref="A1:G1"/>
    </sheetView>
  </sheetViews>
  <sheetFormatPr defaultColWidth="9.109375" defaultRowHeight="10.199999999999999" x14ac:dyDescent="0.2"/>
  <cols>
    <col min="1" max="1" width="34.44140625" style="9" bestFit="1" customWidth="1"/>
    <col min="2" max="2" width="20" style="9" bestFit="1" customWidth="1"/>
    <col min="3" max="3" width="43.88671875" style="9"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69" t="s">
        <v>1058</v>
      </c>
      <c r="B1" s="70"/>
      <c r="C1" s="70"/>
      <c r="D1" s="70"/>
      <c r="E1" s="70"/>
      <c r="F1" s="70"/>
      <c r="G1" s="70"/>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row>
    <row r="5" spans="1:9" x14ac:dyDescent="0.2">
      <c r="A5" s="26" t="s">
        <v>38</v>
      </c>
      <c r="B5" s="26"/>
      <c r="C5" s="26"/>
      <c r="D5" s="32"/>
      <c r="E5" s="33">
        <v>9792.1130811999992</v>
      </c>
      <c r="F5" s="34">
        <v>100</v>
      </c>
      <c r="G5" s="33"/>
      <c r="H5" s="18"/>
      <c r="I5" s="18"/>
    </row>
    <row r="6" spans="1:9" x14ac:dyDescent="0.2">
      <c r="A6" s="26"/>
      <c r="B6" s="26"/>
      <c r="C6" s="26"/>
      <c r="D6" s="32"/>
      <c r="E6" s="33"/>
      <c r="F6" s="34"/>
      <c r="G6" s="33"/>
      <c r="H6" s="18"/>
      <c r="I6" s="18"/>
    </row>
    <row r="7" spans="1:9" x14ac:dyDescent="0.2">
      <c r="A7" s="35" t="s">
        <v>37</v>
      </c>
      <c r="B7" s="35"/>
      <c r="C7" s="35"/>
      <c r="D7" s="36"/>
      <c r="E7" s="37">
        <v>9792.1130811999992</v>
      </c>
      <c r="F7" s="38">
        <v>100</v>
      </c>
      <c r="G7" s="37"/>
      <c r="H7" s="18"/>
      <c r="I7" s="18"/>
    </row>
    <row r="9" spans="1:9" x14ac:dyDescent="0.2">
      <c r="A9" s="18" t="s">
        <v>40</v>
      </c>
    </row>
    <row r="10" spans="1:9" x14ac:dyDescent="0.2">
      <c r="A10" s="18" t="s">
        <v>41</v>
      </c>
    </row>
    <row r="11" spans="1:9" x14ac:dyDescent="0.2">
      <c r="A11" s="18" t="s">
        <v>42</v>
      </c>
      <c r="B11" s="18"/>
      <c r="C11" s="39" t="s">
        <v>44</v>
      </c>
      <c r="D11" s="19" t="s">
        <v>43</v>
      </c>
    </row>
    <row r="12" spans="1:9" x14ac:dyDescent="0.2">
      <c r="A12" s="9" t="s">
        <v>71</v>
      </c>
      <c r="C12" s="40">
        <v>12.346299999999999</v>
      </c>
      <c r="D12" s="40">
        <v>12.5808</v>
      </c>
    </row>
    <row r="13" spans="1:9" x14ac:dyDescent="0.2">
      <c r="A13" s="9" t="s">
        <v>1019</v>
      </c>
      <c r="C13" s="40">
        <v>10.6747</v>
      </c>
      <c r="D13" s="40">
        <v>10.101599999999999</v>
      </c>
    </row>
    <row r="14" spans="1:9" x14ac:dyDescent="0.2">
      <c r="A14" s="9" t="s">
        <v>73</v>
      </c>
      <c r="C14" s="40">
        <v>10.4663</v>
      </c>
      <c r="D14" s="40">
        <v>10.094099999999999</v>
      </c>
    </row>
    <row r="15" spans="1:9" x14ac:dyDescent="0.2">
      <c r="A15" s="9" t="s">
        <v>74</v>
      </c>
      <c r="C15" s="40">
        <v>12.457800000000001</v>
      </c>
      <c r="D15" s="40">
        <v>12.6944</v>
      </c>
    </row>
    <row r="16" spans="1:9" x14ac:dyDescent="0.2">
      <c r="A16" s="9" t="s">
        <v>76</v>
      </c>
      <c r="C16" s="40">
        <v>10.4747</v>
      </c>
      <c r="D16" s="40">
        <v>10.1036</v>
      </c>
    </row>
    <row r="18" spans="1:5" x14ac:dyDescent="0.2">
      <c r="A18" s="18" t="s">
        <v>46</v>
      </c>
    </row>
    <row r="19" spans="1:5" x14ac:dyDescent="0.2">
      <c r="A19" s="71" t="s">
        <v>67</v>
      </c>
      <c r="B19" s="72"/>
      <c r="C19" s="43" t="s">
        <v>68</v>
      </c>
    </row>
    <row r="20" spans="1:5" x14ac:dyDescent="0.2">
      <c r="A20" s="67" t="s">
        <v>1019</v>
      </c>
      <c r="B20" s="68"/>
      <c r="C20" s="44">
        <v>0.77500000000000002</v>
      </c>
    </row>
    <row r="21" spans="1:5" x14ac:dyDescent="0.2">
      <c r="A21" s="67" t="s">
        <v>73</v>
      </c>
      <c r="B21" s="68"/>
      <c r="C21" s="44">
        <v>0.34499999999999997</v>
      </c>
    </row>
    <row r="22" spans="1:5" x14ac:dyDescent="0.2">
      <c r="A22" s="67" t="s">
        <v>76</v>
      </c>
      <c r="B22" s="68"/>
      <c r="C22" s="44">
        <v>0.34499999999999997</v>
      </c>
    </row>
    <row r="23" spans="1:5" x14ac:dyDescent="0.2">
      <c r="A23" s="9" t="s">
        <v>69</v>
      </c>
    </row>
    <row r="24" spans="1:5" x14ac:dyDescent="0.2">
      <c r="A24" s="9" t="s">
        <v>45</v>
      </c>
    </row>
    <row r="26" spans="1:5" x14ac:dyDescent="0.2">
      <c r="A26" s="18" t="s">
        <v>805</v>
      </c>
      <c r="D26" s="42">
        <v>2.7397260273972599E-3</v>
      </c>
      <c r="E26" s="13" t="s">
        <v>48</v>
      </c>
    </row>
    <row r="28" spans="1:5" x14ac:dyDescent="0.2">
      <c r="A28" s="18" t="s">
        <v>49</v>
      </c>
      <c r="D28" s="41" t="s">
        <v>47</v>
      </c>
    </row>
    <row r="30" spans="1:5" x14ac:dyDescent="0.2">
      <c r="A30" s="18" t="s">
        <v>70</v>
      </c>
    </row>
    <row r="31" spans="1:5" x14ac:dyDescent="0.2">
      <c r="A31" s="46" t="s">
        <v>51</v>
      </c>
    </row>
    <row r="33" spans="1:1" x14ac:dyDescent="0.2">
      <c r="A33" s="46"/>
    </row>
  </sheetData>
  <mergeCells count="5">
    <mergeCell ref="A1:G1"/>
    <mergeCell ref="A19:B19"/>
    <mergeCell ref="A20:B20"/>
    <mergeCell ref="A21:B21"/>
    <mergeCell ref="A22:B22"/>
  </mergeCells>
  <conditionalFormatting sqref="F2:F3 F5:F65532">
    <cfRule type="cellIs" dxfId="58" priority="1" stopIfTrue="1" operator="between">
      <formula>0.009</formula>
      <formula>-0.009</formula>
    </cfRule>
  </conditionalFormatting>
  <hyperlinks>
    <hyperlink ref="A31" r:id="rId1" tooltip="https://www.franklintempletonindia.com/downloadsServlet/pdf/product-labels-jg9o5k7l"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89"/>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25.10937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1059</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98</v>
      </c>
      <c r="B5" s="22"/>
      <c r="C5" s="22"/>
      <c r="D5" s="23"/>
      <c r="E5" s="24"/>
      <c r="F5" s="25"/>
      <c r="G5" s="24"/>
    </row>
    <row r="6" spans="1:7" x14ac:dyDescent="0.2">
      <c r="A6" s="26" t="s">
        <v>32</v>
      </c>
      <c r="B6" s="27"/>
      <c r="C6" s="27"/>
      <c r="D6" s="28"/>
      <c r="E6" s="29"/>
      <c r="F6" s="30"/>
      <c r="G6" s="29"/>
    </row>
    <row r="7" spans="1:7" x14ac:dyDescent="0.2">
      <c r="A7" s="27" t="s">
        <v>100</v>
      </c>
      <c r="B7" s="27" t="s">
        <v>99</v>
      </c>
      <c r="C7" s="27" t="s">
        <v>101</v>
      </c>
      <c r="D7" s="31">
        <v>109904</v>
      </c>
      <c r="E7" s="29">
        <v>1875.4568079999999</v>
      </c>
      <c r="F7" s="30">
        <v>4.0700428271114104</v>
      </c>
      <c r="G7" s="29"/>
    </row>
    <row r="8" spans="1:7" x14ac:dyDescent="0.2">
      <c r="A8" s="27" t="s">
        <v>103</v>
      </c>
      <c r="B8" s="27" t="s">
        <v>102</v>
      </c>
      <c r="C8" s="27" t="s">
        <v>104</v>
      </c>
      <c r="D8" s="31">
        <v>108000</v>
      </c>
      <c r="E8" s="29">
        <v>1707.912</v>
      </c>
      <c r="F8" s="30">
        <v>3.70644365430649</v>
      </c>
      <c r="G8" s="29"/>
    </row>
    <row r="9" spans="1:7" x14ac:dyDescent="0.2">
      <c r="A9" s="27" t="s">
        <v>106</v>
      </c>
      <c r="B9" s="27" t="s">
        <v>105</v>
      </c>
      <c r="C9" s="27" t="s">
        <v>104</v>
      </c>
      <c r="D9" s="31">
        <v>206475</v>
      </c>
      <c r="E9" s="29">
        <v>1623.9258749999999</v>
      </c>
      <c r="F9" s="30">
        <v>3.5241802589699298</v>
      </c>
      <c r="G9" s="29"/>
    </row>
    <row r="10" spans="1:7" x14ac:dyDescent="0.2">
      <c r="A10" s="27" t="s">
        <v>108</v>
      </c>
      <c r="B10" s="27" t="s">
        <v>107</v>
      </c>
      <c r="C10" s="27" t="s">
        <v>104</v>
      </c>
      <c r="D10" s="31">
        <v>146474</v>
      </c>
      <c r="E10" s="29">
        <v>1053.221297</v>
      </c>
      <c r="F10" s="30">
        <v>2.2856595614095401</v>
      </c>
      <c r="G10" s="29"/>
    </row>
    <row r="11" spans="1:7" x14ac:dyDescent="0.2">
      <c r="A11" s="27" t="s">
        <v>110</v>
      </c>
      <c r="B11" s="27" t="s">
        <v>109</v>
      </c>
      <c r="C11" s="27" t="s">
        <v>111</v>
      </c>
      <c r="D11" s="31">
        <v>145373</v>
      </c>
      <c r="E11" s="29">
        <v>965.34940649999999</v>
      </c>
      <c r="F11" s="30">
        <v>2.09496343014772</v>
      </c>
      <c r="G11" s="29"/>
    </row>
    <row r="12" spans="1:7" x14ac:dyDescent="0.2">
      <c r="A12" s="27" t="s">
        <v>113</v>
      </c>
      <c r="B12" s="27" t="s">
        <v>112</v>
      </c>
      <c r="C12" s="27" t="s">
        <v>114</v>
      </c>
      <c r="D12" s="31">
        <v>40000</v>
      </c>
      <c r="E12" s="29">
        <v>917.96</v>
      </c>
      <c r="F12" s="30">
        <v>1.9921207983240301</v>
      </c>
      <c r="G12" s="29"/>
    </row>
    <row r="13" spans="1:7" x14ac:dyDescent="0.2">
      <c r="A13" s="27" t="s">
        <v>116</v>
      </c>
      <c r="B13" s="27" t="s">
        <v>115</v>
      </c>
      <c r="C13" s="27" t="s">
        <v>117</v>
      </c>
      <c r="D13" s="31">
        <v>129936</v>
      </c>
      <c r="E13" s="29">
        <v>608.49028799999996</v>
      </c>
      <c r="F13" s="30">
        <v>1.3205217638055899</v>
      </c>
      <c r="G13" s="29"/>
    </row>
    <row r="14" spans="1:7" x14ac:dyDescent="0.2">
      <c r="A14" s="27" t="s">
        <v>119</v>
      </c>
      <c r="B14" s="27" t="s">
        <v>118</v>
      </c>
      <c r="C14" s="27" t="s">
        <v>120</v>
      </c>
      <c r="D14" s="31">
        <v>60000</v>
      </c>
      <c r="E14" s="29">
        <v>597.51</v>
      </c>
      <c r="F14" s="30">
        <v>1.2966927733306299</v>
      </c>
      <c r="G14" s="29"/>
    </row>
    <row r="15" spans="1:7" x14ac:dyDescent="0.2">
      <c r="A15" s="27" t="s">
        <v>122</v>
      </c>
      <c r="B15" s="27" t="s">
        <v>121</v>
      </c>
      <c r="C15" s="27" t="s">
        <v>104</v>
      </c>
      <c r="D15" s="31">
        <v>33853</v>
      </c>
      <c r="E15" s="29">
        <v>593.68006100000002</v>
      </c>
      <c r="F15" s="30">
        <v>1.2883811898866799</v>
      </c>
      <c r="G15" s="29"/>
    </row>
    <row r="16" spans="1:7" x14ac:dyDescent="0.2">
      <c r="A16" s="27" t="s">
        <v>124</v>
      </c>
      <c r="B16" s="27" t="s">
        <v>123</v>
      </c>
      <c r="C16" s="27" t="s">
        <v>125</v>
      </c>
      <c r="D16" s="31">
        <v>26468</v>
      </c>
      <c r="E16" s="29">
        <v>448.18264399999998</v>
      </c>
      <c r="F16" s="30">
        <v>0.97262840054060395</v>
      </c>
      <c r="G16" s="29"/>
    </row>
    <row r="17" spans="1:7" x14ac:dyDescent="0.2">
      <c r="A17" s="27" t="s">
        <v>127</v>
      </c>
      <c r="B17" s="27" t="s">
        <v>126</v>
      </c>
      <c r="C17" s="27" t="s">
        <v>128</v>
      </c>
      <c r="D17" s="31">
        <v>190244</v>
      </c>
      <c r="E17" s="29">
        <v>432.99534399999999</v>
      </c>
      <c r="F17" s="30">
        <v>0.93966951758231898</v>
      </c>
      <c r="G17" s="29"/>
    </row>
    <row r="18" spans="1:7" x14ac:dyDescent="0.2">
      <c r="A18" s="27" t="s">
        <v>130</v>
      </c>
      <c r="B18" s="27" t="s">
        <v>129</v>
      </c>
      <c r="C18" s="27" t="s">
        <v>101</v>
      </c>
      <c r="D18" s="31">
        <v>11019</v>
      </c>
      <c r="E18" s="29">
        <v>417.2289255</v>
      </c>
      <c r="F18" s="30">
        <v>0.90545385436286496</v>
      </c>
      <c r="G18" s="29"/>
    </row>
    <row r="19" spans="1:7" x14ac:dyDescent="0.2">
      <c r="A19" s="27" t="s">
        <v>132</v>
      </c>
      <c r="B19" s="27" t="s">
        <v>131</v>
      </c>
      <c r="C19" s="27" t="s">
        <v>133</v>
      </c>
      <c r="D19" s="31">
        <v>156244</v>
      </c>
      <c r="E19" s="29">
        <v>416.54650400000003</v>
      </c>
      <c r="F19" s="30">
        <v>0.90397288998165704</v>
      </c>
      <c r="G19" s="29"/>
    </row>
    <row r="20" spans="1:7" x14ac:dyDescent="0.2">
      <c r="A20" s="27" t="s">
        <v>135</v>
      </c>
      <c r="B20" s="27" t="s">
        <v>134</v>
      </c>
      <c r="C20" s="27" t="s">
        <v>128</v>
      </c>
      <c r="D20" s="31">
        <v>118573</v>
      </c>
      <c r="E20" s="29">
        <v>415.77622450000001</v>
      </c>
      <c r="F20" s="30">
        <v>0.90230125961380603</v>
      </c>
      <c r="G20" s="29"/>
    </row>
    <row r="21" spans="1:7" x14ac:dyDescent="0.2">
      <c r="A21" s="27" t="s">
        <v>137</v>
      </c>
      <c r="B21" s="27" t="s">
        <v>136</v>
      </c>
      <c r="C21" s="27" t="s">
        <v>138</v>
      </c>
      <c r="D21" s="31">
        <v>8293</v>
      </c>
      <c r="E21" s="29">
        <v>390.10686650000002</v>
      </c>
      <c r="F21" s="30">
        <v>0.84659462539071895</v>
      </c>
      <c r="G21" s="29"/>
    </row>
    <row r="22" spans="1:7" x14ac:dyDescent="0.2">
      <c r="A22" s="27" t="s">
        <v>140</v>
      </c>
      <c r="B22" s="27" t="s">
        <v>139</v>
      </c>
      <c r="C22" s="27" t="s">
        <v>104</v>
      </c>
      <c r="D22" s="31">
        <v>88509</v>
      </c>
      <c r="E22" s="29">
        <v>377.09259450000002</v>
      </c>
      <c r="F22" s="30">
        <v>0.81835156259250696</v>
      </c>
      <c r="G22" s="29"/>
    </row>
    <row r="23" spans="1:7" x14ac:dyDescent="0.2">
      <c r="A23" s="27" t="s">
        <v>142</v>
      </c>
      <c r="B23" s="27" t="s">
        <v>141</v>
      </c>
      <c r="C23" s="27" t="s">
        <v>125</v>
      </c>
      <c r="D23" s="31">
        <v>12800</v>
      </c>
      <c r="E23" s="29">
        <v>348.6848</v>
      </c>
      <c r="F23" s="30">
        <v>0.75670208085260005</v>
      </c>
      <c r="G23" s="29"/>
    </row>
    <row r="24" spans="1:7" x14ac:dyDescent="0.2">
      <c r="A24" s="27" t="s">
        <v>144</v>
      </c>
      <c r="B24" s="27" t="s">
        <v>143</v>
      </c>
      <c r="C24" s="27" t="s">
        <v>145</v>
      </c>
      <c r="D24" s="31">
        <v>174166</v>
      </c>
      <c r="E24" s="29">
        <v>305.400081</v>
      </c>
      <c r="F24" s="30">
        <v>0.66276728089452897</v>
      </c>
      <c r="G24" s="29"/>
    </row>
    <row r="25" spans="1:7" x14ac:dyDescent="0.2">
      <c r="A25" s="27" t="s">
        <v>147</v>
      </c>
      <c r="B25" s="27" t="s">
        <v>146</v>
      </c>
      <c r="C25" s="27" t="s">
        <v>145</v>
      </c>
      <c r="D25" s="31">
        <v>217407</v>
      </c>
      <c r="E25" s="29">
        <v>252.0834165</v>
      </c>
      <c r="F25" s="30">
        <v>0.54706154617001601</v>
      </c>
      <c r="G25" s="29"/>
    </row>
    <row r="26" spans="1:7" x14ac:dyDescent="0.2">
      <c r="A26" s="27" t="s">
        <v>149</v>
      </c>
      <c r="B26" s="27" t="s">
        <v>148</v>
      </c>
      <c r="C26" s="27" t="s">
        <v>125</v>
      </c>
      <c r="D26" s="31">
        <v>15000</v>
      </c>
      <c r="E26" s="29">
        <v>221.25</v>
      </c>
      <c r="F26" s="30">
        <v>0.48014807467557502</v>
      </c>
      <c r="G26" s="29"/>
    </row>
    <row r="27" spans="1:7" x14ac:dyDescent="0.2">
      <c r="A27" s="27" t="s">
        <v>1060</v>
      </c>
      <c r="B27" s="27" t="s">
        <v>1061</v>
      </c>
      <c r="C27" s="27" t="s">
        <v>138</v>
      </c>
      <c r="D27" s="31">
        <v>7072</v>
      </c>
      <c r="E27" s="29">
        <v>219.649248</v>
      </c>
      <c r="F27" s="30">
        <v>0.476674185451471</v>
      </c>
      <c r="G27" s="29"/>
    </row>
    <row r="28" spans="1:7" x14ac:dyDescent="0.2">
      <c r="A28" s="27" t="s">
        <v>151</v>
      </c>
      <c r="B28" s="27" t="s">
        <v>150</v>
      </c>
      <c r="C28" s="27" t="s">
        <v>152</v>
      </c>
      <c r="D28" s="31">
        <v>26526</v>
      </c>
      <c r="E28" s="29">
        <v>210.430758</v>
      </c>
      <c r="F28" s="30">
        <v>0.45666857991512699</v>
      </c>
      <c r="G28" s="29"/>
    </row>
    <row r="29" spans="1:7" x14ac:dyDescent="0.2">
      <c r="A29" s="27" t="s">
        <v>154</v>
      </c>
      <c r="B29" s="27" t="s">
        <v>153</v>
      </c>
      <c r="C29" s="27" t="s">
        <v>133</v>
      </c>
      <c r="D29" s="31">
        <v>43000</v>
      </c>
      <c r="E29" s="29">
        <v>202.80950000000001</v>
      </c>
      <c r="F29" s="30">
        <v>0.44012922463690801</v>
      </c>
      <c r="G29" s="29"/>
    </row>
    <row r="30" spans="1:7" x14ac:dyDescent="0.2">
      <c r="A30" s="27" t="s">
        <v>156</v>
      </c>
      <c r="B30" s="27" t="s">
        <v>155</v>
      </c>
      <c r="C30" s="27" t="s">
        <v>152</v>
      </c>
      <c r="D30" s="31">
        <v>4923</v>
      </c>
      <c r="E30" s="29">
        <v>183.52205549999999</v>
      </c>
      <c r="F30" s="30">
        <v>0.39827236885346401</v>
      </c>
      <c r="G30" s="29"/>
    </row>
    <row r="31" spans="1:7" x14ac:dyDescent="0.2">
      <c r="A31" s="27" t="s">
        <v>158</v>
      </c>
      <c r="B31" s="27" t="s">
        <v>157</v>
      </c>
      <c r="C31" s="27" t="s">
        <v>159</v>
      </c>
      <c r="D31" s="31">
        <v>73613</v>
      </c>
      <c r="E31" s="29">
        <v>153.18865299999999</v>
      </c>
      <c r="F31" s="30">
        <v>0.33244400813602099</v>
      </c>
      <c r="G31" s="29"/>
    </row>
    <row r="32" spans="1:7" x14ac:dyDescent="0.2">
      <c r="A32" s="27" t="s">
        <v>161</v>
      </c>
      <c r="B32" s="27" t="s">
        <v>160</v>
      </c>
      <c r="C32" s="27" t="s">
        <v>104</v>
      </c>
      <c r="D32" s="31">
        <v>87200</v>
      </c>
      <c r="E32" s="29">
        <v>132.32599999999999</v>
      </c>
      <c r="F32" s="30">
        <v>0.28716869663059902</v>
      </c>
      <c r="G32" s="29"/>
    </row>
    <row r="33" spans="1:9" x14ac:dyDescent="0.2">
      <c r="A33" s="27" t="s">
        <v>163</v>
      </c>
      <c r="B33" s="27" t="s">
        <v>162</v>
      </c>
      <c r="C33" s="27" t="s">
        <v>138</v>
      </c>
      <c r="D33" s="31">
        <v>23760</v>
      </c>
      <c r="E33" s="29">
        <v>131.66604000000001</v>
      </c>
      <c r="F33" s="30">
        <v>0.28573647731596502</v>
      </c>
      <c r="G33" s="29"/>
    </row>
    <row r="34" spans="1:9" x14ac:dyDescent="0.2">
      <c r="A34" s="27" t="s">
        <v>165</v>
      </c>
      <c r="B34" s="27" t="s">
        <v>164</v>
      </c>
      <c r="C34" s="27" t="s">
        <v>152</v>
      </c>
      <c r="D34" s="31">
        <v>39940</v>
      </c>
      <c r="E34" s="29">
        <v>114.74762</v>
      </c>
      <c r="F34" s="30">
        <v>0.24902078561177199</v>
      </c>
      <c r="G34" s="29"/>
    </row>
    <row r="35" spans="1:9" x14ac:dyDescent="0.2">
      <c r="A35" s="26" t="s">
        <v>34</v>
      </c>
      <c r="B35" s="26"/>
      <c r="C35" s="26"/>
      <c r="D35" s="32"/>
      <c r="E35" s="33">
        <f>SUM(E7:E34)</f>
        <v>15317.193010499997</v>
      </c>
      <c r="F35" s="34">
        <f>SUM(F7:F34)</f>
        <v>33.24077167650055</v>
      </c>
      <c r="G35" s="33"/>
      <c r="H35" s="18"/>
      <c r="I35" s="18"/>
    </row>
    <row r="36" spans="1:9" x14ac:dyDescent="0.2">
      <c r="A36" s="27"/>
      <c r="B36" s="27"/>
      <c r="C36" s="27"/>
      <c r="D36" s="28"/>
      <c r="E36" s="29"/>
      <c r="F36" s="30"/>
      <c r="G36" s="29"/>
    </row>
    <row r="37" spans="1:9" x14ac:dyDescent="0.2">
      <c r="A37" s="26" t="s">
        <v>31</v>
      </c>
      <c r="B37" s="27"/>
      <c r="C37" s="27"/>
      <c r="D37" s="28"/>
      <c r="E37" s="29"/>
      <c r="F37" s="30"/>
      <c r="G37" s="29"/>
    </row>
    <row r="38" spans="1:9" x14ac:dyDescent="0.2">
      <c r="A38" s="26" t="s">
        <v>32</v>
      </c>
      <c r="B38" s="27"/>
      <c r="C38" s="27"/>
      <c r="D38" s="28"/>
      <c r="E38" s="29"/>
      <c r="F38" s="30"/>
      <c r="G38" s="29"/>
    </row>
    <row r="39" spans="1:9" x14ac:dyDescent="0.2">
      <c r="A39" s="27" t="s">
        <v>167</v>
      </c>
      <c r="B39" s="27" t="s">
        <v>166</v>
      </c>
      <c r="C39" s="27" t="s">
        <v>52</v>
      </c>
      <c r="D39" s="31">
        <v>200</v>
      </c>
      <c r="E39" s="29">
        <v>2073.7440000000001</v>
      </c>
      <c r="F39" s="30">
        <v>4.5003579162487002</v>
      </c>
      <c r="G39" s="29">
        <v>4.5599999999999996</v>
      </c>
    </row>
    <row r="40" spans="1:9" x14ac:dyDescent="0.2">
      <c r="A40" s="27" t="s">
        <v>1062</v>
      </c>
      <c r="B40" s="27" t="s">
        <v>1063</v>
      </c>
      <c r="C40" s="27" t="s">
        <v>52</v>
      </c>
      <c r="D40" s="31">
        <v>150</v>
      </c>
      <c r="E40" s="29">
        <v>1655.6279999999999</v>
      </c>
      <c r="F40" s="30">
        <v>3.5929789675885799</v>
      </c>
      <c r="G40" s="29">
        <v>5.15</v>
      </c>
    </row>
    <row r="41" spans="1:9" x14ac:dyDescent="0.2">
      <c r="A41" s="27" t="s">
        <v>94</v>
      </c>
      <c r="B41" s="27" t="s">
        <v>93</v>
      </c>
      <c r="C41" s="27" t="s">
        <v>33</v>
      </c>
      <c r="D41" s="31">
        <v>50</v>
      </c>
      <c r="E41" s="29">
        <v>507.72500000000002</v>
      </c>
      <c r="F41" s="30">
        <v>1.1018448868459001</v>
      </c>
      <c r="G41" s="29">
        <v>8.2271000000000001</v>
      </c>
    </row>
    <row r="42" spans="1:9" x14ac:dyDescent="0.2">
      <c r="A42" s="27" t="s">
        <v>939</v>
      </c>
      <c r="B42" s="27" t="s">
        <v>940</v>
      </c>
      <c r="C42" s="27" t="s">
        <v>52</v>
      </c>
      <c r="D42" s="31">
        <v>45</v>
      </c>
      <c r="E42" s="29">
        <v>495.71370000000002</v>
      </c>
      <c r="F42" s="30">
        <v>1.0757784345550501</v>
      </c>
      <c r="G42" s="29">
        <v>5.5523999999999996</v>
      </c>
    </row>
    <row r="43" spans="1:9" x14ac:dyDescent="0.2">
      <c r="A43" s="26" t="s">
        <v>34</v>
      </c>
      <c r="B43" s="26"/>
      <c r="C43" s="26"/>
      <c r="D43" s="32"/>
      <c r="E43" s="33">
        <f>SUM(E38:E42)</f>
        <v>4732.8107000000009</v>
      </c>
      <c r="F43" s="34">
        <f>SUM(F38:F42)</f>
        <v>10.270960205238229</v>
      </c>
      <c r="G43" s="33"/>
      <c r="H43" s="18"/>
      <c r="I43" s="18"/>
    </row>
    <row r="44" spans="1:9" x14ac:dyDescent="0.2">
      <c r="A44" s="27"/>
      <c r="B44" s="27"/>
      <c r="C44" s="27"/>
      <c r="D44" s="28"/>
      <c r="E44" s="29"/>
      <c r="F44" s="30"/>
      <c r="G44" s="29"/>
    </row>
    <row r="45" spans="1:9" x14ac:dyDescent="0.2">
      <c r="A45" s="26" t="s">
        <v>54</v>
      </c>
      <c r="B45" s="27"/>
      <c r="C45" s="27"/>
      <c r="D45" s="28"/>
      <c r="E45" s="29"/>
      <c r="F45" s="30"/>
      <c r="G45" s="29"/>
    </row>
    <row r="46" spans="1:9" x14ac:dyDescent="0.2">
      <c r="A46" s="26" t="s">
        <v>58</v>
      </c>
      <c r="B46" s="27"/>
      <c r="C46" s="27"/>
      <c r="D46" s="28"/>
      <c r="E46" s="29"/>
      <c r="F46" s="30"/>
      <c r="G46" s="29"/>
    </row>
    <row r="47" spans="1:9" x14ac:dyDescent="0.2">
      <c r="A47" s="27" t="s">
        <v>1064</v>
      </c>
      <c r="B47" s="27" t="s">
        <v>1065</v>
      </c>
      <c r="C47" s="27" t="s">
        <v>56</v>
      </c>
      <c r="D47" s="31">
        <v>400</v>
      </c>
      <c r="E47" s="29">
        <v>1980.3920000000001</v>
      </c>
      <c r="F47" s="30">
        <v>4.2977690662278496</v>
      </c>
      <c r="G47" s="29">
        <v>3.4748999999999999</v>
      </c>
    </row>
    <row r="48" spans="1:9" x14ac:dyDescent="0.2">
      <c r="A48" s="26" t="s">
        <v>34</v>
      </c>
      <c r="B48" s="26"/>
      <c r="C48" s="26"/>
      <c r="D48" s="32"/>
      <c r="E48" s="33">
        <f>SUM(E46:E47)</f>
        <v>1980.3920000000001</v>
      </c>
      <c r="F48" s="34">
        <f>SUM(F46:F47)</f>
        <v>4.2977690662278496</v>
      </c>
      <c r="G48" s="33"/>
      <c r="H48" s="18"/>
      <c r="I48" s="18"/>
    </row>
    <row r="49" spans="1:9" x14ac:dyDescent="0.2">
      <c r="A49" s="27"/>
      <c r="B49" s="27"/>
      <c r="C49" s="27"/>
      <c r="D49" s="28"/>
      <c r="E49" s="29"/>
      <c r="F49" s="30"/>
      <c r="G49" s="29"/>
    </row>
    <row r="50" spans="1:9" x14ac:dyDescent="0.2">
      <c r="A50" s="26" t="s">
        <v>64</v>
      </c>
      <c r="B50" s="27"/>
      <c r="C50" s="27"/>
      <c r="D50" s="28"/>
      <c r="E50" s="29"/>
      <c r="F50" s="30"/>
      <c r="G50" s="29"/>
    </row>
    <row r="51" spans="1:9" x14ac:dyDescent="0.2">
      <c r="A51" s="27" t="s">
        <v>80</v>
      </c>
      <c r="B51" s="27" t="s">
        <v>79</v>
      </c>
      <c r="C51" s="27" t="s">
        <v>65</v>
      </c>
      <c r="D51" s="31">
        <v>7000000</v>
      </c>
      <c r="E51" s="29">
        <v>6915.6080000000002</v>
      </c>
      <c r="F51" s="30">
        <v>15.0079813171119</v>
      </c>
      <c r="G51" s="29">
        <v>6.7744</v>
      </c>
    </row>
    <row r="52" spans="1:9" x14ac:dyDescent="0.2">
      <c r="A52" s="27" t="s">
        <v>84</v>
      </c>
      <c r="B52" s="27" t="s">
        <v>83</v>
      </c>
      <c r="C52" s="27" t="s">
        <v>65</v>
      </c>
      <c r="D52" s="31">
        <v>5500000</v>
      </c>
      <c r="E52" s="29">
        <v>5456.902</v>
      </c>
      <c r="F52" s="30">
        <v>11.842354752512099</v>
      </c>
      <c r="G52" s="29">
        <v>5.3592000000000004</v>
      </c>
    </row>
    <row r="53" spans="1:9" x14ac:dyDescent="0.2">
      <c r="A53" s="27" t="s">
        <v>82</v>
      </c>
      <c r="B53" s="27" t="s">
        <v>81</v>
      </c>
      <c r="C53" s="27" t="s">
        <v>65</v>
      </c>
      <c r="D53" s="31">
        <v>4815000</v>
      </c>
      <c r="E53" s="29">
        <v>5007.7348199999997</v>
      </c>
      <c r="F53" s="30">
        <v>10.867589750548399</v>
      </c>
      <c r="G53" s="29">
        <v>5.9497999999999998</v>
      </c>
    </row>
    <row r="54" spans="1:9" x14ac:dyDescent="0.2">
      <c r="A54" s="27" t="s">
        <v>88</v>
      </c>
      <c r="B54" s="27" t="s">
        <v>87</v>
      </c>
      <c r="C54" s="27" t="s">
        <v>65</v>
      </c>
      <c r="D54" s="31">
        <v>2600000</v>
      </c>
      <c r="E54" s="29">
        <v>2757.2948000000001</v>
      </c>
      <c r="F54" s="30">
        <v>5.9837730600360404</v>
      </c>
      <c r="G54" s="29">
        <v>5.7530999999999999</v>
      </c>
    </row>
    <row r="55" spans="1:9" x14ac:dyDescent="0.2">
      <c r="A55" s="27" t="s">
        <v>86</v>
      </c>
      <c r="B55" s="27" t="s">
        <v>85</v>
      </c>
      <c r="C55" s="27" t="s">
        <v>65</v>
      </c>
      <c r="D55" s="31">
        <v>1305000</v>
      </c>
      <c r="E55" s="29">
        <v>1378.699875</v>
      </c>
      <c r="F55" s="30">
        <v>2.99200040920545</v>
      </c>
      <c r="G55" s="29">
        <v>6.0827999999999998</v>
      </c>
    </row>
    <row r="56" spans="1:9" x14ac:dyDescent="0.2">
      <c r="A56" s="27" t="s">
        <v>169</v>
      </c>
      <c r="B56" s="27" t="s">
        <v>168</v>
      </c>
      <c r="C56" s="27" t="s">
        <v>65</v>
      </c>
      <c r="D56" s="31">
        <v>900000</v>
      </c>
      <c r="E56" s="29">
        <v>935.32680000000005</v>
      </c>
      <c r="F56" s="30">
        <v>2.0298095467230102</v>
      </c>
      <c r="G56" s="29">
        <v>4.8288000000000002</v>
      </c>
    </row>
    <row r="57" spans="1:9" x14ac:dyDescent="0.2">
      <c r="A57" s="27" t="s">
        <v>96</v>
      </c>
      <c r="B57" s="27" t="s">
        <v>95</v>
      </c>
      <c r="C57" s="27" t="s">
        <v>65</v>
      </c>
      <c r="D57" s="31">
        <v>200000</v>
      </c>
      <c r="E57" s="29">
        <v>212.99539999999999</v>
      </c>
      <c r="F57" s="30">
        <v>0.46223426542261697</v>
      </c>
      <c r="G57" s="29">
        <v>4.4425999999999997</v>
      </c>
    </row>
    <row r="58" spans="1:9" x14ac:dyDescent="0.2">
      <c r="A58" s="27" t="s">
        <v>90</v>
      </c>
      <c r="B58" s="27" t="s">
        <v>89</v>
      </c>
      <c r="C58" s="27" t="s">
        <v>65</v>
      </c>
      <c r="D58" s="31">
        <v>100000</v>
      </c>
      <c r="E58" s="29">
        <v>99.833799999999997</v>
      </c>
      <c r="F58" s="30">
        <v>0.216655398226198</v>
      </c>
      <c r="G58" s="29">
        <v>5.2664999999999997</v>
      </c>
    </row>
    <row r="59" spans="1:9" x14ac:dyDescent="0.2">
      <c r="A59" s="26" t="s">
        <v>34</v>
      </c>
      <c r="B59" s="26"/>
      <c r="C59" s="26"/>
      <c r="D59" s="32"/>
      <c r="E59" s="33">
        <f>SUM(E51:E58)</f>
        <v>22764.395494999997</v>
      </c>
      <c r="F59" s="34">
        <f>SUM(F51:F58)</f>
        <v>49.402398499785711</v>
      </c>
      <c r="G59" s="33"/>
      <c r="H59" s="18"/>
      <c r="I59" s="18"/>
    </row>
    <row r="60" spans="1:9" x14ac:dyDescent="0.2">
      <c r="A60" s="27"/>
      <c r="B60" s="27"/>
      <c r="C60" s="27"/>
      <c r="D60" s="28"/>
      <c r="E60" s="29"/>
      <c r="F60" s="30"/>
      <c r="G60" s="29"/>
    </row>
    <row r="61" spans="1:9" x14ac:dyDescent="0.2">
      <c r="A61" s="26" t="s">
        <v>36</v>
      </c>
      <c r="B61" s="26"/>
      <c r="C61" s="26"/>
      <c r="D61" s="32"/>
      <c r="E61" s="33">
        <f>E35+E43+E48+E59</f>
        <v>44794.791205499991</v>
      </c>
      <c r="F61" s="34">
        <f>F35+F43+F48+F59</f>
        <v>97.211899447752344</v>
      </c>
      <c r="G61" s="33"/>
      <c r="H61" s="18"/>
      <c r="I61" s="18"/>
    </row>
    <row r="62" spans="1:9" x14ac:dyDescent="0.2">
      <c r="A62" s="26"/>
      <c r="B62" s="26"/>
      <c r="C62" s="26"/>
      <c r="D62" s="32"/>
      <c r="E62" s="33"/>
      <c r="F62" s="34"/>
      <c r="G62" s="33"/>
      <c r="H62" s="18"/>
      <c r="I62" s="18"/>
    </row>
    <row r="63" spans="1:9" x14ac:dyDescent="0.2">
      <c r="A63" s="26" t="s">
        <v>38</v>
      </c>
      <c r="B63" s="26"/>
      <c r="C63" s="26"/>
      <c r="D63" s="32"/>
      <c r="E63" s="33">
        <f>E65-(E35+E43+E48+E59)</f>
        <v>1284.7437691000086</v>
      </c>
      <c r="F63" s="34">
        <f>F65-(F35+F43+F48+F59)</f>
        <v>2.7881005522476556</v>
      </c>
      <c r="G63" s="33"/>
      <c r="H63" s="18"/>
      <c r="I63" s="18"/>
    </row>
    <row r="64" spans="1:9" x14ac:dyDescent="0.2">
      <c r="A64" s="26"/>
      <c r="B64" s="26"/>
      <c r="C64" s="26"/>
      <c r="D64" s="32"/>
      <c r="E64" s="33"/>
      <c r="F64" s="34"/>
      <c r="G64" s="33"/>
      <c r="H64" s="18"/>
      <c r="I64" s="18"/>
    </row>
    <row r="65" spans="1:9" x14ac:dyDescent="0.2">
      <c r="A65" s="35" t="s">
        <v>37</v>
      </c>
      <c r="B65" s="35"/>
      <c r="C65" s="35"/>
      <c r="D65" s="36"/>
      <c r="E65" s="37">
        <v>46079.534974599999</v>
      </c>
      <c r="F65" s="38">
        <v>100</v>
      </c>
      <c r="G65" s="37"/>
      <c r="H65" s="18"/>
      <c r="I65" s="18"/>
    </row>
    <row r="67" spans="1:9" x14ac:dyDescent="0.2">
      <c r="A67" s="18" t="s">
        <v>66</v>
      </c>
    </row>
    <row r="68" spans="1:9" x14ac:dyDescent="0.2">
      <c r="A68" s="18" t="s">
        <v>39</v>
      </c>
    </row>
    <row r="70" spans="1:9" x14ac:dyDescent="0.2">
      <c r="A70" s="18" t="s">
        <v>40</v>
      </c>
    </row>
    <row r="71" spans="1:9" x14ac:dyDescent="0.2">
      <c r="A71" s="18" t="s">
        <v>41</v>
      </c>
    </row>
    <row r="72" spans="1:9" x14ac:dyDescent="0.2">
      <c r="A72" s="18" t="s">
        <v>42</v>
      </c>
      <c r="B72" s="18"/>
      <c r="C72" s="39" t="s">
        <v>44</v>
      </c>
      <c r="D72" s="19" t="s">
        <v>43</v>
      </c>
    </row>
    <row r="73" spans="1:9" x14ac:dyDescent="0.2">
      <c r="A73" s="9" t="s">
        <v>71</v>
      </c>
      <c r="C73" s="40">
        <v>148.19280000000001</v>
      </c>
      <c r="D73" s="40">
        <v>158.2567</v>
      </c>
    </row>
    <row r="74" spans="1:9" x14ac:dyDescent="0.2">
      <c r="A74" s="9" t="s">
        <v>77</v>
      </c>
      <c r="C74" s="40">
        <v>17.0047</v>
      </c>
      <c r="D74" s="40">
        <v>18.159500000000001</v>
      </c>
    </row>
    <row r="75" spans="1:9" x14ac:dyDescent="0.2">
      <c r="A75" s="9" t="s">
        <v>74</v>
      </c>
      <c r="C75" s="40">
        <v>157.0059</v>
      </c>
      <c r="D75" s="40">
        <v>168.32329999999999</v>
      </c>
    </row>
    <row r="76" spans="1:9" x14ac:dyDescent="0.2">
      <c r="A76" s="9" t="s">
        <v>78</v>
      </c>
      <c r="C76" s="40">
        <v>18.3443</v>
      </c>
      <c r="D76" s="40">
        <v>19.663</v>
      </c>
    </row>
    <row r="78" spans="1:9" x14ac:dyDescent="0.2">
      <c r="A78" s="9" t="s">
        <v>45</v>
      </c>
    </row>
    <row r="80" spans="1:9" x14ac:dyDescent="0.2">
      <c r="A80" s="18" t="s">
        <v>46</v>
      </c>
      <c r="D80" s="41" t="s">
        <v>47</v>
      </c>
    </row>
    <row r="82" spans="1:5" x14ac:dyDescent="0.2">
      <c r="A82" s="18" t="s">
        <v>805</v>
      </c>
      <c r="D82" s="42">
        <v>6.0494724721869098</v>
      </c>
      <c r="E82" s="13" t="s">
        <v>48</v>
      </c>
    </row>
    <row r="84" spans="1:5" x14ac:dyDescent="0.2">
      <c r="A84" s="18" t="s">
        <v>49</v>
      </c>
      <c r="D84" s="41" t="s">
        <v>47</v>
      </c>
    </row>
    <row r="86" spans="1:5" x14ac:dyDescent="0.2">
      <c r="A86" s="18" t="s">
        <v>70</v>
      </c>
    </row>
    <row r="87" spans="1:5" x14ac:dyDescent="0.2">
      <c r="A87" s="46" t="s">
        <v>51</v>
      </c>
    </row>
    <row r="89" spans="1:5" x14ac:dyDescent="0.2">
      <c r="A89" s="46"/>
    </row>
  </sheetData>
  <mergeCells count="1">
    <mergeCell ref="A1:G1"/>
  </mergeCells>
  <conditionalFormatting sqref="F2:F3 F5:F65536">
    <cfRule type="cellIs" dxfId="57" priority="1" stopIfTrue="1" operator="between">
      <formula>0.009</formula>
      <formula>-0.009</formula>
    </cfRule>
  </conditionalFormatting>
  <hyperlinks>
    <hyperlink ref="A87" r:id="rId1" tooltip="https://www.franklintempletonindia.com/downloadsServlet/pdf/product-labels-jg9o5k7l"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3"/>
  <sheetViews>
    <sheetView workbookViewId="0">
      <selection sqref="A1:G1"/>
    </sheetView>
  </sheetViews>
  <sheetFormatPr defaultColWidth="9.109375" defaultRowHeight="10.199999999999999" x14ac:dyDescent="0.2"/>
  <cols>
    <col min="1" max="1" width="40.5546875" style="9" bestFit="1" customWidth="1"/>
    <col min="2" max="2" width="51" style="9" bestFit="1" customWidth="1"/>
    <col min="3" max="3" width="25.10937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1066</v>
      </c>
      <c r="B1" s="70"/>
      <c r="C1" s="70"/>
      <c r="D1" s="70"/>
      <c r="E1" s="70"/>
      <c r="F1" s="70"/>
      <c r="G1" s="70"/>
    </row>
    <row r="2" spans="1:7" s="1" customFormat="1" ht="12" x14ac:dyDescent="0.25">
      <c r="A2" s="58" t="s">
        <v>1067</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98</v>
      </c>
      <c r="B5" s="22"/>
      <c r="C5" s="22"/>
      <c r="D5" s="23"/>
      <c r="E5" s="24"/>
      <c r="F5" s="25"/>
      <c r="G5" s="24"/>
    </row>
    <row r="6" spans="1:7" x14ac:dyDescent="0.2">
      <c r="A6" s="26" t="s">
        <v>32</v>
      </c>
      <c r="B6" s="27"/>
      <c r="C6" s="27"/>
      <c r="D6" s="28"/>
      <c r="E6" s="29"/>
      <c r="F6" s="30"/>
      <c r="G6" s="29"/>
    </row>
    <row r="7" spans="1:7" x14ac:dyDescent="0.2">
      <c r="A7" s="27" t="s">
        <v>100</v>
      </c>
      <c r="B7" s="27" t="s">
        <v>99</v>
      </c>
      <c r="C7" s="27" t="s">
        <v>101</v>
      </c>
      <c r="D7" s="31">
        <v>34838</v>
      </c>
      <c r="E7" s="29">
        <v>594.49305100000004</v>
      </c>
      <c r="F7" s="30">
        <v>2.8800022706414499</v>
      </c>
      <c r="G7" s="29"/>
    </row>
    <row r="8" spans="1:7" x14ac:dyDescent="0.2">
      <c r="A8" s="27" t="s">
        <v>106</v>
      </c>
      <c r="B8" s="27" t="s">
        <v>105</v>
      </c>
      <c r="C8" s="27" t="s">
        <v>104</v>
      </c>
      <c r="D8" s="31">
        <v>70488</v>
      </c>
      <c r="E8" s="29">
        <v>554.38811999999996</v>
      </c>
      <c r="F8" s="30">
        <v>2.6857152354109601</v>
      </c>
      <c r="G8" s="29"/>
    </row>
    <row r="9" spans="1:7" x14ac:dyDescent="0.2">
      <c r="A9" s="27" t="s">
        <v>108</v>
      </c>
      <c r="B9" s="27" t="s">
        <v>107</v>
      </c>
      <c r="C9" s="27" t="s">
        <v>104</v>
      </c>
      <c r="D9" s="31">
        <v>45874</v>
      </c>
      <c r="E9" s="29">
        <v>329.85699699999998</v>
      </c>
      <c r="F9" s="30">
        <v>1.59798150499655</v>
      </c>
      <c r="G9" s="29"/>
    </row>
    <row r="10" spans="1:7" x14ac:dyDescent="0.2">
      <c r="A10" s="27" t="s">
        <v>103</v>
      </c>
      <c r="B10" s="27" t="s">
        <v>102</v>
      </c>
      <c r="C10" s="27" t="s">
        <v>104</v>
      </c>
      <c r="D10" s="31">
        <v>18986</v>
      </c>
      <c r="E10" s="29">
        <v>300.24460399999998</v>
      </c>
      <c r="F10" s="30">
        <v>1.45452522920717</v>
      </c>
      <c r="G10" s="29"/>
    </row>
    <row r="11" spans="1:7" x14ac:dyDescent="0.2">
      <c r="A11" s="27" t="s">
        <v>110</v>
      </c>
      <c r="B11" s="27" t="s">
        <v>109</v>
      </c>
      <c r="C11" s="27" t="s">
        <v>111</v>
      </c>
      <c r="D11" s="31">
        <v>36903</v>
      </c>
      <c r="E11" s="29">
        <v>245.0543715</v>
      </c>
      <c r="F11" s="30">
        <v>1.1871579409775399</v>
      </c>
      <c r="G11" s="29"/>
    </row>
    <row r="12" spans="1:7" x14ac:dyDescent="0.2">
      <c r="A12" s="27" t="s">
        <v>119</v>
      </c>
      <c r="B12" s="27" t="s">
        <v>118</v>
      </c>
      <c r="C12" s="27" t="s">
        <v>120</v>
      </c>
      <c r="D12" s="31">
        <v>24500</v>
      </c>
      <c r="E12" s="29">
        <v>243.98325</v>
      </c>
      <c r="F12" s="30">
        <v>1.1819689276712499</v>
      </c>
      <c r="G12" s="29"/>
    </row>
    <row r="13" spans="1:7" x14ac:dyDescent="0.2">
      <c r="A13" s="27" t="s">
        <v>144</v>
      </c>
      <c r="B13" s="27" t="s">
        <v>143</v>
      </c>
      <c r="C13" s="27" t="s">
        <v>145</v>
      </c>
      <c r="D13" s="31">
        <v>138568</v>
      </c>
      <c r="E13" s="29">
        <v>242.97898799999999</v>
      </c>
      <c r="F13" s="30">
        <v>1.1771038130404701</v>
      </c>
      <c r="G13" s="29"/>
    </row>
    <row r="14" spans="1:7" x14ac:dyDescent="0.2">
      <c r="A14" s="27" t="s">
        <v>171</v>
      </c>
      <c r="B14" s="27" t="s">
        <v>170</v>
      </c>
      <c r="C14" s="27" t="s">
        <v>125</v>
      </c>
      <c r="D14" s="31">
        <v>33697</v>
      </c>
      <c r="E14" s="29">
        <v>208.76976350000001</v>
      </c>
      <c r="F14" s="30">
        <v>1.0113783363992199</v>
      </c>
      <c r="G14" s="29"/>
    </row>
    <row r="15" spans="1:7" x14ac:dyDescent="0.2">
      <c r="A15" s="27" t="s">
        <v>137</v>
      </c>
      <c r="B15" s="27" t="s">
        <v>136</v>
      </c>
      <c r="C15" s="27" t="s">
        <v>138</v>
      </c>
      <c r="D15" s="31">
        <v>4300</v>
      </c>
      <c r="E15" s="29">
        <v>202.27414999999999</v>
      </c>
      <c r="F15" s="30">
        <v>0.97991054783930498</v>
      </c>
      <c r="G15" s="29"/>
    </row>
    <row r="16" spans="1:7" x14ac:dyDescent="0.2">
      <c r="A16" s="27" t="s">
        <v>135</v>
      </c>
      <c r="B16" s="27" t="s">
        <v>134</v>
      </c>
      <c r="C16" s="27" t="s">
        <v>128</v>
      </c>
      <c r="D16" s="31">
        <v>55586</v>
      </c>
      <c r="E16" s="29">
        <v>194.91230899999999</v>
      </c>
      <c r="F16" s="30">
        <v>0.944246348299147</v>
      </c>
      <c r="G16" s="29"/>
    </row>
    <row r="17" spans="1:9" x14ac:dyDescent="0.2">
      <c r="A17" s="27" t="s">
        <v>116</v>
      </c>
      <c r="B17" s="27" t="s">
        <v>115</v>
      </c>
      <c r="C17" s="27" t="s">
        <v>117</v>
      </c>
      <c r="D17" s="31">
        <v>41457</v>
      </c>
      <c r="E17" s="29">
        <v>194.14313100000001</v>
      </c>
      <c r="F17" s="30">
        <v>0.94052009046854501</v>
      </c>
      <c r="G17" s="29"/>
    </row>
    <row r="18" spans="1:9" x14ac:dyDescent="0.2">
      <c r="A18" s="27" t="s">
        <v>113</v>
      </c>
      <c r="B18" s="27" t="s">
        <v>112</v>
      </c>
      <c r="C18" s="27" t="s">
        <v>114</v>
      </c>
      <c r="D18" s="31">
        <v>7500</v>
      </c>
      <c r="E18" s="29">
        <v>172.11750000000001</v>
      </c>
      <c r="F18" s="30">
        <v>0.83381763669619502</v>
      </c>
      <c r="G18" s="29"/>
    </row>
    <row r="19" spans="1:9" x14ac:dyDescent="0.2">
      <c r="A19" s="27" t="s">
        <v>124</v>
      </c>
      <c r="B19" s="27" t="s">
        <v>123</v>
      </c>
      <c r="C19" s="27" t="s">
        <v>125</v>
      </c>
      <c r="D19" s="31">
        <v>9526</v>
      </c>
      <c r="E19" s="29">
        <v>161.30375799999999</v>
      </c>
      <c r="F19" s="30">
        <v>0.78143081491292199</v>
      </c>
      <c r="G19" s="29"/>
    </row>
    <row r="20" spans="1:9" x14ac:dyDescent="0.2">
      <c r="A20" s="27" t="s">
        <v>149</v>
      </c>
      <c r="B20" s="27" t="s">
        <v>148</v>
      </c>
      <c r="C20" s="27" t="s">
        <v>125</v>
      </c>
      <c r="D20" s="31">
        <v>10000</v>
      </c>
      <c r="E20" s="29">
        <v>147.5</v>
      </c>
      <c r="F20" s="30">
        <v>0.71455895776250899</v>
      </c>
      <c r="G20" s="29"/>
    </row>
    <row r="21" spans="1:9" x14ac:dyDescent="0.2">
      <c r="A21" s="27" t="s">
        <v>154</v>
      </c>
      <c r="B21" s="27" t="s">
        <v>153</v>
      </c>
      <c r="C21" s="27" t="s">
        <v>133</v>
      </c>
      <c r="D21" s="31">
        <v>30000</v>
      </c>
      <c r="E21" s="29">
        <v>141.495</v>
      </c>
      <c r="F21" s="30">
        <v>0.68546793036343201</v>
      </c>
      <c r="G21" s="29"/>
    </row>
    <row r="22" spans="1:9" x14ac:dyDescent="0.2">
      <c r="A22" s="27" t="s">
        <v>140</v>
      </c>
      <c r="B22" s="27" t="s">
        <v>139</v>
      </c>
      <c r="C22" s="27" t="s">
        <v>104</v>
      </c>
      <c r="D22" s="31">
        <v>29755</v>
      </c>
      <c r="E22" s="29">
        <v>126.77117749999999</v>
      </c>
      <c r="F22" s="30">
        <v>0.61413885063543106</v>
      </c>
      <c r="G22" s="29"/>
    </row>
    <row r="23" spans="1:9" x14ac:dyDescent="0.2">
      <c r="A23" s="27" t="s">
        <v>122</v>
      </c>
      <c r="B23" s="27" t="s">
        <v>121</v>
      </c>
      <c r="C23" s="27" t="s">
        <v>104</v>
      </c>
      <c r="D23" s="31">
        <v>5409</v>
      </c>
      <c r="E23" s="29">
        <v>94.857633000000007</v>
      </c>
      <c r="F23" s="30">
        <v>0.45953472116812599</v>
      </c>
      <c r="G23" s="29"/>
    </row>
    <row r="24" spans="1:9" x14ac:dyDescent="0.2">
      <c r="A24" s="27" t="s">
        <v>158</v>
      </c>
      <c r="B24" s="27" t="s">
        <v>157</v>
      </c>
      <c r="C24" s="27" t="s">
        <v>159</v>
      </c>
      <c r="D24" s="31">
        <v>39500</v>
      </c>
      <c r="E24" s="29">
        <v>82.1995</v>
      </c>
      <c r="F24" s="30">
        <v>0.39821280710914803</v>
      </c>
      <c r="G24" s="29"/>
    </row>
    <row r="25" spans="1:9" x14ac:dyDescent="0.2">
      <c r="A25" s="27" t="s">
        <v>151</v>
      </c>
      <c r="B25" s="27" t="s">
        <v>150</v>
      </c>
      <c r="C25" s="27" t="s">
        <v>152</v>
      </c>
      <c r="D25" s="31">
        <v>8641</v>
      </c>
      <c r="E25" s="29">
        <v>68.549053000000001</v>
      </c>
      <c r="F25" s="30">
        <v>0.33208366011719997</v>
      </c>
      <c r="G25" s="29"/>
    </row>
    <row r="26" spans="1:9" x14ac:dyDescent="0.2">
      <c r="A26" s="27" t="s">
        <v>165</v>
      </c>
      <c r="B26" s="27" t="s">
        <v>164</v>
      </c>
      <c r="C26" s="27" t="s">
        <v>152</v>
      </c>
      <c r="D26" s="31">
        <v>20000</v>
      </c>
      <c r="E26" s="29">
        <v>57.46</v>
      </c>
      <c r="F26" s="30">
        <v>0.27836310313921198</v>
      </c>
      <c r="G26" s="29"/>
    </row>
    <row r="27" spans="1:9" x14ac:dyDescent="0.2">
      <c r="A27" s="27" t="s">
        <v>173</v>
      </c>
      <c r="B27" s="27" t="s">
        <v>172</v>
      </c>
      <c r="C27" s="27" t="s">
        <v>174</v>
      </c>
      <c r="D27" s="31">
        <v>3254</v>
      </c>
      <c r="E27" s="29">
        <v>48.823016000000003</v>
      </c>
      <c r="F27" s="30">
        <v>0.23652151476462599</v>
      </c>
      <c r="G27" s="29"/>
    </row>
    <row r="28" spans="1:9" x14ac:dyDescent="0.2">
      <c r="A28" s="27" t="s">
        <v>163</v>
      </c>
      <c r="B28" s="27" t="s">
        <v>162</v>
      </c>
      <c r="C28" s="27" t="s">
        <v>138</v>
      </c>
      <c r="D28" s="31">
        <v>7700</v>
      </c>
      <c r="E28" s="29">
        <v>42.669550000000001</v>
      </c>
      <c r="F28" s="30">
        <v>0.206711248652171</v>
      </c>
      <c r="G28" s="29"/>
    </row>
    <row r="29" spans="1:9" x14ac:dyDescent="0.2">
      <c r="A29" s="27" t="s">
        <v>176</v>
      </c>
      <c r="B29" s="27" t="s">
        <v>175</v>
      </c>
      <c r="C29" s="27" t="s">
        <v>177</v>
      </c>
      <c r="D29" s="31">
        <v>581</v>
      </c>
      <c r="E29" s="29">
        <v>0.84738849999999999</v>
      </c>
      <c r="F29" s="30">
        <v>4.1051460568131302E-3</v>
      </c>
      <c r="G29" s="29"/>
    </row>
    <row r="30" spans="1:9" x14ac:dyDescent="0.2">
      <c r="A30" s="26" t="s">
        <v>34</v>
      </c>
      <c r="B30" s="26"/>
      <c r="C30" s="26"/>
      <c r="D30" s="32"/>
      <c r="E30" s="33">
        <f>SUM(E7:E29)</f>
        <v>4455.6923109999989</v>
      </c>
      <c r="F30" s="34">
        <f>SUM(F7:F29)</f>
        <v>21.58545663632939</v>
      </c>
      <c r="G30" s="33"/>
      <c r="H30" s="18"/>
      <c r="I30" s="18"/>
    </row>
    <row r="31" spans="1:9" x14ac:dyDescent="0.2">
      <c r="A31" s="27"/>
      <c r="B31" s="27"/>
      <c r="C31" s="27"/>
      <c r="D31" s="28"/>
      <c r="E31" s="29"/>
      <c r="F31" s="30"/>
      <c r="G31" s="29"/>
    </row>
    <row r="32" spans="1:9" x14ac:dyDescent="0.2">
      <c r="A32" s="26" t="s">
        <v>178</v>
      </c>
      <c r="B32" s="27"/>
      <c r="C32" s="27"/>
      <c r="D32" s="28"/>
      <c r="E32" s="29"/>
      <c r="F32" s="30"/>
      <c r="G32" s="29"/>
    </row>
    <row r="33" spans="1:9" x14ac:dyDescent="0.2">
      <c r="A33" s="27" t="s">
        <v>180</v>
      </c>
      <c r="B33" s="27" t="s">
        <v>179</v>
      </c>
      <c r="C33" s="27" t="s">
        <v>368</v>
      </c>
      <c r="D33" s="31">
        <v>178600</v>
      </c>
      <c r="E33" s="29">
        <v>638.67359999999996</v>
      </c>
      <c r="F33" s="30">
        <v>3.0940335048571499</v>
      </c>
      <c r="G33" s="29"/>
    </row>
    <row r="34" spans="1:9" x14ac:dyDescent="0.2">
      <c r="A34" s="26" t="s">
        <v>34</v>
      </c>
      <c r="B34" s="26"/>
      <c r="C34" s="26"/>
      <c r="D34" s="32"/>
      <c r="E34" s="33">
        <f>SUM(E32:E33)</f>
        <v>638.67359999999996</v>
      </c>
      <c r="F34" s="34">
        <f>SUM(F32:F33)</f>
        <v>3.0940335048571499</v>
      </c>
      <c r="G34" s="33"/>
      <c r="H34" s="18"/>
      <c r="I34" s="18"/>
    </row>
    <row r="35" spans="1:9" x14ac:dyDescent="0.2">
      <c r="A35" s="27"/>
      <c r="B35" s="27"/>
      <c r="C35" s="27"/>
      <c r="D35" s="28"/>
      <c r="E35" s="29"/>
      <c r="F35" s="30"/>
      <c r="G35" s="29"/>
    </row>
    <row r="36" spans="1:9" x14ac:dyDescent="0.2">
      <c r="A36" s="26" t="s">
        <v>1068</v>
      </c>
      <c r="B36" s="27"/>
      <c r="C36" s="27"/>
      <c r="D36" s="28"/>
      <c r="E36" s="29"/>
      <c r="F36" s="30"/>
      <c r="G36" s="29"/>
    </row>
    <row r="37" spans="1:9" x14ac:dyDescent="0.2">
      <c r="A37" s="27" t="s">
        <v>182</v>
      </c>
      <c r="B37" s="27" t="s">
        <v>181</v>
      </c>
      <c r="C37" s="27" t="s">
        <v>145</v>
      </c>
      <c r="D37" s="31">
        <v>80300</v>
      </c>
      <c r="E37" s="29">
        <v>97.476169999999996</v>
      </c>
      <c r="F37" s="30">
        <v>0.47222013858902501</v>
      </c>
      <c r="G37" s="29"/>
    </row>
    <row r="38" spans="1:9" x14ac:dyDescent="0.2">
      <c r="A38" s="26" t="s">
        <v>34</v>
      </c>
      <c r="B38" s="26"/>
      <c r="C38" s="26"/>
      <c r="D38" s="32"/>
      <c r="E38" s="33">
        <f>SUM(E36:E37)</f>
        <v>97.476169999999996</v>
      </c>
      <c r="F38" s="34">
        <f>SUM(F36:F37)</f>
        <v>0.47222013858902501</v>
      </c>
      <c r="G38" s="33"/>
      <c r="H38" s="18"/>
      <c r="I38" s="18"/>
    </row>
    <row r="39" spans="1:9" x14ac:dyDescent="0.2">
      <c r="A39" s="27"/>
      <c r="B39" s="27"/>
      <c r="C39" s="27"/>
      <c r="D39" s="28"/>
      <c r="E39" s="29"/>
      <c r="F39" s="30"/>
      <c r="G39" s="29"/>
    </row>
    <row r="40" spans="1:9" x14ac:dyDescent="0.2">
      <c r="A40" s="26" t="s">
        <v>31</v>
      </c>
      <c r="B40" s="27"/>
      <c r="C40" s="27"/>
      <c r="D40" s="28"/>
      <c r="E40" s="29"/>
      <c r="F40" s="30"/>
      <c r="G40" s="29"/>
    </row>
    <row r="41" spans="1:9" x14ac:dyDescent="0.2">
      <c r="A41" s="26" t="s">
        <v>32</v>
      </c>
      <c r="B41" s="27"/>
      <c r="C41" s="27"/>
      <c r="D41" s="28"/>
      <c r="E41" s="29"/>
      <c r="F41" s="30"/>
      <c r="G41" s="29"/>
    </row>
    <row r="42" spans="1:9" x14ac:dyDescent="0.2">
      <c r="A42" s="27" t="s">
        <v>167</v>
      </c>
      <c r="B42" s="27" t="s">
        <v>166</v>
      </c>
      <c r="C42" s="27" t="s">
        <v>52</v>
      </c>
      <c r="D42" s="31">
        <v>100</v>
      </c>
      <c r="E42" s="29">
        <v>1036.8720000000001</v>
      </c>
      <c r="F42" s="30">
        <v>5.0230927162923997</v>
      </c>
      <c r="G42" s="29">
        <v>4.5599999999999996</v>
      </c>
    </row>
    <row r="43" spans="1:9" x14ac:dyDescent="0.2">
      <c r="A43" s="27" t="s">
        <v>1069</v>
      </c>
      <c r="B43" s="27" t="s">
        <v>1070</v>
      </c>
      <c r="C43" s="27" t="s">
        <v>52</v>
      </c>
      <c r="D43" s="31">
        <v>100</v>
      </c>
      <c r="E43" s="29">
        <v>1001.504</v>
      </c>
      <c r="F43" s="30">
        <v>4.8517535893897197</v>
      </c>
      <c r="G43" s="29">
        <v>4.5175000000000001</v>
      </c>
    </row>
    <row r="44" spans="1:9" x14ac:dyDescent="0.2">
      <c r="A44" s="27" t="s">
        <v>939</v>
      </c>
      <c r="B44" s="27" t="s">
        <v>940</v>
      </c>
      <c r="C44" s="27" t="s">
        <v>52</v>
      </c>
      <c r="D44" s="31">
        <v>50</v>
      </c>
      <c r="E44" s="29">
        <v>550.79300000000001</v>
      </c>
      <c r="F44" s="30">
        <v>2.6682987933755</v>
      </c>
      <c r="G44" s="29">
        <v>5.5523999999999996</v>
      </c>
    </row>
    <row r="45" spans="1:9" x14ac:dyDescent="0.2">
      <c r="A45" s="26" t="s">
        <v>34</v>
      </c>
      <c r="B45" s="26"/>
      <c r="C45" s="26"/>
      <c r="D45" s="32"/>
      <c r="E45" s="33">
        <f>SUM(E41:E44)</f>
        <v>2589.1690000000003</v>
      </c>
      <c r="F45" s="34">
        <f>SUM(F41:F44)</f>
        <v>12.54314509905762</v>
      </c>
      <c r="G45" s="33"/>
      <c r="H45" s="18"/>
      <c r="I45" s="18"/>
    </row>
    <row r="46" spans="1:9" x14ac:dyDescent="0.2">
      <c r="A46" s="27"/>
      <c r="B46" s="27"/>
      <c r="C46" s="27"/>
      <c r="D46" s="28"/>
      <c r="E46" s="29"/>
      <c r="F46" s="30"/>
      <c r="G46" s="29"/>
    </row>
    <row r="47" spans="1:9" x14ac:dyDescent="0.2">
      <c r="A47" s="26" t="s">
        <v>54</v>
      </c>
      <c r="B47" s="27"/>
      <c r="C47" s="27"/>
      <c r="D47" s="28"/>
      <c r="E47" s="29"/>
      <c r="F47" s="30"/>
      <c r="G47" s="29"/>
    </row>
    <row r="48" spans="1:9" x14ac:dyDescent="0.2">
      <c r="A48" s="26" t="s">
        <v>55</v>
      </c>
      <c r="B48" s="27"/>
      <c r="C48" s="27"/>
      <c r="D48" s="28"/>
      <c r="E48" s="29"/>
      <c r="F48" s="30"/>
      <c r="G48" s="29"/>
    </row>
    <row r="49" spans="1:9" x14ac:dyDescent="0.2">
      <c r="A49" s="27" t="s">
        <v>184</v>
      </c>
      <c r="B49" s="27" t="s">
        <v>183</v>
      </c>
      <c r="C49" s="27" t="s">
        <v>57</v>
      </c>
      <c r="D49" s="31">
        <v>500</v>
      </c>
      <c r="E49" s="29">
        <v>491.9015</v>
      </c>
      <c r="F49" s="30">
        <v>2.38300083499536</v>
      </c>
      <c r="G49" s="29">
        <v>3.5350000000000001</v>
      </c>
    </row>
    <row r="50" spans="1:9" x14ac:dyDescent="0.2">
      <c r="A50" s="26" t="s">
        <v>34</v>
      </c>
      <c r="B50" s="26"/>
      <c r="C50" s="26"/>
      <c r="D50" s="32"/>
      <c r="E50" s="33">
        <f>SUM(E48:E49)</f>
        <v>491.9015</v>
      </c>
      <c r="F50" s="34">
        <f>SUM(F48:F49)</f>
        <v>2.38300083499536</v>
      </c>
      <c r="G50" s="33"/>
      <c r="H50" s="18"/>
      <c r="I50" s="18"/>
    </row>
    <row r="51" spans="1:9" x14ac:dyDescent="0.2">
      <c r="A51" s="27"/>
      <c r="B51" s="27"/>
      <c r="C51" s="27"/>
      <c r="D51" s="28"/>
      <c r="E51" s="29"/>
      <c r="F51" s="30"/>
      <c r="G51" s="29"/>
    </row>
    <row r="52" spans="1:9" x14ac:dyDescent="0.2">
      <c r="A52" s="26" t="s">
        <v>58</v>
      </c>
      <c r="B52" s="27"/>
      <c r="C52" s="27"/>
      <c r="D52" s="28"/>
      <c r="E52" s="29"/>
      <c r="F52" s="30"/>
      <c r="G52" s="29"/>
    </row>
    <row r="53" spans="1:9" x14ac:dyDescent="0.2">
      <c r="A53" s="27" t="s">
        <v>1064</v>
      </c>
      <c r="B53" s="27" t="s">
        <v>1065</v>
      </c>
      <c r="C53" s="27" t="s">
        <v>56</v>
      </c>
      <c r="D53" s="31">
        <v>100</v>
      </c>
      <c r="E53" s="29">
        <v>495.09800000000001</v>
      </c>
      <c r="F53" s="30">
        <v>2.3984861753918798</v>
      </c>
      <c r="G53" s="29">
        <v>3.4748999999999999</v>
      </c>
    </row>
    <row r="54" spans="1:9" x14ac:dyDescent="0.2">
      <c r="A54" s="26" t="s">
        <v>34</v>
      </c>
      <c r="B54" s="26"/>
      <c r="C54" s="26"/>
      <c r="D54" s="32"/>
      <c r="E54" s="33">
        <f>SUM(E52:E53)</f>
        <v>495.09800000000001</v>
      </c>
      <c r="F54" s="34">
        <f>SUM(F52:F53)</f>
        <v>2.3984861753918798</v>
      </c>
      <c r="G54" s="33"/>
      <c r="H54" s="18"/>
      <c r="I54" s="18"/>
    </row>
    <row r="55" spans="1:9" x14ac:dyDescent="0.2">
      <c r="A55" s="27"/>
      <c r="B55" s="27"/>
      <c r="C55" s="27"/>
      <c r="D55" s="28"/>
      <c r="E55" s="29"/>
      <c r="F55" s="30"/>
      <c r="G55" s="29"/>
    </row>
    <row r="56" spans="1:9" x14ac:dyDescent="0.2">
      <c r="A56" s="26" t="s">
        <v>64</v>
      </c>
      <c r="B56" s="27"/>
      <c r="C56" s="27"/>
      <c r="D56" s="28"/>
      <c r="E56" s="29"/>
      <c r="F56" s="30"/>
      <c r="G56" s="29"/>
    </row>
    <row r="57" spans="1:9" x14ac:dyDescent="0.2">
      <c r="A57" s="27" t="s">
        <v>84</v>
      </c>
      <c r="B57" s="27" t="s">
        <v>83</v>
      </c>
      <c r="C57" s="27" t="s">
        <v>65</v>
      </c>
      <c r="D57" s="31">
        <v>3500000</v>
      </c>
      <c r="E57" s="29">
        <v>3472.5740000000001</v>
      </c>
      <c r="F57" s="30">
        <v>16.822771919953802</v>
      </c>
      <c r="G57" s="29">
        <v>5.3592000000000004</v>
      </c>
    </row>
    <row r="58" spans="1:9" x14ac:dyDescent="0.2">
      <c r="A58" s="27" t="s">
        <v>86</v>
      </c>
      <c r="B58" s="27" t="s">
        <v>85</v>
      </c>
      <c r="C58" s="27" t="s">
        <v>65</v>
      </c>
      <c r="D58" s="31">
        <v>2100000</v>
      </c>
      <c r="E58" s="29">
        <v>2218.5974999999999</v>
      </c>
      <c r="F58" s="30">
        <v>10.747923507081399</v>
      </c>
      <c r="G58" s="29">
        <v>6.0827999999999998</v>
      </c>
    </row>
    <row r="59" spans="1:9" x14ac:dyDescent="0.2">
      <c r="A59" s="27" t="s">
        <v>82</v>
      </c>
      <c r="B59" s="27" t="s">
        <v>81</v>
      </c>
      <c r="C59" s="27" t="s">
        <v>65</v>
      </c>
      <c r="D59" s="31">
        <v>1695000</v>
      </c>
      <c r="E59" s="29">
        <v>1762.84746</v>
      </c>
      <c r="F59" s="30">
        <v>8.54005724550432</v>
      </c>
      <c r="G59" s="29">
        <v>5.9497999999999998</v>
      </c>
    </row>
    <row r="60" spans="1:9" x14ac:dyDescent="0.2">
      <c r="A60" s="27" t="s">
        <v>80</v>
      </c>
      <c r="B60" s="27" t="s">
        <v>79</v>
      </c>
      <c r="C60" s="27" t="s">
        <v>65</v>
      </c>
      <c r="D60" s="31">
        <v>1500000</v>
      </c>
      <c r="E60" s="29">
        <v>1481.9159999999999</v>
      </c>
      <c r="F60" s="30">
        <v>7.1790939149260096</v>
      </c>
      <c r="G60" s="29">
        <v>6.7744</v>
      </c>
    </row>
    <row r="61" spans="1:9" x14ac:dyDescent="0.2">
      <c r="A61" s="27" t="s">
        <v>169</v>
      </c>
      <c r="B61" s="27" t="s">
        <v>168</v>
      </c>
      <c r="C61" s="27" t="s">
        <v>65</v>
      </c>
      <c r="D61" s="31">
        <v>800000</v>
      </c>
      <c r="E61" s="29">
        <v>831.40160000000003</v>
      </c>
      <c r="F61" s="30">
        <v>4.0276980391734396</v>
      </c>
      <c r="G61" s="29">
        <v>4.8288000000000002</v>
      </c>
    </row>
    <row r="62" spans="1:9" x14ac:dyDescent="0.2">
      <c r="A62" s="27" t="s">
        <v>90</v>
      </c>
      <c r="B62" s="27" t="s">
        <v>89</v>
      </c>
      <c r="C62" s="27" t="s">
        <v>65</v>
      </c>
      <c r="D62" s="31">
        <v>600000</v>
      </c>
      <c r="E62" s="29">
        <v>599.00279999999998</v>
      </c>
      <c r="F62" s="30">
        <v>2.9018496031513599</v>
      </c>
      <c r="G62" s="29">
        <v>5.2664999999999997</v>
      </c>
    </row>
    <row r="63" spans="1:9" x14ac:dyDescent="0.2">
      <c r="A63" s="27" t="s">
        <v>96</v>
      </c>
      <c r="B63" s="27" t="s">
        <v>95</v>
      </c>
      <c r="C63" s="27" t="s">
        <v>65</v>
      </c>
      <c r="D63" s="31">
        <v>200000</v>
      </c>
      <c r="E63" s="29">
        <v>212.99539999999999</v>
      </c>
      <c r="F63" s="30">
        <v>1.03184929513362</v>
      </c>
      <c r="G63" s="29">
        <v>4.4425999999999997</v>
      </c>
    </row>
    <row r="64" spans="1:9" x14ac:dyDescent="0.2">
      <c r="A64" s="26" t="s">
        <v>34</v>
      </c>
      <c r="B64" s="26"/>
      <c r="C64" s="26"/>
      <c r="D64" s="32"/>
      <c r="E64" s="33">
        <f>SUM(E57:E63)</f>
        <v>10579.33476</v>
      </c>
      <c r="F64" s="34">
        <f>SUM(F57:F63)</f>
        <v>51.251243524923943</v>
      </c>
      <c r="G64" s="33"/>
      <c r="H64" s="18"/>
      <c r="I64" s="18"/>
    </row>
    <row r="65" spans="1:9" x14ac:dyDescent="0.2">
      <c r="A65" s="27"/>
      <c r="B65" s="27"/>
      <c r="C65" s="27"/>
      <c r="D65" s="28"/>
      <c r="E65" s="29"/>
      <c r="F65" s="30"/>
      <c r="G65" s="29"/>
    </row>
    <row r="66" spans="1:9" x14ac:dyDescent="0.2">
      <c r="A66" s="26" t="s">
        <v>36</v>
      </c>
      <c r="B66" s="26"/>
      <c r="C66" s="26"/>
      <c r="D66" s="32"/>
      <c r="E66" s="33">
        <f>E30+E34+E38+E45+E50+E54+E64</f>
        <v>19347.345341</v>
      </c>
      <c r="F66" s="34">
        <f>F30+F34+F38+F45+F50+F54+F64</f>
        <v>93.72758591414437</v>
      </c>
      <c r="G66" s="33"/>
      <c r="H66" s="18"/>
      <c r="I66" s="18"/>
    </row>
    <row r="67" spans="1:9" x14ac:dyDescent="0.2">
      <c r="A67" s="26"/>
      <c r="B67" s="26"/>
      <c r="C67" s="26"/>
      <c r="D67" s="32"/>
      <c r="E67" s="33"/>
      <c r="F67" s="34"/>
      <c r="G67" s="33"/>
      <c r="H67" s="18"/>
      <c r="I67" s="18"/>
    </row>
    <row r="68" spans="1:9" x14ac:dyDescent="0.2">
      <c r="A68" s="26" t="s">
        <v>38</v>
      </c>
      <c r="B68" s="26"/>
      <c r="C68" s="26"/>
      <c r="D68" s="32"/>
      <c r="E68" s="33">
        <f>E70-(E30+E34+E38+E45+E50+E54+E64)</f>
        <v>1294.7582107999988</v>
      </c>
      <c r="F68" s="34">
        <f>F70-(F30+F34+F38+F45+F50+F54+F64)</f>
        <v>6.2724140858556297</v>
      </c>
      <c r="G68" s="33"/>
      <c r="H68" s="18"/>
      <c r="I68" s="18"/>
    </row>
    <row r="69" spans="1:9" x14ac:dyDescent="0.2">
      <c r="A69" s="26"/>
      <c r="B69" s="26"/>
      <c r="C69" s="26"/>
      <c r="D69" s="32"/>
      <c r="E69" s="33"/>
      <c r="F69" s="34"/>
      <c r="G69" s="33"/>
      <c r="H69" s="18"/>
      <c r="I69" s="18"/>
    </row>
    <row r="70" spans="1:9" x14ac:dyDescent="0.2">
      <c r="A70" s="35" t="s">
        <v>37</v>
      </c>
      <c r="B70" s="35"/>
      <c r="C70" s="35"/>
      <c r="D70" s="36"/>
      <c r="E70" s="37">
        <v>20642.103551799999</v>
      </c>
      <c r="F70" s="38">
        <v>100</v>
      </c>
      <c r="G70" s="37"/>
      <c r="H70" s="18"/>
      <c r="I70" s="18"/>
    </row>
    <row r="71" spans="1:9" x14ac:dyDescent="0.2">
      <c r="F71" s="20" t="s">
        <v>513</v>
      </c>
    </row>
    <row r="72" spans="1:9" x14ac:dyDescent="0.2">
      <c r="A72" s="18" t="s">
        <v>66</v>
      </c>
    </row>
    <row r="73" spans="1:9" x14ac:dyDescent="0.2">
      <c r="A73" s="18" t="s">
        <v>39</v>
      </c>
    </row>
    <row r="75" spans="1:9" x14ac:dyDescent="0.2">
      <c r="A75" s="18" t="s">
        <v>40</v>
      </c>
    </row>
    <row r="76" spans="1:9" x14ac:dyDescent="0.2">
      <c r="A76" s="18" t="s">
        <v>41</v>
      </c>
    </row>
    <row r="77" spans="1:9" x14ac:dyDescent="0.2">
      <c r="A77" s="18" t="s">
        <v>42</v>
      </c>
      <c r="B77" s="18"/>
      <c r="C77" s="39" t="s">
        <v>44</v>
      </c>
      <c r="D77" s="19" t="s">
        <v>43</v>
      </c>
    </row>
    <row r="78" spans="1:9" x14ac:dyDescent="0.2">
      <c r="A78" s="9" t="s">
        <v>71</v>
      </c>
      <c r="C78" s="40">
        <v>63.633699999999997</v>
      </c>
      <c r="D78" s="40">
        <v>67.2607</v>
      </c>
    </row>
    <row r="79" spans="1:9" x14ac:dyDescent="0.2">
      <c r="A79" s="9" t="s">
        <v>72</v>
      </c>
      <c r="C79" s="40">
        <v>13.1432</v>
      </c>
      <c r="D79" s="40">
        <v>13.3683</v>
      </c>
    </row>
    <row r="80" spans="1:9" x14ac:dyDescent="0.2">
      <c r="A80" s="9" t="s">
        <v>73</v>
      </c>
      <c r="C80" s="40">
        <v>12.6151</v>
      </c>
      <c r="D80" s="40">
        <v>12.795199999999999</v>
      </c>
    </row>
    <row r="81" spans="1:5" x14ac:dyDescent="0.2">
      <c r="A81" s="9" t="s">
        <v>74</v>
      </c>
      <c r="C81" s="40">
        <v>67.662099999999995</v>
      </c>
      <c r="D81" s="40">
        <v>71.777199999999993</v>
      </c>
    </row>
    <row r="82" spans="1:5" x14ac:dyDescent="0.2">
      <c r="A82" s="9" t="s">
        <v>75</v>
      </c>
      <c r="C82" s="40">
        <v>14.2468</v>
      </c>
      <c r="D82" s="40">
        <v>14.580500000000001</v>
      </c>
    </row>
    <row r="83" spans="1:5" x14ac:dyDescent="0.2">
      <c r="A83" s="9" t="s">
        <v>76</v>
      </c>
      <c r="C83" s="40">
        <v>13.680199999999999</v>
      </c>
      <c r="D83" s="40">
        <v>13.9659</v>
      </c>
    </row>
    <row r="85" spans="1:5" x14ac:dyDescent="0.2">
      <c r="A85" s="18" t="s">
        <v>46</v>
      </c>
    </row>
    <row r="86" spans="1:5" x14ac:dyDescent="0.2">
      <c r="A86" s="71" t="s">
        <v>67</v>
      </c>
      <c r="B86" s="72"/>
      <c r="C86" s="43" t="s">
        <v>68</v>
      </c>
    </row>
    <row r="87" spans="1:5" x14ac:dyDescent="0.2">
      <c r="A87" s="67" t="s">
        <v>72</v>
      </c>
      <c r="B87" s="68"/>
      <c r="C87" s="44">
        <v>0.51</v>
      </c>
    </row>
    <row r="88" spans="1:5" x14ac:dyDescent="0.2">
      <c r="A88" s="67" t="s">
        <v>73</v>
      </c>
      <c r="B88" s="68"/>
      <c r="C88" s="44">
        <v>0.52</v>
      </c>
    </row>
    <row r="89" spans="1:5" x14ac:dyDescent="0.2">
      <c r="A89" s="67" t="s">
        <v>75</v>
      </c>
      <c r="B89" s="68"/>
      <c r="C89" s="44">
        <v>0.51</v>
      </c>
    </row>
    <row r="90" spans="1:5" x14ac:dyDescent="0.2">
      <c r="A90" s="67" t="s">
        <v>76</v>
      </c>
      <c r="B90" s="68"/>
      <c r="C90" s="44">
        <v>0.52</v>
      </c>
    </row>
    <row r="91" spans="1:5" x14ac:dyDescent="0.2">
      <c r="A91" s="9" t="s">
        <v>69</v>
      </c>
    </row>
    <row r="92" spans="1:5" x14ac:dyDescent="0.2">
      <c r="A92" s="9" t="s">
        <v>45</v>
      </c>
    </row>
    <row r="94" spans="1:5" x14ac:dyDescent="0.2">
      <c r="A94" s="18" t="s">
        <v>805</v>
      </c>
      <c r="D94" s="42">
        <v>4.5772494431320201</v>
      </c>
      <c r="E94" s="13" t="s">
        <v>48</v>
      </c>
    </row>
    <row r="96" spans="1:5" x14ac:dyDescent="0.2">
      <c r="A96" s="18" t="s">
        <v>49</v>
      </c>
      <c r="D96" s="41" t="s">
        <v>47</v>
      </c>
    </row>
    <row r="98" spans="1:7" ht="24" customHeight="1" x14ac:dyDescent="0.2">
      <c r="A98" s="73" t="s">
        <v>1071</v>
      </c>
      <c r="B98" s="73"/>
      <c r="C98" s="73"/>
      <c r="D98" s="73"/>
      <c r="E98" s="73"/>
      <c r="F98" s="73"/>
      <c r="G98" s="73"/>
    </row>
    <row r="100" spans="1:7" x14ac:dyDescent="0.2">
      <c r="A100" s="18" t="s">
        <v>50</v>
      </c>
    </row>
    <row r="101" spans="1:7" x14ac:dyDescent="0.2">
      <c r="A101" s="46" t="s">
        <v>51</v>
      </c>
    </row>
    <row r="103" spans="1:7" x14ac:dyDescent="0.2">
      <c r="A103" s="46"/>
    </row>
  </sheetData>
  <mergeCells count="7">
    <mergeCell ref="A98:G98"/>
    <mergeCell ref="A1:G1"/>
    <mergeCell ref="A86:B86"/>
    <mergeCell ref="A87:B87"/>
    <mergeCell ref="A88:B88"/>
    <mergeCell ref="A89:B89"/>
    <mergeCell ref="A90:B90"/>
  </mergeCells>
  <conditionalFormatting sqref="F2:F3 F5:F70 F99:F65494 F72:F97">
    <cfRule type="cellIs" dxfId="56" priority="2" stopIfTrue="1" operator="between">
      <formula>0.009</formula>
      <formula>-0.009</formula>
    </cfRule>
  </conditionalFormatting>
  <conditionalFormatting sqref="F71">
    <cfRule type="cellIs" dxfId="55" priority="1" stopIfTrue="1" operator="between">
      <formula>0.009</formula>
      <formula>-0.009</formula>
    </cfRule>
  </conditionalFormatting>
  <hyperlinks>
    <hyperlink ref="A101" r:id="rId1" tooltip="https://www.franklintempletonindia.com/downloadsServlet/pdf/product-labels-jg9o5k7l"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35"/>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69" t="s">
        <v>1072</v>
      </c>
      <c r="B1" s="70"/>
      <c r="C1" s="70"/>
      <c r="D1" s="70"/>
      <c r="E1" s="70"/>
      <c r="F1" s="70"/>
      <c r="G1" s="70"/>
    </row>
    <row r="2" spans="1:9" s="1" customFormat="1" ht="12" x14ac:dyDescent="0.25">
      <c r="A2" s="58" t="s">
        <v>1067</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1073</v>
      </c>
      <c r="B7" s="27" t="s">
        <v>1074</v>
      </c>
      <c r="C7" s="27" t="s">
        <v>1075</v>
      </c>
      <c r="D7" s="31">
        <v>875</v>
      </c>
      <c r="E7" s="29">
        <v>8684.3924999999999</v>
      </c>
      <c r="F7" s="30">
        <v>27.565948091446401</v>
      </c>
      <c r="G7" s="29">
        <v>13.3954</v>
      </c>
    </row>
    <row r="8" spans="1:9" x14ac:dyDescent="0.2">
      <c r="A8" s="27" t="s">
        <v>1076</v>
      </c>
      <c r="B8" s="27" t="s">
        <v>1077</v>
      </c>
      <c r="C8" s="27" t="s">
        <v>1078</v>
      </c>
      <c r="D8" s="31">
        <v>3884</v>
      </c>
      <c r="E8" s="29">
        <v>8311.8299119999992</v>
      </c>
      <c r="F8" s="30">
        <v>26.383362094599399</v>
      </c>
      <c r="G8" s="29">
        <v>9.0098000000000003</v>
      </c>
    </row>
    <row r="9" spans="1:9" x14ac:dyDescent="0.2">
      <c r="A9" s="27" t="s">
        <v>1079</v>
      </c>
      <c r="B9" s="27" t="s">
        <v>1080</v>
      </c>
      <c r="C9" s="27" t="s">
        <v>33</v>
      </c>
      <c r="D9" s="31">
        <v>450</v>
      </c>
      <c r="E9" s="29">
        <v>4433.8995000000004</v>
      </c>
      <c r="F9" s="30">
        <v>14.074057967749599</v>
      </c>
      <c r="G9" s="29">
        <v>9.9896999999999991</v>
      </c>
    </row>
    <row r="10" spans="1:9" x14ac:dyDescent="0.2">
      <c r="A10" s="27" t="s">
        <v>1081</v>
      </c>
      <c r="B10" s="27" t="s">
        <v>1082</v>
      </c>
      <c r="C10" s="27" t="s">
        <v>1078</v>
      </c>
      <c r="D10" s="31">
        <v>268</v>
      </c>
      <c r="E10" s="29">
        <v>2724.2789600000001</v>
      </c>
      <c r="F10" s="30">
        <v>8.6473904073289596</v>
      </c>
      <c r="G10" s="29">
        <v>9.01</v>
      </c>
    </row>
    <row r="11" spans="1:9" x14ac:dyDescent="0.2">
      <c r="A11" s="27" t="s">
        <v>1083</v>
      </c>
      <c r="B11" s="27" t="s">
        <v>1084</v>
      </c>
      <c r="C11" s="27" t="s">
        <v>1085</v>
      </c>
      <c r="D11" s="31">
        <v>450</v>
      </c>
      <c r="E11" s="29">
        <v>2620.3409999999999</v>
      </c>
      <c r="F11" s="30">
        <v>8.3174711400813308</v>
      </c>
      <c r="G11" s="29">
        <v>22.0794</v>
      </c>
    </row>
    <row r="12" spans="1:9" x14ac:dyDescent="0.2">
      <c r="A12" s="27" t="s">
        <v>1086</v>
      </c>
      <c r="B12" s="27" t="s">
        <v>1087</v>
      </c>
      <c r="C12" s="27" t="s">
        <v>33</v>
      </c>
      <c r="D12" s="31">
        <v>199</v>
      </c>
      <c r="E12" s="29">
        <v>2066.90753</v>
      </c>
      <c r="F12" s="30">
        <v>6.5607658430684301</v>
      </c>
      <c r="G12" s="29">
        <v>10.0649</v>
      </c>
    </row>
    <row r="13" spans="1:9" x14ac:dyDescent="0.2">
      <c r="A13" s="27" t="s">
        <v>1088</v>
      </c>
      <c r="B13" s="27" t="s">
        <v>1084</v>
      </c>
      <c r="C13" s="27" t="s">
        <v>1085</v>
      </c>
      <c r="D13" s="31">
        <v>250</v>
      </c>
      <c r="E13" s="29">
        <v>1455.7449999999999</v>
      </c>
      <c r="F13" s="30">
        <v>4.6208173000451804</v>
      </c>
      <c r="G13" s="29">
        <v>22.0794</v>
      </c>
    </row>
    <row r="14" spans="1:9" x14ac:dyDescent="0.2">
      <c r="A14" s="27" t="s">
        <v>1089</v>
      </c>
      <c r="B14" s="27" t="s">
        <v>1090</v>
      </c>
      <c r="C14" s="27" t="s">
        <v>1078</v>
      </c>
      <c r="D14" s="31">
        <v>160</v>
      </c>
      <c r="E14" s="29">
        <v>805.20799999999997</v>
      </c>
      <c r="F14" s="30">
        <v>2.5558865436836702</v>
      </c>
      <c r="G14" s="29">
        <v>7.7878999999999996</v>
      </c>
    </row>
    <row r="15" spans="1:9" x14ac:dyDescent="0.2">
      <c r="A15" s="26" t="s">
        <v>34</v>
      </c>
      <c r="B15" s="26"/>
      <c r="C15" s="26"/>
      <c r="D15" s="32"/>
      <c r="E15" s="33">
        <f>SUM(E6:E14)</f>
        <v>31102.602401999997</v>
      </c>
      <c r="F15" s="34">
        <f>SUM(F6:F14)</f>
        <v>98.725699388002951</v>
      </c>
      <c r="G15" s="33"/>
      <c r="H15" s="18"/>
      <c r="I15" s="18"/>
    </row>
    <row r="16" spans="1:9" x14ac:dyDescent="0.2">
      <c r="A16" s="27"/>
      <c r="B16" s="27"/>
      <c r="C16" s="27"/>
      <c r="D16" s="28"/>
      <c r="E16" s="29"/>
      <c r="F16" s="30"/>
      <c r="G16" s="29"/>
    </row>
    <row r="17" spans="1:9" x14ac:dyDescent="0.2">
      <c r="A17" s="26" t="s">
        <v>1051</v>
      </c>
      <c r="B17" s="27"/>
      <c r="C17" s="27"/>
      <c r="D17" s="28"/>
      <c r="E17" s="29"/>
      <c r="F17" s="30"/>
      <c r="G17" s="29"/>
    </row>
    <row r="18" spans="1:9" x14ac:dyDescent="0.2">
      <c r="A18" s="27" t="s">
        <v>1091</v>
      </c>
      <c r="B18" s="27" t="s">
        <v>1092</v>
      </c>
      <c r="C18" s="27" t="s">
        <v>1093</v>
      </c>
      <c r="D18" s="31">
        <v>600</v>
      </c>
      <c r="E18" s="29">
        <v>0</v>
      </c>
      <c r="F18" s="29">
        <v>0</v>
      </c>
      <c r="G18" s="29">
        <v>0</v>
      </c>
    </row>
    <row r="19" spans="1:9" x14ac:dyDescent="0.2">
      <c r="A19" s="27" t="s">
        <v>1094</v>
      </c>
      <c r="B19" s="27" t="s">
        <v>1095</v>
      </c>
      <c r="C19" s="27" t="s">
        <v>1093</v>
      </c>
      <c r="D19" s="31">
        <v>250</v>
      </c>
      <c r="E19" s="29">
        <v>0</v>
      </c>
      <c r="F19" s="29">
        <v>0</v>
      </c>
      <c r="G19" s="29">
        <v>0</v>
      </c>
    </row>
    <row r="20" spans="1:9" x14ac:dyDescent="0.2">
      <c r="A20" s="27" t="s">
        <v>1096</v>
      </c>
      <c r="B20" s="27" t="s">
        <v>1097</v>
      </c>
      <c r="C20" s="27" t="s">
        <v>1093</v>
      </c>
      <c r="D20" s="31">
        <v>250</v>
      </c>
      <c r="E20" s="29">
        <v>0</v>
      </c>
      <c r="F20" s="29">
        <v>0</v>
      </c>
      <c r="G20" s="29">
        <v>0</v>
      </c>
    </row>
    <row r="21" spans="1:9" x14ac:dyDescent="0.2">
      <c r="A21" s="26" t="s">
        <v>34</v>
      </c>
      <c r="B21" s="26"/>
      <c r="C21" s="26"/>
      <c r="D21" s="32"/>
      <c r="E21" s="33">
        <f>SUM(E17:E20)</f>
        <v>0</v>
      </c>
      <c r="F21" s="33">
        <v>0</v>
      </c>
      <c r="G21" s="33"/>
      <c r="H21" s="18"/>
      <c r="I21" s="18"/>
    </row>
    <row r="22" spans="1:9" x14ac:dyDescent="0.2">
      <c r="A22" s="27"/>
      <c r="B22" s="27"/>
      <c r="C22" s="27"/>
      <c r="D22" s="28"/>
      <c r="E22" s="29"/>
      <c r="F22" s="30"/>
      <c r="G22" s="29"/>
    </row>
    <row r="23" spans="1:9" x14ac:dyDescent="0.2">
      <c r="A23" s="26" t="s">
        <v>35</v>
      </c>
      <c r="B23" s="27"/>
      <c r="C23" s="27"/>
      <c r="D23" s="28"/>
      <c r="E23" s="29"/>
      <c r="F23" s="30"/>
      <c r="G23" s="29"/>
    </row>
    <row r="24" spans="1:9" x14ac:dyDescent="0.2">
      <c r="A24" s="27" t="s">
        <v>1098</v>
      </c>
      <c r="B24" s="27" t="s">
        <v>1099</v>
      </c>
      <c r="C24" s="27" t="s">
        <v>1100</v>
      </c>
      <c r="D24" s="31">
        <v>1278752.2080000001</v>
      </c>
      <c r="E24" s="29">
        <v>43426.54135</v>
      </c>
      <c r="F24" s="30">
        <v>137.84427461623301</v>
      </c>
      <c r="G24" s="29">
        <v>3.0154000000000001</v>
      </c>
    </row>
    <row r="25" spans="1:9" x14ac:dyDescent="0.2">
      <c r="A25" s="26" t="s">
        <v>34</v>
      </c>
      <c r="B25" s="26"/>
      <c r="C25" s="26"/>
      <c r="D25" s="32"/>
      <c r="E25" s="33">
        <f>SUM(E24:E24)</f>
        <v>43426.54135</v>
      </c>
      <c r="F25" s="34">
        <f>SUM(F24:F24)</f>
        <v>137.84427461623301</v>
      </c>
      <c r="G25" s="33"/>
      <c r="H25" s="18"/>
      <c r="I25" s="18"/>
    </row>
    <row r="26" spans="1:9" x14ac:dyDescent="0.2">
      <c r="A26" s="27"/>
      <c r="B26" s="27"/>
      <c r="C26" s="27"/>
      <c r="D26" s="28"/>
      <c r="E26" s="29"/>
      <c r="F26" s="30"/>
      <c r="G26" s="29"/>
    </row>
    <row r="27" spans="1:9" x14ac:dyDescent="0.2">
      <c r="A27" s="26" t="s">
        <v>36</v>
      </c>
      <c r="B27" s="26"/>
      <c r="C27" s="26"/>
      <c r="D27" s="32"/>
      <c r="E27" s="33">
        <f>E15+E21+E25</f>
        <v>74529.143752000004</v>
      </c>
      <c r="F27" s="34">
        <f>F15+F21+F25</f>
        <v>236.56997400423597</v>
      </c>
      <c r="G27" s="33"/>
      <c r="H27" s="18"/>
      <c r="I27" s="18"/>
    </row>
    <row r="28" spans="1:9" x14ac:dyDescent="0.2">
      <c r="A28" s="26"/>
      <c r="B28" s="26"/>
      <c r="C28" s="26"/>
      <c r="D28" s="32"/>
      <c r="E28" s="33"/>
      <c r="F28" s="34"/>
      <c r="G28" s="33"/>
      <c r="H28" s="18"/>
      <c r="I28" s="18"/>
    </row>
    <row r="29" spans="1:9" x14ac:dyDescent="0.2">
      <c r="A29" s="26" t="s">
        <v>38</v>
      </c>
      <c r="B29" s="26"/>
      <c r="C29" s="26"/>
      <c r="D29" s="32"/>
      <c r="E29" s="33">
        <f>E31-(E15+E21+E25)</f>
        <v>-43025.084935700004</v>
      </c>
      <c r="F29" s="34">
        <f>F31-(F15+F21+F25)</f>
        <v>-136.56997400423597</v>
      </c>
      <c r="G29" s="33"/>
      <c r="H29" s="18"/>
      <c r="I29" s="18"/>
    </row>
    <row r="30" spans="1:9" x14ac:dyDescent="0.2">
      <c r="A30" s="26"/>
      <c r="B30" s="26"/>
      <c r="C30" s="26"/>
      <c r="D30" s="32"/>
      <c r="E30" s="33"/>
      <c r="F30" s="34"/>
      <c r="G30" s="33"/>
      <c r="H30" s="18"/>
      <c r="I30" s="18"/>
    </row>
    <row r="31" spans="1:9" x14ac:dyDescent="0.2">
      <c r="A31" s="35" t="s">
        <v>37</v>
      </c>
      <c r="B31" s="35"/>
      <c r="C31" s="35"/>
      <c r="D31" s="36"/>
      <c r="E31" s="37">
        <v>31504.058816299999</v>
      </c>
      <c r="F31" s="38">
        <v>100</v>
      </c>
      <c r="G31" s="37"/>
      <c r="H31" s="18"/>
      <c r="I31" s="18"/>
    </row>
    <row r="33" spans="1:5" x14ac:dyDescent="0.2">
      <c r="A33" s="18" t="s">
        <v>39</v>
      </c>
    </row>
    <row r="34" spans="1:5" x14ac:dyDescent="0.2">
      <c r="A34" s="53" t="s">
        <v>1101</v>
      </c>
    </row>
    <row r="36" spans="1:5" x14ac:dyDescent="0.2">
      <c r="A36" s="18" t="s">
        <v>40</v>
      </c>
    </row>
    <row r="37" spans="1:5" x14ac:dyDescent="0.2">
      <c r="A37" s="18" t="s">
        <v>41</v>
      </c>
    </row>
    <row r="38" spans="1:5" x14ac:dyDescent="0.2">
      <c r="A38" s="18" t="s">
        <v>42</v>
      </c>
      <c r="B38" s="18"/>
      <c r="C38" s="39" t="s">
        <v>44</v>
      </c>
      <c r="D38" s="19" t="s">
        <v>43</v>
      </c>
    </row>
    <row r="39" spans="1:5" x14ac:dyDescent="0.2">
      <c r="A39" s="9" t="s">
        <v>71</v>
      </c>
      <c r="C39" s="40">
        <v>69.442499999999995</v>
      </c>
      <c r="D39" s="40">
        <v>72.390299999999996</v>
      </c>
    </row>
    <row r="40" spans="1:5" x14ac:dyDescent="0.2">
      <c r="A40" s="9" t="s">
        <v>77</v>
      </c>
      <c r="C40" s="40">
        <v>11.478</v>
      </c>
      <c r="D40" s="40">
        <v>11.965299999999999</v>
      </c>
    </row>
    <row r="41" spans="1:5" x14ac:dyDescent="0.2">
      <c r="A41" s="9" t="s">
        <v>74</v>
      </c>
      <c r="C41" s="40">
        <v>74.209900000000005</v>
      </c>
      <c r="D41" s="40">
        <v>77.383499999999998</v>
      </c>
    </row>
    <row r="42" spans="1:5" x14ac:dyDescent="0.2">
      <c r="A42" s="9" t="s">
        <v>78</v>
      </c>
      <c r="C42" s="40">
        <v>12.5078</v>
      </c>
      <c r="D42" s="40">
        <v>13.0427</v>
      </c>
    </row>
    <row r="44" spans="1:5" x14ac:dyDescent="0.2">
      <c r="A44" s="9" t="s">
        <v>45</v>
      </c>
    </row>
    <row r="46" spans="1:5" x14ac:dyDescent="0.2">
      <c r="A46" s="18" t="s">
        <v>46</v>
      </c>
      <c r="D46" s="41" t="s">
        <v>47</v>
      </c>
    </row>
    <row r="48" spans="1:5" x14ac:dyDescent="0.2">
      <c r="A48" s="18" t="s">
        <v>805</v>
      </c>
      <c r="D48" s="42">
        <v>3.0830003816712299</v>
      </c>
      <c r="E48" s="13" t="s">
        <v>48</v>
      </c>
    </row>
    <row r="50" spans="1:7" x14ac:dyDescent="0.2">
      <c r="A50" s="18" t="s">
        <v>49</v>
      </c>
      <c r="D50" s="41" t="s">
        <v>47</v>
      </c>
    </row>
    <row r="51" spans="1:7" x14ac:dyDescent="0.2">
      <c r="A51" s="9" t="s">
        <v>53</v>
      </c>
    </row>
    <row r="52" spans="1:7" x14ac:dyDescent="0.2">
      <c r="A52" s="46" t="s">
        <v>1102</v>
      </c>
    </row>
    <row r="54" spans="1:7" ht="24" customHeight="1" x14ac:dyDescent="0.3">
      <c r="A54" s="74" t="s">
        <v>1103</v>
      </c>
      <c r="B54" s="75"/>
      <c r="C54" s="75"/>
      <c r="D54" s="75"/>
      <c r="E54" s="75"/>
      <c r="F54" s="75"/>
      <c r="G54" s="75"/>
    </row>
    <row r="56" spans="1:7" ht="46.5" customHeight="1" x14ac:dyDescent="0.3">
      <c r="A56" s="74" t="s">
        <v>1104</v>
      </c>
      <c r="B56" s="75"/>
      <c r="C56" s="75"/>
      <c r="D56" s="75"/>
      <c r="E56" s="75"/>
      <c r="F56" s="75"/>
      <c r="G56" s="75"/>
    </row>
    <row r="58" spans="1:7" ht="34.5" customHeight="1" x14ac:dyDescent="0.2">
      <c r="A58" s="76" t="s">
        <v>1105</v>
      </c>
      <c r="B58" s="76"/>
      <c r="C58" s="76"/>
      <c r="D58" s="76"/>
      <c r="E58" s="76"/>
      <c r="F58" s="76"/>
      <c r="G58" s="76"/>
    </row>
    <row r="59" spans="1:7" x14ac:dyDescent="0.2">
      <c r="A59" s="46" t="s">
        <v>1106</v>
      </c>
    </row>
    <row r="61" spans="1:7" ht="27" customHeight="1" x14ac:dyDescent="0.2">
      <c r="A61" s="77" t="s">
        <v>1107</v>
      </c>
      <c r="B61" s="77"/>
      <c r="C61" s="77"/>
      <c r="D61" s="77"/>
      <c r="E61" s="77"/>
      <c r="F61" s="77"/>
      <c r="G61" s="77"/>
    </row>
    <row r="63" spans="1:7" x14ac:dyDescent="0.2">
      <c r="A63" s="18" t="s">
        <v>1108</v>
      </c>
    </row>
    <row r="64" spans="1:7" x14ac:dyDescent="0.2">
      <c r="A64" s="46" t="s">
        <v>51</v>
      </c>
    </row>
    <row r="66" spans="1:9" x14ac:dyDescent="0.2">
      <c r="A66" s="18" t="s">
        <v>727</v>
      </c>
    </row>
    <row r="68" spans="1:9" s="1" customFormat="1" ht="13.8" x14ac:dyDescent="0.2">
      <c r="A68" s="69" t="s">
        <v>1109</v>
      </c>
      <c r="B68" s="70"/>
      <c r="C68" s="70"/>
      <c r="D68" s="70"/>
      <c r="E68" s="70"/>
      <c r="F68" s="70"/>
      <c r="G68" s="70"/>
    </row>
    <row r="69" spans="1:9" x14ac:dyDescent="0.2">
      <c r="A69" s="18" t="s">
        <v>7</v>
      </c>
    </row>
    <row r="70" spans="1:9" s="1" customFormat="1" ht="17.399999999999999" customHeight="1" x14ac:dyDescent="0.2">
      <c r="A70" s="8" t="s">
        <v>2</v>
      </c>
      <c r="B70" s="8" t="s">
        <v>0</v>
      </c>
      <c r="C70" s="17" t="s">
        <v>745</v>
      </c>
      <c r="D70" s="16" t="s">
        <v>1</v>
      </c>
      <c r="E70" s="15" t="s">
        <v>3</v>
      </c>
      <c r="F70" s="15" t="s">
        <v>4</v>
      </c>
      <c r="G70" s="15" t="s">
        <v>6</v>
      </c>
    </row>
    <row r="71" spans="1:9" x14ac:dyDescent="0.2">
      <c r="A71" s="21" t="s">
        <v>31</v>
      </c>
      <c r="B71" s="22"/>
      <c r="C71" s="22"/>
      <c r="D71" s="23"/>
      <c r="E71" s="24"/>
      <c r="F71" s="25"/>
      <c r="G71" s="24"/>
    </row>
    <row r="72" spans="1:9" x14ac:dyDescent="0.2">
      <c r="A72" s="26" t="s">
        <v>32</v>
      </c>
      <c r="B72" s="27"/>
      <c r="C72" s="27"/>
      <c r="D72" s="28"/>
      <c r="E72" s="29"/>
      <c r="F72" s="30"/>
      <c r="G72" s="29"/>
    </row>
    <row r="73" spans="1:9" x14ac:dyDescent="0.2">
      <c r="A73" s="27" t="s">
        <v>1110</v>
      </c>
      <c r="B73" s="27" t="s">
        <v>1111</v>
      </c>
      <c r="C73" s="27" t="s">
        <v>1112</v>
      </c>
      <c r="D73" s="31">
        <v>940</v>
      </c>
      <c r="E73" s="29">
        <v>0</v>
      </c>
      <c r="F73" s="30">
        <v>100</v>
      </c>
      <c r="G73" s="29">
        <v>0</v>
      </c>
    </row>
    <row r="74" spans="1:9" x14ac:dyDescent="0.2">
      <c r="A74" s="26" t="s">
        <v>34</v>
      </c>
      <c r="B74" s="26"/>
      <c r="C74" s="26"/>
      <c r="D74" s="32"/>
      <c r="E74" s="33">
        <f>SUM(E72:E73)</f>
        <v>0</v>
      </c>
      <c r="F74" s="34">
        <f>SUM(F72:F73)</f>
        <v>100</v>
      </c>
      <c r="G74" s="33"/>
      <c r="H74" s="18"/>
      <c r="I74" s="18"/>
    </row>
    <row r="75" spans="1:9" x14ac:dyDescent="0.2">
      <c r="A75" s="27"/>
      <c r="B75" s="27"/>
      <c r="C75" s="27"/>
      <c r="D75" s="28"/>
      <c r="E75" s="29"/>
      <c r="F75" s="30"/>
      <c r="G75" s="29"/>
    </row>
    <row r="76" spans="1:9" x14ac:dyDescent="0.2">
      <c r="A76" s="26" t="s">
        <v>36</v>
      </c>
      <c r="B76" s="26"/>
      <c r="C76" s="26"/>
      <c r="D76" s="32"/>
      <c r="E76" s="33">
        <f>E74</f>
        <v>0</v>
      </c>
      <c r="F76" s="34">
        <f>F74</f>
        <v>100</v>
      </c>
      <c r="G76" s="33"/>
      <c r="H76" s="18"/>
      <c r="I76" s="18"/>
    </row>
    <row r="77" spans="1:9" x14ac:dyDescent="0.2">
      <c r="A77" s="26"/>
      <c r="B77" s="26"/>
      <c r="C77" s="26"/>
      <c r="D77" s="32"/>
      <c r="E77" s="33"/>
      <c r="F77" s="34"/>
      <c r="G77" s="33"/>
      <c r="H77" s="18"/>
      <c r="I77" s="18"/>
    </row>
    <row r="78" spans="1:9" x14ac:dyDescent="0.2">
      <c r="A78" s="26" t="s">
        <v>38</v>
      </c>
      <c r="B78" s="26"/>
      <c r="C78" s="26"/>
      <c r="D78" s="32"/>
      <c r="E78" s="33">
        <f>E80-(E74)</f>
        <v>3.9999999999999998E-7</v>
      </c>
      <c r="F78" s="34">
        <v>0</v>
      </c>
      <c r="G78" s="33"/>
      <c r="H78" s="18"/>
      <c r="I78" s="18"/>
    </row>
    <row r="79" spans="1:9" x14ac:dyDescent="0.2">
      <c r="A79" s="26"/>
      <c r="B79" s="26"/>
      <c r="C79" s="26"/>
      <c r="D79" s="32"/>
      <c r="E79" s="33"/>
      <c r="F79" s="34"/>
      <c r="G79" s="33"/>
      <c r="H79" s="18"/>
      <c r="I79" s="18"/>
    </row>
    <row r="80" spans="1:9" x14ac:dyDescent="0.2">
      <c r="A80" s="35" t="s">
        <v>37</v>
      </c>
      <c r="B80" s="35"/>
      <c r="C80" s="35"/>
      <c r="D80" s="36"/>
      <c r="E80" s="37">
        <v>3.9999999999999998E-7</v>
      </c>
      <c r="F80" s="38">
        <v>100</v>
      </c>
      <c r="G80" s="37"/>
      <c r="H80" s="18"/>
      <c r="I80" s="18"/>
    </row>
    <row r="82" spans="1:4" x14ac:dyDescent="0.2">
      <c r="A82" s="18" t="s">
        <v>39</v>
      </c>
    </row>
    <row r="83" spans="1:4" x14ac:dyDescent="0.2">
      <c r="A83" s="18" t="s">
        <v>1101</v>
      </c>
    </row>
    <row r="84" spans="1:4" x14ac:dyDescent="0.2">
      <c r="A84" s="18" t="s">
        <v>1113</v>
      </c>
    </row>
    <row r="86" spans="1:4" x14ac:dyDescent="0.2">
      <c r="A86" s="18" t="s">
        <v>40</v>
      </c>
    </row>
    <row r="87" spans="1:4" x14ac:dyDescent="0.2">
      <c r="A87" s="18" t="s">
        <v>41</v>
      </c>
    </row>
    <row r="88" spans="1:4" x14ac:dyDescent="0.2">
      <c r="A88" s="18" t="s">
        <v>42</v>
      </c>
      <c r="B88" s="18"/>
      <c r="C88" s="39" t="s">
        <v>44</v>
      </c>
      <c r="D88" s="19" t="s">
        <v>43</v>
      </c>
    </row>
    <row r="89" spans="1:4" x14ac:dyDescent="0.2">
      <c r="A89" s="9" t="s">
        <v>71</v>
      </c>
      <c r="C89" s="40">
        <v>0</v>
      </c>
      <c r="D89" s="40">
        <v>0</v>
      </c>
    </row>
    <row r="90" spans="1:4" x14ac:dyDescent="0.2">
      <c r="A90" s="9" t="s">
        <v>77</v>
      </c>
      <c r="C90" s="40">
        <v>0</v>
      </c>
      <c r="D90" s="40">
        <v>0</v>
      </c>
    </row>
    <row r="91" spans="1:4" x14ac:dyDescent="0.2">
      <c r="A91" s="9" t="s">
        <v>74</v>
      </c>
      <c r="C91" s="40">
        <v>0</v>
      </c>
      <c r="D91" s="40">
        <v>0</v>
      </c>
    </row>
    <row r="92" spans="1:4" x14ac:dyDescent="0.2">
      <c r="A92" s="9" t="s">
        <v>78</v>
      </c>
      <c r="C92" s="40">
        <v>0</v>
      </c>
      <c r="D92" s="40">
        <v>0</v>
      </c>
    </row>
    <row r="94" spans="1:4" x14ac:dyDescent="0.2">
      <c r="A94" s="9" t="s">
        <v>45</v>
      </c>
    </row>
    <row r="96" spans="1:4" x14ac:dyDescent="0.2">
      <c r="A96" s="18" t="s">
        <v>1193</v>
      </c>
      <c r="D96" s="41" t="s">
        <v>47</v>
      </c>
    </row>
    <row r="97" spans="1:9" x14ac:dyDescent="0.2">
      <c r="A97" s="9" t="s">
        <v>53</v>
      </c>
    </row>
    <row r="98" spans="1:9" x14ac:dyDescent="0.2">
      <c r="A98" s="46" t="s">
        <v>724</v>
      </c>
    </row>
    <row r="100" spans="1:9" x14ac:dyDescent="0.2">
      <c r="A100" s="18" t="s">
        <v>1114</v>
      </c>
    </row>
    <row r="101" spans="1:9" x14ac:dyDescent="0.2">
      <c r="A101" s="46" t="s">
        <v>51</v>
      </c>
    </row>
    <row r="103" spans="1:9" s="1" customFormat="1" ht="13.8" x14ac:dyDescent="0.2">
      <c r="A103" s="69" t="s">
        <v>1115</v>
      </c>
      <c r="B103" s="70"/>
      <c r="C103" s="70"/>
      <c r="D103" s="70"/>
      <c r="E103" s="70"/>
      <c r="F103" s="70"/>
      <c r="G103" s="70"/>
    </row>
    <row r="104" spans="1:9" x14ac:dyDescent="0.2">
      <c r="A104" s="18" t="s">
        <v>7</v>
      </c>
    </row>
    <row r="105" spans="1:9" s="1" customFormat="1" ht="17.399999999999999" customHeight="1" x14ac:dyDescent="0.2">
      <c r="A105" s="8" t="s">
        <v>2</v>
      </c>
      <c r="B105" s="8" t="s">
        <v>0</v>
      </c>
      <c r="C105" s="17" t="s">
        <v>745</v>
      </c>
      <c r="D105" s="16" t="s">
        <v>1</v>
      </c>
      <c r="E105" s="15" t="s">
        <v>3</v>
      </c>
      <c r="F105" s="15" t="s">
        <v>4</v>
      </c>
      <c r="G105" s="15" t="s">
        <v>6</v>
      </c>
    </row>
    <row r="106" spans="1:9" x14ac:dyDescent="0.2">
      <c r="A106" s="21" t="s">
        <v>31</v>
      </c>
      <c r="B106" s="22"/>
      <c r="C106" s="22"/>
      <c r="D106" s="23"/>
      <c r="E106" s="24"/>
      <c r="F106" s="25"/>
      <c r="G106" s="24"/>
    </row>
    <row r="107" spans="1:9" x14ac:dyDescent="0.2">
      <c r="A107" s="26" t="s">
        <v>32</v>
      </c>
      <c r="B107" s="27"/>
      <c r="C107" s="27"/>
      <c r="D107" s="28"/>
      <c r="E107" s="29"/>
      <c r="F107" s="30"/>
      <c r="G107" s="29"/>
    </row>
    <row r="108" spans="1:9" ht="20.399999999999999" x14ac:dyDescent="0.2">
      <c r="A108" s="27" t="s">
        <v>1116</v>
      </c>
      <c r="B108" s="27" t="s">
        <v>1117</v>
      </c>
      <c r="C108" s="47" t="s">
        <v>1118</v>
      </c>
      <c r="D108" s="31">
        <v>682</v>
      </c>
      <c r="E108" s="29">
        <v>0</v>
      </c>
      <c r="F108" s="30">
        <v>100</v>
      </c>
      <c r="G108" s="29">
        <v>0</v>
      </c>
    </row>
    <row r="109" spans="1:9" x14ac:dyDescent="0.2">
      <c r="A109" s="26" t="s">
        <v>34</v>
      </c>
      <c r="B109" s="26"/>
      <c r="C109" s="26"/>
      <c r="D109" s="32"/>
      <c r="E109" s="33">
        <f>SUM(E107:E108)</f>
        <v>0</v>
      </c>
      <c r="F109" s="34">
        <f>SUM(F107:F108)</f>
        <v>100</v>
      </c>
      <c r="G109" s="33"/>
      <c r="H109" s="18"/>
      <c r="I109" s="18"/>
    </row>
    <row r="110" spans="1:9" x14ac:dyDescent="0.2">
      <c r="A110" s="27"/>
      <c r="B110" s="27"/>
      <c r="C110" s="27"/>
      <c r="D110" s="28"/>
      <c r="E110" s="29"/>
      <c r="F110" s="30"/>
      <c r="G110" s="29"/>
    </row>
    <row r="111" spans="1:9" x14ac:dyDescent="0.2">
      <c r="A111" s="26" t="s">
        <v>36</v>
      </c>
      <c r="B111" s="26"/>
      <c r="C111" s="26"/>
      <c r="D111" s="32"/>
      <c r="E111" s="33">
        <f>E109</f>
        <v>0</v>
      </c>
      <c r="F111" s="34">
        <f>F109</f>
        <v>100</v>
      </c>
      <c r="G111" s="33"/>
      <c r="H111" s="18"/>
      <c r="I111" s="18"/>
    </row>
    <row r="112" spans="1:9" x14ac:dyDescent="0.2">
      <c r="A112" s="26"/>
      <c r="B112" s="26"/>
      <c r="C112" s="26"/>
      <c r="D112" s="32"/>
      <c r="E112" s="33"/>
      <c r="F112" s="34"/>
      <c r="G112" s="33"/>
      <c r="H112" s="18"/>
      <c r="I112" s="18"/>
    </row>
    <row r="113" spans="1:9" x14ac:dyDescent="0.2">
      <c r="A113" s="26" t="s">
        <v>38</v>
      </c>
      <c r="B113" s="26"/>
      <c r="C113" s="26"/>
      <c r="D113" s="32"/>
      <c r="E113" s="33">
        <f>E115-(E109)</f>
        <v>3.9999999999999998E-7</v>
      </c>
      <c r="F113" s="34">
        <v>0</v>
      </c>
      <c r="G113" s="33"/>
      <c r="H113" s="18"/>
      <c r="I113" s="18"/>
    </row>
    <row r="114" spans="1:9" x14ac:dyDescent="0.2">
      <c r="A114" s="26"/>
      <c r="B114" s="26"/>
      <c r="C114" s="26"/>
      <c r="D114" s="32"/>
      <c r="E114" s="33"/>
      <c r="F114" s="34"/>
      <c r="G114" s="33"/>
      <c r="H114" s="18"/>
      <c r="I114" s="18"/>
    </row>
    <row r="115" spans="1:9" x14ac:dyDescent="0.2">
      <c r="A115" s="35" t="s">
        <v>37</v>
      </c>
      <c r="B115" s="35"/>
      <c r="C115" s="35"/>
      <c r="D115" s="36"/>
      <c r="E115" s="37">
        <v>3.9999999999999998E-7</v>
      </c>
      <c r="F115" s="38">
        <v>100</v>
      </c>
      <c r="G115" s="37"/>
      <c r="H115" s="18"/>
      <c r="I115" s="18"/>
    </row>
    <row r="117" spans="1:9" x14ac:dyDescent="0.2">
      <c r="A117" s="18" t="s">
        <v>39</v>
      </c>
    </row>
    <row r="118" spans="1:9" x14ac:dyDescent="0.2">
      <c r="A118" s="18" t="s">
        <v>1101</v>
      </c>
    </row>
    <row r="119" spans="1:9" x14ac:dyDescent="0.2">
      <c r="A119" s="18"/>
    </row>
    <row r="120" spans="1:9" s="60" customFormat="1" x14ac:dyDescent="0.2">
      <c r="A120" s="59" t="s">
        <v>40</v>
      </c>
      <c r="D120" s="61"/>
      <c r="E120" s="62"/>
      <c r="F120" s="14"/>
      <c r="G120" s="62"/>
    </row>
    <row r="121" spans="1:9" x14ac:dyDescent="0.2">
      <c r="A121" s="18" t="s">
        <v>41</v>
      </c>
    </row>
    <row r="122" spans="1:9" x14ac:dyDescent="0.2">
      <c r="A122" s="18" t="s">
        <v>42</v>
      </c>
      <c r="B122" s="18"/>
      <c r="C122" s="39" t="s">
        <v>44</v>
      </c>
      <c r="D122" s="19" t="s">
        <v>43</v>
      </c>
    </row>
    <row r="123" spans="1:9" x14ac:dyDescent="0.2">
      <c r="A123" s="9" t="s">
        <v>71</v>
      </c>
      <c r="C123" s="40">
        <v>0</v>
      </c>
      <c r="D123" s="40">
        <v>0</v>
      </c>
    </row>
    <row r="124" spans="1:9" x14ac:dyDescent="0.2">
      <c r="A124" s="9" t="s">
        <v>77</v>
      </c>
      <c r="C124" s="40">
        <v>0</v>
      </c>
      <c r="D124" s="40">
        <v>0</v>
      </c>
    </row>
    <row r="125" spans="1:9" s="13" customFormat="1" x14ac:dyDescent="0.2">
      <c r="A125" s="9" t="s">
        <v>74</v>
      </c>
      <c r="B125" s="9"/>
      <c r="C125" s="40">
        <v>0</v>
      </c>
      <c r="D125" s="40">
        <v>0</v>
      </c>
      <c r="F125" s="14"/>
      <c r="H125" s="9"/>
      <c r="I125" s="9"/>
    </row>
    <row r="126" spans="1:9" s="13" customFormat="1" x14ac:dyDescent="0.2">
      <c r="A126" s="9" t="s">
        <v>78</v>
      </c>
      <c r="B126" s="9"/>
      <c r="C126" s="40">
        <v>0</v>
      </c>
      <c r="D126" s="40">
        <v>0</v>
      </c>
      <c r="F126" s="14"/>
      <c r="H126" s="9"/>
      <c r="I126" s="9"/>
    </row>
    <row r="128" spans="1:9" s="13" customFormat="1" x14ac:dyDescent="0.2">
      <c r="A128" s="9" t="s">
        <v>45</v>
      </c>
      <c r="B128" s="9"/>
      <c r="C128" s="9"/>
      <c r="D128" s="10"/>
      <c r="F128" s="14"/>
      <c r="H128" s="9"/>
      <c r="I128" s="9"/>
    </row>
    <row r="130" spans="1:9" s="13" customFormat="1" x14ac:dyDescent="0.2">
      <c r="A130" s="18" t="s">
        <v>1193</v>
      </c>
      <c r="B130" s="9"/>
      <c r="C130" s="9"/>
      <c r="D130" s="41" t="s">
        <v>47</v>
      </c>
      <c r="F130" s="14"/>
      <c r="H130" s="9"/>
      <c r="I130" s="9"/>
    </row>
    <row r="131" spans="1:9" s="13" customFormat="1" x14ac:dyDescent="0.2">
      <c r="A131" s="9" t="s">
        <v>53</v>
      </c>
      <c r="B131" s="9"/>
      <c r="C131" s="9"/>
      <c r="D131" s="10"/>
      <c r="F131" s="14"/>
      <c r="H131" s="9"/>
      <c r="I131" s="9"/>
    </row>
    <row r="132" spans="1:9" s="13" customFormat="1" x14ac:dyDescent="0.2">
      <c r="A132" s="46" t="s">
        <v>724</v>
      </c>
      <c r="B132" s="9"/>
      <c r="C132" s="9"/>
      <c r="D132" s="10"/>
      <c r="F132" s="14"/>
      <c r="H132" s="9"/>
      <c r="I132" s="9"/>
    </row>
    <row r="134" spans="1:9" s="13" customFormat="1" x14ac:dyDescent="0.2">
      <c r="A134" s="18" t="s">
        <v>1114</v>
      </c>
      <c r="B134" s="9"/>
      <c r="C134" s="9"/>
      <c r="D134" s="10"/>
      <c r="F134" s="14"/>
      <c r="H134" s="9"/>
      <c r="I134" s="9"/>
    </row>
    <row r="135" spans="1:9" s="13" customFormat="1" x14ac:dyDescent="0.2">
      <c r="A135" s="46" t="s">
        <v>51</v>
      </c>
      <c r="B135" s="9"/>
      <c r="C135" s="9"/>
      <c r="D135" s="10"/>
      <c r="F135" s="14"/>
      <c r="H135" s="9"/>
      <c r="I135" s="9"/>
    </row>
  </sheetData>
  <mergeCells count="7">
    <mergeCell ref="A103:G103"/>
    <mergeCell ref="A1:G1"/>
    <mergeCell ref="A54:G54"/>
    <mergeCell ref="A56:G56"/>
    <mergeCell ref="A58:G58"/>
    <mergeCell ref="A61:G61"/>
    <mergeCell ref="A68:G68"/>
  </mergeCells>
  <conditionalFormatting sqref="F2:F3 F5:F17 F55 F57 F59:F60 F69 F104 F22:F53 F62:F67 F81:F102 F116:F65534">
    <cfRule type="cellIs" dxfId="54" priority="9" stopIfTrue="1" operator="between">
      <formula>0.009</formula>
      <formula>-0.009</formula>
    </cfRule>
  </conditionalFormatting>
  <conditionalFormatting sqref="F71:F72">
    <cfRule type="cellIs" dxfId="53" priority="8" stopIfTrue="1" operator="between">
      <formula>0.009</formula>
      <formula>-0.009</formula>
    </cfRule>
  </conditionalFormatting>
  <conditionalFormatting sqref="F76:F77 F79:F80">
    <cfRule type="cellIs" dxfId="52" priority="5" stopIfTrue="1" operator="between">
      <formula>0.009</formula>
      <formula>-0.009</formula>
    </cfRule>
  </conditionalFormatting>
  <conditionalFormatting sqref="F74:F75">
    <cfRule type="cellIs" dxfId="51" priority="7" stopIfTrue="1" operator="between">
      <formula>0.009</formula>
      <formula>-0.009</formula>
    </cfRule>
  </conditionalFormatting>
  <conditionalFormatting sqref="F73">
    <cfRule type="cellIs" dxfId="50" priority="6" stopIfTrue="1" operator="between">
      <formula>0.009</formula>
      <formula>-0.009</formula>
    </cfRule>
  </conditionalFormatting>
  <conditionalFormatting sqref="F106:F107">
    <cfRule type="cellIs" dxfId="49" priority="4" stopIfTrue="1" operator="between">
      <formula>0.009</formula>
      <formula>-0.009</formula>
    </cfRule>
  </conditionalFormatting>
  <conditionalFormatting sqref="F111:F112 F114:F115">
    <cfRule type="cellIs" dxfId="48" priority="1" stopIfTrue="1" operator="between">
      <formula>0.009</formula>
      <formula>-0.009</formula>
    </cfRule>
  </conditionalFormatting>
  <conditionalFormatting sqref="F109:F110">
    <cfRule type="cellIs" dxfId="47" priority="3" stopIfTrue="1" operator="between">
      <formula>0.009</formula>
      <formula>-0.009</formula>
    </cfRule>
  </conditionalFormatting>
  <conditionalFormatting sqref="F108">
    <cfRule type="cellIs" dxfId="46" priority="2" stopIfTrue="1" operator="between">
      <formula>0.009</formula>
      <formula>-0.009</formula>
    </cfRule>
  </conditionalFormatting>
  <hyperlinks>
    <hyperlink ref="A52" r:id="rId1" tooltip="https://www.franklintempletonindia.com/investor/reports" xr:uid="{00000000-0004-0000-1400-000000000000}"/>
    <hyperlink ref="A59" r:id="rId2" tooltip="https://www.franklintempletonindia.com/downloadsServlet/pdf/fair-valuation-reliance-big-reliance-infra-november-4-2020-kgox4tfq" xr:uid="{00000000-0004-0000-1400-000001000000}"/>
    <hyperlink ref="A64" r:id="rId3" tooltip="https://www.franklintempletonindia.com/downloadsServlet/pdf/product-labels-jg9o5k7l" xr:uid="{00000000-0004-0000-1400-000002000000}"/>
    <hyperlink ref="A101" r:id="rId4" tooltip="https://www.franklintempletonindia.com/downloadsServlet/pdf/product-labels-jg9o5k7l" xr:uid="{00000000-0004-0000-1400-000003000000}"/>
    <hyperlink ref="A135" r:id="rId5" tooltip="https://www.franklintempletonindia.com/downloadsServlet/pdf/product-labels-jg9o5k7l" xr:uid="{00000000-0004-0000-1400-000004000000}"/>
    <hyperlink ref="A98" r:id="rId6" xr:uid="{00000000-0004-0000-1400-000005000000}"/>
    <hyperlink ref="A132" r:id="rId7" xr:uid="{00000000-0004-0000-1400-000006000000}"/>
  </hyperlinks>
  <pageMargins left="0.7" right="0.7" top="0.75" bottom="0.75" header="0.3" footer="0.3"/>
  <pageSetup paperSize="9" orientation="portrait" r:id="rId8"/>
  <headerFooter>
    <oddFooter>&amp;C&amp;1#&amp;"Calibri"&amp;10&amp;K000000PUBLIC</oddFooter>
    <evenFooter>&amp;LPUBLIC</evenFooter>
    <firstFooter>&amp;LPUBLIC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93"/>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69" t="s">
        <v>1119</v>
      </c>
      <c r="B1" s="70"/>
      <c r="C1" s="70"/>
      <c r="D1" s="70"/>
      <c r="E1" s="70"/>
      <c r="F1" s="70"/>
      <c r="G1" s="70"/>
    </row>
    <row r="2" spans="1:9" s="1" customFormat="1" ht="12" x14ac:dyDescent="0.25">
      <c r="A2" s="58" t="s">
        <v>1067</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1120</v>
      </c>
      <c r="B7" s="27" t="s">
        <v>1121</v>
      </c>
      <c r="C7" s="27" t="s">
        <v>1122</v>
      </c>
      <c r="D7" s="31">
        <v>650</v>
      </c>
      <c r="E7" s="29">
        <v>6250.6144999999997</v>
      </c>
      <c r="F7" s="30">
        <v>67.751114466947399</v>
      </c>
      <c r="G7" s="29">
        <v>14.53</v>
      </c>
    </row>
    <row r="8" spans="1:9" x14ac:dyDescent="0.2">
      <c r="A8" s="27" t="s">
        <v>1088</v>
      </c>
      <c r="B8" s="27" t="s">
        <v>1084</v>
      </c>
      <c r="C8" s="27" t="s">
        <v>1085</v>
      </c>
      <c r="D8" s="31">
        <v>200</v>
      </c>
      <c r="E8" s="29">
        <v>1164.596</v>
      </c>
      <c r="F8" s="30">
        <v>12.6231871928351</v>
      </c>
      <c r="G8" s="29">
        <v>22.0794</v>
      </c>
    </row>
    <row r="9" spans="1:9" x14ac:dyDescent="0.2">
      <c r="A9" s="27" t="s">
        <v>1089</v>
      </c>
      <c r="B9" s="27" t="s">
        <v>1090</v>
      </c>
      <c r="C9" s="27" t="s">
        <v>1078</v>
      </c>
      <c r="D9" s="31">
        <v>176</v>
      </c>
      <c r="E9" s="29">
        <v>885.72879999999998</v>
      </c>
      <c r="F9" s="30">
        <v>9.6005142079185894</v>
      </c>
      <c r="G9" s="29">
        <v>7.7878999999999996</v>
      </c>
    </row>
    <row r="10" spans="1:9" x14ac:dyDescent="0.2">
      <c r="A10" s="27" t="s">
        <v>1123</v>
      </c>
      <c r="B10" s="27" t="s">
        <v>1124</v>
      </c>
      <c r="C10" s="27" t="s">
        <v>1078</v>
      </c>
      <c r="D10" s="31">
        <v>300</v>
      </c>
      <c r="E10" s="29">
        <v>752.14499999999998</v>
      </c>
      <c r="F10" s="30">
        <v>8.1525843564248195</v>
      </c>
      <c r="G10" s="29">
        <v>7.5133000000000001</v>
      </c>
    </row>
    <row r="11" spans="1:9" x14ac:dyDescent="0.2">
      <c r="A11" s="27" t="s">
        <v>862</v>
      </c>
      <c r="B11" s="27" t="s">
        <v>863</v>
      </c>
      <c r="C11" s="27" t="s">
        <v>864</v>
      </c>
      <c r="D11" s="31">
        <v>4</v>
      </c>
      <c r="E11" s="29">
        <v>39.897880000000001</v>
      </c>
      <c r="F11" s="30">
        <v>0.43245761434632202</v>
      </c>
      <c r="G11" s="29">
        <v>9.0511999999999997</v>
      </c>
    </row>
    <row r="12" spans="1:9" x14ac:dyDescent="0.2">
      <c r="A12" s="26" t="s">
        <v>34</v>
      </c>
      <c r="B12" s="26"/>
      <c r="C12" s="26"/>
      <c r="D12" s="32"/>
      <c r="E12" s="33">
        <f>SUM(E6:E11)</f>
        <v>9092.9821800000009</v>
      </c>
      <c r="F12" s="34">
        <f>SUM(F6:F11)</f>
        <v>98.55985783847224</v>
      </c>
      <c r="G12" s="33"/>
      <c r="H12" s="18"/>
      <c r="I12" s="18"/>
    </row>
    <row r="13" spans="1:9" x14ac:dyDescent="0.2">
      <c r="A13" s="27"/>
      <c r="B13" s="27"/>
      <c r="C13" s="27"/>
      <c r="D13" s="28"/>
      <c r="E13" s="29"/>
      <c r="F13" s="30"/>
      <c r="G13" s="29"/>
    </row>
    <row r="14" spans="1:9" x14ac:dyDescent="0.2">
      <c r="A14" s="26" t="s">
        <v>35</v>
      </c>
      <c r="B14" s="27"/>
      <c r="C14" s="27"/>
      <c r="D14" s="28"/>
      <c r="E14" s="29"/>
      <c r="F14" s="30"/>
      <c r="G14" s="29"/>
    </row>
    <row r="15" spans="1:9" x14ac:dyDescent="0.2">
      <c r="A15" s="27" t="s">
        <v>1098</v>
      </c>
      <c r="B15" s="27" t="s">
        <v>1099</v>
      </c>
      <c r="C15" s="27" t="s">
        <v>1100</v>
      </c>
      <c r="D15" s="31">
        <v>614406.52099999995</v>
      </c>
      <c r="E15" s="29">
        <v>20865.301360000001</v>
      </c>
      <c r="F15" s="30">
        <v>226.16135114854899</v>
      </c>
      <c r="G15" s="29">
        <v>3.0154000000000001</v>
      </c>
    </row>
    <row r="16" spans="1:9" x14ac:dyDescent="0.2">
      <c r="A16" s="26" t="s">
        <v>34</v>
      </c>
      <c r="B16" s="26"/>
      <c r="C16" s="26"/>
      <c r="D16" s="32"/>
      <c r="E16" s="33">
        <f>SUM(E15:E15)</f>
        <v>20865.301360000001</v>
      </c>
      <c r="F16" s="34">
        <f>SUM(F15:F15)</f>
        <v>226.16135114854899</v>
      </c>
      <c r="G16" s="33"/>
      <c r="H16" s="18"/>
      <c r="I16" s="18"/>
    </row>
    <row r="17" spans="1:9" x14ac:dyDescent="0.2">
      <c r="A17" s="27"/>
      <c r="B17" s="27"/>
      <c r="C17" s="27"/>
      <c r="D17" s="28"/>
      <c r="E17" s="29"/>
      <c r="F17" s="30"/>
      <c r="G17" s="29"/>
    </row>
    <row r="18" spans="1:9" x14ac:dyDescent="0.2">
      <c r="A18" s="26" t="s">
        <v>36</v>
      </c>
      <c r="B18" s="26"/>
      <c r="C18" s="26"/>
      <c r="D18" s="32"/>
      <c r="E18" s="33">
        <f>E12+E16</f>
        <v>29958.283540000004</v>
      </c>
      <c r="F18" s="34">
        <f>F12+F16</f>
        <v>324.72120898702121</v>
      </c>
      <c r="G18" s="33"/>
      <c r="H18" s="18"/>
      <c r="I18" s="18"/>
    </row>
    <row r="19" spans="1:9" x14ac:dyDescent="0.2">
      <c r="A19" s="26"/>
      <c r="B19" s="26"/>
      <c r="C19" s="26"/>
      <c r="D19" s="32"/>
      <c r="E19" s="33"/>
      <c r="F19" s="34"/>
      <c r="G19" s="33"/>
      <c r="H19" s="18"/>
      <c r="I19" s="18"/>
    </row>
    <row r="20" spans="1:9" x14ac:dyDescent="0.2">
      <c r="A20" s="26" t="s">
        <v>38</v>
      </c>
      <c r="B20" s="26"/>
      <c r="C20" s="26"/>
      <c r="D20" s="32"/>
      <c r="E20" s="33">
        <f>E22-(E12+E16)</f>
        <v>-20732.436040400004</v>
      </c>
      <c r="F20" s="34">
        <f>F22-(F12+F16)</f>
        <v>-224.72120898702121</v>
      </c>
      <c r="G20" s="33"/>
      <c r="H20" s="18"/>
      <c r="I20" s="18"/>
    </row>
    <row r="21" spans="1:9" x14ac:dyDescent="0.2">
      <c r="A21" s="26"/>
      <c r="B21" s="26"/>
      <c r="C21" s="26"/>
      <c r="D21" s="32"/>
      <c r="E21" s="33"/>
      <c r="F21" s="34"/>
      <c r="G21" s="33"/>
      <c r="H21" s="18"/>
      <c r="I21" s="18"/>
    </row>
    <row r="22" spans="1:9" x14ac:dyDescent="0.2">
      <c r="A22" s="35" t="s">
        <v>37</v>
      </c>
      <c r="B22" s="35"/>
      <c r="C22" s="35"/>
      <c r="D22" s="36"/>
      <c r="E22" s="37">
        <v>9225.8474996000004</v>
      </c>
      <c r="F22" s="38">
        <v>100</v>
      </c>
      <c r="G22" s="37"/>
      <c r="H22" s="18"/>
      <c r="I22" s="18"/>
    </row>
    <row r="24" spans="1:9" x14ac:dyDescent="0.2">
      <c r="A24" s="18" t="s">
        <v>39</v>
      </c>
    </row>
    <row r="26" spans="1:9" x14ac:dyDescent="0.2">
      <c r="A26" s="18" t="s">
        <v>40</v>
      </c>
    </row>
    <row r="27" spans="1:9" x14ac:dyDescent="0.2">
      <c r="A27" s="18" t="s">
        <v>41</v>
      </c>
    </row>
    <row r="28" spans="1:9" x14ac:dyDescent="0.2">
      <c r="A28" s="18" t="s">
        <v>42</v>
      </c>
      <c r="B28" s="18"/>
      <c r="C28" s="39" t="s">
        <v>44</v>
      </c>
      <c r="D28" s="19" t="s">
        <v>43</v>
      </c>
    </row>
    <row r="29" spans="1:9" x14ac:dyDescent="0.2">
      <c r="A29" s="9" t="s">
        <v>71</v>
      </c>
      <c r="C29" s="40">
        <v>22.956499999999998</v>
      </c>
      <c r="D29" s="40">
        <v>23.9739</v>
      </c>
    </row>
    <row r="30" spans="1:9" x14ac:dyDescent="0.2">
      <c r="A30" s="9" t="s">
        <v>72</v>
      </c>
      <c r="C30" s="40">
        <v>10.5852</v>
      </c>
      <c r="D30" s="40">
        <v>11.0543</v>
      </c>
    </row>
    <row r="31" spans="1:9" x14ac:dyDescent="0.2">
      <c r="A31" s="9" t="s">
        <v>73</v>
      </c>
      <c r="C31" s="40">
        <v>10.3962</v>
      </c>
      <c r="D31" s="40">
        <v>10.856999999999999</v>
      </c>
    </row>
    <row r="32" spans="1:9" x14ac:dyDescent="0.2">
      <c r="A32" s="9" t="s">
        <v>74</v>
      </c>
      <c r="C32" s="40">
        <v>23.573799999999999</v>
      </c>
      <c r="D32" s="40">
        <v>24.6221</v>
      </c>
    </row>
    <row r="33" spans="1:7" x14ac:dyDescent="0.2">
      <c r="A33" s="9" t="s">
        <v>75</v>
      </c>
      <c r="C33" s="40">
        <v>10.9558</v>
      </c>
      <c r="D33" s="40">
        <v>11.443099999999999</v>
      </c>
    </row>
    <row r="34" spans="1:7" x14ac:dyDescent="0.2">
      <c r="A34" s="9" t="s">
        <v>76</v>
      </c>
      <c r="C34" s="40">
        <v>10.7662</v>
      </c>
      <c r="D34" s="40">
        <v>11.244999999999999</v>
      </c>
    </row>
    <row r="36" spans="1:7" x14ac:dyDescent="0.2">
      <c r="A36" s="9" t="s">
        <v>45</v>
      </c>
    </row>
    <row r="38" spans="1:7" x14ac:dyDescent="0.2">
      <c r="A38" s="18" t="s">
        <v>46</v>
      </c>
      <c r="D38" s="41" t="s">
        <v>47</v>
      </c>
    </row>
    <row r="40" spans="1:7" x14ac:dyDescent="0.2">
      <c r="A40" s="18" t="s">
        <v>805</v>
      </c>
      <c r="D40" s="42">
        <v>2.0258028475068501</v>
      </c>
      <c r="E40" s="13" t="s">
        <v>48</v>
      </c>
    </row>
    <row r="42" spans="1:7" x14ac:dyDescent="0.2">
      <c r="A42" s="18" t="s">
        <v>49</v>
      </c>
      <c r="D42" s="41" t="s">
        <v>47</v>
      </c>
    </row>
    <row r="43" spans="1:7" x14ac:dyDescent="0.2">
      <c r="A43" s="9" t="s">
        <v>53</v>
      </c>
    </row>
    <row r="44" spans="1:7" x14ac:dyDescent="0.2">
      <c r="A44" s="46" t="s">
        <v>1102</v>
      </c>
    </row>
    <row r="46" spans="1:7" ht="23.25" customHeight="1" x14ac:dyDescent="0.3">
      <c r="A46" s="74" t="s">
        <v>1125</v>
      </c>
      <c r="B46" s="75"/>
      <c r="C46" s="75"/>
      <c r="D46" s="75"/>
      <c r="E46" s="75"/>
      <c r="F46" s="75"/>
      <c r="G46" s="75"/>
    </row>
    <row r="48" spans="1:7" ht="46.5" customHeight="1" x14ac:dyDescent="0.3">
      <c r="A48" s="74" t="s">
        <v>1126</v>
      </c>
      <c r="B48" s="75"/>
      <c r="C48" s="75"/>
      <c r="D48" s="75"/>
      <c r="E48" s="75"/>
      <c r="F48" s="75"/>
      <c r="G48" s="75"/>
    </row>
    <row r="49" spans="1:9" x14ac:dyDescent="0.2">
      <c r="A49" s="46" t="s">
        <v>1106</v>
      </c>
    </row>
    <row r="51" spans="1:9" ht="27" customHeight="1" x14ac:dyDescent="0.3">
      <c r="A51" s="74" t="s">
        <v>1127</v>
      </c>
      <c r="B51" s="75"/>
      <c r="C51" s="75"/>
      <c r="D51" s="75"/>
      <c r="E51" s="75"/>
      <c r="F51" s="75"/>
      <c r="G51" s="75"/>
    </row>
    <row r="53" spans="1:9" x14ac:dyDescent="0.2">
      <c r="A53" s="18" t="s">
        <v>736</v>
      </c>
    </row>
    <row r="54" spans="1:9" x14ac:dyDescent="0.2">
      <c r="A54" s="46" t="s">
        <v>51</v>
      </c>
    </row>
    <row r="56" spans="1:9" x14ac:dyDescent="0.2">
      <c r="A56" s="18" t="s">
        <v>727</v>
      </c>
    </row>
    <row r="58" spans="1:9" s="1" customFormat="1" ht="13.8" x14ac:dyDescent="0.2">
      <c r="A58" s="69" t="s">
        <v>1128</v>
      </c>
      <c r="B58" s="70"/>
      <c r="C58" s="70"/>
      <c r="D58" s="70"/>
      <c r="E58" s="70"/>
      <c r="F58" s="70"/>
      <c r="G58" s="70"/>
    </row>
    <row r="59" spans="1:9" x14ac:dyDescent="0.2">
      <c r="A59" s="18" t="s">
        <v>7</v>
      </c>
    </row>
    <row r="60" spans="1:9" s="1" customFormat="1" ht="17.399999999999999" customHeight="1" x14ac:dyDescent="0.2">
      <c r="A60" s="8" t="s">
        <v>2</v>
      </c>
      <c r="B60" s="8" t="s">
        <v>0</v>
      </c>
      <c r="C60" s="17" t="s">
        <v>745</v>
      </c>
      <c r="D60" s="16" t="s">
        <v>1</v>
      </c>
      <c r="E60" s="15" t="s">
        <v>3</v>
      </c>
      <c r="F60" s="15" t="s">
        <v>4</v>
      </c>
      <c r="G60" s="15" t="s">
        <v>6</v>
      </c>
    </row>
    <row r="61" spans="1:9" x14ac:dyDescent="0.2">
      <c r="A61" s="21" t="s">
        <v>31</v>
      </c>
      <c r="B61" s="22"/>
      <c r="C61" s="22"/>
      <c r="D61" s="23"/>
      <c r="E61" s="24"/>
      <c r="F61" s="25"/>
      <c r="G61" s="24"/>
    </row>
    <row r="62" spans="1:9" x14ac:dyDescent="0.2">
      <c r="A62" s="26" t="s">
        <v>32</v>
      </c>
      <c r="B62" s="27"/>
      <c r="C62" s="27"/>
      <c r="D62" s="28"/>
      <c r="E62" s="29"/>
      <c r="F62" s="30"/>
      <c r="G62" s="29"/>
    </row>
    <row r="63" spans="1:9" x14ac:dyDescent="0.2">
      <c r="A63" s="27" t="s">
        <v>1110</v>
      </c>
      <c r="B63" s="27" t="s">
        <v>1111</v>
      </c>
      <c r="C63" s="27" t="s">
        <v>1112</v>
      </c>
      <c r="D63" s="31">
        <v>1510</v>
      </c>
      <c r="E63" s="29">
        <v>0</v>
      </c>
      <c r="F63" s="30">
        <v>100</v>
      </c>
      <c r="G63" s="29">
        <v>0</v>
      </c>
    </row>
    <row r="64" spans="1:9" x14ac:dyDescent="0.2">
      <c r="A64" s="26" t="s">
        <v>34</v>
      </c>
      <c r="B64" s="26"/>
      <c r="C64" s="26"/>
      <c r="D64" s="32"/>
      <c r="E64" s="33">
        <v>0</v>
      </c>
      <c r="F64" s="34">
        <v>100</v>
      </c>
      <c r="G64" s="33"/>
      <c r="H64" s="18"/>
      <c r="I64" s="18"/>
    </row>
    <row r="65" spans="1:9" x14ac:dyDescent="0.2">
      <c r="A65" s="27"/>
      <c r="B65" s="27"/>
      <c r="C65" s="27"/>
      <c r="D65" s="28"/>
      <c r="E65" s="29"/>
      <c r="F65" s="30"/>
      <c r="G65" s="29"/>
    </row>
    <row r="66" spans="1:9" x14ac:dyDescent="0.2">
      <c r="A66" s="26" t="s">
        <v>36</v>
      </c>
      <c r="B66" s="26"/>
      <c r="C66" s="26"/>
      <c r="D66" s="32"/>
      <c r="E66" s="33">
        <v>0</v>
      </c>
      <c r="F66" s="34">
        <v>100</v>
      </c>
      <c r="G66" s="33"/>
      <c r="H66" s="18"/>
      <c r="I66" s="18"/>
    </row>
    <row r="67" spans="1:9" x14ac:dyDescent="0.2">
      <c r="A67" s="26"/>
      <c r="B67" s="26"/>
      <c r="C67" s="26"/>
      <c r="D67" s="32"/>
      <c r="E67" s="33"/>
      <c r="F67" s="34"/>
      <c r="G67" s="33"/>
      <c r="H67" s="18"/>
      <c r="I67" s="18"/>
    </row>
    <row r="68" spans="1:9" x14ac:dyDescent="0.2">
      <c r="A68" s="26" t="s">
        <v>38</v>
      </c>
      <c r="B68" s="26"/>
      <c r="C68" s="26"/>
      <c r="D68" s="32"/>
      <c r="E68" s="33">
        <v>5.9999999999999997E-7</v>
      </c>
      <c r="F68" s="34">
        <v>0</v>
      </c>
      <c r="G68" s="33"/>
      <c r="H68" s="18"/>
      <c r="I68" s="18"/>
    </row>
    <row r="69" spans="1:9" x14ac:dyDescent="0.2">
      <c r="A69" s="26"/>
      <c r="B69" s="26"/>
      <c r="C69" s="26"/>
      <c r="D69" s="32"/>
      <c r="E69" s="33"/>
      <c r="F69" s="34"/>
      <c r="G69" s="33"/>
      <c r="H69" s="18"/>
      <c r="I69" s="18"/>
    </row>
    <row r="70" spans="1:9" x14ac:dyDescent="0.2">
      <c r="A70" s="35" t="s">
        <v>37</v>
      </c>
      <c r="B70" s="35"/>
      <c r="C70" s="35"/>
      <c r="D70" s="36"/>
      <c r="E70" s="37">
        <v>5.9999999999999997E-7</v>
      </c>
      <c r="F70" s="38">
        <v>100</v>
      </c>
      <c r="G70" s="37"/>
      <c r="H70" s="18"/>
      <c r="I70" s="18"/>
    </row>
    <row r="72" spans="1:9" x14ac:dyDescent="0.2">
      <c r="A72" s="18" t="s">
        <v>39</v>
      </c>
    </row>
    <row r="73" spans="1:9" x14ac:dyDescent="0.2">
      <c r="A73" s="53" t="s">
        <v>1101</v>
      </c>
    </row>
    <row r="74" spans="1:9" x14ac:dyDescent="0.2">
      <c r="A74" s="18" t="s">
        <v>1113</v>
      </c>
    </row>
    <row r="76" spans="1:9" x14ac:dyDescent="0.2">
      <c r="A76" s="18" t="s">
        <v>40</v>
      </c>
    </row>
    <row r="77" spans="1:9" x14ac:dyDescent="0.2">
      <c r="A77" s="18" t="s">
        <v>41</v>
      </c>
    </row>
    <row r="78" spans="1:9" x14ac:dyDescent="0.2">
      <c r="A78" s="18" t="s">
        <v>42</v>
      </c>
      <c r="B78" s="18"/>
      <c r="C78" s="39" t="s">
        <v>44</v>
      </c>
      <c r="D78" s="19" t="s">
        <v>43</v>
      </c>
    </row>
    <row r="79" spans="1:9" s="13" customFormat="1" x14ac:dyDescent="0.2">
      <c r="A79" s="9" t="s">
        <v>71</v>
      </c>
      <c r="B79" s="9"/>
      <c r="C79" s="40">
        <v>0</v>
      </c>
      <c r="D79" s="40">
        <v>0</v>
      </c>
      <c r="F79" s="14"/>
      <c r="H79" s="9"/>
      <c r="I79" s="9"/>
    </row>
    <row r="80" spans="1:9" s="13" customFormat="1" x14ac:dyDescent="0.2">
      <c r="A80" s="9" t="s">
        <v>72</v>
      </c>
      <c r="B80" s="9"/>
      <c r="C80" s="40">
        <v>0</v>
      </c>
      <c r="D80" s="40">
        <v>0</v>
      </c>
      <c r="F80" s="14"/>
      <c r="H80" s="9"/>
      <c r="I80" s="9"/>
    </row>
    <row r="81" spans="1:9" s="13" customFormat="1" x14ac:dyDescent="0.2">
      <c r="A81" s="9" t="s">
        <v>73</v>
      </c>
      <c r="B81" s="9"/>
      <c r="C81" s="40">
        <v>0</v>
      </c>
      <c r="D81" s="40">
        <v>0</v>
      </c>
      <c r="F81" s="14"/>
      <c r="H81" s="9"/>
      <c r="I81" s="9"/>
    </row>
    <row r="82" spans="1:9" s="13" customFormat="1" x14ac:dyDescent="0.2">
      <c r="A82" s="9" t="s">
        <v>74</v>
      </c>
      <c r="B82" s="9"/>
      <c r="C82" s="40">
        <v>0</v>
      </c>
      <c r="D82" s="40">
        <v>0</v>
      </c>
      <c r="F82" s="14"/>
      <c r="H82" s="9"/>
      <c r="I82" s="9"/>
    </row>
    <row r="83" spans="1:9" s="13" customFormat="1" x14ac:dyDescent="0.2">
      <c r="A83" s="9" t="s">
        <v>75</v>
      </c>
      <c r="B83" s="9"/>
      <c r="C83" s="40">
        <v>0</v>
      </c>
      <c r="D83" s="40">
        <v>0</v>
      </c>
      <c r="F83" s="14"/>
      <c r="H83" s="9"/>
      <c r="I83" s="9"/>
    </row>
    <row r="84" spans="1:9" s="13" customFormat="1" x14ac:dyDescent="0.2">
      <c r="A84" s="9" t="s">
        <v>76</v>
      </c>
      <c r="B84" s="9"/>
      <c r="C84" s="40">
        <v>0</v>
      </c>
      <c r="D84" s="40">
        <v>0</v>
      </c>
      <c r="F84" s="14"/>
      <c r="H84" s="9"/>
      <c r="I84" s="9"/>
    </row>
    <row r="86" spans="1:9" s="13" customFormat="1" x14ac:dyDescent="0.2">
      <c r="A86" s="9" t="s">
        <v>45</v>
      </c>
      <c r="B86" s="9"/>
      <c r="C86" s="9"/>
      <c r="D86" s="10"/>
      <c r="F86" s="14"/>
      <c r="H86" s="9"/>
      <c r="I86" s="9"/>
    </row>
    <row r="88" spans="1:9" s="13" customFormat="1" x14ac:dyDescent="0.2">
      <c r="A88" s="18" t="s">
        <v>1193</v>
      </c>
      <c r="B88" s="9"/>
      <c r="C88" s="9"/>
      <c r="D88" s="41" t="s">
        <v>47</v>
      </c>
      <c r="F88" s="14"/>
      <c r="H88" s="9"/>
      <c r="I88" s="9"/>
    </row>
    <row r="89" spans="1:9" s="13" customFormat="1" x14ac:dyDescent="0.2">
      <c r="A89" s="9" t="s">
        <v>53</v>
      </c>
      <c r="B89" s="9"/>
      <c r="C89" s="9"/>
      <c r="D89" s="10"/>
      <c r="F89" s="14"/>
      <c r="H89" s="9"/>
      <c r="I89" s="9"/>
    </row>
    <row r="90" spans="1:9" s="13" customFormat="1" x14ac:dyDescent="0.2">
      <c r="A90" s="46" t="s">
        <v>724</v>
      </c>
      <c r="B90" s="9"/>
      <c r="C90" s="9"/>
      <c r="D90" s="10"/>
      <c r="F90" s="14"/>
      <c r="H90" s="9"/>
      <c r="I90" s="9"/>
    </row>
    <row r="92" spans="1:9" s="13" customFormat="1" x14ac:dyDescent="0.2">
      <c r="A92" s="18" t="s">
        <v>1114</v>
      </c>
      <c r="B92" s="9"/>
      <c r="C92" s="9"/>
      <c r="D92" s="10"/>
      <c r="F92" s="14"/>
      <c r="H92" s="9"/>
      <c r="I92" s="9"/>
    </row>
    <row r="93" spans="1:9" s="13" customFormat="1" x14ac:dyDescent="0.2">
      <c r="A93" s="46" t="s">
        <v>51</v>
      </c>
      <c r="B93" s="9"/>
      <c r="C93" s="9"/>
      <c r="D93" s="10"/>
      <c r="F93" s="14"/>
      <c r="H93" s="9"/>
      <c r="I93" s="9"/>
    </row>
  </sheetData>
  <mergeCells count="5">
    <mergeCell ref="A1:G1"/>
    <mergeCell ref="A46:G46"/>
    <mergeCell ref="A48:G48"/>
    <mergeCell ref="A51:G51"/>
    <mergeCell ref="A58:G58"/>
  </mergeCells>
  <conditionalFormatting sqref="F2:F3 F5:F45 F47 F49:F50 F59 F52:F57 F71:F65533">
    <cfRule type="cellIs" dxfId="45" priority="2" stopIfTrue="1" operator="between">
      <formula>0.009</formula>
      <formula>-0.009</formula>
    </cfRule>
  </conditionalFormatting>
  <conditionalFormatting sqref="F61:F70">
    <cfRule type="cellIs" dxfId="44" priority="1" stopIfTrue="1" operator="between">
      <formula>0.009</formula>
      <formula>-0.009</formula>
    </cfRule>
  </conditionalFormatting>
  <hyperlinks>
    <hyperlink ref="A44" r:id="rId1" tooltip="https://www.franklintempletonindia.com/investor/reports" xr:uid="{00000000-0004-0000-1500-000000000000}"/>
    <hyperlink ref="A49" r:id="rId2" tooltip="https://www.franklintempletonindia.com/downloadsServlet/pdf/fair-valuation-reliance-big-reliance-infra-november-4-2020-kgox4tfq" xr:uid="{00000000-0004-0000-1500-000001000000}"/>
    <hyperlink ref="A54" r:id="rId3" tooltip="https://www.franklintempletonindia.com/downloadsServlet/pdf/product-labels-jg9o5k7l" xr:uid="{00000000-0004-0000-1500-000002000000}"/>
    <hyperlink ref="A93" r:id="rId4" tooltip="https://www.franklintempletonindia.com/downloadsServlet/pdf/product-labels-jg9o5k7l" xr:uid="{00000000-0004-0000-1500-000003000000}"/>
    <hyperlink ref="A90" r:id="rId5" xr:uid="{00000000-0004-0000-15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60"/>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69" t="s">
        <v>1129</v>
      </c>
      <c r="B1" s="70"/>
      <c r="C1" s="70"/>
      <c r="D1" s="70"/>
      <c r="E1" s="70"/>
      <c r="F1" s="70"/>
      <c r="G1" s="70"/>
      <c r="H1" s="70"/>
    </row>
    <row r="2" spans="1:9" s="1" customFormat="1" ht="12" x14ac:dyDescent="0.25">
      <c r="A2" s="58" t="s">
        <v>1067</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c r="H4" s="15" t="s">
        <v>1130</v>
      </c>
    </row>
    <row r="5" spans="1:9" x14ac:dyDescent="0.2">
      <c r="A5" s="21" t="s">
        <v>31</v>
      </c>
      <c r="B5" s="22"/>
      <c r="C5" s="22"/>
      <c r="D5" s="23"/>
      <c r="E5" s="24"/>
      <c r="F5" s="25"/>
      <c r="G5" s="24"/>
      <c r="H5" s="24"/>
    </row>
    <row r="6" spans="1:9" x14ac:dyDescent="0.2">
      <c r="A6" s="26" t="s">
        <v>32</v>
      </c>
      <c r="B6" s="27"/>
      <c r="C6" s="27"/>
      <c r="D6" s="28"/>
      <c r="E6" s="29"/>
      <c r="F6" s="30"/>
      <c r="G6" s="29"/>
      <c r="H6" s="29"/>
    </row>
    <row r="7" spans="1:9" x14ac:dyDescent="0.2">
      <c r="A7" s="27" t="s">
        <v>1131</v>
      </c>
      <c r="B7" s="27" t="s">
        <v>1132</v>
      </c>
      <c r="C7" s="27" t="s">
        <v>1078</v>
      </c>
      <c r="D7" s="31">
        <v>11135</v>
      </c>
      <c r="E7" s="29">
        <v>23826.672999999999</v>
      </c>
      <c r="F7" s="30">
        <v>21.668065677213999</v>
      </c>
      <c r="G7" s="29">
        <v>8.2943999999999996</v>
      </c>
      <c r="H7" s="29"/>
    </row>
    <row r="8" spans="1:9" x14ac:dyDescent="0.2">
      <c r="A8" s="27" t="s">
        <v>1133</v>
      </c>
      <c r="B8" s="27" t="s">
        <v>1134</v>
      </c>
      <c r="C8" s="27" t="s">
        <v>1078</v>
      </c>
      <c r="D8" s="31">
        <v>10675</v>
      </c>
      <c r="E8" s="29">
        <v>22650.876850000001</v>
      </c>
      <c r="F8" s="30">
        <v>20.598792254054398</v>
      </c>
      <c r="G8" s="29">
        <v>7.915</v>
      </c>
      <c r="H8" s="29"/>
    </row>
    <row r="9" spans="1:9" x14ac:dyDescent="0.2">
      <c r="A9" s="27" t="s">
        <v>1088</v>
      </c>
      <c r="B9" s="27" t="s">
        <v>1084</v>
      </c>
      <c r="C9" s="27" t="s">
        <v>1085</v>
      </c>
      <c r="D9" s="31">
        <v>3100</v>
      </c>
      <c r="E9" s="29">
        <v>18051.238000000001</v>
      </c>
      <c r="F9" s="30">
        <v>16.415863454332101</v>
      </c>
      <c r="G9" s="29">
        <v>22.0794</v>
      </c>
      <c r="H9" s="29"/>
    </row>
    <row r="10" spans="1:9" x14ac:dyDescent="0.2">
      <c r="A10" s="27" t="s">
        <v>1073</v>
      </c>
      <c r="B10" s="27" t="s">
        <v>1074</v>
      </c>
      <c r="C10" s="27" t="s">
        <v>1075</v>
      </c>
      <c r="D10" s="31">
        <v>1768</v>
      </c>
      <c r="E10" s="29">
        <v>17547.435359999999</v>
      </c>
      <c r="F10" s="30">
        <v>15.957703446349701</v>
      </c>
      <c r="G10" s="29">
        <v>13.3954</v>
      </c>
      <c r="H10" s="29"/>
    </row>
    <row r="11" spans="1:9" x14ac:dyDescent="0.2">
      <c r="A11" s="27" t="s">
        <v>1089</v>
      </c>
      <c r="B11" s="27" t="s">
        <v>1090</v>
      </c>
      <c r="C11" s="27" t="s">
        <v>1078</v>
      </c>
      <c r="D11" s="31">
        <v>1349</v>
      </c>
      <c r="E11" s="29">
        <v>6788.9099500000002</v>
      </c>
      <c r="F11" s="30">
        <v>6.1738601387315697</v>
      </c>
      <c r="G11" s="29">
        <v>7.7878999999999996</v>
      </c>
      <c r="H11" s="29"/>
    </row>
    <row r="12" spans="1:9" x14ac:dyDescent="0.2">
      <c r="A12" s="27" t="s">
        <v>1083</v>
      </c>
      <c r="B12" s="27" t="s">
        <v>1084</v>
      </c>
      <c r="C12" s="27" t="s">
        <v>1085</v>
      </c>
      <c r="D12" s="31">
        <v>1000</v>
      </c>
      <c r="E12" s="29">
        <v>5822.98</v>
      </c>
      <c r="F12" s="30">
        <v>5.2954398239780902</v>
      </c>
      <c r="G12" s="29">
        <v>22.0794</v>
      </c>
      <c r="H12" s="29"/>
    </row>
    <row r="13" spans="1:9" x14ac:dyDescent="0.2">
      <c r="A13" s="27" t="s">
        <v>1086</v>
      </c>
      <c r="B13" s="27" t="s">
        <v>1087</v>
      </c>
      <c r="C13" s="27" t="s">
        <v>33</v>
      </c>
      <c r="D13" s="31">
        <v>538</v>
      </c>
      <c r="E13" s="29">
        <v>5587.9208600000002</v>
      </c>
      <c r="F13" s="30">
        <v>5.0816761615670902</v>
      </c>
      <c r="G13" s="29">
        <v>10.0649</v>
      </c>
      <c r="H13" s="29"/>
    </row>
    <row r="14" spans="1:9" x14ac:dyDescent="0.2">
      <c r="A14" s="27" t="s">
        <v>1135</v>
      </c>
      <c r="B14" s="27" t="s">
        <v>1136</v>
      </c>
      <c r="C14" s="27" t="s">
        <v>1078</v>
      </c>
      <c r="D14" s="31">
        <v>2125</v>
      </c>
      <c r="E14" s="29">
        <v>4540.4790000000003</v>
      </c>
      <c r="F14" s="30">
        <v>4.12912861052867</v>
      </c>
      <c r="G14" s="29">
        <v>8.7750000000000004</v>
      </c>
      <c r="H14" s="29"/>
    </row>
    <row r="15" spans="1:9" ht="14.4" x14ac:dyDescent="0.3">
      <c r="A15" s="27" t="s">
        <v>1137</v>
      </c>
      <c r="B15" s="27" t="s">
        <v>1138</v>
      </c>
      <c r="C15" s="27" t="s">
        <v>1085</v>
      </c>
      <c r="D15" s="31">
        <v>1400</v>
      </c>
      <c r="E15" s="29">
        <v>1422.0192</v>
      </c>
      <c r="F15" s="30">
        <v>1.29318958714292</v>
      </c>
      <c r="G15" s="29">
        <v>9.6773000000000007</v>
      </c>
      <c r="H15" s="29">
        <v>2.3853608862</v>
      </c>
      <c r="I15"/>
    </row>
    <row r="16" spans="1:9" x14ac:dyDescent="0.2">
      <c r="A16" s="27" t="s">
        <v>1123</v>
      </c>
      <c r="B16" s="27" t="s">
        <v>1124</v>
      </c>
      <c r="C16" s="27" t="s">
        <v>1078</v>
      </c>
      <c r="D16" s="31">
        <v>350</v>
      </c>
      <c r="E16" s="29">
        <v>877.50250000000005</v>
      </c>
      <c r="F16" s="30">
        <v>0.798004060487987</v>
      </c>
      <c r="G16" s="29">
        <v>7.5133000000000001</v>
      </c>
      <c r="H16" s="29"/>
    </row>
    <row r="17" spans="1:9" x14ac:dyDescent="0.2">
      <c r="A17" s="26" t="s">
        <v>34</v>
      </c>
      <c r="B17" s="26"/>
      <c r="C17" s="26"/>
      <c r="D17" s="32"/>
      <c r="E17" s="33">
        <f>SUM(E6:E16)</f>
        <v>107116.03472</v>
      </c>
      <c r="F17" s="34">
        <f>SUM(F6:F16)</f>
        <v>97.411723214386512</v>
      </c>
      <c r="G17" s="33"/>
      <c r="H17" s="33"/>
      <c r="I17" s="18"/>
    </row>
    <row r="18" spans="1:9" x14ac:dyDescent="0.2">
      <c r="A18" s="27"/>
      <c r="B18" s="27"/>
      <c r="C18" s="27"/>
      <c r="D18" s="28"/>
      <c r="E18" s="29"/>
      <c r="F18" s="30"/>
      <c r="G18" s="29"/>
      <c r="H18" s="29"/>
    </row>
    <row r="19" spans="1:9" x14ac:dyDescent="0.2">
      <c r="A19" s="26" t="s">
        <v>1051</v>
      </c>
      <c r="B19" s="27"/>
      <c r="C19" s="27"/>
      <c r="D19" s="28"/>
      <c r="E19" s="29"/>
      <c r="F19" s="30"/>
      <c r="G19" s="29"/>
      <c r="H19" s="29"/>
    </row>
    <row r="20" spans="1:9" x14ac:dyDescent="0.2">
      <c r="A20" s="27" t="s">
        <v>1055</v>
      </c>
      <c r="B20" s="27" t="s">
        <v>1056</v>
      </c>
      <c r="C20" s="27" t="s">
        <v>52</v>
      </c>
      <c r="D20" s="31">
        <v>13</v>
      </c>
      <c r="E20" s="29">
        <v>130.01443</v>
      </c>
      <c r="F20" s="30">
        <v>0.11823560965584801</v>
      </c>
      <c r="G20" s="29">
        <v>3.8332999999999999</v>
      </c>
      <c r="H20" s="29"/>
    </row>
    <row r="21" spans="1:9" x14ac:dyDescent="0.2">
      <c r="A21" s="27" t="s">
        <v>1094</v>
      </c>
      <c r="B21" s="27" t="s">
        <v>1095</v>
      </c>
      <c r="C21" s="27" t="s">
        <v>1093</v>
      </c>
      <c r="D21" s="31">
        <v>1000</v>
      </c>
      <c r="E21" s="29">
        <v>0</v>
      </c>
      <c r="F21" s="29">
        <v>0</v>
      </c>
      <c r="G21" s="29">
        <v>0</v>
      </c>
      <c r="H21" s="29"/>
    </row>
    <row r="22" spans="1:9" x14ac:dyDescent="0.2">
      <c r="A22" s="27" t="s">
        <v>1139</v>
      </c>
      <c r="B22" s="27" t="s">
        <v>1140</v>
      </c>
      <c r="C22" s="27" t="s">
        <v>1093</v>
      </c>
      <c r="D22" s="31">
        <v>800</v>
      </c>
      <c r="E22" s="29">
        <v>0</v>
      </c>
      <c r="F22" s="29">
        <v>0</v>
      </c>
      <c r="G22" s="29">
        <v>0</v>
      </c>
      <c r="H22" s="29"/>
    </row>
    <row r="23" spans="1:9" x14ac:dyDescent="0.2">
      <c r="A23" s="27" t="s">
        <v>1141</v>
      </c>
      <c r="B23" s="27" t="s">
        <v>1142</v>
      </c>
      <c r="C23" s="27" t="s">
        <v>1093</v>
      </c>
      <c r="D23" s="31">
        <v>500</v>
      </c>
      <c r="E23" s="29">
        <v>0</v>
      </c>
      <c r="F23" s="29">
        <v>0</v>
      </c>
      <c r="G23" s="29">
        <v>0</v>
      </c>
      <c r="H23" s="29"/>
    </row>
    <row r="24" spans="1:9" x14ac:dyDescent="0.2">
      <c r="A24" s="27" t="s">
        <v>1143</v>
      </c>
      <c r="B24" s="27" t="s">
        <v>1144</v>
      </c>
      <c r="C24" s="27" t="s">
        <v>1093</v>
      </c>
      <c r="D24" s="31">
        <v>375</v>
      </c>
      <c r="E24" s="29">
        <v>0</v>
      </c>
      <c r="F24" s="29">
        <v>0</v>
      </c>
      <c r="G24" s="29">
        <v>0</v>
      </c>
      <c r="H24" s="29"/>
    </row>
    <row r="25" spans="1:9" x14ac:dyDescent="0.2">
      <c r="A25" s="27" t="s">
        <v>1145</v>
      </c>
      <c r="B25" s="27" t="s">
        <v>1146</v>
      </c>
      <c r="C25" s="27" t="s">
        <v>1093</v>
      </c>
      <c r="D25" s="31">
        <v>350</v>
      </c>
      <c r="E25" s="29">
        <v>0</v>
      </c>
      <c r="F25" s="29">
        <v>0</v>
      </c>
      <c r="G25" s="29">
        <v>0</v>
      </c>
      <c r="H25" s="29"/>
    </row>
    <row r="26" spans="1:9" x14ac:dyDescent="0.2">
      <c r="A26" s="27" t="s">
        <v>1147</v>
      </c>
      <c r="B26" s="27" t="s">
        <v>1148</v>
      </c>
      <c r="C26" s="27" t="s">
        <v>1093</v>
      </c>
      <c r="D26" s="31">
        <v>300</v>
      </c>
      <c r="E26" s="29">
        <v>0</v>
      </c>
      <c r="F26" s="29">
        <v>0</v>
      </c>
      <c r="G26" s="29">
        <v>0</v>
      </c>
      <c r="H26" s="29"/>
    </row>
    <row r="27" spans="1:9" x14ac:dyDescent="0.2">
      <c r="A27" s="27" t="s">
        <v>1149</v>
      </c>
      <c r="B27" s="27" t="s">
        <v>1150</v>
      </c>
      <c r="C27" s="27" t="s">
        <v>1093</v>
      </c>
      <c r="D27" s="31">
        <v>200</v>
      </c>
      <c r="E27" s="29">
        <v>0</v>
      </c>
      <c r="F27" s="29">
        <v>0</v>
      </c>
      <c r="G27" s="29">
        <v>0</v>
      </c>
      <c r="H27" s="29"/>
    </row>
    <row r="28" spans="1:9" x14ac:dyDescent="0.2">
      <c r="A28" s="26" t="s">
        <v>34</v>
      </c>
      <c r="B28" s="26"/>
      <c r="C28" s="26"/>
      <c r="D28" s="32"/>
      <c r="E28" s="33">
        <f>SUM(E19:E27)</f>
        <v>130.01443</v>
      </c>
      <c r="F28" s="34">
        <f>SUM(F19:F27)</f>
        <v>0.11823560965584801</v>
      </c>
      <c r="G28" s="33"/>
      <c r="H28" s="33"/>
      <c r="I28" s="18"/>
    </row>
    <row r="29" spans="1:9" x14ac:dyDescent="0.2">
      <c r="A29" s="27"/>
      <c r="B29" s="27"/>
      <c r="C29" s="27"/>
      <c r="D29" s="28"/>
      <c r="E29" s="29"/>
      <c r="F29" s="30"/>
      <c r="G29" s="29"/>
      <c r="H29" s="29"/>
    </row>
    <row r="30" spans="1:9" x14ac:dyDescent="0.2">
      <c r="A30" s="26" t="s">
        <v>35</v>
      </c>
      <c r="B30" s="27"/>
      <c r="C30" s="27"/>
      <c r="D30" s="28"/>
      <c r="E30" s="29"/>
      <c r="F30" s="30"/>
      <c r="G30" s="29"/>
      <c r="H30" s="29"/>
    </row>
    <row r="31" spans="1:9" x14ac:dyDescent="0.2">
      <c r="A31" s="27" t="s">
        <v>1098</v>
      </c>
      <c r="B31" s="27" t="s">
        <v>1099</v>
      </c>
      <c r="C31" s="27" t="s">
        <v>1100</v>
      </c>
      <c r="D31" s="31">
        <v>2804776.0290000001</v>
      </c>
      <c r="E31" s="29">
        <v>95250.449179999996</v>
      </c>
      <c r="F31" s="30">
        <v>86.621115277671194</v>
      </c>
      <c r="G31" s="29">
        <v>3.0154000000000001</v>
      </c>
      <c r="H31" s="29"/>
    </row>
    <row r="32" spans="1:9" x14ac:dyDescent="0.2">
      <c r="A32" s="26" t="s">
        <v>34</v>
      </c>
      <c r="B32" s="26"/>
      <c r="C32" s="26"/>
      <c r="D32" s="32"/>
      <c r="E32" s="33">
        <f>SUM(E31:E31)</f>
        <v>95250.449179999996</v>
      </c>
      <c r="F32" s="34">
        <f>SUM(F31:F31)</f>
        <v>86.621115277671194</v>
      </c>
      <c r="G32" s="33"/>
      <c r="H32" s="33"/>
      <c r="I32" s="18"/>
    </row>
    <row r="33" spans="1:9" x14ac:dyDescent="0.2">
      <c r="A33" s="27"/>
      <c r="B33" s="27"/>
      <c r="C33" s="27"/>
      <c r="D33" s="28"/>
      <c r="E33" s="29"/>
      <c r="F33" s="30"/>
      <c r="G33" s="29"/>
      <c r="H33" s="29"/>
    </row>
    <row r="34" spans="1:9" x14ac:dyDescent="0.2">
      <c r="A34" s="26" t="s">
        <v>36</v>
      </c>
      <c r="B34" s="26"/>
      <c r="C34" s="26"/>
      <c r="D34" s="32"/>
      <c r="E34" s="33">
        <f>E17+E28+E32</f>
        <v>202496.49832999997</v>
      </c>
      <c r="F34" s="34">
        <f>F17+F28+F32</f>
        <v>184.15107410171356</v>
      </c>
      <c r="G34" s="33"/>
      <c r="H34" s="33"/>
      <c r="I34" s="18"/>
    </row>
    <row r="35" spans="1:9" x14ac:dyDescent="0.2">
      <c r="A35" s="26"/>
      <c r="B35" s="26"/>
      <c r="C35" s="26"/>
      <c r="D35" s="32"/>
      <c r="E35" s="33"/>
      <c r="F35" s="34"/>
      <c r="G35" s="33"/>
      <c r="H35" s="33"/>
      <c r="I35" s="18"/>
    </row>
    <row r="36" spans="1:9" x14ac:dyDescent="0.2">
      <c r="A36" s="26" t="s">
        <v>38</v>
      </c>
      <c r="B36" s="26"/>
      <c r="C36" s="26"/>
      <c r="D36" s="32"/>
      <c r="E36" s="33">
        <f>E38-(E17+E28+E32)</f>
        <v>-92534.33855559997</v>
      </c>
      <c r="F36" s="34">
        <f>F38-(F17+F28+F32)</f>
        <v>-84.151074101713562</v>
      </c>
      <c r="G36" s="33"/>
      <c r="H36" s="33"/>
      <c r="I36" s="18"/>
    </row>
    <row r="37" spans="1:9" x14ac:dyDescent="0.2">
      <c r="A37" s="26"/>
      <c r="B37" s="26"/>
      <c r="C37" s="26"/>
      <c r="D37" s="32"/>
      <c r="E37" s="33"/>
      <c r="F37" s="34"/>
      <c r="G37" s="33"/>
      <c r="H37" s="33"/>
      <c r="I37" s="18"/>
    </row>
    <row r="38" spans="1:9" x14ac:dyDescent="0.2">
      <c r="A38" s="35" t="s">
        <v>37</v>
      </c>
      <c r="B38" s="35"/>
      <c r="C38" s="35"/>
      <c r="D38" s="36"/>
      <c r="E38" s="37">
        <v>109962.1597744</v>
      </c>
      <c r="F38" s="38">
        <v>100</v>
      </c>
      <c r="G38" s="37"/>
      <c r="H38" s="37"/>
      <c r="I38" s="18"/>
    </row>
    <row r="40" spans="1:9" x14ac:dyDescent="0.2">
      <c r="A40" s="18" t="s">
        <v>39</v>
      </c>
    </row>
    <row r="41" spans="1:9" x14ac:dyDescent="0.2">
      <c r="A41" s="18" t="s">
        <v>1101</v>
      </c>
    </row>
    <row r="42" spans="1:9" x14ac:dyDescent="0.2">
      <c r="A42" s="18"/>
    </row>
    <row r="43" spans="1:9" x14ac:dyDescent="0.2">
      <c r="A43" s="18" t="s">
        <v>40</v>
      </c>
    </row>
    <row r="44" spans="1:9" x14ac:dyDescent="0.2">
      <c r="A44" s="18" t="s">
        <v>41</v>
      </c>
    </row>
    <row r="45" spans="1:9" x14ac:dyDescent="0.2">
      <c r="A45" s="18" t="s">
        <v>42</v>
      </c>
      <c r="B45" s="18"/>
      <c r="C45" s="39" t="s">
        <v>44</v>
      </c>
      <c r="D45" s="19" t="s">
        <v>43</v>
      </c>
    </row>
    <row r="46" spans="1:9" x14ac:dyDescent="0.2">
      <c r="A46" s="9" t="s">
        <v>848</v>
      </c>
      <c r="C46" s="40">
        <v>3928.0680000000002</v>
      </c>
      <c r="D46" s="40">
        <v>4021.2338</v>
      </c>
    </row>
    <row r="47" spans="1:9" x14ac:dyDescent="0.2">
      <c r="A47" s="9" t="s">
        <v>1151</v>
      </c>
      <c r="C47" s="40">
        <v>992.79780000000005</v>
      </c>
      <c r="D47" s="40">
        <v>1016.3439</v>
      </c>
    </row>
    <row r="48" spans="1:9" x14ac:dyDescent="0.2">
      <c r="A48" s="9" t="s">
        <v>850</v>
      </c>
      <c r="C48" s="40">
        <v>1096.0977</v>
      </c>
      <c r="D48" s="40">
        <v>1122.0941</v>
      </c>
    </row>
    <row r="49" spans="1:5" x14ac:dyDescent="0.2">
      <c r="A49" s="9" t="s">
        <v>851</v>
      </c>
      <c r="C49" s="40">
        <v>1140.2804000000001</v>
      </c>
      <c r="D49" s="40">
        <v>1167.3245999999999</v>
      </c>
    </row>
    <row r="50" spans="1:5" x14ac:dyDescent="0.2">
      <c r="A50" s="9" t="s">
        <v>1152</v>
      </c>
      <c r="C50" s="40">
        <v>3253.5129999999999</v>
      </c>
      <c r="D50" s="40">
        <v>3328.2507999999998</v>
      </c>
    </row>
    <row r="51" spans="1:5" x14ac:dyDescent="0.2">
      <c r="A51" s="9" t="s">
        <v>852</v>
      </c>
      <c r="C51" s="40">
        <v>4182.6857</v>
      </c>
      <c r="D51" s="40">
        <v>4281.2286999999997</v>
      </c>
    </row>
    <row r="52" spans="1:5" x14ac:dyDescent="0.2">
      <c r="A52" s="9" t="s">
        <v>1153</v>
      </c>
      <c r="C52" s="40">
        <v>1003.7267000000001</v>
      </c>
      <c r="D52" s="40">
        <v>1027.3734999999999</v>
      </c>
    </row>
    <row r="53" spans="1:5" x14ac:dyDescent="0.2">
      <c r="A53" s="9" t="s">
        <v>854</v>
      </c>
      <c r="C53" s="40">
        <v>1186.1420000000001</v>
      </c>
      <c r="D53" s="40">
        <v>1214.0862999999999</v>
      </c>
    </row>
    <row r="54" spans="1:5" x14ac:dyDescent="0.2">
      <c r="A54" s="9" t="s">
        <v>855</v>
      </c>
      <c r="C54" s="40">
        <v>1235.6297</v>
      </c>
      <c r="D54" s="40">
        <v>1264.7402</v>
      </c>
    </row>
    <row r="56" spans="1:5" x14ac:dyDescent="0.2">
      <c r="A56" s="9" t="s">
        <v>45</v>
      </c>
    </row>
    <row r="58" spans="1:5" x14ac:dyDescent="0.2">
      <c r="A58" s="18" t="s">
        <v>46</v>
      </c>
      <c r="D58" s="41" t="s">
        <v>47</v>
      </c>
    </row>
    <row r="60" spans="1:5" x14ac:dyDescent="0.2">
      <c r="A60" s="18" t="s">
        <v>805</v>
      </c>
      <c r="D60" s="42">
        <v>3.0487763874520599</v>
      </c>
      <c r="E60" s="13" t="s">
        <v>48</v>
      </c>
    </row>
    <row r="62" spans="1:5" x14ac:dyDescent="0.2">
      <c r="A62" s="18" t="s">
        <v>49</v>
      </c>
      <c r="D62" s="41" t="s">
        <v>47</v>
      </c>
    </row>
    <row r="63" spans="1:5" x14ac:dyDescent="0.2">
      <c r="A63" s="9" t="s">
        <v>53</v>
      </c>
    </row>
    <row r="64" spans="1:5" x14ac:dyDescent="0.2">
      <c r="A64" s="46" t="s">
        <v>1102</v>
      </c>
    </row>
    <row r="66" spans="1:7" ht="26.25" customHeight="1" x14ac:dyDescent="0.2">
      <c r="A66" s="78" t="s">
        <v>1154</v>
      </c>
      <c r="B66" s="79"/>
      <c r="C66" s="79"/>
      <c r="D66" s="79"/>
      <c r="E66" s="79"/>
      <c r="F66" s="79"/>
      <c r="G66" s="79"/>
    </row>
    <row r="68" spans="1:7" x14ac:dyDescent="0.2">
      <c r="A68" s="18" t="s">
        <v>1155</v>
      </c>
    </row>
    <row r="69" spans="1:7" x14ac:dyDescent="0.2">
      <c r="A69" s="46" t="s">
        <v>964</v>
      </c>
    </row>
    <row r="71" spans="1:7" ht="83.25" customHeight="1" x14ac:dyDescent="0.2">
      <c r="A71" s="78" t="s">
        <v>1156</v>
      </c>
      <c r="B71" s="79"/>
      <c r="C71" s="79"/>
      <c r="D71" s="79"/>
      <c r="E71" s="79"/>
      <c r="F71" s="79"/>
      <c r="G71" s="79"/>
    </row>
    <row r="73" spans="1:7" ht="38.25" customHeight="1" x14ac:dyDescent="0.3">
      <c r="A73" s="74" t="s">
        <v>1157</v>
      </c>
      <c r="B73" s="75"/>
      <c r="C73" s="75"/>
      <c r="D73" s="75"/>
      <c r="E73" s="75"/>
      <c r="F73" s="75"/>
      <c r="G73" s="75"/>
    </row>
    <row r="74" spans="1:7" x14ac:dyDescent="0.2">
      <c r="A74" s="46" t="s">
        <v>1106</v>
      </c>
    </row>
    <row r="76" spans="1:7" ht="24" customHeight="1" x14ac:dyDescent="0.3">
      <c r="A76" s="74" t="s">
        <v>1158</v>
      </c>
      <c r="B76" s="75"/>
      <c r="C76" s="75"/>
      <c r="D76" s="75"/>
      <c r="E76" s="75"/>
      <c r="F76" s="75"/>
      <c r="G76" s="75"/>
    </row>
    <row r="78" spans="1:7" x14ac:dyDescent="0.2">
      <c r="A78" s="18" t="s">
        <v>1159</v>
      </c>
    </row>
    <row r="79" spans="1:7" x14ac:dyDescent="0.2">
      <c r="A79" s="46" t="s">
        <v>51</v>
      </c>
    </row>
    <row r="81" spans="1:9" x14ac:dyDescent="0.2">
      <c r="A81" s="18" t="s">
        <v>727</v>
      </c>
    </row>
    <row r="83" spans="1:9" s="1" customFormat="1" ht="13.8" x14ac:dyDescent="0.2">
      <c r="A83" s="69" t="s">
        <v>1160</v>
      </c>
      <c r="B83" s="70"/>
      <c r="C83" s="70"/>
      <c r="D83" s="70"/>
      <c r="E83" s="70"/>
      <c r="F83" s="70"/>
      <c r="G83" s="70"/>
    </row>
    <row r="84" spans="1:9" x14ac:dyDescent="0.2">
      <c r="A84" s="18" t="s">
        <v>7</v>
      </c>
    </row>
    <row r="85" spans="1:9" s="1" customFormat="1" ht="17.399999999999999" customHeight="1" x14ac:dyDescent="0.2">
      <c r="A85" s="8" t="s">
        <v>2</v>
      </c>
      <c r="B85" s="8" t="s">
        <v>0</v>
      </c>
      <c r="C85" s="17" t="s">
        <v>745</v>
      </c>
      <c r="D85" s="16" t="s">
        <v>1</v>
      </c>
      <c r="E85" s="15" t="s">
        <v>3</v>
      </c>
      <c r="F85" s="15" t="s">
        <v>4</v>
      </c>
      <c r="G85" s="15" t="s">
        <v>6</v>
      </c>
    </row>
    <row r="86" spans="1:9" x14ac:dyDescent="0.2">
      <c r="A86" s="21" t="s">
        <v>31</v>
      </c>
      <c r="B86" s="22"/>
      <c r="C86" s="22"/>
      <c r="D86" s="23"/>
      <c r="E86" s="24"/>
      <c r="F86" s="25"/>
      <c r="G86" s="24"/>
    </row>
    <row r="87" spans="1:9" x14ac:dyDescent="0.2">
      <c r="A87" s="26" t="s">
        <v>32</v>
      </c>
      <c r="B87" s="27"/>
      <c r="C87" s="27"/>
      <c r="D87" s="28"/>
      <c r="E87" s="29"/>
      <c r="F87" s="30"/>
      <c r="G87" s="29"/>
    </row>
    <row r="88" spans="1:9" x14ac:dyDescent="0.2">
      <c r="A88" s="27" t="s">
        <v>1110</v>
      </c>
      <c r="B88" s="27" t="s">
        <v>1111</v>
      </c>
      <c r="C88" s="27" t="s">
        <v>1112</v>
      </c>
      <c r="D88" s="31">
        <v>5230</v>
      </c>
      <c r="E88" s="29">
        <v>0</v>
      </c>
      <c r="F88" s="30">
        <v>100</v>
      </c>
      <c r="G88" s="29">
        <v>0</v>
      </c>
    </row>
    <row r="89" spans="1:9" x14ac:dyDescent="0.2">
      <c r="A89" s="26" t="s">
        <v>34</v>
      </c>
      <c r="B89" s="26"/>
      <c r="C89" s="26"/>
      <c r="D89" s="32"/>
      <c r="E89" s="33">
        <f>SUM(E87:E88)</f>
        <v>0</v>
      </c>
      <c r="F89" s="34">
        <f>SUM(F87:F88)</f>
        <v>100</v>
      </c>
      <c r="G89" s="33"/>
      <c r="H89" s="18"/>
      <c r="I89" s="18"/>
    </row>
    <row r="90" spans="1:9" x14ac:dyDescent="0.2">
      <c r="A90" s="27"/>
      <c r="B90" s="27"/>
      <c r="C90" s="27"/>
      <c r="D90" s="28"/>
      <c r="E90" s="29"/>
      <c r="F90" s="30"/>
      <c r="G90" s="29"/>
    </row>
    <row r="91" spans="1:9" x14ac:dyDescent="0.2">
      <c r="A91" s="26" t="s">
        <v>36</v>
      </c>
      <c r="B91" s="26"/>
      <c r="C91" s="26"/>
      <c r="D91" s="32"/>
      <c r="E91" s="33">
        <f>E89</f>
        <v>0</v>
      </c>
      <c r="F91" s="34">
        <f>F89</f>
        <v>100</v>
      </c>
      <c r="G91" s="33"/>
      <c r="H91" s="18"/>
      <c r="I91" s="18"/>
    </row>
    <row r="92" spans="1:9" x14ac:dyDescent="0.2">
      <c r="A92" s="26"/>
      <c r="B92" s="26"/>
      <c r="C92" s="26"/>
      <c r="D92" s="32"/>
      <c r="E92" s="33"/>
      <c r="F92" s="34"/>
      <c r="G92" s="33"/>
      <c r="H92" s="18"/>
      <c r="I92" s="18"/>
    </row>
    <row r="93" spans="1:9" x14ac:dyDescent="0.2">
      <c r="A93" s="26" t="s">
        <v>38</v>
      </c>
      <c r="B93" s="26"/>
      <c r="C93" s="26"/>
      <c r="D93" s="32"/>
      <c r="E93" s="33">
        <f>E95-(E89)</f>
        <v>8.9999999999999996E-7</v>
      </c>
      <c r="F93" s="34">
        <v>0</v>
      </c>
      <c r="G93" s="33"/>
      <c r="H93" s="18"/>
      <c r="I93" s="18"/>
    </row>
    <row r="94" spans="1:9" x14ac:dyDescent="0.2">
      <c r="A94" s="26"/>
      <c r="B94" s="26"/>
      <c r="C94" s="26"/>
      <c r="D94" s="32"/>
      <c r="E94" s="33"/>
      <c r="F94" s="34"/>
      <c r="G94" s="33"/>
      <c r="H94" s="18"/>
      <c r="I94" s="18"/>
    </row>
    <row r="95" spans="1:9" x14ac:dyDescent="0.2">
      <c r="A95" s="35" t="s">
        <v>37</v>
      </c>
      <c r="B95" s="35"/>
      <c r="C95" s="35"/>
      <c r="D95" s="36"/>
      <c r="E95" s="37">
        <v>8.9999999999999996E-7</v>
      </c>
      <c r="F95" s="38">
        <v>100</v>
      </c>
      <c r="G95" s="37"/>
      <c r="H95" s="18"/>
      <c r="I95" s="18"/>
    </row>
    <row r="97" spans="1:4" x14ac:dyDescent="0.2">
      <c r="A97" s="18" t="s">
        <v>39</v>
      </c>
    </row>
    <row r="98" spans="1:4" x14ac:dyDescent="0.2">
      <c r="A98" s="53" t="s">
        <v>1101</v>
      </c>
    </row>
    <row r="99" spans="1:4" x14ac:dyDescent="0.2">
      <c r="A99" s="18" t="s">
        <v>1113</v>
      </c>
    </row>
    <row r="100" spans="1:4" x14ac:dyDescent="0.2">
      <c r="A100" s="53"/>
    </row>
    <row r="101" spans="1:4" x14ac:dyDescent="0.2">
      <c r="A101" s="18" t="s">
        <v>40</v>
      </c>
    </row>
    <row r="102" spans="1:4" x14ac:dyDescent="0.2">
      <c r="A102" s="18" t="s">
        <v>41</v>
      </c>
    </row>
    <row r="103" spans="1:4" x14ac:dyDescent="0.2">
      <c r="A103" s="18" t="s">
        <v>42</v>
      </c>
      <c r="B103" s="18"/>
      <c r="C103" s="39" t="s">
        <v>44</v>
      </c>
      <c r="D103" s="19" t="s">
        <v>43</v>
      </c>
    </row>
    <row r="104" spans="1:4" x14ac:dyDescent="0.2">
      <c r="A104" s="9" t="s">
        <v>848</v>
      </c>
      <c r="C104" s="40">
        <v>0</v>
      </c>
      <c r="D104" s="40">
        <v>0</v>
      </c>
    </row>
    <row r="105" spans="1:4" x14ac:dyDescent="0.2">
      <c r="A105" s="9" t="s">
        <v>1151</v>
      </c>
      <c r="C105" s="40">
        <v>0</v>
      </c>
      <c r="D105" s="40">
        <v>0</v>
      </c>
    </row>
    <row r="106" spans="1:4" x14ac:dyDescent="0.2">
      <c r="A106" s="9" t="s">
        <v>850</v>
      </c>
      <c r="C106" s="40">
        <v>0</v>
      </c>
      <c r="D106" s="40">
        <v>0</v>
      </c>
    </row>
    <row r="107" spans="1:4" x14ac:dyDescent="0.2">
      <c r="A107" s="9" t="s">
        <v>851</v>
      </c>
      <c r="C107" s="40">
        <v>0</v>
      </c>
      <c r="D107" s="40">
        <v>0</v>
      </c>
    </row>
    <row r="108" spans="1:4" x14ac:dyDescent="0.2">
      <c r="A108" s="9" t="s">
        <v>1152</v>
      </c>
      <c r="C108" s="40">
        <v>0</v>
      </c>
      <c r="D108" s="40">
        <v>0</v>
      </c>
    </row>
    <row r="109" spans="1:4" x14ac:dyDescent="0.2">
      <c r="A109" s="9" t="s">
        <v>852</v>
      </c>
      <c r="C109" s="40">
        <v>0</v>
      </c>
      <c r="D109" s="40">
        <v>0</v>
      </c>
    </row>
    <row r="110" spans="1:4" x14ac:dyDescent="0.2">
      <c r="A110" s="9" t="s">
        <v>1153</v>
      </c>
      <c r="C110" s="40">
        <v>0</v>
      </c>
      <c r="D110" s="40">
        <v>0</v>
      </c>
    </row>
    <row r="111" spans="1:4" x14ac:dyDescent="0.2">
      <c r="A111" s="9" t="s">
        <v>854</v>
      </c>
      <c r="C111" s="40">
        <v>0</v>
      </c>
      <c r="D111" s="40">
        <v>0</v>
      </c>
    </row>
    <row r="112" spans="1:4" x14ac:dyDescent="0.2">
      <c r="A112" s="9" t="s">
        <v>855</v>
      </c>
      <c r="C112" s="40">
        <v>0</v>
      </c>
      <c r="D112" s="40">
        <v>0</v>
      </c>
    </row>
    <row r="114" spans="1:7" x14ac:dyDescent="0.2">
      <c r="A114" s="9" t="s">
        <v>45</v>
      </c>
    </row>
    <row r="116" spans="1:7" x14ac:dyDescent="0.2">
      <c r="A116" s="18" t="s">
        <v>1193</v>
      </c>
      <c r="D116" s="41" t="s">
        <v>47</v>
      </c>
    </row>
    <row r="117" spans="1:7" x14ac:dyDescent="0.2">
      <c r="A117" s="9" t="s">
        <v>53</v>
      </c>
    </row>
    <row r="118" spans="1:7" x14ac:dyDescent="0.2">
      <c r="A118" s="46" t="s">
        <v>724</v>
      </c>
    </row>
    <row r="120" spans="1:7" x14ac:dyDescent="0.2">
      <c r="A120" s="18" t="s">
        <v>1114</v>
      </c>
    </row>
    <row r="121" spans="1:7" x14ac:dyDescent="0.2">
      <c r="A121" s="46" t="s">
        <v>51</v>
      </c>
    </row>
    <row r="123" spans="1:7" s="1" customFormat="1" ht="13.8" x14ac:dyDescent="0.2">
      <c r="A123" s="69" t="s">
        <v>1161</v>
      </c>
      <c r="B123" s="70"/>
      <c r="C123" s="70"/>
      <c r="D123" s="70"/>
      <c r="E123" s="70"/>
      <c r="F123" s="70"/>
      <c r="G123" s="70"/>
    </row>
    <row r="124" spans="1:7" x14ac:dyDescent="0.2">
      <c r="A124" s="18" t="s">
        <v>7</v>
      </c>
    </row>
    <row r="125" spans="1:7" s="1" customFormat="1" ht="17.399999999999999" customHeight="1" x14ac:dyDescent="0.2">
      <c r="A125" s="8" t="s">
        <v>2</v>
      </c>
      <c r="B125" s="8" t="s">
        <v>0</v>
      </c>
      <c r="C125" s="17" t="s">
        <v>745</v>
      </c>
      <c r="D125" s="16" t="s">
        <v>1</v>
      </c>
      <c r="E125" s="15" t="s">
        <v>3</v>
      </c>
      <c r="F125" s="15" t="s">
        <v>4</v>
      </c>
      <c r="G125" s="15" t="s">
        <v>6</v>
      </c>
    </row>
    <row r="126" spans="1:7" x14ac:dyDescent="0.2">
      <c r="A126" s="21" t="s">
        <v>31</v>
      </c>
      <c r="B126" s="22"/>
      <c r="C126" s="22"/>
      <c r="D126" s="23"/>
      <c r="E126" s="24"/>
      <c r="F126" s="25"/>
      <c r="G126" s="24"/>
    </row>
    <row r="127" spans="1:7" x14ac:dyDescent="0.2">
      <c r="A127" s="26" t="s">
        <v>32</v>
      </c>
      <c r="B127" s="27"/>
      <c r="C127" s="27"/>
      <c r="D127" s="28"/>
      <c r="E127" s="29"/>
      <c r="F127" s="30"/>
      <c r="G127" s="29"/>
    </row>
    <row r="128" spans="1:7" ht="20.399999999999999" x14ac:dyDescent="0.2">
      <c r="A128" s="27" t="s">
        <v>1116</v>
      </c>
      <c r="B128" s="27" t="s">
        <v>1117</v>
      </c>
      <c r="C128" s="47" t="s">
        <v>1118</v>
      </c>
      <c r="D128" s="31">
        <v>3523</v>
      </c>
      <c r="E128" s="29">
        <v>0</v>
      </c>
      <c r="F128" s="30">
        <v>100</v>
      </c>
      <c r="G128" s="29">
        <v>0</v>
      </c>
    </row>
    <row r="129" spans="1:9" x14ac:dyDescent="0.2">
      <c r="A129" s="26" t="s">
        <v>34</v>
      </c>
      <c r="B129" s="26"/>
      <c r="C129" s="26"/>
      <c r="D129" s="32"/>
      <c r="E129" s="33">
        <f>SUM(E127:E128)</f>
        <v>0</v>
      </c>
      <c r="F129" s="34">
        <f>SUM(F127:F128)</f>
        <v>100</v>
      </c>
      <c r="G129" s="33"/>
      <c r="H129" s="18"/>
      <c r="I129" s="18"/>
    </row>
    <row r="130" spans="1:9" x14ac:dyDescent="0.2">
      <c r="A130" s="27"/>
      <c r="B130" s="27"/>
      <c r="C130" s="27"/>
      <c r="D130" s="28"/>
      <c r="E130" s="29"/>
      <c r="F130" s="30"/>
      <c r="G130" s="29"/>
    </row>
    <row r="131" spans="1:9" x14ac:dyDescent="0.2">
      <c r="A131" s="26" t="s">
        <v>36</v>
      </c>
      <c r="B131" s="26"/>
      <c r="C131" s="26"/>
      <c r="D131" s="32"/>
      <c r="E131" s="33">
        <f>E129</f>
        <v>0</v>
      </c>
      <c r="F131" s="34">
        <f>F129</f>
        <v>100</v>
      </c>
      <c r="G131" s="33"/>
      <c r="H131" s="18"/>
      <c r="I131" s="18"/>
    </row>
    <row r="132" spans="1:9" x14ac:dyDescent="0.2">
      <c r="A132" s="26"/>
      <c r="B132" s="26"/>
      <c r="C132" s="26"/>
      <c r="D132" s="32"/>
      <c r="E132" s="33"/>
      <c r="F132" s="34"/>
      <c r="G132" s="33"/>
      <c r="H132" s="18"/>
      <c r="I132" s="18"/>
    </row>
    <row r="133" spans="1:9" x14ac:dyDescent="0.2">
      <c r="A133" s="26" t="s">
        <v>38</v>
      </c>
      <c r="B133" s="26"/>
      <c r="C133" s="26"/>
      <c r="D133" s="32"/>
      <c r="E133" s="33">
        <f>E135-(E129)</f>
        <v>8.9999999999999996E-7</v>
      </c>
      <c r="F133" s="34">
        <v>0</v>
      </c>
      <c r="G133" s="33"/>
      <c r="H133" s="18"/>
      <c r="I133" s="18"/>
    </row>
    <row r="134" spans="1:9" x14ac:dyDescent="0.2">
      <c r="A134" s="26"/>
      <c r="B134" s="26"/>
      <c r="C134" s="26"/>
      <c r="D134" s="32"/>
      <c r="E134" s="33"/>
      <c r="F134" s="34"/>
      <c r="G134" s="33"/>
      <c r="H134" s="18"/>
      <c r="I134" s="18"/>
    </row>
    <row r="135" spans="1:9" x14ac:dyDescent="0.2">
      <c r="A135" s="35" t="s">
        <v>37</v>
      </c>
      <c r="B135" s="35"/>
      <c r="C135" s="35"/>
      <c r="D135" s="36"/>
      <c r="E135" s="37">
        <v>8.9999999999999996E-7</v>
      </c>
      <c r="F135" s="38">
        <v>100</v>
      </c>
      <c r="G135" s="37"/>
      <c r="H135" s="18"/>
      <c r="I135" s="18"/>
    </row>
    <row r="137" spans="1:9" x14ac:dyDescent="0.2">
      <c r="A137" s="18" t="s">
        <v>39</v>
      </c>
    </row>
    <row r="138" spans="1:9" x14ac:dyDescent="0.2">
      <c r="A138" s="18" t="s">
        <v>1101</v>
      </c>
    </row>
    <row r="140" spans="1:9" x14ac:dyDescent="0.2">
      <c r="A140" s="18" t="s">
        <v>40</v>
      </c>
    </row>
    <row r="141" spans="1:9" s="13" customFormat="1" x14ac:dyDescent="0.2">
      <c r="A141" s="18" t="s">
        <v>41</v>
      </c>
      <c r="B141" s="9"/>
      <c r="C141" s="9"/>
      <c r="D141" s="10"/>
      <c r="F141" s="14"/>
      <c r="H141" s="9"/>
      <c r="I141" s="9"/>
    </row>
    <row r="142" spans="1:9" s="13" customFormat="1" x14ac:dyDescent="0.2">
      <c r="A142" s="18" t="s">
        <v>42</v>
      </c>
      <c r="B142" s="18"/>
      <c r="C142" s="39" t="s">
        <v>44</v>
      </c>
      <c r="D142" s="19" t="s">
        <v>43</v>
      </c>
      <c r="F142" s="14"/>
      <c r="H142" s="9"/>
      <c r="I142" s="9"/>
    </row>
    <row r="143" spans="1:9" s="13" customFormat="1" x14ac:dyDescent="0.2">
      <c r="A143" s="9" t="s">
        <v>848</v>
      </c>
      <c r="B143" s="9"/>
      <c r="C143" s="40">
        <v>0</v>
      </c>
      <c r="D143" s="40">
        <v>0</v>
      </c>
      <c r="F143" s="14"/>
      <c r="H143" s="9"/>
      <c r="I143" s="9"/>
    </row>
    <row r="144" spans="1:9" s="13" customFormat="1" x14ac:dyDescent="0.2">
      <c r="A144" s="9" t="s">
        <v>1151</v>
      </c>
      <c r="B144" s="9"/>
      <c r="C144" s="40">
        <v>0</v>
      </c>
      <c r="D144" s="40">
        <v>0</v>
      </c>
      <c r="F144" s="14"/>
      <c r="H144" s="9"/>
      <c r="I144" s="9"/>
    </row>
    <row r="145" spans="1:9" s="13" customFormat="1" x14ac:dyDescent="0.2">
      <c r="A145" s="9" t="s">
        <v>850</v>
      </c>
      <c r="B145" s="9"/>
      <c r="C145" s="40">
        <v>0</v>
      </c>
      <c r="D145" s="40">
        <v>0</v>
      </c>
      <c r="F145" s="14"/>
      <c r="H145" s="9"/>
      <c r="I145" s="9"/>
    </row>
    <row r="146" spans="1:9" s="13" customFormat="1" x14ac:dyDescent="0.2">
      <c r="A146" s="9" t="s">
        <v>851</v>
      </c>
      <c r="B146" s="9"/>
      <c r="C146" s="40">
        <v>0</v>
      </c>
      <c r="D146" s="40">
        <v>0</v>
      </c>
      <c r="F146" s="14"/>
      <c r="H146" s="9"/>
      <c r="I146" s="9"/>
    </row>
    <row r="147" spans="1:9" s="13" customFormat="1" x14ac:dyDescent="0.2">
      <c r="A147" s="9" t="s">
        <v>1152</v>
      </c>
      <c r="B147" s="9"/>
      <c r="C147" s="40">
        <v>0</v>
      </c>
      <c r="D147" s="40">
        <v>0</v>
      </c>
      <c r="F147" s="14"/>
      <c r="H147" s="9"/>
      <c r="I147" s="9"/>
    </row>
    <row r="148" spans="1:9" s="13" customFormat="1" x14ac:dyDescent="0.2">
      <c r="A148" s="9" t="s">
        <v>852</v>
      </c>
      <c r="B148" s="9"/>
      <c r="C148" s="40">
        <v>0</v>
      </c>
      <c r="D148" s="40">
        <v>0</v>
      </c>
      <c r="F148" s="14"/>
      <c r="H148" s="9"/>
      <c r="I148" s="9"/>
    </row>
    <row r="149" spans="1:9" s="13" customFormat="1" x14ac:dyDescent="0.2">
      <c r="A149" s="9" t="s">
        <v>1153</v>
      </c>
      <c r="B149" s="9"/>
      <c r="C149" s="40">
        <v>0</v>
      </c>
      <c r="D149" s="40">
        <v>0</v>
      </c>
      <c r="F149" s="14"/>
      <c r="H149" s="9"/>
      <c r="I149" s="9"/>
    </row>
    <row r="150" spans="1:9" s="13" customFormat="1" x14ac:dyDescent="0.2">
      <c r="A150" s="9" t="s">
        <v>854</v>
      </c>
      <c r="B150" s="9"/>
      <c r="C150" s="40">
        <v>0</v>
      </c>
      <c r="D150" s="40">
        <v>0</v>
      </c>
      <c r="F150" s="14"/>
      <c r="H150" s="9"/>
      <c r="I150" s="9"/>
    </row>
    <row r="151" spans="1:9" s="13" customFormat="1" x14ac:dyDescent="0.2">
      <c r="A151" s="9" t="s">
        <v>855</v>
      </c>
      <c r="B151" s="9"/>
      <c r="C151" s="40">
        <v>0</v>
      </c>
      <c r="D151" s="40">
        <v>0</v>
      </c>
      <c r="F151" s="14"/>
      <c r="H151" s="9"/>
      <c r="I151" s="9"/>
    </row>
    <row r="153" spans="1:9" s="13" customFormat="1" x14ac:dyDescent="0.2">
      <c r="A153" s="9" t="s">
        <v>45</v>
      </c>
      <c r="B153" s="9"/>
      <c r="C153" s="9"/>
      <c r="D153" s="10"/>
      <c r="F153" s="14"/>
      <c r="H153" s="9"/>
      <c r="I153" s="9"/>
    </row>
    <row r="155" spans="1:9" s="13" customFormat="1" x14ac:dyDescent="0.2">
      <c r="A155" s="18" t="s">
        <v>1193</v>
      </c>
      <c r="B155" s="9"/>
      <c r="C155" s="9"/>
      <c r="D155" s="41" t="s">
        <v>47</v>
      </c>
      <c r="F155" s="14"/>
      <c r="H155" s="9"/>
      <c r="I155" s="9"/>
    </row>
    <row r="156" spans="1:9" s="13" customFormat="1" x14ac:dyDescent="0.2">
      <c r="A156" s="9" t="s">
        <v>53</v>
      </c>
      <c r="B156" s="9"/>
      <c r="C156" s="9"/>
      <c r="D156" s="10"/>
      <c r="F156" s="14"/>
      <c r="H156" s="9"/>
      <c r="I156" s="9"/>
    </row>
    <row r="157" spans="1:9" x14ac:dyDescent="0.2">
      <c r="A157" s="46" t="s">
        <v>724</v>
      </c>
    </row>
    <row r="159" spans="1:9" x14ac:dyDescent="0.2">
      <c r="A159" s="18" t="s">
        <v>1114</v>
      </c>
    </row>
    <row r="160" spans="1:9" x14ac:dyDescent="0.2">
      <c r="A160" s="46" t="s">
        <v>51</v>
      </c>
    </row>
  </sheetData>
  <mergeCells count="7">
    <mergeCell ref="A123:G123"/>
    <mergeCell ref="A1:H1"/>
    <mergeCell ref="A66:G66"/>
    <mergeCell ref="A71:G71"/>
    <mergeCell ref="A73:G73"/>
    <mergeCell ref="A76:G76"/>
    <mergeCell ref="A83:G83"/>
  </mergeCells>
  <conditionalFormatting sqref="F2:F3 F5:F20 F67:F70 F72 F74:F75 F84 F124 F28:F65 F77:F82 F96:F122 F136:F65534">
    <cfRule type="cellIs" dxfId="43" priority="7" stopIfTrue="1" operator="between">
      <formula>0.009</formula>
      <formula>-0.009</formula>
    </cfRule>
  </conditionalFormatting>
  <conditionalFormatting sqref="F86:F87">
    <cfRule type="cellIs" dxfId="42" priority="6" stopIfTrue="1" operator="between">
      <formula>0.009</formula>
      <formula>-0.009</formula>
    </cfRule>
  </conditionalFormatting>
  <conditionalFormatting sqref="F90:F92 F94:F95">
    <cfRule type="cellIs" dxfId="41" priority="5" stopIfTrue="1" operator="between">
      <formula>0.009</formula>
      <formula>-0.009</formula>
    </cfRule>
  </conditionalFormatting>
  <conditionalFormatting sqref="F88:F89">
    <cfRule type="cellIs" dxfId="40" priority="4" stopIfTrue="1" operator="between">
      <formula>0.009</formula>
      <formula>-0.009</formula>
    </cfRule>
  </conditionalFormatting>
  <conditionalFormatting sqref="F126:F127">
    <cfRule type="cellIs" dxfId="39" priority="3" stopIfTrue="1" operator="between">
      <formula>0.009</formula>
      <formula>-0.009</formula>
    </cfRule>
  </conditionalFormatting>
  <conditionalFormatting sqref="F130:F132 F134:F135">
    <cfRule type="cellIs" dxfId="38" priority="2" stopIfTrue="1" operator="between">
      <formula>0.009</formula>
      <formula>-0.009</formula>
    </cfRule>
  </conditionalFormatting>
  <conditionalFormatting sqref="F128:F129">
    <cfRule type="cellIs" dxfId="37" priority="1" stopIfTrue="1" operator="between">
      <formula>0.009</formula>
      <formula>-0.009</formula>
    </cfRule>
  </conditionalFormatting>
  <hyperlinks>
    <hyperlink ref="A64" r:id="rId1" tooltip="https://www.franklintempletonindia.com/investor/reports" xr:uid="{00000000-0004-0000-1600-000000000000}"/>
    <hyperlink ref="A69" r:id="rId2" tooltip="https://www.franklintempletonindia.com/downloadsServlet/pdf/franklin-templeton-update-on-reliance-broadcast-july-23-2020-kcg9m1gq" xr:uid="{00000000-0004-0000-1600-000001000000}"/>
    <hyperlink ref="A74" r:id="rId3" tooltip="https://www.franklintempletonindia.com/downloadsServlet/pdf/fair-valuation-reliance-big-reliance-infra-november-4-2020-kgox4tfq" xr:uid="{00000000-0004-0000-1600-000002000000}"/>
    <hyperlink ref="A79" r:id="rId4" tooltip="https://www.franklintempletonindia.com/downloadsServlet/pdf/product-labels-jg9o5k7l" xr:uid="{00000000-0004-0000-1600-000003000000}"/>
    <hyperlink ref="A121" r:id="rId5" tooltip="https://www.franklintempletonindia.com/downloadsServlet/pdf/product-labels-jg9o5k7l" xr:uid="{00000000-0004-0000-1600-000004000000}"/>
    <hyperlink ref="A160" r:id="rId6" tooltip="https://www.franklintempletonindia.com/downloadsServlet/pdf/product-labels-jg9o5k7l" xr:uid="{00000000-0004-0000-1600-000005000000}"/>
    <hyperlink ref="A118" r:id="rId7" xr:uid="{00000000-0004-0000-1600-000006000000}"/>
    <hyperlink ref="A157" r:id="rId8" xr:uid="{00000000-0004-0000-1600-000007000000}"/>
  </hyperlinks>
  <pageMargins left="0.7" right="0.7" top="0.75" bottom="0.75" header="0.3" footer="0.3"/>
  <pageSetup paperSize="9" orientation="portrait" r:id="rId9"/>
  <headerFooter>
    <oddFooter>&amp;C&amp;1#&amp;"Calibri"&amp;10&amp;K000000PUBLIC</oddFooter>
    <evenFooter>&amp;LPUBLIC</evenFooter>
    <firstFooter>&amp;LPUBLIC</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56"/>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69" t="s">
        <v>1162</v>
      </c>
      <c r="B1" s="70"/>
      <c r="C1" s="70"/>
      <c r="D1" s="70"/>
      <c r="E1" s="70"/>
      <c r="F1" s="70"/>
      <c r="G1" s="70"/>
    </row>
    <row r="2" spans="1:9" s="1" customFormat="1" ht="12" x14ac:dyDescent="0.25">
      <c r="A2" s="58" t="s">
        <v>1067</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1073</v>
      </c>
      <c r="B7" s="27" t="s">
        <v>1074</v>
      </c>
      <c r="C7" s="27" t="s">
        <v>1075</v>
      </c>
      <c r="D7" s="31">
        <v>3194</v>
      </c>
      <c r="E7" s="29">
        <v>31700.513879999999</v>
      </c>
      <c r="F7" s="30">
        <v>39.449437842280197</v>
      </c>
      <c r="G7" s="29">
        <v>13.3954</v>
      </c>
    </row>
    <row r="8" spans="1:9" x14ac:dyDescent="0.2">
      <c r="A8" s="27" t="s">
        <v>1120</v>
      </c>
      <c r="B8" s="27" t="s">
        <v>1121</v>
      </c>
      <c r="C8" s="27" t="s">
        <v>1122</v>
      </c>
      <c r="D8" s="31">
        <v>2350</v>
      </c>
      <c r="E8" s="29">
        <v>22598.375499999998</v>
      </c>
      <c r="F8" s="30">
        <v>28.122358299882499</v>
      </c>
      <c r="G8" s="29">
        <v>14.53</v>
      </c>
    </row>
    <row r="9" spans="1:9" x14ac:dyDescent="0.2">
      <c r="A9" s="27" t="s">
        <v>1163</v>
      </c>
      <c r="B9" s="27" t="s">
        <v>1164</v>
      </c>
      <c r="C9" s="27" t="s">
        <v>1122</v>
      </c>
      <c r="D9" s="31">
        <v>2000</v>
      </c>
      <c r="E9" s="29">
        <v>19266.54</v>
      </c>
      <c r="F9" s="30">
        <v>23.976083638357899</v>
      </c>
      <c r="G9" s="29">
        <v>14.53</v>
      </c>
    </row>
    <row r="10" spans="1:9" x14ac:dyDescent="0.2">
      <c r="A10" s="27" t="s">
        <v>1089</v>
      </c>
      <c r="B10" s="27" t="s">
        <v>1090</v>
      </c>
      <c r="C10" s="27" t="s">
        <v>1078</v>
      </c>
      <c r="D10" s="31">
        <v>938</v>
      </c>
      <c r="E10" s="29">
        <v>4720.5319</v>
      </c>
      <c r="F10" s="30">
        <v>5.87442621518636</v>
      </c>
      <c r="G10" s="29">
        <v>7.7878999999999996</v>
      </c>
    </row>
    <row r="11" spans="1:9" x14ac:dyDescent="0.2">
      <c r="A11" s="27" t="s">
        <v>862</v>
      </c>
      <c r="B11" s="27" t="s">
        <v>863</v>
      </c>
      <c r="C11" s="27" t="s">
        <v>864</v>
      </c>
      <c r="D11" s="31">
        <v>46</v>
      </c>
      <c r="E11" s="29">
        <v>458.82562000000001</v>
      </c>
      <c r="F11" s="30">
        <v>0.57098168329868404</v>
      </c>
      <c r="G11" s="29">
        <v>9.0511999999999997</v>
      </c>
    </row>
    <row r="12" spans="1:9" x14ac:dyDescent="0.2">
      <c r="A12" s="27" t="s">
        <v>1088</v>
      </c>
      <c r="B12" s="27" t="s">
        <v>1084</v>
      </c>
      <c r="C12" s="27" t="s">
        <v>1085</v>
      </c>
      <c r="D12" s="31">
        <v>70</v>
      </c>
      <c r="E12" s="29">
        <v>407.60860000000002</v>
      </c>
      <c r="F12" s="30">
        <v>0.50724509358265502</v>
      </c>
      <c r="G12" s="29">
        <v>22.0794</v>
      </c>
    </row>
    <row r="13" spans="1:9" x14ac:dyDescent="0.2">
      <c r="A13" s="27" t="s">
        <v>1165</v>
      </c>
      <c r="B13" s="27" t="s">
        <v>1166</v>
      </c>
      <c r="C13" s="27" t="s">
        <v>33</v>
      </c>
      <c r="D13" s="31">
        <v>34</v>
      </c>
      <c r="E13" s="29">
        <v>341.65341999999998</v>
      </c>
      <c r="F13" s="30">
        <v>0.42516772462782698</v>
      </c>
      <c r="G13" s="29">
        <v>3.6248999999999998</v>
      </c>
    </row>
    <row r="14" spans="1:9" x14ac:dyDescent="0.2">
      <c r="A14" s="26" t="s">
        <v>34</v>
      </c>
      <c r="B14" s="26"/>
      <c r="C14" s="26"/>
      <c r="D14" s="32"/>
      <c r="E14" s="33">
        <f>SUM(E6:E13)</f>
        <v>79494.048920000001</v>
      </c>
      <c r="F14" s="34">
        <f>SUM(F6:F13)</f>
        <v>98.925700497216113</v>
      </c>
      <c r="G14" s="33"/>
      <c r="H14" s="18"/>
      <c r="I14" s="18"/>
    </row>
    <row r="15" spans="1:9" x14ac:dyDescent="0.2">
      <c r="A15" s="27"/>
      <c r="B15" s="27"/>
      <c r="C15" s="27"/>
      <c r="D15" s="28"/>
      <c r="E15" s="29"/>
      <c r="F15" s="30"/>
      <c r="G15" s="29"/>
    </row>
    <row r="16" spans="1:9" x14ac:dyDescent="0.2">
      <c r="A16" s="26" t="s">
        <v>35</v>
      </c>
      <c r="B16" s="27"/>
      <c r="C16" s="27"/>
      <c r="D16" s="28"/>
      <c r="E16" s="29"/>
      <c r="F16" s="30"/>
      <c r="G16" s="29"/>
    </row>
    <row r="17" spans="1:9" x14ac:dyDescent="0.2">
      <c r="A17" s="27" t="s">
        <v>1098</v>
      </c>
      <c r="B17" s="27" t="s">
        <v>1099</v>
      </c>
      <c r="C17" s="27" t="s">
        <v>1100</v>
      </c>
      <c r="D17" s="31">
        <v>1243073.97</v>
      </c>
      <c r="E17" s="29">
        <v>42214.905140000003</v>
      </c>
      <c r="F17" s="30">
        <v>52.533983601725303</v>
      </c>
      <c r="G17" s="29">
        <v>3.0154000000000001</v>
      </c>
    </row>
    <row r="18" spans="1:9" x14ac:dyDescent="0.2">
      <c r="A18" s="26" t="s">
        <v>34</v>
      </c>
      <c r="B18" s="26"/>
      <c r="C18" s="26"/>
      <c r="D18" s="32"/>
      <c r="E18" s="33">
        <f>SUM(E17:E17)</f>
        <v>42214.905140000003</v>
      </c>
      <c r="F18" s="34">
        <f>SUM(F17:F17)</f>
        <v>52.533983601725303</v>
      </c>
      <c r="G18" s="33"/>
      <c r="H18" s="18"/>
      <c r="I18" s="18"/>
    </row>
    <row r="19" spans="1:9" x14ac:dyDescent="0.2">
      <c r="A19" s="27"/>
      <c r="B19" s="27"/>
      <c r="C19" s="27"/>
      <c r="D19" s="28"/>
      <c r="E19" s="29"/>
      <c r="F19" s="30"/>
      <c r="G19" s="29"/>
    </row>
    <row r="20" spans="1:9" x14ac:dyDescent="0.2">
      <c r="A20" s="26" t="s">
        <v>36</v>
      </c>
      <c r="B20" s="26"/>
      <c r="C20" s="26"/>
      <c r="D20" s="32"/>
      <c r="E20" s="33">
        <f>E14+E18</f>
        <v>121708.95406</v>
      </c>
      <c r="F20" s="34">
        <f>F14+F18</f>
        <v>151.45968409894141</v>
      </c>
      <c r="G20" s="33"/>
      <c r="H20" s="18"/>
      <c r="I20" s="18"/>
    </row>
    <row r="21" spans="1:9" x14ac:dyDescent="0.2">
      <c r="A21" s="26"/>
      <c r="B21" s="26"/>
      <c r="C21" s="26"/>
      <c r="D21" s="32"/>
      <c r="E21" s="33"/>
      <c r="F21" s="34"/>
      <c r="G21" s="33"/>
      <c r="H21" s="18"/>
      <c r="I21" s="18"/>
    </row>
    <row r="22" spans="1:9" x14ac:dyDescent="0.2">
      <c r="A22" s="26" t="s">
        <v>38</v>
      </c>
      <c r="B22" s="26"/>
      <c r="C22" s="26"/>
      <c r="D22" s="32"/>
      <c r="E22" s="33">
        <f>E24-(E14+E18)</f>
        <v>-41351.626772500007</v>
      </c>
      <c r="F22" s="34">
        <f>F24-(F14+F18)</f>
        <v>-51.459684098941409</v>
      </c>
      <c r="G22" s="33"/>
      <c r="H22" s="18"/>
      <c r="I22" s="18"/>
    </row>
    <row r="23" spans="1:9" x14ac:dyDescent="0.2">
      <c r="A23" s="26"/>
      <c r="B23" s="26"/>
      <c r="C23" s="26"/>
      <c r="D23" s="32"/>
      <c r="E23" s="33"/>
      <c r="F23" s="34"/>
      <c r="G23" s="33"/>
      <c r="H23" s="18"/>
      <c r="I23" s="18"/>
    </row>
    <row r="24" spans="1:9" x14ac:dyDescent="0.2">
      <c r="A24" s="35" t="s">
        <v>37</v>
      </c>
      <c r="B24" s="35"/>
      <c r="C24" s="35"/>
      <c r="D24" s="36"/>
      <c r="E24" s="37">
        <v>80357.327287499997</v>
      </c>
      <c r="F24" s="38">
        <v>100</v>
      </c>
      <c r="G24" s="37"/>
      <c r="H24" s="18"/>
      <c r="I24" s="18"/>
    </row>
    <row r="26" spans="1:9" x14ac:dyDescent="0.2">
      <c r="A26" s="18" t="s">
        <v>39</v>
      </c>
    </row>
    <row r="28" spans="1:9" x14ac:dyDescent="0.2">
      <c r="A28" s="18" t="s">
        <v>40</v>
      </c>
    </row>
    <row r="29" spans="1:9" x14ac:dyDescent="0.2">
      <c r="A29" s="18" t="s">
        <v>41</v>
      </c>
    </row>
    <row r="30" spans="1:9" x14ac:dyDescent="0.2">
      <c r="A30" s="18" t="s">
        <v>42</v>
      </c>
      <c r="B30" s="18"/>
      <c r="C30" s="39" t="s">
        <v>44</v>
      </c>
      <c r="D30" s="19" t="s">
        <v>43</v>
      </c>
    </row>
    <row r="31" spans="1:9" x14ac:dyDescent="0.2">
      <c r="A31" s="9" t="s">
        <v>848</v>
      </c>
      <c r="C31" s="40">
        <v>27.8247</v>
      </c>
      <c r="D31" s="40">
        <v>29.247800000000002</v>
      </c>
    </row>
    <row r="32" spans="1:9" x14ac:dyDescent="0.2">
      <c r="A32" s="9" t="s">
        <v>849</v>
      </c>
      <c r="C32" s="40">
        <v>10.490399999999999</v>
      </c>
      <c r="D32" s="40">
        <v>11.0268</v>
      </c>
    </row>
    <row r="33" spans="1:5" x14ac:dyDescent="0.2">
      <c r="A33" s="9" t="s">
        <v>1151</v>
      </c>
      <c r="C33" s="40">
        <v>10.5771</v>
      </c>
      <c r="D33" s="40">
        <v>11.118</v>
      </c>
    </row>
    <row r="34" spans="1:5" x14ac:dyDescent="0.2">
      <c r="A34" s="9" t="s">
        <v>1152</v>
      </c>
      <c r="C34" s="40">
        <v>28.5412</v>
      </c>
      <c r="D34" s="40">
        <v>30.002300000000002</v>
      </c>
    </row>
    <row r="35" spans="1:5" x14ac:dyDescent="0.2">
      <c r="A35" s="9" t="s">
        <v>1167</v>
      </c>
      <c r="C35" s="40">
        <v>10.452500000000001</v>
      </c>
      <c r="D35" s="40">
        <v>10.988</v>
      </c>
    </row>
    <row r="36" spans="1:5" x14ac:dyDescent="0.2">
      <c r="A36" s="9" t="s">
        <v>795</v>
      </c>
      <c r="C36" s="40">
        <v>29.5015</v>
      </c>
      <c r="D36" s="40">
        <v>31.012699999999999</v>
      </c>
    </row>
    <row r="37" spans="1:5" x14ac:dyDescent="0.2">
      <c r="A37" s="9" t="s">
        <v>1168</v>
      </c>
      <c r="C37" s="40">
        <v>10.544499999999999</v>
      </c>
      <c r="D37" s="40">
        <v>11.0847</v>
      </c>
    </row>
    <row r="38" spans="1:5" x14ac:dyDescent="0.2">
      <c r="A38" s="9" t="s">
        <v>797</v>
      </c>
      <c r="C38" s="40">
        <v>10.571899999999999</v>
      </c>
      <c r="D38" s="40">
        <v>11.1134</v>
      </c>
    </row>
    <row r="39" spans="1:5" x14ac:dyDescent="0.2">
      <c r="A39" s="9" t="s">
        <v>1169</v>
      </c>
      <c r="C39" s="40">
        <v>29.6844</v>
      </c>
      <c r="D39" s="40">
        <v>31.205200000000001</v>
      </c>
    </row>
    <row r="40" spans="1:5" x14ac:dyDescent="0.2">
      <c r="A40" s="9" t="s">
        <v>1170</v>
      </c>
      <c r="C40" s="40">
        <v>10.5359</v>
      </c>
      <c r="D40" s="40">
        <v>11.0756</v>
      </c>
    </row>
    <row r="41" spans="1:5" x14ac:dyDescent="0.2">
      <c r="A41" s="9" t="s">
        <v>1171</v>
      </c>
      <c r="C41" s="40">
        <v>10.5748</v>
      </c>
      <c r="D41" s="40">
        <v>11.1165</v>
      </c>
    </row>
    <row r="43" spans="1:5" x14ac:dyDescent="0.2">
      <c r="A43" s="9" t="s">
        <v>45</v>
      </c>
    </row>
    <row r="45" spans="1:5" x14ac:dyDescent="0.2">
      <c r="A45" s="18" t="s">
        <v>46</v>
      </c>
      <c r="D45" s="41" t="s">
        <v>47</v>
      </c>
    </row>
    <row r="47" spans="1:5" x14ac:dyDescent="0.2">
      <c r="A47" s="18" t="s">
        <v>805</v>
      </c>
      <c r="D47" s="42">
        <v>1.0883806147123301</v>
      </c>
      <c r="E47" s="13" t="s">
        <v>48</v>
      </c>
    </row>
    <row r="49" spans="1:7" x14ac:dyDescent="0.2">
      <c r="A49" s="18" t="s">
        <v>49</v>
      </c>
      <c r="D49" s="41" t="s">
        <v>47</v>
      </c>
    </row>
    <row r="51" spans="1:7" ht="24" customHeight="1" x14ac:dyDescent="0.3">
      <c r="A51" s="74" t="s">
        <v>1172</v>
      </c>
      <c r="B51" s="75"/>
      <c r="C51" s="75"/>
      <c r="D51" s="75"/>
      <c r="E51" s="75"/>
      <c r="F51" s="75"/>
      <c r="G51" s="75"/>
    </row>
    <row r="53" spans="1:7" x14ac:dyDescent="0.2">
      <c r="A53" s="18" t="s">
        <v>50</v>
      </c>
    </row>
    <row r="54" spans="1:7" x14ac:dyDescent="0.2">
      <c r="A54" s="46" t="s">
        <v>51</v>
      </c>
    </row>
    <row r="56" spans="1:7" x14ac:dyDescent="0.2">
      <c r="A56" s="18" t="s">
        <v>727</v>
      </c>
    </row>
  </sheetData>
  <mergeCells count="2">
    <mergeCell ref="A1:G1"/>
    <mergeCell ref="A51:G51"/>
  </mergeCells>
  <conditionalFormatting sqref="F2:F3 F5:F50 F52:F65519">
    <cfRule type="cellIs" dxfId="36" priority="1" stopIfTrue="1" operator="between">
      <formula>0.009</formula>
      <formula>-0.009</formula>
    </cfRule>
  </conditionalFormatting>
  <hyperlinks>
    <hyperlink ref="A54" r:id="rId1" tooltip="https://www.franklintempletonindia.com/downloadsServlet/pdf/product-labels-jg9o5k7l"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96"/>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69" t="s">
        <v>1173</v>
      </c>
      <c r="B1" s="70"/>
      <c r="C1" s="70"/>
      <c r="D1" s="70"/>
      <c r="E1" s="70"/>
      <c r="F1" s="70"/>
      <c r="G1" s="70"/>
      <c r="H1" s="70"/>
    </row>
    <row r="2" spans="1:9" s="1" customFormat="1" ht="12" x14ac:dyDescent="0.25">
      <c r="A2" s="58" t="s">
        <v>1067</v>
      </c>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745</v>
      </c>
      <c r="D4" s="16" t="s">
        <v>1</v>
      </c>
      <c r="E4" s="15" t="s">
        <v>3</v>
      </c>
      <c r="F4" s="15" t="s">
        <v>4</v>
      </c>
      <c r="G4" s="15" t="s">
        <v>6</v>
      </c>
      <c r="H4" s="15" t="s">
        <v>1130</v>
      </c>
    </row>
    <row r="5" spans="1:9" x14ac:dyDescent="0.2">
      <c r="A5" s="21" t="s">
        <v>31</v>
      </c>
      <c r="B5" s="22"/>
      <c r="C5" s="22"/>
      <c r="D5" s="23"/>
      <c r="E5" s="24"/>
      <c r="F5" s="25"/>
      <c r="G5" s="24"/>
      <c r="H5" s="24"/>
    </row>
    <row r="6" spans="1:9" x14ac:dyDescent="0.2">
      <c r="A6" s="26" t="s">
        <v>32</v>
      </c>
      <c r="B6" s="27"/>
      <c r="C6" s="27"/>
      <c r="D6" s="28"/>
      <c r="E6" s="29"/>
      <c r="F6" s="30"/>
      <c r="G6" s="29"/>
      <c r="H6" s="29"/>
    </row>
    <row r="7" spans="1:9" x14ac:dyDescent="0.2">
      <c r="A7" s="27" t="s">
        <v>1174</v>
      </c>
      <c r="B7" s="27" t="s">
        <v>1175</v>
      </c>
      <c r="C7" s="27" t="s">
        <v>1075</v>
      </c>
      <c r="D7" s="31">
        <v>11264</v>
      </c>
      <c r="E7" s="29">
        <v>11271.8848</v>
      </c>
      <c r="F7" s="30">
        <v>50.789966036791398</v>
      </c>
      <c r="G7" s="29">
        <v>10.071199999999999</v>
      </c>
      <c r="H7" s="29">
        <v>10.0133833719</v>
      </c>
    </row>
    <row r="8" spans="1:9" x14ac:dyDescent="0.2">
      <c r="A8" s="27" t="s">
        <v>1073</v>
      </c>
      <c r="B8" s="27" t="s">
        <v>1074</v>
      </c>
      <c r="C8" s="27" t="s">
        <v>1075</v>
      </c>
      <c r="D8" s="31">
        <v>681</v>
      </c>
      <c r="E8" s="29">
        <v>6758.9386199999999</v>
      </c>
      <c r="F8" s="30">
        <v>30.455089725061601</v>
      </c>
      <c r="G8" s="29">
        <v>13.3954</v>
      </c>
      <c r="H8" s="29"/>
    </row>
    <row r="9" spans="1:9" x14ac:dyDescent="0.2">
      <c r="A9" s="27" t="s">
        <v>1176</v>
      </c>
      <c r="B9" s="27" t="s">
        <v>1177</v>
      </c>
      <c r="C9" s="27" t="s">
        <v>33</v>
      </c>
      <c r="D9" s="31">
        <v>150</v>
      </c>
      <c r="E9" s="29">
        <v>1467.537</v>
      </c>
      <c r="F9" s="30">
        <v>6.61257240561355</v>
      </c>
      <c r="G9" s="29">
        <v>10.0649</v>
      </c>
      <c r="H9" s="29"/>
    </row>
    <row r="10" spans="1:9" x14ac:dyDescent="0.2">
      <c r="A10" s="27" t="s">
        <v>1089</v>
      </c>
      <c r="B10" s="27" t="s">
        <v>1090</v>
      </c>
      <c r="C10" s="27" t="s">
        <v>1078</v>
      </c>
      <c r="D10" s="31">
        <v>240</v>
      </c>
      <c r="E10" s="29">
        <v>1207.8119999999999</v>
      </c>
      <c r="F10" s="30">
        <v>5.4422779816583198</v>
      </c>
      <c r="G10" s="29">
        <v>7.7878999999999996</v>
      </c>
      <c r="H10" s="29"/>
    </row>
    <row r="11" spans="1:9" x14ac:dyDescent="0.2">
      <c r="A11" s="27" t="s">
        <v>1178</v>
      </c>
      <c r="B11" s="27" t="s">
        <v>1179</v>
      </c>
      <c r="C11" s="27" t="s">
        <v>1078</v>
      </c>
      <c r="D11" s="31">
        <v>498</v>
      </c>
      <c r="E11" s="29">
        <v>1066.0994760000001</v>
      </c>
      <c r="F11" s="30">
        <v>4.8037357672322099</v>
      </c>
      <c r="G11" s="29">
        <v>9.1949000000000005</v>
      </c>
      <c r="H11" s="29"/>
    </row>
    <row r="12" spans="1:9" x14ac:dyDescent="0.2">
      <c r="A12" s="26" t="s">
        <v>34</v>
      </c>
      <c r="B12" s="26"/>
      <c r="C12" s="26"/>
      <c r="D12" s="32"/>
      <c r="E12" s="33">
        <f>SUM(E6:E11)</f>
        <v>21772.271896000002</v>
      </c>
      <c r="F12" s="34">
        <f>SUM(F6:F11)</f>
        <v>98.103641916357077</v>
      </c>
      <c r="G12" s="33"/>
      <c r="H12" s="33"/>
      <c r="I12" s="18"/>
    </row>
    <row r="13" spans="1:9" x14ac:dyDescent="0.2">
      <c r="A13" s="27"/>
      <c r="B13" s="27"/>
      <c r="C13" s="27"/>
      <c r="D13" s="28"/>
      <c r="E13" s="29"/>
      <c r="F13" s="30"/>
      <c r="G13" s="29"/>
      <c r="H13" s="29"/>
    </row>
    <row r="14" spans="1:9" x14ac:dyDescent="0.2">
      <c r="A14" s="26" t="s">
        <v>1051</v>
      </c>
      <c r="B14" s="27"/>
      <c r="C14" s="27"/>
      <c r="D14" s="28"/>
      <c r="E14" s="29"/>
      <c r="F14" s="30"/>
      <c r="G14" s="29"/>
      <c r="H14" s="29"/>
    </row>
    <row r="15" spans="1:9" x14ac:dyDescent="0.2">
      <c r="A15" s="27" t="s">
        <v>1091</v>
      </c>
      <c r="B15" s="27" t="s">
        <v>1092</v>
      </c>
      <c r="C15" s="27" t="s">
        <v>1093</v>
      </c>
      <c r="D15" s="31">
        <v>1400</v>
      </c>
      <c r="E15" s="29">
        <v>0</v>
      </c>
      <c r="F15" s="29">
        <v>0</v>
      </c>
      <c r="G15" s="29">
        <v>0</v>
      </c>
      <c r="H15" s="29"/>
    </row>
    <row r="16" spans="1:9" x14ac:dyDescent="0.2">
      <c r="A16" s="27" t="s">
        <v>1096</v>
      </c>
      <c r="B16" s="27" t="s">
        <v>1097</v>
      </c>
      <c r="C16" s="27" t="s">
        <v>1093</v>
      </c>
      <c r="D16" s="31">
        <v>688</v>
      </c>
      <c r="E16" s="29">
        <v>0</v>
      </c>
      <c r="F16" s="29">
        <v>0</v>
      </c>
      <c r="G16" s="29">
        <v>0</v>
      </c>
      <c r="H16" s="29"/>
    </row>
    <row r="17" spans="1:9" x14ac:dyDescent="0.2">
      <c r="A17" s="27" t="s">
        <v>1180</v>
      </c>
      <c r="B17" s="27" t="s">
        <v>1181</v>
      </c>
      <c r="C17" s="27" t="s">
        <v>1093</v>
      </c>
      <c r="D17" s="31">
        <v>400</v>
      </c>
      <c r="E17" s="29">
        <v>0</v>
      </c>
      <c r="F17" s="29">
        <v>0</v>
      </c>
      <c r="G17" s="29">
        <v>0</v>
      </c>
      <c r="H17" s="29"/>
    </row>
    <row r="18" spans="1:9" x14ac:dyDescent="0.2">
      <c r="A18" s="26" t="s">
        <v>34</v>
      </c>
      <c r="B18" s="26"/>
      <c r="C18" s="26"/>
      <c r="D18" s="32"/>
      <c r="E18" s="33">
        <f>SUM(E14:E17)</f>
        <v>0</v>
      </c>
      <c r="F18" s="33">
        <f>SUM(F14:F17)</f>
        <v>0</v>
      </c>
      <c r="G18" s="33"/>
      <c r="H18" s="33"/>
      <c r="I18" s="18"/>
    </row>
    <row r="19" spans="1:9" x14ac:dyDescent="0.2">
      <c r="A19" s="27"/>
      <c r="B19" s="27"/>
      <c r="C19" s="27"/>
      <c r="D19" s="28"/>
      <c r="E19" s="29"/>
      <c r="F19" s="30"/>
      <c r="G19" s="29"/>
      <c r="H19" s="29"/>
    </row>
    <row r="20" spans="1:9" x14ac:dyDescent="0.2">
      <c r="A20" s="26" t="s">
        <v>35</v>
      </c>
      <c r="B20" s="27"/>
      <c r="C20" s="27"/>
      <c r="D20" s="28"/>
      <c r="E20" s="29"/>
      <c r="F20" s="30"/>
      <c r="G20" s="29"/>
      <c r="H20" s="29"/>
    </row>
    <row r="21" spans="1:9" x14ac:dyDescent="0.2">
      <c r="A21" s="27" t="s">
        <v>1098</v>
      </c>
      <c r="B21" s="27" t="s">
        <v>1099</v>
      </c>
      <c r="C21" s="27" t="s">
        <v>1100</v>
      </c>
      <c r="D21" s="31">
        <v>1673430.2339999999</v>
      </c>
      <c r="E21" s="29">
        <v>56829.843030000004</v>
      </c>
      <c r="F21" s="30">
        <v>256.06949046976501</v>
      </c>
      <c r="G21" s="29">
        <v>3.0154000000000001</v>
      </c>
      <c r="H21" s="29"/>
    </row>
    <row r="22" spans="1:9" x14ac:dyDescent="0.2">
      <c r="A22" s="26" t="s">
        <v>34</v>
      </c>
      <c r="B22" s="26"/>
      <c r="C22" s="26"/>
      <c r="D22" s="32"/>
      <c r="E22" s="33">
        <f>SUM(E21:E21)</f>
        <v>56829.843030000004</v>
      </c>
      <c r="F22" s="34">
        <f>SUM(F21:F21)</f>
        <v>256.06949046976501</v>
      </c>
      <c r="G22" s="33"/>
      <c r="H22" s="33"/>
      <c r="I22" s="18"/>
    </row>
    <row r="23" spans="1:9" x14ac:dyDescent="0.2">
      <c r="A23" s="27"/>
      <c r="B23" s="27"/>
      <c r="C23" s="27"/>
      <c r="D23" s="28"/>
      <c r="E23" s="29"/>
      <c r="F23" s="30"/>
      <c r="G23" s="29"/>
      <c r="H23" s="29"/>
    </row>
    <row r="24" spans="1:9" x14ac:dyDescent="0.2">
      <c r="A24" s="26" t="s">
        <v>36</v>
      </c>
      <c r="B24" s="26"/>
      <c r="C24" s="26"/>
      <c r="D24" s="32"/>
      <c r="E24" s="33">
        <f>E12+E18+E22</f>
        <v>78602.114926000009</v>
      </c>
      <c r="F24" s="34">
        <f>F12+F18+F22</f>
        <v>354.17313238612212</v>
      </c>
      <c r="G24" s="33"/>
      <c r="H24" s="33"/>
      <c r="I24" s="18"/>
    </row>
    <row r="25" spans="1:9" x14ac:dyDescent="0.2">
      <c r="A25" s="26"/>
      <c r="B25" s="26"/>
      <c r="C25" s="26"/>
      <c r="D25" s="32"/>
      <c r="E25" s="33"/>
      <c r="F25" s="34"/>
      <c r="G25" s="33"/>
      <c r="H25" s="33"/>
      <c r="I25" s="18"/>
    </row>
    <row r="26" spans="1:9" x14ac:dyDescent="0.2">
      <c r="A26" s="26" t="s">
        <v>38</v>
      </c>
      <c r="B26" s="26"/>
      <c r="C26" s="26"/>
      <c r="D26" s="32"/>
      <c r="E26" s="33">
        <f>E28-(E12+E18+E22)</f>
        <v>-56408.981755100009</v>
      </c>
      <c r="F26" s="34">
        <f>F28-(F12+F18+F22)</f>
        <v>-254.17313238612212</v>
      </c>
      <c r="G26" s="33"/>
      <c r="H26" s="33"/>
      <c r="I26" s="18"/>
    </row>
    <row r="27" spans="1:9" x14ac:dyDescent="0.2">
      <c r="A27" s="26"/>
      <c r="B27" s="26"/>
      <c r="C27" s="26"/>
      <c r="D27" s="32"/>
      <c r="E27" s="33"/>
      <c r="F27" s="34"/>
      <c r="G27" s="33"/>
      <c r="H27" s="33"/>
      <c r="I27" s="18"/>
    </row>
    <row r="28" spans="1:9" x14ac:dyDescent="0.2">
      <c r="A28" s="35" t="s">
        <v>37</v>
      </c>
      <c r="B28" s="35"/>
      <c r="C28" s="35"/>
      <c r="D28" s="36"/>
      <c r="E28" s="37">
        <v>22193.133170900001</v>
      </c>
      <c r="F28" s="38">
        <v>100</v>
      </c>
      <c r="G28" s="37"/>
      <c r="H28" s="37"/>
      <c r="I28" s="18"/>
    </row>
    <row r="30" spans="1:9" x14ac:dyDescent="0.2">
      <c r="A30" s="18" t="s">
        <v>39</v>
      </c>
    </row>
    <row r="31" spans="1:9" x14ac:dyDescent="0.2">
      <c r="A31" s="55" t="s">
        <v>1101</v>
      </c>
    </row>
    <row r="32" spans="1:9" x14ac:dyDescent="0.2">
      <c r="A32" s="55"/>
    </row>
    <row r="33" spans="1:5" x14ac:dyDescent="0.2">
      <c r="A33" s="18" t="s">
        <v>40</v>
      </c>
    </row>
    <row r="34" spans="1:5" x14ac:dyDescent="0.2">
      <c r="A34" s="18" t="s">
        <v>41</v>
      </c>
    </row>
    <row r="35" spans="1:5" x14ac:dyDescent="0.2">
      <c r="A35" s="18" t="s">
        <v>42</v>
      </c>
      <c r="B35" s="18"/>
      <c r="C35" s="39" t="s">
        <v>44</v>
      </c>
      <c r="D35" s="19" t="s">
        <v>43</v>
      </c>
    </row>
    <row r="36" spans="1:5" x14ac:dyDescent="0.2">
      <c r="A36" s="9" t="s">
        <v>71</v>
      </c>
      <c r="C36" s="40">
        <v>22.3584</v>
      </c>
      <c r="D36" s="40">
        <v>24.2562</v>
      </c>
    </row>
    <row r="37" spans="1:5" x14ac:dyDescent="0.2">
      <c r="A37" s="9" t="s">
        <v>77</v>
      </c>
      <c r="C37" s="40">
        <v>10.365399999999999</v>
      </c>
      <c r="D37" s="40">
        <v>11.245200000000001</v>
      </c>
    </row>
    <row r="38" spans="1:5" x14ac:dyDescent="0.2">
      <c r="A38" s="9" t="s">
        <v>74</v>
      </c>
      <c r="C38" s="40">
        <v>23.822500000000002</v>
      </c>
      <c r="D38" s="40">
        <v>25.8537</v>
      </c>
    </row>
    <row r="39" spans="1:5" x14ac:dyDescent="0.2">
      <c r="A39" s="9" t="s">
        <v>78</v>
      </c>
      <c r="C39" s="40">
        <v>11.1876</v>
      </c>
      <c r="D39" s="40">
        <v>12.141500000000001</v>
      </c>
    </row>
    <row r="41" spans="1:5" x14ac:dyDescent="0.2">
      <c r="A41" s="9" t="s">
        <v>45</v>
      </c>
    </row>
    <row r="43" spans="1:5" x14ac:dyDescent="0.2">
      <c r="A43" s="18" t="s">
        <v>46</v>
      </c>
      <c r="D43" s="41" t="s">
        <v>47</v>
      </c>
    </row>
    <row r="45" spans="1:5" x14ac:dyDescent="0.2">
      <c r="A45" s="18" t="s">
        <v>805</v>
      </c>
      <c r="D45" s="42">
        <v>3.8491091686575301</v>
      </c>
      <c r="E45" s="13" t="s">
        <v>48</v>
      </c>
    </row>
    <row r="47" spans="1:5" x14ac:dyDescent="0.2">
      <c r="A47" s="18" t="s">
        <v>49</v>
      </c>
      <c r="D47" s="41" t="s">
        <v>47</v>
      </c>
    </row>
    <row r="48" spans="1:5" x14ac:dyDescent="0.2">
      <c r="A48" s="9" t="s">
        <v>53</v>
      </c>
    </row>
    <row r="49" spans="1:7" x14ac:dyDescent="0.2">
      <c r="A49" s="46" t="s">
        <v>1102</v>
      </c>
    </row>
    <row r="51" spans="1:7" ht="36" customHeight="1" x14ac:dyDescent="0.3">
      <c r="A51" s="74" t="s">
        <v>1182</v>
      </c>
      <c r="B51" s="75"/>
      <c r="C51" s="75"/>
      <c r="D51" s="75"/>
      <c r="E51" s="75"/>
      <c r="F51" s="75"/>
      <c r="G51" s="75"/>
    </row>
    <row r="53" spans="1:7" ht="37.5" customHeight="1" x14ac:dyDescent="0.3">
      <c r="A53" s="74" t="s">
        <v>1183</v>
      </c>
      <c r="B53" s="75"/>
      <c r="C53" s="75"/>
      <c r="D53" s="75"/>
      <c r="E53" s="75"/>
      <c r="F53" s="75"/>
      <c r="G53" s="75"/>
    </row>
    <row r="54" spans="1:7" x14ac:dyDescent="0.2">
      <c r="A54" s="46" t="s">
        <v>1106</v>
      </c>
    </row>
    <row r="56" spans="1:7" ht="25.5" customHeight="1" x14ac:dyDescent="0.3">
      <c r="A56" s="74" t="s">
        <v>1127</v>
      </c>
      <c r="B56" s="75"/>
      <c r="C56" s="75"/>
      <c r="D56" s="75"/>
      <c r="E56" s="75"/>
      <c r="F56" s="75"/>
      <c r="G56" s="75"/>
    </row>
    <row r="58" spans="1:7" x14ac:dyDescent="0.2">
      <c r="A58" s="18" t="s">
        <v>736</v>
      </c>
    </row>
    <row r="59" spans="1:7" x14ac:dyDescent="0.2">
      <c r="A59" s="46" t="s">
        <v>51</v>
      </c>
    </row>
    <row r="61" spans="1:7" x14ac:dyDescent="0.2">
      <c r="A61" s="18" t="s">
        <v>727</v>
      </c>
    </row>
    <row r="63" spans="1:7" s="1" customFormat="1" ht="13.8" x14ac:dyDescent="0.2">
      <c r="A63" s="69" t="s">
        <v>1184</v>
      </c>
      <c r="B63" s="70"/>
      <c r="C63" s="70"/>
      <c r="D63" s="70"/>
      <c r="E63" s="70"/>
      <c r="F63" s="70"/>
      <c r="G63" s="70"/>
    </row>
    <row r="64" spans="1:7" x14ac:dyDescent="0.2">
      <c r="A64" s="18" t="s">
        <v>7</v>
      </c>
    </row>
    <row r="65" spans="1:9" s="1" customFormat="1" ht="17.399999999999999" customHeight="1" x14ac:dyDescent="0.2">
      <c r="A65" s="8" t="s">
        <v>2</v>
      </c>
      <c r="B65" s="8" t="s">
        <v>0</v>
      </c>
      <c r="C65" s="17" t="s">
        <v>745</v>
      </c>
      <c r="D65" s="16" t="s">
        <v>1</v>
      </c>
      <c r="E65" s="15" t="s">
        <v>3</v>
      </c>
      <c r="F65" s="15" t="s">
        <v>4</v>
      </c>
      <c r="G65" s="15" t="s">
        <v>6</v>
      </c>
    </row>
    <row r="66" spans="1:9" x14ac:dyDescent="0.2">
      <c r="A66" s="21" t="s">
        <v>31</v>
      </c>
      <c r="B66" s="22"/>
      <c r="C66" s="22"/>
      <c r="D66" s="23"/>
      <c r="E66" s="24"/>
      <c r="F66" s="25"/>
      <c r="G66" s="24"/>
    </row>
    <row r="67" spans="1:9" x14ac:dyDescent="0.2">
      <c r="A67" s="26" t="s">
        <v>32</v>
      </c>
      <c r="B67" s="27"/>
      <c r="C67" s="27"/>
      <c r="D67" s="28"/>
      <c r="E67" s="29"/>
      <c r="F67" s="30"/>
      <c r="G67" s="29"/>
    </row>
    <row r="68" spans="1:9" x14ac:dyDescent="0.2">
      <c r="A68" s="27" t="s">
        <v>1110</v>
      </c>
      <c r="B68" s="27" t="s">
        <v>1111</v>
      </c>
      <c r="C68" s="27" t="s">
        <v>1112</v>
      </c>
      <c r="D68" s="31">
        <v>1450</v>
      </c>
      <c r="E68" s="29">
        <v>0</v>
      </c>
      <c r="F68" s="30">
        <v>100</v>
      </c>
      <c r="G68" s="29">
        <v>0</v>
      </c>
    </row>
    <row r="69" spans="1:9" x14ac:dyDescent="0.2">
      <c r="A69" s="26" t="s">
        <v>34</v>
      </c>
      <c r="B69" s="26"/>
      <c r="C69" s="26"/>
      <c r="D69" s="32"/>
      <c r="E69" s="33">
        <v>0</v>
      </c>
      <c r="F69" s="34">
        <v>100</v>
      </c>
      <c r="G69" s="33"/>
      <c r="H69" s="18"/>
      <c r="I69" s="18"/>
    </row>
    <row r="70" spans="1:9" x14ac:dyDescent="0.2">
      <c r="A70" s="27"/>
      <c r="B70" s="27"/>
      <c r="C70" s="27"/>
      <c r="D70" s="28"/>
      <c r="E70" s="29"/>
      <c r="F70" s="30"/>
      <c r="G70" s="29"/>
    </row>
    <row r="71" spans="1:9" x14ac:dyDescent="0.2">
      <c r="A71" s="26" t="s">
        <v>36</v>
      </c>
      <c r="B71" s="26"/>
      <c r="C71" s="26"/>
      <c r="D71" s="32"/>
      <c r="E71" s="33">
        <v>0</v>
      </c>
      <c r="F71" s="34">
        <v>100</v>
      </c>
      <c r="G71" s="33"/>
      <c r="H71" s="18"/>
      <c r="I71" s="18"/>
    </row>
    <row r="72" spans="1:9" x14ac:dyDescent="0.2">
      <c r="A72" s="26"/>
      <c r="B72" s="26"/>
      <c r="C72" s="26"/>
      <c r="D72" s="32"/>
      <c r="E72" s="33"/>
      <c r="F72" s="34"/>
      <c r="G72" s="33"/>
      <c r="H72" s="18"/>
      <c r="I72" s="18"/>
    </row>
    <row r="73" spans="1:9" x14ac:dyDescent="0.2">
      <c r="A73" s="26" t="s">
        <v>38</v>
      </c>
      <c r="B73" s="26"/>
      <c r="C73" s="26"/>
      <c r="D73" s="32"/>
      <c r="E73" s="33">
        <v>3.9999999999999998E-7</v>
      </c>
      <c r="F73" s="34">
        <v>0</v>
      </c>
      <c r="G73" s="33"/>
      <c r="H73" s="18"/>
      <c r="I73" s="18"/>
    </row>
    <row r="74" spans="1:9" x14ac:dyDescent="0.2">
      <c r="A74" s="26"/>
      <c r="B74" s="26"/>
      <c r="C74" s="26"/>
      <c r="D74" s="32"/>
      <c r="E74" s="33"/>
      <c r="F74" s="34"/>
      <c r="G74" s="33"/>
      <c r="H74" s="18"/>
      <c r="I74" s="18"/>
    </row>
    <row r="75" spans="1:9" x14ac:dyDescent="0.2">
      <c r="A75" s="35" t="s">
        <v>37</v>
      </c>
      <c r="B75" s="35"/>
      <c r="C75" s="35"/>
      <c r="D75" s="36"/>
      <c r="E75" s="37">
        <v>3.9999999999999998E-7</v>
      </c>
      <c r="F75" s="38">
        <v>100</v>
      </c>
      <c r="G75" s="37"/>
      <c r="H75" s="18"/>
      <c r="I75" s="18"/>
    </row>
    <row r="77" spans="1:9" x14ac:dyDescent="0.2">
      <c r="A77" s="18" t="s">
        <v>39</v>
      </c>
    </row>
    <row r="78" spans="1:9" x14ac:dyDescent="0.2">
      <c r="A78" s="53" t="s">
        <v>1101</v>
      </c>
    </row>
    <row r="79" spans="1:9" s="13" customFormat="1" x14ac:dyDescent="0.2">
      <c r="A79" s="18" t="s">
        <v>1113</v>
      </c>
      <c r="B79" s="9"/>
      <c r="C79" s="9"/>
      <c r="D79" s="10"/>
      <c r="F79" s="14"/>
      <c r="H79" s="9"/>
      <c r="I79" s="9"/>
    </row>
    <row r="81" spans="1:9" s="13" customFormat="1" x14ac:dyDescent="0.2">
      <c r="A81" s="18" t="s">
        <v>40</v>
      </c>
      <c r="B81" s="9"/>
      <c r="C81" s="9"/>
      <c r="D81" s="10"/>
      <c r="F81" s="14"/>
      <c r="H81" s="9"/>
      <c r="I81" s="9"/>
    </row>
    <row r="82" spans="1:9" s="13" customFormat="1" x14ac:dyDescent="0.2">
      <c r="A82" s="18" t="s">
        <v>41</v>
      </c>
      <c r="B82" s="9"/>
      <c r="C82" s="9"/>
      <c r="D82" s="10"/>
      <c r="F82" s="14"/>
      <c r="H82" s="9"/>
      <c r="I82" s="9"/>
    </row>
    <row r="83" spans="1:9" s="13" customFormat="1" x14ac:dyDescent="0.2">
      <c r="A83" s="18" t="s">
        <v>42</v>
      </c>
      <c r="B83" s="18"/>
      <c r="C83" s="39" t="s">
        <v>44</v>
      </c>
      <c r="D83" s="19" t="s">
        <v>43</v>
      </c>
      <c r="F83" s="14"/>
      <c r="H83" s="9"/>
      <c r="I83" s="9"/>
    </row>
    <row r="84" spans="1:9" s="13" customFormat="1" x14ac:dyDescent="0.2">
      <c r="A84" s="9" t="s">
        <v>71</v>
      </c>
      <c r="B84" s="9"/>
      <c r="C84" s="40">
        <v>0</v>
      </c>
      <c r="D84" s="40">
        <v>0</v>
      </c>
      <c r="F84" s="14"/>
      <c r="H84" s="9"/>
      <c r="I84" s="9"/>
    </row>
    <row r="85" spans="1:9" s="13" customFormat="1" x14ac:dyDescent="0.2">
      <c r="A85" s="9" t="s">
        <v>77</v>
      </c>
      <c r="B85" s="9"/>
      <c r="C85" s="40">
        <v>0</v>
      </c>
      <c r="D85" s="40">
        <v>0</v>
      </c>
      <c r="F85" s="14"/>
      <c r="H85" s="9"/>
      <c r="I85" s="9"/>
    </row>
    <row r="86" spans="1:9" s="13" customFormat="1" x14ac:dyDescent="0.2">
      <c r="A86" s="9" t="s">
        <v>74</v>
      </c>
      <c r="B86" s="9"/>
      <c r="C86" s="40">
        <v>0</v>
      </c>
      <c r="D86" s="40">
        <v>0</v>
      </c>
      <c r="F86" s="14"/>
      <c r="H86" s="9"/>
      <c r="I86" s="9"/>
    </row>
    <row r="87" spans="1:9" s="13" customFormat="1" x14ac:dyDescent="0.2">
      <c r="A87" s="9" t="s">
        <v>78</v>
      </c>
      <c r="B87" s="9"/>
      <c r="C87" s="40">
        <v>0</v>
      </c>
      <c r="D87" s="40">
        <v>0</v>
      </c>
      <c r="F87" s="14"/>
      <c r="H87" s="9"/>
      <c r="I87" s="9"/>
    </row>
    <row r="89" spans="1:9" s="13" customFormat="1" x14ac:dyDescent="0.2">
      <c r="A89" s="9" t="s">
        <v>45</v>
      </c>
      <c r="B89" s="9"/>
      <c r="C89" s="9"/>
      <c r="D89" s="10"/>
      <c r="F89" s="14"/>
      <c r="H89" s="9"/>
      <c r="I89" s="9"/>
    </row>
    <row r="91" spans="1:9" s="13" customFormat="1" x14ac:dyDescent="0.2">
      <c r="A91" s="18" t="s">
        <v>1193</v>
      </c>
      <c r="B91" s="9"/>
      <c r="C91" s="9"/>
      <c r="D91" s="41" t="s">
        <v>47</v>
      </c>
      <c r="F91" s="14"/>
      <c r="H91" s="9"/>
      <c r="I91" s="9"/>
    </row>
    <row r="92" spans="1:9" s="13" customFormat="1" x14ac:dyDescent="0.2">
      <c r="A92" s="9" t="s">
        <v>53</v>
      </c>
      <c r="B92" s="9"/>
      <c r="C92" s="9"/>
      <c r="D92" s="10"/>
      <c r="F92" s="14"/>
      <c r="H92" s="9"/>
      <c r="I92" s="9"/>
    </row>
    <row r="93" spans="1:9" s="13" customFormat="1" x14ac:dyDescent="0.2">
      <c r="A93" s="46" t="s">
        <v>724</v>
      </c>
      <c r="B93" s="9"/>
      <c r="C93" s="9"/>
      <c r="D93" s="10"/>
      <c r="F93" s="14"/>
      <c r="H93" s="9"/>
      <c r="I93" s="9"/>
    </row>
    <row r="95" spans="1:9" x14ac:dyDescent="0.2">
      <c r="A95" s="18" t="s">
        <v>1114</v>
      </c>
    </row>
    <row r="96" spans="1:9" x14ac:dyDescent="0.2">
      <c r="A96" s="46" t="s">
        <v>51</v>
      </c>
    </row>
  </sheetData>
  <mergeCells count="5">
    <mergeCell ref="A1:H1"/>
    <mergeCell ref="A51:G51"/>
    <mergeCell ref="A53:G53"/>
    <mergeCell ref="A56:G56"/>
    <mergeCell ref="A63:G63"/>
  </mergeCells>
  <conditionalFormatting sqref="F2:F3 F5:F14 F52 F54:F55 F64 F19:F50 F57:F62 F76:F65534">
    <cfRule type="cellIs" dxfId="35" priority="3" stopIfTrue="1" operator="between">
      <formula>0.009</formula>
      <formula>-0.009</formula>
    </cfRule>
  </conditionalFormatting>
  <conditionalFormatting sqref="F66:F67">
    <cfRule type="cellIs" dxfId="34" priority="2" stopIfTrue="1" operator="between">
      <formula>0.009</formula>
      <formula>-0.009</formula>
    </cfRule>
  </conditionalFormatting>
  <conditionalFormatting sqref="F68:F75">
    <cfRule type="cellIs" dxfId="33" priority="1" stopIfTrue="1" operator="between">
      <formula>0.009</formula>
      <formula>-0.009</formula>
    </cfRule>
  </conditionalFormatting>
  <hyperlinks>
    <hyperlink ref="A49" r:id="rId1" tooltip="https://www.franklintempletonindia.com/investor/reports" xr:uid="{00000000-0004-0000-1800-000000000000}"/>
    <hyperlink ref="A54" r:id="rId2" tooltip="https://www.franklintempletonindia.com/downloadsServlet/pdf/fair-valuation-reliance-big-reliance-infra-november-4-2020-kgox4tfq" xr:uid="{00000000-0004-0000-1800-000001000000}"/>
    <hyperlink ref="A59" r:id="rId3" tooltip="https://www.franklintempletonindia.com/downloadsServlet/pdf/product-labels-jg9o5k7l" xr:uid="{00000000-0004-0000-1800-000002000000}"/>
    <hyperlink ref="A96" r:id="rId4" tooltip="https://www.franklintempletonindia.com/downloadsServlet/pdf/product-labels-jg9o5k7l" xr:uid="{00000000-0004-0000-1800-000003000000}"/>
    <hyperlink ref="A93" r:id="rId5" xr:uid="{00000000-0004-0000-18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37"/>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69" t="s">
        <v>1185</v>
      </c>
      <c r="B1" s="70"/>
      <c r="C1" s="70"/>
      <c r="D1" s="70"/>
      <c r="E1" s="70"/>
      <c r="F1" s="70"/>
      <c r="G1" s="70"/>
      <c r="H1" s="70"/>
    </row>
    <row r="2" spans="1:8" s="1" customFormat="1" ht="12" x14ac:dyDescent="0.25">
      <c r="A2" s="58" t="s">
        <v>1067</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745</v>
      </c>
      <c r="D4" s="16" t="s">
        <v>1</v>
      </c>
      <c r="E4" s="15" t="s">
        <v>3</v>
      </c>
      <c r="F4" s="15" t="s">
        <v>4</v>
      </c>
      <c r="G4" s="15" t="s">
        <v>6</v>
      </c>
      <c r="H4" s="15" t="s">
        <v>1130</v>
      </c>
    </row>
    <row r="5" spans="1:8" x14ac:dyDescent="0.2">
      <c r="A5" s="21" t="s">
        <v>31</v>
      </c>
      <c r="B5" s="22"/>
      <c r="C5" s="22"/>
      <c r="D5" s="23"/>
      <c r="E5" s="24"/>
      <c r="F5" s="25"/>
      <c r="G5" s="24"/>
      <c r="H5" s="24"/>
    </row>
    <row r="6" spans="1:8" x14ac:dyDescent="0.2">
      <c r="A6" s="26" t="s">
        <v>32</v>
      </c>
      <c r="B6" s="27"/>
      <c r="C6" s="27"/>
      <c r="D6" s="28"/>
      <c r="E6" s="29"/>
      <c r="F6" s="30"/>
      <c r="G6" s="29"/>
      <c r="H6" s="29"/>
    </row>
    <row r="7" spans="1:8" x14ac:dyDescent="0.2">
      <c r="A7" s="27" t="s">
        <v>1135</v>
      </c>
      <c r="B7" s="27" t="s">
        <v>1136</v>
      </c>
      <c r="C7" s="27" t="s">
        <v>1078</v>
      </c>
      <c r="D7" s="31">
        <v>10140</v>
      </c>
      <c r="E7" s="29">
        <v>21666.097440000001</v>
      </c>
      <c r="F7" s="30">
        <v>34.9060868436992</v>
      </c>
      <c r="G7" s="29">
        <v>8.7750000000000004</v>
      </c>
      <c r="H7" s="29"/>
    </row>
    <row r="8" spans="1:8" x14ac:dyDescent="0.2">
      <c r="A8" s="27" t="s">
        <v>1076</v>
      </c>
      <c r="B8" s="27" t="s">
        <v>1077</v>
      </c>
      <c r="C8" s="27" t="s">
        <v>1078</v>
      </c>
      <c r="D8" s="31">
        <v>4506</v>
      </c>
      <c r="E8" s="29">
        <v>9642.9211080000005</v>
      </c>
      <c r="F8" s="30">
        <v>15.535637765634799</v>
      </c>
      <c r="G8" s="29">
        <v>9.0098000000000003</v>
      </c>
      <c r="H8" s="29"/>
    </row>
    <row r="9" spans="1:8" x14ac:dyDescent="0.2">
      <c r="A9" s="27" t="s">
        <v>1176</v>
      </c>
      <c r="B9" s="27" t="s">
        <v>1177</v>
      </c>
      <c r="C9" s="27" t="s">
        <v>33</v>
      </c>
      <c r="D9" s="31">
        <v>850</v>
      </c>
      <c r="E9" s="29">
        <v>8316.0429999999997</v>
      </c>
      <c r="F9" s="30">
        <v>13.397914412496901</v>
      </c>
      <c r="G9" s="29">
        <v>10.0649</v>
      </c>
      <c r="H9" s="29"/>
    </row>
    <row r="10" spans="1:8" x14ac:dyDescent="0.2">
      <c r="A10" s="27" t="s">
        <v>1079</v>
      </c>
      <c r="B10" s="27" t="s">
        <v>1080</v>
      </c>
      <c r="C10" s="27" t="s">
        <v>33</v>
      </c>
      <c r="D10" s="31">
        <v>550</v>
      </c>
      <c r="E10" s="29">
        <v>5419.2105000000001</v>
      </c>
      <c r="F10" s="30">
        <v>8.7308493309022399</v>
      </c>
      <c r="G10" s="29">
        <v>9.9896999999999991</v>
      </c>
      <c r="H10" s="29"/>
    </row>
    <row r="11" spans="1:8" x14ac:dyDescent="0.2">
      <c r="A11" s="27" t="s">
        <v>1073</v>
      </c>
      <c r="B11" s="27" t="s">
        <v>1074</v>
      </c>
      <c r="C11" s="27" t="s">
        <v>1075</v>
      </c>
      <c r="D11" s="31">
        <v>482</v>
      </c>
      <c r="E11" s="29">
        <v>4783.8596399999997</v>
      </c>
      <c r="F11" s="30">
        <v>7.7072403327060703</v>
      </c>
      <c r="G11" s="29">
        <v>13.3954</v>
      </c>
      <c r="H11" s="29"/>
    </row>
    <row r="12" spans="1:8" x14ac:dyDescent="0.2">
      <c r="A12" s="27" t="s">
        <v>1083</v>
      </c>
      <c r="B12" s="27" t="s">
        <v>1084</v>
      </c>
      <c r="C12" s="27" t="s">
        <v>1085</v>
      </c>
      <c r="D12" s="31">
        <v>550</v>
      </c>
      <c r="E12" s="29">
        <v>3202.6390000000001</v>
      </c>
      <c r="F12" s="30">
        <v>5.1597476367215203</v>
      </c>
      <c r="G12" s="29">
        <v>22.0794</v>
      </c>
      <c r="H12" s="29"/>
    </row>
    <row r="13" spans="1:8" x14ac:dyDescent="0.2">
      <c r="A13" s="27" t="s">
        <v>1086</v>
      </c>
      <c r="B13" s="27" t="s">
        <v>1087</v>
      </c>
      <c r="C13" s="27" t="s">
        <v>33</v>
      </c>
      <c r="D13" s="31">
        <v>245</v>
      </c>
      <c r="E13" s="29">
        <v>2544.6851499999998</v>
      </c>
      <c r="F13" s="30">
        <v>4.09972313111557</v>
      </c>
      <c r="G13" s="29">
        <v>10.0649</v>
      </c>
      <c r="H13" s="29"/>
    </row>
    <row r="14" spans="1:8" x14ac:dyDescent="0.2">
      <c r="A14" s="27" t="s">
        <v>1088</v>
      </c>
      <c r="B14" s="27" t="s">
        <v>1084</v>
      </c>
      <c r="C14" s="27" t="s">
        <v>1085</v>
      </c>
      <c r="D14" s="31">
        <v>380</v>
      </c>
      <c r="E14" s="29">
        <v>2212.7323999999999</v>
      </c>
      <c r="F14" s="30">
        <v>3.5649165490075898</v>
      </c>
      <c r="G14" s="29">
        <v>22.0794</v>
      </c>
      <c r="H14" s="29"/>
    </row>
    <row r="15" spans="1:8" x14ac:dyDescent="0.2">
      <c r="A15" s="27" t="s">
        <v>1089</v>
      </c>
      <c r="B15" s="27" t="s">
        <v>1090</v>
      </c>
      <c r="C15" s="27" t="s">
        <v>1078</v>
      </c>
      <c r="D15" s="31">
        <v>351</v>
      </c>
      <c r="E15" s="29">
        <v>1766.4250500000001</v>
      </c>
      <c r="F15" s="30">
        <v>2.8458741297983301</v>
      </c>
      <c r="G15" s="29">
        <v>7.7878999999999996</v>
      </c>
      <c r="H15" s="29"/>
    </row>
    <row r="16" spans="1:8" x14ac:dyDescent="0.2">
      <c r="A16" s="27" t="s">
        <v>1123</v>
      </c>
      <c r="B16" s="27" t="s">
        <v>1124</v>
      </c>
      <c r="C16" s="27" t="s">
        <v>1078</v>
      </c>
      <c r="D16" s="31">
        <v>350</v>
      </c>
      <c r="E16" s="29">
        <v>877.50250000000005</v>
      </c>
      <c r="F16" s="30">
        <v>1.4137376865117199</v>
      </c>
      <c r="G16" s="29">
        <v>7.5133000000000001</v>
      </c>
      <c r="H16" s="29"/>
    </row>
    <row r="17" spans="1:9" x14ac:dyDescent="0.2">
      <c r="A17" s="27" t="s">
        <v>1174</v>
      </c>
      <c r="B17" s="27" t="s">
        <v>1175</v>
      </c>
      <c r="C17" s="27" t="s">
        <v>1075</v>
      </c>
      <c r="D17" s="31">
        <v>376</v>
      </c>
      <c r="E17" s="29">
        <v>376.26319999999998</v>
      </c>
      <c r="F17" s="30">
        <v>0.60619481527117902</v>
      </c>
      <c r="G17" s="29">
        <v>10.071199999999999</v>
      </c>
      <c r="H17" s="29">
        <v>10.0133833719</v>
      </c>
    </row>
    <row r="18" spans="1:9" x14ac:dyDescent="0.2">
      <c r="A18" s="26" t="s">
        <v>34</v>
      </c>
      <c r="B18" s="26"/>
      <c r="C18" s="26"/>
      <c r="D18" s="32"/>
      <c r="E18" s="33">
        <f>SUM(E6:E17)</f>
        <v>60808.378988000004</v>
      </c>
      <c r="F18" s="34">
        <f>SUM(F6:F17)</f>
        <v>97.967922633865129</v>
      </c>
      <c r="G18" s="33"/>
      <c r="H18" s="33"/>
      <c r="I18" s="18"/>
    </row>
    <row r="19" spans="1:9" x14ac:dyDescent="0.2">
      <c r="A19" s="27"/>
      <c r="B19" s="27"/>
      <c r="C19" s="27"/>
      <c r="D19" s="28"/>
      <c r="E19" s="29"/>
      <c r="F19" s="30"/>
      <c r="G19" s="29"/>
      <c r="H19" s="29"/>
    </row>
    <row r="20" spans="1:9" x14ac:dyDescent="0.2">
      <c r="A20" s="26" t="s">
        <v>1051</v>
      </c>
      <c r="B20" s="27"/>
      <c r="C20" s="27"/>
      <c r="D20" s="28"/>
      <c r="E20" s="29"/>
      <c r="F20" s="30"/>
      <c r="G20" s="29"/>
      <c r="H20" s="29"/>
    </row>
    <row r="21" spans="1:9" x14ac:dyDescent="0.2">
      <c r="A21" s="27" t="s">
        <v>1186</v>
      </c>
      <c r="B21" s="27" t="s">
        <v>1187</v>
      </c>
      <c r="C21" s="27" t="s">
        <v>1093</v>
      </c>
      <c r="D21" s="31">
        <v>750</v>
      </c>
      <c r="E21" s="29">
        <v>0</v>
      </c>
      <c r="F21" s="29">
        <v>0</v>
      </c>
      <c r="G21" s="29">
        <v>0</v>
      </c>
      <c r="H21" s="29"/>
    </row>
    <row r="22" spans="1:9" x14ac:dyDescent="0.2">
      <c r="A22" s="27" t="s">
        <v>1145</v>
      </c>
      <c r="B22" s="27" t="s">
        <v>1146</v>
      </c>
      <c r="C22" s="27" t="s">
        <v>1093</v>
      </c>
      <c r="D22" s="31">
        <v>150</v>
      </c>
      <c r="E22" s="29">
        <v>0</v>
      </c>
      <c r="F22" s="29">
        <v>0</v>
      </c>
      <c r="G22" s="29">
        <v>0</v>
      </c>
      <c r="H22" s="29"/>
    </row>
    <row r="23" spans="1:9" x14ac:dyDescent="0.2">
      <c r="A23" s="26" t="s">
        <v>34</v>
      </c>
      <c r="B23" s="26"/>
      <c r="C23" s="26"/>
      <c r="D23" s="32"/>
      <c r="E23" s="33">
        <f>SUM(E20:E22)</f>
        <v>0</v>
      </c>
      <c r="F23" s="33">
        <f>SUM(F20:F22)</f>
        <v>0</v>
      </c>
      <c r="G23" s="33"/>
      <c r="H23" s="33"/>
      <c r="I23" s="18"/>
    </row>
    <row r="24" spans="1:9" x14ac:dyDescent="0.2">
      <c r="A24" s="27"/>
      <c r="B24" s="27"/>
      <c r="C24" s="27"/>
      <c r="D24" s="28"/>
      <c r="E24" s="29"/>
      <c r="F24" s="30"/>
      <c r="G24" s="29"/>
      <c r="H24" s="29"/>
    </row>
    <row r="25" spans="1:9" x14ac:dyDescent="0.2">
      <c r="A25" s="26" t="s">
        <v>35</v>
      </c>
      <c r="B25" s="27"/>
      <c r="C25" s="27"/>
      <c r="D25" s="28"/>
      <c r="E25" s="29"/>
      <c r="F25" s="30"/>
      <c r="G25" s="29"/>
      <c r="H25" s="29"/>
    </row>
    <row r="26" spans="1:9" x14ac:dyDescent="0.2">
      <c r="A26" s="27" t="s">
        <v>1098</v>
      </c>
      <c r="B26" s="27" t="s">
        <v>1099</v>
      </c>
      <c r="C26" s="27" t="s">
        <v>1100</v>
      </c>
      <c r="D26" s="31">
        <v>1021615.833</v>
      </c>
      <c r="E26" s="29">
        <v>34694.166660000003</v>
      </c>
      <c r="F26" s="30">
        <v>55.895511305506901</v>
      </c>
      <c r="G26" s="29">
        <v>3.0154000000000001</v>
      </c>
      <c r="H26" s="29"/>
    </row>
    <row r="27" spans="1:9" x14ac:dyDescent="0.2">
      <c r="A27" s="26" t="s">
        <v>34</v>
      </c>
      <c r="B27" s="26"/>
      <c r="C27" s="26"/>
      <c r="D27" s="32"/>
      <c r="E27" s="33">
        <f>SUM(E26:E26)</f>
        <v>34694.166660000003</v>
      </c>
      <c r="F27" s="34">
        <f>SUM(F26:F26)</f>
        <v>55.895511305506901</v>
      </c>
      <c r="G27" s="33"/>
      <c r="H27" s="33"/>
      <c r="I27" s="18"/>
    </row>
    <row r="28" spans="1:9" x14ac:dyDescent="0.2">
      <c r="A28" s="27"/>
      <c r="B28" s="27"/>
      <c r="C28" s="27"/>
      <c r="D28" s="28"/>
      <c r="E28" s="29"/>
      <c r="F28" s="30"/>
      <c r="G28" s="29"/>
      <c r="H28" s="29"/>
    </row>
    <row r="29" spans="1:9" x14ac:dyDescent="0.2">
      <c r="A29" s="26" t="s">
        <v>36</v>
      </c>
      <c r="B29" s="26"/>
      <c r="C29" s="26"/>
      <c r="D29" s="32"/>
      <c r="E29" s="33">
        <f>E18+E23+E27</f>
        <v>95502.545647999999</v>
      </c>
      <c r="F29" s="34">
        <f>F18+F23+F27</f>
        <v>153.86343393937204</v>
      </c>
      <c r="G29" s="33"/>
      <c r="H29" s="33"/>
      <c r="I29" s="18"/>
    </row>
    <row r="30" spans="1:9" x14ac:dyDescent="0.2">
      <c r="A30" s="26"/>
      <c r="B30" s="26"/>
      <c r="C30" s="26"/>
      <c r="D30" s="32"/>
      <c r="E30" s="33"/>
      <c r="F30" s="34"/>
      <c r="G30" s="33"/>
      <c r="H30" s="33"/>
      <c r="I30" s="18"/>
    </row>
    <row r="31" spans="1:9" x14ac:dyDescent="0.2">
      <c r="A31" s="26" t="s">
        <v>38</v>
      </c>
      <c r="B31" s="26"/>
      <c r="C31" s="26"/>
      <c r="D31" s="32"/>
      <c r="E31" s="33">
        <f>E33-(E18+E23+E27)</f>
        <v>-33432.8626812</v>
      </c>
      <c r="F31" s="34">
        <f>F33-(F18+F23+F27)</f>
        <v>-53.863433939372044</v>
      </c>
      <c r="G31" s="33"/>
      <c r="H31" s="33"/>
      <c r="I31" s="18"/>
    </row>
    <row r="32" spans="1:9" x14ac:dyDescent="0.2">
      <c r="A32" s="26"/>
      <c r="B32" s="26"/>
      <c r="C32" s="26"/>
      <c r="D32" s="32"/>
      <c r="E32" s="33"/>
      <c r="F32" s="34"/>
      <c r="G32" s="33"/>
      <c r="H32" s="33"/>
      <c r="I32" s="18"/>
    </row>
    <row r="33" spans="1:9" x14ac:dyDescent="0.2">
      <c r="A33" s="35" t="s">
        <v>37</v>
      </c>
      <c r="B33" s="35"/>
      <c r="C33" s="35"/>
      <c r="D33" s="36"/>
      <c r="E33" s="37">
        <v>62069.682966799999</v>
      </c>
      <c r="F33" s="38">
        <v>100</v>
      </c>
      <c r="G33" s="37"/>
      <c r="H33" s="37"/>
      <c r="I33" s="18"/>
    </row>
    <row r="35" spans="1:9" x14ac:dyDescent="0.2">
      <c r="A35" s="18" t="s">
        <v>39</v>
      </c>
    </row>
    <row r="36" spans="1:9" x14ac:dyDescent="0.2">
      <c r="A36" s="53" t="s">
        <v>1101</v>
      </c>
    </row>
    <row r="37" spans="1:9" x14ac:dyDescent="0.2">
      <c r="A37" s="53"/>
    </row>
    <row r="38" spans="1:9" x14ac:dyDescent="0.2">
      <c r="A38" s="18" t="s">
        <v>40</v>
      </c>
    </row>
    <row r="39" spans="1:9" x14ac:dyDescent="0.2">
      <c r="A39" s="18" t="s">
        <v>41</v>
      </c>
    </row>
    <row r="40" spans="1:9" x14ac:dyDescent="0.2">
      <c r="A40" s="18" t="s">
        <v>42</v>
      </c>
      <c r="B40" s="18"/>
      <c r="C40" s="39" t="s">
        <v>44</v>
      </c>
      <c r="D40" s="19" t="s">
        <v>43</v>
      </c>
    </row>
    <row r="41" spans="1:9" x14ac:dyDescent="0.2">
      <c r="A41" s="9" t="s">
        <v>71</v>
      </c>
      <c r="C41" s="40">
        <v>20.2851</v>
      </c>
      <c r="D41" s="40">
        <v>21.184799999999999</v>
      </c>
    </row>
    <row r="42" spans="1:9" x14ac:dyDescent="0.2">
      <c r="A42" s="9" t="s">
        <v>77</v>
      </c>
      <c r="C42" s="40">
        <v>10.878</v>
      </c>
      <c r="D42" s="40">
        <v>11.3604</v>
      </c>
    </row>
    <row r="43" spans="1:9" x14ac:dyDescent="0.2">
      <c r="A43" s="9" t="s">
        <v>74</v>
      </c>
      <c r="C43" s="40">
        <v>21.601400000000002</v>
      </c>
      <c r="D43" s="40">
        <v>22.566299999999998</v>
      </c>
    </row>
    <row r="44" spans="1:9" x14ac:dyDescent="0.2">
      <c r="A44" s="9" t="s">
        <v>78</v>
      </c>
      <c r="C44" s="40">
        <v>11.8383</v>
      </c>
      <c r="D44" s="40">
        <v>12.367100000000001</v>
      </c>
    </row>
    <row r="46" spans="1:9" x14ac:dyDescent="0.2">
      <c r="A46" s="9" t="s">
        <v>45</v>
      </c>
    </row>
    <row r="48" spans="1:9" x14ac:dyDescent="0.2">
      <c r="A48" s="18" t="s">
        <v>46</v>
      </c>
      <c r="D48" s="41" t="s">
        <v>47</v>
      </c>
    </row>
    <row r="50" spans="1:7" x14ac:dyDescent="0.2">
      <c r="A50" s="18" t="s">
        <v>805</v>
      </c>
      <c r="D50" s="42">
        <v>3.84112059049315</v>
      </c>
      <c r="E50" s="13" t="s">
        <v>48</v>
      </c>
    </row>
    <row r="52" spans="1:7" x14ac:dyDescent="0.2">
      <c r="A52" s="18" t="s">
        <v>49</v>
      </c>
      <c r="D52" s="10" t="s">
        <v>47</v>
      </c>
    </row>
    <row r="53" spans="1:7" x14ac:dyDescent="0.2">
      <c r="A53" s="9" t="s">
        <v>53</v>
      </c>
    </row>
    <row r="54" spans="1:7" x14ac:dyDescent="0.2">
      <c r="A54" s="63" t="s">
        <v>1102</v>
      </c>
    </row>
    <row r="56" spans="1:7" ht="27.75" customHeight="1" x14ac:dyDescent="0.3">
      <c r="A56" s="74" t="s">
        <v>1188</v>
      </c>
      <c r="B56" s="75"/>
      <c r="C56" s="75"/>
      <c r="D56" s="75"/>
      <c r="E56" s="75"/>
      <c r="F56" s="75"/>
      <c r="G56" s="75"/>
    </row>
    <row r="58" spans="1:7" ht="34.5" customHeight="1" x14ac:dyDescent="0.3">
      <c r="A58" s="74" t="s">
        <v>1189</v>
      </c>
      <c r="B58" s="75"/>
      <c r="C58" s="75"/>
      <c r="D58" s="75"/>
      <c r="E58" s="75"/>
      <c r="F58" s="75"/>
      <c r="G58" s="75"/>
    </row>
    <row r="60" spans="1:7" ht="35.25" customHeight="1" x14ac:dyDescent="0.3">
      <c r="A60" s="74" t="s">
        <v>1190</v>
      </c>
      <c r="B60" s="75"/>
      <c r="C60" s="75"/>
      <c r="D60" s="75"/>
      <c r="E60" s="75"/>
      <c r="F60" s="75"/>
      <c r="G60" s="75"/>
    </row>
    <row r="61" spans="1:7" x14ac:dyDescent="0.2">
      <c r="A61" s="63" t="s">
        <v>1106</v>
      </c>
    </row>
    <row r="63" spans="1:7" ht="24.75" customHeight="1" x14ac:dyDescent="0.3">
      <c r="A63" s="74" t="s">
        <v>1107</v>
      </c>
      <c r="B63" s="75"/>
      <c r="C63" s="75"/>
      <c r="D63" s="75"/>
      <c r="E63" s="75"/>
      <c r="F63" s="75"/>
      <c r="G63" s="75"/>
    </row>
    <row r="65" spans="1:9" x14ac:dyDescent="0.2">
      <c r="A65" s="18" t="s">
        <v>1108</v>
      </c>
    </row>
    <row r="66" spans="1:9" x14ac:dyDescent="0.2">
      <c r="A66" s="63" t="s">
        <v>51</v>
      </c>
    </row>
    <row r="68" spans="1:9" x14ac:dyDescent="0.2">
      <c r="A68" s="18" t="s">
        <v>727</v>
      </c>
    </row>
    <row r="70" spans="1:9" s="1" customFormat="1" ht="13.8" x14ac:dyDescent="0.2">
      <c r="A70" s="69" t="s">
        <v>1191</v>
      </c>
      <c r="B70" s="70"/>
      <c r="C70" s="70"/>
      <c r="D70" s="70"/>
      <c r="E70" s="70"/>
      <c r="F70" s="70"/>
      <c r="G70" s="70"/>
    </row>
    <row r="71" spans="1:9" x14ac:dyDescent="0.2">
      <c r="A71" s="18" t="s">
        <v>7</v>
      </c>
    </row>
    <row r="72" spans="1:9" s="1" customFormat="1" ht="17.399999999999999" customHeight="1" x14ac:dyDescent="0.2">
      <c r="A72" s="8" t="s">
        <v>2</v>
      </c>
      <c r="B72" s="8" t="s">
        <v>0</v>
      </c>
      <c r="C72" s="17" t="s">
        <v>745</v>
      </c>
      <c r="D72" s="16" t="s">
        <v>1</v>
      </c>
      <c r="E72" s="15" t="s">
        <v>3</v>
      </c>
      <c r="F72" s="15" t="s">
        <v>4</v>
      </c>
      <c r="G72" s="15" t="s">
        <v>6</v>
      </c>
    </row>
    <row r="73" spans="1:9" x14ac:dyDescent="0.2">
      <c r="A73" s="21" t="s">
        <v>31</v>
      </c>
      <c r="B73" s="22"/>
      <c r="C73" s="22"/>
      <c r="D73" s="23"/>
      <c r="E73" s="24"/>
      <c r="F73" s="25"/>
      <c r="G73" s="24"/>
    </row>
    <row r="74" spans="1:9" x14ac:dyDescent="0.2">
      <c r="A74" s="26" t="s">
        <v>32</v>
      </c>
      <c r="B74" s="27"/>
      <c r="C74" s="27"/>
      <c r="D74" s="28"/>
      <c r="E74" s="29"/>
      <c r="F74" s="30"/>
      <c r="G74" s="29"/>
    </row>
    <row r="75" spans="1:9" x14ac:dyDescent="0.2">
      <c r="A75" s="27" t="s">
        <v>1110</v>
      </c>
      <c r="B75" s="27" t="s">
        <v>1111</v>
      </c>
      <c r="C75" s="27" t="s">
        <v>1112</v>
      </c>
      <c r="D75" s="31">
        <v>3370</v>
      </c>
      <c r="E75" s="29">
        <v>0</v>
      </c>
      <c r="F75" s="30">
        <v>100</v>
      </c>
      <c r="G75" s="29">
        <v>0</v>
      </c>
    </row>
    <row r="76" spans="1:9" x14ac:dyDescent="0.2">
      <c r="A76" s="26" t="s">
        <v>34</v>
      </c>
      <c r="B76" s="26"/>
      <c r="C76" s="26"/>
      <c r="D76" s="32"/>
      <c r="E76" s="33">
        <v>0</v>
      </c>
      <c r="F76" s="34">
        <v>100</v>
      </c>
      <c r="G76" s="33"/>
      <c r="H76" s="18"/>
      <c r="I76" s="18"/>
    </row>
    <row r="77" spans="1:9" x14ac:dyDescent="0.2">
      <c r="A77" s="27"/>
      <c r="B77" s="27"/>
      <c r="C77" s="27"/>
      <c r="D77" s="28"/>
      <c r="E77" s="29"/>
      <c r="F77" s="30"/>
      <c r="G77" s="29"/>
    </row>
    <row r="78" spans="1:9" x14ac:dyDescent="0.2">
      <c r="A78" s="26" t="s">
        <v>36</v>
      </c>
      <c r="B78" s="26"/>
      <c r="C78" s="26"/>
      <c r="D78" s="32"/>
      <c r="E78" s="33">
        <v>0</v>
      </c>
      <c r="F78" s="34">
        <v>100</v>
      </c>
      <c r="G78" s="33"/>
      <c r="H78" s="18"/>
      <c r="I78" s="18"/>
    </row>
    <row r="79" spans="1:9" x14ac:dyDescent="0.2">
      <c r="A79" s="26"/>
      <c r="B79" s="26"/>
      <c r="C79" s="26"/>
      <c r="D79" s="32"/>
      <c r="E79" s="33"/>
      <c r="F79" s="34"/>
      <c r="G79" s="33"/>
      <c r="H79" s="18"/>
      <c r="I79" s="18"/>
    </row>
    <row r="80" spans="1:9" x14ac:dyDescent="0.2">
      <c r="A80" s="26" t="s">
        <v>38</v>
      </c>
      <c r="B80" s="26"/>
      <c r="C80" s="26"/>
      <c r="D80" s="32"/>
      <c r="E80" s="33">
        <v>3.9999999999999998E-7</v>
      </c>
      <c r="F80" s="34">
        <v>0</v>
      </c>
      <c r="G80" s="33"/>
      <c r="H80" s="18"/>
      <c r="I80" s="18"/>
    </row>
    <row r="81" spans="1:9" x14ac:dyDescent="0.2">
      <c r="A81" s="26"/>
      <c r="B81" s="26"/>
      <c r="C81" s="26"/>
      <c r="D81" s="32"/>
      <c r="E81" s="33"/>
      <c r="F81" s="34"/>
      <c r="G81" s="33"/>
      <c r="H81" s="18"/>
      <c r="I81" s="18"/>
    </row>
    <row r="82" spans="1:9" x14ac:dyDescent="0.2">
      <c r="A82" s="35" t="s">
        <v>37</v>
      </c>
      <c r="B82" s="35"/>
      <c r="C82" s="35"/>
      <c r="D82" s="36"/>
      <c r="E82" s="37">
        <v>3.9999999999999998E-7</v>
      </c>
      <c r="F82" s="38">
        <v>100</v>
      </c>
      <c r="G82" s="37"/>
      <c r="H82" s="18"/>
      <c r="I82" s="18"/>
    </row>
    <row r="84" spans="1:9" x14ac:dyDescent="0.2">
      <c r="A84" s="18" t="s">
        <v>39</v>
      </c>
    </row>
    <row r="85" spans="1:9" x14ac:dyDescent="0.2">
      <c r="A85" s="53" t="s">
        <v>1101</v>
      </c>
    </row>
    <row r="86" spans="1:9" x14ac:dyDescent="0.2">
      <c r="A86" s="18" t="s">
        <v>1113</v>
      </c>
    </row>
    <row r="87" spans="1:9" x14ac:dyDescent="0.2">
      <c r="A87" s="53"/>
    </row>
    <row r="88" spans="1:9" x14ac:dyDescent="0.2">
      <c r="A88" s="18" t="s">
        <v>40</v>
      </c>
    </row>
    <row r="89" spans="1:9" x14ac:dyDescent="0.2">
      <c r="A89" s="18" t="s">
        <v>41</v>
      </c>
    </row>
    <row r="90" spans="1:9" x14ac:dyDescent="0.2">
      <c r="A90" s="18" t="s">
        <v>42</v>
      </c>
      <c r="B90" s="18"/>
      <c r="C90" s="39" t="s">
        <v>44</v>
      </c>
      <c r="D90" s="19" t="s">
        <v>43</v>
      </c>
    </row>
    <row r="91" spans="1:9" x14ac:dyDescent="0.2">
      <c r="A91" s="9" t="s">
        <v>71</v>
      </c>
      <c r="C91" s="40">
        <v>0</v>
      </c>
      <c r="D91" s="40">
        <v>0</v>
      </c>
    </row>
    <row r="92" spans="1:9" x14ac:dyDescent="0.2">
      <c r="A92" s="9" t="s">
        <v>77</v>
      </c>
      <c r="C92" s="40">
        <v>0</v>
      </c>
      <c r="D92" s="40">
        <v>0</v>
      </c>
    </row>
    <row r="93" spans="1:9" x14ac:dyDescent="0.2">
      <c r="A93" s="9" t="s">
        <v>74</v>
      </c>
      <c r="C93" s="40">
        <v>0</v>
      </c>
      <c r="D93" s="40">
        <v>0</v>
      </c>
    </row>
    <row r="94" spans="1:9" x14ac:dyDescent="0.2">
      <c r="A94" s="9" t="s">
        <v>78</v>
      </c>
      <c r="C94" s="40">
        <v>0</v>
      </c>
      <c r="D94" s="40">
        <v>0</v>
      </c>
    </row>
    <row r="96" spans="1:9" x14ac:dyDescent="0.2">
      <c r="A96" s="9" t="s">
        <v>45</v>
      </c>
    </row>
    <row r="98" spans="1:9" x14ac:dyDescent="0.2">
      <c r="A98" s="18" t="s">
        <v>1193</v>
      </c>
      <c r="D98" s="41" t="s">
        <v>47</v>
      </c>
    </row>
    <row r="99" spans="1:9" x14ac:dyDescent="0.2">
      <c r="A99" s="9" t="s">
        <v>53</v>
      </c>
    </row>
    <row r="100" spans="1:9" x14ac:dyDescent="0.2">
      <c r="A100" s="46" t="s">
        <v>724</v>
      </c>
    </row>
    <row r="102" spans="1:9" x14ac:dyDescent="0.2">
      <c r="A102" s="18" t="s">
        <v>1114</v>
      </c>
    </row>
    <row r="103" spans="1:9" x14ac:dyDescent="0.2">
      <c r="A103" s="46" t="s">
        <v>51</v>
      </c>
    </row>
    <row r="105" spans="1:9" s="1" customFormat="1" ht="13.8" x14ac:dyDescent="0.2">
      <c r="A105" s="69" t="s">
        <v>1192</v>
      </c>
      <c r="B105" s="70"/>
      <c r="C105" s="70"/>
      <c r="D105" s="70"/>
      <c r="E105" s="70"/>
      <c r="F105" s="70"/>
      <c r="G105" s="70"/>
    </row>
    <row r="106" spans="1:9" x14ac:dyDescent="0.2">
      <c r="A106" s="18" t="s">
        <v>7</v>
      </c>
    </row>
    <row r="107" spans="1:9" s="1" customFormat="1" ht="17.399999999999999" customHeight="1" x14ac:dyDescent="0.2">
      <c r="A107" s="8" t="s">
        <v>2</v>
      </c>
      <c r="B107" s="8" t="s">
        <v>0</v>
      </c>
      <c r="C107" s="17" t="s">
        <v>745</v>
      </c>
      <c r="D107" s="16" t="s">
        <v>1</v>
      </c>
      <c r="E107" s="15" t="s">
        <v>3</v>
      </c>
      <c r="F107" s="15" t="s">
        <v>4</v>
      </c>
      <c r="G107" s="15" t="s">
        <v>6</v>
      </c>
    </row>
    <row r="108" spans="1:9" x14ac:dyDescent="0.2">
      <c r="A108" s="21" t="s">
        <v>31</v>
      </c>
      <c r="B108" s="22"/>
      <c r="C108" s="22"/>
      <c r="D108" s="23"/>
      <c r="E108" s="24"/>
      <c r="F108" s="25"/>
      <c r="G108" s="24"/>
    </row>
    <row r="109" spans="1:9" x14ac:dyDescent="0.2">
      <c r="A109" s="26" t="s">
        <v>32</v>
      </c>
      <c r="B109" s="27"/>
      <c r="C109" s="27"/>
      <c r="D109" s="28"/>
      <c r="E109" s="29"/>
      <c r="F109" s="30"/>
      <c r="G109" s="29"/>
    </row>
    <row r="110" spans="1:9" ht="20.399999999999999" x14ac:dyDescent="0.2">
      <c r="A110" s="27" t="s">
        <v>1116</v>
      </c>
      <c r="B110" s="27" t="s">
        <v>1117</v>
      </c>
      <c r="C110" s="47" t="s">
        <v>1118</v>
      </c>
      <c r="D110" s="31">
        <v>1695</v>
      </c>
      <c r="E110" s="29">
        <v>0</v>
      </c>
      <c r="F110" s="48">
        <v>100</v>
      </c>
      <c r="G110" s="29">
        <v>0</v>
      </c>
    </row>
    <row r="111" spans="1:9" x14ac:dyDescent="0.2">
      <c r="A111" s="26" t="s">
        <v>34</v>
      </c>
      <c r="B111" s="26"/>
      <c r="C111" s="26"/>
      <c r="D111" s="32"/>
      <c r="E111" s="33">
        <f>SUM(E109:E110)</f>
        <v>0</v>
      </c>
      <c r="F111" s="64">
        <f>SUM(F109:F110)</f>
        <v>100</v>
      </c>
      <c r="G111" s="33"/>
      <c r="H111" s="18"/>
      <c r="I111" s="18"/>
    </row>
    <row r="112" spans="1:9" x14ac:dyDescent="0.2">
      <c r="A112" s="27"/>
      <c r="B112" s="27"/>
      <c r="C112" s="27"/>
      <c r="D112" s="28"/>
      <c r="E112" s="29"/>
      <c r="F112" s="65"/>
      <c r="G112" s="29"/>
    </row>
    <row r="113" spans="1:9" x14ac:dyDescent="0.2">
      <c r="A113" s="26" t="s">
        <v>36</v>
      </c>
      <c r="B113" s="26"/>
      <c r="C113" s="26"/>
      <c r="D113" s="32"/>
      <c r="E113" s="33">
        <f>E111</f>
        <v>0</v>
      </c>
      <c r="F113" s="64">
        <f>F111</f>
        <v>100</v>
      </c>
      <c r="G113" s="33"/>
      <c r="H113" s="18"/>
      <c r="I113" s="18"/>
    </row>
    <row r="114" spans="1:9" x14ac:dyDescent="0.2">
      <c r="A114" s="26"/>
      <c r="B114" s="26"/>
      <c r="C114" s="26"/>
      <c r="D114" s="32"/>
      <c r="E114" s="33"/>
      <c r="F114" s="64"/>
      <c r="G114" s="33"/>
      <c r="H114" s="18"/>
      <c r="I114" s="18"/>
    </row>
    <row r="115" spans="1:9" x14ac:dyDescent="0.2">
      <c r="A115" s="26" t="s">
        <v>38</v>
      </c>
      <c r="B115" s="26"/>
      <c r="C115" s="26"/>
      <c r="D115" s="32"/>
      <c r="E115" s="33">
        <f>E117-(E111)</f>
        <v>3.9999999999999998E-7</v>
      </c>
      <c r="F115" s="34">
        <v>0</v>
      </c>
      <c r="G115" s="33"/>
      <c r="H115" s="18"/>
      <c r="I115" s="18"/>
    </row>
    <row r="116" spans="1:9" x14ac:dyDescent="0.2">
      <c r="A116" s="26"/>
      <c r="B116" s="26"/>
      <c r="C116" s="26"/>
      <c r="D116" s="32"/>
      <c r="E116" s="33"/>
      <c r="F116" s="64"/>
      <c r="G116" s="33"/>
      <c r="H116" s="18"/>
      <c r="I116" s="18"/>
    </row>
    <row r="117" spans="1:9" x14ac:dyDescent="0.2">
      <c r="A117" s="35" t="s">
        <v>37</v>
      </c>
      <c r="B117" s="35"/>
      <c r="C117" s="35"/>
      <c r="D117" s="36"/>
      <c r="E117" s="37">
        <v>3.9999999999999998E-7</v>
      </c>
      <c r="F117" s="66">
        <v>100</v>
      </c>
      <c r="G117" s="37"/>
      <c r="H117" s="18"/>
      <c r="I117" s="18"/>
    </row>
    <row r="119" spans="1:9" x14ac:dyDescent="0.2">
      <c r="A119" s="18" t="s">
        <v>39</v>
      </c>
    </row>
    <row r="120" spans="1:9" x14ac:dyDescent="0.2">
      <c r="A120" s="18" t="s">
        <v>1101</v>
      </c>
    </row>
    <row r="121" spans="1:9" x14ac:dyDescent="0.2">
      <c r="A121" s="18"/>
    </row>
    <row r="122" spans="1:9" x14ac:dyDescent="0.2">
      <c r="A122" s="18" t="s">
        <v>40</v>
      </c>
    </row>
    <row r="123" spans="1:9" x14ac:dyDescent="0.2">
      <c r="A123" s="18" t="s">
        <v>41</v>
      </c>
    </row>
    <row r="124" spans="1:9" x14ac:dyDescent="0.2">
      <c r="A124" s="18" t="s">
        <v>42</v>
      </c>
      <c r="B124" s="18"/>
      <c r="C124" s="39" t="s">
        <v>44</v>
      </c>
      <c r="D124" s="19" t="s">
        <v>43</v>
      </c>
    </row>
    <row r="125" spans="1:9" s="13" customFormat="1" x14ac:dyDescent="0.2">
      <c r="A125" s="9" t="s">
        <v>71</v>
      </c>
      <c r="B125" s="9"/>
      <c r="C125" s="40">
        <v>0</v>
      </c>
      <c r="D125" s="40">
        <v>0</v>
      </c>
      <c r="F125" s="14"/>
      <c r="H125" s="9"/>
      <c r="I125" s="9"/>
    </row>
    <row r="126" spans="1:9" s="13" customFormat="1" x14ac:dyDescent="0.2">
      <c r="A126" s="9" t="s">
        <v>77</v>
      </c>
      <c r="B126" s="9"/>
      <c r="C126" s="40">
        <v>0</v>
      </c>
      <c r="D126" s="40">
        <v>0</v>
      </c>
      <c r="F126" s="14"/>
      <c r="H126" s="9"/>
      <c r="I126" s="9"/>
    </row>
    <row r="127" spans="1:9" s="13" customFormat="1" x14ac:dyDescent="0.2">
      <c r="A127" s="9" t="s">
        <v>74</v>
      </c>
      <c r="B127" s="9"/>
      <c r="C127" s="40">
        <v>0</v>
      </c>
      <c r="D127" s="40">
        <v>0</v>
      </c>
      <c r="F127" s="14"/>
      <c r="H127" s="9"/>
      <c r="I127" s="9"/>
    </row>
    <row r="128" spans="1:9" s="13" customFormat="1" x14ac:dyDescent="0.2">
      <c r="A128" s="9" t="s">
        <v>78</v>
      </c>
      <c r="B128" s="9"/>
      <c r="C128" s="40">
        <v>0</v>
      </c>
      <c r="D128" s="40">
        <v>0</v>
      </c>
      <c r="F128" s="14"/>
      <c r="H128" s="9"/>
      <c r="I128" s="9"/>
    </row>
    <row r="130" spans="1:9" s="13" customFormat="1" x14ac:dyDescent="0.2">
      <c r="A130" s="9" t="s">
        <v>45</v>
      </c>
      <c r="B130" s="9"/>
      <c r="C130" s="9"/>
      <c r="D130" s="10"/>
      <c r="F130" s="14"/>
      <c r="H130" s="9"/>
      <c r="I130" s="9"/>
    </row>
    <row r="132" spans="1:9" s="13" customFormat="1" x14ac:dyDescent="0.2">
      <c r="A132" s="18" t="s">
        <v>1193</v>
      </c>
      <c r="B132" s="9"/>
      <c r="C132" s="9"/>
      <c r="D132" s="41" t="s">
        <v>47</v>
      </c>
      <c r="F132" s="14"/>
      <c r="H132" s="9"/>
      <c r="I132" s="9"/>
    </row>
    <row r="133" spans="1:9" s="13" customFormat="1" x14ac:dyDescent="0.2">
      <c r="A133" s="9" t="s">
        <v>53</v>
      </c>
      <c r="B133" s="9"/>
      <c r="C133" s="9"/>
      <c r="D133" s="10"/>
      <c r="F133" s="14"/>
      <c r="H133" s="9"/>
      <c r="I133" s="9"/>
    </row>
    <row r="134" spans="1:9" s="13" customFormat="1" x14ac:dyDescent="0.2">
      <c r="A134" s="46" t="s">
        <v>724</v>
      </c>
      <c r="B134" s="9"/>
      <c r="C134" s="9"/>
      <c r="D134" s="10"/>
      <c r="F134" s="14"/>
      <c r="H134" s="9"/>
      <c r="I134" s="9"/>
    </row>
    <row r="136" spans="1:9" s="13" customFormat="1" x14ac:dyDescent="0.2">
      <c r="A136" s="18" t="s">
        <v>1114</v>
      </c>
      <c r="B136" s="9"/>
      <c r="C136" s="9"/>
      <c r="D136" s="10"/>
      <c r="F136" s="14"/>
      <c r="H136" s="9"/>
      <c r="I136" s="9"/>
    </row>
    <row r="137" spans="1:9" s="13" customFormat="1" x14ac:dyDescent="0.2">
      <c r="A137" s="46" t="s">
        <v>51</v>
      </c>
      <c r="B137" s="9"/>
      <c r="C137" s="9"/>
      <c r="D137" s="10"/>
      <c r="F137" s="14"/>
      <c r="H137" s="9"/>
      <c r="I137" s="9"/>
    </row>
  </sheetData>
  <mergeCells count="7">
    <mergeCell ref="A105:G105"/>
    <mergeCell ref="A1:H1"/>
    <mergeCell ref="A56:G56"/>
    <mergeCell ref="A58:G58"/>
    <mergeCell ref="A60:G60"/>
    <mergeCell ref="A63:G63"/>
    <mergeCell ref="A70:G70"/>
  </mergeCells>
  <conditionalFormatting sqref="F2:F3 F5:F20 F57 F59 F61:F62 F71 F106 F24:F55 F64:F69 F83:F104 F118:F65534">
    <cfRule type="cellIs" dxfId="32" priority="4" stopIfTrue="1" operator="between">
      <formula>0.009</formula>
      <formula>-0.009</formula>
    </cfRule>
  </conditionalFormatting>
  <conditionalFormatting sqref="F73:F82">
    <cfRule type="cellIs" dxfId="31" priority="3" stopIfTrue="1" operator="between">
      <formula>0.009</formula>
      <formula>-0.009</formula>
    </cfRule>
  </conditionalFormatting>
  <conditionalFormatting sqref="F108:F109">
    <cfRule type="cellIs" dxfId="30" priority="2" stopIfTrue="1" operator="between">
      <formula>0.009</formula>
      <formula>-0.009</formula>
    </cfRule>
  </conditionalFormatting>
  <conditionalFormatting sqref="F111:F114 F116:F117">
    <cfRule type="cellIs" dxfId="29" priority="1" stopIfTrue="1" operator="between">
      <formula>0.009</formula>
      <formula>-0.009</formula>
    </cfRule>
  </conditionalFormatting>
  <hyperlinks>
    <hyperlink ref="A54" r:id="rId1" tooltip="https://www.franklintempletonindia.com/investor/reports" xr:uid="{00000000-0004-0000-1900-000000000000}"/>
    <hyperlink ref="A61" r:id="rId2" tooltip="https://www.franklintempletonindia.com/downloadsServlet/pdf/fair-valuation-reliance-big-reliance-infra-november-4-2020-kgox4tfq" xr:uid="{00000000-0004-0000-1900-000001000000}"/>
    <hyperlink ref="A66" r:id="rId3" tooltip="https://www.franklintempletonindia.com/downloadsServlet/pdf/product-labels-jg9o5k7l" xr:uid="{00000000-0004-0000-1900-000002000000}"/>
    <hyperlink ref="A103" r:id="rId4" tooltip="https://www.franklintempletonindia.com/downloadsServlet/pdf/product-labels-jg9o5k7l" xr:uid="{00000000-0004-0000-1900-000003000000}"/>
    <hyperlink ref="A137" r:id="rId5" tooltip="https://www.franklintempletonindia.com/downloadsServlet/pdf/product-labels-jg9o5k7l" xr:uid="{00000000-0004-0000-1900-000004000000}"/>
    <hyperlink ref="A100" r:id="rId6" xr:uid="{00000000-0004-0000-1900-000005000000}"/>
    <hyperlink ref="A134" r:id="rId7" xr:uid="{00000000-0004-0000-1900-000006000000}"/>
  </hyperlinks>
  <pageMargins left="0.7" right="0.7" top="0.75" bottom="0.75" header="0.3" footer="0.3"/>
  <pageSetup paperSize="9" orientation="portrait" r:id="rId8"/>
  <headerFooter>
    <oddFooter>&amp;C&amp;1#&amp;"Calibri"&amp;10&amp;K000000PUBLIC</oddFooter>
    <evenFooter>&amp;LPUBLIC</evenFooter>
    <firstFooter>&amp;LPUBLIC</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96"/>
  <sheetViews>
    <sheetView workbookViewId="0">
      <selection sqref="A1:G1"/>
    </sheetView>
  </sheetViews>
  <sheetFormatPr defaultColWidth="9.109375" defaultRowHeight="10.199999999999999" x14ac:dyDescent="0.2"/>
  <cols>
    <col min="1" max="1" width="40.5546875" style="9" bestFit="1" customWidth="1"/>
    <col min="2" max="2" width="33.44140625" style="9" bestFit="1" customWidth="1"/>
    <col min="3" max="3" width="25.10937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3.8" x14ac:dyDescent="0.2">
      <c r="A1" s="69" t="s">
        <v>8</v>
      </c>
      <c r="B1" s="70"/>
      <c r="C1" s="70"/>
      <c r="D1" s="70"/>
      <c r="E1" s="70"/>
      <c r="F1" s="70"/>
      <c r="G1" s="70"/>
    </row>
    <row r="2" spans="1:8" s="1" customFormat="1" ht="11.4" x14ac:dyDescent="0.2">
      <c r="D2" s="6"/>
      <c r="E2" s="7"/>
      <c r="F2" s="12"/>
      <c r="G2" s="13"/>
    </row>
    <row r="3" spans="1:8" s="1" customFormat="1" ht="12" x14ac:dyDescent="0.2">
      <c r="A3" s="11" t="s">
        <v>7</v>
      </c>
      <c r="B3" s="2"/>
      <c r="C3" s="3"/>
      <c r="D3" s="4"/>
      <c r="E3" s="5"/>
      <c r="F3" s="12"/>
      <c r="G3" s="13"/>
    </row>
    <row r="4" spans="1:8" s="1" customFormat="1" ht="43.5" customHeight="1" x14ac:dyDescent="0.2">
      <c r="A4" s="8" t="s">
        <v>2</v>
      </c>
      <c r="B4" s="8" t="s">
        <v>0</v>
      </c>
      <c r="C4" s="17" t="s">
        <v>5</v>
      </c>
      <c r="D4" s="16" t="s">
        <v>1</v>
      </c>
      <c r="E4" s="15" t="s">
        <v>3</v>
      </c>
      <c r="F4" s="52" t="s">
        <v>730</v>
      </c>
      <c r="G4" s="52" t="s">
        <v>729</v>
      </c>
      <c r="H4" s="15" t="s">
        <v>6</v>
      </c>
    </row>
    <row r="5" spans="1:8" x14ac:dyDescent="0.2">
      <c r="A5" s="21" t="s">
        <v>98</v>
      </c>
      <c r="B5" s="22"/>
      <c r="C5" s="22"/>
      <c r="D5" s="23"/>
      <c r="E5" s="24"/>
      <c r="F5" s="25"/>
      <c r="G5" s="24"/>
      <c r="H5" s="24"/>
    </row>
    <row r="6" spans="1:8" x14ac:dyDescent="0.2">
      <c r="A6" s="26" t="s">
        <v>32</v>
      </c>
      <c r="B6" s="27"/>
      <c r="C6" s="27"/>
      <c r="D6" s="28"/>
      <c r="E6" s="29"/>
      <c r="F6" s="30"/>
      <c r="G6" s="29"/>
      <c r="H6" s="29"/>
    </row>
    <row r="7" spans="1:8" x14ac:dyDescent="0.2">
      <c r="A7" s="27" t="s">
        <v>186</v>
      </c>
      <c r="B7" s="27" t="s">
        <v>185</v>
      </c>
      <c r="C7" s="27" t="s">
        <v>187</v>
      </c>
      <c r="D7" s="31">
        <v>45200</v>
      </c>
      <c r="E7" s="29">
        <v>1264.922</v>
      </c>
      <c r="F7" s="30">
        <v>10.3994803811932</v>
      </c>
      <c r="G7" s="29">
        <v>-9.7440999999999995</v>
      </c>
      <c r="H7" s="29"/>
    </row>
    <row r="8" spans="1:8" x14ac:dyDescent="0.2">
      <c r="A8" s="27" t="s">
        <v>106</v>
      </c>
      <c r="B8" s="27" t="s">
        <v>105</v>
      </c>
      <c r="C8" s="27" t="s">
        <v>104</v>
      </c>
      <c r="D8" s="31">
        <v>136500</v>
      </c>
      <c r="E8" s="29">
        <v>1073.5725</v>
      </c>
      <c r="F8" s="30">
        <v>8.8263119398180496</v>
      </c>
      <c r="G8" s="29">
        <v>-5.4378000000000002</v>
      </c>
      <c r="H8" s="29"/>
    </row>
    <row r="9" spans="1:8" x14ac:dyDescent="0.2">
      <c r="A9" s="27" t="s">
        <v>132</v>
      </c>
      <c r="B9" s="27" t="s">
        <v>131</v>
      </c>
      <c r="C9" s="27" t="s">
        <v>133</v>
      </c>
      <c r="D9" s="31">
        <v>329400</v>
      </c>
      <c r="E9" s="29">
        <v>878.18039999999996</v>
      </c>
      <c r="F9" s="30">
        <v>7.21990750492788</v>
      </c>
      <c r="G9" s="29">
        <v>-7.2455999999999996</v>
      </c>
      <c r="H9" s="29"/>
    </row>
    <row r="10" spans="1:8" x14ac:dyDescent="0.2">
      <c r="A10" s="27" t="s">
        <v>108</v>
      </c>
      <c r="B10" s="27" t="s">
        <v>107</v>
      </c>
      <c r="C10" s="27" t="s">
        <v>104</v>
      </c>
      <c r="D10" s="31">
        <v>84061</v>
      </c>
      <c r="E10" s="29">
        <v>604.44062050000002</v>
      </c>
      <c r="F10" s="30">
        <v>4.9693723205747</v>
      </c>
      <c r="G10" s="29">
        <v>-3.2543000000000002</v>
      </c>
      <c r="H10" s="29"/>
    </row>
    <row r="11" spans="1:8" x14ac:dyDescent="0.2">
      <c r="A11" s="27" t="s">
        <v>100</v>
      </c>
      <c r="B11" s="27" t="s">
        <v>99</v>
      </c>
      <c r="C11" s="27" t="s">
        <v>101</v>
      </c>
      <c r="D11" s="31">
        <v>26745</v>
      </c>
      <c r="E11" s="29">
        <v>456.39005250000002</v>
      </c>
      <c r="F11" s="30">
        <v>3.7521834525334201</v>
      </c>
      <c r="G11" s="29"/>
      <c r="H11" s="29"/>
    </row>
    <row r="12" spans="1:8" x14ac:dyDescent="0.2">
      <c r="A12" s="27" t="s">
        <v>189</v>
      </c>
      <c r="B12" s="27" t="s">
        <v>188</v>
      </c>
      <c r="C12" s="27" t="s">
        <v>152</v>
      </c>
      <c r="D12" s="31">
        <v>4600</v>
      </c>
      <c r="E12" s="29">
        <v>314.92059999999998</v>
      </c>
      <c r="F12" s="30">
        <v>2.5891008309868799</v>
      </c>
      <c r="G12" s="29">
        <v>-2.5903</v>
      </c>
      <c r="H12" s="29"/>
    </row>
    <row r="13" spans="1:8" x14ac:dyDescent="0.2">
      <c r="A13" s="27" t="s">
        <v>149</v>
      </c>
      <c r="B13" s="27" t="s">
        <v>148</v>
      </c>
      <c r="C13" s="27" t="s">
        <v>125</v>
      </c>
      <c r="D13" s="31">
        <v>18456</v>
      </c>
      <c r="E13" s="29">
        <v>272.226</v>
      </c>
      <c r="F13" s="30">
        <v>2.2380897369566601</v>
      </c>
      <c r="G13" s="29"/>
      <c r="H13" s="29"/>
    </row>
    <row r="14" spans="1:8" x14ac:dyDescent="0.2">
      <c r="A14" s="27" t="s">
        <v>191</v>
      </c>
      <c r="B14" s="27" t="s">
        <v>190</v>
      </c>
      <c r="C14" s="27" t="s">
        <v>192</v>
      </c>
      <c r="D14" s="31">
        <v>16100</v>
      </c>
      <c r="E14" s="29">
        <v>269.2242</v>
      </c>
      <c r="F14" s="30">
        <v>2.21341061823767</v>
      </c>
      <c r="G14" s="29">
        <v>-2.2161</v>
      </c>
      <c r="H14" s="29"/>
    </row>
    <row r="15" spans="1:8" x14ac:dyDescent="0.2">
      <c r="A15" s="27" t="s">
        <v>194</v>
      </c>
      <c r="B15" s="27" t="s">
        <v>193</v>
      </c>
      <c r="C15" s="27" t="s">
        <v>145</v>
      </c>
      <c r="D15" s="31">
        <v>207938</v>
      </c>
      <c r="E15" s="29">
        <v>268.34398900000002</v>
      </c>
      <c r="F15" s="30">
        <v>2.2061740162765902</v>
      </c>
      <c r="G15" s="29"/>
      <c r="H15" s="29"/>
    </row>
    <row r="16" spans="1:8" x14ac:dyDescent="0.2">
      <c r="A16" s="27" t="s">
        <v>196</v>
      </c>
      <c r="B16" s="27" t="s">
        <v>195</v>
      </c>
      <c r="C16" s="27" t="s">
        <v>101</v>
      </c>
      <c r="D16" s="31">
        <v>17733</v>
      </c>
      <c r="E16" s="29">
        <v>256.71177449999999</v>
      </c>
      <c r="F16" s="30">
        <v>2.1105404622056101</v>
      </c>
      <c r="G16" s="29"/>
      <c r="H16" s="29"/>
    </row>
    <row r="17" spans="1:8" x14ac:dyDescent="0.2">
      <c r="A17" s="27" t="s">
        <v>198</v>
      </c>
      <c r="B17" s="27" t="s">
        <v>197</v>
      </c>
      <c r="C17" s="27" t="s">
        <v>125</v>
      </c>
      <c r="D17" s="31">
        <v>41250</v>
      </c>
      <c r="E17" s="29">
        <v>256.36874999999998</v>
      </c>
      <c r="F17" s="30">
        <v>2.1077203068458199</v>
      </c>
      <c r="G17" s="29">
        <v>-2.1091000000000002</v>
      </c>
      <c r="H17" s="29"/>
    </row>
    <row r="18" spans="1:8" x14ac:dyDescent="0.2">
      <c r="A18" s="27" t="s">
        <v>140</v>
      </c>
      <c r="B18" s="27" t="s">
        <v>139</v>
      </c>
      <c r="C18" s="27" t="s">
        <v>104</v>
      </c>
      <c r="D18" s="31">
        <v>55462</v>
      </c>
      <c r="E18" s="29">
        <v>236.295851</v>
      </c>
      <c r="F18" s="30">
        <v>1.94269217124206</v>
      </c>
      <c r="G18" s="29"/>
      <c r="H18" s="29"/>
    </row>
    <row r="19" spans="1:8" x14ac:dyDescent="0.2">
      <c r="A19" s="27" t="s">
        <v>103</v>
      </c>
      <c r="B19" s="27" t="s">
        <v>102</v>
      </c>
      <c r="C19" s="27" t="s">
        <v>104</v>
      </c>
      <c r="D19" s="31">
        <v>13878</v>
      </c>
      <c r="E19" s="29">
        <v>219.46669199999999</v>
      </c>
      <c r="F19" s="30">
        <v>1.80433224956113</v>
      </c>
      <c r="G19" s="29"/>
      <c r="H19" s="29"/>
    </row>
    <row r="20" spans="1:8" x14ac:dyDescent="0.2">
      <c r="A20" s="27" t="s">
        <v>200</v>
      </c>
      <c r="B20" s="27" t="s">
        <v>199</v>
      </c>
      <c r="C20" s="27" t="s">
        <v>201</v>
      </c>
      <c r="D20" s="31">
        <v>76471</v>
      </c>
      <c r="E20" s="29">
        <v>191.71279699999999</v>
      </c>
      <c r="F20" s="30">
        <v>1.5761552658781901</v>
      </c>
      <c r="G20" s="29"/>
      <c r="H20" s="29"/>
    </row>
    <row r="21" spans="1:8" x14ac:dyDescent="0.2">
      <c r="A21" s="27" t="s">
        <v>110</v>
      </c>
      <c r="B21" s="27" t="s">
        <v>109</v>
      </c>
      <c r="C21" s="27" t="s">
        <v>111</v>
      </c>
      <c r="D21" s="31">
        <v>27951</v>
      </c>
      <c r="E21" s="29">
        <v>185.60861550000001</v>
      </c>
      <c r="F21" s="30">
        <v>1.52597010366859</v>
      </c>
      <c r="G21" s="29"/>
      <c r="H21" s="29"/>
    </row>
    <row r="22" spans="1:8" x14ac:dyDescent="0.2">
      <c r="A22" s="27" t="s">
        <v>147</v>
      </c>
      <c r="B22" s="27" t="s">
        <v>146</v>
      </c>
      <c r="C22" s="27" t="s">
        <v>145</v>
      </c>
      <c r="D22" s="31">
        <v>150349</v>
      </c>
      <c r="E22" s="29">
        <v>174.3296655</v>
      </c>
      <c r="F22" s="30">
        <v>1.4332408925034299</v>
      </c>
      <c r="G22" s="29"/>
      <c r="H22" s="29"/>
    </row>
    <row r="23" spans="1:8" x14ac:dyDescent="0.2">
      <c r="A23" s="27" t="s">
        <v>203</v>
      </c>
      <c r="B23" s="27" t="s">
        <v>202</v>
      </c>
      <c r="C23" s="27" t="s">
        <v>204</v>
      </c>
      <c r="D23" s="31">
        <v>122059</v>
      </c>
      <c r="E23" s="29">
        <v>171.370836</v>
      </c>
      <c r="F23" s="30">
        <v>1.40891505317377</v>
      </c>
      <c r="G23" s="29"/>
      <c r="H23" s="29"/>
    </row>
    <row r="24" spans="1:8" x14ac:dyDescent="0.2">
      <c r="A24" s="27" t="s">
        <v>144</v>
      </c>
      <c r="B24" s="27" t="s">
        <v>143</v>
      </c>
      <c r="C24" s="27" t="s">
        <v>145</v>
      </c>
      <c r="D24" s="31">
        <v>94030</v>
      </c>
      <c r="E24" s="29">
        <v>164.88160500000001</v>
      </c>
      <c r="F24" s="30">
        <v>1.3555642295865999</v>
      </c>
      <c r="G24" s="29"/>
      <c r="H24" s="29"/>
    </row>
    <row r="25" spans="1:8" x14ac:dyDescent="0.2">
      <c r="A25" s="27" t="s">
        <v>206</v>
      </c>
      <c r="B25" s="27" t="s">
        <v>205</v>
      </c>
      <c r="C25" s="27" t="s">
        <v>187</v>
      </c>
      <c r="D25" s="31">
        <v>23811</v>
      </c>
      <c r="E25" s="29">
        <v>162.93867299999999</v>
      </c>
      <c r="F25" s="30">
        <v>1.3395905306423299</v>
      </c>
      <c r="G25" s="29"/>
      <c r="H25" s="29"/>
    </row>
    <row r="26" spans="1:8" x14ac:dyDescent="0.2">
      <c r="A26" s="27" t="s">
        <v>208</v>
      </c>
      <c r="B26" s="27" t="s">
        <v>207</v>
      </c>
      <c r="C26" s="27" t="s">
        <v>209</v>
      </c>
      <c r="D26" s="31">
        <v>64953</v>
      </c>
      <c r="E26" s="29">
        <v>156.471777</v>
      </c>
      <c r="F26" s="30">
        <v>1.2864233329185</v>
      </c>
      <c r="G26" s="29"/>
      <c r="H26" s="29"/>
    </row>
    <row r="27" spans="1:8" x14ac:dyDescent="0.2">
      <c r="A27" s="27" t="s">
        <v>135</v>
      </c>
      <c r="B27" s="27" t="s">
        <v>134</v>
      </c>
      <c r="C27" s="27" t="s">
        <v>128</v>
      </c>
      <c r="D27" s="31">
        <v>42933</v>
      </c>
      <c r="E27" s="29">
        <v>150.54456450000001</v>
      </c>
      <c r="F27" s="30">
        <v>1.2376931107317499</v>
      </c>
      <c r="G27" s="29"/>
      <c r="H27" s="29"/>
    </row>
    <row r="28" spans="1:8" x14ac:dyDescent="0.2">
      <c r="A28" s="27" t="s">
        <v>211</v>
      </c>
      <c r="B28" s="27" t="s">
        <v>210</v>
      </c>
      <c r="C28" s="27" t="s">
        <v>187</v>
      </c>
      <c r="D28" s="31">
        <v>21957</v>
      </c>
      <c r="E28" s="29">
        <v>144.3782535</v>
      </c>
      <c r="F28" s="30">
        <v>1.18699715456304</v>
      </c>
      <c r="G28" s="29"/>
      <c r="H28" s="29"/>
    </row>
    <row r="29" spans="1:8" x14ac:dyDescent="0.2">
      <c r="A29" s="27" t="s">
        <v>213</v>
      </c>
      <c r="B29" s="27" t="s">
        <v>212</v>
      </c>
      <c r="C29" s="27" t="s">
        <v>133</v>
      </c>
      <c r="D29" s="31">
        <v>121901</v>
      </c>
      <c r="E29" s="29">
        <v>135.12725850000001</v>
      </c>
      <c r="F29" s="30">
        <v>1.11094065383887</v>
      </c>
      <c r="G29" s="29"/>
      <c r="H29" s="29"/>
    </row>
    <row r="30" spans="1:8" x14ac:dyDescent="0.2">
      <c r="A30" s="27" t="s">
        <v>124</v>
      </c>
      <c r="B30" s="27" t="s">
        <v>123</v>
      </c>
      <c r="C30" s="27" t="s">
        <v>125</v>
      </c>
      <c r="D30" s="31">
        <v>7787</v>
      </c>
      <c r="E30" s="29">
        <v>131.857271</v>
      </c>
      <c r="F30" s="30">
        <v>1.08405664766853</v>
      </c>
      <c r="G30" s="29"/>
      <c r="H30" s="29"/>
    </row>
    <row r="31" spans="1:8" x14ac:dyDescent="0.2">
      <c r="A31" s="27" t="s">
        <v>137</v>
      </c>
      <c r="B31" s="27" t="s">
        <v>136</v>
      </c>
      <c r="C31" s="27" t="s">
        <v>138</v>
      </c>
      <c r="D31" s="31">
        <v>2392</v>
      </c>
      <c r="E31" s="29">
        <v>112.520876</v>
      </c>
      <c r="F31" s="30">
        <v>0.92508363554169504</v>
      </c>
      <c r="G31" s="29"/>
      <c r="H31" s="29"/>
    </row>
    <row r="32" spans="1:8" x14ac:dyDescent="0.2">
      <c r="A32" s="27" t="s">
        <v>127</v>
      </c>
      <c r="B32" s="27" t="s">
        <v>126</v>
      </c>
      <c r="C32" s="27" t="s">
        <v>128</v>
      </c>
      <c r="D32" s="31">
        <v>43156</v>
      </c>
      <c r="E32" s="29">
        <v>98.223056</v>
      </c>
      <c r="F32" s="30">
        <v>0.80753496567601801</v>
      </c>
      <c r="G32" s="29"/>
      <c r="H32" s="29"/>
    </row>
    <row r="33" spans="1:9" x14ac:dyDescent="0.2">
      <c r="A33" s="27" t="s">
        <v>122</v>
      </c>
      <c r="B33" s="27" t="s">
        <v>121</v>
      </c>
      <c r="C33" s="27" t="s">
        <v>104</v>
      </c>
      <c r="D33" s="31">
        <v>5528</v>
      </c>
      <c r="E33" s="29">
        <v>96.944535999999999</v>
      </c>
      <c r="F33" s="30">
        <v>0.79702369015313002</v>
      </c>
      <c r="G33" s="29"/>
      <c r="H33" s="29"/>
    </row>
    <row r="34" spans="1:9" x14ac:dyDescent="0.2">
      <c r="A34" s="27" t="s">
        <v>215</v>
      </c>
      <c r="B34" s="27" t="s">
        <v>214</v>
      </c>
      <c r="C34" s="27" t="s">
        <v>125</v>
      </c>
      <c r="D34" s="31">
        <v>402</v>
      </c>
      <c r="E34" s="29">
        <v>78.260355000000004</v>
      </c>
      <c r="F34" s="30">
        <v>0.64341281632204606</v>
      </c>
      <c r="G34" s="29"/>
      <c r="H34" s="29"/>
    </row>
    <row r="35" spans="1:9" x14ac:dyDescent="0.2">
      <c r="A35" s="27" t="s">
        <v>217</v>
      </c>
      <c r="B35" s="27" t="s">
        <v>216</v>
      </c>
      <c r="C35" s="27" t="s">
        <v>128</v>
      </c>
      <c r="D35" s="31">
        <v>47372</v>
      </c>
      <c r="E35" s="29">
        <v>69.234178</v>
      </c>
      <c r="F35" s="30">
        <v>0.56920464330530796</v>
      </c>
      <c r="G35" s="29"/>
      <c r="H35" s="29"/>
    </row>
    <row r="36" spans="1:9" x14ac:dyDescent="0.2">
      <c r="A36" s="27" t="s">
        <v>219</v>
      </c>
      <c r="B36" s="27" t="s">
        <v>218</v>
      </c>
      <c r="C36" s="27" t="s">
        <v>104</v>
      </c>
      <c r="D36" s="31">
        <v>10000</v>
      </c>
      <c r="E36" s="29">
        <v>8.125</v>
      </c>
      <c r="F36" s="30">
        <v>6.6799200343732407E-2</v>
      </c>
      <c r="G36" s="29">
        <v>-6.7000000000000004E-2</v>
      </c>
      <c r="H36" s="29"/>
    </row>
    <row r="37" spans="1:9" x14ac:dyDescent="0.2">
      <c r="A37" s="26" t="s">
        <v>34</v>
      </c>
      <c r="B37" s="26"/>
      <c r="C37" s="26"/>
      <c r="D37" s="32"/>
      <c r="E37" s="33">
        <f>SUM(E7:E36)</f>
        <v>8603.5927470000006</v>
      </c>
      <c r="F37" s="34">
        <f>SUM(F7:F36)</f>
        <v>70.733921917875193</v>
      </c>
      <c r="G37" s="34">
        <f>SUM(G7:G36)</f>
        <v>-32.664299999999997</v>
      </c>
      <c r="H37" s="33"/>
      <c r="I37" s="18"/>
    </row>
    <row r="38" spans="1:9" x14ac:dyDescent="0.2">
      <c r="A38" s="27"/>
      <c r="B38" s="27"/>
      <c r="C38" s="27"/>
      <c r="D38" s="28"/>
      <c r="E38" s="29"/>
      <c r="F38" s="30"/>
      <c r="G38" s="29"/>
      <c r="H38" s="29"/>
    </row>
    <row r="39" spans="1:9" x14ac:dyDescent="0.2">
      <c r="A39" s="26" t="s">
        <v>178</v>
      </c>
      <c r="B39" s="27"/>
      <c r="C39" s="27"/>
      <c r="D39" s="28"/>
      <c r="E39" s="29"/>
      <c r="F39" s="30"/>
      <c r="G39" s="29"/>
      <c r="H39" s="29"/>
    </row>
    <row r="40" spans="1:9" x14ac:dyDescent="0.2">
      <c r="A40" s="27" t="s">
        <v>180</v>
      </c>
      <c r="B40" s="27" t="s">
        <v>179</v>
      </c>
      <c r="C40" s="27" t="s">
        <v>368</v>
      </c>
      <c r="D40" s="31">
        <v>44600</v>
      </c>
      <c r="E40" s="29">
        <v>159.4896</v>
      </c>
      <c r="F40" s="30">
        <v>1.31123418377129</v>
      </c>
      <c r="G40" s="29"/>
      <c r="H40" s="29"/>
    </row>
    <row r="41" spans="1:9" x14ac:dyDescent="0.2">
      <c r="A41" s="26" t="s">
        <v>34</v>
      </c>
      <c r="B41" s="26"/>
      <c r="C41" s="26"/>
      <c r="D41" s="32"/>
      <c r="E41" s="33">
        <f>SUM(E39:E40)</f>
        <v>159.4896</v>
      </c>
      <c r="F41" s="34">
        <f>SUM(F39:F40)</f>
        <v>1.31123418377129</v>
      </c>
      <c r="G41" s="33"/>
      <c r="H41" s="33"/>
      <c r="I41" s="18"/>
    </row>
    <row r="42" spans="1:9" x14ac:dyDescent="0.2">
      <c r="A42" s="27"/>
      <c r="B42" s="27"/>
      <c r="C42" s="27"/>
      <c r="D42" s="28"/>
      <c r="E42" s="29"/>
      <c r="F42" s="30"/>
      <c r="G42" s="29"/>
      <c r="H42" s="29"/>
    </row>
    <row r="43" spans="1:9" x14ac:dyDescent="0.2">
      <c r="A43" s="26" t="s">
        <v>721</v>
      </c>
      <c r="B43" s="27"/>
      <c r="C43" s="27"/>
      <c r="D43" s="28"/>
      <c r="E43" s="29"/>
      <c r="F43" s="30"/>
      <c r="G43" s="29"/>
      <c r="H43" s="29"/>
    </row>
    <row r="44" spans="1:9" x14ac:dyDescent="0.2">
      <c r="A44" s="27" t="s">
        <v>182</v>
      </c>
      <c r="B44" s="27" t="s">
        <v>181</v>
      </c>
      <c r="C44" s="27" t="s">
        <v>145</v>
      </c>
      <c r="D44" s="31">
        <v>49500</v>
      </c>
      <c r="E44" s="29">
        <v>60.088050000000003</v>
      </c>
      <c r="F44" s="30">
        <v>0.49401030033405702</v>
      </c>
      <c r="G44" s="29"/>
      <c r="H44" s="29"/>
    </row>
    <row r="45" spans="1:9" x14ac:dyDescent="0.2">
      <c r="A45" s="26" t="s">
        <v>34</v>
      </c>
      <c r="B45" s="26"/>
      <c r="C45" s="26"/>
      <c r="D45" s="32"/>
      <c r="E45" s="33">
        <f>SUM(E43:E44)</f>
        <v>60.088050000000003</v>
      </c>
      <c r="F45" s="34">
        <f>SUM(F43:F44)</f>
        <v>0.49401030033405702</v>
      </c>
      <c r="G45" s="33"/>
      <c r="H45" s="33"/>
      <c r="I45" s="18"/>
    </row>
    <row r="46" spans="1:9" x14ac:dyDescent="0.2">
      <c r="A46" s="27"/>
      <c r="B46" s="27"/>
      <c r="C46" s="27"/>
      <c r="D46" s="28"/>
      <c r="E46" s="29"/>
      <c r="F46" s="30"/>
      <c r="G46" s="29"/>
      <c r="H46" s="29"/>
    </row>
    <row r="47" spans="1:9" x14ac:dyDescent="0.2">
      <c r="A47" s="26" t="s">
        <v>64</v>
      </c>
      <c r="B47" s="27"/>
      <c r="C47" s="27"/>
      <c r="D47" s="28"/>
      <c r="E47" s="29"/>
      <c r="F47" s="30"/>
      <c r="G47" s="29"/>
      <c r="H47" s="29"/>
    </row>
    <row r="48" spans="1:9" x14ac:dyDescent="0.2">
      <c r="A48" s="27" t="s">
        <v>84</v>
      </c>
      <c r="B48" s="27" t="s">
        <v>83</v>
      </c>
      <c r="C48" s="27" t="s">
        <v>65</v>
      </c>
      <c r="D48" s="31">
        <v>500000</v>
      </c>
      <c r="E48" s="29">
        <v>496.08199999999999</v>
      </c>
      <c r="F48" s="30">
        <v>4.0785084190670098</v>
      </c>
      <c r="G48" s="29"/>
      <c r="H48" s="29">
        <v>5.3592000000000004</v>
      </c>
    </row>
    <row r="49" spans="1:9" x14ac:dyDescent="0.2">
      <c r="A49" s="27" t="s">
        <v>80</v>
      </c>
      <c r="B49" s="27" t="s">
        <v>79</v>
      </c>
      <c r="C49" s="27" t="s">
        <v>65</v>
      </c>
      <c r="D49" s="31">
        <v>500000</v>
      </c>
      <c r="E49" s="29">
        <v>493.97199999999998</v>
      </c>
      <c r="F49" s="30">
        <v>4.0611611805777503</v>
      </c>
      <c r="G49" s="29"/>
      <c r="H49" s="29">
        <v>6.7744</v>
      </c>
    </row>
    <row r="50" spans="1:9" x14ac:dyDescent="0.2">
      <c r="A50" s="26" t="s">
        <v>34</v>
      </c>
      <c r="B50" s="26"/>
      <c r="C50" s="26"/>
      <c r="D50" s="32"/>
      <c r="E50" s="33">
        <f>SUM(E48:E49)</f>
        <v>990.05399999999997</v>
      </c>
      <c r="F50" s="34">
        <f>SUM(F48:F49)</f>
        <v>8.1396695996447601</v>
      </c>
      <c r="G50" s="33"/>
      <c r="H50" s="33"/>
      <c r="I50" s="18"/>
    </row>
    <row r="51" spans="1:9" x14ac:dyDescent="0.2">
      <c r="A51" s="27"/>
      <c r="B51" s="27"/>
      <c r="C51" s="27"/>
      <c r="D51" s="28"/>
      <c r="E51" s="29"/>
      <c r="F51" s="30"/>
      <c r="G51" s="29"/>
      <c r="H51" s="29"/>
    </row>
    <row r="52" spans="1:9" x14ac:dyDescent="0.2">
      <c r="A52" s="26" t="s">
        <v>36</v>
      </c>
      <c r="B52" s="26"/>
      <c r="C52" s="26"/>
      <c r="D52" s="32"/>
      <c r="E52" s="33">
        <f>E37+E41+E45+E50</f>
        <v>9813.2243970000018</v>
      </c>
      <c r="F52" s="34">
        <f>F37+F41+F45+F50</f>
        <v>80.678836001625299</v>
      </c>
      <c r="G52" s="33"/>
      <c r="H52" s="33"/>
      <c r="I52" s="18"/>
    </row>
    <row r="53" spans="1:9" x14ac:dyDescent="0.2">
      <c r="A53" s="26"/>
      <c r="B53" s="26"/>
      <c r="C53" s="26"/>
      <c r="D53" s="32"/>
      <c r="E53" s="33"/>
      <c r="F53" s="34"/>
      <c r="G53" s="33"/>
      <c r="H53" s="33"/>
      <c r="I53" s="18"/>
    </row>
    <row r="54" spans="1:9" x14ac:dyDescent="0.2">
      <c r="A54" s="26" t="s">
        <v>38</v>
      </c>
      <c r="B54" s="26"/>
      <c r="C54" s="26"/>
      <c r="D54" s="32"/>
      <c r="E54" s="33">
        <f>E56-(E37+E41+E45+E50)</f>
        <v>2350.0948615999987</v>
      </c>
      <c r="F54" s="34">
        <f>F56-(F37+F41+F45+F50)</f>
        <v>19.321163998374701</v>
      </c>
      <c r="G54" s="33"/>
      <c r="H54" s="33"/>
      <c r="I54" s="18"/>
    </row>
    <row r="55" spans="1:9" x14ac:dyDescent="0.2">
      <c r="A55" s="26"/>
      <c r="B55" s="26"/>
      <c r="C55" s="26"/>
      <c r="D55" s="32"/>
      <c r="E55" s="33"/>
      <c r="F55" s="34"/>
      <c r="G55" s="33"/>
      <c r="H55" s="33"/>
      <c r="I55" s="18"/>
    </row>
    <row r="56" spans="1:9" x14ac:dyDescent="0.2">
      <c r="A56" s="35" t="s">
        <v>37</v>
      </c>
      <c r="B56" s="35"/>
      <c r="C56" s="35"/>
      <c r="D56" s="36"/>
      <c r="E56" s="37">
        <v>12163.3192586</v>
      </c>
      <c r="F56" s="38">
        <v>100</v>
      </c>
      <c r="G56" s="37"/>
      <c r="H56" s="37"/>
      <c r="I56" s="18"/>
    </row>
    <row r="59" spans="1:9" x14ac:dyDescent="0.2">
      <c r="A59" s="18" t="s">
        <v>40</v>
      </c>
    </row>
    <row r="60" spans="1:9" x14ac:dyDescent="0.2">
      <c r="A60" s="18" t="s">
        <v>41</v>
      </c>
    </row>
    <row r="61" spans="1:9" x14ac:dyDescent="0.2">
      <c r="A61" s="18" t="s">
        <v>42</v>
      </c>
      <c r="B61" s="18"/>
      <c r="C61" s="39" t="s">
        <v>44</v>
      </c>
      <c r="D61" s="19" t="s">
        <v>43</v>
      </c>
    </row>
    <row r="62" spans="1:9" x14ac:dyDescent="0.2">
      <c r="A62" s="9" t="s">
        <v>71</v>
      </c>
      <c r="C62" s="40">
        <v>11.6076</v>
      </c>
      <c r="D62" s="40">
        <v>12.486700000000001</v>
      </c>
    </row>
    <row r="63" spans="1:9" x14ac:dyDescent="0.2">
      <c r="A63" s="9" t="s">
        <v>77</v>
      </c>
      <c r="C63" s="40">
        <v>11.6076</v>
      </c>
      <c r="D63" s="40">
        <v>11.981</v>
      </c>
    </row>
    <row r="64" spans="1:9" x14ac:dyDescent="0.2">
      <c r="A64" s="9" t="s">
        <v>72</v>
      </c>
      <c r="C64" s="40">
        <v>11.467700000000001</v>
      </c>
      <c r="D64" s="40">
        <v>11.897500000000001</v>
      </c>
    </row>
    <row r="65" spans="1:4" x14ac:dyDescent="0.2">
      <c r="A65" s="9" t="s">
        <v>73</v>
      </c>
      <c r="C65" s="40">
        <v>11.3878</v>
      </c>
      <c r="D65" s="40">
        <v>11.7959</v>
      </c>
    </row>
    <row r="66" spans="1:4" x14ac:dyDescent="0.2">
      <c r="A66" s="9" t="s">
        <v>74</v>
      </c>
      <c r="C66" s="40">
        <v>12.1092</v>
      </c>
      <c r="D66" s="40">
        <v>13.1136</v>
      </c>
    </row>
    <row r="67" spans="1:4" x14ac:dyDescent="0.2">
      <c r="A67" s="9" t="s">
        <v>78</v>
      </c>
      <c r="C67" s="40">
        <v>12.1092</v>
      </c>
      <c r="D67" s="40">
        <v>12.607699999999999</v>
      </c>
    </row>
    <row r="68" spans="1:4" x14ac:dyDescent="0.2">
      <c r="A68" s="9" t="s">
        <v>75</v>
      </c>
      <c r="C68" s="40">
        <v>11.9665</v>
      </c>
      <c r="D68" s="40">
        <v>12.5169</v>
      </c>
    </row>
    <row r="69" spans="1:4" x14ac:dyDescent="0.2">
      <c r="A69" s="9" t="s">
        <v>76</v>
      </c>
      <c r="C69" s="40">
        <v>11.8893</v>
      </c>
      <c r="D69" s="40">
        <v>12.4183</v>
      </c>
    </row>
    <row r="71" spans="1:4" x14ac:dyDescent="0.2">
      <c r="A71" s="18" t="s">
        <v>46</v>
      </c>
    </row>
    <row r="72" spans="1:4" x14ac:dyDescent="0.2">
      <c r="A72" s="71" t="s">
        <v>67</v>
      </c>
      <c r="B72" s="72"/>
      <c r="C72" s="43" t="s">
        <v>68</v>
      </c>
    </row>
    <row r="73" spans="1:4" x14ac:dyDescent="0.2">
      <c r="A73" s="67" t="s">
        <v>77</v>
      </c>
      <c r="B73" s="68"/>
      <c r="C73" s="44">
        <v>0.5</v>
      </c>
    </row>
    <row r="74" spans="1:4" x14ac:dyDescent="0.2">
      <c r="A74" s="67" t="s">
        <v>72</v>
      </c>
      <c r="B74" s="68"/>
      <c r="C74" s="44">
        <v>0.42</v>
      </c>
    </row>
    <row r="75" spans="1:4" x14ac:dyDescent="0.2">
      <c r="A75" s="67" t="s">
        <v>73</v>
      </c>
      <c r="B75" s="68"/>
      <c r="C75" s="44">
        <v>0.44</v>
      </c>
    </row>
    <row r="76" spans="1:4" x14ac:dyDescent="0.2">
      <c r="A76" s="67" t="s">
        <v>78</v>
      </c>
      <c r="B76" s="68"/>
      <c r="C76" s="44">
        <v>0.5</v>
      </c>
    </row>
    <row r="77" spans="1:4" x14ac:dyDescent="0.2">
      <c r="A77" s="67" t="s">
        <v>75</v>
      </c>
      <c r="B77" s="68"/>
      <c r="C77" s="44">
        <v>0.42</v>
      </c>
    </row>
    <row r="78" spans="1:4" x14ac:dyDescent="0.2">
      <c r="A78" s="67" t="s">
        <v>76</v>
      </c>
      <c r="B78" s="68"/>
      <c r="C78" s="44">
        <v>0.44</v>
      </c>
    </row>
    <row r="79" spans="1:4" x14ac:dyDescent="0.2">
      <c r="A79" s="9" t="s">
        <v>69</v>
      </c>
    </row>
    <row r="80" spans="1:4" x14ac:dyDescent="0.2">
      <c r="A80" s="9" t="s">
        <v>45</v>
      </c>
    </row>
    <row r="82" spans="1:5" x14ac:dyDescent="0.2">
      <c r="A82" s="53" t="s">
        <v>1196</v>
      </c>
      <c r="D82" s="54" t="s">
        <v>732</v>
      </c>
    </row>
    <row r="84" spans="1:5" x14ac:dyDescent="0.2">
      <c r="A84" s="18" t="s">
        <v>731</v>
      </c>
      <c r="D84" s="42">
        <f>-G37</f>
        <v>32.664299999999997</v>
      </c>
    </row>
    <row r="87" spans="1:5" x14ac:dyDescent="0.2">
      <c r="A87" s="18" t="s">
        <v>733</v>
      </c>
      <c r="D87" s="45">
        <v>2.1505000000000001</v>
      </c>
    </row>
    <row r="89" spans="1:5" x14ac:dyDescent="0.2">
      <c r="A89" s="18" t="s">
        <v>734</v>
      </c>
      <c r="D89" s="42">
        <v>4.8267852541835499</v>
      </c>
      <c r="E89" s="13" t="s">
        <v>48</v>
      </c>
    </row>
    <row r="91" spans="1:5" x14ac:dyDescent="0.2">
      <c r="A91" s="18" t="s">
        <v>735</v>
      </c>
      <c r="D91" s="41" t="s">
        <v>47</v>
      </c>
    </row>
    <row r="92" spans="1:5" x14ac:dyDescent="0.2">
      <c r="A92" s="9" t="s">
        <v>53</v>
      </c>
      <c r="D92" s="41"/>
    </row>
    <row r="93" spans="1:5" x14ac:dyDescent="0.2">
      <c r="A93" s="46" t="s">
        <v>724</v>
      </c>
      <c r="D93" s="41"/>
    </row>
    <row r="95" spans="1:5" x14ac:dyDescent="0.2">
      <c r="A95" s="18" t="s">
        <v>736</v>
      </c>
    </row>
    <row r="96" spans="1:5" x14ac:dyDescent="0.2">
      <c r="A96" s="46" t="s">
        <v>51</v>
      </c>
    </row>
  </sheetData>
  <mergeCells count="8">
    <mergeCell ref="A77:B77"/>
    <mergeCell ref="A78:B78"/>
    <mergeCell ref="A1:G1"/>
    <mergeCell ref="A72:B72"/>
    <mergeCell ref="A73:B73"/>
    <mergeCell ref="A74:B74"/>
    <mergeCell ref="A75:B75"/>
    <mergeCell ref="A76:B76"/>
  </mergeCells>
  <conditionalFormatting sqref="F2:F3 F5:F65543">
    <cfRule type="cellIs" dxfId="28" priority="2" stopIfTrue="1" operator="between">
      <formula>0.009</formula>
      <formula>-0.009</formula>
    </cfRule>
  </conditionalFormatting>
  <conditionalFormatting sqref="G37">
    <cfRule type="cellIs" dxfId="27" priority="1" stopIfTrue="1" operator="between">
      <formula>0.009</formula>
      <formula>-0.009</formula>
    </cfRule>
  </conditionalFormatting>
  <hyperlinks>
    <hyperlink ref="A96" r:id="rId1" tooltip="https://www.franklintempletonindia.com/downloadsServlet/pdf/product-labels-jg9o5k7l" xr:uid="{00000000-0004-0000-1A00-000000000000}"/>
    <hyperlink ref="A93" r:id="rId2" xr:uid="{00000000-0004-0000-1A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19"/>
  <sheetViews>
    <sheetView workbookViewId="0">
      <selection sqref="A1:G1"/>
    </sheetView>
  </sheetViews>
  <sheetFormatPr defaultColWidth="9.109375" defaultRowHeight="10.199999999999999" x14ac:dyDescent="0.2"/>
  <cols>
    <col min="1" max="1" width="40.44140625" style="9" bestFit="1" customWidth="1"/>
    <col min="2" max="2" width="51.88671875" style="9" bestFit="1" customWidth="1"/>
    <col min="3" max="3" width="25.10937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69" t="s">
        <v>9</v>
      </c>
      <c r="B1" s="70"/>
      <c r="C1" s="70"/>
      <c r="D1" s="70"/>
      <c r="E1" s="70"/>
      <c r="F1" s="70"/>
      <c r="G1" s="70"/>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98</v>
      </c>
      <c r="B5" s="22"/>
      <c r="C5" s="22"/>
      <c r="D5" s="23"/>
      <c r="E5" s="24"/>
      <c r="F5" s="25"/>
      <c r="G5" s="24"/>
    </row>
    <row r="6" spans="1:7" x14ac:dyDescent="0.2">
      <c r="A6" s="26" t="s">
        <v>32</v>
      </c>
      <c r="B6" s="27"/>
      <c r="C6" s="27"/>
      <c r="D6" s="28"/>
      <c r="E6" s="29"/>
      <c r="F6" s="30"/>
      <c r="G6" s="29"/>
    </row>
    <row r="7" spans="1:7" x14ac:dyDescent="0.2">
      <c r="A7" s="27" t="s">
        <v>100</v>
      </c>
      <c r="B7" s="27" t="s">
        <v>99</v>
      </c>
      <c r="C7" s="27" t="s">
        <v>101</v>
      </c>
      <c r="D7" s="31">
        <v>697784</v>
      </c>
      <c r="E7" s="29">
        <v>11907.335069999999</v>
      </c>
      <c r="F7" s="30">
        <v>8.1592442239739391</v>
      </c>
      <c r="G7" s="29"/>
    </row>
    <row r="8" spans="1:7" x14ac:dyDescent="0.2">
      <c r="A8" s="27" t="s">
        <v>106</v>
      </c>
      <c r="B8" s="27" t="s">
        <v>105</v>
      </c>
      <c r="C8" s="27" t="s">
        <v>104</v>
      </c>
      <c r="D8" s="31">
        <v>1267935</v>
      </c>
      <c r="E8" s="29">
        <v>9972.3087749999995</v>
      </c>
      <c r="F8" s="30">
        <v>6.8333092412174299</v>
      </c>
      <c r="G8" s="29"/>
    </row>
    <row r="9" spans="1:7" x14ac:dyDescent="0.2">
      <c r="A9" s="27" t="s">
        <v>108</v>
      </c>
      <c r="B9" s="27" t="s">
        <v>107</v>
      </c>
      <c r="C9" s="27" t="s">
        <v>104</v>
      </c>
      <c r="D9" s="31">
        <v>1131302</v>
      </c>
      <c r="E9" s="29">
        <v>8134.627031</v>
      </c>
      <c r="F9" s="30">
        <v>5.5740775099284301</v>
      </c>
      <c r="G9" s="29"/>
    </row>
    <row r="10" spans="1:7" x14ac:dyDescent="0.2">
      <c r="A10" s="27" t="s">
        <v>103</v>
      </c>
      <c r="B10" s="27" t="s">
        <v>102</v>
      </c>
      <c r="C10" s="27" t="s">
        <v>104</v>
      </c>
      <c r="D10" s="31">
        <v>483868</v>
      </c>
      <c r="E10" s="29">
        <v>7651.8885520000003</v>
      </c>
      <c r="F10" s="30">
        <v>5.2432913916815096</v>
      </c>
      <c r="G10" s="29"/>
    </row>
    <row r="11" spans="1:7" x14ac:dyDescent="0.2">
      <c r="A11" s="27" t="s">
        <v>110</v>
      </c>
      <c r="B11" s="27" t="s">
        <v>109</v>
      </c>
      <c r="C11" s="27" t="s">
        <v>111</v>
      </c>
      <c r="D11" s="31">
        <v>1046271</v>
      </c>
      <c r="E11" s="29">
        <v>6947.7625760000001</v>
      </c>
      <c r="F11" s="30">
        <v>4.7608042718638597</v>
      </c>
      <c r="G11" s="29"/>
    </row>
    <row r="12" spans="1:7" x14ac:dyDescent="0.2">
      <c r="A12" s="27" t="s">
        <v>144</v>
      </c>
      <c r="B12" s="27" t="s">
        <v>143</v>
      </c>
      <c r="C12" s="27" t="s">
        <v>145</v>
      </c>
      <c r="D12" s="31">
        <v>2411692</v>
      </c>
      <c r="E12" s="29">
        <v>4228.901922</v>
      </c>
      <c r="F12" s="30">
        <v>2.8977637211002598</v>
      </c>
      <c r="G12" s="29"/>
    </row>
    <row r="13" spans="1:7" x14ac:dyDescent="0.2">
      <c r="A13" s="27" t="s">
        <v>116</v>
      </c>
      <c r="B13" s="27" t="s">
        <v>115</v>
      </c>
      <c r="C13" s="27" t="s">
        <v>117</v>
      </c>
      <c r="D13" s="31">
        <v>794188</v>
      </c>
      <c r="E13" s="29">
        <v>3719.1824040000001</v>
      </c>
      <c r="F13" s="30">
        <v>2.54848942852017</v>
      </c>
      <c r="G13" s="29"/>
    </row>
    <row r="14" spans="1:7" x14ac:dyDescent="0.2">
      <c r="A14" s="27" t="s">
        <v>135</v>
      </c>
      <c r="B14" s="27" t="s">
        <v>134</v>
      </c>
      <c r="C14" s="27" t="s">
        <v>128</v>
      </c>
      <c r="D14" s="31">
        <v>1016102</v>
      </c>
      <c r="E14" s="29">
        <v>3562.961663</v>
      </c>
      <c r="F14" s="30">
        <v>2.4414425392560402</v>
      </c>
      <c r="G14" s="29"/>
    </row>
    <row r="15" spans="1:7" x14ac:dyDescent="0.2">
      <c r="A15" s="27" t="s">
        <v>196</v>
      </c>
      <c r="B15" s="27" t="s">
        <v>195</v>
      </c>
      <c r="C15" s="27" t="s">
        <v>101</v>
      </c>
      <c r="D15" s="31">
        <v>243717</v>
      </c>
      <c r="E15" s="29">
        <v>3528.1691510000001</v>
      </c>
      <c r="F15" s="30">
        <v>2.41760172173435</v>
      </c>
      <c r="G15" s="29"/>
    </row>
    <row r="16" spans="1:7" x14ac:dyDescent="0.2">
      <c r="A16" s="27" t="s">
        <v>130</v>
      </c>
      <c r="B16" s="27" t="s">
        <v>129</v>
      </c>
      <c r="C16" s="27" t="s">
        <v>101</v>
      </c>
      <c r="D16" s="31">
        <v>92416</v>
      </c>
      <c r="E16" s="29">
        <v>3499.2856320000001</v>
      </c>
      <c r="F16" s="30">
        <v>2.3978099140642599</v>
      </c>
      <c r="G16" s="29"/>
    </row>
    <row r="17" spans="1:7" x14ac:dyDescent="0.2">
      <c r="A17" s="27" t="s">
        <v>191</v>
      </c>
      <c r="B17" s="27" t="s">
        <v>190</v>
      </c>
      <c r="C17" s="27" t="s">
        <v>192</v>
      </c>
      <c r="D17" s="31">
        <v>205227</v>
      </c>
      <c r="E17" s="29">
        <v>3431.8058940000001</v>
      </c>
      <c r="F17" s="30">
        <v>2.3515708807897999</v>
      </c>
      <c r="G17" s="29"/>
    </row>
    <row r="18" spans="1:7" x14ac:dyDescent="0.2">
      <c r="A18" s="27" t="s">
        <v>137</v>
      </c>
      <c r="B18" s="27" t="s">
        <v>136</v>
      </c>
      <c r="C18" s="27" t="s">
        <v>138</v>
      </c>
      <c r="D18" s="31">
        <v>71688</v>
      </c>
      <c r="E18" s="29">
        <v>3372.239364</v>
      </c>
      <c r="F18" s="30">
        <v>2.3107542024157199</v>
      </c>
      <c r="G18" s="29"/>
    </row>
    <row r="19" spans="1:7" x14ac:dyDescent="0.2">
      <c r="A19" s="27" t="s">
        <v>213</v>
      </c>
      <c r="B19" s="27" t="s">
        <v>212</v>
      </c>
      <c r="C19" s="27" t="s">
        <v>133</v>
      </c>
      <c r="D19" s="31">
        <v>2568360</v>
      </c>
      <c r="E19" s="29">
        <v>2847.0270599999999</v>
      </c>
      <c r="F19" s="30">
        <v>1.9508638127878399</v>
      </c>
      <c r="G19" s="29"/>
    </row>
    <row r="20" spans="1:7" x14ac:dyDescent="0.2">
      <c r="A20" s="27" t="s">
        <v>140</v>
      </c>
      <c r="B20" s="27" t="s">
        <v>139</v>
      </c>
      <c r="C20" s="27" t="s">
        <v>104</v>
      </c>
      <c r="D20" s="31">
        <v>615662</v>
      </c>
      <c r="E20" s="29">
        <v>2623.027951</v>
      </c>
      <c r="F20" s="30">
        <v>1.7973732604905199</v>
      </c>
      <c r="G20" s="29"/>
    </row>
    <row r="21" spans="1:7" x14ac:dyDescent="0.2">
      <c r="A21" s="27" t="s">
        <v>142</v>
      </c>
      <c r="B21" s="27" t="s">
        <v>141</v>
      </c>
      <c r="C21" s="27" t="s">
        <v>125</v>
      </c>
      <c r="D21" s="31">
        <v>95579</v>
      </c>
      <c r="E21" s="29">
        <v>2603.667539</v>
      </c>
      <c r="F21" s="30">
        <v>1.7841069562456</v>
      </c>
      <c r="G21" s="29"/>
    </row>
    <row r="22" spans="1:7" x14ac:dyDescent="0.2">
      <c r="A22" s="27" t="s">
        <v>127</v>
      </c>
      <c r="B22" s="27" t="s">
        <v>126</v>
      </c>
      <c r="C22" s="27" t="s">
        <v>128</v>
      </c>
      <c r="D22" s="31">
        <v>1103354</v>
      </c>
      <c r="E22" s="29">
        <v>2511.2337040000002</v>
      </c>
      <c r="F22" s="30">
        <v>1.72076866687272</v>
      </c>
      <c r="G22" s="29"/>
    </row>
    <row r="23" spans="1:7" x14ac:dyDescent="0.2">
      <c r="A23" s="27" t="s">
        <v>206</v>
      </c>
      <c r="B23" s="27" t="s">
        <v>205</v>
      </c>
      <c r="C23" s="27" t="s">
        <v>187</v>
      </c>
      <c r="D23" s="31">
        <v>345421</v>
      </c>
      <c r="E23" s="29">
        <v>2363.7159029999998</v>
      </c>
      <c r="F23" s="30">
        <v>1.6196852793081</v>
      </c>
      <c r="G23" s="29"/>
    </row>
    <row r="24" spans="1:7" x14ac:dyDescent="0.2">
      <c r="A24" s="27" t="s">
        <v>200</v>
      </c>
      <c r="B24" s="27" t="s">
        <v>199</v>
      </c>
      <c r="C24" s="27" t="s">
        <v>201</v>
      </c>
      <c r="D24" s="31">
        <v>921918</v>
      </c>
      <c r="E24" s="29">
        <v>2311.2484260000001</v>
      </c>
      <c r="F24" s="30">
        <v>1.58373307370189</v>
      </c>
      <c r="G24" s="29"/>
    </row>
    <row r="25" spans="1:7" x14ac:dyDescent="0.2">
      <c r="A25" s="27" t="s">
        <v>113</v>
      </c>
      <c r="B25" s="27" t="s">
        <v>112</v>
      </c>
      <c r="C25" s="27" t="s">
        <v>114</v>
      </c>
      <c r="D25" s="31">
        <v>99000</v>
      </c>
      <c r="E25" s="29">
        <v>2271.951</v>
      </c>
      <c r="F25" s="30">
        <v>1.55680536114298</v>
      </c>
      <c r="G25" s="29"/>
    </row>
    <row r="26" spans="1:7" x14ac:dyDescent="0.2">
      <c r="A26" s="27" t="s">
        <v>203</v>
      </c>
      <c r="B26" s="27" t="s">
        <v>202</v>
      </c>
      <c r="C26" s="27" t="s">
        <v>204</v>
      </c>
      <c r="D26" s="31">
        <v>1583382</v>
      </c>
      <c r="E26" s="29">
        <v>2223.0683279999998</v>
      </c>
      <c r="F26" s="30">
        <v>1.5233095657510001</v>
      </c>
      <c r="G26" s="29"/>
    </row>
    <row r="27" spans="1:7" x14ac:dyDescent="0.2">
      <c r="A27" s="27" t="s">
        <v>211</v>
      </c>
      <c r="B27" s="27" t="s">
        <v>210</v>
      </c>
      <c r="C27" s="27" t="s">
        <v>187</v>
      </c>
      <c r="D27" s="31">
        <v>336933</v>
      </c>
      <c r="E27" s="29">
        <v>2215.5029420000001</v>
      </c>
      <c r="F27" s="30">
        <v>1.5181255483650999</v>
      </c>
      <c r="G27" s="29"/>
    </row>
    <row r="28" spans="1:7" x14ac:dyDescent="0.2">
      <c r="A28" s="27" t="s">
        <v>119</v>
      </c>
      <c r="B28" s="27" t="s">
        <v>118</v>
      </c>
      <c r="C28" s="27" t="s">
        <v>120</v>
      </c>
      <c r="D28" s="31">
        <v>204626</v>
      </c>
      <c r="E28" s="29">
        <v>2037.7680210000001</v>
      </c>
      <c r="F28" s="30">
        <v>1.3963365318435701</v>
      </c>
      <c r="G28" s="29"/>
    </row>
    <row r="29" spans="1:7" x14ac:dyDescent="0.2">
      <c r="A29" s="27" t="s">
        <v>147</v>
      </c>
      <c r="B29" s="27" t="s">
        <v>146</v>
      </c>
      <c r="C29" s="27" t="s">
        <v>145</v>
      </c>
      <c r="D29" s="31">
        <v>1753370</v>
      </c>
      <c r="E29" s="29">
        <v>2033.0325150000001</v>
      </c>
      <c r="F29" s="30">
        <v>1.3930916286178701</v>
      </c>
      <c r="G29" s="29"/>
    </row>
    <row r="30" spans="1:7" x14ac:dyDescent="0.2">
      <c r="A30" s="27" t="s">
        <v>149</v>
      </c>
      <c r="B30" s="27" t="s">
        <v>148</v>
      </c>
      <c r="C30" s="27" t="s">
        <v>125</v>
      </c>
      <c r="D30" s="31">
        <v>128251</v>
      </c>
      <c r="E30" s="29">
        <v>1891.70225</v>
      </c>
      <c r="F30" s="30">
        <v>1.2962481164806099</v>
      </c>
      <c r="G30" s="29"/>
    </row>
    <row r="31" spans="1:7" x14ac:dyDescent="0.2">
      <c r="A31" s="27" t="s">
        <v>224</v>
      </c>
      <c r="B31" s="27" t="s">
        <v>223</v>
      </c>
      <c r="C31" s="27" t="s">
        <v>145</v>
      </c>
      <c r="D31" s="31">
        <v>6797235</v>
      </c>
      <c r="E31" s="29">
        <v>1831.8548330000001</v>
      </c>
      <c r="F31" s="30">
        <v>1.25523896635538</v>
      </c>
      <c r="G31" s="29"/>
    </row>
    <row r="32" spans="1:7" x14ac:dyDescent="0.2">
      <c r="A32" s="27" t="s">
        <v>161</v>
      </c>
      <c r="B32" s="27" t="s">
        <v>160</v>
      </c>
      <c r="C32" s="27" t="s">
        <v>104</v>
      </c>
      <c r="D32" s="31">
        <v>999697</v>
      </c>
      <c r="E32" s="29">
        <v>1517.0401979999999</v>
      </c>
      <c r="F32" s="30">
        <v>1.0395190359808899</v>
      </c>
      <c r="G32" s="29"/>
    </row>
    <row r="33" spans="1:9" x14ac:dyDescent="0.2">
      <c r="A33" s="27" t="s">
        <v>158</v>
      </c>
      <c r="B33" s="27" t="s">
        <v>157</v>
      </c>
      <c r="C33" s="27" t="s">
        <v>159</v>
      </c>
      <c r="D33" s="31">
        <v>724973</v>
      </c>
      <c r="E33" s="29">
        <v>1508.668813</v>
      </c>
      <c r="F33" s="30">
        <v>1.03378272518537</v>
      </c>
      <c r="G33" s="29"/>
    </row>
    <row r="34" spans="1:9" x14ac:dyDescent="0.2">
      <c r="A34" s="27" t="s">
        <v>226</v>
      </c>
      <c r="B34" s="27" t="s">
        <v>225</v>
      </c>
      <c r="C34" s="27" t="s">
        <v>120</v>
      </c>
      <c r="D34" s="31">
        <v>72561</v>
      </c>
      <c r="E34" s="29">
        <v>1394.3321759999999</v>
      </c>
      <c r="F34" s="30">
        <v>0.95543601372166798</v>
      </c>
      <c r="G34" s="29"/>
    </row>
    <row r="35" spans="1:9" x14ac:dyDescent="0.2">
      <c r="A35" s="27" t="s">
        <v>228</v>
      </c>
      <c r="B35" s="27" t="s">
        <v>227</v>
      </c>
      <c r="C35" s="27" t="s">
        <v>174</v>
      </c>
      <c r="D35" s="31">
        <v>209285</v>
      </c>
      <c r="E35" s="29">
        <v>1163.9385279999999</v>
      </c>
      <c r="F35" s="30">
        <v>0.79756374166136002</v>
      </c>
      <c r="G35" s="29"/>
    </row>
    <row r="36" spans="1:9" x14ac:dyDescent="0.2">
      <c r="A36" s="27" t="s">
        <v>151</v>
      </c>
      <c r="B36" s="27" t="s">
        <v>150</v>
      </c>
      <c r="C36" s="27" t="s">
        <v>152</v>
      </c>
      <c r="D36" s="31">
        <v>146320</v>
      </c>
      <c r="E36" s="29">
        <v>1160.75656</v>
      </c>
      <c r="F36" s="30">
        <v>0.79538336680231403</v>
      </c>
      <c r="G36" s="29"/>
    </row>
    <row r="37" spans="1:9" x14ac:dyDescent="0.2">
      <c r="A37" s="27" t="s">
        <v>208</v>
      </c>
      <c r="B37" s="27" t="s">
        <v>207</v>
      </c>
      <c r="C37" s="27" t="s">
        <v>209</v>
      </c>
      <c r="D37" s="31">
        <v>377910</v>
      </c>
      <c r="E37" s="29">
        <v>910.38518999999997</v>
      </c>
      <c r="F37" s="30">
        <v>0.62382179215008204</v>
      </c>
      <c r="G37" s="29"/>
    </row>
    <row r="38" spans="1:9" x14ac:dyDescent="0.2">
      <c r="A38" s="27" t="s">
        <v>132</v>
      </c>
      <c r="B38" s="27" t="s">
        <v>131</v>
      </c>
      <c r="C38" s="27" t="s">
        <v>133</v>
      </c>
      <c r="D38" s="31">
        <v>162218</v>
      </c>
      <c r="E38" s="29">
        <v>432.47318799999999</v>
      </c>
      <c r="F38" s="30">
        <v>0.296342913042137</v>
      </c>
      <c r="G38" s="29"/>
    </row>
    <row r="39" spans="1:9" x14ac:dyDescent="0.2">
      <c r="A39" s="27" t="s">
        <v>163</v>
      </c>
      <c r="B39" s="27" t="s">
        <v>162</v>
      </c>
      <c r="C39" s="27" t="s">
        <v>138</v>
      </c>
      <c r="D39" s="31">
        <v>73630</v>
      </c>
      <c r="E39" s="29">
        <v>408.020645</v>
      </c>
      <c r="F39" s="30">
        <v>0.279587335991409</v>
      </c>
      <c r="G39" s="29"/>
    </row>
    <row r="40" spans="1:9" x14ac:dyDescent="0.2">
      <c r="A40" s="27" t="s">
        <v>165</v>
      </c>
      <c r="B40" s="27" t="s">
        <v>164</v>
      </c>
      <c r="C40" s="27" t="s">
        <v>152</v>
      </c>
      <c r="D40" s="31">
        <v>101483</v>
      </c>
      <c r="E40" s="29">
        <v>291.56065899999999</v>
      </c>
      <c r="F40" s="30">
        <v>0.199785645478085</v>
      </c>
      <c r="G40" s="29"/>
    </row>
    <row r="41" spans="1:9" x14ac:dyDescent="0.2">
      <c r="A41" s="26" t="s">
        <v>34</v>
      </c>
      <c r="B41" s="26"/>
      <c r="C41" s="26"/>
      <c r="D41" s="32"/>
      <c r="E41" s="33">
        <f>SUM(E7:E40)</f>
        <v>108508.44446299998</v>
      </c>
      <c r="F41" s="34">
        <f>SUM(F7:F40)</f>
        <v>74.353068384522274</v>
      </c>
      <c r="G41" s="33"/>
      <c r="H41" s="18"/>
      <c r="I41" s="18"/>
    </row>
    <row r="42" spans="1:9" x14ac:dyDescent="0.2">
      <c r="A42" s="27"/>
      <c r="B42" s="27"/>
      <c r="C42" s="27"/>
      <c r="D42" s="28"/>
      <c r="E42" s="29"/>
      <c r="F42" s="30"/>
      <c r="G42" s="29"/>
    </row>
    <row r="43" spans="1:9" x14ac:dyDescent="0.2">
      <c r="A43" s="26" t="s">
        <v>229</v>
      </c>
      <c r="B43" s="27"/>
      <c r="C43" s="27"/>
      <c r="D43" s="28"/>
      <c r="E43" s="29"/>
      <c r="F43" s="30"/>
      <c r="G43" s="29"/>
    </row>
    <row r="44" spans="1:9" x14ac:dyDescent="0.2">
      <c r="A44" s="27" t="s">
        <v>230</v>
      </c>
      <c r="B44" s="27" t="s">
        <v>737</v>
      </c>
      <c r="C44" s="27" t="s">
        <v>231</v>
      </c>
      <c r="D44" s="31">
        <v>270000</v>
      </c>
      <c r="E44" s="29">
        <v>2.7E-2</v>
      </c>
      <c r="F44" s="30">
        <v>1.8501166948961699E-5</v>
      </c>
      <c r="G44" s="29"/>
    </row>
    <row r="45" spans="1:9" x14ac:dyDescent="0.2">
      <c r="A45" s="27"/>
      <c r="B45" s="27" t="s">
        <v>738</v>
      </c>
      <c r="C45" s="27" t="s">
        <v>187</v>
      </c>
      <c r="D45" s="31">
        <v>27500</v>
      </c>
      <c r="E45" s="29">
        <v>2.7499999999999998E-3</v>
      </c>
      <c r="F45" s="30">
        <v>1.8843781151720199E-6</v>
      </c>
      <c r="G45" s="29"/>
    </row>
    <row r="46" spans="1:9" x14ac:dyDescent="0.2">
      <c r="A46" s="26" t="s">
        <v>34</v>
      </c>
      <c r="B46" s="26"/>
      <c r="C46" s="26"/>
      <c r="D46" s="32"/>
      <c r="E46" s="33">
        <f>SUM(E43:E45)</f>
        <v>2.9749999999999999E-2</v>
      </c>
      <c r="F46" s="34">
        <f>SUM(F43:F45)</f>
        <v>2.0385545064133719E-5</v>
      </c>
      <c r="G46" s="33"/>
      <c r="H46" s="18"/>
      <c r="I46" s="18"/>
    </row>
    <row r="47" spans="1:9" x14ac:dyDescent="0.2">
      <c r="A47" s="27"/>
      <c r="B47" s="27"/>
      <c r="C47" s="27"/>
      <c r="D47" s="28"/>
      <c r="E47" s="29"/>
      <c r="F47" s="30"/>
      <c r="G47" s="29"/>
    </row>
    <row r="48" spans="1:9" x14ac:dyDescent="0.2">
      <c r="A48" s="26" t="s">
        <v>232</v>
      </c>
      <c r="B48" s="27"/>
      <c r="C48" s="27"/>
      <c r="D48" s="28"/>
      <c r="E48" s="29"/>
      <c r="F48" s="30"/>
      <c r="G48" s="29"/>
    </row>
    <row r="49" spans="1:9" x14ac:dyDescent="0.2">
      <c r="A49" s="27" t="s">
        <v>180</v>
      </c>
      <c r="B49" s="27" t="s">
        <v>179</v>
      </c>
      <c r="C49" s="27" t="s">
        <v>368</v>
      </c>
      <c r="D49" s="31">
        <v>1053600</v>
      </c>
      <c r="E49" s="29">
        <v>3767.6736000000001</v>
      </c>
      <c r="F49" s="30">
        <v>2.5817169734368699</v>
      </c>
      <c r="G49" s="29"/>
    </row>
    <row r="50" spans="1:9" x14ac:dyDescent="0.2">
      <c r="A50" s="27" t="s">
        <v>234</v>
      </c>
      <c r="B50" s="27" t="s">
        <v>233</v>
      </c>
      <c r="C50" s="27" t="s">
        <v>368</v>
      </c>
      <c r="D50" s="31">
        <v>151400</v>
      </c>
      <c r="E50" s="29">
        <v>397.13733999999999</v>
      </c>
      <c r="F50" s="30">
        <v>0.27212978625950202</v>
      </c>
      <c r="G50" s="29"/>
    </row>
    <row r="51" spans="1:9" x14ac:dyDescent="0.2">
      <c r="A51" s="26" t="s">
        <v>34</v>
      </c>
      <c r="B51" s="26"/>
      <c r="C51" s="26"/>
      <c r="D51" s="32"/>
      <c r="E51" s="33">
        <f>SUM(E48:E50)</f>
        <v>4164.8109400000003</v>
      </c>
      <c r="F51" s="34">
        <f>SUM(F48:F50)</f>
        <v>2.8538467596963719</v>
      </c>
      <c r="G51" s="33"/>
      <c r="H51" s="18"/>
      <c r="I51" s="18"/>
    </row>
    <row r="52" spans="1:9" x14ac:dyDescent="0.2">
      <c r="A52" s="27"/>
      <c r="B52" s="27"/>
      <c r="C52" s="27"/>
      <c r="D52" s="28"/>
      <c r="E52" s="29"/>
      <c r="F52" s="30"/>
      <c r="G52" s="29"/>
    </row>
    <row r="53" spans="1:9" x14ac:dyDescent="0.2">
      <c r="A53" s="26" t="s">
        <v>722</v>
      </c>
      <c r="B53" s="27"/>
      <c r="C53" s="27"/>
      <c r="D53" s="28"/>
      <c r="E53" s="29"/>
      <c r="F53" s="30"/>
      <c r="G53" s="29"/>
    </row>
    <row r="54" spans="1:9" x14ac:dyDescent="0.2">
      <c r="A54" s="27" t="s">
        <v>182</v>
      </c>
      <c r="B54" s="27" t="s">
        <v>181</v>
      </c>
      <c r="C54" s="27" t="s">
        <v>145</v>
      </c>
      <c r="D54" s="31">
        <v>569800</v>
      </c>
      <c r="E54" s="29">
        <v>691.68021999999996</v>
      </c>
      <c r="F54" s="30">
        <v>0.47395893427831698</v>
      </c>
      <c r="G54" s="29"/>
    </row>
    <row r="55" spans="1:9" x14ac:dyDescent="0.2">
      <c r="A55" s="26" t="s">
        <v>34</v>
      </c>
      <c r="B55" s="26"/>
      <c r="C55" s="26"/>
      <c r="D55" s="32"/>
      <c r="E55" s="33">
        <f>SUM(E53:E54)</f>
        <v>691.68021999999996</v>
      </c>
      <c r="F55" s="34">
        <f>SUM(F53:F54)</f>
        <v>0.47395893427831698</v>
      </c>
      <c r="G55" s="33"/>
      <c r="H55" s="18"/>
      <c r="I55" s="18"/>
    </row>
    <row r="56" spans="1:9" x14ac:dyDescent="0.2">
      <c r="A56" s="27"/>
      <c r="B56" s="27"/>
      <c r="C56" s="27"/>
      <c r="D56" s="28"/>
      <c r="E56" s="29"/>
      <c r="F56" s="30"/>
      <c r="G56" s="29"/>
    </row>
    <row r="57" spans="1:9" x14ac:dyDescent="0.2">
      <c r="A57" s="26" t="s">
        <v>31</v>
      </c>
      <c r="B57" s="27"/>
      <c r="C57" s="27"/>
      <c r="D57" s="28"/>
      <c r="E57" s="29"/>
      <c r="F57" s="30"/>
      <c r="G57" s="29"/>
    </row>
    <row r="58" spans="1:9" x14ac:dyDescent="0.2">
      <c r="A58" s="26" t="s">
        <v>32</v>
      </c>
      <c r="B58" s="27"/>
      <c r="C58" s="27"/>
      <c r="D58" s="28"/>
      <c r="E58" s="29"/>
      <c r="F58" s="30"/>
      <c r="G58" s="29"/>
    </row>
    <row r="59" spans="1:9" x14ac:dyDescent="0.2">
      <c r="A59" s="27" t="s">
        <v>94</v>
      </c>
      <c r="B59" s="27" t="s">
        <v>93</v>
      </c>
      <c r="C59" s="27" t="s">
        <v>33</v>
      </c>
      <c r="D59" s="31">
        <v>450</v>
      </c>
      <c r="E59" s="29">
        <v>4569.5249999999996</v>
      </c>
      <c r="F59" s="30">
        <v>3.1311683297205199</v>
      </c>
      <c r="G59" s="29">
        <v>8.2271000000000001</v>
      </c>
    </row>
    <row r="60" spans="1:9" x14ac:dyDescent="0.2">
      <c r="A60" s="27" t="s">
        <v>236</v>
      </c>
      <c r="B60" s="27" t="s">
        <v>235</v>
      </c>
      <c r="C60" s="27" t="s">
        <v>33</v>
      </c>
      <c r="D60" s="31">
        <v>83</v>
      </c>
      <c r="E60" s="29">
        <v>833.91427999999996</v>
      </c>
      <c r="F60" s="30">
        <v>0.57142175242233995</v>
      </c>
      <c r="G60" s="29">
        <v>6.6449999999999996</v>
      </c>
    </row>
    <row r="61" spans="1:9" x14ac:dyDescent="0.2">
      <c r="A61" s="27" t="s">
        <v>167</v>
      </c>
      <c r="B61" s="27" t="s">
        <v>166</v>
      </c>
      <c r="C61" s="27" t="s">
        <v>52</v>
      </c>
      <c r="D61" s="31">
        <v>50</v>
      </c>
      <c r="E61" s="29">
        <v>518.43600000000004</v>
      </c>
      <c r="F61" s="30">
        <v>0.355247073642663</v>
      </c>
      <c r="G61" s="29">
        <v>4.5599999999999996</v>
      </c>
    </row>
    <row r="62" spans="1:9" x14ac:dyDescent="0.2">
      <c r="A62" s="26" t="s">
        <v>34</v>
      </c>
      <c r="B62" s="26"/>
      <c r="C62" s="26"/>
      <c r="D62" s="32"/>
      <c r="E62" s="33">
        <f>SUM(E58:E61)</f>
        <v>5921.8752799999993</v>
      </c>
      <c r="F62" s="34">
        <f>SUM(F58:F61)</f>
        <v>4.0578371557855233</v>
      </c>
      <c r="G62" s="33"/>
      <c r="H62" s="18"/>
      <c r="I62" s="18"/>
    </row>
    <row r="63" spans="1:9" x14ac:dyDescent="0.2">
      <c r="A63" s="27"/>
      <c r="B63" s="27"/>
      <c r="C63" s="27"/>
      <c r="D63" s="28"/>
      <c r="E63" s="29"/>
      <c r="F63" s="30"/>
      <c r="G63" s="29"/>
    </row>
    <row r="64" spans="1:9" x14ac:dyDescent="0.2">
      <c r="A64" s="26" t="s">
        <v>54</v>
      </c>
      <c r="B64" s="27"/>
      <c r="C64" s="27"/>
      <c r="D64" s="28"/>
      <c r="E64" s="29"/>
      <c r="F64" s="30"/>
      <c r="G64" s="29"/>
    </row>
    <row r="65" spans="1:9" x14ac:dyDescent="0.2">
      <c r="A65" s="26" t="s">
        <v>55</v>
      </c>
      <c r="B65" s="27"/>
      <c r="C65" s="27"/>
      <c r="D65" s="28"/>
      <c r="E65" s="29"/>
      <c r="F65" s="30"/>
      <c r="G65" s="29"/>
    </row>
    <row r="66" spans="1:9" x14ac:dyDescent="0.2">
      <c r="A66" s="27" t="s">
        <v>184</v>
      </c>
      <c r="B66" s="27" t="s">
        <v>183</v>
      </c>
      <c r="C66" s="27" t="s">
        <v>57</v>
      </c>
      <c r="D66" s="31">
        <v>2500</v>
      </c>
      <c r="E66" s="29">
        <v>2459.5075000000002</v>
      </c>
      <c r="F66" s="30">
        <v>1.6853244025823499</v>
      </c>
      <c r="G66" s="29">
        <v>3.5350000000000001</v>
      </c>
    </row>
    <row r="67" spans="1:9" x14ac:dyDescent="0.2">
      <c r="A67" s="26" t="s">
        <v>34</v>
      </c>
      <c r="B67" s="26"/>
      <c r="C67" s="26"/>
      <c r="D67" s="32"/>
      <c r="E67" s="33">
        <f>SUM(E65:E66)</f>
        <v>2459.5075000000002</v>
      </c>
      <c r="F67" s="34">
        <f>SUM(F65:F66)</f>
        <v>1.6853244025823499</v>
      </c>
      <c r="G67" s="33"/>
      <c r="H67" s="18"/>
      <c r="I67" s="18"/>
    </row>
    <row r="68" spans="1:9" x14ac:dyDescent="0.2">
      <c r="A68" s="27"/>
      <c r="B68" s="27"/>
      <c r="C68" s="27"/>
      <c r="D68" s="28"/>
      <c r="E68" s="29"/>
      <c r="F68" s="30"/>
      <c r="G68" s="29"/>
    </row>
    <row r="69" spans="1:9" x14ac:dyDescent="0.2">
      <c r="A69" s="26" t="s">
        <v>58</v>
      </c>
      <c r="B69" s="27"/>
      <c r="C69" s="27"/>
      <c r="D69" s="28"/>
      <c r="E69" s="29"/>
      <c r="F69" s="30"/>
      <c r="G69" s="29"/>
    </row>
    <row r="70" spans="1:9" x14ac:dyDescent="0.2">
      <c r="A70" s="27" t="s">
        <v>63</v>
      </c>
      <c r="B70" s="27" t="s">
        <v>62</v>
      </c>
      <c r="C70" s="27" t="s">
        <v>56</v>
      </c>
      <c r="D70" s="31">
        <v>500</v>
      </c>
      <c r="E70" s="29">
        <v>2491.1624999999999</v>
      </c>
      <c r="F70" s="30">
        <v>1.70701530775899</v>
      </c>
      <c r="G70" s="29">
        <v>3.4996</v>
      </c>
    </row>
    <row r="71" spans="1:9" x14ac:dyDescent="0.2">
      <c r="A71" s="27" t="s">
        <v>60</v>
      </c>
      <c r="B71" s="27" t="s">
        <v>59</v>
      </c>
      <c r="C71" s="27" t="s">
        <v>61</v>
      </c>
      <c r="D71" s="31">
        <v>500</v>
      </c>
      <c r="E71" s="29">
        <v>2455.38</v>
      </c>
      <c r="F71" s="30">
        <v>1.6824961223385799</v>
      </c>
      <c r="G71" s="29">
        <v>3.6850999999999998</v>
      </c>
    </row>
    <row r="72" spans="1:9" x14ac:dyDescent="0.2">
      <c r="A72" s="26" t="s">
        <v>34</v>
      </c>
      <c r="B72" s="26"/>
      <c r="C72" s="26"/>
      <c r="D72" s="32"/>
      <c r="E72" s="33">
        <f>SUM(E69:E71)</f>
        <v>4946.5424999999996</v>
      </c>
      <c r="F72" s="34">
        <f>SUM(F69:F71)</f>
        <v>3.3895114300975697</v>
      </c>
      <c r="G72" s="33"/>
      <c r="H72" s="18"/>
      <c r="I72" s="18"/>
    </row>
    <row r="73" spans="1:9" x14ac:dyDescent="0.2">
      <c r="A73" s="27"/>
      <c r="B73" s="27"/>
      <c r="C73" s="27"/>
      <c r="D73" s="28"/>
      <c r="E73" s="29"/>
      <c r="F73" s="30"/>
      <c r="G73" s="29"/>
    </row>
    <row r="74" spans="1:9" x14ac:dyDescent="0.2">
      <c r="A74" s="26" t="s">
        <v>64</v>
      </c>
      <c r="B74" s="27"/>
      <c r="C74" s="27"/>
      <c r="D74" s="28"/>
      <c r="E74" s="29"/>
      <c r="F74" s="30"/>
      <c r="G74" s="29"/>
    </row>
    <row r="75" spans="1:9" x14ac:dyDescent="0.2">
      <c r="A75" s="27" t="s">
        <v>84</v>
      </c>
      <c r="B75" s="27" t="s">
        <v>83</v>
      </c>
      <c r="C75" s="27" t="s">
        <v>65</v>
      </c>
      <c r="D75" s="31">
        <v>10000000</v>
      </c>
      <c r="E75" s="29">
        <v>9921.64</v>
      </c>
      <c r="F75" s="30">
        <v>6.7985895573146804</v>
      </c>
      <c r="G75" s="29">
        <v>5.3592000000000004</v>
      </c>
    </row>
    <row r="76" spans="1:9" x14ac:dyDescent="0.2">
      <c r="A76" s="27" t="s">
        <v>80</v>
      </c>
      <c r="B76" s="27" t="s">
        <v>79</v>
      </c>
      <c r="C76" s="27" t="s">
        <v>65</v>
      </c>
      <c r="D76" s="31">
        <v>2500000</v>
      </c>
      <c r="E76" s="29">
        <v>2469.86</v>
      </c>
      <c r="F76" s="30">
        <v>1.69241822965046</v>
      </c>
      <c r="G76" s="29">
        <v>6.7744</v>
      </c>
    </row>
    <row r="77" spans="1:9" x14ac:dyDescent="0.2">
      <c r="A77" s="27" t="s">
        <v>88</v>
      </c>
      <c r="B77" s="27" t="s">
        <v>87</v>
      </c>
      <c r="C77" s="27" t="s">
        <v>65</v>
      </c>
      <c r="D77" s="31">
        <v>2000000</v>
      </c>
      <c r="E77" s="29">
        <v>2120.9960000000001</v>
      </c>
      <c r="F77" s="30">
        <v>1.45336670718815</v>
      </c>
      <c r="G77" s="29">
        <v>5.7530999999999999</v>
      </c>
    </row>
    <row r="78" spans="1:9" x14ac:dyDescent="0.2">
      <c r="A78" s="27" t="s">
        <v>86</v>
      </c>
      <c r="B78" s="27" t="s">
        <v>85</v>
      </c>
      <c r="C78" s="27" t="s">
        <v>65</v>
      </c>
      <c r="D78" s="31">
        <v>970000</v>
      </c>
      <c r="E78" s="29">
        <v>1024.7807499999999</v>
      </c>
      <c r="F78" s="30">
        <v>0.70220887932711795</v>
      </c>
      <c r="G78" s="29">
        <v>6.0827999999999998</v>
      </c>
    </row>
    <row r="79" spans="1:9" x14ac:dyDescent="0.2">
      <c r="A79" s="27" t="s">
        <v>82</v>
      </c>
      <c r="B79" s="27" t="s">
        <v>81</v>
      </c>
      <c r="C79" s="27" t="s">
        <v>65</v>
      </c>
      <c r="D79" s="31">
        <v>900000</v>
      </c>
      <c r="E79" s="29">
        <v>936.02520000000004</v>
      </c>
      <c r="F79" s="30">
        <v>0.64139105531982399</v>
      </c>
      <c r="G79" s="29">
        <v>5.9497999999999998</v>
      </c>
    </row>
    <row r="80" spans="1:9" x14ac:dyDescent="0.2">
      <c r="A80" s="27" t="s">
        <v>169</v>
      </c>
      <c r="B80" s="27" t="s">
        <v>168</v>
      </c>
      <c r="C80" s="27" t="s">
        <v>65</v>
      </c>
      <c r="D80" s="31">
        <v>300000</v>
      </c>
      <c r="E80" s="29">
        <v>311.7756</v>
      </c>
      <c r="F80" s="30">
        <v>0.21363749726713699</v>
      </c>
      <c r="G80" s="29">
        <v>4.8288000000000002</v>
      </c>
    </row>
    <row r="81" spans="1:9" x14ac:dyDescent="0.2">
      <c r="A81" s="27" t="s">
        <v>96</v>
      </c>
      <c r="B81" s="27" t="s">
        <v>95</v>
      </c>
      <c r="C81" s="27" t="s">
        <v>65</v>
      </c>
      <c r="D81" s="31">
        <v>100000</v>
      </c>
      <c r="E81" s="29">
        <v>106.49769999999999</v>
      </c>
      <c r="F81" s="30">
        <v>7.2975249162238395E-2</v>
      </c>
      <c r="G81" s="29">
        <v>4.4425999999999997</v>
      </c>
    </row>
    <row r="82" spans="1:9" x14ac:dyDescent="0.2">
      <c r="A82" s="27" t="s">
        <v>90</v>
      </c>
      <c r="B82" s="27" t="s">
        <v>89</v>
      </c>
      <c r="C82" s="27" t="s">
        <v>65</v>
      </c>
      <c r="D82" s="31">
        <v>100000</v>
      </c>
      <c r="E82" s="29">
        <v>99.833799999999997</v>
      </c>
      <c r="F82" s="30">
        <v>6.8408955590713E-2</v>
      </c>
      <c r="G82" s="29">
        <v>5.2664999999999997</v>
      </c>
    </row>
    <row r="83" spans="1:9" x14ac:dyDescent="0.2">
      <c r="A83" s="26" t="s">
        <v>34</v>
      </c>
      <c r="B83" s="26"/>
      <c r="C83" s="26"/>
      <c r="D83" s="32"/>
      <c r="E83" s="33">
        <f>SUM(E75:E82)</f>
        <v>16991.409050000002</v>
      </c>
      <c r="F83" s="34">
        <f>SUM(F75:F82)</f>
        <v>11.64299613082032</v>
      </c>
      <c r="G83" s="33"/>
      <c r="H83" s="18"/>
      <c r="I83" s="18"/>
    </row>
    <row r="84" spans="1:9" x14ac:dyDescent="0.2">
      <c r="A84" s="27"/>
      <c r="B84" s="27"/>
      <c r="C84" s="27"/>
      <c r="D84" s="28"/>
      <c r="E84" s="29"/>
      <c r="F84" s="30"/>
      <c r="G84" s="29"/>
    </row>
    <row r="85" spans="1:9" x14ac:dyDescent="0.2">
      <c r="A85" s="26" t="s">
        <v>36</v>
      </c>
      <c r="B85" s="26"/>
      <c r="C85" s="26"/>
      <c r="D85" s="32"/>
      <c r="E85" s="33">
        <f>E41+E46+E51+E55+E62+E67+E72+E83</f>
        <v>143684.29970299997</v>
      </c>
      <c r="F85" s="34">
        <f>F41+F46+F51+F55+F62+F67+F72+F83</f>
        <v>98.456563583327792</v>
      </c>
      <c r="G85" s="33"/>
      <c r="H85" s="18"/>
      <c r="I85" s="18"/>
    </row>
    <row r="86" spans="1:9" x14ac:dyDescent="0.2">
      <c r="A86" s="26"/>
      <c r="B86" s="26"/>
      <c r="C86" s="26"/>
      <c r="D86" s="32"/>
      <c r="E86" s="33"/>
      <c r="F86" s="34"/>
      <c r="G86" s="33"/>
      <c r="H86" s="18"/>
      <c r="I86" s="18"/>
    </row>
    <row r="87" spans="1:9" x14ac:dyDescent="0.2">
      <c r="A87" s="26" t="s">
        <v>38</v>
      </c>
      <c r="B87" s="26"/>
      <c r="C87" s="26"/>
      <c r="D87" s="32"/>
      <c r="E87" s="33">
        <f>E89-(E41+E46+E51+E55+E62+E67+E72+E83)</f>
        <v>2252.4407982000266</v>
      </c>
      <c r="F87" s="34">
        <f>F89-(F41+F46+F51+F55+F62+F67+F72+F83)</f>
        <v>1.5434364166722077</v>
      </c>
      <c r="G87" s="33"/>
      <c r="H87" s="18"/>
      <c r="I87" s="18"/>
    </row>
    <row r="88" spans="1:9" x14ac:dyDescent="0.2">
      <c r="A88" s="26"/>
      <c r="B88" s="26"/>
      <c r="C88" s="26"/>
      <c r="D88" s="32"/>
      <c r="E88" s="33"/>
      <c r="F88" s="34"/>
      <c r="G88" s="33"/>
      <c r="H88" s="18"/>
      <c r="I88" s="18"/>
    </row>
    <row r="89" spans="1:9" x14ac:dyDescent="0.2">
      <c r="A89" s="35" t="s">
        <v>37</v>
      </c>
      <c r="B89" s="35"/>
      <c r="C89" s="35"/>
      <c r="D89" s="36"/>
      <c r="E89" s="37">
        <v>145936.74050119999</v>
      </c>
      <c r="F89" s="38">
        <v>100</v>
      </c>
      <c r="G89" s="37"/>
      <c r="H89" s="18"/>
      <c r="I89" s="18"/>
    </row>
    <row r="90" spans="1:9" x14ac:dyDescent="0.2">
      <c r="F90" s="20" t="s">
        <v>513</v>
      </c>
    </row>
    <row r="91" spans="1:9" x14ac:dyDescent="0.2">
      <c r="A91" s="18" t="s">
        <v>66</v>
      </c>
    </row>
    <row r="92" spans="1:9" x14ac:dyDescent="0.2">
      <c r="A92" s="18" t="s">
        <v>39</v>
      </c>
    </row>
    <row r="93" spans="1:9" x14ac:dyDescent="0.2">
      <c r="A93" s="18" t="s">
        <v>723</v>
      </c>
    </row>
    <row r="95" spans="1:9" x14ac:dyDescent="0.2">
      <c r="A95" s="18" t="s">
        <v>40</v>
      </c>
    </row>
    <row r="96" spans="1:9" x14ac:dyDescent="0.2">
      <c r="A96" s="18" t="s">
        <v>41</v>
      </c>
    </row>
    <row r="97" spans="1:5" x14ac:dyDescent="0.2">
      <c r="A97" s="18" t="s">
        <v>42</v>
      </c>
      <c r="B97" s="18"/>
      <c r="C97" s="39" t="s">
        <v>44</v>
      </c>
      <c r="D97" s="19" t="s">
        <v>43</v>
      </c>
    </row>
    <row r="98" spans="1:5" x14ac:dyDescent="0.2">
      <c r="A98" s="9" t="s">
        <v>71</v>
      </c>
      <c r="C98" s="40">
        <v>151.85169999999999</v>
      </c>
      <c r="D98" s="40">
        <v>174.17169999999999</v>
      </c>
    </row>
    <row r="99" spans="1:5" x14ac:dyDescent="0.2">
      <c r="A99" s="9" t="s">
        <v>77</v>
      </c>
      <c r="C99" s="40">
        <v>24.18</v>
      </c>
      <c r="D99" s="40">
        <v>25.842199999999998</v>
      </c>
    </row>
    <row r="100" spans="1:5" x14ac:dyDescent="0.2">
      <c r="A100" s="9" t="s">
        <v>74</v>
      </c>
      <c r="C100" s="40">
        <v>165.78829999999999</v>
      </c>
      <c r="D100" s="40">
        <v>191.1318</v>
      </c>
    </row>
    <row r="101" spans="1:5" x14ac:dyDescent="0.2">
      <c r="A101" s="9" t="s">
        <v>78</v>
      </c>
      <c r="C101" s="40">
        <v>27.1647</v>
      </c>
      <c r="D101" s="40">
        <v>29.419</v>
      </c>
    </row>
    <row r="103" spans="1:5" x14ac:dyDescent="0.2">
      <c r="A103" s="18" t="s">
        <v>46</v>
      </c>
    </row>
    <row r="104" spans="1:5" x14ac:dyDescent="0.2">
      <c r="A104" s="71" t="s">
        <v>67</v>
      </c>
      <c r="B104" s="72"/>
      <c r="C104" s="43" t="s">
        <v>68</v>
      </c>
    </row>
    <row r="105" spans="1:5" x14ac:dyDescent="0.2">
      <c r="A105" s="67" t="s">
        <v>77</v>
      </c>
      <c r="B105" s="68"/>
      <c r="C105" s="44">
        <v>1.75</v>
      </c>
    </row>
    <row r="106" spans="1:5" x14ac:dyDescent="0.2">
      <c r="A106" s="67" t="s">
        <v>78</v>
      </c>
      <c r="B106" s="68"/>
      <c r="C106" s="44">
        <v>1.75</v>
      </c>
    </row>
    <row r="107" spans="1:5" x14ac:dyDescent="0.2">
      <c r="A107" s="9" t="s">
        <v>69</v>
      </c>
    </row>
    <row r="108" spans="1:5" x14ac:dyDescent="0.2">
      <c r="A108" s="9" t="s">
        <v>45</v>
      </c>
    </row>
    <row r="110" spans="1:5" x14ac:dyDescent="0.2">
      <c r="A110" s="18" t="s">
        <v>220</v>
      </c>
      <c r="D110" s="45">
        <v>0.29859999999999998</v>
      </c>
    </row>
    <row r="112" spans="1:5" x14ac:dyDescent="0.2">
      <c r="A112" s="18" t="s">
        <v>221</v>
      </c>
      <c r="D112" s="42">
        <v>3.3788094969522899</v>
      </c>
      <c r="E112" s="13" t="s">
        <v>48</v>
      </c>
    </row>
    <row r="114" spans="1:4" x14ac:dyDescent="0.2">
      <c r="A114" s="18" t="s">
        <v>222</v>
      </c>
      <c r="D114" s="41" t="s">
        <v>47</v>
      </c>
    </row>
    <row r="115" spans="1:4" x14ac:dyDescent="0.2">
      <c r="A115" s="9" t="s">
        <v>53</v>
      </c>
      <c r="D115" s="41"/>
    </row>
    <row r="116" spans="1:4" x14ac:dyDescent="0.2">
      <c r="A116" s="46" t="s">
        <v>724</v>
      </c>
    </row>
    <row r="117" spans="1:4" x14ac:dyDescent="0.2">
      <c r="A117" s="46"/>
    </row>
    <row r="118" spans="1:4" x14ac:dyDescent="0.2">
      <c r="A118" s="18" t="s">
        <v>50</v>
      </c>
    </row>
    <row r="119" spans="1:4" x14ac:dyDescent="0.2">
      <c r="A119" s="46" t="s">
        <v>51</v>
      </c>
    </row>
  </sheetData>
  <mergeCells count="4">
    <mergeCell ref="A1:G1"/>
    <mergeCell ref="A104:B104"/>
    <mergeCell ref="A105:B105"/>
    <mergeCell ref="A106:B106"/>
  </mergeCells>
  <conditionalFormatting sqref="F2:F3 F5:F65538">
    <cfRule type="cellIs" dxfId="26" priority="1" stopIfTrue="1" operator="between">
      <formula>0.009</formula>
      <formula>-0.009</formula>
    </cfRule>
  </conditionalFormatting>
  <hyperlinks>
    <hyperlink ref="A119" r:id="rId1" tooltip="https://www.franklintempletonindia.com/downloadsServlet/pdf/product-labels-jg9o5k7l" xr:uid="{00000000-0004-0000-1B00-000000000000}"/>
    <hyperlink ref="A116" r:id="rId2" xr:uid="{00000000-0004-0000-1B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69"/>
  <sheetViews>
    <sheetView workbookViewId="0">
      <selection sqref="A1:F1"/>
    </sheetView>
  </sheetViews>
  <sheetFormatPr defaultColWidth="9.109375" defaultRowHeight="10.199999999999999" x14ac:dyDescent="0.2"/>
  <cols>
    <col min="1" max="1" width="40.5546875" style="9" bestFit="1" customWidth="1"/>
    <col min="2" max="2" width="25.88671875" style="9" bestFit="1" customWidth="1"/>
    <col min="3" max="3" width="20"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69" t="s">
        <v>10</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108</v>
      </c>
      <c r="B7" s="27" t="s">
        <v>107</v>
      </c>
      <c r="C7" s="27" t="s">
        <v>104</v>
      </c>
      <c r="D7" s="31">
        <v>750000</v>
      </c>
      <c r="E7" s="29">
        <v>5392.875</v>
      </c>
      <c r="F7" s="30">
        <v>9.35877012086398</v>
      </c>
    </row>
    <row r="8" spans="1:6" x14ac:dyDescent="0.2">
      <c r="A8" s="27" t="s">
        <v>140</v>
      </c>
      <c r="B8" s="27" t="s">
        <v>139</v>
      </c>
      <c r="C8" s="27" t="s">
        <v>104</v>
      </c>
      <c r="D8" s="31">
        <v>1000000</v>
      </c>
      <c r="E8" s="29">
        <v>4260.5</v>
      </c>
      <c r="F8" s="30">
        <v>7.3936518276320102</v>
      </c>
    </row>
    <row r="9" spans="1:6" x14ac:dyDescent="0.2">
      <c r="A9" s="27" t="s">
        <v>106</v>
      </c>
      <c r="B9" s="27" t="s">
        <v>105</v>
      </c>
      <c r="C9" s="27" t="s">
        <v>104</v>
      </c>
      <c r="D9" s="31">
        <v>385000</v>
      </c>
      <c r="E9" s="29">
        <v>3028.0250000000001</v>
      </c>
      <c r="F9" s="30">
        <v>5.2548204612992402</v>
      </c>
    </row>
    <row r="10" spans="1:6" x14ac:dyDescent="0.2">
      <c r="A10" s="27" t="s">
        <v>110</v>
      </c>
      <c r="B10" s="27" t="s">
        <v>109</v>
      </c>
      <c r="C10" s="27" t="s">
        <v>111</v>
      </c>
      <c r="D10" s="31">
        <v>450000</v>
      </c>
      <c r="E10" s="29">
        <v>2988.2249999999999</v>
      </c>
      <c r="F10" s="30">
        <v>5.1857517269394799</v>
      </c>
    </row>
    <row r="11" spans="1:6" x14ac:dyDescent="0.2">
      <c r="A11" s="27" t="s">
        <v>173</v>
      </c>
      <c r="B11" s="27" t="s">
        <v>172</v>
      </c>
      <c r="C11" s="27" t="s">
        <v>174</v>
      </c>
      <c r="D11" s="31">
        <v>190000</v>
      </c>
      <c r="E11" s="29">
        <v>2850.76</v>
      </c>
      <c r="F11" s="30">
        <v>4.9471956071212801</v>
      </c>
    </row>
    <row r="12" spans="1:6" x14ac:dyDescent="0.2">
      <c r="A12" s="27" t="s">
        <v>238</v>
      </c>
      <c r="B12" s="27" t="s">
        <v>237</v>
      </c>
      <c r="C12" s="27" t="s">
        <v>101</v>
      </c>
      <c r="D12" s="31">
        <v>225000</v>
      </c>
      <c r="E12" s="29">
        <v>2660.1750000000002</v>
      </c>
      <c r="F12" s="30">
        <v>4.6164552870721698</v>
      </c>
    </row>
    <row r="13" spans="1:6" x14ac:dyDescent="0.2">
      <c r="A13" s="27" t="s">
        <v>147</v>
      </c>
      <c r="B13" s="27" t="s">
        <v>146</v>
      </c>
      <c r="C13" s="27" t="s">
        <v>145</v>
      </c>
      <c r="D13" s="31">
        <v>1900000</v>
      </c>
      <c r="E13" s="29">
        <v>2203.0500000000002</v>
      </c>
      <c r="F13" s="30">
        <v>3.8231626942529502</v>
      </c>
    </row>
    <row r="14" spans="1:6" x14ac:dyDescent="0.2">
      <c r="A14" s="27" t="s">
        <v>240</v>
      </c>
      <c r="B14" s="27" t="s">
        <v>239</v>
      </c>
      <c r="C14" s="27" t="s">
        <v>241</v>
      </c>
      <c r="D14" s="31">
        <v>1100000</v>
      </c>
      <c r="E14" s="29">
        <v>2053.15</v>
      </c>
      <c r="F14" s="30">
        <v>3.5630269334356699</v>
      </c>
    </row>
    <row r="15" spans="1:6" x14ac:dyDescent="0.2">
      <c r="A15" s="27" t="s">
        <v>243</v>
      </c>
      <c r="B15" s="27" t="s">
        <v>242</v>
      </c>
      <c r="C15" s="27" t="s">
        <v>152</v>
      </c>
      <c r="D15" s="31">
        <v>1500000</v>
      </c>
      <c r="E15" s="29">
        <v>2048.25</v>
      </c>
      <c r="F15" s="30">
        <v>3.5545234962908698</v>
      </c>
    </row>
    <row r="16" spans="1:6" x14ac:dyDescent="0.2">
      <c r="A16" s="27" t="s">
        <v>135</v>
      </c>
      <c r="B16" s="27" t="s">
        <v>134</v>
      </c>
      <c r="C16" s="27" t="s">
        <v>128</v>
      </c>
      <c r="D16" s="31">
        <v>500000</v>
      </c>
      <c r="E16" s="29">
        <v>1753.25</v>
      </c>
      <c r="F16" s="30">
        <v>3.04258187226753</v>
      </c>
    </row>
    <row r="17" spans="1:6" x14ac:dyDescent="0.2">
      <c r="A17" s="27" t="s">
        <v>100</v>
      </c>
      <c r="B17" s="27" t="s">
        <v>99</v>
      </c>
      <c r="C17" s="27" t="s">
        <v>101</v>
      </c>
      <c r="D17" s="31">
        <v>100000</v>
      </c>
      <c r="E17" s="29">
        <v>1706.45</v>
      </c>
      <c r="F17" s="30">
        <v>2.9613653705580698</v>
      </c>
    </row>
    <row r="18" spans="1:6" x14ac:dyDescent="0.2">
      <c r="A18" s="27" t="s">
        <v>245</v>
      </c>
      <c r="B18" s="27" t="s">
        <v>244</v>
      </c>
      <c r="C18" s="27" t="s">
        <v>125</v>
      </c>
      <c r="D18" s="31">
        <v>700000</v>
      </c>
      <c r="E18" s="29">
        <v>1479.1</v>
      </c>
      <c r="F18" s="30">
        <v>2.5668232409929601</v>
      </c>
    </row>
    <row r="19" spans="1:6" x14ac:dyDescent="0.2">
      <c r="A19" s="27" t="s">
        <v>247</v>
      </c>
      <c r="B19" s="27" t="s">
        <v>246</v>
      </c>
      <c r="C19" s="27" t="s">
        <v>209</v>
      </c>
      <c r="D19" s="31">
        <v>300000</v>
      </c>
      <c r="E19" s="29">
        <v>1396.65</v>
      </c>
      <c r="F19" s="30">
        <v>2.4237398955667802</v>
      </c>
    </row>
    <row r="20" spans="1:6" x14ac:dyDescent="0.2">
      <c r="A20" s="27" t="s">
        <v>213</v>
      </c>
      <c r="B20" s="27" t="s">
        <v>212</v>
      </c>
      <c r="C20" s="27" t="s">
        <v>133</v>
      </c>
      <c r="D20" s="31">
        <v>1200000</v>
      </c>
      <c r="E20" s="29">
        <v>1330.2</v>
      </c>
      <c r="F20" s="30">
        <v>2.3084228755113498</v>
      </c>
    </row>
    <row r="21" spans="1:6" x14ac:dyDescent="0.2">
      <c r="A21" s="27" t="s">
        <v>249</v>
      </c>
      <c r="B21" s="27" t="s">
        <v>248</v>
      </c>
      <c r="C21" s="27" t="s">
        <v>174</v>
      </c>
      <c r="D21" s="31">
        <v>50000</v>
      </c>
      <c r="E21" s="29">
        <v>1206.5999999999999</v>
      </c>
      <c r="F21" s="30">
        <v>2.0939280120222499</v>
      </c>
    </row>
    <row r="22" spans="1:6" x14ac:dyDescent="0.2">
      <c r="A22" s="27" t="s">
        <v>217</v>
      </c>
      <c r="B22" s="27" t="s">
        <v>216</v>
      </c>
      <c r="C22" s="27" t="s">
        <v>128</v>
      </c>
      <c r="D22" s="31">
        <v>800000</v>
      </c>
      <c r="E22" s="29">
        <v>1169.2</v>
      </c>
      <c r="F22" s="30">
        <v>2.0290242264681</v>
      </c>
    </row>
    <row r="23" spans="1:6" x14ac:dyDescent="0.2">
      <c r="A23" s="27" t="s">
        <v>196</v>
      </c>
      <c r="B23" s="27" t="s">
        <v>195</v>
      </c>
      <c r="C23" s="27" t="s">
        <v>101</v>
      </c>
      <c r="D23" s="31">
        <v>80000</v>
      </c>
      <c r="E23" s="29">
        <v>1158.1199999999999</v>
      </c>
      <c r="F23" s="30">
        <v>2.0097960461488502</v>
      </c>
    </row>
    <row r="24" spans="1:6" x14ac:dyDescent="0.2">
      <c r="A24" s="27" t="s">
        <v>219</v>
      </c>
      <c r="B24" s="27" t="s">
        <v>218</v>
      </c>
      <c r="C24" s="27" t="s">
        <v>104</v>
      </c>
      <c r="D24" s="31">
        <v>1400000</v>
      </c>
      <c r="E24" s="29">
        <v>1137.5</v>
      </c>
      <c r="F24" s="30">
        <v>1.9740121943272899</v>
      </c>
    </row>
    <row r="25" spans="1:6" x14ac:dyDescent="0.2">
      <c r="A25" s="27" t="s">
        <v>176</v>
      </c>
      <c r="B25" s="27" t="s">
        <v>175</v>
      </c>
      <c r="C25" s="27" t="s">
        <v>177</v>
      </c>
      <c r="D25" s="31">
        <v>700000</v>
      </c>
      <c r="E25" s="29">
        <v>1020.95</v>
      </c>
      <c r="F25" s="30">
        <v>1.77175186795468</v>
      </c>
    </row>
    <row r="26" spans="1:6" x14ac:dyDescent="0.2">
      <c r="A26" s="27" t="s">
        <v>251</v>
      </c>
      <c r="B26" s="27" t="s">
        <v>250</v>
      </c>
      <c r="C26" s="27" t="s">
        <v>252</v>
      </c>
      <c r="D26" s="31">
        <v>130000</v>
      </c>
      <c r="E26" s="29">
        <v>1010.75</v>
      </c>
      <c r="F26" s="30">
        <v>1.75405083553082</v>
      </c>
    </row>
    <row r="27" spans="1:6" x14ac:dyDescent="0.2">
      <c r="A27" s="27" t="s">
        <v>254</v>
      </c>
      <c r="B27" s="27" t="s">
        <v>253</v>
      </c>
      <c r="C27" s="27" t="s">
        <v>114</v>
      </c>
      <c r="D27" s="31">
        <v>7000</v>
      </c>
      <c r="E27" s="29">
        <v>970.14400000000001</v>
      </c>
      <c r="F27" s="30">
        <v>1.68358337253051</v>
      </c>
    </row>
    <row r="28" spans="1:6" x14ac:dyDescent="0.2">
      <c r="A28" s="27" t="s">
        <v>103</v>
      </c>
      <c r="B28" s="27" t="s">
        <v>102</v>
      </c>
      <c r="C28" s="27" t="s">
        <v>104</v>
      </c>
      <c r="D28" s="31">
        <v>60000</v>
      </c>
      <c r="E28" s="29">
        <v>948.84</v>
      </c>
      <c r="F28" s="30">
        <v>1.6466125102993401</v>
      </c>
    </row>
    <row r="29" spans="1:6" x14ac:dyDescent="0.2">
      <c r="A29" s="27" t="s">
        <v>154</v>
      </c>
      <c r="B29" s="27" t="s">
        <v>153</v>
      </c>
      <c r="C29" s="27" t="s">
        <v>133</v>
      </c>
      <c r="D29" s="31">
        <v>200000</v>
      </c>
      <c r="E29" s="29">
        <v>943.3</v>
      </c>
      <c r="F29" s="30">
        <v>1.6369984201397201</v>
      </c>
    </row>
    <row r="30" spans="1:6" x14ac:dyDescent="0.2">
      <c r="A30" s="27" t="s">
        <v>151</v>
      </c>
      <c r="B30" s="27" t="s">
        <v>150</v>
      </c>
      <c r="C30" s="27" t="s">
        <v>152</v>
      </c>
      <c r="D30" s="31">
        <v>100000</v>
      </c>
      <c r="E30" s="29">
        <v>793.3</v>
      </c>
      <c r="F30" s="30">
        <v>1.37668911978887</v>
      </c>
    </row>
    <row r="31" spans="1:6" x14ac:dyDescent="0.2">
      <c r="A31" s="27" t="s">
        <v>161</v>
      </c>
      <c r="B31" s="27" t="s">
        <v>160</v>
      </c>
      <c r="C31" s="27" t="s">
        <v>104</v>
      </c>
      <c r="D31" s="31">
        <v>500000</v>
      </c>
      <c r="E31" s="29">
        <v>758.75</v>
      </c>
      <c r="F31" s="30">
        <v>1.31673121094139</v>
      </c>
    </row>
    <row r="32" spans="1:6" x14ac:dyDescent="0.2">
      <c r="A32" s="27" t="s">
        <v>256</v>
      </c>
      <c r="B32" s="27" t="s">
        <v>255</v>
      </c>
      <c r="C32" s="27" t="s">
        <v>241</v>
      </c>
      <c r="D32" s="31">
        <v>55000</v>
      </c>
      <c r="E32" s="29">
        <v>756.69</v>
      </c>
      <c r="F32" s="30">
        <v>1.3131562965499</v>
      </c>
    </row>
    <row r="33" spans="1:9" x14ac:dyDescent="0.2">
      <c r="A33" s="27" t="s">
        <v>156</v>
      </c>
      <c r="B33" s="27" t="s">
        <v>155</v>
      </c>
      <c r="C33" s="27" t="s">
        <v>152</v>
      </c>
      <c r="D33" s="31">
        <v>20000</v>
      </c>
      <c r="E33" s="29">
        <v>745.57</v>
      </c>
      <c r="F33" s="30">
        <v>1.2938587004172299</v>
      </c>
    </row>
    <row r="34" spans="1:9" x14ac:dyDescent="0.2">
      <c r="A34" s="27" t="s">
        <v>258</v>
      </c>
      <c r="B34" s="27" t="s">
        <v>257</v>
      </c>
      <c r="C34" s="27" t="s">
        <v>125</v>
      </c>
      <c r="D34" s="31">
        <v>100000</v>
      </c>
      <c r="E34" s="29">
        <v>715.15</v>
      </c>
      <c r="F34" s="30">
        <v>1.24106797430607</v>
      </c>
    </row>
    <row r="35" spans="1:9" x14ac:dyDescent="0.2">
      <c r="A35" s="27" t="s">
        <v>144</v>
      </c>
      <c r="B35" s="27" t="s">
        <v>143</v>
      </c>
      <c r="C35" s="27" t="s">
        <v>145</v>
      </c>
      <c r="D35" s="31">
        <v>400000</v>
      </c>
      <c r="E35" s="29">
        <v>701.4</v>
      </c>
      <c r="F35" s="30">
        <v>1.2172062884405801</v>
      </c>
    </row>
    <row r="36" spans="1:9" x14ac:dyDescent="0.2">
      <c r="A36" s="27" t="s">
        <v>260</v>
      </c>
      <c r="B36" s="27" t="s">
        <v>259</v>
      </c>
      <c r="C36" s="27" t="s">
        <v>104</v>
      </c>
      <c r="D36" s="31">
        <v>400000</v>
      </c>
      <c r="E36" s="29">
        <v>662</v>
      </c>
      <c r="F36" s="30">
        <v>1.14883171221509</v>
      </c>
    </row>
    <row r="37" spans="1:9" x14ac:dyDescent="0.2">
      <c r="A37" s="27" t="s">
        <v>262</v>
      </c>
      <c r="B37" s="27" t="s">
        <v>261</v>
      </c>
      <c r="C37" s="27" t="s">
        <v>187</v>
      </c>
      <c r="D37" s="31">
        <v>500000</v>
      </c>
      <c r="E37" s="29">
        <v>589.5</v>
      </c>
      <c r="F37" s="30">
        <v>1.0230155503788501</v>
      </c>
    </row>
    <row r="38" spans="1:9" x14ac:dyDescent="0.2">
      <c r="A38" s="27" t="s">
        <v>264</v>
      </c>
      <c r="B38" s="27" t="s">
        <v>263</v>
      </c>
      <c r="C38" s="27" t="s">
        <v>138</v>
      </c>
      <c r="D38" s="31">
        <v>60000</v>
      </c>
      <c r="E38" s="29">
        <v>574.71</v>
      </c>
      <c r="F38" s="30">
        <v>0.99734905336425095</v>
      </c>
    </row>
    <row r="39" spans="1:9" x14ac:dyDescent="0.2">
      <c r="A39" s="27" t="s">
        <v>266</v>
      </c>
      <c r="B39" s="27" t="s">
        <v>265</v>
      </c>
      <c r="C39" s="27" t="s">
        <v>114</v>
      </c>
      <c r="D39" s="31">
        <v>10000</v>
      </c>
      <c r="E39" s="29">
        <v>365.26</v>
      </c>
      <c r="F39" s="30">
        <v>0.633870500307679</v>
      </c>
    </row>
    <row r="40" spans="1:9" x14ac:dyDescent="0.2">
      <c r="A40" s="27" t="s">
        <v>268</v>
      </c>
      <c r="B40" s="27" t="s">
        <v>267</v>
      </c>
      <c r="C40" s="27" t="s">
        <v>133</v>
      </c>
      <c r="D40" s="31">
        <v>14439</v>
      </c>
      <c r="E40" s="29">
        <v>87.984046500000005</v>
      </c>
      <c r="F40" s="30">
        <v>0.15268710390967799</v>
      </c>
    </row>
    <row r="41" spans="1:9" x14ac:dyDescent="0.2">
      <c r="A41" s="26" t="s">
        <v>34</v>
      </c>
      <c r="B41" s="26"/>
      <c r="C41" s="26"/>
      <c r="D41" s="32"/>
      <c r="E41" s="33">
        <f>SUM(E7:E40)</f>
        <v>51466.378046500002</v>
      </c>
      <c r="F41" s="34">
        <f>SUM(F7:F40)</f>
        <v>89.314512405845463</v>
      </c>
      <c r="G41" s="18"/>
      <c r="H41" s="18"/>
      <c r="I41" s="18"/>
    </row>
    <row r="42" spans="1:9" x14ac:dyDescent="0.2">
      <c r="A42" s="27"/>
      <c r="B42" s="27"/>
      <c r="C42" s="27"/>
      <c r="D42" s="28"/>
      <c r="E42" s="29"/>
      <c r="F42" s="30"/>
    </row>
    <row r="43" spans="1:9" x14ac:dyDescent="0.2">
      <c r="A43" s="26" t="s">
        <v>178</v>
      </c>
      <c r="B43" s="27"/>
      <c r="C43" s="27"/>
      <c r="D43" s="28"/>
      <c r="E43" s="29"/>
      <c r="F43" s="30"/>
    </row>
    <row r="44" spans="1:9" x14ac:dyDescent="0.2">
      <c r="A44" s="27" t="s">
        <v>180</v>
      </c>
      <c r="B44" s="27" t="s">
        <v>179</v>
      </c>
      <c r="C44" s="27" t="s">
        <v>368</v>
      </c>
      <c r="D44" s="31">
        <v>600000</v>
      </c>
      <c r="E44" s="29">
        <v>2145.6</v>
      </c>
      <c r="F44" s="30">
        <v>3.7234642322185798</v>
      </c>
    </row>
    <row r="45" spans="1:9" x14ac:dyDescent="0.2">
      <c r="A45" s="26" t="s">
        <v>34</v>
      </c>
      <c r="B45" s="26"/>
      <c r="C45" s="26"/>
      <c r="D45" s="32"/>
      <c r="E45" s="33">
        <f>SUM(E43:E44)</f>
        <v>2145.6</v>
      </c>
      <c r="F45" s="34">
        <f>SUM(F43:F44)</f>
        <v>3.7234642322185798</v>
      </c>
      <c r="G45" s="18"/>
      <c r="H45" s="18"/>
      <c r="I45" s="18"/>
    </row>
    <row r="46" spans="1:9" x14ac:dyDescent="0.2">
      <c r="A46" s="27"/>
      <c r="B46" s="27"/>
      <c r="C46" s="27"/>
      <c r="D46" s="28"/>
      <c r="E46" s="29"/>
      <c r="F46" s="30"/>
    </row>
    <row r="47" spans="1:9" x14ac:dyDescent="0.2">
      <c r="A47" s="26" t="s">
        <v>36</v>
      </c>
      <c r="B47" s="26"/>
      <c r="C47" s="26"/>
      <c r="D47" s="32"/>
      <c r="E47" s="33">
        <f>E41+E45</f>
        <v>53611.9780465</v>
      </c>
      <c r="F47" s="34">
        <f>F41+F45</f>
        <v>93.037976638064038</v>
      </c>
      <c r="G47" s="18"/>
      <c r="H47" s="18"/>
      <c r="I47" s="18"/>
    </row>
    <row r="48" spans="1:9" x14ac:dyDescent="0.2">
      <c r="A48" s="26"/>
      <c r="B48" s="26"/>
      <c r="C48" s="26"/>
      <c r="D48" s="32"/>
      <c r="E48" s="33"/>
      <c r="F48" s="34"/>
      <c r="G48" s="18"/>
      <c r="H48" s="18"/>
      <c r="I48" s="18"/>
    </row>
    <row r="49" spans="1:9" x14ac:dyDescent="0.2">
      <c r="A49" s="26" t="s">
        <v>38</v>
      </c>
      <c r="B49" s="26"/>
      <c r="C49" s="26"/>
      <c r="D49" s="32"/>
      <c r="E49" s="33">
        <f>E51-(E41+E45)</f>
        <v>4011.7794596000022</v>
      </c>
      <c r="F49" s="34">
        <f>F51-(F41+F45)</f>
        <v>6.9620233619359624</v>
      </c>
      <c r="G49" s="18"/>
      <c r="H49" s="18"/>
      <c r="I49" s="18"/>
    </row>
    <row r="50" spans="1:9" x14ac:dyDescent="0.2">
      <c r="A50" s="26"/>
      <c r="B50" s="26"/>
      <c r="C50" s="26"/>
      <c r="D50" s="32"/>
      <c r="E50" s="33"/>
      <c r="F50" s="34"/>
      <c r="G50" s="18"/>
      <c r="H50" s="18"/>
      <c r="I50" s="18"/>
    </row>
    <row r="51" spans="1:9" x14ac:dyDescent="0.2">
      <c r="A51" s="35" t="s">
        <v>37</v>
      </c>
      <c r="B51" s="35"/>
      <c r="C51" s="35"/>
      <c r="D51" s="36"/>
      <c r="E51" s="37">
        <v>57623.757506100003</v>
      </c>
      <c r="F51" s="38">
        <v>100</v>
      </c>
      <c r="G51" s="18"/>
      <c r="H51" s="18"/>
      <c r="I51" s="18"/>
    </row>
    <row r="54" spans="1:9" x14ac:dyDescent="0.2">
      <c r="A54" s="18" t="s">
        <v>40</v>
      </c>
    </row>
    <row r="55" spans="1:9" x14ac:dyDescent="0.2">
      <c r="A55" s="18" t="s">
        <v>41</v>
      </c>
    </row>
    <row r="56" spans="1:9" x14ac:dyDescent="0.2">
      <c r="A56" s="18" t="s">
        <v>42</v>
      </c>
      <c r="B56" s="18"/>
      <c r="C56" s="39" t="s">
        <v>44</v>
      </c>
      <c r="D56" s="19" t="s">
        <v>43</v>
      </c>
    </row>
    <row r="57" spans="1:9" x14ac:dyDescent="0.2">
      <c r="A57" s="9" t="s">
        <v>71</v>
      </c>
      <c r="C57" s="40">
        <v>319.4631</v>
      </c>
      <c r="D57" s="40">
        <v>372.65109999999999</v>
      </c>
    </row>
    <row r="58" spans="1:9" x14ac:dyDescent="0.2">
      <c r="A58" s="9" t="s">
        <v>77</v>
      </c>
      <c r="C58" s="40">
        <v>64.079899999999995</v>
      </c>
      <c r="D58" s="40">
        <v>74.748800000000003</v>
      </c>
    </row>
    <row r="59" spans="1:9" x14ac:dyDescent="0.2">
      <c r="A59" s="9" t="s">
        <v>74</v>
      </c>
      <c r="C59" s="40">
        <v>339.56540000000001</v>
      </c>
      <c r="D59" s="40">
        <v>397.82580000000002</v>
      </c>
    </row>
    <row r="60" spans="1:9" x14ac:dyDescent="0.2">
      <c r="A60" s="9" t="s">
        <v>78</v>
      </c>
      <c r="C60" s="40">
        <v>69.826800000000006</v>
      </c>
      <c r="D60" s="40">
        <v>81.794700000000006</v>
      </c>
    </row>
    <row r="62" spans="1:9" x14ac:dyDescent="0.2">
      <c r="A62" s="9" t="s">
        <v>45</v>
      </c>
    </row>
    <row r="64" spans="1:9" x14ac:dyDescent="0.2">
      <c r="A64" s="18" t="s">
        <v>46</v>
      </c>
      <c r="D64" s="41" t="s">
        <v>47</v>
      </c>
    </row>
    <row r="66" spans="1:4" x14ac:dyDescent="0.2">
      <c r="A66" s="18" t="s">
        <v>220</v>
      </c>
      <c r="D66" s="45">
        <v>0.16420000000000001</v>
      </c>
    </row>
    <row r="68" spans="1:4" x14ac:dyDescent="0.2">
      <c r="A68" s="18" t="s">
        <v>97</v>
      </c>
    </row>
    <row r="69" spans="1:4" x14ac:dyDescent="0.2">
      <c r="A69" s="46" t="s">
        <v>51</v>
      </c>
    </row>
  </sheetData>
  <mergeCells count="1">
    <mergeCell ref="A1:F1"/>
  </mergeCells>
  <conditionalFormatting sqref="F2:F3 F5:F65536">
    <cfRule type="cellIs" dxfId="25" priority="1" stopIfTrue="1" operator="between">
      <formula>0.009</formula>
      <formula>-0.009</formula>
    </cfRule>
  </conditionalFormatting>
  <hyperlinks>
    <hyperlink ref="A69" r:id="rId1" tooltip="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85"/>
  <sheetViews>
    <sheetView workbookViewId="0">
      <selection sqref="A1:F1"/>
    </sheetView>
  </sheetViews>
  <sheetFormatPr defaultColWidth="9.109375" defaultRowHeight="10.199999999999999" x14ac:dyDescent="0.2"/>
  <cols>
    <col min="1" max="1" width="40.5546875" style="9" bestFit="1" customWidth="1"/>
    <col min="2" max="2" width="26.5546875" style="9" bestFit="1" customWidth="1"/>
    <col min="3" max="3" width="24.6640625"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69" t="s">
        <v>11</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100</v>
      </c>
      <c r="B7" s="27" t="s">
        <v>99</v>
      </c>
      <c r="C7" s="27" t="s">
        <v>101</v>
      </c>
      <c r="D7" s="31">
        <v>775444</v>
      </c>
      <c r="E7" s="29">
        <v>13232.56414</v>
      </c>
      <c r="F7" s="30">
        <v>11.324131388251899</v>
      </c>
    </row>
    <row r="8" spans="1:6" x14ac:dyDescent="0.2">
      <c r="A8" s="27" t="s">
        <v>144</v>
      </c>
      <c r="B8" s="27" t="s">
        <v>143</v>
      </c>
      <c r="C8" s="27" t="s">
        <v>145</v>
      </c>
      <c r="D8" s="31">
        <v>5345405</v>
      </c>
      <c r="E8" s="29">
        <v>9373.167668</v>
      </c>
      <c r="F8" s="30">
        <v>8.0213465110433795</v>
      </c>
    </row>
    <row r="9" spans="1:6" x14ac:dyDescent="0.2">
      <c r="A9" s="27" t="s">
        <v>224</v>
      </c>
      <c r="B9" s="27" t="s">
        <v>223</v>
      </c>
      <c r="C9" s="27" t="s">
        <v>145</v>
      </c>
      <c r="D9" s="31">
        <v>14497327</v>
      </c>
      <c r="E9" s="29">
        <v>3907.0296269999999</v>
      </c>
      <c r="F9" s="30">
        <v>3.3435482621390702</v>
      </c>
    </row>
    <row r="10" spans="1:6" x14ac:dyDescent="0.2">
      <c r="A10" s="27" t="s">
        <v>147</v>
      </c>
      <c r="B10" s="27" t="s">
        <v>146</v>
      </c>
      <c r="C10" s="27" t="s">
        <v>145</v>
      </c>
      <c r="D10" s="31">
        <v>3291938</v>
      </c>
      <c r="E10" s="29">
        <v>3817.0021109999998</v>
      </c>
      <c r="F10" s="30">
        <v>3.2665047345992999</v>
      </c>
    </row>
    <row r="11" spans="1:6" x14ac:dyDescent="0.2">
      <c r="A11" s="27" t="s">
        <v>142</v>
      </c>
      <c r="B11" s="27" t="s">
        <v>141</v>
      </c>
      <c r="C11" s="27" t="s">
        <v>125</v>
      </c>
      <c r="D11" s="31">
        <v>138206</v>
      </c>
      <c r="E11" s="29">
        <v>3764.8696460000001</v>
      </c>
      <c r="F11" s="30">
        <v>3.22189094115704</v>
      </c>
    </row>
    <row r="12" spans="1:6" x14ac:dyDescent="0.2">
      <c r="A12" s="27" t="s">
        <v>271</v>
      </c>
      <c r="B12" s="27" t="s">
        <v>270</v>
      </c>
      <c r="C12" s="27" t="s">
        <v>209</v>
      </c>
      <c r="D12" s="31">
        <v>2098785</v>
      </c>
      <c r="E12" s="29">
        <v>3524.909408</v>
      </c>
      <c r="F12" s="30">
        <v>3.0165383553453302</v>
      </c>
    </row>
    <row r="13" spans="1:6" x14ac:dyDescent="0.2">
      <c r="A13" s="27" t="s">
        <v>130</v>
      </c>
      <c r="B13" s="27" t="s">
        <v>129</v>
      </c>
      <c r="C13" s="27" t="s">
        <v>101</v>
      </c>
      <c r="D13" s="31">
        <v>81194</v>
      </c>
      <c r="E13" s="29">
        <v>3074.3702130000001</v>
      </c>
      <c r="F13" s="30">
        <v>2.6309770245436299</v>
      </c>
    </row>
    <row r="14" spans="1:6" x14ac:dyDescent="0.2">
      <c r="A14" s="27" t="s">
        <v>194</v>
      </c>
      <c r="B14" s="27" t="s">
        <v>193</v>
      </c>
      <c r="C14" s="27" t="s">
        <v>145</v>
      </c>
      <c r="D14" s="31">
        <v>2347866</v>
      </c>
      <c r="E14" s="29">
        <v>3029.921073</v>
      </c>
      <c r="F14" s="30">
        <v>2.5929384481853899</v>
      </c>
    </row>
    <row r="15" spans="1:6" x14ac:dyDescent="0.2">
      <c r="A15" s="27" t="s">
        <v>273</v>
      </c>
      <c r="B15" s="27" t="s">
        <v>272</v>
      </c>
      <c r="C15" s="27" t="s">
        <v>117</v>
      </c>
      <c r="D15" s="31">
        <v>3209748</v>
      </c>
      <c r="E15" s="29">
        <v>2912.8463099999999</v>
      </c>
      <c r="F15" s="30">
        <v>2.4927484937340898</v>
      </c>
    </row>
    <row r="16" spans="1:6" x14ac:dyDescent="0.2">
      <c r="A16" s="27" t="s">
        <v>275</v>
      </c>
      <c r="B16" s="27" t="s">
        <v>274</v>
      </c>
      <c r="C16" s="27" t="s">
        <v>276</v>
      </c>
      <c r="D16" s="31">
        <v>136944</v>
      </c>
      <c r="E16" s="29">
        <v>2522.6454239999998</v>
      </c>
      <c r="F16" s="30">
        <v>2.1588233334910099</v>
      </c>
    </row>
    <row r="17" spans="1:6" x14ac:dyDescent="0.2">
      <c r="A17" s="27" t="s">
        <v>135</v>
      </c>
      <c r="B17" s="27" t="s">
        <v>134</v>
      </c>
      <c r="C17" s="27" t="s">
        <v>128</v>
      </c>
      <c r="D17" s="31">
        <v>624255</v>
      </c>
      <c r="E17" s="29">
        <v>2188.9501580000001</v>
      </c>
      <c r="F17" s="30">
        <v>1.8732544145844401</v>
      </c>
    </row>
    <row r="18" spans="1:6" x14ac:dyDescent="0.2">
      <c r="A18" s="27" t="s">
        <v>278</v>
      </c>
      <c r="B18" s="27" t="s">
        <v>277</v>
      </c>
      <c r="C18" s="27" t="s">
        <v>279</v>
      </c>
      <c r="D18" s="31">
        <v>1260704</v>
      </c>
      <c r="E18" s="29">
        <v>1944.6359199999999</v>
      </c>
      <c r="F18" s="30">
        <v>1.6641757732975599</v>
      </c>
    </row>
    <row r="19" spans="1:6" x14ac:dyDescent="0.2">
      <c r="A19" s="27" t="s">
        <v>127</v>
      </c>
      <c r="B19" s="27" t="s">
        <v>126</v>
      </c>
      <c r="C19" s="27" t="s">
        <v>128</v>
      </c>
      <c r="D19" s="31">
        <v>803388</v>
      </c>
      <c r="E19" s="29">
        <v>1828.511088</v>
      </c>
      <c r="F19" s="30">
        <v>1.5647987484750201</v>
      </c>
    </row>
    <row r="20" spans="1:6" x14ac:dyDescent="0.2">
      <c r="A20" s="27" t="s">
        <v>176</v>
      </c>
      <c r="B20" s="27" t="s">
        <v>175</v>
      </c>
      <c r="C20" s="27" t="s">
        <v>177</v>
      </c>
      <c r="D20" s="31">
        <v>1247000</v>
      </c>
      <c r="E20" s="29">
        <v>1818.7494999999999</v>
      </c>
      <c r="F20" s="30">
        <v>1.55644500056188</v>
      </c>
    </row>
    <row r="21" spans="1:6" x14ac:dyDescent="0.2">
      <c r="A21" s="27" t="s">
        <v>196</v>
      </c>
      <c r="B21" s="27" t="s">
        <v>195</v>
      </c>
      <c r="C21" s="27" t="s">
        <v>101</v>
      </c>
      <c r="D21" s="31">
        <v>121952</v>
      </c>
      <c r="E21" s="29">
        <v>1765.438128</v>
      </c>
      <c r="F21" s="30">
        <v>1.5108223249693999</v>
      </c>
    </row>
    <row r="22" spans="1:6" x14ac:dyDescent="0.2">
      <c r="A22" s="27" t="s">
        <v>281</v>
      </c>
      <c r="B22" s="27" t="s">
        <v>280</v>
      </c>
      <c r="C22" s="27" t="s">
        <v>125</v>
      </c>
      <c r="D22" s="31">
        <v>201912</v>
      </c>
      <c r="E22" s="29">
        <v>1746.437844</v>
      </c>
      <c r="F22" s="30">
        <v>1.4945623083805</v>
      </c>
    </row>
    <row r="23" spans="1:6" x14ac:dyDescent="0.2">
      <c r="A23" s="27" t="s">
        <v>266</v>
      </c>
      <c r="B23" s="27" t="s">
        <v>265</v>
      </c>
      <c r="C23" s="27" t="s">
        <v>114</v>
      </c>
      <c r="D23" s="31">
        <v>46395</v>
      </c>
      <c r="E23" s="29">
        <v>1694.6237699999999</v>
      </c>
      <c r="F23" s="30">
        <v>1.4502209868097999</v>
      </c>
    </row>
    <row r="24" spans="1:6" x14ac:dyDescent="0.2">
      <c r="A24" s="27" t="s">
        <v>240</v>
      </c>
      <c r="B24" s="27" t="s">
        <v>239</v>
      </c>
      <c r="C24" s="27" t="s">
        <v>241</v>
      </c>
      <c r="D24" s="31">
        <v>821499</v>
      </c>
      <c r="E24" s="29">
        <v>1533.327884</v>
      </c>
      <c r="F24" s="30">
        <v>1.3121875878310501</v>
      </c>
    </row>
    <row r="25" spans="1:6" x14ac:dyDescent="0.2">
      <c r="A25" s="27" t="s">
        <v>283</v>
      </c>
      <c r="B25" s="27" t="s">
        <v>282</v>
      </c>
      <c r="C25" s="27" t="s">
        <v>284</v>
      </c>
      <c r="D25" s="31">
        <v>154134</v>
      </c>
      <c r="E25" s="29">
        <v>1301.8928309999999</v>
      </c>
      <c r="F25" s="30">
        <v>1.1141306639959501</v>
      </c>
    </row>
    <row r="26" spans="1:6" x14ac:dyDescent="0.2">
      <c r="A26" s="27" t="s">
        <v>151</v>
      </c>
      <c r="B26" s="27" t="s">
        <v>150</v>
      </c>
      <c r="C26" s="27" t="s">
        <v>152</v>
      </c>
      <c r="D26" s="31">
        <v>155566</v>
      </c>
      <c r="E26" s="29">
        <v>1234.105078</v>
      </c>
      <c r="F26" s="30">
        <v>1.0561194264636999</v>
      </c>
    </row>
    <row r="27" spans="1:6" x14ac:dyDescent="0.2">
      <c r="A27" s="27" t="s">
        <v>219</v>
      </c>
      <c r="B27" s="27" t="s">
        <v>218</v>
      </c>
      <c r="C27" s="27" t="s">
        <v>104</v>
      </c>
      <c r="D27" s="31">
        <v>1505600</v>
      </c>
      <c r="E27" s="29">
        <v>1223.3</v>
      </c>
      <c r="F27" s="30">
        <v>1.0468726832295201</v>
      </c>
    </row>
    <row r="28" spans="1:6" x14ac:dyDescent="0.2">
      <c r="A28" s="27" t="s">
        <v>286</v>
      </c>
      <c r="B28" s="27" t="s">
        <v>285</v>
      </c>
      <c r="C28" s="27" t="s">
        <v>101</v>
      </c>
      <c r="D28" s="31">
        <v>119545</v>
      </c>
      <c r="E28" s="29">
        <v>1168.4926029999999</v>
      </c>
      <c r="F28" s="30">
        <v>0.99996974302007602</v>
      </c>
    </row>
    <row r="29" spans="1:6" x14ac:dyDescent="0.2">
      <c r="A29" s="27" t="s">
        <v>288</v>
      </c>
      <c r="B29" s="27" t="s">
        <v>287</v>
      </c>
      <c r="C29" s="27" t="s">
        <v>201</v>
      </c>
      <c r="D29" s="31">
        <v>63656</v>
      </c>
      <c r="E29" s="29">
        <v>1128.589052</v>
      </c>
      <c r="F29" s="30">
        <v>0.96582117970301895</v>
      </c>
    </row>
    <row r="30" spans="1:6" x14ac:dyDescent="0.2">
      <c r="A30" s="27" t="s">
        <v>200</v>
      </c>
      <c r="B30" s="27" t="s">
        <v>199</v>
      </c>
      <c r="C30" s="27" t="s">
        <v>201</v>
      </c>
      <c r="D30" s="31">
        <v>439349</v>
      </c>
      <c r="E30" s="29">
        <v>1101.4479429999999</v>
      </c>
      <c r="F30" s="30">
        <v>0.94259442779861702</v>
      </c>
    </row>
    <row r="31" spans="1:6" x14ac:dyDescent="0.2">
      <c r="A31" s="27" t="s">
        <v>290</v>
      </c>
      <c r="B31" s="27" t="s">
        <v>289</v>
      </c>
      <c r="C31" s="27" t="s">
        <v>177</v>
      </c>
      <c r="D31" s="31">
        <v>709254</v>
      </c>
      <c r="E31" s="29">
        <v>1092.605787</v>
      </c>
      <c r="F31" s="30">
        <v>0.935027509154577</v>
      </c>
    </row>
    <row r="32" spans="1:6" x14ac:dyDescent="0.2">
      <c r="A32" s="27" t="s">
        <v>124</v>
      </c>
      <c r="B32" s="27" t="s">
        <v>123</v>
      </c>
      <c r="C32" s="27" t="s">
        <v>125</v>
      </c>
      <c r="D32" s="31">
        <v>64045</v>
      </c>
      <c r="E32" s="29">
        <v>1084.4739850000001</v>
      </c>
      <c r="F32" s="30">
        <v>0.92806849551995596</v>
      </c>
    </row>
    <row r="33" spans="1:9" x14ac:dyDescent="0.2">
      <c r="A33" s="27" t="s">
        <v>213</v>
      </c>
      <c r="B33" s="27" t="s">
        <v>212</v>
      </c>
      <c r="C33" s="27" t="s">
        <v>133</v>
      </c>
      <c r="D33" s="31">
        <v>972460</v>
      </c>
      <c r="E33" s="29">
        <v>1077.97191</v>
      </c>
      <c r="F33" s="30">
        <v>0.92250416567297699</v>
      </c>
    </row>
    <row r="34" spans="1:9" x14ac:dyDescent="0.2">
      <c r="A34" s="27" t="s">
        <v>156</v>
      </c>
      <c r="B34" s="27" t="s">
        <v>155</v>
      </c>
      <c r="C34" s="27" t="s">
        <v>152</v>
      </c>
      <c r="D34" s="31">
        <v>28265</v>
      </c>
      <c r="E34" s="29">
        <v>1053.6768030000001</v>
      </c>
      <c r="F34" s="30">
        <v>0.90171295840212096</v>
      </c>
    </row>
    <row r="35" spans="1:9" x14ac:dyDescent="0.2">
      <c r="A35" s="27" t="s">
        <v>173</v>
      </c>
      <c r="B35" s="27" t="s">
        <v>172</v>
      </c>
      <c r="C35" s="27" t="s">
        <v>174</v>
      </c>
      <c r="D35" s="31">
        <v>64691</v>
      </c>
      <c r="E35" s="29">
        <v>970.62376400000005</v>
      </c>
      <c r="F35" s="30">
        <v>0.83063803173793704</v>
      </c>
    </row>
    <row r="36" spans="1:9" x14ac:dyDescent="0.2">
      <c r="A36" s="27" t="s">
        <v>137</v>
      </c>
      <c r="B36" s="27" t="s">
        <v>136</v>
      </c>
      <c r="C36" s="27" t="s">
        <v>138</v>
      </c>
      <c r="D36" s="31">
        <v>20000</v>
      </c>
      <c r="E36" s="29">
        <v>940.81</v>
      </c>
      <c r="F36" s="30">
        <v>0.80512408167184402</v>
      </c>
    </row>
    <row r="37" spans="1:9" x14ac:dyDescent="0.2">
      <c r="A37" s="27" t="s">
        <v>217</v>
      </c>
      <c r="B37" s="27" t="s">
        <v>216</v>
      </c>
      <c r="C37" s="27" t="s">
        <v>128</v>
      </c>
      <c r="D37" s="31">
        <v>621258</v>
      </c>
      <c r="E37" s="29">
        <v>907.96856700000001</v>
      </c>
      <c r="F37" s="30">
        <v>0.777019120431092</v>
      </c>
    </row>
    <row r="38" spans="1:9" x14ac:dyDescent="0.2">
      <c r="A38" s="27" t="s">
        <v>292</v>
      </c>
      <c r="B38" s="27" t="s">
        <v>291</v>
      </c>
      <c r="C38" s="27" t="s">
        <v>293</v>
      </c>
      <c r="D38" s="31">
        <v>753071</v>
      </c>
      <c r="E38" s="29">
        <v>907.82709050000005</v>
      </c>
      <c r="F38" s="30">
        <v>0.77689804801780904</v>
      </c>
    </row>
    <row r="39" spans="1:9" x14ac:dyDescent="0.2">
      <c r="A39" s="27" t="s">
        <v>295</v>
      </c>
      <c r="B39" s="27" t="s">
        <v>294</v>
      </c>
      <c r="C39" s="27" t="s">
        <v>152</v>
      </c>
      <c r="D39" s="31">
        <v>739545</v>
      </c>
      <c r="E39" s="29">
        <v>907.79148750000002</v>
      </c>
      <c r="F39" s="30">
        <v>0.77686757976951204</v>
      </c>
    </row>
    <row r="40" spans="1:9" x14ac:dyDescent="0.2">
      <c r="A40" s="27" t="s">
        <v>132</v>
      </c>
      <c r="B40" s="27" t="s">
        <v>131</v>
      </c>
      <c r="C40" s="27" t="s">
        <v>133</v>
      </c>
      <c r="D40" s="31">
        <v>339633</v>
      </c>
      <c r="E40" s="29">
        <v>905.46157800000003</v>
      </c>
      <c r="F40" s="30">
        <v>0.77487369551385399</v>
      </c>
    </row>
    <row r="41" spans="1:9" x14ac:dyDescent="0.2">
      <c r="A41" s="27" t="s">
        <v>243</v>
      </c>
      <c r="B41" s="27" t="s">
        <v>242</v>
      </c>
      <c r="C41" s="27" t="s">
        <v>152</v>
      </c>
      <c r="D41" s="31">
        <v>658906</v>
      </c>
      <c r="E41" s="29">
        <v>899.73614299999997</v>
      </c>
      <c r="F41" s="30">
        <v>0.76997399674731504</v>
      </c>
    </row>
    <row r="42" spans="1:9" x14ac:dyDescent="0.2">
      <c r="A42" s="27" t="s">
        <v>297</v>
      </c>
      <c r="B42" s="27" t="s">
        <v>296</v>
      </c>
      <c r="C42" s="27" t="s">
        <v>145</v>
      </c>
      <c r="D42" s="31">
        <v>100000</v>
      </c>
      <c r="E42" s="29">
        <v>803.85</v>
      </c>
      <c r="F42" s="30">
        <v>0.68791678771687403</v>
      </c>
    </row>
    <row r="43" spans="1:9" x14ac:dyDescent="0.2">
      <c r="A43" s="26" t="s">
        <v>34</v>
      </c>
      <c r="B43" s="26"/>
      <c r="C43" s="26"/>
      <c r="D43" s="32"/>
      <c r="E43" s="33">
        <f>SUM(E7:E42)</f>
        <v>82390.624534000002</v>
      </c>
      <c r="F43" s="34">
        <f>SUM(F7:F42)</f>
        <v>70.508047231966543</v>
      </c>
      <c r="G43" s="18"/>
      <c r="H43" s="18"/>
      <c r="I43" s="18"/>
    </row>
    <row r="44" spans="1:9" x14ac:dyDescent="0.2">
      <c r="A44" s="27"/>
      <c r="B44" s="27"/>
      <c r="C44" s="27"/>
      <c r="D44" s="28"/>
      <c r="E44" s="29"/>
      <c r="F44" s="30"/>
    </row>
    <row r="45" spans="1:9" x14ac:dyDescent="0.2">
      <c r="A45" s="26" t="s">
        <v>178</v>
      </c>
      <c r="B45" s="27"/>
      <c r="C45" s="27"/>
      <c r="D45" s="28"/>
      <c r="E45" s="29"/>
      <c r="F45" s="30"/>
    </row>
    <row r="46" spans="1:9" x14ac:dyDescent="0.2">
      <c r="A46" s="27" t="s">
        <v>180</v>
      </c>
      <c r="B46" s="27" t="s">
        <v>179</v>
      </c>
      <c r="C46" s="27" t="s">
        <v>368</v>
      </c>
      <c r="D46" s="31">
        <v>1483400</v>
      </c>
      <c r="E46" s="29">
        <v>5304.6383999999998</v>
      </c>
      <c r="F46" s="30">
        <v>4.5395904809697996</v>
      </c>
    </row>
    <row r="47" spans="1:9" x14ac:dyDescent="0.2">
      <c r="A47" s="27" t="s">
        <v>234</v>
      </c>
      <c r="B47" s="27" t="s">
        <v>233</v>
      </c>
      <c r="C47" s="27" t="s">
        <v>368</v>
      </c>
      <c r="D47" s="31">
        <v>1671600</v>
      </c>
      <c r="E47" s="29">
        <v>4384.7739600000004</v>
      </c>
      <c r="F47" s="30">
        <v>3.7523911394262499</v>
      </c>
    </row>
    <row r="48" spans="1:9" x14ac:dyDescent="0.2">
      <c r="A48" s="26" t="s">
        <v>34</v>
      </c>
      <c r="B48" s="26"/>
      <c r="C48" s="26"/>
      <c r="D48" s="32"/>
      <c r="E48" s="33">
        <f>SUM(E45:E47)</f>
        <v>9689.4123600000003</v>
      </c>
      <c r="F48" s="34">
        <f>SUM(F45:F47)</f>
        <v>8.291981620396049</v>
      </c>
      <c r="G48" s="18"/>
      <c r="H48" s="18"/>
      <c r="I48" s="18"/>
    </row>
    <row r="49" spans="1:9" x14ac:dyDescent="0.2">
      <c r="A49" s="27"/>
      <c r="B49" s="27"/>
      <c r="C49" s="27"/>
      <c r="D49" s="28"/>
      <c r="E49" s="29"/>
      <c r="F49" s="30"/>
    </row>
    <row r="50" spans="1:9" x14ac:dyDescent="0.2">
      <c r="A50" s="26" t="s">
        <v>298</v>
      </c>
      <c r="B50" s="27"/>
      <c r="C50" s="27"/>
      <c r="D50" s="28"/>
      <c r="E50" s="29"/>
      <c r="F50" s="30"/>
    </row>
    <row r="51" spans="1:9" x14ac:dyDescent="0.2">
      <c r="A51" s="27" t="s">
        <v>300</v>
      </c>
      <c r="B51" s="27" t="s">
        <v>299</v>
      </c>
      <c r="C51" s="27" t="s">
        <v>125</v>
      </c>
      <c r="D51" s="31">
        <v>86900</v>
      </c>
      <c r="E51" s="29">
        <v>3539.7846</v>
      </c>
      <c r="F51" s="30">
        <v>3.0292682107876598</v>
      </c>
    </row>
    <row r="52" spans="1:9" x14ac:dyDescent="0.2">
      <c r="A52" s="27" t="s">
        <v>302</v>
      </c>
      <c r="B52" s="27" t="s">
        <v>301</v>
      </c>
      <c r="C52" s="27" t="s">
        <v>120</v>
      </c>
      <c r="D52" s="31">
        <v>2297307</v>
      </c>
      <c r="E52" s="29">
        <v>2857.6257810000002</v>
      </c>
      <c r="F52" s="30">
        <v>2.4454920044317299</v>
      </c>
    </row>
    <row r="53" spans="1:9" x14ac:dyDescent="0.2">
      <c r="A53" s="27" t="s">
        <v>304</v>
      </c>
      <c r="B53" s="27" t="s">
        <v>303</v>
      </c>
      <c r="C53" s="27" t="s">
        <v>305</v>
      </c>
      <c r="D53" s="31">
        <v>1575983</v>
      </c>
      <c r="E53" s="29">
        <v>2779.4071669999998</v>
      </c>
      <c r="F53" s="30">
        <v>2.37855427017465</v>
      </c>
    </row>
    <row r="54" spans="1:9" x14ac:dyDescent="0.2">
      <c r="A54" s="27" t="s">
        <v>307</v>
      </c>
      <c r="B54" s="27" t="s">
        <v>306</v>
      </c>
      <c r="C54" s="27" t="s">
        <v>209</v>
      </c>
      <c r="D54" s="31">
        <v>187038</v>
      </c>
      <c r="E54" s="29">
        <v>2217.836816</v>
      </c>
      <c r="F54" s="30">
        <v>1.89797496814448</v>
      </c>
    </row>
    <row r="55" spans="1:9" x14ac:dyDescent="0.2">
      <c r="A55" s="27" t="s">
        <v>309</v>
      </c>
      <c r="B55" s="27" t="s">
        <v>308</v>
      </c>
      <c r="C55" s="27" t="s">
        <v>310</v>
      </c>
      <c r="D55" s="31">
        <v>2562198</v>
      </c>
      <c r="E55" s="29">
        <v>2041.9319129999999</v>
      </c>
      <c r="F55" s="30">
        <v>1.7474395003141501</v>
      </c>
    </row>
    <row r="56" spans="1:9" x14ac:dyDescent="0.2">
      <c r="A56" s="27" t="s">
        <v>312</v>
      </c>
      <c r="B56" s="27" t="s">
        <v>311</v>
      </c>
      <c r="C56" s="27" t="s">
        <v>101</v>
      </c>
      <c r="D56" s="31">
        <v>633055</v>
      </c>
      <c r="E56" s="29">
        <v>865.84820830000001</v>
      </c>
      <c r="F56" s="30">
        <v>0.740973462840264</v>
      </c>
    </row>
    <row r="57" spans="1:9" x14ac:dyDescent="0.2">
      <c r="A57" s="27" t="s">
        <v>314</v>
      </c>
      <c r="B57" s="27" t="s">
        <v>313</v>
      </c>
      <c r="C57" s="27" t="s">
        <v>315</v>
      </c>
      <c r="D57" s="31">
        <v>500000</v>
      </c>
      <c r="E57" s="29">
        <v>686.63627810000003</v>
      </c>
      <c r="F57" s="30">
        <v>0.58760791535786805</v>
      </c>
    </row>
    <row r="58" spans="1:9" x14ac:dyDescent="0.2">
      <c r="A58" s="26" t="s">
        <v>34</v>
      </c>
      <c r="B58" s="26"/>
      <c r="C58" s="26"/>
      <c r="D58" s="32"/>
      <c r="E58" s="33">
        <f>SUM(E50:E57)</f>
        <v>14989.070763399999</v>
      </c>
      <c r="F58" s="34">
        <f>SUM(F50:F57)</f>
        <v>12.827310332050802</v>
      </c>
      <c r="G58" s="18"/>
      <c r="H58" s="18"/>
      <c r="I58" s="18"/>
    </row>
    <row r="59" spans="1:9" x14ac:dyDescent="0.2">
      <c r="A59" s="27"/>
      <c r="B59" s="27"/>
      <c r="C59" s="27"/>
      <c r="D59" s="28"/>
      <c r="E59" s="29"/>
      <c r="F59" s="30"/>
    </row>
    <row r="60" spans="1:9" x14ac:dyDescent="0.2">
      <c r="A60" s="26" t="s">
        <v>36</v>
      </c>
      <c r="B60" s="26"/>
      <c r="C60" s="26"/>
      <c r="D60" s="32"/>
      <c r="E60" s="33">
        <f>E43+E48+E58</f>
        <v>107069.1076574</v>
      </c>
      <c r="F60" s="34">
        <f>F43+F48+F58</f>
        <v>91.627339184413387</v>
      </c>
      <c r="G60" s="18"/>
      <c r="H60" s="18"/>
      <c r="I60" s="18"/>
    </row>
    <row r="61" spans="1:9" x14ac:dyDescent="0.2">
      <c r="A61" s="26"/>
      <c r="B61" s="26"/>
      <c r="C61" s="26"/>
      <c r="D61" s="32"/>
      <c r="E61" s="33"/>
      <c r="F61" s="34"/>
      <c r="G61" s="18"/>
      <c r="H61" s="18"/>
      <c r="I61" s="18"/>
    </row>
    <row r="62" spans="1:9" x14ac:dyDescent="0.2">
      <c r="A62" s="26" t="s">
        <v>38</v>
      </c>
      <c r="B62" s="26"/>
      <c r="C62" s="26"/>
      <c r="D62" s="32"/>
      <c r="E62" s="33">
        <f>E64-(E43+E48+E58)</f>
        <v>9783.6882553000032</v>
      </c>
      <c r="F62" s="34">
        <f>F64-(F43+F48+F58)</f>
        <v>8.3726608155866131</v>
      </c>
      <c r="G62" s="18"/>
      <c r="H62" s="18"/>
      <c r="I62" s="18"/>
    </row>
    <row r="63" spans="1:9" x14ac:dyDescent="0.2">
      <c r="A63" s="26"/>
      <c r="B63" s="26"/>
      <c r="C63" s="26"/>
      <c r="D63" s="32"/>
      <c r="E63" s="33"/>
      <c r="F63" s="34"/>
      <c r="G63" s="18"/>
      <c r="H63" s="18"/>
      <c r="I63" s="18"/>
    </row>
    <row r="64" spans="1:9" x14ac:dyDescent="0.2">
      <c r="A64" s="35" t="s">
        <v>37</v>
      </c>
      <c r="B64" s="35"/>
      <c r="C64" s="35"/>
      <c r="D64" s="36"/>
      <c r="E64" s="37">
        <v>116852.79591270001</v>
      </c>
      <c r="F64" s="38">
        <v>100</v>
      </c>
      <c r="G64" s="18"/>
      <c r="H64" s="18"/>
      <c r="I64" s="18"/>
    </row>
    <row r="67" spans="1:4" x14ac:dyDescent="0.2">
      <c r="A67" s="18" t="s">
        <v>40</v>
      </c>
    </row>
    <row r="68" spans="1:4" x14ac:dyDescent="0.2">
      <c r="A68" s="18" t="s">
        <v>41</v>
      </c>
    </row>
    <row r="69" spans="1:4" x14ac:dyDescent="0.2">
      <c r="A69" s="18" t="s">
        <v>42</v>
      </c>
      <c r="B69" s="18"/>
      <c r="C69" s="39" t="s">
        <v>44</v>
      </c>
      <c r="D69" s="19" t="s">
        <v>43</v>
      </c>
    </row>
    <row r="70" spans="1:4" x14ac:dyDescent="0.2">
      <c r="A70" s="9" t="s">
        <v>71</v>
      </c>
      <c r="C70" s="40">
        <v>62.000700000000002</v>
      </c>
      <c r="D70" s="40">
        <v>76.136300000000006</v>
      </c>
    </row>
    <row r="71" spans="1:4" x14ac:dyDescent="0.2">
      <c r="A71" s="9" t="s">
        <v>77</v>
      </c>
      <c r="C71" s="40">
        <v>17.025300000000001</v>
      </c>
      <c r="D71" s="40">
        <v>20.010300000000001</v>
      </c>
    </row>
    <row r="72" spans="1:4" x14ac:dyDescent="0.2">
      <c r="A72" s="9" t="s">
        <v>74</v>
      </c>
      <c r="C72" s="40">
        <v>65.562799999999996</v>
      </c>
      <c r="D72" s="40">
        <v>80.801599999999993</v>
      </c>
    </row>
    <row r="73" spans="1:4" x14ac:dyDescent="0.2">
      <c r="A73" s="9" t="s">
        <v>78</v>
      </c>
      <c r="C73" s="40">
        <v>18.370999999999999</v>
      </c>
      <c r="D73" s="40">
        <v>21.737500000000001</v>
      </c>
    </row>
    <row r="75" spans="1:4" x14ac:dyDescent="0.2">
      <c r="A75" s="18" t="s">
        <v>46</v>
      </c>
    </row>
    <row r="76" spans="1:4" x14ac:dyDescent="0.2">
      <c r="A76" s="71" t="s">
        <v>67</v>
      </c>
      <c r="B76" s="72"/>
      <c r="C76" s="43" t="s">
        <v>68</v>
      </c>
    </row>
    <row r="77" spans="1:4" x14ac:dyDescent="0.2">
      <c r="A77" s="67" t="s">
        <v>77</v>
      </c>
      <c r="B77" s="68"/>
      <c r="C77" s="44">
        <v>0.75</v>
      </c>
    </row>
    <row r="78" spans="1:4" x14ac:dyDescent="0.2">
      <c r="A78" s="67" t="s">
        <v>78</v>
      </c>
      <c r="B78" s="68"/>
      <c r="C78" s="44">
        <v>0.75</v>
      </c>
    </row>
    <row r="79" spans="1:4" x14ac:dyDescent="0.2">
      <c r="A79" s="9" t="s">
        <v>69</v>
      </c>
    </row>
    <row r="80" spans="1:4" x14ac:dyDescent="0.2">
      <c r="A80" s="9" t="s">
        <v>45</v>
      </c>
    </row>
    <row r="82" spans="1:4" x14ac:dyDescent="0.2">
      <c r="A82" s="18" t="s">
        <v>220</v>
      </c>
      <c r="D82" s="45">
        <v>9.4799999999999995E-2</v>
      </c>
    </row>
    <row r="84" spans="1:4" x14ac:dyDescent="0.2">
      <c r="A84" s="18" t="s">
        <v>97</v>
      </c>
    </row>
    <row r="85" spans="1:4" x14ac:dyDescent="0.2">
      <c r="A85" s="46" t="s">
        <v>51</v>
      </c>
    </row>
  </sheetData>
  <mergeCells count="4">
    <mergeCell ref="A1:F1"/>
    <mergeCell ref="A76:B76"/>
    <mergeCell ref="A77:B77"/>
    <mergeCell ref="A78:B78"/>
  </mergeCells>
  <conditionalFormatting sqref="F2:F3 F5:F65536">
    <cfRule type="cellIs" dxfId="24" priority="1" stopIfTrue="1" operator="between">
      <formula>0.009</formula>
      <formula>-0.009</formula>
    </cfRule>
  </conditionalFormatting>
  <hyperlinks>
    <hyperlink ref="A85" r:id="rId1" tooltip="https://www.franklintempletonindia.com/downloadsServlet/pdf/product-labels-jg9o5k7l"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75"/>
  <sheetViews>
    <sheetView showGridLines="0" workbookViewId="0">
      <selection sqref="A1:F1"/>
    </sheetView>
  </sheetViews>
  <sheetFormatPr defaultColWidth="9.109375" defaultRowHeight="10.199999999999999" x14ac:dyDescent="0.2"/>
  <cols>
    <col min="1" max="1" width="38.6640625" style="9" bestFit="1" customWidth="1"/>
    <col min="2" max="2" width="33.109375" style="9" bestFit="1" customWidth="1"/>
    <col min="3" max="3" width="26.88671875"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69" t="s">
        <v>12</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100</v>
      </c>
      <c r="B7" s="27" t="s">
        <v>99</v>
      </c>
      <c r="C7" s="27" t="s">
        <v>101</v>
      </c>
      <c r="D7" s="31">
        <v>778984</v>
      </c>
      <c r="E7" s="29">
        <v>13292.972470000001</v>
      </c>
      <c r="F7" s="30">
        <v>18.995381261293101</v>
      </c>
    </row>
    <row r="8" spans="1:6" x14ac:dyDescent="0.2">
      <c r="A8" s="27" t="s">
        <v>130</v>
      </c>
      <c r="B8" s="27" t="s">
        <v>129</v>
      </c>
      <c r="C8" s="27" t="s">
        <v>101</v>
      </c>
      <c r="D8" s="31">
        <v>209047</v>
      </c>
      <c r="E8" s="29">
        <v>7915.4601320000002</v>
      </c>
      <c r="F8" s="30">
        <v>11.3110279439182</v>
      </c>
    </row>
    <row r="9" spans="1:6" x14ac:dyDescent="0.2">
      <c r="A9" s="27" t="s">
        <v>238</v>
      </c>
      <c r="B9" s="27" t="s">
        <v>237</v>
      </c>
      <c r="C9" s="27" t="s">
        <v>101</v>
      </c>
      <c r="D9" s="31">
        <v>580000</v>
      </c>
      <c r="E9" s="29">
        <v>6857.34</v>
      </c>
      <c r="F9" s="30">
        <v>9.7989962765879</v>
      </c>
    </row>
    <row r="10" spans="1:6" x14ac:dyDescent="0.2">
      <c r="A10" s="27" t="s">
        <v>317</v>
      </c>
      <c r="B10" s="27" t="s">
        <v>316</v>
      </c>
      <c r="C10" s="27" t="s">
        <v>159</v>
      </c>
      <c r="D10" s="31">
        <v>73229</v>
      </c>
      <c r="E10" s="29">
        <v>4527.2730819999997</v>
      </c>
      <c r="F10" s="30">
        <v>6.4693790994196902</v>
      </c>
    </row>
    <row r="11" spans="1:6" x14ac:dyDescent="0.2">
      <c r="A11" s="27" t="s">
        <v>110</v>
      </c>
      <c r="B11" s="27" t="s">
        <v>109</v>
      </c>
      <c r="C11" s="27" t="s">
        <v>111</v>
      </c>
      <c r="D11" s="31">
        <v>600000</v>
      </c>
      <c r="E11" s="29">
        <v>3984.3</v>
      </c>
      <c r="F11" s="30">
        <v>5.6934818551813304</v>
      </c>
    </row>
    <row r="12" spans="1:6" x14ac:dyDescent="0.2">
      <c r="A12" s="27" t="s">
        <v>196</v>
      </c>
      <c r="B12" s="27" t="s">
        <v>195</v>
      </c>
      <c r="C12" s="27" t="s">
        <v>101</v>
      </c>
      <c r="D12" s="31">
        <v>239424</v>
      </c>
      <c r="E12" s="29">
        <v>3466.0215360000002</v>
      </c>
      <c r="F12" s="30">
        <v>4.9528727065943201</v>
      </c>
    </row>
    <row r="13" spans="1:6" x14ac:dyDescent="0.2">
      <c r="A13" s="27" t="s">
        <v>286</v>
      </c>
      <c r="B13" s="27" t="s">
        <v>285</v>
      </c>
      <c r="C13" s="27" t="s">
        <v>101</v>
      </c>
      <c r="D13" s="31">
        <v>200000</v>
      </c>
      <c r="E13" s="29">
        <v>1954.9</v>
      </c>
      <c r="F13" s="30">
        <v>2.7935114521230799</v>
      </c>
    </row>
    <row r="14" spans="1:6" x14ac:dyDescent="0.2">
      <c r="A14" s="27" t="s">
        <v>319</v>
      </c>
      <c r="B14" s="27" t="s">
        <v>318</v>
      </c>
      <c r="C14" s="27" t="s">
        <v>159</v>
      </c>
      <c r="D14" s="31">
        <v>1322618</v>
      </c>
      <c r="E14" s="29">
        <v>1779.582519</v>
      </c>
      <c r="F14" s="30">
        <v>2.5429864171182901</v>
      </c>
    </row>
    <row r="15" spans="1:6" x14ac:dyDescent="0.2">
      <c r="A15" s="27" t="s">
        <v>321</v>
      </c>
      <c r="B15" s="27" t="s">
        <v>320</v>
      </c>
      <c r="C15" s="27" t="s">
        <v>101</v>
      </c>
      <c r="D15" s="31">
        <v>31000</v>
      </c>
      <c r="E15" s="29">
        <v>1646.8595</v>
      </c>
      <c r="F15" s="30">
        <v>2.3533279826526599</v>
      </c>
    </row>
    <row r="16" spans="1:6" x14ac:dyDescent="0.2">
      <c r="A16" s="27" t="s">
        <v>323</v>
      </c>
      <c r="B16" s="27" t="s">
        <v>322</v>
      </c>
      <c r="C16" s="27" t="s">
        <v>101</v>
      </c>
      <c r="D16" s="31">
        <v>16500</v>
      </c>
      <c r="E16" s="29">
        <v>785.30100000000004</v>
      </c>
      <c r="F16" s="30">
        <v>1.1221788003804301</v>
      </c>
    </row>
    <row r="17" spans="1:9" x14ac:dyDescent="0.2">
      <c r="A17" s="27" t="s">
        <v>325</v>
      </c>
      <c r="B17" s="27" t="s">
        <v>324</v>
      </c>
      <c r="C17" s="27" t="s">
        <v>159</v>
      </c>
      <c r="D17" s="31">
        <v>6000</v>
      </c>
      <c r="E17" s="29">
        <v>470.892</v>
      </c>
      <c r="F17" s="30">
        <v>0.67289487682906601</v>
      </c>
    </row>
    <row r="18" spans="1:9" x14ac:dyDescent="0.2">
      <c r="A18" s="27" t="s">
        <v>327</v>
      </c>
      <c r="B18" s="27" t="s">
        <v>326</v>
      </c>
      <c r="C18" s="27" t="s">
        <v>101</v>
      </c>
      <c r="D18" s="31">
        <v>63629</v>
      </c>
      <c r="E18" s="29">
        <v>230.6233105</v>
      </c>
      <c r="F18" s="30">
        <v>0.329555915396331</v>
      </c>
    </row>
    <row r="19" spans="1:9" x14ac:dyDescent="0.2">
      <c r="A19" s="26" t="s">
        <v>34</v>
      </c>
      <c r="B19" s="26"/>
      <c r="C19" s="26"/>
      <c r="D19" s="32"/>
      <c r="E19" s="33">
        <f>SUM(E7:E18)</f>
        <v>46911.525549500002</v>
      </c>
      <c r="F19" s="34">
        <f>SUM(F7:F18)</f>
        <v>67.035594587494387</v>
      </c>
      <c r="G19" s="18"/>
      <c r="H19" s="18"/>
      <c r="I19" s="18"/>
    </row>
    <row r="20" spans="1:9" x14ac:dyDescent="0.2">
      <c r="A20" s="27"/>
      <c r="B20" s="27"/>
      <c r="C20" s="27"/>
      <c r="D20" s="28"/>
      <c r="E20" s="29"/>
      <c r="F20" s="30"/>
    </row>
    <row r="21" spans="1:9" x14ac:dyDescent="0.2">
      <c r="A21" s="26" t="s">
        <v>229</v>
      </c>
      <c r="B21" s="27"/>
      <c r="C21" s="27"/>
      <c r="D21" s="28"/>
      <c r="E21" s="29"/>
      <c r="F21" s="30"/>
    </row>
    <row r="22" spans="1:9" x14ac:dyDescent="0.2">
      <c r="A22" s="27"/>
      <c r="B22" s="27" t="s">
        <v>739</v>
      </c>
      <c r="C22" s="27" t="s">
        <v>101</v>
      </c>
      <c r="D22" s="31">
        <v>970000</v>
      </c>
      <c r="E22" s="29">
        <v>9.7000000000000003E-2</v>
      </c>
      <c r="F22" s="30">
        <v>1.3861098309680199E-4</v>
      </c>
    </row>
    <row r="23" spans="1:9" x14ac:dyDescent="0.2">
      <c r="A23" s="26" t="s">
        <v>34</v>
      </c>
      <c r="B23" s="26"/>
      <c r="C23" s="26"/>
      <c r="D23" s="32"/>
      <c r="E23" s="33">
        <f>SUM(E21:E22)</f>
        <v>9.7000000000000003E-2</v>
      </c>
      <c r="F23" s="34">
        <f>SUM(F21:F22)</f>
        <v>1.3861098309680199E-4</v>
      </c>
      <c r="G23" s="18"/>
      <c r="H23" s="18"/>
      <c r="I23" s="18"/>
    </row>
    <row r="24" spans="1:9" x14ac:dyDescent="0.2">
      <c r="A24" s="27"/>
      <c r="B24" s="27"/>
      <c r="C24" s="27"/>
      <c r="D24" s="28"/>
      <c r="E24" s="29"/>
      <c r="F24" s="30"/>
    </row>
    <row r="25" spans="1:9" x14ac:dyDescent="0.2">
      <c r="A25" s="26" t="s">
        <v>298</v>
      </c>
      <c r="B25" s="27"/>
      <c r="C25" s="27"/>
      <c r="D25" s="28"/>
      <c r="E25" s="29"/>
      <c r="F25" s="30"/>
    </row>
    <row r="26" spans="1:9" x14ac:dyDescent="0.2">
      <c r="A26" s="27" t="s">
        <v>329</v>
      </c>
      <c r="B26" s="27" t="s">
        <v>328</v>
      </c>
      <c r="C26" s="27" t="s">
        <v>101</v>
      </c>
      <c r="D26" s="31">
        <v>82135</v>
      </c>
      <c r="E26" s="29">
        <v>1548.1297609999999</v>
      </c>
      <c r="F26" s="30">
        <v>2.2122452384910098</v>
      </c>
    </row>
    <row r="27" spans="1:9" x14ac:dyDescent="0.2">
      <c r="A27" s="27" t="s">
        <v>331</v>
      </c>
      <c r="B27" s="27" t="s">
        <v>330</v>
      </c>
      <c r="C27" s="27" t="s">
        <v>315</v>
      </c>
      <c r="D27" s="31">
        <v>78000</v>
      </c>
      <c r="E27" s="29">
        <v>1264.784024</v>
      </c>
      <c r="F27" s="30">
        <v>1.8073500718739099</v>
      </c>
    </row>
    <row r="28" spans="1:9" x14ac:dyDescent="0.2">
      <c r="A28" s="27" t="s">
        <v>333</v>
      </c>
      <c r="B28" s="27" t="s">
        <v>332</v>
      </c>
      <c r="C28" s="27" t="s">
        <v>334</v>
      </c>
      <c r="D28" s="31">
        <v>5173</v>
      </c>
      <c r="E28" s="29">
        <v>1001.736448</v>
      </c>
      <c r="F28" s="30">
        <v>1.43146055526988</v>
      </c>
    </row>
    <row r="29" spans="1:9" x14ac:dyDescent="0.2">
      <c r="A29" s="27" t="s">
        <v>336</v>
      </c>
      <c r="B29" s="27" t="s">
        <v>335</v>
      </c>
      <c r="C29" s="27" t="s">
        <v>315</v>
      </c>
      <c r="D29" s="31">
        <v>6000</v>
      </c>
      <c r="E29" s="29">
        <v>980.46299999999997</v>
      </c>
      <c r="F29" s="30">
        <v>1.40106124041278</v>
      </c>
    </row>
    <row r="30" spans="1:9" x14ac:dyDescent="0.2">
      <c r="A30" s="27" t="s">
        <v>338</v>
      </c>
      <c r="B30" s="27" t="s">
        <v>337</v>
      </c>
      <c r="C30" s="27" t="s">
        <v>315</v>
      </c>
      <c r="D30" s="31">
        <v>37000</v>
      </c>
      <c r="E30" s="29">
        <v>880.39975400000003</v>
      </c>
      <c r="F30" s="30">
        <v>1.25807294247549</v>
      </c>
    </row>
    <row r="31" spans="1:9" x14ac:dyDescent="0.2">
      <c r="A31" s="27" t="s">
        <v>340</v>
      </c>
      <c r="B31" s="27" t="s">
        <v>339</v>
      </c>
      <c r="C31" s="27" t="s">
        <v>341</v>
      </c>
      <c r="D31" s="31">
        <v>8200</v>
      </c>
      <c r="E31" s="29">
        <v>878.08633999999995</v>
      </c>
      <c r="F31" s="30">
        <v>1.2547671219718901</v>
      </c>
    </row>
    <row r="32" spans="1:9" x14ac:dyDescent="0.2">
      <c r="A32" s="27" t="s">
        <v>343</v>
      </c>
      <c r="B32" s="27" t="s">
        <v>342</v>
      </c>
      <c r="C32" s="27" t="s">
        <v>315</v>
      </c>
      <c r="D32" s="31">
        <v>17000</v>
      </c>
      <c r="E32" s="29">
        <v>823.18698949999998</v>
      </c>
      <c r="F32" s="30">
        <v>1.17631709161951</v>
      </c>
    </row>
    <row r="33" spans="1:9" x14ac:dyDescent="0.2">
      <c r="A33" s="27" t="s">
        <v>345</v>
      </c>
      <c r="B33" s="27" t="s">
        <v>344</v>
      </c>
      <c r="C33" s="27" t="s">
        <v>101</v>
      </c>
      <c r="D33" s="31">
        <v>284</v>
      </c>
      <c r="E33" s="29">
        <v>719.56418280000003</v>
      </c>
      <c r="F33" s="30">
        <v>1.02824225545521</v>
      </c>
    </row>
    <row r="34" spans="1:9" x14ac:dyDescent="0.2">
      <c r="A34" s="27" t="s">
        <v>347</v>
      </c>
      <c r="B34" s="27" t="s">
        <v>346</v>
      </c>
      <c r="C34" s="27" t="s">
        <v>101</v>
      </c>
      <c r="D34" s="31">
        <v>3100</v>
      </c>
      <c r="E34" s="29">
        <v>683.15444000000002</v>
      </c>
      <c r="F34" s="30">
        <v>0.97621349005510805</v>
      </c>
    </row>
    <row r="35" spans="1:9" x14ac:dyDescent="0.2">
      <c r="A35" s="27" t="s">
        <v>349</v>
      </c>
      <c r="B35" s="27" t="s">
        <v>348</v>
      </c>
      <c r="C35" s="27" t="s">
        <v>315</v>
      </c>
      <c r="D35" s="31">
        <v>14982</v>
      </c>
      <c r="E35" s="29">
        <v>591.24665159999995</v>
      </c>
      <c r="F35" s="30">
        <v>0.84487917145328395</v>
      </c>
    </row>
    <row r="36" spans="1:9" x14ac:dyDescent="0.2">
      <c r="A36" s="27" t="s">
        <v>351</v>
      </c>
      <c r="B36" s="27" t="s">
        <v>350</v>
      </c>
      <c r="C36" s="27" t="s">
        <v>101</v>
      </c>
      <c r="D36" s="31">
        <v>267</v>
      </c>
      <c r="E36" s="29">
        <v>564.05979449999995</v>
      </c>
      <c r="F36" s="30">
        <v>0.80602971794871403</v>
      </c>
    </row>
    <row r="37" spans="1:9" x14ac:dyDescent="0.2">
      <c r="A37" s="27" t="s">
        <v>353</v>
      </c>
      <c r="B37" s="27" t="s">
        <v>352</v>
      </c>
      <c r="C37" s="27" t="s">
        <v>101</v>
      </c>
      <c r="D37" s="31">
        <v>14000</v>
      </c>
      <c r="E37" s="29">
        <v>400.01080000000002</v>
      </c>
      <c r="F37" s="30">
        <v>0.57160711584884905</v>
      </c>
    </row>
    <row r="38" spans="1:9" x14ac:dyDescent="0.2">
      <c r="A38" s="27" t="s">
        <v>355</v>
      </c>
      <c r="B38" s="27" t="s">
        <v>354</v>
      </c>
      <c r="C38" s="27" t="s">
        <v>159</v>
      </c>
      <c r="D38" s="31">
        <v>23400</v>
      </c>
      <c r="E38" s="29">
        <v>363.29268289999999</v>
      </c>
      <c r="F38" s="30">
        <v>0.51913768998601895</v>
      </c>
    </row>
    <row r="39" spans="1:9" x14ac:dyDescent="0.2">
      <c r="A39" s="27" t="s">
        <v>357</v>
      </c>
      <c r="B39" s="27" t="s">
        <v>356</v>
      </c>
      <c r="C39" s="27" t="s">
        <v>101</v>
      </c>
      <c r="D39" s="31">
        <v>8000</v>
      </c>
      <c r="E39" s="29">
        <v>361.12570360000001</v>
      </c>
      <c r="F39" s="30">
        <v>0.51604112162392202</v>
      </c>
    </row>
    <row r="40" spans="1:9" x14ac:dyDescent="0.2">
      <c r="A40" s="27" t="s">
        <v>359</v>
      </c>
      <c r="B40" s="27" t="s">
        <v>358</v>
      </c>
      <c r="C40" s="27" t="s">
        <v>101</v>
      </c>
      <c r="D40" s="31">
        <v>1310</v>
      </c>
      <c r="E40" s="29">
        <v>212.37510399999999</v>
      </c>
      <c r="F40" s="30">
        <v>0.30347960773943899</v>
      </c>
    </row>
    <row r="41" spans="1:9" x14ac:dyDescent="0.2">
      <c r="A41" s="26" t="s">
        <v>34</v>
      </c>
      <c r="B41" s="26"/>
      <c r="C41" s="26"/>
      <c r="D41" s="32"/>
      <c r="E41" s="33">
        <f>SUM(E25:E40)</f>
        <v>11271.615675900002</v>
      </c>
      <c r="F41" s="34">
        <f>SUM(F25:F40)</f>
        <v>16.106904432225015</v>
      </c>
      <c r="G41" s="18"/>
      <c r="H41" s="18"/>
      <c r="I41" s="18"/>
    </row>
    <row r="42" spans="1:9" x14ac:dyDescent="0.2">
      <c r="A42" s="27"/>
      <c r="B42" s="27"/>
      <c r="C42" s="27"/>
      <c r="D42" s="28"/>
      <c r="E42" s="29"/>
      <c r="F42" s="30"/>
    </row>
    <row r="43" spans="1:9" x14ac:dyDescent="0.2">
      <c r="A43" s="26" t="s">
        <v>360</v>
      </c>
      <c r="B43" s="27"/>
      <c r="C43" s="27"/>
      <c r="D43" s="28"/>
      <c r="E43" s="29"/>
      <c r="F43" s="30"/>
    </row>
    <row r="44" spans="1:9" x14ac:dyDescent="0.2">
      <c r="A44" s="27" t="s">
        <v>362</v>
      </c>
      <c r="B44" s="27" t="s">
        <v>361</v>
      </c>
      <c r="C44" s="27" t="s">
        <v>363</v>
      </c>
      <c r="D44" s="31">
        <v>116868.481</v>
      </c>
      <c r="E44" s="29">
        <v>5759.5475399999996</v>
      </c>
      <c r="F44" s="30">
        <v>8.2302736774450391</v>
      </c>
    </row>
    <row r="45" spans="1:9" x14ac:dyDescent="0.2">
      <c r="A45" s="26" t="s">
        <v>34</v>
      </c>
      <c r="B45" s="26"/>
      <c r="C45" s="26"/>
      <c r="D45" s="32"/>
      <c r="E45" s="33">
        <f>SUM(E44:E44)</f>
        <v>5759.5475399999996</v>
      </c>
      <c r="F45" s="34">
        <f>SUM(F44:F44)</f>
        <v>8.2302736774450391</v>
      </c>
      <c r="G45" s="18"/>
      <c r="H45" s="18"/>
      <c r="I45" s="18"/>
    </row>
    <row r="46" spans="1:9" x14ac:dyDescent="0.2">
      <c r="A46" s="27"/>
      <c r="B46" s="27"/>
      <c r="C46" s="27"/>
      <c r="D46" s="28"/>
      <c r="E46" s="29"/>
      <c r="F46" s="30"/>
    </row>
    <row r="47" spans="1:9" x14ac:dyDescent="0.2">
      <c r="A47" s="26" t="s">
        <v>36</v>
      </c>
      <c r="B47" s="26"/>
      <c r="C47" s="26"/>
      <c r="D47" s="32"/>
      <c r="E47" s="33">
        <f>E19+E23+E41+E45</f>
        <v>63942.785765400004</v>
      </c>
      <c r="F47" s="34">
        <f>F19+F23+F41+F45</f>
        <v>91.372911308147536</v>
      </c>
      <c r="G47" s="18"/>
      <c r="H47" s="18"/>
      <c r="I47" s="18"/>
    </row>
    <row r="48" spans="1:9" x14ac:dyDescent="0.2">
      <c r="A48" s="26"/>
      <c r="B48" s="26"/>
      <c r="C48" s="26"/>
      <c r="D48" s="32"/>
      <c r="E48" s="33"/>
      <c r="F48" s="34"/>
      <c r="G48" s="18"/>
      <c r="H48" s="18"/>
      <c r="I48" s="18"/>
    </row>
    <row r="49" spans="1:9" x14ac:dyDescent="0.2">
      <c r="A49" s="26" t="s">
        <v>38</v>
      </c>
      <c r="B49" s="26"/>
      <c r="C49" s="26"/>
      <c r="D49" s="32"/>
      <c r="E49" s="33">
        <f>E51-(E19+E23+E41+E45)</f>
        <v>6037.2387844999976</v>
      </c>
      <c r="F49" s="34">
        <f>F51-(F19+F23+F41+F45)</f>
        <v>8.6270886918524639</v>
      </c>
      <c r="G49" s="18"/>
      <c r="H49" s="18"/>
      <c r="I49" s="18"/>
    </row>
    <row r="50" spans="1:9" x14ac:dyDescent="0.2">
      <c r="A50" s="26"/>
      <c r="B50" s="26"/>
      <c r="C50" s="26"/>
      <c r="D50" s="32"/>
      <c r="E50" s="33"/>
      <c r="F50" s="34"/>
      <c r="G50" s="18"/>
      <c r="H50" s="18"/>
      <c r="I50" s="18"/>
    </row>
    <row r="51" spans="1:9" x14ac:dyDescent="0.2">
      <c r="A51" s="35" t="s">
        <v>37</v>
      </c>
      <c r="B51" s="35"/>
      <c r="C51" s="35"/>
      <c r="D51" s="36"/>
      <c r="E51" s="37">
        <v>69980.024549900001</v>
      </c>
      <c r="F51" s="38">
        <v>100</v>
      </c>
      <c r="G51" s="18"/>
      <c r="H51" s="18"/>
      <c r="I51" s="18"/>
    </row>
    <row r="52" spans="1:9" x14ac:dyDescent="0.2">
      <c r="F52" s="20" t="s">
        <v>513</v>
      </c>
    </row>
    <row r="53" spans="1:9" x14ac:dyDescent="0.2">
      <c r="A53" s="55" t="s">
        <v>39</v>
      </c>
    </row>
    <row r="54" spans="1:9" x14ac:dyDescent="0.2">
      <c r="A54" s="55" t="s">
        <v>723</v>
      </c>
    </row>
    <row r="56" spans="1:9" x14ac:dyDescent="0.2">
      <c r="A56" s="18" t="s">
        <v>40</v>
      </c>
    </row>
    <row r="57" spans="1:9" x14ac:dyDescent="0.2">
      <c r="A57" s="18" t="s">
        <v>41</v>
      </c>
    </row>
    <row r="58" spans="1:9" x14ac:dyDescent="0.2">
      <c r="A58" s="18" t="s">
        <v>42</v>
      </c>
      <c r="B58" s="18"/>
      <c r="C58" s="39" t="s">
        <v>44</v>
      </c>
      <c r="D58" s="19" t="s">
        <v>43</v>
      </c>
    </row>
    <row r="59" spans="1:9" x14ac:dyDescent="0.2">
      <c r="A59" s="9" t="s">
        <v>71</v>
      </c>
      <c r="C59" s="40">
        <v>270.42700000000002</v>
      </c>
      <c r="D59" s="40">
        <v>342.09</v>
      </c>
    </row>
    <row r="60" spans="1:9" x14ac:dyDescent="0.2">
      <c r="A60" s="9" t="s">
        <v>77</v>
      </c>
      <c r="C60" s="40">
        <v>36.436399999999999</v>
      </c>
      <c r="D60" s="40">
        <v>46.093899999999998</v>
      </c>
    </row>
    <row r="61" spans="1:9" x14ac:dyDescent="0.2">
      <c r="A61" s="9" t="s">
        <v>74</v>
      </c>
      <c r="C61" s="40">
        <v>284.83300000000003</v>
      </c>
      <c r="D61" s="40">
        <v>361.85129999999998</v>
      </c>
    </row>
    <row r="62" spans="1:9" x14ac:dyDescent="0.2">
      <c r="A62" s="9" t="s">
        <v>78</v>
      </c>
      <c r="C62" s="40">
        <v>38.859900000000003</v>
      </c>
      <c r="D62" s="40">
        <v>49.361499999999999</v>
      </c>
    </row>
    <row r="64" spans="1:9" x14ac:dyDescent="0.2">
      <c r="A64" s="9" t="s">
        <v>45</v>
      </c>
    </row>
    <row r="66" spans="1:4" x14ac:dyDescent="0.2">
      <c r="A66" s="18" t="s">
        <v>46</v>
      </c>
      <c r="D66" s="41" t="s">
        <v>47</v>
      </c>
    </row>
    <row r="68" spans="1:4" x14ac:dyDescent="0.2">
      <c r="A68" s="18" t="s">
        <v>220</v>
      </c>
      <c r="D68" s="45">
        <v>0.1409</v>
      </c>
    </row>
    <row r="70" spans="1:4" x14ac:dyDescent="0.2">
      <c r="A70" s="18" t="s">
        <v>49</v>
      </c>
      <c r="D70" s="41" t="s">
        <v>47</v>
      </c>
    </row>
    <row r="71" spans="1:4" x14ac:dyDescent="0.2">
      <c r="A71" s="9" t="s">
        <v>53</v>
      </c>
    </row>
    <row r="72" spans="1:4" x14ac:dyDescent="0.2">
      <c r="A72" s="46" t="s">
        <v>724</v>
      </c>
    </row>
    <row r="74" spans="1:4" x14ac:dyDescent="0.2">
      <c r="A74" s="18" t="s">
        <v>70</v>
      </c>
    </row>
    <row r="75" spans="1:4" x14ac:dyDescent="0.2">
      <c r="A75" s="46" t="s">
        <v>51</v>
      </c>
    </row>
  </sheetData>
  <mergeCells count="1">
    <mergeCell ref="A1:F1"/>
  </mergeCells>
  <conditionalFormatting sqref="F2:F3 F5:F51 F53:F65535">
    <cfRule type="cellIs" dxfId="23" priority="2" stopIfTrue="1" operator="between">
      <formula>0.009</formula>
      <formula>-0.009</formula>
    </cfRule>
  </conditionalFormatting>
  <conditionalFormatting sqref="F52">
    <cfRule type="cellIs" dxfId="22" priority="1" stopIfTrue="1" operator="between">
      <formula>0.009</formula>
      <formula>-0.009</formula>
    </cfRule>
  </conditionalFormatting>
  <hyperlinks>
    <hyperlink ref="A75" r:id="rId1" tooltip="https://www.franklintempletonindia.com/downloadsServlet/pdf/product-labels-jg9o5k7l" xr:uid="{00000000-0004-0000-1E00-000000000000}"/>
    <hyperlink ref="A72" r:id="rId2" xr:uid="{00000000-0004-0000-1E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92"/>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0"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69" t="s">
        <v>13</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365</v>
      </c>
      <c r="B7" s="27" t="s">
        <v>364</v>
      </c>
      <c r="C7" s="27" t="s">
        <v>284</v>
      </c>
      <c r="D7" s="31">
        <v>2007967</v>
      </c>
      <c r="E7" s="29">
        <v>45853.934410000002</v>
      </c>
      <c r="F7" s="30">
        <v>6.5035763818750301</v>
      </c>
    </row>
    <row r="8" spans="1:6" x14ac:dyDescent="0.2">
      <c r="A8" s="27" t="s">
        <v>367</v>
      </c>
      <c r="B8" s="27" t="s">
        <v>366</v>
      </c>
      <c r="C8" s="27" t="s">
        <v>368</v>
      </c>
      <c r="D8" s="31">
        <v>7537595</v>
      </c>
      <c r="E8" s="29">
        <v>25209.48648</v>
      </c>
      <c r="F8" s="30">
        <v>3.57552351788532</v>
      </c>
    </row>
    <row r="9" spans="1:6" x14ac:dyDescent="0.2">
      <c r="A9" s="27" t="s">
        <v>370</v>
      </c>
      <c r="B9" s="27" t="s">
        <v>369</v>
      </c>
      <c r="C9" s="27" t="s">
        <v>125</v>
      </c>
      <c r="D9" s="31">
        <v>5376976</v>
      </c>
      <c r="E9" s="29">
        <v>21661.147819999998</v>
      </c>
      <c r="F9" s="30">
        <v>3.0722539118853298</v>
      </c>
    </row>
    <row r="10" spans="1:6" x14ac:dyDescent="0.2">
      <c r="A10" s="27" t="s">
        <v>286</v>
      </c>
      <c r="B10" s="27" t="s">
        <v>285</v>
      </c>
      <c r="C10" s="27" t="s">
        <v>101</v>
      </c>
      <c r="D10" s="31">
        <v>2209141</v>
      </c>
      <c r="E10" s="29">
        <v>21593.2487</v>
      </c>
      <c r="F10" s="30">
        <v>3.06262361256938</v>
      </c>
    </row>
    <row r="11" spans="1:6" x14ac:dyDescent="0.2">
      <c r="A11" s="27" t="s">
        <v>372</v>
      </c>
      <c r="B11" s="27" t="s">
        <v>371</v>
      </c>
      <c r="C11" s="27" t="s">
        <v>138</v>
      </c>
      <c r="D11" s="31">
        <v>1211988</v>
      </c>
      <c r="E11" s="29">
        <v>20635.913680000001</v>
      </c>
      <c r="F11" s="30">
        <v>2.9268424303060798</v>
      </c>
    </row>
    <row r="12" spans="1:6" x14ac:dyDescent="0.2">
      <c r="A12" s="27" t="s">
        <v>262</v>
      </c>
      <c r="B12" s="27" t="s">
        <v>261</v>
      </c>
      <c r="C12" s="27" t="s">
        <v>187</v>
      </c>
      <c r="D12" s="31">
        <v>17172603</v>
      </c>
      <c r="E12" s="29">
        <v>20246.498940000001</v>
      </c>
      <c r="F12" s="30">
        <v>2.87161077922958</v>
      </c>
    </row>
    <row r="13" spans="1:6" x14ac:dyDescent="0.2">
      <c r="A13" s="27" t="s">
        <v>374</v>
      </c>
      <c r="B13" s="27" t="s">
        <v>373</v>
      </c>
      <c r="C13" s="27" t="s">
        <v>375</v>
      </c>
      <c r="D13" s="31">
        <v>2365139</v>
      </c>
      <c r="E13" s="29">
        <v>20029.179619999999</v>
      </c>
      <c r="F13" s="30">
        <v>2.8407878451659498</v>
      </c>
    </row>
    <row r="14" spans="1:6" x14ac:dyDescent="0.2">
      <c r="A14" s="27" t="s">
        <v>288</v>
      </c>
      <c r="B14" s="27" t="s">
        <v>287</v>
      </c>
      <c r="C14" s="27" t="s">
        <v>201</v>
      </c>
      <c r="D14" s="31">
        <v>1042677</v>
      </c>
      <c r="E14" s="29">
        <v>18486.141869999999</v>
      </c>
      <c r="F14" s="30">
        <v>2.6219350030627702</v>
      </c>
    </row>
    <row r="15" spans="1:6" x14ac:dyDescent="0.2">
      <c r="A15" s="27" t="s">
        <v>377</v>
      </c>
      <c r="B15" s="27" t="s">
        <v>376</v>
      </c>
      <c r="C15" s="27" t="s">
        <v>101</v>
      </c>
      <c r="D15" s="31">
        <v>5366801</v>
      </c>
      <c r="E15" s="29">
        <v>18075.385770000001</v>
      </c>
      <c r="F15" s="30">
        <v>2.5636764543680099</v>
      </c>
    </row>
    <row r="16" spans="1:6" x14ac:dyDescent="0.2">
      <c r="A16" s="27" t="s">
        <v>247</v>
      </c>
      <c r="B16" s="27" t="s">
        <v>246</v>
      </c>
      <c r="C16" s="27" t="s">
        <v>209</v>
      </c>
      <c r="D16" s="31">
        <v>3812021</v>
      </c>
      <c r="E16" s="29">
        <v>17746.86377</v>
      </c>
      <c r="F16" s="30">
        <v>2.51708137048661</v>
      </c>
    </row>
    <row r="17" spans="1:6" x14ac:dyDescent="0.2">
      <c r="A17" s="27" t="s">
        <v>379</v>
      </c>
      <c r="B17" s="27" t="s">
        <v>378</v>
      </c>
      <c r="C17" s="27" t="s">
        <v>368</v>
      </c>
      <c r="D17" s="31">
        <v>5211254</v>
      </c>
      <c r="E17" s="29">
        <v>17322.208299999998</v>
      </c>
      <c r="F17" s="30">
        <v>2.45685143993295</v>
      </c>
    </row>
    <row r="18" spans="1:6" x14ac:dyDescent="0.2">
      <c r="A18" s="27" t="s">
        <v>381</v>
      </c>
      <c r="B18" s="27" t="s">
        <v>380</v>
      </c>
      <c r="C18" s="27" t="s">
        <v>125</v>
      </c>
      <c r="D18" s="31">
        <v>10263765</v>
      </c>
      <c r="E18" s="29">
        <v>16617.035540000001</v>
      </c>
      <c r="F18" s="30">
        <v>2.3568350516756</v>
      </c>
    </row>
    <row r="19" spans="1:6" x14ac:dyDescent="0.2">
      <c r="A19" s="27" t="s">
        <v>108</v>
      </c>
      <c r="B19" s="27" t="s">
        <v>107</v>
      </c>
      <c r="C19" s="27" t="s">
        <v>104</v>
      </c>
      <c r="D19" s="31">
        <v>2259945</v>
      </c>
      <c r="E19" s="29">
        <v>16250.13452</v>
      </c>
      <c r="F19" s="30">
        <v>2.30479657692179</v>
      </c>
    </row>
    <row r="20" spans="1:6" x14ac:dyDescent="0.2">
      <c r="A20" s="27" t="s">
        <v>383</v>
      </c>
      <c r="B20" s="27" t="s">
        <v>382</v>
      </c>
      <c r="C20" s="27" t="s">
        <v>209</v>
      </c>
      <c r="D20" s="31">
        <v>1942883</v>
      </c>
      <c r="E20" s="29">
        <v>16124.95746</v>
      </c>
      <c r="F20" s="30">
        <v>2.2870424063921799</v>
      </c>
    </row>
    <row r="21" spans="1:6" x14ac:dyDescent="0.2">
      <c r="A21" s="27" t="s">
        <v>385</v>
      </c>
      <c r="B21" s="27" t="s">
        <v>384</v>
      </c>
      <c r="C21" s="27" t="s">
        <v>368</v>
      </c>
      <c r="D21" s="31">
        <v>2507431</v>
      </c>
      <c r="E21" s="29">
        <v>15622.548849999999</v>
      </c>
      <c r="F21" s="30">
        <v>2.2157845566113799</v>
      </c>
    </row>
    <row r="22" spans="1:6" x14ac:dyDescent="0.2">
      <c r="A22" s="27" t="s">
        <v>387</v>
      </c>
      <c r="B22" s="27" t="s">
        <v>386</v>
      </c>
      <c r="C22" s="27" t="s">
        <v>231</v>
      </c>
      <c r="D22" s="31">
        <v>368898</v>
      </c>
      <c r="E22" s="29">
        <v>15184.02613</v>
      </c>
      <c r="F22" s="30">
        <v>2.1535877998574899</v>
      </c>
    </row>
    <row r="23" spans="1:6" x14ac:dyDescent="0.2">
      <c r="A23" s="27" t="s">
        <v>389</v>
      </c>
      <c r="B23" s="27" t="s">
        <v>388</v>
      </c>
      <c r="C23" s="27" t="s">
        <v>231</v>
      </c>
      <c r="D23" s="31">
        <v>2531192</v>
      </c>
      <c r="E23" s="29">
        <v>14493.605390000001</v>
      </c>
      <c r="F23" s="30">
        <v>2.0556637269072402</v>
      </c>
    </row>
    <row r="24" spans="1:6" x14ac:dyDescent="0.2">
      <c r="A24" s="27" t="s">
        <v>132</v>
      </c>
      <c r="B24" s="27" t="s">
        <v>131</v>
      </c>
      <c r="C24" s="27" t="s">
        <v>133</v>
      </c>
      <c r="D24" s="31">
        <v>5289744</v>
      </c>
      <c r="E24" s="29">
        <v>14102.4575</v>
      </c>
      <c r="F24" s="30">
        <v>2.0001862589002699</v>
      </c>
    </row>
    <row r="25" spans="1:6" x14ac:dyDescent="0.2">
      <c r="A25" s="27" t="s">
        <v>391</v>
      </c>
      <c r="B25" s="27" t="s">
        <v>390</v>
      </c>
      <c r="C25" s="27" t="s">
        <v>284</v>
      </c>
      <c r="D25" s="31">
        <v>3786227</v>
      </c>
      <c r="E25" s="29">
        <v>14077.191989999999</v>
      </c>
      <c r="F25" s="30">
        <v>1.99660278942865</v>
      </c>
    </row>
    <row r="26" spans="1:6" x14ac:dyDescent="0.2">
      <c r="A26" s="27" t="s">
        <v>393</v>
      </c>
      <c r="B26" s="27" t="s">
        <v>392</v>
      </c>
      <c r="C26" s="27" t="s">
        <v>138</v>
      </c>
      <c r="D26" s="31">
        <v>1875900</v>
      </c>
      <c r="E26" s="29">
        <v>13712.829</v>
      </c>
      <c r="F26" s="30">
        <v>1.94492428971682</v>
      </c>
    </row>
    <row r="27" spans="1:6" x14ac:dyDescent="0.2">
      <c r="A27" s="27" t="s">
        <v>395</v>
      </c>
      <c r="B27" s="27" t="s">
        <v>394</v>
      </c>
      <c r="C27" s="27" t="s">
        <v>114</v>
      </c>
      <c r="D27" s="31">
        <v>1000416</v>
      </c>
      <c r="E27" s="29">
        <v>13652.176939999999</v>
      </c>
      <c r="F27" s="30">
        <v>1.93632185875853</v>
      </c>
    </row>
    <row r="28" spans="1:6" x14ac:dyDescent="0.2">
      <c r="A28" s="27" t="s">
        <v>397</v>
      </c>
      <c r="B28" s="27" t="s">
        <v>396</v>
      </c>
      <c r="C28" s="27" t="s">
        <v>120</v>
      </c>
      <c r="D28" s="31">
        <v>1708713</v>
      </c>
      <c r="E28" s="29">
        <v>13241.67139</v>
      </c>
      <c r="F28" s="30">
        <v>1.8780988461869801</v>
      </c>
    </row>
    <row r="29" spans="1:6" x14ac:dyDescent="0.2">
      <c r="A29" s="27" t="s">
        <v>103</v>
      </c>
      <c r="B29" s="27" t="s">
        <v>102</v>
      </c>
      <c r="C29" s="27" t="s">
        <v>104</v>
      </c>
      <c r="D29" s="31">
        <v>822910</v>
      </c>
      <c r="E29" s="29">
        <v>13013.498740000001</v>
      </c>
      <c r="F29" s="30">
        <v>1.8457365576151601</v>
      </c>
    </row>
    <row r="30" spans="1:6" x14ac:dyDescent="0.2">
      <c r="A30" s="27" t="s">
        <v>119</v>
      </c>
      <c r="B30" s="27" t="s">
        <v>118</v>
      </c>
      <c r="C30" s="27" t="s">
        <v>120</v>
      </c>
      <c r="D30" s="31">
        <v>1261210</v>
      </c>
      <c r="E30" s="29">
        <v>12559.75979</v>
      </c>
      <c r="F30" s="30">
        <v>1.78138164550726</v>
      </c>
    </row>
    <row r="31" spans="1:6" x14ac:dyDescent="0.2">
      <c r="A31" s="27" t="s">
        <v>399</v>
      </c>
      <c r="B31" s="27" t="s">
        <v>398</v>
      </c>
      <c r="C31" s="27" t="s">
        <v>368</v>
      </c>
      <c r="D31" s="31">
        <v>3134035</v>
      </c>
      <c r="E31" s="29">
        <v>11964.178610000001</v>
      </c>
      <c r="F31" s="30">
        <v>1.69690890078914</v>
      </c>
    </row>
    <row r="32" spans="1:6" x14ac:dyDescent="0.2">
      <c r="A32" s="27" t="s">
        <v>137</v>
      </c>
      <c r="B32" s="27" t="s">
        <v>136</v>
      </c>
      <c r="C32" s="27" t="s">
        <v>138</v>
      </c>
      <c r="D32" s="31">
        <v>235825</v>
      </c>
      <c r="E32" s="29">
        <v>11093.32591</v>
      </c>
      <c r="F32" s="30">
        <v>1.57339371883832</v>
      </c>
    </row>
    <row r="33" spans="1:6" x14ac:dyDescent="0.2">
      <c r="A33" s="27" t="s">
        <v>401</v>
      </c>
      <c r="B33" s="27" t="s">
        <v>400</v>
      </c>
      <c r="C33" s="27" t="s">
        <v>104</v>
      </c>
      <c r="D33" s="31">
        <v>9949095</v>
      </c>
      <c r="E33" s="29">
        <v>9168.0910430000004</v>
      </c>
      <c r="F33" s="30">
        <v>1.3003329188941199</v>
      </c>
    </row>
    <row r="34" spans="1:6" x14ac:dyDescent="0.2">
      <c r="A34" s="27" t="s">
        <v>403</v>
      </c>
      <c r="B34" s="27" t="s">
        <v>402</v>
      </c>
      <c r="C34" s="27" t="s">
        <v>404</v>
      </c>
      <c r="D34" s="31">
        <v>594140</v>
      </c>
      <c r="E34" s="29">
        <v>9016.3715699999993</v>
      </c>
      <c r="F34" s="30">
        <v>1.27881417259744</v>
      </c>
    </row>
    <row r="35" spans="1:6" x14ac:dyDescent="0.2">
      <c r="A35" s="27" t="s">
        <v>406</v>
      </c>
      <c r="B35" s="27" t="s">
        <v>405</v>
      </c>
      <c r="C35" s="27" t="s">
        <v>204</v>
      </c>
      <c r="D35" s="31">
        <v>23086857</v>
      </c>
      <c r="E35" s="29">
        <v>8911.5268020000003</v>
      </c>
      <c r="F35" s="30">
        <v>1.2639437810879299</v>
      </c>
    </row>
    <row r="36" spans="1:6" x14ac:dyDescent="0.2">
      <c r="A36" s="27" t="s">
        <v>408</v>
      </c>
      <c r="B36" s="27" t="s">
        <v>407</v>
      </c>
      <c r="C36" s="27" t="s">
        <v>120</v>
      </c>
      <c r="D36" s="31">
        <v>100265</v>
      </c>
      <c r="E36" s="29">
        <v>8849.6896949999991</v>
      </c>
      <c r="F36" s="30">
        <v>1.2551732719967701</v>
      </c>
    </row>
    <row r="37" spans="1:6" x14ac:dyDescent="0.2">
      <c r="A37" s="27" t="s">
        <v>410</v>
      </c>
      <c r="B37" s="27" t="s">
        <v>409</v>
      </c>
      <c r="C37" s="27" t="s">
        <v>204</v>
      </c>
      <c r="D37" s="31">
        <v>1600000</v>
      </c>
      <c r="E37" s="29">
        <v>8808.7999999999993</v>
      </c>
      <c r="F37" s="30">
        <v>1.2493737859093501</v>
      </c>
    </row>
    <row r="38" spans="1:6" x14ac:dyDescent="0.2">
      <c r="A38" s="27" t="s">
        <v>412</v>
      </c>
      <c r="B38" s="27" t="s">
        <v>411</v>
      </c>
      <c r="C38" s="27" t="s">
        <v>209</v>
      </c>
      <c r="D38" s="31">
        <v>1131703</v>
      </c>
      <c r="E38" s="29">
        <v>8651.3035839999993</v>
      </c>
      <c r="F38" s="30">
        <v>1.22703568156766</v>
      </c>
    </row>
    <row r="39" spans="1:6" x14ac:dyDescent="0.2">
      <c r="A39" s="27" t="s">
        <v>414</v>
      </c>
      <c r="B39" s="27" t="s">
        <v>413</v>
      </c>
      <c r="C39" s="27" t="s">
        <v>120</v>
      </c>
      <c r="D39" s="31">
        <v>1846602</v>
      </c>
      <c r="E39" s="29">
        <v>8597.7789119999998</v>
      </c>
      <c r="F39" s="30">
        <v>1.2194441455927101</v>
      </c>
    </row>
    <row r="40" spans="1:6" x14ac:dyDescent="0.2">
      <c r="A40" s="27" t="s">
        <v>416</v>
      </c>
      <c r="B40" s="27" t="s">
        <v>415</v>
      </c>
      <c r="C40" s="27" t="s">
        <v>104</v>
      </c>
      <c r="D40" s="31">
        <v>19398917</v>
      </c>
      <c r="E40" s="29">
        <v>8525.8240220000007</v>
      </c>
      <c r="F40" s="30">
        <v>1.20923860643482</v>
      </c>
    </row>
    <row r="41" spans="1:6" x14ac:dyDescent="0.2">
      <c r="A41" s="27" t="s">
        <v>418</v>
      </c>
      <c r="B41" s="27" t="s">
        <v>417</v>
      </c>
      <c r="C41" s="27" t="s">
        <v>104</v>
      </c>
      <c r="D41" s="31">
        <v>14244569</v>
      </c>
      <c r="E41" s="29">
        <v>8482.64084</v>
      </c>
      <c r="F41" s="30">
        <v>1.20311382944102</v>
      </c>
    </row>
    <row r="42" spans="1:6" x14ac:dyDescent="0.2">
      <c r="A42" s="27" t="s">
        <v>420</v>
      </c>
      <c r="B42" s="27" t="s">
        <v>419</v>
      </c>
      <c r="C42" s="27" t="s">
        <v>187</v>
      </c>
      <c r="D42" s="31">
        <v>1503836</v>
      </c>
      <c r="E42" s="29">
        <v>8332.0033579999999</v>
      </c>
      <c r="F42" s="30">
        <v>1.18174854459108</v>
      </c>
    </row>
    <row r="43" spans="1:6" x14ac:dyDescent="0.2">
      <c r="A43" s="27" t="s">
        <v>325</v>
      </c>
      <c r="B43" s="27" t="s">
        <v>324</v>
      </c>
      <c r="C43" s="27" t="s">
        <v>159</v>
      </c>
      <c r="D43" s="31">
        <v>103243</v>
      </c>
      <c r="E43" s="29">
        <v>8102.7171259999996</v>
      </c>
      <c r="F43" s="30">
        <v>1.14922831394323</v>
      </c>
    </row>
    <row r="44" spans="1:6" x14ac:dyDescent="0.2">
      <c r="A44" s="27" t="s">
        <v>422</v>
      </c>
      <c r="B44" s="27" t="s">
        <v>421</v>
      </c>
      <c r="C44" s="27" t="s">
        <v>174</v>
      </c>
      <c r="D44" s="31">
        <v>1089670</v>
      </c>
      <c r="E44" s="29">
        <v>7726.3051349999996</v>
      </c>
      <c r="F44" s="30">
        <v>1.0958408747622601</v>
      </c>
    </row>
    <row r="45" spans="1:6" x14ac:dyDescent="0.2">
      <c r="A45" s="27" t="s">
        <v>424</v>
      </c>
      <c r="B45" s="27" t="s">
        <v>423</v>
      </c>
      <c r="C45" s="27" t="s">
        <v>425</v>
      </c>
      <c r="D45" s="31">
        <v>2464730</v>
      </c>
      <c r="E45" s="29">
        <v>7150.1817300000002</v>
      </c>
      <c r="F45" s="30">
        <v>1.0141278741655999</v>
      </c>
    </row>
    <row r="46" spans="1:6" x14ac:dyDescent="0.2">
      <c r="A46" s="27" t="s">
        <v>427</v>
      </c>
      <c r="B46" s="27" t="s">
        <v>426</v>
      </c>
      <c r="C46" s="27" t="s">
        <v>404</v>
      </c>
      <c r="D46" s="31">
        <v>1054022</v>
      </c>
      <c r="E46" s="29">
        <v>7138.8910059999998</v>
      </c>
      <c r="F46" s="30">
        <v>1.01252648298979</v>
      </c>
    </row>
    <row r="47" spans="1:6" x14ac:dyDescent="0.2">
      <c r="A47" s="27" t="s">
        <v>429</v>
      </c>
      <c r="B47" s="27" t="s">
        <v>428</v>
      </c>
      <c r="C47" s="27" t="s">
        <v>284</v>
      </c>
      <c r="D47" s="31">
        <v>77642</v>
      </c>
      <c r="E47" s="29">
        <v>7087.2782230000003</v>
      </c>
      <c r="F47" s="30">
        <v>1.0052061149376099</v>
      </c>
    </row>
    <row r="48" spans="1:6" x14ac:dyDescent="0.2">
      <c r="A48" s="27" t="s">
        <v>161</v>
      </c>
      <c r="B48" s="27" t="s">
        <v>160</v>
      </c>
      <c r="C48" s="27" t="s">
        <v>104</v>
      </c>
      <c r="D48" s="31">
        <v>4408453</v>
      </c>
      <c r="E48" s="29">
        <v>6689.8274279999996</v>
      </c>
      <c r="F48" s="30">
        <v>0.948834690400575</v>
      </c>
    </row>
    <row r="49" spans="1:6" x14ac:dyDescent="0.2">
      <c r="A49" s="27" t="s">
        <v>431</v>
      </c>
      <c r="B49" s="27" t="s">
        <v>430</v>
      </c>
      <c r="C49" s="27" t="s">
        <v>125</v>
      </c>
      <c r="D49" s="31">
        <v>1667102</v>
      </c>
      <c r="E49" s="29">
        <v>6593.3884099999996</v>
      </c>
      <c r="F49" s="30">
        <v>0.93515650710341303</v>
      </c>
    </row>
    <row r="50" spans="1:6" x14ac:dyDescent="0.2">
      <c r="A50" s="27" t="s">
        <v>433</v>
      </c>
      <c r="B50" s="27" t="s">
        <v>432</v>
      </c>
      <c r="C50" s="27" t="s">
        <v>434</v>
      </c>
      <c r="D50" s="31">
        <v>233330</v>
      </c>
      <c r="E50" s="29">
        <v>6588.1892150000003</v>
      </c>
      <c r="F50" s="30">
        <v>0.93441909247930599</v>
      </c>
    </row>
    <row r="51" spans="1:6" x14ac:dyDescent="0.2">
      <c r="A51" s="27" t="s">
        <v>268</v>
      </c>
      <c r="B51" s="27" t="s">
        <v>267</v>
      </c>
      <c r="C51" s="27" t="s">
        <v>133</v>
      </c>
      <c r="D51" s="31">
        <v>1057947</v>
      </c>
      <c r="E51" s="29">
        <v>6446.6000450000001</v>
      </c>
      <c r="F51" s="30">
        <v>0.91433715199176402</v>
      </c>
    </row>
    <row r="52" spans="1:6" x14ac:dyDescent="0.2">
      <c r="A52" s="27" t="s">
        <v>436</v>
      </c>
      <c r="B52" s="27" t="s">
        <v>435</v>
      </c>
      <c r="C52" s="27" t="s">
        <v>174</v>
      </c>
      <c r="D52" s="31">
        <v>2406212</v>
      </c>
      <c r="E52" s="29">
        <v>6366.8369519999997</v>
      </c>
      <c r="F52" s="30">
        <v>0.90302415618333898</v>
      </c>
    </row>
    <row r="53" spans="1:6" x14ac:dyDescent="0.2">
      <c r="A53" s="27" t="s">
        <v>438</v>
      </c>
      <c r="B53" s="27" t="s">
        <v>437</v>
      </c>
      <c r="C53" s="27" t="s">
        <v>368</v>
      </c>
      <c r="D53" s="31">
        <v>6313159</v>
      </c>
      <c r="E53" s="29">
        <v>6310.0024210000001</v>
      </c>
      <c r="F53" s="30">
        <v>0.894963174759552</v>
      </c>
    </row>
    <row r="54" spans="1:6" x14ac:dyDescent="0.2">
      <c r="A54" s="27" t="s">
        <v>271</v>
      </c>
      <c r="B54" s="27" t="s">
        <v>270</v>
      </c>
      <c r="C54" s="27" t="s">
        <v>209</v>
      </c>
      <c r="D54" s="31">
        <v>3705630</v>
      </c>
      <c r="E54" s="29">
        <v>6223.6055850000002</v>
      </c>
      <c r="F54" s="30">
        <v>0.88270929885319604</v>
      </c>
    </row>
    <row r="55" spans="1:6" x14ac:dyDescent="0.2">
      <c r="A55" s="27" t="s">
        <v>440</v>
      </c>
      <c r="B55" s="27" t="s">
        <v>439</v>
      </c>
      <c r="C55" s="27" t="s">
        <v>192</v>
      </c>
      <c r="D55" s="31">
        <v>2017424</v>
      </c>
      <c r="E55" s="29">
        <v>5808.1636959999996</v>
      </c>
      <c r="F55" s="30">
        <v>0.82378615317100801</v>
      </c>
    </row>
    <row r="56" spans="1:6" x14ac:dyDescent="0.2">
      <c r="A56" s="27" t="s">
        <v>442</v>
      </c>
      <c r="B56" s="27" t="s">
        <v>441</v>
      </c>
      <c r="C56" s="27" t="s">
        <v>159</v>
      </c>
      <c r="D56" s="31">
        <v>988899</v>
      </c>
      <c r="E56" s="29">
        <v>5372.1938179999997</v>
      </c>
      <c r="F56" s="30">
        <v>0.76195147228152205</v>
      </c>
    </row>
    <row r="57" spans="1:6" x14ac:dyDescent="0.2">
      <c r="A57" s="27" t="s">
        <v>444</v>
      </c>
      <c r="B57" s="27" t="s">
        <v>443</v>
      </c>
      <c r="C57" s="27" t="s">
        <v>187</v>
      </c>
      <c r="D57" s="31">
        <v>9994157</v>
      </c>
      <c r="E57" s="29">
        <v>5022.0638929999996</v>
      </c>
      <c r="F57" s="30">
        <v>0.71229168321179603</v>
      </c>
    </row>
    <row r="58" spans="1:6" x14ac:dyDescent="0.2">
      <c r="A58" s="27" t="s">
        <v>446</v>
      </c>
      <c r="B58" s="27" t="s">
        <v>445</v>
      </c>
      <c r="C58" s="27" t="s">
        <v>425</v>
      </c>
      <c r="D58" s="31">
        <v>18921468</v>
      </c>
      <c r="E58" s="29">
        <v>4418.1627779999999</v>
      </c>
      <c r="F58" s="30">
        <v>0.62663890163400704</v>
      </c>
    </row>
    <row r="59" spans="1:6" x14ac:dyDescent="0.2">
      <c r="A59" s="27" t="s">
        <v>448</v>
      </c>
      <c r="B59" s="27" t="s">
        <v>447</v>
      </c>
      <c r="C59" s="27" t="s">
        <v>449</v>
      </c>
      <c r="D59" s="31">
        <v>3952038</v>
      </c>
      <c r="E59" s="29">
        <v>4062.695064</v>
      </c>
      <c r="F59" s="30">
        <v>0.576222040812019</v>
      </c>
    </row>
    <row r="60" spans="1:6" x14ac:dyDescent="0.2">
      <c r="A60" s="27" t="s">
        <v>451</v>
      </c>
      <c r="B60" s="27" t="s">
        <v>450</v>
      </c>
      <c r="C60" s="27" t="s">
        <v>192</v>
      </c>
      <c r="D60" s="31">
        <v>156103</v>
      </c>
      <c r="E60" s="29">
        <v>3746.237846</v>
      </c>
      <c r="F60" s="30">
        <v>0.53133813465783297</v>
      </c>
    </row>
    <row r="61" spans="1:6" x14ac:dyDescent="0.2">
      <c r="A61" s="27" t="s">
        <v>275</v>
      </c>
      <c r="B61" s="27" t="s">
        <v>274</v>
      </c>
      <c r="C61" s="27" t="s">
        <v>276</v>
      </c>
      <c r="D61" s="31">
        <v>179416</v>
      </c>
      <c r="E61" s="29">
        <v>3305.022136</v>
      </c>
      <c r="F61" s="30">
        <v>0.46875942450373898</v>
      </c>
    </row>
    <row r="62" spans="1:6" x14ac:dyDescent="0.2">
      <c r="A62" s="27" t="s">
        <v>453</v>
      </c>
      <c r="B62" s="27" t="s">
        <v>452</v>
      </c>
      <c r="C62" s="27" t="s">
        <v>368</v>
      </c>
      <c r="D62" s="31">
        <v>160465</v>
      </c>
      <c r="E62" s="29">
        <v>2555.0841949999999</v>
      </c>
      <c r="F62" s="30">
        <v>0.36239388044050302</v>
      </c>
    </row>
    <row r="63" spans="1:6" x14ac:dyDescent="0.2">
      <c r="A63" s="27" t="s">
        <v>200</v>
      </c>
      <c r="B63" s="27" t="s">
        <v>199</v>
      </c>
      <c r="C63" s="27" t="s">
        <v>201</v>
      </c>
      <c r="D63" s="31">
        <v>991266</v>
      </c>
      <c r="E63" s="29">
        <v>2485.1038619999999</v>
      </c>
      <c r="F63" s="30">
        <v>0.35246839756208498</v>
      </c>
    </row>
    <row r="64" spans="1:6" x14ac:dyDescent="0.2">
      <c r="A64" s="27" t="s">
        <v>455</v>
      </c>
      <c r="B64" s="27" t="s">
        <v>454</v>
      </c>
      <c r="C64" s="27" t="s">
        <v>138</v>
      </c>
      <c r="D64" s="31">
        <v>512700</v>
      </c>
      <c r="E64" s="29">
        <v>2459.6782499999999</v>
      </c>
      <c r="F64" s="30">
        <v>0.34886222042972798</v>
      </c>
    </row>
    <row r="65" spans="1:9" x14ac:dyDescent="0.2">
      <c r="A65" s="27" t="s">
        <v>457</v>
      </c>
      <c r="B65" s="27" t="s">
        <v>456</v>
      </c>
      <c r="C65" s="27" t="s">
        <v>101</v>
      </c>
      <c r="D65" s="31">
        <v>250000</v>
      </c>
      <c r="E65" s="29">
        <v>1132.625</v>
      </c>
      <c r="F65" s="30">
        <v>0.16064299158404999</v>
      </c>
    </row>
    <row r="66" spans="1:9" x14ac:dyDescent="0.2">
      <c r="A66" s="27" t="s">
        <v>459</v>
      </c>
      <c r="B66" s="27" t="s">
        <v>458</v>
      </c>
      <c r="C66" s="27" t="s">
        <v>305</v>
      </c>
      <c r="D66" s="31">
        <v>45772</v>
      </c>
      <c r="E66" s="29">
        <v>977.987438</v>
      </c>
      <c r="F66" s="30">
        <v>0.13871036554194099</v>
      </c>
    </row>
    <row r="67" spans="1:9" x14ac:dyDescent="0.2">
      <c r="A67" s="27" t="s">
        <v>461</v>
      </c>
      <c r="B67" s="27" t="s">
        <v>460</v>
      </c>
      <c r="C67" s="27" t="s">
        <v>462</v>
      </c>
      <c r="D67" s="31">
        <v>3182315</v>
      </c>
      <c r="E67" s="29">
        <v>762.16444249999995</v>
      </c>
      <c r="F67" s="30">
        <v>0.108099658865193</v>
      </c>
    </row>
    <row r="68" spans="1:9" x14ac:dyDescent="0.2">
      <c r="A68" s="26" t="s">
        <v>34</v>
      </c>
      <c r="B68" s="26"/>
      <c r="C68" s="26"/>
      <c r="D68" s="32"/>
      <c r="E68" s="33">
        <f>SUM(E7:E67)</f>
        <v>670444.44264050014</v>
      </c>
      <c r="F68" s="34">
        <f>SUM(F7:F67)</f>
        <v>95.090785526251778</v>
      </c>
      <c r="G68" s="18"/>
      <c r="H68" s="18"/>
      <c r="I68" s="18"/>
    </row>
    <row r="69" spans="1:9" x14ac:dyDescent="0.2">
      <c r="A69" s="27"/>
      <c r="B69" s="27"/>
      <c r="C69" s="27"/>
      <c r="D69" s="28"/>
      <c r="E69" s="29"/>
      <c r="F69" s="30"/>
    </row>
    <row r="70" spans="1:9" x14ac:dyDescent="0.2">
      <c r="A70" s="26" t="s">
        <v>36</v>
      </c>
      <c r="B70" s="26"/>
      <c r="C70" s="26"/>
      <c r="D70" s="32"/>
      <c r="E70" s="33">
        <f>E68</f>
        <v>670444.44264050014</v>
      </c>
      <c r="F70" s="34">
        <f>F68</f>
        <v>95.090785526251778</v>
      </c>
      <c r="G70" s="18"/>
      <c r="H70" s="18"/>
      <c r="I70" s="18"/>
    </row>
    <row r="71" spans="1:9" x14ac:dyDescent="0.2">
      <c r="A71" s="26"/>
      <c r="B71" s="26"/>
      <c r="C71" s="26"/>
      <c r="D71" s="32"/>
      <c r="E71" s="33"/>
      <c r="F71" s="34"/>
      <c r="G71" s="18"/>
      <c r="H71" s="18"/>
      <c r="I71" s="18"/>
    </row>
    <row r="72" spans="1:9" x14ac:dyDescent="0.2">
      <c r="A72" s="26" t="s">
        <v>38</v>
      </c>
      <c r="B72" s="26"/>
      <c r="C72" s="26"/>
      <c r="D72" s="32"/>
      <c r="E72" s="33">
        <f>E74-(E68)</f>
        <v>34612.77076889982</v>
      </c>
      <c r="F72" s="34">
        <f>F74-(F68)</f>
        <v>4.9092144737482215</v>
      </c>
      <c r="G72" s="18"/>
      <c r="H72" s="18"/>
      <c r="I72" s="18"/>
    </row>
    <row r="73" spans="1:9" x14ac:dyDescent="0.2">
      <c r="A73" s="26"/>
      <c r="B73" s="26"/>
      <c r="C73" s="26"/>
      <c r="D73" s="32"/>
      <c r="E73" s="33"/>
      <c r="F73" s="34"/>
      <c r="G73" s="18"/>
      <c r="H73" s="18"/>
      <c r="I73" s="18"/>
    </row>
    <row r="74" spans="1:9" x14ac:dyDescent="0.2">
      <c r="A74" s="35" t="s">
        <v>37</v>
      </c>
      <c r="B74" s="35"/>
      <c r="C74" s="35"/>
      <c r="D74" s="36"/>
      <c r="E74" s="37">
        <v>705057.21340939996</v>
      </c>
      <c r="F74" s="38">
        <v>100</v>
      </c>
      <c r="G74" s="18"/>
      <c r="H74" s="18"/>
      <c r="I74" s="18"/>
    </row>
    <row r="77" spans="1:9" x14ac:dyDescent="0.2">
      <c r="A77" s="18" t="s">
        <v>40</v>
      </c>
    </row>
    <row r="78" spans="1:9" x14ac:dyDescent="0.2">
      <c r="A78" s="18" t="s">
        <v>41</v>
      </c>
    </row>
    <row r="79" spans="1:9" x14ac:dyDescent="0.2">
      <c r="A79" s="18" t="s">
        <v>42</v>
      </c>
      <c r="B79" s="18"/>
      <c r="C79" s="39" t="s">
        <v>44</v>
      </c>
      <c r="D79" s="19" t="s">
        <v>43</v>
      </c>
    </row>
    <row r="80" spans="1:9" x14ac:dyDescent="0.2">
      <c r="A80" s="9" t="s">
        <v>71</v>
      </c>
      <c r="C80" s="40">
        <v>66.493399999999994</v>
      </c>
      <c r="D80" s="40">
        <v>83.824799999999996</v>
      </c>
    </row>
    <row r="81" spans="1:4" x14ac:dyDescent="0.2">
      <c r="A81" s="9" t="s">
        <v>77</v>
      </c>
      <c r="C81" s="40">
        <v>26.6906</v>
      </c>
      <c r="D81" s="40">
        <v>33.647399999999998</v>
      </c>
    </row>
    <row r="82" spans="1:4" x14ac:dyDescent="0.2">
      <c r="A82" s="9" t="s">
        <v>74</v>
      </c>
      <c r="C82" s="40">
        <v>72.536299999999997</v>
      </c>
      <c r="D82" s="40">
        <v>91.834199999999996</v>
      </c>
    </row>
    <row r="83" spans="1:4" x14ac:dyDescent="0.2">
      <c r="A83" s="9" t="s">
        <v>78</v>
      </c>
      <c r="C83" s="40">
        <v>30.162199999999999</v>
      </c>
      <c r="D83" s="40">
        <v>38.186599999999999</v>
      </c>
    </row>
    <row r="85" spans="1:4" x14ac:dyDescent="0.2">
      <c r="A85" s="9" t="s">
        <v>45</v>
      </c>
    </row>
    <row r="87" spans="1:4" x14ac:dyDescent="0.2">
      <c r="A87" s="18" t="s">
        <v>46</v>
      </c>
      <c r="D87" s="41" t="s">
        <v>47</v>
      </c>
    </row>
    <row r="89" spans="1:4" x14ac:dyDescent="0.2">
      <c r="A89" s="18" t="s">
        <v>220</v>
      </c>
      <c r="D89" s="45">
        <v>5.0099999999999999E-2</v>
      </c>
    </row>
    <row r="91" spans="1:4" x14ac:dyDescent="0.2">
      <c r="A91" s="18" t="s">
        <v>97</v>
      </c>
    </row>
    <row r="92" spans="1:4" x14ac:dyDescent="0.2">
      <c r="A92" s="46" t="s">
        <v>51</v>
      </c>
    </row>
  </sheetData>
  <mergeCells count="1">
    <mergeCell ref="A1:F1"/>
  </mergeCells>
  <conditionalFormatting sqref="F2:F3 F5:F65536">
    <cfRule type="cellIs" dxfId="21" priority="1" stopIfTrue="1" operator="between">
      <formula>0.009</formula>
      <formula>-0.009</formula>
    </cfRule>
  </conditionalFormatting>
  <hyperlinks>
    <hyperlink ref="A92" r:id="rId1" tooltip="https://www.franklintempletonindia.com/downloadsServlet/pdf/product-labels-jg9o5k7l"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95"/>
  <sheetViews>
    <sheetView showGridLines="0" workbookViewId="0">
      <selection sqref="A1:F1"/>
    </sheetView>
  </sheetViews>
  <sheetFormatPr defaultColWidth="9.109375" defaultRowHeight="10.199999999999999" x14ac:dyDescent="0.2"/>
  <cols>
    <col min="1" max="1" width="38.6640625" style="9" bestFit="1" customWidth="1"/>
    <col min="2" max="2" width="32.109375" style="9" bestFit="1" customWidth="1"/>
    <col min="3" max="3" width="24.6640625" style="9" bestFit="1" customWidth="1"/>
    <col min="4" max="4" width="15.5546875" style="10" bestFit="1" customWidth="1"/>
    <col min="5" max="5" width="23" style="13" bestFit="1" customWidth="1"/>
    <col min="6" max="6" width="14.6640625" style="14" bestFit="1" customWidth="1"/>
    <col min="7" max="16384" width="9.109375" style="9"/>
  </cols>
  <sheetData>
    <row r="1" spans="1:6" s="1" customFormat="1" ht="13.8" x14ac:dyDescent="0.2">
      <c r="A1" s="69" t="s">
        <v>14</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464</v>
      </c>
      <c r="B7" s="27" t="s">
        <v>463</v>
      </c>
      <c r="C7" s="27" t="s">
        <v>120</v>
      </c>
      <c r="D7" s="31">
        <v>7391052</v>
      </c>
      <c r="E7" s="29">
        <v>34992.935689999998</v>
      </c>
      <c r="F7" s="30">
        <v>4.4003254420732301</v>
      </c>
    </row>
    <row r="8" spans="1:6" x14ac:dyDescent="0.2">
      <c r="A8" s="27" t="s">
        <v>108</v>
      </c>
      <c r="B8" s="27" t="s">
        <v>107</v>
      </c>
      <c r="C8" s="27" t="s">
        <v>104</v>
      </c>
      <c r="D8" s="31">
        <v>4463996</v>
      </c>
      <c r="E8" s="29">
        <v>32098.363239999999</v>
      </c>
      <c r="F8" s="30">
        <v>4.03633595263753</v>
      </c>
    </row>
    <row r="9" spans="1:6" x14ac:dyDescent="0.2">
      <c r="A9" s="27" t="s">
        <v>103</v>
      </c>
      <c r="B9" s="27" t="s">
        <v>102</v>
      </c>
      <c r="C9" s="27" t="s">
        <v>104</v>
      </c>
      <c r="D9" s="31">
        <v>1730636</v>
      </c>
      <c r="E9" s="29">
        <v>27368.277699999999</v>
      </c>
      <c r="F9" s="30">
        <v>3.4415325920611601</v>
      </c>
    </row>
    <row r="10" spans="1:6" x14ac:dyDescent="0.2">
      <c r="A10" s="27" t="s">
        <v>466</v>
      </c>
      <c r="B10" s="27" t="s">
        <v>465</v>
      </c>
      <c r="C10" s="27" t="s">
        <v>101</v>
      </c>
      <c r="D10" s="31">
        <v>932514</v>
      </c>
      <c r="E10" s="29">
        <v>27025.18823</v>
      </c>
      <c r="F10" s="30">
        <v>3.3983894463381898</v>
      </c>
    </row>
    <row r="11" spans="1:6" x14ac:dyDescent="0.2">
      <c r="A11" s="27" t="s">
        <v>119</v>
      </c>
      <c r="B11" s="27" t="s">
        <v>118</v>
      </c>
      <c r="C11" s="27" t="s">
        <v>120</v>
      </c>
      <c r="D11" s="31">
        <v>2622087</v>
      </c>
      <c r="E11" s="29">
        <v>26112.053390000001</v>
      </c>
      <c r="F11" s="30">
        <v>3.2835636853877102</v>
      </c>
    </row>
    <row r="12" spans="1:6" x14ac:dyDescent="0.2">
      <c r="A12" s="27" t="s">
        <v>317</v>
      </c>
      <c r="B12" s="27" t="s">
        <v>316</v>
      </c>
      <c r="C12" s="27" t="s">
        <v>159</v>
      </c>
      <c r="D12" s="31">
        <v>418016</v>
      </c>
      <c r="E12" s="29">
        <v>25843.212179999999</v>
      </c>
      <c r="F12" s="30">
        <v>3.2497571815058701</v>
      </c>
    </row>
    <row r="13" spans="1:6" x14ac:dyDescent="0.2">
      <c r="A13" s="27" t="s">
        <v>365</v>
      </c>
      <c r="B13" s="27" t="s">
        <v>364</v>
      </c>
      <c r="C13" s="27" t="s">
        <v>284</v>
      </c>
      <c r="D13" s="31">
        <v>1125123</v>
      </c>
      <c r="E13" s="29">
        <v>25693.308830000002</v>
      </c>
      <c r="F13" s="30">
        <v>3.23090699040729</v>
      </c>
    </row>
    <row r="14" spans="1:6" x14ac:dyDescent="0.2">
      <c r="A14" s="27" t="s">
        <v>468</v>
      </c>
      <c r="B14" s="27" t="s">
        <v>467</v>
      </c>
      <c r="C14" s="27" t="s">
        <v>434</v>
      </c>
      <c r="D14" s="31">
        <v>500865</v>
      </c>
      <c r="E14" s="29">
        <v>24890.73661</v>
      </c>
      <c r="F14" s="30">
        <v>3.1299843644792098</v>
      </c>
    </row>
    <row r="15" spans="1:6" x14ac:dyDescent="0.2">
      <c r="A15" s="27" t="s">
        <v>470</v>
      </c>
      <c r="B15" s="27" t="s">
        <v>469</v>
      </c>
      <c r="C15" s="27" t="s">
        <v>174</v>
      </c>
      <c r="D15" s="31">
        <v>2270034</v>
      </c>
      <c r="E15" s="29">
        <v>22900.102989999999</v>
      </c>
      <c r="F15" s="30">
        <v>2.8796642472552199</v>
      </c>
    </row>
    <row r="16" spans="1:6" x14ac:dyDescent="0.2">
      <c r="A16" s="27" t="s">
        <v>240</v>
      </c>
      <c r="B16" s="27" t="s">
        <v>239</v>
      </c>
      <c r="C16" s="27" t="s">
        <v>241</v>
      </c>
      <c r="D16" s="31">
        <v>11487252</v>
      </c>
      <c r="E16" s="29">
        <v>21440.955859999998</v>
      </c>
      <c r="F16" s="30">
        <v>2.6961780060107601</v>
      </c>
    </row>
    <row r="17" spans="1:6" x14ac:dyDescent="0.2">
      <c r="A17" s="27" t="s">
        <v>171</v>
      </c>
      <c r="B17" s="27" t="s">
        <v>170</v>
      </c>
      <c r="C17" s="27" t="s">
        <v>125</v>
      </c>
      <c r="D17" s="31">
        <v>3298612</v>
      </c>
      <c r="E17" s="29">
        <v>20436.550650000001</v>
      </c>
      <c r="F17" s="30">
        <v>2.5698750905061098</v>
      </c>
    </row>
    <row r="18" spans="1:6" x14ac:dyDescent="0.2">
      <c r="A18" s="27" t="s">
        <v>161</v>
      </c>
      <c r="B18" s="27" t="s">
        <v>160</v>
      </c>
      <c r="C18" s="27" t="s">
        <v>104</v>
      </c>
      <c r="D18" s="31">
        <v>13160416</v>
      </c>
      <c r="E18" s="29">
        <v>19970.931280000001</v>
      </c>
      <c r="F18" s="30">
        <v>2.51132393668798</v>
      </c>
    </row>
    <row r="19" spans="1:6" x14ac:dyDescent="0.2">
      <c r="A19" s="27" t="s">
        <v>113</v>
      </c>
      <c r="B19" s="27" t="s">
        <v>112</v>
      </c>
      <c r="C19" s="27" t="s">
        <v>114</v>
      </c>
      <c r="D19" s="31">
        <v>861879</v>
      </c>
      <c r="E19" s="29">
        <v>19779.261170000002</v>
      </c>
      <c r="F19" s="30">
        <v>2.4872216187518799</v>
      </c>
    </row>
    <row r="20" spans="1:6" x14ac:dyDescent="0.2">
      <c r="A20" s="27" t="s">
        <v>219</v>
      </c>
      <c r="B20" s="27" t="s">
        <v>218</v>
      </c>
      <c r="C20" s="27" t="s">
        <v>104</v>
      </c>
      <c r="D20" s="31">
        <v>23869927</v>
      </c>
      <c r="E20" s="29">
        <v>19394.315689999999</v>
      </c>
      <c r="F20" s="30">
        <v>2.4388151230962598</v>
      </c>
    </row>
    <row r="21" spans="1:6" x14ac:dyDescent="0.2">
      <c r="A21" s="27" t="s">
        <v>281</v>
      </c>
      <c r="B21" s="27" t="s">
        <v>280</v>
      </c>
      <c r="C21" s="27" t="s">
        <v>125</v>
      </c>
      <c r="D21" s="31">
        <v>2235553</v>
      </c>
      <c r="E21" s="29">
        <v>19336.415669999998</v>
      </c>
      <c r="F21" s="30">
        <v>2.4315342555131698</v>
      </c>
    </row>
    <row r="22" spans="1:6" x14ac:dyDescent="0.2">
      <c r="A22" s="27" t="s">
        <v>206</v>
      </c>
      <c r="B22" s="27" t="s">
        <v>205</v>
      </c>
      <c r="C22" s="27" t="s">
        <v>187</v>
      </c>
      <c r="D22" s="31">
        <v>2730269</v>
      </c>
      <c r="E22" s="29">
        <v>18683.230769999998</v>
      </c>
      <c r="F22" s="30">
        <v>2.3493969304453199</v>
      </c>
    </row>
    <row r="23" spans="1:6" x14ac:dyDescent="0.2">
      <c r="A23" s="27" t="s">
        <v>472</v>
      </c>
      <c r="B23" s="27" t="s">
        <v>471</v>
      </c>
      <c r="C23" s="27" t="s">
        <v>138</v>
      </c>
      <c r="D23" s="31">
        <v>721075</v>
      </c>
      <c r="E23" s="29">
        <v>18569.84448</v>
      </c>
      <c r="F23" s="30">
        <v>2.3351387218431801</v>
      </c>
    </row>
    <row r="24" spans="1:6" x14ac:dyDescent="0.2">
      <c r="A24" s="27" t="s">
        <v>474</v>
      </c>
      <c r="B24" s="27" t="s">
        <v>473</v>
      </c>
      <c r="C24" s="27" t="s">
        <v>125</v>
      </c>
      <c r="D24" s="31">
        <v>3091673</v>
      </c>
      <c r="E24" s="29">
        <v>18463.471160000001</v>
      </c>
      <c r="F24" s="30">
        <v>2.3217623869594601</v>
      </c>
    </row>
    <row r="25" spans="1:6" x14ac:dyDescent="0.2">
      <c r="A25" s="27" t="s">
        <v>476</v>
      </c>
      <c r="B25" s="27" t="s">
        <v>475</v>
      </c>
      <c r="C25" s="27" t="s">
        <v>368</v>
      </c>
      <c r="D25" s="31">
        <v>2591632</v>
      </c>
      <c r="E25" s="29">
        <v>18234.722750000001</v>
      </c>
      <c r="F25" s="30">
        <v>2.29299751117785</v>
      </c>
    </row>
    <row r="26" spans="1:6" x14ac:dyDescent="0.2">
      <c r="A26" s="27" t="s">
        <v>154</v>
      </c>
      <c r="B26" s="27" t="s">
        <v>153</v>
      </c>
      <c r="C26" s="27" t="s">
        <v>133</v>
      </c>
      <c r="D26" s="31">
        <v>3864460</v>
      </c>
      <c r="E26" s="29">
        <v>18226.725589999998</v>
      </c>
      <c r="F26" s="30">
        <v>2.2919918765856502</v>
      </c>
    </row>
    <row r="27" spans="1:6" x14ac:dyDescent="0.2">
      <c r="A27" s="27" t="s">
        <v>295</v>
      </c>
      <c r="B27" s="27" t="s">
        <v>294</v>
      </c>
      <c r="C27" s="27" t="s">
        <v>152</v>
      </c>
      <c r="D27" s="31">
        <v>14789858</v>
      </c>
      <c r="E27" s="29">
        <v>18154.5507</v>
      </c>
      <c r="F27" s="30">
        <v>2.2829159588758801</v>
      </c>
    </row>
    <row r="28" spans="1:6" x14ac:dyDescent="0.2">
      <c r="A28" s="27" t="s">
        <v>122</v>
      </c>
      <c r="B28" s="27" t="s">
        <v>121</v>
      </c>
      <c r="C28" s="27" t="s">
        <v>104</v>
      </c>
      <c r="D28" s="31">
        <v>1001436</v>
      </c>
      <c r="E28" s="29">
        <v>17562.183130000001</v>
      </c>
      <c r="F28" s="30">
        <v>2.2084263501039301</v>
      </c>
    </row>
    <row r="29" spans="1:6" x14ac:dyDescent="0.2">
      <c r="A29" s="27" t="s">
        <v>478</v>
      </c>
      <c r="B29" s="27" t="s">
        <v>477</v>
      </c>
      <c r="C29" s="27" t="s">
        <v>159</v>
      </c>
      <c r="D29" s="31">
        <v>1736049</v>
      </c>
      <c r="E29" s="29">
        <v>17480.27738</v>
      </c>
      <c r="F29" s="30">
        <v>2.1981267868215002</v>
      </c>
    </row>
    <row r="30" spans="1:6" x14ac:dyDescent="0.2">
      <c r="A30" s="27" t="s">
        <v>203</v>
      </c>
      <c r="B30" s="27" t="s">
        <v>202</v>
      </c>
      <c r="C30" s="27" t="s">
        <v>204</v>
      </c>
      <c r="D30" s="31">
        <v>12240848</v>
      </c>
      <c r="E30" s="29">
        <v>17186.150590000001</v>
      </c>
      <c r="F30" s="30">
        <v>2.1611406474276</v>
      </c>
    </row>
    <row r="31" spans="1:6" x14ac:dyDescent="0.2">
      <c r="A31" s="27" t="s">
        <v>480</v>
      </c>
      <c r="B31" s="27" t="s">
        <v>479</v>
      </c>
      <c r="C31" s="27" t="s">
        <v>174</v>
      </c>
      <c r="D31" s="31">
        <v>482739</v>
      </c>
      <c r="E31" s="29">
        <v>15792.32365</v>
      </c>
      <c r="F31" s="30">
        <v>1.98586835246316</v>
      </c>
    </row>
    <row r="32" spans="1:6" x14ac:dyDescent="0.2">
      <c r="A32" s="27" t="s">
        <v>482</v>
      </c>
      <c r="B32" s="27" t="s">
        <v>481</v>
      </c>
      <c r="C32" s="27" t="s">
        <v>187</v>
      </c>
      <c r="D32" s="31">
        <v>576465</v>
      </c>
      <c r="E32" s="29">
        <v>15004.807489999999</v>
      </c>
      <c r="F32" s="30">
        <v>1.8868390104956601</v>
      </c>
    </row>
    <row r="33" spans="1:6" x14ac:dyDescent="0.2">
      <c r="A33" s="27" t="s">
        <v>484</v>
      </c>
      <c r="B33" s="27" t="s">
        <v>483</v>
      </c>
      <c r="C33" s="27" t="s">
        <v>114</v>
      </c>
      <c r="D33" s="31">
        <v>1705821</v>
      </c>
      <c r="E33" s="29">
        <v>13584.30553</v>
      </c>
      <c r="F33" s="30">
        <v>1.7082123593773599</v>
      </c>
    </row>
    <row r="34" spans="1:6" x14ac:dyDescent="0.2">
      <c r="A34" s="27" t="s">
        <v>486</v>
      </c>
      <c r="B34" s="27" t="s">
        <v>485</v>
      </c>
      <c r="C34" s="27" t="s">
        <v>310</v>
      </c>
      <c r="D34" s="31">
        <v>1985126</v>
      </c>
      <c r="E34" s="29">
        <v>13489.92373</v>
      </c>
      <c r="F34" s="30">
        <v>1.6963439457213001</v>
      </c>
    </row>
    <row r="35" spans="1:6" x14ac:dyDescent="0.2">
      <c r="A35" s="27" t="s">
        <v>262</v>
      </c>
      <c r="B35" s="27" t="s">
        <v>261</v>
      </c>
      <c r="C35" s="27" t="s">
        <v>187</v>
      </c>
      <c r="D35" s="31">
        <v>11253507</v>
      </c>
      <c r="E35" s="29">
        <v>13267.884749999999</v>
      </c>
      <c r="F35" s="30">
        <v>1.6684227738173101</v>
      </c>
    </row>
    <row r="36" spans="1:6" x14ac:dyDescent="0.2">
      <c r="A36" s="27" t="s">
        <v>135</v>
      </c>
      <c r="B36" s="27" t="s">
        <v>134</v>
      </c>
      <c r="C36" s="27" t="s">
        <v>128</v>
      </c>
      <c r="D36" s="31">
        <v>3725151</v>
      </c>
      <c r="E36" s="29">
        <v>13062.241980000001</v>
      </c>
      <c r="F36" s="30">
        <v>1.64256340834921</v>
      </c>
    </row>
    <row r="37" spans="1:6" x14ac:dyDescent="0.2">
      <c r="A37" s="27" t="s">
        <v>488</v>
      </c>
      <c r="B37" s="27" t="s">
        <v>487</v>
      </c>
      <c r="C37" s="27" t="s">
        <v>489</v>
      </c>
      <c r="D37" s="31">
        <v>1536228</v>
      </c>
      <c r="E37" s="29">
        <v>12180.75181</v>
      </c>
      <c r="F37" s="30">
        <v>1.53171693189605</v>
      </c>
    </row>
    <row r="38" spans="1:6" x14ac:dyDescent="0.2">
      <c r="A38" s="27" t="s">
        <v>491</v>
      </c>
      <c r="B38" s="27" t="s">
        <v>490</v>
      </c>
      <c r="C38" s="27" t="s">
        <v>114</v>
      </c>
      <c r="D38" s="31">
        <v>5444174</v>
      </c>
      <c r="E38" s="29">
        <v>11593.36853</v>
      </c>
      <c r="F38" s="30">
        <v>1.4578540924323899</v>
      </c>
    </row>
    <row r="39" spans="1:6" x14ac:dyDescent="0.2">
      <c r="A39" s="27" t="s">
        <v>493</v>
      </c>
      <c r="B39" s="27" t="s">
        <v>492</v>
      </c>
      <c r="C39" s="27" t="s">
        <v>152</v>
      </c>
      <c r="D39" s="31">
        <v>799918</v>
      </c>
      <c r="E39" s="29">
        <v>10769.69599</v>
      </c>
      <c r="F39" s="30">
        <v>1.35427812310511</v>
      </c>
    </row>
    <row r="40" spans="1:6" x14ac:dyDescent="0.2">
      <c r="A40" s="27" t="s">
        <v>495</v>
      </c>
      <c r="B40" s="27" t="s">
        <v>494</v>
      </c>
      <c r="C40" s="27" t="s">
        <v>496</v>
      </c>
      <c r="D40" s="31">
        <v>294936</v>
      </c>
      <c r="E40" s="29">
        <v>10010.127839999999</v>
      </c>
      <c r="F40" s="30">
        <v>1.2587632144663199</v>
      </c>
    </row>
    <row r="41" spans="1:6" x14ac:dyDescent="0.2">
      <c r="A41" s="27" t="s">
        <v>254</v>
      </c>
      <c r="B41" s="27" t="s">
        <v>253</v>
      </c>
      <c r="C41" s="27" t="s">
        <v>114</v>
      </c>
      <c r="D41" s="31">
        <v>68736</v>
      </c>
      <c r="E41" s="29">
        <v>9526.2597119999991</v>
      </c>
      <c r="F41" s="30">
        <v>1.19791729821885</v>
      </c>
    </row>
    <row r="42" spans="1:6" x14ac:dyDescent="0.2">
      <c r="A42" s="27" t="s">
        <v>260</v>
      </c>
      <c r="B42" s="27" t="s">
        <v>259</v>
      </c>
      <c r="C42" s="27" t="s">
        <v>104</v>
      </c>
      <c r="D42" s="31">
        <v>5234341</v>
      </c>
      <c r="E42" s="29">
        <v>8662.8343550000009</v>
      </c>
      <c r="F42" s="30">
        <v>1.08934245330168</v>
      </c>
    </row>
    <row r="43" spans="1:6" x14ac:dyDescent="0.2">
      <c r="A43" s="27" t="s">
        <v>498</v>
      </c>
      <c r="B43" s="27" t="s">
        <v>497</v>
      </c>
      <c r="C43" s="27" t="s">
        <v>284</v>
      </c>
      <c r="D43" s="31">
        <v>1498063</v>
      </c>
      <c r="E43" s="29">
        <v>8631.0899750000008</v>
      </c>
      <c r="F43" s="30">
        <v>1.08535063037507</v>
      </c>
    </row>
    <row r="44" spans="1:6" x14ac:dyDescent="0.2">
      <c r="A44" s="27" t="s">
        <v>158</v>
      </c>
      <c r="B44" s="27" t="s">
        <v>157</v>
      </c>
      <c r="C44" s="27" t="s">
        <v>159</v>
      </c>
      <c r="D44" s="31">
        <v>4073977</v>
      </c>
      <c r="E44" s="29">
        <v>8477.9461370000008</v>
      </c>
      <c r="F44" s="30">
        <v>1.0660929512646899</v>
      </c>
    </row>
    <row r="45" spans="1:6" x14ac:dyDescent="0.2">
      <c r="A45" s="27" t="s">
        <v>228</v>
      </c>
      <c r="B45" s="27" t="s">
        <v>227</v>
      </c>
      <c r="C45" s="27" t="s">
        <v>174</v>
      </c>
      <c r="D45" s="31">
        <v>1491386</v>
      </c>
      <c r="E45" s="29">
        <v>8294.3432389999998</v>
      </c>
      <c r="F45" s="30">
        <v>1.0430050768872701</v>
      </c>
    </row>
    <row r="46" spans="1:6" x14ac:dyDescent="0.2">
      <c r="A46" s="27" t="s">
        <v>500</v>
      </c>
      <c r="B46" s="27" t="s">
        <v>499</v>
      </c>
      <c r="C46" s="27" t="s">
        <v>120</v>
      </c>
      <c r="D46" s="31">
        <v>703720</v>
      </c>
      <c r="E46" s="29">
        <v>8270.11744</v>
      </c>
      <c r="F46" s="30">
        <v>1.03995870773898</v>
      </c>
    </row>
    <row r="47" spans="1:6" x14ac:dyDescent="0.2">
      <c r="A47" s="27" t="s">
        <v>502</v>
      </c>
      <c r="B47" s="27" t="s">
        <v>501</v>
      </c>
      <c r="C47" s="27" t="s">
        <v>284</v>
      </c>
      <c r="D47" s="31">
        <v>832234</v>
      </c>
      <c r="E47" s="29">
        <v>7807.1871540000002</v>
      </c>
      <c r="F47" s="30">
        <v>0.98174570345039402</v>
      </c>
    </row>
    <row r="48" spans="1:6" x14ac:dyDescent="0.2">
      <c r="A48" s="27" t="s">
        <v>504</v>
      </c>
      <c r="B48" s="27" t="s">
        <v>503</v>
      </c>
      <c r="C48" s="27" t="s">
        <v>101</v>
      </c>
      <c r="D48" s="31">
        <v>228304</v>
      </c>
      <c r="E48" s="29">
        <v>7584.3730320000004</v>
      </c>
      <c r="F48" s="30">
        <v>0.95372705824224202</v>
      </c>
    </row>
    <row r="49" spans="1:9" x14ac:dyDescent="0.2">
      <c r="A49" s="27" t="s">
        <v>506</v>
      </c>
      <c r="B49" s="27" t="s">
        <v>505</v>
      </c>
      <c r="C49" s="27" t="s">
        <v>120</v>
      </c>
      <c r="D49" s="31">
        <v>408468</v>
      </c>
      <c r="E49" s="29">
        <v>7237.2360239999998</v>
      </c>
      <c r="F49" s="30">
        <v>0.91007493880534396</v>
      </c>
    </row>
    <row r="50" spans="1:9" x14ac:dyDescent="0.2">
      <c r="A50" s="27" t="s">
        <v>508</v>
      </c>
      <c r="B50" s="27" t="s">
        <v>507</v>
      </c>
      <c r="C50" s="27" t="s">
        <v>368</v>
      </c>
      <c r="D50" s="31">
        <v>821062</v>
      </c>
      <c r="E50" s="29">
        <v>7083.7124050000002</v>
      </c>
      <c r="F50" s="30">
        <v>0.89076950262732402</v>
      </c>
    </row>
    <row r="51" spans="1:9" x14ac:dyDescent="0.2">
      <c r="A51" s="27" t="s">
        <v>510</v>
      </c>
      <c r="B51" s="27" t="s">
        <v>509</v>
      </c>
      <c r="C51" s="27" t="s">
        <v>209</v>
      </c>
      <c r="D51" s="31">
        <v>293622</v>
      </c>
      <c r="E51" s="29">
        <v>5935.56873</v>
      </c>
      <c r="F51" s="30">
        <v>0.74639162393160396</v>
      </c>
    </row>
    <row r="52" spans="1:9" x14ac:dyDescent="0.2">
      <c r="A52" s="27" t="s">
        <v>416</v>
      </c>
      <c r="B52" s="27" t="s">
        <v>415</v>
      </c>
      <c r="C52" s="27" t="s">
        <v>104</v>
      </c>
      <c r="D52" s="31">
        <v>12530441</v>
      </c>
      <c r="E52" s="29">
        <v>5507.1288199999999</v>
      </c>
      <c r="F52" s="30">
        <v>0.69251574872427402</v>
      </c>
    </row>
    <row r="53" spans="1:9" x14ac:dyDescent="0.2">
      <c r="A53" s="27" t="s">
        <v>512</v>
      </c>
      <c r="B53" s="27" t="s">
        <v>511</v>
      </c>
      <c r="C53" s="27" t="s">
        <v>209</v>
      </c>
      <c r="D53" s="31">
        <v>2053763</v>
      </c>
      <c r="E53" s="29">
        <v>4782.1871460000002</v>
      </c>
      <c r="F53" s="30">
        <v>0.60135508360085699</v>
      </c>
    </row>
    <row r="54" spans="1:9" x14ac:dyDescent="0.2">
      <c r="A54" s="27" t="s">
        <v>429</v>
      </c>
      <c r="B54" s="27" t="s">
        <v>428</v>
      </c>
      <c r="C54" s="27" t="s">
        <v>284</v>
      </c>
      <c r="D54" s="31">
        <v>44595</v>
      </c>
      <c r="E54" s="29">
        <v>4070.6984929999999</v>
      </c>
      <c r="F54" s="30">
        <v>0.51188612194306105</v>
      </c>
    </row>
    <row r="55" spans="1:9" x14ac:dyDescent="0.2">
      <c r="A55" s="27" t="s">
        <v>433</v>
      </c>
      <c r="B55" s="27" t="s">
        <v>432</v>
      </c>
      <c r="C55" s="27" t="s">
        <v>434</v>
      </c>
      <c r="D55" s="31">
        <v>82925</v>
      </c>
      <c r="E55" s="29">
        <v>2341.4288379999998</v>
      </c>
      <c r="F55" s="30">
        <v>0.29443225278180002</v>
      </c>
    </row>
    <row r="56" spans="1:9" x14ac:dyDescent="0.2">
      <c r="A56" s="27" t="s">
        <v>247</v>
      </c>
      <c r="B56" s="27" t="s">
        <v>246</v>
      </c>
      <c r="C56" s="27" t="s">
        <v>209</v>
      </c>
      <c r="D56" s="31">
        <v>444415</v>
      </c>
      <c r="E56" s="29">
        <v>2068.974033</v>
      </c>
      <c r="F56" s="30">
        <v>0.26017134306912298</v>
      </c>
    </row>
    <row r="57" spans="1:9" x14ac:dyDescent="0.2">
      <c r="A57" s="27" t="s">
        <v>325</v>
      </c>
      <c r="B57" s="27" t="s">
        <v>324</v>
      </c>
      <c r="C57" s="27" t="s">
        <v>159</v>
      </c>
      <c r="D57" s="31">
        <v>18278</v>
      </c>
      <c r="E57" s="29">
        <v>1434.4939959999999</v>
      </c>
      <c r="F57" s="30">
        <v>0.180386135162245</v>
      </c>
    </row>
    <row r="58" spans="1:9" x14ac:dyDescent="0.2">
      <c r="A58" s="26" t="s">
        <v>34</v>
      </c>
      <c r="B58" s="26"/>
      <c r="C58" s="26"/>
      <c r="D58" s="32"/>
      <c r="E58" s="33">
        <f>SUM(E7:E57)</f>
        <v>766314.77655900037</v>
      </c>
      <c r="F58" s="34">
        <f>SUM(F7:F57)</f>
        <v>96.363289945200606</v>
      </c>
      <c r="G58" s="18"/>
      <c r="H58" s="18"/>
      <c r="I58" s="18"/>
    </row>
    <row r="59" spans="1:9" x14ac:dyDescent="0.2">
      <c r="A59" s="27"/>
      <c r="B59" s="27"/>
      <c r="C59" s="27"/>
      <c r="D59" s="28"/>
      <c r="E59" s="29"/>
      <c r="F59" s="30"/>
    </row>
    <row r="60" spans="1:9" x14ac:dyDescent="0.2">
      <c r="A60" s="26" t="s">
        <v>229</v>
      </c>
      <c r="B60" s="27"/>
      <c r="C60" s="27"/>
      <c r="D60" s="28"/>
      <c r="E60" s="29"/>
      <c r="F60" s="30"/>
    </row>
    <row r="61" spans="1:9" x14ac:dyDescent="0.2">
      <c r="A61" s="27"/>
      <c r="B61" s="27" t="s">
        <v>738</v>
      </c>
      <c r="C61" s="27" t="s">
        <v>187</v>
      </c>
      <c r="D61" s="31">
        <v>8100</v>
      </c>
      <c r="E61" s="29">
        <v>8.0999999999999996E-4</v>
      </c>
      <c r="F61" s="30">
        <v>1.01856661574636E-7</v>
      </c>
    </row>
    <row r="62" spans="1:9" x14ac:dyDescent="0.2">
      <c r="A62" s="26" t="s">
        <v>34</v>
      </c>
      <c r="B62" s="26"/>
      <c r="C62" s="26"/>
      <c r="D62" s="32"/>
      <c r="E62" s="33">
        <f>SUM(E60:E61)</f>
        <v>8.0999999999999996E-4</v>
      </c>
      <c r="F62" s="34">
        <f>SUM(F60:F61)</f>
        <v>1.01856661574636E-7</v>
      </c>
      <c r="G62" s="18"/>
      <c r="H62" s="18"/>
      <c r="I62" s="18"/>
    </row>
    <row r="63" spans="1:9" x14ac:dyDescent="0.2">
      <c r="A63" s="27"/>
      <c r="B63" s="27"/>
      <c r="C63" s="27"/>
      <c r="D63" s="28"/>
      <c r="E63" s="29"/>
      <c r="F63" s="30"/>
    </row>
    <row r="64" spans="1:9" x14ac:dyDescent="0.2">
      <c r="A64" s="26" t="s">
        <v>36</v>
      </c>
      <c r="B64" s="26"/>
      <c r="C64" s="26"/>
      <c r="D64" s="32"/>
      <c r="E64" s="33">
        <f>E58+E62</f>
        <v>766314.77736900037</v>
      </c>
      <c r="F64" s="34">
        <f>F58+F62</f>
        <v>96.363290047057262</v>
      </c>
      <c r="G64" s="18"/>
      <c r="H64" s="18"/>
      <c r="I64" s="18"/>
    </row>
    <row r="65" spans="1:9" x14ac:dyDescent="0.2">
      <c r="A65" s="26"/>
      <c r="B65" s="26"/>
      <c r="C65" s="26"/>
      <c r="D65" s="32"/>
      <c r="E65" s="33"/>
      <c r="F65" s="34"/>
      <c r="G65" s="18"/>
      <c r="H65" s="18"/>
      <c r="I65" s="18"/>
    </row>
    <row r="66" spans="1:9" x14ac:dyDescent="0.2">
      <c r="A66" s="26" t="s">
        <v>38</v>
      </c>
      <c r="B66" s="26"/>
      <c r="C66" s="26"/>
      <c r="D66" s="32"/>
      <c r="E66" s="33">
        <f>E68-(E58+E62)</f>
        <v>28920.396725599654</v>
      </c>
      <c r="F66" s="34">
        <f>F68-(F58+F62)</f>
        <v>3.6367099529427378</v>
      </c>
      <c r="G66" s="18"/>
      <c r="H66" s="18"/>
      <c r="I66" s="18"/>
    </row>
    <row r="67" spans="1:9" x14ac:dyDescent="0.2">
      <c r="A67" s="26"/>
      <c r="B67" s="26"/>
      <c r="C67" s="26"/>
      <c r="D67" s="32"/>
      <c r="E67" s="33"/>
      <c r="F67" s="34"/>
      <c r="G67" s="18"/>
      <c r="H67" s="18"/>
      <c r="I67" s="18"/>
    </row>
    <row r="68" spans="1:9" x14ac:dyDescent="0.2">
      <c r="A68" s="35" t="s">
        <v>37</v>
      </c>
      <c r="B68" s="35"/>
      <c r="C68" s="35"/>
      <c r="D68" s="36"/>
      <c r="E68" s="37">
        <v>795235.17409460002</v>
      </c>
      <c r="F68" s="38">
        <v>100</v>
      </c>
      <c r="G68" s="18"/>
      <c r="H68" s="18"/>
      <c r="I68" s="18"/>
    </row>
    <row r="69" spans="1:9" x14ac:dyDescent="0.2">
      <c r="F69" s="20" t="s">
        <v>513</v>
      </c>
    </row>
    <row r="70" spans="1:9" x14ac:dyDescent="0.2">
      <c r="A70" s="55" t="s">
        <v>39</v>
      </c>
      <c r="F70" s="20"/>
    </row>
    <row r="71" spans="1:9" x14ac:dyDescent="0.2">
      <c r="A71" s="55" t="s">
        <v>723</v>
      </c>
      <c r="F71" s="20"/>
    </row>
    <row r="73" spans="1:9" x14ac:dyDescent="0.2">
      <c r="A73" s="18" t="s">
        <v>40</v>
      </c>
    </row>
    <row r="74" spans="1:9" x14ac:dyDescent="0.2">
      <c r="A74" s="18" t="s">
        <v>41</v>
      </c>
    </row>
    <row r="75" spans="1:9" x14ac:dyDescent="0.2">
      <c r="A75" s="18" t="s">
        <v>42</v>
      </c>
      <c r="B75" s="18"/>
      <c r="C75" s="39" t="s">
        <v>44</v>
      </c>
      <c r="D75" s="19" t="s">
        <v>43</v>
      </c>
    </row>
    <row r="76" spans="1:9" x14ac:dyDescent="0.2">
      <c r="A76" s="9" t="s">
        <v>71</v>
      </c>
      <c r="C76" s="40">
        <v>1251.56</v>
      </c>
      <c r="D76" s="40">
        <v>1477.8623</v>
      </c>
    </row>
    <row r="77" spans="1:9" x14ac:dyDescent="0.2">
      <c r="A77" s="9" t="s">
        <v>77</v>
      </c>
      <c r="C77" s="40">
        <v>65.699200000000005</v>
      </c>
      <c r="D77" s="40">
        <v>71.205500000000001</v>
      </c>
    </row>
    <row r="78" spans="1:9" x14ac:dyDescent="0.2">
      <c r="A78" s="9" t="s">
        <v>74</v>
      </c>
      <c r="C78" s="40">
        <v>1357.3466000000001</v>
      </c>
      <c r="D78" s="40">
        <v>1609.3767</v>
      </c>
    </row>
    <row r="79" spans="1:9" x14ac:dyDescent="0.2">
      <c r="A79" s="9" t="s">
        <v>78</v>
      </c>
      <c r="C79" s="40">
        <v>74.016900000000007</v>
      </c>
      <c r="D79" s="40">
        <v>81.375799999999998</v>
      </c>
    </row>
    <row r="81" spans="1:4" x14ac:dyDescent="0.2">
      <c r="A81" s="18" t="s">
        <v>46</v>
      </c>
    </row>
    <row r="82" spans="1:4" x14ac:dyDescent="0.2">
      <c r="A82" s="71" t="s">
        <v>67</v>
      </c>
      <c r="B82" s="72"/>
      <c r="C82" s="43" t="s">
        <v>68</v>
      </c>
    </row>
    <row r="83" spans="1:4" x14ac:dyDescent="0.2">
      <c r="A83" s="67" t="s">
        <v>77</v>
      </c>
      <c r="B83" s="68"/>
      <c r="C83" s="44">
        <v>6</v>
      </c>
    </row>
    <row r="84" spans="1:4" x14ac:dyDescent="0.2">
      <c r="A84" s="67" t="s">
        <v>78</v>
      </c>
      <c r="B84" s="68"/>
      <c r="C84" s="44">
        <v>6</v>
      </c>
    </row>
    <row r="85" spans="1:4" x14ac:dyDescent="0.2">
      <c r="A85" s="9" t="s">
        <v>69</v>
      </c>
    </row>
    <row r="86" spans="1:4" x14ac:dyDescent="0.2">
      <c r="A86" s="9" t="s">
        <v>45</v>
      </c>
    </row>
    <row r="88" spans="1:4" x14ac:dyDescent="0.2">
      <c r="A88" s="18" t="s">
        <v>220</v>
      </c>
      <c r="D88" s="45">
        <v>5.9400000000000001E-2</v>
      </c>
    </row>
    <row r="90" spans="1:4" x14ac:dyDescent="0.2">
      <c r="A90" s="18" t="s">
        <v>49</v>
      </c>
      <c r="D90" s="41" t="s">
        <v>47</v>
      </c>
    </row>
    <row r="91" spans="1:4" x14ac:dyDescent="0.2">
      <c r="A91" s="9" t="s">
        <v>53</v>
      </c>
    </row>
    <row r="92" spans="1:4" x14ac:dyDescent="0.2">
      <c r="A92" s="46" t="s">
        <v>724</v>
      </c>
    </row>
    <row r="94" spans="1:4" x14ac:dyDescent="0.2">
      <c r="A94" s="18" t="s">
        <v>70</v>
      </c>
    </row>
    <row r="95" spans="1:4" x14ac:dyDescent="0.2">
      <c r="A95" s="46" t="s">
        <v>51</v>
      </c>
    </row>
  </sheetData>
  <mergeCells count="4">
    <mergeCell ref="A1:F1"/>
    <mergeCell ref="A82:B82"/>
    <mergeCell ref="A83:B83"/>
    <mergeCell ref="A84:B84"/>
  </mergeCells>
  <conditionalFormatting sqref="F2:F3 F5:F65536">
    <cfRule type="cellIs" dxfId="20" priority="1" stopIfTrue="1" operator="between">
      <formula>0.009</formula>
      <formula>-0.009</formula>
    </cfRule>
  </conditionalFormatting>
  <hyperlinks>
    <hyperlink ref="A95" r:id="rId1" tooltip="https://www.franklintempletonindia.com/downloadsServlet/pdf/product-labels-jg9o5k7l" xr:uid="{00000000-0004-0000-2000-000000000000}"/>
    <hyperlink ref="A92" r:id="rId2" xr:uid="{00000000-0004-0000-20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3"/>
  <sheetViews>
    <sheetView showGridLines="0" workbookViewId="0">
      <selection sqref="A1:F1"/>
    </sheetView>
  </sheetViews>
  <sheetFormatPr defaultColWidth="9.109375" defaultRowHeight="10.199999999999999" x14ac:dyDescent="0.2"/>
  <cols>
    <col min="1" max="1" width="38.6640625" style="9" bestFit="1" customWidth="1"/>
    <col min="2" max="2" width="36.33203125" style="9" customWidth="1"/>
    <col min="3" max="3" width="22.5546875" style="9" customWidth="1"/>
    <col min="4" max="4" width="15.5546875" style="10" bestFit="1" customWidth="1"/>
    <col min="5" max="5" width="23" style="13" bestFit="1" customWidth="1"/>
    <col min="6" max="6" width="14.6640625" style="14" bestFit="1" customWidth="1"/>
    <col min="7" max="16384" width="9.109375" style="9"/>
  </cols>
  <sheetData>
    <row r="1" spans="1:6" s="1" customFormat="1" ht="13.8" x14ac:dyDescent="0.2">
      <c r="A1" s="69" t="s">
        <v>15</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100</v>
      </c>
      <c r="B7" s="27" t="s">
        <v>99</v>
      </c>
      <c r="C7" s="27" t="s">
        <v>101</v>
      </c>
      <c r="D7" s="31">
        <v>405492</v>
      </c>
      <c r="E7" s="29">
        <v>6919.5182340000001</v>
      </c>
      <c r="F7" s="30">
        <v>10.0635006033684</v>
      </c>
    </row>
    <row r="8" spans="1:6" x14ac:dyDescent="0.2">
      <c r="A8" s="27" t="s">
        <v>103</v>
      </c>
      <c r="B8" s="27" t="s">
        <v>102</v>
      </c>
      <c r="C8" s="27" t="s">
        <v>104</v>
      </c>
      <c r="D8" s="31">
        <v>395485</v>
      </c>
      <c r="E8" s="29">
        <v>6254.1997899999997</v>
      </c>
      <c r="F8" s="30">
        <v>9.0958851804149194</v>
      </c>
    </row>
    <row r="9" spans="1:6" x14ac:dyDescent="0.2">
      <c r="A9" s="27" t="s">
        <v>317</v>
      </c>
      <c r="B9" s="27" t="s">
        <v>316</v>
      </c>
      <c r="C9" s="27" t="s">
        <v>159</v>
      </c>
      <c r="D9" s="31">
        <v>77910</v>
      </c>
      <c r="E9" s="29">
        <v>4816.668885</v>
      </c>
      <c r="F9" s="30">
        <v>7.0051914875007801</v>
      </c>
    </row>
    <row r="10" spans="1:6" x14ac:dyDescent="0.2">
      <c r="A10" s="27" t="s">
        <v>108</v>
      </c>
      <c r="B10" s="27" t="s">
        <v>107</v>
      </c>
      <c r="C10" s="27" t="s">
        <v>104</v>
      </c>
      <c r="D10" s="31">
        <v>583651</v>
      </c>
      <c r="E10" s="29">
        <v>4196.7425160000003</v>
      </c>
      <c r="F10" s="30">
        <v>6.1035926799680302</v>
      </c>
    </row>
    <row r="11" spans="1:6" x14ac:dyDescent="0.2">
      <c r="A11" s="27" t="s">
        <v>106</v>
      </c>
      <c r="B11" s="27" t="s">
        <v>105</v>
      </c>
      <c r="C11" s="27" t="s">
        <v>104</v>
      </c>
      <c r="D11" s="31">
        <v>458037</v>
      </c>
      <c r="E11" s="29">
        <v>3602.4610050000001</v>
      </c>
      <c r="F11" s="30">
        <v>5.2392908395403399</v>
      </c>
    </row>
    <row r="12" spans="1:6" x14ac:dyDescent="0.2">
      <c r="A12" s="27" t="s">
        <v>238</v>
      </c>
      <c r="B12" s="27" t="s">
        <v>237</v>
      </c>
      <c r="C12" s="27" t="s">
        <v>101</v>
      </c>
      <c r="D12" s="31">
        <v>269692</v>
      </c>
      <c r="E12" s="29">
        <v>3188.5685159999998</v>
      </c>
      <c r="F12" s="30">
        <v>4.6373403609196204</v>
      </c>
    </row>
    <row r="13" spans="1:6" x14ac:dyDescent="0.2">
      <c r="A13" s="27" t="s">
        <v>122</v>
      </c>
      <c r="B13" s="27" t="s">
        <v>121</v>
      </c>
      <c r="C13" s="27" t="s">
        <v>104</v>
      </c>
      <c r="D13" s="31">
        <v>169031</v>
      </c>
      <c r="E13" s="29">
        <v>2964.2966470000001</v>
      </c>
      <c r="F13" s="30">
        <v>4.3111673510834398</v>
      </c>
    </row>
    <row r="14" spans="1:6" x14ac:dyDescent="0.2">
      <c r="A14" s="27" t="s">
        <v>254</v>
      </c>
      <c r="B14" s="27" t="s">
        <v>253</v>
      </c>
      <c r="C14" s="27" t="s">
        <v>114</v>
      </c>
      <c r="D14" s="31">
        <v>21180</v>
      </c>
      <c r="E14" s="29">
        <v>2935.3785600000001</v>
      </c>
      <c r="F14" s="30">
        <v>4.2691099164281203</v>
      </c>
    </row>
    <row r="15" spans="1:6" x14ac:dyDescent="0.2">
      <c r="A15" s="27" t="s">
        <v>191</v>
      </c>
      <c r="B15" s="27" t="s">
        <v>190</v>
      </c>
      <c r="C15" s="27" t="s">
        <v>192</v>
      </c>
      <c r="D15" s="31">
        <v>148885</v>
      </c>
      <c r="E15" s="29">
        <v>2489.65497</v>
      </c>
      <c r="F15" s="30">
        <v>3.6208654194543</v>
      </c>
    </row>
    <row r="16" spans="1:6" x14ac:dyDescent="0.2">
      <c r="A16" s="27" t="s">
        <v>154</v>
      </c>
      <c r="B16" s="27" t="s">
        <v>153</v>
      </c>
      <c r="C16" s="27" t="s">
        <v>133</v>
      </c>
      <c r="D16" s="31">
        <v>523765</v>
      </c>
      <c r="E16" s="29">
        <v>2470.3376229999999</v>
      </c>
      <c r="F16" s="30">
        <v>3.5927709587395702</v>
      </c>
    </row>
    <row r="17" spans="1:6" x14ac:dyDescent="0.2">
      <c r="A17" s="27" t="s">
        <v>515</v>
      </c>
      <c r="B17" s="27" t="s">
        <v>514</v>
      </c>
      <c r="C17" s="27" t="s">
        <v>125</v>
      </c>
      <c r="D17" s="31">
        <v>73037</v>
      </c>
      <c r="E17" s="29">
        <v>2338.17</v>
      </c>
      <c r="F17" s="30">
        <v>3.4005510802990702</v>
      </c>
    </row>
    <row r="18" spans="1:6" x14ac:dyDescent="0.2">
      <c r="A18" s="27" t="s">
        <v>319</v>
      </c>
      <c r="B18" s="27" t="s">
        <v>318</v>
      </c>
      <c r="C18" s="27" t="s">
        <v>159</v>
      </c>
      <c r="D18" s="31">
        <v>1652430</v>
      </c>
      <c r="E18" s="29">
        <v>2223.3445649999999</v>
      </c>
      <c r="F18" s="30">
        <v>3.23355306174822</v>
      </c>
    </row>
    <row r="19" spans="1:6" x14ac:dyDescent="0.2">
      <c r="A19" s="27" t="s">
        <v>480</v>
      </c>
      <c r="B19" s="27" t="s">
        <v>479</v>
      </c>
      <c r="C19" s="27" t="s">
        <v>174</v>
      </c>
      <c r="D19" s="31">
        <v>60992</v>
      </c>
      <c r="E19" s="29">
        <v>1995.2922880000001</v>
      </c>
      <c r="F19" s="30">
        <v>2.9018819613076898</v>
      </c>
    </row>
    <row r="20" spans="1:6" x14ac:dyDescent="0.2">
      <c r="A20" s="27" t="s">
        <v>137</v>
      </c>
      <c r="B20" s="27" t="s">
        <v>136</v>
      </c>
      <c r="C20" s="27" t="s">
        <v>138</v>
      </c>
      <c r="D20" s="31">
        <v>38978</v>
      </c>
      <c r="E20" s="29">
        <v>1833.544609</v>
      </c>
      <c r="F20" s="30">
        <v>2.66664190410085</v>
      </c>
    </row>
    <row r="21" spans="1:6" x14ac:dyDescent="0.2">
      <c r="A21" s="27" t="s">
        <v>110</v>
      </c>
      <c r="B21" s="27" t="s">
        <v>109</v>
      </c>
      <c r="C21" s="27" t="s">
        <v>111</v>
      </c>
      <c r="D21" s="31">
        <v>242272</v>
      </c>
      <c r="E21" s="29">
        <v>1608.8072159999999</v>
      </c>
      <c r="F21" s="30">
        <v>2.33979185275739</v>
      </c>
    </row>
    <row r="22" spans="1:6" x14ac:dyDescent="0.2">
      <c r="A22" s="27" t="s">
        <v>262</v>
      </c>
      <c r="B22" s="27" t="s">
        <v>261</v>
      </c>
      <c r="C22" s="27" t="s">
        <v>187</v>
      </c>
      <c r="D22" s="31">
        <v>1247117</v>
      </c>
      <c r="E22" s="29">
        <v>1470.3509429999999</v>
      </c>
      <c r="F22" s="30">
        <v>2.1384259859793802</v>
      </c>
    </row>
    <row r="23" spans="1:6" x14ac:dyDescent="0.2">
      <c r="A23" s="27" t="s">
        <v>132</v>
      </c>
      <c r="B23" s="27" t="s">
        <v>131</v>
      </c>
      <c r="C23" s="27" t="s">
        <v>133</v>
      </c>
      <c r="D23" s="31">
        <v>551423</v>
      </c>
      <c r="E23" s="29">
        <v>1470.0937180000001</v>
      </c>
      <c r="F23" s="30">
        <v>2.1380518871107701</v>
      </c>
    </row>
    <row r="24" spans="1:6" x14ac:dyDescent="0.2">
      <c r="A24" s="27" t="s">
        <v>173</v>
      </c>
      <c r="B24" s="27" t="s">
        <v>172</v>
      </c>
      <c r="C24" s="27" t="s">
        <v>174</v>
      </c>
      <c r="D24" s="31">
        <v>93194</v>
      </c>
      <c r="E24" s="29">
        <v>1398.282776</v>
      </c>
      <c r="F24" s="30">
        <v>2.0336126134927701</v>
      </c>
    </row>
    <row r="25" spans="1:6" x14ac:dyDescent="0.2">
      <c r="A25" s="27" t="s">
        <v>165</v>
      </c>
      <c r="B25" s="27" t="s">
        <v>164</v>
      </c>
      <c r="C25" s="27" t="s">
        <v>152</v>
      </c>
      <c r="D25" s="31">
        <v>484457</v>
      </c>
      <c r="E25" s="29">
        <v>1391.844961</v>
      </c>
      <c r="F25" s="30">
        <v>2.0242496848977498</v>
      </c>
    </row>
    <row r="26" spans="1:6" x14ac:dyDescent="0.2">
      <c r="A26" s="27" t="s">
        <v>517</v>
      </c>
      <c r="B26" s="27" t="s">
        <v>516</v>
      </c>
      <c r="C26" s="27" t="s">
        <v>425</v>
      </c>
      <c r="D26" s="31">
        <v>583460</v>
      </c>
      <c r="E26" s="29">
        <v>1344.2918400000001</v>
      </c>
      <c r="F26" s="30">
        <v>1.95509012122696</v>
      </c>
    </row>
    <row r="27" spans="1:6" x14ac:dyDescent="0.2">
      <c r="A27" s="27" t="s">
        <v>438</v>
      </c>
      <c r="B27" s="27" t="s">
        <v>437</v>
      </c>
      <c r="C27" s="27" t="s">
        <v>368</v>
      </c>
      <c r="D27" s="31">
        <v>1262673</v>
      </c>
      <c r="E27" s="29">
        <v>1262.0416640000001</v>
      </c>
      <c r="F27" s="30">
        <v>1.83546839789136</v>
      </c>
    </row>
    <row r="28" spans="1:6" x14ac:dyDescent="0.2">
      <c r="A28" s="27" t="s">
        <v>403</v>
      </c>
      <c r="B28" s="27" t="s">
        <v>402</v>
      </c>
      <c r="C28" s="27" t="s">
        <v>404</v>
      </c>
      <c r="D28" s="31">
        <v>82066</v>
      </c>
      <c r="E28" s="29">
        <v>1245.3925830000001</v>
      </c>
      <c r="F28" s="30">
        <v>1.8112545681097201</v>
      </c>
    </row>
    <row r="29" spans="1:6" x14ac:dyDescent="0.2">
      <c r="A29" s="27" t="s">
        <v>325</v>
      </c>
      <c r="B29" s="27" t="s">
        <v>324</v>
      </c>
      <c r="C29" s="27" t="s">
        <v>159</v>
      </c>
      <c r="D29" s="31">
        <v>13931</v>
      </c>
      <c r="E29" s="29">
        <v>1093.3327420000001</v>
      </c>
      <c r="F29" s="30">
        <v>1.5901041570691801</v>
      </c>
    </row>
    <row r="30" spans="1:6" x14ac:dyDescent="0.2">
      <c r="A30" s="27" t="s">
        <v>151</v>
      </c>
      <c r="B30" s="27" t="s">
        <v>150</v>
      </c>
      <c r="C30" s="27" t="s">
        <v>152</v>
      </c>
      <c r="D30" s="31">
        <v>129322</v>
      </c>
      <c r="E30" s="29">
        <v>1025.9114259999999</v>
      </c>
      <c r="F30" s="30">
        <v>1.4920489989929999</v>
      </c>
    </row>
    <row r="31" spans="1:6" x14ac:dyDescent="0.2">
      <c r="A31" s="27" t="s">
        <v>519</v>
      </c>
      <c r="B31" s="27" t="s">
        <v>518</v>
      </c>
      <c r="C31" s="27" t="s">
        <v>138</v>
      </c>
      <c r="D31" s="31">
        <v>129673</v>
      </c>
      <c r="E31" s="29">
        <v>947.13159199999996</v>
      </c>
      <c r="F31" s="30">
        <v>1.3774744173267901</v>
      </c>
    </row>
    <row r="32" spans="1:6" x14ac:dyDescent="0.2">
      <c r="A32" s="27" t="s">
        <v>281</v>
      </c>
      <c r="B32" s="27" t="s">
        <v>280</v>
      </c>
      <c r="C32" s="27" t="s">
        <v>125</v>
      </c>
      <c r="D32" s="31">
        <v>106104</v>
      </c>
      <c r="E32" s="29">
        <v>917.74654799999996</v>
      </c>
      <c r="F32" s="30">
        <v>1.3347378570600701</v>
      </c>
    </row>
    <row r="33" spans="1:9" x14ac:dyDescent="0.2">
      <c r="A33" s="27" t="s">
        <v>521</v>
      </c>
      <c r="B33" s="27" t="s">
        <v>520</v>
      </c>
      <c r="C33" s="27" t="s">
        <v>187</v>
      </c>
      <c r="D33" s="31">
        <v>521967</v>
      </c>
      <c r="E33" s="29">
        <v>802.78524600000003</v>
      </c>
      <c r="F33" s="30">
        <v>1.1675422383887599</v>
      </c>
    </row>
    <row r="34" spans="1:9" x14ac:dyDescent="0.2">
      <c r="A34" s="27" t="s">
        <v>323</v>
      </c>
      <c r="B34" s="27" t="s">
        <v>322</v>
      </c>
      <c r="C34" s="27" t="s">
        <v>101</v>
      </c>
      <c r="D34" s="31">
        <v>15714</v>
      </c>
      <c r="E34" s="29">
        <v>747.89211599999999</v>
      </c>
      <c r="F34" s="30">
        <v>1.08770762733717</v>
      </c>
    </row>
    <row r="35" spans="1:9" x14ac:dyDescent="0.2">
      <c r="A35" s="27" t="s">
        <v>158</v>
      </c>
      <c r="B35" s="27" t="s">
        <v>157</v>
      </c>
      <c r="C35" s="27" t="s">
        <v>159</v>
      </c>
      <c r="D35" s="31">
        <v>210706</v>
      </c>
      <c r="E35" s="29">
        <v>438.47918600000003</v>
      </c>
      <c r="F35" s="30">
        <v>0.63770849409621999</v>
      </c>
    </row>
    <row r="36" spans="1:9" x14ac:dyDescent="0.2">
      <c r="A36" s="26" t="s">
        <v>34</v>
      </c>
      <c r="B36" s="26"/>
      <c r="C36" s="26"/>
      <c r="D36" s="32"/>
      <c r="E36" s="33">
        <f>SUM(E7:E35)</f>
        <v>65392.562764999981</v>
      </c>
      <c r="F36" s="34">
        <f>SUM(F7:F35)</f>
        <v>95.104611706610655</v>
      </c>
      <c r="G36" s="18"/>
      <c r="H36" s="18"/>
      <c r="I36" s="18"/>
    </row>
    <row r="37" spans="1:9" x14ac:dyDescent="0.2">
      <c r="A37" s="27"/>
      <c r="B37" s="27"/>
      <c r="C37" s="27"/>
      <c r="D37" s="28"/>
      <c r="E37" s="29"/>
      <c r="F37" s="30"/>
    </row>
    <row r="38" spans="1:9" x14ac:dyDescent="0.2">
      <c r="A38" s="26" t="s">
        <v>229</v>
      </c>
      <c r="B38" s="27"/>
      <c r="C38" s="27"/>
      <c r="D38" s="28"/>
      <c r="E38" s="29"/>
      <c r="F38" s="30"/>
    </row>
    <row r="39" spans="1:9" x14ac:dyDescent="0.2">
      <c r="A39" s="27"/>
      <c r="B39" s="27" t="s">
        <v>739</v>
      </c>
      <c r="C39" s="27" t="s">
        <v>101</v>
      </c>
      <c r="D39" s="31">
        <v>489000</v>
      </c>
      <c r="E39" s="29">
        <v>4.8899999999999999E-2</v>
      </c>
      <c r="F39" s="30">
        <v>7.1118416465280399E-5</v>
      </c>
    </row>
    <row r="40" spans="1:9" x14ac:dyDescent="0.2">
      <c r="A40" s="27"/>
      <c r="B40" s="27" t="s">
        <v>738</v>
      </c>
      <c r="C40" s="27" t="s">
        <v>187</v>
      </c>
      <c r="D40" s="31">
        <v>98000</v>
      </c>
      <c r="E40" s="29">
        <v>9.7999999999999997E-3</v>
      </c>
      <c r="F40" s="30">
        <v>1.4252770579954001E-5</v>
      </c>
    </row>
    <row r="41" spans="1:9" x14ac:dyDescent="0.2">
      <c r="A41" s="27" t="s">
        <v>522</v>
      </c>
      <c r="B41" s="27" t="s">
        <v>740</v>
      </c>
      <c r="C41" s="27" t="s">
        <v>375</v>
      </c>
      <c r="D41" s="31">
        <v>44170</v>
      </c>
      <c r="E41" s="29">
        <v>4.4169999999999999E-3</v>
      </c>
      <c r="F41" s="30">
        <v>6.4239273113935299E-6</v>
      </c>
    </row>
    <row r="42" spans="1:9" x14ac:dyDescent="0.2">
      <c r="A42" s="27"/>
      <c r="B42" s="27" t="s">
        <v>741</v>
      </c>
      <c r="C42" s="27" t="s">
        <v>101</v>
      </c>
      <c r="D42" s="31">
        <v>23815</v>
      </c>
      <c r="E42" s="29">
        <v>2.3814999999999999E-3</v>
      </c>
      <c r="F42" s="30">
        <v>3.4635686873632998E-6</v>
      </c>
    </row>
    <row r="43" spans="1:9" x14ac:dyDescent="0.2">
      <c r="A43" s="26" t="s">
        <v>34</v>
      </c>
      <c r="B43" s="26"/>
      <c r="C43" s="26"/>
      <c r="D43" s="32"/>
      <c r="E43" s="33">
        <f>SUM(E38:E42)</f>
        <v>6.5498500000000001E-2</v>
      </c>
      <c r="F43" s="34">
        <f>SUM(F38:F42)</f>
        <v>9.5258683043991229E-5</v>
      </c>
      <c r="G43" s="18"/>
      <c r="H43" s="18"/>
      <c r="I43" s="18"/>
    </row>
    <row r="44" spans="1:9" x14ac:dyDescent="0.2">
      <c r="A44" s="27"/>
      <c r="B44" s="27"/>
      <c r="C44" s="27"/>
      <c r="D44" s="28"/>
      <c r="E44" s="29"/>
      <c r="F44" s="30"/>
    </row>
    <row r="45" spans="1:9" x14ac:dyDescent="0.2">
      <c r="A45" s="26" t="s">
        <v>36</v>
      </c>
      <c r="B45" s="26"/>
      <c r="C45" s="26"/>
      <c r="D45" s="32"/>
      <c r="E45" s="33">
        <f>E36+E43</f>
        <v>65392.628263499981</v>
      </c>
      <c r="F45" s="34">
        <f>F36+F43</f>
        <v>95.104706965293701</v>
      </c>
      <c r="G45" s="18"/>
      <c r="H45" s="18"/>
      <c r="I45" s="18"/>
    </row>
    <row r="46" spans="1:9" x14ac:dyDescent="0.2">
      <c r="A46" s="26"/>
      <c r="B46" s="26"/>
      <c r="C46" s="26"/>
      <c r="D46" s="32"/>
      <c r="E46" s="33"/>
      <c r="F46" s="34"/>
      <c r="G46" s="18"/>
      <c r="H46" s="18"/>
      <c r="I46" s="18"/>
    </row>
    <row r="47" spans="1:9" x14ac:dyDescent="0.2">
      <c r="A47" s="26" t="s">
        <v>38</v>
      </c>
      <c r="B47" s="26"/>
      <c r="C47" s="26"/>
      <c r="D47" s="32"/>
      <c r="E47" s="33">
        <f>E49-(E36+E43)</f>
        <v>3365.9330634000216</v>
      </c>
      <c r="F47" s="34">
        <f>F49-(F36+F43)</f>
        <v>4.8952930347062988</v>
      </c>
      <c r="G47" s="18"/>
      <c r="H47" s="18"/>
      <c r="I47" s="18"/>
    </row>
    <row r="48" spans="1:9" x14ac:dyDescent="0.2">
      <c r="A48" s="26"/>
      <c r="B48" s="26"/>
      <c r="C48" s="26"/>
      <c r="D48" s="32"/>
      <c r="E48" s="33"/>
      <c r="F48" s="34"/>
      <c r="G48" s="18"/>
      <c r="H48" s="18"/>
      <c r="I48" s="18"/>
    </row>
    <row r="49" spans="1:9" x14ac:dyDescent="0.2">
      <c r="A49" s="35" t="s">
        <v>37</v>
      </c>
      <c r="B49" s="35"/>
      <c r="C49" s="35"/>
      <c r="D49" s="36"/>
      <c r="E49" s="37">
        <v>68758.561326900002</v>
      </c>
      <c r="F49" s="38">
        <v>100</v>
      </c>
      <c r="G49" s="18"/>
      <c r="H49" s="18"/>
      <c r="I49" s="18"/>
    </row>
    <row r="50" spans="1:9" x14ac:dyDescent="0.2">
      <c r="F50" s="20" t="s">
        <v>513</v>
      </c>
    </row>
    <row r="51" spans="1:9" x14ac:dyDescent="0.2">
      <c r="A51" s="55" t="s">
        <v>39</v>
      </c>
      <c r="F51" s="20"/>
    </row>
    <row r="52" spans="1:9" x14ac:dyDescent="0.2">
      <c r="A52" s="55" t="s">
        <v>723</v>
      </c>
      <c r="F52" s="20"/>
    </row>
    <row r="54" spans="1:9" x14ac:dyDescent="0.2">
      <c r="A54" s="18" t="s">
        <v>40</v>
      </c>
    </row>
    <row r="55" spans="1:9" x14ac:dyDescent="0.2">
      <c r="A55" s="18" t="s">
        <v>41</v>
      </c>
    </row>
    <row r="56" spans="1:9" x14ac:dyDescent="0.2">
      <c r="A56" s="18" t="s">
        <v>42</v>
      </c>
      <c r="B56" s="18"/>
      <c r="C56" s="39" t="s">
        <v>44</v>
      </c>
      <c r="D56" s="19" t="s">
        <v>43</v>
      </c>
    </row>
    <row r="57" spans="1:9" x14ac:dyDescent="0.2">
      <c r="A57" s="9" t="s">
        <v>71</v>
      </c>
      <c r="C57" s="40">
        <v>100.11369999999999</v>
      </c>
      <c r="D57" s="40">
        <v>116.3223</v>
      </c>
    </row>
    <row r="58" spans="1:9" x14ac:dyDescent="0.2">
      <c r="A58" s="9" t="s">
        <v>77</v>
      </c>
      <c r="C58" s="40">
        <v>22.078199999999999</v>
      </c>
      <c r="D58" s="40">
        <v>25.652699999999999</v>
      </c>
    </row>
    <row r="59" spans="1:9" x14ac:dyDescent="0.2">
      <c r="A59" s="9" t="s">
        <v>74</v>
      </c>
      <c r="C59" s="40">
        <v>105.9765</v>
      </c>
      <c r="D59" s="40">
        <v>123.55410000000001</v>
      </c>
    </row>
    <row r="60" spans="1:9" x14ac:dyDescent="0.2">
      <c r="A60" s="9" t="s">
        <v>78</v>
      </c>
      <c r="C60" s="40">
        <v>23.809699999999999</v>
      </c>
      <c r="D60" s="40">
        <v>27.755600000000001</v>
      </c>
    </row>
    <row r="62" spans="1:9" x14ac:dyDescent="0.2">
      <c r="A62" s="9" t="s">
        <v>45</v>
      </c>
    </row>
    <row r="64" spans="1:9" x14ac:dyDescent="0.2">
      <c r="A64" s="18" t="s">
        <v>46</v>
      </c>
      <c r="D64" s="41" t="s">
        <v>47</v>
      </c>
    </row>
    <row r="66" spans="1:4" x14ac:dyDescent="0.2">
      <c r="A66" s="18" t="s">
        <v>220</v>
      </c>
      <c r="D66" s="45">
        <v>7.9600000000000004E-2</v>
      </c>
    </row>
    <row r="68" spans="1:4" x14ac:dyDescent="0.2">
      <c r="A68" s="18" t="s">
        <v>49</v>
      </c>
      <c r="D68" s="41" t="s">
        <v>47</v>
      </c>
    </row>
    <row r="69" spans="1:4" x14ac:dyDescent="0.2">
      <c r="A69" s="9" t="s">
        <v>53</v>
      </c>
    </row>
    <row r="70" spans="1:4" x14ac:dyDescent="0.2">
      <c r="A70" s="46" t="s">
        <v>724</v>
      </c>
    </row>
    <row r="72" spans="1:4" x14ac:dyDescent="0.2">
      <c r="A72" s="18" t="s">
        <v>70</v>
      </c>
    </row>
    <row r="73" spans="1:4" x14ac:dyDescent="0.2">
      <c r="A73" s="46" t="s">
        <v>51</v>
      </c>
    </row>
  </sheetData>
  <mergeCells count="1">
    <mergeCell ref="A1:F1"/>
  </mergeCells>
  <conditionalFormatting sqref="F2:F3 F5:F65536">
    <cfRule type="cellIs" dxfId="19" priority="1" stopIfTrue="1" operator="between">
      <formula>0.009</formula>
      <formula>-0.009</formula>
    </cfRule>
  </conditionalFormatting>
  <hyperlinks>
    <hyperlink ref="A73" r:id="rId1" tooltip="https://www.franklintempletonindia.com/downloadsServlet/pdf/product-labels-jg9o5k7l"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57"/>
  <sheetViews>
    <sheetView workbookViewId="0">
      <selection sqref="A1:F1"/>
    </sheetView>
  </sheetViews>
  <sheetFormatPr defaultColWidth="9.109375" defaultRowHeight="10.199999999999999" x14ac:dyDescent="0.2"/>
  <cols>
    <col min="1" max="1" width="38.6640625" style="9" bestFit="1" customWidth="1"/>
    <col min="2" max="2" width="24.109375" style="9" bestFit="1" customWidth="1"/>
    <col min="3" max="3" width="20"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69" t="s">
        <v>16</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108</v>
      </c>
      <c r="B7" s="27" t="s">
        <v>107</v>
      </c>
      <c r="C7" s="27" t="s">
        <v>104</v>
      </c>
      <c r="D7" s="31">
        <v>11000000</v>
      </c>
      <c r="E7" s="29">
        <v>79095.5</v>
      </c>
      <c r="F7" s="30">
        <v>10.199271968812401</v>
      </c>
    </row>
    <row r="8" spans="1:6" x14ac:dyDescent="0.2">
      <c r="A8" s="27" t="s">
        <v>140</v>
      </c>
      <c r="B8" s="27" t="s">
        <v>139</v>
      </c>
      <c r="C8" s="27" t="s">
        <v>104</v>
      </c>
      <c r="D8" s="31">
        <v>17200000</v>
      </c>
      <c r="E8" s="29">
        <v>73280.600000000006</v>
      </c>
      <c r="F8" s="30">
        <v>9.4494474330114304</v>
      </c>
    </row>
    <row r="9" spans="1:6" x14ac:dyDescent="0.2">
      <c r="A9" s="27" t="s">
        <v>106</v>
      </c>
      <c r="B9" s="27" t="s">
        <v>105</v>
      </c>
      <c r="C9" s="27" t="s">
        <v>104</v>
      </c>
      <c r="D9" s="31">
        <v>6300000</v>
      </c>
      <c r="E9" s="29">
        <v>49549.5</v>
      </c>
      <c r="F9" s="30">
        <v>6.3893499177408497</v>
      </c>
    </row>
    <row r="10" spans="1:6" x14ac:dyDescent="0.2">
      <c r="A10" s="27" t="s">
        <v>191</v>
      </c>
      <c r="B10" s="27" t="s">
        <v>190</v>
      </c>
      <c r="C10" s="27" t="s">
        <v>192</v>
      </c>
      <c r="D10" s="31">
        <v>2300000</v>
      </c>
      <c r="E10" s="29">
        <v>38460.6</v>
      </c>
      <c r="F10" s="30">
        <v>4.9594492668193197</v>
      </c>
    </row>
    <row r="11" spans="1:6" x14ac:dyDescent="0.2">
      <c r="A11" s="27" t="s">
        <v>110</v>
      </c>
      <c r="B11" s="27" t="s">
        <v>109</v>
      </c>
      <c r="C11" s="27" t="s">
        <v>111</v>
      </c>
      <c r="D11" s="31">
        <v>5600000</v>
      </c>
      <c r="E11" s="29">
        <v>37186.800000000003</v>
      </c>
      <c r="F11" s="30">
        <v>4.7951942506189802</v>
      </c>
    </row>
    <row r="12" spans="1:6" x14ac:dyDescent="0.2">
      <c r="A12" s="27" t="s">
        <v>147</v>
      </c>
      <c r="B12" s="27" t="s">
        <v>146</v>
      </c>
      <c r="C12" s="27" t="s">
        <v>145</v>
      </c>
      <c r="D12" s="31">
        <v>31000000</v>
      </c>
      <c r="E12" s="29">
        <v>35944.5</v>
      </c>
      <c r="F12" s="30">
        <v>4.6350011224782497</v>
      </c>
    </row>
    <row r="13" spans="1:6" x14ac:dyDescent="0.2">
      <c r="A13" s="27" t="s">
        <v>154</v>
      </c>
      <c r="B13" s="27" t="s">
        <v>153</v>
      </c>
      <c r="C13" s="27" t="s">
        <v>133</v>
      </c>
      <c r="D13" s="31">
        <v>7000000</v>
      </c>
      <c r="E13" s="29">
        <v>33015.5</v>
      </c>
      <c r="F13" s="30">
        <v>4.2573100073496803</v>
      </c>
    </row>
    <row r="14" spans="1:6" x14ac:dyDescent="0.2">
      <c r="A14" s="27" t="s">
        <v>219</v>
      </c>
      <c r="B14" s="27" t="s">
        <v>218</v>
      </c>
      <c r="C14" s="27" t="s">
        <v>104</v>
      </c>
      <c r="D14" s="31">
        <v>38000000</v>
      </c>
      <c r="E14" s="29">
        <v>30875</v>
      </c>
      <c r="F14" s="30">
        <v>3.9812950425382398</v>
      </c>
    </row>
    <row r="15" spans="1:6" x14ac:dyDescent="0.2">
      <c r="A15" s="27" t="s">
        <v>103</v>
      </c>
      <c r="B15" s="27" t="s">
        <v>102</v>
      </c>
      <c r="C15" s="27" t="s">
        <v>104</v>
      </c>
      <c r="D15" s="31">
        <v>1900000</v>
      </c>
      <c r="E15" s="29">
        <v>30046.6</v>
      </c>
      <c r="F15" s="30">
        <v>3.87447383401229</v>
      </c>
    </row>
    <row r="16" spans="1:6" x14ac:dyDescent="0.2">
      <c r="A16" s="27" t="s">
        <v>385</v>
      </c>
      <c r="B16" s="27" t="s">
        <v>384</v>
      </c>
      <c r="C16" s="27" t="s">
        <v>368</v>
      </c>
      <c r="D16" s="31">
        <v>4517863</v>
      </c>
      <c r="E16" s="29">
        <v>28148.545419999999</v>
      </c>
      <c r="F16" s="30">
        <v>3.6297219217913699</v>
      </c>
    </row>
    <row r="17" spans="1:6" x14ac:dyDescent="0.2">
      <c r="A17" s="27" t="s">
        <v>249</v>
      </c>
      <c r="B17" s="27" t="s">
        <v>248</v>
      </c>
      <c r="C17" s="27" t="s">
        <v>174</v>
      </c>
      <c r="D17" s="31">
        <v>1125000</v>
      </c>
      <c r="E17" s="29">
        <v>27148.5</v>
      </c>
      <c r="F17" s="30">
        <v>3.5007672376469499</v>
      </c>
    </row>
    <row r="18" spans="1:6" x14ac:dyDescent="0.2">
      <c r="A18" s="27" t="s">
        <v>213</v>
      </c>
      <c r="B18" s="27" t="s">
        <v>212</v>
      </c>
      <c r="C18" s="27" t="s">
        <v>133</v>
      </c>
      <c r="D18" s="31">
        <v>24201590</v>
      </c>
      <c r="E18" s="29">
        <v>26827.462520000001</v>
      </c>
      <c r="F18" s="30">
        <v>3.4593698310852301</v>
      </c>
    </row>
    <row r="19" spans="1:6" x14ac:dyDescent="0.2">
      <c r="A19" s="27" t="s">
        <v>524</v>
      </c>
      <c r="B19" s="27" t="s">
        <v>523</v>
      </c>
      <c r="C19" s="27" t="s">
        <v>138</v>
      </c>
      <c r="D19" s="31">
        <v>2800000</v>
      </c>
      <c r="E19" s="29">
        <v>26538.400000000001</v>
      </c>
      <c r="F19" s="30">
        <v>3.4220955581181198</v>
      </c>
    </row>
    <row r="20" spans="1:6" x14ac:dyDescent="0.2">
      <c r="A20" s="27" t="s">
        <v>526</v>
      </c>
      <c r="B20" s="27" t="s">
        <v>525</v>
      </c>
      <c r="C20" s="27" t="s">
        <v>310</v>
      </c>
      <c r="D20" s="31">
        <v>1200000</v>
      </c>
      <c r="E20" s="29">
        <v>22849.8</v>
      </c>
      <c r="F20" s="30">
        <v>2.9464549137810598</v>
      </c>
    </row>
    <row r="21" spans="1:6" x14ac:dyDescent="0.2">
      <c r="A21" s="27" t="s">
        <v>528</v>
      </c>
      <c r="B21" s="27" t="s">
        <v>527</v>
      </c>
      <c r="C21" s="27" t="s">
        <v>209</v>
      </c>
      <c r="D21" s="31">
        <v>2973567</v>
      </c>
      <c r="E21" s="29">
        <v>22661.554110000001</v>
      </c>
      <c r="F21" s="30">
        <v>2.92218082702365</v>
      </c>
    </row>
    <row r="22" spans="1:6" x14ac:dyDescent="0.2">
      <c r="A22" s="27" t="s">
        <v>422</v>
      </c>
      <c r="B22" s="27" t="s">
        <v>421</v>
      </c>
      <c r="C22" s="27" t="s">
        <v>174</v>
      </c>
      <c r="D22" s="31">
        <v>3000000</v>
      </c>
      <c r="E22" s="29">
        <v>21271.5</v>
      </c>
      <c r="F22" s="30">
        <v>2.7429349796713298</v>
      </c>
    </row>
    <row r="23" spans="1:6" x14ac:dyDescent="0.2">
      <c r="A23" s="27" t="s">
        <v>264</v>
      </c>
      <c r="B23" s="27" t="s">
        <v>263</v>
      </c>
      <c r="C23" s="27" t="s">
        <v>138</v>
      </c>
      <c r="D23" s="31">
        <v>2000000</v>
      </c>
      <c r="E23" s="29">
        <v>19157</v>
      </c>
      <c r="F23" s="30">
        <v>2.4702726843693998</v>
      </c>
    </row>
    <row r="24" spans="1:6" x14ac:dyDescent="0.2">
      <c r="A24" s="27" t="s">
        <v>217</v>
      </c>
      <c r="B24" s="27" t="s">
        <v>216</v>
      </c>
      <c r="C24" s="27" t="s">
        <v>128</v>
      </c>
      <c r="D24" s="31">
        <v>12500000</v>
      </c>
      <c r="E24" s="29">
        <v>18268.75</v>
      </c>
      <c r="F24" s="30">
        <v>2.3557338885302199</v>
      </c>
    </row>
    <row r="25" spans="1:6" x14ac:dyDescent="0.2">
      <c r="A25" s="27" t="s">
        <v>530</v>
      </c>
      <c r="B25" s="27" t="s">
        <v>529</v>
      </c>
      <c r="C25" s="27" t="s">
        <v>531</v>
      </c>
      <c r="D25" s="31">
        <v>1385801</v>
      </c>
      <c r="E25" s="29">
        <v>16519.44082</v>
      </c>
      <c r="F25" s="30">
        <v>2.1301625212038799</v>
      </c>
    </row>
    <row r="26" spans="1:6" x14ac:dyDescent="0.2">
      <c r="A26" s="27" t="s">
        <v>533</v>
      </c>
      <c r="B26" s="27" t="s">
        <v>532</v>
      </c>
      <c r="C26" s="27" t="s">
        <v>174</v>
      </c>
      <c r="D26" s="31">
        <v>8200000</v>
      </c>
      <c r="E26" s="29">
        <v>12447.6</v>
      </c>
      <c r="F26" s="30">
        <v>1.60510342255867</v>
      </c>
    </row>
    <row r="27" spans="1:6" x14ac:dyDescent="0.2">
      <c r="A27" s="27" t="s">
        <v>535</v>
      </c>
      <c r="B27" s="27" t="s">
        <v>534</v>
      </c>
      <c r="C27" s="27" t="s">
        <v>368</v>
      </c>
      <c r="D27" s="31">
        <v>15000000</v>
      </c>
      <c r="E27" s="29">
        <v>11737.5</v>
      </c>
      <c r="F27" s="30">
        <v>1.51353686030098</v>
      </c>
    </row>
    <row r="28" spans="1:6" x14ac:dyDescent="0.2">
      <c r="A28" s="27" t="s">
        <v>537</v>
      </c>
      <c r="B28" s="27" t="s">
        <v>536</v>
      </c>
      <c r="C28" s="27" t="s">
        <v>120</v>
      </c>
      <c r="D28" s="31">
        <v>1570828</v>
      </c>
      <c r="E28" s="29">
        <v>11010.718870000001</v>
      </c>
      <c r="F28" s="30">
        <v>1.4198192858919301</v>
      </c>
    </row>
    <row r="29" spans="1:6" x14ac:dyDescent="0.2">
      <c r="A29" s="27" t="s">
        <v>258</v>
      </c>
      <c r="B29" s="27" t="s">
        <v>257</v>
      </c>
      <c r="C29" s="27" t="s">
        <v>125</v>
      </c>
      <c r="D29" s="31">
        <v>1400000</v>
      </c>
      <c r="E29" s="29">
        <v>10012.1</v>
      </c>
      <c r="F29" s="30">
        <v>1.2910485536970699</v>
      </c>
    </row>
    <row r="30" spans="1:6" x14ac:dyDescent="0.2">
      <c r="A30" s="27" t="s">
        <v>468</v>
      </c>
      <c r="B30" s="27" t="s">
        <v>467</v>
      </c>
      <c r="C30" s="27" t="s">
        <v>434</v>
      </c>
      <c r="D30" s="31">
        <v>200000</v>
      </c>
      <c r="E30" s="29">
        <v>9939.1</v>
      </c>
      <c r="F30" s="30">
        <v>1.281635289305</v>
      </c>
    </row>
    <row r="31" spans="1:6" x14ac:dyDescent="0.2">
      <c r="A31" s="27" t="s">
        <v>156</v>
      </c>
      <c r="B31" s="27" t="s">
        <v>155</v>
      </c>
      <c r="C31" s="27" t="s">
        <v>152</v>
      </c>
      <c r="D31" s="31">
        <v>225000</v>
      </c>
      <c r="E31" s="29">
        <v>8387.6625000000004</v>
      </c>
      <c r="F31" s="30">
        <v>1.08157924306831</v>
      </c>
    </row>
    <row r="32" spans="1:6" x14ac:dyDescent="0.2">
      <c r="A32" s="27" t="s">
        <v>256</v>
      </c>
      <c r="B32" s="27" t="s">
        <v>255</v>
      </c>
      <c r="C32" s="27" t="s">
        <v>241</v>
      </c>
      <c r="D32" s="31">
        <v>300000</v>
      </c>
      <c r="E32" s="29">
        <v>4127.3999999999996</v>
      </c>
      <c r="F32" s="30">
        <v>0.53222338975133099</v>
      </c>
    </row>
    <row r="33" spans="1:9" x14ac:dyDescent="0.2">
      <c r="A33" s="26" t="s">
        <v>34</v>
      </c>
      <c r="B33" s="26"/>
      <c r="C33" s="26"/>
      <c r="D33" s="32"/>
      <c r="E33" s="33">
        <f>SUM(E7:E32)</f>
        <v>704507.63423999993</v>
      </c>
      <c r="F33" s="34">
        <f>SUM(F7:F32)</f>
        <v>90.845433251175962</v>
      </c>
      <c r="G33" s="18"/>
      <c r="H33" s="18"/>
      <c r="I33" s="18"/>
    </row>
    <row r="34" spans="1:9" x14ac:dyDescent="0.2">
      <c r="A34" s="27"/>
      <c r="B34" s="27"/>
      <c r="C34" s="27"/>
      <c r="D34" s="28"/>
      <c r="E34" s="29"/>
      <c r="F34" s="30"/>
    </row>
    <row r="35" spans="1:9" x14ac:dyDescent="0.2">
      <c r="A35" s="26" t="s">
        <v>36</v>
      </c>
      <c r="B35" s="26"/>
      <c r="C35" s="26"/>
      <c r="D35" s="32"/>
      <c r="E35" s="33">
        <f>E33</f>
        <v>704507.63423999993</v>
      </c>
      <c r="F35" s="34">
        <f>F33</f>
        <v>90.845433251175962</v>
      </c>
      <c r="G35" s="18"/>
      <c r="H35" s="18"/>
      <c r="I35" s="18"/>
    </row>
    <row r="36" spans="1:9" x14ac:dyDescent="0.2">
      <c r="A36" s="26"/>
      <c r="B36" s="26"/>
      <c r="C36" s="26"/>
      <c r="D36" s="32"/>
      <c r="E36" s="33"/>
      <c r="F36" s="34"/>
      <c r="G36" s="18"/>
      <c r="H36" s="18"/>
      <c r="I36" s="18"/>
    </row>
    <row r="37" spans="1:9" x14ac:dyDescent="0.2">
      <c r="A37" s="26" t="s">
        <v>38</v>
      </c>
      <c r="B37" s="26"/>
      <c r="C37" s="26"/>
      <c r="D37" s="32"/>
      <c r="E37" s="33">
        <f>E39-(E33)</f>
        <v>70993.796076400089</v>
      </c>
      <c r="F37" s="34">
        <f>F39-(F33)</f>
        <v>9.1545667488240383</v>
      </c>
      <c r="G37" s="18"/>
      <c r="H37" s="18"/>
      <c r="I37" s="18"/>
    </row>
    <row r="38" spans="1:9" x14ac:dyDescent="0.2">
      <c r="A38" s="26"/>
      <c r="B38" s="26"/>
      <c r="C38" s="26"/>
      <c r="D38" s="32"/>
      <c r="E38" s="33"/>
      <c r="F38" s="34"/>
      <c r="G38" s="18"/>
      <c r="H38" s="18"/>
      <c r="I38" s="18"/>
    </row>
    <row r="39" spans="1:9" x14ac:dyDescent="0.2">
      <c r="A39" s="35" t="s">
        <v>37</v>
      </c>
      <c r="B39" s="35"/>
      <c r="C39" s="35"/>
      <c r="D39" s="36"/>
      <c r="E39" s="37">
        <v>775501.43031640002</v>
      </c>
      <c r="F39" s="38">
        <v>100</v>
      </c>
      <c r="G39" s="18"/>
      <c r="H39" s="18"/>
      <c r="I39" s="18"/>
    </row>
    <row r="42" spans="1:9" x14ac:dyDescent="0.2">
      <c r="A42" s="18" t="s">
        <v>40</v>
      </c>
    </row>
    <row r="43" spans="1:9" x14ac:dyDescent="0.2">
      <c r="A43" s="18" t="s">
        <v>41</v>
      </c>
    </row>
    <row r="44" spans="1:9" x14ac:dyDescent="0.2">
      <c r="A44" s="18" t="s">
        <v>42</v>
      </c>
      <c r="B44" s="18"/>
      <c r="C44" s="39" t="s">
        <v>44</v>
      </c>
      <c r="D44" s="19" t="s">
        <v>43</v>
      </c>
    </row>
    <row r="45" spans="1:9" x14ac:dyDescent="0.2">
      <c r="A45" s="9" t="s">
        <v>71</v>
      </c>
      <c r="C45" s="40">
        <v>53.2971</v>
      </c>
      <c r="D45" s="40">
        <v>62.583199999999998</v>
      </c>
    </row>
    <row r="46" spans="1:9" x14ac:dyDescent="0.2">
      <c r="A46" s="9" t="s">
        <v>77</v>
      </c>
      <c r="C46" s="40">
        <v>26.782800000000002</v>
      </c>
      <c r="D46" s="40">
        <v>31.449300000000001</v>
      </c>
    </row>
    <row r="47" spans="1:9" x14ac:dyDescent="0.2">
      <c r="A47" s="9" t="s">
        <v>74</v>
      </c>
      <c r="C47" s="40">
        <v>57.9435</v>
      </c>
      <c r="D47" s="40">
        <v>68.317899999999995</v>
      </c>
    </row>
    <row r="48" spans="1:9" x14ac:dyDescent="0.2">
      <c r="A48" s="9" t="s">
        <v>78</v>
      </c>
      <c r="C48" s="40">
        <v>30.083500000000001</v>
      </c>
      <c r="D48" s="40">
        <v>35.4696</v>
      </c>
    </row>
    <row r="50" spans="1:4" x14ac:dyDescent="0.2">
      <c r="A50" s="9" t="s">
        <v>45</v>
      </c>
    </row>
    <row r="52" spans="1:4" x14ac:dyDescent="0.2">
      <c r="A52" s="18" t="s">
        <v>46</v>
      </c>
      <c r="D52" s="41" t="s">
        <v>47</v>
      </c>
    </row>
    <row r="54" spans="1:4" x14ac:dyDescent="0.2">
      <c r="A54" s="18" t="s">
        <v>220</v>
      </c>
      <c r="D54" s="45">
        <v>4.07E-2</v>
      </c>
    </row>
    <row r="56" spans="1:4" x14ac:dyDescent="0.2">
      <c r="A56" s="18" t="s">
        <v>97</v>
      </c>
    </row>
    <row r="57" spans="1:4" x14ac:dyDescent="0.2">
      <c r="A57" s="46" t="s">
        <v>51</v>
      </c>
    </row>
  </sheetData>
  <mergeCells count="1">
    <mergeCell ref="A1:F1"/>
  </mergeCells>
  <conditionalFormatting sqref="F2:F3 F5:F65536">
    <cfRule type="cellIs" dxfId="18" priority="1" stopIfTrue="1" operator="between">
      <formula>0.009</formula>
      <formula>-0.009</formula>
    </cfRule>
  </conditionalFormatting>
  <hyperlinks>
    <hyperlink ref="A57" r:id="rId1" tooltip="https://www.franklintempletonindia.com/downloadsServlet/pdf/product-labels-jg9o5k7l" xr:uid="{00000000-0004-0000-2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93"/>
  <sheetViews>
    <sheetView showGridLines="0" workbookViewId="0">
      <selection sqref="A1:F1"/>
    </sheetView>
  </sheetViews>
  <sheetFormatPr defaultColWidth="9.109375" defaultRowHeight="10.199999999999999" x14ac:dyDescent="0.2"/>
  <cols>
    <col min="1" max="1" width="38.6640625" style="9" bestFit="1" customWidth="1"/>
    <col min="2" max="2" width="32.109375" style="9" bestFit="1" customWidth="1"/>
    <col min="3" max="3" width="25.5546875" style="9" customWidth="1"/>
    <col min="4" max="4" width="15.5546875" style="10" bestFit="1" customWidth="1"/>
    <col min="5" max="5" width="23" style="13" bestFit="1" customWidth="1"/>
    <col min="6" max="6" width="14.6640625" style="14" bestFit="1" customWidth="1"/>
    <col min="7" max="16384" width="9.109375" style="9"/>
  </cols>
  <sheetData>
    <row r="1" spans="1:6" s="1" customFormat="1" ht="13.8" x14ac:dyDescent="0.2">
      <c r="A1" s="69" t="s">
        <v>1198</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103</v>
      </c>
      <c r="B7" s="27" t="s">
        <v>102</v>
      </c>
      <c r="C7" s="27" t="s">
        <v>104</v>
      </c>
      <c r="D7" s="31">
        <v>5000000</v>
      </c>
      <c r="E7" s="29">
        <v>79070</v>
      </c>
      <c r="F7" s="30">
        <v>7.9511499593288901</v>
      </c>
    </row>
    <row r="8" spans="1:6" x14ac:dyDescent="0.2">
      <c r="A8" s="27" t="s">
        <v>108</v>
      </c>
      <c r="B8" s="27" t="s">
        <v>107</v>
      </c>
      <c r="C8" s="27" t="s">
        <v>104</v>
      </c>
      <c r="D8" s="31">
        <v>10800000</v>
      </c>
      <c r="E8" s="29">
        <v>77657.399999999994</v>
      </c>
      <c r="F8" s="30">
        <v>7.8091012122371</v>
      </c>
    </row>
    <row r="9" spans="1:6" x14ac:dyDescent="0.2">
      <c r="A9" s="27" t="s">
        <v>100</v>
      </c>
      <c r="B9" s="27" t="s">
        <v>99</v>
      </c>
      <c r="C9" s="27" t="s">
        <v>101</v>
      </c>
      <c r="D9" s="31">
        <v>4400000</v>
      </c>
      <c r="E9" s="29">
        <v>75083.8</v>
      </c>
      <c r="F9" s="30">
        <v>7.55030420281091</v>
      </c>
    </row>
    <row r="10" spans="1:6" x14ac:dyDescent="0.2">
      <c r="A10" s="27" t="s">
        <v>106</v>
      </c>
      <c r="B10" s="27" t="s">
        <v>105</v>
      </c>
      <c r="C10" s="27" t="s">
        <v>104</v>
      </c>
      <c r="D10" s="31">
        <v>8500000</v>
      </c>
      <c r="E10" s="29">
        <v>66852.5</v>
      </c>
      <c r="F10" s="30">
        <v>6.7225781289494702</v>
      </c>
    </row>
    <row r="11" spans="1:6" x14ac:dyDescent="0.2">
      <c r="A11" s="27" t="s">
        <v>110</v>
      </c>
      <c r="B11" s="27" t="s">
        <v>109</v>
      </c>
      <c r="C11" s="27" t="s">
        <v>111</v>
      </c>
      <c r="D11" s="31">
        <v>9800000</v>
      </c>
      <c r="E11" s="29">
        <v>65076.9</v>
      </c>
      <c r="F11" s="30">
        <v>6.54402669518465</v>
      </c>
    </row>
    <row r="12" spans="1:6" x14ac:dyDescent="0.2">
      <c r="A12" s="27" t="s">
        <v>191</v>
      </c>
      <c r="B12" s="27" t="s">
        <v>190</v>
      </c>
      <c r="C12" s="27" t="s">
        <v>192</v>
      </c>
      <c r="D12" s="31">
        <v>2900000</v>
      </c>
      <c r="E12" s="29">
        <v>48493.8</v>
      </c>
      <c r="F12" s="30">
        <v>4.8764572644201696</v>
      </c>
    </row>
    <row r="13" spans="1:6" x14ac:dyDescent="0.2">
      <c r="A13" s="27" t="s">
        <v>140</v>
      </c>
      <c r="B13" s="27" t="s">
        <v>139</v>
      </c>
      <c r="C13" s="27" t="s">
        <v>104</v>
      </c>
      <c r="D13" s="31">
        <v>9500000</v>
      </c>
      <c r="E13" s="29">
        <v>40474.75</v>
      </c>
      <c r="F13" s="30">
        <v>4.0700747036340799</v>
      </c>
    </row>
    <row r="14" spans="1:6" x14ac:dyDescent="0.2">
      <c r="A14" s="27" t="s">
        <v>238</v>
      </c>
      <c r="B14" s="27" t="s">
        <v>237</v>
      </c>
      <c r="C14" s="27" t="s">
        <v>101</v>
      </c>
      <c r="D14" s="31">
        <v>2600000</v>
      </c>
      <c r="E14" s="29">
        <v>30739.8</v>
      </c>
      <c r="F14" s="30">
        <v>3.09114404350295</v>
      </c>
    </row>
    <row r="15" spans="1:6" x14ac:dyDescent="0.2">
      <c r="A15" s="27" t="s">
        <v>149</v>
      </c>
      <c r="B15" s="27" t="s">
        <v>148</v>
      </c>
      <c r="C15" s="27" t="s">
        <v>125</v>
      </c>
      <c r="D15" s="31">
        <v>1850000</v>
      </c>
      <c r="E15" s="29">
        <v>27287.5</v>
      </c>
      <c r="F15" s="30">
        <v>2.7439863983203101</v>
      </c>
    </row>
    <row r="16" spans="1:6" x14ac:dyDescent="0.2">
      <c r="A16" s="27" t="s">
        <v>165</v>
      </c>
      <c r="B16" s="27" t="s">
        <v>164</v>
      </c>
      <c r="C16" s="27" t="s">
        <v>152</v>
      </c>
      <c r="D16" s="31">
        <v>9000000</v>
      </c>
      <c r="E16" s="29">
        <v>25857</v>
      </c>
      <c r="F16" s="30">
        <v>2.6001376564862402</v>
      </c>
    </row>
    <row r="17" spans="1:6" x14ac:dyDescent="0.2">
      <c r="A17" s="27" t="s">
        <v>258</v>
      </c>
      <c r="B17" s="27" t="s">
        <v>257</v>
      </c>
      <c r="C17" s="27" t="s">
        <v>125</v>
      </c>
      <c r="D17" s="31">
        <v>3600000</v>
      </c>
      <c r="E17" s="29">
        <v>25745.4</v>
      </c>
      <c r="F17" s="30">
        <v>2.58891534289751</v>
      </c>
    </row>
    <row r="18" spans="1:6" x14ac:dyDescent="0.2">
      <c r="A18" s="27" t="s">
        <v>147</v>
      </c>
      <c r="B18" s="27" t="s">
        <v>146</v>
      </c>
      <c r="C18" s="27" t="s">
        <v>145</v>
      </c>
      <c r="D18" s="31">
        <v>21000000</v>
      </c>
      <c r="E18" s="29">
        <v>24349.5</v>
      </c>
      <c r="F18" s="30">
        <v>2.4485459205094098</v>
      </c>
    </row>
    <row r="19" spans="1:6" x14ac:dyDescent="0.2">
      <c r="A19" s="27" t="s">
        <v>173</v>
      </c>
      <c r="B19" s="27" t="s">
        <v>172</v>
      </c>
      <c r="C19" s="27" t="s">
        <v>174</v>
      </c>
      <c r="D19" s="31">
        <v>1600000</v>
      </c>
      <c r="E19" s="29">
        <v>24006.400000000001</v>
      </c>
      <c r="F19" s="30">
        <v>2.4140443453096401</v>
      </c>
    </row>
    <row r="20" spans="1:6" x14ac:dyDescent="0.2">
      <c r="A20" s="27" t="s">
        <v>539</v>
      </c>
      <c r="B20" s="27" t="s">
        <v>538</v>
      </c>
      <c r="C20" s="27" t="s">
        <v>125</v>
      </c>
      <c r="D20" s="31">
        <v>4200000</v>
      </c>
      <c r="E20" s="29">
        <v>22866.9</v>
      </c>
      <c r="F20" s="30">
        <v>2.2994580878332802</v>
      </c>
    </row>
    <row r="21" spans="1:6" x14ac:dyDescent="0.2">
      <c r="A21" s="27" t="s">
        <v>158</v>
      </c>
      <c r="B21" s="27" t="s">
        <v>157</v>
      </c>
      <c r="C21" s="27" t="s">
        <v>159</v>
      </c>
      <c r="D21" s="31">
        <v>10344155</v>
      </c>
      <c r="E21" s="29">
        <v>21526.186559999998</v>
      </c>
      <c r="F21" s="30">
        <v>2.16463813571582</v>
      </c>
    </row>
    <row r="22" spans="1:6" x14ac:dyDescent="0.2">
      <c r="A22" s="27" t="s">
        <v>119</v>
      </c>
      <c r="B22" s="27" t="s">
        <v>118</v>
      </c>
      <c r="C22" s="27" t="s">
        <v>120</v>
      </c>
      <c r="D22" s="31">
        <v>2000000</v>
      </c>
      <c r="E22" s="29">
        <v>19917</v>
      </c>
      <c r="F22" s="30">
        <v>2.00282096547304</v>
      </c>
    </row>
    <row r="23" spans="1:6" x14ac:dyDescent="0.2">
      <c r="A23" s="27" t="s">
        <v>151</v>
      </c>
      <c r="B23" s="27" t="s">
        <v>150</v>
      </c>
      <c r="C23" s="27" t="s">
        <v>152</v>
      </c>
      <c r="D23" s="31">
        <v>2500000</v>
      </c>
      <c r="E23" s="29">
        <v>19832.5</v>
      </c>
      <c r="F23" s="30">
        <v>1.9943237835890999</v>
      </c>
    </row>
    <row r="24" spans="1:6" x14ac:dyDescent="0.2">
      <c r="A24" s="27" t="s">
        <v>132</v>
      </c>
      <c r="B24" s="27" t="s">
        <v>131</v>
      </c>
      <c r="C24" s="27" t="s">
        <v>133</v>
      </c>
      <c r="D24" s="31">
        <v>7400000</v>
      </c>
      <c r="E24" s="29">
        <v>19728.400000000001</v>
      </c>
      <c r="F24" s="30">
        <v>1.98385565774155</v>
      </c>
    </row>
    <row r="25" spans="1:6" x14ac:dyDescent="0.2">
      <c r="A25" s="27" t="s">
        <v>196</v>
      </c>
      <c r="B25" s="27" t="s">
        <v>195</v>
      </c>
      <c r="C25" s="27" t="s">
        <v>101</v>
      </c>
      <c r="D25" s="31">
        <v>1100000</v>
      </c>
      <c r="E25" s="29">
        <v>15924.15</v>
      </c>
      <c r="F25" s="30">
        <v>1.60130649582455</v>
      </c>
    </row>
    <row r="26" spans="1:6" x14ac:dyDescent="0.2">
      <c r="A26" s="27" t="s">
        <v>541</v>
      </c>
      <c r="B26" s="27" t="s">
        <v>540</v>
      </c>
      <c r="C26" s="27" t="s">
        <v>138</v>
      </c>
      <c r="D26" s="31">
        <v>2000000</v>
      </c>
      <c r="E26" s="29">
        <v>15881</v>
      </c>
      <c r="F26" s="30">
        <v>1.59696740235364</v>
      </c>
    </row>
    <row r="27" spans="1:6" x14ac:dyDescent="0.2">
      <c r="A27" s="27" t="s">
        <v>381</v>
      </c>
      <c r="B27" s="27" t="s">
        <v>380</v>
      </c>
      <c r="C27" s="27" t="s">
        <v>125</v>
      </c>
      <c r="D27" s="31">
        <v>9200000</v>
      </c>
      <c r="E27" s="29">
        <v>14894.8</v>
      </c>
      <c r="F27" s="30">
        <v>1.49779674230697</v>
      </c>
    </row>
    <row r="28" spans="1:6" x14ac:dyDescent="0.2">
      <c r="A28" s="27" t="s">
        <v>319</v>
      </c>
      <c r="B28" s="27" t="s">
        <v>318</v>
      </c>
      <c r="C28" s="27" t="s">
        <v>159</v>
      </c>
      <c r="D28" s="31">
        <v>10788765</v>
      </c>
      <c r="E28" s="29">
        <v>14516.283310000001</v>
      </c>
      <c r="F28" s="30">
        <v>1.45973372264972</v>
      </c>
    </row>
    <row r="29" spans="1:6" x14ac:dyDescent="0.2">
      <c r="A29" s="27" t="s">
        <v>137</v>
      </c>
      <c r="B29" s="27" t="s">
        <v>136</v>
      </c>
      <c r="C29" s="27" t="s">
        <v>138</v>
      </c>
      <c r="D29" s="31">
        <v>300000</v>
      </c>
      <c r="E29" s="29">
        <v>14112.15</v>
      </c>
      <c r="F29" s="30">
        <v>1.41909473755588</v>
      </c>
    </row>
    <row r="30" spans="1:6" x14ac:dyDescent="0.2">
      <c r="A30" s="27" t="s">
        <v>217</v>
      </c>
      <c r="B30" s="27" t="s">
        <v>216</v>
      </c>
      <c r="C30" s="27" t="s">
        <v>128</v>
      </c>
      <c r="D30" s="31">
        <v>9000000</v>
      </c>
      <c r="E30" s="29">
        <v>13153.5</v>
      </c>
      <c r="F30" s="30">
        <v>1.3226944604784701</v>
      </c>
    </row>
    <row r="31" spans="1:6" x14ac:dyDescent="0.2">
      <c r="A31" s="27" t="s">
        <v>543</v>
      </c>
      <c r="B31" s="27" t="s">
        <v>542</v>
      </c>
      <c r="C31" s="27" t="s">
        <v>187</v>
      </c>
      <c r="D31" s="31">
        <v>12000000</v>
      </c>
      <c r="E31" s="29">
        <v>12942</v>
      </c>
      <c r="F31" s="30">
        <v>1.3014263661772401</v>
      </c>
    </row>
    <row r="32" spans="1:6" x14ac:dyDescent="0.2">
      <c r="A32" s="27" t="s">
        <v>251</v>
      </c>
      <c r="B32" s="27" t="s">
        <v>250</v>
      </c>
      <c r="C32" s="27" t="s">
        <v>252</v>
      </c>
      <c r="D32" s="31">
        <v>1600000</v>
      </c>
      <c r="E32" s="29">
        <v>12440</v>
      </c>
      <c r="F32" s="30">
        <v>1.2509460667010399</v>
      </c>
    </row>
    <row r="33" spans="1:6" x14ac:dyDescent="0.2">
      <c r="A33" s="27" t="s">
        <v>240</v>
      </c>
      <c r="B33" s="27" t="s">
        <v>239</v>
      </c>
      <c r="C33" s="27" t="s">
        <v>241</v>
      </c>
      <c r="D33" s="31">
        <v>6500000</v>
      </c>
      <c r="E33" s="29">
        <v>12132.25</v>
      </c>
      <c r="F33" s="30">
        <v>1.21999922972136</v>
      </c>
    </row>
    <row r="34" spans="1:6" x14ac:dyDescent="0.2">
      <c r="A34" s="27" t="s">
        <v>122</v>
      </c>
      <c r="B34" s="27" t="s">
        <v>121</v>
      </c>
      <c r="C34" s="27" t="s">
        <v>104</v>
      </c>
      <c r="D34" s="31">
        <v>600000</v>
      </c>
      <c r="E34" s="29">
        <v>10522.2</v>
      </c>
      <c r="F34" s="30">
        <v>1.0580952333634801</v>
      </c>
    </row>
    <row r="35" spans="1:6" x14ac:dyDescent="0.2">
      <c r="A35" s="27" t="s">
        <v>264</v>
      </c>
      <c r="B35" s="27" t="s">
        <v>263</v>
      </c>
      <c r="C35" s="27" t="s">
        <v>138</v>
      </c>
      <c r="D35" s="31">
        <v>1000000</v>
      </c>
      <c r="E35" s="29">
        <v>9578.5</v>
      </c>
      <c r="F35" s="30">
        <v>0.96319830385015504</v>
      </c>
    </row>
    <row r="36" spans="1:6" x14ac:dyDescent="0.2">
      <c r="A36" s="27" t="s">
        <v>213</v>
      </c>
      <c r="B36" s="27" t="s">
        <v>212</v>
      </c>
      <c r="C36" s="27" t="s">
        <v>133</v>
      </c>
      <c r="D36" s="31">
        <v>8000000</v>
      </c>
      <c r="E36" s="29">
        <v>8868</v>
      </c>
      <c r="F36" s="30">
        <v>0.89175158516919895</v>
      </c>
    </row>
    <row r="37" spans="1:6" x14ac:dyDescent="0.2">
      <c r="A37" s="27" t="s">
        <v>545</v>
      </c>
      <c r="B37" s="27" t="s">
        <v>544</v>
      </c>
      <c r="C37" s="27" t="s">
        <v>209</v>
      </c>
      <c r="D37" s="31">
        <v>280000</v>
      </c>
      <c r="E37" s="29">
        <v>8620.5</v>
      </c>
      <c r="F37" s="30">
        <v>0.86686338971031596</v>
      </c>
    </row>
    <row r="38" spans="1:6" x14ac:dyDescent="0.2">
      <c r="A38" s="27" t="s">
        <v>547</v>
      </c>
      <c r="B38" s="27" t="s">
        <v>546</v>
      </c>
      <c r="C38" s="27" t="s">
        <v>159</v>
      </c>
      <c r="D38" s="31">
        <v>3213663</v>
      </c>
      <c r="E38" s="29">
        <v>8228.5841120000005</v>
      </c>
      <c r="F38" s="30">
        <v>0.82745296860330297</v>
      </c>
    </row>
    <row r="39" spans="1:6" x14ac:dyDescent="0.2">
      <c r="A39" s="27" t="s">
        <v>243</v>
      </c>
      <c r="B39" s="27" t="s">
        <v>242</v>
      </c>
      <c r="C39" s="27" t="s">
        <v>152</v>
      </c>
      <c r="D39" s="31">
        <v>6000000</v>
      </c>
      <c r="E39" s="29">
        <v>8193</v>
      </c>
      <c r="F39" s="30">
        <v>0.82387468846315404</v>
      </c>
    </row>
    <row r="40" spans="1:6" x14ac:dyDescent="0.2">
      <c r="A40" s="27" t="s">
        <v>464</v>
      </c>
      <c r="B40" s="27" t="s">
        <v>463</v>
      </c>
      <c r="C40" s="27" t="s">
        <v>120</v>
      </c>
      <c r="D40" s="31">
        <v>1500000</v>
      </c>
      <c r="E40" s="29">
        <v>7101.75</v>
      </c>
      <c r="F40" s="30">
        <v>0.714140372121714</v>
      </c>
    </row>
    <row r="41" spans="1:6" x14ac:dyDescent="0.2">
      <c r="A41" s="27" t="s">
        <v>506</v>
      </c>
      <c r="B41" s="27" t="s">
        <v>505</v>
      </c>
      <c r="C41" s="27" t="s">
        <v>120</v>
      </c>
      <c r="D41" s="31">
        <v>400000</v>
      </c>
      <c r="E41" s="29">
        <v>7087.2</v>
      </c>
      <c r="F41" s="30">
        <v>0.71267724790382803</v>
      </c>
    </row>
    <row r="42" spans="1:6" x14ac:dyDescent="0.2">
      <c r="A42" s="27" t="s">
        <v>271</v>
      </c>
      <c r="B42" s="27" t="s">
        <v>270</v>
      </c>
      <c r="C42" s="27" t="s">
        <v>209</v>
      </c>
      <c r="D42" s="31">
        <v>3677041</v>
      </c>
      <c r="E42" s="29">
        <v>6175.5903600000001</v>
      </c>
      <c r="F42" s="30">
        <v>0.62100727254010202</v>
      </c>
    </row>
    <row r="43" spans="1:6" x14ac:dyDescent="0.2">
      <c r="A43" s="27" t="s">
        <v>268</v>
      </c>
      <c r="B43" s="27" t="s">
        <v>267</v>
      </c>
      <c r="C43" s="27" t="s">
        <v>133</v>
      </c>
      <c r="D43" s="31">
        <v>1000000</v>
      </c>
      <c r="E43" s="29">
        <v>6093.5</v>
      </c>
      <c r="F43" s="30">
        <v>0.61275240011598098</v>
      </c>
    </row>
    <row r="44" spans="1:6" x14ac:dyDescent="0.2">
      <c r="A44" s="27" t="s">
        <v>161</v>
      </c>
      <c r="B44" s="27" t="s">
        <v>160</v>
      </c>
      <c r="C44" s="27" t="s">
        <v>104</v>
      </c>
      <c r="D44" s="31">
        <v>4000000</v>
      </c>
      <c r="E44" s="29">
        <v>6070</v>
      </c>
      <c r="F44" s="30">
        <v>0.61038927852695501</v>
      </c>
    </row>
    <row r="45" spans="1:6" x14ac:dyDescent="0.2">
      <c r="A45" s="27" t="s">
        <v>156</v>
      </c>
      <c r="B45" s="27" t="s">
        <v>155</v>
      </c>
      <c r="C45" s="27" t="s">
        <v>152</v>
      </c>
      <c r="D45" s="31">
        <v>150000</v>
      </c>
      <c r="E45" s="29">
        <v>5591.7749999999996</v>
      </c>
      <c r="F45" s="30">
        <v>0.56229975419029099</v>
      </c>
    </row>
    <row r="46" spans="1:6" x14ac:dyDescent="0.2">
      <c r="A46" s="27" t="s">
        <v>163</v>
      </c>
      <c r="B46" s="27" t="s">
        <v>162</v>
      </c>
      <c r="C46" s="27" t="s">
        <v>138</v>
      </c>
      <c r="D46" s="31">
        <v>900000</v>
      </c>
      <c r="E46" s="29">
        <v>4987.3500000000004</v>
      </c>
      <c r="F46" s="30">
        <v>0.501519764128733</v>
      </c>
    </row>
    <row r="47" spans="1:6" x14ac:dyDescent="0.2">
      <c r="A47" s="27" t="s">
        <v>249</v>
      </c>
      <c r="B47" s="27" t="s">
        <v>248</v>
      </c>
      <c r="C47" s="27" t="s">
        <v>174</v>
      </c>
      <c r="D47" s="31">
        <v>200000</v>
      </c>
      <c r="E47" s="29">
        <v>4826.3999999999996</v>
      </c>
      <c r="F47" s="30">
        <v>0.48533489520304701</v>
      </c>
    </row>
    <row r="48" spans="1:6" x14ac:dyDescent="0.2">
      <c r="A48" s="27" t="s">
        <v>254</v>
      </c>
      <c r="B48" s="27" t="s">
        <v>253</v>
      </c>
      <c r="C48" s="27" t="s">
        <v>114</v>
      </c>
      <c r="D48" s="31">
        <v>33000</v>
      </c>
      <c r="E48" s="29">
        <v>4573.5360000000001</v>
      </c>
      <c r="F48" s="30">
        <v>0.45990730467167301</v>
      </c>
    </row>
    <row r="49" spans="1:9" x14ac:dyDescent="0.2">
      <c r="A49" s="27" t="s">
        <v>549</v>
      </c>
      <c r="B49" s="27" t="s">
        <v>548</v>
      </c>
      <c r="C49" s="27" t="s">
        <v>187</v>
      </c>
      <c r="D49" s="31">
        <v>400000</v>
      </c>
      <c r="E49" s="29">
        <v>4562.2</v>
      </c>
      <c r="F49" s="30">
        <v>0.45876737504047399</v>
      </c>
    </row>
    <row r="50" spans="1:9" x14ac:dyDescent="0.2">
      <c r="A50" s="27" t="s">
        <v>410</v>
      </c>
      <c r="B50" s="27" t="s">
        <v>409</v>
      </c>
      <c r="C50" s="27" t="s">
        <v>204</v>
      </c>
      <c r="D50" s="31">
        <v>500000</v>
      </c>
      <c r="E50" s="29">
        <v>2752.75</v>
      </c>
      <c r="F50" s="30">
        <v>0.27681204060380199</v>
      </c>
    </row>
    <row r="51" spans="1:9" x14ac:dyDescent="0.2">
      <c r="A51" s="27" t="s">
        <v>416</v>
      </c>
      <c r="B51" s="27" t="s">
        <v>415</v>
      </c>
      <c r="C51" s="27" t="s">
        <v>104</v>
      </c>
      <c r="D51" s="31">
        <v>4500000</v>
      </c>
      <c r="E51" s="29">
        <v>1977.75</v>
      </c>
      <c r="F51" s="30">
        <v>0.19887930734871301</v>
      </c>
    </row>
    <row r="52" spans="1:9" x14ac:dyDescent="0.2">
      <c r="A52" s="26" t="s">
        <v>34</v>
      </c>
      <c r="B52" s="26"/>
      <c r="C52" s="26"/>
      <c r="D52" s="32"/>
      <c r="E52" s="33">
        <f>SUM(E7:E51)</f>
        <v>956372.45534199988</v>
      </c>
      <c r="F52" s="34">
        <f>SUM(F7:F51)</f>
        <v>96.171250909267883</v>
      </c>
      <c r="G52" s="18"/>
      <c r="H52" s="18"/>
      <c r="I52" s="18"/>
    </row>
    <row r="53" spans="1:9" x14ac:dyDescent="0.2">
      <c r="A53" s="27"/>
      <c r="B53" s="27"/>
      <c r="C53" s="27"/>
      <c r="D53" s="28"/>
      <c r="E53" s="29"/>
      <c r="F53" s="30"/>
    </row>
    <row r="54" spans="1:9" x14ac:dyDescent="0.2">
      <c r="A54" s="26" t="s">
        <v>229</v>
      </c>
      <c r="B54" s="27"/>
      <c r="C54" s="27"/>
      <c r="D54" s="28"/>
      <c r="E54" s="29"/>
      <c r="F54" s="30"/>
    </row>
    <row r="55" spans="1:9" x14ac:dyDescent="0.2">
      <c r="A55" s="27"/>
      <c r="B55" s="27" t="s">
        <v>738</v>
      </c>
      <c r="C55" s="27" t="s">
        <v>187</v>
      </c>
      <c r="D55" s="31">
        <v>73500</v>
      </c>
      <c r="E55" s="29">
        <v>7.3499999999999998E-3</v>
      </c>
      <c r="F55" s="30">
        <v>7.3910398635471495E-7</v>
      </c>
    </row>
    <row r="56" spans="1:9" x14ac:dyDescent="0.2">
      <c r="A56" s="27"/>
      <c r="B56" s="27" t="s">
        <v>742</v>
      </c>
      <c r="C56" s="27" t="s">
        <v>101</v>
      </c>
      <c r="D56" s="31">
        <v>45000</v>
      </c>
      <c r="E56" s="29">
        <v>4.4999999999999997E-3</v>
      </c>
      <c r="F56" s="30">
        <v>4.5251264470696898E-7</v>
      </c>
    </row>
    <row r="57" spans="1:9" x14ac:dyDescent="0.2">
      <c r="A57" s="27" t="s">
        <v>522</v>
      </c>
      <c r="B57" s="27" t="s">
        <v>740</v>
      </c>
      <c r="C57" s="27" t="s">
        <v>375</v>
      </c>
      <c r="D57" s="31">
        <v>38000</v>
      </c>
      <c r="E57" s="29">
        <v>3.8E-3</v>
      </c>
      <c r="F57" s="30">
        <v>3.8212178886366201E-7</v>
      </c>
    </row>
    <row r="58" spans="1:9" x14ac:dyDescent="0.2">
      <c r="A58" s="26" t="s">
        <v>34</v>
      </c>
      <c r="B58" s="26"/>
      <c r="C58" s="26"/>
      <c r="D58" s="32"/>
      <c r="E58" s="33">
        <f>SUM(E54:E57)</f>
        <v>1.5650000000000001E-2</v>
      </c>
      <c r="F58" s="34">
        <f>SUM(F54:F57)</f>
        <v>1.573738419925346E-6</v>
      </c>
      <c r="G58" s="18"/>
      <c r="H58" s="18"/>
      <c r="I58" s="18"/>
    </row>
    <row r="59" spans="1:9" x14ac:dyDescent="0.2">
      <c r="A59" s="27"/>
      <c r="B59" s="27"/>
      <c r="C59" s="27"/>
      <c r="D59" s="28"/>
      <c r="E59" s="29"/>
      <c r="F59" s="30"/>
    </row>
    <row r="60" spans="1:9" x14ac:dyDescent="0.2">
      <c r="A60" s="26" t="s">
        <v>36</v>
      </c>
      <c r="B60" s="26"/>
      <c r="C60" s="26"/>
      <c r="D60" s="32"/>
      <c r="E60" s="33">
        <f>E52+E58</f>
        <v>956372.47099199984</v>
      </c>
      <c r="F60" s="34">
        <f>F52+F58</f>
        <v>96.171252483006299</v>
      </c>
      <c r="G60" s="18"/>
      <c r="H60" s="18"/>
      <c r="I60" s="18"/>
    </row>
    <row r="61" spans="1:9" x14ac:dyDescent="0.2">
      <c r="A61" s="26"/>
      <c r="B61" s="26"/>
      <c r="C61" s="26"/>
      <c r="D61" s="32"/>
      <c r="E61" s="33"/>
      <c r="F61" s="34"/>
      <c r="G61" s="18"/>
      <c r="H61" s="18"/>
      <c r="I61" s="18"/>
    </row>
    <row r="62" spans="1:9" x14ac:dyDescent="0.2">
      <c r="A62" s="26" t="s">
        <v>38</v>
      </c>
      <c r="B62" s="26"/>
      <c r="C62" s="26"/>
      <c r="D62" s="32"/>
      <c r="E62" s="33">
        <f>E64-(E52+E58)</f>
        <v>38074.878189600189</v>
      </c>
      <c r="F62" s="34">
        <f>F64-(F52+F58)</f>
        <v>3.8287475169937011</v>
      </c>
      <c r="G62" s="18"/>
      <c r="H62" s="18"/>
      <c r="I62" s="18"/>
    </row>
    <row r="63" spans="1:9" x14ac:dyDescent="0.2">
      <c r="A63" s="26"/>
      <c r="B63" s="26"/>
      <c r="C63" s="26"/>
      <c r="D63" s="32"/>
      <c r="E63" s="33"/>
      <c r="F63" s="34"/>
      <c r="G63" s="18"/>
      <c r="H63" s="18"/>
      <c r="I63" s="18"/>
    </row>
    <row r="64" spans="1:9" x14ac:dyDescent="0.2">
      <c r="A64" s="35" t="s">
        <v>37</v>
      </c>
      <c r="B64" s="35"/>
      <c r="C64" s="35"/>
      <c r="D64" s="36"/>
      <c r="E64" s="37">
        <v>994447.34918160003</v>
      </c>
      <c r="F64" s="38">
        <v>100</v>
      </c>
      <c r="G64" s="18"/>
      <c r="H64" s="18"/>
      <c r="I64" s="18"/>
    </row>
    <row r="65" spans="1:6" x14ac:dyDescent="0.2">
      <c r="F65" s="20" t="s">
        <v>513</v>
      </c>
    </row>
    <row r="66" spans="1:6" x14ac:dyDescent="0.2">
      <c r="A66" s="55" t="s">
        <v>39</v>
      </c>
      <c r="F66" s="20"/>
    </row>
    <row r="67" spans="1:6" x14ac:dyDescent="0.2">
      <c r="A67" s="55" t="s">
        <v>723</v>
      </c>
      <c r="F67" s="20"/>
    </row>
    <row r="69" spans="1:6" x14ac:dyDescent="0.2">
      <c r="A69" s="18" t="s">
        <v>40</v>
      </c>
    </row>
    <row r="70" spans="1:6" x14ac:dyDescent="0.2">
      <c r="A70" s="18" t="s">
        <v>41</v>
      </c>
    </row>
    <row r="71" spans="1:6" x14ac:dyDescent="0.2">
      <c r="A71" s="18" t="s">
        <v>42</v>
      </c>
      <c r="B71" s="18"/>
      <c r="C71" s="39" t="s">
        <v>44</v>
      </c>
      <c r="D71" s="19" t="s">
        <v>43</v>
      </c>
    </row>
    <row r="72" spans="1:6" x14ac:dyDescent="0.2">
      <c r="A72" s="9" t="s">
        <v>71</v>
      </c>
      <c r="C72" s="40">
        <v>768.52959999999996</v>
      </c>
      <c r="D72" s="40">
        <v>902.52290000000005</v>
      </c>
    </row>
    <row r="73" spans="1:6" x14ac:dyDescent="0.2">
      <c r="A73" s="9" t="s">
        <v>77</v>
      </c>
      <c r="C73" s="40">
        <v>43.369199999999999</v>
      </c>
      <c r="D73" s="40">
        <v>47.796999999999997</v>
      </c>
    </row>
    <row r="74" spans="1:6" x14ac:dyDescent="0.2">
      <c r="A74" s="9" t="s">
        <v>74</v>
      </c>
      <c r="C74" s="40">
        <v>827.62609999999995</v>
      </c>
      <c r="D74" s="40">
        <v>975.54070000000002</v>
      </c>
    </row>
    <row r="75" spans="1:6" x14ac:dyDescent="0.2">
      <c r="A75" s="9" t="s">
        <v>78</v>
      </c>
      <c r="C75" s="40">
        <v>47.820399999999999</v>
      </c>
      <c r="D75" s="40">
        <v>53.222299999999997</v>
      </c>
    </row>
    <row r="77" spans="1:6" x14ac:dyDescent="0.2">
      <c r="A77" s="18" t="s">
        <v>46</v>
      </c>
    </row>
    <row r="78" spans="1:6" x14ac:dyDescent="0.2">
      <c r="A78" s="71" t="s">
        <v>67</v>
      </c>
      <c r="B78" s="72"/>
      <c r="C78" s="43" t="s">
        <v>68</v>
      </c>
    </row>
    <row r="79" spans="1:6" x14ac:dyDescent="0.2">
      <c r="A79" s="67" t="s">
        <v>77</v>
      </c>
      <c r="B79" s="68"/>
      <c r="C79" s="44">
        <v>2.75</v>
      </c>
    </row>
    <row r="80" spans="1:6" x14ac:dyDescent="0.2">
      <c r="A80" s="67" t="s">
        <v>78</v>
      </c>
      <c r="B80" s="68"/>
      <c r="C80" s="44">
        <v>2.75</v>
      </c>
    </row>
    <row r="81" spans="1:4" x14ac:dyDescent="0.2">
      <c r="A81" s="9" t="s">
        <v>69</v>
      </c>
    </row>
    <row r="82" spans="1:4" x14ac:dyDescent="0.2">
      <c r="A82" s="9" t="s">
        <v>45</v>
      </c>
    </row>
    <row r="84" spans="1:4" x14ac:dyDescent="0.2">
      <c r="A84" s="18" t="s">
        <v>220</v>
      </c>
      <c r="D84" s="45">
        <v>7.6399999999999996E-2</v>
      </c>
    </row>
    <row r="85" spans="1:4" x14ac:dyDescent="0.2">
      <c r="A85" s="18"/>
      <c r="D85" s="45"/>
    </row>
    <row r="86" spans="1:4" x14ac:dyDescent="0.2">
      <c r="A86" s="18" t="s">
        <v>49</v>
      </c>
      <c r="D86" s="41" t="s">
        <v>47</v>
      </c>
    </row>
    <row r="87" spans="1:4" x14ac:dyDescent="0.2">
      <c r="A87" s="9" t="s">
        <v>53</v>
      </c>
    </row>
    <row r="88" spans="1:4" x14ac:dyDescent="0.2">
      <c r="A88" s="46" t="s">
        <v>724</v>
      </c>
    </row>
    <row r="89" spans="1:4" x14ac:dyDescent="0.2">
      <c r="A89" s="46"/>
    </row>
    <row r="90" spans="1:4" x14ac:dyDescent="0.2">
      <c r="A90" s="18" t="s">
        <v>70</v>
      </c>
    </row>
    <row r="91" spans="1:4" x14ac:dyDescent="0.2">
      <c r="A91" s="46" t="s">
        <v>51</v>
      </c>
    </row>
    <row r="93" spans="1:4" x14ac:dyDescent="0.2">
      <c r="A93" s="18" t="s">
        <v>1197</v>
      </c>
    </row>
  </sheetData>
  <mergeCells count="4">
    <mergeCell ref="A1:F1"/>
    <mergeCell ref="A78:B78"/>
    <mergeCell ref="A79:B79"/>
    <mergeCell ref="A80:B80"/>
  </mergeCells>
  <conditionalFormatting sqref="F2:F3 F5:F65536">
    <cfRule type="cellIs" dxfId="17" priority="1" stopIfTrue="1" operator="between">
      <formula>0.009</formula>
      <formula>-0.009</formula>
    </cfRule>
  </conditionalFormatting>
  <hyperlinks>
    <hyperlink ref="A91" r:id="rId1" tooltip="https://www.franklintempletonindia.com/downloadsServlet/pdf/product-labels-jg9o5k7l" xr:uid="{00000000-0004-0000-2300-000000000000}"/>
    <hyperlink ref="A88" r:id="rId2" xr:uid="{00000000-0004-0000-23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83"/>
  <sheetViews>
    <sheetView workbookViewId="0">
      <selection sqref="A1:F1"/>
    </sheetView>
  </sheetViews>
  <sheetFormatPr defaultColWidth="9.109375" defaultRowHeight="10.199999999999999" x14ac:dyDescent="0.2"/>
  <cols>
    <col min="1" max="1" width="38.6640625" style="9" bestFit="1" customWidth="1"/>
    <col min="2" max="2" width="27.5546875" style="9" bestFit="1" customWidth="1"/>
    <col min="3" max="3" width="24.6640625"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69" t="s">
        <v>17</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100</v>
      </c>
      <c r="B7" s="27" t="s">
        <v>99</v>
      </c>
      <c r="C7" s="27" t="s">
        <v>101</v>
      </c>
      <c r="D7" s="31">
        <v>1729339</v>
      </c>
      <c r="E7" s="29">
        <v>29510.305369999998</v>
      </c>
      <c r="F7" s="30">
        <v>10.483033593389401</v>
      </c>
    </row>
    <row r="8" spans="1:6" x14ac:dyDescent="0.2">
      <c r="A8" s="27" t="s">
        <v>103</v>
      </c>
      <c r="B8" s="27" t="s">
        <v>102</v>
      </c>
      <c r="C8" s="27" t="s">
        <v>104</v>
      </c>
      <c r="D8" s="31">
        <v>1288046</v>
      </c>
      <c r="E8" s="29">
        <v>20369.159439999999</v>
      </c>
      <c r="F8" s="30">
        <v>7.2357971224417801</v>
      </c>
    </row>
    <row r="9" spans="1:6" x14ac:dyDescent="0.2">
      <c r="A9" s="27" t="s">
        <v>106</v>
      </c>
      <c r="B9" s="27" t="s">
        <v>105</v>
      </c>
      <c r="C9" s="27" t="s">
        <v>104</v>
      </c>
      <c r="D9" s="31">
        <v>2494468</v>
      </c>
      <c r="E9" s="29">
        <v>19618.990819999999</v>
      </c>
      <c r="F9" s="30">
        <v>6.9693124912064501</v>
      </c>
    </row>
    <row r="10" spans="1:6" x14ac:dyDescent="0.2">
      <c r="A10" s="27" t="s">
        <v>108</v>
      </c>
      <c r="B10" s="27" t="s">
        <v>107</v>
      </c>
      <c r="C10" s="27" t="s">
        <v>104</v>
      </c>
      <c r="D10" s="31">
        <v>2285871</v>
      </c>
      <c r="E10" s="29">
        <v>16436.55543</v>
      </c>
      <c r="F10" s="30">
        <v>5.8388064973214604</v>
      </c>
    </row>
    <row r="11" spans="1:6" x14ac:dyDescent="0.2">
      <c r="A11" s="27" t="s">
        <v>194</v>
      </c>
      <c r="B11" s="27" t="s">
        <v>193</v>
      </c>
      <c r="C11" s="27" t="s">
        <v>145</v>
      </c>
      <c r="D11" s="31">
        <v>9377483</v>
      </c>
      <c r="E11" s="29">
        <v>12101.641809999999</v>
      </c>
      <c r="F11" s="30">
        <v>4.2989022322474</v>
      </c>
    </row>
    <row r="12" spans="1:6" x14ac:dyDescent="0.2">
      <c r="A12" s="27" t="s">
        <v>110</v>
      </c>
      <c r="B12" s="27" t="s">
        <v>109</v>
      </c>
      <c r="C12" s="27" t="s">
        <v>111</v>
      </c>
      <c r="D12" s="31">
        <v>1433873</v>
      </c>
      <c r="E12" s="29">
        <v>9521.6336570000003</v>
      </c>
      <c r="F12" s="30">
        <v>3.3823982584656598</v>
      </c>
    </row>
    <row r="13" spans="1:6" x14ac:dyDescent="0.2">
      <c r="A13" s="27" t="s">
        <v>203</v>
      </c>
      <c r="B13" s="27" t="s">
        <v>202</v>
      </c>
      <c r="C13" s="27" t="s">
        <v>204</v>
      </c>
      <c r="D13" s="31">
        <v>6017530</v>
      </c>
      <c r="E13" s="29">
        <v>8448.6121199999998</v>
      </c>
      <c r="F13" s="30">
        <v>3.0012256247783</v>
      </c>
    </row>
    <row r="14" spans="1:6" x14ac:dyDescent="0.2">
      <c r="A14" s="27" t="s">
        <v>161</v>
      </c>
      <c r="B14" s="27" t="s">
        <v>160</v>
      </c>
      <c r="C14" s="27" t="s">
        <v>104</v>
      </c>
      <c r="D14" s="31">
        <v>5486879</v>
      </c>
      <c r="E14" s="29">
        <v>8326.3388830000004</v>
      </c>
      <c r="F14" s="30">
        <v>2.9577901389379302</v>
      </c>
    </row>
    <row r="15" spans="1:6" x14ac:dyDescent="0.2">
      <c r="A15" s="27" t="s">
        <v>468</v>
      </c>
      <c r="B15" s="27" t="s">
        <v>467</v>
      </c>
      <c r="C15" s="27" t="s">
        <v>434</v>
      </c>
      <c r="D15" s="31">
        <v>157232</v>
      </c>
      <c r="E15" s="29">
        <v>7813.7228560000003</v>
      </c>
      <c r="F15" s="30">
        <v>2.7756920222232999</v>
      </c>
    </row>
    <row r="16" spans="1:6" x14ac:dyDescent="0.2">
      <c r="A16" s="27" t="s">
        <v>219</v>
      </c>
      <c r="B16" s="27" t="s">
        <v>218</v>
      </c>
      <c r="C16" s="27" t="s">
        <v>104</v>
      </c>
      <c r="D16" s="31">
        <v>9130054</v>
      </c>
      <c r="E16" s="29">
        <v>7418.1688750000003</v>
      </c>
      <c r="F16" s="30">
        <v>2.6351782044626302</v>
      </c>
    </row>
    <row r="17" spans="1:6" x14ac:dyDescent="0.2">
      <c r="A17" s="27" t="s">
        <v>149</v>
      </c>
      <c r="B17" s="27" t="s">
        <v>148</v>
      </c>
      <c r="C17" s="27" t="s">
        <v>125</v>
      </c>
      <c r="D17" s="31">
        <v>497050</v>
      </c>
      <c r="E17" s="29">
        <v>7331.4875000000002</v>
      </c>
      <c r="F17" s="30">
        <v>2.6043861216748301</v>
      </c>
    </row>
    <row r="18" spans="1:6" x14ac:dyDescent="0.2">
      <c r="A18" s="27" t="s">
        <v>135</v>
      </c>
      <c r="B18" s="27" t="s">
        <v>134</v>
      </c>
      <c r="C18" s="27" t="s">
        <v>128</v>
      </c>
      <c r="D18" s="31">
        <v>1965841</v>
      </c>
      <c r="E18" s="29">
        <v>6893.2214670000003</v>
      </c>
      <c r="F18" s="30">
        <v>2.4486995745796198</v>
      </c>
    </row>
    <row r="19" spans="1:6" x14ac:dyDescent="0.2">
      <c r="A19" s="27" t="s">
        <v>240</v>
      </c>
      <c r="B19" s="27" t="s">
        <v>239</v>
      </c>
      <c r="C19" s="27" t="s">
        <v>241</v>
      </c>
      <c r="D19" s="31">
        <v>3644411</v>
      </c>
      <c r="E19" s="29">
        <v>6802.2931319999998</v>
      </c>
      <c r="F19" s="30">
        <v>2.4163988315529199</v>
      </c>
    </row>
    <row r="20" spans="1:6" x14ac:dyDescent="0.2">
      <c r="A20" s="27" t="s">
        <v>191</v>
      </c>
      <c r="B20" s="27" t="s">
        <v>190</v>
      </c>
      <c r="C20" s="27" t="s">
        <v>192</v>
      </c>
      <c r="D20" s="31">
        <v>399838</v>
      </c>
      <c r="E20" s="29">
        <v>6686.0910359999998</v>
      </c>
      <c r="F20" s="30">
        <v>2.3751200151964902</v>
      </c>
    </row>
    <row r="21" spans="1:6" x14ac:dyDescent="0.2">
      <c r="A21" s="27" t="s">
        <v>113</v>
      </c>
      <c r="B21" s="27" t="s">
        <v>112</v>
      </c>
      <c r="C21" s="27" t="s">
        <v>114</v>
      </c>
      <c r="D21" s="31">
        <v>282387</v>
      </c>
      <c r="E21" s="29">
        <v>6480.4992629999997</v>
      </c>
      <c r="F21" s="30">
        <v>2.3020870378734402</v>
      </c>
    </row>
    <row r="22" spans="1:6" x14ac:dyDescent="0.2">
      <c r="A22" s="27" t="s">
        <v>211</v>
      </c>
      <c r="B22" s="27" t="s">
        <v>210</v>
      </c>
      <c r="C22" s="27" t="s">
        <v>187</v>
      </c>
      <c r="D22" s="31">
        <v>974352</v>
      </c>
      <c r="E22" s="29">
        <v>6406.851576</v>
      </c>
      <c r="F22" s="30">
        <v>2.27592495085955</v>
      </c>
    </row>
    <row r="23" spans="1:6" x14ac:dyDescent="0.2">
      <c r="A23" s="27" t="s">
        <v>208</v>
      </c>
      <c r="B23" s="27" t="s">
        <v>207</v>
      </c>
      <c r="C23" s="27" t="s">
        <v>209</v>
      </c>
      <c r="D23" s="31">
        <v>2493349</v>
      </c>
      <c r="E23" s="29">
        <v>6006.4777409999997</v>
      </c>
      <c r="F23" s="30">
        <v>2.1336989620195301</v>
      </c>
    </row>
    <row r="24" spans="1:6" x14ac:dyDescent="0.2">
      <c r="A24" s="27" t="s">
        <v>142</v>
      </c>
      <c r="B24" s="27" t="s">
        <v>141</v>
      </c>
      <c r="C24" s="27" t="s">
        <v>125</v>
      </c>
      <c r="D24" s="31">
        <v>210633</v>
      </c>
      <c r="E24" s="29">
        <v>5737.8535529999999</v>
      </c>
      <c r="F24" s="30">
        <v>2.0382747923440898</v>
      </c>
    </row>
    <row r="25" spans="1:6" x14ac:dyDescent="0.2">
      <c r="A25" s="27" t="s">
        <v>281</v>
      </c>
      <c r="B25" s="27" t="s">
        <v>280</v>
      </c>
      <c r="C25" s="27" t="s">
        <v>125</v>
      </c>
      <c r="D25" s="31">
        <v>641207</v>
      </c>
      <c r="E25" s="29">
        <v>5546.1199470000001</v>
      </c>
      <c r="F25" s="30">
        <v>1.9701646929236101</v>
      </c>
    </row>
    <row r="26" spans="1:6" x14ac:dyDescent="0.2">
      <c r="A26" s="27" t="s">
        <v>472</v>
      </c>
      <c r="B26" s="27" t="s">
        <v>471</v>
      </c>
      <c r="C26" s="27" t="s">
        <v>138</v>
      </c>
      <c r="D26" s="31">
        <v>209897</v>
      </c>
      <c r="E26" s="29">
        <v>5405.477441</v>
      </c>
      <c r="F26" s="30">
        <v>1.9202038369930801</v>
      </c>
    </row>
    <row r="27" spans="1:6" x14ac:dyDescent="0.2">
      <c r="A27" s="27" t="s">
        <v>551</v>
      </c>
      <c r="B27" s="27" t="s">
        <v>550</v>
      </c>
      <c r="C27" s="27" t="s">
        <v>104</v>
      </c>
      <c r="D27" s="31">
        <v>480528</v>
      </c>
      <c r="E27" s="29">
        <v>4768.7598719999996</v>
      </c>
      <c r="F27" s="30">
        <v>1.6940207602122499</v>
      </c>
    </row>
    <row r="28" spans="1:6" x14ac:dyDescent="0.2">
      <c r="A28" s="27" t="s">
        <v>295</v>
      </c>
      <c r="B28" s="27" t="s">
        <v>294</v>
      </c>
      <c r="C28" s="27" t="s">
        <v>152</v>
      </c>
      <c r="D28" s="31">
        <v>3769680</v>
      </c>
      <c r="E28" s="29">
        <v>4627.2821999999996</v>
      </c>
      <c r="F28" s="30">
        <v>1.64376322577826</v>
      </c>
    </row>
    <row r="29" spans="1:6" x14ac:dyDescent="0.2">
      <c r="A29" s="27" t="s">
        <v>119</v>
      </c>
      <c r="B29" s="27" t="s">
        <v>118</v>
      </c>
      <c r="C29" s="27" t="s">
        <v>120</v>
      </c>
      <c r="D29" s="31">
        <v>448797</v>
      </c>
      <c r="E29" s="29">
        <v>4469.3449250000003</v>
      </c>
      <c r="F29" s="30">
        <v>1.58765869759006</v>
      </c>
    </row>
    <row r="30" spans="1:6" x14ac:dyDescent="0.2">
      <c r="A30" s="27" t="s">
        <v>213</v>
      </c>
      <c r="B30" s="27" t="s">
        <v>212</v>
      </c>
      <c r="C30" s="27" t="s">
        <v>133</v>
      </c>
      <c r="D30" s="31">
        <v>3938381</v>
      </c>
      <c r="E30" s="29">
        <v>4365.6953389999999</v>
      </c>
      <c r="F30" s="30">
        <v>1.5508389467147099</v>
      </c>
    </row>
    <row r="31" spans="1:6" x14ac:dyDescent="0.2">
      <c r="A31" s="27" t="s">
        <v>196</v>
      </c>
      <c r="B31" s="27" t="s">
        <v>195</v>
      </c>
      <c r="C31" s="27" t="s">
        <v>101</v>
      </c>
      <c r="D31" s="31">
        <v>283932</v>
      </c>
      <c r="E31" s="29">
        <v>4110.341598</v>
      </c>
      <c r="F31" s="30">
        <v>1.4601288774173</v>
      </c>
    </row>
    <row r="32" spans="1:6" x14ac:dyDescent="0.2">
      <c r="A32" s="27" t="s">
        <v>488</v>
      </c>
      <c r="B32" s="27" t="s">
        <v>487</v>
      </c>
      <c r="C32" s="27" t="s">
        <v>489</v>
      </c>
      <c r="D32" s="31">
        <v>511291</v>
      </c>
      <c r="E32" s="29">
        <v>4054.026339</v>
      </c>
      <c r="F32" s="30">
        <v>1.4401238403797101</v>
      </c>
    </row>
    <row r="33" spans="1:6" x14ac:dyDescent="0.2">
      <c r="A33" s="27" t="s">
        <v>206</v>
      </c>
      <c r="B33" s="27" t="s">
        <v>205</v>
      </c>
      <c r="C33" s="27" t="s">
        <v>187</v>
      </c>
      <c r="D33" s="31">
        <v>560390</v>
      </c>
      <c r="E33" s="29">
        <v>3834.7487700000001</v>
      </c>
      <c r="F33" s="30">
        <v>1.36222921701737</v>
      </c>
    </row>
    <row r="34" spans="1:6" x14ac:dyDescent="0.2">
      <c r="A34" s="27" t="s">
        <v>283</v>
      </c>
      <c r="B34" s="27" t="s">
        <v>282</v>
      </c>
      <c r="C34" s="27" t="s">
        <v>284</v>
      </c>
      <c r="D34" s="31">
        <v>451059</v>
      </c>
      <c r="E34" s="29">
        <v>3809.8698439999998</v>
      </c>
      <c r="F34" s="30">
        <v>1.35339140209965</v>
      </c>
    </row>
    <row r="35" spans="1:6" x14ac:dyDescent="0.2">
      <c r="A35" s="27" t="s">
        <v>198</v>
      </c>
      <c r="B35" s="27" t="s">
        <v>197</v>
      </c>
      <c r="C35" s="27" t="s">
        <v>125</v>
      </c>
      <c r="D35" s="31">
        <v>602514</v>
      </c>
      <c r="E35" s="29">
        <v>3744.6245100000001</v>
      </c>
      <c r="F35" s="30">
        <v>1.33021410794568</v>
      </c>
    </row>
    <row r="36" spans="1:6" x14ac:dyDescent="0.2">
      <c r="A36" s="27" t="s">
        <v>486</v>
      </c>
      <c r="B36" s="27" t="s">
        <v>485</v>
      </c>
      <c r="C36" s="27" t="s">
        <v>310</v>
      </c>
      <c r="D36" s="31">
        <v>491969</v>
      </c>
      <c r="E36" s="29">
        <v>3343.1753399999998</v>
      </c>
      <c r="F36" s="30">
        <v>1.18760612465363</v>
      </c>
    </row>
    <row r="37" spans="1:6" x14ac:dyDescent="0.2">
      <c r="A37" s="27" t="s">
        <v>243</v>
      </c>
      <c r="B37" s="27" t="s">
        <v>242</v>
      </c>
      <c r="C37" s="27" t="s">
        <v>152</v>
      </c>
      <c r="D37" s="31">
        <v>2415915</v>
      </c>
      <c r="E37" s="29">
        <v>3298.9319329999998</v>
      </c>
      <c r="F37" s="30">
        <v>1.17188940752543</v>
      </c>
    </row>
    <row r="38" spans="1:6" x14ac:dyDescent="0.2">
      <c r="A38" s="27" t="s">
        <v>137</v>
      </c>
      <c r="B38" s="27" t="s">
        <v>136</v>
      </c>
      <c r="C38" s="27" t="s">
        <v>138</v>
      </c>
      <c r="D38" s="31">
        <v>67295</v>
      </c>
      <c r="E38" s="29">
        <v>3165.5904479999999</v>
      </c>
      <c r="F38" s="30">
        <v>1.12452211501112</v>
      </c>
    </row>
    <row r="39" spans="1:6" x14ac:dyDescent="0.2">
      <c r="A39" s="27" t="s">
        <v>163</v>
      </c>
      <c r="B39" s="27" t="s">
        <v>162</v>
      </c>
      <c r="C39" s="27" t="s">
        <v>138</v>
      </c>
      <c r="D39" s="31">
        <v>552564</v>
      </c>
      <c r="E39" s="29">
        <v>3062.033406</v>
      </c>
      <c r="F39" s="30">
        <v>1.08773523881629</v>
      </c>
    </row>
    <row r="40" spans="1:6" x14ac:dyDescent="0.2">
      <c r="A40" s="27" t="s">
        <v>264</v>
      </c>
      <c r="B40" s="27" t="s">
        <v>263</v>
      </c>
      <c r="C40" s="27" t="s">
        <v>138</v>
      </c>
      <c r="D40" s="31">
        <v>311893</v>
      </c>
      <c r="E40" s="29">
        <v>2987.4671010000002</v>
      </c>
      <c r="F40" s="30">
        <v>1.0612468283966301</v>
      </c>
    </row>
    <row r="41" spans="1:6" x14ac:dyDescent="0.2">
      <c r="A41" s="27" t="s">
        <v>395</v>
      </c>
      <c r="B41" s="27" t="s">
        <v>394</v>
      </c>
      <c r="C41" s="27" t="s">
        <v>114</v>
      </c>
      <c r="D41" s="31">
        <v>150123</v>
      </c>
      <c r="E41" s="29">
        <v>2048.6535199999998</v>
      </c>
      <c r="F41" s="30">
        <v>0.72774928629535196</v>
      </c>
    </row>
    <row r="42" spans="1:6" x14ac:dyDescent="0.2">
      <c r="A42" s="27" t="s">
        <v>406</v>
      </c>
      <c r="B42" s="27" t="s">
        <v>405</v>
      </c>
      <c r="C42" s="27" t="s">
        <v>204</v>
      </c>
      <c r="D42" s="31">
        <v>5150797</v>
      </c>
      <c r="E42" s="29">
        <v>1988.2076420000001</v>
      </c>
      <c r="F42" s="30">
        <v>0.70627691717849095</v>
      </c>
    </row>
    <row r="43" spans="1:6" x14ac:dyDescent="0.2">
      <c r="A43" s="27" t="s">
        <v>171</v>
      </c>
      <c r="B43" s="27" t="s">
        <v>170</v>
      </c>
      <c r="C43" s="27" t="s">
        <v>125</v>
      </c>
      <c r="D43" s="31">
        <v>312320</v>
      </c>
      <c r="E43" s="29">
        <v>1934.97856</v>
      </c>
      <c r="F43" s="30">
        <v>0.68736819198046095</v>
      </c>
    </row>
    <row r="44" spans="1:6" x14ac:dyDescent="0.2">
      <c r="A44" s="27" t="s">
        <v>158</v>
      </c>
      <c r="B44" s="27" t="s">
        <v>157</v>
      </c>
      <c r="C44" s="27" t="s">
        <v>159</v>
      </c>
      <c r="D44" s="31">
        <v>899890</v>
      </c>
      <c r="E44" s="29">
        <v>1872.67109</v>
      </c>
      <c r="F44" s="30">
        <v>0.66523452399771199</v>
      </c>
    </row>
    <row r="45" spans="1:6" x14ac:dyDescent="0.2">
      <c r="A45" s="27" t="s">
        <v>545</v>
      </c>
      <c r="B45" s="27" t="s">
        <v>544</v>
      </c>
      <c r="C45" s="27" t="s">
        <v>209</v>
      </c>
      <c r="D45" s="31">
        <v>60000</v>
      </c>
      <c r="E45" s="29">
        <v>1847.25</v>
      </c>
      <c r="F45" s="30">
        <v>0.65620411454890004</v>
      </c>
    </row>
    <row r="46" spans="1:6" x14ac:dyDescent="0.2">
      <c r="A46" s="27" t="s">
        <v>151</v>
      </c>
      <c r="B46" s="27" t="s">
        <v>150</v>
      </c>
      <c r="C46" s="27" t="s">
        <v>152</v>
      </c>
      <c r="D46" s="31">
        <v>226570</v>
      </c>
      <c r="E46" s="29">
        <v>1797.3798099999999</v>
      </c>
      <c r="F46" s="30">
        <v>0.63848857855142604</v>
      </c>
    </row>
    <row r="47" spans="1:6" x14ac:dyDescent="0.2">
      <c r="A47" s="27" t="s">
        <v>247</v>
      </c>
      <c r="B47" s="27" t="s">
        <v>246</v>
      </c>
      <c r="C47" s="27" t="s">
        <v>209</v>
      </c>
      <c r="D47" s="31">
        <v>360275</v>
      </c>
      <c r="E47" s="29">
        <v>1677.2602629999999</v>
      </c>
      <c r="F47" s="30">
        <v>0.595818154418715</v>
      </c>
    </row>
    <row r="48" spans="1:6" x14ac:dyDescent="0.2">
      <c r="A48" s="27" t="s">
        <v>224</v>
      </c>
      <c r="B48" s="27" t="s">
        <v>223</v>
      </c>
      <c r="C48" s="27" t="s">
        <v>145</v>
      </c>
      <c r="D48" s="31">
        <v>6217899</v>
      </c>
      <c r="E48" s="29">
        <v>1675.7237809999999</v>
      </c>
      <c r="F48" s="30">
        <v>0.59527234534559004</v>
      </c>
    </row>
    <row r="49" spans="1:9" x14ac:dyDescent="0.2">
      <c r="A49" s="27" t="s">
        <v>200</v>
      </c>
      <c r="B49" s="27" t="s">
        <v>199</v>
      </c>
      <c r="C49" s="27" t="s">
        <v>201</v>
      </c>
      <c r="D49" s="31">
        <v>656332</v>
      </c>
      <c r="E49" s="29">
        <v>1645.4243240000001</v>
      </c>
      <c r="F49" s="30">
        <v>0.58450897907031696</v>
      </c>
    </row>
    <row r="50" spans="1:9" x14ac:dyDescent="0.2">
      <c r="A50" s="27" t="s">
        <v>266</v>
      </c>
      <c r="B50" s="27" t="s">
        <v>265</v>
      </c>
      <c r="C50" s="27" t="s">
        <v>114</v>
      </c>
      <c r="D50" s="31">
        <v>42129</v>
      </c>
      <c r="E50" s="29">
        <v>1538.803854</v>
      </c>
      <c r="F50" s="30">
        <v>0.546633872230887</v>
      </c>
    </row>
    <row r="51" spans="1:9" x14ac:dyDescent="0.2">
      <c r="A51" s="27" t="s">
        <v>262</v>
      </c>
      <c r="B51" s="27" t="s">
        <v>261</v>
      </c>
      <c r="C51" s="27" t="s">
        <v>187</v>
      </c>
      <c r="D51" s="31">
        <v>1113029</v>
      </c>
      <c r="E51" s="29">
        <v>1312.2611910000001</v>
      </c>
      <c r="F51" s="30">
        <v>0.46615844790745198</v>
      </c>
    </row>
    <row r="52" spans="1:9" x14ac:dyDescent="0.2">
      <c r="A52" s="27" t="s">
        <v>288</v>
      </c>
      <c r="B52" s="27" t="s">
        <v>287</v>
      </c>
      <c r="C52" s="27" t="s">
        <v>201</v>
      </c>
      <c r="D52" s="31">
        <v>67110</v>
      </c>
      <c r="E52" s="29">
        <v>1189.8267450000001</v>
      </c>
      <c r="F52" s="30">
        <v>0.42266569531429199</v>
      </c>
    </row>
    <row r="53" spans="1:9" x14ac:dyDescent="0.2">
      <c r="A53" s="27" t="s">
        <v>127</v>
      </c>
      <c r="B53" s="27" t="s">
        <v>126</v>
      </c>
      <c r="C53" s="27" t="s">
        <v>128</v>
      </c>
      <c r="D53" s="31">
        <v>432307</v>
      </c>
      <c r="E53" s="29">
        <v>983.93073200000003</v>
      </c>
      <c r="F53" s="30">
        <v>0.349524641910684</v>
      </c>
    </row>
    <row r="54" spans="1:9" x14ac:dyDescent="0.2">
      <c r="A54" s="27" t="s">
        <v>132</v>
      </c>
      <c r="B54" s="27" t="s">
        <v>131</v>
      </c>
      <c r="C54" s="27" t="s">
        <v>133</v>
      </c>
      <c r="D54" s="31">
        <v>275067</v>
      </c>
      <c r="E54" s="29">
        <v>733.328622</v>
      </c>
      <c r="F54" s="30">
        <v>0.26050250863330598</v>
      </c>
    </row>
    <row r="55" spans="1:9" x14ac:dyDescent="0.2">
      <c r="A55" s="27" t="s">
        <v>553</v>
      </c>
      <c r="B55" s="27" t="s">
        <v>552</v>
      </c>
      <c r="C55" s="27" t="s">
        <v>138</v>
      </c>
      <c r="D55" s="31">
        <v>363</v>
      </c>
      <c r="E55" s="29">
        <v>69.957723000000001</v>
      </c>
      <c r="F55" s="30">
        <v>2.4851290121571099E-2</v>
      </c>
    </row>
    <row r="56" spans="1:9" x14ac:dyDescent="0.2">
      <c r="A56" s="26" t="s">
        <v>34</v>
      </c>
      <c r="B56" s="26"/>
      <c r="C56" s="26"/>
      <c r="D56" s="32"/>
      <c r="E56" s="33">
        <f>SUM(E7:E55)</f>
        <v>278819.05139899999</v>
      </c>
      <c r="F56" s="34">
        <f>SUM(F7:F55)</f>
        <v>99.045721338554713</v>
      </c>
      <c r="G56" s="18"/>
      <c r="H56" s="18"/>
      <c r="I56" s="18"/>
    </row>
    <row r="57" spans="1:9" x14ac:dyDescent="0.2">
      <c r="A57" s="27"/>
      <c r="B57" s="27"/>
      <c r="C57" s="27"/>
      <c r="D57" s="28"/>
      <c r="E57" s="29"/>
      <c r="F57" s="30"/>
    </row>
    <row r="58" spans="1:9" x14ac:dyDescent="0.2">
      <c r="A58" s="26" t="s">
        <v>36</v>
      </c>
      <c r="B58" s="26"/>
      <c r="C58" s="26"/>
      <c r="D58" s="32"/>
      <c r="E58" s="33">
        <f>E56</f>
        <v>278819.05139899999</v>
      </c>
      <c r="F58" s="34">
        <f>F56</f>
        <v>99.045721338554713</v>
      </c>
      <c r="G58" s="18"/>
      <c r="H58" s="18"/>
      <c r="I58" s="18"/>
    </row>
    <row r="59" spans="1:9" x14ac:dyDescent="0.2">
      <c r="A59" s="26"/>
      <c r="B59" s="26"/>
      <c r="C59" s="26"/>
      <c r="D59" s="32"/>
      <c r="E59" s="33"/>
      <c r="F59" s="34"/>
      <c r="G59" s="18"/>
      <c r="H59" s="18"/>
      <c r="I59" s="18"/>
    </row>
    <row r="60" spans="1:9" x14ac:dyDescent="0.2">
      <c r="A60" s="26" t="s">
        <v>38</v>
      </c>
      <c r="B60" s="26"/>
      <c r="C60" s="26"/>
      <c r="D60" s="32"/>
      <c r="E60" s="33">
        <f>E62-(E56)</f>
        <v>2686.3459376000101</v>
      </c>
      <c r="F60" s="34">
        <f>F62-(F56)</f>
        <v>0.9542786614452865</v>
      </c>
      <c r="G60" s="18"/>
      <c r="H60" s="18"/>
      <c r="I60" s="18"/>
    </row>
    <row r="61" spans="1:9" x14ac:dyDescent="0.2">
      <c r="A61" s="26"/>
      <c r="B61" s="26"/>
      <c r="C61" s="26"/>
      <c r="D61" s="32"/>
      <c r="E61" s="33"/>
      <c r="F61" s="34"/>
      <c r="G61" s="18"/>
      <c r="H61" s="18"/>
      <c r="I61" s="18"/>
    </row>
    <row r="62" spans="1:9" x14ac:dyDescent="0.2">
      <c r="A62" s="35" t="s">
        <v>37</v>
      </c>
      <c r="B62" s="35"/>
      <c r="C62" s="35"/>
      <c r="D62" s="36"/>
      <c r="E62" s="37">
        <v>281505.3973366</v>
      </c>
      <c r="F62" s="38">
        <v>100</v>
      </c>
      <c r="G62" s="18"/>
      <c r="H62" s="18"/>
      <c r="I62" s="18"/>
    </row>
    <row r="65" spans="1:4" x14ac:dyDescent="0.2">
      <c r="A65" s="18" t="s">
        <v>40</v>
      </c>
    </row>
    <row r="66" spans="1:4" x14ac:dyDescent="0.2">
      <c r="A66" s="18" t="s">
        <v>41</v>
      </c>
    </row>
    <row r="67" spans="1:4" x14ac:dyDescent="0.2">
      <c r="A67" s="18" t="s">
        <v>42</v>
      </c>
      <c r="B67" s="18"/>
      <c r="C67" s="39" t="s">
        <v>44</v>
      </c>
      <c r="D67" s="19" t="s">
        <v>43</v>
      </c>
    </row>
    <row r="68" spans="1:4" x14ac:dyDescent="0.2">
      <c r="A68" s="9" t="s">
        <v>71</v>
      </c>
      <c r="C68" s="40">
        <v>99.242900000000006</v>
      </c>
      <c r="D68" s="40">
        <v>118.1874</v>
      </c>
    </row>
    <row r="69" spans="1:4" x14ac:dyDescent="0.2">
      <c r="A69" s="9" t="s">
        <v>77</v>
      </c>
      <c r="C69" s="40">
        <v>17.397600000000001</v>
      </c>
      <c r="D69" s="40">
        <v>18.922799999999999</v>
      </c>
    </row>
    <row r="70" spans="1:4" x14ac:dyDescent="0.2">
      <c r="A70" s="9" t="s">
        <v>74</v>
      </c>
      <c r="C70" s="40">
        <v>105.56619999999999</v>
      </c>
      <c r="D70" s="40">
        <v>126.1788</v>
      </c>
    </row>
    <row r="71" spans="1:4" x14ac:dyDescent="0.2">
      <c r="A71" s="9" t="s">
        <v>78</v>
      </c>
      <c r="C71" s="40">
        <v>18.9681</v>
      </c>
      <c r="D71" s="40">
        <v>20.869800000000001</v>
      </c>
    </row>
    <row r="73" spans="1:4" x14ac:dyDescent="0.2">
      <c r="A73" s="18" t="s">
        <v>46</v>
      </c>
    </row>
    <row r="74" spans="1:4" x14ac:dyDescent="0.2">
      <c r="A74" s="71" t="s">
        <v>67</v>
      </c>
      <c r="B74" s="72"/>
      <c r="C74" s="43" t="s">
        <v>68</v>
      </c>
    </row>
    <row r="75" spans="1:4" x14ac:dyDescent="0.2">
      <c r="A75" s="67" t="s">
        <v>77</v>
      </c>
      <c r="B75" s="68"/>
      <c r="C75" s="44">
        <v>1.5</v>
      </c>
    </row>
    <row r="76" spans="1:4" x14ac:dyDescent="0.2">
      <c r="A76" s="67" t="s">
        <v>78</v>
      </c>
      <c r="B76" s="68"/>
      <c r="C76" s="44">
        <v>1.5</v>
      </c>
    </row>
    <row r="77" spans="1:4" x14ac:dyDescent="0.2">
      <c r="A77" s="9" t="s">
        <v>69</v>
      </c>
    </row>
    <row r="78" spans="1:4" x14ac:dyDescent="0.2">
      <c r="A78" s="9" t="s">
        <v>45</v>
      </c>
    </row>
    <row r="80" spans="1:4" x14ac:dyDescent="0.2">
      <c r="A80" s="18" t="s">
        <v>220</v>
      </c>
      <c r="D80" s="45">
        <v>6.2300000000000001E-2</v>
      </c>
    </row>
    <row r="82" spans="1:1" x14ac:dyDescent="0.2">
      <c r="A82" s="18" t="s">
        <v>97</v>
      </c>
    </row>
    <row r="83" spans="1:1" x14ac:dyDescent="0.2">
      <c r="A83" s="46" t="s">
        <v>51</v>
      </c>
    </row>
  </sheetData>
  <mergeCells count="4">
    <mergeCell ref="A1:F1"/>
    <mergeCell ref="A74:B74"/>
    <mergeCell ref="A75:B75"/>
    <mergeCell ref="A76:B76"/>
  </mergeCells>
  <conditionalFormatting sqref="F2:F3 F5:F65536">
    <cfRule type="cellIs" dxfId="16" priority="1" stopIfTrue="1" operator="between">
      <formula>0.009</formula>
      <formula>-0.009</formula>
    </cfRule>
  </conditionalFormatting>
  <hyperlinks>
    <hyperlink ref="A83" r:id="rId1" tooltip="https://www.franklintempletonindia.com/downloadsServlet/pdf/product-labels-jg9o5k7l" xr:uid="{00000000-0004-0000-2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57"/>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0"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69" t="s">
        <v>18</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108</v>
      </c>
      <c r="B7" s="27" t="s">
        <v>107</v>
      </c>
      <c r="C7" s="27" t="s">
        <v>104</v>
      </c>
      <c r="D7" s="31">
        <v>9500000</v>
      </c>
      <c r="E7" s="29">
        <v>68309.75</v>
      </c>
      <c r="F7" s="30">
        <v>10.2148527945988</v>
      </c>
    </row>
    <row r="8" spans="1:6" x14ac:dyDescent="0.2">
      <c r="A8" s="27" t="s">
        <v>140</v>
      </c>
      <c r="B8" s="27" t="s">
        <v>139</v>
      </c>
      <c r="C8" s="27" t="s">
        <v>104</v>
      </c>
      <c r="D8" s="31">
        <v>13500000</v>
      </c>
      <c r="E8" s="29">
        <v>57516.75</v>
      </c>
      <c r="F8" s="30">
        <v>8.6008971555853009</v>
      </c>
    </row>
    <row r="9" spans="1:6" x14ac:dyDescent="0.2">
      <c r="A9" s="27" t="s">
        <v>106</v>
      </c>
      <c r="B9" s="27" t="s">
        <v>105</v>
      </c>
      <c r="C9" s="27" t="s">
        <v>104</v>
      </c>
      <c r="D9" s="31">
        <v>5700000</v>
      </c>
      <c r="E9" s="29">
        <v>44830.5</v>
      </c>
      <c r="F9" s="30">
        <v>6.70383010050928</v>
      </c>
    </row>
    <row r="10" spans="1:6" x14ac:dyDescent="0.2">
      <c r="A10" s="27" t="s">
        <v>110</v>
      </c>
      <c r="B10" s="27" t="s">
        <v>109</v>
      </c>
      <c r="C10" s="27" t="s">
        <v>111</v>
      </c>
      <c r="D10" s="31">
        <v>5500000</v>
      </c>
      <c r="E10" s="29">
        <v>36522.75</v>
      </c>
      <c r="F10" s="30">
        <v>5.4615119350302903</v>
      </c>
    </row>
    <row r="11" spans="1:6" x14ac:dyDescent="0.2">
      <c r="A11" s="27" t="s">
        <v>100</v>
      </c>
      <c r="B11" s="27" t="s">
        <v>99</v>
      </c>
      <c r="C11" s="27" t="s">
        <v>101</v>
      </c>
      <c r="D11" s="31">
        <v>2100000</v>
      </c>
      <c r="E11" s="29">
        <v>35835.449999999997</v>
      </c>
      <c r="F11" s="30">
        <v>5.3587349767523298</v>
      </c>
    </row>
    <row r="12" spans="1:6" x14ac:dyDescent="0.2">
      <c r="A12" s="27" t="s">
        <v>191</v>
      </c>
      <c r="B12" s="27" t="s">
        <v>190</v>
      </c>
      <c r="C12" s="27" t="s">
        <v>192</v>
      </c>
      <c r="D12" s="31">
        <v>2100000</v>
      </c>
      <c r="E12" s="29">
        <v>35116.199999999997</v>
      </c>
      <c r="F12" s="30">
        <v>5.25118030304154</v>
      </c>
    </row>
    <row r="13" spans="1:6" x14ac:dyDescent="0.2">
      <c r="A13" s="27" t="s">
        <v>103</v>
      </c>
      <c r="B13" s="27" t="s">
        <v>102</v>
      </c>
      <c r="C13" s="27" t="s">
        <v>104</v>
      </c>
      <c r="D13" s="31">
        <v>1900000</v>
      </c>
      <c r="E13" s="29">
        <v>30046.6</v>
      </c>
      <c r="F13" s="30">
        <v>4.49308621358142</v>
      </c>
    </row>
    <row r="14" spans="1:6" x14ac:dyDescent="0.2">
      <c r="A14" s="27" t="s">
        <v>147</v>
      </c>
      <c r="B14" s="27" t="s">
        <v>146</v>
      </c>
      <c r="C14" s="27" t="s">
        <v>145</v>
      </c>
      <c r="D14" s="31">
        <v>23503715</v>
      </c>
      <c r="E14" s="29">
        <v>27252.557540000002</v>
      </c>
      <c r="F14" s="30">
        <v>4.0752727619034603</v>
      </c>
    </row>
    <row r="15" spans="1:6" x14ac:dyDescent="0.2">
      <c r="A15" s="27" t="s">
        <v>249</v>
      </c>
      <c r="B15" s="27" t="s">
        <v>248</v>
      </c>
      <c r="C15" s="27" t="s">
        <v>174</v>
      </c>
      <c r="D15" s="31">
        <v>1000000</v>
      </c>
      <c r="E15" s="29">
        <v>24132</v>
      </c>
      <c r="F15" s="30">
        <v>3.6086331400606699</v>
      </c>
    </row>
    <row r="16" spans="1:6" x14ac:dyDescent="0.2">
      <c r="A16" s="27" t="s">
        <v>524</v>
      </c>
      <c r="B16" s="27" t="s">
        <v>523</v>
      </c>
      <c r="C16" s="27" t="s">
        <v>138</v>
      </c>
      <c r="D16" s="31">
        <v>2450000</v>
      </c>
      <c r="E16" s="29">
        <v>23221.1</v>
      </c>
      <c r="F16" s="30">
        <v>3.4724196506159002</v>
      </c>
    </row>
    <row r="17" spans="1:6" x14ac:dyDescent="0.2">
      <c r="A17" s="27" t="s">
        <v>154</v>
      </c>
      <c r="B17" s="27" t="s">
        <v>153</v>
      </c>
      <c r="C17" s="27" t="s">
        <v>133</v>
      </c>
      <c r="D17" s="31">
        <v>4700000</v>
      </c>
      <c r="E17" s="29">
        <v>22167.55</v>
      </c>
      <c r="F17" s="30">
        <v>3.3148746711400601</v>
      </c>
    </row>
    <row r="18" spans="1:6" x14ac:dyDescent="0.2">
      <c r="A18" s="27" t="s">
        <v>530</v>
      </c>
      <c r="B18" s="27" t="s">
        <v>529</v>
      </c>
      <c r="C18" s="27" t="s">
        <v>531</v>
      </c>
      <c r="D18" s="31">
        <v>1661584</v>
      </c>
      <c r="E18" s="29">
        <v>19806.912069999998</v>
      </c>
      <c r="F18" s="30">
        <v>2.96187134502195</v>
      </c>
    </row>
    <row r="19" spans="1:6" x14ac:dyDescent="0.2">
      <c r="A19" s="27" t="s">
        <v>213</v>
      </c>
      <c r="B19" s="27" t="s">
        <v>212</v>
      </c>
      <c r="C19" s="27" t="s">
        <v>133</v>
      </c>
      <c r="D19" s="31">
        <v>16000000</v>
      </c>
      <c r="E19" s="29">
        <v>17736</v>
      </c>
      <c r="F19" s="30">
        <v>2.65219282994016</v>
      </c>
    </row>
    <row r="20" spans="1:6" x14ac:dyDescent="0.2">
      <c r="A20" s="27" t="s">
        <v>217</v>
      </c>
      <c r="B20" s="27" t="s">
        <v>216</v>
      </c>
      <c r="C20" s="27" t="s">
        <v>128</v>
      </c>
      <c r="D20" s="31">
        <v>12000000</v>
      </c>
      <c r="E20" s="29">
        <v>17538</v>
      </c>
      <c r="F20" s="30">
        <v>2.62258445260998</v>
      </c>
    </row>
    <row r="21" spans="1:6" x14ac:dyDescent="0.2">
      <c r="A21" s="27" t="s">
        <v>526</v>
      </c>
      <c r="B21" s="27" t="s">
        <v>525</v>
      </c>
      <c r="C21" s="27" t="s">
        <v>310</v>
      </c>
      <c r="D21" s="31">
        <v>900000</v>
      </c>
      <c r="E21" s="29">
        <v>17137.349999999999</v>
      </c>
      <c r="F21" s="30">
        <v>2.5626723496941302</v>
      </c>
    </row>
    <row r="22" spans="1:6" x14ac:dyDescent="0.2">
      <c r="A22" s="27" t="s">
        <v>219</v>
      </c>
      <c r="B22" s="27" t="s">
        <v>218</v>
      </c>
      <c r="C22" s="27" t="s">
        <v>104</v>
      </c>
      <c r="D22" s="31">
        <v>20000000</v>
      </c>
      <c r="E22" s="29">
        <v>16250</v>
      </c>
      <c r="F22" s="30">
        <v>2.42998046270454</v>
      </c>
    </row>
    <row r="23" spans="1:6" x14ac:dyDescent="0.2">
      <c r="A23" s="27" t="s">
        <v>258</v>
      </c>
      <c r="B23" s="27" t="s">
        <v>257</v>
      </c>
      <c r="C23" s="27" t="s">
        <v>125</v>
      </c>
      <c r="D23" s="31">
        <v>2200000</v>
      </c>
      <c r="E23" s="29">
        <v>15733.3</v>
      </c>
      <c r="F23" s="30">
        <v>2.3527145608534998</v>
      </c>
    </row>
    <row r="24" spans="1:6" x14ac:dyDescent="0.2">
      <c r="A24" s="27" t="s">
        <v>264</v>
      </c>
      <c r="B24" s="27" t="s">
        <v>263</v>
      </c>
      <c r="C24" s="27" t="s">
        <v>138</v>
      </c>
      <c r="D24" s="31">
        <v>1600000</v>
      </c>
      <c r="E24" s="29">
        <v>15325.6</v>
      </c>
      <c r="F24" s="30">
        <v>2.2917482202599802</v>
      </c>
    </row>
    <row r="25" spans="1:6" x14ac:dyDescent="0.2">
      <c r="A25" s="27" t="s">
        <v>156</v>
      </c>
      <c r="B25" s="27" t="s">
        <v>155</v>
      </c>
      <c r="C25" s="27" t="s">
        <v>152</v>
      </c>
      <c r="D25" s="31">
        <v>400000</v>
      </c>
      <c r="E25" s="29">
        <v>14911.4</v>
      </c>
      <c r="F25" s="30">
        <v>2.2298098874813799</v>
      </c>
    </row>
    <row r="26" spans="1:6" x14ac:dyDescent="0.2">
      <c r="A26" s="27" t="s">
        <v>137</v>
      </c>
      <c r="B26" s="27" t="s">
        <v>136</v>
      </c>
      <c r="C26" s="27" t="s">
        <v>138</v>
      </c>
      <c r="D26" s="31">
        <v>250000</v>
      </c>
      <c r="E26" s="29">
        <v>11760.125</v>
      </c>
      <c r="F26" s="30">
        <v>1.75857686085927</v>
      </c>
    </row>
    <row r="27" spans="1:6" x14ac:dyDescent="0.2">
      <c r="A27" s="27" t="s">
        <v>555</v>
      </c>
      <c r="B27" s="27" t="s">
        <v>554</v>
      </c>
      <c r="C27" s="27" t="s">
        <v>174</v>
      </c>
      <c r="D27" s="31">
        <v>150000</v>
      </c>
      <c r="E27" s="29">
        <v>11748.674999999999</v>
      </c>
      <c r="F27" s="30">
        <v>1.75686465924094</v>
      </c>
    </row>
    <row r="28" spans="1:6" x14ac:dyDescent="0.2">
      <c r="A28" s="27" t="s">
        <v>173</v>
      </c>
      <c r="B28" s="27" t="s">
        <v>172</v>
      </c>
      <c r="C28" s="27" t="s">
        <v>174</v>
      </c>
      <c r="D28" s="31">
        <v>750000</v>
      </c>
      <c r="E28" s="29">
        <v>11253</v>
      </c>
      <c r="F28" s="30">
        <v>1.68274277826549</v>
      </c>
    </row>
    <row r="29" spans="1:6" x14ac:dyDescent="0.2">
      <c r="A29" s="27" t="s">
        <v>144</v>
      </c>
      <c r="B29" s="27" t="s">
        <v>143</v>
      </c>
      <c r="C29" s="27" t="s">
        <v>145</v>
      </c>
      <c r="D29" s="31">
        <v>6000000</v>
      </c>
      <c r="E29" s="29">
        <v>10521</v>
      </c>
      <c r="F29" s="30">
        <v>1.57328150449935</v>
      </c>
    </row>
    <row r="30" spans="1:6" x14ac:dyDescent="0.2">
      <c r="A30" s="27" t="s">
        <v>468</v>
      </c>
      <c r="B30" s="27" t="s">
        <v>467</v>
      </c>
      <c r="C30" s="27" t="s">
        <v>434</v>
      </c>
      <c r="D30" s="31">
        <v>200000</v>
      </c>
      <c r="E30" s="29">
        <v>9939.1</v>
      </c>
      <c r="F30" s="30">
        <v>1.4862657733456399</v>
      </c>
    </row>
    <row r="31" spans="1:6" x14ac:dyDescent="0.2">
      <c r="A31" s="27" t="s">
        <v>557</v>
      </c>
      <c r="B31" s="27" t="s">
        <v>556</v>
      </c>
      <c r="C31" s="27" t="s">
        <v>174</v>
      </c>
      <c r="D31" s="31">
        <v>1600000</v>
      </c>
      <c r="E31" s="29">
        <v>6736.8</v>
      </c>
      <c r="F31" s="30">
        <v>1.00740260807064</v>
      </c>
    </row>
    <row r="32" spans="1:6" x14ac:dyDescent="0.2">
      <c r="A32" s="27" t="s">
        <v>116</v>
      </c>
      <c r="B32" s="27" t="s">
        <v>115</v>
      </c>
      <c r="C32" s="27" t="s">
        <v>117</v>
      </c>
      <c r="D32" s="31">
        <v>1200000</v>
      </c>
      <c r="E32" s="29">
        <v>5619.6</v>
      </c>
      <c r="F32" s="30">
        <v>0.84033958204396397</v>
      </c>
    </row>
    <row r="33" spans="1:9" x14ac:dyDescent="0.2">
      <c r="A33" s="26" t="s">
        <v>34</v>
      </c>
      <c r="B33" s="26"/>
      <c r="C33" s="26"/>
      <c r="D33" s="32"/>
      <c r="E33" s="33">
        <f>SUM(E7:E32)</f>
        <v>606968.06961000001</v>
      </c>
      <c r="F33" s="34">
        <f>SUM(F7:F32)</f>
        <v>90.764341577709942</v>
      </c>
      <c r="G33" s="18"/>
      <c r="H33" s="18"/>
      <c r="I33" s="18"/>
    </row>
    <row r="34" spans="1:9" x14ac:dyDescent="0.2">
      <c r="A34" s="27"/>
      <c r="B34" s="27"/>
      <c r="C34" s="27"/>
      <c r="D34" s="28"/>
      <c r="E34" s="29"/>
      <c r="F34" s="30"/>
    </row>
    <row r="35" spans="1:9" x14ac:dyDescent="0.2">
      <c r="A35" s="26" t="s">
        <v>36</v>
      </c>
      <c r="B35" s="26"/>
      <c r="C35" s="26"/>
      <c r="D35" s="32"/>
      <c r="E35" s="33">
        <f>E33</f>
        <v>606968.06961000001</v>
      </c>
      <c r="F35" s="34">
        <f>F33</f>
        <v>90.764341577709942</v>
      </c>
      <c r="G35" s="18"/>
      <c r="H35" s="18"/>
      <c r="I35" s="18"/>
    </row>
    <row r="36" spans="1:9" x14ac:dyDescent="0.2">
      <c r="A36" s="26"/>
      <c r="B36" s="26"/>
      <c r="C36" s="26"/>
      <c r="D36" s="32"/>
      <c r="E36" s="33"/>
      <c r="F36" s="34"/>
      <c r="G36" s="18"/>
      <c r="H36" s="18"/>
      <c r="I36" s="18"/>
    </row>
    <row r="37" spans="1:9" x14ac:dyDescent="0.2">
      <c r="A37" s="26" t="s">
        <v>38</v>
      </c>
      <c r="B37" s="26"/>
      <c r="C37" s="26"/>
      <c r="D37" s="32"/>
      <c r="E37" s="33">
        <f>E39-(E33)</f>
        <v>61761.586838099989</v>
      </c>
      <c r="F37" s="34">
        <f>F39-(F33)</f>
        <v>9.235658422290058</v>
      </c>
      <c r="G37" s="18"/>
      <c r="H37" s="18"/>
      <c r="I37" s="18"/>
    </row>
    <row r="38" spans="1:9" x14ac:dyDescent="0.2">
      <c r="A38" s="26"/>
      <c r="B38" s="26"/>
      <c r="C38" s="26"/>
      <c r="D38" s="32"/>
      <c r="E38" s="33"/>
      <c r="F38" s="34"/>
      <c r="G38" s="18"/>
      <c r="H38" s="18"/>
      <c r="I38" s="18"/>
    </row>
    <row r="39" spans="1:9" x14ac:dyDescent="0.2">
      <c r="A39" s="35" t="s">
        <v>37</v>
      </c>
      <c r="B39" s="35"/>
      <c r="C39" s="35"/>
      <c r="D39" s="36"/>
      <c r="E39" s="37">
        <v>668729.6564481</v>
      </c>
      <c r="F39" s="38">
        <v>100</v>
      </c>
      <c r="G39" s="18"/>
      <c r="H39" s="18"/>
      <c r="I39" s="18"/>
    </row>
    <row r="42" spans="1:9" x14ac:dyDescent="0.2">
      <c r="A42" s="18" t="s">
        <v>40</v>
      </c>
    </row>
    <row r="43" spans="1:9" x14ac:dyDescent="0.2">
      <c r="A43" s="18" t="s">
        <v>41</v>
      </c>
    </row>
    <row r="44" spans="1:9" x14ac:dyDescent="0.2">
      <c r="A44" s="18" t="s">
        <v>42</v>
      </c>
      <c r="B44" s="18"/>
      <c r="C44" s="39" t="s">
        <v>44</v>
      </c>
      <c r="D44" s="19" t="s">
        <v>43</v>
      </c>
    </row>
    <row r="45" spans="1:9" x14ac:dyDescent="0.2">
      <c r="A45" s="9" t="s">
        <v>71</v>
      </c>
      <c r="C45" s="40">
        <v>602.61559999999997</v>
      </c>
      <c r="D45" s="40">
        <v>691.61689999999999</v>
      </c>
    </row>
    <row r="46" spans="1:9" x14ac:dyDescent="0.2">
      <c r="A46" s="9" t="s">
        <v>77</v>
      </c>
      <c r="C46" s="40">
        <v>40.613399999999999</v>
      </c>
      <c r="D46" s="40">
        <v>46.612000000000002</v>
      </c>
    </row>
    <row r="47" spans="1:9" x14ac:dyDescent="0.2">
      <c r="A47" s="9" t="s">
        <v>74</v>
      </c>
      <c r="C47" s="40">
        <v>644.2604</v>
      </c>
      <c r="D47" s="40">
        <v>742.1472</v>
      </c>
    </row>
    <row r="48" spans="1:9" x14ac:dyDescent="0.2">
      <c r="A48" s="9" t="s">
        <v>78</v>
      </c>
      <c r="C48" s="40">
        <v>45.005299999999998</v>
      </c>
      <c r="D48" s="40">
        <v>51.843000000000004</v>
      </c>
    </row>
    <row r="50" spans="1:4" x14ac:dyDescent="0.2">
      <c r="A50" s="9" t="s">
        <v>45</v>
      </c>
    </row>
    <row r="52" spans="1:4" x14ac:dyDescent="0.2">
      <c r="A52" s="18" t="s">
        <v>46</v>
      </c>
      <c r="D52" s="41" t="s">
        <v>47</v>
      </c>
    </row>
    <row r="54" spans="1:4" x14ac:dyDescent="0.2">
      <c r="A54" s="18" t="s">
        <v>220</v>
      </c>
      <c r="D54" s="45">
        <v>7.4899999999999994E-2</v>
      </c>
    </row>
    <row r="56" spans="1:4" x14ac:dyDescent="0.2">
      <c r="A56" s="18" t="s">
        <v>97</v>
      </c>
    </row>
    <row r="57" spans="1:4" x14ac:dyDescent="0.2">
      <c r="A57" s="46" t="s">
        <v>51</v>
      </c>
    </row>
  </sheetData>
  <mergeCells count="1">
    <mergeCell ref="A1:F1"/>
  </mergeCells>
  <conditionalFormatting sqref="F2:F3 F5:F65536">
    <cfRule type="cellIs" dxfId="15" priority="1" stopIfTrue="1" operator="between">
      <formula>0.009</formula>
      <formula>-0.009</formula>
    </cfRule>
  </conditionalFormatting>
  <hyperlinks>
    <hyperlink ref="A57" r:id="rId1" tooltip="https://www.franklintempletonindia.com/downloadsServlet/pdf/product-labels-jg9o5k7l" xr:uid="{00000000-0004-0000-2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57"/>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0"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69" t="s">
        <v>19</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108</v>
      </c>
      <c r="B7" s="27" t="s">
        <v>107</v>
      </c>
      <c r="C7" s="27" t="s">
        <v>104</v>
      </c>
      <c r="D7" s="31">
        <v>1500000</v>
      </c>
      <c r="E7" s="29">
        <v>10785.75</v>
      </c>
      <c r="F7" s="30">
        <v>10.0107858799391</v>
      </c>
    </row>
    <row r="8" spans="1:6" x14ac:dyDescent="0.2">
      <c r="A8" s="27" t="s">
        <v>140</v>
      </c>
      <c r="B8" s="27" t="s">
        <v>139</v>
      </c>
      <c r="C8" s="27" t="s">
        <v>104</v>
      </c>
      <c r="D8" s="31">
        <v>2500000</v>
      </c>
      <c r="E8" s="29">
        <v>10651.25</v>
      </c>
      <c r="F8" s="30">
        <v>9.8859498044829195</v>
      </c>
    </row>
    <row r="9" spans="1:6" x14ac:dyDescent="0.2">
      <c r="A9" s="27" t="s">
        <v>106</v>
      </c>
      <c r="B9" s="27" t="s">
        <v>105</v>
      </c>
      <c r="C9" s="27" t="s">
        <v>104</v>
      </c>
      <c r="D9" s="31">
        <v>1100000</v>
      </c>
      <c r="E9" s="29">
        <v>8651.5</v>
      </c>
      <c r="F9" s="30">
        <v>8.0298833220029593</v>
      </c>
    </row>
    <row r="10" spans="1:6" x14ac:dyDescent="0.2">
      <c r="A10" s="27" t="s">
        <v>110</v>
      </c>
      <c r="B10" s="27" t="s">
        <v>109</v>
      </c>
      <c r="C10" s="27" t="s">
        <v>111</v>
      </c>
      <c r="D10" s="31">
        <v>1000000</v>
      </c>
      <c r="E10" s="29">
        <v>6640.5</v>
      </c>
      <c r="F10" s="30">
        <v>6.1633751603491502</v>
      </c>
    </row>
    <row r="11" spans="1:6" x14ac:dyDescent="0.2">
      <c r="A11" s="27" t="s">
        <v>147</v>
      </c>
      <c r="B11" s="27" t="s">
        <v>146</v>
      </c>
      <c r="C11" s="27" t="s">
        <v>145</v>
      </c>
      <c r="D11" s="31">
        <v>4600000</v>
      </c>
      <c r="E11" s="29">
        <v>5333.7</v>
      </c>
      <c r="F11" s="30">
        <v>4.9504697075151398</v>
      </c>
    </row>
    <row r="12" spans="1:6" x14ac:dyDescent="0.2">
      <c r="A12" s="27" t="s">
        <v>213</v>
      </c>
      <c r="B12" s="27" t="s">
        <v>212</v>
      </c>
      <c r="C12" s="27" t="s">
        <v>133</v>
      </c>
      <c r="D12" s="31">
        <v>4500000</v>
      </c>
      <c r="E12" s="29">
        <v>4988.25</v>
      </c>
      <c r="F12" s="30">
        <v>4.6298405456835496</v>
      </c>
    </row>
    <row r="13" spans="1:6" x14ac:dyDescent="0.2">
      <c r="A13" s="27" t="s">
        <v>154</v>
      </c>
      <c r="B13" s="27" t="s">
        <v>153</v>
      </c>
      <c r="C13" s="27" t="s">
        <v>133</v>
      </c>
      <c r="D13" s="31">
        <v>1000000</v>
      </c>
      <c r="E13" s="29">
        <v>4716.5</v>
      </c>
      <c r="F13" s="30">
        <v>4.37761598430642</v>
      </c>
    </row>
    <row r="14" spans="1:6" x14ac:dyDescent="0.2">
      <c r="A14" s="27" t="s">
        <v>385</v>
      </c>
      <c r="B14" s="27" t="s">
        <v>384</v>
      </c>
      <c r="C14" s="27" t="s">
        <v>368</v>
      </c>
      <c r="D14" s="31">
        <v>700000</v>
      </c>
      <c r="E14" s="29">
        <v>4361.3500000000004</v>
      </c>
      <c r="F14" s="30">
        <v>4.0479837746538303</v>
      </c>
    </row>
    <row r="15" spans="1:6" x14ac:dyDescent="0.2">
      <c r="A15" s="27" t="s">
        <v>422</v>
      </c>
      <c r="B15" s="27" t="s">
        <v>421</v>
      </c>
      <c r="C15" s="27" t="s">
        <v>174</v>
      </c>
      <c r="D15" s="31">
        <v>600000</v>
      </c>
      <c r="E15" s="29">
        <v>4254.3</v>
      </c>
      <c r="F15" s="30">
        <v>3.9486253963818099</v>
      </c>
    </row>
    <row r="16" spans="1:6" x14ac:dyDescent="0.2">
      <c r="A16" s="27" t="s">
        <v>249</v>
      </c>
      <c r="B16" s="27" t="s">
        <v>248</v>
      </c>
      <c r="C16" s="27" t="s">
        <v>174</v>
      </c>
      <c r="D16" s="31">
        <v>175000</v>
      </c>
      <c r="E16" s="29">
        <v>4223.1000000000004</v>
      </c>
      <c r="F16" s="30">
        <v>3.91966713947301</v>
      </c>
    </row>
    <row r="17" spans="1:6" x14ac:dyDescent="0.2">
      <c r="A17" s="27" t="s">
        <v>528</v>
      </c>
      <c r="B17" s="27" t="s">
        <v>527</v>
      </c>
      <c r="C17" s="27" t="s">
        <v>209</v>
      </c>
      <c r="D17" s="31">
        <v>525000</v>
      </c>
      <c r="E17" s="29">
        <v>4001.0250000000001</v>
      </c>
      <c r="F17" s="30">
        <v>3.71354839258127</v>
      </c>
    </row>
    <row r="18" spans="1:6" x14ac:dyDescent="0.2">
      <c r="A18" s="27" t="s">
        <v>191</v>
      </c>
      <c r="B18" s="27" t="s">
        <v>190</v>
      </c>
      <c r="C18" s="27" t="s">
        <v>192</v>
      </c>
      <c r="D18" s="31">
        <v>235000</v>
      </c>
      <c r="E18" s="29">
        <v>3929.67</v>
      </c>
      <c r="F18" s="30">
        <v>3.6473203021412899</v>
      </c>
    </row>
    <row r="19" spans="1:6" x14ac:dyDescent="0.2">
      <c r="A19" s="27" t="s">
        <v>217</v>
      </c>
      <c r="B19" s="27" t="s">
        <v>216</v>
      </c>
      <c r="C19" s="27" t="s">
        <v>128</v>
      </c>
      <c r="D19" s="31">
        <v>2400000</v>
      </c>
      <c r="E19" s="29">
        <v>3507.6</v>
      </c>
      <c r="F19" s="30">
        <v>3.2555763440163701</v>
      </c>
    </row>
    <row r="20" spans="1:6" x14ac:dyDescent="0.2">
      <c r="A20" s="27" t="s">
        <v>526</v>
      </c>
      <c r="B20" s="27" t="s">
        <v>525</v>
      </c>
      <c r="C20" s="27" t="s">
        <v>310</v>
      </c>
      <c r="D20" s="31">
        <v>175000</v>
      </c>
      <c r="E20" s="29">
        <v>3332.2624999999998</v>
      </c>
      <c r="F20" s="30">
        <v>3.0928369731590899</v>
      </c>
    </row>
    <row r="21" spans="1:6" x14ac:dyDescent="0.2">
      <c r="A21" s="27" t="s">
        <v>537</v>
      </c>
      <c r="B21" s="27" t="s">
        <v>536</v>
      </c>
      <c r="C21" s="27" t="s">
        <v>120</v>
      </c>
      <c r="D21" s="31">
        <v>456243</v>
      </c>
      <c r="E21" s="29">
        <v>3198.0353089999999</v>
      </c>
      <c r="F21" s="30">
        <v>2.9682541051743301</v>
      </c>
    </row>
    <row r="22" spans="1:6" x14ac:dyDescent="0.2">
      <c r="A22" s="27" t="s">
        <v>247</v>
      </c>
      <c r="B22" s="27" t="s">
        <v>246</v>
      </c>
      <c r="C22" s="27" t="s">
        <v>209</v>
      </c>
      <c r="D22" s="31">
        <v>525000</v>
      </c>
      <c r="E22" s="29">
        <v>2444.1374999999998</v>
      </c>
      <c r="F22" s="30">
        <v>2.26852441171265</v>
      </c>
    </row>
    <row r="23" spans="1:6" x14ac:dyDescent="0.2">
      <c r="A23" s="27" t="s">
        <v>559</v>
      </c>
      <c r="B23" s="27" t="s">
        <v>558</v>
      </c>
      <c r="C23" s="27" t="s">
        <v>368</v>
      </c>
      <c r="D23" s="31">
        <v>2000000</v>
      </c>
      <c r="E23" s="29">
        <v>1952</v>
      </c>
      <c r="F23" s="30">
        <v>1.81174735531986</v>
      </c>
    </row>
    <row r="24" spans="1:6" x14ac:dyDescent="0.2">
      <c r="A24" s="27" t="s">
        <v>412</v>
      </c>
      <c r="B24" s="27" t="s">
        <v>411</v>
      </c>
      <c r="C24" s="27" t="s">
        <v>209</v>
      </c>
      <c r="D24" s="31">
        <v>250000</v>
      </c>
      <c r="E24" s="29">
        <v>1911.125</v>
      </c>
      <c r="F24" s="30">
        <v>1.77380925432155</v>
      </c>
    </row>
    <row r="25" spans="1:6" x14ac:dyDescent="0.2">
      <c r="A25" s="27" t="s">
        <v>292</v>
      </c>
      <c r="B25" s="27" t="s">
        <v>291</v>
      </c>
      <c r="C25" s="27" t="s">
        <v>293</v>
      </c>
      <c r="D25" s="31">
        <v>1400000</v>
      </c>
      <c r="E25" s="29">
        <v>1687.7</v>
      </c>
      <c r="F25" s="30">
        <v>1.5664375059289599</v>
      </c>
    </row>
    <row r="26" spans="1:6" x14ac:dyDescent="0.2">
      <c r="A26" s="27" t="s">
        <v>535</v>
      </c>
      <c r="B26" s="27" t="s">
        <v>534</v>
      </c>
      <c r="C26" s="27" t="s">
        <v>368</v>
      </c>
      <c r="D26" s="31">
        <v>2100000</v>
      </c>
      <c r="E26" s="29">
        <v>1643.25</v>
      </c>
      <c r="F26" s="30">
        <v>1.52518127132652</v>
      </c>
    </row>
    <row r="27" spans="1:6" x14ac:dyDescent="0.2">
      <c r="A27" s="27" t="s">
        <v>561</v>
      </c>
      <c r="B27" s="27" t="s">
        <v>560</v>
      </c>
      <c r="C27" s="27" t="s">
        <v>209</v>
      </c>
      <c r="D27" s="31">
        <v>1200000</v>
      </c>
      <c r="E27" s="29">
        <v>1618.2</v>
      </c>
      <c r="F27" s="30">
        <v>1.50193113236609</v>
      </c>
    </row>
    <row r="28" spans="1:6" x14ac:dyDescent="0.2">
      <c r="A28" s="27" t="s">
        <v>563</v>
      </c>
      <c r="B28" s="27" t="s">
        <v>562</v>
      </c>
      <c r="C28" s="27" t="s">
        <v>310</v>
      </c>
      <c r="D28" s="31">
        <v>1500000</v>
      </c>
      <c r="E28" s="29">
        <v>1526.25</v>
      </c>
      <c r="F28" s="30">
        <v>1.4165878079185099</v>
      </c>
    </row>
    <row r="29" spans="1:6" x14ac:dyDescent="0.2">
      <c r="A29" s="27" t="s">
        <v>486</v>
      </c>
      <c r="B29" s="27" t="s">
        <v>485</v>
      </c>
      <c r="C29" s="27" t="s">
        <v>310</v>
      </c>
      <c r="D29" s="31">
        <v>200000</v>
      </c>
      <c r="E29" s="29">
        <v>1359.1</v>
      </c>
      <c r="F29" s="30">
        <v>1.2614476591266499</v>
      </c>
    </row>
    <row r="30" spans="1:6" x14ac:dyDescent="0.2">
      <c r="A30" s="27" t="s">
        <v>144</v>
      </c>
      <c r="B30" s="27" t="s">
        <v>143</v>
      </c>
      <c r="C30" s="27" t="s">
        <v>145</v>
      </c>
      <c r="D30" s="31">
        <v>666666</v>
      </c>
      <c r="E30" s="29">
        <v>1168.9988310000001</v>
      </c>
      <c r="F30" s="30">
        <v>1.08500539981366</v>
      </c>
    </row>
    <row r="31" spans="1:6" x14ac:dyDescent="0.2">
      <c r="A31" s="27" t="s">
        <v>565</v>
      </c>
      <c r="B31" s="27" t="s">
        <v>564</v>
      </c>
      <c r="C31" s="27" t="s">
        <v>310</v>
      </c>
      <c r="D31" s="31">
        <v>400000</v>
      </c>
      <c r="E31" s="29">
        <v>1051.2</v>
      </c>
      <c r="F31" s="30">
        <v>0.97567050200422001</v>
      </c>
    </row>
    <row r="32" spans="1:6" x14ac:dyDescent="0.2">
      <c r="A32" s="27" t="s">
        <v>567</v>
      </c>
      <c r="B32" s="27" t="s">
        <v>566</v>
      </c>
      <c r="C32" s="27" t="s">
        <v>531</v>
      </c>
      <c r="D32" s="31">
        <v>600000</v>
      </c>
      <c r="E32" s="29">
        <v>970.8</v>
      </c>
      <c r="F32" s="30">
        <v>0.90104730150846402</v>
      </c>
    </row>
    <row r="33" spans="1:9" x14ac:dyDescent="0.2">
      <c r="A33" s="26" t="s">
        <v>34</v>
      </c>
      <c r="B33" s="26"/>
      <c r="C33" s="26"/>
      <c r="D33" s="32"/>
      <c r="E33" s="33">
        <f>SUM(E7:E32)</f>
        <v>99907.554139999993</v>
      </c>
      <c r="F33" s="34">
        <f>SUM(F7:F32)</f>
        <v>92.72912243320738</v>
      </c>
      <c r="G33" s="18"/>
      <c r="H33" s="18"/>
      <c r="I33" s="18"/>
    </row>
    <row r="34" spans="1:9" x14ac:dyDescent="0.2">
      <c r="A34" s="27"/>
      <c r="B34" s="27"/>
      <c r="C34" s="27"/>
      <c r="D34" s="28"/>
      <c r="E34" s="29"/>
      <c r="F34" s="30"/>
    </row>
    <row r="35" spans="1:9" x14ac:dyDescent="0.2">
      <c r="A35" s="26" t="s">
        <v>36</v>
      </c>
      <c r="B35" s="26"/>
      <c r="C35" s="26"/>
      <c r="D35" s="32"/>
      <c r="E35" s="33">
        <f>E33</f>
        <v>99907.554139999993</v>
      </c>
      <c r="F35" s="34">
        <f>F33</f>
        <v>92.72912243320738</v>
      </c>
      <c r="G35" s="18"/>
      <c r="H35" s="18"/>
      <c r="I35" s="18"/>
    </row>
    <row r="36" spans="1:9" x14ac:dyDescent="0.2">
      <c r="A36" s="26"/>
      <c r="B36" s="26"/>
      <c r="C36" s="26"/>
      <c r="D36" s="32"/>
      <c r="E36" s="33"/>
      <c r="F36" s="34"/>
      <c r="G36" s="18"/>
      <c r="H36" s="18"/>
      <c r="I36" s="18"/>
    </row>
    <row r="37" spans="1:9" x14ac:dyDescent="0.2">
      <c r="A37" s="26" t="s">
        <v>38</v>
      </c>
      <c r="B37" s="26"/>
      <c r="C37" s="26"/>
      <c r="D37" s="32"/>
      <c r="E37" s="33">
        <f>E39-(E33)</f>
        <v>7833.7373965000006</v>
      </c>
      <c r="F37" s="34">
        <f>F39-(F33)</f>
        <v>7.2708775667926204</v>
      </c>
      <c r="G37" s="18"/>
      <c r="H37" s="18"/>
      <c r="I37" s="18"/>
    </row>
    <row r="38" spans="1:9" x14ac:dyDescent="0.2">
      <c r="A38" s="26"/>
      <c r="B38" s="26"/>
      <c r="C38" s="26"/>
      <c r="D38" s="32"/>
      <c r="E38" s="33"/>
      <c r="F38" s="34"/>
      <c r="G38" s="18"/>
      <c r="H38" s="18"/>
      <c r="I38" s="18"/>
    </row>
    <row r="39" spans="1:9" x14ac:dyDescent="0.2">
      <c r="A39" s="35" t="s">
        <v>37</v>
      </c>
      <c r="B39" s="35"/>
      <c r="C39" s="35"/>
      <c r="D39" s="36"/>
      <c r="E39" s="37">
        <v>107741.29153649999</v>
      </c>
      <c r="F39" s="38">
        <v>100</v>
      </c>
      <c r="G39" s="18"/>
      <c r="H39" s="18"/>
      <c r="I39" s="18"/>
    </row>
    <row r="42" spans="1:9" x14ac:dyDescent="0.2">
      <c r="A42" s="18" t="s">
        <v>40</v>
      </c>
    </row>
    <row r="43" spans="1:9" x14ac:dyDescent="0.2">
      <c r="A43" s="18" t="s">
        <v>41</v>
      </c>
    </row>
    <row r="44" spans="1:9" x14ac:dyDescent="0.2">
      <c r="A44" s="18" t="s">
        <v>42</v>
      </c>
      <c r="B44" s="18"/>
      <c r="C44" s="39" t="s">
        <v>44</v>
      </c>
      <c r="D44" s="19" t="s">
        <v>43</v>
      </c>
    </row>
    <row r="45" spans="1:9" x14ac:dyDescent="0.2">
      <c r="A45" s="9" t="s">
        <v>71</v>
      </c>
      <c r="C45" s="40">
        <v>50.626199999999997</v>
      </c>
      <c r="D45" s="40">
        <v>60.657699999999998</v>
      </c>
    </row>
    <row r="46" spans="1:9" x14ac:dyDescent="0.2">
      <c r="A46" s="9" t="s">
        <v>77</v>
      </c>
      <c r="C46" s="40">
        <v>22.213000000000001</v>
      </c>
      <c r="D46" s="40">
        <v>26.6145</v>
      </c>
    </row>
    <row r="47" spans="1:9" x14ac:dyDescent="0.2">
      <c r="A47" s="9" t="s">
        <v>74</v>
      </c>
      <c r="C47" s="40">
        <v>55.636699999999998</v>
      </c>
      <c r="D47" s="40">
        <v>67.002899999999997</v>
      </c>
    </row>
    <row r="48" spans="1:9" x14ac:dyDescent="0.2">
      <c r="A48" s="9" t="s">
        <v>78</v>
      </c>
      <c r="C48" s="40">
        <v>25.473400000000002</v>
      </c>
      <c r="D48" s="40">
        <v>30.676600000000001</v>
      </c>
    </row>
    <row r="50" spans="1:4" x14ac:dyDescent="0.2">
      <c r="A50" s="9" t="s">
        <v>45</v>
      </c>
    </row>
    <row r="52" spans="1:4" x14ac:dyDescent="0.2">
      <c r="A52" s="18" t="s">
        <v>46</v>
      </c>
      <c r="D52" s="41" t="s">
        <v>47</v>
      </c>
    </row>
    <row r="54" spans="1:4" x14ac:dyDescent="0.2">
      <c r="A54" s="18" t="s">
        <v>220</v>
      </c>
      <c r="D54" s="45">
        <v>2.5000000000000001E-3</v>
      </c>
    </row>
    <row r="56" spans="1:4" x14ac:dyDescent="0.2">
      <c r="A56" s="18" t="s">
        <v>97</v>
      </c>
    </row>
    <row r="57" spans="1:4" x14ac:dyDescent="0.2">
      <c r="A57" s="46" t="s">
        <v>51</v>
      </c>
    </row>
  </sheetData>
  <mergeCells count="1">
    <mergeCell ref="A1:F1"/>
  </mergeCells>
  <conditionalFormatting sqref="F2:F3 F5:F65536">
    <cfRule type="cellIs" dxfId="14" priority="1" stopIfTrue="1" operator="between">
      <formula>0.009</formula>
      <formula>-0.009</formula>
    </cfRule>
  </conditionalFormatting>
  <hyperlinks>
    <hyperlink ref="A57" r:id="rId1" tooltip="https://www.franklintempletonindia.com/downloadsServlet/pdf/product-labels-jg9o5k7l" xr:uid="{00000000-0004-0000-2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98"/>
  <sheetViews>
    <sheetView workbookViewId="0">
      <selection sqref="A1:F1"/>
    </sheetView>
  </sheetViews>
  <sheetFormatPr defaultColWidth="9.109375" defaultRowHeight="10.199999999999999" x14ac:dyDescent="0.2"/>
  <cols>
    <col min="1" max="1" width="38.6640625" style="9" bestFit="1" customWidth="1"/>
    <col min="2" max="2" width="39.5546875" style="9" bestFit="1" customWidth="1"/>
    <col min="3" max="3" width="35.6640625" style="9" bestFit="1" customWidth="1"/>
    <col min="4" max="4" width="15.5546875" style="10" bestFit="1" customWidth="1"/>
    <col min="5" max="5" width="23" style="13" bestFit="1" customWidth="1"/>
    <col min="6" max="6" width="14.6640625" style="14" bestFit="1" customWidth="1"/>
    <col min="7" max="16384" width="9.109375" style="9"/>
  </cols>
  <sheetData>
    <row r="1" spans="1:6" s="1" customFormat="1" ht="13.8" x14ac:dyDescent="0.2">
      <c r="A1" s="69" t="s">
        <v>20</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108</v>
      </c>
      <c r="B7" s="27" t="s">
        <v>107</v>
      </c>
      <c r="C7" s="27" t="s">
        <v>104</v>
      </c>
      <c r="D7" s="31">
        <v>125590</v>
      </c>
      <c r="E7" s="29">
        <v>903.05489499999999</v>
      </c>
      <c r="F7" s="30">
        <v>2.92115194575105</v>
      </c>
    </row>
    <row r="8" spans="1:6" x14ac:dyDescent="0.2">
      <c r="A8" s="27" t="s">
        <v>103</v>
      </c>
      <c r="B8" s="27" t="s">
        <v>102</v>
      </c>
      <c r="C8" s="27" t="s">
        <v>104</v>
      </c>
      <c r="D8" s="31">
        <v>39897</v>
      </c>
      <c r="E8" s="29">
        <v>630.93115799999998</v>
      </c>
      <c r="F8" s="30">
        <v>2.0409011567637498</v>
      </c>
    </row>
    <row r="9" spans="1:6" x14ac:dyDescent="0.2">
      <c r="A9" s="27" t="s">
        <v>122</v>
      </c>
      <c r="B9" s="27" t="s">
        <v>121</v>
      </c>
      <c r="C9" s="27" t="s">
        <v>104</v>
      </c>
      <c r="D9" s="31">
        <v>26999</v>
      </c>
      <c r="E9" s="29">
        <v>473.48146300000002</v>
      </c>
      <c r="F9" s="30">
        <v>1.53159160597818</v>
      </c>
    </row>
    <row r="10" spans="1:6" x14ac:dyDescent="0.2">
      <c r="A10" s="27" t="s">
        <v>191</v>
      </c>
      <c r="B10" s="27" t="s">
        <v>190</v>
      </c>
      <c r="C10" s="27" t="s">
        <v>192</v>
      </c>
      <c r="D10" s="31">
        <v>27303</v>
      </c>
      <c r="E10" s="29">
        <v>456.560766</v>
      </c>
      <c r="F10" s="30">
        <v>1.47685747271708</v>
      </c>
    </row>
    <row r="11" spans="1:6" x14ac:dyDescent="0.2">
      <c r="A11" s="27" t="s">
        <v>281</v>
      </c>
      <c r="B11" s="27" t="s">
        <v>280</v>
      </c>
      <c r="C11" s="27" t="s">
        <v>125</v>
      </c>
      <c r="D11" s="31">
        <v>40295</v>
      </c>
      <c r="E11" s="29">
        <v>348.53160250000002</v>
      </c>
      <c r="F11" s="30">
        <v>1.12741071936563</v>
      </c>
    </row>
    <row r="12" spans="1:6" x14ac:dyDescent="0.2">
      <c r="A12" s="27" t="s">
        <v>116</v>
      </c>
      <c r="B12" s="27" t="s">
        <v>115</v>
      </c>
      <c r="C12" s="27" t="s">
        <v>117</v>
      </c>
      <c r="D12" s="31">
        <v>72567</v>
      </c>
      <c r="E12" s="29">
        <v>339.83126099999998</v>
      </c>
      <c r="F12" s="30">
        <v>1.0992673366741299</v>
      </c>
    </row>
    <row r="13" spans="1:6" x14ac:dyDescent="0.2">
      <c r="A13" s="27" t="s">
        <v>203</v>
      </c>
      <c r="B13" s="27" t="s">
        <v>202</v>
      </c>
      <c r="C13" s="27" t="s">
        <v>204</v>
      </c>
      <c r="D13" s="31">
        <v>235400</v>
      </c>
      <c r="E13" s="29">
        <v>330.5016</v>
      </c>
      <c r="F13" s="30">
        <v>1.06908826612787</v>
      </c>
    </row>
    <row r="14" spans="1:6" x14ac:dyDescent="0.2">
      <c r="A14" s="27" t="s">
        <v>478</v>
      </c>
      <c r="B14" s="27" t="s">
        <v>477</v>
      </c>
      <c r="C14" s="27" t="s">
        <v>159</v>
      </c>
      <c r="D14" s="31">
        <v>31095</v>
      </c>
      <c r="E14" s="29">
        <v>313.09555499999999</v>
      </c>
      <c r="F14" s="30">
        <v>1.01278415604431</v>
      </c>
    </row>
    <row r="15" spans="1:6" x14ac:dyDescent="0.2">
      <c r="A15" s="27" t="s">
        <v>569</v>
      </c>
      <c r="B15" s="27" t="s">
        <v>568</v>
      </c>
      <c r="C15" s="27" t="s">
        <v>368</v>
      </c>
      <c r="D15" s="31">
        <v>20861</v>
      </c>
      <c r="E15" s="29">
        <v>310.62029000000001</v>
      </c>
      <c r="F15" s="30">
        <v>1.0047773059502201</v>
      </c>
    </row>
    <row r="16" spans="1:6" x14ac:dyDescent="0.2">
      <c r="A16" s="27" t="s">
        <v>571</v>
      </c>
      <c r="B16" s="27" t="s">
        <v>570</v>
      </c>
      <c r="C16" s="27" t="s">
        <v>404</v>
      </c>
      <c r="D16" s="31">
        <v>32972</v>
      </c>
      <c r="E16" s="29">
        <v>268.55694</v>
      </c>
      <c r="F16" s="30">
        <v>0.86871311164970699</v>
      </c>
    </row>
    <row r="17" spans="1:9" x14ac:dyDescent="0.2">
      <c r="A17" s="27" t="s">
        <v>258</v>
      </c>
      <c r="B17" s="27" t="s">
        <v>257</v>
      </c>
      <c r="C17" s="27" t="s">
        <v>125</v>
      </c>
      <c r="D17" s="31">
        <v>31928</v>
      </c>
      <c r="E17" s="29">
        <v>228.33309199999999</v>
      </c>
      <c r="F17" s="30">
        <v>0.73859923651170101</v>
      </c>
    </row>
    <row r="18" spans="1:9" x14ac:dyDescent="0.2">
      <c r="A18" s="27" t="s">
        <v>468</v>
      </c>
      <c r="B18" s="27" t="s">
        <v>467</v>
      </c>
      <c r="C18" s="27" t="s">
        <v>434</v>
      </c>
      <c r="D18" s="31">
        <v>4528</v>
      </c>
      <c r="E18" s="29">
        <v>225.02122399999999</v>
      </c>
      <c r="F18" s="30">
        <v>0.72788618938041805</v>
      </c>
    </row>
    <row r="19" spans="1:9" x14ac:dyDescent="0.2">
      <c r="A19" s="27" t="s">
        <v>317</v>
      </c>
      <c r="B19" s="27" t="s">
        <v>316</v>
      </c>
      <c r="C19" s="27" t="s">
        <v>159</v>
      </c>
      <c r="D19" s="31">
        <v>3461</v>
      </c>
      <c r="E19" s="29">
        <v>213.97113350000001</v>
      </c>
      <c r="F19" s="30">
        <v>0.69214196879812495</v>
      </c>
    </row>
    <row r="20" spans="1:9" x14ac:dyDescent="0.2">
      <c r="A20" s="27" t="s">
        <v>476</v>
      </c>
      <c r="B20" s="27" t="s">
        <v>475</v>
      </c>
      <c r="C20" s="27" t="s">
        <v>368</v>
      </c>
      <c r="D20" s="31">
        <v>27579</v>
      </c>
      <c r="E20" s="29">
        <v>194.04584399999999</v>
      </c>
      <c r="F20" s="30">
        <v>0.62768874617030401</v>
      </c>
    </row>
    <row r="21" spans="1:9" x14ac:dyDescent="0.2">
      <c r="A21" s="27" t="s">
        <v>319</v>
      </c>
      <c r="B21" s="27" t="s">
        <v>318</v>
      </c>
      <c r="C21" s="27" t="s">
        <v>159</v>
      </c>
      <c r="D21" s="31">
        <v>21507</v>
      </c>
      <c r="E21" s="29">
        <v>28.937668500000001</v>
      </c>
      <c r="F21" s="30">
        <v>9.3605966937673202E-2</v>
      </c>
    </row>
    <row r="22" spans="1:9" x14ac:dyDescent="0.2">
      <c r="A22" s="26" t="s">
        <v>34</v>
      </c>
      <c r="B22" s="26"/>
      <c r="C22" s="26"/>
      <c r="D22" s="32"/>
      <c r="E22" s="33">
        <f>SUM(E7:E21)</f>
        <v>5265.4744925000005</v>
      </c>
      <c r="F22" s="34">
        <f>SUM(F7:F21)</f>
        <v>17.03246518482015</v>
      </c>
      <c r="G22" s="18"/>
      <c r="H22" s="18"/>
      <c r="I22" s="18"/>
    </row>
    <row r="23" spans="1:9" x14ac:dyDescent="0.2">
      <c r="A23" s="27"/>
      <c r="B23" s="27"/>
      <c r="C23" s="27"/>
      <c r="D23" s="28"/>
      <c r="E23" s="29"/>
      <c r="F23" s="30"/>
    </row>
    <row r="24" spans="1:9" x14ac:dyDescent="0.2">
      <c r="A24" s="26" t="s">
        <v>298</v>
      </c>
      <c r="B24" s="27"/>
      <c r="C24" s="27"/>
      <c r="D24" s="28"/>
      <c r="E24" s="29"/>
      <c r="F24" s="30"/>
    </row>
    <row r="25" spans="1:9" x14ac:dyDescent="0.2">
      <c r="A25" s="27" t="s">
        <v>331</v>
      </c>
      <c r="B25" s="27" t="s">
        <v>330</v>
      </c>
      <c r="C25" s="27" t="s">
        <v>315</v>
      </c>
      <c r="D25" s="31">
        <v>177714</v>
      </c>
      <c r="E25" s="29">
        <v>2881.6644630000001</v>
      </c>
      <c r="F25" s="30">
        <v>9.3214485627632993</v>
      </c>
    </row>
    <row r="26" spans="1:9" x14ac:dyDescent="0.2">
      <c r="A26" s="27" t="s">
        <v>343</v>
      </c>
      <c r="B26" s="27" t="s">
        <v>342</v>
      </c>
      <c r="C26" s="27" t="s">
        <v>315</v>
      </c>
      <c r="D26" s="31">
        <v>53064</v>
      </c>
      <c r="E26" s="29">
        <v>2569.5055539999998</v>
      </c>
      <c r="F26" s="30">
        <v>8.3116942173102792</v>
      </c>
    </row>
    <row r="27" spans="1:9" x14ac:dyDescent="0.2">
      <c r="A27" s="27" t="s">
        <v>357</v>
      </c>
      <c r="B27" s="27" t="s">
        <v>356</v>
      </c>
      <c r="C27" s="27" t="s">
        <v>101</v>
      </c>
      <c r="D27" s="31">
        <v>46500</v>
      </c>
      <c r="E27" s="29">
        <v>2099.0431520000002</v>
      </c>
      <c r="F27" s="30">
        <v>6.7898685026010801</v>
      </c>
    </row>
    <row r="28" spans="1:9" x14ac:dyDescent="0.2">
      <c r="A28" s="27" t="s">
        <v>355</v>
      </c>
      <c r="B28" s="27" t="s">
        <v>354</v>
      </c>
      <c r="C28" s="27" t="s">
        <v>159</v>
      </c>
      <c r="D28" s="31">
        <v>103604</v>
      </c>
      <c r="E28" s="29">
        <v>1608.486116</v>
      </c>
      <c r="F28" s="30">
        <v>5.2030417790570196</v>
      </c>
    </row>
    <row r="29" spans="1:9" x14ac:dyDescent="0.2">
      <c r="A29" s="27" t="s">
        <v>573</v>
      </c>
      <c r="B29" s="27" t="s">
        <v>572</v>
      </c>
      <c r="C29" s="27" t="s">
        <v>187</v>
      </c>
      <c r="D29" s="31">
        <v>144124</v>
      </c>
      <c r="E29" s="29">
        <v>1256.6909760000001</v>
      </c>
      <c r="F29" s="30">
        <v>4.0650743493840302</v>
      </c>
    </row>
    <row r="30" spans="1:9" x14ac:dyDescent="0.2">
      <c r="A30" s="27" t="s">
        <v>575</v>
      </c>
      <c r="B30" s="27" t="s">
        <v>574</v>
      </c>
      <c r="C30" s="27" t="s">
        <v>101</v>
      </c>
      <c r="D30" s="31">
        <v>3176</v>
      </c>
      <c r="E30" s="29">
        <v>880.23620270000004</v>
      </c>
      <c r="F30" s="30">
        <v>2.8473393040382402</v>
      </c>
    </row>
    <row r="31" spans="1:9" x14ac:dyDescent="0.2">
      <c r="A31" s="27" t="s">
        <v>577</v>
      </c>
      <c r="B31" s="27" t="s">
        <v>576</v>
      </c>
      <c r="C31" s="27" t="s">
        <v>104</v>
      </c>
      <c r="D31" s="31">
        <v>119000</v>
      </c>
      <c r="E31" s="29">
        <v>717.23733579999998</v>
      </c>
      <c r="F31" s="30">
        <v>2.3200795994107</v>
      </c>
    </row>
    <row r="32" spans="1:9" x14ac:dyDescent="0.2">
      <c r="A32" s="27" t="s">
        <v>579</v>
      </c>
      <c r="B32" s="27" t="s">
        <v>578</v>
      </c>
      <c r="C32" s="27" t="s">
        <v>104</v>
      </c>
      <c r="D32" s="31">
        <v>365129</v>
      </c>
      <c r="E32" s="29">
        <v>611.83259629999998</v>
      </c>
      <c r="F32" s="30">
        <v>1.9791221874232401</v>
      </c>
    </row>
    <row r="33" spans="1:6" x14ac:dyDescent="0.2">
      <c r="A33" s="27" t="s">
        <v>581</v>
      </c>
      <c r="B33" s="27" t="s">
        <v>580</v>
      </c>
      <c r="C33" s="27" t="s">
        <v>101</v>
      </c>
      <c r="D33" s="31">
        <v>18300</v>
      </c>
      <c r="E33" s="29">
        <v>525.99624770000003</v>
      </c>
      <c r="F33" s="30">
        <v>1.70146352224425</v>
      </c>
    </row>
    <row r="34" spans="1:6" x14ac:dyDescent="0.2">
      <c r="A34" s="27" t="s">
        <v>583</v>
      </c>
      <c r="B34" s="27" t="s">
        <v>582</v>
      </c>
      <c r="C34" s="27" t="s">
        <v>125</v>
      </c>
      <c r="D34" s="31">
        <v>112000</v>
      </c>
      <c r="E34" s="29">
        <v>491.18198869999998</v>
      </c>
      <c r="F34" s="30">
        <v>1.58884828591608</v>
      </c>
    </row>
    <row r="35" spans="1:6" x14ac:dyDescent="0.2">
      <c r="A35" s="27" t="s">
        <v>585</v>
      </c>
      <c r="B35" s="27" t="s">
        <v>584</v>
      </c>
      <c r="C35" s="27" t="s">
        <v>159</v>
      </c>
      <c r="D35" s="31">
        <v>29521</v>
      </c>
      <c r="E35" s="29">
        <v>477.70848969999997</v>
      </c>
      <c r="F35" s="30">
        <v>1.5452649577730799</v>
      </c>
    </row>
    <row r="36" spans="1:6" x14ac:dyDescent="0.2">
      <c r="A36" s="27" t="s">
        <v>587</v>
      </c>
      <c r="B36" s="27" t="s">
        <v>586</v>
      </c>
      <c r="C36" s="27" t="s">
        <v>315</v>
      </c>
      <c r="D36" s="31">
        <v>7083</v>
      </c>
      <c r="E36" s="29">
        <v>476.23472820000001</v>
      </c>
      <c r="F36" s="30">
        <v>1.54049771571822</v>
      </c>
    </row>
    <row r="37" spans="1:6" x14ac:dyDescent="0.2">
      <c r="A37" s="27" t="s">
        <v>589</v>
      </c>
      <c r="B37" s="27" t="s">
        <v>588</v>
      </c>
      <c r="C37" s="27" t="s">
        <v>187</v>
      </c>
      <c r="D37" s="31">
        <v>82810</v>
      </c>
      <c r="E37" s="29">
        <v>469.20487800000001</v>
      </c>
      <c r="F37" s="30">
        <v>1.5177579457399299</v>
      </c>
    </row>
    <row r="38" spans="1:6" x14ac:dyDescent="0.2">
      <c r="A38" s="27" t="s">
        <v>591</v>
      </c>
      <c r="B38" s="27" t="s">
        <v>590</v>
      </c>
      <c r="C38" s="27" t="s">
        <v>101</v>
      </c>
      <c r="D38" s="31">
        <v>1900</v>
      </c>
      <c r="E38" s="29">
        <v>460.23433999999997</v>
      </c>
      <c r="F38" s="30">
        <v>1.4887405463789101</v>
      </c>
    </row>
    <row r="39" spans="1:6" x14ac:dyDescent="0.2">
      <c r="A39" s="27" t="s">
        <v>338</v>
      </c>
      <c r="B39" s="27" t="s">
        <v>337</v>
      </c>
      <c r="C39" s="27" t="s">
        <v>315</v>
      </c>
      <c r="D39" s="31">
        <v>19000</v>
      </c>
      <c r="E39" s="29">
        <v>452.097171</v>
      </c>
      <c r="F39" s="30">
        <v>1.46241888289105</v>
      </c>
    </row>
    <row r="40" spans="1:6" x14ac:dyDescent="0.2">
      <c r="A40" s="27" t="s">
        <v>593</v>
      </c>
      <c r="B40" s="27" t="s">
        <v>592</v>
      </c>
      <c r="C40" s="27" t="s">
        <v>120</v>
      </c>
      <c r="D40" s="31">
        <v>58700</v>
      </c>
      <c r="E40" s="29">
        <v>437.66448209999999</v>
      </c>
      <c r="F40" s="30">
        <v>1.41573282039797</v>
      </c>
    </row>
    <row r="41" spans="1:6" x14ac:dyDescent="0.2">
      <c r="A41" s="27" t="s">
        <v>595</v>
      </c>
      <c r="B41" s="27" t="s">
        <v>594</v>
      </c>
      <c r="C41" s="27" t="s">
        <v>305</v>
      </c>
      <c r="D41" s="31">
        <v>43260</v>
      </c>
      <c r="E41" s="29">
        <v>437.19448590000002</v>
      </c>
      <c r="F41" s="30">
        <v>1.41421250272766</v>
      </c>
    </row>
    <row r="42" spans="1:6" x14ac:dyDescent="0.2">
      <c r="A42" s="27" t="s">
        <v>597</v>
      </c>
      <c r="B42" s="27" t="s">
        <v>596</v>
      </c>
      <c r="C42" s="27" t="s">
        <v>284</v>
      </c>
      <c r="D42" s="31">
        <v>902</v>
      </c>
      <c r="E42" s="29">
        <v>431.64822129999999</v>
      </c>
      <c r="F42" s="30">
        <v>1.3962717532586699</v>
      </c>
    </row>
    <row r="43" spans="1:6" x14ac:dyDescent="0.2">
      <c r="A43" s="27" t="s">
        <v>599</v>
      </c>
      <c r="B43" s="27" t="s">
        <v>598</v>
      </c>
      <c r="C43" s="27" t="s">
        <v>341</v>
      </c>
      <c r="D43" s="31">
        <v>93000</v>
      </c>
      <c r="E43" s="29">
        <v>399.56848029999998</v>
      </c>
      <c r="F43" s="30">
        <v>1.2925019842665699</v>
      </c>
    </row>
    <row r="44" spans="1:6" x14ac:dyDescent="0.2">
      <c r="A44" s="27" t="s">
        <v>601</v>
      </c>
      <c r="B44" s="27" t="s">
        <v>600</v>
      </c>
      <c r="C44" s="27" t="s">
        <v>368</v>
      </c>
      <c r="D44" s="31">
        <v>142000</v>
      </c>
      <c r="E44" s="29">
        <v>385.63789869999999</v>
      </c>
      <c r="F44" s="30">
        <v>1.2474401106511399</v>
      </c>
    </row>
    <row r="45" spans="1:6" x14ac:dyDescent="0.2">
      <c r="A45" s="27" t="s">
        <v>603</v>
      </c>
      <c r="B45" s="27" t="s">
        <v>602</v>
      </c>
      <c r="C45" s="27" t="s">
        <v>159</v>
      </c>
      <c r="D45" s="31">
        <v>15200</v>
      </c>
      <c r="E45" s="29">
        <v>355.04690429999999</v>
      </c>
      <c r="F45" s="30">
        <v>1.14848605668522</v>
      </c>
    </row>
    <row r="46" spans="1:6" x14ac:dyDescent="0.2">
      <c r="A46" s="27" t="s">
        <v>605</v>
      </c>
      <c r="B46" s="27" t="s">
        <v>604</v>
      </c>
      <c r="C46" s="27" t="s">
        <v>125</v>
      </c>
      <c r="D46" s="31">
        <v>2000</v>
      </c>
      <c r="E46" s="29">
        <v>352.01138980000002</v>
      </c>
      <c r="F46" s="30">
        <v>1.1386669425459499</v>
      </c>
    </row>
    <row r="47" spans="1:6" x14ac:dyDescent="0.2">
      <c r="A47" s="27" t="s">
        <v>607</v>
      </c>
      <c r="B47" s="27" t="s">
        <v>606</v>
      </c>
      <c r="C47" s="27" t="s">
        <v>174</v>
      </c>
      <c r="D47" s="31">
        <v>733200</v>
      </c>
      <c r="E47" s="29">
        <v>347.00774489999998</v>
      </c>
      <c r="F47" s="30">
        <v>1.12248142922178</v>
      </c>
    </row>
    <row r="48" spans="1:6" x14ac:dyDescent="0.2">
      <c r="A48" s="27" t="s">
        <v>609</v>
      </c>
      <c r="B48" s="27" t="s">
        <v>608</v>
      </c>
      <c r="C48" s="27" t="s">
        <v>125</v>
      </c>
      <c r="D48" s="31">
        <v>7700</v>
      </c>
      <c r="E48" s="29">
        <v>340.35154999999997</v>
      </c>
      <c r="F48" s="30">
        <v>1.10095033870769</v>
      </c>
    </row>
    <row r="49" spans="1:6" x14ac:dyDescent="0.2">
      <c r="A49" s="27" t="s">
        <v>611</v>
      </c>
      <c r="B49" s="27" t="s">
        <v>610</v>
      </c>
      <c r="C49" s="27" t="s">
        <v>231</v>
      </c>
      <c r="D49" s="31">
        <v>61190</v>
      </c>
      <c r="E49" s="29">
        <v>340.10389309999999</v>
      </c>
      <c r="F49" s="30">
        <v>1.1001492318875801</v>
      </c>
    </row>
    <row r="50" spans="1:6" x14ac:dyDescent="0.2">
      <c r="A50" s="27" t="s">
        <v>613</v>
      </c>
      <c r="B50" s="27" t="s">
        <v>612</v>
      </c>
      <c r="C50" s="27" t="s">
        <v>104</v>
      </c>
      <c r="D50" s="31">
        <v>20800</v>
      </c>
      <c r="E50" s="29">
        <v>338.6400357</v>
      </c>
      <c r="F50" s="30">
        <v>1.0954140270667201</v>
      </c>
    </row>
    <row r="51" spans="1:6" x14ac:dyDescent="0.2">
      <c r="A51" s="27" t="s">
        <v>615</v>
      </c>
      <c r="B51" s="27" t="s">
        <v>614</v>
      </c>
      <c r="C51" s="27" t="s">
        <v>284</v>
      </c>
      <c r="D51" s="31">
        <v>22000</v>
      </c>
      <c r="E51" s="29">
        <v>338.52515110000002</v>
      </c>
      <c r="F51" s="30">
        <v>1.0950424047271601</v>
      </c>
    </row>
    <row r="52" spans="1:6" x14ac:dyDescent="0.2">
      <c r="A52" s="27" t="s">
        <v>617</v>
      </c>
      <c r="B52" s="27" t="s">
        <v>616</v>
      </c>
      <c r="C52" s="27" t="s">
        <v>125</v>
      </c>
      <c r="D52" s="31">
        <v>179100</v>
      </c>
      <c r="E52" s="29">
        <v>326.94990619999999</v>
      </c>
      <c r="F52" s="30">
        <v>1.0575994437849301</v>
      </c>
    </row>
    <row r="53" spans="1:6" x14ac:dyDescent="0.2">
      <c r="A53" s="27" t="s">
        <v>619</v>
      </c>
      <c r="B53" s="27" t="s">
        <v>618</v>
      </c>
      <c r="C53" s="27" t="s">
        <v>620</v>
      </c>
      <c r="D53" s="31">
        <v>57650</v>
      </c>
      <c r="E53" s="29">
        <v>315.2128692</v>
      </c>
      <c r="F53" s="30">
        <v>1.0196331267207801</v>
      </c>
    </row>
    <row r="54" spans="1:6" x14ac:dyDescent="0.2">
      <c r="A54" s="27" t="s">
        <v>622</v>
      </c>
      <c r="B54" s="27" t="s">
        <v>621</v>
      </c>
      <c r="C54" s="27" t="s">
        <v>174</v>
      </c>
      <c r="D54" s="31">
        <v>510800</v>
      </c>
      <c r="E54" s="29">
        <v>294.02102680000002</v>
      </c>
      <c r="F54" s="30">
        <v>0.95108292893816004</v>
      </c>
    </row>
    <row r="55" spans="1:6" x14ac:dyDescent="0.2">
      <c r="A55" s="27" t="s">
        <v>624</v>
      </c>
      <c r="B55" s="27" t="s">
        <v>623</v>
      </c>
      <c r="C55" s="27" t="s">
        <v>187</v>
      </c>
      <c r="D55" s="31">
        <v>19235</v>
      </c>
      <c r="E55" s="29">
        <v>285.0861008</v>
      </c>
      <c r="F55" s="30">
        <v>0.92218072530186701</v>
      </c>
    </row>
    <row r="56" spans="1:6" x14ac:dyDescent="0.2">
      <c r="A56" s="27" t="s">
        <v>626</v>
      </c>
      <c r="B56" s="27" t="s">
        <v>625</v>
      </c>
      <c r="C56" s="27" t="s">
        <v>174</v>
      </c>
      <c r="D56" s="31">
        <v>27012</v>
      </c>
      <c r="E56" s="29">
        <v>262.99834989999999</v>
      </c>
      <c r="F56" s="30">
        <v>0.85073249233614001</v>
      </c>
    </row>
    <row r="57" spans="1:6" x14ac:dyDescent="0.2">
      <c r="A57" s="27" t="s">
        <v>628</v>
      </c>
      <c r="B57" s="27" t="s">
        <v>627</v>
      </c>
      <c r="C57" s="27" t="s">
        <v>629</v>
      </c>
      <c r="D57" s="31">
        <v>308946</v>
      </c>
      <c r="E57" s="29">
        <v>229.09821629999999</v>
      </c>
      <c r="F57" s="30">
        <v>0.74107421821000197</v>
      </c>
    </row>
    <row r="58" spans="1:6" x14ac:dyDescent="0.2">
      <c r="A58" s="27" t="s">
        <v>631</v>
      </c>
      <c r="B58" s="27" t="s">
        <v>630</v>
      </c>
      <c r="C58" s="27" t="s">
        <v>209</v>
      </c>
      <c r="D58" s="31">
        <v>121000</v>
      </c>
      <c r="E58" s="29">
        <v>222.70356469999999</v>
      </c>
      <c r="F58" s="30">
        <v>0.72038915347344501</v>
      </c>
    </row>
    <row r="59" spans="1:6" x14ac:dyDescent="0.2">
      <c r="A59" s="27" t="s">
        <v>633</v>
      </c>
      <c r="B59" s="27" t="s">
        <v>632</v>
      </c>
      <c r="C59" s="27" t="s">
        <v>174</v>
      </c>
      <c r="D59" s="31">
        <v>306000</v>
      </c>
      <c r="E59" s="29">
        <v>219.0225141</v>
      </c>
      <c r="F59" s="30">
        <v>0.70848189492013403</v>
      </c>
    </row>
    <row r="60" spans="1:6" x14ac:dyDescent="0.2">
      <c r="A60" s="27" t="s">
        <v>635</v>
      </c>
      <c r="B60" s="27" t="s">
        <v>634</v>
      </c>
      <c r="C60" s="27" t="s">
        <v>310</v>
      </c>
      <c r="D60" s="31">
        <v>9838</v>
      </c>
      <c r="E60" s="29">
        <v>205.32594660000001</v>
      </c>
      <c r="F60" s="30">
        <v>0.66417699715117196</v>
      </c>
    </row>
    <row r="61" spans="1:6" x14ac:dyDescent="0.2">
      <c r="A61" s="27" t="s">
        <v>329</v>
      </c>
      <c r="B61" s="27" t="s">
        <v>328</v>
      </c>
      <c r="C61" s="27" t="s">
        <v>101</v>
      </c>
      <c r="D61" s="31">
        <v>9800</v>
      </c>
      <c r="E61" s="29">
        <v>181.99776</v>
      </c>
      <c r="F61" s="30">
        <v>0.58871627150233596</v>
      </c>
    </row>
    <row r="62" spans="1:6" x14ac:dyDescent="0.2">
      <c r="A62" s="27" t="s">
        <v>637</v>
      </c>
      <c r="B62" s="27" t="s">
        <v>636</v>
      </c>
      <c r="C62" s="27" t="s">
        <v>305</v>
      </c>
      <c r="D62" s="31">
        <v>2241</v>
      </c>
      <c r="E62" s="29">
        <v>163.83422400000001</v>
      </c>
      <c r="F62" s="30">
        <v>0.52996187149643204</v>
      </c>
    </row>
    <row r="63" spans="1:6" x14ac:dyDescent="0.2">
      <c r="A63" s="27" t="s">
        <v>639</v>
      </c>
      <c r="B63" s="27" t="s">
        <v>638</v>
      </c>
      <c r="C63" s="27" t="s">
        <v>159</v>
      </c>
      <c r="D63" s="31">
        <v>2265900</v>
      </c>
      <c r="E63" s="29">
        <v>161.15007739999999</v>
      </c>
      <c r="F63" s="30">
        <v>0.52127934277455301</v>
      </c>
    </row>
    <row r="64" spans="1:6" x14ac:dyDescent="0.2">
      <c r="A64" s="27" t="s">
        <v>641</v>
      </c>
      <c r="B64" s="27" t="s">
        <v>640</v>
      </c>
      <c r="C64" s="27" t="s">
        <v>620</v>
      </c>
      <c r="D64" s="31">
        <v>5000</v>
      </c>
      <c r="E64" s="29">
        <v>136.74332050000001</v>
      </c>
      <c r="F64" s="30">
        <v>0.44232971767129903</v>
      </c>
    </row>
    <row r="65" spans="1:9" x14ac:dyDescent="0.2">
      <c r="A65" s="27" t="s">
        <v>643</v>
      </c>
      <c r="B65" s="27" t="s">
        <v>642</v>
      </c>
      <c r="C65" s="27" t="s">
        <v>434</v>
      </c>
      <c r="D65" s="31">
        <v>253100</v>
      </c>
      <c r="E65" s="29">
        <v>134.10217739999999</v>
      </c>
      <c r="F65" s="30">
        <v>0.43378629428885701</v>
      </c>
    </row>
    <row r="66" spans="1:9" x14ac:dyDescent="0.2">
      <c r="A66" s="27" t="s">
        <v>645</v>
      </c>
      <c r="B66" s="27" t="s">
        <v>644</v>
      </c>
      <c r="C66" s="27" t="s">
        <v>434</v>
      </c>
      <c r="D66" s="31">
        <v>84000</v>
      </c>
      <c r="E66" s="29">
        <v>100.54784239999999</v>
      </c>
      <c r="F66" s="30">
        <v>0.32524659031700398</v>
      </c>
    </row>
    <row r="67" spans="1:9" x14ac:dyDescent="0.2">
      <c r="A67" s="27" t="s">
        <v>304</v>
      </c>
      <c r="B67" s="27" t="s">
        <v>303</v>
      </c>
      <c r="C67" s="27" t="s">
        <v>305</v>
      </c>
      <c r="D67" s="31">
        <v>46613</v>
      </c>
      <c r="E67" s="29">
        <v>82.206791699999997</v>
      </c>
      <c r="F67" s="30">
        <v>0.26591797559372798</v>
      </c>
    </row>
    <row r="68" spans="1:9" x14ac:dyDescent="0.2">
      <c r="A68" s="27" t="s">
        <v>647</v>
      </c>
      <c r="B68" s="27" t="s">
        <v>646</v>
      </c>
      <c r="C68" s="27" t="s">
        <v>138</v>
      </c>
      <c r="D68" s="31">
        <v>13280</v>
      </c>
      <c r="E68" s="29">
        <v>76.5116412</v>
      </c>
      <c r="F68" s="30">
        <v>0.24749561826359001</v>
      </c>
    </row>
    <row r="69" spans="1:9" x14ac:dyDescent="0.2">
      <c r="A69" s="27" t="s">
        <v>649</v>
      </c>
      <c r="B69" s="27" t="s">
        <v>648</v>
      </c>
      <c r="C69" s="27" t="s">
        <v>231</v>
      </c>
      <c r="D69" s="31">
        <v>646</v>
      </c>
      <c r="E69" s="29">
        <v>2.4755253000000002</v>
      </c>
      <c r="F69" s="30">
        <v>8.0076920981099007E-3</v>
      </c>
    </row>
    <row r="70" spans="1:9" x14ac:dyDescent="0.2">
      <c r="A70" s="27" t="s">
        <v>651</v>
      </c>
      <c r="B70" s="27" t="s">
        <v>650</v>
      </c>
      <c r="C70" s="27" t="s">
        <v>629</v>
      </c>
      <c r="D70" s="31">
        <v>8388</v>
      </c>
      <c r="E70" s="29">
        <v>2.0132241</v>
      </c>
      <c r="F70" s="30">
        <v>6.5122657875055501E-3</v>
      </c>
    </row>
    <row r="71" spans="1:9" x14ac:dyDescent="0.2">
      <c r="A71" s="27" t="s">
        <v>652</v>
      </c>
      <c r="B71" s="27" t="s">
        <v>1195</v>
      </c>
      <c r="C71" s="27" t="s">
        <v>629</v>
      </c>
      <c r="D71" s="31">
        <v>7501</v>
      </c>
      <c r="E71" s="29">
        <v>0.89167439999999998</v>
      </c>
      <c r="F71" s="30">
        <v>2.88433895099633E-3</v>
      </c>
    </row>
    <row r="72" spans="1:9" x14ac:dyDescent="0.2">
      <c r="A72" s="27" t="s">
        <v>653</v>
      </c>
      <c r="B72" s="27" t="s">
        <v>1194</v>
      </c>
      <c r="C72" s="27" t="s">
        <v>629</v>
      </c>
      <c r="D72" s="31">
        <v>6798</v>
      </c>
      <c r="E72" s="29">
        <v>0.67419119999999999</v>
      </c>
      <c r="F72" s="30">
        <v>2.1808363440499801E-3</v>
      </c>
    </row>
    <row r="73" spans="1:9" x14ac:dyDescent="0.2">
      <c r="A73" s="27" t="s">
        <v>655</v>
      </c>
      <c r="B73" s="27" t="s">
        <v>654</v>
      </c>
      <c r="C73" s="27" t="s">
        <v>629</v>
      </c>
      <c r="D73" s="31">
        <v>8195</v>
      </c>
      <c r="E73" s="29">
        <v>5.3811499999999998E-2</v>
      </c>
      <c r="F73" s="30">
        <v>1.7406645908140799E-4</v>
      </c>
    </row>
    <row r="74" spans="1:9" x14ac:dyDescent="0.2">
      <c r="A74" s="26" t="s">
        <v>34</v>
      </c>
      <c r="B74" s="26"/>
      <c r="C74" s="26"/>
      <c r="D74" s="32"/>
      <c r="E74" s="33">
        <f>SUM(E24:E73)</f>
        <v>23884.375232000006</v>
      </c>
      <c r="F74" s="34">
        <f>SUM(F24:F73)</f>
        <v>77.259853823177679</v>
      </c>
      <c r="G74" s="18"/>
      <c r="H74" s="18"/>
      <c r="I74" s="18"/>
    </row>
    <row r="75" spans="1:9" x14ac:dyDescent="0.2">
      <c r="A75" s="27"/>
      <c r="B75" s="27"/>
      <c r="C75" s="27"/>
      <c r="D75" s="28"/>
      <c r="E75" s="29"/>
      <c r="F75" s="30"/>
    </row>
    <row r="76" spans="1:9" x14ac:dyDescent="0.2">
      <c r="A76" s="26" t="s">
        <v>36</v>
      </c>
      <c r="B76" s="26"/>
      <c r="C76" s="26"/>
      <c r="D76" s="32"/>
      <c r="E76" s="33">
        <f>E22+E74</f>
        <v>29149.849724500007</v>
      </c>
      <c r="F76" s="34">
        <f>F22+F74</f>
        <v>94.292319007997833</v>
      </c>
      <c r="G76" s="18"/>
      <c r="H76" s="18"/>
      <c r="I76" s="18"/>
    </row>
    <row r="77" spans="1:9" x14ac:dyDescent="0.2">
      <c r="A77" s="26"/>
      <c r="B77" s="26"/>
      <c r="C77" s="26"/>
      <c r="D77" s="32"/>
      <c r="E77" s="33"/>
      <c r="F77" s="34"/>
      <c r="G77" s="18"/>
      <c r="H77" s="18"/>
      <c r="I77" s="18"/>
    </row>
    <row r="78" spans="1:9" x14ac:dyDescent="0.2">
      <c r="A78" s="26" t="s">
        <v>38</v>
      </c>
      <c r="B78" s="26"/>
      <c r="C78" s="26"/>
      <c r="D78" s="32"/>
      <c r="E78" s="33">
        <f>E80-(E22+E74)</f>
        <v>1764.4920067999919</v>
      </c>
      <c r="F78" s="34">
        <f>F80-(F22+F74)</f>
        <v>5.7076809920021674</v>
      </c>
      <c r="G78" s="18"/>
      <c r="H78" s="18"/>
      <c r="I78" s="18"/>
    </row>
    <row r="79" spans="1:9" x14ac:dyDescent="0.2">
      <c r="A79" s="26"/>
      <c r="B79" s="26"/>
      <c r="C79" s="26"/>
      <c r="D79" s="32"/>
      <c r="E79" s="33"/>
      <c r="F79" s="34"/>
      <c r="G79" s="18"/>
      <c r="H79" s="18"/>
      <c r="I79" s="18"/>
    </row>
    <row r="80" spans="1:9" x14ac:dyDescent="0.2">
      <c r="A80" s="35" t="s">
        <v>37</v>
      </c>
      <c r="B80" s="35"/>
      <c r="C80" s="35"/>
      <c r="D80" s="36"/>
      <c r="E80" s="37">
        <v>30914.341731299999</v>
      </c>
      <c r="F80" s="38">
        <v>100</v>
      </c>
      <c r="G80" s="18"/>
      <c r="H80" s="18"/>
      <c r="I80" s="18"/>
    </row>
    <row r="81" spans="1:6" x14ac:dyDescent="0.2">
      <c r="F81" s="20" t="s">
        <v>513</v>
      </c>
    </row>
    <row r="83" spans="1:6" x14ac:dyDescent="0.2">
      <c r="A83" s="18" t="s">
        <v>40</v>
      </c>
    </row>
    <row r="84" spans="1:6" x14ac:dyDescent="0.2">
      <c r="A84" s="18" t="s">
        <v>41</v>
      </c>
    </row>
    <row r="85" spans="1:6" x14ac:dyDescent="0.2">
      <c r="A85" s="18" t="s">
        <v>42</v>
      </c>
      <c r="B85" s="18"/>
      <c r="C85" s="39" t="s">
        <v>44</v>
      </c>
      <c r="D85" s="19" t="s">
        <v>43</v>
      </c>
    </row>
    <row r="86" spans="1:6" x14ac:dyDescent="0.2">
      <c r="A86" s="9" t="s">
        <v>71</v>
      </c>
      <c r="C86" s="40">
        <v>32.915599999999998</v>
      </c>
      <c r="D86" s="40">
        <v>30.1204</v>
      </c>
    </row>
    <row r="87" spans="1:6" x14ac:dyDescent="0.2">
      <c r="A87" s="9" t="s">
        <v>77</v>
      </c>
      <c r="C87" s="40">
        <v>17.3169</v>
      </c>
      <c r="D87" s="40">
        <v>15.846399999999999</v>
      </c>
    </row>
    <row r="88" spans="1:6" x14ac:dyDescent="0.2">
      <c r="A88" s="9" t="s">
        <v>74</v>
      </c>
      <c r="C88" s="40">
        <v>34.650599999999997</v>
      </c>
      <c r="D88" s="40">
        <v>31.821400000000001</v>
      </c>
    </row>
    <row r="89" spans="1:6" x14ac:dyDescent="0.2">
      <c r="A89" s="9" t="s">
        <v>78</v>
      </c>
      <c r="C89" s="40">
        <v>18.4099</v>
      </c>
      <c r="D89" s="40">
        <v>16.9055</v>
      </c>
    </row>
    <row r="91" spans="1:6" x14ac:dyDescent="0.2">
      <c r="A91" s="9" t="s">
        <v>45</v>
      </c>
    </row>
    <row r="93" spans="1:6" x14ac:dyDescent="0.2">
      <c r="A93" s="18" t="s">
        <v>46</v>
      </c>
      <c r="D93" s="41" t="s">
        <v>47</v>
      </c>
    </row>
    <row r="95" spans="1:6" x14ac:dyDescent="0.2">
      <c r="A95" s="18" t="s">
        <v>220</v>
      </c>
      <c r="D95" s="45">
        <v>7.6999999999999999E-2</v>
      </c>
    </row>
    <row r="97" spans="1:1" x14ac:dyDescent="0.2">
      <c r="A97" s="18" t="s">
        <v>97</v>
      </c>
    </row>
    <row r="98" spans="1:1" x14ac:dyDescent="0.2">
      <c r="A98" s="46" t="s">
        <v>51</v>
      </c>
    </row>
  </sheetData>
  <mergeCells count="1">
    <mergeCell ref="A1:F1"/>
  </mergeCells>
  <conditionalFormatting sqref="F2:F3 F5:F65536">
    <cfRule type="cellIs" dxfId="13" priority="1" stopIfTrue="1" operator="between">
      <formula>0.009</formula>
      <formula>-0.009</formula>
    </cfRule>
  </conditionalFormatting>
  <hyperlinks>
    <hyperlink ref="A98" r:id="rId1" tooltip="https://www.franklintempletonindia.com/downloadsServlet/pdf/product-labels-jg9o5k7l" xr:uid="{00000000-0004-0000-2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82"/>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0" style="9" bestFit="1" customWidth="1"/>
    <col min="4" max="4" width="15.5546875" style="10" bestFit="1" customWidth="1"/>
    <col min="5" max="5" width="23" style="13" bestFit="1" customWidth="1"/>
    <col min="6" max="6" width="14.6640625" style="14" bestFit="1" customWidth="1"/>
    <col min="7" max="16384" width="9.109375" style="9"/>
  </cols>
  <sheetData>
    <row r="1" spans="1:6" s="1" customFormat="1" ht="13.8" x14ac:dyDescent="0.2">
      <c r="A1" s="69" t="s">
        <v>21</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657</v>
      </c>
      <c r="B7" s="27" t="s">
        <v>656</v>
      </c>
      <c r="C7" s="27" t="s">
        <v>133</v>
      </c>
      <c r="D7" s="31">
        <v>199567</v>
      </c>
      <c r="E7" s="29">
        <v>4506.5222110000004</v>
      </c>
      <c r="F7" s="30">
        <v>9.8246092640083393</v>
      </c>
    </row>
    <row r="8" spans="1:6" x14ac:dyDescent="0.2">
      <c r="A8" s="27" t="s">
        <v>103</v>
      </c>
      <c r="B8" s="27" t="s">
        <v>102</v>
      </c>
      <c r="C8" s="27" t="s">
        <v>104</v>
      </c>
      <c r="D8" s="31">
        <v>268691</v>
      </c>
      <c r="E8" s="29">
        <v>4249.0794740000001</v>
      </c>
      <c r="F8" s="30">
        <v>9.2633617697192605</v>
      </c>
    </row>
    <row r="9" spans="1:6" x14ac:dyDescent="0.2">
      <c r="A9" s="27" t="s">
        <v>100</v>
      </c>
      <c r="B9" s="27" t="s">
        <v>99</v>
      </c>
      <c r="C9" s="27" t="s">
        <v>101</v>
      </c>
      <c r="D9" s="31">
        <v>228126</v>
      </c>
      <c r="E9" s="29">
        <v>3892.856127</v>
      </c>
      <c r="F9" s="30">
        <v>8.4867639785334799</v>
      </c>
    </row>
    <row r="10" spans="1:6" x14ac:dyDescent="0.2">
      <c r="A10" s="27" t="s">
        <v>186</v>
      </c>
      <c r="B10" s="27" t="s">
        <v>185</v>
      </c>
      <c r="C10" s="27" t="s">
        <v>187</v>
      </c>
      <c r="D10" s="31">
        <v>111171</v>
      </c>
      <c r="E10" s="29">
        <v>3111.1204349999998</v>
      </c>
      <c r="F10" s="30">
        <v>6.7825123711892603</v>
      </c>
    </row>
    <row r="11" spans="1:6" x14ac:dyDescent="0.2">
      <c r="A11" s="27" t="s">
        <v>108</v>
      </c>
      <c r="B11" s="27" t="s">
        <v>107</v>
      </c>
      <c r="C11" s="27" t="s">
        <v>104</v>
      </c>
      <c r="D11" s="31">
        <v>426099</v>
      </c>
      <c r="E11" s="29">
        <v>3063.8648600000001</v>
      </c>
      <c r="F11" s="30">
        <v>6.6794911192828996</v>
      </c>
    </row>
    <row r="12" spans="1:6" x14ac:dyDescent="0.2">
      <c r="A12" s="27" t="s">
        <v>130</v>
      </c>
      <c r="B12" s="27" t="s">
        <v>129</v>
      </c>
      <c r="C12" s="27" t="s">
        <v>101</v>
      </c>
      <c r="D12" s="31">
        <v>63891</v>
      </c>
      <c r="E12" s="29">
        <v>2419.2007699999999</v>
      </c>
      <c r="F12" s="30">
        <v>5.2740674923166599</v>
      </c>
    </row>
    <row r="13" spans="1:6" x14ac:dyDescent="0.2">
      <c r="A13" s="27" t="s">
        <v>122</v>
      </c>
      <c r="B13" s="27" t="s">
        <v>121</v>
      </c>
      <c r="C13" s="27" t="s">
        <v>104</v>
      </c>
      <c r="D13" s="31">
        <v>90908</v>
      </c>
      <c r="E13" s="29">
        <v>1594.253596</v>
      </c>
      <c r="F13" s="30">
        <v>3.47561110654431</v>
      </c>
    </row>
    <row r="14" spans="1:6" x14ac:dyDescent="0.2">
      <c r="A14" s="27" t="s">
        <v>142</v>
      </c>
      <c r="B14" s="27" t="s">
        <v>141</v>
      </c>
      <c r="C14" s="27" t="s">
        <v>125</v>
      </c>
      <c r="D14" s="31">
        <v>54875</v>
      </c>
      <c r="E14" s="29">
        <v>1494.8498750000001</v>
      </c>
      <c r="F14" s="30">
        <v>3.2589023736261198</v>
      </c>
    </row>
    <row r="15" spans="1:6" x14ac:dyDescent="0.2">
      <c r="A15" s="27" t="s">
        <v>191</v>
      </c>
      <c r="B15" s="27" t="s">
        <v>190</v>
      </c>
      <c r="C15" s="27" t="s">
        <v>192</v>
      </c>
      <c r="D15" s="31">
        <v>74721</v>
      </c>
      <c r="E15" s="29">
        <v>1249.4845620000001</v>
      </c>
      <c r="F15" s="30">
        <v>2.7239847111142099</v>
      </c>
    </row>
    <row r="16" spans="1:6" x14ac:dyDescent="0.2">
      <c r="A16" s="27" t="s">
        <v>659</v>
      </c>
      <c r="B16" s="27" t="s">
        <v>658</v>
      </c>
      <c r="C16" s="27" t="s">
        <v>187</v>
      </c>
      <c r="D16" s="31">
        <v>16270</v>
      </c>
      <c r="E16" s="29">
        <v>1224.23615</v>
      </c>
      <c r="F16" s="30">
        <v>2.6689409831966602</v>
      </c>
    </row>
    <row r="17" spans="1:6" x14ac:dyDescent="0.2">
      <c r="A17" s="27" t="s">
        <v>106</v>
      </c>
      <c r="B17" s="27" t="s">
        <v>105</v>
      </c>
      <c r="C17" s="27" t="s">
        <v>104</v>
      </c>
      <c r="D17" s="31">
        <v>152825</v>
      </c>
      <c r="E17" s="29">
        <v>1201.968625</v>
      </c>
      <c r="F17" s="30">
        <v>2.6203958474670399</v>
      </c>
    </row>
    <row r="18" spans="1:6" x14ac:dyDescent="0.2">
      <c r="A18" s="27" t="s">
        <v>245</v>
      </c>
      <c r="B18" s="27" t="s">
        <v>244</v>
      </c>
      <c r="C18" s="27" t="s">
        <v>125</v>
      </c>
      <c r="D18" s="31">
        <v>534697</v>
      </c>
      <c r="E18" s="29">
        <v>1129.8147610000001</v>
      </c>
      <c r="F18" s="30">
        <v>2.4630941661487702</v>
      </c>
    </row>
    <row r="19" spans="1:6" x14ac:dyDescent="0.2">
      <c r="A19" s="27" t="s">
        <v>140</v>
      </c>
      <c r="B19" s="27" t="s">
        <v>139</v>
      </c>
      <c r="C19" s="27" t="s">
        <v>104</v>
      </c>
      <c r="D19" s="31">
        <v>225148</v>
      </c>
      <c r="E19" s="29">
        <v>959.24305400000003</v>
      </c>
      <c r="F19" s="30">
        <v>2.0912330514560602</v>
      </c>
    </row>
    <row r="20" spans="1:6" x14ac:dyDescent="0.2">
      <c r="A20" s="27" t="s">
        <v>110</v>
      </c>
      <c r="B20" s="27" t="s">
        <v>109</v>
      </c>
      <c r="C20" s="27" t="s">
        <v>111</v>
      </c>
      <c r="D20" s="31">
        <v>143659</v>
      </c>
      <c r="E20" s="29">
        <v>953.96758950000003</v>
      </c>
      <c r="F20" s="30">
        <v>2.0797320813128</v>
      </c>
    </row>
    <row r="21" spans="1:6" x14ac:dyDescent="0.2">
      <c r="A21" s="27" t="s">
        <v>515</v>
      </c>
      <c r="B21" s="27" t="s">
        <v>514</v>
      </c>
      <c r="C21" s="27" t="s">
        <v>125</v>
      </c>
      <c r="D21" s="31">
        <v>27721</v>
      </c>
      <c r="E21" s="29">
        <v>887.44623349999995</v>
      </c>
      <c r="F21" s="30">
        <v>1.9347097559336599</v>
      </c>
    </row>
    <row r="22" spans="1:6" x14ac:dyDescent="0.2">
      <c r="A22" s="27" t="s">
        <v>238</v>
      </c>
      <c r="B22" s="27" t="s">
        <v>237</v>
      </c>
      <c r="C22" s="27" t="s">
        <v>101</v>
      </c>
      <c r="D22" s="31">
        <v>67140</v>
      </c>
      <c r="E22" s="29">
        <v>793.79621999999995</v>
      </c>
      <c r="F22" s="30">
        <v>1.73054460437603</v>
      </c>
    </row>
    <row r="23" spans="1:6" x14ac:dyDescent="0.2">
      <c r="A23" s="27" t="s">
        <v>661</v>
      </c>
      <c r="B23" s="27" t="s">
        <v>660</v>
      </c>
      <c r="C23" s="27" t="s">
        <v>662</v>
      </c>
      <c r="D23" s="31">
        <v>46210</v>
      </c>
      <c r="E23" s="29">
        <v>670.16052500000001</v>
      </c>
      <c r="F23" s="30">
        <v>1.46100806653446</v>
      </c>
    </row>
    <row r="24" spans="1:6" x14ac:dyDescent="0.2">
      <c r="A24" s="27" t="s">
        <v>664</v>
      </c>
      <c r="B24" s="27" t="s">
        <v>663</v>
      </c>
      <c r="C24" s="27" t="s">
        <v>531</v>
      </c>
      <c r="D24" s="31">
        <v>3706</v>
      </c>
      <c r="E24" s="29">
        <v>635.53267500000004</v>
      </c>
      <c r="F24" s="30">
        <v>1.38551635031207</v>
      </c>
    </row>
    <row r="25" spans="1:6" x14ac:dyDescent="0.2">
      <c r="A25" s="27" t="s">
        <v>666</v>
      </c>
      <c r="B25" s="27" t="s">
        <v>665</v>
      </c>
      <c r="C25" s="27" t="s">
        <v>101</v>
      </c>
      <c r="D25" s="31">
        <v>87723</v>
      </c>
      <c r="E25" s="29">
        <v>562.26056849999998</v>
      </c>
      <c r="F25" s="30">
        <v>1.2257768033602801</v>
      </c>
    </row>
    <row r="26" spans="1:6" x14ac:dyDescent="0.2">
      <c r="A26" s="27" t="s">
        <v>189</v>
      </c>
      <c r="B26" s="27" t="s">
        <v>188</v>
      </c>
      <c r="C26" s="27" t="s">
        <v>152</v>
      </c>
      <c r="D26" s="31">
        <v>8181</v>
      </c>
      <c r="E26" s="29">
        <v>560.07944099999997</v>
      </c>
      <c r="F26" s="30">
        <v>1.22102175624431</v>
      </c>
    </row>
    <row r="27" spans="1:6" x14ac:dyDescent="0.2">
      <c r="A27" s="27" t="s">
        <v>555</v>
      </c>
      <c r="B27" s="27" t="s">
        <v>554</v>
      </c>
      <c r="C27" s="27" t="s">
        <v>174</v>
      </c>
      <c r="D27" s="31">
        <v>6984</v>
      </c>
      <c r="E27" s="29">
        <v>547.01830800000005</v>
      </c>
      <c r="F27" s="30">
        <v>1.1925473535315001</v>
      </c>
    </row>
    <row r="28" spans="1:6" x14ac:dyDescent="0.2">
      <c r="A28" s="27" t="s">
        <v>196</v>
      </c>
      <c r="B28" s="27" t="s">
        <v>195</v>
      </c>
      <c r="C28" s="27" t="s">
        <v>101</v>
      </c>
      <c r="D28" s="31">
        <v>37572</v>
      </c>
      <c r="E28" s="29">
        <v>543.91105800000003</v>
      </c>
      <c r="F28" s="30">
        <v>1.1857732790442901</v>
      </c>
    </row>
    <row r="29" spans="1:6" x14ac:dyDescent="0.2">
      <c r="A29" s="27" t="s">
        <v>541</v>
      </c>
      <c r="B29" s="27" t="s">
        <v>540</v>
      </c>
      <c r="C29" s="27" t="s">
        <v>138</v>
      </c>
      <c r="D29" s="31">
        <v>66051</v>
      </c>
      <c r="E29" s="29">
        <v>524.47796549999998</v>
      </c>
      <c r="F29" s="30">
        <v>1.1434074519908199</v>
      </c>
    </row>
    <row r="30" spans="1:6" x14ac:dyDescent="0.2">
      <c r="A30" s="27" t="s">
        <v>226</v>
      </c>
      <c r="B30" s="27" t="s">
        <v>225</v>
      </c>
      <c r="C30" s="27" t="s">
        <v>120</v>
      </c>
      <c r="D30" s="31">
        <v>25602</v>
      </c>
      <c r="E30" s="29">
        <v>491.96803199999999</v>
      </c>
      <c r="F30" s="30">
        <v>1.0725329774222101</v>
      </c>
    </row>
    <row r="31" spans="1:6" x14ac:dyDescent="0.2">
      <c r="A31" s="27" t="s">
        <v>151</v>
      </c>
      <c r="B31" s="27" t="s">
        <v>150</v>
      </c>
      <c r="C31" s="27" t="s">
        <v>152</v>
      </c>
      <c r="D31" s="31">
        <v>58902</v>
      </c>
      <c r="E31" s="29">
        <v>467.269566</v>
      </c>
      <c r="F31" s="30">
        <v>1.0186881794806599</v>
      </c>
    </row>
    <row r="32" spans="1:6" x14ac:dyDescent="0.2">
      <c r="A32" s="27" t="s">
        <v>215</v>
      </c>
      <c r="B32" s="27" t="s">
        <v>214</v>
      </c>
      <c r="C32" s="27" t="s">
        <v>125</v>
      </c>
      <c r="D32" s="31">
        <v>2189</v>
      </c>
      <c r="E32" s="29">
        <v>426.14904749999999</v>
      </c>
      <c r="F32" s="30">
        <v>0.92904188282870803</v>
      </c>
    </row>
    <row r="33" spans="1:6" x14ac:dyDescent="0.2">
      <c r="A33" s="27" t="s">
        <v>668</v>
      </c>
      <c r="B33" s="27" t="s">
        <v>667</v>
      </c>
      <c r="C33" s="27" t="s">
        <v>662</v>
      </c>
      <c r="D33" s="31">
        <v>58927</v>
      </c>
      <c r="E33" s="29">
        <v>405.182052</v>
      </c>
      <c r="F33" s="30">
        <v>0.88333201420209495</v>
      </c>
    </row>
    <row r="34" spans="1:6" x14ac:dyDescent="0.2">
      <c r="A34" s="27" t="s">
        <v>116</v>
      </c>
      <c r="B34" s="27" t="s">
        <v>115</v>
      </c>
      <c r="C34" s="27" t="s">
        <v>117</v>
      </c>
      <c r="D34" s="31">
        <v>85899</v>
      </c>
      <c r="E34" s="29">
        <v>402.265017</v>
      </c>
      <c r="F34" s="30">
        <v>0.87697262491195005</v>
      </c>
    </row>
    <row r="35" spans="1:6" x14ac:dyDescent="0.2">
      <c r="A35" s="27" t="s">
        <v>670</v>
      </c>
      <c r="B35" s="27" t="s">
        <v>669</v>
      </c>
      <c r="C35" s="27" t="s">
        <v>138</v>
      </c>
      <c r="D35" s="31">
        <v>7753</v>
      </c>
      <c r="E35" s="29">
        <v>401.10920800000002</v>
      </c>
      <c r="F35" s="30">
        <v>0.87445286105033904</v>
      </c>
    </row>
    <row r="36" spans="1:6" x14ac:dyDescent="0.2">
      <c r="A36" s="27" t="s">
        <v>144</v>
      </c>
      <c r="B36" s="27" t="s">
        <v>143</v>
      </c>
      <c r="C36" s="27" t="s">
        <v>145</v>
      </c>
      <c r="D36" s="31">
        <v>208086</v>
      </c>
      <c r="E36" s="29">
        <v>364.87880100000001</v>
      </c>
      <c r="F36" s="30">
        <v>0.795467431580547</v>
      </c>
    </row>
    <row r="37" spans="1:6" x14ac:dyDescent="0.2">
      <c r="A37" s="27" t="s">
        <v>672</v>
      </c>
      <c r="B37" s="27" t="s">
        <v>671</v>
      </c>
      <c r="C37" s="27" t="s">
        <v>531</v>
      </c>
      <c r="D37" s="31">
        <v>50586</v>
      </c>
      <c r="E37" s="29">
        <v>363.08101499999998</v>
      </c>
      <c r="F37" s="30">
        <v>0.79154810218121696</v>
      </c>
    </row>
    <row r="38" spans="1:6" x14ac:dyDescent="0.2">
      <c r="A38" s="27" t="s">
        <v>137</v>
      </c>
      <c r="B38" s="27" t="s">
        <v>136</v>
      </c>
      <c r="C38" s="27" t="s">
        <v>138</v>
      </c>
      <c r="D38" s="31">
        <v>7465</v>
      </c>
      <c r="E38" s="29">
        <v>351.1573325</v>
      </c>
      <c r="F38" s="30">
        <v>0.76555344020781002</v>
      </c>
    </row>
    <row r="39" spans="1:6" x14ac:dyDescent="0.2">
      <c r="A39" s="27" t="s">
        <v>173</v>
      </c>
      <c r="B39" s="27" t="s">
        <v>172</v>
      </c>
      <c r="C39" s="27" t="s">
        <v>174</v>
      </c>
      <c r="D39" s="31">
        <v>23263</v>
      </c>
      <c r="E39" s="29">
        <v>349.03805199999999</v>
      </c>
      <c r="F39" s="30">
        <v>0.76093322491573701</v>
      </c>
    </row>
    <row r="40" spans="1:6" x14ac:dyDescent="0.2">
      <c r="A40" s="27" t="s">
        <v>551</v>
      </c>
      <c r="B40" s="27" t="s">
        <v>550</v>
      </c>
      <c r="C40" s="27" t="s">
        <v>104</v>
      </c>
      <c r="D40" s="31">
        <v>34804</v>
      </c>
      <c r="E40" s="29">
        <v>345.39489600000002</v>
      </c>
      <c r="F40" s="30">
        <v>0.75299082887018698</v>
      </c>
    </row>
    <row r="41" spans="1:6" x14ac:dyDescent="0.2">
      <c r="A41" s="27" t="s">
        <v>674</v>
      </c>
      <c r="B41" s="27" t="s">
        <v>673</v>
      </c>
      <c r="C41" s="27" t="s">
        <v>310</v>
      </c>
      <c r="D41" s="31">
        <v>45543</v>
      </c>
      <c r="E41" s="29">
        <v>340.798269</v>
      </c>
      <c r="F41" s="30">
        <v>0.74296978335150299</v>
      </c>
    </row>
    <row r="42" spans="1:6" x14ac:dyDescent="0.2">
      <c r="A42" s="27" t="s">
        <v>147</v>
      </c>
      <c r="B42" s="27" t="s">
        <v>146</v>
      </c>
      <c r="C42" s="27" t="s">
        <v>145</v>
      </c>
      <c r="D42" s="31">
        <v>284678</v>
      </c>
      <c r="E42" s="29">
        <v>330.08414099999999</v>
      </c>
      <c r="F42" s="30">
        <v>0.71961205509097503</v>
      </c>
    </row>
    <row r="43" spans="1:6" x14ac:dyDescent="0.2">
      <c r="A43" s="27" t="s">
        <v>165</v>
      </c>
      <c r="B43" s="27" t="s">
        <v>164</v>
      </c>
      <c r="C43" s="27" t="s">
        <v>152</v>
      </c>
      <c r="D43" s="31">
        <v>108853</v>
      </c>
      <c r="E43" s="29">
        <v>312.734669</v>
      </c>
      <c r="F43" s="30">
        <v>0.681788701436843</v>
      </c>
    </row>
    <row r="44" spans="1:6" x14ac:dyDescent="0.2">
      <c r="A44" s="27" t="s">
        <v>524</v>
      </c>
      <c r="B44" s="27" t="s">
        <v>523</v>
      </c>
      <c r="C44" s="27" t="s">
        <v>138</v>
      </c>
      <c r="D44" s="31">
        <v>30814</v>
      </c>
      <c r="E44" s="29">
        <v>292.055092</v>
      </c>
      <c r="F44" s="30">
        <v>0.63670543006761404</v>
      </c>
    </row>
    <row r="45" spans="1:6" x14ac:dyDescent="0.2">
      <c r="A45" s="27" t="s">
        <v>156</v>
      </c>
      <c r="B45" s="27" t="s">
        <v>155</v>
      </c>
      <c r="C45" s="27" t="s">
        <v>152</v>
      </c>
      <c r="D45" s="31">
        <v>7834</v>
      </c>
      <c r="E45" s="29">
        <v>292.03976899999998</v>
      </c>
      <c r="F45" s="30">
        <v>0.636672024598673</v>
      </c>
    </row>
    <row r="46" spans="1:6" x14ac:dyDescent="0.2">
      <c r="A46" s="27" t="s">
        <v>281</v>
      </c>
      <c r="B46" s="27" t="s">
        <v>280</v>
      </c>
      <c r="C46" s="27" t="s">
        <v>125</v>
      </c>
      <c r="D46" s="31">
        <v>33313</v>
      </c>
      <c r="E46" s="29">
        <v>288.14079349999997</v>
      </c>
      <c r="F46" s="30">
        <v>0.62817191985627496</v>
      </c>
    </row>
    <row r="47" spans="1:6" x14ac:dyDescent="0.2">
      <c r="A47" s="27" t="s">
        <v>676</v>
      </c>
      <c r="B47" s="27" t="s">
        <v>675</v>
      </c>
      <c r="C47" s="27" t="s">
        <v>125</v>
      </c>
      <c r="D47" s="31">
        <v>7175</v>
      </c>
      <c r="E47" s="29">
        <v>286.82062500000001</v>
      </c>
      <c r="F47" s="30">
        <v>0.62529383803000704</v>
      </c>
    </row>
    <row r="48" spans="1:6" x14ac:dyDescent="0.2">
      <c r="A48" s="27" t="s">
        <v>530</v>
      </c>
      <c r="B48" s="27" t="s">
        <v>529</v>
      </c>
      <c r="C48" s="27" t="s">
        <v>531</v>
      </c>
      <c r="D48" s="31">
        <v>23408</v>
      </c>
      <c r="E48" s="29">
        <v>279.03506399999998</v>
      </c>
      <c r="F48" s="30">
        <v>0.60832063981977802</v>
      </c>
    </row>
    <row r="49" spans="1:9" x14ac:dyDescent="0.2">
      <c r="A49" s="27" t="s">
        <v>292</v>
      </c>
      <c r="B49" s="27" t="s">
        <v>291</v>
      </c>
      <c r="C49" s="27" t="s">
        <v>293</v>
      </c>
      <c r="D49" s="31">
        <v>210784</v>
      </c>
      <c r="E49" s="29">
        <v>254.100112</v>
      </c>
      <c r="F49" s="30">
        <v>0.55396028188814705</v>
      </c>
    </row>
    <row r="50" spans="1:9" x14ac:dyDescent="0.2">
      <c r="A50" s="27" t="s">
        <v>678</v>
      </c>
      <c r="B50" s="27" t="s">
        <v>677</v>
      </c>
      <c r="C50" s="27" t="s">
        <v>496</v>
      </c>
      <c r="D50" s="31">
        <v>32142</v>
      </c>
      <c r="E50" s="29">
        <v>238.25257500000001</v>
      </c>
      <c r="F50" s="30">
        <v>0.51941127679462396</v>
      </c>
    </row>
    <row r="51" spans="1:9" x14ac:dyDescent="0.2">
      <c r="A51" s="27" t="s">
        <v>680</v>
      </c>
      <c r="B51" s="27" t="s">
        <v>679</v>
      </c>
      <c r="C51" s="27" t="s">
        <v>152</v>
      </c>
      <c r="D51" s="31">
        <v>8296</v>
      </c>
      <c r="E51" s="29">
        <v>222.27058</v>
      </c>
      <c r="F51" s="30">
        <v>0.484569141599757</v>
      </c>
    </row>
    <row r="52" spans="1:9" x14ac:dyDescent="0.2">
      <c r="A52" s="27" t="s">
        <v>154</v>
      </c>
      <c r="B52" s="27" t="s">
        <v>153</v>
      </c>
      <c r="C52" s="27" t="s">
        <v>133</v>
      </c>
      <c r="D52" s="31">
        <v>47078</v>
      </c>
      <c r="E52" s="29">
        <v>222.043387</v>
      </c>
      <c r="F52" s="30">
        <v>0.484073841155643</v>
      </c>
    </row>
    <row r="53" spans="1:9" x14ac:dyDescent="0.2">
      <c r="A53" s="27" t="s">
        <v>682</v>
      </c>
      <c r="B53" s="27" t="s">
        <v>681</v>
      </c>
      <c r="C53" s="27" t="s">
        <v>174</v>
      </c>
      <c r="D53" s="31">
        <v>781</v>
      </c>
      <c r="E53" s="29">
        <v>220.92849899999999</v>
      </c>
      <c r="F53" s="30">
        <v>0.48164328862305</v>
      </c>
    </row>
    <row r="54" spans="1:9" x14ac:dyDescent="0.2">
      <c r="A54" s="27" t="s">
        <v>684</v>
      </c>
      <c r="B54" s="27" t="s">
        <v>683</v>
      </c>
      <c r="C54" s="27" t="s">
        <v>152</v>
      </c>
      <c r="D54" s="31">
        <v>7692</v>
      </c>
      <c r="E54" s="29">
        <v>210.90310199999999</v>
      </c>
      <c r="F54" s="30">
        <v>0.459787053675146</v>
      </c>
    </row>
    <row r="55" spans="1:9" x14ac:dyDescent="0.2">
      <c r="A55" s="27" t="s">
        <v>176</v>
      </c>
      <c r="B55" s="27" t="s">
        <v>175</v>
      </c>
      <c r="C55" s="27" t="s">
        <v>177</v>
      </c>
      <c r="D55" s="31">
        <v>123394</v>
      </c>
      <c r="E55" s="29">
        <v>179.97014899999999</v>
      </c>
      <c r="F55" s="30">
        <v>0.392350533365731</v>
      </c>
    </row>
    <row r="56" spans="1:9" x14ac:dyDescent="0.2">
      <c r="A56" s="27" t="s">
        <v>213</v>
      </c>
      <c r="B56" s="27" t="s">
        <v>212</v>
      </c>
      <c r="C56" s="27" t="s">
        <v>133</v>
      </c>
      <c r="D56" s="31">
        <v>146180</v>
      </c>
      <c r="E56" s="29">
        <v>162.04052999999999</v>
      </c>
      <c r="F56" s="30">
        <v>0.35326240893630501</v>
      </c>
    </row>
    <row r="57" spans="1:9" x14ac:dyDescent="0.2">
      <c r="A57" s="27" t="s">
        <v>686</v>
      </c>
      <c r="B57" s="27" t="s">
        <v>685</v>
      </c>
      <c r="C57" s="27" t="s">
        <v>104</v>
      </c>
      <c r="D57" s="31">
        <v>92088</v>
      </c>
      <c r="E57" s="29">
        <v>9.2088000000000003E-5</v>
      </c>
      <c r="F57" s="30">
        <v>2.0075982665649401E-7</v>
      </c>
    </row>
    <row r="58" spans="1:9" x14ac:dyDescent="0.2">
      <c r="A58" s="26" t="s">
        <v>34</v>
      </c>
      <c r="B58" s="26"/>
      <c r="C58" s="26"/>
      <c r="D58" s="32"/>
      <c r="E58" s="33">
        <f>SUM(E7:E57)</f>
        <v>45274.855551588007</v>
      </c>
      <c r="F58" s="34">
        <f>SUM(F7:F57)</f>
        <v>98.70311172394463</v>
      </c>
      <c r="G58" s="18"/>
      <c r="H58" s="18"/>
      <c r="I58" s="18"/>
    </row>
    <row r="59" spans="1:9" x14ac:dyDescent="0.2">
      <c r="A59" s="27"/>
      <c r="B59" s="27"/>
      <c r="C59" s="27"/>
      <c r="D59" s="28"/>
      <c r="E59" s="29"/>
      <c r="F59" s="30"/>
    </row>
    <row r="60" spans="1:9" x14ac:dyDescent="0.2">
      <c r="A60" s="26" t="s">
        <v>36</v>
      </c>
      <c r="B60" s="26"/>
      <c r="C60" s="26"/>
      <c r="D60" s="32"/>
      <c r="E60" s="33">
        <f>E58</f>
        <v>45274.855551588007</v>
      </c>
      <c r="F60" s="34">
        <f>F58</f>
        <v>98.70311172394463</v>
      </c>
      <c r="G60" s="18"/>
      <c r="H60" s="18"/>
      <c r="I60" s="18"/>
    </row>
    <row r="61" spans="1:9" x14ac:dyDescent="0.2">
      <c r="A61" s="26"/>
      <c r="B61" s="26"/>
      <c r="C61" s="26"/>
      <c r="D61" s="32"/>
      <c r="E61" s="33"/>
      <c r="F61" s="34"/>
      <c r="G61" s="18"/>
      <c r="H61" s="18"/>
      <c r="I61" s="18"/>
    </row>
    <row r="62" spans="1:9" x14ac:dyDescent="0.2">
      <c r="A62" s="26" t="s">
        <v>38</v>
      </c>
      <c r="B62" s="26"/>
      <c r="C62" s="26"/>
      <c r="D62" s="32"/>
      <c r="E62" s="33">
        <f>E64-(E58)</f>
        <v>594.87921241199365</v>
      </c>
      <c r="F62" s="34">
        <f>F64-(F58)</f>
        <v>1.2968882760553697</v>
      </c>
      <c r="G62" s="18"/>
      <c r="H62" s="18"/>
      <c r="I62" s="18"/>
    </row>
    <row r="63" spans="1:9" x14ac:dyDescent="0.2">
      <c r="A63" s="26"/>
      <c r="B63" s="26"/>
      <c r="C63" s="26"/>
      <c r="D63" s="32"/>
      <c r="E63" s="33"/>
      <c r="F63" s="34"/>
      <c r="G63" s="18"/>
      <c r="H63" s="18"/>
      <c r="I63" s="18"/>
    </row>
    <row r="64" spans="1:9" x14ac:dyDescent="0.2">
      <c r="A64" s="35" t="s">
        <v>37</v>
      </c>
      <c r="B64" s="35"/>
      <c r="C64" s="35"/>
      <c r="D64" s="36"/>
      <c r="E64" s="37">
        <v>45869.734764000001</v>
      </c>
      <c r="F64" s="38">
        <v>100</v>
      </c>
      <c r="G64" s="18"/>
      <c r="H64" s="18"/>
      <c r="I64" s="18"/>
    </row>
    <row r="65" spans="1:6" x14ac:dyDescent="0.2">
      <c r="F65" s="20" t="s">
        <v>513</v>
      </c>
    </row>
    <row r="67" spans="1:6" x14ac:dyDescent="0.2">
      <c r="A67" s="18" t="s">
        <v>40</v>
      </c>
    </row>
    <row r="68" spans="1:6" x14ac:dyDescent="0.2">
      <c r="A68" s="18" t="s">
        <v>41</v>
      </c>
    </row>
    <row r="69" spans="1:6" x14ac:dyDescent="0.2">
      <c r="A69" s="18" t="s">
        <v>42</v>
      </c>
      <c r="B69" s="18"/>
      <c r="C69" s="39" t="s">
        <v>44</v>
      </c>
      <c r="D69" s="19" t="s">
        <v>43</v>
      </c>
    </row>
    <row r="70" spans="1:6" x14ac:dyDescent="0.2">
      <c r="A70" s="9" t="s">
        <v>71</v>
      </c>
      <c r="C70" s="40">
        <v>114.6533</v>
      </c>
      <c r="D70" s="40">
        <v>135.4402</v>
      </c>
    </row>
    <row r="71" spans="1:6" x14ac:dyDescent="0.2">
      <c r="A71" s="9" t="s">
        <v>77</v>
      </c>
      <c r="C71" s="40">
        <v>114.6533</v>
      </c>
      <c r="D71" s="40">
        <v>135.4402</v>
      </c>
    </row>
    <row r="72" spans="1:6" x14ac:dyDescent="0.2">
      <c r="A72" s="9" t="s">
        <v>74</v>
      </c>
      <c r="C72" s="40">
        <v>118.4248</v>
      </c>
      <c r="D72" s="40">
        <v>140.18709999999999</v>
      </c>
    </row>
    <row r="73" spans="1:6" x14ac:dyDescent="0.2">
      <c r="A73" s="9" t="s">
        <v>78</v>
      </c>
      <c r="C73" s="40">
        <v>118.4248</v>
      </c>
      <c r="D73" s="40">
        <v>140.18709999999999</v>
      </c>
    </row>
    <row r="75" spans="1:6" x14ac:dyDescent="0.2">
      <c r="A75" s="9" t="s">
        <v>45</v>
      </c>
    </row>
    <row r="77" spans="1:6" x14ac:dyDescent="0.2">
      <c r="A77" s="18" t="s">
        <v>46</v>
      </c>
      <c r="D77" s="41" t="s">
        <v>47</v>
      </c>
    </row>
    <row r="79" spans="1:6" x14ac:dyDescent="0.2">
      <c r="A79" s="18" t="s">
        <v>220</v>
      </c>
      <c r="D79" s="45">
        <v>6.4000000000000003E-3</v>
      </c>
    </row>
    <row r="81" spans="1:1" x14ac:dyDescent="0.2">
      <c r="A81" s="18" t="s">
        <v>97</v>
      </c>
    </row>
    <row r="82" spans="1:1" x14ac:dyDescent="0.2">
      <c r="A82" s="46" t="s">
        <v>51</v>
      </c>
    </row>
  </sheetData>
  <mergeCells count="1">
    <mergeCell ref="A1:F1"/>
  </mergeCells>
  <conditionalFormatting sqref="F2:F3 F5:F65536">
    <cfRule type="cellIs" dxfId="12" priority="1" stopIfTrue="1" operator="between">
      <formula>0.009</formula>
      <formula>-0.009</formula>
    </cfRule>
  </conditionalFormatting>
  <hyperlinks>
    <hyperlink ref="A82" r:id="rId1" tooltip="https://www.franklintempletonindia.com/downloadsServlet/pdf/product-labels-jg9o5k7l" xr:uid="{00000000-0004-0000-2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94"/>
  <sheetViews>
    <sheetView showGridLines="0"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4.44140625" style="9" customWidth="1"/>
    <col min="4" max="4" width="15.5546875" style="10" bestFit="1" customWidth="1"/>
    <col min="5" max="5" width="23" style="13" bestFit="1" customWidth="1"/>
    <col min="6" max="6" width="14.6640625" style="14" bestFit="1" customWidth="1"/>
    <col min="7" max="16384" width="9.109375" style="9"/>
  </cols>
  <sheetData>
    <row r="1" spans="1:6" s="1" customFormat="1" ht="13.8" x14ac:dyDescent="0.2">
      <c r="A1" s="69" t="s">
        <v>22</v>
      </c>
      <c r="B1" s="70"/>
      <c r="C1" s="70"/>
      <c r="D1" s="70"/>
      <c r="E1" s="70"/>
      <c r="F1" s="70"/>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269</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100</v>
      </c>
      <c r="B7" s="27" t="s">
        <v>99</v>
      </c>
      <c r="C7" s="27" t="s">
        <v>101</v>
      </c>
      <c r="D7" s="31">
        <v>2778479</v>
      </c>
      <c r="E7" s="29">
        <v>47413.354899999998</v>
      </c>
      <c r="F7" s="30">
        <v>9.7226991038124808</v>
      </c>
    </row>
    <row r="8" spans="1:6" x14ac:dyDescent="0.2">
      <c r="A8" s="27" t="s">
        <v>106</v>
      </c>
      <c r="B8" s="27" t="s">
        <v>105</v>
      </c>
      <c r="C8" s="27" t="s">
        <v>104</v>
      </c>
      <c r="D8" s="31">
        <v>5129842</v>
      </c>
      <c r="E8" s="29">
        <v>40346.207329999997</v>
      </c>
      <c r="F8" s="30">
        <v>8.2734924511663994</v>
      </c>
    </row>
    <row r="9" spans="1:6" x14ac:dyDescent="0.2">
      <c r="A9" s="27" t="s">
        <v>103</v>
      </c>
      <c r="B9" s="27" t="s">
        <v>102</v>
      </c>
      <c r="C9" s="27" t="s">
        <v>104</v>
      </c>
      <c r="D9" s="31">
        <v>2380104</v>
      </c>
      <c r="E9" s="29">
        <v>37638.964659999998</v>
      </c>
      <c r="F9" s="30">
        <v>7.7183386145115804</v>
      </c>
    </row>
    <row r="10" spans="1:6" x14ac:dyDescent="0.2">
      <c r="A10" s="27" t="s">
        <v>108</v>
      </c>
      <c r="B10" s="27" t="s">
        <v>107</v>
      </c>
      <c r="C10" s="27" t="s">
        <v>104</v>
      </c>
      <c r="D10" s="31">
        <v>4283052</v>
      </c>
      <c r="E10" s="29">
        <v>30797.28541</v>
      </c>
      <c r="F10" s="30">
        <v>6.31536704979432</v>
      </c>
    </row>
    <row r="11" spans="1:6" x14ac:dyDescent="0.2">
      <c r="A11" s="27" t="s">
        <v>144</v>
      </c>
      <c r="B11" s="27" t="s">
        <v>143</v>
      </c>
      <c r="C11" s="27" t="s">
        <v>145</v>
      </c>
      <c r="D11" s="31">
        <v>10825630</v>
      </c>
      <c r="E11" s="29">
        <v>18982.74221</v>
      </c>
      <c r="F11" s="30">
        <v>3.8926477795620098</v>
      </c>
    </row>
    <row r="12" spans="1:6" x14ac:dyDescent="0.2">
      <c r="A12" s="27" t="s">
        <v>194</v>
      </c>
      <c r="B12" s="27" t="s">
        <v>193</v>
      </c>
      <c r="C12" s="27" t="s">
        <v>145</v>
      </c>
      <c r="D12" s="31">
        <v>13474428</v>
      </c>
      <c r="E12" s="29">
        <v>17388.749329999999</v>
      </c>
      <c r="F12" s="30">
        <v>3.5657796813532601</v>
      </c>
    </row>
    <row r="13" spans="1:6" x14ac:dyDescent="0.2">
      <c r="A13" s="27" t="s">
        <v>110</v>
      </c>
      <c r="B13" s="27" t="s">
        <v>109</v>
      </c>
      <c r="C13" s="27" t="s">
        <v>111</v>
      </c>
      <c r="D13" s="31">
        <v>2294619</v>
      </c>
      <c r="E13" s="29">
        <v>15237.41747</v>
      </c>
      <c r="F13" s="30">
        <v>3.1246222818960598</v>
      </c>
    </row>
    <row r="14" spans="1:6" x14ac:dyDescent="0.2">
      <c r="A14" s="27" t="s">
        <v>149</v>
      </c>
      <c r="B14" s="27" t="s">
        <v>148</v>
      </c>
      <c r="C14" s="27" t="s">
        <v>125</v>
      </c>
      <c r="D14" s="31">
        <v>871834</v>
      </c>
      <c r="E14" s="29">
        <v>12859.5515</v>
      </c>
      <c r="F14" s="30">
        <v>2.6370112409927899</v>
      </c>
    </row>
    <row r="15" spans="1:6" x14ac:dyDescent="0.2">
      <c r="A15" s="27" t="s">
        <v>191</v>
      </c>
      <c r="B15" s="27" t="s">
        <v>190</v>
      </c>
      <c r="C15" s="27" t="s">
        <v>192</v>
      </c>
      <c r="D15" s="31">
        <v>757133</v>
      </c>
      <c r="E15" s="29">
        <v>12660.778029999999</v>
      </c>
      <c r="F15" s="30">
        <v>2.5962502646242802</v>
      </c>
    </row>
    <row r="16" spans="1:6" x14ac:dyDescent="0.2">
      <c r="A16" s="27" t="s">
        <v>173</v>
      </c>
      <c r="B16" s="27" t="s">
        <v>172</v>
      </c>
      <c r="C16" s="27" t="s">
        <v>174</v>
      </c>
      <c r="D16" s="31">
        <v>831440</v>
      </c>
      <c r="E16" s="29">
        <v>12474.92576</v>
      </c>
      <c r="F16" s="30">
        <v>2.5581389412897102</v>
      </c>
    </row>
    <row r="17" spans="1:6" x14ac:dyDescent="0.2">
      <c r="A17" s="27" t="s">
        <v>142</v>
      </c>
      <c r="B17" s="27" t="s">
        <v>141</v>
      </c>
      <c r="C17" s="27" t="s">
        <v>125</v>
      </c>
      <c r="D17" s="31">
        <v>456440</v>
      </c>
      <c r="E17" s="29">
        <v>12433.88204</v>
      </c>
      <c r="F17" s="30">
        <v>2.54972241517586</v>
      </c>
    </row>
    <row r="18" spans="1:6" x14ac:dyDescent="0.2">
      <c r="A18" s="27" t="s">
        <v>116</v>
      </c>
      <c r="B18" s="27" t="s">
        <v>115</v>
      </c>
      <c r="C18" s="27" t="s">
        <v>117</v>
      </c>
      <c r="D18" s="31">
        <v>2549242</v>
      </c>
      <c r="E18" s="29">
        <v>11938.10029</v>
      </c>
      <c r="F18" s="30">
        <v>2.44805619082666</v>
      </c>
    </row>
    <row r="19" spans="1:6" x14ac:dyDescent="0.2">
      <c r="A19" s="27" t="s">
        <v>122</v>
      </c>
      <c r="B19" s="27" t="s">
        <v>121</v>
      </c>
      <c r="C19" s="27" t="s">
        <v>104</v>
      </c>
      <c r="D19" s="31">
        <v>624652</v>
      </c>
      <c r="E19" s="29">
        <v>10954.52212</v>
      </c>
      <c r="F19" s="30">
        <v>2.24636123352701</v>
      </c>
    </row>
    <row r="20" spans="1:6" x14ac:dyDescent="0.2">
      <c r="A20" s="27" t="s">
        <v>161</v>
      </c>
      <c r="B20" s="27" t="s">
        <v>160</v>
      </c>
      <c r="C20" s="27" t="s">
        <v>104</v>
      </c>
      <c r="D20" s="31">
        <v>5914508</v>
      </c>
      <c r="E20" s="29">
        <v>8975.2658900000006</v>
      </c>
      <c r="F20" s="30">
        <v>1.8404900857412601</v>
      </c>
    </row>
    <row r="21" spans="1:6" x14ac:dyDescent="0.2">
      <c r="A21" s="27" t="s">
        <v>203</v>
      </c>
      <c r="B21" s="27" t="s">
        <v>202</v>
      </c>
      <c r="C21" s="27" t="s">
        <v>204</v>
      </c>
      <c r="D21" s="31">
        <v>6223868</v>
      </c>
      <c r="E21" s="29">
        <v>8738.3106719999996</v>
      </c>
      <c r="F21" s="30">
        <v>1.79189946627231</v>
      </c>
    </row>
    <row r="22" spans="1:6" x14ac:dyDescent="0.2">
      <c r="A22" s="27" t="s">
        <v>140</v>
      </c>
      <c r="B22" s="27" t="s">
        <v>139</v>
      </c>
      <c r="C22" s="27" t="s">
        <v>104</v>
      </c>
      <c r="D22" s="31">
        <v>1935519</v>
      </c>
      <c r="E22" s="29">
        <v>8246.2787000000008</v>
      </c>
      <c r="F22" s="30">
        <v>1.69100218061722</v>
      </c>
    </row>
    <row r="23" spans="1:6" x14ac:dyDescent="0.2">
      <c r="A23" s="27" t="s">
        <v>196</v>
      </c>
      <c r="B23" s="27" t="s">
        <v>195</v>
      </c>
      <c r="C23" s="27" t="s">
        <v>101</v>
      </c>
      <c r="D23" s="31">
        <v>530548</v>
      </c>
      <c r="E23" s="29">
        <v>7680.4781220000004</v>
      </c>
      <c r="F23" s="30">
        <v>1.5749777232832101</v>
      </c>
    </row>
    <row r="24" spans="1:6" x14ac:dyDescent="0.2">
      <c r="A24" s="27" t="s">
        <v>206</v>
      </c>
      <c r="B24" s="27" t="s">
        <v>205</v>
      </c>
      <c r="C24" s="27" t="s">
        <v>187</v>
      </c>
      <c r="D24" s="31">
        <v>1115794</v>
      </c>
      <c r="E24" s="29">
        <v>7635.378342</v>
      </c>
      <c r="F24" s="30">
        <v>1.5657294515354501</v>
      </c>
    </row>
    <row r="25" spans="1:6" x14ac:dyDescent="0.2">
      <c r="A25" s="27" t="s">
        <v>211</v>
      </c>
      <c r="B25" s="27" t="s">
        <v>210</v>
      </c>
      <c r="C25" s="27" t="s">
        <v>187</v>
      </c>
      <c r="D25" s="31">
        <v>1158898</v>
      </c>
      <c r="E25" s="29">
        <v>7620.333799</v>
      </c>
      <c r="F25" s="30">
        <v>1.56264438056648</v>
      </c>
    </row>
    <row r="26" spans="1:6" x14ac:dyDescent="0.2">
      <c r="A26" s="27" t="s">
        <v>198</v>
      </c>
      <c r="B26" s="27" t="s">
        <v>197</v>
      </c>
      <c r="C26" s="27" t="s">
        <v>125</v>
      </c>
      <c r="D26" s="31">
        <v>1219231</v>
      </c>
      <c r="E26" s="29">
        <v>7577.520665</v>
      </c>
      <c r="F26" s="30">
        <v>1.5538650140683501</v>
      </c>
    </row>
    <row r="27" spans="1:6" x14ac:dyDescent="0.2">
      <c r="A27" s="27" t="s">
        <v>186</v>
      </c>
      <c r="B27" s="27" t="s">
        <v>185</v>
      </c>
      <c r="C27" s="27" t="s">
        <v>187</v>
      </c>
      <c r="D27" s="31">
        <v>268692</v>
      </c>
      <c r="E27" s="29">
        <v>7519.3456200000001</v>
      </c>
      <c r="F27" s="30">
        <v>1.5419354963390399</v>
      </c>
    </row>
    <row r="28" spans="1:6" x14ac:dyDescent="0.2">
      <c r="A28" s="27" t="s">
        <v>240</v>
      </c>
      <c r="B28" s="27" t="s">
        <v>239</v>
      </c>
      <c r="C28" s="27" t="s">
        <v>241</v>
      </c>
      <c r="D28" s="31">
        <v>3970503</v>
      </c>
      <c r="E28" s="29">
        <v>7410.9438499999997</v>
      </c>
      <c r="F28" s="30">
        <v>1.51970636291758</v>
      </c>
    </row>
    <row r="29" spans="1:6" x14ac:dyDescent="0.2">
      <c r="A29" s="27" t="s">
        <v>135</v>
      </c>
      <c r="B29" s="27" t="s">
        <v>134</v>
      </c>
      <c r="C29" s="27" t="s">
        <v>128</v>
      </c>
      <c r="D29" s="31">
        <v>2045176</v>
      </c>
      <c r="E29" s="29">
        <v>7171.4096440000003</v>
      </c>
      <c r="F29" s="30">
        <v>1.47058688982987</v>
      </c>
    </row>
    <row r="30" spans="1:6" x14ac:dyDescent="0.2">
      <c r="A30" s="27" t="s">
        <v>127</v>
      </c>
      <c r="B30" s="27" t="s">
        <v>126</v>
      </c>
      <c r="C30" s="27" t="s">
        <v>128</v>
      </c>
      <c r="D30" s="31">
        <v>3078627</v>
      </c>
      <c r="E30" s="29">
        <v>7006.9550520000003</v>
      </c>
      <c r="F30" s="30">
        <v>1.43686342694418</v>
      </c>
    </row>
    <row r="31" spans="1:6" x14ac:dyDescent="0.2">
      <c r="A31" s="27" t="s">
        <v>113</v>
      </c>
      <c r="B31" s="27" t="s">
        <v>112</v>
      </c>
      <c r="C31" s="27" t="s">
        <v>114</v>
      </c>
      <c r="D31" s="31">
        <v>302972</v>
      </c>
      <c r="E31" s="29">
        <v>6952.9044279999998</v>
      </c>
      <c r="F31" s="30">
        <v>1.42577967312348</v>
      </c>
    </row>
    <row r="32" spans="1:6" x14ac:dyDescent="0.2">
      <c r="A32" s="27" t="s">
        <v>132</v>
      </c>
      <c r="B32" s="27" t="s">
        <v>131</v>
      </c>
      <c r="C32" s="27" t="s">
        <v>133</v>
      </c>
      <c r="D32" s="31">
        <v>2520962</v>
      </c>
      <c r="E32" s="29">
        <v>6720.8846919999996</v>
      </c>
      <c r="F32" s="30">
        <v>1.37820113572548</v>
      </c>
    </row>
    <row r="33" spans="1:6" x14ac:dyDescent="0.2">
      <c r="A33" s="27" t="s">
        <v>213</v>
      </c>
      <c r="B33" s="27" t="s">
        <v>212</v>
      </c>
      <c r="C33" s="27" t="s">
        <v>133</v>
      </c>
      <c r="D33" s="31">
        <v>5948967</v>
      </c>
      <c r="E33" s="29">
        <v>6594.4299199999996</v>
      </c>
      <c r="F33" s="30">
        <v>1.3522700093373501</v>
      </c>
    </row>
    <row r="34" spans="1:6" x14ac:dyDescent="0.2">
      <c r="A34" s="27" t="s">
        <v>151</v>
      </c>
      <c r="B34" s="27" t="s">
        <v>150</v>
      </c>
      <c r="C34" s="27" t="s">
        <v>152</v>
      </c>
      <c r="D34" s="31">
        <v>829699</v>
      </c>
      <c r="E34" s="29">
        <v>6582.0021669999996</v>
      </c>
      <c r="F34" s="30">
        <v>1.34972154375819</v>
      </c>
    </row>
    <row r="35" spans="1:6" x14ac:dyDescent="0.2">
      <c r="A35" s="27" t="s">
        <v>258</v>
      </c>
      <c r="B35" s="27" t="s">
        <v>257</v>
      </c>
      <c r="C35" s="27" t="s">
        <v>125</v>
      </c>
      <c r="D35" s="31">
        <v>896279</v>
      </c>
      <c r="E35" s="29">
        <v>6409.7392689999997</v>
      </c>
      <c r="F35" s="30">
        <v>1.31439689045033</v>
      </c>
    </row>
    <row r="36" spans="1:6" x14ac:dyDescent="0.2">
      <c r="A36" s="27" t="s">
        <v>208</v>
      </c>
      <c r="B36" s="27" t="s">
        <v>207</v>
      </c>
      <c r="C36" s="27" t="s">
        <v>209</v>
      </c>
      <c r="D36" s="31">
        <v>2627584</v>
      </c>
      <c r="E36" s="29">
        <v>6329.8498559999998</v>
      </c>
      <c r="F36" s="30">
        <v>1.2980145710422799</v>
      </c>
    </row>
    <row r="37" spans="1:6" x14ac:dyDescent="0.2">
      <c r="A37" s="27" t="s">
        <v>551</v>
      </c>
      <c r="B37" s="27" t="s">
        <v>550</v>
      </c>
      <c r="C37" s="27" t="s">
        <v>104</v>
      </c>
      <c r="D37" s="31">
        <v>605270</v>
      </c>
      <c r="E37" s="29">
        <v>6006.6994800000002</v>
      </c>
      <c r="F37" s="30">
        <v>1.2317485605952501</v>
      </c>
    </row>
    <row r="38" spans="1:6" x14ac:dyDescent="0.2">
      <c r="A38" s="27" t="s">
        <v>137</v>
      </c>
      <c r="B38" s="27" t="s">
        <v>136</v>
      </c>
      <c r="C38" s="27" t="s">
        <v>138</v>
      </c>
      <c r="D38" s="31">
        <v>127107</v>
      </c>
      <c r="E38" s="29">
        <v>5979.1768339999999</v>
      </c>
      <c r="F38" s="30">
        <v>1.2261046991523501</v>
      </c>
    </row>
    <row r="39" spans="1:6" x14ac:dyDescent="0.2">
      <c r="A39" s="27" t="s">
        <v>661</v>
      </c>
      <c r="B39" s="27" t="s">
        <v>660</v>
      </c>
      <c r="C39" s="27" t="s">
        <v>662</v>
      </c>
      <c r="D39" s="31">
        <v>410704</v>
      </c>
      <c r="E39" s="29">
        <v>5956.2347600000003</v>
      </c>
      <c r="F39" s="30">
        <v>1.2214001410633899</v>
      </c>
    </row>
    <row r="40" spans="1:6" x14ac:dyDescent="0.2">
      <c r="A40" s="27" t="s">
        <v>130</v>
      </c>
      <c r="B40" s="27" t="s">
        <v>129</v>
      </c>
      <c r="C40" s="27" t="s">
        <v>101</v>
      </c>
      <c r="D40" s="31">
        <v>148117</v>
      </c>
      <c r="E40" s="29">
        <v>5608.3761469999999</v>
      </c>
      <c r="F40" s="30">
        <v>1.15006739880118</v>
      </c>
    </row>
    <row r="41" spans="1:6" x14ac:dyDescent="0.2">
      <c r="A41" s="27" t="s">
        <v>264</v>
      </c>
      <c r="B41" s="27" t="s">
        <v>263</v>
      </c>
      <c r="C41" s="27" t="s">
        <v>138</v>
      </c>
      <c r="D41" s="31">
        <v>503898</v>
      </c>
      <c r="E41" s="29">
        <v>4826.5869929999999</v>
      </c>
      <c r="F41" s="30">
        <v>0.98975179314539696</v>
      </c>
    </row>
    <row r="42" spans="1:6" x14ac:dyDescent="0.2">
      <c r="A42" s="27" t="s">
        <v>147</v>
      </c>
      <c r="B42" s="27" t="s">
        <v>146</v>
      </c>
      <c r="C42" s="27" t="s">
        <v>145</v>
      </c>
      <c r="D42" s="31">
        <v>3977486</v>
      </c>
      <c r="E42" s="29">
        <v>4611.8950169999998</v>
      </c>
      <c r="F42" s="30">
        <v>0.94572652880682695</v>
      </c>
    </row>
    <row r="43" spans="1:6" x14ac:dyDescent="0.2">
      <c r="A43" s="27" t="s">
        <v>247</v>
      </c>
      <c r="B43" s="27" t="s">
        <v>246</v>
      </c>
      <c r="C43" s="27" t="s">
        <v>209</v>
      </c>
      <c r="D43" s="31">
        <v>990217</v>
      </c>
      <c r="E43" s="29">
        <v>4609.9552439999998</v>
      </c>
      <c r="F43" s="30">
        <v>0.94532875418724005</v>
      </c>
    </row>
    <row r="44" spans="1:6" x14ac:dyDescent="0.2">
      <c r="A44" s="27" t="s">
        <v>217</v>
      </c>
      <c r="B44" s="27" t="s">
        <v>216</v>
      </c>
      <c r="C44" s="27" t="s">
        <v>128</v>
      </c>
      <c r="D44" s="31">
        <v>2792178</v>
      </c>
      <c r="E44" s="29">
        <v>4080.7681470000002</v>
      </c>
      <c r="F44" s="30">
        <v>0.83681234726765596</v>
      </c>
    </row>
    <row r="45" spans="1:6" x14ac:dyDescent="0.2">
      <c r="A45" s="27" t="s">
        <v>163</v>
      </c>
      <c r="B45" s="27" t="s">
        <v>162</v>
      </c>
      <c r="C45" s="27" t="s">
        <v>138</v>
      </c>
      <c r="D45" s="31">
        <v>720735</v>
      </c>
      <c r="E45" s="29">
        <v>3993.9530030000001</v>
      </c>
      <c r="F45" s="30">
        <v>0.81900982043642001</v>
      </c>
    </row>
    <row r="46" spans="1:6" x14ac:dyDescent="0.2">
      <c r="A46" s="27" t="s">
        <v>171</v>
      </c>
      <c r="B46" s="27" t="s">
        <v>170</v>
      </c>
      <c r="C46" s="27" t="s">
        <v>125</v>
      </c>
      <c r="D46" s="31">
        <v>607174</v>
      </c>
      <c r="E46" s="29">
        <v>3761.746517</v>
      </c>
      <c r="F46" s="30">
        <v>0.77139298762437103</v>
      </c>
    </row>
    <row r="47" spans="1:6" x14ac:dyDescent="0.2">
      <c r="A47" s="27" t="s">
        <v>156</v>
      </c>
      <c r="B47" s="27" t="s">
        <v>155</v>
      </c>
      <c r="C47" s="27" t="s">
        <v>152</v>
      </c>
      <c r="D47" s="31">
        <v>87369</v>
      </c>
      <c r="E47" s="29">
        <v>3256.985267</v>
      </c>
      <c r="F47" s="30">
        <v>0.66788540493242698</v>
      </c>
    </row>
    <row r="48" spans="1:6" x14ac:dyDescent="0.2">
      <c r="A48" s="27" t="s">
        <v>200</v>
      </c>
      <c r="B48" s="27" t="s">
        <v>199</v>
      </c>
      <c r="C48" s="27" t="s">
        <v>201</v>
      </c>
      <c r="D48" s="31">
        <v>1278633</v>
      </c>
      <c r="E48" s="29">
        <v>3205.5329310000002</v>
      </c>
      <c r="F48" s="30">
        <v>0.65733446243592197</v>
      </c>
    </row>
    <row r="49" spans="1:9" x14ac:dyDescent="0.2">
      <c r="A49" s="27" t="s">
        <v>165</v>
      </c>
      <c r="B49" s="27" t="s">
        <v>164</v>
      </c>
      <c r="C49" s="27" t="s">
        <v>152</v>
      </c>
      <c r="D49" s="31">
        <v>1046634</v>
      </c>
      <c r="E49" s="29">
        <v>3006.9794820000002</v>
      </c>
      <c r="F49" s="30">
        <v>0.61661860411451097</v>
      </c>
    </row>
    <row r="50" spans="1:9" x14ac:dyDescent="0.2">
      <c r="A50" s="27" t="s">
        <v>119</v>
      </c>
      <c r="B50" s="27" t="s">
        <v>118</v>
      </c>
      <c r="C50" s="27" t="s">
        <v>120</v>
      </c>
      <c r="D50" s="31">
        <v>300000</v>
      </c>
      <c r="E50" s="29">
        <v>2987.55</v>
      </c>
      <c r="F50" s="30">
        <v>0.61263434677546902</v>
      </c>
    </row>
    <row r="51" spans="1:9" x14ac:dyDescent="0.2">
      <c r="A51" s="27" t="s">
        <v>688</v>
      </c>
      <c r="B51" s="27" t="s">
        <v>687</v>
      </c>
      <c r="C51" s="27" t="s">
        <v>368</v>
      </c>
      <c r="D51" s="31">
        <v>771008</v>
      </c>
      <c r="E51" s="29">
        <v>2718.9597119999999</v>
      </c>
      <c r="F51" s="30">
        <v>0.55755656208931603</v>
      </c>
    </row>
    <row r="52" spans="1:9" x14ac:dyDescent="0.2">
      <c r="A52" s="27" t="s">
        <v>219</v>
      </c>
      <c r="B52" s="27" t="s">
        <v>218</v>
      </c>
      <c r="C52" s="27" t="s">
        <v>104</v>
      </c>
      <c r="D52" s="31">
        <v>3293517</v>
      </c>
      <c r="E52" s="29">
        <v>2675.982563</v>
      </c>
      <c r="F52" s="30">
        <v>0.54874356227211296</v>
      </c>
    </row>
    <row r="53" spans="1:9" x14ac:dyDescent="0.2">
      <c r="A53" s="27" t="s">
        <v>243</v>
      </c>
      <c r="B53" s="27" t="s">
        <v>242</v>
      </c>
      <c r="C53" s="27" t="s">
        <v>152</v>
      </c>
      <c r="D53" s="31">
        <v>1791828</v>
      </c>
      <c r="E53" s="29">
        <v>2446.7411339999999</v>
      </c>
      <c r="F53" s="30">
        <v>0.50173475133696899</v>
      </c>
    </row>
    <row r="54" spans="1:9" x14ac:dyDescent="0.2">
      <c r="A54" s="27" t="s">
        <v>406</v>
      </c>
      <c r="B54" s="27" t="s">
        <v>405</v>
      </c>
      <c r="C54" s="27" t="s">
        <v>204</v>
      </c>
      <c r="D54" s="31">
        <v>6320734</v>
      </c>
      <c r="E54" s="29">
        <v>2439.803324</v>
      </c>
      <c r="F54" s="30">
        <v>0.50031206696435504</v>
      </c>
    </row>
    <row r="55" spans="1:9" x14ac:dyDescent="0.2">
      <c r="A55" s="27" t="s">
        <v>286</v>
      </c>
      <c r="B55" s="27" t="s">
        <v>285</v>
      </c>
      <c r="C55" s="27" t="s">
        <v>101</v>
      </c>
      <c r="D55" s="31">
        <v>241063</v>
      </c>
      <c r="E55" s="29">
        <v>2356.2702939999999</v>
      </c>
      <c r="F55" s="30">
        <v>0.48318257849780999</v>
      </c>
    </row>
    <row r="56" spans="1:9" x14ac:dyDescent="0.2">
      <c r="A56" s="27" t="s">
        <v>262</v>
      </c>
      <c r="B56" s="27" t="s">
        <v>261</v>
      </c>
      <c r="C56" s="27" t="s">
        <v>187</v>
      </c>
      <c r="D56" s="31">
        <v>1695647</v>
      </c>
      <c r="E56" s="29">
        <v>1999.167813</v>
      </c>
      <c r="F56" s="30">
        <v>0.40995426594092099</v>
      </c>
    </row>
    <row r="57" spans="1:9" x14ac:dyDescent="0.2">
      <c r="A57" s="27" t="s">
        <v>158</v>
      </c>
      <c r="B57" s="27" t="s">
        <v>157</v>
      </c>
      <c r="C57" s="27" t="s">
        <v>159</v>
      </c>
      <c r="D57" s="31">
        <v>125663</v>
      </c>
      <c r="E57" s="29">
        <v>261.50470300000001</v>
      </c>
      <c r="F57" s="30">
        <v>5.3624797208789203E-2</v>
      </c>
    </row>
    <row r="58" spans="1:9" x14ac:dyDescent="0.2">
      <c r="A58" s="26" t="s">
        <v>34</v>
      </c>
      <c r="B58" s="26"/>
      <c r="C58" s="26"/>
      <c r="D58" s="32"/>
      <c r="E58" s="33">
        <f>SUM(E7:E57)</f>
        <v>483089.38110299991</v>
      </c>
      <c r="F58" s="34">
        <f>SUM(F7:F57)</f>
        <v>99.063495983733134</v>
      </c>
      <c r="G58" s="18"/>
      <c r="H58" s="18"/>
      <c r="I58" s="18"/>
    </row>
    <row r="59" spans="1:9" x14ac:dyDescent="0.2">
      <c r="A59" s="27"/>
      <c r="B59" s="27"/>
      <c r="C59" s="27"/>
      <c r="D59" s="28"/>
      <c r="E59" s="29"/>
      <c r="F59" s="30"/>
    </row>
    <row r="60" spans="1:9" x14ac:dyDescent="0.2">
      <c r="A60" s="26" t="s">
        <v>229</v>
      </c>
      <c r="B60" s="27"/>
      <c r="C60" s="27"/>
      <c r="D60" s="28"/>
      <c r="E60" s="29"/>
      <c r="F60" s="30"/>
    </row>
    <row r="61" spans="1:9" x14ac:dyDescent="0.2">
      <c r="A61" s="27" t="s">
        <v>230</v>
      </c>
      <c r="B61" s="27" t="s">
        <v>737</v>
      </c>
      <c r="C61" s="27" t="s">
        <v>231</v>
      </c>
      <c r="D61" s="31">
        <v>30000</v>
      </c>
      <c r="E61" s="29">
        <v>3.0000000000000001E-3</v>
      </c>
      <c r="F61" s="30">
        <v>6.1518737437914295E-7</v>
      </c>
    </row>
    <row r="62" spans="1:9" x14ac:dyDescent="0.2">
      <c r="A62" s="27" t="s">
        <v>522</v>
      </c>
      <c r="B62" s="27" t="s">
        <v>740</v>
      </c>
      <c r="C62" s="27" t="s">
        <v>375</v>
      </c>
      <c r="D62" s="31">
        <v>3500</v>
      </c>
      <c r="E62" s="29">
        <v>3.5E-4</v>
      </c>
      <c r="F62" s="30">
        <v>7.17718603442333E-8</v>
      </c>
    </row>
    <row r="63" spans="1:9" x14ac:dyDescent="0.2">
      <c r="A63" s="27"/>
      <c r="B63" s="27" t="s">
        <v>738</v>
      </c>
      <c r="C63" s="27" t="s">
        <v>187</v>
      </c>
      <c r="D63" s="31">
        <v>2900</v>
      </c>
      <c r="E63" s="29">
        <v>2.9E-4</v>
      </c>
      <c r="F63" s="30">
        <v>5.94681128566504E-8</v>
      </c>
    </row>
    <row r="64" spans="1:9" x14ac:dyDescent="0.2">
      <c r="A64" s="26" t="s">
        <v>34</v>
      </c>
      <c r="B64" s="26"/>
      <c r="C64" s="26"/>
      <c r="D64" s="32"/>
      <c r="E64" s="33">
        <f>SUM(E60:E63)</f>
        <v>3.64E-3</v>
      </c>
      <c r="F64" s="34">
        <f>SUM(F60:F63)</f>
        <v>7.4642734758002673E-7</v>
      </c>
      <c r="G64" s="18"/>
      <c r="H64" s="18"/>
      <c r="I64" s="18"/>
    </row>
    <row r="65" spans="1:9" x14ac:dyDescent="0.2">
      <c r="A65" s="27"/>
      <c r="B65" s="27"/>
      <c r="C65" s="27"/>
      <c r="D65" s="28"/>
      <c r="E65" s="29"/>
      <c r="F65" s="30"/>
    </row>
    <row r="66" spans="1:9" x14ac:dyDescent="0.2">
      <c r="A66" s="26" t="s">
        <v>36</v>
      </c>
      <c r="B66" s="26"/>
      <c r="C66" s="26"/>
      <c r="D66" s="32"/>
      <c r="E66" s="33">
        <f>E58+E64</f>
        <v>483089.38474299992</v>
      </c>
      <c r="F66" s="34">
        <f>F58+F64</f>
        <v>99.06349673016048</v>
      </c>
      <c r="G66" s="18"/>
      <c r="H66" s="18"/>
      <c r="I66" s="18"/>
    </row>
    <row r="67" spans="1:9" x14ac:dyDescent="0.2">
      <c r="A67" s="26"/>
      <c r="B67" s="26"/>
      <c r="C67" s="26"/>
      <c r="D67" s="32"/>
      <c r="E67" s="33"/>
      <c r="F67" s="34"/>
      <c r="G67" s="18"/>
      <c r="H67" s="18"/>
      <c r="I67" s="18"/>
    </row>
    <row r="68" spans="1:9" x14ac:dyDescent="0.2">
      <c r="A68" s="26" t="s">
        <v>38</v>
      </c>
      <c r="B68" s="26"/>
      <c r="C68" s="26"/>
      <c r="D68" s="32"/>
      <c r="E68" s="33">
        <f>E70-(E58+E64)</f>
        <v>4566.9172134000692</v>
      </c>
      <c r="F68" s="34">
        <f>F70-(F58+F64)</f>
        <v>0.9365032698395197</v>
      </c>
      <c r="G68" s="18"/>
      <c r="H68" s="18"/>
      <c r="I68" s="18"/>
    </row>
    <row r="69" spans="1:9" x14ac:dyDescent="0.2">
      <c r="A69" s="26"/>
      <c r="B69" s="26"/>
      <c r="C69" s="26"/>
      <c r="D69" s="32"/>
      <c r="E69" s="33"/>
      <c r="F69" s="34"/>
      <c r="G69" s="18"/>
      <c r="H69" s="18"/>
      <c r="I69" s="18"/>
    </row>
    <row r="70" spans="1:9" x14ac:dyDescent="0.2">
      <c r="A70" s="35" t="s">
        <v>37</v>
      </c>
      <c r="B70" s="35"/>
      <c r="C70" s="35"/>
      <c r="D70" s="36"/>
      <c r="E70" s="37">
        <v>487656.30195639998</v>
      </c>
      <c r="F70" s="38">
        <v>100</v>
      </c>
      <c r="G70" s="18"/>
      <c r="H70" s="18"/>
      <c r="I70" s="18"/>
    </row>
    <row r="71" spans="1:9" x14ac:dyDescent="0.2">
      <c r="F71" s="20" t="s">
        <v>513</v>
      </c>
    </row>
    <row r="72" spans="1:9" x14ac:dyDescent="0.2">
      <c r="A72" s="55" t="s">
        <v>39</v>
      </c>
      <c r="F72" s="20"/>
    </row>
    <row r="73" spans="1:9" x14ac:dyDescent="0.2">
      <c r="A73" s="55" t="s">
        <v>723</v>
      </c>
    </row>
    <row r="74" spans="1:9" x14ac:dyDescent="0.2">
      <c r="A74" s="18"/>
    </row>
    <row r="75" spans="1:9" x14ac:dyDescent="0.2">
      <c r="A75" s="18" t="s">
        <v>40</v>
      </c>
    </row>
    <row r="76" spans="1:9" x14ac:dyDescent="0.2">
      <c r="A76" s="18" t="s">
        <v>41</v>
      </c>
    </row>
    <row r="77" spans="1:9" x14ac:dyDescent="0.2">
      <c r="A77" s="18" t="s">
        <v>42</v>
      </c>
      <c r="B77" s="18"/>
      <c r="C77" s="39" t="s">
        <v>44</v>
      </c>
      <c r="D77" s="19" t="s">
        <v>43</v>
      </c>
    </row>
    <row r="78" spans="1:9" x14ac:dyDescent="0.2">
      <c r="A78" s="9" t="s">
        <v>71</v>
      </c>
      <c r="C78" s="40">
        <v>697.84749999999997</v>
      </c>
      <c r="D78" s="40">
        <v>818.92560000000003</v>
      </c>
    </row>
    <row r="79" spans="1:9" x14ac:dyDescent="0.2">
      <c r="A79" s="9" t="s">
        <v>77</v>
      </c>
      <c r="C79" s="40">
        <v>42.732700000000001</v>
      </c>
      <c r="D79" s="40">
        <v>50.146900000000002</v>
      </c>
    </row>
    <row r="80" spans="1:9" x14ac:dyDescent="0.2">
      <c r="A80" s="9" t="s">
        <v>74</v>
      </c>
      <c r="C80" s="40">
        <v>750.49779999999998</v>
      </c>
      <c r="D80" s="40">
        <v>884.52459999999996</v>
      </c>
    </row>
    <row r="81" spans="1:4" x14ac:dyDescent="0.2">
      <c r="A81" s="9" t="s">
        <v>78</v>
      </c>
      <c r="C81" s="40">
        <v>47.470799999999997</v>
      </c>
      <c r="D81" s="40">
        <v>55.947899999999997</v>
      </c>
    </row>
    <row r="83" spans="1:4" x14ac:dyDescent="0.2">
      <c r="A83" s="9" t="s">
        <v>45</v>
      </c>
    </row>
    <row r="85" spans="1:4" x14ac:dyDescent="0.2">
      <c r="A85" s="18" t="s">
        <v>46</v>
      </c>
      <c r="D85" s="41" t="s">
        <v>47</v>
      </c>
    </row>
    <row r="86" spans="1:4" x14ac:dyDescent="0.2">
      <c r="A86" s="18"/>
      <c r="D86" s="41"/>
    </row>
    <row r="87" spans="1:4" x14ac:dyDescent="0.2">
      <c r="A87" s="18" t="s">
        <v>220</v>
      </c>
      <c r="D87" s="45">
        <v>3.9300000000000002E-2</v>
      </c>
    </row>
    <row r="88" spans="1:4" x14ac:dyDescent="0.2">
      <c r="A88" s="18"/>
      <c r="D88" s="45"/>
    </row>
    <row r="89" spans="1:4" x14ac:dyDescent="0.2">
      <c r="A89" s="18" t="s">
        <v>49</v>
      </c>
      <c r="D89" s="41" t="s">
        <v>47</v>
      </c>
    </row>
    <row r="90" spans="1:4" x14ac:dyDescent="0.2">
      <c r="A90" s="9" t="s">
        <v>53</v>
      </c>
      <c r="D90" s="41"/>
    </row>
    <row r="91" spans="1:4" x14ac:dyDescent="0.2">
      <c r="A91" s="46" t="s">
        <v>724</v>
      </c>
      <c r="D91" s="41"/>
    </row>
    <row r="92" spans="1:4" x14ac:dyDescent="0.2">
      <c r="A92" s="46"/>
      <c r="D92" s="41"/>
    </row>
    <row r="93" spans="1:4" x14ac:dyDescent="0.2">
      <c r="A93" s="18" t="s">
        <v>70</v>
      </c>
    </row>
    <row r="94" spans="1:4" x14ac:dyDescent="0.2">
      <c r="A94" s="46" t="s">
        <v>51</v>
      </c>
    </row>
  </sheetData>
  <mergeCells count="1">
    <mergeCell ref="A1:F1"/>
  </mergeCells>
  <conditionalFormatting sqref="F2:F3 F5:F65536">
    <cfRule type="cellIs" dxfId="11" priority="1" stopIfTrue="1" operator="between">
      <formula>0.009</formula>
      <formula>-0.009</formula>
    </cfRule>
  </conditionalFormatting>
  <hyperlinks>
    <hyperlink ref="A94" r:id="rId1" tooltip="https://www.franklintempletonindia.com/downloadsServlet/pdf/product-labels-jg9o5k7l" xr:uid="{00000000-0004-0000-2900-000000000000}"/>
    <hyperlink ref="A91" r:id="rId2" xr:uid="{00000000-0004-0000-29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31"/>
  <sheetViews>
    <sheetView workbookViewId="0">
      <selection sqref="A1:E1"/>
    </sheetView>
  </sheetViews>
  <sheetFormatPr defaultColWidth="9.109375" defaultRowHeight="10.199999999999999" x14ac:dyDescent="0.2"/>
  <cols>
    <col min="1" max="1" width="34.44140625" style="9" bestFit="1" customWidth="1"/>
    <col min="2" max="2" width="33.5546875" style="9" bestFit="1" customWidth="1"/>
    <col min="3" max="3" width="18.88671875" style="9" bestFit="1" customWidth="1"/>
    <col min="4" max="4" width="23" style="10" bestFit="1" customWidth="1"/>
    <col min="5" max="5" width="13.5546875" style="13" customWidth="1"/>
    <col min="6" max="16384" width="9.109375" style="9"/>
  </cols>
  <sheetData>
    <row r="1" spans="1:8" s="1" customFormat="1" ht="13.8" x14ac:dyDescent="0.2">
      <c r="A1" s="69" t="s">
        <v>23</v>
      </c>
      <c r="B1" s="70"/>
      <c r="C1" s="70"/>
      <c r="D1" s="70"/>
      <c r="E1" s="7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360</v>
      </c>
      <c r="B5" s="22"/>
      <c r="C5" s="23"/>
      <c r="D5" s="24"/>
      <c r="E5" s="25"/>
    </row>
    <row r="6" spans="1:8" x14ac:dyDescent="0.2">
      <c r="A6" s="27" t="s">
        <v>690</v>
      </c>
      <c r="B6" s="27" t="s">
        <v>689</v>
      </c>
      <c r="C6" s="31">
        <v>6114257.0880000005</v>
      </c>
      <c r="D6" s="29">
        <v>391351.58487999998</v>
      </c>
      <c r="E6" s="30">
        <v>99.866300977476797</v>
      </c>
    </row>
    <row r="7" spans="1:8" x14ac:dyDescent="0.2">
      <c r="A7" s="26" t="s">
        <v>34</v>
      </c>
      <c r="B7" s="26"/>
      <c r="C7" s="32"/>
      <c r="D7" s="33">
        <f>SUM(D6:D6)</f>
        <v>391351.58487999998</v>
      </c>
      <c r="E7" s="34">
        <f>SUM(E6:E6)</f>
        <v>99.866300977476797</v>
      </c>
      <c r="F7" s="18"/>
      <c r="G7" s="18"/>
      <c r="H7" s="18"/>
    </row>
    <row r="8" spans="1:8" x14ac:dyDescent="0.2">
      <c r="A8" s="27"/>
      <c r="B8" s="27"/>
      <c r="C8" s="28"/>
      <c r="D8" s="29"/>
      <c r="E8" s="30"/>
    </row>
    <row r="9" spans="1:8" x14ac:dyDescent="0.2">
      <c r="A9" s="26" t="s">
        <v>36</v>
      </c>
      <c r="B9" s="26"/>
      <c r="C9" s="32"/>
      <c r="D9" s="33">
        <f>D7</f>
        <v>391351.58487999998</v>
      </c>
      <c r="E9" s="34">
        <f>E7</f>
        <v>99.866300977476797</v>
      </c>
      <c r="F9" s="18"/>
      <c r="G9" s="18"/>
      <c r="H9" s="18"/>
    </row>
    <row r="10" spans="1:8" x14ac:dyDescent="0.2">
      <c r="A10" s="26"/>
      <c r="B10" s="26"/>
      <c r="C10" s="32"/>
      <c r="D10" s="33"/>
      <c r="E10" s="34"/>
      <c r="F10" s="18"/>
      <c r="G10" s="18"/>
      <c r="H10" s="18"/>
    </row>
    <row r="11" spans="1:8" x14ac:dyDescent="0.2">
      <c r="A11" s="26" t="s">
        <v>38</v>
      </c>
      <c r="B11" s="26"/>
      <c r="C11" s="32"/>
      <c r="D11" s="33">
        <f>D13-(D7)</f>
        <v>523.93373789999168</v>
      </c>
      <c r="E11" s="34">
        <f>E13-(E7)</f>
        <v>0.13369902252320287</v>
      </c>
      <c r="F11" s="18"/>
      <c r="G11" s="18"/>
      <c r="H11" s="18"/>
    </row>
    <row r="12" spans="1:8" x14ac:dyDescent="0.2">
      <c r="A12" s="26"/>
      <c r="B12" s="26"/>
      <c r="C12" s="32"/>
      <c r="D12" s="33"/>
      <c r="E12" s="34"/>
      <c r="F12" s="18"/>
      <c r="G12" s="18"/>
      <c r="H12" s="18"/>
    </row>
    <row r="13" spans="1:8" x14ac:dyDescent="0.2">
      <c r="A13" s="35" t="s">
        <v>37</v>
      </c>
      <c r="B13" s="35"/>
      <c r="C13" s="36"/>
      <c r="D13" s="37">
        <v>391875.51861789997</v>
      </c>
      <c r="E13" s="38">
        <v>100</v>
      </c>
      <c r="F13" s="18"/>
      <c r="G13" s="18"/>
      <c r="H13" s="18"/>
    </row>
    <row r="16" spans="1:8" x14ac:dyDescent="0.2">
      <c r="A16" s="18" t="s">
        <v>40</v>
      </c>
    </row>
    <row r="17" spans="1:4" x14ac:dyDescent="0.2">
      <c r="A17" s="18" t="s">
        <v>41</v>
      </c>
    </row>
    <row r="18" spans="1:4" x14ac:dyDescent="0.2">
      <c r="A18" s="18" t="s">
        <v>42</v>
      </c>
      <c r="B18" s="18"/>
      <c r="C18" s="39" t="s">
        <v>44</v>
      </c>
      <c r="D18" s="41" t="s">
        <v>43</v>
      </c>
    </row>
    <row r="19" spans="1:4" x14ac:dyDescent="0.2">
      <c r="A19" s="9" t="s">
        <v>71</v>
      </c>
      <c r="C19" s="40">
        <v>49.873899999999999</v>
      </c>
      <c r="D19" s="40">
        <v>59.410899999999998</v>
      </c>
    </row>
    <row r="20" spans="1:4" x14ac:dyDescent="0.2">
      <c r="A20" s="9" t="s">
        <v>77</v>
      </c>
      <c r="C20" s="40">
        <v>49.873899999999999</v>
      </c>
      <c r="D20" s="40">
        <v>59.410899999999998</v>
      </c>
    </row>
    <row r="21" spans="1:4" x14ac:dyDescent="0.2">
      <c r="A21" s="9" t="s">
        <v>74</v>
      </c>
      <c r="C21" s="40">
        <v>53.9679</v>
      </c>
      <c r="D21" s="40">
        <v>64.626800000000003</v>
      </c>
    </row>
    <row r="22" spans="1:4" x14ac:dyDescent="0.2">
      <c r="A22" s="9" t="s">
        <v>78</v>
      </c>
      <c r="C22" s="40">
        <v>53.9679</v>
      </c>
      <c r="D22" s="40">
        <v>64.626800000000003</v>
      </c>
    </row>
    <row r="24" spans="1:4" x14ac:dyDescent="0.2">
      <c r="A24" s="9" t="s">
        <v>45</v>
      </c>
    </row>
    <row r="26" spans="1:4" x14ac:dyDescent="0.2">
      <c r="A26" s="18" t="s">
        <v>46</v>
      </c>
      <c r="D26" s="41" t="s">
        <v>47</v>
      </c>
    </row>
    <row r="28" spans="1:4" x14ac:dyDescent="0.2">
      <c r="A28" s="18" t="s">
        <v>220</v>
      </c>
      <c r="D28" s="45">
        <v>1.1999999999999999E-3</v>
      </c>
    </row>
    <row r="30" spans="1:4" x14ac:dyDescent="0.2">
      <c r="A30" s="18" t="s">
        <v>97</v>
      </c>
    </row>
    <row r="31" spans="1:4" x14ac:dyDescent="0.2">
      <c r="A31" s="46" t="s">
        <v>51</v>
      </c>
    </row>
  </sheetData>
  <mergeCells count="1">
    <mergeCell ref="A1:E1"/>
  </mergeCells>
  <conditionalFormatting sqref="E5:E13">
    <cfRule type="cellIs" dxfId="10" priority="1" stopIfTrue="1" operator="between">
      <formula>0.009</formula>
      <formula>-0.009</formula>
    </cfRule>
  </conditionalFormatting>
  <hyperlinks>
    <hyperlink ref="A31" r:id="rId1" tooltip="https://www.franklintempletonindia.com/downloadsServlet/pdf/product-labels-jg9o5k7l" xr:uid="{00000000-0004-0000-2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31"/>
  <sheetViews>
    <sheetView workbookViewId="0">
      <selection sqref="A1:E1"/>
    </sheetView>
  </sheetViews>
  <sheetFormatPr defaultColWidth="9.109375" defaultRowHeight="10.199999999999999" x14ac:dyDescent="0.2"/>
  <cols>
    <col min="1" max="1" width="34.44140625" style="9" bestFit="1" customWidth="1"/>
    <col min="2" max="2" width="39.33203125" style="9" bestFit="1" customWidth="1"/>
    <col min="3" max="3" width="18.88671875" style="9" bestFit="1" customWidth="1"/>
    <col min="4" max="4" width="23" style="10" bestFit="1" customWidth="1"/>
    <col min="5" max="5" width="13.5546875" style="13" customWidth="1"/>
    <col min="6" max="16384" width="9.109375" style="9"/>
  </cols>
  <sheetData>
    <row r="1" spans="1:8" s="1" customFormat="1" ht="15" customHeight="1" x14ac:dyDescent="0.2">
      <c r="A1" s="69" t="s">
        <v>743</v>
      </c>
      <c r="B1" s="70"/>
      <c r="C1" s="70"/>
      <c r="D1" s="70"/>
      <c r="E1" s="7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360</v>
      </c>
      <c r="B5" s="22"/>
      <c r="C5" s="23"/>
      <c r="D5" s="24"/>
      <c r="E5" s="25"/>
    </row>
    <row r="6" spans="1:8" x14ac:dyDescent="0.2">
      <c r="A6" s="27" t="s">
        <v>692</v>
      </c>
      <c r="B6" s="27" t="s">
        <v>691</v>
      </c>
      <c r="C6" s="31">
        <v>89402.972999999998</v>
      </c>
      <c r="D6" s="29">
        <v>2409.0941670000002</v>
      </c>
      <c r="E6" s="30">
        <v>98.9651958480611</v>
      </c>
    </row>
    <row r="7" spans="1:8" x14ac:dyDescent="0.2">
      <c r="A7" s="26" t="s">
        <v>34</v>
      </c>
      <c r="B7" s="26"/>
      <c r="C7" s="32"/>
      <c r="D7" s="33">
        <f>SUM(D6:D6)</f>
        <v>2409.0941670000002</v>
      </c>
      <c r="E7" s="34">
        <f>SUM(E6:E6)</f>
        <v>98.9651958480611</v>
      </c>
      <c r="F7" s="18"/>
      <c r="G7" s="18"/>
      <c r="H7" s="18"/>
    </row>
    <row r="8" spans="1:8" x14ac:dyDescent="0.2">
      <c r="A8" s="27"/>
      <c r="B8" s="27"/>
      <c r="C8" s="28"/>
      <c r="D8" s="29"/>
      <c r="E8" s="30"/>
    </row>
    <row r="9" spans="1:8" x14ac:dyDescent="0.2">
      <c r="A9" s="26" t="s">
        <v>36</v>
      </c>
      <c r="B9" s="26"/>
      <c r="C9" s="32"/>
      <c r="D9" s="33">
        <f>D7</f>
        <v>2409.0941670000002</v>
      </c>
      <c r="E9" s="34">
        <f>E7</f>
        <v>98.9651958480611</v>
      </c>
      <c r="F9" s="18"/>
      <c r="G9" s="18"/>
      <c r="H9" s="18"/>
    </row>
    <row r="10" spans="1:8" x14ac:dyDescent="0.2">
      <c r="A10" s="26"/>
      <c r="B10" s="26"/>
      <c r="C10" s="32"/>
      <c r="D10" s="33"/>
      <c r="E10" s="34"/>
      <c r="F10" s="18"/>
      <c r="G10" s="18"/>
      <c r="H10" s="18"/>
    </row>
    <row r="11" spans="1:8" x14ac:dyDescent="0.2">
      <c r="A11" s="26" t="s">
        <v>38</v>
      </c>
      <c r="B11" s="26"/>
      <c r="C11" s="32"/>
      <c r="D11" s="33">
        <f>D13-(D7)</f>
        <v>25.190074399999958</v>
      </c>
      <c r="E11" s="34">
        <f>E13-(E7)</f>
        <v>1.0348041519389</v>
      </c>
      <c r="F11" s="18"/>
      <c r="G11" s="18"/>
      <c r="H11" s="18"/>
    </row>
    <row r="12" spans="1:8" x14ac:dyDescent="0.2">
      <c r="A12" s="26"/>
      <c r="B12" s="26"/>
      <c r="C12" s="32"/>
      <c r="D12" s="33"/>
      <c r="E12" s="34"/>
      <c r="F12" s="18"/>
      <c r="G12" s="18"/>
      <c r="H12" s="18"/>
    </row>
    <row r="13" spans="1:8" x14ac:dyDescent="0.2">
      <c r="A13" s="35" t="s">
        <v>37</v>
      </c>
      <c r="B13" s="35"/>
      <c r="C13" s="36"/>
      <c r="D13" s="37">
        <v>2434.2842414000002</v>
      </c>
      <c r="E13" s="38">
        <v>100</v>
      </c>
      <c r="F13" s="18"/>
      <c r="G13" s="18"/>
      <c r="H13" s="18"/>
    </row>
    <row r="16" spans="1:8" x14ac:dyDescent="0.2">
      <c r="A16" s="18" t="s">
        <v>40</v>
      </c>
    </row>
    <row r="17" spans="1:4" x14ac:dyDescent="0.2">
      <c r="A17" s="18" t="s">
        <v>41</v>
      </c>
    </row>
    <row r="18" spans="1:4" x14ac:dyDescent="0.2">
      <c r="A18" s="18" t="s">
        <v>42</v>
      </c>
      <c r="B18" s="18"/>
      <c r="C18" s="39" t="s">
        <v>44</v>
      </c>
      <c r="D18" s="41" t="s">
        <v>43</v>
      </c>
    </row>
    <row r="19" spans="1:4" x14ac:dyDescent="0.2">
      <c r="A19" s="9" t="s">
        <v>71</v>
      </c>
      <c r="C19" s="40">
        <v>9.1852</v>
      </c>
      <c r="D19" s="40">
        <v>10.0624</v>
      </c>
    </row>
    <row r="20" spans="1:4" x14ac:dyDescent="0.2">
      <c r="A20" s="9" t="s">
        <v>77</v>
      </c>
      <c r="C20" s="40">
        <v>9.1852</v>
      </c>
      <c r="D20" s="40">
        <v>10.0624</v>
      </c>
    </row>
    <row r="21" spans="1:4" x14ac:dyDescent="0.2">
      <c r="A21" s="9" t="s">
        <v>74</v>
      </c>
      <c r="C21" s="40">
        <v>9.9594000000000005</v>
      </c>
      <c r="D21" s="40">
        <v>10.959099999999999</v>
      </c>
    </row>
    <row r="22" spans="1:4" x14ac:dyDescent="0.2">
      <c r="A22" s="9" t="s">
        <v>78</v>
      </c>
      <c r="C22" s="40">
        <v>9.9594000000000005</v>
      </c>
      <c r="D22" s="40">
        <v>10.959099999999999</v>
      </c>
    </row>
    <row r="24" spans="1:4" x14ac:dyDescent="0.2">
      <c r="A24" s="9" t="s">
        <v>45</v>
      </c>
    </row>
    <row r="26" spans="1:4" x14ac:dyDescent="0.2">
      <c r="A26" s="18" t="s">
        <v>46</v>
      </c>
      <c r="D26" s="41" t="s">
        <v>47</v>
      </c>
    </row>
    <row r="28" spans="1:4" x14ac:dyDescent="0.2">
      <c r="A28" s="18" t="s">
        <v>220</v>
      </c>
      <c r="D28" s="45">
        <v>9.5799999999999996E-2</v>
      </c>
    </row>
    <row r="30" spans="1:4" x14ac:dyDescent="0.2">
      <c r="A30" s="18" t="s">
        <v>97</v>
      </c>
    </row>
    <row r="31" spans="1:4" x14ac:dyDescent="0.2">
      <c r="A31" s="46" t="s">
        <v>51</v>
      </c>
    </row>
  </sheetData>
  <mergeCells count="1">
    <mergeCell ref="A1:E1"/>
  </mergeCells>
  <conditionalFormatting sqref="E5:E13">
    <cfRule type="cellIs" dxfId="9" priority="1" stopIfTrue="1" operator="between">
      <formula>0.009</formula>
      <formula>-0.009</formula>
    </cfRule>
  </conditionalFormatting>
  <hyperlinks>
    <hyperlink ref="A31" r:id="rId1" tooltip="https://www.franklintempletonindia.com/downloadsServlet/pdf/product-labels-jg9o5k7l" xr:uid="{00000000-0004-0000-2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42"/>
  <sheetViews>
    <sheetView workbookViewId="0">
      <selection sqref="A1:E1"/>
    </sheetView>
  </sheetViews>
  <sheetFormatPr defaultColWidth="9.109375" defaultRowHeight="10.199999999999999" x14ac:dyDescent="0.2"/>
  <cols>
    <col min="1" max="1" width="34.4414062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69" t="s">
        <v>24</v>
      </c>
      <c r="B1" s="70"/>
      <c r="C1" s="70"/>
      <c r="D1" s="70"/>
      <c r="E1" s="7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v>
      </c>
      <c r="B5" s="22"/>
      <c r="C5" s="23"/>
      <c r="D5" s="24"/>
      <c r="E5" s="25"/>
    </row>
    <row r="6" spans="1:8" x14ac:dyDescent="0.2">
      <c r="A6" s="27" t="s">
        <v>694</v>
      </c>
      <c r="B6" s="47" t="s">
        <v>693</v>
      </c>
      <c r="C6" s="31">
        <v>312995.962</v>
      </c>
      <c r="D6" s="29">
        <v>2322.8907680000002</v>
      </c>
      <c r="E6" s="30">
        <v>44.489847538656299</v>
      </c>
    </row>
    <row r="7" spans="1:8" x14ac:dyDescent="0.2">
      <c r="A7" s="27" t="s">
        <v>696</v>
      </c>
      <c r="B7" s="47" t="s">
        <v>695</v>
      </c>
      <c r="C7" s="31">
        <v>2029546</v>
      </c>
      <c r="D7" s="29">
        <v>828.66363179999996</v>
      </c>
      <c r="E7" s="30">
        <v>15.8712235407236</v>
      </c>
    </row>
    <row r="8" spans="1:8" x14ac:dyDescent="0.2">
      <c r="A8" s="27" t="s">
        <v>698</v>
      </c>
      <c r="B8" s="47" t="s">
        <v>697</v>
      </c>
      <c r="C8" s="31">
        <v>5825.6719999999996</v>
      </c>
      <c r="D8" s="29">
        <v>182.6368737</v>
      </c>
      <c r="E8" s="30">
        <v>3.4980063538871602</v>
      </c>
    </row>
    <row r="9" spans="1:8" ht="20.399999999999999" x14ac:dyDescent="0.2">
      <c r="A9" s="27" t="s">
        <v>699</v>
      </c>
      <c r="B9" s="47" t="s">
        <v>725</v>
      </c>
      <c r="C9" s="31">
        <v>5159.3100000000004</v>
      </c>
      <c r="D9" s="29">
        <v>110.6397262</v>
      </c>
      <c r="E9" s="30">
        <v>2.1190598448134499</v>
      </c>
    </row>
    <row r="10" spans="1:8" ht="20.399999999999999" x14ac:dyDescent="0.2">
      <c r="A10" s="27" t="s">
        <v>701</v>
      </c>
      <c r="B10" s="47" t="s">
        <v>700</v>
      </c>
      <c r="C10" s="31">
        <v>23973.544999999998</v>
      </c>
      <c r="D10" s="48">
        <v>0</v>
      </c>
      <c r="E10" s="29">
        <v>0</v>
      </c>
    </row>
    <row r="11" spans="1:8" ht="20.399999999999999" x14ac:dyDescent="0.2">
      <c r="A11" s="27" t="s">
        <v>703</v>
      </c>
      <c r="B11" s="47" t="s">
        <v>702</v>
      </c>
      <c r="C11" s="31">
        <v>22876.138999999999</v>
      </c>
      <c r="D11" s="48">
        <v>0</v>
      </c>
      <c r="E11" s="29">
        <v>0</v>
      </c>
    </row>
    <row r="12" spans="1:8" x14ac:dyDescent="0.2">
      <c r="A12" s="26" t="s">
        <v>34</v>
      </c>
      <c r="B12" s="26"/>
      <c r="C12" s="32"/>
      <c r="D12" s="33">
        <f>SUM(D6:D11)</f>
        <v>3444.8309997000001</v>
      </c>
      <c r="E12" s="34">
        <f>SUM(E6:E11)</f>
        <v>65.97813727808051</v>
      </c>
      <c r="F12" s="18"/>
      <c r="G12" s="18"/>
      <c r="H12" s="18"/>
    </row>
    <row r="13" spans="1:8" x14ac:dyDescent="0.2">
      <c r="A13" s="27"/>
      <c r="B13" s="27"/>
      <c r="C13" s="28"/>
      <c r="D13" s="29"/>
      <c r="E13" s="30"/>
    </row>
    <row r="14" spans="1:8" x14ac:dyDescent="0.2">
      <c r="A14" s="26" t="s">
        <v>36</v>
      </c>
      <c r="B14" s="26"/>
      <c r="C14" s="32"/>
      <c r="D14" s="33">
        <f>D12</f>
        <v>3444.8309997000001</v>
      </c>
      <c r="E14" s="34">
        <f>E12</f>
        <v>65.97813727808051</v>
      </c>
      <c r="F14" s="18"/>
      <c r="G14" s="18"/>
      <c r="H14" s="18"/>
    </row>
    <row r="15" spans="1:8" x14ac:dyDescent="0.2">
      <c r="A15" s="26"/>
      <c r="B15" s="26"/>
      <c r="C15" s="32"/>
      <c r="D15" s="33"/>
      <c r="E15" s="34"/>
      <c r="F15" s="18"/>
      <c r="G15" s="18"/>
      <c r="H15" s="18"/>
    </row>
    <row r="16" spans="1:8" x14ac:dyDescent="0.2">
      <c r="A16" s="26" t="s">
        <v>38</v>
      </c>
      <c r="B16" s="26"/>
      <c r="C16" s="32"/>
      <c r="D16" s="33">
        <f>D18-(D12)</f>
        <v>1776.3394391999996</v>
      </c>
      <c r="E16" s="34">
        <f>E18-(E12)</f>
        <v>34.02186272191949</v>
      </c>
      <c r="F16" s="18"/>
      <c r="G16" s="18"/>
      <c r="H16" s="18"/>
    </row>
    <row r="17" spans="1:8" x14ac:dyDescent="0.2">
      <c r="A17" s="26"/>
      <c r="B17" s="26"/>
      <c r="C17" s="32"/>
      <c r="D17" s="33"/>
      <c r="E17" s="34"/>
      <c r="F17" s="18"/>
      <c r="G17" s="18"/>
      <c r="H17" s="18"/>
    </row>
    <row r="18" spans="1:8" x14ac:dyDescent="0.2">
      <c r="A18" s="35" t="s">
        <v>37</v>
      </c>
      <c r="B18" s="35"/>
      <c r="C18" s="36"/>
      <c r="D18" s="37">
        <v>5221.1704388999997</v>
      </c>
      <c r="E18" s="38">
        <v>100</v>
      </c>
      <c r="F18" s="18"/>
      <c r="G18" s="18"/>
      <c r="H18" s="18"/>
    </row>
    <row r="20" spans="1:8" x14ac:dyDescent="0.2">
      <c r="A20" s="18" t="s">
        <v>726</v>
      </c>
    </row>
    <row r="21" spans="1:8" ht="24.75" customHeight="1" x14ac:dyDescent="0.3">
      <c r="A21" s="80" t="s">
        <v>727</v>
      </c>
      <c r="B21" s="81"/>
      <c r="C21" s="81"/>
      <c r="D21" s="81"/>
      <c r="E21" s="81"/>
    </row>
    <row r="23" spans="1:8" x14ac:dyDescent="0.2">
      <c r="A23" s="18" t="s">
        <v>40</v>
      </c>
    </row>
    <row r="24" spans="1:8" x14ac:dyDescent="0.2">
      <c r="A24" s="18" t="s">
        <v>41</v>
      </c>
    </row>
    <row r="25" spans="1:8" x14ac:dyDescent="0.2">
      <c r="A25" s="18" t="s">
        <v>42</v>
      </c>
      <c r="B25" s="18"/>
      <c r="C25" s="39" t="s">
        <v>44</v>
      </c>
      <c r="D25" s="41" t="s">
        <v>43</v>
      </c>
    </row>
    <row r="26" spans="1:8" x14ac:dyDescent="0.2">
      <c r="A26" s="9" t="s">
        <v>71</v>
      </c>
      <c r="C26" s="40">
        <v>11.860200000000001</v>
      </c>
      <c r="D26" s="40">
        <v>13.7851</v>
      </c>
    </row>
    <row r="27" spans="1:8" x14ac:dyDescent="0.2">
      <c r="A27" s="9" t="s">
        <v>77</v>
      </c>
      <c r="C27" s="40">
        <v>11.860200000000001</v>
      </c>
      <c r="D27" s="40">
        <v>13.7851</v>
      </c>
    </row>
    <row r="28" spans="1:8" x14ac:dyDescent="0.2">
      <c r="A28" s="9" t="s">
        <v>74</v>
      </c>
      <c r="C28" s="40">
        <v>12.825900000000001</v>
      </c>
      <c r="D28" s="40">
        <v>14.979200000000001</v>
      </c>
    </row>
    <row r="29" spans="1:8" x14ac:dyDescent="0.2">
      <c r="A29" s="9" t="s">
        <v>78</v>
      </c>
      <c r="C29" s="40">
        <v>12.825900000000001</v>
      </c>
      <c r="D29" s="40">
        <v>14.979200000000001</v>
      </c>
    </row>
    <row r="31" spans="1:8" x14ac:dyDescent="0.2">
      <c r="A31" s="9" t="s">
        <v>45</v>
      </c>
    </row>
    <row r="33" spans="1:4" x14ac:dyDescent="0.2">
      <c r="A33" s="18" t="s">
        <v>46</v>
      </c>
      <c r="D33" s="41" t="s">
        <v>47</v>
      </c>
    </row>
    <row r="35" spans="1:4" x14ac:dyDescent="0.2">
      <c r="A35" s="18" t="s">
        <v>220</v>
      </c>
      <c r="D35" s="45">
        <v>0.63360000000000005</v>
      </c>
    </row>
    <row r="37" spans="1:4" x14ac:dyDescent="0.2">
      <c r="A37" s="18" t="s">
        <v>49</v>
      </c>
      <c r="D37" s="41" t="s">
        <v>47</v>
      </c>
    </row>
    <row r="38" spans="1:4" x14ac:dyDescent="0.2">
      <c r="A38" s="9" t="s">
        <v>53</v>
      </c>
      <c r="D38" s="41"/>
    </row>
    <row r="39" spans="1:4" x14ac:dyDescent="0.2">
      <c r="A39" s="46" t="s">
        <v>724</v>
      </c>
      <c r="D39" s="41"/>
    </row>
    <row r="41" spans="1:4" x14ac:dyDescent="0.2">
      <c r="A41" s="18" t="s">
        <v>97</v>
      </c>
    </row>
    <row r="42" spans="1:4" x14ac:dyDescent="0.2">
      <c r="A42" s="46" t="s">
        <v>51</v>
      </c>
    </row>
  </sheetData>
  <mergeCells count="2">
    <mergeCell ref="A1:E1"/>
    <mergeCell ref="A21:E21"/>
  </mergeCells>
  <conditionalFormatting sqref="E5:E9 E12:E18">
    <cfRule type="cellIs" dxfId="8" priority="1" stopIfTrue="1" operator="between">
      <formula>0.009</formula>
      <formula>-0.009</formula>
    </cfRule>
  </conditionalFormatting>
  <hyperlinks>
    <hyperlink ref="A42" r:id="rId1" tooltip="https://www.franklintempletonindia.com/downloadsServlet/pdf/product-labels-jg9o5k7l" xr:uid="{00000000-0004-0000-2C00-000000000000}"/>
    <hyperlink ref="A39" r:id="rId2" xr:uid="{00000000-0004-0000-2C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36"/>
  <sheetViews>
    <sheetView workbookViewId="0">
      <selection sqref="A1:E1"/>
    </sheetView>
  </sheetViews>
  <sheetFormatPr defaultColWidth="9.109375" defaultRowHeight="10.199999999999999" x14ac:dyDescent="0.2"/>
  <cols>
    <col min="1" max="2" width="34.44140625" style="9" bestFit="1"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69" t="s">
        <v>25</v>
      </c>
      <c r="B1" s="70"/>
      <c r="C1" s="70"/>
      <c r="D1" s="70"/>
      <c r="E1" s="7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v>
      </c>
      <c r="B5" s="22"/>
      <c r="C5" s="23"/>
      <c r="D5" s="24"/>
      <c r="E5" s="25"/>
    </row>
    <row r="6" spans="1:8" x14ac:dyDescent="0.2">
      <c r="A6" s="27" t="s">
        <v>705</v>
      </c>
      <c r="B6" s="27" t="s">
        <v>704</v>
      </c>
      <c r="C6" s="31">
        <v>3826876.7439999999</v>
      </c>
      <c r="D6" s="29">
        <v>1554.5002950000001</v>
      </c>
      <c r="E6" s="30">
        <v>77.978069340478797</v>
      </c>
    </row>
    <row r="7" spans="1:8" x14ac:dyDescent="0.2">
      <c r="A7" s="27" t="s">
        <v>694</v>
      </c>
      <c r="B7" s="27" t="s">
        <v>693</v>
      </c>
      <c r="C7" s="31">
        <v>27237.374</v>
      </c>
      <c r="D7" s="29">
        <v>202.14140850000001</v>
      </c>
      <c r="E7" s="30">
        <v>10.1399766981678</v>
      </c>
    </row>
    <row r="8" spans="1:8" x14ac:dyDescent="0.2">
      <c r="A8" s="27" t="s">
        <v>707</v>
      </c>
      <c r="B8" s="27" t="s">
        <v>706</v>
      </c>
      <c r="C8" s="31">
        <v>50614.184999999998</v>
      </c>
      <c r="D8" s="29">
        <v>201.35628639999999</v>
      </c>
      <c r="E8" s="30">
        <v>10.1005927844102</v>
      </c>
    </row>
    <row r="9" spans="1:8" x14ac:dyDescent="0.2">
      <c r="A9" s="26" t="s">
        <v>34</v>
      </c>
      <c r="B9" s="26"/>
      <c r="C9" s="32"/>
      <c r="D9" s="33">
        <f>SUM(D6:D8)</f>
        <v>1957.9979899</v>
      </c>
      <c r="E9" s="34">
        <f>SUM(E6:E8)</f>
        <v>98.218638823056793</v>
      </c>
      <c r="F9" s="18"/>
      <c r="G9" s="18"/>
      <c r="H9" s="18"/>
    </row>
    <row r="10" spans="1:8" x14ac:dyDescent="0.2">
      <c r="A10" s="27"/>
      <c r="B10" s="27"/>
      <c r="C10" s="28"/>
      <c r="D10" s="29"/>
      <c r="E10" s="30"/>
    </row>
    <row r="11" spans="1:8" x14ac:dyDescent="0.2">
      <c r="A11" s="26" t="s">
        <v>36</v>
      </c>
      <c r="B11" s="26"/>
      <c r="C11" s="32"/>
      <c r="D11" s="33">
        <f>D9</f>
        <v>1957.9979899</v>
      </c>
      <c r="E11" s="34">
        <f>E9</f>
        <v>98.218638823056793</v>
      </c>
      <c r="F11" s="18"/>
      <c r="G11" s="18"/>
      <c r="H11" s="18"/>
    </row>
    <row r="12" spans="1:8" x14ac:dyDescent="0.2">
      <c r="A12" s="26"/>
      <c r="B12" s="26"/>
      <c r="C12" s="32"/>
      <c r="D12" s="33"/>
      <c r="E12" s="34"/>
      <c r="F12" s="18"/>
      <c r="G12" s="18"/>
      <c r="H12" s="18"/>
    </row>
    <row r="13" spans="1:8" x14ac:dyDescent="0.2">
      <c r="A13" s="26" t="s">
        <v>38</v>
      </c>
      <c r="B13" s="26"/>
      <c r="C13" s="32"/>
      <c r="D13" s="33">
        <f>D15-(D9)</f>
        <v>35.511606000000029</v>
      </c>
      <c r="E13" s="34">
        <f>E15-(E9)</f>
        <v>1.7813611769432072</v>
      </c>
      <c r="F13" s="18"/>
      <c r="G13" s="18"/>
      <c r="H13" s="18"/>
    </row>
    <row r="14" spans="1:8" x14ac:dyDescent="0.2">
      <c r="A14" s="26"/>
      <c r="B14" s="26"/>
      <c r="C14" s="32"/>
      <c r="D14" s="33"/>
      <c r="E14" s="34"/>
      <c r="F14" s="18"/>
      <c r="G14" s="18"/>
      <c r="H14" s="18"/>
    </row>
    <row r="15" spans="1:8" x14ac:dyDescent="0.2">
      <c r="A15" s="35" t="s">
        <v>37</v>
      </c>
      <c r="B15" s="35"/>
      <c r="C15" s="36"/>
      <c r="D15" s="37">
        <v>1993.5095959</v>
      </c>
      <c r="E15" s="38">
        <v>100</v>
      </c>
      <c r="F15" s="18"/>
      <c r="G15" s="18"/>
      <c r="H15" s="18"/>
    </row>
    <row r="18" spans="1:4" x14ac:dyDescent="0.2">
      <c r="A18" s="18" t="s">
        <v>40</v>
      </c>
    </row>
    <row r="19" spans="1:4" x14ac:dyDescent="0.2">
      <c r="A19" s="18" t="s">
        <v>41</v>
      </c>
    </row>
    <row r="20" spans="1:4" x14ac:dyDescent="0.2">
      <c r="A20" s="18" t="s">
        <v>42</v>
      </c>
      <c r="B20" s="18"/>
      <c r="C20" s="39" t="s">
        <v>44</v>
      </c>
      <c r="D20" s="41" t="s">
        <v>43</v>
      </c>
    </row>
    <row r="21" spans="1:4" x14ac:dyDescent="0.2">
      <c r="A21" s="9" t="s">
        <v>91</v>
      </c>
      <c r="C21" s="40">
        <v>43.8324</v>
      </c>
      <c r="D21" s="40">
        <v>45.741900000000001</v>
      </c>
    </row>
    <row r="22" spans="1:4" x14ac:dyDescent="0.2">
      <c r="A22" s="9" t="s">
        <v>708</v>
      </c>
      <c r="C22" s="40">
        <v>14.447699999999999</v>
      </c>
      <c r="D22" s="40">
        <v>14.5311</v>
      </c>
    </row>
    <row r="23" spans="1:4" x14ac:dyDescent="0.2">
      <c r="A23" s="9" t="s">
        <v>92</v>
      </c>
      <c r="C23" s="40">
        <v>45.434899999999999</v>
      </c>
      <c r="D23" s="40">
        <v>47.560099999999998</v>
      </c>
    </row>
    <row r="24" spans="1:4" x14ac:dyDescent="0.2">
      <c r="A24" s="9" t="s">
        <v>709</v>
      </c>
      <c r="C24" s="40">
        <v>15.023099999999999</v>
      </c>
      <c r="D24" s="40">
        <v>15.1595</v>
      </c>
    </row>
    <row r="26" spans="1:4" x14ac:dyDescent="0.2">
      <c r="A26" s="18" t="s">
        <v>46</v>
      </c>
    </row>
    <row r="27" spans="1:4" x14ac:dyDescent="0.2">
      <c r="A27" s="71" t="s">
        <v>67</v>
      </c>
      <c r="B27" s="72"/>
      <c r="C27" s="43" t="s">
        <v>68</v>
      </c>
    </row>
    <row r="28" spans="1:4" x14ac:dyDescent="0.2">
      <c r="A28" s="67" t="s">
        <v>708</v>
      </c>
      <c r="B28" s="68"/>
      <c r="C28" s="44">
        <v>0.53</v>
      </c>
    </row>
    <row r="29" spans="1:4" x14ac:dyDescent="0.2">
      <c r="A29" s="67" t="s">
        <v>709</v>
      </c>
      <c r="B29" s="68"/>
      <c r="C29" s="44">
        <v>0.53</v>
      </c>
    </row>
    <row r="30" spans="1:4" x14ac:dyDescent="0.2">
      <c r="A30" s="9" t="s">
        <v>69</v>
      </c>
    </row>
    <row r="31" spans="1:4" x14ac:dyDescent="0.2">
      <c r="A31" s="9" t="s">
        <v>45</v>
      </c>
    </row>
    <row r="33" spans="1:4" x14ac:dyDescent="0.2">
      <c r="A33" s="18" t="s">
        <v>220</v>
      </c>
      <c r="D33" s="45">
        <v>6.0499999999999998E-2</v>
      </c>
    </row>
    <row r="35" spans="1:4" x14ac:dyDescent="0.2">
      <c r="A35" s="18" t="s">
        <v>97</v>
      </c>
    </row>
    <row r="36" spans="1:4" x14ac:dyDescent="0.2">
      <c r="A36" s="46" t="s">
        <v>51</v>
      </c>
    </row>
  </sheetData>
  <mergeCells count="4">
    <mergeCell ref="A1:E1"/>
    <mergeCell ref="A27:B27"/>
    <mergeCell ref="A28:B28"/>
    <mergeCell ref="A29:B29"/>
  </mergeCells>
  <conditionalFormatting sqref="E5:E15">
    <cfRule type="cellIs" dxfId="7" priority="1" stopIfTrue="1" operator="between">
      <formula>0.009</formula>
      <formula>-0.009</formula>
    </cfRule>
  </conditionalFormatting>
  <hyperlinks>
    <hyperlink ref="A36" r:id="rId1" tooltip="https://www.franklintempletonindia.com/downloadsServlet/pdf/product-labels-jg9o5k7l" xr:uid="{00000000-0004-0000-2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45"/>
  <sheetViews>
    <sheetView showGridLines="0" workbookViewId="0">
      <selection sqref="A1:E1"/>
    </sheetView>
  </sheetViews>
  <sheetFormatPr defaultColWidth="9.109375" defaultRowHeight="10.199999999999999" x14ac:dyDescent="0.2"/>
  <cols>
    <col min="1" max="1" width="34.44140625" style="9" bestFit="1" customWidth="1"/>
    <col min="2" max="2" width="50.6640625" style="9" customWidth="1"/>
    <col min="3" max="3" width="24.6640625" style="9" customWidth="1"/>
    <col min="4" max="4" width="23" style="10" bestFit="1" customWidth="1"/>
    <col min="5" max="5" width="13.5546875" style="13" customWidth="1"/>
    <col min="6" max="16384" width="9.109375" style="9"/>
  </cols>
  <sheetData>
    <row r="1" spans="1:8" s="1" customFormat="1" ht="13.8" x14ac:dyDescent="0.2">
      <c r="A1" s="69" t="s">
        <v>26</v>
      </c>
      <c r="B1" s="70"/>
      <c r="C1" s="70"/>
      <c r="D1" s="70"/>
      <c r="E1" s="7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v>
      </c>
      <c r="B5" s="22"/>
      <c r="C5" s="23"/>
      <c r="D5" s="24"/>
      <c r="E5" s="25"/>
    </row>
    <row r="6" spans="1:8" x14ac:dyDescent="0.2">
      <c r="A6" s="27" t="s">
        <v>711</v>
      </c>
      <c r="B6" s="47" t="s">
        <v>710</v>
      </c>
      <c r="C6" s="31">
        <v>1468476.4180000001</v>
      </c>
      <c r="D6" s="29">
        <v>1230.2425519999999</v>
      </c>
      <c r="E6" s="30">
        <v>73.595753992854696</v>
      </c>
    </row>
    <row r="7" spans="1:8" x14ac:dyDescent="0.2">
      <c r="A7" s="27" t="s">
        <v>694</v>
      </c>
      <c r="B7" s="47" t="s">
        <v>693</v>
      </c>
      <c r="C7" s="31">
        <v>22715.069</v>
      </c>
      <c r="D7" s="29">
        <v>168.5792486</v>
      </c>
      <c r="E7" s="30">
        <v>10.084773029591901</v>
      </c>
    </row>
    <row r="8" spans="1:8" x14ac:dyDescent="0.2">
      <c r="A8" s="27" t="s">
        <v>707</v>
      </c>
      <c r="B8" s="47" t="s">
        <v>706</v>
      </c>
      <c r="C8" s="31">
        <v>42293.752</v>
      </c>
      <c r="D8" s="29">
        <v>168.2554572</v>
      </c>
      <c r="E8" s="30">
        <v>10.0654031320211</v>
      </c>
    </row>
    <row r="9" spans="1:8" ht="12" customHeight="1" x14ac:dyDescent="0.2">
      <c r="A9" s="27" t="s">
        <v>712</v>
      </c>
      <c r="B9" s="47" t="s">
        <v>728</v>
      </c>
      <c r="C9" s="31">
        <v>49574.875999999997</v>
      </c>
      <c r="D9" s="29">
        <v>19.242785600000001</v>
      </c>
      <c r="E9" s="30">
        <v>1.1511447989281101</v>
      </c>
    </row>
    <row r="10" spans="1:8" ht="20.399999999999999" x14ac:dyDescent="0.2">
      <c r="A10" s="27" t="s">
        <v>714</v>
      </c>
      <c r="B10" s="47" t="s">
        <v>713</v>
      </c>
      <c r="C10" s="31">
        <v>489502.28</v>
      </c>
      <c r="D10" s="29">
        <v>0</v>
      </c>
      <c r="E10" s="29">
        <v>0</v>
      </c>
    </row>
    <row r="11" spans="1:8" ht="20.399999999999999" x14ac:dyDescent="0.2">
      <c r="A11" s="27" t="s">
        <v>716</v>
      </c>
      <c r="B11" s="47" t="s">
        <v>715</v>
      </c>
      <c r="C11" s="31">
        <v>371180.549</v>
      </c>
      <c r="D11" s="29">
        <v>0</v>
      </c>
      <c r="E11" s="29">
        <v>0</v>
      </c>
    </row>
    <row r="12" spans="1:8" x14ac:dyDescent="0.2">
      <c r="A12" s="26" t="s">
        <v>34</v>
      </c>
      <c r="B12" s="26"/>
      <c r="C12" s="32"/>
      <c r="D12" s="33">
        <f>SUM(D6:D11)</f>
        <v>1586.3200433999998</v>
      </c>
      <c r="E12" s="34">
        <f>SUM(E6:E11)</f>
        <v>94.897074953395816</v>
      </c>
      <c r="F12" s="18"/>
      <c r="G12" s="18"/>
      <c r="H12" s="18"/>
    </row>
    <row r="13" spans="1:8" x14ac:dyDescent="0.2">
      <c r="A13" s="27"/>
      <c r="B13" s="27"/>
      <c r="C13" s="28"/>
      <c r="D13" s="29"/>
      <c r="E13" s="30"/>
    </row>
    <row r="14" spans="1:8" x14ac:dyDescent="0.2">
      <c r="A14" s="26" t="s">
        <v>36</v>
      </c>
      <c r="B14" s="26"/>
      <c r="C14" s="32"/>
      <c r="D14" s="33">
        <f>D12</f>
        <v>1586.3200433999998</v>
      </c>
      <c r="E14" s="34">
        <f>E12</f>
        <v>94.897074953395816</v>
      </c>
      <c r="F14" s="18"/>
      <c r="G14" s="18"/>
      <c r="H14" s="18"/>
    </row>
    <row r="15" spans="1:8" x14ac:dyDescent="0.2">
      <c r="A15" s="26"/>
      <c r="B15" s="26"/>
      <c r="C15" s="32"/>
      <c r="D15" s="33"/>
      <c r="E15" s="34"/>
      <c r="F15" s="18"/>
      <c r="G15" s="18"/>
      <c r="H15" s="18"/>
    </row>
    <row r="16" spans="1:8" x14ac:dyDescent="0.2">
      <c r="A16" s="26" t="s">
        <v>38</v>
      </c>
      <c r="B16" s="26"/>
      <c r="C16" s="32"/>
      <c r="D16" s="33">
        <f>D18-(D12)</f>
        <v>85.301599500000293</v>
      </c>
      <c r="E16" s="34">
        <f>E18-(E12)</f>
        <v>5.1029250466041844</v>
      </c>
      <c r="F16" s="18"/>
      <c r="G16" s="18"/>
      <c r="H16" s="18"/>
    </row>
    <row r="17" spans="1:8" x14ac:dyDescent="0.2">
      <c r="A17" s="26"/>
      <c r="B17" s="26"/>
      <c r="C17" s="32"/>
      <c r="D17" s="33"/>
      <c r="E17" s="34"/>
      <c r="F17" s="18"/>
      <c r="G17" s="18"/>
      <c r="H17" s="18"/>
    </row>
    <row r="18" spans="1:8" x14ac:dyDescent="0.2">
      <c r="A18" s="35" t="s">
        <v>37</v>
      </c>
      <c r="B18" s="35"/>
      <c r="C18" s="36"/>
      <c r="D18" s="37">
        <v>1671.6216429000001</v>
      </c>
      <c r="E18" s="38">
        <v>100</v>
      </c>
      <c r="F18" s="18"/>
      <c r="G18" s="18"/>
      <c r="H18" s="18"/>
    </row>
    <row r="20" spans="1:8" x14ac:dyDescent="0.2">
      <c r="A20" s="18" t="s">
        <v>726</v>
      </c>
    </row>
    <row r="21" spans="1:8" ht="24.75" customHeight="1" x14ac:dyDescent="0.3">
      <c r="A21" s="80" t="s">
        <v>727</v>
      </c>
      <c r="B21" s="81"/>
      <c r="C21" s="81"/>
      <c r="D21" s="81"/>
      <c r="E21" s="81"/>
    </row>
    <row r="22" spans="1:8" ht="14.4" x14ac:dyDescent="0.3">
      <c r="A22" s="49"/>
      <c r="B22" s="50"/>
      <c r="C22" s="50"/>
      <c r="D22" s="50"/>
      <c r="E22" s="50"/>
    </row>
    <row r="23" spans="1:8" x14ac:dyDescent="0.2">
      <c r="A23" s="18" t="s">
        <v>40</v>
      </c>
    </row>
    <row r="24" spans="1:8" x14ac:dyDescent="0.2">
      <c r="A24" s="18" t="s">
        <v>41</v>
      </c>
    </row>
    <row r="25" spans="1:8" x14ac:dyDescent="0.2">
      <c r="A25" s="18" t="s">
        <v>42</v>
      </c>
      <c r="B25" s="18"/>
      <c r="C25" s="39" t="s">
        <v>44</v>
      </c>
      <c r="D25" s="41" t="s">
        <v>43</v>
      </c>
    </row>
    <row r="26" spans="1:8" x14ac:dyDescent="0.2">
      <c r="A26" s="9" t="s">
        <v>91</v>
      </c>
      <c r="C26" s="40">
        <v>31.777100000000001</v>
      </c>
      <c r="D26" s="40">
        <v>35.1999</v>
      </c>
    </row>
    <row r="27" spans="1:8" x14ac:dyDescent="0.2">
      <c r="A27" s="9" t="s">
        <v>708</v>
      </c>
      <c r="C27" s="40">
        <v>10.8805</v>
      </c>
      <c r="D27" s="40">
        <v>11.579499999999999</v>
      </c>
    </row>
    <row r="28" spans="1:8" x14ac:dyDescent="0.2">
      <c r="A28" s="9" t="s">
        <v>92</v>
      </c>
      <c r="C28" s="40">
        <v>33.571100000000001</v>
      </c>
      <c r="D28" s="40">
        <v>37.344099999999997</v>
      </c>
    </row>
    <row r="29" spans="1:8" x14ac:dyDescent="0.2">
      <c r="A29" s="9" t="s">
        <v>709</v>
      </c>
      <c r="C29" s="40">
        <v>11.5137</v>
      </c>
      <c r="D29" s="40">
        <v>12.3322</v>
      </c>
    </row>
    <row r="31" spans="1:8" x14ac:dyDescent="0.2">
      <c r="A31" s="18" t="s">
        <v>46</v>
      </c>
    </row>
    <row r="32" spans="1:8" x14ac:dyDescent="0.2">
      <c r="A32" s="71" t="s">
        <v>67</v>
      </c>
      <c r="B32" s="72"/>
      <c r="C32" s="43" t="s">
        <v>68</v>
      </c>
    </row>
    <row r="33" spans="1:4" x14ac:dyDescent="0.2">
      <c r="A33" s="67" t="s">
        <v>708</v>
      </c>
      <c r="B33" s="68"/>
      <c r="C33" s="44">
        <v>0.44</v>
      </c>
    </row>
    <row r="34" spans="1:4" x14ac:dyDescent="0.2">
      <c r="A34" s="67" t="s">
        <v>709</v>
      </c>
      <c r="B34" s="68"/>
      <c r="C34" s="44">
        <v>0.44</v>
      </c>
    </row>
    <row r="35" spans="1:4" x14ac:dyDescent="0.2">
      <c r="A35" s="9" t="s">
        <v>69</v>
      </c>
    </row>
    <row r="36" spans="1:4" x14ac:dyDescent="0.2">
      <c r="A36" s="9" t="s">
        <v>45</v>
      </c>
    </row>
    <row r="38" spans="1:4" x14ac:dyDescent="0.2">
      <c r="A38" s="18" t="s">
        <v>220</v>
      </c>
      <c r="D38" s="45">
        <v>8.5699999999999998E-2</v>
      </c>
    </row>
    <row r="40" spans="1:4" x14ac:dyDescent="0.2">
      <c r="A40" s="18" t="s">
        <v>49</v>
      </c>
      <c r="D40" s="41" t="s">
        <v>47</v>
      </c>
    </row>
    <row r="41" spans="1:4" x14ac:dyDescent="0.2">
      <c r="A41" s="9" t="s">
        <v>53</v>
      </c>
      <c r="D41" s="41"/>
    </row>
    <row r="42" spans="1:4" x14ac:dyDescent="0.2">
      <c r="A42" s="46" t="s">
        <v>724</v>
      </c>
      <c r="D42" s="41"/>
    </row>
    <row r="44" spans="1:4" x14ac:dyDescent="0.2">
      <c r="A44" s="18" t="s">
        <v>70</v>
      </c>
    </row>
    <row r="45" spans="1:4" x14ac:dyDescent="0.2">
      <c r="A45" s="46" t="s">
        <v>51</v>
      </c>
    </row>
  </sheetData>
  <mergeCells count="5">
    <mergeCell ref="A1:E1"/>
    <mergeCell ref="A32:B32"/>
    <mergeCell ref="A33:B33"/>
    <mergeCell ref="A34:B34"/>
    <mergeCell ref="A21:E21"/>
  </mergeCells>
  <conditionalFormatting sqref="E5:E9 E12:E18">
    <cfRule type="cellIs" dxfId="6" priority="1" stopIfTrue="1" operator="between">
      <formula>0.009</formula>
      <formula>-0.009</formula>
    </cfRule>
  </conditionalFormatting>
  <hyperlinks>
    <hyperlink ref="A45" r:id="rId1" tooltip="https://www.franklintempletonindia.com/downloadsServlet/pdf/product-labels-jg9o5k7l" xr:uid="{00000000-0004-0000-2E00-000000000000}"/>
    <hyperlink ref="A42" r:id="rId2" xr:uid="{00000000-0004-0000-2E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43"/>
  <sheetViews>
    <sheetView showGridLines="0" workbookViewId="0">
      <selection sqref="A1:E1"/>
    </sheetView>
  </sheetViews>
  <sheetFormatPr defaultColWidth="9.109375" defaultRowHeight="10.199999999999999" x14ac:dyDescent="0.2"/>
  <cols>
    <col min="1" max="1" width="34.4414062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69" t="s">
        <v>27</v>
      </c>
      <c r="B1" s="70"/>
      <c r="C1" s="70"/>
      <c r="D1" s="70"/>
      <c r="E1" s="7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v>
      </c>
      <c r="B5" s="22"/>
      <c r="C5" s="23"/>
      <c r="D5" s="24"/>
      <c r="E5" s="25"/>
    </row>
    <row r="6" spans="1:8" x14ac:dyDescent="0.2">
      <c r="A6" s="27" t="s">
        <v>711</v>
      </c>
      <c r="B6" s="47" t="s">
        <v>710</v>
      </c>
      <c r="C6" s="31">
        <v>1402430.216</v>
      </c>
      <c r="D6" s="29">
        <v>1174.911157</v>
      </c>
      <c r="E6" s="30">
        <v>58.544699265042098</v>
      </c>
    </row>
    <row r="7" spans="1:8" x14ac:dyDescent="0.2">
      <c r="A7" s="27" t="s">
        <v>694</v>
      </c>
      <c r="B7" s="47" t="s">
        <v>693</v>
      </c>
      <c r="C7" s="31">
        <v>41019.012000000002</v>
      </c>
      <c r="D7" s="29">
        <v>304.421449</v>
      </c>
      <c r="E7" s="30">
        <v>15.1690296541574</v>
      </c>
    </row>
    <row r="8" spans="1:8" x14ac:dyDescent="0.2">
      <c r="A8" s="27" t="s">
        <v>707</v>
      </c>
      <c r="B8" s="47" t="s">
        <v>706</v>
      </c>
      <c r="C8" s="31">
        <v>50754.762000000002</v>
      </c>
      <c r="D8" s="29">
        <v>201.915538</v>
      </c>
      <c r="E8" s="30">
        <v>10.0612581459631</v>
      </c>
    </row>
    <row r="9" spans="1:8" x14ac:dyDescent="0.2">
      <c r="A9" s="27" t="s">
        <v>718</v>
      </c>
      <c r="B9" s="47" t="s">
        <v>717</v>
      </c>
      <c r="C9" s="31">
        <v>12523.365</v>
      </c>
      <c r="D9" s="29">
        <v>201.54811839999999</v>
      </c>
      <c r="E9" s="30">
        <v>10.0429499786962</v>
      </c>
    </row>
    <row r="10" spans="1:8" ht="23.25" customHeight="1" x14ac:dyDescent="0.2">
      <c r="A10" s="27" t="s">
        <v>712</v>
      </c>
      <c r="B10" s="47" t="s">
        <v>728</v>
      </c>
      <c r="C10" s="31">
        <v>64533.285000000003</v>
      </c>
      <c r="D10" s="29">
        <v>25.0489818</v>
      </c>
      <c r="E10" s="30">
        <v>1.2481668061787901</v>
      </c>
    </row>
    <row r="11" spans="1:8" ht="20.399999999999999" x14ac:dyDescent="0.2">
      <c r="A11" s="27" t="s">
        <v>714</v>
      </c>
      <c r="B11" s="47" t="s">
        <v>713</v>
      </c>
      <c r="C11" s="31">
        <v>631308.71</v>
      </c>
      <c r="D11" s="29">
        <v>0</v>
      </c>
      <c r="E11" s="29">
        <v>0</v>
      </c>
    </row>
    <row r="12" spans="1:8" ht="20.399999999999999" x14ac:dyDescent="0.2">
      <c r="A12" s="27" t="s">
        <v>716</v>
      </c>
      <c r="B12" s="47" t="s">
        <v>715</v>
      </c>
      <c r="C12" s="31">
        <v>584729.58299999998</v>
      </c>
      <c r="D12" s="29">
        <v>0</v>
      </c>
      <c r="E12" s="29">
        <v>0</v>
      </c>
    </row>
    <row r="13" spans="1:8" x14ac:dyDescent="0.2">
      <c r="A13" s="26" t="s">
        <v>34</v>
      </c>
      <c r="B13" s="26"/>
      <c r="C13" s="32"/>
      <c r="D13" s="33">
        <f>SUM(D6:D12)</f>
        <v>1907.8452442</v>
      </c>
      <c r="E13" s="34">
        <f>SUM(E6:E12)</f>
        <v>95.066103850037578</v>
      </c>
      <c r="F13" s="18"/>
      <c r="G13" s="18"/>
      <c r="H13" s="18"/>
    </row>
    <row r="14" spans="1:8" x14ac:dyDescent="0.2">
      <c r="A14" s="27"/>
      <c r="B14" s="27"/>
      <c r="C14" s="28"/>
      <c r="D14" s="29"/>
      <c r="E14" s="30"/>
    </row>
    <row r="15" spans="1:8" x14ac:dyDescent="0.2">
      <c r="A15" s="26" t="s">
        <v>36</v>
      </c>
      <c r="B15" s="26"/>
      <c r="C15" s="32"/>
      <c r="D15" s="33">
        <f>D13</f>
        <v>1907.8452442</v>
      </c>
      <c r="E15" s="34">
        <f>E13</f>
        <v>95.066103850037578</v>
      </c>
      <c r="F15" s="18"/>
      <c r="G15" s="18"/>
      <c r="H15" s="18"/>
    </row>
    <row r="16" spans="1:8" x14ac:dyDescent="0.2">
      <c r="A16" s="26"/>
      <c r="B16" s="26"/>
      <c r="C16" s="32"/>
      <c r="D16" s="33"/>
      <c r="E16" s="34"/>
      <c r="F16" s="18"/>
      <c r="G16" s="18"/>
      <c r="H16" s="18"/>
    </row>
    <row r="17" spans="1:8" x14ac:dyDescent="0.2">
      <c r="A17" s="26" t="s">
        <v>38</v>
      </c>
      <c r="B17" s="26"/>
      <c r="C17" s="32"/>
      <c r="D17" s="33">
        <f>D19-(D13)</f>
        <v>99.016472999999905</v>
      </c>
      <c r="E17" s="34">
        <f>E19-(E13)</f>
        <v>4.9338961499624219</v>
      </c>
      <c r="F17" s="18"/>
      <c r="G17" s="18"/>
      <c r="H17" s="18"/>
    </row>
    <row r="18" spans="1:8" x14ac:dyDescent="0.2">
      <c r="A18" s="26"/>
      <c r="B18" s="26"/>
      <c r="C18" s="32"/>
      <c r="D18" s="33"/>
      <c r="E18" s="34"/>
      <c r="F18" s="18"/>
      <c r="G18" s="18"/>
      <c r="H18" s="18"/>
    </row>
    <row r="19" spans="1:8" x14ac:dyDescent="0.2">
      <c r="A19" s="35" t="s">
        <v>37</v>
      </c>
      <c r="B19" s="35"/>
      <c r="C19" s="36"/>
      <c r="D19" s="37">
        <v>2006.8617171999999</v>
      </c>
      <c r="E19" s="38">
        <v>100</v>
      </c>
      <c r="F19" s="18"/>
      <c r="G19" s="18"/>
      <c r="H19" s="18"/>
    </row>
    <row r="21" spans="1:8" x14ac:dyDescent="0.2">
      <c r="A21" s="18" t="s">
        <v>726</v>
      </c>
      <c r="C21" s="10"/>
      <c r="D21" s="13"/>
      <c r="E21" s="14"/>
    </row>
    <row r="22" spans="1:8" ht="28.5" customHeight="1" x14ac:dyDescent="0.3">
      <c r="A22" s="80" t="s">
        <v>727</v>
      </c>
      <c r="B22" s="81"/>
      <c r="C22" s="81"/>
      <c r="D22" s="81"/>
      <c r="E22" s="81"/>
    </row>
    <row r="23" spans="1:8" ht="14.4" x14ac:dyDescent="0.3">
      <c r="A23" s="49"/>
      <c r="B23" s="50"/>
      <c r="C23" s="50"/>
      <c r="D23" s="50"/>
      <c r="E23" s="50"/>
    </row>
    <row r="24" spans="1:8" x14ac:dyDescent="0.2">
      <c r="A24" s="18" t="s">
        <v>40</v>
      </c>
    </row>
    <row r="25" spans="1:8" x14ac:dyDescent="0.2">
      <c r="A25" s="18" t="s">
        <v>41</v>
      </c>
    </row>
    <row r="26" spans="1:8" x14ac:dyDescent="0.2">
      <c r="A26" s="18" t="s">
        <v>42</v>
      </c>
      <c r="B26" s="18"/>
      <c r="C26" s="39" t="s">
        <v>44</v>
      </c>
      <c r="D26" s="41" t="s">
        <v>43</v>
      </c>
    </row>
    <row r="27" spans="1:8" x14ac:dyDescent="0.2">
      <c r="A27" s="9" t="s">
        <v>91</v>
      </c>
      <c r="C27" s="40">
        <v>49.206099999999999</v>
      </c>
      <c r="D27" s="40">
        <v>55.731000000000002</v>
      </c>
    </row>
    <row r="28" spans="1:8" x14ac:dyDescent="0.2">
      <c r="A28" s="9" t="s">
        <v>708</v>
      </c>
      <c r="C28" s="40">
        <v>12.8775</v>
      </c>
      <c r="D28" s="40">
        <v>14.5846</v>
      </c>
    </row>
    <row r="29" spans="1:8" x14ac:dyDescent="0.2">
      <c r="A29" s="9" t="s">
        <v>92</v>
      </c>
      <c r="C29" s="40">
        <v>51.928100000000001</v>
      </c>
      <c r="D29" s="40">
        <v>59.052700000000002</v>
      </c>
    </row>
    <row r="30" spans="1:8" x14ac:dyDescent="0.2">
      <c r="A30" s="9" t="s">
        <v>709</v>
      </c>
      <c r="C30" s="40">
        <v>13.580299999999999</v>
      </c>
      <c r="D30" s="40">
        <v>15.436400000000001</v>
      </c>
    </row>
    <row r="32" spans="1:8" x14ac:dyDescent="0.2">
      <c r="A32" s="9" t="s">
        <v>45</v>
      </c>
    </row>
    <row r="34" spans="1:4" x14ac:dyDescent="0.2">
      <c r="A34" s="18" t="s">
        <v>46</v>
      </c>
      <c r="D34" s="41" t="s">
        <v>47</v>
      </c>
    </row>
    <row r="36" spans="1:4" x14ac:dyDescent="0.2">
      <c r="A36" s="18" t="s">
        <v>220</v>
      </c>
      <c r="D36" s="45">
        <v>0.1196</v>
      </c>
    </row>
    <row r="38" spans="1:4" x14ac:dyDescent="0.2">
      <c r="A38" s="18" t="s">
        <v>49</v>
      </c>
      <c r="D38" s="41" t="s">
        <v>47</v>
      </c>
    </row>
    <row r="39" spans="1:4" x14ac:dyDescent="0.2">
      <c r="A39" s="9" t="s">
        <v>53</v>
      </c>
      <c r="D39" s="41"/>
    </row>
    <row r="40" spans="1:4" x14ac:dyDescent="0.2">
      <c r="A40" s="46" t="s">
        <v>724</v>
      </c>
      <c r="D40" s="41"/>
    </row>
    <row r="42" spans="1:4" x14ac:dyDescent="0.2">
      <c r="A42" s="18" t="s">
        <v>70</v>
      </c>
    </row>
    <row r="43" spans="1:4" x14ac:dyDescent="0.2">
      <c r="A43" s="46" t="s">
        <v>51</v>
      </c>
    </row>
  </sheetData>
  <mergeCells count="2">
    <mergeCell ref="A1:E1"/>
    <mergeCell ref="A22:E22"/>
  </mergeCells>
  <conditionalFormatting sqref="E21">
    <cfRule type="cellIs" dxfId="5" priority="2" stopIfTrue="1" operator="between">
      <formula>0.009</formula>
      <formula>-0.009</formula>
    </cfRule>
  </conditionalFormatting>
  <conditionalFormatting sqref="E5:E10 E13:E19">
    <cfRule type="cellIs" dxfId="4" priority="1" stopIfTrue="1" operator="between">
      <formula>0.009</formula>
      <formula>-0.009</formula>
    </cfRule>
  </conditionalFormatting>
  <hyperlinks>
    <hyperlink ref="A43" r:id="rId1" tooltip="https://www.franklintempletonindia.com/downloadsServlet/pdf/product-labels-jg9o5k7l" xr:uid="{00000000-0004-0000-2F00-000000000000}"/>
    <hyperlink ref="A40" r:id="rId2" xr:uid="{00000000-0004-0000-2F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43"/>
  <sheetViews>
    <sheetView workbookViewId="0">
      <selection sqref="A1:E1"/>
    </sheetView>
  </sheetViews>
  <sheetFormatPr defaultColWidth="9.109375" defaultRowHeight="10.199999999999999" x14ac:dyDescent="0.2"/>
  <cols>
    <col min="1" max="1" width="34.4414062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69" t="s">
        <v>28</v>
      </c>
      <c r="B1" s="70"/>
      <c r="C1" s="70"/>
      <c r="D1" s="70"/>
      <c r="E1" s="7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v>
      </c>
      <c r="B5" s="22"/>
      <c r="C5" s="23"/>
      <c r="D5" s="24"/>
      <c r="E5" s="25"/>
    </row>
    <row r="6" spans="1:8" x14ac:dyDescent="0.2">
      <c r="A6" s="27" t="s">
        <v>711</v>
      </c>
      <c r="B6" s="47" t="s">
        <v>710</v>
      </c>
      <c r="C6" s="31">
        <v>294207.52100000001</v>
      </c>
      <c r="D6" s="29">
        <v>246.47764649999999</v>
      </c>
      <c r="E6" s="30">
        <v>38.775642949943098</v>
      </c>
    </row>
    <row r="7" spans="1:8" x14ac:dyDescent="0.2">
      <c r="A7" s="27" t="s">
        <v>694</v>
      </c>
      <c r="B7" s="47" t="s">
        <v>693</v>
      </c>
      <c r="C7" s="31">
        <v>29981.074000000001</v>
      </c>
      <c r="D7" s="29">
        <v>222.50370119999999</v>
      </c>
      <c r="E7" s="30">
        <v>35.004083312569399</v>
      </c>
    </row>
    <row r="8" spans="1:8" x14ac:dyDescent="0.2">
      <c r="A8" s="27" t="s">
        <v>718</v>
      </c>
      <c r="B8" s="47" t="s">
        <v>717</v>
      </c>
      <c r="C8" s="31">
        <v>3963.3719999999998</v>
      </c>
      <c r="D8" s="29">
        <v>63.785585500000003</v>
      </c>
      <c r="E8" s="30">
        <v>10.034691274533399</v>
      </c>
    </row>
    <row r="9" spans="1:8" x14ac:dyDescent="0.2">
      <c r="A9" s="27" t="s">
        <v>707</v>
      </c>
      <c r="B9" s="47" t="s">
        <v>706</v>
      </c>
      <c r="C9" s="31">
        <v>15826.892</v>
      </c>
      <c r="D9" s="29">
        <v>62.963459700000001</v>
      </c>
      <c r="E9" s="30">
        <v>9.9053551788126608</v>
      </c>
    </row>
    <row r="10" spans="1:8" ht="12" customHeight="1" x14ac:dyDescent="0.2">
      <c r="A10" s="27" t="s">
        <v>712</v>
      </c>
      <c r="B10" s="47" t="s">
        <v>728</v>
      </c>
      <c r="C10" s="31">
        <v>19241.138999999999</v>
      </c>
      <c r="D10" s="29">
        <v>7.4685635000000001</v>
      </c>
      <c r="E10" s="30">
        <v>1.17494773151762</v>
      </c>
    </row>
    <row r="11" spans="1:8" ht="20.399999999999999" x14ac:dyDescent="0.2">
      <c r="A11" s="27" t="s">
        <v>714</v>
      </c>
      <c r="B11" s="47" t="s">
        <v>713</v>
      </c>
      <c r="C11" s="31">
        <v>196087.27</v>
      </c>
      <c r="D11" s="29">
        <v>0</v>
      </c>
      <c r="E11" s="29">
        <v>0</v>
      </c>
    </row>
    <row r="12" spans="1:8" ht="20.399999999999999" x14ac:dyDescent="0.2">
      <c r="A12" s="27" t="s">
        <v>716</v>
      </c>
      <c r="B12" s="47" t="s">
        <v>715</v>
      </c>
      <c r="C12" s="31">
        <v>177292.25099999999</v>
      </c>
      <c r="D12" s="29">
        <v>0</v>
      </c>
      <c r="E12" s="29">
        <v>0</v>
      </c>
    </row>
    <row r="13" spans="1:8" x14ac:dyDescent="0.2">
      <c r="A13" s="26" t="s">
        <v>34</v>
      </c>
      <c r="B13" s="26"/>
      <c r="C13" s="32"/>
      <c r="D13" s="33">
        <f>SUM(D6:D12)</f>
        <v>603.19895640000004</v>
      </c>
      <c r="E13" s="34">
        <f>SUM(E6:E12)</f>
        <v>94.894720447376173</v>
      </c>
      <c r="F13" s="18"/>
      <c r="G13" s="18"/>
      <c r="H13" s="18"/>
    </row>
    <row r="14" spans="1:8" x14ac:dyDescent="0.2">
      <c r="A14" s="27"/>
      <c r="B14" s="27"/>
      <c r="C14" s="28"/>
      <c r="D14" s="29"/>
      <c r="E14" s="30"/>
    </row>
    <row r="15" spans="1:8" x14ac:dyDescent="0.2">
      <c r="A15" s="26" t="s">
        <v>36</v>
      </c>
      <c r="B15" s="26"/>
      <c r="C15" s="32"/>
      <c r="D15" s="33">
        <f>D13</f>
        <v>603.19895640000004</v>
      </c>
      <c r="E15" s="34">
        <f>E13</f>
        <v>94.894720447376173</v>
      </c>
      <c r="F15" s="18"/>
      <c r="G15" s="18"/>
      <c r="H15" s="18"/>
    </row>
    <row r="16" spans="1:8" x14ac:dyDescent="0.2">
      <c r="A16" s="26"/>
      <c r="B16" s="26"/>
      <c r="C16" s="32"/>
      <c r="D16" s="33"/>
      <c r="E16" s="34"/>
      <c r="F16" s="18"/>
      <c r="G16" s="18"/>
      <c r="H16" s="18"/>
    </row>
    <row r="17" spans="1:8" x14ac:dyDescent="0.2">
      <c r="A17" s="26" t="s">
        <v>38</v>
      </c>
      <c r="B17" s="26"/>
      <c r="C17" s="32"/>
      <c r="D17" s="33">
        <f>D19-(D13)</f>
        <v>32.45174529999997</v>
      </c>
      <c r="E17" s="34">
        <f>E19-(E13)</f>
        <v>5.105279552623827</v>
      </c>
      <c r="F17" s="18"/>
      <c r="G17" s="18"/>
      <c r="H17" s="18"/>
    </row>
    <row r="18" spans="1:8" x14ac:dyDescent="0.2">
      <c r="A18" s="26"/>
      <c r="B18" s="26"/>
      <c r="C18" s="32"/>
      <c r="D18" s="33"/>
      <c r="E18" s="34"/>
      <c r="F18" s="18"/>
      <c r="G18" s="18"/>
      <c r="H18" s="18"/>
    </row>
    <row r="19" spans="1:8" x14ac:dyDescent="0.2">
      <c r="A19" s="35" t="s">
        <v>37</v>
      </c>
      <c r="B19" s="35"/>
      <c r="C19" s="36"/>
      <c r="D19" s="37">
        <v>635.65070170000001</v>
      </c>
      <c r="E19" s="38">
        <v>100</v>
      </c>
      <c r="F19" s="18"/>
      <c r="G19" s="18"/>
      <c r="H19" s="18"/>
    </row>
    <row r="21" spans="1:8" x14ac:dyDescent="0.2">
      <c r="A21" s="18" t="s">
        <v>726</v>
      </c>
    </row>
    <row r="22" spans="1:8" ht="25.5" customHeight="1" x14ac:dyDescent="0.3">
      <c r="A22" s="80" t="s">
        <v>727</v>
      </c>
      <c r="B22" s="81"/>
      <c r="C22" s="81"/>
      <c r="D22" s="81"/>
      <c r="E22" s="81"/>
    </row>
    <row r="23" spans="1:8" x14ac:dyDescent="0.2">
      <c r="A23" s="49"/>
      <c r="B23" s="51"/>
      <c r="C23" s="51"/>
      <c r="D23" s="51"/>
      <c r="E23" s="51"/>
    </row>
    <row r="24" spans="1:8" x14ac:dyDescent="0.2">
      <c r="A24" s="18" t="s">
        <v>40</v>
      </c>
    </row>
    <row r="25" spans="1:8" x14ac:dyDescent="0.2">
      <c r="A25" s="18" t="s">
        <v>41</v>
      </c>
    </row>
    <row r="26" spans="1:8" x14ac:dyDescent="0.2">
      <c r="A26" s="18" t="s">
        <v>42</v>
      </c>
      <c r="B26" s="18"/>
      <c r="C26" s="39" t="s">
        <v>44</v>
      </c>
      <c r="D26" s="41" t="s">
        <v>43</v>
      </c>
    </row>
    <row r="27" spans="1:8" x14ac:dyDescent="0.2">
      <c r="A27" s="9" t="s">
        <v>91</v>
      </c>
      <c r="C27" s="40">
        <v>66.362399999999994</v>
      </c>
      <c r="D27" s="40">
        <v>76.555800000000005</v>
      </c>
    </row>
    <row r="28" spans="1:8" x14ac:dyDescent="0.2">
      <c r="A28" s="9" t="s">
        <v>708</v>
      </c>
      <c r="C28" s="40">
        <v>21.543700000000001</v>
      </c>
      <c r="D28" s="40">
        <v>24.852900000000002</v>
      </c>
    </row>
    <row r="29" spans="1:8" x14ac:dyDescent="0.2">
      <c r="A29" s="9" t="s">
        <v>92</v>
      </c>
      <c r="C29" s="40">
        <v>69.61</v>
      </c>
      <c r="D29" s="40">
        <v>80.501900000000006</v>
      </c>
    </row>
    <row r="30" spans="1:8" x14ac:dyDescent="0.2">
      <c r="A30" s="9" t="s">
        <v>709</v>
      </c>
      <c r="C30" s="40">
        <v>22.960799999999999</v>
      </c>
      <c r="D30" s="40">
        <v>26.543700000000001</v>
      </c>
    </row>
    <row r="32" spans="1:8" x14ac:dyDescent="0.2">
      <c r="A32" s="9" t="s">
        <v>45</v>
      </c>
    </row>
    <row r="34" spans="1:4" x14ac:dyDescent="0.2">
      <c r="A34" s="18" t="s">
        <v>46</v>
      </c>
      <c r="D34" s="41" t="s">
        <v>47</v>
      </c>
    </row>
    <row r="36" spans="1:4" x14ac:dyDescent="0.2">
      <c r="A36" s="18" t="s">
        <v>220</v>
      </c>
      <c r="D36" s="45">
        <v>0.1321</v>
      </c>
    </row>
    <row r="38" spans="1:4" x14ac:dyDescent="0.2">
      <c r="A38" s="18" t="s">
        <v>49</v>
      </c>
      <c r="D38" s="41" t="s">
        <v>47</v>
      </c>
    </row>
    <row r="39" spans="1:4" x14ac:dyDescent="0.2">
      <c r="A39" s="9" t="s">
        <v>53</v>
      </c>
      <c r="D39" s="41"/>
    </row>
    <row r="40" spans="1:4" x14ac:dyDescent="0.2">
      <c r="A40" s="46" t="s">
        <v>724</v>
      </c>
      <c r="D40" s="41"/>
    </row>
    <row r="42" spans="1:4" x14ac:dyDescent="0.2">
      <c r="A42" s="18" t="s">
        <v>70</v>
      </c>
    </row>
    <row r="43" spans="1:4" x14ac:dyDescent="0.2">
      <c r="A43" s="46" t="s">
        <v>51</v>
      </c>
    </row>
  </sheetData>
  <mergeCells count="2">
    <mergeCell ref="A1:E1"/>
    <mergeCell ref="A22:E22"/>
  </mergeCells>
  <conditionalFormatting sqref="E5:E10 E13:E19">
    <cfRule type="cellIs" dxfId="3" priority="1" stopIfTrue="1" operator="between">
      <formula>0.009</formula>
      <formula>-0.009</formula>
    </cfRule>
  </conditionalFormatting>
  <hyperlinks>
    <hyperlink ref="A43" r:id="rId1" tooltip="https://www.franklintempletonindia.com/downloadsServlet/pdf/product-labels-jg9o5k7l" xr:uid="{00000000-0004-0000-3000-000000000000}"/>
    <hyperlink ref="A40" r:id="rId2" xr:uid="{00000000-0004-0000-30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43"/>
  <sheetViews>
    <sheetView workbookViewId="0">
      <selection sqref="A1:E1"/>
    </sheetView>
  </sheetViews>
  <sheetFormatPr defaultColWidth="9.109375" defaultRowHeight="10.199999999999999" x14ac:dyDescent="0.2"/>
  <cols>
    <col min="1" max="1" width="34.4414062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69" t="s">
        <v>29</v>
      </c>
      <c r="B1" s="70"/>
      <c r="C1" s="70"/>
      <c r="D1" s="70"/>
      <c r="E1" s="7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v>
      </c>
      <c r="B5" s="22"/>
      <c r="C5" s="23"/>
      <c r="D5" s="24"/>
      <c r="E5" s="25"/>
    </row>
    <row r="6" spans="1:8" x14ac:dyDescent="0.2">
      <c r="A6" s="27" t="s">
        <v>694</v>
      </c>
      <c r="B6" s="47" t="s">
        <v>693</v>
      </c>
      <c r="C6" s="31">
        <v>79541.004000000001</v>
      </c>
      <c r="D6" s="29">
        <v>590.31133399999999</v>
      </c>
      <c r="E6" s="30">
        <v>49.788190529692699</v>
      </c>
    </row>
    <row r="7" spans="1:8" x14ac:dyDescent="0.2">
      <c r="A7" s="27" t="s">
        <v>711</v>
      </c>
      <c r="B7" s="47" t="s">
        <v>710</v>
      </c>
      <c r="C7" s="31">
        <v>215302.11799999999</v>
      </c>
      <c r="D7" s="29">
        <v>180.3732248</v>
      </c>
      <c r="E7" s="30">
        <v>15.213084969833</v>
      </c>
    </row>
    <row r="8" spans="1:8" x14ac:dyDescent="0.2">
      <c r="A8" s="27" t="s">
        <v>707</v>
      </c>
      <c r="B8" s="47" t="s">
        <v>706</v>
      </c>
      <c r="C8" s="31">
        <v>44333.275999999998</v>
      </c>
      <c r="D8" s="29">
        <v>176.36920989999999</v>
      </c>
      <c r="E8" s="30">
        <v>14.875377314155701</v>
      </c>
    </row>
    <row r="9" spans="1:8" x14ac:dyDescent="0.2">
      <c r="A9" s="27" t="s">
        <v>718</v>
      </c>
      <c r="B9" s="47" t="s">
        <v>717</v>
      </c>
      <c r="C9" s="31">
        <v>10918.582</v>
      </c>
      <c r="D9" s="29">
        <v>175.72111469999999</v>
      </c>
      <c r="E9" s="30">
        <v>14.8207155019212</v>
      </c>
    </row>
    <row r="10" spans="1:8" ht="12.75" customHeight="1" x14ac:dyDescent="0.2">
      <c r="A10" s="27" t="s">
        <v>712</v>
      </c>
      <c r="B10" s="47" t="s">
        <v>728</v>
      </c>
      <c r="C10" s="31">
        <v>14819.223</v>
      </c>
      <c r="D10" s="29">
        <v>5.7521703000000004</v>
      </c>
      <c r="E10" s="30">
        <v>0.48515102855138398</v>
      </c>
    </row>
    <row r="11" spans="1:8" ht="20.399999999999999" x14ac:dyDescent="0.2">
      <c r="A11" s="27" t="s">
        <v>714</v>
      </c>
      <c r="B11" s="47" t="s">
        <v>713</v>
      </c>
      <c r="C11" s="31">
        <v>167004.62</v>
      </c>
      <c r="D11" s="29">
        <v>0</v>
      </c>
      <c r="E11" s="29">
        <v>0</v>
      </c>
    </row>
    <row r="12" spans="1:8" ht="20.399999999999999" x14ac:dyDescent="0.2">
      <c r="A12" s="27" t="s">
        <v>716</v>
      </c>
      <c r="B12" s="47" t="s">
        <v>715</v>
      </c>
      <c r="C12" s="31">
        <v>147479.853</v>
      </c>
      <c r="D12" s="29">
        <v>0</v>
      </c>
      <c r="E12" s="29">
        <v>0</v>
      </c>
    </row>
    <row r="13" spans="1:8" x14ac:dyDescent="0.2">
      <c r="A13" s="26" t="s">
        <v>34</v>
      </c>
      <c r="B13" s="26"/>
      <c r="C13" s="32"/>
      <c r="D13" s="33">
        <f>SUM(D6:D12)</f>
        <v>1128.5270536999999</v>
      </c>
      <c r="E13" s="34">
        <f>SUM(E6:E12)</f>
        <v>95.182519344153988</v>
      </c>
      <c r="F13" s="18"/>
      <c r="G13" s="18"/>
      <c r="H13" s="18"/>
    </row>
    <row r="14" spans="1:8" x14ac:dyDescent="0.2">
      <c r="A14" s="27"/>
      <c r="B14" s="27"/>
      <c r="C14" s="28"/>
      <c r="D14" s="29"/>
      <c r="E14" s="30"/>
    </row>
    <row r="15" spans="1:8" x14ac:dyDescent="0.2">
      <c r="A15" s="26" t="s">
        <v>36</v>
      </c>
      <c r="B15" s="26"/>
      <c r="C15" s="32"/>
      <c r="D15" s="33">
        <f>D13</f>
        <v>1128.5270536999999</v>
      </c>
      <c r="E15" s="34">
        <f>E13</f>
        <v>95.182519344153988</v>
      </c>
      <c r="F15" s="18"/>
      <c r="G15" s="18"/>
      <c r="H15" s="18"/>
    </row>
    <row r="16" spans="1:8" x14ac:dyDescent="0.2">
      <c r="A16" s="26"/>
      <c r="B16" s="26"/>
      <c r="C16" s="32"/>
      <c r="D16" s="33"/>
      <c r="E16" s="34"/>
      <c r="F16" s="18"/>
      <c r="G16" s="18"/>
      <c r="H16" s="18"/>
    </row>
    <row r="17" spans="1:8" x14ac:dyDescent="0.2">
      <c r="A17" s="26" t="s">
        <v>38</v>
      </c>
      <c r="B17" s="26"/>
      <c r="C17" s="32"/>
      <c r="D17" s="33">
        <f>D19-(D13)</f>
        <v>57.118232300000045</v>
      </c>
      <c r="E17" s="34">
        <f>E19-(E13)</f>
        <v>4.8174806558460119</v>
      </c>
      <c r="F17" s="18"/>
      <c r="G17" s="18"/>
      <c r="H17" s="18"/>
    </row>
    <row r="18" spans="1:8" x14ac:dyDescent="0.2">
      <c r="A18" s="26"/>
      <c r="B18" s="26"/>
      <c r="C18" s="32"/>
      <c r="D18" s="33"/>
      <c r="E18" s="34"/>
      <c r="F18" s="18"/>
      <c r="G18" s="18"/>
      <c r="H18" s="18"/>
    </row>
    <row r="19" spans="1:8" x14ac:dyDescent="0.2">
      <c r="A19" s="35" t="s">
        <v>37</v>
      </c>
      <c r="B19" s="35"/>
      <c r="C19" s="36"/>
      <c r="D19" s="37">
        <v>1185.6452859999999</v>
      </c>
      <c r="E19" s="38">
        <v>100</v>
      </c>
      <c r="F19" s="18"/>
      <c r="G19" s="18"/>
      <c r="H19" s="18"/>
    </row>
    <row r="21" spans="1:8" x14ac:dyDescent="0.2">
      <c r="A21" s="18" t="s">
        <v>726</v>
      </c>
    </row>
    <row r="22" spans="1:8" ht="23.25" customHeight="1" x14ac:dyDescent="0.3">
      <c r="A22" s="80" t="s">
        <v>727</v>
      </c>
      <c r="B22" s="81"/>
      <c r="C22" s="81"/>
      <c r="D22" s="81"/>
      <c r="E22" s="81"/>
    </row>
    <row r="23" spans="1:8" x14ac:dyDescent="0.2">
      <c r="A23" s="49"/>
      <c r="B23" s="51"/>
      <c r="C23" s="51"/>
      <c r="D23" s="51"/>
      <c r="E23" s="51"/>
    </row>
    <row r="24" spans="1:8" x14ac:dyDescent="0.2">
      <c r="A24" s="18" t="s">
        <v>40</v>
      </c>
    </row>
    <row r="25" spans="1:8" x14ac:dyDescent="0.2">
      <c r="A25" s="18" t="s">
        <v>41</v>
      </c>
    </row>
    <row r="26" spans="1:8" x14ac:dyDescent="0.2">
      <c r="A26" s="18" t="s">
        <v>42</v>
      </c>
      <c r="B26" s="18"/>
      <c r="C26" s="39" t="s">
        <v>44</v>
      </c>
      <c r="D26" s="41" t="s">
        <v>43</v>
      </c>
    </row>
    <row r="27" spans="1:8" x14ac:dyDescent="0.2">
      <c r="A27" s="9" t="s">
        <v>71</v>
      </c>
      <c r="C27" s="40">
        <v>100.06959999999999</v>
      </c>
      <c r="D27" s="40">
        <v>114.9366</v>
      </c>
    </row>
    <row r="28" spans="1:8" x14ac:dyDescent="0.2">
      <c r="A28" s="9" t="s">
        <v>77</v>
      </c>
      <c r="C28" s="40">
        <v>30.101700000000001</v>
      </c>
      <c r="D28" s="40">
        <v>34.573799999999999</v>
      </c>
    </row>
    <row r="29" spans="1:8" x14ac:dyDescent="0.2">
      <c r="A29" s="9" t="s">
        <v>74</v>
      </c>
      <c r="C29" s="40">
        <v>104.0509</v>
      </c>
      <c r="D29" s="40">
        <v>119.7762</v>
      </c>
    </row>
    <row r="30" spans="1:8" x14ac:dyDescent="0.2">
      <c r="A30" s="9" t="s">
        <v>78</v>
      </c>
      <c r="C30" s="40">
        <v>31.6874</v>
      </c>
      <c r="D30" s="40">
        <v>36.4651</v>
      </c>
    </row>
    <row r="32" spans="1:8" x14ac:dyDescent="0.2">
      <c r="A32" s="9" t="s">
        <v>45</v>
      </c>
    </row>
    <row r="34" spans="1:4" x14ac:dyDescent="0.2">
      <c r="A34" s="18" t="s">
        <v>46</v>
      </c>
      <c r="D34" s="41" t="s">
        <v>47</v>
      </c>
    </row>
    <row r="36" spans="1:4" x14ac:dyDescent="0.2">
      <c r="A36" s="18" t="s">
        <v>220</v>
      </c>
      <c r="D36" s="45">
        <v>0.20030000000000001</v>
      </c>
    </row>
    <row r="38" spans="1:4" x14ac:dyDescent="0.2">
      <c r="A38" s="18" t="s">
        <v>49</v>
      </c>
      <c r="D38" s="41" t="s">
        <v>47</v>
      </c>
    </row>
    <row r="39" spans="1:4" x14ac:dyDescent="0.2">
      <c r="A39" s="9" t="s">
        <v>53</v>
      </c>
      <c r="D39" s="41"/>
    </row>
    <row r="40" spans="1:4" x14ac:dyDescent="0.2">
      <c r="A40" s="46" t="s">
        <v>724</v>
      </c>
      <c r="D40" s="41"/>
    </row>
    <row r="42" spans="1:4" x14ac:dyDescent="0.2">
      <c r="A42" s="18" t="s">
        <v>70</v>
      </c>
    </row>
    <row r="43" spans="1:4" x14ac:dyDescent="0.2">
      <c r="A43" s="46" t="s">
        <v>51</v>
      </c>
    </row>
  </sheetData>
  <mergeCells count="2">
    <mergeCell ref="A1:E1"/>
    <mergeCell ref="A22:E22"/>
  </mergeCells>
  <conditionalFormatting sqref="E5:E10 E13:E19">
    <cfRule type="cellIs" dxfId="2" priority="1" stopIfTrue="1" operator="between">
      <formula>0.009</formula>
      <formula>-0.009</formula>
    </cfRule>
  </conditionalFormatting>
  <hyperlinks>
    <hyperlink ref="A43" r:id="rId1" tooltip="https://www.franklintempletonindia.com/downloadsServlet/pdf/product-labels-jg9o5k7l" xr:uid="{00000000-0004-0000-3100-000000000000}"/>
    <hyperlink ref="A40" r:id="rId2" xr:uid="{00000000-0004-0000-31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43"/>
  <sheetViews>
    <sheetView workbookViewId="0">
      <selection sqref="A1:E1"/>
    </sheetView>
  </sheetViews>
  <sheetFormatPr defaultColWidth="9.109375" defaultRowHeight="10.199999999999999" x14ac:dyDescent="0.2"/>
  <cols>
    <col min="1" max="1" width="34.44140625" style="9" bestFit="1" customWidth="1"/>
    <col min="2" max="2" width="50.66406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69" t="s">
        <v>30</v>
      </c>
      <c r="B1" s="70"/>
      <c r="C1" s="70"/>
      <c r="D1" s="70"/>
      <c r="E1" s="70"/>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35</v>
      </c>
      <c r="B5" s="22"/>
      <c r="C5" s="23"/>
      <c r="D5" s="24"/>
      <c r="E5" s="25"/>
    </row>
    <row r="6" spans="1:8" ht="20.399999999999999" x14ac:dyDescent="0.2">
      <c r="A6" s="27" t="s">
        <v>720</v>
      </c>
      <c r="B6" s="47" t="s">
        <v>719</v>
      </c>
      <c r="C6" s="31">
        <v>5431296.1799999997</v>
      </c>
      <c r="D6" s="29">
        <v>52984.50477</v>
      </c>
      <c r="E6" s="30">
        <v>46.836049766731797</v>
      </c>
    </row>
    <row r="7" spans="1:8" ht="21.75" customHeight="1" x14ac:dyDescent="0.2">
      <c r="A7" s="27" t="s">
        <v>699</v>
      </c>
      <c r="B7" s="47" t="s">
        <v>725</v>
      </c>
      <c r="C7" s="31">
        <v>127936.549</v>
      </c>
      <c r="D7" s="29">
        <v>2743.557714</v>
      </c>
      <c r="E7" s="30">
        <v>2.4251883864650301</v>
      </c>
    </row>
    <row r="8" spans="1:8" ht="20.399999999999999" x14ac:dyDescent="0.2">
      <c r="A8" s="27" t="s">
        <v>701</v>
      </c>
      <c r="B8" s="47" t="s">
        <v>700</v>
      </c>
      <c r="C8" s="31">
        <v>1370528.45</v>
      </c>
      <c r="D8" s="29">
        <v>1.3705284499999999E-3</v>
      </c>
      <c r="E8" s="29">
        <v>1.3705284499999999E-3</v>
      </c>
    </row>
    <row r="9" spans="1:8" ht="20.399999999999999" x14ac:dyDescent="0.2">
      <c r="A9" s="27" t="s">
        <v>703</v>
      </c>
      <c r="B9" s="47" t="s">
        <v>702</v>
      </c>
      <c r="C9" s="31">
        <v>1235134.5419999999</v>
      </c>
      <c r="D9" s="29">
        <v>1.2351345419999999E-3</v>
      </c>
      <c r="E9" s="29">
        <v>1.2351345419999999E-3</v>
      </c>
    </row>
    <row r="10" spans="1:8" x14ac:dyDescent="0.2">
      <c r="A10" s="26" t="s">
        <v>34</v>
      </c>
      <c r="B10" s="26"/>
      <c r="C10" s="32"/>
      <c r="D10" s="33">
        <f>SUM(D6:D9)</f>
        <v>55728.065089662996</v>
      </c>
      <c r="E10" s="34">
        <f>SUM(E6:E9)</f>
        <v>49.263843816188832</v>
      </c>
      <c r="F10" s="18"/>
      <c r="G10" s="18"/>
      <c r="H10" s="18"/>
    </row>
    <row r="11" spans="1:8" x14ac:dyDescent="0.2">
      <c r="A11" s="27"/>
      <c r="B11" s="27"/>
      <c r="C11" s="28"/>
      <c r="D11" s="29"/>
      <c r="E11" s="30"/>
    </row>
    <row r="12" spans="1:8" x14ac:dyDescent="0.2">
      <c r="A12" s="26" t="s">
        <v>36</v>
      </c>
      <c r="B12" s="26"/>
      <c r="C12" s="32"/>
      <c r="D12" s="33">
        <f>D10</f>
        <v>55728.065089662996</v>
      </c>
      <c r="E12" s="34">
        <f>E10</f>
        <v>49.263843816188832</v>
      </c>
      <c r="F12" s="18"/>
      <c r="G12" s="18"/>
      <c r="H12" s="18"/>
    </row>
    <row r="13" spans="1:8" x14ac:dyDescent="0.2">
      <c r="A13" s="26"/>
      <c r="B13" s="26"/>
      <c r="C13" s="32"/>
      <c r="D13" s="33"/>
      <c r="E13" s="34"/>
      <c r="F13" s="18"/>
      <c r="G13" s="18"/>
      <c r="H13" s="18"/>
    </row>
    <row r="14" spans="1:8" x14ac:dyDescent="0.2">
      <c r="A14" s="26" t="s">
        <v>38</v>
      </c>
      <c r="B14" s="26"/>
      <c r="C14" s="32"/>
      <c r="D14" s="33">
        <f>D16-(D10)</f>
        <v>57399.547153236999</v>
      </c>
      <c r="E14" s="34">
        <f>E16-(E10)</f>
        <v>50.736156183811168</v>
      </c>
      <c r="F14" s="18"/>
      <c r="G14" s="18"/>
      <c r="H14" s="18"/>
    </row>
    <row r="15" spans="1:8" x14ac:dyDescent="0.2">
      <c r="A15" s="26"/>
      <c r="B15" s="26"/>
      <c r="C15" s="32"/>
      <c r="D15" s="33"/>
      <c r="E15" s="34"/>
      <c r="F15" s="18"/>
      <c r="G15" s="18"/>
      <c r="H15" s="18"/>
    </row>
    <row r="16" spans="1:8" x14ac:dyDescent="0.2">
      <c r="A16" s="35" t="s">
        <v>37</v>
      </c>
      <c r="B16" s="35"/>
      <c r="C16" s="36"/>
      <c r="D16" s="37">
        <v>113127.6122429</v>
      </c>
      <c r="E16" s="38">
        <v>100</v>
      </c>
      <c r="F16" s="18"/>
      <c r="G16" s="18"/>
      <c r="H16" s="18"/>
    </row>
    <row r="18" spans="1:5" x14ac:dyDescent="0.2">
      <c r="A18" s="18" t="s">
        <v>726</v>
      </c>
      <c r="C18" s="10"/>
      <c r="D18" s="13"/>
      <c r="E18" s="14"/>
    </row>
    <row r="19" spans="1:5" ht="26.25" customHeight="1" x14ac:dyDescent="0.3">
      <c r="A19" s="80" t="s">
        <v>727</v>
      </c>
      <c r="B19" s="81"/>
      <c r="C19" s="81"/>
      <c r="D19" s="81"/>
      <c r="E19" s="81"/>
    </row>
    <row r="20" spans="1:5" x14ac:dyDescent="0.2">
      <c r="A20" s="49"/>
      <c r="B20" s="51"/>
      <c r="C20" s="51"/>
      <c r="D20" s="51"/>
      <c r="E20" s="51"/>
    </row>
    <row r="21" spans="1:5" x14ac:dyDescent="0.2">
      <c r="A21" s="18" t="s">
        <v>40</v>
      </c>
    </row>
    <row r="22" spans="1:5" x14ac:dyDescent="0.2">
      <c r="A22" s="18" t="s">
        <v>41</v>
      </c>
    </row>
    <row r="23" spans="1:5" x14ac:dyDescent="0.2">
      <c r="A23" s="18" t="s">
        <v>42</v>
      </c>
      <c r="B23" s="18"/>
      <c r="C23" s="39" t="s">
        <v>44</v>
      </c>
      <c r="D23" s="41" t="s">
        <v>43</v>
      </c>
    </row>
    <row r="24" spans="1:5" x14ac:dyDescent="0.2">
      <c r="A24" s="9" t="s">
        <v>71</v>
      </c>
      <c r="C24" s="40">
        <v>85.442899999999995</v>
      </c>
      <c r="D24" s="40">
        <v>102.9273</v>
      </c>
    </row>
    <row r="25" spans="1:5" x14ac:dyDescent="0.2">
      <c r="A25" s="9" t="s">
        <v>77</v>
      </c>
      <c r="C25" s="40">
        <v>31.797599999999999</v>
      </c>
      <c r="D25" s="40">
        <v>36.626600000000003</v>
      </c>
    </row>
    <row r="26" spans="1:5" x14ac:dyDescent="0.2">
      <c r="A26" s="9" t="s">
        <v>74</v>
      </c>
      <c r="C26" s="40">
        <v>92.672499999999999</v>
      </c>
      <c r="D26" s="40">
        <v>112.2051</v>
      </c>
    </row>
    <row r="27" spans="1:5" x14ac:dyDescent="0.2">
      <c r="A27" s="9" t="s">
        <v>78</v>
      </c>
      <c r="C27" s="40">
        <v>35.686500000000002</v>
      </c>
      <c r="D27" s="40">
        <v>41.525700000000001</v>
      </c>
    </row>
    <row r="29" spans="1:5" x14ac:dyDescent="0.2">
      <c r="A29" s="18" t="s">
        <v>46</v>
      </c>
    </row>
    <row r="30" spans="1:5" x14ac:dyDescent="0.2">
      <c r="A30" s="71" t="s">
        <v>67</v>
      </c>
      <c r="B30" s="72"/>
      <c r="C30" s="43" t="s">
        <v>68</v>
      </c>
    </row>
    <row r="31" spans="1:5" x14ac:dyDescent="0.2">
      <c r="A31" s="67" t="s">
        <v>77</v>
      </c>
      <c r="B31" s="68"/>
      <c r="C31" s="44">
        <v>1.5</v>
      </c>
    </row>
    <row r="32" spans="1:5" x14ac:dyDescent="0.2">
      <c r="A32" s="67" t="s">
        <v>78</v>
      </c>
      <c r="B32" s="68"/>
      <c r="C32" s="44">
        <v>1.5</v>
      </c>
    </row>
    <row r="33" spans="1:4" x14ac:dyDescent="0.2">
      <c r="A33" s="9" t="s">
        <v>69</v>
      </c>
    </row>
    <row r="34" spans="1:4" x14ac:dyDescent="0.2">
      <c r="A34" s="9" t="s">
        <v>45</v>
      </c>
    </row>
    <row r="36" spans="1:4" x14ac:dyDescent="0.2">
      <c r="A36" s="18" t="s">
        <v>220</v>
      </c>
      <c r="D36" s="45">
        <v>9.64E-2</v>
      </c>
    </row>
    <row r="38" spans="1:4" x14ac:dyDescent="0.2">
      <c r="A38" s="18" t="s">
        <v>49</v>
      </c>
      <c r="D38" s="41" t="s">
        <v>47</v>
      </c>
    </row>
    <row r="39" spans="1:4" x14ac:dyDescent="0.2">
      <c r="A39" s="9" t="s">
        <v>53</v>
      </c>
      <c r="D39" s="41"/>
    </row>
    <row r="40" spans="1:4" x14ac:dyDescent="0.2">
      <c r="A40" s="46" t="s">
        <v>724</v>
      </c>
      <c r="D40" s="41"/>
    </row>
    <row r="42" spans="1:4" x14ac:dyDescent="0.2">
      <c r="A42" s="18" t="s">
        <v>70</v>
      </c>
    </row>
    <row r="43" spans="1:4" x14ac:dyDescent="0.2">
      <c r="A43" s="46" t="s">
        <v>51</v>
      </c>
    </row>
  </sheetData>
  <mergeCells count="5">
    <mergeCell ref="A1:E1"/>
    <mergeCell ref="A30:B30"/>
    <mergeCell ref="A31:B31"/>
    <mergeCell ref="A32:B32"/>
    <mergeCell ref="A19:E19"/>
  </mergeCells>
  <conditionalFormatting sqref="E18">
    <cfRule type="cellIs" dxfId="1" priority="2" stopIfTrue="1" operator="between">
      <formula>0.009</formula>
      <formula>-0.009</formula>
    </cfRule>
  </conditionalFormatting>
  <conditionalFormatting sqref="E5:E7 E10:E16">
    <cfRule type="cellIs" dxfId="0" priority="1" stopIfTrue="1" operator="between">
      <formula>0.009</formula>
      <formula>-0.009</formula>
    </cfRule>
  </conditionalFormatting>
  <hyperlinks>
    <hyperlink ref="A43" r:id="rId1" tooltip="https://www.franklintempletonindia.com/downloadsServlet/pdf/product-labels-jg9o5k7l" xr:uid="{00000000-0004-0000-3200-000000000000}"/>
    <hyperlink ref="A40" r:id="rId2" xr:uid="{00000000-0004-0000-32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FMPS4E</vt:lpstr>
      <vt:lpstr>FMPS4D</vt:lpstr>
      <vt:lpstr>FMPS4C</vt:lpstr>
      <vt:lpstr>FIPP</vt:lpstr>
      <vt:lpstr>FIDHY</vt:lpstr>
      <vt:lpstr>FIDA</vt:lpstr>
      <vt:lpstr>FILDF</vt:lpstr>
      <vt:lpstr>FISTIP</vt:lpstr>
      <vt:lpstr>FIUBF</vt:lpstr>
      <vt:lpstr>FIIOF</vt:lpstr>
      <vt:lpstr>FICRF</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31 August 2021</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2021-09-08T07:53:20Z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2021-09-07T12:01:09Z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401b44d8-66f4-478e-8a8f-c9e312d51abf</vt:lpwstr>
  </property>
  <property fmtid="{D5CDD505-2E9C-101B-9397-08002B2CF9AE}" pid="10" name="MSIP_Label_3486a02c-2dfb-4efe-823f-aa2d1f0e6ab7_ContentBits">
    <vt:lpwstr>2</vt:lpwstr>
  </property>
  <property fmtid="{D5CDD505-2E9C-101B-9397-08002B2CF9AE}" pid="11" name="Classification">
    <vt:lpwstr>PUBLIC</vt:lpwstr>
  </property>
</Properties>
</file>