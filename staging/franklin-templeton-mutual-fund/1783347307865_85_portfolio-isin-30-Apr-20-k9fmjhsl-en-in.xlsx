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 defaultThemeVersion="124226"/>
  <xr:revisionPtr revIDLastSave="0" documentId="13_ncr:1_{34CC249F-559F-4B57-8CB9-02C107361D2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FIUBF" sheetId="2" r:id="rId1"/>
    <sheet name="FISTIP" sheetId="3" r:id="rId2"/>
    <sheet name="FILDF" sheetId="5" r:id="rId3"/>
    <sheet name="FIIOF" sheetId="6" r:id="rId4"/>
    <sheet name="FIDA" sheetId="9" r:id="rId5"/>
    <sheet name="FICRF" sheetId="10" r:id="rId6"/>
    <sheet name="FISF" sheetId="4" r:id="rId7"/>
    <sheet name="FIGSF" sheetId="7" r:id="rId8"/>
    <sheet name="FIFRF" sheetId="8" r:id="rId9"/>
    <sheet name="FICDF" sheetId="11" r:id="rId10"/>
    <sheet name="FBPF" sheetId="12" r:id="rId11"/>
    <sheet name="FIONF" sheetId="13" r:id="rId12"/>
    <sheet name="FILF" sheetId="14" r:id="rId13"/>
    <sheet name="FMPS6C" sheetId="15" r:id="rId14"/>
    <sheet name="FMPS5F" sheetId="16" r:id="rId15"/>
    <sheet name="FMPS5E" sheetId="17" r:id="rId16"/>
    <sheet name="FMPS5D" sheetId="18" r:id="rId17"/>
    <sheet name="FMPS5C" sheetId="19" r:id="rId18"/>
    <sheet name="FMPS5B" sheetId="20" r:id="rId19"/>
    <sheet name="FMPS5A" sheetId="21" r:id="rId20"/>
    <sheet name="FMPS4F" sheetId="22" r:id="rId21"/>
    <sheet name="FMPS4E" sheetId="23" r:id="rId22"/>
    <sheet name="FMPS4D" sheetId="24" r:id="rId23"/>
    <sheet name="FMPS4C" sheetId="25" r:id="rId24"/>
    <sheet name="FMPS4B" sheetId="26" r:id="rId25"/>
    <sheet name="FMPS4A" sheetId="27" r:id="rId26"/>
    <sheet name="FMPS3F" sheetId="28" r:id="rId27"/>
    <sheet name="FMPS3E" sheetId="29" r:id="rId28"/>
    <sheet name="FMPS3D" sheetId="30" r:id="rId29"/>
    <sheet name="FMPS3C" sheetId="31" r:id="rId30"/>
    <sheet name="FMPS3B" sheetId="32" r:id="rId31"/>
    <sheet name="FMPS3A" sheetId="33" r:id="rId32"/>
    <sheet name="FMPS2C" sheetId="34" r:id="rId33"/>
    <sheet name="FMPS2B" sheetId="35" r:id="rId34"/>
    <sheet name="FMPS2A" sheetId="36" r:id="rId35"/>
    <sheet name="FMPS1B" sheetId="37" r:id="rId36"/>
    <sheet name="FIPP" sheetId="38" r:id="rId37"/>
    <sheet name="FIDHY" sheetId="39" r:id="rId38"/>
    <sheet name="FIESF" sheetId="40" r:id="rId39"/>
    <sheet name="FIEHF" sheetId="41" r:id="rId40"/>
    <sheet name="TIVF" sheetId="42" r:id="rId41"/>
    <sheet name="TIEIF" sheetId="43" r:id="rId42"/>
    <sheet name="FITF" sheetId="44" r:id="rId43"/>
    <sheet name="FISCF" sheetId="45" r:id="rId44"/>
    <sheet name="FIPF" sheetId="46" r:id="rId45"/>
    <sheet name="FIOF" sheetId="47" r:id="rId46"/>
    <sheet name="FIFEF" sheetId="48" r:id="rId47"/>
    <sheet name="FIEF" sheetId="49" r:id="rId48"/>
    <sheet name="FIEAF" sheetId="50" r:id="rId49"/>
    <sheet name="FIBF" sheetId="51" r:id="rId50"/>
    <sheet name="FBIF" sheetId="52" r:id="rId51"/>
    <sheet name="FAEF" sheetId="53" r:id="rId52"/>
    <sheet name="FIIF-NSE" sheetId="54" r:id="rId53"/>
    <sheet name="FITX" sheetId="55" r:id="rId54"/>
    <sheet name="FIUS" sheetId="56" r:id="rId55"/>
    <sheet name="FEGF" sheetId="57" r:id="rId56"/>
    <sheet name="FIFOF-50's+" sheetId="59" r:id="rId57"/>
    <sheet name="FIMAS" sheetId="58" r:id="rId58"/>
    <sheet name="FIFOF-50's" sheetId="60" r:id="rId59"/>
    <sheet name="FIFOF-40's" sheetId="61" r:id="rId60"/>
    <sheet name="FIFOF-30's" sheetId="62" r:id="rId61"/>
    <sheet name="FIFOF-20's" sheetId="63" r:id="rId62"/>
    <sheet name="FF" sheetId="64" r:id="rId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5" i="10" l="1"/>
  <c r="F191" i="10"/>
  <c r="F195" i="10" s="1"/>
  <c r="E191" i="10"/>
  <c r="E193" i="10" s="1"/>
  <c r="E161" i="10"/>
  <c r="F157" i="10"/>
  <c r="F161" i="10" s="1"/>
  <c r="E157" i="10"/>
  <c r="E159" i="10" s="1"/>
  <c r="F128" i="10"/>
  <c r="F124" i="10"/>
  <c r="F126" i="10" s="1"/>
  <c r="E124" i="10"/>
  <c r="E128" i="10" s="1"/>
  <c r="E183" i="9"/>
  <c r="F181" i="9"/>
  <c r="F185" i="9" s="1"/>
  <c r="E181" i="9"/>
  <c r="E185" i="9" s="1"/>
  <c r="F148" i="9"/>
  <c r="F150" i="9" s="1"/>
  <c r="E148" i="9"/>
  <c r="E152" i="9" s="1"/>
  <c r="F115" i="9"/>
  <c r="F119" i="9" s="1"/>
  <c r="E115" i="9"/>
  <c r="E119" i="9" s="1"/>
  <c r="F127" i="6"/>
  <c r="F129" i="6" s="1"/>
  <c r="E127" i="6"/>
  <c r="E129" i="6" s="1"/>
  <c r="F96" i="6"/>
  <c r="E96" i="6"/>
  <c r="F94" i="6"/>
  <c r="F98" i="6" s="1"/>
  <c r="E94" i="6"/>
  <c r="E98" i="6" s="1"/>
  <c r="E143" i="5"/>
  <c r="E141" i="5"/>
  <c r="F139" i="5"/>
  <c r="F143" i="5" s="1"/>
  <c r="E139" i="5"/>
  <c r="F108" i="5"/>
  <c r="F104" i="5"/>
  <c r="F106" i="5" s="1"/>
  <c r="E104" i="5"/>
  <c r="E108" i="5" s="1"/>
  <c r="F166" i="3"/>
  <c r="F168" i="3" s="1"/>
  <c r="E166" i="3"/>
  <c r="E170" i="3" s="1"/>
  <c r="F202" i="3"/>
  <c r="F206" i="3" s="1"/>
  <c r="E202" i="3"/>
  <c r="E204" i="3" s="1"/>
  <c r="F244" i="3"/>
  <c r="F240" i="3"/>
  <c r="F242" i="3" s="1"/>
  <c r="E240" i="3"/>
  <c r="E244" i="3" s="1"/>
  <c r="F204" i="3" l="1"/>
  <c r="F170" i="3"/>
  <c r="E131" i="6"/>
  <c r="E117" i="9"/>
  <c r="F152" i="9"/>
  <c r="E206" i="3"/>
  <c r="F131" i="6"/>
  <c r="F193" i="10"/>
  <c r="F159" i="10"/>
  <c r="E126" i="10"/>
  <c r="F183" i="9"/>
  <c r="E150" i="9"/>
  <c r="F117" i="9"/>
  <c r="F141" i="5"/>
  <c r="E106" i="5"/>
  <c r="E168" i="3"/>
  <c r="E242" i="3"/>
  <c r="G48" i="40"/>
  <c r="G66" i="46"/>
  <c r="F135" i="2" l="1"/>
  <c r="F137" i="2" s="1"/>
  <c r="E135" i="2"/>
  <c r="E137" i="2" s="1"/>
  <c r="E139" i="2" l="1"/>
  <c r="F139" i="2"/>
  <c r="F89" i="39" l="1"/>
  <c r="F91" i="39" s="1"/>
  <c r="E89" i="39"/>
  <c r="E91" i="39" s="1"/>
  <c r="E13" i="60"/>
  <c r="D13" i="60"/>
  <c r="E14" i="62"/>
  <c r="D14" i="62"/>
  <c r="E14" i="63"/>
  <c r="D14" i="63"/>
  <c r="E11" i="64" l="1"/>
  <c r="D11" i="64"/>
  <c r="E15" i="64" l="1"/>
  <c r="D13" i="64"/>
  <c r="D15" i="64"/>
  <c r="E18" i="63"/>
  <c r="E16" i="63"/>
  <c r="D18" i="63"/>
  <c r="E18" i="62"/>
  <c r="D16" i="62"/>
  <c r="D18" i="62"/>
  <c r="E14" i="61"/>
  <c r="E18" i="61" s="1"/>
  <c r="D14" i="61"/>
  <c r="D16" i="61" s="1"/>
  <c r="E15" i="60"/>
  <c r="D17" i="60"/>
  <c r="D13" i="59"/>
  <c r="E9" i="59"/>
  <c r="E13" i="59" s="1"/>
  <c r="E11" i="59"/>
  <c r="D9" i="59"/>
  <c r="D11" i="59" s="1"/>
  <c r="E12" i="58"/>
  <c r="E14" i="58" s="1"/>
  <c r="D12" i="58"/>
  <c r="D14" i="58" s="1"/>
  <c r="E7" i="57"/>
  <c r="E9" i="57" s="1"/>
  <c r="D7" i="57"/>
  <c r="D11" i="57" s="1"/>
  <c r="D9" i="57"/>
  <c r="E7" i="56"/>
  <c r="E9" i="56"/>
  <c r="D7" i="56"/>
  <c r="D9" i="56" s="1"/>
  <c r="F61" i="55"/>
  <c r="E61" i="55"/>
  <c r="E63" i="55" s="1"/>
  <c r="F55" i="55"/>
  <c r="F65" i="55" s="1"/>
  <c r="E55" i="55"/>
  <c r="F58" i="54"/>
  <c r="F62" i="54" s="1"/>
  <c r="F60" i="54"/>
  <c r="E58" i="54"/>
  <c r="E62" i="54" s="1"/>
  <c r="F58" i="53"/>
  <c r="E58" i="53"/>
  <c r="E62" i="53" s="1"/>
  <c r="F20" i="53"/>
  <c r="F60" i="53" s="1"/>
  <c r="E20" i="53"/>
  <c r="F44" i="52"/>
  <c r="F46" i="52" s="1"/>
  <c r="E44" i="52"/>
  <c r="E48" i="52" s="1"/>
  <c r="F36" i="51"/>
  <c r="F40" i="51" s="1"/>
  <c r="F38" i="51"/>
  <c r="E36" i="51"/>
  <c r="E40" i="51" s="1"/>
  <c r="F61" i="50"/>
  <c r="F65" i="50" s="1"/>
  <c r="E61" i="50"/>
  <c r="E65" i="50" s="1"/>
  <c r="F67" i="49"/>
  <c r="F69" i="49" s="1"/>
  <c r="E67" i="49"/>
  <c r="F61" i="49"/>
  <c r="E61" i="49"/>
  <c r="F37" i="48"/>
  <c r="F41" i="48" s="1"/>
  <c r="E37" i="48"/>
  <c r="E41" i="48"/>
  <c r="F48" i="47"/>
  <c r="E48" i="47"/>
  <c r="F41" i="47"/>
  <c r="E41" i="47"/>
  <c r="F70" i="46"/>
  <c r="E70" i="46"/>
  <c r="F66" i="46"/>
  <c r="E66" i="46"/>
  <c r="F81" i="45"/>
  <c r="F77" i="45"/>
  <c r="F79" i="45" s="1"/>
  <c r="E77" i="45"/>
  <c r="E81" i="45"/>
  <c r="F40" i="44"/>
  <c r="E40" i="44"/>
  <c r="F36" i="44"/>
  <c r="E36" i="44"/>
  <c r="F22" i="44"/>
  <c r="E22" i="44"/>
  <c r="F18" i="44"/>
  <c r="E18" i="44"/>
  <c r="E44" i="44" s="1"/>
  <c r="F67" i="43"/>
  <c r="E67" i="43"/>
  <c r="F51" i="43"/>
  <c r="F69" i="43" s="1"/>
  <c r="F71" i="43"/>
  <c r="E51" i="43"/>
  <c r="F47" i="43"/>
  <c r="E47" i="43"/>
  <c r="E71" i="43" s="1"/>
  <c r="F45" i="42"/>
  <c r="F49" i="42" s="1"/>
  <c r="E45" i="42"/>
  <c r="E47" i="42" s="1"/>
  <c r="E49" i="42"/>
  <c r="F70" i="41"/>
  <c r="E70" i="41"/>
  <c r="F65" i="41"/>
  <c r="E65" i="41"/>
  <c r="F60" i="41"/>
  <c r="E60" i="41"/>
  <c r="F48" i="41"/>
  <c r="E48" i="41"/>
  <c r="E74" i="41" s="1"/>
  <c r="F43" i="41"/>
  <c r="E43" i="41"/>
  <c r="F53" i="40"/>
  <c r="E53" i="40"/>
  <c r="F48" i="40"/>
  <c r="F55" i="40" s="1"/>
  <c r="E48" i="40"/>
  <c r="F49" i="39"/>
  <c r="E49" i="39"/>
  <c r="F44" i="39"/>
  <c r="E44" i="39"/>
  <c r="F34" i="39"/>
  <c r="E34" i="39"/>
  <c r="F60" i="38"/>
  <c r="E60" i="38"/>
  <c r="F55" i="38"/>
  <c r="E55" i="38"/>
  <c r="F51" i="38"/>
  <c r="E51" i="38"/>
  <c r="E64" i="38" s="1"/>
  <c r="F39" i="38"/>
  <c r="E39" i="38"/>
  <c r="F12" i="37"/>
  <c r="E12" i="37"/>
  <c r="F8" i="37"/>
  <c r="F14" i="37" s="1"/>
  <c r="E8" i="37"/>
  <c r="E14" i="37" s="1"/>
  <c r="E16" i="37"/>
  <c r="F37" i="36"/>
  <c r="E37" i="36"/>
  <c r="F32" i="36"/>
  <c r="E32" i="36"/>
  <c r="F27" i="36"/>
  <c r="E27" i="36"/>
  <c r="F38" i="35"/>
  <c r="E38" i="35"/>
  <c r="F34" i="35"/>
  <c r="E34" i="35"/>
  <c r="F29" i="35"/>
  <c r="E29" i="35"/>
  <c r="F24" i="35"/>
  <c r="E24" i="35"/>
  <c r="F41" i="34"/>
  <c r="E41" i="34"/>
  <c r="F37" i="34"/>
  <c r="E37" i="34"/>
  <c r="F32" i="34"/>
  <c r="E32" i="34"/>
  <c r="F26" i="34"/>
  <c r="E26" i="34"/>
  <c r="F37" i="33"/>
  <c r="E37" i="33"/>
  <c r="F33" i="33"/>
  <c r="E33" i="33"/>
  <c r="F28" i="33"/>
  <c r="E28" i="33"/>
  <c r="F22" i="33"/>
  <c r="E22" i="33"/>
  <c r="F34" i="32"/>
  <c r="E34" i="32"/>
  <c r="F29" i="32"/>
  <c r="E29" i="32"/>
  <c r="F24" i="32"/>
  <c r="E24" i="32"/>
  <c r="E38" i="32" s="1"/>
  <c r="F35" i="31"/>
  <c r="E35" i="31"/>
  <c r="F30" i="31"/>
  <c r="E30" i="31"/>
  <c r="E39" i="31" s="1"/>
  <c r="F25" i="31"/>
  <c r="E25" i="31"/>
  <c r="F30" i="30"/>
  <c r="E30" i="30"/>
  <c r="F25" i="30"/>
  <c r="E25" i="30"/>
  <c r="F20" i="30"/>
  <c r="F34" i="30" s="1"/>
  <c r="E20" i="30"/>
  <c r="F37" i="29"/>
  <c r="E37" i="29"/>
  <c r="F33" i="29"/>
  <c r="E33" i="29"/>
  <c r="F28" i="29"/>
  <c r="E28" i="29"/>
  <c r="F22" i="29"/>
  <c r="E22" i="29"/>
  <c r="F36" i="28"/>
  <c r="E36" i="28"/>
  <c r="F31" i="28"/>
  <c r="E31" i="28"/>
  <c r="F26" i="28"/>
  <c r="E26" i="28"/>
  <c r="F33" i="27"/>
  <c r="E33" i="27"/>
  <c r="F28" i="27"/>
  <c r="E28" i="27"/>
  <c r="F24" i="27"/>
  <c r="E24" i="27"/>
  <c r="F35" i="26"/>
  <c r="E35" i="26"/>
  <c r="F30" i="26"/>
  <c r="E30" i="26"/>
  <c r="F26" i="26"/>
  <c r="F37" i="26" s="1"/>
  <c r="E26" i="26"/>
  <c r="F28" i="25"/>
  <c r="E28" i="25"/>
  <c r="F23" i="25"/>
  <c r="F30" i="25" s="1"/>
  <c r="E23" i="25"/>
  <c r="F27" i="24"/>
  <c r="E27" i="24"/>
  <c r="F22" i="24"/>
  <c r="E22" i="24"/>
  <c r="F17" i="24"/>
  <c r="E17" i="24"/>
  <c r="F29" i="23"/>
  <c r="E29" i="23"/>
  <c r="F24" i="23"/>
  <c r="E24" i="23"/>
  <c r="F20" i="23"/>
  <c r="F33" i="23" s="1"/>
  <c r="E20" i="23"/>
  <c r="F27" i="22"/>
  <c r="E27" i="22"/>
  <c r="F23" i="22"/>
  <c r="E23" i="22"/>
  <c r="F19" i="21"/>
  <c r="F23" i="21" s="1"/>
  <c r="E19" i="21"/>
  <c r="E23" i="21" s="1"/>
  <c r="F24" i="20"/>
  <c r="F28" i="20" s="1"/>
  <c r="F26" i="20"/>
  <c r="E24" i="20"/>
  <c r="E28" i="20" s="1"/>
  <c r="F24" i="19"/>
  <c r="F26" i="19" s="1"/>
  <c r="F28" i="19"/>
  <c r="E24" i="19"/>
  <c r="E28" i="19" s="1"/>
  <c r="F21" i="18"/>
  <c r="F25" i="18" s="1"/>
  <c r="E21" i="18"/>
  <c r="E25" i="18" s="1"/>
  <c r="F20" i="17"/>
  <c r="F22" i="17" s="1"/>
  <c r="E20" i="17"/>
  <c r="E24" i="17" s="1"/>
  <c r="F21" i="16"/>
  <c r="F25" i="16" s="1"/>
  <c r="E21" i="16"/>
  <c r="E25" i="16" s="1"/>
  <c r="F22" i="15"/>
  <c r="F26" i="15" s="1"/>
  <c r="E22" i="15"/>
  <c r="E26" i="15" s="1"/>
  <c r="F41" i="14"/>
  <c r="E41" i="14"/>
  <c r="F23" i="14"/>
  <c r="E23" i="14"/>
  <c r="F12" i="14"/>
  <c r="E12" i="14"/>
  <c r="E43" i="14" s="1"/>
  <c r="F49" i="12"/>
  <c r="E49" i="12"/>
  <c r="F45" i="12"/>
  <c r="E45" i="12"/>
  <c r="E53" i="12" s="1"/>
  <c r="F40" i="12"/>
  <c r="E40" i="12"/>
  <c r="F68" i="11"/>
  <c r="E68" i="11"/>
  <c r="F64" i="11"/>
  <c r="E64" i="11"/>
  <c r="E72" i="11"/>
  <c r="F59" i="11"/>
  <c r="E59" i="11"/>
  <c r="F53" i="11"/>
  <c r="F70" i="11"/>
  <c r="E53" i="11"/>
  <c r="E70" i="11" s="1"/>
  <c r="F85" i="10"/>
  <c r="E85" i="10"/>
  <c r="E89" i="10" s="1"/>
  <c r="F61" i="10"/>
  <c r="E61" i="10"/>
  <c r="F75" i="9"/>
  <c r="E75" i="9"/>
  <c r="F45" i="9"/>
  <c r="F79" i="9" s="1"/>
  <c r="E45" i="9"/>
  <c r="F24" i="8"/>
  <c r="E24" i="8"/>
  <c r="F18" i="8"/>
  <c r="E18" i="8"/>
  <c r="F10" i="7"/>
  <c r="F14" i="7" s="1"/>
  <c r="F12" i="7"/>
  <c r="E10" i="7"/>
  <c r="E14" i="7" s="1"/>
  <c r="F54" i="6"/>
  <c r="E54" i="6"/>
  <c r="F35" i="6"/>
  <c r="F56" i="6" s="1"/>
  <c r="E35" i="6"/>
  <c r="E56" i="6" s="1"/>
  <c r="F60" i="5"/>
  <c r="F64" i="5" s="1"/>
  <c r="E60" i="5"/>
  <c r="F42" i="5"/>
  <c r="E42" i="5"/>
  <c r="E62" i="5" s="1"/>
  <c r="F37" i="4"/>
  <c r="E37" i="4"/>
  <c r="F21" i="4"/>
  <c r="F39" i="4" s="1"/>
  <c r="E21" i="4"/>
  <c r="F117" i="3"/>
  <c r="E117" i="3"/>
  <c r="E121" i="3" s="1"/>
  <c r="F75" i="3"/>
  <c r="F119" i="3" s="1"/>
  <c r="E75" i="3"/>
  <c r="E119" i="3" s="1"/>
  <c r="F84" i="2"/>
  <c r="E84" i="2"/>
  <c r="F79" i="2"/>
  <c r="F86" i="2" s="1"/>
  <c r="E79" i="2"/>
  <c r="F56" i="2"/>
  <c r="E56" i="2"/>
  <c r="E11" i="56"/>
  <c r="E60" i="54"/>
  <c r="E46" i="52"/>
  <c r="F71" i="49"/>
  <c r="E39" i="48"/>
  <c r="E79" i="45"/>
  <c r="F44" i="44"/>
  <c r="F37" i="27"/>
  <c r="E29" i="24"/>
  <c r="E23" i="18"/>
  <c r="E24" i="15"/>
  <c r="E58" i="6"/>
  <c r="F41" i="4" l="1"/>
  <c r="F72" i="11"/>
  <c r="E51" i="12"/>
  <c r="F31" i="24"/>
  <c r="E58" i="40"/>
  <c r="E72" i="46"/>
  <c r="E75" i="46"/>
  <c r="E60" i="53"/>
  <c r="F58" i="6"/>
  <c r="E37" i="31"/>
  <c r="E88" i="2"/>
  <c r="E41" i="4"/>
  <c r="E64" i="5"/>
  <c r="F53" i="12"/>
  <c r="F43" i="14"/>
  <c r="E22" i="17"/>
  <c r="E26" i="20"/>
  <c r="F31" i="23"/>
  <c r="E37" i="27"/>
  <c r="E38" i="28"/>
  <c r="E34" i="30"/>
  <c r="E41" i="33"/>
  <c r="E43" i="34"/>
  <c r="E41" i="36"/>
  <c r="E55" i="40"/>
  <c r="E42" i="44"/>
  <c r="F72" i="46"/>
  <c r="F75" i="46"/>
  <c r="F50" i="47"/>
  <c r="F62" i="5"/>
  <c r="F40" i="28"/>
  <c r="F39" i="29"/>
  <c r="F41" i="33"/>
  <c r="F40" i="35"/>
  <c r="F41" i="36"/>
  <c r="F16" i="37"/>
  <c r="E51" i="39"/>
  <c r="F58" i="40"/>
  <c r="E72" i="41"/>
  <c r="F47" i="42"/>
  <c r="E69" i="43"/>
  <c r="F42" i="44"/>
  <c r="E50" i="47"/>
  <c r="E69" i="49"/>
  <c r="F62" i="53"/>
  <c r="F88" i="2"/>
  <c r="F26" i="8"/>
  <c r="E28" i="8"/>
  <c r="E29" i="22"/>
  <c r="F29" i="22"/>
  <c r="F121" i="3"/>
  <c r="F21" i="21"/>
  <c r="E86" i="2"/>
  <c r="E39" i="4"/>
  <c r="E12" i="7"/>
  <c r="E26" i="8"/>
  <c r="F28" i="8"/>
  <c r="F89" i="10"/>
  <c r="E87" i="10"/>
  <c r="F45" i="14"/>
  <c r="F24" i="15"/>
  <c r="F23" i="16"/>
  <c r="F24" i="17"/>
  <c r="F23" i="18"/>
  <c r="E26" i="19"/>
  <c r="E21" i="21"/>
  <c r="E31" i="22"/>
  <c r="F31" i="22"/>
  <c r="E33" i="23"/>
  <c r="F29" i="24"/>
  <c r="E31" i="24"/>
  <c r="E32" i="25"/>
  <c r="F32" i="25"/>
  <c r="E37" i="26"/>
  <c r="F39" i="26"/>
  <c r="F35" i="27"/>
  <c r="F38" i="28"/>
  <c r="F41" i="29"/>
  <c r="E41" i="29"/>
  <c r="F37" i="31"/>
  <c r="F36" i="32"/>
  <c r="E36" i="32"/>
  <c r="F39" i="33"/>
  <c r="E45" i="34"/>
  <c r="F43" i="34"/>
  <c r="E42" i="35"/>
  <c r="E40" i="35"/>
  <c r="E39" i="36"/>
  <c r="F39" i="36"/>
  <c r="F53" i="39"/>
  <c r="F51" i="12"/>
  <c r="E79" i="9"/>
  <c r="F77" i="9"/>
  <c r="E77" i="9"/>
  <c r="F87" i="10"/>
  <c r="E45" i="14"/>
  <c r="E23" i="16"/>
  <c r="E31" i="23"/>
  <c r="E30" i="25"/>
  <c r="E39" i="26"/>
  <c r="E35" i="27"/>
  <c r="E40" i="28"/>
  <c r="E39" i="29"/>
  <c r="F72" i="41"/>
  <c r="F74" i="41"/>
  <c r="F32" i="30"/>
  <c r="E32" i="30"/>
  <c r="F39" i="31"/>
  <c r="F38" i="32"/>
  <c r="E39" i="33"/>
  <c r="F45" i="34"/>
  <c r="F42" i="35"/>
  <c r="E53" i="39"/>
  <c r="F62" i="38"/>
  <c r="E62" i="38"/>
  <c r="F64" i="38"/>
  <c r="F51" i="39"/>
  <c r="F52" i="47"/>
  <c r="E52" i="47"/>
  <c r="F39" i="48"/>
  <c r="E71" i="49"/>
  <c r="E63" i="50"/>
  <c r="F63" i="50"/>
  <c r="E38" i="51"/>
  <c r="F48" i="52"/>
  <c r="F63" i="55"/>
  <c r="E65" i="55"/>
  <c r="D11" i="56"/>
  <c r="E11" i="57"/>
  <c r="E16" i="58"/>
  <c r="D16" i="58"/>
  <c r="E17" i="60"/>
  <c r="D15" i="60"/>
  <c r="E16" i="61"/>
  <c r="D18" i="61"/>
  <c r="E16" i="62"/>
  <c r="D16" i="63"/>
  <c r="E13" i="64"/>
</calcChain>
</file>

<file path=xl/sharedStrings.xml><?xml version="1.0" encoding="utf-8"?>
<sst xmlns="http://schemas.openxmlformats.org/spreadsheetml/2006/main" count="8444" uniqueCount="1665">
  <si>
    <t>Name of the Instrument</t>
  </si>
  <si>
    <t>Quantity</t>
  </si>
  <si>
    <t>ISIN Number</t>
  </si>
  <si>
    <t xml:space="preserve">Market Value(Rs. in Lakhs) </t>
  </si>
  <si>
    <t>% to Net Assets</t>
  </si>
  <si>
    <t>Industry Classification / Rating</t>
  </si>
  <si>
    <t>Portfolio Statement as on April 30, 2020</t>
  </si>
  <si>
    <t>Franklin India Savings Fund</t>
  </si>
  <si>
    <t>Franklin India Government Securities Fund</t>
  </si>
  <si>
    <t>Franklin India Floating Rate Fund</t>
  </si>
  <si>
    <t>Franklin India Corporate Debt Fund</t>
  </si>
  <si>
    <t>Franklin India Banking &amp; PSU Debt Fund</t>
  </si>
  <si>
    <t>Franklin India Overnight Fund</t>
  </si>
  <si>
    <t>Franklin India Liquid Fund</t>
  </si>
  <si>
    <t>Franklin India Fixed Maturity Plans-Series 6 – Plan C  (1169 days)</t>
  </si>
  <si>
    <t>Franklin India Fixed Maturity Plans-Series 5 – Plan F (1203 days)</t>
  </si>
  <si>
    <t>Franklin India Fixed Maturity Plans-Series 5 – Plan E (1224 days)</t>
  </si>
  <si>
    <t>Franklin India Fixed Maturity Plans – Series 5 – Plan D (1238 days)</t>
  </si>
  <si>
    <t>Franklin India Fixed Maturity Plans - Series 5 -Plan C (1259 Days)</t>
  </si>
  <si>
    <t>Franklin India Fixed Maturity Plans – Series 5 - Plan B (1244 days)</t>
  </si>
  <si>
    <t>Franklin India Fixed Maturity Plans - Series 5 - Plan A (1273 days)</t>
  </si>
  <si>
    <t>Franklin India Fixed Maturity Plans - Series 4 - Plan F (1286 Days)</t>
  </si>
  <si>
    <t>Franklin India Fixed Maturity Plans - Series 4 - Plan E (1098 days)</t>
  </si>
  <si>
    <t>Franklin India Fixed Maturity Plans - Series 4 - Plan D (1098 Days)</t>
  </si>
  <si>
    <t>Franklin India Fixed Maturity Plans - Series 4 - Plan C (1098 Days)</t>
  </si>
  <si>
    <t>Franklin India Fixed Maturity Plans - Series 4 - Plan B (1098 days)</t>
  </si>
  <si>
    <t>Franklin India Fixed Maturity Plans-Series 4 - Plan A (1098 Days)</t>
  </si>
  <si>
    <t>Franklin India Fixed Maturity Plans - Series 3 - Plan F (1098 days)</t>
  </si>
  <si>
    <t>Franklin India Fixed Maturity Plans - Series 3 - Plan E (1104 Days)</t>
  </si>
  <si>
    <t>Franklin India Fixed Maturity Plans - Series 3 - Plan D (1132 Days)</t>
  </si>
  <si>
    <t>Franklin India Fixed Maturity Plans - Series 3 - Plan C (1132 Days)</t>
  </si>
  <si>
    <t>Franklin India Fixed Maturity Plans - Series 3 - Plan B (1139 Days)</t>
  </si>
  <si>
    <t>Franklin India Fixed Maturity Plans-Series 3-Plan A (1157 Days)</t>
  </si>
  <si>
    <t>Franklin India Fixed Maturity Plans- Series 2 - Plan C (1205 Days)</t>
  </si>
  <si>
    <t>Franklin India Fixed Maturity Plans - Series 2 - Plan B (1224 Days)</t>
  </si>
  <si>
    <t>Franklin India Fixed Maturity Plans - Series 2- Plan A (1224 Days)</t>
  </si>
  <si>
    <t>Franklin India Fixed Maturity Plans - Series 1 - Plan B (1104 days)</t>
  </si>
  <si>
    <t>Franklin India Pension Plan</t>
  </si>
  <si>
    <t>Franklin India Debt Hybrid Fund (No. of segregated Portfolio in the scheme - 1)</t>
  </si>
  <si>
    <t>Franklin India Equity Savings Fund</t>
  </si>
  <si>
    <t>Franklin India Equity Hybrid Fund</t>
  </si>
  <si>
    <t>Templeton India Value Fund</t>
  </si>
  <si>
    <t>Templeton India Equity Income Fund</t>
  </si>
  <si>
    <t>Franklin India Technology Fund</t>
  </si>
  <si>
    <t>Franklin India Smaller Companies Fund</t>
  </si>
  <si>
    <t>Franklin India Prima Fund</t>
  </si>
  <si>
    <t>Franklin India Opportunities Fund</t>
  </si>
  <si>
    <t>Franklin India Focused Equity Fund</t>
  </si>
  <si>
    <t>Franklin India Equity Fund</t>
  </si>
  <si>
    <t>Franklin India Equity Advantage Fund</t>
  </si>
  <si>
    <t>Franklin India Bluechip Fund</t>
  </si>
  <si>
    <t>Franklin Build India Fund</t>
  </si>
  <si>
    <t>Franklin Asian Equity Fund</t>
  </si>
  <si>
    <t>Franklin India Index Fund NSE Nifty Plan</t>
  </si>
  <si>
    <t>Franklin India TAXSHIELD</t>
  </si>
  <si>
    <t>Franklin India Feeder - Franklin U.S. Opportunities Fund</t>
  </si>
  <si>
    <t>Franklin India Feeder - Franklin European Growth Fund</t>
  </si>
  <si>
    <t>Franklin India Multi-Asset Solution Fund</t>
  </si>
  <si>
    <t>Franklin India Life Stage Fund Of Funds - 50's Plus Floating Rate Plan</t>
  </si>
  <si>
    <t>Franklin India Life Stage Fund Of Funds - 50's Plus Plan</t>
  </si>
  <si>
    <t>Franklin India Life Stage Fund Of Funds - 40's Plan</t>
  </si>
  <si>
    <t>Franklin India Life Stage Fund Of Funds - 30's Plan</t>
  </si>
  <si>
    <t>Franklin India Life Stage Fund Of Funds - 20's Plan</t>
  </si>
  <si>
    <t>Debt Instruments</t>
  </si>
  <si>
    <t>(a) Listed / awaiting listing on Stock Exchanges</t>
  </si>
  <si>
    <t>9.45% Vedanta Ltd (17-Aug-2020) **</t>
  </si>
  <si>
    <t>INE205A07030</t>
  </si>
  <si>
    <t>CRISIL AA</t>
  </si>
  <si>
    <t>JM Financial Credit Solutions Ltd (1Y SBI MCLR + 300 Bps) (23-Jul-2024) **</t>
  </si>
  <si>
    <t>INE651J07739</t>
  </si>
  <si>
    <t>ICRA AA</t>
  </si>
  <si>
    <t>Indostar Capital Finance Ltd (1Y SBI MCLR + 200 Bps) (02-May-2023) **</t>
  </si>
  <si>
    <t>INE896L07561</t>
  </si>
  <si>
    <t>CARE AA-</t>
  </si>
  <si>
    <t>8.5666% Nuvoco Vistas Corp Ltd (14-Sep-2020) **</t>
  </si>
  <si>
    <t>INE548V07039</t>
  </si>
  <si>
    <t>Edelweiss Rural &amp; Corporate Services Ltd (1Y SBI MCLR + 250 Bps) (29-Nov-2021) **</t>
  </si>
  <si>
    <t>INE657N07597</t>
  </si>
  <si>
    <t>ICRA AA-</t>
  </si>
  <si>
    <t>Edelweiss Rural &amp; Corporate Services Ltd (1Y SBI MCLR + 250 Bps) (29-Nov-2021) - Series II **</t>
  </si>
  <si>
    <t>INE657N07605</t>
  </si>
  <si>
    <t>CRISIL AA-</t>
  </si>
  <si>
    <t>10.00% Piramal Enterprises Ltd (29-May-2020) **</t>
  </si>
  <si>
    <t>INE140A07435</t>
  </si>
  <si>
    <t>12.75% Renew Power Ltd (26-Feb-2021) **</t>
  </si>
  <si>
    <t>INE003S07213</t>
  </si>
  <si>
    <t>CARE A+</t>
  </si>
  <si>
    <t>10.00% Piramal Enterprises Ltd (15-May-2020) **</t>
  </si>
  <si>
    <t>INE140A07401</t>
  </si>
  <si>
    <t>9.00% Piramal Enterprises Ltd (06-May-2022) **</t>
  </si>
  <si>
    <t>INE140A07567</t>
  </si>
  <si>
    <t>CARE AA</t>
  </si>
  <si>
    <t>INE658R08149</t>
  </si>
  <si>
    <t>0.00% PNB Housing Finance Ltd (03-Aug-2020) **</t>
  </si>
  <si>
    <t>INE572E09494</t>
  </si>
  <si>
    <t>CARE AA+</t>
  </si>
  <si>
    <t>12.25% DLF Ltd Series IV (11-Aug-2020) **</t>
  </si>
  <si>
    <t>INE271C07137</t>
  </si>
  <si>
    <t>ICRA A+</t>
  </si>
  <si>
    <t>8.47% PNB Housing Finance Ltd (01-Jul-2021) **</t>
  </si>
  <si>
    <t>INE572E09361</t>
  </si>
  <si>
    <t>10.15% Uttar Pradesh Power Corporation Ltd (20-Jan-2021) **</t>
  </si>
  <si>
    <t>INE540P07285</t>
  </si>
  <si>
    <t>CRISIL A+(CE)</t>
  </si>
  <si>
    <t>INE658R07257</t>
  </si>
  <si>
    <t>10.75% Incred Financial Services Pvt Ltd (22-Jun-2020) **</t>
  </si>
  <si>
    <t>INE945W07019</t>
  </si>
  <si>
    <t>CARE A</t>
  </si>
  <si>
    <t>9.75% Uttar Pradesh Power Corporation Ltd (20-Oct-2020) **</t>
  </si>
  <si>
    <t>INE540P07194</t>
  </si>
  <si>
    <t>7.85% Talwandi Sabo Power Ltd (04-Aug-2020) **</t>
  </si>
  <si>
    <t>INE694L07107</t>
  </si>
  <si>
    <t>CRISIL AA(CE)</t>
  </si>
  <si>
    <t>8.25% Vizag General Cargo Berth Pvt Ltd (30-Sep-2020) **</t>
  </si>
  <si>
    <t>INE905O07028</t>
  </si>
  <si>
    <t>7.63% PNB Housing Finance Ltd (15-Dec-2020)</t>
  </si>
  <si>
    <t>INE572E09452</t>
  </si>
  <si>
    <t>7.80% PNB Housing Finance Ltd (07-May-2021) **</t>
  </si>
  <si>
    <t>INE572E09429</t>
  </si>
  <si>
    <t>10.15% Uttar Pradesh Power Corporation Ltd (20-Jan-2022) **</t>
  </si>
  <si>
    <t>INE540P07293</t>
  </si>
  <si>
    <t>Northern ARC Capital Ltd (6M SBI MCLR + 305 Bps) Series A (16-Jul-2021) **</t>
  </si>
  <si>
    <t>INE850M08051</t>
  </si>
  <si>
    <t>Northern ARC Capital Ltd (6M SBI MCLR + 305 Bps) Series B (16-Jul-2021) **</t>
  </si>
  <si>
    <t>INE850M08069</t>
  </si>
  <si>
    <t>9.70% Xander Finance Pvt Ltd (15-Mar-2021) **</t>
  </si>
  <si>
    <t>INE252T07040</t>
  </si>
  <si>
    <t>Northern ARC Capital Ltd (6M SBI MCLR + 305 Bps) Series C (16-Jul-2021) **</t>
  </si>
  <si>
    <t>INE850M08077</t>
  </si>
  <si>
    <t>11.80% Tata Steel Ltd (18-Mar-2111) **</t>
  </si>
  <si>
    <t>INE081A08165</t>
  </si>
  <si>
    <t>11.75% AU Small Finance Bank Ltd (04-May-2021) **</t>
  </si>
  <si>
    <t>INE949L08152</t>
  </si>
  <si>
    <t>IND AA-</t>
  </si>
  <si>
    <t>7.63% PNB Housing Finance Ltd (14-Jul-2020)</t>
  </si>
  <si>
    <t>INE572E09460</t>
  </si>
  <si>
    <t>9.23% Talwandi Sabo Power Ltd (30-Jul-2021) **</t>
  </si>
  <si>
    <t>INE694L07123</t>
  </si>
  <si>
    <t>7.50% PNB Housing Finance Ltd (15-Sep-2020)</t>
  </si>
  <si>
    <t>INE572E09478</t>
  </si>
  <si>
    <t>11.40% Tata Power Co Ltd (02-Jun-2111)</t>
  </si>
  <si>
    <t>INE245A08034</t>
  </si>
  <si>
    <t>7.28% Tata Motors Ltd (29-Jul-2020) **</t>
  </si>
  <si>
    <t>INE155A08357</t>
  </si>
  <si>
    <t>0.00% Incred Financial Services Pvt Ltd (22-Jun-2020) **</t>
  </si>
  <si>
    <t>INE945W07027</t>
  </si>
  <si>
    <t>8.55% Shriram Transport Finance Co Ltd (21-May-2021) **</t>
  </si>
  <si>
    <t>INE721A07NI6</t>
  </si>
  <si>
    <t>CRISIL AA+</t>
  </si>
  <si>
    <t>7.58% PNB Housing Finance Ltd (15-Mar-2021) **</t>
  </si>
  <si>
    <t>INE572E09569</t>
  </si>
  <si>
    <t>10.75% The Tata Power Co Ltd (21-Aug-2022) **</t>
  </si>
  <si>
    <t>INE245A08042</t>
  </si>
  <si>
    <t>7.40% Tata Motors Ltd (29-Jun-2021) **</t>
  </si>
  <si>
    <t>INE155A08365</t>
  </si>
  <si>
    <t>9.10% Shriram Transport Finance Co Ltd (12-Jul-2021) **</t>
  </si>
  <si>
    <t>INE721A07NV9</t>
  </si>
  <si>
    <t>11.30% Hinduja Leyland Finance Ltd (21-Jul-2021) **</t>
  </si>
  <si>
    <t>INE146O08084</t>
  </si>
  <si>
    <t>9.70% Xander Finance Pvt Ltd (30-Apr-2021) **</t>
  </si>
  <si>
    <t>INE252T07057</t>
  </si>
  <si>
    <t>12.00% Vivriti Capital Pvt Ltd (19-Mar-2021) **</t>
  </si>
  <si>
    <t>INE01HV07015</t>
  </si>
  <si>
    <t>ICRA A-</t>
  </si>
  <si>
    <t>7.6414% Shriram Transport Finance Co Ltd (10-Nov-2020) **</t>
  </si>
  <si>
    <t>INE721A07MW9</t>
  </si>
  <si>
    <t>8.70% Edelweiss Rural &amp; Corporate Services Ltd (30-Jun-2027) **</t>
  </si>
  <si>
    <t>INE616U07036</t>
  </si>
  <si>
    <t>10.15% Uttar Pradesh Power Corporation Ltd (20-Jan-2023) **</t>
  </si>
  <si>
    <t>INE540P07301</t>
  </si>
  <si>
    <t>8.59% PNB Housing Finance Ltd (17-Jun-2020) **</t>
  </si>
  <si>
    <t>INE572E09270</t>
  </si>
  <si>
    <t>7.50% Tata Motors Ltd (20-Oct-2021) **</t>
  </si>
  <si>
    <t>INE155A08316</t>
  </si>
  <si>
    <t>10.25% Sikka Ports &amp; Terminals Ltd (22-Aug-2021) **</t>
  </si>
  <si>
    <t>INE941D08065</t>
  </si>
  <si>
    <t>CRISIL AAA</t>
  </si>
  <si>
    <t>Sub Total</t>
  </si>
  <si>
    <t>(b) Privately Placed / Unlisted</t>
  </si>
  <si>
    <t>INE896L07660</t>
  </si>
  <si>
    <t>0.00% Bharti Telecom Ltd (19-Feb-2021) **</t>
  </si>
  <si>
    <t>INE403D08025</t>
  </si>
  <si>
    <t>10.75% Clix Capital Services Pvt Ltd (27-Jun-2023) **</t>
  </si>
  <si>
    <t>INE157D08027</t>
  </si>
  <si>
    <t>0.00% Hero Solar Energy Pvt Ltd (21-Jun-2022) **</t>
  </si>
  <si>
    <t>INE316W07013</t>
  </si>
  <si>
    <t>ICRA A</t>
  </si>
  <si>
    <t>0.00% Tata Realty &amp; Infrastructure Ltd (04-Jun-2021) **</t>
  </si>
  <si>
    <t>INE371K08128</t>
  </si>
  <si>
    <t>10.75% Clix Capital Services Pvt Ltd (25-May-2023) **</t>
  </si>
  <si>
    <t>INE157D08019</t>
  </si>
  <si>
    <t>9.00% Pune Solapur Expressways Pvt Ltd (31-Mar-2029) **</t>
  </si>
  <si>
    <t>INE598K07011</t>
  </si>
  <si>
    <t>0.00% Hero Wind Energy Pvt Ltd (21-Jun-2022) **</t>
  </si>
  <si>
    <t>INE918T07038</t>
  </si>
  <si>
    <t>0.00% Hero Wind Energy Pvt Ltd (08-Feb-2022) **</t>
  </si>
  <si>
    <t>INE918T07020</t>
  </si>
  <si>
    <t>9.40% Small Business Fincredit India Pvt Ltd (28-Sep-2020) **</t>
  </si>
  <si>
    <t>INE423Y07013</t>
  </si>
  <si>
    <t>4.00% HPCL-Mittal Energy Ltd (03-Sep-2020) **</t>
  </si>
  <si>
    <t>INE137K07018</t>
  </si>
  <si>
    <t>ICRA AA+</t>
  </si>
  <si>
    <t>11.50% Clix Capital Services Pvt Ltd (06-Jul-2021) **</t>
  </si>
  <si>
    <t>INE157D08068</t>
  </si>
  <si>
    <t>11.50% Clix Capital Services Pvt Ltd (06-May-2021) **</t>
  </si>
  <si>
    <t>INE157D08050</t>
  </si>
  <si>
    <t>11.50% Clix Capital Services Pvt Ltd (06-Sep-2021) **</t>
  </si>
  <si>
    <t>INE157D08035</t>
  </si>
  <si>
    <t>11.50% Clix Finance India Pvt Ltd (06-Jan-2022) **</t>
  </si>
  <si>
    <t>INE587B08037</t>
  </si>
  <si>
    <t>11.50% Clix Capital Services Pvt Ltd (12-Nov-2021) **</t>
  </si>
  <si>
    <t>INE157D08043</t>
  </si>
  <si>
    <t>11.96% Renew Power Ltd (28-Sep-2022) **</t>
  </si>
  <si>
    <t>INE003S07155</t>
  </si>
  <si>
    <t>8.40% Promont Hillside Pvt Ltd (26-Jun-2020) **</t>
  </si>
  <si>
    <t>INE931Q08035</t>
  </si>
  <si>
    <t>CARE AA(CE)</t>
  </si>
  <si>
    <t>9.99% India Shelter Finance Corporation Ltd (10-Feb-2022) **</t>
  </si>
  <si>
    <t>INE922K07013</t>
  </si>
  <si>
    <t>0.00% KKR India Financial Services Pvt Ltd (10-Mar-2021) **</t>
  </si>
  <si>
    <t>INE321N07244</t>
  </si>
  <si>
    <t>Money Market Instruments</t>
  </si>
  <si>
    <t>Commercial Paper</t>
  </si>
  <si>
    <t>Hero Future Energies Pvt Ltd (18-May-2020) **@</t>
  </si>
  <si>
    <t>INE754R14102</t>
  </si>
  <si>
    <t>CRISIL A1</t>
  </si>
  <si>
    <t>Total</t>
  </si>
  <si>
    <t>Net Assets</t>
  </si>
  <si>
    <t>Call, Cash &amp; Other Assets</t>
  </si>
  <si>
    <t>@ Listed</t>
  </si>
  <si>
    <t>Rating</t>
  </si>
  <si>
    <t>** Non- Traded Scrips</t>
  </si>
  <si>
    <t>Notes</t>
  </si>
  <si>
    <t>a) NAV at the beginning and at the end of the Half-year ended 30-Apr-2020</t>
  </si>
  <si>
    <t xml:space="preserve">      Plan/Option</t>
  </si>
  <si>
    <t>As on 30-Apr-2020</t>
  </si>
  <si>
    <t>As on 31-Oct-2019</t>
  </si>
  <si>
    <t xml:space="preserve">      Retail Plan Growth Option</t>
  </si>
  <si>
    <t xml:space="preserve">      Retail Plan Daily Dividend Option</t>
  </si>
  <si>
    <t xml:space="preserve">      Retail Plan Weekly Dividend Option</t>
  </si>
  <si>
    <t xml:space="preserve">      Institutional Plan Growth Option</t>
  </si>
  <si>
    <t xml:space="preserve">      Institutional Plan Daily Dividend Option</t>
  </si>
  <si>
    <t xml:space="preserve">      Super Institutional Plan Growth Option</t>
  </si>
  <si>
    <t xml:space="preserve">      Super Institutional Plan Daily Dividend Option</t>
  </si>
  <si>
    <t xml:space="preserve">      Super Institutional Plan Weekly Dividend Option</t>
  </si>
  <si>
    <t xml:space="preserve">      Direct Super Institutional Plan Growth Option</t>
  </si>
  <si>
    <t xml:space="preserve">      Direct Super Institutional Plan Daily Dividend Option</t>
  </si>
  <si>
    <t xml:space="preserve">      Direct Super Institutional Plan Weekly Dividend Option</t>
  </si>
  <si>
    <t>b) Aggregate Dividends declared during the Half - year ended 30-Apr-2020</t>
  </si>
  <si>
    <t>Plan Name</t>
  </si>
  <si>
    <t>Dividend per unit (Rs.)</t>
  </si>
  <si>
    <t>Individuals/HUF</t>
  </si>
  <si>
    <t>Others</t>
  </si>
  <si>
    <t>c) Average Maturity as on 30-Apr-2020</t>
  </si>
  <si>
    <t>(In Years)</t>
  </si>
  <si>
    <t xml:space="preserve">d) During the month additional instances of fair valuation/deviation from valuation price provided by the valuation agencies </t>
  </si>
  <si>
    <t>Nil</t>
  </si>
  <si>
    <t>Refer below link for rationale of devation under Valuation policy</t>
  </si>
  <si>
    <t>Main Portfolio</t>
  </si>
  <si>
    <t>Franklin India Ultra Short Bond Fund - Segregated Portfolio 1  - 8.25% Vodafone Idea Ltd (10-Jul-2020)</t>
  </si>
  <si>
    <t>Segregated Portfolio 1</t>
  </si>
  <si>
    <t>8.25% Vodafone Idea Ltd (10-Jul-2020) $$ ^^ **</t>
  </si>
  <si>
    <t>INE713G08046</t>
  </si>
  <si>
    <t>CRISIL B+</t>
  </si>
  <si>
    <t>10.25% Shriram Transport Finance Co Ltd (26-Apr-2024) **</t>
  </si>
  <si>
    <t>INE721A08DC8</t>
  </si>
  <si>
    <t>9.50% Piramal Capital &amp; Housing Finance Ltd (15-Apr-2022) **</t>
  </si>
  <si>
    <t>INE516Y07105</t>
  </si>
  <si>
    <t>10.32% Andhra Pradesh Capital Region Development Authority (16-Aug-2025) **</t>
  </si>
  <si>
    <t>INE01E708024</t>
  </si>
  <si>
    <t>10.32% Andhra Pradesh Capital Region Development Authority (16-Aug-2024) **</t>
  </si>
  <si>
    <t>INE01E708016</t>
  </si>
  <si>
    <t>12.30% Sterlite Power Grid Ventures Ltd (28-Mar-2022) **</t>
  </si>
  <si>
    <t>INE615S07065</t>
  </si>
  <si>
    <t>IND A</t>
  </si>
  <si>
    <t>10.00% Aptus Value Housing Finance India Ltd (20-Aug-2025) **</t>
  </si>
  <si>
    <t>INE852O07097</t>
  </si>
  <si>
    <t>7.91% PNB Housing Finance Ltd (29-Mar-2022) **</t>
  </si>
  <si>
    <t>INE572E09403</t>
  </si>
  <si>
    <t>9.90% Shriram Transport Finance Co Ltd (21-Jun-2024) **</t>
  </si>
  <si>
    <t>INE721A08DF1</t>
  </si>
  <si>
    <t>12.40% JM Financial Asset Reconstruction Co Ltd (02-Feb-2022) **</t>
  </si>
  <si>
    <t>INE265J07357</t>
  </si>
  <si>
    <t>12.64% Five-Star Business Finance Ltd (16-Apr-2022) **</t>
  </si>
  <si>
    <t>INE128S07374</t>
  </si>
  <si>
    <t>12.00% Ess Kay Fincorp Ltd (01-Aug-2023) **</t>
  </si>
  <si>
    <t>INE124N07309</t>
  </si>
  <si>
    <t>CRISIL A</t>
  </si>
  <si>
    <t>INE657N07381</t>
  </si>
  <si>
    <t>8.50% Vedanta Ltd (05-Apr-2021)</t>
  </si>
  <si>
    <t>INE205A07139</t>
  </si>
  <si>
    <t>10.00% Aptus Value Housing Finance India Ltd (20-Jul-2025) **</t>
  </si>
  <si>
    <t>INE852O07089</t>
  </si>
  <si>
    <t>12.40% JM Financial Asset Reconstruction Co Ltd (02-Aug-2021) **</t>
  </si>
  <si>
    <t>INE265J07365</t>
  </si>
  <si>
    <t>12.64% Five-Star Business Finance Ltd (28-May-2022) **</t>
  </si>
  <si>
    <t>INE128S07390</t>
  </si>
  <si>
    <t>10.15% Uttar Pradesh Power Corporation Ltd (19-Jan-2024) **</t>
  </si>
  <si>
    <t>INE540P07319</t>
  </si>
  <si>
    <t>10.15% Uttar Pradesh Power Corporation Ltd (20-Jan-2025) **</t>
  </si>
  <si>
    <t>INE540P07327</t>
  </si>
  <si>
    <t>10.50% Vistaar Financial Services Pvt Ltd (24-Aug-2025) **</t>
  </si>
  <si>
    <t>INE016P07146</t>
  </si>
  <si>
    <t>10.15% Uttar Pradesh Power Corporation Ltd (20-Jan-2026) **</t>
  </si>
  <si>
    <t>INE540P07335</t>
  </si>
  <si>
    <t>12.25% DLF Ltd Tranche II Series IV (11-Aug-2020) **</t>
  </si>
  <si>
    <t>INE271C07178</t>
  </si>
  <si>
    <t>11.60% Hinduja Leyland Finance Ltd (29-Sep-2024) **</t>
  </si>
  <si>
    <t>INE146O08159</t>
  </si>
  <si>
    <t>12.64% Five-Star Business Finance Ltd (29-Mar-2022) **</t>
  </si>
  <si>
    <t>INE128S07358</t>
  </si>
  <si>
    <t>10.9007% Ess Kay Fincorp Ltd (11-Jun-2021) **</t>
  </si>
  <si>
    <t>INE124N07200</t>
  </si>
  <si>
    <t>BWR A</t>
  </si>
  <si>
    <t>INE124N07168</t>
  </si>
  <si>
    <t>10.40% Vastu Housing Finance Corporation Ltd (27-Nov-2025) **</t>
  </si>
  <si>
    <t>INE459T07082</t>
  </si>
  <si>
    <t>INE459T07090</t>
  </si>
  <si>
    <t>9.90% Coastal Gujarat Power Ltd (25-Aug-2028) **</t>
  </si>
  <si>
    <t>INE295J08022</t>
  </si>
  <si>
    <t>10.32% Andhra Pradesh Capital Region Development Authority (16-Aug-2026) **</t>
  </si>
  <si>
    <t>INE01E708032</t>
  </si>
  <si>
    <t>11.50% Hinduja Leyland Finance Ltd (31-May-2021) **</t>
  </si>
  <si>
    <t>INE146O08068</t>
  </si>
  <si>
    <t>9.95% Vastu Housing Finance Corporation Ltd (27-Feb-2025) **</t>
  </si>
  <si>
    <t>INE459T07025</t>
  </si>
  <si>
    <t>9.75% Uttar Pradesh Power Corporation Ltd (20-Oct-2021) **</t>
  </si>
  <si>
    <t>INE540P07202</t>
  </si>
  <si>
    <t>10.90% Punjab &amp; Sind Bank (07-May-2022)</t>
  </si>
  <si>
    <t>INE608A08025</t>
  </si>
  <si>
    <t>8.45% Edelweiss Rural &amp; Corporate Services Ltd (11-Aug-2020) **</t>
  </si>
  <si>
    <t>INE657N07407</t>
  </si>
  <si>
    <t>10.21% Five-Star Business Finance Ltd (28-Mar-2023) **</t>
  </si>
  <si>
    <t>INE128S07333</t>
  </si>
  <si>
    <t>9.18% Vedanta Ltd (02-Jul-2021) **</t>
  </si>
  <si>
    <t>INE205A07154</t>
  </si>
  <si>
    <t>11.50% JM Financial Asset Reconstruction Co Ltd (29-May-2022) **</t>
  </si>
  <si>
    <t>INE265J07316</t>
  </si>
  <si>
    <t>12.64% Five-Star Business Finance Ltd (28-Jun-2022) **</t>
  </si>
  <si>
    <t>INE128S07408</t>
  </si>
  <si>
    <t>11.10% Hinduja Leyland Finance Ltd (08-Apr-2022) **</t>
  </si>
  <si>
    <t>INE146O08092</t>
  </si>
  <si>
    <t>9.85% DCB Bank Ltd (18-Nov-2026) **</t>
  </si>
  <si>
    <t>INE503A08028</t>
  </si>
  <si>
    <t>9.73% Tata Motors Ltd (01-Oct-2020) **</t>
  </si>
  <si>
    <t>INE155A08225</t>
  </si>
  <si>
    <t>12.00% Hinduja Leyland Finance Ltd (28-Mar-2021) **</t>
  </si>
  <si>
    <t>INE146O08027</t>
  </si>
  <si>
    <t>8.90% Vedanta Ltd (09-Dec-2021) **</t>
  </si>
  <si>
    <t>INE205A07162</t>
  </si>
  <si>
    <t>8.50% Bank of Baroda (02-Dec-2021) **</t>
  </si>
  <si>
    <t>INE028A08083</t>
  </si>
  <si>
    <t>10.15% Uttar Pradesh Power Corporation Ltd (20-Jan-2027) **</t>
  </si>
  <si>
    <t>INE540P07343</t>
  </si>
  <si>
    <t>10.15% Uttar Pradesh Power Corporation Ltd (20-Jan-2028) **</t>
  </si>
  <si>
    <t>INE540P07350</t>
  </si>
  <si>
    <t>INE128S07317</t>
  </si>
  <si>
    <t>10.00% Aptus Value Housing Finance India Ltd (24-Jan-2025) **</t>
  </si>
  <si>
    <t>INE852O07055</t>
  </si>
  <si>
    <t>7.50% Power Finance Corporation Ltd (17-Sep-2020) **</t>
  </si>
  <si>
    <t>INE134E08IW3</t>
  </si>
  <si>
    <t>9.30% Fullerton India Credit Co Ltd (15-Mar-2021) **</t>
  </si>
  <si>
    <t>INE535H07AU7</t>
  </si>
  <si>
    <t>0.00% Mahindra &amp; Mahindra Financial Services Ltd (07-Apr-2021) **</t>
  </si>
  <si>
    <t>INE774D07RY7</t>
  </si>
  <si>
    <t>IND AAA</t>
  </si>
  <si>
    <t>8.39% National Bank For Agriculture &amp; Rural Development (19-Jul-2021) **</t>
  </si>
  <si>
    <t>INE261F08AL1</t>
  </si>
  <si>
    <t>8.32% Reliance Industries Ltd (08-Jul-2021)</t>
  </si>
  <si>
    <t>INE110L07070</t>
  </si>
  <si>
    <t>11.90% Rishanth Wholesale Trading Pvt Ltd (20-Oct-2023) **</t>
  </si>
  <si>
    <t>INE01EA07016</t>
  </si>
  <si>
    <t>9.45% Renew Power Ltd (31-Jul-2025) **</t>
  </si>
  <si>
    <t>INE003S07189</t>
  </si>
  <si>
    <t>11.50% S. D. Corporation Pvt Ltd (03-Jun-2022) **</t>
  </si>
  <si>
    <t>INE660N07047</t>
  </si>
  <si>
    <t>10.25% Star Health &amp; Allied Insurance Co Ltd (06-Sep-2024) **</t>
  </si>
  <si>
    <t>INE575P08016</t>
  </si>
  <si>
    <t>IND A+</t>
  </si>
  <si>
    <t>9.60% Narmada Wind Energy Pvt Ltd (31-Mar-2023)</t>
  </si>
  <si>
    <t>INE209W07010</t>
  </si>
  <si>
    <t>CARE A+(CE)</t>
  </si>
  <si>
    <t>9.60% Renew Wind Energy (Rajasthan One) Pvt Ltd (31-Mar-2023)</t>
  </si>
  <si>
    <t>INE964Q07012</t>
  </si>
  <si>
    <t>11.25% Aadarshini Real Estate Developers Pvt Ltd (29-Jul-2020) **</t>
  </si>
  <si>
    <t>INE03VJ07017</t>
  </si>
  <si>
    <t>ICRA A+(CE)</t>
  </si>
  <si>
    <t>12.50% Rivaaz Trade Ventures Pvt Ltd (31-Dec-2023) **</t>
  </si>
  <si>
    <t>INE971Z07109</t>
  </si>
  <si>
    <t>BWR A(CE)</t>
  </si>
  <si>
    <t>11.50% S D Corporation Pvt Ltd (03-Jun-2022) **</t>
  </si>
  <si>
    <t>INE660N07062</t>
  </si>
  <si>
    <t>11.75% Rivaaz Trade Ventures Pvt Ltd (30-Jun-2022) **</t>
  </si>
  <si>
    <t>INE971Z07042</t>
  </si>
  <si>
    <t>11.75% Rivaaz Trade Ventures Pvt Ltd (30-Jun-2021) **</t>
  </si>
  <si>
    <t>INE971Z07034</t>
  </si>
  <si>
    <t>13.30% Nufuture Digital (India) Ltd (31-Dec-2021) **</t>
  </si>
  <si>
    <t>INE946S07122</t>
  </si>
  <si>
    <t>BWR A-(CE)</t>
  </si>
  <si>
    <t>9.95% Molagavalli Renewable Pvt Ltd (31-Mar-2023)</t>
  </si>
  <si>
    <t>INE659X07014</t>
  </si>
  <si>
    <t>11.70% Svatantra Microfin Pvt Ltd (30-Nov-2023) **</t>
  </si>
  <si>
    <t>INE00MX08011</t>
  </si>
  <si>
    <t>12.50% Rivaaz Trade Ventures Pvt Ltd (30-Dec-2021) **</t>
  </si>
  <si>
    <t>INE971Z07083</t>
  </si>
  <si>
    <t>12.50% Rivaaz Trade Ventures Pvt Ltd (30-Dec-2022) **</t>
  </si>
  <si>
    <t>INE971Z07091</t>
  </si>
  <si>
    <t>12.40% Rivaaz Trade Ventures Pvt Ltd (07-Nov-2020) **</t>
  </si>
  <si>
    <t>INE285T07099</t>
  </si>
  <si>
    <t>13.90% Future Ideas Co Ltd (31-Jan-2023) **</t>
  </si>
  <si>
    <t>INE080T07060</t>
  </si>
  <si>
    <t>0.00% Essel Infraprojects Ltd Series I (22-May-2020) $$ ^^ **</t>
  </si>
  <si>
    <t>INE498F07063</t>
  </si>
  <si>
    <t>BWR C(CE)</t>
  </si>
  <si>
    <t>12.50% Rivaaz Trade Ventures Pvt Ltd (30-Dec-2020) **</t>
  </si>
  <si>
    <t>INE971Z07075</t>
  </si>
  <si>
    <t>Jindal Power Ltd (SBI+100 Bps) (22-Dec-2020) **</t>
  </si>
  <si>
    <t>INE720G08082</t>
  </si>
  <si>
    <t>ICRA BBB+</t>
  </si>
  <si>
    <t>13.90% Future Ideas Co Ltd (31-Jan-2022) **</t>
  </si>
  <si>
    <t>INE080T07052</t>
  </si>
  <si>
    <t>9.95% Narmada Wind Energy Pvt Ltd (31-Mar-2023)</t>
  </si>
  <si>
    <t>INE209W07028</t>
  </si>
  <si>
    <t>9.50% Reliance Broadcast Network Ltd (20-Jul-2020) $$ **</t>
  </si>
  <si>
    <t>INE445K07106</t>
  </si>
  <si>
    <t>CARE D</t>
  </si>
  <si>
    <t>12.41% Renew Solar Power Pvt Ltd (01-Nov-2022) **</t>
  </si>
  <si>
    <t>INE139S07017</t>
  </si>
  <si>
    <t>CARE A+(SO)</t>
  </si>
  <si>
    <t>13.30% Nufuture Digital (India) Ltd (31-Dec-2020) **</t>
  </si>
  <si>
    <t>INE946S07114</t>
  </si>
  <si>
    <t>11.49% Reliance Infrastructure Consulting &amp; Engineers Pvt Ltd (15-Jan-2021) $$ ^^ **</t>
  </si>
  <si>
    <t>INE428K07011</t>
  </si>
  <si>
    <t>BWR D</t>
  </si>
  <si>
    <t>0.00% Essel Infraprojects Ltd Series II (22-May-2020) $$ ^^ **</t>
  </si>
  <si>
    <t>INE498F07071</t>
  </si>
  <si>
    <t>13.90% Future Ideas Co Ltd (31-Jan-2021) **</t>
  </si>
  <si>
    <t>INE080T07045</t>
  </si>
  <si>
    <t>12.65% Nufuture Digital (India) Ltd (02-Sep-2020) **</t>
  </si>
  <si>
    <t>INE946S07098</t>
  </si>
  <si>
    <t>11.49% Reliance Big Pvt Ltd Series II (14-Jan-2021) $$ ^^ **</t>
  </si>
  <si>
    <t>INE333T07055</t>
  </si>
  <si>
    <t>8.01% Tata Sons Pvt Ltd (02-Sep-2021) **</t>
  </si>
  <si>
    <t>INE895D08634</t>
  </si>
  <si>
    <t>11.49% Reliance Big Pvt Ltd  Series I (14-Jan-2021) $$ ^^ **</t>
  </si>
  <si>
    <t>INE333T07048</t>
  </si>
  <si>
    <t>* Less than 0.01%</t>
  </si>
  <si>
    <t xml:space="preserve">      Retail Plan Monthly Dividend Option</t>
  </si>
  <si>
    <t xml:space="preserve">      Retail Plan Quarterly Dividend Option</t>
  </si>
  <si>
    <t xml:space="preserve">      Direct Retail Plan Growth Option</t>
  </si>
  <si>
    <t xml:space="preserve">      Direct Retail Plan Weekly Dividend Option</t>
  </si>
  <si>
    <t xml:space="preserve">      Direct Retail Plan Monthly Dividend Option</t>
  </si>
  <si>
    <t xml:space="preserve">      Direct Retail Plan Quarterly Dividend Option</t>
  </si>
  <si>
    <t>Franklin India Short Term Income Plan - Segregated Portfolio 1  - 8.25% Vodafone Idea Ltd (10-Jul-2020)</t>
  </si>
  <si>
    <t>Franklin India Short Term Income Plan - Segregated Portfolio 2 - 10.90% Vodafone Idea Ltd (02-Sep-2023) P/C 03 Sep 2021</t>
  </si>
  <si>
    <t>Segregated Portfolio 2</t>
  </si>
  <si>
    <t>10.90% Vodafone Idea Ltd (02-Sep-2023) $$^^ **</t>
  </si>
  <si>
    <t>INE669E08318</t>
  </si>
  <si>
    <t>CARE BB-</t>
  </si>
  <si>
    <t>Franklin India Short Term Income Plan - Segregated Portfolio 3 - 9.50% Yes Bank Ltd CO 23 Dec 2021</t>
  </si>
  <si>
    <t>Segregated Portfolio 3</t>
  </si>
  <si>
    <t>9.50% Yes Bank Ltd (23-Dec-2021)  $$ **</t>
  </si>
  <si>
    <t>INE528G08352</t>
  </si>
  <si>
    <t>Certificate of Deposit</t>
  </si>
  <si>
    <t>Axis Bank Ltd (28-Oct-2020) **</t>
  </si>
  <si>
    <t>INE238A165R1</t>
  </si>
  <si>
    <t>CRISIL A1+</t>
  </si>
  <si>
    <t>Bank of Baroda (11-Feb-2021) **</t>
  </si>
  <si>
    <t>INE028A16BX1</t>
  </si>
  <si>
    <t>IND A1+</t>
  </si>
  <si>
    <t>Axis Bank Ltd (05-Feb-2021) **</t>
  </si>
  <si>
    <t>INE238A160U6</t>
  </si>
  <si>
    <t>Axis Bank Ltd (10-Mar-2021) **</t>
  </si>
  <si>
    <t>INE238A165U5</t>
  </si>
  <si>
    <t>Axis Bank Ltd (07-Aug-2020) **</t>
  </si>
  <si>
    <t>INE238A160Q4</t>
  </si>
  <si>
    <t>ICICI Bank Ltd (14-Sep-2020) **</t>
  </si>
  <si>
    <t>INE090A166V8</t>
  </si>
  <si>
    <t>ICRA A1+</t>
  </si>
  <si>
    <t>Bank of Baroda (09-Mar-2021)</t>
  </si>
  <si>
    <t>INE028A16BY9</t>
  </si>
  <si>
    <t>National Bank For Agriculture &amp; Rural Development (15-May-2020)</t>
  </si>
  <si>
    <t>INE261F16405</t>
  </si>
  <si>
    <t>Small Industries Development Bank Of India (24-Jun-2020)</t>
  </si>
  <si>
    <t>INE556F16663</t>
  </si>
  <si>
    <t>National Bank For Agriculture &amp; Rural Development (05-Aug-2020) **</t>
  </si>
  <si>
    <t>INE261F16454</t>
  </si>
  <si>
    <t>National Bank For Agriculture &amp; Rural Development (05-Mar-2021) **</t>
  </si>
  <si>
    <t>INE261F16512</t>
  </si>
  <si>
    <t>Small Industries Development Bank Of India (15-May-2020) **</t>
  </si>
  <si>
    <t>INE556F16630</t>
  </si>
  <si>
    <t>(MIBOR+65 Bps ) Axis Bank Ltd (10-Dec-2020) **</t>
  </si>
  <si>
    <t>INE238A164S2</t>
  </si>
  <si>
    <t>(MIBOR+110 Bps) Cooperatieve Rabobank (27-Nov-2020) **</t>
  </si>
  <si>
    <t>INE480Q16465</t>
  </si>
  <si>
    <t>Hero Fincorp Ltd (30-Oct-2020) **@</t>
  </si>
  <si>
    <t>INE957N14CX7</t>
  </si>
  <si>
    <t>Kotak Mahindra Prime Ltd (27-Nov-2020) **@</t>
  </si>
  <si>
    <t>INE916D14S54</t>
  </si>
  <si>
    <t>L&amp;T Infrastructure Finance Co Ltd (17-Nov-2020) **@</t>
  </si>
  <si>
    <t>INE691I14JK4</t>
  </si>
  <si>
    <t>Export-Import Bank Of India (14-Oct-2020) **@</t>
  </si>
  <si>
    <t>INE514E14OP6</t>
  </si>
  <si>
    <t>Fullerton India Credit Co Ltd (08-Dec-2020) **@</t>
  </si>
  <si>
    <t>INE535H14ID2</t>
  </si>
  <si>
    <t>Reliance Jio Infocomm Ltd (09-Feb-2021) **@</t>
  </si>
  <si>
    <t>INE110L14NK1</t>
  </si>
  <si>
    <t>CARE A1+</t>
  </si>
  <si>
    <t>L&amp;T Infrastructure Finance Co Ltd (29-Jan-2021) **@</t>
  </si>
  <si>
    <t>INE691I14JS7</t>
  </si>
  <si>
    <t>Housing Development Finance Corporation Ltd (13-Jan-2021) **@</t>
  </si>
  <si>
    <t>INE001A14WG4</t>
  </si>
  <si>
    <t>Bajaj Housing Finance Ltd (29-Jan-2021) **@</t>
  </si>
  <si>
    <t>INE377Y14710</t>
  </si>
  <si>
    <t>L&amp;T Infrastructure Finance Co Ltd (08-Feb-2021) **@</t>
  </si>
  <si>
    <t>INE691I14JR9</t>
  </si>
  <si>
    <t>Kotak Mahindra Investments Ltd (23-Mar-2021) **@</t>
  </si>
  <si>
    <t>INE975F14SW3</t>
  </si>
  <si>
    <t>Housing Development Finance Corporation Ltd (20-May-2020) **@</t>
  </si>
  <si>
    <t>INE001A14VH4</t>
  </si>
  <si>
    <t>REC Ltd (19-Jun-2020) **@</t>
  </si>
  <si>
    <t>INE020B14631</t>
  </si>
  <si>
    <t xml:space="preserve">      Institutional Plan Dividend Option</t>
  </si>
  <si>
    <t xml:space="preserve">      Direct Retail Plan Daily Dividend Option</t>
  </si>
  <si>
    <t>11.50% JM Financial Asset Reconstruction Co Ltd (29-Mar-2022) **</t>
  </si>
  <si>
    <t>INE265J07324</t>
  </si>
  <si>
    <t>10.25% Shriram Transport Finance Co Ltd (27-Dec-2024) **</t>
  </si>
  <si>
    <t>INE721A08DE4</t>
  </si>
  <si>
    <t>8.66% Nuvoco Vistas Corporation Ltd (14-Sep-2021) **</t>
  </si>
  <si>
    <t>INE548V07047</t>
  </si>
  <si>
    <t>10.25% Incred Financial Services Pvt Ltd (26-Apr-2021) **</t>
  </si>
  <si>
    <t>INE945W07035</t>
  </si>
  <si>
    <t>0.00% Shriram Transport Finance Co Ltd (31-May-2021) **</t>
  </si>
  <si>
    <t>INE721A07NQ9</t>
  </si>
  <si>
    <t>0.00% Sadbhav Infrastructure Project Ltd (23-Apr-2023) **</t>
  </si>
  <si>
    <t>INE764L07173</t>
  </si>
  <si>
    <t>CARE A-(CE)</t>
  </si>
  <si>
    <t>7.80% Shriram Transport Finance Co Ltd (17-Jul-2020) **</t>
  </si>
  <si>
    <t>INE721A07MS7</t>
  </si>
  <si>
    <t>9.50% Piramal Capital &amp; Housing Finance Ltd (21-Apr-2022) **</t>
  </si>
  <si>
    <t>INE516Y07089</t>
  </si>
  <si>
    <t>9.00% Shriram Transport Finance Co Ltd (28-Mar-2028) **</t>
  </si>
  <si>
    <t>INE721A08DA2</t>
  </si>
  <si>
    <t xml:space="preserve">      Growth Plan</t>
  </si>
  <si>
    <t xml:space="preserve">      Monthly Dividend Plan</t>
  </si>
  <si>
    <t xml:space="preserve">      Quarterly Dividend Plan</t>
  </si>
  <si>
    <t xml:space="preserve">      Direct Growth Plan</t>
  </si>
  <si>
    <t xml:space="preserve">      Direct Monthly Dividend Plan</t>
  </si>
  <si>
    <t xml:space="preserve">      Direct Quarterly Dividend Plan</t>
  </si>
  <si>
    <t>Franklin India Low Duration Fund-Segregated Portfolio 1 - 8.25% Vodafone Idea Ltd (10-Jul-2020)</t>
  </si>
  <si>
    <t>Franklin India Low Duration Fund-Segregated Portfolio 2 - 10.90% Vodafone Idea Ltd (02-Sep-2023) P/C 03 Sep 2021</t>
  </si>
  <si>
    <t>9.55% Piramal Capital &amp; Housing Finance Ltd (08-Mar-2027) **</t>
  </si>
  <si>
    <t>INE641O08035</t>
  </si>
  <si>
    <t>9.85% DCB Bank Ltd (12-Jan-2028) **</t>
  </si>
  <si>
    <t>INE503A08044</t>
  </si>
  <si>
    <t>10.32% Andhra Pradesh Capital Region Development Authority (16-Aug-2028) **</t>
  </si>
  <si>
    <t>INE01E708057</t>
  </si>
  <si>
    <t>10.15% Hinduja Leyland Finance Ltd (27-Mar-2025) **</t>
  </si>
  <si>
    <t>INE146O08134</t>
  </si>
  <si>
    <t>INE459T07041</t>
  </si>
  <si>
    <t>10.00% Aptus Value Housing Finance India Ltd (26-Feb-2025) **</t>
  </si>
  <si>
    <t>INE852O07063</t>
  </si>
  <si>
    <t>0.00% India Shelter Finance Corporation Ltd (02-May-2025) **</t>
  </si>
  <si>
    <t>INE922K07039</t>
  </si>
  <si>
    <t>9.75% Uttar Pradesh Power Corporation Ltd (20-Oct-2022) **</t>
  </si>
  <si>
    <t>INE540P07210</t>
  </si>
  <si>
    <t>9.20% Hinduja Leyland Finance Ltd (13-Sep-2024) **</t>
  </si>
  <si>
    <t>INE146O08118</t>
  </si>
  <si>
    <t>INE459T07058</t>
  </si>
  <si>
    <t>11.75% Rivaaz Trade Ventures Pvt Ltd (30-Jun-2023) **</t>
  </si>
  <si>
    <t>INE971Z07059</t>
  </si>
  <si>
    <t>0.00% Sadbhav Infrastructure Project Ltd (06-Jun-2023) **</t>
  </si>
  <si>
    <t>INE764L07181</t>
  </si>
  <si>
    <t>13.30% Nufuture Digital (India) Ltd (31-Dec-2023) **</t>
  </si>
  <si>
    <t>INE946S07148</t>
  </si>
  <si>
    <t>INE598K07029</t>
  </si>
  <si>
    <t>13.90% Future Ideas Co Ltd (31-Dec-2023) **</t>
  </si>
  <si>
    <t>INE080T07078</t>
  </si>
  <si>
    <t>11.49% Reliance Big Pvt Ltd Series III (14-Jan-2021) $$ ^^ **</t>
  </si>
  <si>
    <t>INE333T07063</t>
  </si>
  <si>
    <t xml:space="preserve">      Dividend Plan</t>
  </si>
  <si>
    <t xml:space="preserve">      Direct Dividend Plan</t>
  </si>
  <si>
    <t>Franklin India Income Opportunities Fund-Segregated Portfolio 1 - 8.25% Vodafone Idea Ltd (10-Jul-2020)</t>
  </si>
  <si>
    <t>Franklin India Income Opportunities Fund-Segregated Portfolio 2 - 10.90% Vodafone Idea Ltd (02-Sep-2023) P/C 03 Sep 2021</t>
  </si>
  <si>
    <t>Government Securities</t>
  </si>
  <si>
    <t>7.57% GOI 2033 (17-Jun-2033)</t>
  </si>
  <si>
    <t>IN0020190065</t>
  </si>
  <si>
    <t>SOVEREIGN</t>
  </si>
  <si>
    <t>6.45% GOI 2029 (07-Oct-2029)</t>
  </si>
  <si>
    <t>IN0020190362</t>
  </si>
  <si>
    <t>7.27% GOI 2026 (08-Apr-2026)</t>
  </si>
  <si>
    <t>IN0020190016</t>
  </si>
  <si>
    <t>7.26% GOI 2029 (14-Jan-2029)</t>
  </si>
  <si>
    <t>IN0020180454</t>
  </si>
  <si>
    <t xml:space="preserve">      Growth Option</t>
  </si>
  <si>
    <t xml:space="preserve">      Quarterly Dividend Option</t>
  </si>
  <si>
    <t xml:space="preserve">      Direct Growth Option</t>
  </si>
  <si>
    <t xml:space="preserve">      Direct Quarterly Dividend Option</t>
  </si>
  <si>
    <t>8.45% ONGC Petro Additions Ltd (10-Mar-2023) **</t>
  </si>
  <si>
    <t>INE163N08107</t>
  </si>
  <si>
    <t>CARE AAA(CE)</t>
  </si>
  <si>
    <t>7.76% Aditya Birla Housing Finance Ltd (17-Feb-2023) **</t>
  </si>
  <si>
    <t>INE831R07268</t>
  </si>
  <si>
    <t>ICRA AAA</t>
  </si>
  <si>
    <t>HDB Financial Services Ltd (91DTB + 205 Bps) (12-Jul-2021) **</t>
  </si>
  <si>
    <t>INE756I07CA5</t>
  </si>
  <si>
    <t>7.07% Reliance Industries Ltd (24-Dec-2020) **</t>
  </si>
  <si>
    <t>INE002A08526</t>
  </si>
  <si>
    <t xml:space="preserve">      Daily Dividend Plan</t>
  </si>
  <si>
    <t xml:space="preserve">      Direct Daily Dividend Plan</t>
  </si>
  <si>
    <t>11.25% India Shelter Finance Corporation Ltd (01-Oct-2026) **</t>
  </si>
  <si>
    <t>INE922K07047</t>
  </si>
  <si>
    <t>12.50% JM Financial Asset Reconstruction Co Ltd (02-Aug-2022) **</t>
  </si>
  <si>
    <t>INE265J07373</t>
  </si>
  <si>
    <t>10.32% Andhra Pradesh Capital Region Development Authority (16-Aug-2027) **</t>
  </si>
  <si>
    <t>INE01E708040</t>
  </si>
  <si>
    <t>9.40% Hinduja Leyland Finance Ltd (28-Aug-2024) **</t>
  </si>
  <si>
    <t>INE146O08100</t>
  </si>
  <si>
    <t>9.75% Uttar Pradesh Power Corporation Ltd (20-Oct-2023) **</t>
  </si>
  <si>
    <t>INE540P07228</t>
  </si>
  <si>
    <t>8.36% Power Finance Corporation Ltd (04-Sep-2020) **</t>
  </si>
  <si>
    <t>INE134E08HV7</t>
  </si>
  <si>
    <t>8.85% REC Ltd (16-Apr-2029) **</t>
  </si>
  <si>
    <t>INE020B08BQ7</t>
  </si>
  <si>
    <t>11.84% Hero Solar Energy Pvt Ltd (10-Jun-2022) **</t>
  </si>
  <si>
    <t>INE316W07021</t>
  </si>
  <si>
    <t>10.20% Star Health &amp; Allied Insurance Co Ltd (31-Oct-2024) **</t>
  </si>
  <si>
    <t>INE575P08024</t>
  </si>
  <si>
    <t>9.41% Renew Wind Energy Delhi Pvt Ltd (30-Sep-2030) **</t>
  </si>
  <si>
    <t>INE458O07036</t>
  </si>
  <si>
    <t>13.25% Future Ideas Co Ltd (30-Sep-2020) **</t>
  </si>
  <si>
    <t>INE080T07037</t>
  </si>
  <si>
    <t>12.15% Rivaaz Trade Ventures Pvt Ltd (11-Aug-2020) **</t>
  </si>
  <si>
    <t>INE840S07093</t>
  </si>
  <si>
    <t>CARE A(CE)</t>
  </si>
  <si>
    <t>Franklin India Dynamic Accrual Fund - Segregated Portfolio 1 - 8.25% Vodafone Idea Ltd (10-Jul-2020)</t>
  </si>
  <si>
    <t>Franklin India Dynamic Accrual Fund - Segregated Portfolio 2 - 10.90% Vodafone Idea Ltd (02-Sep-2023) P/C 03 Sep 2021</t>
  </si>
  <si>
    <t>Franklin India Dynamic Accrual Fund - Segregated Portfolio 3 - 9.50% Yes Bank Ltd CO 23 Dec 2021</t>
  </si>
  <si>
    <t>10.50% Vistaar Financial Services Pvt Ltd (22-Jun-2023) **</t>
  </si>
  <si>
    <t>INE016P07120</t>
  </si>
  <si>
    <t>INE128S07325</t>
  </si>
  <si>
    <t>10.50% Vistaar Financial Services Pvt Ltd (23-Jul-2024) **</t>
  </si>
  <si>
    <t>INE016P07138</t>
  </si>
  <si>
    <t>INE128S07341</t>
  </si>
  <si>
    <t>10.00% Aptus Value Housing Finance India Ltd (26-Dec-2024) **</t>
  </si>
  <si>
    <t>INE852O07048</t>
  </si>
  <si>
    <t>10.00% Aptus Value Housing Finance India Ltd (20-Jun-2025) **</t>
  </si>
  <si>
    <t>INE852O07071</t>
  </si>
  <si>
    <t>8.9492% L&amp;T Finance Ltd (16-Aug-2021) **</t>
  </si>
  <si>
    <t>INE027E07709</t>
  </si>
  <si>
    <t>CARE AAA</t>
  </si>
  <si>
    <t>8.75% Housing Development Finance Corporation Ltd (04-Mar-2021)</t>
  </si>
  <si>
    <t>INE001A07OO9</t>
  </si>
  <si>
    <t>INE660N07054</t>
  </si>
  <si>
    <t>13.30% Nufuture Digital (India) Ltd (31-Dec-2022) **</t>
  </si>
  <si>
    <t>INE946S07130</t>
  </si>
  <si>
    <t>Franklin India Credit Risk Fund-Segregated Portfolio 1 - 8.25% Vodafone Idea Ltd (10-Jul-2020)</t>
  </si>
  <si>
    <t>Franklin India Credit Risk Fund-Segregated Portfolio 2 - 10.90% Vodafone Idea Ltd (02-Sep-2023) P/C 03 Sep 2021</t>
  </si>
  <si>
    <t>Franklin India Credit Risk Fund - Segregated Portfolio 3 - 9.50% Yes Bank Ltd CO 23 Dec 2021</t>
  </si>
  <si>
    <t>8.60% ONGC Petro Additions Ltd (11-Mar-2022) **</t>
  </si>
  <si>
    <t>INE163N08065</t>
  </si>
  <si>
    <t>9.25% Power Finance Corporation Ltd (25-Sep-2024)</t>
  </si>
  <si>
    <t>INE134E08JY7</t>
  </si>
  <si>
    <t>8.85% ONGC Petro Additions Ltd (19-Apr-2022) **</t>
  </si>
  <si>
    <t>INE163N08073</t>
  </si>
  <si>
    <t>7.60% National Highways Authority Of India (18-Mar-2022) **</t>
  </si>
  <si>
    <t>INE906B07FG1</t>
  </si>
  <si>
    <t>7.09% REC Ltd (17-Oct-2022) **</t>
  </si>
  <si>
    <t>INE020B08AM8</t>
  </si>
  <si>
    <t>7.44% Power Finance Corporation Ltd (11-Jun-2027)</t>
  </si>
  <si>
    <t>INE134E08JC3</t>
  </si>
  <si>
    <t>7.00% Hindustan Petroleum Corporation Ltd (14-Aug-2024)</t>
  </si>
  <si>
    <t>INE094A08036</t>
  </si>
  <si>
    <t>0.00% LIC Housing Finance Ltd (25-Feb-2022) **</t>
  </si>
  <si>
    <t>INE115A07NM3</t>
  </si>
  <si>
    <t>7.17% National Highways Authority Of India (23-Dec-2021)</t>
  </si>
  <si>
    <t>INE906B07FE6</t>
  </si>
  <si>
    <t>8.02% Export-Import Bank of India (29-Oct-2025) **</t>
  </si>
  <si>
    <t>INE514E08EQ7</t>
  </si>
  <si>
    <t>9.20% ICICI Bank Ltd (17-Mar-2022) **</t>
  </si>
  <si>
    <t>INE090A08TW2</t>
  </si>
  <si>
    <t>8.30% REC Ltd (10-Apr-2025) **</t>
  </si>
  <si>
    <t>INE020B08930</t>
  </si>
  <si>
    <t>7.42% Power Finance Corporation Ltd (19-Nov-2024)</t>
  </si>
  <si>
    <t>INE134E08KH0</t>
  </si>
  <si>
    <t>9.15% Coastal Gujarat Power Ltd (14-Jun-2022) **</t>
  </si>
  <si>
    <t>INE295J08055</t>
  </si>
  <si>
    <t>8.60% National Bank For Agriculture &amp; Rural Development (31-Jan-2022) **</t>
  </si>
  <si>
    <t>INE261F08AI7</t>
  </si>
  <si>
    <t>8.18% Power Finance Corporation Ltd (19-Mar-2022)</t>
  </si>
  <si>
    <t>INE134E08JW1</t>
  </si>
  <si>
    <t>9.80% Canara Bank (25-Jul-2022) **</t>
  </si>
  <si>
    <t>INE667A08104</t>
  </si>
  <si>
    <t>8.41% Housing &amp; Urban Development Corporation Ltd (15-Mar-2029) **</t>
  </si>
  <si>
    <t>INE031A08699</t>
  </si>
  <si>
    <t>10.40% Sikka Ports &amp; Terminals Ltd (18-Jul-2021) **</t>
  </si>
  <si>
    <t>INE941D07125</t>
  </si>
  <si>
    <t>7.94% Export-Import Bank of India (22-May-2023) **</t>
  </si>
  <si>
    <t>INE514E08CO6</t>
  </si>
  <si>
    <t>0.00% Fullerton India Credit Co Ltd (08-Apr-2021) **</t>
  </si>
  <si>
    <t>INE535H07AG6</t>
  </si>
  <si>
    <t>6.59% Indian Railway Finance Corporation Ltd (14-Apr-2023) **</t>
  </si>
  <si>
    <t>INE053F07BZ2</t>
  </si>
  <si>
    <t>7.14% REC Ltd (02-Mar-2030) **</t>
  </si>
  <si>
    <t>INE020B08CO0</t>
  </si>
  <si>
    <t>8.81% Small Industries Development Bank Of India (25-Jan-2022) **</t>
  </si>
  <si>
    <t>INE556F08JI1</t>
  </si>
  <si>
    <t>0.00% LIC Housing Finance Ltd (04-May-2022) **</t>
  </si>
  <si>
    <t>INE115A07NW2</t>
  </si>
  <si>
    <t>7.50% Power Finance Corporation Ltd (16-Aug-2021) **</t>
  </si>
  <si>
    <t>INE134E08IH4</t>
  </si>
  <si>
    <t>8.85% Power Finance Corporation Ltd (25-May-2029) **</t>
  </si>
  <si>
    <t>INE134E08KC1</t>
  </si>
  <si>
    <t>8.40% Power Grid Corporation of India Ltd (14-Sep-2021) **</t>
  </si>
  <si>
    <t>INE752E07MZ9</t>
  </si>
  <si>
    <t>0.00% HDB Financial Services Ltd (29-Oct-2021) **</t>
  </si>
  <si>
    <t>INE756I07CD9</t>
  </si>
  <si>
    <t>8.60% Export-Import Bank of India (31-Mar-2022) **</t>
  </si>
  <si>
    <t>INE514E08FL5</t>
  </si>
  <si>
    <t>9.95% Food Corporation Of India (07-Mar-2022) **</t>
  </si>
  <si>
    <t>INE861G08035</t>
  </si>
  <si>
    <t>CRISIL AAA(CE)</t>
  </si>
  <si>
    <t>8.50% NHPC Ltd (14-Jul-2021) **</t>
  </si>
  <si>
    <t>INE848E07815</t>
  </si>
  <si>
    <t>9.95% Canara Bank (25-Oct-2021) **</t>
  </si>
  <si>
    <t>INE667A08088</t>
  </si>
  <si>
    <t>0.00% Aditya Birla Finance Ltd (08-Apr-2022) **</t>
  </si>
  <si>
    <t>INE860H07GE0</t>
  </si>
  <si>
    <t>7.35% Bharat Petroleum Corporation Ltd (10-Mar-2022) **</t>
  </si>
  <si>
    <t>INE029A07075</t>
  </si>
  <si>
    <t>7.65% Indian Railway Finance Corporation Ltd (15-Mar-2021) **</t>
  </si>
  <si>
    <t>INE053F07AK6</t>
  </si>
  <si>
    <t>9.57% Indian Railway Finance Corporation Ltd (31-May-2021) **</t>
  </si>
  <si>
    <t>INE053F09HR2</t>
  </si>
  <si>
    <t>6.70% Indian Railway Finance Corporation Ltd (24-Nov-2021) **</t>
  </si>
  <si>
    <t>INE053F07942</t>
  </si>
  <si>
    <t>7.48% Bennett Coleman and Co Ltd (26-Apr-2021) **</t>
  </si>
  <si>
    <t>INE801J08019</t>
  </si>
  <si>
    <t>6.18% GOI 2024 (04-Nov-2024)</t>
  </si>
  <si>
    <t>IN0020190396</t>
  </si>
  <si>
    <t xml:space="preserve">      Half Yearly Dividend Plan</t>
  </si>
  <si>
    <t xml:space="preserve">      Annual Dividend Plan</t>
  </si>
  <si>
    <t xml:space="preserve">      Direct Half Yearly Dividend Plan</t>
  </si>
  <si>
    <t xml:space="preserve">      Direct Annual Dividend Plan</t>
  </si>
  <si>
    <t>7.05% National Housing Bank (18-Dec-2024) **</t>
  </si>
  <si>
    <t>INE557F08FG1</t>
  </si>
  <si>
    <t>7.70% REC Ltd (10-Dec-2027) **</t>
  </si>
  <si>
    <t>INE020B08AQ9</t>
  </si>
  <si>
    <t>8.05% NTPC Ltd (05-May-2026) **</t>
  </si>
  <si>
    <t>INE733E07KA6</t>
  </si>
  <si>
    <t>7.29% Small Industries Development Bank Of India (01-Aug-2022) **</t>
  </si>
  <si>
    <t>INE556F08JM3</t>
  </si>
  <si>
    <t>9.17% NTPC Ltd (21-Sep-2024) **</t>
  </si>
  <si>
    <t>INE733E07JO9</t>
  </si>
  <si>
    <t>7.27% National Highways Authority Of India (06-Jun-2022) **</t>
  </si>
  <si>
    <t>INE906B07FT4</t>
  </si>
  <si>
    <t>6.70% National Bank For Agriculture &amp; Rural Development (11-Nov-2022)</t>
  </si>
  <si>
    <t>INE261F08BQ8</t>
  </si>
  <si>
    <t>8.27% REC Ltd (06-Feb-2025) **</t>
  </si>
  <si>
    <t>INE020B08906</t>
  </si>
  <si>
    <t>10.20% RBL Bank Ltd (15-Apr-2023) **</t>
  </si>
  <si>
    <t>INE976G08064</t>
  </si>
  <si>
    <t>8.80% REC Ltd (14-May-2029)</t>
  </si>
  <si>
    <t>INE020B08BS3</t>
  </si>
  <si>
    <t>8.19% NTPC Ltd (15-Dec-2025) **</t>
  </si>
  <si>
    <t>INE733E07JX0</t>
  </si>
  <si>
    <t>8.25% Export-Import Bank of India (28-Sep-2025) **</t>
  </si>
  <si>
    <t>INE514E08EP9</t>
  </si>
  <si>
    <t>8.40% Power Grid Corporation of India Ltd (27-May-2024) **</t>
  </si>
  <si>
    <t>INE752E07MQ8</t>
  </si>
  <si>
    <t>10.49% Bank of Baroda (17-Jan-2022) **</t>
  </si>
  <si>
    <t>INE705A08094</t>
  </si>
  <si>
    <t>7.90% National Bank For Agriculture &amp; Rural Development (18-Apr-2022) **</t>
  </si>
  <si>
    <t>INE261F08BI5</t>
  </si>
  <si>
    <t>8.35% REC Ltd (11-Mar-2022) **</t>
  </si>
  <si>
    <t>INE020B08BM6</t>
  </si>
  <si>
    <t>8.13% Power Grid Corporation of India Ltd (23-Apr-2021) **</t>
  </si>
  <si>
    <t>INE752E07NN3</t>
  </si>
  <si>
    <t xml:space="preserve">      Weekly Dividend Plan</t>
  </si>
  <si>
    <t xml:space="preserve">      Direct Weekly Dividend Plan</t>
  </si>
  <si>
    <t>9.70% Tata Motors Ltd (18-Jun-2020) **</t>
  </si>
  <si>
    <t>INE155A08068</t>
  </si>
  <si>
    <t>8.1933% L&amp;T Infrastructure Finance Co Ltd ( 25-May-2020) **</t>
  </si>
  <si>
    <t>INE691I08503</t>
  </si>
  <si>
    <t>0.00% Aditya Birla Finance Ltd (15-May-2020) **</t>
  </si>
  <si>
    <t>INE860H07EZ0</t>
  </si>
  <si>
    <t>0.00% Mahindra &amp; Mahindra Financial Services Ltd (06-May-2020) **</t>
  </si>
  <si>
    <t>INE774D07SI8</t>
  </si>
  <si>
    <t>9.90% Tata Motors Ltd (07-May-2020) **</t>
  </si>
  <si>
    <t>INE155A08043</t>
  </si>
  <si>
    <t>Bank of Baroda (01-Jun-2020)</t>
  </si>
  <si>
    <t>INE028A16BO0</t>
  </si>
  <si>
    <t>Bank of India (15-Jun-2020)</t>
  </si>
  <si>
    <t>INE084A16CC6</t>
  </si>
  <si>
    <t>Indian Bank (01-Jun-2020)</t>
  </si>
  <si>
    <t>INE562A16JS2</t>
  </si>
  <si>
    <t>National Bank For Agriculture &amp; Rural Development (12-Jun-2020) **</t>
  </si>
  <si>
    <t>INE261F16421</t>
  </si>
  <si>
    <t>Axis Bank Ltd (29-Jun-2020) **</t>
  </si>
  <si>
    <t>INE238A165S9</t>
  </si>
  <si>
    <t>Axis Bank Ltd (27-May-2020) **</t>
  </si>
  <si>
    <t>INE238A162S6</t>
  </si>
  <si>
    <t>Small Industries Development Bank Of India (04-Jun-2020) **</t>
  </si>
  <si>
    <t>INE556F16648</t>
  </si>
  <si>
    <t>Birla Group Holdings Pvt Ltd (05-Jun-2020) **@</t>
  </si>
  <si>
    <t>INE09OL14359</t>
  </si>
  <si>
    <t>Reliance Jio Infocomm Ltd (11-May-2020) **@</t>
  </si>
  <si>
    <t>INE110L14NL9</t>
  </si>
  <si>
    <t>Birla Group Holdings Pvt Ltd (03-Jun-2020) **@</t>
  </si>
  <si>
    <t>INE09OL14342</t>
  </si>
  <si>
    <t>Tata Projects Ltd (22-Jun-2020) **@</t>
  </si>
  <si>
    <t>INE725H14905</t>
  </si>
  <si>
    <t>Tata Power Co Ltd (22-Jun-2020) **@</t>
  </si>
  <si>
    <t>INE245A14DD4</t>
  </si>
  <si>
    <t>Aditya Birla Fashion and Retail Ltd (14-May-2020) **@</t>
  </si>
  <si>
    <t>INE647O14DC4</t>
  </si>
  <si>
    <t>Tata Housing Development Co Ltd (24-Jun-2020) **@</t>
  </si>
  <si>
    <t>INE582L14FM3</t>
  </si>
  <si>
    <t>Reliance Jio Infocomm Ltd (04-May-2020) **@</t>
  </si>
  <si>
    <t>INE110L14NH7</t>
  </si>
  <si>
    <t>JM Financial Services Ltd (22-May-2020) **@</t>
  </si>
  <si>
    <t>INE012I14LT0</t>
  </si>
  <si>
    <t>Reliance Industries Ltd (21-Jul-2020) **@</t>
  </si>
  <si>
    <t>INE002A14EV9</t>
  </si>
  <si>
    <t>JM Financial Services Ltd (19-May-2020) **@</t>
  </si>
  <si>
    <t>INE012I14LS2</t>
  </si>
  <si>
    <t>JM Financial Services Ltd (16-Jun-2020) **@</t>
  </si>
  <si>
    <t>INE012I14LW4</t>
  </si>
  <si>
    <t>SBI Cards &amp; Payment Services Pvt Ltd (29-Jun-2020) **@</t>
  </si>
  <si>
    <t>INE018E14NG9</t>
  </si>
  <si>
    <t>Reliance Industries Ltd (18-May-2020)@</t>
  </si>
  <si>
    <t>INE002A14DU3</t>
  </si>
  <si>
    <t>Bharat Petroleum Corporation Ltd (14-Jul-2020) **@</t>
  </si>
  <si>
    <t>INE029A14956</t>
  </si>
  <si>
    <t xml:space="preserve">      Regular Plan Growth Option</t>
  </si>
  <si>
    <t xml:space="preserve">      Regular Plan Daily Dividend Reinvestment Option</t>
  </si>
  <si>
    <t xml:space="preserve">      Regular Plan Weekly Dividend Option</t>
  </si>
  <si>
    <t xml:space="preserve">      Institutional Plan Daily Dividend Reinvestment Option</t>
  </si>
  <si>
    <t xml:space="preserve">      Institutional Plan Weekly Dividend Option</t>
  </si>
  <si>
    <t xml:space="preserve">      Super Institutional Plan Daily Dividend Reinvestment Option</t>
  </si>
  <si>
    <t xml:space="preserve">      Direct Super Institutional Growth Option</t>
  </si>
  <si>
    <t xml:space="preserve">      Direct Super Institutional Daily Dividend Reinvestment Option</t>
  </si>
  <si>
    <t xml:space="preserve">      Direct Super Institutional Weekly Dividend Option</t>
  </si>
  <si>
    <t xml:space="preserve">      Unclaimed Redemption Plan - Growth</t>
  </si>
  <si>
    <t xml:space="preserve">      Unclaimed Dividend Plan - Growth</t>
  </si>
  <si>
    <t xml:space="preserve">      Unclaimed Redemption Investor Education Plan - Growth</t>
  </si>
  <si>
    <t xml:space="preserve">      Unclaimed Dividend Investor Education Plan - Growth</t>
  </si>
  <si>
    <t>0.00% Axis Finance Ltd (19-Apr-2022) **</t>
  </si>
  <si>
    <t>INE891K07416</t>
  </si>
  <si>
    <t>0.00% Bajaj Housing Finance Ltd (05-Apr-2022) **</t>
  </si>
  <si>
    <t>INE377Y07052</t>
  </si>
  <si>
    <t>0.00% Mahindra &amp; Mahindra Financial Services Ltd (29-Mar-2022) **</t>
  </si>
  <si>
    <t>INE774D07SQ1</t>
  </si>
  <si>
    <t>0.00% Bajaj Finance Ltd (05-Apr-2022) **</t>
  </si>
  <si>
    <t>INE296A07QQ5</t>
  </si>
  <si>
    <t>8.23% Housing &amp; Urban Development Corporation Ltd (15-Apr-2022) **</t>
  </si>
  <si>
    <t>INE031A08657</t>
  </si>
  <si>
    <t>0.00% Fullerton India Credit Co Ltd (13-Apr-2022) **</t>
  </si>
  <si>
    <t>INE535H07AT9</t>
  </si>
  <si>
    <t xml:space="preserve">      Dividend Plan </t>
  </si>
  <si>
    <t>8.45% REC Ltd (22-Mar-2022) **</t>
  </si>
  <si>
    <t>INE020B08BF0</t>
  </si>
  <si>
    <t>8.55% Power Finance Corporation Ltd (09-Dec-2021) **</t>
  </si>
  <si>
    <t>INE134E08GT3</t>
  </si>
  <si>
    <t>0.00% Aditya Birla Housing Finance Ltd (13-Apr-2022) **</t>
  </si>
  <si>
    <t>INE831R07235</t>
  </si>
  <si>
    <t>0.00% Bajaj Housing Finance Ltd (05-May-2022) **</t>
  </si>
  <si>
    <t>INE377Y07086</t>
  </si>
  <si>
    <t>0.00% HDB Financial Services Ltd (05-Apr-2022) **</t>
  </si>
  <si>
    <t>INE756I07CI8</t>
  </si>
  <si>
    <t>9.4756% Tata Capital Financial Services Ltd (08-Apr-2022) **</t>
  </si>
  <si>
    <t>INE306N07KG9</t>
  </si>
  <si>
    <t>9.05% Mahindra &amp; Mahindra Financial Services Ltd (18-Apr-2022) **</t>
  </si>
  <si>
    <t>INE774D07SS7</t>
  </si>
  <si>
    <t>0.00% Fullerton India Credit Co Ltd (19-Apr-2022) **</t>
  </si>
  <si>
    <t>INE535H07AQ5</t>
  </si>
  <si>
    <t>9.3772% L&amp;T Housing Finance Ltd (11-Mar-2022) **</t>
  </si>
  <si>
    <t>INE476M07BR8</t>
  </si>
  <si>
    <t>9.1791% Tata Capital Housing Finance Ltd (13-Apr-2022) **</t>
  </si>
  <si>
    <t>INE033L07GA4</t>
  </si>
  <si>
    <t>7.95% LIC Housing Finance Ltd (24-Mar-2022) **</t>
  </si>
  <si>
    <t>INE115A07LM7</t>
  </si>
  <si>
    <t>7.27% Power Finance Corporation Ltd (22-Dec-2021) **</t>
  </si>
  <si>
    <t>INE134E08IN2</t>
  </si>
  <si>
    <t>8.25% Tata Sons Pvt Ltd (23-Mar-2022) **</t>
  </si>
  <si>
    <t>INE895D08790</t>
  </si>
  <si>
    <t>8.36% Ultratech Cement Ltd (07-Jun-2021) **</t>
  </si>
  <si>
    <t>INE481G08057</t>
  </si>
  <si>
    <t>8.40% Small Industries Development Bank Of India (10-Aug-2021) **</t>
  </si>
  <si>
    <t>INE556F08JH3</t>
  </si>
  <si>
    <t>8.37% National Bank For Agriculture &amp; Rural Development (03-Aug-2021) **</t>
  </si>
  <si>
    <t>INE261F08AM9</t>
  </si>
  <si>
    <t>0.00% Sundaram Finance Ltd (31-Aug-2021) **</t>
  </si>
  <si>
    <t>INE660A07PT8</t>
  </si>
  <si>
    <t>7.18% REC Ltd (21-May-2021) **</t>
  </si>
  <si>
    <t>INE020B08AO4</t>
  </si>
  <si>
    <t>0.00% Aditya Birla Finance Ltd (26-Jul-2021) **</t>
  </si>
  <si>
    <t>INE860H07FW4</t>
  </si>
  <si>
    <t>8.1352% Bajaj Housing Finance Ltd (04-Jun-2021) **</t>
  </si>
  <si>
    <t>INE377Y07045</t>
  </si>
  <si>
    <t>0.00% LIC Housing Finance Ltd (25-Mar-2021) **</t>
  </si>
  <si>
    <t>INE115A07MX2</t>
  </si>
  <si>
    <t>0.00% Axis Finance Ltd (31-Aug-2021) **</t>
  </si>
  <si>
    <t>INE891K07440</t>
  </si>
  <si>
    <t>0.00% Aditya Birla Housing Finance Ltd (26-Jul-2021) **</t>
  </si>
  <si>
    <t>INE831R07201</t>
  </si>
  <si>
    <t>9.40% REC Ltd (17-Jul-2021) **</t>
  </si>
  <si>
    <t>INE020B07IW2</t>
  </si>
  <si>
    <t>0.00% Fullerton India Credit Co Ltd (15-Jul-2021) **</t>
  </si>
  <si>
    <t>INE535H07AK8</t>
  </si>
  <si>
    <t>9.70% Power Finance Corporation Ltd (09-Jun-2021) **</t>
  </si>
  <si>
    <t>INE134E08DN3</t>
  </si>
  <si>
    <t>8.25% L&amp;T Finance Ltd (21-Jun-2021) **</t>
  </si>
  <si>
    <t>INE027E07642</t>
  </si>
  <si>
    <t>8.05% Power Finance Corporation Ltd (27-Apr-2021) **</t>
  </si>
  <si>
    <t>INE134E08ID3</t>
  </si>
  <si>
    <t>8.40% Power Grid Corporation of India Ltd (27-May-2021) **</t>
  </si>
  <si>
    <t>INE752E07MN5</t>
  </si>
  <si>
    <t>0.00% Sundaram Finance Ltd (15-Jun-2021) **</t>
  </si>
  <si>
    <t>INE660A07PN1</t>
  </si>
  <si>
    <t>8.22% ICICI Home Finance Co Ltd (27-May-2021) **</t>
  </si>
  <si>
    <t>INE071G08940</t>
  </si>
  <si>
    <t>0.00% Bajaj Housing Finance Ltd (06-Apr-2021) **</t>
  </si>
  <si>
    <t>INE377Y07029</t>
  </si>
  <si>
    <t>7.88% LIC Housing Finance Ltd (28-Jan-2021) **</t>
  </si>
  <si>
    <t>INE115A07MT0</t>
  </si>
  <si>
    <t>8.70% Reliance Industries Ltd (15-Jun-2021)</t>
  </si>
  <si>
    <t>INE110L07112</t>
  </si>
  <si>
    <t>0.00% Axis Finance Ltd (14-Jun-2021) **</t>
  </si>
  <si>
    <t>INE891K07390</t>
  </si>
  <si>
    <t>8.50% Small Industries Development Bank of India (21-Jun-2021) **</t>
  </si>
  <si>
    <t>INE556F08JF7</t>
  </si>
  <si>
    <t>7.73% REC Ltd (15-Jun-2021) **</t>
  </si>
  <si>
    <t>INE020B08AW7</t>
  </si>
  <si>
    <t>8.80% L&amp;T Housing Finance Ltd (23-Jun-2021) **</t>
  </si>
  <si>
    <t>INE476M07BM9</t>
  </si>
  <si>
    <t>7.73% Housing &amp; Urban Development Corporation Ltd (15-Apr-2021) **</t>
  </si>
  <si>
    <t>INE031A08566</t>
  </si>
  <si>
    <t>8.10% Mahindra &amp; Mahindra Financial Services Ltd (19-Apr-2021) **</t>
  </si>
  <si>
    <t>INE774D07SB3</t>
  </si>
  <si>
    <t>7.65% Small Industries Development Bank Of India (15-Apr-2021) **</t>
  </si>
  <si>
    <t>INE556F08JD2</t>
  </si>
  <si>
    <t>10.09% MRF Ltd (27-May-2021) **</t>
  </si>
  <si>
    <t>INE883A07174</t>
  </si>
  <si>
    <t>9.18% Power Finance Corporation Ltd (15-Apr-2021) **</t>
  </si>
  <si>
    <t>INE134E08DM5</t>
  </si>
  <si>
    <t>0.00% HDB Financial Services Ltd (06-Apr-2021) **</t>
  </si>
  <si>
    <t>INE756I07BW1</t>
  </si>
  <si>
    <t>8.50% LIC Housing Finance Ltd (05-Jan-2021) **</t>
  </si>
  <si>
    <t>INE115A07IO9</t>
  </si>
  <si>
    <t>8.19% Mahindra Vehicle Manufacturers Ltd (23-Feb-2021) **</t>
  </si>
  <si>
    <t>INE244N07065</t>
  </si>
  <si>
    <t>7.75% Power Finance Corporation Ltd (15-Apr-2021) **</t>
  </si>
  <si>
    <t>INE134E08JM2</t>
  </si>
  <si>
    <t>7.70% REC Ltd (15-Mar-2021) **</t>
  </si>
  <si>
    <t>INE020B08AS5</t>
  </si>
  <si>
    <t>7.68% Housing &amp; Urban Development Corporation Ltd (05-Apr-2021) **</t>
  </si>
  <si>
    <t>INE031A08590</t>
  </si>
  <si>
    <t>0.00% Kotak Mahindra Prime Ltd (27-May-2021) **</t>
  </si>
  <si>
    <t>INE916DA7PO3</t>
  </si>
  <si>
    <t>7.40% National Bank For Agriculture &amp; Rural Development (01-Feb-2021) **</t>
  </si>
  <si>
    <t>INE261F08956</t>
  </si>
  <si>
    <t>8.25% Tata Sons Pvt Ltd (24-Mar-2021) **</t>
  </si>
  <si>
    <t>INE895D08899</t>
  </si>
  <si>
    <t>Reliance Industries Ltd (02-Mar-2021) **@</t>
  </si>
  <si>
    <t>INE002A14EM8</t>
  </si>
  <si>
    <t>0.00% Kotak Mahindra Prime Ltd (26-Apr-2021) **</t>
  </si>
  <si>
    <t>INE916DA7PI5</t>
  </si>
  <si>
    <t>7.73% Power Finance Corporation Ltd (05-Apr-2021) **</t>
  </si>
  <si>
    <t>INE134E08JK6</t>
  </si>
  <si>
    <t>7.52% Small Industries Development Bank of India (10-Feb-2021) **</t>
  </si>
  <si>
    <t>INE556F08JA8</t>
  </si>
  <si>
    <t>7.60% REC Ltd (17-Apr-2021) **</t>
  </si>
  <si>
    <t>INE020B08AR7</t>
  </si>
  <si>
    <t>8.84% Power Grid Corporation of India Ltd (29-Mar-2021) **</t>
  </si>
  <si>
    <t>INE752E07GX6</t>
  </si>
  <si>
    <t>8.25% Tata Sons Pvt Ltd (23-Mar-2021) **</t>
  </si>
  <si>
    <t>INE895D08881</t>
  </si>
  <si>
    <t>7.50% Bajaj Finance Ltd (10-Aug-2020) **</t>
  </si>
  <si>
    <t>INE296A07QB7</t>
  </si>
  <si>
    <t>9.60% LIC Housing Finance Ltd (07-Mar-2021) **</t>
  </si>
  <si>
    <t>INE115A07AL2</t>
  </si>
  <si>
    <t>7.14% Housing &amp; Urban Development Corporation Ltd (22-Dec-2020) **</t>
  </si>
  <si>
    <t>INE031A08541</t>
  </si>
  <si>
    <t>7.9407% HDB Financial Services Ltd (15-Apr-2021) **</t>
  </si>
  <si>
    <t>INE756I07BU5</t>
  </si>
  <si>
    <t>7.64% Can Fin Homes Ltd (28-Feb-2021) **</t>
  </si>
  <si>
    <t>INE477A07274</t>
  </si>
  <si>
    <t>8.75% LIC Housing Finance Ltd (12-Feb-2021) **</t>
  </si>
  <si>
    <t>INE115A07JB4</t>
  </si>
  <si>
    <t>7.85% Tata Sons Pvt Ltd (31-Jan-2021) **</t>
  </si>
  <si>
    <t>INE895D08725</t>
  </si>
  <si>
    <t>8.33% NTPC Ltd (24-Feb-2021) **</t>
  </si>
  <si>
    <t>INE733E07JZ5</t>
  </si>
  <si>
    <t>9.70% Power Finance Corporation Ltd (31-Jan-2021) **</t>
  </si>
  <si>
    <t>INE134E07505</t>
  </si>
  <si>
    <t>8.62% India Infradebt Ltd (08-Mar-2021) **</t>
  </si>
  <si>
    <t>INE537P07117</t>
  </si>
  <si>
    <t>8.70% L&amp;T Infrastructure Debt Fund Ltd (24-Feb-2021) **</t>
  </si>
  <si>
    <t>INE235P07167</t>
  </si>
  <si>
    <t>8.78% NHPC Ltd (11-Feb-2021) **</t>
  </si>
  <si>
    <t>INE848E07419</t>
  </si>
  <si>
    <t>9.47% Power Grid Corporation of India Ltd (31-Mar-2021) **</t>
  </si>
  <si>
    <t>INE752E07ER3</t>
  </si>
  <si>
    <t>9.15% Export-Import Bank of India (18-Mar-2021) **</t>
  </si>
  <si>
    <t>INE514E08951</t>
  </si>
  <si>
    <t>9.15% Export-Import Bank of India (25-Feb-2021) **</t>
  </si>
  <si>
    <t>INE514E08928</t>
  </si>
  <si>
    <t>Mutual Fund Units</t>
  </si>
  <si>
    <t>Franklin India Liquid Fund - Direct Super Institutional Growth Option</t>
  </si>
  <si>
    <t>INF090I01JV2</t>
  </si>
  <si>
    <t>Equity &amp; Equity related</t>
  </si>
  <si>
    <t>HDFC Bank Ltd</t>
  </si>
  <si>
    <t>INE040A01034</t>
  </si>
  <si>
    <t>Banks</t>
  </si>
  <si>
    <t>Bharti Airtel Ltd</t>
  </si>
  <si>
    <t>INE397D01024</t>
  </si>
  <si>
    <t>Telecom - Services</t>
  </si>
  <si>
    <t>Axis Bank Ltd</t>
  </si>
  <si>
    <t>INE238A01034</t>
  </si>
  <si>
    <t>Infosys Ltd</t>
  </si>
  <si>
    <t>INE009A01021</t>
  </si>
  <si>
    <t>Software</t>
  </si>
  <si>
    <t>ICICI Bank Ltd</t>
  </si>
  <si>
    <t>INE090A01021</t>
  </si>
  <si>
    <t>Kotak Mahindra Bank Ltd</t>
  </si>
  <si>
    <t>INE237A01028</t>
  </si>
  <si>
    <t>Petronet LNG Ltd</t>
  </si>
  <si>
    <t>INE347G01014</t>
  </si>
  <si>
    <t>Gas</t>
  </si>
  <si>
    <t>Grasim Industries Ltd</t>
  </si>
  <si>
    <t>INE047A01021</t>
  </si>
  <si>
    <t>Cement</t>
  </si>
  <si>
    <t>Colgate Palmolive (India) Ltd</t>
  </si>
  <si>
    <t>INE259A01022</t>
  </si>
  <si>
    <t>Consumer Non Durables</t>
  </si>
  <si>
    <t>Balkrishna Industries Ltd</t>
  </si>
  <si>
    <t>INE787D01026</t>
  </si>
  <si>
    <t>Auto Ancillaries</t>
  </si>
  <si>
    <t>Gujarat State Petronet Ltd</t>
  </si>
  <si>
    <t>INE246F01010</t>
  </si>
  <si>
    <t>Hindustan Petroleum Corporation Ltd</t>
  </si>
  <si>
    <t>INE094A01015</t>
  </si>
  <si>
    <t>Petroleum Products</t>
  </si>
  <si>
    <t>Hindalco Industries Ltd</t>
  </si>
  <si>
    <t>INE038A01020</t>
  </si>
  <si>
    <t>Non - Ferrous Metals</t>
  </si>
  <si>
    <t>Voltas Ltd</t>
  </si>
  <si>
    <t>INE226A01021</t>
  </si>
  <si>
    <t>Consumer Durables</t>
  </si>
  <si>
    <t>Mahindra &amp; Mahindra Ltd</t>
  </si>
  <si>
    <t>INE101A01026</t>
  </si>
  <si>
    <t>Auto</t>
  </si>
  <si>
    <t>Cadila Healthcare Ltd</t>
  </si>
  <si>
    <t>INE010B01027</t>
  </si>
  <si>
    <t>Pharmaceuticals</t>
  </si>
  <si>
    <t>Tata Steel Ltd</t>
  </si>
  <si>
    <t>INE081A01012</t>
  </si>
  <si>
    <t>Ferrous Metals</t>
  </si>
  <si>
    <t>Power Grid Corporation of India Ltd</t>
  </si>
  <si>
    <t>INE752E01010</t>
  </si>
  <si>
    <t>Power</t>
  </si>
  <si>
    <t>NTPC Ltd</t>
  </si>
  <si>
    <t>INE733E01010</t>
  </si>
  <si>
    <t>State Bank of India</t>
  </si>
  <si>
    <t>INE062A01020</t>
  </si>
  <si>
    <t>Torrent Pharmaceuticals Ltd</t>
  </si>
  <si>
    <t>INE685A01028</t>
  </si>
  <si>
    <t>Bharat Petroleum Corporation Ltd</t>
  </si>
  <si>
    <t>INE029A01011</t>
  </si>
  <si>
    <t>United Breweries Ltd</t>
  </si>
  <si>
    <t>INE686F01025</t>
  </si>
  <si>
    <t>Bajaj Auto Ltd</t>
  </si>
  <si>
    <t>INE917I01010</t>
  </si>
  <si>
    <t>Cummins India Ltd</t>
  </si>
  <si>
    <t>INE298A01020</t>
  </si>
  <si>
    <t>Industrial Products</t>
  </si>
  <si>
    <t>Kansai Nerolac Paints Ltd</t>
  </si>
  <si>
    <t>INE531A01024</t>
  </si>
  <si>
    <t>Karur Vysya Bank Ltd</t>
  </si>
  <si>
    <t>INE036D01028</t>
  </si>
  <si>
    <t>Aditya Birla Fashion and Retail Ltd</t>
  </si>
  <si>
    <t>INE647O01011</t>
  </si>
  <si>
    <t>Retailing</t>
  </si>
  <si>
    <t>TVS Motor Co Ltd</t>
  </si>
  <si>
    <t>INE494B01023</t>
  </si>
  <si>
    <t>Tata Motors Ltd</t>
  </si>
  <si>
    <t>INE155A01022</t>
  </si>
  <si>
    <t>Jagran Prakashan Ltd</t>
  </si>
  <si>
    <t>INE199G01027</t>
  </si>
  <si>
    <t>Media &amp; Entertainment</t>
  </si>
  <si>
    <t>Coal India Ltd</t>
  </si>
  <si>
    <t>INE522F01014</t>
  </si>
  <si>
    <t>Minerals/Mining</t>
  </si>
  <si>
    <t>9.00% State Bank of India (06-Sep-2021) **</t>
  </si>
  <si>
    <t>INE062A08124</t>
  </si>
  <si>
    <t>9.25% Reliance Industries Ltd (17-Jun-2024) **</t>
  </si>
  <si>
    <t>INE110L08037</t>
  </si>
  <si>
    <t>Dr. Reddy's Laboratories Ltd</t>
  </si>
  <si>
    <t>INE089A01023</t>
  </si>
  <si>
    <t>10.25% Yes Bank Ltd (05-Mar-2110)  $$ **</t>
  </si>
  <si>
    <t>INE528G09061</t>
  </si>
  <si>
    <t>Housing Development Finance Corporation Ltd</t>
  </si>
  <si>
    <t>INE001A01036</t>
  </si>
  <si>
    <t>Finance</t>
  </si>
  <si>
    <t>Hindustan Unilever Ltd</t>
  </si>
  <si>
    <t>INE030A01027</t>
  </si>
  <si>
    <t>Bajaj Finance Ltd</t>
  </si>
  <si>
    <t>INE296A01024</t>
  </si>
  <si>
    <t>Asian Paints Ltd</t>
  </si>
  <si>
    <t>INE021A01026</t>
  </si>
  <si>
    <t>NHPC Ltd</t>
  </si>
  <si>
    <t>INE848E01016</t>
  </si>
  <si>
    <t>Cholamandalam Financial Holdings Ltd</t>
  </si>
  <si>
    <t>INE149A01033</t>
  </si>
  <si>
    <t>Larsen &amp; Toubro Ltd</t>
  </si>
  <si>
    <t>INE018A01030</t>
  </si>
  <si>
    <t>Construction Project</t>
  </si>
  <si>
    <t>Ultratech Cement Ltd</t>
  </si>
  <si>
    <t>INE481G01011</t>
  </si>
  <si>
    <t>Dabur India Ltd</t>
  </si>
  <si>
    <t>INE016A01026</t>
  </si>
  <si>
    <t>Tata Power Co Ltd</t>
  </si>
  <si>
    <t>INE245A01021</t>
  </si>
  <si>
    <t>Tech Mahindra Ltd</t>
  </si>
  <si>
    <t>INE669C01036</t>
  </si>
  <si>
    <t>Nestle India Ltd</t>
  </si>
  <si>
    <t>INE239A01016</t>
  </si>
  <si>
    <t>Ambuja Cements Ltd</t>
  </si>
  <si>
    <t>INE079A01024</t>
  </si>
  <si>
    <t>Indian Oil Corporation Ltd</t>
  </si>
  <si>
    <t>INE242A01010</t>
  </si>
  <si>
    <t>Indian Hotels Co Ltd</t>
  </si>
  <si>
    <t>INE053A01029</t>
  </si>
  <si>
    <t>Hotels/ Resorts And Other Recreational Activities</t>
  </si>
  <si>
    <t>Sun TV Network Ltd</t>
  </si>
  <si>
    <t>INE424H01027</t>
  </si>
  <si>
    <t>Mahindra CIE Automotive Ltd</t>
  </si>
  <si>
    <t>INE536H01010</t>
  </si>
  <si>
    <t>GAIL (India) Ltd</t>
  </si>
  <si>
    <t>INE129A01019</t>
  </si>
  <si>
    <t>PNB Housing Finance Ltd</t>
  </si>
  <si>
    <t>INE572E01012</t>
  </si>
  <si>
    <t>Himatsingka Seide Ltd</t>
  </si>
  <si>
    <t>INE049A01027</t>
  </si>
  <si>
    <t>Textile Products</t>
  </si>
  <si>
    <t>Apollo Hospitals Enterprise Ltd</t>
  </si>
  <si>
    <t>INE437A01024</t>
  </si>
  <si>
    <t>Healthcare Services</t>
  </si>
  <si>
    <t>Mahindra &amp; Mahindra Financial Services Ltd</t>
  </si>
  <si>
    <t>INE774D01024</t>
  </si>
  <si>
    <t>c) Portfolio Turnover Ratio during the Half - year 30-Apr-2020</t>
  </si>
  <si>
    <t>d) Average Maturity as on 30-Apr-2020</t>
  </si>
  <si>
    <t xml:space="preserve">e) During the month additional instances of fair valuation/deviation from valuation price provided by the valuation agencies </t>
  </si>
  <si>
    <t>Titan Co Ltd</t>
  </si>
  <si>
    <t>INE280A01028</t>
  </si>
  <si>
    <t>Apollo Tyres Ltd</t>
  </si>
  <si>
    <t>INE438A01022</t>
  </si>
  <si>
    <t xml:space="preserve">(b) Unlisted </t>
  </si>
  <si>
    <t>Globsyn Technologies Ltd</t>
  </si>
  <si>
    <t>INE671B01018</t>
  </si>
  <si>
    <t>Numero Uno International Ltd</t>
  </si>
  <si>
    <t>10.25% JM Financial Asset Reconstruction Co Ltd (31-Aug-2021) **</t>
  </si>
  <si>
    <t>INE265J07282</t>
  </si>
  <si>
    <t>HCL Technologies Ltd</t>
  </si>
  <si>
    <t>INE860A01027</t>
  </si>
  <si>
    <t>ITC Ltd</t>
  </si>
  <si>
    <t>INE154A01025</t>
  </si>
  <si>
    <t>Tata Motors Ltd DVR</t>
  </si>
  <si>
    <t>IN9155A01020</t>
  </si>
  <si>
    <t>Hero MotoCorp Ltd</t>
  </si>
  <si>
    <t>INE158A01026</t>
  </si>
  <si>
    <t>Tata Consumer Products Ltd</t>
  </si>
  <si>
    <t>INE192A01025</t>
  </si>
  <si>
    <t>Oil &amp; Natural Gas Corporation Ltd</t>
  </si>
  <si>
    <t>INE213A01029</t>
  </si>
  <si>
    <t>Oil</t>
  </si>
  <si>
    <t>Bharat Electronics Ltd</t>
  </si>
  <si>
    <t>INE263A01024</t>
  </si>
  <si>
    <t>Industrial Capital Goods</t>
  </si>
  <si>
    <t>Tata Chemicals Ltd</t>
  </si>
  <si>
    <t>INE092A01019</t>
  </si>
  <si>
    <t>Chemicals</t>
  </si>
  <si>
    <t>Federal Bank Ltd</t>
  </si>
  <si>
    <t>INE171A01029</t>
  </si>
  <si>
    <t>Vedanta Ltd</t>
  </si>
  <si>
    <t>INE205A01025</t>
  </si>
  <si>
    <t>Emami Ltd</t>
  </si>
  <si>
    <t>INE548C01032</t>
  </si>
  <si>
    <t>Finolex Cables Ltd</t>
  </si>
  <si>
    <t>INE235A01022</t>
  </si>
  <si>
    <t>Equitas Holdings Ltd</t>
  </si>
  <si>
    <t>INE988K01017</t>
  </si>
  <si>
    <t>Gujarat Pipavav Port Ltd</t>
  </si>
  <si>
    <t>INE517F01014</t>
  </si>
  <si>
    <t>Transportation</t>
  </si>
  <si>
    <t>Container Corporation Of India Ltd</t>
  </si>
  <si>
    <t>INE111A01025</t>
  </si>
  <si>
    <t>Redington (India) Ltd</t>
  </si>
  <si>
    <t>INE891D01026</t>
  </si>
  <si>
    <t>Century Textile &amp; Industries Ltd</t>
  </si>
  <si>
    <t>INE055A01016</t>
  </si>
  <si>
    <t>Paper</t>
  </si>
  <si>
    <t>Cyient Ltd</t>
  </si>
  <si>
    <t>INE136B01020</t>
  </si>
  <si>
    <t>Vardhman Textiles Ltd</t>
  </si>
  <si>
    <t>INE825A01012</t>
  </si>
  <si>
    <t>Textiles - Cotton</t>
  </si>
  <si>
    <t>eClerx Services Ltd</t>
  </si>
  <si>
    <t>INE738I01010</t>
  </si>
  <si>
    <t>Industry Classification</t>
  </si>
  <si>
    <t>Tata Investment Corporation Ltd</t>
  </si>
  <si>
    <t>INE672A01018</t>
  </si>
  <si>
    <t>Finolex Industries Ltd</t>
  </si>
  <si>
    <t>INE183A01016</t>
  </si>
  <si>
    <t>J.K. Cement Ltd</t>
  </si>
  <si>
    <t>INE823G01014</t>
  </si>
  <si>
    <t>National Aluminium Co Ltd</t>
  </si>
  <si>
    <t>INE139A01034</t>
  </si>
  <si>
    <t>K.P.R. Mill Ltd</t>
  </si>
  <si>
    <t>INE930H01023</t>
  </si>
  <si>
    <t>Dalmia Bharat Ltd</t>
  </si>
  <si>
    <t>INE00R701025</t>
  </si>
  <si>
    <t>Sundaram Clayton Ltd</t>
  </si>
  <si>
    <t>INE105A01035</t>
  </si>
  <si>
    <t>CESC Ltd</t>
  </si>
  <si>
    <t>INE486A01013</t>
  </si>
  <si>
    <t>Ashok Leyland Ltd</t>
  </si>
  <si>
    <t>INE208A01029</t>
  </si>
  <si>
    <t>NMDC Ltd</t>
  </si>
  <si>
    <t>INE584A01023</t>
  </si>
  <si>
    <t>(b) Units of Real Estate Investment Trusts (REITs)</t>
  </si>
  <si>
    <t>Embassy Office Parks REIT</t>
  </si>
  <si>
    <t>INE041025011</t>
  </si>
  <si>
    <t>Foreign Equity Securities</t>
  </si>
  <si>
    <t>Xinyi Solar Holdings Ltd</t>
  </si>
  <si>
    <t>KYG9829N1025</t>
  </si>
  <si>
    <t>AEA002301017</t>
  </si>
  <si>
    <t>GB00BF5SDZ96</t>
  </si>
  <si>
    <t>US9047677045</t>
  </si>
  <si>
    <t>Xtep International Holdings Ltd</t>
  </si>
  <si>
    <t>KYG982771092</t>
  </si>
  <si>
    <t>TW0003034005</t>
  </si>
  <si>
    <t>Semiconductors</t>
  </si>
  <si>
    <t>CNE1000004J3</t>
  </si>
  <si>
    <t>Cosco Shipping Ports Ltd</t>
  </si>
  <si>
    <t>BMG2442N1048</t>
  </si>
  <si>
    <t>BMG570071099</t>
  </si>
  <si>
    <t>Primax Electronics Ltd</t>
  </si>
  <si>
    <t>TW0004915004</t>
  </si>
  <si>
    <t>Hardware</t>
  </si>
  <si>
    <t>BRLEVEACNOR2</t>
  </si>
  <si>
    <t>KR7086900008</t>
  </si>
  <si>
    <t>US30712A1034</t>
  </si>
  <si>
    <t>Tata Consultancy Services Ltd</t>
  </si>
  <si>
    <t>INE467B01029</t>
  </si>
  <si>
    <t>Info Edge (India) Ltd</t>
  </si>
  <si>
    <t>INE663F01024</t>
  </si>
  <si>
    <t>Larsen &amp; Toubro Infotech Ltd</t>
  </si>
  <si>
    <t>INE214T01019</t>
  </si>
  <si>
    <t>Hexaware Technologies Ltd</t>
  </si>
  <si>
    <t>INE093A01033</t>
  </si>
  <si>
    <t>Vodafone Idea Ltd</t>
  </si>
  <si>
    <t>INE669E01016</t>
  </si>
  <si>
    <t>Brillio Technologies Pvt Ltd</t>
  </si>
  <si>
    <t>US1924461023</t>
  </si>
  <si>
    <t>TW0002330008</t>
  </si>
  <si>
    <t>KR7005930003</t>
  </si>
  <si>
    <t>US90184L1026</t>
  </si>
  <si>
    <t>Nvidia Corp</t>
  </si>
  <si>
    <t>US67066G1040</t>
  </si>
  <si>
    <t>US7475251036</t>
  </si>
  <si>
    <t>Telecom -  Equipment &amp; Accessories</t>
  </si>
  <si>
    <t>US02079K3059</t>
  </si>
  <si>
    <t>KYG8586D1097</t>
  </si>
  <si>
    <t>Microsoft Corp</t>
  </si>
  <si>
    <t>US5949181045</t>
  </si>
  <si>
    <t>US0378331005</t>
  </si>
  <si>
    <t>Makemytrip Ltd</t>
  </si>
  <si>
    <t>MU0295S00016</t>
  </si>
  <si>
    <t>Foreign Mutual Fund Units</t>
  </si>
  <si>
    <t>LU0626261944</t>
  </si>
  <si>
    <t>Foreign Mutual Fund</t>
  </si>
  <si>
    <t>Deepak Nitrite Ltd</t>
  </si>
  <si>
    <t>INE288B01029</t>
  </si>
  <si>
    <t>Nesco Ltd</t>
  </si>
  <si>
    <t>INE317F01035</t>
  </si>
  <si>
    <t>Commercial Services</t>
  </si>
  <si>
    <t>Jyothy Labs Ltd</t>
  </si>
  <si>
    <t>INE668F01031</t>
  </si>
  <si>
    <t>J.B. Chemicals &amp; Pharmaceuticals Ltd</t>
  </si>
  <si>
    <t>INE572A01028</t>
  </si>
  <si>
    <t>Brigade Enterprises Ltd</t>
  </si>
  <si>
    <t>INE791I01019</t>
  </si>
  <si>
    <t>Construction</t>
  </si>
  <si>
    <t>Eris Lifesciences Ltd</t>
  </si>
  <si>
    <t>INE406M01024</t>
  </si>
  <si>
    <t>CCL Products (India) Ltd</t>
  </si>
  <si>
    <t>INE421D01022</t>
  </si>
  <si>
    <t>Blue Star Ltd</t>
  </si>
  <si>
    <t>INE472A01039</t>
  </si>
  <si>
    <t>Atul Ltd</t>
  </si>
  <si>
    <t>INE100A01010</t>
  </si>
  <si>
    <t>Gulf Oil Lubricants India Ltd</t>
  </si>
  <si>
    <t>INE635Q01029</t>
  </si>
  <si>
    <t>Navneet Education Ltd</t>
  </si>
  <si>
    <t>INE060A01024</t>
  </si>
  <si>
    <t>Rallis India Ltd</t>
  </si>
  <si>
    <t>INE613A01020</t>
  </si>
  <si>
    <t>Pesticides</t>
  </si>
  <si>
    <t>TTK Prestige Ltd</t>
  </si>
  <si>
    <t>INE690A01010</t>
  </si>
  <si>
    <t>Kajaria Ceramics Ltd</t>
  </si>
  <si>
    <t>INE217B01036</t>
  </si>
  <si>
    <t>Teamlease Services Ltd</t>
  </si>
  <si>
    <t>INE985S01024</t>
  </si>
  <si>
    <t>City Union Bank Ltd</t>
  </si>
  <si>
    <t>INE491A01021</t>
  </si>
  <si>
    <t>Carborundum Universal Ltd</t>
  </si>
  <si>
    <t>INE120A01034</t>
  </si>
  <si>
    <t>DCB Bank Ltd</t>
  </si>
  <si>
    <t>INE503A01015</t>
  </si>
  <si>
    <t>Ahluwalia Contracts (India) Ltd</t>
  </si>
  <si>
    <t>INE758C01029</t>
  </si>
  <si>
    <t>Schaeffler India Ltd</t>
  </si>
  <si>
    <t>INE513A01014</t>
  </si>
  <si>
    <t>KNR Constructions Ltd</t>
  </si>
  <si>
    <t>INE634I01029</t>
  </si>
  <si>
    <t>Sobha Ltd</t>
  </si>
  <si>
    <t>INE671H01015</t>
  </si>
  <si>
    <t>TV Today Network Ltd</t>
  </si>
  <si>
    <t>INE038F01029</t>
  </si>
  <si>
    <t>Quess Corp Ltd</t>
  </si>
  <si>
    <t>INE615P01015</t>
  </si>
  <si>
    <t>Services</t>
  </si>
  <si>
    <t>V.I.P. Industries Ltd</t>
  </si>
  <si>
    <t>INE054A01027</t>
  </si>
  <si>
    <t>JK Lakshmi Cement Ltd</t>
  </si>
  <si>
    <t>INE786A01032</t>
  </si>
  <si>
    <t>Himadri Speciality Chemical Ltd</t>
  </si>
  <si>
    <t>INE019C01026</t>
  </si>
  <si>
    <t>Polycab India Ltd</t>
  </si>
  <si>
    <t>INE455K01017</t>
  </si>
  <si>
    <t>Techno Electric &amp; Engineering Co Ltd</t>
  </si>
  <si>
    <t>INE285K01026</t>
  </si>
  <si>
    <t>Lemon Tree Hotels Ltd</t>
  </si>
  <si>
    <t>INE970X01018</t>
  </si>
  <si>
    <t>Ashoka Buildcon Ltd</t>
  </si>
  <si>
    <t>INE442H01029</t>
  </si>
  <si>
    <t>GHCL Ltd</t>
  </si>
  <si>
    <t>INE539A01019</t>
  </si>
  <si>
    <t>CARE Ratings Ltd</t>
  </si>
  <si>
    <t>INE752H01013</t>
  </si>
  <si>
    <t>Lakshmi Machine Works Ltd</t>
  </si>
  <si>
    <t>INE269B01029</t>
  </si>
  <si>
    <t>LIC Housing Finance Ltd</t>
  </si>
  <si>
    <t>INE115A01026</t>
  </si>
  <si>
    <t>Tube Investments of India Ltd</t>
  </si>
  <si>
    <t>INE974X01010</t>
  </si>
  <si>
    <t>Repco Home Finance Ltd</t>
  </si>
  <si>
    <t>INE612J01015</t>
  </si>
  <si>
    <t>Inox Leisure Ltd</t>
  </si>
  <si>
    <t>INE312H01016</t>
  </si>
  <si>
    <t>Music Broadcast Ltd</t>
  </si>
  <si>
    <t>INE919I01024</t>
  </si>
  <si>
    <t>Shankara Building Products Ltd</t>
  </si>
  <si>
    <t>INE274V01019</t>
  </si>
  <si>
    <t>Ramkrishna Forgings Ltd</t>
  </si>
  <si>
    <t>INE399G01015</t>
  </si>
  <si>
    <t>M M Forgings Ltd</t>
  </si>
  <si>
    <t>INE227C01017</t>
  </si>
  <si>
    <t>HealthCare Global Enterprises Ltd</t>
  </si>
  <si>
    <t>INE075I01017</t>
  </si>
  <si>
    <t>Narayana Hrudayalaya Ltd</t>
  </si>
  <si>
    <t>INE410P01011</t>
  </si>
  <si>
    <t>Dr. Lal Path Labs Ltd</t>
  </si>
  <si>
    <t>INE600L01024</t>
  </si>
  <si>
    <t>Sanghi Industries Ltd</t>
  </si>
  <si>
    <t>INE999B01013</t>
  </si>
  <si>
    <t>Pennar Industries Ltd</t>
  </si>
  <si>
    <t>INE932A01024</t>
  </si>
  <si>
    <t>Metropolis Healthcare Ltd</t>
  </si>
  <si>
    <t>INE112L01020</t>
  </si>
  <si>
    <t>HT Media Ltd</t>
  </si>
  <si>
    <t>INE501G01024</t>
  </si>
  <si>
    <t>Gujarat Mineral Development Corporation Ltd</t>
  </si>
  <si>
    <t>INE131A01031</t>
  </si>
  <si>
    <t>Banco Products (India) Ltd</t>
  </si>
  <si>
    <t>INE213C01025</t>
  </si>
  <si>
    <t>INE429I01024</t>
  </si>
  <si>
    <t>Crompton Greaves Consumer Electricals Ltd</t>
  </si>
  <si>
    <t>INE299U01018</t>
  </si>
  <si>
    <t>WABCO India Ltd</t>
  </si>
  <si>
    <t>INE342J01019</t>
  </si>
  <si>
    <t>The Ramco Cements Ltd</t>
  </si>
  <si>
    <t>INE331A01037</t>
  </si>
  <si>
    <t>Aarti Industries Ltd</t>
  </si>
  <si>
    <t>INE769A01020</t>
  </si>
  <si>
    <t>Trent Ltd</t>
  </si>
  <si>
    <t>INE849A01020</t>
  </si>
  <si>
    <t>Torrent Power Ltd</t>
  </si>
  <si>
    <t>INE813H01021</t>
  </si>
  <si>
    <t>SKF India Ltd</t>
  </si>
  <si>
    <t>INE640A01023</t>
  </si>
  <si>
    <t>Coromandel International Ltd</t>
  </si>
  <si>
    <t>INE169A01031</t>
  </si>
  <si>
    <t>Fertilisers</t>
  </si>
  <si>
    <t>Sundaram Finance Ltd</t>
  </si>
  <si>
    <t>INE660A01013</t>
  </si>
  <si>
    <t>Oberoi Realty Ltd</t>
  </si>
  <si>
    <t>INE093I01010</t>
  </si>
  <si>
    <t>PI Industries Ltd</t>
  </si>
  <si>
    <t>INE603J01030</t>
  </si>
  <si>
    <t>AIA Engineering Ltd</t>
  </si>
  <si>
    <t>INE212H01026</t>
  </si>
  <si>
    <t>Bharat Forge Ltd</t>
  </si>
  <si>
    <t>INE465A01025</t>
  </si>
  <si>
    <t>RBL Bank Ltd</t>
  </si>
  <si>
    <t>INE976G01028</t>
  </si>
  <si>
    <t>Sundram Fasteners Ltd</t>
  </si>
  <si>
    <t>INE387A01021</t>
  </si>
  <si>
    <t>Phoenix Mills Ltd</t>
  </si>
  <si>
    <t>INE211B01039</t>
  </si>
  <si>
    <t>Sanofi India Ltd</t>
  </si>
  <si>
    <t>INE058A01010</t>
  </si>
  <si>
    <t>PVR Ltd</t>
  </si>
  <si>
    <t>INE191H01014</t>
  </si>
  <si>
    <t>CESC Ventures Ltd</t>
  </si>
  <si>
    <t>INE425Y01011</t>
  </si>
  <si>
    <t>Arvind Fashions Ltd</t>
  </si>
  <si>
    <t>INE955V01021</t>
  </si>
  <si>
    <t>The Anup Engineering Ltd</t>
  </si>
  <si>
    <t>INE294Z01018</t>
  </si>
  <si>
    <t>Sundaram Finance Holdings Ltd</t>
  </si>
  <si>
    <t>INE202Z01029</t>
  </si>
  <si>
    <t>Aarti Surfactants Ltd ##</t>
  </si>
  <si>
    <t>INE09EO01013</t>
  </si>
  <si>
    <t>Kalyani Invest Co Ltd</t>
  </si>
  <si>
    <t>INE029L01018</t>
  </si>
  <si>
    <t>Spicejet Ltd</t>
  </si>
  <si>
    <t>INE285B01017</t>
  </si>
  <si>
    <t>Quantum Information Services</t>
  </si>
  <si>
    <t>INE696201123</t>
  </si>
  <si>
    <t>Chennai Interactive Business Services Pvt Ltd</t>
  </si>
  <si>
    <t>ACC Ltd</t>
  </si>
  <si>
    <t>INE012A01025</t>
  </si>
  <si>
    <t>Lupin Ltd</t>
  </si>
  <si>
    <t>INE326A01037</t>
  </si>
  <si>
    <t>Interglobe Aviation Ltd</t>
  </si>
  <si>
    <t>INE646L01027</t>
  </si>
  <si>
    <t>SBI Life Insurance Co Ltd</t>
  </si>
  <si>
    <t>INE123W01016</t>
  </si>
  <si>
    <t>KEI Industries Ltd</t>
  </si>
  <si>
    <t>INE878B01027</t>
  </si>
  <si>
    <t>Orient Cement Ltd</t>
  </si>
  <si>
    <t>INE876N01018</t>
  </si>
  <si>
    <t>ITD Cementation India Ltd</t>
  </si>
  <si>
    <t>INE686A01026</t>
  </si>
  <si>
    <t>Natco Pharma Ltd</t>
  </si>
  <si>
    <t>INE987B01026</t>
  </si>
  <si>
    <t>Somany Ceramics Ltd</t>
  </si>
  <si>
    <t>INE355A01028</t>
  </si>
  <si>
    <t>United Spirits Ltd</t>
  </si>
  <si>
    <t>INE854D01024</t>
  </si>
  <si>
    <t>Marico Ltd</t>
  </si>
  <si>
    <t>INE196A01026</t>
  </si>
  <si>
    <t>ICICI Prudential Life Insurance Co Ltd</t>
  </si>
  <si>
    <t>INE726G01019</t>
  </si>
  <si>
    <t>Sun Pharmaceutical Industries Ltd</t>
  </si>
  <si>
    <t>INE044A01036</t>
  </si>
  <si>
    <t>Aditya Birla Capital Ltd</t>
  </si>
  <si>
    <t>INE674K01013</t>
  </si>
  <si>
    <t>CG Power and Industrial Solutions Ltd</t>
  </si>
  <si>
    <t>INE067A01029</t>
  </si>
  <si>
    <t>Arvind Ltd</t>
  </si>
  <si>
    <t>INE034A01011</t>
  </si>
  <si>
    <t>Quantum Information Systems</t>
  </si>
  <si>
    <t>IndusInd Bank Ltd</t>
  </si>
  <si>
    <t>INE095A01012</t>
  </si>
  <si>
    <t>NRB Bearings Ltd</t>
  </si>
  <si>
    <t>INE349A01021</t>
  </si>
  <si>
    <t>Dish TV India Ltd</t>
  </si>
  <si>
    <t>INE836F01026</t>
  </si>
  <si>
    <t>Spencers Retail Ltd</t>
  </si>
  <si>
    <t>INE020801028</t>
  </si>
  <si>
    <t>Gateway Distriparks Ltd</t>
  </si>
  <si>
    <t>INE852F01015</t>
  </si>
  <si>
    <t>Puravankara Ltd</t>
  </si>
  <si>
    <t>INE323I01011</t>
  </si>
  <si>
    <t>The New India Assurance Co Ltd</t>
  </si>
  <si>
    <t>INE470Y01017</t>
  </si>
  <si>
    <t>Punjab National Bank</t>
  </si>
  <si>
    <t>INE160A01022</t>
  </si>
  <si>
    <t>Hindustan Media Vent Ltd</t>
  </si>
  <si>
    <t>INE871K01015</t>
  </si>
  <si>
    <t>Godrej Properties Ltd</t>
  </si>
  <si>
    <t>INE484J01027</t>
  </si>
  <si>
    <t>Motilal Oswal Financial Services Ltd</t>
  </si>
  <si>
    <t>INE338I01027</t>
  </si>
  <si>
    <t>Tencent Holdings Ltd</t>
  </si>
  <si>
    <t>KYG875721634</t>
  </si>
  <si>
    <t>US01609W1027</t>
  </si>
  <si>
    <t>AIA Group Ltd</t>
  </si>
  <si>
    <t>HK0000069689</t>
  </si>
  <si>
    <t>CNE1000003X6</t>
  </si>
  <si>
    <t>Naver Corp</t>
  </si>
  <si>
    <t>KR7035420009</t>
  </si>
  <si>
    <t>TH0003010Z12</t>
  </si>
  <si>
    <t>US6475811070</t>
  </si>
  <si>
    <t>Diversified Consumer Service</t>
  </si>
  <si>
    <t>TH0737010Y16</t>
  </si>
  <si>
    <t>DBS Group Holdings Ltd</t>
  </si>
  <si>
    <t>SG1L01001701</t>
  </si>
  <si>
    <t>China Resources Land Ltd</t>
  </si>
  <si>
    <t>KYG2108Y1052</t>
  </si>
  <si>
    <t>Bank Central Asia Tbk Pt</t>
  </si>
  <si>
    <t>ID1000109507</t>
  </si>
  <si>
    <t>China Merchants Bank Co Ltd</t>
  </si>
  <si>
    <t>CNE1000002M1</t>
  </si>
  <si>
    <t>HK0669013440</t>
  </si>
  <si>
    <t>CNE0000018R8</t>
  </si>
  <si>
    <t>US89677Q1076</t>
  </si>
  <si>
    <t>PHY077751022</t>
  </si>
  <si>
    <t>KYG210961051</t>
  </si>
  <si>
    <t>ID1000125503</t>
  </si>
  <si>
    <t>HK0883013259</t>
  </si>
  <si>
    <t>PHY8076N1120</t>
  </si>
  <si>
    <t>China Resources Cement Holdings Ltd</t>
  </si>
  <si>
    <t>KYG2113L1068</t>
  </si>
  <si>
    <t>TW0003008009</t>
  </si>
  <si>
    <t>KR7055550008</t>
  </si>
  <si>
    <t>ID1000106800</t>
  </si>
  <si>
    <t>TH0128B10Z17</t>
  </si>
  <si>
    <t>Yum China Holdings INC</t>
  </si>
  <si>
    <t>US98850P1093</t>
  </si>
  <si>
    <t>TW0006414006</t>
  </si>
  <si>
    <t>Indocement Tunggal Prakarsa Tbk Pt</t>
  </si>
  <si>
    <t>ID1000061302</t>
  </si>
  <si>
    <t>Samsonite International Sa</t>
  </si>
  <si>
    <t>LU0633102719</t>
  </si>
  <si>
    <t>Health &amp; Happiness H&amp;H International Holdings Ltd</t>
  </si>
  <si>
    <t>KYG4387E1070</t>
  </si>
  <si>
    <t>TH0128051909</t>
  </si>
  <si>
    <t>Reliance Industries Ltd</t>
  </si>
  <si>
    <t>INE002A01018</t>
  </si>
  <si>
    <t>Maruti Suzuki India Ltd</t>
  </si>
  <si>
    <t>INE585B01010</t>
  </si>
  <si>
    <t>Britannia Industries Ltd</t>
  </si>
  <si>
    <t>INE216A01030</t>
  </si>
  <si>
    <t>Bajaj Finserv Ltd</t>
  </si>
  <si>
    <t>INE918I01018</t>
  </si>
  <si>
    <t>Wipro Ltd</t>
  </si>
  <si>
    <t>INE075A01022</t>
  </si>
  <si>
    <t>Cipla Ltd</t>
  </si>
  <si>
    <t>INE059A01026</t>
  </si>
  <si>
    <t>Shree Cement Ltd</t>
  </si>
  <si>
    <t>INE070A01015</t>
  </si>
  <si>
    <t>Adani Ports and Special Economic Zone Ltd</t>
  </si>
  <si>
    <t>INE742F01042</t>
  </si>
  <si>
    <t>UPL Ltd</t>
  </si>
  <si>
    <t>INE628A01036</t>
  </si>
  <si>
    <t>Eicher Motors Ltd</t>
  </si>
  <si>
    <t>INE066A01013</t>
  </si>
  <si>
    <t>JSW Steel Ltd</t>
  </si>
  <si>
    <t>INE019A01038</t>
  </si>
  <si>
    <t>Bharti Infratel Ltd</t>
  </si>
  <si>
    <t>INE121J01017</t>
  </si>
  <si>
    <t>Zee Entertainment Enterprises Ltd</t>
  </si>
  <si>
    <t>INE256A01028</t>
  </si>
  <si>
    <t>Yes Bank Ltd</t>
  </si>
  <si>
    <t>INE528G01035</t>
  </si>
  <si>
    <t>Franklin U.S. Opportunities Fund, Class I (Acc)</t>
  </si>
  <si>
    <t>LU0195948665</t>
  </si>
  <si>
    <t>Franklin European Growth Fund, Class I (Acc)</t>
  </si>
  <si>
    <t>LU0195949390</t>
  </si>
  <si>
    <t>INF090I01FN7</t>
  </si>
  <si>
    <t>INF090I01GK1</t>
  </si>
  <si>
    <t>Nippon India ETF Gold Bees</t>
  </si>
  <si>
    <t>INF204KB17I5</t>
  </si>
  <si>
    <t>Franklin India Short Term Income Plan- Segregated Portfolio 1- 8.25% Vodafone Idea Ltd-10JUL20</t>
  </si>
  <si>
    <t>INF090I01UP1</t>
  </si>
  <si>
    <t>Franklin India Short Term Income Plan- Segregated Portfolio 2- 10.90% Vodafone Idea Ltd 02Sep2023 (P/C 03Sep2021)</t>
  </si>
  <si>
    <t>INF090I01UY3</t>
  </si>
  <si>
    <t>Franklin India Short Term Income Plan- Segregated Portfolio 3- 9.50% Yes Bank Ltd CO 23Dec21</t>
  </si>
  <si>
    <t>INF090I01VS3</t>
  </si>
  <si>
    <t>INF090I01GV8</t>
  </si>
  <si>
    <t>INF090I01GY2</t>
  </si>
  <si>
    <t xml:space="preserve">      Dividend Option</t>
  </si>
  <si>
    <t xml:space="preserve">      Direct Dividend Option</t>
  </si>
  <si>
    <t>INF090I01HB8</t>
  </si>
  <si>
    <t>INF090I01FW8</t>
  </si>
  <si>
    <t>Franklin India Dynamic Accrual Fund- Segregated Portfolio 3- 9.50% Yes Bank Ltd CO 23Dec21</t>
  </si>
  <si>
    <t>INF090I01WD3</t>
  </si>
  <si>
    <t>Franklin India Dynamic Accrual Fund- Segregated Portfolio 2- 10.90% Vodafone Idea Ltd 02Sep2023 (P/C 03Sep2021)</t>
  </si>
  <si>
    <t>INF090I01TX7</t>
  </si>
  <si>
    <t>Franklin India Dynamic Accrual Fund- Segregated Portfolio 1- 8.25% Vodafone Idea Ltd-10JUL20</t>
  </si>
  <si>
    <t>INF090I01TT5</t>
  </si>
  <si>
    <t>INF090I01FH9</t>
  </si>
  <si>
    <t>INF090I01FK3</t>
  </si>
  <si>
    <t>Franklin India Dynamic Asset Allocation Fund Of Funds ***</t>
  </si>
  <si>
    <t>***  Effective October 21, 2019, scheme name of Franklin India Dynamic PE Ratio Fund of Funds was changed to Franklin India Dynamic Asset Allocation Fund of Funds</t>
  </si>
  <si>
    <t xml:space="preserve"> $$ Indicates securties below investment grade or default</t>
  </si>
  <si>
    <t>NA****</t>
  </si>
  <si>
    <t>****Portfolio was created on March 06, 2020 on account of Segregation</t>
  </si>
  <si>
    <t xml:space="preserve">b) During the month additional instances of fair valuation/deviation from valuation price provided by the valuation agencies </t>
  </si>
  <si>
    <t>(a) Privately Placed / Unlisted</t>
  </si>
  <si>
    <t>****Portfolio was created on January 24, 2020 on account of Segregation</t>
  </si>
  <si>
    <t>^^ Securities are fair Valued</t>
  </si>
  <si>
    <t>% to Net Assets Derivative</t>
  </si>
  <si>
    <t>Margin on Derivatives</t>
  </si>
  <si>
    <t>## Awaiting Listing</t>
  </si>
  <si>
    <t>Consolidated Construction Consortium Ltd #</t>
  </si>
  <si>
    <t># Suspended Security</t>
  </si>
  <si>
    <t>https://www.franklintempletonindia.com/investor/reports?firstFilter-4</t>
  </si>
  <si>
    <t>Motilal Oswal Home Finance Ltd (1Y SBI MCLR + 215 Bps) (28-Sep-2023) **</t>
  </si>
  <si>
    <t>Indostar Capital Finance Ltd (1Y SBI MCLR + 325 Bps) (02-Nov-2021) **</t>
  </si>
  <si>
    <t>Motilal Oswal Home Finance Ltd (1Y SBI MCLR + 200 Bps) (24-Aug-2023) **</t>
  </si>
  <si>
    <t>Franklin India Debt Hybrid Fund - Segregated Portfolio 1 - 10.25% Yes Bank Ltd CO 05 Mar 2020</t>
  </si>
  <si>
    <t>Cognizant Technology Solutions Corp., A</t>
  </si>
  <si>
    <t>Taiwan Semiconductor Manufacturing Co. Ltd</t>
  </si>
  <si>
    <t>Samsung Electronics Co. Ltd</t>
  </si>
  <si>
    <t>Twitter Inc.</t>
  </si>
  <si>
    <t>Qualcomm Inc.</t>
  </si>
  <si>
    <t>Alphabet Inc-Cl A Com</t>
  </si>
  <si>
    <t>Sunny Optical Technology Group Co. Ltd</t>
  </si>
  <si>
    <t>Apple Inc Com Npv</t>
  </si>
  <si>
    <t>Aramex PJSC</t>
  </si>
  <si>
    <t>Stock Spirits Group PLC</t>
  </si>
  <si>
    <t>Unilever PLC ADR</t>
  </si>
  <si>
    <t>Novatek Microelectronics Corp. Ltd</t>
  </si>
  <si>
    <t xml:space="preserve">Travelsky Technology Ltd, H </t>
  </si>
  <si>
    <t xml:space="preserve">Luye Pharma Group Ltd </t>
  </si>
  <si>
    <t>Mahle-Metal Leve SA</t>
  </si>
  <si>
    <t>Medy-Tox Inc.</t>
  </si>
  <si>
    <t>Fanhua Inc, (ADR)</t>
  </si>
  <si>
    <t>Alibaba Group Holding Ltd (ADR)</t>
  </si>
  <si>
    <t>Ping An Insurance (Group) Co. Of China Ltd, H</t>
  </si>
  <si>
    <t>The Siam Cement PCL, Fgn.</t>
  </si>
  <si>
    <t>New Oriental Education &amp; Technology Group Inc, (ADR)</t>
  </si>
  <si>
    <t>CP All PCL</t>
  </si>
  <si>
    <t>Techtronic Industries Co. Ltd</t>
  </si>
  <si>
    <t xml:space="preserve">Kweichow Moutai Co. Ltd, A </t>
  </si>
  <si>
    <t>Trip.Com Group Ltd, (ADR)</t>
  </si>
  <si>
    <t>BDO Unibank Inc.</t>
  </si>
  <si>
    <t>China Mengniu Dairy Co. Ltd</t>
  </si>
  <si>
    <t>ACE Hardware Indonesia Tbk Pt</t>
  </si>
  <si>
    <t>CNOOC Ltd</t>
  </si>
  <si>
    <t>SM Prime Holdings Inc.</t>
  </si>
  <si>
    <t>Largan Precision Co. Ltd</t>
  </si>
  <si>
    <t>Shinhan Financial Group Co. Ltd</t>
  </si>
  <si>
    <t>Semen Indonesia (Persero) Tbk PT</t>
  </si>
  <si>
    <t>Minor International Pcl, Fgn.</t>
  </si>
  <si>
    <t>Ennoconn Corp</t>
  </si>
  <si>
    <t>Minor International  WRTS</t>
  </si>
  <si>
    <t>^^ Securities are fair valued</t>
  </si>
  <si>
    <t>Arvind Fashions Ltd - Rights Entitlements ## ^^</t>
  </si>
  <si>
    <t>Franklin India Short-Term Income Plan (No. of Segregated Portfolios in the Scheme- 3) - (under winding up) ^^</t>
  </si>
  <si>
    <t>Franklin India Dynamic Accrual Fund (No. of Segregated Portfolios in the Scheme- 3) - (under winding up) ^^</t>
  </si>
  <si>
    <t>Franklin India Ultra Short Bond Fund (No. of segregated Portfolio in the scheme -1) - (under winding up)</t>
  </si>
  <si>
    <t>Franklin India Short-Term Income Plan (No. of segregated Portfolios in the scheme - 3) - (under winding up)</t>
  </si>
  <si>
    <t>Franklin India Low Duration Fund (No. of segregated Portfolios in the scheme -2) - (under winding up)</t>
  </si>
  <si>
    <t>Franklin India Income Opportunities Fund (No. of segregated Portfolios in the scheme - 2) - (under winding up)</t>
  </si>
  <si>
    <t>Franklin India Dynamic Accrual Fund (No. of segregated Portfolios in the scheme - 3) - (under winding up)</t>
  </si>
  <si>
    <t>Franklin India Credit Risk Fund (No. of segregated Portfolios in the scheme -3) - (under winding up)</t>
  </si>
  <si>
    <t>d) During the month additional instances of fair valuation/deviation from valuation price provided by the valuation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</si>
</sst>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0"/>
    <numFmt numFmtId="165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1"/>
      <color indexed="63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93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0" fontId="7" fillId="2" borderId="0" xfId="0" applyFont="1" applyFill="1"/>
    <xf numFmtId="0" fontId="7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0" fontId="6" fillId="0" borderId="1" xfId="0" applyNumberFormat="1" applyFont="1" applyBorder="1" applyAlignment="1">
      <alignment vertical="center"/>
    </xf>
    <xf numFmtId="4" fontId="7" fillId="3" borderId="0" xfId="0" applyNumberFormat="1" applyFont="1" applyFill="1" applyBorder="1"/>
    <xf numFmtId="39" fontId="7" fillId="2" borderId="0" xfId="0" applyNumberFormat="1" applyFont="1" applyFill="1"/>
    <xf numFmtId="39" fontId="7" fillId="3" borderId="0" xfId="0" applyNumberFormat="1" applyFont="1" applyFill="1" applyBorder="1"/>
    <xf numFmtId="0" fontId="6" fillId="2" borderId="0" xfId="0" applyFont="1" applyFill="1"/>
    <xf numFmtId="0" fontId="6" fillId="2" borderId="0" xfId="0" applyNumberFormat="1" applyFont="1" applyFill="1"/>
    <xf numFmtId="39" fontId="6" fillId="3" borderId="0" xfId="0" applyNumberFormat="1" applyFont="1" applyFill="1" applyBorder="1"/>
    <xf numFmtId="0" fontId="6" fillId="2" borderId="3" xfId="0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0" fontId="6" fillId="2" borderId="4" xfId="0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39" fontId="7" fillId="2" borderId="4" xfId="0" applyNumberFormat="1" applyFont="1" applyFill="1" applyBorder="1"/>
    <xf numFmtId="39" fontId="7" fillId="3" borderId="4" xfId="0" applyNumberFormat="1" applyFont="1" applyFill="1" applyBorder="1"/>
    <xf numFmtId="3" fontId="7" fillId="2" borderId="4" xfId="0" applyNumberFormat="1" applyFont="1" applyFill="1" applyBorder="1"/>
    <xf numFmtId="0" fontId="6" fillId="2" borderId="4" xfId="0" applyNumberFormat="1" applyFont="1" applyFill="1" applyBorder="1"/>
    <xf numFmtId="39" fontId="6" fillId="2" borderId="4" xfId="0" applyNumberFormat="1" applyFont="1" applyFill="1" applyBorder="1"/>
    <xf numFmtId="39" fontId="6" fillId="3" borderId="4" xfId="0" applyNumberFormat="1" applyFont="1" applyFill="1" applyBorder="1"/>
    <xf numFmtId="0" fontId="6" fillId="2" borderId="5" xfId="0" applyFont="1" applyFill="1" applyBorder="1"/>
    <xf numFmtId="0" fontId="6" fillId="2" borderId="5" xfId="0" applyNumberFormat="1" applyFont="1" applyFill="1" applyBorder="1"/>
    <xf numFmtId="39" fontId="6" fillId="2" borderId="5" xfId="0" applyNumberFormat="1" applyFont="1" applyFill="1" applyBorder="1"/>
    <xf numFmtId="39" fontId="6" fillId="3" borderId="5" xfId="0" applyNumberFormat="1" applyFont="1" applyFill="1" applyBorder="1"/>
    <xf numFmtId="0" fontId="6" fillId="2" borderId="0" xfId="0" applyFont="1" applyFill="1" applyAlignment="1">
      <alignment horizontal="right"/>
    </xf>
    <xf numFmtId="164" fontId="7" fillId="2" borderId="0" xfId="0" applyNumberFormat="1" applyFont="1" applyFill="1"/>
    <xf numFmtId="0" fontId="6" fillId="2" borderId="1" xfId="0" applyFont="1" applyFill="1" applyBorder="1" applyAlignment="1">
      <alignment horizontal="right"/>
    </xf>
    <xf numFmtId="0" fontId="6" fillId="2" borderId="1" xfId="0" applyNumberFormat="1" applyFont="1" applyFill="1" applyBorder="1" applyAlignment="1">
      <alignment horizontal="right"/>
    </xf>
    <xf numFmtId="164" fontId="7" fillId="2" borderId="1" xfId="0" applyNumberFormat="1" applyFont="1" applyFill="1" applyBorder="1"/>
    <xf numFmtId="4" fontId="7" fillId="2" borderId="0" xfId="0" applyNumberFormat="1" applyFont="1" applyFill="1"/>
    <xf numFmtId="0" fontId="8" fillId="2" borderId="0" xfId="1" applyFill="1"/>
    <xf numFmtId="0" fontId="9" fillId="2" borderId="0" xfId="0" applyFont="1" applyFill="1"/>
    <xf numFmtId="0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/>
    <xf numFmtId="0" fontId="7" fillId="2" borderId="4" xfId="0" applyFont="1" applyFill="1" applyBorder="1" applyAlignment="1">
      <alignment wrapText="1"/>
    </xf>
    <xf numFmtId="0" fontId="6" fillId="0" borderId="1" xfId="0" applyNumberFormat="1" applyFont="1" applyBorder="1" applyAlignment="1">
      <alignment horizontal="center" vertical="center"/>
    </xf>
    <xf numFmtId="4" fontId="7" fillId="3" borderId="4" xfId="0" applyNumberFormat="1" applyFont="1" applyFill="1" applyBorder="1"/>
    <xf numFmtId="4" fontId="6" fillId="2" borderId="4" xfId="0" applyNumberFormat="1" applyFont="1" applyFill="1" applyBorder="1"/>
    <xf numFmtId="4" fontId="6" fillId="3" borderId="4" xfId="0" applyNumberFormat="1" applyFont="1" applyFill="1" applyBorder="1"/>
    <xf numFmtId="4" fontId="7" fillId="2" borderId="4" xfId="0" applyNumberFormat="1" applyFont="1" applyFill="1" applyBorder="1"/>
    <xf numFmtId="4" fontId="6" fillId="2" borderId="5" xfId="0" applyNumberFormat="1" applyFont="1" applyFill="1" applyBorder="1"/>
    <xf numFmtId="4" fontId="6" fillId="3" borderId="5" xfId="0" applyNumberFormat="1" applyFont="1" applyFill="1" applyBorder="1"/>
    <xf numFmtId="164" fontId="7" fillId="2" borderId="0" xfId="0" applyNumberFormat="1" applyFont="1" applyFill="1" applyAlignment="1">
      <alignment horizontal="right"/>
    </xf>
    <xf numFmtId="0" fontId="6" fillId="3" borderId="1" xfId="0" applyFont="1" applyFill="1" applyBorder="1" applyAlignment="1">
      <alignment vertical="center" wrapText="1"/>
    </xf>
    <xf numFmtId="0" fontId="6" fillId="3" borderId="0" xfId="0" applyFont="1" applyFill="1"/>
    <xf numFmtId="0" fontId="6" fillId="3" borderId="0" xfId="0" quotePrefix="1" applyFont="1" applyFill="1"/>
    <xf numFmtId="0" fontId="6" fillId="0" borderId="0" xfId="0" applyNumberFormat="1" applyFont="1" applyFill="1" applyAlignment="1">
      <alignment horizontal="right"/>
    </xf>
    <xf numFmtId="0" fontId="6" fillId="0" borderId="0" xfId="0" applyFont="1" applyFill="1"/>
    <xf numFmtId="0" fontId="7" fillId="0" borderId="0" xfId="0" applyFont="1" applyFill="1"/>
    <xf numFmtId="0" fontId="7" fillId="0" borderId="0" xfId="0" applyNumberFormat="1" applyFont="1" applyFill="1"/>
    <xf numFmtId="0" fontId="6" fillId="0" borderId="1" xfId="0" applyFont="1" applyFill="1" applyBorder="1" applyAlignment="1">
      <alignment horizontal="right"/>
    </xf>
    <xf numFmtId="0" fontId="6" fillId="0" borderId="1" xfId="0" applyNumberFormat="1" applyFont="1" applyFill="1" applyBorder="1" applyAlignment="1">
      <alignment horizontal="right"/>
    </xf>
    <xf numFmtId="164" fontId="7" fillId="0" borderId="1" xfId="0" applyNumberFormat="1" applyFont="1" applyFill="1" applyBorder="1"/>
    <xf numFmtId="2" fontId="6" fillId="0" borderId="1" xfId="0" applyNumberFormat="1" applyFont="1" applyBorder="1" applyAlignment="1">
      <alignment horizontal="right" vertical="center" wrapText="1"/>
    </xf>
    <xf numFmtId="0" fontId="7" fillId="3" borderId="3" xfId="0" applyFont="1" applyFill="1" applyBorder="1"/>
    <xf numFmtId="0" fontId="7" fillId="3" borderId="4" xfId="0" applyFont="1" applyFill="1" applyBorder="1"/>
    <xf numFmtId="4" fontId="7" fillId="3" borderId="4" xfId="2" applyNumberFormat="1" applyFont="1" applyFill="1" applyBorder="1"/>
    <xf numFmtId="4" fontId="6" fillId="3" borderId="4" xfId="2" applyNumberFormat="1" applyFont="1" applyFill="1" applyBorder="1"/>
    <xf numFmtId="0" fontId="6" fillId="3" borderId="4" xfId="0" applyFont="1" applyFill="1" applyBorder="1"/>
    <xf numFmtId="0" fontId="7" fillId="3" borderId="5" xfId="0" applyFont="1" applyFill="1" applyBorder="1"/>
    <xf numFmtId="39" fontId="7" fillId="3" borderId="4" xfId="2" applyNumberFormat="1" applyFont="1" applyFill="1" applyBorder="1"/>
    <xf numFmtId="0" fontId="6" fillId="2" borderId="0" xfId="0" applyFont="1" applyFill="1" applyBorder="1"/>
    <xf numFmtId="0" fontId="6" fillId="2" borderId="0" xfId="0" applyNumberFormat="1" applyFont="1" applyFill="1" applyBorder="1"/>
    <xf numFmtId="39" fontId="6" fillId="2" borderId="0" xfId="0" applyNumberFormat="1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/>
    <xf numFmtId="0" fontId="7" fillId="0" borderId="6" xfId="0" applyFont="1" applyFill="1" applyBorder="1"/>
    <xf numFmtId="0" fontId="7" fillId="0" borderId="7" xfId="0" applyFont="1" applyFill="1" applyBorder="1"/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6" xfId="0" applyFont="1" applyFill="1" applyBorder="1"/>
    <xf numFmtId="0" fontId="6" fillId="0" borderId="7" xfId="0" applyFont="1" applyFill="1" applyBorder="1"/>
    <xf numFmtId="0" fontId="6" fillId="0" borderId="0" xfId="0" applyFont="1" applyFill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124"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franklintempletonindia.com/investor/reports?firstFilter-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franklintempletonindia.com/investor/reports?firstFilter-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anklintempletonindia.com/investor/reports?firstFilter-4" TargetMode="External"/><Relationship Id="rId2" Type="http://schemas.openxmlformats.org/officeDocument/2006/relationships/hyperlink" Target="https://www.franklintempletonindia.com/investor/reports?firstFilter-4" TargetMode="External"/><Relationship Id="rId1" Type="http://schemas.openxmlformats.org/officeDocument/2006/relationships/hyperlink" Target="https://www.franklintempletonindia.com/investor/reports?firstFilter-4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franklintempletonindia.com/investor/reports?firstFilter-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hyperlink" Target="https://www.franklintempletonindia.com/investor/reports?firstFilter-4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hyperlink" Target="https://www.franklintempletonindia.com/investor/reports?firstFilter-4" TargetMode="Externa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9.bin"/><Relationship Id="rId1" Type="http://schemas.openxmlformats.org/officeDocument/2006/relationships/hyperlink" Target="https://www.franklintempletonindia.com/investor/reports?firstFilter-4" TargetMode="Externa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hyperlink" Target="https://www.franklintempletonindia.com/investor/reports?firstFilter-4" TargetMode="Externa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1.bin"/><Relationship Id="rId1" Type="http://schemas.openxmlformats.org/officeDocument/2006/relationships/hyperlink" Target="https://www.franklintempletonindia.com/investor/reports?firstFilter-4" TargetMode="Externa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2.bin"/><Relationship Id="rId1" Type="http://schemas.openxmlformats.org/officeDocument/2006/relationships/hyperlink" Target="https://www.franklintempletonindia.com/investor/reports?firstFilter-4" TargetMode="Externa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3.bin"/><Relationship Id="rId1" Type="http://schemas.openxmlformats.org/officeDocument/2006/relationships/hyperlink" Target="https://www.franklintempletonindia.com/investor/reports?firstFilter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tabSelected="1"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69.179687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5.81640625" style="10" bestFit="1" customWidth="1"/>
    <col min="8" max="16384" width="9.1796875" style="10"/>
  </cols>
  <sheetData>
    <row r="1" spans="1:6" s="1" customFormat="1" ht="14" x14ac:dyDescent="0.25">
      <c r="A1" s="80" t="s">
        <v>1658</v>
      </c>
      <c r="B1" s="81"/>
      <c r="C1" s="81"/>
      <c r="D1" s="81"/>
      <c r="E1" s="81"/>
      <c r="F1" s="81"/>
    </row>
    <row r="2" spans="1:6" s="1" customFormat="1" ht="11.5" x14ac:dyDescent="0.25">
      <c r="A2" s="45" t="s">
        <v>258</v>
      </c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66</v>
      </c>
      <c r="B7" s="26" t="s">
        <v>65</v>
      </c>
      <c r="C7" s="26" t="s">
        <v>67</v>
      </c>
      <c r="D7" s="30">
        <v>7900</v>
      </c>
      <c r="E7" s="28">
        <v>78997.551000000007</v>
      </c>
      <c r="F7" s="29">
        <v>8.2370152090339701</v>
      </c>
    </row>
    <row r="8" spans="1:6" x14ac:dyDescent="0.2">
      <c r="A8" s="26" t="s">
        <v>69</v>
      </c>
      <c r="B8" s="26" t="s">
        <v>68</v>
      </c>
      <c r="C8" s="26" t="s">
        <v>70</v>
      </c>
      <c r="D8" s="30">
        <v>5400</v>
      </c>
      <c r="E8" s="28">
        <v>53838.324000000001</v>
      </c>
      <c r="F8" s="29">
        <v>5.6136815382656504</v>
      </c>
    </row>
    <row r="9" spans="1:6" x14ac:dyDescent="0.2">
      <c r="A9" s="26" t="s">
        <v>72</v>
      </c>
      <c r="B9" s="26" t="s">
        <v>71</v>
      </c>
      <c r="C9" s="26" t="s">
        <v>73</v>
      </c>
      <c r="D9" s="30">
        <v>4400</v>
      </c>
      <c r="E9" s="28">
        <v>42789.472000000002</v>
      </c>
      <c r="F9" s="29">
        <v>4.46162605281945</v>
      </c>
    </row>
    <row r="10" spans="1:6" x14ac:dyDescent="0.2">
      <c r="A10" s="26" t="s">
        <v>75</v>
      </c>
      <c r="B10" s="26" t="s">
        <v>74</v>
      </c>
      <c r="C10" s="26" t="s">
        <v>67</v>
      </c>
      <c r="D10" s="30">
        <v>3750</v>
      </c>
      <c r="E10" s="28">
        <v>37578.262499999997</v>
      </c>
      <c r="F10" s="29">
        <v>3.9182571589032</v>
      </c>
    </row>
    <row r="11" spans="1:6" x14ac:dyDescent="0.2">
      <c r="A11" s="26" t="s">
        <v>77</v>
      </c>
      <c r="B11" s="26" t="s">
        <v>76</v>
      </c>
      <c r="C11" s="26" t="s">
        <v>78</v>
      </c>
      <c r="D11" s="30">
        <v>7500</v>
      </c>
      <c r="E11" s="28">
        <v>37381.987500000003</v>
      </c>
      <c r="F11" s="29">
        <v>3.8977917123205201</v>
      </c>
    </row>
    <row r="12" spans="1:6" x14ac:dyDescent="0.2">
      <c r="A12" s="26" t="s">
        <v>80</v>
      </c>
      <c r="B12" s="26" t="s">
        <v>79</v>
      </c>
      <c r="C12" s="26" t="s">
        <v>81</v>
      </c>
      <c r="D12" s="30">
        <v>3650</v>
      </c>
      <c r="E12" s="28">
        <v>36300.4545</v>
      </c>
      <c r="F12" s="29">
        <v>3.7850210801009001</v>
      </c>
    </row>
    <row r="13" spans="1:6" x14ac:dyDescent="0.2">
      <c r="A13" s="26" t="s">
        <v>83</v>
      </c>
      <c r="B13" s="26" t="s">
        <v>82</v>
      </c>
      <c r="C13" s="26" t="s">
        <v>70</v>
      </c>
      <c r="D13" s="30">
        <v>3100</v>
      </c>
      <c r="E13" s="28">
        <v>31032.612000000001</v>
      </c>
      <c r="F13" s="29">
        <v>3.2357471058824401</v>
      </c>
    </row>
    <row r="14" spans="1:6" x14ac:dyDescent="0.2">
      <c r="A14" s="26" t="s">
        <v>85</v>
      </c>
      <c r="B14" s="26" t="s">
        <v>84</v>
      </c>
      <c r="C14" s="26" t="s">
        <v>86</v>
      </c>
      <c r="D14" s="30">
        <v>2890</v>
      </c>
      <c r="E14" s="28">
        <v>28900</v>
      </c>
      <c r="F14" s="29">
        <v>3.01338125711115</v>
      </c>
    </row>
    <row r="15" spans="1:6" x14ac:dyDescent="0.2">
      <c r="A15" s="26" t="s">
        <v>88</v>
      </c>
      <c r="B15" s="26" t="s">
        <v>87</v>
      </c>
      <c r="C15" s="26" t="s">
        <v>70</v>
      </c>
      <c r="D15" s="30">
        <v>2700</v>
      </c>
      <c r="E15" s="28">
        <v>27014.228999999999</v>
      </c>
      <c r="F15" s="29">
        <v>2.8167533336992499</v>
      </c>
    </row>
    <row r="16" spans="1:6" x14ac:dyDescent="0.2">
      <c r="A16" s="26" t="s">
        <v>90</v>
      </c>
      <c r="B16" s="26" t="s">
        <v>89</v>
      </c>
      <c r="C16" s="26" t="s">
        <v>91</v>
      </c>
      <c r="D16" s="30">
        <v>2550</v>
      </c>
      <c r="E16" s="28">
        <v>25450.912499999999</v>
      </c>
      <c r="F16" s="29">
        <v>2.6537474984040101</v>
      </c>
    </row>
    <row r="17" spans="1:6" x14ac:dyDescent="0.2">
      <c r="A17" s="26" t="s">
        <v>92</v>
      </c>
      <c r="B17" s="26" t="s">
        <v>1614</v>
      </c>
      <c r="C17" s="26" t="s">
        <v>81</v>
      </c>
      <c r="D17" s="30">
        <v>2000</v>
      </c>
      <c r="E17" s="28">
        <v>19994.939999999999</v>
      </c>
      <c r="F17" s="29">
        <v>2.0848573506249801</v>
      </c>
    </row>
    <row r="18" spans="1:6" x14ac:dyDescent="0.2">
      <c r="A18" s="26" t="s">
        <v>94</v>
      </c>
      <c r="B18" s="26" t="s">
        <v>93</v>
      </c>
      <c r="C18" s="26" t="s">
        <v>95</v>
      </c>
      <c r="D18" s="30">
        <v>2000</v>
      </c>
      <c r="E18" s="28">
        <v>19462.759999999998</v>
      </c>
      <c r="F18" s="29">
        <v>2.02936734241012</v>
      </c>
    </row>
    <row r="19" spans="1:6" x14ac:dyDescent="0.2">
      <c r="A19" s="26" t="s">
        <v>97</v>
      </c>
      <c r="B19" s="26" t="s">
        <v>96</v>
      </c>
      <c r="C19" s="26" t="s">
        <v>98</v>
      </c>
      <c r="D19" s="30">
        <v>37</v>
      </c>
      <c r="E19" s="28">
        <v>18674.769499999999</v>
      </c>
      <c r="F19" s="29">
        <v>1.94720416581906</v>
      </c>
    </row>
    <row r="20" spans="1:6" x14ac:dyDescent="0.2">
      <c r="A20" s="26" t="s">
        <v>100</v>
      </c>
      <c r="B20" s="26" t="s">
        <v>99</v>
      </c>
      <c r="C20" s="26" t="s">
        <v>95</v>
      </c>
      <c r="D20" s="30">
        <v>1910</v>
      </c>
      <c r="E20" s="28">
        <v>18469.4899</v>
      </c>
      <c r="F20" s="29">
        <v>1.92579981636898</v>
      </c>
    </row>
    <row r="21" spans="1:6" x14ac:dyDescent="0.2">
      <c r="A21" s="26" t="s">
        <v>102</v>
      </c>
      <c r="B21" s="26" t="s">
        <v>101</v>
      </c>
      <c r="C21" s="26" t="s">
        <v>103</v>
      </c>
      <c r="D21" s="30">
        <v>2244</v>
      </c>
      <c r="E21" s="28">
        <v>16671.545549999999</v>
      </c>
      <c r="F21" s="29">
        <v>1.73832951167629</v>
      </c>
    </row>
    <row r="22" spans="1:6" x14ac:dyDescent="0.2">
      <c r="A22" s="26" t="s">
        <v>104</v>
      </c>
      <c r="B22" s="26" t="s">
        <v>1616</v>
      </c>
      <c r="C22" s="26" t="s">
        <v>81</v>
      </c>
      <c r="D22" s="30">
        <v>1500</v>
      </c>
      <c r="E22" s="28">
        <v>14994.33</v>
      </c>
      <c r="F22" s="29">
        <v>1.5634475081293899</v>
      </c>
    </row>
    <row r="23" spans="1:6" x14ac:dyDescent="0.2">
      <c r="A23" s="26" t="s">
        <v>106</v>
      </c>
      <c r="B23" s="26" t="s">
        <v>105</v>
      </c>
      <c r="C23" s="26" t="s">
        <v>107</v>
      </c>
      <c r="D23" s="30">
        <v>1070</v>
      </c>
      <c r="E23" s="28">
        <v>10721.4642</v>
      </c>
      <c r="F23" s="29">
        <v>1.1179190058501101</v>
      </c>
    </row>
    <row r="24" spans="1:6" x14ac:dyDescent="0.2">
      <c r="A24" s="26" t="s">
        <v>109</v>
      </c>
      <c r="B24" s="26" t="s">
        <v>108</v>
      </c>
      <c r="C24" s="26" t="s">
        <v>103</v>
      </c>
      <c r="D24" s="30">
        <v>2030</v>
      </c>
      <c r="E24" s="28">
        <v>10068.6579</v>
      </c>
      <c r="F24" s="29">
        <v>1.04985138408734</v>
      </c>
    </row>
    <row r="25" spans="1:6" x14ac:dyDescent="0.2">
      <c r="A25" s="26" t="s">
        <v>111</v>
      </c>
      <c r="B25" s="26" t="s">
        <v>110</v>
      </c>
      <c r="C25" s="26" t="s">
        <v>112</v>
      </c>
      <c r="D25" s="30">
        <v>1000</v>
      </c>
      <c r="E25" s="28">
        <v>9959.9</v>
      </c>
      <c r="F25" s="29">
        <v>1.0385112796782501</v>
      </c>
    </row>
    <row r="26" spans="1:6" x14ac:dyDescent="0.2">
      <c r="A26" s="26" t="s">
        <v>114</v>
      </c>
      <c r="B26" s="26" t="s">
        <v>113</v>
      </c>
      <c r="C26" s="26" t="s">
        <v>112</v>
      </c>
      <c r="D26" s="30">
        <v>1000</v>
      </c>
      <c r="E26" s="28">
        <v>9930.4</v>
      </c>
      <c r="F26" s="29">
        <v>1.03543533687254</v>
      </c>
    </row>
    <row r="27" spans="1:6" x14ac:dyDescent="0.2">
      <c r="A27" s="26" t="s">
        <v>116</v>
      </c>
      <c r="B27" s="26" t="s">
        <v>115</v>
      </c>
      <c r="C27" s="26" t="s">
        <v>95</v>
      </c>
      <c r="D27" s="30">
        <v>1000</v>
      </c>
      <c r="E27" s="28">
        <v>9781.9</v>
      </c>
      <c r="F27" s="29">
        <v>1.01995135359638</v>
      </c>
    </row>
    <row r="28" spans="1:6" x14ac:dyDescent="0.2">
      <c r="A28" s="26" t="s">
        <v>118</v>
      </c>
      <c r="B28" s="26" t="s">
        <v>117</v>
      </c>
      <c r="C28" s="26" t="s">
        <v>95</v>
      </c>
      <c r="D28" s="30">
        <v>1000</v>
      </c>
      <c r="E28" s="28">
        <v>9627.4500000000007</v>
      </c>
      <c r="F28" s="29">
        <v>1.0038469682966999</v>
      </c>
    </row>
    <row r="29" spans="1:6" x14ac:dyDescent="0.2">
      <c r="A29" s="26" t="s">
        <v>120</v>
      </c>
      <c r="B29" s="26" t="s">
        <v>119</v>
      </c>
      <c r="C29" s="26" t="s">
        <v>103</v>
      </c>
      <c r="D29" s="30">
        <v>938</v>
      </c>
      <c r="E29" s="28">
        <v>9002.6144600000007</v>
      </c>
      <c r="F29" s="29">
        <v>0.93869583663535605</v>
      </c>
    </row>
    <row r="30" spans="1:6" x14ac:dyDescent="0.2">
      <c r="A30" s="26" t="s">
        <v>122</v>
      </c>
      <c r="B30" s="26" t="s">
        <v>121</v>
      </c>
      <c r="C30" s="26" t="s">
        <v>98</v>
      </c>
      <c r="D30" s="30">
        <v>800</v>
      </c>
      <c r="E30" s="28">
        <v>8006.28</v>
      </c>
      <c r="F30" s="29">
        <v>0.83480879208248504</v>
      </c>
    </row>
    <row r="31" spans="1:6" x14ac:dyDescent="0.2">
      <c r="A31" s="26" t="s">
        <v>124</v>
      </c>
      <c r="B31" s="26" t="s">
        <v>123</v>
      </c>
      <c r="C31" s="26" t="s">
        <v>98</v>
      </c>
      <c r="D31" s="30">
        <v>800</v>
      </c>
      <c r="E31" s="28">
        <v>8006.28</v>
      </c>
      <c r="F31" s="29">
        <v>0.83480879208248504</v>
      </c>
    </row>
    <row r="32" spans="1:6" x14ac:dyDescent="0.2">
      <c r="A32" s="26" t="s">
        <v>126</v>
      </c>
      <c r="B32" s="26" t="s">
        <v>125</v>
      </c>
      <c r="C32" s="26" t="s">
        <v>98</v>
      </c>
      <c r="D32" s="30">
        <v>1600</v>
      </c>
      <c r="E32" s="28">
        <v>7941.2960000000003</v>
      </c>
      <c r="F32" s="29">
        <v>0.82803295929313903</v>
      </c>
    </row>
    <row r="33" spans="1:6" x14ac:dyDescent="0.2">
      <c r="A33" s="26" t="s">
        <v>128</v>
      </c>
      <c r="B33" s="26" t="s">
        <v>127</v>
      </c>
      <c r="C33" s="26" t="s">
        <v>98</v>
      </c>
      <c r="D33" s="30">
        <v>780</v>
      </c>
      <c r="E33" s="28">
        <v>7806.1229999999996</v>
      </c>
      <c r="F33" s="29">
        <v>0.81393857228042299</v>
      </c>
    </row>
    <row r="34" spans="1:6" x14ac:dyDescent="0.2">
      <c r="A34" s="26" t="s">
        <v>130</v>
      </c>
      <c r="B34" s="26" t="s">
        <v>129</v>
      </c>
      <c r="C34" s="26" t="s">
        <v>73</v>
      </c>
      <c r="D34" s="30">
        <v>750</v>
      </c>
      <c r="E34" s="28">
        <v>7635.66</v>
      </c>
      <c r="F34" s="29">
        <v>0.79616452351810696</v>
      </c>
    </row>
    <row r="35" spans="1:6" x14ac:dyDescent="0.2">
      <c r="A35" s="26" t="s">
        <v>132</v>
      </c>
      <c r="B35" s="26" t="s">
        <v>131</v>
      </c>
      <c r="C35" s="26" t="s">
        <v>133</v>
      </c>
      <c r="D35" s="30">
        <v>750</v>
      </c>
      <c r="E35" s="28">
        <v>7577.7075000000004</v>
      </c>
      <c r="F35" s="29">
        <v>0.79012185994361805</v>
      </c>
    </row>
    <row r="36" spans="1:6" x14ac:dyDescent="0.2">
      <c r="A36" s="26" t="s">
        <v>135</v>
      </c>
      <c r="B36" s="26" t="s">
        <v>134</v>
      </c>
      <c r="C36" s="26" t="s">
        <v>95</v>
      </c>
      <c r="D36" s="30">
        <v>750</v>
      </c>
      <c r="E36" s="28">
        <v>7446.3450000000003</v>
      </c>
      <c r="F36" s="29">
        <v>0.77642479089907601</v>
      </c>
    </row>
    <row r="37" spans="1:6" x14ac:dyDescent="0.2">
      <c r="A37" s="26" t="s">
        <v>137</v>
      </c>
      <c r="B37" s="26" t="s">
        <v>136</v>
      </c>
      <c r="C37" s="26" t="s">
        <v>112</v>
      </c>
      <c r="D37" s="30">
        <v>750</v>
      </c>
      <c r="E37" s="28">
        <v>7265.4975000000004</v>
      </c>
      <c r="F37" s="29">
        <v>0.75756795813452904</v>
      </c>
    </row>
    <row r="38" spans="1:6" x14ac:dyDescent="0.2">
      <c r="A38" s="26" t="s">
        <v>139</v>
      </c>
      <c r="B38" s="26" t="s">
        <v>138</v>
      </c>
      <c r="C38" s="26" t="s">
        <v>95</v>
      </c>
      <c r="D38" s="30">
        <v>700</v>
      </c>
      <c r="E38" s="28">
        <v>6915.37</v>
      </c>
      <c r="F38" s="29">
        <v>0.72106042712763696</v>
      </c>
    </row>
    <row r="39" spans="1:6" x14ac:dyDescent="0.2">
      <c r="A39" s="26" t="s">
        <v>141</v>
      </c>
      <c r="B39" s="26" t="s">
        <v>140</v>
      </c>
      <c r="C39" s="26" t="s">
        <v>91</v>
      </c>
      <c r="D39" s="30">
        <v>670</v>
      </c>
      <c r="E39" s="28">
        <v>6810.0073000000002</v>
      </c>
      <c r="F39" s="29">
        <v>0.71007433766816896</v>
      </c>
    </row>
    <row r="40" spans="1:6" x14ac:dyDescent="0.2">
      <c r="A40" s="26" t="s">
        <v>143</v>
      </c>
      <c r="B40" s="26" t="s">
        <v>142</v>
      </c>
      <c r="C40" s="26" t="s">
        <v>73</v>
      </c>
      <c r="D40" s="30">
        <v>650</v>
      </c>
      <c r="E40" s="28">
        <v>6485.2709999999997</v>
      </c>
      <c r="F40" s="29">
        <v>0.67621432798223002</v>
      </c>
    </row>
    <row r="41" spans="1:6" x14ac:dyDescent="0.2">
      <c r="A41" s="26" t="s">
        <v>145</v>
      </c>
      <c r="B41" s="26" t="s">
        <v>144</v>
      </c>
      <c r="C41" s="26" t="s">
        <v>107</v>
      </c>
      <c r="D41" s="30">
        <v>500</v>
      </c>
      <c r="E41" s="28">
        <v>6221.39</v>
      </c>
      <c r="F41" s="29">
        <v>0.64869965464286194</v>
      </c>
    </row>
    <row r="42" spans="1:6" x14ac:dyDescent="0.2">
      <c r="A42" s="26" t="s">
        <v>147</v>
      </c>
      <c r="B42" s="26" t="s">
        <v>146</v>
      </c>
      <c r="C42" s="26" t="s">
        <v>148</v>
      </c>
      <c r="D42" s="30">
        <v>550</v>
      </c>
      <c r="E42" s="28">
        <v>5336.2155000000002</v>
      </c>
      <c r="F42" s="29">
        <v>0.55640317548809604</v>
      </c>
    </row>
    <row r="43" spans="1:6" x14ac:dyDescent="0.2">
      <c r="A43" s="26" t="s">
        <v>150</v>
      </c>
      <c r="B43" s="26" t="s">
        <v>149</v>
      </c>
      <c r="C43" s="26" t="s">
        <v>95</v>
      </c>
      <c r="D43" s="30">
        <v>550</v>
      </c>
      <c r="E43" s="28">
        <v>5318.3074999999999</v>
      </c>
      <c r="F43" s="29">
        <v>0.55453592180116396</v>
      </c>
    </row>
    <row r="44" spans="1:6" x14ac:dyDescent="0.2">
      <c r="A44" s="26" t="s">
        <v>152</v>
      </c>
      <c r="B44" s="26" t="s">
        <v>151</v>
      </c>
      <c r="C44" s="26" t="s">
        <v>81</v>
      </c>
      <c r="D44" s="30">
        <v>500</v>
      </c>
      <c r="E44" s="28">
        <v>5083.5349999999999</v>
      </c>
      <c r="F44" s="29">
        <v>0.53005636985704196</v>
      </c>
    </row>
    <row r="45" spans="1:6" x14ac:dyDescent="0.2">
      <c r="A45" s="26" t="s">
        <v>154</v>
      </c>
      <c r="B45" s="26" t="s">
        <v>153</v>
      </c>
      <c r="C45" s="26" t="s">
        <v>73</v>
      </c>
      <c r="D45" s="30">
        <v>502</v>
      </c>
      <c r="E45" s="28">
        <v>4856.5638600000002</v>
      </c>
      <c r="F45" s="29">
        <v>0.50639025985077402</v>
      </c>
    </row>
    <row r="46" spans="1:6" x14ac:dyDescent="0.2">
      <c r="A46" s="26" t="s">
        <v>156</v>
      </c>
      <c r="B46" s="26" t="s">
        <v>155</v>
      </c>
      <c r="C46" s="26" t="s">
        <v>148</v>
      </c>
      <c r="D46" s="30">
        <v>300000</v>
      </c>
      <c r="E46" s="28">
        <v>2915.3310000000001</v>
      </c>
      <c r="F46" s="29">
        <v>0.30397937002336001</v>
      </c>
    </row>
    <row r="47" spans="1:6" x14ac:dyDescent="0.2">
      <c r="A47" s="26" t="s">
        <v>158</v>
      </c>
      <c r="B47" s="26" t="s">
        <v>157</v>
      </c>
      <c r="C47" s="26" t="s">
        <v>78</v>
      </c>
      <c r="D47" s="30">
        <v>280</v>
      </c>
      <c r="E47" s="28">
        <v>2766.2292000000002</v>
      </c>
      <c r="F47" s="29">
        <v>0.28843263751396397</v>
      </c>
    </row>
    <row r="48" spans="1:6" x14ac:dyDescent="0.2">
      <c r="A48" s="26" t="s">
        <v>160</v>
      </c>
      <c r="B48" s="26" t="s">
        <v>159</v>
      </c>
      <c r="C48" s="26" t="s">
        <v>98</v>
      </c>
      <c r="D48" s="30">
        <v>500</v>
      </c>
      <c r="E48" s="28">
        <v>2467.1149999999998</v>
      </c>
      <c r="F48" s="29">
        <v>0.25724422491826199</v>
      </c>
    </row>
    <row r="49" spans="1:9" x14ac:dyDescent="0.2">
      <c r="A49" s="26" t="s">
        <v>162</v>
      </c>
      <c r="B49" s="26" t="s">
        <v>161</v>
      </c>
      <c r="C49" s="26" t="s">
        <v>163</v>
      </c>
      <c r="D49" s="30">
        <v>200</v>
      </c>
      <c r="E49" s="28">
        <v>1993.4179999999999</v>
      </c>
      <c r="F49" s="29">
        <v>0.20785219511377101</v>
      </c>
    </row>
    <row r="50" spans="1:9" x14ac:dyDescent="0.2">
      <c r="A50" s="26" t="s">
        <v>165</v>
      </c>
      <c r="B50" s="26" t="s">
        <v>164</v>
      </c>
      <c r="C50" s="26" t="s">
        <v>148</v>
      </c>
      <c r="D50" s="30">
        <v>200</v>
      </c>
      <c r="E50" s="28">
        <v>1974.856</v>
      </c>
      <c r="F50" s="29">
        <v>0.20591674933887499</v>
      </c>
    </row>
    <row r="51" spans="1:9" x14ac:dyDescent="0.2">
      <c r="A51" s="26" t="s">
        <v>167</v>
      </c>
      <c r="B51" s="26" t="s">
        <v>166</v>
      </c>
      <c r="C51" s="26" t="s">
        <v>78</v>
      </c>
      <c r="D51" s="30">
        <v>70</v>
      </c>
      <c r="E51" s="28">
        <v>691.66229999999996</v>
      </c>
      <c r="F51" s="29">
        <v>7.2119107649494293E-2</v>
      </c>
    </row>
    <row r="52" spans="1:9" x14ac:dyDescent="0.2">
      <c r="A52" s="26" t="s">
        <v>169</v>
      </c>
      <c r="B52" s="26" t="s">
        <v>168</v>
      </c>
      <c r="C52" s="26" t="s">
        <v>103</v>
      </c>
      <c r="D52" s="30">
        <v>61</v>
      </c>
      <c r="E52" s="28">
        <v>569.44781</v>
      </c>
      <c r="F52" s="29">
        <v>5.9375894725155302E-2</v>
      </c>
    </row>
    <row r="53" spans="1:9" x14ac:dyDescent="0.2">
      <c r="A53" s="26" t="s">
        <v>171</v>
      </c>
      <c r="B53" s="26" t="s">
        <v>170</v>
      </c>
      <c r="C53" s="26" t="s">
        <v>95</v>
      </c>
      <c r="D53" s="30">
        <v>50</v>
      </c>
      <c r="E53" s="28">
        <v>499.93150000000003</v>
      </c>
      <c r="F53" s="29">
        <v>5.2127481381988298E-2</v>
      </c>
    </row>
    <row r="54" spans="1:9" x14ac:dyDescent="0.2">
      <c r="A54" s="26" t="s">
        <v>173</v>
      </c>
      <c r="B54" s="26" t="s">
        <v>172</v>
      </c>
      <c r="C54" s="26" t="s">
        <v>73</v>
      </c>
      <c r="D54" s="30">
        <v>34</v>
      </c>
      <c r="E54" s="28">
        <v>326.50675999999999</v>
      </c>
      <c r="F54" s="29">
        <v>3.4044614218134497E-2</v>
      </c>
    </row>
    <row r="55" spans="1:9" x14ac:dyDescent="0.2">
      <c r="A55" s="26" t="s">
        <v>175</v>
      </c>
      <c r="B55" s="26" t="s">
        <v>174</v>
      </c>
      <c r="C55" s="26" t="s">
        <v>176</v>
      </c>
      <c r="D55" s="30">
        <v>22</v>
      </c>
      <c r="E55" s="28">
        <v>223.16249999999999</v>
      </c>
      <c r="F55" s="29">
        <v>2.3268985978894999E-2</v>
      </c>
    </row>
    <row r="56" spans="1:9" ht="10.5" x14ac:dyDescent="0.25">
      <c r="A56" s="25" t="s">
        <v>177</v>
      </c>
      <c r="B56" s="25"/>
      <c r="C56" s="25"/>
      <c r="D56" s="31"/>
      <c r="E56" s="32">
        <f>SUM(E6:E55)</f>
        <v>699783.53574000008</v>
      </c>
      <c r="F56" s="33">
        <f>SUM(F6:F55)</f>
        <v>72.965902790099776</v>
      </c>
      <c r="G56" s="17"/>
      <c r="H56" s="17"/>
      <c r="I56" s="17"/>
    </row>
    <row r="57" spans="1:9" x14ac:dyDescent="0.2">
      <c r="A57" s="26"/>
      <c r="B57" s="26"/>
      <c r="C57" s="26"/>
      <c r="D57" s="27"/>
      <c r="E57" s="28"/>
      <c r="F57" s="29"/>
    </row>
    <row r="58" spans="1:9" ht="10.5" x14ac:dyDescent="0.25">
      <c r="A58" s="25" t="s">
        <v>178</v>
      </c>
      <c r="B58" s="26"/>
      <c r="C58" s="26"/>
      <c r="D58" s="27"/>
      <c r="E58" s="28"/>
      <c r="F58" s="29"/>
    </row>
    <row r="59" spans="1:9" x14ac:dyDescent="0.2">
      <c r="A59" s="26" t="s">
        <v>179</v>
      </c>
      <c r="B59" s="26" t="s">
        <v>1615</v>
      </c>
      <c r="C59" s="26" t="s">
        <v>73</v>
      </c>
      <c r="D59" s="30">
        <v>3900</v>
      </c>
      <c r="E59" s="28">
        <v>38944.035000000003</v>
      </c>
      <c r="F59" s="29">
        <v>4.0606652299404997</v>
      </c>
    </row>
    <row r="60" spans="1:9" x14ac:dyDescent="0.2">
      <c r="A60" s="26" t="s">
        <v>181</v>
      </c>
      <c r="B60" s="26" t="s">
        <v>180</v>
      </c>
      <c r="C60" s="26" t="s">
        <v>148</v>
      </c>
      <c r="D60" s="30">
        <v>2400</v>
      </c>
      <c r="E60" s="28">
        <v>28740.527999999998</v>
      </c>
      <c r="F60" s="29">
        <v>2.9967532316497598</v>
      </c>
    </row>
    <row r="61" spans="1:9" x14ac:dyDescent="0.2">
      <c r="A61" s="26" t="s">
        <v>183</v>
      </c>
      <c r="B61" s="26" t="s">
        <v>182</v>
      </c>
      <c r="C61" s="26" t="s">
        <v>73</v>
      </c>
      <c r="D61" s="30">
        <v>2350</v>
      </c>
      <c r="E61" s="28">
        <v>23485.3125</v>
      </c>
      <c r="F61" s="29">
        <v>2.4487958652213901</v>
      </c>
    </row>
    <row r="62" spans="1:9" x14ac:dyDescent="0.2">
      <c r="A62" s="26" t="s">
        <v>185</v>
      </c>
      <c r="B62" s="26" t="s">
        <v>184</v>
      </c>
      <c r="C62" s="26" t="s">
        <v>186</v>
      </c>
      <c r="D62" s="30">
        <v>1700</v>
      </c>
      <c r="E62" s="28">
        <v>23399.463</v>
      </c>
      <c r="F62" s="29">
        <v>2.4398444024451802</v>
      </c>
    </row>
    <row r="63" spans="1:9" x14ac:dyDescent="0.2">
      <c r="A63" s="26" t="s">
        <v>188</v>
      </c>
      <c r="B63" s="26" t="s">
        <v>187</v>
      </c>
      <c r="C63" s="26" t="s">
        <v>70</v>
      </c>
      <c r="D63" s="30">
        <v>2000</v>
      </c>
      <c r="E63" s="28">
        <v>21453.72</v>
      </c>
      <c r="F63" s="29">
        <v>2.2369632437131699</v>
      </c>
    </row>
    <row r="64" spans="1:9" x14ac:dyDescent="0.2">
      <c r="A64" s="26" t="s">
        <v>190</v>
      </c>
      <c r="B64" s="26" t="s">
        <v>189</v>
      </c>
      <c r="C64" s="26" t="s">
        <v>73</v>
      </c>
      <c r="D64" s="30">
        <v>2000</v>
      </c>
      <c r="E64" s="28">
        <v>19993.580000000002</v>
      </c>
      <c r="F64" s="29">
        <v>2.08471554444818</v>
      </c>
    </row>
    <row r="65" spans="1:9" x14ac:dyDescent="0.2">
      <c r="A65" s="26" t="s">
        <v>192</v>
      </c>
      <c r="B65" s="26" t="s">
        <v>191</v>
      </c>
      <c r="C65" s="26" t="s">
        <v>186</v>
      </c>
      <c r="D65" s="30">
        <v>20127</v>
      </c>
      <c r="E65" s="28">
        <v>19400.7232</v>
      </c>
      <c r="F65" s="29">
        <v>2.0228988119474498</v>
      </c>
    </row>
    <row r="66" spans="1:9" x14ac:dyDescent="0.2">
      <c r="A66" s="26" t="s">
        <v>194</v>
      </c>
      <c r="B66" s="26" t="s">
        <v>193</v>
      </c>
      <c r="C66" s="26" t="s">
        <v>186</v>
      </c>
      <c r="D66" s="30">
        <v>1150</v>
      </c>
      <c r="E66" s="28">
        <v>15829.048500000001</v>
      </c>
      <c r="F66" s="29">
        <v>1.6504829781246799</v>
      </c>
    </row>
    <row r="67" spans="1:9" x14ac:dyDescent="0.2">
      <c r="A67" s="26" t="s">
        <v>196</v>
      </c>
      <c r="B67" s="26" t="s">
        <v>195</v>
      </c>
      <c r="C67" s="26" t="s">
        <v>186</v>
      </c>
      <c r="D67" s="30">
        <v>890</v>
      </c>
      <c r="E67" s="28">
        <v>12723.0751</v>
      </c>
      <c r="F67" s="29">
        <v>1.3266254684829599</v>
      </c>
    </row>
    <row r="68" spans="1:9" x14ac:dyDescent="0.2">
      <c r="A68" s="26" t="s">
        <v>198</v>
      </c>
      <c r="B68" s="26" t="s">
        <v>197</v>
      </c>
      <c r="C68" s="26" t="s">
        <v>186</v>
      </c>
      <c r="D68" s="30">
        <v>1190</v>
      </c>
      <c r="E68" s="28">
        <v>11813.0586</v>
      </c>
      <c r="F68" s="29">
        <v>1.23173873267805</v>
      </c>
    </row>
    <row r="69" spans="1:9" x14ac:dyDescent="0.2">
      <c r="A69" s="26" t="s">
        <v>200</v>
      </c>
      <c r="B69" s="26" t="s">
        <v>199</v>
      </c>
      <c r="C69" s="26" t="s">
        <v>201</v>
      </c>
      <c r="D69" s="30">
        <v>650</v>
      </c>
      <c r="E69" s="28">
        <v>11597.761500000001</v>
      </c>
      <c r="F69" s="29">
        <v>1.2092898660396301</v>
      </c>
    </row>
    <row r="70" spans="1:9" x14ac:dyDescent="0.2">
      <c r="A70" s="26" t="s">
        <v>203</v>
      </c>
      <c r="B70" s="26" t="s">
        <v>202</v>
      </c>
      <c r="C70" s="26" t="s">
        <v>73</v>
      </c>
      <c r="D70" s="30">
        <v>1000</v>
      </c>
      <c r="E70" s="28">
        <v>10003.76</v>
      </c>
      <c r="F70" s="29">
        <v>1.04308452888021</v>
      </c>
    </row>
    <row r="71" spans="1:9" x14ac:dyDescent="0.2">
      <c r="A71" s="26" t="s">
        <v>205</v>
      </c>
      <c r="B71" s="26" t="s">
        <v>204</v>
      </c>
      <c r="C71" s="26" t="s">
        <v>73</v>
      </c>
      <c r="D71" s="30">
        <v>1000</v>
      </c>
      <c r="E71" s="28">
        <v>10001.93</v>
      </c>
      <c r="F71" s="29">
        <v>1.04289371615701</v>
      </c>
    </row>
    <row r="72" spans="1:9" x14ac:dyDescent="0.2">
      <c r="A72" s="26" t="s">
        <v>207</v>
      </c>
      <c r="B72" s="26" t="s">
        <v>206</v>
      </c>
      <c r="C72" s="26" t="s">
        <v>73</v>
      </c>
      <c r="D72" s="30">
        <v>1000</v>
      </c>
      <c r="E72" s="28">
        <v>9998.1299999999992</v>
      </c>
      <c r="F72" s="29">
        <v>1.0424974930159401</v>
      </c>
    </row>
    <row r="73" spans="1:9" x14ac:dyDescent="0.2">
      <c r="A73" s="26" t="s">
        <v>209</v>
      </c>
      <c r="B73" s="26" t="s">
        <v>208</v>
      </c>
      <c r="C73" s="26" t="s">
        <v>73</v>
      </c>
      <c r="D73" s="30">
        <v>1000</v>
      </c>
      <c r="E73" s="28">
        <v>9979.01</v>
      </c>
      <c r="F73" s="29">
        <v>1.04050386500085</v>
      </c>
    </row>
    <row r="74" spans="1:9" x14ac:dyDescent="0.2">
      <c r="A74" s="26" t="s">
        <v>211</v>
      </c>
      <c r="B74" s="26" t="s">
        <v>210</v>
      </c>
      <c r="C74" s="26" t="s">
        <v>73</v>
      </c>
      <c r="D74" s="30">
        <v>900</v>
      </c>
      <c r="E74" s="28">
        <v>8992.9439999999995</v>
      </c>
      <c r="F74" s="29">
        <v>0.93768750504671705</v>
      </c>
    </row>
    <row r="75" spans="1:9" x14ac:dyDescent="0.2">
      <c r="A75" s="26" t="s">
        <v>213</v>
      </c>
      <c r="B75" s="26" t="s">
        <v>212</v>
      </c>
      <c r="C75" s="26" t="s">
        <v>86</v>
      </c>
      <c r="D75" s="30">
        <v>850</v>
      </c>
      <c r="E75" s="28">
        <v>8528.5769999999993</v>
      </c>
      <c r="F75" s="29">
        <v>0.88926830732281004</v>
      </c>
    </row>
    <row r="76" spans="1:9" x14ac:dyDescent="0.2">
      <c r="A76" s="26" t="s">
        <v>215</v>
      </c>
      <c r="B76" s="26" t="s">
        <v>214</v>
      </c>
      <c r="C76" s="26" t="s">
        <v>216</v>
      </c>
      <c r="D76" s="30">
        <v>836</v>
      </c>
      <c r="E76" s="28">
        <v>8350.4779600000002</v>
      </c>
      <c r="F76" s="29">
        <v>0.87069805441466097</v>
      </c>
    </row>
    <row r="77" spans="1:9" x14ac:dyDescent="0.2">
      <c r="A77" s="26" t="s">
        <v>218</v>
      </c>
      <c r="B77" s="26" t="s">
        <v>217</v>
      </c>
      <c r="C77" s="26" t="s">
        <v>186</v>
      </c>
      <c r="D77" s="30">
        <v>2500</v>
      </c>
      <c r="E77" s="28">
        <v>1407.8071420000001</v>
      </c>
      <c r="F77" s="29">
        <v>0.14679099153391001</v>
      </c>
    </row>
    <row r="78" spans="1:9" x14ac:dyDescent="0.2">
      <c r="A78" s="26" t="s">
        <v>220</v>
      </c>
      <c r="B78" s="26" t="s">
        <v>219</v>
      </c>
      <c r="C78" s="26" t="s">
        <v>67</v>
      </c>
      <c r="D78" s="30">
        <v>7</v>
      </c>
      <c r="E78" s="28">
        <v>909.60239999999999</v>
      </c>
      <c r="F78" s="29">
        <v>9.4843557909457296E-2</v>
      </c>
    </row>
    <row r="79" spans="1:9" ht="10.5" x14ac:dyDescent="0.25">
      <c r="A79" s="25" t="s">
        <v>177</v>
      </c>
      <c r="B79" s="25"/>
      <c r="C79" s="25"/>
      <c r="D79" s="31"/>
      <c r="E79" s="32">
        <f>SUM(E58:E78)</f>
        <v>295552.54390199995</v>
      </c>
      <c r="F79" s="33">
        <f>SUM(F58:F78)</f>
        <v>30.817041393972509</v>
      </c>
      <c r="G79" s="17"/>
      <c r="H79" s="17"/>
      <c r="I79" s="17"/>
    </row>
    <row r="80" spans="1:9" x14ac:dyDescent="0.2">
      <c r="A80" s="26"/>
      <c r="B80" s="26"/>
      <c r="C80" s="26"/>
      <c r="D80" s="27"/>
      <c r="E80" s="28"/>
      <c r="F80" s="29"/>
    </row>
    <row r="81" spans="1:9" ht="10.5" x14ac:dyDescent="0.25">
      <c r="A81" s="25" t="s">
        <v>221</v>
      </c>
      <c r="B81" s="26"/>
      <c r="C81" s="26"/>
      <c r="D81" s="27"/>
      <c r="E81" s="28"/>
      <c r="F81" s="29"/>
    </row>
    <row r="82" spans="1:9" ht="10.5" x14ac:dyDescent="0.25">
      <c r="A82" s="25" t="s">
        <v>222</v>
      </c>
      <c r="B82" s="26"/>
      <c r="C82" s="26"/>
      <c r="D82" s="27"/>
      <c r="E82" s="28"/>
      <c r="F82" s="29"/>
    </row>
    <row r="83" spans="1:9" x14ac:dyDescent="0.2">
      <c r="A83" s="26" t="s">
        <v>224</v>
      </c>
      <c r="B83" s="26" t="s">
        <v>223</v>
      </c>
      <c r="C83" s="26" t="s">
        <v>225</v>
      </c>
      <c r="D83" s="30">
        <v>3000</v>
      </c>
      <c r="E83" s="28">
        <v>14918.415000000001</v>
      </c>
      <c r="F83" s="29">
        <v>1.55553190819397</v>
      </c>
    </row>
    <row r="84" spans="1:9" ht="10.5" x14ac:dyDescent="0.25">
      <c r="A84" s="25" t="s">
        <v>177</v>
      </c>
      <c r="B84" s="25"/>
      <c r="C84" s="25"/>
      <c r="D84" s="31"/>
      <c r="E84" s="32">
        <f>SUM(E82:E83)</f>
        <v>14918.415000000001</v>
      </c>
      <c r="F84" s="33">
        <f>SUM(F82:F83)</f>
        <v>1.55553190819397</v>
      </c>
      <c r="G84" s="17"/>
      <c r="H84" s="17"/>
      <c r="I84" s="17"/>
    </row>
    <row r="85" spans="1:9" x14ac:dyDescent="0.2">
      <c r="A85" s="26"/>
      <c r="B85" s="26"/>
      <c r="C85" s="26"/>
      <c r="D85" s="27"/>
      <c r="E85" s="28"/>
      <c r="F85" s="29"/>
    </row>
    <row r="86" spans="1:9" ht="10.5" x14ac:dyDescent="0.25">
      <c r="A86" s="25" t="s">
        <v>226</v>
      </c>
      <c r="B86" s="25"/>
      <c r="C86" s="25"/>
      <c r="D86" s="31"/>
      <c r="E86" s="32">
        <f>E56+E79+E84</f>
        <v>1010254.4946420001</v>
      </c>
      <c r="F86" s="33">
        <f>F56+F79+F84</f>
        <v>105.33847609226625</v>
      </c>
      <c r="G86" s="17"/>
      <c r="H86" s="17"/>
      <c r="I86" s="17"/>
    </row>
    <row r="87" spans="1:9" ht="10.5" x14ac:dyDescent="0.25">
      <c r="A87" s="25"/>
      <c r="B87" s="25"/>
      <c r="C87" s="25"/>
      <c r="D87" s="31"/>
      <c r="E87" s="32"/>
      <c r="F87" s="33"/>
      <c r="G87" s="17"/>
      <c r="H87" s="17"/>
      <c r="I87" s="17"/>
    </row>
    <row r="88" spans="1:9" ht="10.5" x14ac:dyDescent="0.25">
      <c r="A88" s="25" t="s">
        <v>228</v>
      </c>
      <c r="B88" s="25"/>
      <c r="C88" s="25"/>
      <c r="D88" s="31"/>
      <c r="E88" s="32">
        <f>E90-(E56+E79+E84)</f>
        <v>-51198.950913500041</v>
      </c>
      <c r="F88" s="33">
        <f>F90-(F56+F79+F84)</f>
        <v>-5.338476092266248</v>
      </c>
      <c r="G88" s="17"/>
      <c r="H88" s="17"/>
      <c r="I88" s="17"/>
    </row>
    <row r="89" spans="1:9" ht="10.5" x14ac:dyDescent="0.25">
      <c r="A89" s="25"/>
      <c r="B89" s="25"/>
      <c r="C89" s="25"/>
      <c r="D89" s="31"/>
      <c r="E89" s="32"/>
      <c r="F89" s="33"/>
      <c r="G89" s="17"/>
      <c r="H89" s="17"/>
      <c r="I89" s="17"/>
    </row>
    <row r="90" spans="1:9" ht="10.5" x14ac:dyDescent="0.25">
      <c r="A90" s="34" t="s">
        <v>227</v>
      </c>
      <c r="B90" s="34"/>
      <c r="C90" s="34"/>
      <c r="D90" s="35"/>
      <c r="E90" s="36">
        <v>959055.54372850002</v>
      </c>
      <c r="F90" s="37">
        <v>100</v>
      </c>
      <c r="G90" s="17"/>
      <c r="H90" s="17"/>
      <c r="I90" s="17"/>
    </row>
    <row r="91" spans="1:9" ht="10.5" x14ac:dyDescent="0.25">
      <c r="A91" s="17" t="s">
        <v>229</v>
      </c>
    </row>
    <row r="92" spans="1:9" ht="10.5" x14ac:dyDescent="0.25">
      <c r="A92" s="17" t="s">
        <v>231</v>
      </c>
    </row>
    <row r="94" spans="1:9" ht="10.5" x14ac:dyDescent="0.25">
      <c r="A94" s="17" t="s">
        <v>232</v>
      </c>
    </row>
    <row r="95" spans="1:9" ht="10.5" x14ac:dyDescent="0.25">
      <c r="A95" s="17" t="s">
        <v>233</v>
      </c>
    </row>
    <row r="96" spans="1:9" ht="10.5" x14ac:dyDescent="0.25">
      <c r="A96" s="17" t="s">
        <v>234</v>
      </c>
      <c r="B96" s="17"/>
      <c r="C96" s="38" t="s">
        <v>236</v>
      </c>
      <c r="D96" s="18" t="s">
        <v>235</v>
      </c>
    </row>
    <row r="97" spans="1:4" x14ac:dyDescent="0.2">
      <c r="A97" s="10" t="s">
        <v>237</v>
      </c>
      <c r="C97" s="39">
        <v>26.166799999999999</v>
      </c>
      <c r="D97" s="39">
        <v>25.998899999999999</v>
      </c>
    </row>
    <row r="98" spans="1:4" x14ac:dyDescent="0.2">
      <c r="A98" s="10" t="s">
        <v>238</v>
      </c>
      <c r="C98" s="39">
        <v>10.0549</v>
      </c>
      <c r="D98" s="39">
        <v>9.8019999999999996</v>
      </c>
    </row>
    <row r="99" spans="1:4" x14ac:dyDescent="0.2">
      <c r="A99" s="10" t="s">
        <v>239</v>
      </c>
      <c r="C99" s="39">
        <v>10.129799999999999</v>
      </c>
      <c r="D99" s="39">
        <v>9.8831000000000007</v>
      </c>
    </row>
    <row r="100" spans="1:4" x14ac:dyDescent="0.2">
      <c r="A100" s="10" t="s">
        <v>240</v>
      </c>
      <c r="C100" s="39">
        <v>26.794599999999999</v>
      </c>
      <c r="D100" s="39">
        <v>26.648599999999998</v>
      </c>
    </row>
    <row r="101" spans="1:4" x14ac:dyDescent="0.2">
      <c r="A101" s="10" t="s">
        <v>241</v>
      </c>
      <c r="C101" s="39">
        <v>10</v>
      </c>
      <c r="D101" s="39">
        <v>9.7594999999999992</v>
      </c>
    </row>
    <row r="102" spans="1:4" x14ac:dyDescent="0.2">
      <c r="A102" s="10" t="s">
        <v>242</v>
      </c>
      <c r="C102" s="39">
        <v>27.663399999999999</v>
      </c>
      <c r="D102" s="39">
        <v>27.531500000000001</v>
      </c>
    </row>
    <row r="103" spans="1:4" x14ac:dyDescent="0.2">
      <c r="A103" s="10" t="s">
        <v>243</v>
      </c>
      <c r="C103" s="39">
        <v>10.084199999999999</v>
      </c>
      <c r="D103" s="39">
        <v>9.8404000000000007</v>
      </c>
    </row>
    <row r="104" spans="1:4" x14ac:dyDescent="0.2">
      <c r="A104" s="10" t="s">
        <v>244</v>
      </c>
      <c r="C104" s="39">
        <v>10.102499999999999</v>
      </c>
      <c r="D104" s="39">
        <v>9.8658999999999999</v>
      </c>
    </row>
    <row r="105" spans="1:4" x14ac:dyDescent="0.2">
      <c r="A105" s="10" t="s">
        <v>245</v>
      </c>
      <c r="C105" s="39">
        <v>27.799299999999999</v>
      </c>
      <c r="D105" s="39">
        <v>27.6816</v>
      </c>
    </row>
    <row r="106" spans="1:4" x14ac:dyDescent="0.2">
      <c r="A106" s="10" t="s">
        <v>246</v>
      </c>
      <c r="C106" s="39">
        <v>10.0655</v>
      </c>
      <c r="D106" s="39">
        <v>9.8249999999999993</v>
      </c>
    </row>
    <row r="107" spans="1:4" x14ac:dyDescent="0.2">
      <c r="A107" s="10" t="s">
        <v>247</v>
      </c>
      <c r="C107" s="39">
        <v>10.0952</v>
      </c>
      <c r="D107" s="39">
        <v>9.8613</v>
      </c>
    </row>
    <row r="109" spans="1:4" ht="10.5" x14ac:dyDescent="0.25">
      <c r="A109" s="17" t="s">
        <v>248</v>
      </c>
    </row>
    <row r="110" spans="1:4" ht="10.5" x14ac:dyDescent="0.25">
      <c r="A110" s="84" t="s">
        <v>249</v>
      </c>
      <c r="B110" s="85"/>
      <c r="C110" s="82" t="s">
        <v>250</v>
      </c>
      <c r="D110" s="83"/>
    </row>
    <row r="111" spans="1:4" ht="10.5" x14ac:dyDescent="0.25">
      <c r="A111" s="84"/>
      <c r="B111" s="85"/>
      <c r="C111" s="40" t="s">
        <v>251</v>
      </c>
      <c r="D111" s="41" t="s">
        <v>252</v>
      </c>
    </row>
    <row r="112" spans="1:4" x14ac:dyDescent="0.2">
      <c r="A112" s="78" t="s">
        <v>238</v>
      </c>
      <c r="B112" s="79"/>
      <c r="C112" s="42">
        <v>0.1378402611</v>
      </c>
      <c r="D112" s="42">
        <v>0.1276407685</v>
      </c>
    </row>
    <row r="113" spans="1:6" x14ac:dyDescent="0.2">
      <c r="A113" s="78" t="s">
        <v>239</v>
      </c>
      <c r="B113" s="79"/>
      <c r="C113" s="42">
        <v>0.13318766730000001</v>
      </c>
      <c r="D113" s="42">
        <v>0.12333244359999999</v>
      </c>
    </row>
    <row r="114" spans="1:6" x14ac:dyDescent="0.2">
      <c r="A114" s="78" t="s">
        <v>241</v>
      </c>
      <c r="B114" s="79"/>
      <c r="C114" s="42">
        <v>0.1360144381</v>
      </c>
      <c r="D114" s="42">
        <v>0.1259500479</v>
      </c>
    </row>
    <row r="115" spans="1:6" x14ac:dyDescent="0.2">
      <c r="A115" s="78" t="s">
        <v>243</v>
      </c>
      <c r="B115" s="79"/>
      <c r="C115" s="42">
        <v>0.14304627519999999</v>
      </c>
      <c r="D115" s="42">
        <v>0.1324615636</v>
      </c>
    </row>
    <row r="116" spans="1:6" x14ac:dyDescent="0.2">
      <c r="A116" s="78" t="s">
        <v>244</v>
      </c>
      <c r="B116" s="79"/>
      <c r="C116" s="42">
        <v>0.13779773249999999</v>
      </c>
      <c r="D116" s="42">
        <v>0.12760138700000001</v>
      </c>
    </row>
    <row r="117" spans="1:6" x14ac:dyDescent="0.2">
      <c r="A117" s="78" t="s">
        <v>246</v>
      </c>
      <c r="B117" s="79"/>
      <c r="C117" s="42">
        <v>0.14439378829999999</v>
      </c>
      <c r="D117" s="42">
        <v>0.13370936759999999</v>
      </c>
    </row>
    <row r="118" spans="1:6" x14ac:dyDescent="0.2">
      <c r="A118" s="78" t="s">
        <v>247</v>
      </c>
      <c r="B118" s="79"/>
      <c r="C118" s="42">
        <v>0.13952650699999999</v>
      </c>
      <c r="D118" s="42">
        <v>0.12920224089999999</v>
      </c>
    </row>
    <row r="120" spans="1:6" ht="10.5" x14ac:dyDescent="0.25">
      <c r="A120" s="17" t="s">
        <v>253</v>
      </c>
      <c r="D120" s="43">
        <v>0.48509446890411001</v>
      </c>
      <c r="E120" s="15" t="s">
        <v>254</v>
      </c>
    </row>
    <row r="122" spans="1:6" ht="10.5" x14ac:dyDescent="0.25">
      <c r="A122" s="17" t="s">
        <v>255</v>
      </c>
      <c r="D122" s="46" t="s">
        <v>256</v>
      </c>
    </row>
    <row r="123" spans="1:6" x14ac:dyDescent="0.2">
      <c r="A123" s="10" t="s">
        <v>257</v>
      </c>
    </row>
    <row r="124" spans="1:6" ht="14.5" x14ac:dyDescent="0.35">
      <c r="A124" s="44" t="s">
        <v>1613</v>
      </c>
    </row>
    <row r="128" spans="1:6" s="1" customFormat="1" ht="14" x14ac:dyDescent="0.25">
      <c r="A128" s="80" t="s">
        <v>259</v>
      </c>
      <c r="B128" s="81"/>
      <c r="C128" s="81"/>
      <c r="D128" s="81"/>
      <c r="E128" s="81"/>
      <c r="F128" s="81"/>
    </row>
    <row r="129" spans="1:9" ht="10.5" x14ac:dyDescent="0.25">
      <c r="A129" s="17" t="s">
        <v>260</v>
      </c>
    </row>
    <row r="130" spans="1:9" ht="10.5" x14ac:dyDescent="0.25">
      <c r="A130" s="17" t="s">
        <v>6</v>
      </c>
    </row>
    <row r="131" spans="1:9" s="1" customFormat="1" ht="17.5" customHeight="1" x14ac:dyDescent="0.25">
      <c r="A131" s="8" t="s">
        <v>2</v>
      </c>
      <c r="B131" s="8" t="s">
        <v>0</v>
      </c>
      <c r="C131" s="8" t="s">
        <v>230</v>
      </c>
      <c r="D131" s="13" t="s">
        <v>1</v>
      </c>
      <c r="E131" s="9" t="s">
        <v>3</v>
      </c>
      <c r="F131" s="9" t="s">
        <v>4</v>
      </c>
    </row>
    <row r="132" spans="1:9" ht="10.5" x14ac:dyDescent="0.25">
      <c r="A132" s="20" t="s">
        <v>63</v>
      </c>
      <c r="B132" s="21"/>
      <c r="C132" s="21"/>
      <c r="D132" s="22"/>
      <c r="E132" s="23"/>
      <c r="F132" s="24"/>
    </row>
    <row r="133" spans="1:9" ht="10.5" x14ac:dyDescent="0.25">
      <c r="A133" s="25" t="s">
        <v>1605</v>
      </c>
      <c r="B133" s="26"/>
      <c r="C133" s="26"/>
      <c r="D133" s="27"/>
      <c r="E133" s="28"/>
      <c r="F133" s="29"/>
    </row>
    <row r="134" spans="1:9" x14ac:dyDescent="0.2">
      <c r="A134" s="26" t="s">
        <v>262</v>
      </c>
      <c r="B134" s="26" t="s">
        <v>261</v>
      </c>
      <c r="C134" s="26" t="s">
        <v>263</v>
      </c>
      <c r="D134" s="30">
        <v>7990</v>
      </c>
      <c r="E134" s="53">
        <v>0</v>
      </c>
      <c r="F134" s="53">
        <v>100</v>
      </c>
    </row>
    <row r="135" spans="1:9" ht="10.5" x14ac:dyDescent="0.25">
      <c r="A135" s="25" t="s">
        <v>177</v>
      </c>
      <c r="B135" s="25"/>
      <c r="C135" s="25"/>
      <c r="D135" s="31"/>
      <c r="E135" s="51">
        <f>SUM(E133:E134)</f>
        <v>0</v>
      </c>
      <c r="F135" s="52">
        <f>SUM(F133:F134)</f>
        <v>100</v>
      </c>
      <c r="G135" s="17"/>
      <c r="H135" s="17"/>
      <c r="I135" s="17"/>
    </row>
    <row r="136" spans="1:9" x14ac:dyDescent="0.2">
      <c r="A136" s="26"/>
      <c r="B136" s="26"/>
      <c r="C136" s="26"/>
      <c r="D136" s="27"/>
      <c r="E136" s="53"/>
      <c r="F136" s="50"/>
    </row>
    <row r="137" spans="1:9" ht="10.5" x14ac:dyDescent="0.25">
      <c r="A137" s="25" t="s">
        <v>226</v>
      </c>
      <c r="B137" s="25"/>
      <c r="C137" s="25"/>
      <c r="D137" s="31"/>
      <c r="E137" s="51">
        <f>E135</f>
        <v>0</v>
      </c>
      <c r="F137" s="52">
        <f>F135</f>
        <v>100</v>
      </c>
      <c r="G137" s="17"/>
      <c r="H137" s="17"/>
      <c r="I137" s="17"/>
    </row>
    <row r="138" spans="1:9" ht="10.5" x14ac:dyDescent="0.25">
      <c r="A138" s="25"/>
      <c r="B138" s="25"/>
      <c r="C138" s="25"/>
      <c r="D138" s="31"/>
      <c r="E138" s="51"/>
      <c r="F138" s="52"/>
      <c r="G138" s="17"/>
      <c r="H138" s="17"/>
      <c r="I138" s="17"/>
    </row>
    <row r="139" spans="1:9" ht="10.5" x14ac:dyDescent="0.25">
      <c r="A139" s="25" t="s">
        <v>228</v>
      </c>
      <c r="B139" s="25"/>
      <c r="C139" s="25"/>
      <c r="D139" s="31"/>
      <c r="E139" s="51">
        <f>E141-(E135)</f>
        <v>8.9999999999999996E-7</v>
      </c>
      <c r="F139" s="33">
        <f>F141-(F135)</f>
        <v>0</v>
      </c>
      <c r="G139" s="17"/>
      <c r="H139" s="17"/>
      <c r="I139" s="17"/>
    </row>
    <row r="140" spans="1:9" ht="10.5" x14ac:dyDescent="0.25">
      <c r="A140" s="25"/>
      <c r="B140" s="25"/>
      <c r="C140" s="25"/>
      <c r="D140" s="31"/>
      <c r="E140" s="51"/>
      <c r="F140" s="52"/>
      <c r="G140" s="17"/>
      <c r="H140" s="17"/>
      <c r="I140" s="17"/>
    </row>
    <row r="141" spans="1:9" ht="10.5" x14ac:dyDescent="0.25">
      <c r="A141" s="34" t="s">
        <v>227</v>
      </c>
      <c r="B141" s="34"/>
      <c r="C141" s="34"/>
      <c r="D141" s="35"/>
      <c r="E141" s="54">
        <v>8.9999999999999996E-7</v>
      </c>
      <c r="F141" s="55">
        <v>100</v>
      </c>
      <c r="G141" s="17"/>
      <c r="H141" s="17"/>
      <c r="I141" s="17"/>
    </row>
    <row r="142" spans="1:9" ht="10.5" x14ac:dyDescent="0.25">
      <c r="A142" s="17" t="s">
        <v>231</v>
      </c>
      <c r="F142" s="19" t="s">
        <v>446</v>
      </c>
    </row>
    <row r="143" spans="1:9" ht="10.5" x14ac:dyDescent="0.25">
      <c r="A143" s="17" t="s">
        <v>1601</v>
      </c>
    </row>
    <row r="144" spans="1:9" ht="10.5" x14ac:dyDescent="0.25">
      <c r="A144" s="17" t="s">
        <v>1607</v>
      </c>
    </row>
    <row r="146" spans="1:4" ht="10.5" x14ac:dyDescent="0.25">
      <c r="A146" s="17" t="s">
        <v>232</v>
      </c>
    </row>
    <row r="147" spans="1:4" ht="10.5" x14ac:dyDescent="0.25">
      <c r="A147" s="17" t="s">
        <v>233</v>
      </c>
    </row>
    <row r="148" spans="1:4" ht="10.5" x14ac:dyDescent="0.25">
      <c r="A148" s="17" t="s">
        <v>234</v>
      </c>
      <c r="B148" s="17"/>
      <c r="C148" s="38" t="s">
        <v>236</v>
      </c>
      <c r="D148" s="18" t="s">
        <v>235</v>
      </c>
    </row>
    <row r="149" spans="1:4" x14ac:dyDescent="0.2">
      <c r="A149" s="10" t="s">
        <v>237</v>
      </c>
      <c r="C149" s="56" t="s">
        <v>1602</v>
      </c>
      <c r="D149" s="39">
        <v>0</v>
      </c>
    </row>
    <row r="150" spans="1:4" x14ac:dyDescent="0.2">
      <c r="A150" s="10" t="s">
        <v>238</v>
      </c>
      <c r="C150" s="56" t="s">
        <v>1602</v>
      </c>
      <c r="D150" s="39">
        <v>0</v>
      </c>
    </row>
    <row r="151" spans="1:4" x14ac:dyDescent="0.2">
      <c r="A151" s="10" t="s">
        <v>239</v>
      </c>
      <c r="C151" s="56" t="s">
        <v>1602</v>
      </c>
      <c r="D151" s="39">
        <v>0</v>
      </c>
    </row>
    <row r="152" spans="1:4" x14ac:dyDescent="0.2">
      <c r="A152" s="10" t="s">
        <v>240</v>
      </c>
      <c r="C152" s="56" t="s">
        <v>1602</v>
      </c>
      <c r="D152" s="39">
        <v>0</v>
      </c>
    </row>
    <row r="153" spans="1:4" x14ac:dyDescent="0.2">
      <c r="A153" s="10" t="s">
        <v>241</v>
      </c>
      <c r="C153" s="56" t="s">
        <v>1602</v>
      </c>
      <c r="D153" s="39">
        <v>0</v>
      </c>
    </row>
    <row r="154" spans="1:4" x14ac:dyDescent="0.2">
      <c r="A154" s="10" t="s">
        <v>242</v>
      </c>
      <c r="C154" s="56" t="s">
        <v>1602</v>
      </c>
      <c r="D154" s="39">
        <v>0</v>
      </c>
    </row>
    <row r="155" spans="1:4" x14ac:dyDescent="0.2">
      <c r="A155" s="10" t="s">
        <v>243</v>
      </c>
      <c r="C155" s="56" t="s">
        <v>1602</v>
      </c>
      <c r="D155" s="39">
        <v>0</v>
      </c>
    </row>
    <row r="156" spans="1:4" x14ac:dyDescent="0.2">
      <c r="A156" s="10" t="s">
        <v>244</v>
      </c>
      <c r="C156" s="56" t="s">
        <v>1602</v>
      </c>
      <c r="D156" s="39">
        <v>0</v>
      </c>
    </row>
    <row r="157" spans="1:4" x14ac:dyDescent="0.2">
      <c r="A157" s="10" t="s">
        <v>245</v>
      </c>
      <c r="C157" s="56" t="s">
        <v>1602</v>
      </c>
      <c r="D157" s="39">
        <v>0</v>
      </c>
    </row>
    <row r="158" spans="1:4" x14ac:dyDescent="0.2">
      <c r="A158" s="10" t="s">
        <v>246</v>
      </c>
      <c r="C158" s="56" t="s">
        <v>1602</v>
      </c>
      <c r="D158" s="39">
        <v>0</v>
      </c>
    </row>
    <row r="159" spans="1:4" x14ac:dyDescent="0.2">
      <c r="A159" s="10" t="s">
        <v>247</v>
      </c>
      <c r="C159" s="56" t="s">
        <v>1602</v>
      </c>
      <c r="D159" s="39">
        <v>0</v>
      </c>
    </row>
    <row r="161" spans="1:6" ht="10.5" x14ac:dyDescent="0.25">
      <c r="A161" s="17" t="s">
        <v>1606</v>
      </c>
      <c r="E161" s="43"/>
      <c r="F161" s="14"/>
    </row>
    <row r="162" spans="1:6" ht="10.5" x14ac:dyDescent="0.25">
      <c r="A162" s="17"/>
      <c r="E162" s="43"/>
      <c r="F162" s="14"/>
    </row>
    <row r="163" spans="1:6" ht="10.5" x14ac:dyDescent="0.25">
      <c r="A163" s="17" t="s">
        <v>1604</v>
      </c>
      <c r="D163" s="46" t="s">
        <v>256</v>
      </c>
      <c r="E163" s="43"/>
      <c r="F163" s="14"/>
    </row>
    <row r="164" spans="1:6" x14ac:dyDescent="0.2">
      <c r="A164" s="10" t="s">
        <v>257</v>
      </c>
      <c r="E164" s="43"/>
      <c r="F164" s="14"/>
    </row>
    <row r="165" spans="1:6" ht="14.5" x14ac:dyDescent="0.35">
      <c r="A165" s="44" t="s">
        <v>1613</v>
      </c>
      <c r="E165" s="43"/>
      <c r="F165" s="14"/>
    </row>
  </sheetData>
  <mergeCells count="12">
    <mergeCell ref="A1:F1"/>
    <mergeCell ref="C110:D110"/>
    <mergeCell ref="A110:B110"/>
    <mergeCell ref="A111:B111"/>
    <mergeCell ref="A112:B112"/>
    <mergeCell ref="A118:B118"/>
    <mergeCell ref="A128:F128"/>
    <mergeCell ref="A113:B113"/>
    <mergeCell ref="A114:B114"/>
    <mergeCell ref="A115:B115"/>
    <mergeCell ref="A116:B116"/>
    <mergeCell ref="A117:B117"/>
  </mergeCells>
  <conditionalFormatting sqref="F2:F3 F129:F130 F132:F133 F5:F127 F143:F160 F166:F65536">
    <cfRule type="cellIs" dxfId="123" priority="5" stopIfTrue="1" operator="between">
      <formula>0.009</formula>
      <formula>-0.009</formula>
    </cfRule>
  </conditionalFormatting>
  <conditionalFormatting sqref="F135:F138 F140:F141">
    <cfRule type="cellIs" dxfId="122" priority="4" stopIfTrue="1" operator="between">
      <formula>0.009</formula>
      <formula>-0.009</formula>
    </cfRule>
  </conditionalFormatting>
  <conditionalFormatting sqref="F161:F165">
    <cfRule type="cellIs" dxfId="121" priority="3" stopIfTrue="1" operator="between">
      <formula>0.009</formula>
      <formula>-0.009</formula>
    </cfRule>
  </conditionalFormatting>
  <conditionalFormatting sqref="F139">
    <cfRule type="cellIs" dxfId="120" priority="2" stopIfTrue="1" operator="between">
      <formula>0.009</formula>
      <formula>-0.009</formula>
    </cfRule>
  </conditionalFormatting>
  <conditionalFormatting sqref="F142">
    <cfRule type="cellIs" dxfId="119" priority="1" stopIfTrue="1" operator="between">
      <formula>0.009</formula>
      <formula>-0.009</formula>
    </cfRule>
  </conditionalFormatting>
  <hyperlinks>
    <hyperlink ref="A124" r:id="rId1" xr:uid="{00000000-0004-0000-0000-000000000000}"/>
    <hyperlink ref="A165" r:id="rId2" xr:uid="{00000000-0004-0000-0000-000001000000}"/>
  </hyperlinks>
  <pageMargins left="0.7" right="0.7" top="0.75" bottom="0.75" header="0.3" footer="0.3"/>
  <pageSetup paperSize="9" orientation="portrait" r:id="rId3"/>
  <headerFooter>
    <oddFooter>&amp;LPUBLIC</oddFooter>
    <evenFooter>&amp;LPUBLIC</evenFooter>
    <firstFooter>&amp;LPUBLIC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7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69.179687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6.1796875" style="10" bestFit="1" customWidth="1"/>
    <col min="8" max="16384" width="9.1796875" style="10"/>
  </cols>
  <sheetData>
    <row r="1" spans="1:6" s="1" customFormat="1" ht="14" x14ac:dyDescent="0.25">
      <c r="A1" s="80" t="s">
        <v>1659</v>
      </c>
      <c r="B1" s="81"/>
      <c r="C1" s="81"/>
      <c r="D1" s="81"/>
      <c r="E1" s="81"/>
      <c r="F1" s="81"/>
    </row>
    <row r="2" spans="1:6" s="1" customFormat="1" ht="11.5" x14ac:dyDescent="0.25">
      <c r="A2" s="45" t="s">
        <v>258</v>
      </c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265</v>
      </c>
      <c r="B7" s="26" t="s">
        <v>264</v>
      </c>
      <c r="C7" s="26" t="s">
        <v>148</v>
      </c>
      <c r="D7" s="30">
        <v>7200</v>
      </c>
      <c r="E7" s="28">
        <v>65360.088000000003</v>
      </c>
      <c r="F7" s="29">
        <v>12.2954665334572</v>
      </c>
    </row>
    <row r="8" spans="1:6" x14ac:dyDescent="0.2">
      <c r="A8" s="26" t="s">
        <v>267</v>
      </c>
      <c r="B8" s="26" t="s">
        <v>266</v>
      </c>
      <c r="C8" s="26" t="s">
        <v>91</v>
      </c>
      <c r="D8" s="30">
        <v>4813</v>
      </c>
      <c r="E8" s="28">
        <v>36679.680480000003</v>
      </c>
      <c r="F8" s="29">
        <v>6.9001404006638296</v>
      </c>
    </row>
    <row r="9" spans="1:6" x14ac:dyDescent="0.2">
      <c r="A9" s="26" t="s">
        <v>167</v>
      </c>
      <c r="B9" s="26" t="s">
        <v>166</v>
      </c>
      <c r="C9" s="26" t="s">
        <v>78</v>
      </c>
      <c r="D9" s="30">
        <v>3100</v>
      </c>
      <c r="E9" s="28">
        <v>30630.758999999998</v>
      </c>
      <c r="F9" s="29">
        <v>5.76222406828603</v>
      </c>
    </row>
    <row r="10" spans="1:6" x14ac:dyDescent="0.2">
      <c r="A10" s="26" t="s">
        <v>269</v>
      </c>
      <c r="B10" s="26" t="s">
        <v>268</v>
      </c>
      <c r="C10" s="26" t="s">
        <v>103</v>
      </c>
      <c r="D10" s="30">
        <v>11135</v>
      </c>
      <c r="E10" s="28">
        <v>21840.857100000001</v>
      </c>
      <c r="F10" s="29">
        <v>4.1086775699425404</v>
      </c>
    </row>
    <row r="11" spans="1:6" x14ac:dyDescent="0.2">
      <c r="A11" s="26" t="s">
        <v>271</v>
      </c>
      <c r="B11" s="26" t="s">
        <v>270</v>
      </c>
      <c r="C11" s="26" t="s">
        <v>103</v>
      </c>
      <c r="D11" s="30">
        <v>10675</v>
      </c>
      <c r="E11" s="28">
        <v>21066.728200000001</v>
      </c>
      <c r="F11" s="29">
        <v>3.96304930850979</v>
      </c>
    </row>
    <row r="12" spans="1:6" x14ac:dyDescent="0.2">
      <c r="A12" s="26" t="s">
        <v>273</v>
      </c>
      <c r="B12" s="26" t="s">
        <v>272</v>
      </c>
      <c r="C12" s="26" t="s">
        <v>274</v>
      </c>
      <c r="D12" s="30">
        <v>2100</v>
      </c>
      <c r="E12" s="28">
        <v>20902.518</v>
      </c>
      <c r="F12" s="29">
        <v>3.9321582696459401</v>
      </c>
    </row>
    <row r="13" spans="1:6" x14ac:dyDescent="0.2">
      <c r="A13" s="26" t="s">
        <v>80</v>
      </c>
      <c r="B13" s="26" t="s">
        <v>79</v>
      </c>
      <c r="C13" s="26" t="s">
        <v>81</v>
      </c>
      <c r="D13" s="30">
        <v>2020</v>
      </c>
      <c r="E13" s="28">
        <v>20089.566599999998</v>
      </c>
      <c r="F13" s="29">
        <v>3.7792267630049601</v>
      </c>
    </row>
    <row r="14" spans="1:6" x14ac:dyDescent="0.2">
      <c r="A14" s="26" t="s">
        <v>162</v>
      </c>
      <c r="B14" s="26" t="s">
        <v>161</v>
      </c>
      <c r="C14" s="26" t="s">
        <v>163</v>
      </c>
      <c r="D14" s="30">
        <v>1390</v>
      </c>
      <c r="E14" s="28">
        <v>13854.2551</v>
      </c>
      <c r="F14" s="29">
        <v>2.6062469488723599</v>
      </c>
    </row>
    <row r="15" spans="1:6" x14ac:dyDescent="0.2">
      <c r="A15" s="26" t="s">
        <v>120</v>
      </c>
      <c r="B15" s="26" t="s">
        <v>119</v>
      </c>
      <c r="C15" s="26" t="s">
        <v>103</v>
      </c>
      <c r="D15" s="30">
        <v>1349</v>
      </c>
      <c r="E15" s="28">
        <v>12947.25683</v>
      </c>
      <c r="F15" s="29">
        <v>2.4356234504050902</v>
      </c>
    </row>
    <row r="16" spans="1:6" x14ac:dyDescent="0.2">
      <c r="A16" s="26" t="s">
        <v>276</v>
      </c>
      <c r="B16" s="26" t="s">
        <v>275</v>
      </c>
      <c r="C16" s="26" t="s">
        <v>98</v>
      </c>
      <c r="D16" s="30">
        <v>12500</v>
      </c>
      <c r="E16" s="28">
        <v>11931.674999999999</v>
      </c>
      <c r="F16" s="29">
        <v>2.2445733342737801</v>
      </c>
    </row>
    <row r="17" spans="1:6" x14ac:dyDescent="0.2">
      <c r="A17" s="26" t="s">
        <v>278</v>
      </c>
      <c r="B17" s="26" t="s">
        <v>277</v>
      </c>
      <c r="C17" s="26" t="s">
        <v>95</v>
      </c>
      <c r="D17" s="30">
        <v>1250</v>
      </c>
      <c r="E17" s="28">
        <v>11705.5</v>
      </c>
      <c r="F17" s="29">
        <v>2.2020255466513898</v>
      </c>
    </row>
    <row r="18" spans="1:6" x14ac:dyDescent="0.2">
      <c r="A18" s="26" t="s">
        <v>280</v>
      </c>
      <c r="B18" s="26" t="s">
        <v>279</v>
      </c>
      <c r="C18" s="26" t="s">
        <v>148</v>
      </c>
      <c r="D18" s="30">
        <v>1300</v>
      </c>
      <c r="E18" s="28">
        <v>11667.317999999999</v>
      </c>
      <c r="F18" s="29">
        <v>2.1948427915856299</v>
      </c>
    </row>
    <row r="19" spans="1:6" x14ac:dyDescent="0.2">
      <c r="A19" s="26" t="s">
        <v>282</v>
      </c>
      <c r="B19" s="26" t="s">
        <v>281</v>
      </c>
      <c r="C19" s="26" t="s">
        <v>78</v>
      </c>
      <c r="D19" s="30">
        <v>1180</v>
      </c>
      <c r="E19" s="28">
        <v>11647.3434</v>
      </c>
      <c r="F19" s="29">
        <v>2.1910851922106298</v>
      </c>
    </row>
    <row r="20" spans="1:6" x14ac:dyDescent="0.2">
      <c r="A20" s="26" t="s">
        <v>284</v>
      </c>
      <c r="B20" s="26" t="s">
        <v>283</v>
      </c>
      <c r="C20" s="26" t="s">
        <v>186</v>
      </c>
      <c r="D20" s="30">
        <v>1150</v>
      </c>
      <c r="E20" s="28">
        <v>11443.834000000001</v>
      </c>
      <c r="F20" s="29">
        <v>2.1528012318685898</v>
      </c>
    </row>
    <row r="21" spans="1:6" x14ac:dyDescent="0.2">
      <c r="A21" s="26" t="s">
        <v>286</v>
      </c>
      <c r="B21" s="26" t="s">
        <v>285</v>
      </c>
      <c r="C21" s="26" t="s">
        <v>287</v>
      </c>
      <c r="D21" s="30">
        <v>1000</v>
      </c>
      <c r="E21" s="28">
        <v>10154.34</v>
      </c>
      <c r="F21" s="29">
        <v>1.91022306517313</v>
      </c>
    </row>
    <row r="22" spans="1:6" x14ac:dyDescent="0.2">
      <c r="A22" s="26" t="s">
        <v>288</v>
      </c>
      <c r="B22" s="26" t="s">
        <v>166</v>
      </c>
      <c r="C22" s="26" t="s">
        <v>78</v>
      </c>
      <c r="D22" s="30">
        <v>1000</v>
      </c>
      <c r="E22" s="28">
        <v>9883.19</v>
      </c>
      <c r="F22" s="29">
        <v>1.85921463093499</v>
      </c>
    </row>
    <row r="23" spans="1:6" x14ac:dyDescent="0.2">
      <c r="A23" s="26" t="s">
        <v>290</v>
      </c>
      <c r="B23" s="26" t="s">
        <v>289</v>
      </c>
      <c r="C23" s="26" t="s">
        <v>67</v>
      </c>
      <c r="D23" s="30">
        <v>1000</v>
      </c>
      <c r="E23" s="28">
        <v>9738.2999999999993</v>
      </c>
      <c r="F23" s="29">
        <v>1.8319580864512599</v>
      </c>
    </row>
    <row r="24" spans="1:6" x14ac:dyDescent="0.2">
      <c r="A24" s="26" t="s">
        <v>169</v>
      </c>
      <c r="B24" s="26" t="s">
        <v>168</v>
      </c>
      <c r="C24" s="26" t="s">
        <v>103</v>
      </c>
      <c r="D24" s="30">
        <v>879</v>
      </c>
      <c r="E24" s="28">
        <v>8205.6495900000009</v>
      </c>
      <c r="F24" s="29">
        <v>1.5436376083080201</v>
      </c>
    </row>
    <row r="25" spans="1:6" x14ac:dyDescent="0.2">
      <c r="A25" s="26" t="s">
        <v>292</v>
      </c>
      <c r="B25" s="26" t="s">
        <v>291</v>
      </c>
      <c r="C25" s="26" t="s">
        <v>98</v>
      </c>
      <c r="D25" s="30">
        <v>8500</v>
      </c>
      <c r="E25" s="28">
        <v>8121.9030000000002</v>
      </c>
      <c r="F25" s="29">
        <v>1.5278832936162099</v>
      </c>
    </row>
    <row r="26" spans="1:6" x14ac:dyDescent="0.2">
      <c r="A26" s="26" t="s">
        <v>294</v>
      </c>
      <c r="B26" s="26" t="s">
        <v>293</v>
      </c>
      <c r="C26" s="26" t="s">
        <v>78</v>
      </c>
      <c r="D26" s="30">
        <v>760</v>
      </c>
      <c r="E26" s="28">
        <v>7537.6268</v>
      </c>
      <c r="F26" s="29">
        <v>1.4179699094207201</v>
      </c>
    </row>
    <row r="27" spans="1:6" x14ac:dyDescent="0.2">
      <c r="A27" s="26" t="s">
        <v>296</v>
      </c>
      <c r="B27" s="26" t="s">
        <v>295</v>
      </c>
      <c r="C27" s="26" t="s">
        <v>186</v>
      </c>
      <c r="D27" s="30">
        <v>750</v>
      </c>
      <c r="E27" s="28">
        <v>7461.0675000000001</v>
      </c>
      <c r="F27" s="29">
        <v>1.4035676596719899</v>
      </c>
    </row>
    <row r="28" spans="1:6" x14ac:dyDescent="0.2">
      <c r="A28" s="26" t="s">
        <v>298</v>
      </c>
      <c r="B28" s="26" t="s">
        <v>297</v>
      </c>
      <c r="C28" s="26" t="s">
        <v>103</v>
      </c>
      <c r="D28" s="30">
        <v>822</v>
      </c>
      <c r="E28" s="28">
        <v>7434.0693600000004</v>
      </c>
      <c r="F28" s="29">
        <v>1.39848879982046</v>
      </c>
    </row>
    <row r="29" spans="1:6" x14ac:dyDescent="0.2">
      <c r="A29" s="26" t="s">
        <v>300</v>
      </c>
      <c r="B29" s="26" t="s">
        <v>299</v>
      </c>
      <c r="C29" s="26" t="s">
        <v>103</v>
      </c>
      <c r="D29" s="30">
        <v>822</v>
      </c>
      <c r="E29" s="28">
        <v>7237.6688999999997</v>
      </c>
      <c r="F29" s="29">
        <v>1.3615421653072699</v>
      </c>
    </row>
    <row r="30" spans="1:6" x14ac:dyDescent="0.2">
      <c r="A30" s="26" t="s">
        <v>302</v>
      </c>
      <c r="B30" s="26" t="s">
        <v>301</v>
      </c>
      <c r="C30" s="26" t="s">
        <v>163</v>
      </c>
      <c r="D30" s="30">
        <v>690</v>
      </c>
      <c r="E30" s="28">
        <v>6581.6684999999998</v>
      </c>
      <c r="F30" s="29">
        <v>1.2381361049584201</v>
      </c>
    </row>
    <row r="31" spans="1:6" x14ac:dyDescent="0.2">
      <c r="A31" s="26" t="s">
        <v>304</v>
      </c>
      <c r="B31" s="26" t="s">
        <v>303</v>
      </c>
      <c r="C31" s="26" t="s">
        <v>103</v>
      </c>
      <c r="D31" s="30">
        <v>754</v>
      </c>
      <c r="E31" s="28">
        <v>6351.2285199999997</v>
      </c>
      <c r="F31" s="29">
        <v>1.1947859940763701</v>
      </c>
    </row>
    <row r="32" spans="1:6" x14ac:dyDescent="0.2">
      <c r="A32" s="26" t="s">
        <v>306</v>
      </c>
      <c r="B32" s="26" t="s">
        <v>305</v>
      </c>
      <c r="C32" s="26" t="s">
        <v>98</v>
      </c>
      <c r="D32" s="30">
        <v>11</v>
      </c>
      <c r="E32" s="28">
        <v>5551.9584999999997</v>
      </c>
      <c r="F32" s="29">
        <v>1.0444282133141101</v>
      </c>
    </row>
    <row r="33" spans="1:6" x14ac:dyDescent="0.2">
      <c r="A33" s="26" t="s">
        <v>97</v>
      </c>
      <c r="B33" s="26" t="s">
        <v>96</v>
      </c>
      <c r="C33" s="26" t="s">
        <v>98</v>
      </c>
      <c r="D33" s="30">
        <v>11</v>
      </c>
      <c r="E33" s="28">
        <v>5551.9584999999997</v>
      </c>
      <c r="F33" s="29">
        <v>1.0444282133141101</v>
      </c>
    </row>
    <row r="34" spans="1:6" x14ac:dyDescent="0.2">
      <c r="A34" s="26" t="s">
        <v>308</v>
      </c>
      <c r="B34" s="26" t="s">
        <v>307</v>
      </c>
      <c r="C34" s="26" t="s">
        <v>73</v>
      </c>
      <c r="D34" s="30">
        <v>550</v>
      </c>
      <c r="E34" s="28">
        <v>5295.1634999999997</v>
      </c>
      <c r="F34" s="29">
        <v>0.996120225594464</v>
      </c>
    </row>
    <row r="35" spans="1:6" x14ac:dyDescent="0.2">
      <c r="A35" s="26" t="s">
        <v>310</v>
      </c>
      <c r="B35" s="26" t="s">
        <v>309</v>
      </c>
      <c r="C35" s="26" t="s">
        <v>186</v>
      </c>
      <c r="D35" s="30">
        <v>500</v>
      </c>
      <c r="E35" s="28">
        <v>4975.58</v>
      </c>
      <c r="F35" s="29">
        <v>0.93600053559504004</v>
      </c>
    </row>
    <row r="36" spans="1:6" x14ac:dyDescent="0.2">
      <c r="A36" s="26" t="s">
        <v>312</v>
      </c>
      <c r="B36" s="26" t="s">
        <v>311</v>
      </c>
      <c r="C36" s="26" t="s">
        <v>313</v>
      </c>
      <c r="D36" s="30">
        <v>500</v>
      </c>
      <c r="E36" s="28">
        <v>4967.4350000000004</v>
      </c>
      <c r="F36" s="29">
        <v>0.93446830731965902</v>
      </c>
    </row>
    <row r="37" spans="1:6" x14ac:dyDescent="0.2">
      <c r="A37" s="26" t="s">
        <v>314</v>
      </c>
      <c r="B37" s="26" t="s">
        <v>311</v>
      </c>
      <c r="C37" s="26" t="s">
        <v>313</v>
      </c>
      <c r="D37" s="30">
        <v>500</v>
      </c>
      <c r="E37" s="28">
        <v>4967.4350000000004</v>
      </c>
      <c r="F37" s="29">
        <v>0.93446830731965902</v>
      </c>
    </row>
    <row r="38" spans="1:6" x14ac:dyDescent="0.2">
      <c r="A38" s="26" t="s">
        <v>102</v>
      </c>
      <c r="B38" s="26" t="s">
        <v>101</v>
      </c>
      <c r="C38" s="26" t="s">
        <v>103</v>
      </c>
      <c r="D38" s="30">
        <v>650</v>
      </c>
      <c r="E38" s="28">
        <v>4829.1018750000003</v>
      </c>
      <c r="F38" s="29">
        <v>0.90844523481544104</v>
      </c>
    </row>
    <row r="39" spans="1:6" x14ac:dyDescent="0.2">
      <c r="A39" s="26" t="s">
        <v>118</v>
      </c>
      <c r="B39" s="26" t="s">
        <v>117</v>
      </c>
      <c r="C39" s="26" t="s">
        <v>95</v>
      </c>
      <c r="D39" s="30">
        <v>500</v>
      </c>
      <c r="E39" s="28">
        <v>4813.7250000000004</v>
      </c>
      <c r="F39" s="29">
        <v>0.90555255431672999</v>
      </c>
    </row>
    <row r="40" spans="1:6" x14ac:dyDescent="0.2">
      <c r="A40" s="26" t="s">
        <v>316</v>
      </c>
      <c r="B40" s="26" t="s">
        <v>315</v>
      </c>
      <c r="C40" s="26" t="s">
        <v>313</v>
      </c>
      <c r="D40" s="30">
        <v>500</v>
      </c>
      <c r="E40" s="28">
        <v>4790.875</v>
      </c>
      <c r="F40" s="29">
        <v>0.90125403791495395</v>
      </c>
    </row>
    <row r="41" spans="1:6" x14ac:dyDescent="0.2">
      <c r="A41" s="26" t="s">
        <v>317</v>
      </c>
      <c r="B41" s="26" t="s">
        <v>315</v>
      </c>
      <c r="C41" s="26" t="s">
        <v>313</v>
      </c>
      <c r="D41" s="30">
        <v>500</v>
      </c>
      <c r="E41" s="28">
        <v>4784.53</v>
      </c>
      <c r="F41" s="29">
        <v>0.90006042362308203</v>
      </c>
    </row>
    <row r="42" spans="1:6" x14ac:dyDescent="0.2">
      <c r="A42" s="26" t="s">
        <v>90</v>
      </c>
      <c r="B42" s="26" t="s">
        <v>89</v>
      </c>
      <c r="C42" s="26" t="s">
        <v>91</v>
      </c>
      <c r="D42" s="30">
        <v>450</v>
      </c>
      <c r="E42" s="28">
        <v>4491.3374999999996</v>
      </c>
      <c r="F42" s="29">
        <v>0.844905378978549</v>
      </c>
    </row>
    <row r="43" spans="1:6" x14ac:dyDescent="0.2">
      <c r="A43" s="26" t="s">
        <v>319</v>
      </c>
      <c r="B43" s="26" t="s">
        <v>318</v>
      </c>
      <c r="C43" s="26" t="s">
        <v>216</v>
      </c>
      <c r="D43" s="30">
        <v>460</v>
      </c>
      <c r="E43" s="28">
        <v>4223.9085999999998</v>
      </c>
      <c r="F43" s="29">
        <v>0.79459695390376495</v>
      </c>
    </row>
    <row r="44" spans="1:6" x14ac:dyDescent="0.2">
      <c r="A44" s="26" t="s">
        <v>321</v>
      </c>
      <c r="B44" s="26" t="s">
        <v>320</v>
      </c>
      <c r="C44" s="26" t="s">
        <v>103</v>
      </c>
      <c r="D44" s="30">
        <v>2125</v>
      </c>
      <c r="E44" s="28">
        <v>4049.5275000000001</v>
      </c>
      <c r="F44" s="29">
        <v>0.76179257672609901</v>
      </c>
    </row>
    <row r="45" spans="1:6" x14ac:dyDescent="0.2">
      <c r="A45" s="26" t="s">
        <v>323</v>
      </c>
      <c r="B45" s="26" t="s">
        <v>322</v>
      </c>
      <c r="C45" s="26" t="s">
        <v>78</v>
      </c>
      <c r="D45" s="30">
        <v>370</v>
      </c>
      <c r="E45" s="28">
        <v>3666.3559</v>
      </c>
      <c r="F45" s="29">
        <v>0.68971076459066805</v>
      </c>
    </row>
    <row r="46" spans="1:6" x14ac:dyDescent="0.2">
      <c r="A46" s="26" t="s">
        <v>325</v>
      </c>
      <c r="B46" s="26" t="s">
        <v>324</v>
      </c>
      <c r="C46" s="26" t="s">
        <v>313</v>
      </c>
      <c r="D46" s="30">
        <v>350</v>
      </c>
      <c r="E46" s="28">
        <v>3405.1640000000002</v>
      </c>
      <c r="F46" s="29">
        <v>0.64057563696874498</v>
      </c>
    </row>
    <row r="47" spans="1:6" x14ac:dyDescent="0.2">
      <c r="A47" s="26" t="s">
        <v>327</v>
      </c>
      <c r="B47" s="26" t="s">
        <v>326</v>
      </c>
      <c r="C47" s="26" t="s">
        <v>103</v>
      </c>
      <c r="D47" s="30">
        <v>350</v>
      </c>
      <c r="E47" s="28">
        <v>3373.0585000000001</v>
      </c>
      <c r="F47" s="29">
        <v>0.634535986275651</v>
      </c>
    </row>
    <row r="48" spans="1:6" x14ac:dyDescent="0.2">
      <c r="A48" s="26" t="s">
        <v>329</v>
      </c>
      <c r="B48" s="26" t="s">
        <v>328</v>
      </c>
      <c r="C48" s="26" t="s">
        <v>86</v>
      </c>
      <c r="D48" s="30">
        <v>272</v>
      </c>
      <c r="E48" s="28">
        <v>2610.9252799999999</v>
      </c>
      <c r="F48" s="29">
        <v>0.49116433872606402</v>
      </c>
    </row>
    <row r="49" spans="1:6" x14ac:dyDescent="0.2">
      <c r="A49" s="26" t="s">
        <v>160</v>
      </c>
      <c r="B49" s="26" t="s">
        <v>159</v>
      </c>
      <c r="C49" s="26" t="s">
        <v>98</v>
      </c>
      <c r="D49" s="30">
        <v>500</v>
      </c>
      <c r="E49" s="28">
        <v>2467.1149999999998</v>
      </c>
      <c r="F49" s="29">
        <v>0.464110909959152</v>
      </c>
    </row>
    <row r="50" spans="1:6" x14ac:dyDescent="0.2">
      <c r="A50" s="26" t="s">
        <v>331</v>
      </c>
      <c r="B50" s="26" t="s">
        <v>330</v>
      </c>
      <c r="C50" s="26" t="s">
        <v>78</v>
      </c>
      <c r="D50" s="30">
        <v>250</v>
      </c>
      <c r="E50" s="28">
        <v>2444.5925000000002</v>
      </c>
      <c r="F50" s="29">
        <v>0.45987400249048699</v>
      </c>
    </row>
    <row r="51" spans="1:6" x14ac:dyDescent="0.2">
      <c r="A51" s="26" t="s">
        <v>100</v>
      </c>
      <c r="B51" s="26" t="s">
        <v>99</v>
      </c>
      <c r="C51" s="26" t="s">
        <v>95</v>
      </c>
      <c r="D51" s="30">
        <v>250</v>
      </c>
      <c r="E51" s="28">
        <v>2417.4724999999999</v>
      </c>
      <c r="F51" s="29">
        <v>0.454772218472275</v>
      </c>
    </row>
    <row r="52" spans="1:6" x14ac:dyDescent="0.2">
      <c r="A52" s="26" t="s">
        <v>333</v>
      </c>
      <c r="B52" s="26" t="s">
        <v>332</v>
      </c>
      <c r="C52" s="26" t="s">
        <v>107</v>
      </c>
      <c r="D52" s="30">
        <v>240</v>
      </c>
      <c r="E52" s="28">
        <v>2335.4279999999999</v>
      </c>
      <c r="F52" s="29">
        <v>0.43933809904446403</v>
      </c>
    </row>
    <row r="53" spans="1:6" x14ac:dyDescent="0.2">
      <c r="A53" s="26" t="s">
        <v>335</v>
      </c>
      <c r="B53" s="26" t="s">
        <v>334</v>
      </c>
      <c r="C53" s="26" t="s">
        <v>67</v>
      </c>
      <c r="D53" s="30">
        <v>200</v>
      </c>
      <c r="E53" s="28">
        <v>1947.002</v>
      </c>
      <c r="F53" s="29">
        <v>0.36626783506739202</v>
      </c>
    </row>
    <row r="54" spans="1:6" x14ac:dyDescent="0.2">
      <c r="A54" s="26" t="s">
        <v>337</v>
      </c>
      <c r="B54" s="26" t="s">
        <v>336</v>
      </c>
      <c r="C54" s="26" t="s">
        <v>78</v>
      </c>
      <c r="D54" s="30">
        <v>200</v>
      </c>
      <c r="E54" s="28">
        <v>1926.1859999999999</v>
      </c>
      <c r="F54" s="29">
        <v>0.36235195246698199</v>
      </c>
    </row>
    <row r="55" spans="1:6" x14ac:dyDescent="0.2">
      <c r="A55" s="26" t="s">
        <v>339</v>
      </c>
      <c r="B55" s="26" t="s">
        <v>338</v>
      </c>
      <c r="C55" s="26" t="s">
        <v>186</v>
      </c>
      <c r="D55" s="30">
        <v>150</v>
      </c>
      <c r="E55" s="28">
        <v>1491.6585</v>
      </c>
      <c r="F55" s="29">
        <v>0.28060912595614901</v>
      </c>
    </row>
    <row r="56" spans="1:6" x14ac:dyDescent="0.2">
      <c r="A56" s="26" t="s">
        <v>341</v>
      </c>
      <c r="B56" s="26" t="s">
        <v>340</v>
      </c>
      <c r="C56" s="26" t="s">
        <v>73</v>
      </c>
      <c r="D56" s="30">
        <v>150</v>
      </c>
      <c r="E56" s="28">
        <v>1466.1134999999999</v>
      </c>
      <c r="F56" s="29">
        <v>0.27580362917350698</v>
      </c>
    </row>
    <row r="57" spans="1:6" x14ac:dyDescent="0.2">
      <c r="A57" s="26" t="s">
        <v>343</v>
      </c>
      <c r="B57" s="26" t="s">
        <v>342</v>
      </c>
      <c r="C57" s="26" t="s">
        <v>98</v>
      </c>
      <c r="D57" s="30">
        <v>1400</v>
      </c>
      <c r="E57" s="28">
        <v>1351.5334</v>
      </c>
      <c r="F57" s="29">
        <v>0.25424894912243101</v>
      </c>
    </row>
    <row r="58" spans="1:6" x14ac:dyDescent="0.2">
      <c r="A58" s="26" t="s">
        <v>345</v>
      </c>
      <c r="B58" s="26" t="s">
        <v>344</v>
      </c>
      <c r="C58" s="26" t="s">
        <v>73</v>
      </c>
      <c r="D58" s="30">
        <v>100</v>
      </c>
      <c r="E58" s="28">
        <v>1001.6369999999999</v>
      </c>
      <c r="F58" s="29">
        <v>0.18842683033371199</v>
      </c>
    </row>
    <row r="59" spans="1:6" x14ac:dyDescent="0.2">
      <c r="A59" s="26" t="s">
        <v>347</v>
      </c>
      <c r="B59" s="26" t="s">
        <v>346</v>
      </c>
      <c r="C59" s="26" t="s">
        <v>133</v>
      </c>
      <c r="D59" s="30">
        <v>100</v>
      </c>
      <c r="E59" s="28">
        <v>996.16300000000001</v>
      </c>
      <c r="F59" s="29">
        <v>0.18739706758608299</v>
      </c>
    </row>
    <row r="60" spans="1:6" x14ac:dyDescent="0.2">
      <c r="A60" s="26" t="s">
        <v>349</v>
      </c>
      <c r="B60" s="26" t="s">
        <v>348</v>
      </c>
      <c r="C60" s="26" t="s">
        <v>67</v>
      </c>
      <c r="D60" s="30">
        <v>100</v>
      </c>
      <c r="E60" s="28">
        <v>960.33299999999997</v>
      </c>
      <c r="F60" s="29">
        <v>0.18065676812544301</v>
      </c>
    </row>
    <row r="61" spans="1:6" x14ac:dyDescent="0.2">
      <c r="A61" s="26" t="s">
        <v>351</v>
      </c>
      <c r="B61" s="26" t="s">
        <v>350</v>
      </c>
      <c r="C61" s="26" t="s">
        <v>91</v>
      </c>
      <c r="D61" s="30">
        <v>55</v>
      </c>
      <c r="E61" s="28">
        <v>534.53620000000001</v>
      </c>
      <c r="F61" s="29">
        <v>0.100556351117847</v>
      </c>
    </row>
    <row r="62" spans="1:6" x14ac:dyDescent="0.2">
      <c r="A62" s="26" t="s">
        <v>353</v>
      </c>
      <c r="B62" s="26" t="s">
        <v>352</v>
      </c>
      <c r="C62" s="26" t="s">
        <v>103</v>
      </c>
      <c r="D62" s="30">
        <v>62</v>
      </c>
      <c r="E62" s="28">
        <v>509.7919</v>
      </c>
      <c r="F62" s="29">
        <v>9.5901481122203397E-2</v>
      </c>
    </row>
    <row r="63" spans="1:6" x14ac:dyDescent="0.2">
      <c r="A63" s="26" t="s">
        <v>355</v>
      </c>
      <c r="B63" s="26" t="s">
        <v>354</v>
      </c>
      <c r="C63" s="26" t="s">
        <v>103</v>
      </c>
      <c r="D63" s="30">
        <v>62</v>
      </c>
      <c r="E63" s="28">
        <v>499.80617999999998</v>
      </c>
      <c r="F63" s="29">
        <v>9.4022978662529996E-2</v>
      </c>
    </row>
    <row r="64" spans="1:6" x14ac:dyDescent="0.2">
      <c r="A64" s="26" t="s">
        <v>158</v>
      </c>
      <c r="B64" s="26" t="s">
        <v>157</v>
      </c>
      <c r="C64" s="26" t="s">
        <v>78</v>
      </c>
      <c r="D64" s="30">
        <v>50</v>
      </c>
      <c r="E64" s="28">
        <v>493.96949999999998</v>
      </c>
      <c r="F64" s="29">
        <v>9.2924988959601496E-2</v>
      </c>
    </row>
    <row r="65" spans="1:9" x14ac:dyDescent="0.2">
      <c r="A65" s="26" t="s">
        <v>356</v>
      </c>
      <c r="B65" s="26" t="s">
        <v>332</v>
      </c>
      <c r="C65" s="26" t="s">
        <v>107</v>
      </c>
      <c r="D65" s="30">
        <v>50</v>
      </c>
      <c r="E65" s="28">
        <v>488.45749999999998</v>
      </c>
      <c r="F65" s="29">
        <v>9.1888077694543005E-2</v>
      </c>
    </row>
    <row r="66" spans="1:9" x14ac:dyDescent="0.2">
      <c r="A66" s="26" t="s">
        <v>358</v>
      </c>
      <c r="B66" s="26" t="s">
        <v>357</v>
      </c>
      <c r="C66" s="26" t="s">
        <v>98</v>
      </c>
      <c r="D66" s="30">
        <v>500</v>
      </c>
      <c r="E66" s="28">
        <v>480.6705</v>
      </c>
      <c r="F66" s="29">
        <v>9.0423195978104207E-2</v>
      </c>
    </row>
    <row r="67" spans="1:9" x14ac:dyDescent="0.2">
      <c r="A67" s="26" t="s">
        <v>109</v>
      </c>
      <c r="B67" s="26" t="s">
        <v>108</v>
      </c>
      <c r="C67" s="26" t="s">
        <v>103</v>
      </c>
      <c r="D67" s="30">
        <v>76</v>
      </c>
      <c r="E67" s="28">
        <v>376.95468</v>
      </c>
      <c r="F67" s="29">
        <v>7.0912292109674993E-2</v>
      </c>
    </row>
    <row r="68" spans="1:9" x14ac:dyDescent="0.2">
      <c r="A68" s="26" t="s">
        <v>360</v>
      </c>
      <c r="B68" s="26" t="s">
        <v>359</v>
      </c>
      <c r="C68" s="26" t="s">
        <v>176</v>
      </c>
      <c r="D68" s="30">
        <v>30</v>
      </c>
      <c r="E68" s="28">
        <v>302.33249999999998</v>
      </c>
      <c r="F68" s="29">
        <v>5.6874451205243898E-2</v>
      </c>
    </row>
    <row r="69" spans="1:9" x14ac:dyDescent="0.2">
      <c r="A69" s="26" t="s">
        <v>362</v>
      </c>
      <c r="B69" s="26" t="s">
        <v>361</v>
      </c>
      <c r="C69" s="26" t="s">
        <v>176</v>
      </c>
      <c r="D69" s="30">
        <v>28</v>
      </c>
      <c r="E69" s="28">
        <v>282.44159999999999</v>
      </c>
      <c r="F69" s="29">
        <v>5.3132597380470201E-2</v>
      </c>
    </row>
    <row r="70" spans="1:9" x14ac:dyDescent="0.2">
      <c r="A70" s="26" t="s">
        <v>364</v>
      </c>
      <c r="B70" s="26" t="s">
        <v>363</v>
      </c>
      <c r="C70" s="26" t="s">
        <v>365</v>
      </c>
      <c r="D70" s="30">
        <v>18</v>
      </c>
      <c r="E70" s="28">
        <v>213.37739999999999</v>
      </c>
      <c r="F70" s="29">
        <v>4.0140317447187497E-2</v>
      </c>
    </row>
    <row r="71" spans="1:9" x14ac:dyDescent="0.2">
      <c r="A71" s="26" t="s">
        <v>367</v>
      </c>
      <c r="B71" s="26" t="s">
        <v>366</v>
      </c>
      <c r="C71" s="26" t="s">
        <v>176</v>
      </c>
      <c r="D71" s="30">
        <v>12</v>
      </c>
      <c r="E71" s="28">
        <v>123.33228</v>
      </c>
      <c r="F71" s="29">
        <v>2.3201130347850402E-2</v>
      </c>
    </row>
    <row r="72" spans="1:9" x14ac:dyDescent="0.2">
      <c r="A72" s="26" t="s">
        <v>369</v>
      </c>
      <c r="B72" s="26" t="s">
        <v>368</v>
      </c>
      <c r="C72" s="26" t="s">
        <v>176</v>
      </c>
      <c r="D72" s="30">
        <v>12</v>
      </c>
      <c r="E72" s="28">
        <v>121.42440000000001</v>
      </c>
      <c r="F72" s="29">
        <v>2.2842222099595699E-2</v>
      </c>
    </row>
    <row r="73" spans="1:9" x14ac:dyDescent="0.2">
      <c r="A73" s="26" t="s">
        <v>156</v>
      </c>
      <c r="B73" s="26" t="s">
        <v>155</v>
      </c>
      <c r="C73" s="26" t="s">
        <v>148</v>
      </c>
      <c r="D73" s="30">
        <v>4000</v>
      </c>
      <c r="E73" s="28">
        <v>38.871079999999999</v>
      </c>
      <c r="F73" s="28">
        <v>7.3123840234018203E-3</v>
      </c>
    </row>
    <row r="74" spans="1:9" x14ac:dyDescent="0.2">
      <c r="A74" s="26" t="s">
        <v>154</v>
      </c>
      <c r="B74" s="26" t="s">
        <v>153</v>
      </c>
      <c r="C74" s="26" t="s">
        <v>73</v>
      </c>
      <c r="D74" s="30">
        <v>3</v>
      </c>
      <c r="E74" s="28">
        <v>29.023289999999999</v>
      </c>
      <c r="F74" s="28">
        <v>5.4598288008091897E-3</v>
      </c>
    </row>
    <row r="75" spans="1:9" ht="10.5" x14ac:dyDescent="0.25">
      <c r="A75" s="25" t="s">
        <v>177</v>
      </c>
      <c r="B75" s="25"/>
      <c r="C75" s="25"/>
      <c r="D75" s="31"/>
      <c r="E75" s="32">
        <f>SUM(E6:E74)</f>
        <v>492122.35494500014</v>
      </c>
      <c r="F75" s="33">
        <f>SUM(F6:F74)</f>
        <v>92.577506101160523</v>
      </c>
      <c r="G75" s="17"/>
      <c r="H75" s="17"/>
      <c r="I75" s="17"/>
    </row>
    <row r="76" spans="1:9" x14ac:dyDescent="0.2">
      <c r="A76" s="26"/>
      <c r="B76" s="26"/>
      <c r="C76" s="26"/>
      <c r="D76" s="27"/>
      <c r="E76" s="28"/>
      <c r="F76" s="29"/>
    </row>
    <row r="77" spans="1:9" ht="10.5" x14ac:dyDescent="0.25">
      <c r="A77" s="25" t="s">
        <v>178</v>
      </c>
      <c r="B77" s="26"/>
      <c r="C77" s="26"/>
      <c r="D77" s="27"/>
      <c r="E77" s="28"/>
      <c r="F77" s="29"/>
    </row>
    <row r="78" spans="1:9" x14ac:dyDescent="0.2">
      <c r="A78" s="26" t="s">
        <v>371</v>
      </c>
      <c r="B78" s="26" t="s">
        <v>370</v>
      </c>
      <c r="C78" s="26" t="s">
        <v>274</v>
      </c>
      <c r="D78" s="30">
        <v>350</v>
      </c>
      <c r="E78" s="28">
        <v>34967.135000000002</v>
      </c>
      <c r="F78" s="29">
        <v>6.5779782634836703</v>
      </c>
    </row>
    <row r="79" spans="1:9" x14ac:dyDescent="0.2">
      <c r="A79" s="26" t="s">
        <v>373</v>
      </c>
      <c r="B79" s="26" t="s">
        <v>372</v>
      </c>
      <c r="C79" s="26" t="s">
        <v>86</v>
      </c>
      <c r="D79" s="30">
        <v>2560</v>
      </c>
      <c r="E79" s="28">
        <v>24213.862400000002</v>
      </c>
      <c r="F79" s="29">
        <v>4.5550846685661996</v>
      </c>
    </row>
    <row r="80" spans="1:9" x14ac:dyDescent="0.2">
      <c r="A80" s="26" t="s">
        <v>375</v>
      </c>
      <c r="B80" s="26" t="s">
        <v>374</v>
      </c>
      <c r="C80" s="26" t="s">
        <v>216</v>
      </c>
      <c r="D80" s="30">
        <v>2450</v>
      </c>
      <c r="E80" s="28">
        <v>24104.521000000001</v>
      </c>
      <c r="F80" s="29">
        <v>4.5345154868903501</v>
      </c>
    </row>
    <row r="81" spans="1:6" x14ac:dyDescent="0.2">
      <c r="A81" s="26" t="s">
        <v>377</v>
      </c>
      <c r="B81" s="26" t="s">
        <v>376</v>
      </c>
      <c r="C81" s="26" t="s">
        <v>378</v>
      </c>
      <c r="D81" s="30">
        <v>1480</v>
      </c>
      <c r="E81" s="28">
        <v>14047.5236</v>
      </c>
      <c r="F81" s="29">
        <v>2.6426044025789901</v>
      </c>
    </row>
    <row r="82" spans="1:6" x14ac:dyDescent="0.2">
      <c r="A82" s="26" t="s">
        <v>380</v>
      </c>
      <c r="B82" s="26" t="s">
        <v>379</v>
      </c>
      <c r="C82" s="26" t="s">
        <v>381</v>
      </c>
      <c r="D82" s="30">
        <v>1660</v>
      </c>
      <c r="E82" s="28">
        <v>13983.56112</v>
      </c>
      <c r="F82" s="29">
        <v>2.6305718524967898</v>
      </c>
    </row>
    <row r="83" spans="1:6" x14ac:dyDescent="0.2">
      <c r="A83" s="26" t="s">
        <v>213</v>
      </c>
      <c r="B83" s="26" t="s">
        <v>212</v>
      </c>
      <c r="C83" s="26" t="s">
        <v>86</v>
      </c>
      <c r="D83" s="30">
        <v>1150</v>
      </c>
      <c r="E83" s="28">
        <v>11538.663</v>
      </c>
      <c r="F83" s="29">
        <v>2.1706403571142801</v>
      </c>
    </row>
    <row r="84" spans="1:6" x14ac:dyDescent="0.2">
      <c r="A84" s="26" t="s">
        <v>383</v>
      </c>
      <c r="B84" s="26" t="s">
        <v>382</v>
      </c>
      <c r="C84" s="26" t="s">
        <v>381</v>
      </c>
      <c r="D84" s="30">
        <v>1280</v>
      </c>
      <c r="E84" s="28">
        <v>11027.719279999999</v>
      </c>
      <c r="F84" s="29">
        <v>2.0745221969040299</v>
      </c>
    </row>
    <row r="85" spans="1:6" x14ac:dyDescent="0.2">
      <c r="A85" s="26" t="s">
        <v>385</v>
      </c>
      <c r="B85" s="26" t="s">
        <v>384</v>
      </c>
      <c r="C85" s="26" t="s">
        <v>386</v>
      </c>
      <c r="D85" s="30">
        <v>15</v>
      </c>
      <c r="E85" s="28">
        <v>7520.3175000000001</v>
      </c>
      <c r="F85" s="29">
        <v>1.4147137032958499</v>
      </c>
    </row>
    <row r="86" spans="1:6" x14ac:dyDescent="0.2">
      <c r="A86" s="26" t="s">
        <v>388</v>
      </c>
      <c r="B86" s="26" t="s">
        <v>387</v>
      </c>
      <c r="C86" s="26" t="s">
        <v>389</v>
      </c>
      <c r="D86" s="30">
        <v>1000</v>
      </c>
      <c r="E86" s="28">
        <v>7500</v>
      </c>
      <c r="F86" s="29">
        <v>1.41089159795698</v>
      </c>
    </row>
    <row r="87" spans="1:6" x14ac:dyDescent="0.2">
      <c r="A87" s="26" t="s">
        <v>391</v>
      </c>
      <c r="B87" s="26" t="s">
        <v>390</v>
      </c>
      <c r="C87" s="26" t="s">
        <v>216</v>
      </c>
      <c r="D87" s="30">
        <v>650</v>
      </c>
      <c r="E87" s="28">
        <v>6381.3684999999996</v>
      </c>
      <c r="F87" s="29">
        <v>1.20045589334898</v>
      </c>
    </row>
    <row r="88" spans="1:6" x14ac:dyDescent="0.2">
      <c r="A88" s="26" t="s">
        <v>393</v>
      </c>
      <c r="B88" s="26" t="s">
        <v>392</v>
      </c>
      <c r="C88" s="26" t="s">
        <v>389</v>
      </c>
      <c r="D88" s="30">
        <v>800</v>
      </c>
      <c r="E88" s="28">
        <v>6000</v>
      </c>
      <c r="F88" s="29">
        <v>1.12871327836559</v>
      </c>
    </row>
    <row r="89" spans="1:6" x14ac:dyDescent="0.2">
      <c r="A89" s="26" t="s">
        <v>395</v>
      </c>
      <c r="B89" s="26" t="s">
        <v>394</v>
      </c>
      <c r="C89" s="26" t="s">
        <v>389</v>
      </c>
      <c r="D89" s="30">
        <v>600</v>
      </c>
      <c r="E89" s="28">
        <v>4500</v>
      </c>
      <c r="F89" s="29">
        <v>0.84653495877418905</v>
      </c>
    </row>
    <row r="90" spans="1:6" x14ac:dyDescent="0.2">
      <c r="A90" s="26" t="s">
        <v>397</v>
      </c>
      <c r="B90" s="26" t="s">
        <v>396</v>
      </c>
      <c r="C90" s="26" t="s">
        <v>398</v>
      </c>
      <c r="D90" s="30">
        <v>500</v>
      </c>
      <c r="E90" s="28">
        <v>3750</v>
      </c>
      <c r="F90" s="29">
        <v>0.70544579897849102</v>
      </c>
    </row>
    <row r="91" spans="1:6" x14ac:dyDescent="0.2">
      <c r="A91" s="26" t="s">
        <v>400</v>
      </c>
      <c r="B91" s="26" t="s">
        <v>399</v>
      </c>
      <c r="C91" s="26" t="s">
        <v>381</v>
      </c>
      <c r="D91" s="30">
        <v>385</v>
      </c>
      <c r="E91" s="28">
        <v>3465.7020550000002</v>
      </c>
      <c r="F91" s="29">
        <v>0.65196398805623301</v>
      </c>
    </row>
    <row r="92" spans="1:6" x14ac:dyDescent="0.2">
      <c r="A92" s="26" t="s">
        <v>402</v>
      </c>
      <c r="B92" s="26" t="s">
        <v>401</v>
      </c>
      <c r="C92" s="26" t="s">
        <v>163</v>
      </c>
      <c r="D92" s="30">
        <v>300</v>
      </c>
      <c r="E92" s="28">
        <v>2925.0509999999999</v>
      </c>
      <c r="F92" s="29">
        <v>0.55025731726608895</v>
      </c>
    </row>
    <row r="93" spans="1:6" x14ac:dyDescent="0.2">
      <c r="A93" s="26" t="s">
        <v>404</v>
      </c>
      <c r="B93" s="26" t="s">
        <v>403</v>
      </c>
      <c r="C93" s="26" t="s">
        <v>389</v>
      </c>
      <c r="D93" s="30">
        <v>375</v>
      </c>
      <c r="E93" s="28">
        <v>2812.5</v>
      </c>
      <c r="F93" s="29">
        <v>0.52908434923386805</v>
      </c>
    </row>
    <row r="94" spans="1:6" x14ac:dyDescent="0.2">
      <c r="A94" s="26" t="s">
        <v>406</v>
      </c>
      <c r="B94" s="26" t="s">
        <v>405</v>
      </c>
      <c r="C94" s="26" t="s">
        <v>389</v>
      </c>
      <c r="D94" s="30">
        <v>350</v>
      </c>
      <c r="E94" s="28">
        <v>2625</v>
      </c>
      <c r="F94" s="29">
        <v>0.49381205928494398</v>
      </c>
    </row>
    <row r="95" spans="1:6" x14ac:dyDescent="0.2">
      <c r="A95" s="26" t="s">
        <v>408</v>
      </c>
      <c r="B95" s="26" t="s">
        <v>407</v>
      </c>
      <c r="C95" s="26" t="s">
        <v>398</v>
      </c>
      <c r="D95" s="30">
        <v>394</v>
      </c>
      <c r="E95" s="28">
        <v>2462.6944720000001</v>
      </c>
      <c r="F95" s="29">
        <v>0.46327932518398701</v>
      </c>
    </row>
    <row r="96" spans="1:6" x14ac:dyDescent="0.2">
      <c r="A96" s="26" t="s">
        <v>410</v>
      </c>
      <c r="B96" s="26" t="s">
        <v>409</v>
      </c>
      <c r="C96" s="26" t="s">
        <v>398</v>
      </c>
      <c r="D96" s="30">
        <v>300</v>
      </c>
      <c r="E96" s="28">
        <v>2250</v>
      </c>
      <c r="F96" s="29">
        <v>0.42326747938709502</v>
      </c>
    </row>
    <row r="97" spans="1:6" x14ac:dyDescent="0.2">
      <c r="A97" s="26" t="s">
        <v>412</v>
      </c>
      <c r="B97" s="26" t="s">
        <v>411</v>
      </c>
      <c r="C97" s="26" t="s">
        <v>413</v>
      </c>
      <c r="D97" s="30">
        <v>80</v>
      </c>
      <c r="E97" s="28">
        <v>2116.12</v>
      </c>
      <c r="F97" s="29">
        <v>0.39808212376916402</v>
      </c>
    </row>
    <row r="98" spans="1:6" x14ac:dyDescent="0.2">
      <c r="A98" s="26" t="s">
        <v>220</v>
      </c>
      <c r="B98" s="26" t="s">
        <v>219</v>
      </c>
      <c r="C98" s="26" t="s">
        <v>67</v>
      </c>
      <c r="D98" s="30">
        <v>15</v>
      </c>
      <c r="E98" s="28">
        <v>1949.1479999999999</v>
      </c>
      <c r="F98" s="29">
        <v>0.36667153818328702</v>
      </c>
    </row>
    <row r="99" spans="1:6" x14ac:dyDescent="0.2">
      <c r="A99" s="26" t="s">
        <v>415</v>
      </c>
      <c r="B99" s="26" t="s">
        <v>414</v>
      </c>
      <c r="C99" s="26" t="s">
        <v>389</v>
      </c>
      <c r="D99" s="30">
        <v>250</v>
      </c>
      <c r="E99" s="28">
        <v>1875</v>
      </c>
      <c r="F99" s="29">
        <v>0.35272289948924501</v>
      </c>
    </row>
    <row r="100" spans="1:6" x14ac:dyDescent="0.2">
      <c r="A100" s="26" t="s">
        <v>417</v>
      </c>
      <c r="B100" s="26" t="s">
        <v>416</v>
      </c>
      <c r="C100" s="26" t="s">
        <v>418</v>
      </c>
      <c r="D100" s="30">
        <v>186</v>
      </c>
      <c r="E100" s="28">
        <v>1808.5319400000001</v>
      </c>
      <c r="F100" s="29">
        <v>0.34021900250437898</v>
      </c>
    </row>
    <row r="101" spans="1:6" x14ac:dyDescent="0.2">
      <c r="A101" s="26" t="s">
        <v>420</v>
      </c>
      <c r="B101" s="26" t="s">
        <v>419</v>
      </c>
      <c r="C101" s="26" t="s">
        <v>398</v>
      </c>
      <c r="D101" s="30">
        <v>200</v>
      </c>
      <c r="E101" s="28">
        <v>1500</v>
      </c>
      <c r="F101" s="29">
        <v>0.282178319591396</v>
      </c>
    </row>
    <row r="102" spans="1:6" x14ac:dyDescent="0.2">
      <c r="A102" s="26" t="s">
        <v>422</v>
      </c>
      <c r="B102" s="26" t="s">
        <v>421</v>
      </c>
      <c r="C102" s="26" t="s">
        <v>381</v>
      </c>
      <c r="D102" s="30">
        <v>150</v>
      </c>
      <c r="E102" s="28">
        <v>1323.699975</v>
      </c>
      <c r="F102" s="29">
        <v>0.249012956392449</v>
      </c>
    </row>
    <row r="103" spans="1:6" x14ac:dyDescent="0.2">
      <c r="A103" s="26" t="s">
        <v>424</v>
      </c>
      <c r="B103" s="26" t="s">
        <v>423</v>
      </c>
      <c r="C103" s="26" t="s">
        <v>425</v>
      </c>
      <c r="D103" s="30">
        <v>468</v>
      </c>
      <c r="E103" s="28">
        <v>1250.9639999999999</v>
      </c>
      <c r="F103" s="29">
        <v>0.235329946259554</v>
      </c>
    </row>
    <row r="104" spans="1:6" x14ac:dyDescent="0.2">
      <c r="A104" s="26" t="s">
        <v>427</v>
      </c>
      <c r="B104" s="26" t="s">
        <v>426</v>
      </c>
      <c r="C104" s="26" t="s">
        <v>428</v>
      </c>
      <c r="D104" s="30">
        <v>102</v>
      </c>
      <c r="E104" s="28">
        <v>1028.74038</v>
      </c>
      <c r="F104" s="29">
        <v>0.19352548781614301</v>
      </c>
    </row>
    <row r="105" spans="1:6" x14ac:dyDescent="0.2">
      <c r="A105" s="26" t="s">
        <v>211</v>
      </c>
      <c r="B105" s="26" t="s">
        <v>210</v>
      </c>
      <c r="C105" s="26" t="s">
        <v>73</v>
      </c>
      <c r="D105" s="30">
        <v>100</v>
      </c>
      <c r="E105" s="28">
        <v>999.21600000000001</v>
      </c>
      <c r="F105" s="29">
        <v>0.18797139452589101</v>
      </c>
    </row>
    <row r="106" spans="1:6" x14ac:dyDescent="0.2">
      <c r="A106" s="26" t="s">
        <v>430</v>
      </c>
      <c r="B106" s="26" t="s">
        <v>429</v>
      </c>
      <c r="C106" s="26" t="s">
        <v>398</v>
      </c>
      <c r="D106" s="30">
        <v>250</v>
      </c>
      <c r="E106" s="28">
        <v>937.5</v>
      </c>
      <c r="F106" s="29">
        <v>0.17636144974462301</v>
      </c>
    </row>
    <row r="107" spans="1:6" x14ac:dyDescent="0.2">
      <c r="A107" s="26" t="s">
        <v>432</v>
      </c>
      <c r="B107" s="26" t="s">
        <v>431</v>
      </c>
      <c r="C107" s="26" t="s">
        <v>433</v>
      </c>
      <c r="D107" s="30">
        <v>1678</v>
      </c>
      <c r="E107" s="28">
        <v>839</v>
      </c>
      <c r="F107" s="29">
        <v>0.15783174009145401</v>
      </c>
    </row>
    <row r="108" spans="1:6" x14ac:dyDescent="0.2">
      <c r="A108" s="26" t="s">
        <v>435</v>
      </c>
      <c r="B108" s="26" t="s">
        <v>434</v>
      </c>
      <c r="C108" s="26" t="s">
        <v>413</v>
      </c>
      <c r="D108" s="30">
        <v>31</v>
      </c>
      <c r="E108" s="28">
        <v>811.63890000000004</v>
      </c>
      <c r="F108" s="29">
        <v>0.15268460061134001</v>
      </c>
    </row>
    <row r="109" spans="1:6" x14ac:dyDescent="0.2">
      <c r="A109" s="26" t="s">
        <v>185</v>
      </c>
      <c r="B109" s="26" t="s">
        <v>184</v>
      </c>
      <c r="C109" s="26" t="s">
        <v>186</v>
      </c>
      <c r="D109" s="30">
        <v>50</v>
      </c>
      <c r="E109" s="28">
        <v>688.21950000000004</v>
      </c>
      <c r="F109" s="29">
        <v>0.129467081346687</v>
      </c>
    </row>
    <row r="110" spans="1:6" x14ac:dyDescent="0.2">
      <c r="A110" s="26" t="s">
        <v>194</v>
      </c>
      <c r="B110" s="26" t="s">
        <v>193</v>
      </c>
      <c r="C110" s="26" t="s">
        <v>186</v>
      </c>
      <c r="D110" s="30">
        <v>50</v>
      </c>
      <c r="E110" s="28">
        <v>688.21950000000004</v>
      </c>
      <c r="F110" s="29">
        <v>0.129467081346687</v>
      </c>
    </row>
    <row r="111" spans="1:6" x14ac:dyDescent="0.2">
      <c r="A111" s="26" t="s">
        <v>437</v>
      </c>
      <c r="B111" s="26" t="s">
        <v>436</v>
      </c>
      <c r="C111" s="26" t="s">
        <v>398</v>
      </c>
      <c r="D111" s="30">
        <v>100</v>
      </c>
      <c r="E111" s="28">
        <v>562.5</v>
      </c>
      <c r="F111" s="29">
        <v>0.10581686984677401</v>
      </c>
    </row>
    <row r="112" spans="1:6" x14ac:dyDescent="0.2">
      <c r="A112" s="26" t="s">
        <v>439</v>
      </c>
      <c r="B112" s="26" t="s">
        <v>438</v>
      </c>
      <c r="C112" s="26" t="s">
        <v>398</v>
      </c>
      <c r="D112" s="30">
        <v>200</v>
      </c>
      <c r="E112" s="28">
        <v>500</v>
      </c>
      <c r="F112" s="29">
        <v>9.4059439863798805E-2</v>
      </c>
    </row>
    <row r="113" spans="1:9" x14ac:dyDescent="0.2">
      <c r="A113" s="26" t="s">
        <v>441</v>
      </c>
      <c r="B113" s="26" t="s">
        <v>440</v>
      </c>
      <c r="C113" s="26" t="s">
        <v>433</v>
      </c>
      <c r="D113" s="30">
        <v>786</v>
      </c>
      <c r="E113" s="28">
        <v>393</v>
      </c>
      <c r="F113" s="29">
        <v>7.3930719732945793E-2</v>
      </c>
    </row>
    <row r="114" spans="1:9" x14ac:dyDescent="0.2">
      <c r="A114" s="26" t="s">
        <v>443</v>
      </c>
      <c r="B114" s="26" t="s">
        <v>442</v>
      </c>
      <c r="C114" s="26" t="s">
        <v>176</v>
      </c>
      <c r="D114" s="30">
        <v>13</v>
      </c>
      <c r="E114" s="28">
        <v>129.23455999999999</v>
      </c>
      <c r="F114" s="29">
        <v>2.4311460649289001E-2</v>
      </c>
    </row>
    <row r="115" spans="1:9" x14ac:dyDescent="0.2">
      <c r="A115" s="26" t="s">
        <v>198</v>
      </c>
      <c r="B115" s="26" t="s">
        <v>197</v>
      </c>
      <c r="C115" s="26" t="s">
        <v>186</v>
      </c>
      <c r="D115" s="30">
        <v>10</v>
      </c>
      <c r="E115" s="28">
        <v>99.269400000000005</v>
      </c>
      <c r="F115" s="29">
        <v>1.8674448319230801E-2</v>
      </c>
    </row>
    <row r="116" spans="1:9" x14ac:dyDescent="0.2">
      <c r="A116" s="26" t="s">
        <v>445</v>
      </c>
      <c r="B116" s="26" t="s">
        <v>444</v>
      </c>
      <c r="C116" s="26" t="s">
        <v>433</v>
      </c>
      <c r="D116" s="30">
        <v>28</v>
      </c>
      <c r="E116" s="28">
        <v>14</v>
      </c>
      <c r="F116" s="29">
        <v>2.63366431618637E-3</v>
      </c>
    </row>
    <row r="117" spans="1:9" ht="10.5" x14ac:dyDescent="0.25">
      <c r="A117" s="25" t="s">
        <v>177</v>
      </c>
      <c r="B117" s="25"/>
      <c r="C117" s="25"/>
      <c r="D117" s="31"/>
      <c r="E117" s="32">
        <f>SUM(E77:E116)</f>
        <v>205589.621082</v>
      </c>
      <c r="F117" s="33">
        <f>SUM(F77:F116)</f>
        <v>38.675289201567125</v>
      </c>
      <c r="G117" s="17"/>
      <c r="H117" s="17"/>
      <c r="I117" s="17"/>
    </row>
    <row r="118" spans="1:9" x14ac:dyDescent="0.2">
      <c r="A118" s="26"/>
      <c r="B118" s="26"/>
      <c r="C118" s="26"/>
      <c r="D118" s="27"/>
      <c r="E118" s="28"/>
      <c r="F118" s="29"/>
    </row>
    <row r="119" spans="1:9" ht="10.5" x14ac:dyDescent="0.25">
      <c r="A119" s="25" t="s">
        <v>226</v>
      </c>
      <c r="B119" s="25"/>
      <c r="C119" s="25"/>
      <c r="D119" s="31"/>
      <c r="E119" s="32">
        <f>E75+E117</f>
        <v>697711.97602700011</v>
      </c>
      <c r="F119" s="33">
        <f>F75+F117</f>
        <v>131.25279530272763</v>
      </c>
      <c r="G119" s="17"/>
      <c r="H119" s="17"/>
      <c r="I119" s="17"/>
    </row>
    <row r="120" spans="1:9" ht="10.5" x14ac:dyDescent="0.25">
      <c r="A120" s="25"/>
      <c r="B120" s="25"/>
      <c r="C120" s="25"/>
      <c r="D120" s="31"/>
      <c r="E120" s="32"/>
      <c r="F120" s="33"/>
      <c r="G120" s="17"/>
      <c r="H120" s="17"/>
      <c r="I120" s="17"/>
    </row>
    <row r="121" spans="1:9" ht="10.5" x14ac:dyDescent="0.25">
      <c r="A121" s="25" t="s">
        <v>228</v>
      </c>
      <c r="B121" s="25"/>
      <c r="C121" s="25"/>
      <c r="D121" s="31"/>
      <c r="E121" s="32">
        <f>E123-(E75+E117)</f>
        <v>-166133.22037630016</v>
      </c>
      <c r="F121" s="33">
        <f>F123-(F75+F117)</f>
        <v>-31.252795302727634</v>
      </c>
      <c r="G121" s="17"/>
      <c r="H121" s="17"/>
      <c r="I121" s="17"/>
    </row>
    <row r="122" spans="1:9" ht="10.5" x14ac:dyDescent="0.25">
      <c r="A122" s="25"/>
      <c r="B122" s="25"/>
      <c r="C122" s="25"/>
      <c r="D122" s="31"/>
      <c r="E122" s="32"/>
      <c r="F122" s="33"/>
      <c r="G122" s="17"/>
      <c r="H122" s="17"/>
      <c r="I122" s="17"/>
    </row>
    <row r="123" spans="1:9" ht="10.5" x14ac:dyDescent="0.25">
      <c r="A123" s="34" t="s">
        <v>227</v>
      </c>
      <c r="B123" s="34"/>
      <c r="C123" s="34"/>
      <c r="D123" s="35"/>
      <c r="E123" s="36">
        <v>531578.75565069995</v>
      </c>
      <c r="F123" s="37">
        <v>100</v>
      </c>
      <c r="G123" s="17"/>
      <c r="H123" s="17"/>
      <c r="I123" s="17"/>
    </row>
    <row r="124" spans="1:9" ht="10.5" x14ac:dyDescent="0.25">
      <c r="A124" s="17" t="s">
        <v>231</v>
      </c>
      <c r="F124" s="19" t="s">
        <v>446</v>
      </c>
    </row>
    <row r="125" spans="1:9" ht="10.5" x14ac:dyDescent="0.25">
      <c r="A125" s="58" t="s">
        <v>1601</v>
      </c>
    </row>
    <row r="126" spans="1:9" ht="10.5" x14ac:dyDescent="0.25">
      <c r="A126" s="59" t="s">
        <v>1607</v>
      </c>
    </row>
    <row r="127" spans="1:9" ht="10.5" x14ac:dyDescent="0.25">
      <c r="A127" s="59"/>
    </row>
    <row r="128" spans="1:9" ht="10.5" x14ac:dyDescent="0.25">
      <c r="A128" s="17" t="s">
        <v>232</v>
      </c>
    </row>
    <row r="129" spans="1:4" ht="10.5" x14ac:dyDescent="0.25">
      <c r="A129" s="17" t="s">
        <v>233</v>
      </c>
    </row>
    <row r="130" spans="1:4" ht="10.5" x14ac:dyDescent="0.25">
      <c r="A130" s="17" t="s">
        <v>234</v>
      </c>
      <c r="B130" s="17"/>
      <c r="C130" s="38" t="s">
        <v>236</v>
      </c>
      <c r="D130" s="18" t="s">
        <v>235</v>
      </c>
    </row>
    <row r="131" spans="1:4" x14ac:dyDescent="0.2">
      <c r="A131" s="10" t="s">
        <v>237</v>
      </c>
      <c r="C131" s="39">
        <v>4075.2341999999999</v>
      </c>
      <c r="D131" s="39">
        <v>3688.9522000000002</v>
      </c>
    </row>
    <row r="132" spans="1:4" x14ac:dyDescent="0.2">
      <c r="A132" s="10" t="s">
        <v>239</v>
      </c>
      <c r="C132" s="39">
        <v>1063.6279999999999</v>
      </c>
      <c r="D132" s="39">
        <v>932.36329999999998</v>
      </c>
    </row>
    <row r="133" spans="1:4" x14ac:dyDescent="0.2">
      <c r="A133" s="10" t="s">
        <v>447</v>
      </c>
      <c r="C133" s="39">
        <v>1183.3558</v>
      </c>
      <c r="D133" s="39">
        <v>1029.375</v>
      </c>
    </row>
    <row r="134" spans="1:4" x14ac:dyDescent="0.2">
      <c r="A134" s="10" t="s">
        <v>448</v>
      </c>
      <c r="C134" s="39">
        <v>1232.0909999999999</v>
      </c>
      <c r="D134" s="39">
        <v>1070.8680999999999</v>
      </c>
    </row>
    <row r="135" spans="1:4" x14ac:dyDescent="0.2">
      <c r="A135" s="10" t="s">
        <v>240</v>
      </c>
      <c r="C135" s="39">
        <v>3370.7242000000001</v>
      </c>
      <c r="D135" s="39">
        <v>3056.0976000000001</v>
      </c>
    </row>
    <row r="136" spans="1:4" x14ac:dyDescent="0.2">
      <c r="A136" s="10" t="s">
        <v>449</v>
      </c>
      <c r="C136" s="39">
        <v>4297.1261999999997</v>
      </c>
      <c r="D136" s="39">
        <v>3903.7730999999999</v>
      </c>
    </row>
    <row r="137" spans="1:4" x14ac:dyDescent="0.2">
      <c r="A137" s="10" t="s">
        <v>450</v>
      </c>
      <c r="C137" s="39">
        <v>1066.8933</v>
      </c>
      <c r="D137" s="39">
        <v>936.79560000000004</v>
      </c>
    </row>
    <row r="138" spans="1:4" x14ac:dyDescent="0.2">
      <c r="A138" s="10" t="s">
        <v>451</v>
      </c>
      <c r="C138" s="39">
        <v>1264.6289999999999</v>
      </c>
      <c r="D138" s="39">
        <v>1107.0469000000001</v>
      </c>
    </row>
    <row r="139" spans="1:4" x14ac:dyDescent="0.2">
      <c r="A139" s="10" t="s">
        <v>452</v>
      </c>
      <c r="C139" s="39">
        <v>1318.3896999999999</v>
      </c>
      <c r="D139" s="39">
        <v>1153.2346</v>
      </c>
    </row>
    <row r="141" spans="1:4" ht="10.5" x14ac:dyDescent="0.25">
      <c r="A141" s="17" t="s">
        <v>248</v>
      </c>
    </row>
    <row r="142" spans="1:4" ht="10.5" x14ac:dyDescent="0.25">
      <c r="A142" s="84" t="s">
        <v>249</v>
      </c>
      <c r="B142" s="85"/>
      <c r="C142" s="82" t="s">
        <v>250</v>
      </c>
      <c r="D142" s="83"/>
    </row>
    <row r="143" spans="1:4" ht="10.5" x14ac:dyDescent="0.25">
      <c r="A143" s="84"/>
      <c r="B143" s="85"/>
      <c r="C143" s="40" t="s">
        <v>251</v>
      </c>
      <c r="D143" s="41" t="s">
        <v>252</v>
      </c>
    </row>
    <row r="144" spans="1:4" x14ac:dyDescent="0.2">
      <c r="A144" s="78" t="s">
        <v>239</v>
      </c>
      <c r="B144" s="79"/>
      <c r="C144" s="42">
        <v>23.908806992999999</v>
      </c>
      <c r="D144" s="42">
        <v>22.139674427999999</v>
      </c>
    </row>
    <row r="145" spans="1:6" x14ac:dyDescent="0.2">
      <c r="A145" s="78" t="s">
        <v>447</v>
      </c>
      <c r="B145" s="79"/>
      <c r="C145" s="42">
        <v>33.312504625000003</v>
      </c>
      <c r="D145" s="42">
        <v>31.247118389000001</v>
      </c>
    </row>
    <row r="146" spans="1:6" x14ac:dyDescent="0.2">
      <c r="A146" s="78" t="s">
        <v>448</v>
      </c>
      <c r="B146" s="79"/>
      <c r="C146" s="42">
        <v>33.8551669</v>
      </c>
      <c r="D146" s="42">
        <v>31.35005327</v>
      </c>
    </row>
    <row r="147" spans="1:6" x14ac:dyDescent="0.2">
      <c r="A147" s="78" t="s">
        <v>450</v>
      </c>
      <c r="B147" s="79"/>
      <c r="C147" s="42">
        <v>25.591408788999999</v>
      </c>
      <c r="D147" s="42">
        <v>23.697772076</v>
      </c>
    </row>
    <row r="148" spans="1:6" x14ac:dyDescent="0.2">
      <c r="A148" s="78" t="s">
        <v>451</v>
      </c>
      <c r="B148" s="79"/>
      <c r="C148" s="42">
        <v>33.312504625000003</v>
      </c>
      <c r="D148" s="42">
        <v>31.247118389000001</v>
      </c>
    </row>
    <row r="149" spans="1:6" x14ac:dyDescent="0.2">
      <c r="A149" s="78" t="s">
        <v>452</v>
      </c>
      <c r="B149" s="79"/>
      <c r="C149" s="42">
        <v>33.8551669</v>
      </c>
      <c r="D149" s="42">
        <v>31.35005327</v>
      </c>
    </row>
    <row r="151" spans="1:6" ht="10.5" x14ac:dyDescent="0.25">
      <c r="A151" s="17" t="s">
        <v>253</v>
      </c>
      <c r="D151" s="43">
        <v>3.2068996952602702</v>
      </c>
      <c r="E151" s="15" t="s">
        <v>254</v>
      </c>
    </row>
    <row r="153" spans="1:6" ht="10.5" x14ac:dyDescent="0.25">
      <c r="A153" s="17" t="s">
        <v>255</v>
      </c>
      <c r="D153" s="46" t="s">
        <v>256</v>
      </c>
    </row>
    <row r="154" spans="1:6" x14ac:dyDescent="0.2">
      <c r="A154" s="10" t="s">
        <v>257</v>
      </c>
    </row>
    <row r="155" spans="1:6" ht="14.5" x14ac:dyDescent="0.35">
      <c r="A155" s="44" t="s">
        <v>1613</v>
      </c>
    </row>
    <row r="159" spans="1:6" s="1" customFormat="1" ht="14" x14ac:dyDescent="0.25">
      <c r="A159" s="80" t="s">
        <v>453</v>
      </c>
      <c r="B159" s="81"/>
      <c r="C159" s="81"/>
      <c r="D159" s="81"/>
      <c r="E159" s="81"/>
      <c r="F159" s="81"/>
    </row>
    <row r="160" spans="1:6" ht="10.5" x14ac:dyDescent="0.25">
      <c r="A160" s="17" t="s">
        <v>260</v>
      </c>
    </row>
    <row r="161" spans="1:9" ht="10.5" x14ac:dyDescent="0.25">
      <c r="A161" s="17" t="s">
        <v>6</v>
      </c>
    </row>
    <row r="162" spans="1:9" s="1" customFormat="1" ht="17.5" customHeight="1" x14ac:dyDescent="0.25">
      <c r="A162" s="8" t="s">
        <v>2</v>
      </c>
      <c r="B162" s="8" t="s">
        <v>0</v>
      </c>
      <c r="C162" s="8" t="s">
        <v>230</v>
      </c>
      <c r="D162" s="13" t="s">
        <v>1</v>
      </c>
      <c r="E162" s="9" t="s">
        <v>3</v>
      </c>
      <c r="F162" s="9" t="s">
        <v>4</v>
      </c>
    </row>
    <row r="163" spans="1:9" ht="10.5" x14ac:dyDescent="0.25">
      <c r="A163" s="20" t="s">
        <v>63</v>
      </c>
      <c r="B163" s="21"/>
      <c r="C163" s="21"/>
      <c r="D163" s="22"/>
      <c r="E163" s="23"/>
      <c r="F163" s="24"/>
    </row>
    <row r="164" spans="1:9" ht="10.5" x14ac:dyDescent="0.25">
      <c r="A164" s="25" t="s">
        <v>1605</v>
      </c>
      <c r="B164" s="26"/>
      <c r="C164" s="26"/>
      <c r="D164" s="27"/>
      <c r="E164" s="28"/>
      <c r="F164" s="29"/>
    </row>
    <row r="165" spans="1:9" x14ac:dyDescent="0.2">
      <c r="A165" s="26" t="s">
        <v>262</v>
      </c>
      <c r="B165" s="26" t="s">
        <v>261</v>
      </c>
      <c r="C165" s="26" t="s">
        <v>263</v>
      </c>
      <c r="D165" s="30">
        <v>850</v>
      </c>
      <c r="E165" s="53">
        <v>0</v>
      </c>
      <c r="F165" s="53">
        <v>100</v>
      </c>
    </row>
    <row r="166" spans="1:9" ht="10.5" x14ac:dyDescent="0.25">
      <c r="A166" s="25" t="s">
        <v>177</v>
      </c>
      <c r="B166" s="25"/>
      <c r="C166" s="25"/>
      <c r="D166" s="31"/>
      <c r="E166" s="51">
        <f>SUM(E164:E165)</f>
        <v>0</v>
      </c>
      <c r="F166" s="52">
        <f>SUM(F164:F165)</f>
        <v>100</v>
      </c>
      <c r="G166" s="17"/>
      <c r="H166" s="17"/>
      <c r="I166" s="17"/>
    </row>
    <row r="167" spans="1:9" x14ac:dyDescent="0.2">
      <c r="A167" s="26"/>
      <c r="B167" s="26"/>
      <c r="C167" s="26"/>
      <c r="D167" s="27"/>
      <c r="E167" s="53"/>
      <c r="F167" s="50"/>
    </row>
    <row r="168" spans="1:9" ht="10.5" x14ac:dyDescent="0.25">
      <c r="A168" s="25" t="s">
        <v>226</v>
      </c>
      <c r="B168" s="25"/>
      <c r="C168" s="25"/>
      <c r="D168" s="31"/>
      <c r="E168" s="51">
        <f>E166</f>
        <v>0</v>
      </c>
      <c r="F168" s="52">
        <f>F166</f>
        <v>100</v>
      </c>
      <c r="G168" s="17"/>
      <c r="H168" s="17"/>
      <c r="I168" s="17"/>
    </row>
    <row r="169" spans="1:9" ht="10.5" x14ac:dyDescent="0.25">
      <c r="A169" s="25"/>
      <c r="B169" s="25"/>
      <c r="C169" s="25"/>
      <c r="D169" s="31"/>
      <c r="E169" s="51"/>
      <c r="F169" s="52"/>
      <c r="G169" s="17"/>
      <c r="H169" s="17"/>
      <c r="I169" s="17"/>
    </row>
    <row r="170" spans="1:9" ht="10.5" x14ac:dyDescent="0.25">
      <c r="A170" s="25" t="s">
        <v>228</v>
      </c>
      <c r="B170" s="25"/>
      <c r="C170" s="25"/>
      <c r="D170" s="31"/>
      <c r="E170" s="51">
        <f>E172-(E166)</f>
        <v>8.9999999999999996E-7</v>
      </c>
      <c r="F170" s="33">
        <f>F172-(F166)</f>
        <v>0</v>
      </c>
      <c r="G170" s="17"/>
      <c r="H170" s="17"/>
      <c r="I170" s="17"/>
    </row>
    <row r="171" spans="1:9" ht="10.5" x14ac:dyDescent="0.25">
      <c r="A171" s="25"/>
      <c r="B171" s="25"/>
      <c r="C171" s="25"/>
      <c r="D171" s="31"/>
      <c r="E171" s="51"/>
      <c r="F171" s="52"/>
      <c r="G171" s="17"/>
      <c r="H171" s="17"/>
      <c r="I171" s="17"/>
    </row>
    <row r="172" spans="1:9" ht="10.5" x14ac:dyDescent="0.25">
      <c r="A172" s="34" t="s">
        <v>227</v>
      </c>
      <c r="B172" s="34"/>
      <c r="C172" s="34"/>
      <c r="D172" s="35"/>
      <c r="E172" s="54">
        <v>8.9999999999999996E-7</v>
      </c>
      <c r="F172" s="55">
        <v>100</v>
      </c>
      <c r="G172" s="17"/>
      <c r="H172" s="17"/>
      <c r="I172" s="17"/>
    </row>
    <row r="173" spans="1:9" ht="10.5" x14ac:dyDescent="0.25">
      <c r="A173" s="17" t="s">
        <v>231</v>
      </c>
      <c r="F173" s="19" t="s">
        <v>446</v>
      </c>
    </row>
    <row r="174" spans="1:9" ht="10.5" x14ac:dyDescent="0.25">
      <c r="A174" s="17" t="s">
        <v>1601</v>
      </c>
    </row>
    <row r="175" spans="1:9" ht="10.5" x14ac:dyDescent="0.25">
      <c r="A175" s="17" t="s">
        <v>1607</v>
      </c>
    </row>
    <row r="176" spans="1:9" ht="10.5" x14ac:dyDescent="0.25">
      <c r="A176" s="17"/>
    </row>
    <row r="177" spans="1:6" ht="10.5" x14ac:dyDescent="0.25">
      <c r="A177" s="17" t="s">
        <v>232</v>
      </c>
    </row>
    <row r="178" spans="1:6" ht="10.5" x14ac:dyDescent="0.25">
      <c r="A178" s="17" t="s">
        <v>233</v>
      </c>
    </row>
    <row r="179" spans="1:6" ht="10.5" x14ac:dyDescent="0.25">
      <c r="A179" s="17" t="s">
        <v>234</v>
      </c>
      <c r="B179" s="17"/>
      <c r="C179" s="38" t="s">
        <v>236</v>
      </c>
      <c r="D179" s="18" t="s">
        <v>235</v>
      </c>
    </row>
    <row r="180" spans="1:6" x14ac:dyDescent="0.2">
      <c r="A180" s="10" t="s">
        <v>237</v>
      </c>
      <c r="C180" s="56" t="s">
        <v>1602</v>
      </c>
      <c r="D180" s="39">
        <v>0</v>
      </c>
    </row>
    <row r="181" spans="1:6" x14ac:dyDescent="0.2">
      <c r="A181" s="10" t="s">
        <v>239</v>
      </c>
      <c r="C181" s="56" t="s">
        <v>1602</v>
      </c>
      <c r="D181" s="39">
        <v>0</v>
      </c>
    </row>
    <row r="182" spans="1:6" x14ac:dyDescent="0.2">
      <c r="A182" s="10" t="s">
        <v>447</v>
      </c>
      <c r="C182" s="56" t="s">
        <v>1602</v>
      </c>
      <c r="D182" s="39">
        <v>0</v>
      </c>
    </row>
    <row r="183" spans="1:6" x14ac:dyDescent="0.2">
      <c r="A183" s="10" t="s">
        <v>448</v>
      </c>
      <c r="C183" s="56" t="s">
        <v>1602</v>
      </c>
      <c r="D183" s="39">
        <v>0</v>
      </c>
    </row>
    <row r="184" spans="1:6" x14ac:dyDescent="0.2">
      <c r="A184" s="10" t="s">
        <v>240</v>
      </c>
      <c r="C184" s="56" t="s">
        <v>1602</v>
      </c>
      <c r="D184" s="39">
        <v>0</v>
      </c>
    </row>
    <row r="185" spans="1:6" x14ac:dyDescent="0.2">
      <c r="A185" s="10" t="s">
        <v>449</v>
      </c>
      <c r="C185" s="56" t="s">
        <v>1602</v>
      </c>
      <c r="D185" s="39">
        <v>0</v>
      </c>
    </row>
    <row r="186" spans="1:6" x14ac:dyDescent="0.2">
      <c r="A186" s="10" t="s">
        <v>450</v>
      </c>
      <c r="C186" s="56" t="s">
        <v>1602</v>
      </c>
      <c r="D186" s="39">
        <v>0</v>
      </c>
    </row>
    <row r="187" spans="1:6" x14ac:dyDescent="0.2">
      <c r="A187" s="10" t="s">
        <v>451</v>
      </c>
      <c r="C187" s="56" t="s">
        <v>1602</v>
      </c>
      <c r="D187" s="39">
        <v>0</v>
      </c>
    </row>
    <row r="188" spans="1:6" x14ac:dyDescent="0.2">
      <c r="A188" s="10" t="s">
        <v>452</v>
      </c>
      <c r="C188" s="56" t="s">
        <v>1602</v>
      </c>
      <c r="D188" s="39">
        <v>0</v>
      </c>
    </row>
    <row r="190" spans="1:6" ht="10.5" x14ac:dyDescent="0.25">
      <c r="A190" s="17" t="s">
        <v>1604</v>
      </c>
      <c r="D190" s="46" t="s">
        <v>256</v>
      </c>
      <c r="E190" s="43"/>
      <c r="F190" s="14"/>
    </row>
    <row r="191" spans="1:6" x14ac:dyDescent="0.2">
      <c r="A191" s="10" t="s">
        <v>257</v>
      </c>
      <c r="E191" s="43"/>
      <c r="F191" s="14"/>
    </row>
    <row r="192" spans="1:6" ht="14.5" x14ac:dyDescent="0.35">
      <c r="A192" s="44" t="s">
        <v>1613</v>
      </c>
      <c r="E192" s="43"/>
      <c r="F192" s="14"/>
    </row>
    <row r="195" spans="1:9" s="1" customFormat="1" ht="14" x14ac:dyDescent="0.25">
      <c r="A195" s="80" t="s">
        <v>454</v>
      </c>
      <c r="B195" s="81"/>
      <c r="C195" s="81"/>
      <c r="D195" s="81"/>
      <c r="E195" s="81"/>
      <c r="F195" s="81"/>
    </row>
    <row r="196" spans="1:9" ht="10.5" x14ac:dyDescent="0.25">
      <c r="A196" s="17" t="s">
        <v>455</v>
      </c>
    </row>
    <row r="197" spans="1:9" ht="10.5" x14ac:dyDescent="0.25">
      <c r="A197" s="17" t="s">
        <v>6</v>
      </c>
    </row>
    <row r="198" spans="1:9" s="1" customFormat="1" ht="17.5" customHeight="1" x14ac:dyDescent="0.25">
      <c r="A198" s="8" t="s">
        <v>2</v>
      </c>
      <c r="B198" s="8" t="s">
        <v>0</v>
      </c>
      <c r="C198" s="8" t="s">
        <v>230</v>
      </c>
      <c r="D198" s="13" t="s">
        <v>1</v>
      </c>
      <c r="E198" s="9" t="s">
        <v>3</v>
      </c>
      <c r="F198" s="9" t="s">
        <v>4</v>
      </c>
    </row>
    <row r="199" spans="1:9" ht="10.5" x14ac:dyDescent="0.25">
      <c r="A199" s="20" t="s">
        <v>63</v>
      </c>
      <c r="B199" s="21"/>
      <c r="C199" s="21"/>
      <c r="D199" s="22"/>
      <c r="E199" s="23"/>
      <c r="F199" s="24"/>
    </row>
    <row r="200" spans="1:9" ht="10.5" x14ac:dyDescent="0.25">
      <c r="A200" s="25" t="s">
        <v>64</v>
      </c>
      <c r="B200" s="26"/>
      <c r="C200" s="26"/>
      <c r="D200" s="27"/>
      <c r="E200" s="28"/>
      <c r="F200" s="29"/>
    </row>
    <row r="201" spans="1:9" x14ac:dyDescent="0.2">
      <c r="A201" s="26" t="s">
        <v>457</v>
      </c>
      <c r="B201" s="26" t="s">
        <v>456</v>
      </c>
      <c r="C201" s="26" t="s">
        <v>458</v>
      </c>
      <c r="D201" s="30">
        <v>5230</v>
      </c>
      <c r="E201" s="53">
        <v>0</v>
      </c>
      <c r="F201" s="53">
        <v>100</v>
      </c>
    </row>
    <row r="202" spans="1:9" ht="10.5" x14ac:dyDescent="0.25">
      <c r="A202" s="25" t="s">
        <v>177</v>
      </c>
      <c r="B202" s="25"/>
      <c r="C202" s="25"/>
      <c r="D202" s="31"/>
      <c r="E202" s="51">
        <f>SUM(E200:E201)</f>
        <v>0</v>
      </c>
      <c r="F202" s="52">
        <f>SUM(F200:F201)</f>
        <v>100</v>
      </c>
      <c r="G202" s="17"/>
      <c r="H202" s="17"/>
      <c r="I202" s="17"/>
    </row>
    <row r="203" spans="1:9" x14ac:dyDescent="0.2">
      <c r="A203" s="26"/>
      <c r="B203" s="26"/>
      <c r="C203" s="26"/>
      <c r="D203" s="27"/>
      <c r="E203" s="53"/>
      <c r="F203" s="50"/>
    </row>
    <row r="204" spans="1:9" ht="10.5" x14ac:dyDescent="0.25">
      <c r="A204" s="25" t="s">
        <v>226</v>
      </c>
      <c r="B204" s="25"/>
      <c r="C204" s="25"/>
      <c r="D204" s="31"/>
      <c r="E204" s="51">
        <f>E202</f>
        <v>0</v>
      </c>
      <c r="F204" s="52">
        <f>F202</f>
        <v>100</v>
      </c>
      <c r="G204" s="17"/>
      <c r="H204" s="17"/>
      <c r="I204" s="17"/>
    </row>
    <row r="205" spans="1:9" ht="10.5" x14ac:dyDescent="0.25">
      <c r="A205" s="25"/>
      <c r="B205" s="25"/>
      <c r="C205" s="25"/>
      <c r="D205" s="31"/>
      <c r="E205" s="51"/>
      <c r="F205" s="52"/>
      <c r="G205" s="17"/>
      <c r="H205" s="17"/>
      <c r="I205" s="17"/>
    </row>
    <row r="206" spans="1:9" ht="10.5" x14ac:dyDescent="0.25">
      <c r="A206" s="25" t="s">
        <v>228</v>
      </c>
      <c r="B206" s="25"/>
      <c r="C206" s="25"/>
      <c r="D206" s="31"/>
      <c r="E206" s="51">
        <f>E208-(E202)</f>
        <v>8.9999999999999996E-7</v>
      </c>
      <c r="F206" s="33">
        <f>F208-(F202)</f>
        <v>0</v>
      </c>
      <c r="G206" s="17"/>
      <c r="H206" s="17"/>
      <c r="I206" s="17"/>
    </row>
    <row r="207" spans="1:9" ht="10.5" x14ac:dyDescent="0.25">
      <c r="A207" s="25"/>
      <c r="B207" s="25"/>
      <c r="C207" s="25"/>
      <c r="D207" s="31"/>
      <c r="E207" s="51"/>
      <c r="F207" s="52"/>
      <c r="G207" s="17"/>
      <c r="H207" s="17"/>
      <c r="I207" s="17"/>
    </row>
    <row r="208" spans="1:9" ht="10.5" x14ac:dyDescent="0.25">
      <c r="A208" s="34" t="s">
        <v>227</v>
      </c>
      <c r="B208" s="34"/>
      <c r="C208" s="34"/>
      <c r="D208" s="35"/>
      <c r="E208" s="54">
        <v>8.9999999999999996E-7</v>
      </c>
      <c r="F208" s="55">
        <v>100</v>
      </c>
      <c r="G208" s="17"/>
      <c r="H208" s="17"/>
      <c r="I208" s="17"/>
    </row>
    <row r="209" spans="1:6" ht="10.5" x14ac:dyDescent="0.25">
      <c r="A209" s="58" t="s">
        <v>231</v>
      </c>
      <c r="F209" s="19" t="s">
        <v>446</v>
      </c>
    </row>
    <row r="210" spans="1:6" ht="10.5" x14ac:dyDescent="0.25">
      <c r="A210" s="58" t="s">
        <v>1601</v>
      </c>
    </row>
    <row r="211" spans="1:6" ht="10.5" x14ac:dyDescent="0.25">
      <c r="A211" s="59" t="s">
        <v>1607</v>
      </c>
    </row>
    <row r="213" spans="1:6" ht="10.5" x14ac:dyDescent="0.25">
      <c r="A213" s="17" t="s">
        <v>232</v>
      </c>
    </row>
    <row r="214" spans="1:6" ht="10.5" x14ac:dyDescent="0.25">
      <c r="A214" s="17" t="s">
        <v>233</v>
      </c>
    </row>
    <row r="215" spans="1:6" ht="10.5" x14ac:dyDescent="0.25">
      <c r="A215" s="17" t="s">
        <v>234</v>
      </c>
      <c r="B215" s="17"/>
      <c r="C215" s="38" t="s">
        <v>236</v>
      </c>
      <c r="D215" s="18" t="s">
        <v>235</v>
      </c>
    </row>
    <row r="216" spans="1:6" x14ac:dyDescent="0.2">
      <c r="A216" s="10" t="s">
        <v>237</v>
      </c>
      <c r="C216" s="56" t="s">
        <v>1602</v>
      </c>
      <c r="D216" s="39">
        <v>0</v>
      </c>
    </row>
    <row r="217" spans="1:6" x14ac:dyDescent="0.2">
      <c r="A217" s="10" t="s">
        <v>239</v>
      </c>
      <c r="C217" s="56" t="s">
        <v>1602</v>
      </c>
      <c r="D217" s="39">
        <v>0</v>
      </c>
    </row>
    <row r="218" spans="1:6" x14ac:dyDescent="0.2">
      <c r="A218" s="10" t="s">
        <v>447</v>
      </c>
      <c r="C218" s="56" t="s">
        <v>1602</v>
      </c>
      <c r="D218" s="39">
        <v>0</v>
      </c>
    </row>
    <row r="219" spans="1:6" x14ac:dyDescent="0.2">
      <c r="A219" s="10" t="s">
        <v>448</v>
      </c>
      <c r="C219" s="56" t="s">
        <v>1602</v>
      </c>
      <c r="D219" s="39">
        <v>0</v>
      </c>
    </row>
    <row r="220" spans="1:6" x14ac:dyDescent="0.2">
      <c r="A220" s="10" t="s">
        <v>240</v>
      </c>
      <c r="C220" s="56" t="s">
        <v>1602</v>
      </c>
      <c r="D220" s="39">
        <v>0</v>
      </c>
    </row>
    <row r="221" spans="1:6" x14ac:dyDescent="0.2">
      <c r="A221" s="10" t="s">
        <v>449</v>
      </c>
      <c r="C221" s="56" t="s">
        <v>1602</v>
      </c>
      <c r="D221" s="39">
        <v>0</v>
      </c>
    </row>
    <row r="222" spans="1:6" x14ac:dyDescent="0.2">
      <c r="A222" s="10" t="s">
        <v>450</v>
      </c>
      <c r="C222" s="56" t="s">
        <v>1602</v>
      </c>
      <c r="D222" s="39">
        <v>0</v>
      </c>
    </row>
    <row r="223" spans="1:6" x14ac:dyDescent="0.2">
      <c r="A223" s="10" t="s">
        <v>451</v>
      </c>
      <c r="C223" s="56" t="s">
        <v>1602</v>
      </c>
      <c r="D223" s="39">
        <v>0</v>
      </c>
    </row>
    <row r="224" spans="1:6" x14ac:dyDescent="0.2">
      <c r="A224" s="10" t="s">
        <v>452</v>
      </c>
      <c r="C224" s="56" t="s">
        <v>1602</v>
      </c>
      <c r="D224" s="39">
        <v>0</v>
      </c>
    </row>
    <row r="226" spans="1:9" ht="10.5" x14ac:dyDescent="0.25">
      <c r="A226" s="17" t="s">
        <v>1606</v>
      </c>
      <c r="C226" s="56"/>
      <c r="D226" s="39"/>
      <c r="E226" s="43"/>
      <c r="F226" s="14"/>
    </row>
    <row r="227" spans="1:9" x14ac:dyDescent="0.2">
      <c r="E227" s="43"/>
      <c r="F227" s="14"/>
    </row>
    <row r="228" spans="1:9" ht="10.5" x14ac:dyDescent="0.25">
      <c r="A228" s="17" t="s">
        <v>1604</v>
      </c>
      <c r="D228" s="46" t="s">
        <v>256</v>
      </c>
      <c r="E228" s="43"/>
      <c r="F228" s="14"/>
    </row>
    <row r="229" spans="1:9" x14ac:dyDescent="0.2">
      <c r="A229" s="10" t="s">
        <v>257</v>
      </c>
      <c r="E229" s="43"/>
      <c r="F229" s="14"/>
    </row>
    <row r="230" spans="1:9" ht="14.5" x14ac:dyDescent="0.35">
      <c r="A230" s="44" t="s">
        <v>1613</v>
      </c>
      <c r="E230" s="43"/>
      <c r="F230" s="14"/>
    </row>
    <row r="233" spans="1:9" s="1" customFormat="1" ht="14" x14ac:dyDescent="0.25">
      <c r="A233" s="80" t="s">
        <v>459</v>
      </c>
      <c r="B233" s="81"/>
      <c r="C233" s="81"/>
      <c r="D233" s="81"/>
      <c r="E233" s="81"/>
      <c r="F233" s="81"/>
    </row>
    <row r="234" spans="1:9" ht="10.5" x14ac:dyDescent="0.25">
      <c r="A234" s="17" t="s">
        <v>460</v>
      </c>
    </row>
    <row r="235" spans="1:9" ht="10.5" x14ac:dyDescent="0.25">
      <c r="A235" s="17" t="s">
        <v>6</v>
      </c>
    </row>
    <row r="236" spans="1:9" s="1" customFormat="1" ht="17.5" customHeight="1" x14ac:dyDescent="0.25">
      <c r="A236" s="8" t="s">
        <v>2</v>
      </c>
      <c r="B236" s="8" t="s">
        <v>0</v>
      </c>
      <c r="C236" s="8" t="s">
        <v>230</v>
      </c>
      <c r="D236" s="13" t="s">
        <v>1</v>
      </c>
      <c r="E236" s="9" t="s">
        <v>3</v>
      </c>
      <c r="F236" s="9" t="s">
        <v>4</v>
      </c>
    </row>
    <row r="237" spans="1:9" ht="10.5" x14ac:dyDescent="0.25">
      <c r="A237" s="20" t="s">
        <v>63</v>
      </c>
      <c r="B237" s="21"/>
      <c r="C237" s="21"/>
      <c r="D237" s="22"/>
      <c r="E237" s="23"/>
      <c r="F237" s="24"/>
    </row>
    <row r="238" spans="1:9" ht="10.5" x14ac:dyDescent="0.25">
      <c r="A238" s="25" t="s">
        <v>64</v>
      </c>
      <c r="B238" s="26"/>
      <c r="C238" s="26"/>
      <c r="D238" s="27"/>
      <c r="E238" s="28"/>
      <c r="F238" s="29"/>
    </row>
    <row r="239" spans="1:9" x14ac:dyDescent="0.2">
      <c r="A239" s="26" t="s">
        <v>462</v>
      </c>
      <c r="B239" s="26" t="s">
        <v>461</v>
      </c>
      <c r="C239" s="26" t="s">
        <v>425</v>
      </c>
      <c r="D239" s="30">
        <v>3523</v>
      </c>
      <c r="E239" s="53">
        <v>0</v>
      </c>
      <c r="F239" s="53">
        <v>100</v>
      </c>
    </row>
    <row r="240" spans="1:9" ht="10.5" x14ac:dyDescent="0.25">
      <c r="A240" s="25" t="s">
        <v>177</v>
      </c>
      <c r="B240" s="25"/>
      <c r="C240" s="25"/>
      <c r="D240" s="31"/>
      <c r="E240" s="51">
        <f>SUM(E238:E239)</f>
        <v>0</v>
      </c>
      <c r="F240" s="52">
        <f>SUM(F238:F239)</f>
        <v>100</v>
      </c>
      <c r="G240" s="17"/>
      <c r="H240" s="17"/>
      <c r="I240" s="17"/>
    </row>
    <row r="241" spans="1:9" x14ac:dyDescent="0.2">
      <c r="A241" s="26"/>
      <c r="B241" s="26"/>
      <c r="C241" s="26"/>
      <c r="D241" s="27"/>
      <c r="E241" s="53"/>
      <c r="F241" s="50"/>
    </row>
    <row r="242" spans="1:9" ht="10.5" x14ac:dyDescent="0.25">
      <c r="A242" s="25" t="s">
        <v>226</v>
      </c>
      <c r="B242" s="25"/>
      <c r="C242" s="25"/>
      <c r="D242" s="31"/>
      <c r="E242" s="51">
        <f>E240</f>
        <v>0</v>
      </c>
      <c r="F242" s="52">
        <f>F240</f>
        <v>100</v>
      </c>
      <c r="G242" s="17"/>
      <c r="H242" s="17"/>
      <c r="I242" s="17"/>
    </row>
    <row r="243" spans="1:9" ht="10.5" x14ac:dyDescent="0.25">
      <c r="A243" s="25"/>
      <c r="B243" s="25"/>
      <c r="C243" s="25"/>
      <c r="D243" s="31"/>
      <c r="E243" s="51"/>
      <c r="F243" s="52"/>
      <c r="G243" s="17"/>
      <c r="H243" s="17"/>
      <c r="I243" s="17"/>
    </row>
    <row r="244" spans="1:9" ht="10.5" x14ac:dyDescent="0.25">
      <c r="A244" s="25" t="s">
        <v>228</v>
      </c>
      <c r="B244" s="25"/>
      <c r="C244" s="25"/>
      <c r="D244" s="31"/>
      <c r="E244" s="51">
        <f>E246-(E240)</f>
        <v>8.9999999999999996E-7</v>
      </c>
      <c r="F244" s="33">
        <f>F246-(F240)</f>
        <v>0</v>
      </c>
      <c r="G244" s="17"/>
      <c r="H244" s="17"/>
      <c r="I244" s="17"/>
    </row>
    <row r="245" spans="1:9" ht="10.5" x14ac:dyDescent="0.25">
      <c r="A245" s="25"/>
      <c r="B245" s="25"/>
      <c r="C245" s="25"/>
      <c r="D245" s="31"/>
      <c r="E245" s="51"/>
      <c r="F245" s="52"/>
      <c r="G245" s="17"/>
      <c r="H245" s="17"/>
      <c r="I245" s="17"/>
    </row>
    <row r="246" spans="1:9" ht="10.5" x14ac:dyDescent="0.25">
      <c r="A246" s="34" t="s">
        <v>227</v>
      </c>
      <c r="B246" s="34"/>
      <c r="C246" s="34"/>
      <c r="D246" s="35"/>
      <c r="E246" s="54">
        <v>8.9999999999999996E-7</v>
      </c>
      <c r="F246" s="55">
        <v>100</v>
      </c>
      <c r="G246" s="17"/>
      <c r="H246" s="17"/>
      <c r="I246" s="17"/>
    </row>
    <row r="247" spans="1:9" ht="10.5" x14ac:dyDescent="0.25">
      <c r="A247" s="17" t="s">
        <v>231</v>
      </c>
      <c r="F247" s="19" t="s">
        <v>446</v>
      </c>
    </row>
    <row r="248" spans="1:9" ht="10.5" x14ac:dyDescent="0.25">
      <c r="A248" s="58" t="s">
        <v>1601</v>
      </c>
    </row>
    <row r="250" spans="1:9" ht="10.5" x14ac:dyDescent="0.25">
      <c r="A250" s="17" t="s">
        <v>232</v>
      </c>
    </row>
    <row r="251" spans="1:9" ht="10.5" x14ac:dyDescent="0.25">
      <c r="A251" s="17" t="s">
        <v>233</v>
      </c>
    </row>
    <row r="252" spans="1:9" ht="10.5" x14ac:dyDescent="0.25">
      <c r="A252" s="17" t="s">
        <v>234</v>
      </c>
      <c r="B252" s="17"/>
      <c r="C252" s="38" t="s">
        <v>236</v>
      </c>
      <c r="D252" s="18" t="s">
        <v>235</v>
      </c>
    </row>
    <row r="253" spans="1:9" x14ac:dyDescent="0.2">
      <c r="A253" s="10" t="s">
        <v>237</v>
      </c>
      <c r="C253" s="56" t="s">
        <v>1602</v>
      </c>
      <c r="D253" s="39">
        <v>0</v>
      </c>
    </row>
    <row r="254" spans="1:9" x14ac:dyDescent="0.2">
      <c r="A254" s="10" t="s">
        <v>239</v>
      </c>
      <c r="C254" s="56" t="s">
        <v>1602</v>
      </c>
      <c r="D254" s="39">
        <v>0</v>
      </c>
    </row>
    <row r="255" spans="1:9" x14ac:dyDescent="0.2">
      <c r="A255" s="10" t="s">
        <v>447</v>
      </c>
      <c r="C255" s="56" t="s">
        <v>1602</v>
      </c>
      <c r="D255" s="39">
        <v>0</v>
      </c>
    </row>
    <row r="256" spans="1:9" x14ac:dyDescent="0.2">
      <c r="A256" s="10" t="s">
        <v>448</v>
      </c>
      <c r="C256" s="56" t="s">
        <v>1602</v>
      </c>
      <c r="D256" s="39">
        <v>0</v>
      </c>
    </row>
    <row r="257" spans="1:6" x14ac:dyDescent="0.2">
      <c r="A257" s="10" t="s">
        <v>240</v>
      </c>
      <c r="C257" s="56" t="s">
        <v>1602</v>
      </c>
      <c r="D257" s="39">
        <v>0</v>
      </c>
    </row>
    <row r="258" spans="1:6" x14ac:dyDescent="0.2">
      <c r="A258" s="10" t="s">
        <v>449</v>
      </c>
      <c r="C258" s="56" t="s">
        <v>1602</v>
      </c>
      <c r="D258" s="39">
        <v>0</v>
      </c>
    </row>
    <row r="259" spans="1:6" x14ac:dyDescent="0.2">
      <c r="A259" s="10" t="s">
        <v>450</v>
      </c>
      <c r="C259" s="56" t="s">
        <v>1602</v>
      </c>
      <c r="D259" s="39">
        <v>0</v>
      </c>
    </row>
    <row r="260" spans="1:6" x14ac:dyDescent="0.2">
      <c r="A260" s="10" t="s">
        <v>451</v>
      </c>
      <c r="C260" s="56" t="s">
        <v>1602</v>
      </c>
      <c r="D260" s="39">
        <v>0</v>
      </c>
    </row>
    <row r="261" spans="1:6" x14ac:dyDescent="0.2">
      <c r="A261" s="10" t="s">
        <v>452</v>
      </c>
      <c r="C261" s="56" t="s">
        <v>1602</v>
      </c>
      <c r="D261" s="39">
        <v>0</v>
      </c>
    </row>
    <row r="263" spans="1:6" ht="10.5" x14ac:dyDescent="0.25">
      <c r="A263" s="17" t="s">
        <v>1603</v>
      </c>
      <c r="C263" s="56"/>
      <c r="D263" s="39"/>
      <c r="E263" s="43"/>
      <c r="F263" s="14"/>
    </row>
    <row r="264" spans="1:6" x14ac:dyDescent="0.2">
      <c r="E264" s="43"/>
      <c r="F264" s="14"/>
    </row>
    <row r="265" spans="1:6" ht="10.5" x14ac:dyDescent="0.25">
      <c r="A265" s="17" t="s">
        <v>1604</v>
      </c>
      <c r="D265" s="46" t="s">
        <v>256</v>
      </c>
      <c r="E265" s="43"/>
      <c r="F265" s="14"/>
    </row>
    <row r="266" spans="1:6" x14ac:dyDescent="0.2">
      <c r="A266" s="10" t="s">
        <v>257</v>
      </c>
      <c r="E266" s="43"/>
      <c r="F266" s="14"/>
    </row>
    <row r="267" spans="1:6" ht="14.5" x14ac:dyDescent="0.35">
      <c r="A267" s="44" t="s">
        <v>1613</v>
      </c>
      <c r="E267" s="43"/>
      <c r="F267" s="14"/>
    </row>
  </sheetData>
  <mergeCells count="13">
    <mergeCell ref="A1:F1"/>
    <mergeCell ref="C142:D142"/>
    <mergeCell ref="A142:B142"/>
    <mergeCell ref="A143:B143"/>
    <mergeCell ref="A144:B144"/>
    <mergeCell ref="A145:B145"/>
    <mergeCell ref="A233:F233"/>
    <mergeCell ref="A146:B146"/>
    <mergeCell ref="A147:B147"/>
    <mergeCell ref="A148:B148"/>
    <mergeCell ref="A149:B149"/>
    <mergeCell ref="A159:F159"/>
    <mergeCell ref="A195:F195"/>
  </mergeCells>
  <conditionalFormatting sqref="F2:F3 F5:F72 F160:F161 F163:F164 F196:F197 F199:F200 F234:F235 F237:F238 F174:F189 F210:F225 F248:F262 F268:F65543 F231:F232 F193:F194 F75:F158">
    <cfRule type="cellIs" dxfId="118" priority="16" stopIfTrue="1" operator="between">
      <formula>0.009</formula>
      <formula>-0.009</formula>
    </cfRule>
  </conditionalFormatting>
  <conditionalFormatting sqref="F263:F267">
    <cfRule type="cellIs" dxfId="117" priority="12" stopIfTrue="1" operator="between">
      <formula>0.009</formula>
      <formula>-0.009</formula>
    </cfRule>
  </conditionalFormatting>
  <conditionalFormatting sqref="F244">
    <cfRule type="cellIs" dxfId="116" priority="8" stopIfTrue="1" operator="between">
      <formula>0.009</formula>
      <formula>-0.009</formula>
    </cfRule>
  </conditionalFormatting>
  <conditionalFormatting sqref="F209">
    <cfRule type="cellIs" dxfId="115" priority="4" stopIfTrue="1" operator="between">
      <formula>0.009</formula>
      <formula>-0.009</formula>
    </cfRule>
  </conditionalFormatting>
  <conditionalFormatting sqref="F226:F230">
    <cfRule type="cellIs" dxfId="114" priority="11" stopIfTrue="1" operator="between">
      <formula>0.009</formula>
      <formula>-0.009</formula>
    </cfRule>
  </conditionalFormatting>
  <conditionalFormatting sqref="F190:F192">
    <cfRule type="cellIs" dxfId="113" priority="10" stopIfTrue="1" operator="between">
      <formula>0.009</formula>
      <formula>-0.009</formula>
    </cfRule>
  </conditionalFormatting>
  <conditionalFormatting sqref="F240:F243 F245:F246">
    <cfRule type="cellIs" dxfId="112" priority="9" stopIfTrue="1" operator="between">
      <formula>0.009</formula>
      <formula>-0.009</formula>
    </cfRule>
  </conditionalFormatting>
  <conditionalFormatting sqref="F247">
    <cfRule type="cellIs" dxfId="111" priority="7" stopIfTrue="1" operator="between">
      <formula>0.009</formula>
      <formula>-0.009</formula>
    </cfRule>
  </conditionalFormatting>
  <conditionalFormatting sqref="F202:F205 F207:F208">
    <cfRule type="cellIs" dxfId="110" priority="6" stopIfTrue="1" operator="between">
      <formula>0.009</formula>
      <formula>-0.009</formula>
    </cfRule>
  </conditionalFormatting>
  <conditionalFormatting sqref="F206">
    <cfRule type="cellIs" dxfId="109" priority="5" stopIfTrue="1" operator="between">
      <formula>0.009</formula>
      <formula>-0.009</formula>
    </cfRule>
  </conditionalFormatting>
  <conditionalFormatting sqref="F166:F169 F171:F172">
    <cfRule type="cellIs" dxfId="108" priority="3" stopIfTrue="1" operator="between">
      <formula>0.009</formula>
      <formula>-0.009</formula>
    </cfRule>
  </conditionalFormatting>
  <conditionalFormatting sqref="F170">
    <cfRule type="cellIs" dxfId="107" priority="2" stopIfTrue="1" operator="between">
      <formula>0.009</formula>
      <formula>-0.009</formula>
    </cfRule>
  </conditionalFormatting>
  <conditionalFormatting sqref="F173">
    <cfRule type="cellIs" dxfId="106" priority="1" stopIfTrue="1" operator="between">
      <formula>0.009</formula>
      <formula>-0.009</formula>
    </cfRule>
  </conditionalFormatting>
  <hyperlinks>
    <hyperlink ref="A155" r:id="rId1" xr:uid="{00000000-0004-0000-0100-000000000000}"/>
    <hyperlink ref="A192" r:id="rId2" xr:uid="{00000000-0004-0000-0100-000001000000}"/>
    <hyperlink ref="A230" r:id="rId3" xr:uid="{00000000-0004-0000-0100-000002000000}"/>
    <hyperlink ref="A267" r:id="rId4" xr:uid="{00000000-0004-0000-0100-000003000000}"/>
  </hyperlinks>
  <pageMargins left="0.7" right="0.7" top="0.75" bottom="0.75" header="0.3" footer="0.3"/>
  <pageSetup paperSize="9" orientation="portrait" r:id="rId5"/>
  <headerFooter>
    <oddFooter>&amp;LPUBLIC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4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62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5.7265625" style="10" bestFit="1" customWidth="1"/>
    <col min="8" max="16384" width="9.1796875" style="10"/>
  </cols>
  <sheetData>
    <row r="1" spans="1:6" s="1" customFormat="1" ht="14" x14ac:dyDescent="0.25">
      <c r="A1" s="80" t="s">
        <v>1660</v>
      </c>
      <c r="B1" s="81"/>
      <c r="C1" s="81"/>
      <c r="D1" s="81"/>
      <c r="E1" s="81"/>
      <c r="F1" s="81"/>
    </row>
    <row r="2" spans="1:6" s="1" customFormat="1" ht="11.5" x14ac:dyDescent="0.25">
      <c r="A2" s="45" t="s">
        <v>258</v>
      </c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85</v>
      </c>
      <c r="B7" s="26" t="s">
        <v>84</v>
      </c>
      <c r="C7" s="26" t="s">
        <v>86</v>
      </c>
      <c r="D7" s="30">
        <v>2170</v>
      </c>
      <c r="E7" s="28">
        <v>21700</v>
      </c>
      <c r="F7" s="29">
        <v>9.2645016176869106</v>
      </c>
    </row>
    <row r="8" spans="1:6" x14ac:dyDescent="0.2">
      <c r="A8" s="26" t="s">
        <v>286</v>
      </c>
      <c r="B8" s="26" t="s">
        <v>285</v>
      </c>
      <c r="C8" s="26" t="s">
        <v>287</v>
      </c>
      <c r="D8" s="30">
        <v>2000</v>
      </c>
      <c r="E8" s="28">
        <v>20308.68</v>
      </c>
      <c r="F8" s="29">
        <v>8.6704976365477293</v>
      </c>
    </row>
    <row r="9" spans="1:6" x14ac:dyDescent="0.2">
      <c r="A9" s="26" t="s">
        <v>525</v>
      </c>
      <c r="B9" s="26" t="s">
        <v>524</v>
      </c>
      <c r="C9" s="26" t="s">
        <v>78</v>
      </c>
      <c r="D9" s="30">
        <v>1500</v>
      </c>
      <c r="E9" s="28">
        <v>14474.264999999999</v>
      </c>
      <c r="F9" s="29">
        <v>6.1795784104759903</v>
      </c>
    </row>
    <row r="10" spans="1:6" x14ac:dyDescent="0.2">
      <c r="A10" s="26" t="s">
        <v>273</v>
      </c>
      <c r="B10" s="26" t="s">
        <v>272</v>
      </c>
      <c r="C10" s="26" t="s">
        <v>274</v>
      </c>
      <c r="D10" s="30">
        <v>1450</v>
      </c>
      <c r="E10" s="28">
        <v>14432.691000000001</v>
      </c>
      <c r="F10" s="29">
        <v>6.1618289915702897</v>
      </c>
    </row>
    <row r="11" spans="1:6" x14ac:dyDescent="0.2">
      <c r="A11" s="26" t="s">
        <v>337</v>
      </c>
      <c r="B11" s="26" t="s">
        <v>336</v>
      </c>
      <c r="C11" s="26" t="s">
        <v>78</v>
      </c>
      <c r="D11" s="30">
        <v>1300</v>
      </c>
      <c r="E11" s="28">
        <v>12520.209000000001</v>
      </c>
      <c r="F11" s="29">
        <v>5.3453224209344796</v>
      </c>
    </row>
    <row r="12" spans="1:6" x14ac:dyDescent="0.2">
      <c r="A12" s="26" t="s">
        <v>77</v>
      </c>
      <c r="B12" s="26" t="s">
        <v>76</v>
      </c>
      <c r="C12" s="26" t="s">
        <v>78</v>
      </c>
      <c r="D12" s="30">
        <v>2000</v>
      </c>
      <c r="E12" s="28">
        <v>9968.5300000000007</v>
      </c>
      <c r="F12" s="29">
        <v>4.2559199221640798</v>
      </c>
    </row>
    <row r="13" spans="1:6" x14ac:dyDescent="0.2">
      <c r="A13" s="26" t="s">
        <v>137</v>
      </c>
      <c r="B13" s="26" t="s">
        <v>136</v>
      </c>
      <c r="C13" s="26" t="s">
        <v>112</v>
      </c>
      <c r="D13" s="30">
        <v>1000</v>
      </c>
      <c r="E13" s="28">
        <v>9687.33</v>
      </c>
      <c r="F13" s="29">
        <v>4.1358656431367304</v>
      </c>
    </row>
    <row r="14" spans="1:6" x14ac:dyDescent="0.2">
      <c r="A14" s="26" t="s">
        <v>104</v>
      </c>
      <c r="B14" s="26" t="s">
        <v>1616</v>
      </c>
      <c r="C14" s="26" t="s">
        <v>81</v>
      </c>
      <c r="D14" s="30">
        <v>915</v>
      </c>
      <c r="E14" s="28">
        <v>9146.5413000000008</v>
      </c>
      <c r="F14" s="29">
        <v>3.9049837175156799</v>
      </c>
    </row>
    <row r="15" spans="1:6" x14ac:dyDescent="0.2">
      <c r="A15" s="26" t="s">
        <v>102</v>
      </c>
      <c r="B15" s="26" t="s">
        <v>101</v>
      </c>
      <c r="C15" s="26" t="s">
        <v>103</v>
      </c>
      <c r="D15" s="30">
        <v>1102</v>
      </c>
      <c r="E15" s="28">
        <v>8187.1850249999998</v>
      </c>
      <c r="F15" s="29">
        <v>3.4954004105260199</v>
      </c>
    </row>
    <row r="16" spans="1:6" x14ac:dyDescent="0.2">
      <c r="A16" s="26" t="s">
        <v>152</v>
      </c>
      <c r="B16" s="26" t="s">
        <v>151</v>
      </c>
      <c r="C16" s="26" t="s">
        <v>81</v>
      </c>
      <c r="D16" s="30">
        <v>780</v>
      </c>
      <c r="E16" s="28">
        <v>7930.3145999999997</v>
      </c>
      <c r="F16" s="29">
        <v>3.3857332921873802</v>
      </c>
    </row>
    <row r="17" spans="1:6" x14ac:dyDescent="0.2">
      <c r="A17" s="26" t="s">
        <v>69</v>
      </c>
      <c r="B17" s="26" t="s">
        <v>68</v>
      </c>
      <c r="C17" s="26" t="s">
        <v>70</v>
      </c>
      <c r="D17" s="30">
        <v>500</v>
      </c>
      <c r="E17" s="28">
        <v>4985.03</v>
      </c>
      <c r="F17" s="29">
        <v>2.1282865667842299</v>
      </c>
    </row>
    <row r="18" spans="1:6" x14ac:dyDescent="0.2">
      <c r="A18" s="26" t="s">
        <v>66</v>
      </c>
      <c r="B18" s="26" t="s">
        <v>65</v>
      </c>
      <c r="C18" s="26" t="s">
        <v>67</v>
      </c>
      <c r="D18" s="30">
        <v>450</v>
      </c>
      <c r="E18" s="28">
        <v>4499.8604999999998</v>
      </c>
      <c r="F18" s="29">
        <v>1.92115045537398</v>
      </c>
    </row>
    <row r="19" spans="1:6" x14ac:dyDescent="0.2">
      <c r="A19" s="26" t="s">
        <v>527</v>
      </c>
      <c r="B19" s="26" t="s">
        <v>526</v>
      </c>
      <c r="C19" s="26" t="s">
        <v>148</v>
      </c>
      <c r="D19" s="30">
        <v>500</v>
      </c>
      <c r="E19" s="28">
        <v>4482.5450000000001</v>
      </c>
      <c r="F19" s="29">
        <v>1.9137578527121799</v>
      </c>
    </row>
    <row r="20" spans="1:6" x14ac:dyDescent="0.2">
      <c r="A20" s="26" t="s">
        <v>83</v>
      </c>
      <c r="B20" s="26" t="s">
        <v>82</v>
      </c>
      <c r="C20" s="26" t="s">
        <v>70</v>
      </c>
      <c r="D20" s="30">
        <v>350</v>
      </c>
      <c r="E20" s="28">
        <v>3503.6819999999998</v>
      </c>
      <c r="F20" s="29">
        <v>1.4958464311917301</v>
      </c>
    </row>
    <row r="21" spans="1:6" x14ac:dyDescent="0.2">
      <c r="A21" s="26" t="s">
        <v>529</v>
      </c>
      <c r="B21" s="26" t="s">
        <v>528</v>
      </c>
      <c r="C21" s="26" t="s">
        <v>67</v>
      </c>
      <c r="D21" s="30">
        <v>324</v>
      </c>
      <c r="E21" s="28">
        <v>3202.335</v>
      </c>
      <c r="F21" s="29">
        <v>1.3671906814689101</v>
      </c>
    </row>
    <row r="22" spans="1:6" x14ac:dyDescent="0.2">
      <c r="A22" s="26" t="s">
        <v>531</v>
      </c>
      <c r="B22" s="26" t="s">
        <v>530</v>
      </c>
      <c r="C22" s="26" t="s">
        <v>107</v>
      </c>
      <c r="D22" s="30">
        <v>300</v>
      </c>
      <c r="E22" s="28">
        <v>2943.9659999999999</v>
      </c>
      <c r="F22" s="29">
        <v>1.25688376817582</v>
      </c>
    </row>
    <row r="23" spans="1:6" x14ac:dyDescent="0.2">
      <c r="A23" s="26" t="s">
        <v>327</v>
      </c>
      <c r="B23" s="26" t="s">
        <v>326</v>
      </c>
      <c r="C23" s="26" t="s">
        <v>103</v>
      </c>
      <c r="D23" s="30">
        <v>300</v>
      </c>
      <c r="E23" s="28">
        <v>2891.1930000000002</v>
      </c>
      <c r="F23" s="29">
        <v>1.2343530979513899</v>
      </c>
    </row>
    <row r="24" spans="1:6" x14ac:dyDescent="0.2">
      <c r="A24" s="26" t="s">
        <v>533</v>
      </c>
      <c r="B24" s="26" t="s">
        <v>532</v>
      </c>
      <c r="C24" s="26" t="s">
        <v>148</v>
      </c>
      <c r="D24" s="30">
        <v>250</v>
      </c>
      <c r="E24" s="28">
        <v>2879.5925000000002</v>
      </c>
      <c r="F24" s="29">
        <v>1.22940043200595</v>
      </c>
    </row>
    <row r="25" spans="1:6" x14ac:dyDescent="0.2">
      <c r="A25" s="26" t="s">
        <v>535</v>
      </c>
      <c r="B25" s="26" t="s">
        <v>534</v>
      </c>
      <c r="C25" s="26" t="s">
        <v>536</v>
      </c>
      <c r="D25" s="30">
        <v>232</v>
      </c>
      <c r="E25" s="28">
        <v>2790.3127199999999</v>
      </c>
      <c r="F25" s="29">
        <v>1.1912837192761501</v>
      </c>
    </row>
    <row r="26" spans="1:6" x14ac:dyDescent="0.2">
      <c r="A26" s="26" t="s">
        <v>538</v>
      </c>
      <c r="B26" s="26" t="s">
        <v>537</v>
      </c>
      <c r="C26" s="26" t="s">
        <v>148</v>
      </c>
      <c r="D26" s="30">
        <v>250</v>
      </c>
      <c r="E26" s="28">
        <v>2489.9299999999998</v>
      </c>
      <c r="F26" s="29">
        <v>1.0630396549736001</v>
      </c>
    </row>
    <row r="27" spans="1:6" x14ac:dyDescent="0.2">
      <c r="A27" s="26" t="s">
        <v>339</v>
      </c>
      <c r="B27" s="26" t="s">
        <v>338</v>
      </c>
      <c r="C27" s="26" t="s">
        <v>186</v>
      </c>
      <c r="D27" s="30">
        <v>250</v>
      </c>
      <c r="E27" s="28">
        <v>2486.0974999999999</v>
      </c>
      <c r="F27" s="29">
        <v>1.06140342444596</v>
      </c>
    </row>
    <row r="28" spans="1:6" x14ac:dyDescent="0.2">
      <c r="A28" s="26" t="s">
        <v>158</v>
      </c>
      <c r="B28" s="26" t="s">
        <v>157</v>
      </c>
      <c r="C28" s="26" t="s">
        <v>78</v>
      </c>
      <c r="D28" s="30">
        <v>250</v>
      </c>
      <c r="E28" s="28">
        <v>2469.8474999999999</v>
      </c>
      <c r="F28" s="29">
        <v>1.05446572162166</v>
      </c>
    </row>
    <row r="29" spans="1:6" x14ac:dyDescent="0.2">
      <c r="A29" s="26" t="s">
        <v>294</v>
      </c>
      <c r="B29" s="26" t="s">
        <v>293</v>
      </c>
      <c r="C29" s="26" t="s">
        <v>78</v>
      </c>
      <c r="D29" s="30">
        <v>240</v>
      </c>
      <c r="E29" s="28">
        <v>2380.3031999999998</v>
      </c>
      <c r="F29" s="29">
        <v>1.0162360758979401</v>
      </c>
    </row>
    <row r="30" spans="1:6" x14ac:dyDescent="0.2">
      <c r="A30" s="26" t="s">
        <v>280</v>
      </c>
      <c r="B30" s="26" t="s">
        <v>279</v>
      </c>
      <c r="C30" s="26" t="s">
        <v>148</v>
      </c>
      <c r="D30" s="30">
        <v>250</v>
      </c>
      <c r="E30" s="28">
        <v>2243.7150000000001</v>
      </c>
      <c r="F30" s="29">
        <v>0.95792171645752999</v>
      </c>
    </row>
    <row r="31" spans="1:6" x14ac:dyDescent="0.2">
      <c r="A31" s="26" t="s">
        <v>126</v>
      </c>
      <c r="B31" s="26" t="s">
        <v>125</v>
      </c>
      <c r="C31" s="26" t="s">
        <v>98</v>
      </c>
      <c r="D31" s="30">
        <v>400</v>
      </c>
      <c r="E31" s="28">
        <v>1985.3240000000001</v>
      </c>
      <c r="F31" s="29">
        <v>0.84760541058215</v>
      </c>
    </row>
    <row r="32" spans="1:6" x14ac:dyDescent="0.2">
      <c r="A32" s="26" t="s">
        <v>167</v>
      </c>
      <c r="B32" s="26" t="s">
        <v>166</v>
      </c>
      <c r="C32" s="26" t="s">
        <v>78</v>
      </c>
      <c r="D32" s="30">
        <v>200</v>
      </c>
      <c r="E32" s="28">
        <v>1976.1780000000001</v>
      </c>
      <c r="F32" s="29">
        <v>0.84370065796485205</v>
      </c>
    </row>
    <row r="33" spans="1:9" x14ac:dyDescent="0.2">
      <c r="A33" s="26" t="s">
        <v>106</v>
      </c>
      <c r="B33" s="26" t="s">
        <v>105</v>
      </c>
      <c r="C33" s="26" t="s">
        <v>107</v>
      </c>
      <c r="D33" s="30">
        <v>180</v>
      </c>
      <c r="E33" s="28">
        <v>1803.6107999999999</v>
      </c>
      <c r="F33" s="29">
        <v>0.77002558406809196</v>
      </c>
    </row>
    <row r="34" spans="1:9" x14ac:dyDescent="0.2">
      <c r="A34" s="26" t="s">
        <v>120</v>
      </c>
      <c r="B34" s="26" t="s">
        <v>119</v>
      </c>
      <c r="C34" s="26" t="s">
        <v>103</v>
      </c>
      <c r="D34" s="30">
        <v>176</v>
      </c>
      <c r="E34" s="28">
        <v>1689.18992</v>
      </c>
      <c r="F34" s="29">
        <v>0.72117524177052705</v>
      </c>
    </row>
    <row r="35" spans="1:9" x14ac:dyDescent="0.2">
      <c r="A35" s="26" t="s">
        <v>333</v>
      </c>
      <c r="B35" s="26" t="s">
        <v>332</v>
      </c>
      <c r="C35" s="26" t="s">
        <v>107</v>
      </c>
      <c r="D35" s="30">
        <v>150</v>
      </c>
      <c r="E35" s="28">
        <v>1459.6424999999999</v>
      </c>
      <c r="F35" s="29">
        <v>0.62317328582924303</v>
      </c>
    </row>
    <row r="36" spans="1:9" x14ac:dyDescent="0.2">
      <c r="A36" s="26" t="s">
        <v>540</v>
      </c>
      <c r="B36" s="26" t="s">
        <v>539</v>
      </c>
      <c r="C36" s="26" t="s">
        <v>91</v>
      </c>
      <c r="D36" s="30">
        <v>150</v>
      </c>
      <c r="E36" s="28">
        <v>1142.7252000000001</v>
      </c>
      <c r="F36" s="29">
        <v>0.48787002138118002</v>
      </c>
    </row>
    <row r="37" spans="1:9" x14ac:dyDescent="0.2">
      <c r="A37" s="26" t="s">
        <v>109</v>
      </c>
      <c r="B37" s="26" t="s">
        <v>108</v>
      </c>
      <c r="C37" s="26" t="s">
        <v>103</v>
      </c>
      <c r="D37" s="30">
        <v>174</v>
      </c>
      <c r="E37" s="28">
        <v>863.02782000000002</v>
      </c>
      <c r="F37" s="29">
        <v>0.36845726426261799</v>
      </c>
    </row>
    <row r="38" spans="1:9" x14ac:dyDescent="0.2">
      <c r="A38" s="26" t="s">
        <v>542</v>
      </c>
      <c r="B38" s="26" t="s">
        <v>541</v>
      </c>
      <c r="C38" s="26" t="s">
        <v>148</v>
      </c>
      <c r="D38" s="30">
        <v>115</v>
      </c>
      <c r="E38" s="28">
        <v>853.31955000000005</v>
      </c>
      <c r="F38" s="29">
        <v>0.364312458588888</v>
      </c>
    </row>
    <row r="39" spans="1:9" x14ac:dyDescent="0.2">
      <c r="A39" s="26" t="s">
        <v>298</v>
      </c>
      <c r="B39" s="26" t="s">
        <v>297</v>
      </c>
      <c r="C39" s="26" t="s">
        <v>103</v>
      </c>
      <c r="D39" s="30">
        <v>62</v>
      </c>
      <c r="E39" s="28">
        <v>560.72055999999998</v>
      </c>
      <c r="F39" s="29">
        <v>0.239391545400475</v>
      </c>
    </row>
    <row r="40" spans="1:9" x14ac:dyDescent="0.2">
      <c r="A40" s="26" t="s">
        <v>300</v>
      </c>
      <c r="B40" s="26" t="s">
        <v>299</v>
      </c>
      <c r="C40" s="26" t="s">
        <v>103</v>
      </c>
      <c r="D40" s="30">
        <v>62</v>
      </c>
      <c r="E40" s="28">
        <v>545.90689999999995</v>
      </c>
      <c r="F40" s="29">
        <v>0.23306706719615</v>
      </c>
    </row>
    <row r="41" spans="1:9" x14ac:dyDescent="0.2">
      <c r="A41" s="26" t="s">
        <v>169</v>
      </c>
      <c r="B41" s="26" t="s">
        <v>168</v>
      </c>
      <c r="C41" s="26" t="s">
        <v>103</v>
      </c>
      <c r="D41" s="30">
        <v>55</v>
      </c>
      <c r="E41" s="28">
        <v>513.43655000000001</v>
      </c>
      <c r="F41" s="29">
        <v>0.21920432018684699</v>
      </c>
    </row>
    <row r="42" spans="1:9" ht="10.5" x14ac:dyDescent="0.25">
      <c r="A42" s="25" t="s">
        <v>177</v>
      </c>
      <c r="B42" s="25"/>
      <c r="C42" s="25"/>
      <c r="D42" s="31"/>
      <c r="E42" s="32">
        <f>SUM(E6:E41)</f>
        <v>185997.23764499993</v>
      </c>
      <c r="F42" s="33">
        <f>SUM(F6:F41)</f>
        <v>79.408834518313313</v>
      </c>
      <c r="G42" s="17"/>
      <c r="H42" s="17"/>
      <c r="I42" s="17"/>
    </row>
    <row r="43" spans="1:9" x14ac:dyDescent="0.2">
      <c r="A43" s="26"/>
      <c r="B43" s="26"/>
      <c r="C43" s="26"/>
      <c r="D43" s="27"/>
      <c r="E43" s="28"/>
      <c r="F43" s="29"/>
    </row>
    <row r="44" spans="1:9" ht="10.5" x14ac:dyDescent="0.25">
      <c r="A44" s="25" t="s">
        <v>178</v>
      </c>
      <c r="B44" s="26"/>
      <c r="C44" s="26"/>
      <c r="D44" s="27"/>
      <c r="E44" s="28"/>
      <c r="F44" s="29"/>
    </row>
    <row r="45" spans="1:9" x14ac:dyDescent="0.2">
      <c r="A45" s="26" t="s">
        <v>198</v>
      </c>
      <c r="B45" s="26" t="s">
        <v>197</v>
      </c>
      <c r="C45" s="26" t="s">
        <v>186</v>
      </c>
      <c r="D45" s="30">
        <v>1750</v>
      </c>
      <c r="E45" s="28">
        <v>17372.145</v>
      </c>
      <c r="F45" s="29">
        <v>7.4167864265065298</v>
      </c>
    </row>
    <row r="46" spans="1:9" x14ac:dyDescent="0.2">
      <c r="A46" s="26" t="s">
        <v>427</v>
      </c>
      <c r="B46" s="26" t="s">
        <v>426</v>
      </c>
      <c r="C46" s="26" t="s">
        <v>428</v>
      </c>
      <c r="D46" s="30">
        <v>1498</v>
      </c>
      <c r="E46" s="28">
        <v>15108.36362</v>
      </c>
      <c r="F46" s="29">
        <v>6.4502976588982497</v>
      </c>
    </row>
    <row r="47" spans="1:9" x14ac:dyDescent="0.2">
      <c r="A47" s="26" t="s">
        <v>183</v>
      </c>
      <c r="B47" s="26" t="s">
        <v>182</v>
      </c>
      <c r="C47" s="26" t="s">
        <v>73</v>
      </c>
      <c r="D47" s="30">
        <v>650</v>
      </c>
      <c r="E47" s="28">
        <v>6495.9375</v>
      </c>
      <c r="F47" s="29">
        <v>2.7733467040158102</v>
      </c>
    </row>
    <row r="48" spans="1:9" x14ac:dyDescent="0.2">
      <c r="A48" s="26" t="s">
        <v>385</v>
      </c>
      <c r="B48" s="26" t="s">
        <v>384</v>
      </c>
      <c r="C48" s="26" t="s">
        <v>386</v>
      </c>
      <c r="D48" s="30">
        <v>12</v>
      </c>
      <c r="E48" s="28">
        <v>6016.2539999999999</v>
      </c>
      <c r="F48" s="29">
        <v>2.56855276107905</v>
      </c>
    </row>
    <row r="49" spans="1:9" x14ac:dyDescent="0.2">
      <c r="A49" s="26" t="s">
        <v>375</v>
      </c>
      <c r="B49" s="26" t="s">
        <v>374</v>
      </c>
      <c r="C49" s="26" t="s">
        <v>216</v>
      </c>
      <c r="D49" s="30">
        <v>600</v>
      </c>
      <c r="E49" s="28">
        <v>5903.1480000000001</v>
      </c>
      <c r="F49" s="29">
        <v>2.5202637878085401</v>
      </c>
    </row>
    <row r="50" spans="1:9" x14ac:dyDescent="0.2">
      <c r="A50" s="26" t="s">
        <v>192</v>
      </c>
      <c r="B50" s="26" t="s">
        <v>191</v>
      </c>
      <c r="C50" s="26" t="s">
        <v>186</v>
      </c>
      <c r="D50" s="30">
        <v>5150</v>
      </c>
      <c r="E50" s="28">
        <v>4964.1637840000003</v>
      </c>
      <c r="F50" s="29">
        <v>2.1193780372041799</v>
      </c>
    </row>
    <row r="51" spans="1:9" x14ac:dyDescent="0.2">
      <c r="A51" s="26" t="s">
        <v>196</v>
      </c>
      <c r="B51" s="26" t="s">
        <v>195</v>
      </c>
      <c r="C51" s="26" t="s">
        <v>186</v>
      </c>
      <c r="D51" s="30">
        <v>310</v>
      </c>
      <c r="E51" s="28">
        <v>4431.6328999999996</v>
      </c>
      <c r="F51" s="29">
        <v>1.89202166686841</v>
      </c>
    </row>
    <row r="52" spans="1:9" x14ac:dyDescent="0.2">
      <c r="A52" s="26" t="s">
        <v>179</v>
      </c>
      <c r="B52" s="26" t="s">
        <v>1615</v>
      </c>
      <c r="C52" s="26" t="s">
        <v>73</v>
      </c>
      <c r="D52" s="30">
        <v>350</v>
      </c>
      <c r="E52" s="28">
        <v>3494.9775</v>
      </c>
      <c r="F52" s="29">
        <v>1.49213017062347</v>
      </c>
    </row>
    <row r="53" spans="1:9" x14ac:dyDescent="0.2">
      <c r="A53" s="26" t="s">
        <v>435</v>
      </c>
      <c r="B53" s="26" t="s">
        <v>434</v>
      </c>
      <c r="C53" s="26" t="s">
        <v>413</v>
      </c>
      <c r="D53" s="30">
        <v>110</v>
      </c>
      <c r="E53" s="28">
        <v>2880.009</v>
      </c>
      <c r="F53" s="29">
        <v>1.22957825066603</v>
      </c>
    </row>
    <row r="54" spans="1:9" x14ac:dyDescent="0.2">
      <c r="A54" s="26" t="s">
        <v>383</v>
      </c>
      <c r="B54" s="26" t="s">
        <v>382</v>
      </c>
      <c r="C54" s="26" t="s">
        <v>381</v>
      </c>
      <c r="D54" s="30">
        <v>180</v>
      </c>
      <c r="E54" s="28">
        <v>1550.7730240000001</v>
      </c>
      <c r="F54" s="29">
        <v>0.66208014698217599</v>
      </c>
    </row>
    <row r="55" spans="1:9" x14ac:dyDescent="0.2">
      <c r="A55" s="26" t="s">
        <v>412</v>
      </c>
      <c r="B55" s="26" t="s">
        <v>411</v>
      </c>
      <c r="C55" s="26" t="s">
        <v>413</v>
      </c>
      <c r="D55" s="30">
        <v>57</v>
      </c>
      <c r="E55" s="28">
        <v>1507.7355</v>
      </c>
      <c r="F55" s="29">
        <v>0.64370589764027597</v>
      </c>
    </row>
    <row r="56" spans="1:9" x14ac:dyDescent="0.2">
      <c r="A56" s="26" t="s">
        <v>422</v>
      </c>
      <c r="B56" s="26" t="s">
        <v>421</v>
      </c>
      <c r="C56" s="26" t="s">
        <v>381</v>
      </c>
      <c r="D56" s="30">
        <v>120</v>
      </c>
      <c r="E56" s="28">
        <v>1058.9599800000001</v>
      </c>
      <c r="F56" s="29">
        <v>0.45210767040441002</v>
      </c>
    </row>
    <row r="57" spans="1:9" x14ac:dyDescent="0.2">
      <c r="A57" s="26" t="s">
        <v>432</v>
      </c>
      <c r="B57" s="26" t="s">
        <v>431</v>
      </c>
      <c r="C57" s="26" t="s">
        <v>433</v>
      </c>
      <c r="D57" s="30">
        <v>1088</v>
      </c>
      <c r="E57" s="28">
        <v>544</v>
      </c>
      <c r="F57" s="29">
        <v>0.23225294377980099</v>
      </c>
    </row>
    <row r="58" spans="1:9" x14ac:dyDescent="0.2">
      <c r="A58" s="26" t="s">
        <v>380</v>
      </c>
      <c r="B58" s="26" t="s">
        <v>379</v>
      </c>
      <c r="C58" s="26" t="s">
        <v>381</v>
      </c>
      <c r="D58" s="30">
        <v>40</v>
      </c>
      <c r="E58" s="28">
        <v>336.95328000000001</v>
      </c>
      <c r="F58" s="29">
        <v>0.14385733675783</v>
      </c>
    </row>
    <row r="59" spans="1:9" x14ac:dyDescent="0.2">
      <c r="A59" s="26" t="s">
        <v>445</v>
      </c>
      <c r="B59" s="26" t="s">
        <v>444</v>
      </c>
      <c r="C59" s="26" t="s">
        <v>433</v>
      </c>
      <c r="D59" s="30">
        <v>327</v>
      </c>
      <c r="E59" s="28">
        <v>163.5</v>
      </c>
      <c r="F59" s="29">
        <v>6.9803963801465904E-2</v>
      </c>
    </row>
    <row r="60" spans="1:9" ht="10.5" x14ac:dyDescent="0.25">
      <c r="A60" s="25" t="s">
        <v>177</v>
      </c>
      <c r="B60" s="25"/>
      <c r="C60" s="25"/>
      <c r="D60" s="31"/>
      <c r="E60" s="32">
        <f>SUM(E44:E59)</f>
        <v>71828.553087999986</v>
      </c>
      <c r="F60" s="33">
        <f>SUM(F44:F59)</f>
        <v>30.666163423036231</v>
      </c>
      <c r="G60" s="17"/>
      <c r="H60" s="17"/>
      <c r="I60" s="17"/>
    </row>
    <row r="61" spans="1:9" x14ac:dyDescent="0.2">
      <c r="A61" s="26"/>
      <c r="B61" s="26"/>
      <c r="C61" s="26"/>
      <c r="D61" s="27"/>
      <c r="E61" s="28"/>
      <c r="F61" s="29"/>
    </row>
    <row r="62" spans="1:9" ht="10.5" x14ac:dyDescent="0.25">
      <c r="A62" s="25" t="s">
        <v>226</v>
      </c>
      <c r="B62" s="25"/>
      <c r="C62" s="25"/>
      <c r="D62" s="31"/>
      <c r="E62" s="32">
        <f>E42+E60</f>
        <v>257825.79073299991</v>
      </c>
      <c r="F62" s="33">
        <f>F42+F60</f>
        <v>110.07499794134955</v>
      </c>
      <c r="G62" s="17"/>
      <c r="H62" s="17"/>
      <c r="I62" s="17"/>
    </row>
    <row r="63" spans="1:9" ht="10.5" x14ac:dyDescent="0.25">
      <c r="A63" s="25"/>
      <c r="B63" s="25"/>
      <c r="C63" s="25"/>
      <c r="D63" s="31"/>
      <c r="E63" s="32"/>
      <c r="F63" s="33"/>
      <c r="G63" s="17"/>
      <c r="H63" s="17"/>
      <c r="I63" s="17"/>
    </row>
    <row r="64" spans="1:9" ht="10.5" x14ac:dyDescent="0.25">
      <c r="A64" s="25" t="s">
        <v>228</v>
      </c>
      <c r="B64" s="25"/>
      <c r="C64" s="25"/>
      <c r="D64" s="31"/>
      <c r="E64" s="32">
        <f>E66-(E42+E60)</f>
        <v>-23598.404355599923</v>
      </c>
      <c r="F64" s="33">
        <f>F66-(F42+F60)</f>
        <v>-10.074997941349551</v>
      </c>
      <c r="G64" s="17"/>
      <c r="H64" s="17"/>
      <c r="I64" s="17"/>
    </row>
    <row r="65" spans="1:9" ht="10.5" x14ac:dyDescent="0.25">
      <c r="A65" s="25"/>
      <c r="B65" s="25"/>
      <c r="C65" s="25"/>
      <c r="D65" s="31"/>
      <c r="E65" s="32"/>
      <c r="F65" s="33"/>
      <c r="G65" s="17"/>
      <c r="H65" s="17"/>
      <c r="I65" s="17"/>
    </row>
    <row r="66" spans="1:9" ht="10.5" x14ac:dyDescent="0.25">
      <c r="A66" s="34" t="s">
        <v>227</v>
      </c>
      <c r="B66" s="34"/>
      <c r="C66" s="34"/>
      <c r="D66" s="35"/>
      <c r="E66" s="36">
        <v>234227.38637739999</v>
      </c>
      <c r="F66" s="37">
        <v>100</v>
      </c>
      <c r="G66" s="17"/>
      <c r="H66" s="17"/>
      <c r="I66" s="17"/>
    </row>
    <row r="67" spans="1:9" ht="10.5" x14ac:dyDescent="0.25">
      <c r="A67" s="17" t="s">
        <v>231</v>
      </c>
    </row>
    <row r="68" spans="1:9" ht="10.5" x14ac:dyDescent="0.25">
      <c r="A68" s="17" t="s">
        <v>1601</v>
      </c>
    </row>
    <row r="69" spans="1:9" ht="10.5" x14ac:dyDescent="0.25">
      <c r="A69" s="17" t="s">
        <v>1607</v>
      </c>
    </row>
    <row r="70" spans="1:9" ht="10.5" x14ac:dyDescent="0.25">
      <c r="A70" s="17"/>
    </row>
    <row r="71" spans="1:9" ht="10.5" x14ac:dyDescent="0.25">
      <c r="A71" s="17" t="s">
        <v>232</v>
      </c>
    </row>
    <row r="72" spans="1:9" ht="10.5" x14ac:dyDescent="0.25">
      <c r="A72" s="17" t="s">
        <v>233</v>
      </c>
    </row>
    <row r="73" spans="1:9" ht="10.5" x14ac:dyDescent="0.25">
      <c r="A73" s="17" t="s">
        <v>234</v>
      </c>
      <c r="B73" s="17"/>
      <c r="C73" s="38" t="s">
        <v>236</v>
      </c>
      <c r="D73" s="18" t="s">
        <v>235</v>
      </c>
    </row>
    <row r="74" spans="1:9" x14ac:dyDescent="0.2">
      <c r="A74" s="10" t="s">
        <v>543</v>
      </c>
      <c r="C74" s="39">
        <v>22.435700000000001</v>
      </c>
      <c r="D74" s="39">
        <v>20.597200000000001</v>
      </c>
    </row>
    <row r="75" spans="1:9" x14ac:dyDescent="0.2">
      <c r="A75" s="10" t="s">
        <v>544</v>
      </c>
      <c r="C75" s="39">
        <v>10.485200000000001</v>
      </c>
      <c r="D75" s="39">
        <v>9.4974000000000007</v>
      </c>
    </row>
    <row r="76" spans="1:9" x14ac:dyDescent="0.2">
      <c r="A76" s="10" t="s">
        <v>545</v>
      </c>
      <c r="C76" s="39">
        <v>10.311400000000001</v>
      </c>
      <c r="D76" s="39">
        <v>9.3277000000000001</v>
      </c>
    </row>
    <row r="77" spans="1:9" x14ac:dyDescent="0.2">
      <c r="A77" s="10" t="s">
        <v>546</v>
      </c>
      <c r="C77" s="39">
        <v>22.929500000000001</v>
      </c>
      <c r="D77" s="39">
        <v>21.088200000000001</v>
      </c>
    </row>
    <row r="78" spans="1:9" x14ac:dyDescent="0.2">
      <c r="A78" s="10" t="s">
        <v>547</v>
      </c>
      <c r="C78" s="39">
        <v>10.7965</v>
      </c>
      <c r="D78" s="39">
        <v>9.8007000000000009</v>
      </c>
    </row>
    <row r="79" spans="1:9" x14ac:dyDescent="0.2">
      <c r="A79" s="10" t="s">
        <v>548</v>
      </c>
      <c r="C79" s="39">
        <v>10.623100000000001</v>
      </c>
      <c r="D79" s="39">
        <v>9.6310000000000002</v>
      </c>
    </row>
    <row r="81" spans="1:5" ht="10.5" x14ac:dyDescent="0.25">
      <c r="A81" s="17" t="s">
        <v>248</v>
      </c>
    </row>
    <row r="82" spans="1:5" ht="10.5" x14ac:dyDescent="0.25">
      <c r="A82" s="84" t="s">
        <v>249</v>
      </c>
      <c r="B82" s="85"/>
      <c r="C82" s="82" t="s">
        <v>250</v>
      </c>
      <c r="D82" s="83"/>
    </row>
    <row r="83" spans="1:5" ht="10.5" x14ac:dyDescent="0.25">
      <c r="A83" s="84"/>
      <c r="B83" s="85"/>
      <c r="C83" s="40" t="s">
        <v>251</v>
      </c>
      <c r="D83" s="41" t="s">
        <v>252</v>
      </c>
    </row>
    <row r="84" spans="1:5" x14ac:dyDescent="0.2">
      <c r="A84" s="78" t="s">
        <v>544</v>
      </c>
      <c r="B84" s="79"/>
      <c r="C84" s="42">
        <v>0.10084517799999999</v>
      </c>
      <c r="D84" s="42">
        <v>9.3383137399999996E-2</v>
      </c>
    </row>
    <row r="85" spans="1:5" x14ac:dyDescent="0.2">
      <c r="A85" s="78" t="s">
        <v>545</v>
      </c>
      <c r="B85" s="79"/>
      <c r="C85" s="42">
        <v>0.108048405</v>
      </c>
      <c r="D85" s="42">
        <v>0.10005336149999999</v>
      </c>
    </row>
    <row r="86" spans="1:5" x14ac:dyDescent="0.2">
      <c r="A86" s="78" t="s">
        <v>547</v>
      </c>
      <c r="B86" s="79"/>
      <c r="C86" s="42">
        <v>0.10084517799999999</v>
      </c>
      <c r="D86" s="42">
        <v>9.3383137399999996E-2</v>
      </c>
    </row>
    <row r="87" spans="1:5" x14ac:dyDescent="0.2">
      <c r="A87" s="78" t="s">
        <v>548</v>
      </c>
      <c r="B87" s="79"/>
      <c r="C87" s="42">
        <v>0.108048405</v>
      </c>
      <c r="D87" s="42">
        <v>0.10005336149999999</v>
      </c>
    </row>
    <row r="89" spans="1:5" ht="10.5" x14ac:dyDescent="0.25">
      <c r="A89" s="17" t="s">
        <v>253</v>
      </c>
      <c r="D89" s="43">
        <v>1.44263504120548</v>
      </c>
      <c r="E89" s="15" t="s">
        <v>254</v>
      </c>
    </row>
    <row r="91" spans="1:5" ht="10.5" x14ac:dyDescent="0.25">
      <c r="A91" s="17" t="s">
        <v>255</v>
      </c>
      <c r="D91" s="46" t="s">
        <v>256</v>
      </c>
    </row>
    <row r="92" spans="1:5" x14ac:dyDescent="0.2">
      <c r="A92" s="10" t="s">
        <v>257</v>
      </c>
    </row>
    <row r="93" spans="1:5" ht="14.5" x14ac:dyDescent="0.35">
      <c r="A93" s="44" t="s">
        <v>1613</v>
      </c>
    </row>
    <row r="97" spans="1:9" s="1" customFormat="1" ht="14" x14ac:dyDescent="0.25">
      <c r="A97" s="80" t="s">
        <v>549</v>
      </c>
      <c r="B97" s="81"/>
      <c r="C97" s="81"/>
      <c r="D97" s="81"/>
      <c r="E97" s="81"/>
      <c r="F97" s="81"/>
    </row>
    <row r="98" spans="1:9" ht="10.5" x14ac:dyDescent="0.25">
      <c r="A98" s="17" t="s">
        <v>260</v>
      </c>
    </row>
    <row r="99" spans="1:9" ht="10.5" x14ac:dyDescent="0.25">
      <c r="A99" s="17" t="s">
        <v>6</v>
      </c>
    </row>
    <row r="100" spans="1:9" s="1" customFormat="1" ht="17.5" customHeight="1" x14ac:dyDescent="0.25">
      <c r="A100" s="8" t="s">
        <v>2</v>
      </c>
      <c r="B100" s="8" t="s">
        <v>0</v>
      </c>
      <c r="C100" s="8" t="s">
        <v>230</v>
      </c>
      <c r="D100" s="13" t="s">
        <v>1</v>
      </c>
      <c r="E100" s="9" t="s">
        <v>3</v>
      </c>
      <c r="F100" s="9" t="s">
        <v>4</v>
      </c>
    </row>
    <row r="101" spans="1:9" ht="10.5" x14ac:dyDescent="0.25">
      <c r="A101" s="20" t="s">
        <v>63</v>
      </c>
      <c r="B101" s="21"/>
      <c r="C101" s="21"/>
      <c r="D101" s="22"/>
      <c r="E101" s="23"/>
      <c r="F101" s="24"/>
    </row>
    <row r="102" spans="1:9" ht="10.5" x14ac:dyDescent="0.25">
      <c r="A102" s="25" t="s">
        <v>1605</v>
      </c>
      <c r="B102" s="26"/>
      <c r="C102" s="26"/>
      <c r="D102" s="27"/>
      <c r="E102" s="28"/>
      <c r="F102" s="29"/>
    </row>
    <row r="103" spans="1:9" x14ac:dyDescent="0.2">
      <c r="A103" s="26" t="s">
        <v>262</v>
      </c>
      <c r="B103" s="26" t="s">
        <v>261</v>
      </c>
      <c r="C103" s="26" t="s">
        <v>263</v>
      </c>
      <c r="D103" s="30">
        <v>1970</v>
      </c>
      <c r="E103" s="53">
        <v>0</v>
      </c>
      <c r="F103" s="53">
        <v>100</v>
      </c>
    </row>
    <row r="104" spans="1:9" ht="10.5" x14ac:dyDescent="0.25">
      <c r="A104" s="25" t="s">
        <v>177</v>
      </c>
      <c r="B104" s="25"/>
      <c r="C104" s="25"/>
      <c r="D104" s="31"/>
      <c r="E104" s="51">
        <f>SUM(E102:E103)</f>
        <v>0</v>
      </c>
      <c r="F104" s="52">
        <f>SUM(F102:F103)</f>
        <v>100</v>
      </c>
      <c r="G104" s="17"/>
      <c r="H104" s="17"/>
      <c r="I104" s="17"/>
    </row>
    <row r="105" spans="1:9" x14ac:dyDescent="0.2">
      <c r="A105" s="26"/>
      <c r="B105" s="26"/>
      <c r="C105" s="26"/>
      <c r="D105" s="27"/>
      <c r="E105" s="53"/>
      <c r="F105" s="50"/>
    </row>
    <row r="106" spans="1:9" ht="10.5" x14ac:dyDescent="0.25">
      <c r="A106" s="25" t="s">
        <v>226</v>
      </c>
      <c r="B106" s="25"/>
      <c r="C106" s="25"/>
      <c r="D106" s="31"/>
      <c r="E106" s="51">
        <f>E104</f>
        <v>0</v>
      </c>
      <c r="F106" s="52">
        <f>F104</f>
        <v>100</v>
      </c>
      <c r="G106" s="17"/>
      <c r="H106" s="17"/>
      <c r="I106" s="17"/>
    </row>
    <row r="107" spans="1:9" ht="10.5" x14ac:dyDescent="0.25">
      <c r="A107" s="25"/>
      <c r="B107" s="25"/>
      <c r="C107" s="25"/>
      <c r="D107" s="31"/>
      <c r="E107" s="51"/>
      <c r="F107" s="52"/>
      <c r="G107" s="17"/>
      <c r="H107" s="17"/>
      <c r="I107" s="17"/>
    </row>
    <row r="108" spans="1:9" ht="10.5" x14ac:dyDescent="0.25">
      <c r="A108" s="25" t="s">
        <v>228</v>
      </c>
      <c r="B108" s="25"/>
      <c r="C108" s="25"/>
      <c r="D108" s="31"/>
      <c r="E108" s="51">
        <f>E110-(E104)</f>
        <v>8.9999999999999996E-7</v>
      </c>
      <c r="F108" s="33">
        <f>F110-(F104)</f>
        <v>0</v>
      </c>
      <c r="G108" s="17"/>
      <c r="H108" s="17"/>
      <c r="I108" s="17"/>
    </row>
    <row r="109" spans="1:9" ht="10.5" x14ac:dyDescent="0.25">
      <c r="A109" s="25"/>
      <c r="B109" s="25"/>
      <c r="C109" s="25"/>
      <c r="D109" s="31"/>
      <c r="E109" s="51"/>
      <c r="F109" s="52"/>
      <c r="G109" s="17"/>
      <c r="H109" s="17"/>
      <c r="I109" s="17"/>
    </row>
    <row r="110" spans="1:9" ht="10.5" x14ac:dyDescent="0.25">
      <c r="A110" s="34" t="s">
        <v>227</v>
      </c>
      <c r="B110" s="34"/>
      <c r="C110" s="34"/>
      <c r="D110" s="35"/>
      <c r="E110" s="54">
        <v>8.9999999999999996E-7</v>
      </c>
      <c r="F110" s="55">
        <v>100</v>
      </c>
      <c r="G110" s="17"/>
      <c r="H110" s="17"/>
      <c r="I110" s="17"/>
    </row>
    <row r="111" spans="1:9" ht="10.5" x14ac:dyDescent="0.25">
      <c r="A111" s="17" t="s">
        <v>231</v>
      </c>
      <c r="F111" s="19" t="s">
        <v>446</v>
      </c>
    </row>
    <row r="112" spans="1:9" ht="10.5" x14ac:dyDescent="0.25">
      <c r="A112" s="17" t="s">
        <v>1601</v>
      </c>
    </row>
    <row r="113" spans="1:4" ht="10.5" x14ac:dyDescent="0.25">
      <c r="A113" s="17" t="s">
        <v>1607</v>
      </c>
    </row>
    <row r="115" spans="1:4" ht="10.5" x14ac:dyDescent="0.25">
      <c r="A115" s="17" t="s">
        <v>232</v>
      </c>
    </row>
    <row r="116" spans="1:4" ht="10.5" x14ac:dyDescent="0.25">
      <c r="A116" s="17" t="s">
        <v>233</v>
      </c>
    </row>
    <row r="117" spans="1:4" ht="10.5" x14ac:dyDescent="0.25">
      <c r="A117" s="17" t="s">
        <v>234</v>
      </c>
      <c r="B117" s="17"/>
      <c r="C117" s="38" t="s">
        <v>236</v>
      </c>
      <c r="D117" s="18" t="s">
        <v>235</v>
      </c>
    </row>
    <row r="118" spans="1:4" x14ac:dyDescent="0.2">
      <c r="A118" s="10" t="s">
        <v>543</v>
      </c>
      <c r="C118" s="56" t="s">
        <v>1602</v>
      </c>
      <c r="D118" s="39">
        <v>0</v>
      </c>
    </row>
    <row r="119" spans="1:4" x14ac:dyDescent="0.2">
      <c r="A119" s="10" t="s">
        <v>544</v>
      </c>
      <c r="C119" s="56" t="s">
        <v>1602</v>
      </c>
      <c r="D119" s="39">
        <v>0</v>
      </c>
    </row>
    <row r="120" spans="1:4" x14ac:dyDescent="0.2">
      <c r="A120" s="10" t="s">
        <v>545</v>
      </c>
      <c r="C120" s="56" t="s">
        <v>1602</v>
      </c>
      <c r="D120" s="39">
        <v>0</v>
      </c>
    </row>
    <row r="121" spans="1:4" x14ac:dyDescent="0.2">
      <c r="A121" s="10" t="s">
        <v>546</v>
      </c>
      <c r="C121" s="56" t="s">
        <v>1602</v>
      </c>
      <c r="D121" s="39">
        <v>0</v>
      </c>
    </row>
    <row r="122" spans="1:4" x14ac:dyDescent="0.2">
      <c r="A122" s="10" t="s">
        <v>547</v>
      </c>
      <c r="C122" s="56" t="s">
        <v>1602</v>
      </c>
      <c r="D122" s="39">
        <v>0</v>
      </c>
    </row>
    <row r="123" spans="1:4" x14ac:dyDescent="0.2">
      <c r="A123" s="10" t="s">
        <v>548</v>
      </c>
      <c r="C123" s="56" t="s">
        <v>1602</v>
      </c>
      <c r="D123" s="39">
        <v>0</v>
      </c>
    </row>
    <row r="125" spans="1:4" ht="10.5" x14ac:dyDescent="0.25">
      <c r="A125" s="17" t="s">
        <v>1606</v>
      </c>
      <c r="C125" s="56"/>
      <c r="D125" s="39"/>
    </row>
    <row r="127" spans="1:4" ht="10.5" x14ac:dyDescent="0.25">
      <c r="A127" s="17" t="s">
        <v>1604</v>
      </c>
      <c r="D127" s="46" t="s">
        <v>256</v>
      </c>
    </row>
    <row r="128" spans="1:4" x14ac:dyDescent="0.2">
      <c r="A128" s="10" t="s">
        <v>257</v>
      </c>
    </row>
    <row r="129" spans="1:9" ht="14.5" x14ac:dyDescent="0.35">
      <c r="A129" s="44" t="s">
        <v>1613</v>
      </c>
    </row>
    <row r="132" spans="1:9" s="1" customFormat="1" ht="14" x14ac:dyDescent="0.25">
      <c r="A132" s="80" t="s">
        <v>550</v>
      </c>
      <c r="B132" s="81"/>
      <c r="C132" s="81"/>
      <c r="D132" s="81"/>
      <c r="E132" s="81"/>
      <c r="F132" s="81"/>
    </row>
    <row r="133" spans="1:9" ht="10.5" x14ac:dyDescent="0.25">
      <c r="A133" s="17" t="s">
        <v>455</v>
      </c>
    </row>
    <row r="134" spans="1:9" ht="10.5" x14ac:dyDescent="0.25">
      <c r="A134" s="17" t="s">
        <v>6</v>
      </c>
    </row>
    <row r="135" spans="1:9" s="1" customFormat="1" ht="17.5" customHeight="1" x14ac:dyDescent="0.25">
      <c r="A135" s="8" t="s">
        <v>2</v>
      </c>
      <c r="B135" s="8" t="s">
        <v>0</v>
      </c>
      <c r="C135" s="8" t="s">
        <v>230</v>
      </c>
      <c r="D135" s="13" t="s">
        <v>1</v>
      </c>
      <c r="E135" s="9" t="s">
        <v>3</v>
      </c>
      <c r="F135" s="9" t="s">
        <v>4</v>
      </c>
    </row>
    <row r="136" spans="1:9" ht="10.5" x14ac:dyDescent="0.25">
      <c r="A136" s="20" t="s">
        <v>63</v>
      </c>
      <c r="B136" s="21"/>
      <c r="C136" s="21"/>
      <c r="D136" s="22"/>
      <c r="E136" s="23"/>
      <c r="F136" s="24"/>
    </row>
    <row r="137" spans="1:9" ht="10.5" x14ac:dyDescent="0.25">
      <c r="A137" s="25" t="s">
        <v>64</v>
      </c>
      <c r="B137" s="26"/>
      <c r="C137" s="26"/>
      <c r="D137" s="27"/>
      <c r="E137" s="28"/>
      <c r="F137" s="29"/>
    </row>
    <row r="138" spans="1:9" x14ac:dyDescent="0.2">
      <c r="A138" s="26" t="s">
        <v>457</v>
      </c>
      <c r="B138" s="26" t="s">
        <v>456</v>
      </c>
      <c r="C138" s="26" t="s">
        <v>458</v>
      </c>
      <c r="D138" s="30">
        <v>1510</v>
      </c>
      <c r="E138" s="53">
        <v>0</v>
      </c>
      <c r="F138" s="53">
        <v>100</v>
      </c>
    </row>
    <row r="139" spans="1:9" ht="10.5" x14ac:dyDescent="0.25">
      <c r="A139" s="25" t="s">
        <v>177</v>
      </c>
      <c r="B139" s="25"/>
      <c r="C139" s="25"/>
      <c r="D139" s="31"/>
      <c r="E139" s="51">
        <f>SUM(E137:E138)</f>
        <v>0</v>
      </c>
      <c r="F139" s="52">
        <f>SUM(F137:F138)</f>
        <v>100</v>
      </c>
      <c r="G139" s="17"/>
      <c r="H139" s="17"/>
      <c r="I139" s="17"/>
    </row>
    <row r="140" spans="1:9" x14ac:dyDescent="0.2">
      <c r="A140" s="26"/>
      <c r="B140" s="26"/>
      <c r="C140" s="26"/>
      <c r="D140" s="27"/>
      <c r="E140" s="53"/>
      <c r="F140" s="50"/>
    </row>
    <row r="141" spans="1:9" ht="10.5" x14ac:dyDescent="0.25">
      <c r="A141" s="25" t="s">
        <v>226</v>
      </c>
      <c r="B141" s="25"/>
      <c r="C141" s="25"/>
      <c r="D141" s="31"/>
      <c r="E141" s="51">
        <f>E139</f>
        <v>0</v>
      </c>
      <c r="F141" s="52">
        <f>F139</f>
        <v>100</v>
      </c>
      <c r="G141" s="17"/>
      <c r="H141" s="17"/>
      <c r="I141" s="17"/>
    </row>
    <row r="142" spans="1:9" ht="10.5" x14ac:dyDescent="0.25">
      <c r="A142" s="25"/>
      <c r="B142" s="25"/>
      <c r="C142" s="25"/>
      <c r="D142" s="31"/>
      <c r="E142" s="51"/>
      <c r="F142" s="52"/>
      <c r="G142" s="17"/>
      <c r="H142" s="17"/>
      <c r="I142" s="17"/>
    </row>
    <row r="143" spans="1:9" ht="10.5" x14ac:dyDescent="0.25">
      <c r="A143" s="25" t="s">
        <v>228</v>
      </c>
      <c r="B143" s="25"/>
      <c r="C143" s="25"/>
      <c r="D143" s="31"/>
      <c r="E143" s="51">
        <f>E145-(E139)</f>
        <v>8.9999999999999996E-7</v>
      </c>
      <c r="F143" s="33">
        <f>F145-(F139)</f>
        <v>0</v>
      </c>
      <c r="G143" s="17"/>
      <c r="H143" s="17"/>
      <c r="I143" s="17"/>
    </row>
    <row r="144" spans="1:9" ht="10.5" x14ac:dyDescent="0.25">
      <c r="A144" s="25"/>
      <c r="B144" s="25"/>
      <c r="C144" s="25"/>
      <c r="D144" s="31"/>
      <c r="E144" s="51"/>
      <c r="F144" s="52"/>
      <c r="G144" s="17"/>
      <c r="H144" s="17"/>
      <c r="I144" s="17"/>
    </row>
    <row r="145" spans="1:9" ht="10.5" x14ac:dyDescent="0.25">
      <c r="A145" s="34" t="s">
        <v>227</v>
      </c>
      <c r="B145" s="34"/>
      <c r="C145" s="34"/>
      <c r="D145" s="35"/>
      <c r="E145" s="54">
        <v>8.9999999999999996E-7</v>
      </c>
      <c r="F145" s="55">
        <v>100</v>
      </c>
      <c r="G145" s="17"/>
      <c r="H145" s="17"/>
      <c r="I145" s="17"/>
    </row>
    <row r="146" spans="1:9" ht="10.5" x14ac:dyDescent="0.25">
      <c r="A146" s="58" t="s">
        <v>231</v>
      </c>
      <c r="F146" s="19" t="s">
        <v>446</v>
      </c>
    </row>
    <row r="147" spans="1:9" ht="10.5" x14ac:dyDescent="0.25">
      <c r="A147" s="58" t="s">
        <v>1601</v>
      </c>
    </row>
    <row r="148" spans="1:9" ht="10.5" x14ac:dyDescent="0.25">
      <c r="A148" s="59" t="s">
        <v>1607</v>
      </c>
    </row>
    <row r="149" spans="1:9" ht="10.5" x14ac:dyDescent="0.25">
      <c r="A149" s="59"/>
    </row>
    <row r="150" spans="1:9" ht="10.5" x14ac:dyDescent="0.25">
      <c r="A150" s="17" t="s">
        <v>232</v>
      </c>
    </row>
    <row r="151" spans="1:9" ht="10.5" x14ac:dyDescent="0.25">
      <c r="A151" s="17" t="s">
        <v>233</v>
      </c>
    </row>
    <row r="152" spans="1:9" ht="10.5" x14ac:dyDescent="0.25">
      <c r="A152" s="17" t="s">
        <v>234</v>
      </c>
      <c r="B152" s="17"/>
      <c r="C152" s="38" t="s">
        <v>236</v>
      </c>
      <c r="D152" s="18" t="s">
        <v>235</v>
      </c>
    </row>
    <row r="153" spans="1:9" x14ac:dyDescent="0.2">
      <c r="A153" s="10" t="s">
        <v>543</v>
      </c>
      <c r="C153" s="56" t="s">
        <v>1602</v>
      </c>
      <c r="D153" s="39">
        <v>0</v>
      </c>
    </row>
    <row r="154" spans="1:9" x14ac:dyDescent="0.2">
      <c r="A154" s="10" t="s">
        <v>544</v>
      </c>
      <c r="C154" s="56" t="s">
        <v>1602</v>
      </c>
      <c r="D154" s="39">
        <v>0</v>
      </c>
    </row>
    <row r="155" spans="1:9" x14ac:dyDescent="0.2">
      <c r="A155" s="10" t="s">
        <v>545</v>
      </c>
      <c r="C155" s="56" t="s">
        <v>1602</v>
      </c>
      <c r="D155" s="39">
        <v>0</v>
      </c>
    </row>
    <row r="156" spans="1:9" x14ac:dyDescent="0.2">
      <c r="A156" s="10" t="s">
        <v>546</v>
      </c>
      <c r="C156" s="56" t="s">
        <v>1602</v>
      </c>
      <c r="D156" s="39">
        <v>0</v>
      </c>
    </row>
    <row r="157" spans="1:9" x14ac:dyDescent="0.2">
      <c r="A157" s="10" t="s">
        <v>547</v>
      </c>
      <c r="C157" s="56" t="s">
        <v>1602</v>
      </c>
      <c r="D157" s="39">
        <v>0</v>
      </c>
    </row>
    <row r="158" spans="1:9" x14ac:dyDescent="0.2">
      <c r="A158" s="10" t="s">
        <v>548</v>
      </c>
      <c r="C158" s="56" t="s">
        <v>1602</v>
      </c>
      <c r="D158" s="39">
        <v>0</v>
      </c>
    </row>
    <row r="160" spans="1:9" ht="10.5" x14ac:dyDescent="0.25">
      <c r="A160" s="17" t="s">
        <v>1606</v>
      </c>
      <c r="C160" s="56"/>
      <c r="D160" s="39"/>
      <c r="E160" s="43"/>
      <c r="F160" s="14"/>
    </row>
    <row r="161" spans="1:6" x14ac:dyDescent="0.2">
      <c r="C161" s="56"/>
      <c r="E161" s="43"/>
      <c r="F161" s="14"/>
    </row>
    <row r="162" spans="1:6" ht="10.5" x14ac:dyDescent="0.25">
      <c r="A162" s="17" t="s">
        <v>1604</v>
      </c>
      <c r="D162" s="46" t="s">
        <v>256</v>
      </c>
      <c r="E162" s="43"/>
      <c r="F162" s="14"/>
    </row>
    <row r="163" spans="1:6" x14ac:dyDescent="0.2">
      <c r="A163" s="10" t="s">
        <v>257</v>
      </c>
      <c r="E163" s="43"/>
      <c r="F163" s="14"/>
    </row>
    <row r="164" spans="1:6" ht="14.5" x14ac:dyDescent="0.35">
      <c r="A164" s="44" t="s">
        <v>1613</v>
      </c>
      <c r="E164" s="43"/>
      <c r="F164" s="14"/>
    </row>
  </sheetData>
  <mergeCells count="10">
    <mergeCell ref="A86:B86"/>
    <mergeCell ref="A87:B87"/>
    <mergeCell ref="A97:F97"/>
    <mergeCell ref="A132:F132"/>
    <mergeCell ref="A1:F1"/>
    <mergeCell ref="C82:D82"/>
    <mergeCell ref="A82:B82"/>
    <mergeCell ref="A83:B83"/>
    <mergeCell ref="A84:B84"/>
    <mergeCell ref="A85:B85"/>
  </mergeCells>
  <conditionalFormatting sqref="F2:F3 F5:F96 F98:F99 F101:F102 F133:F134 F136:F137 F112:F131 F147:F159 F165:F65542">
    <cfRule type="cellIs" dxfId="105" priority="11" stopIfTrue="1" operator="between">
      <formula>0.009</formula>
      <formula>-0.009</formula>
    </cfRule>
  </conditionalFormatting>
  <conditionalFormatting sqref="F111">
    <cfRule type="cellIs" dxfId="104" priority="4" stopIfTrue="1" operator="between">
      <formula>0.009</formula>
      <formula>-0.009</formula>
    </cfRule>
  </conditionalFormatting>
  <conditionalFormatting sqref="F104:F107 F109:F110">
    <cfRule type="cellIs" dxfId="103" priority="6" stopIfTrue="1" operator="between">
      <formula>0.009</formula>
      <formula>-0.009</formula>
    </cfRule>
  </conditionalFormatting>
  <conditionalFormatting sqref="F160">
    <cfRule type="cellIs" dxfId="102" priority="7" stopIfTrue="1" operator="between">
      <formula>0.009</formula>
      <formula>-0.009</formula>
    </cfRule>
  </conditionalFormatting>
  <conditionalFormatting sqref="F161:F164">
    <cfRule type="cellIs" dxfId="101" priority="8" stopIfTrue="1" operator="between">
      <formula>0.009</formula>
      <formula>-0.009</formula>
    </cfRule>
  </conditionalFormatting>
  <conditionalFormatting sqref="F108">
    <cfRule type="cellIs" dxfId="100" priority="5" stopIfTrue="1" operator="between">
      <formula>0.009</formula>
      <formula>-0.009</formula>
    </cfRule>
  </conditionalFormatting>
  <conditionalFormatting sqref="F139:F142 F144:F145">
    <cfRule type="cellIs" dxfId="99" priority="3" stopIfTrue="1" operator="between">
      <formula>0.009</formula>
      <formula>-0.009</formula>
    </cfRule>
  </conditionalFormatting>
  <conditionalFormatting sqref="F143">
    <cfRule type="cellIs" dxfId="98" priority="2" stopIfTrue="1" operator="between">
      <formula>0.009</formula>
      <formula>-0.009</formula>
    </cfRule>
  </conditionalFormatting>
  <conditionalFormatting sqref="F146">
    <cfRule type="cellIs" dxfId="97" priority="1" stopIfTrue="1" operator="between">
      <formula>0.009</formula>
      <formula>-0.009</formula>
    </cfRule>
  </conditionalFormatting>
  <hyperlinks>
    <hyperlink ref="A93" r:id="rId1" xr:uid="{00000000-0004-0000-0300-000000000000}"/>
    <hyperlink ref="A129" r:id="rId2" xr:uid="{00000000-0004-0000-0300-000001000000}"/>
    <hyperlink ref="A164" r:id="rId3" xr:uid="{00000000-0004-0000-0300-000002000000}"/>
  </hyperlinks>
  <pageMargins left="0.7" right="0.7" top="0.75" bottom="0.75" header="0.3" footer="0.3"/>
  <pageSetup paperSize="9" orientation="portrait" r:id="rId4"/>
  <headerFooter>
    <oddFooter>&amp;LPUBLIC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0"/>
  <sheetViews>
    <sheetView workbookViewId="0">
      <selection activeCell="A2" sqref="A2"/>
    </sheetView>
  </sheetViews>
  <sheetFormatPr defaultColWidth="9.1796875" defaultRowHeight="10" x14ac:dyDescent="0.2"/>
  <cols>
    <col min="1" max="1" width="38.7265625" style="10" bestFit="1" customWidth="1"/>
    <col min="2" max="2" width="69.179687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5.1796875" style="10" bestFit="1" customWidth="1"/>
    <col min="8" max="16384" width="9.1796875" style="10"/>
  </cols>
  <sheetData>
    <row r="1" spans="1:6" s="1" customFormat="1" ht="14" x14ac:dyDescent="0.25">
      <c r="A1" s="80" t="s">
        <v>1661</v>
      </c>
      <c r="B1" s="81"/>
      <c r="C1" s="81"/>
      <c r="D1" s="81"/>
      <c r="E1" s="81"/>
      <c r="F1" s="81"/>
    </row>
    <row r="2" spans="1:6" s="1" customFormat="1" ht="11.5" x14ac:dyDescent="0.25">
      <c r="A2" s="45" t="s">
        <v>258</v>
      </c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552</v>
      </c>
      <c r="B7" s="26" t="s">
        <v>551</v>
      </c>
      <c r="C7" s="26" t="s">
        <v>91</v>
      </c>
      <c r="D7" s="30">
        <v>2797</v>
      </c>
      <c r="E7" s="28">
        <v>23115.694619999998</v>
      </c>
      <c r="F7" s="29">
        <v>14.113957931757501</v>
      </c>
    </row>
    <row r="8" spans="1:6" x14ac:dyDescent="0.2">
      <c r="A8" s="26" t="s">
        <v>319</v>
      </c>
      <c r="B8" s="26" t="s">
        <v>318</v>
      </c>
      <c r="C8" s="26" t="s">
        <v>216</v>
      </c>
      <c r="D8" s="30">
        <v>1910</v>
      </c>
      <c r="E8" s="28">
        <v>17538.4031</v>
      </c>
      <c r="F8" s="29">
        <v>10.7085807981488</v>
      </c>
    </row>
    <row r="9" spans="1:6" x14ac:dyDescent="0.2">
      <c r="A9" s="26" t="s">
        <v>280</v>
      </c>
      <c r="B9" s="26" t="s">
        <v>279</v>
      </c>
      <c r="C9" s="26" t="s">
        <v>148</v>
      </c>
      <c r="D9" s="30">
        <v>1550</v>
      </c>
      <c r="E9" s="28">
        <v>13911.032999999999</v>
      </c>
      <c r="F9" s="29">
        <v>8.4937847543380407</v>
      </c>
    </row>
    <row r="10" spans="1:6" x14ac:dyDescent="0.2">
      <c r="A10" s="26" t="s">
        <v>554</v>
      </c>
      <c r="B10" s="26" t="s">
        <v>553</v>
      </c>
      <c r="C10" s="26" t="s">
        <v>81</v>
      </c>
      <c r="D10" s="30">
        <v>12100</v>
      </c>
      <c r="E10" s="28">
        <v>11592.610699999999</v>
      </c>
      <c r="F10" s="29">
        <v>7.0782047621219801</v>
      </c>
    </row>
    <row r="11" spans="1:6" x14ac:dyDescent="0.2">
      <c r="A11" s="26" t="s">
        <v>556</v>
      </c>
      <c r="B11" s="26" t="s">
        <v>555</v>
      </c>
      <c r="C11" s="26" t="s">
        <v>103</v>
      </c>
      <c r="D11" s="30">
        <v>5858</v>
      </c>
      <c r="E11" s="28">
        <v>11018.06616</v>
      </c>
      <c r="F11" s="29">
        <v>6.7273999258067896</v>
      </c>
    </row>
    <row r="12" spans="1:6" x14ac:dyDescent="0.2">
      <c r="A12" s="26" t="s">
        <v>558</v>
      </c>
      <c r="B12" s="26" t="s">
        <v>557</v>
      </c>
      <c r="C12" s="26" t="s">
        <v>73</v>
      </c>
      <c r="D12" s="30">
        <v>1000</v>
      </c>
      <c r="E12" s="28">
        <v>9094.5400000000009</v>
      </c>
      <c r="F12" s="29">
        <v>5.5529352277230197</v>
      </c>
    </row>
    <row r="13" spans="1:6" x14ac:dyDescent="0.2">
      <c r="A13" s="26" t="s">
        <v>80</v>
      </c>
      <c r="B13" s="26" t="s">
        <v>79</v>
      </c>
      <c r="C13" s="26" t="s">
        <v>81</v>
      </c>
      <c r="D13" s="30">
        <v>780</v>
      </c>
      <c r="E13" s="28">
        <v>7757.3573999999999</v>
      </c>
      <c r="F13" s="29">
        <v>4.7364795999025597</v>
      </c>
    </row>
    <row r="14" spans="1:6" x14ac:dyDescent="0.2">
      <c r="A14" s="26" t="s">
        <v>282</v>
      </c>
      <c r="B14" s="26" t="s">
        <v>281</v>
      </c>
      <c r="C14" s="26" t="s">
        <v>78</v>
      </c>
      <c r="D14" s="30">
        <v>700</v>
      </c>
      <c r="E14" s="28">
        <v>6909.4409999999998</v>
      </c>
      <c r="F14" s="29">
        <v>4.2187596440032999</v>
      </c>
    </row>
    <row r="15" spans="1:6" x14ac:dyDescent="0.2">
      <c r="A15" s="26" t="s">
        <v>349</v>
      </c>
      <c r="B15" s="26" t="s">
        <v>348</v>
      </c>
      <c r="C15" s="26" t="s">
        <v>67</v>
      </c>
      <c r="D15" s="30">
        <v>650</v>
      </c>
      <c r="E15" s="28">
        <v>6242.1644999999999</v>
      </c>
      <c r="F15" s="29">
        <v>3.8113346193751498</v>
      </c>
    </row>
    <row r="16" spans="1:6" x14ac:dyDescent="0.2">
      <c r="A16" s="26" t="s">
        <v>265</v>
      </c>
      <c r="B16" s="26" t="s">
        <v>264</v>
      </c>
      <c r="C16" s="26" t="s">
        <v>148</v>
      </c>
      <c r="D16" s="30">
        <v>620</v>
      </c>
      <c r="E16" s="28">
        <v>5628.2298000000001</v>
      </c>
      <c r="F16" s="29">
        <v>3.4364789781715701</v>
      </c>
    </row>
    <row r="17" spans="1:6" x14ac:dyDescent="0.2">
      <c r="A17" s="26" t="s">
        <v>273</v>
      </c>
      <c r="B17" s="26" t="s">
        <v>272</v>
      </c>
      <c r="C17" s="26" t="s">
        <v>274</v>
      </c>
      <c r="D17" s="30">
        <v>550</v>
      </c>
      <c r="E17" s="28">
        <v>5474.4690000000001</v>
      </c>
      <c r="F17" s="29">
        <v>3.3425958611625899</v>
      </c>
    </row>
    <row r="18" spans="1:6" x14ac:dyDescent="0.2">
      <c r="A18" s="26" t="s">
        <v>355</v>
      </c>
      <c r="B18" s="26" t="s">
        <v>354</v>
      </c>
      <c r="C18" s="26" t="s">
        <v>103</v>
      </c>
      <c r="D18" s="30">
        <v>646</v>
      </c>
      <c r="E18" s="28">
        <v>5207.6579400000001</v>
      </c>
      <c r="F18" s="29">
        <v>3.1796866283459599</v>
      </c>
    </row>
    <row r="19" spans="1:6" x14ac:dyDescent="0.2">
      <c r="A19" s="26" t="s">
        <v>339</v>
      </c>
      <c r="B19" s="26" t="s">
        <v>338</v>
      </c>
      <c r="C19" s="26" t="s">
        <v>186</v>
      </c>
      <c r="D19" s="30">
        <v>500</v>
      </c>
      <c r="E19" s="28">
        <v>4972.1949999999997</v>
      </c>
      <c r="F19" s="29">
        <v>3.03591789959781</v>
      </c>
    </row>
    <row r="20" spans="1:6" x14ac:dyDescent="0.2">
      <c r="A20" s="26" t="s">
        <v>169</v>
      </c>
      <c r="B20" s="26" t="s">
        <v>168</v>
      </c>
      <c r="C20" s="26" t="s">
        <v>103</v>
      </c>
      <c r="D20" s="30">
        <v>501</v>
      </c>
      <c r="E20" s="28">
        <v>4676.9402099999998</v>
      </c>
      <c r="F20" s="29">
        <v>2.8556415222829599</v>
      </c>
    </row>
    <row r="21" spans="1:6" x14ac:dyDescent="0.2">
      <c r="A21" s="26" t="s">
        <v>559</v>
      </c>
      <c r="B21" s="26" t="s">
        <v>324</v>
      </c>
      <c r="C21" s="26" t="s">
        <v>313</v>
      </c>
      <c r="D21" s="30">
        <v>400</v>
      </c>
      <c r="E21" s="28">
        <v>3892.616</v>
      </c>
      <c r="F21" s="29">
        <v>2.37674962278447</v>
      </c>
    </row>
    <row r="22" spans="1:6" x14ac:dyDescent="0.2">
      <c r="A22" s="26" t="s">
        <v>292</v>
      </c>
      <c r="B22" s="26" t="s">
        <v>291</v>
      </c>
      <c r="C22" s="26" t="s">
        <v>98</v>
      </c>
      <c r="D22" s="30">
        <v>4000</v>
      </c>
      <c r="E22" s="28">
        <v>3822.0720000000001</v>
      </c>
      <c r="F22" s="29">
        <v>2.3336769371176298</v>
      </c>
    </row>
    <row r="23" spans="1:6" x14ac:dyDescent="0.2">
      <c r="A23" s="26" t="s">
        <v>353</v>
      </c>
      <c r="B23" s="26" t="s">
        <v>352</v>
      </c>
      <c r="C23" s="26" t="s">
        <v>103</v>
      </c>
      <c r="D23" s="30">
        <v>350</v>
      </c>
      <c r="E23" s="28">
        <v>2877.8575000000001</v>
      </c>
      <c r="F23" s="29">
        <v>1.7571593826754199</v>
      </c>
    </row>
    <row r="24" spans="1:6" x14ac:dyDescent="0.2">
      <c r="A24" s="26" t="s">
        <v>120</v>
      </c>
      <c r="B24" s="26" t="s">
        <v>119</v>
      </c>
      <c r="C24" s="26" t="s">
        <v>103</v>
      </c>
      <c r="D24" s="30">
        <v>240</v>
      </c>
      <c r="E24" s="28">
        <v>2303.4407999999999</v>
      </c>
      <c r="F24" s="29">
        <v>1.40643260278084</v>
      </c>
    </row>
    <row r="25" spans="1:6" x14ac:dyDescent="0.2">
      <c r="A25" s="26" t="s">
        <v>152</v>
      </c>
      <c r="B25" s="26" t="s">
        <v>151</v>
      </c>
      <c r="C25" s="26" t="s">
        <v>81</v>
      </c>
      <c r="D25" s="30">
        <v>204</v>
      </c>
      <c r="E25" s="28">
        <v>2074.0822800000001</v>
      </c>
      <c r="F25" s="29">
        <v>1.2663911047516501</v>
      </c>
    </row>
    <row r="26" spans="1:6" x14ac:dyDescent="0.2">
      <c r="A26" s="26" t="s">
        <v>341</v>
      </c>
      <c r="B26" s="26" t="s">
        <v>340</v>
      </c>
      <c r="C26" s="26" t="s">
        <v>73</v>
      </c>
      <c r="D26" s="30">
        <v>200</v>
      </c>
      <c r="E26" s="28">
        <v>1954.818</v>
      </c>
      <c r="F26" s="29">
        <v>1.1935708387655699</v>
      </c>
    </row>
    <row r="27" spans="1:6" x14ac:dyDescent="0.2">
      <c r="A27" s="26" t="s">
        <v>561</v>
      </c>
      <c r="B27" s="26" t="s">
        <v>560</v>
      </c>
      <c r="C27" s="26" t="s">
        <v>98</v>
      </c>
      <c r="D27" s="30">
        <v>2000</v>
      </c>
      <c r="E27" s="28">
        <v>1920.576</v>
      </c>
      <c r="F27" s="29">
        <v>1.17266339231224</v>
      </c>
    </row>
    <row r="28" spans="1:6" x14ac:dyDescent="0.2">
      <c r="A28" s="26" t="s">
        <v>267</v>
      </c>
      <c r="B28" s="26" t="s">
        <v>266</v>
      </c>
      <c r="C28" s="26" t="s">
        <v>91</v>
      </c>
      <c r="D28" s="30">
        <v>250</v>
      </c>
      <c r="E28" s="28">
        <v>1905.24</v>
      </c>
      <c r="F28" s="29">
        <v>1.1632995526180601</v>
      </c>
    </row>
    <row r="29" spans="1:6" x14ac:dyDescent="0.2">
      <c r="A29" s="26" t="s">
        <v>563</v>
      </c>
      <c r="B29" s="26" t="s">
        <v>562</v>
      </c>
      <c r="C29" s="26" t="s">
        <v>186</v>
      </c>
      <c r="D29" s="30">
        <v>150</v>
      </c>
      <c r="E29" s="28">
        <v>1701.1755000000001</v>
      </c>
      <c r="F29" s="29">
        <v>1.0387020522741499</v>
      </c>
    </row>
    <row r="30" spans="1:6" x14ac:dyDescent="0.2">
      <c r="A30" s="26" t="s">
        <v>325</v>
      </c>
      <c r="B30" s="26" t="s">
        <v>324</v>
      </c>
      <c r="C30" s="26" t="s">
        <v>313</v>
      </c>
      <c r="D30" s="30">
        <v>150</v>
      </c>
      <c r="E30" s="28">
        <v>1459.356</v>
      </c>
      <c r="F30" s="29">
        <v>0.89105214141550404</v>
      </c>
    </row>
    <row r="31" spans="1:6" x14ac:dyDescent="0.2">
      <c r="A31" s="26" t="s">
        <v>565</v>
      </c>
      <c r="B31" s="26" t="s">
        <v>564</v>
      </c>
      <c r="C31" s="26" t="s">
        <v>103</v>
      </c>
      <c r="D31" s="30">
        <v>150</v>
      </c>
      <c r="E31" s="28">
        <v>1399.11</v>
      </c>
      <c r="F31" s="29">
        <v>0.85426719839151399</v>
      </c>
    </row>
    <row r="32" spans="1:6" x14ac:dyDescent="0.2">
      <c r="A32" s="26" t="s">
        <v>567</v>
      </c>
      <c r="B32" s="26" t="s">
        <v>566</v>
      </c>
      <c r="C32" s="26" t="s">
        <v>73</v>
      </c>
      <c r="D32" s="30">
        <v>150</v>
      </c>
      <c r="E32" s="28">
        <v>1327.134</v>
      </c>
      <c r="F32" s="29">
        <v>0.81032016358265102</v>
      </c>
    </row>
    <row r="33" spans="1:9" x14ac:dyDescent="0.2">
      <c r="A33" s="26" t="s">
        <v>568</v>
      </c>
      <c r="B33" s="26" t="s">
        <v>324</v>
      </c>
      <c r="C33" s="26" t="s">
        <v>313</v>
      </c>
      <c r="D33" s="30">
        <v>40</v>
      </c>
      <c r="E33" s="28">
        <v>389.4128</v>
      </c>
      <c r="F33" s="29">
        <v>0.23776728182472801</v>
      </c>
    </row>
    <row r="34" spans="1:9" x14ac:dyDescent="0.2">
      <c r="A34" s="26" t="s">
        <v>141</v>
      </c>
      <c r="B34" s="26" t="s">
        <v>140</v>
      </c>
      <c r="C34" s="26" t="s">
        <v>91</v>
      </c>
      <c r="D34" s="30">
        <v>30</v>
      </c>
      <c r="E34" s="28">
        <v>304.92570000000001</v>
      </c>
      <c r="F34" s="29">
        <v>0.18618123196644401</v>
      </c>
    </row>
    <row r="35" spans="1:9" ht="10.5" x14ac:dyDescent="0.25">
      <c r="A35" s="25" t="s">
        <v>177</v>
      </c>
      <c r="B35" s="25"/>
      <c r="C35" s="25"/>
      <c r="D35" s="31"/>
      <c r="E35" s="32">
        <f>SUM(E6:E34)</f>
        <v>160470.61900999999</v>
      </c>
      <c r="F35" s="33">
        <f>SUM(F6:F34)</f>
        <v>97.979991655998873</v>
      </c>
      <c r="G35" s="17"/>
      <c r="H35" s="17"/>
      <c r="I35" s="17"/>
    </row>
    <row r="36" spans="1:9" x14ac:dyDescent="0.2">
      <c r="A36" s="26"/>
      <c r="B36" s="26"/>
      <c r="C36" s="26"/>
      <c r="D36" s="27"/>
      <c r="E36" s="28"/>
      <c r="F36" s="29"/>
    </row>
    <row r="37" spans="1:9" ht="10.5" x14ac:dyDescent="0.25">
      <c r="A37" s="25" t="s">
        <v>178</v>
      </c>
      <c r="B37" s="26"/>
      <c r="C37" s="26"/>
      <c r="D37" s="27"/>
      <c r="E37" s="28"/>
      <c r="F37" s="29"/>
    </row>
    <row r="38" spans="1:9" x14ac:dyDescent="0.2">
      <c r="A38" s="26" t="s">
        <v>570</v>
      </c>
      <c r="B38" s="26" t="s">
        <v>569</v>
      </c>
      <c r="C38" s="26" t="s">
        <v>389</v>
      </c>
      <c r="D38" s="30">
        <v>1400</v>
      </c>
      <c r="E38" s="28">
        <v>10500</v>
      </c>
      <c r="F38" s="29">
        <v>6.4110796028267201</v>
      </c>
    </row>
    <row r="39" spans="1:9" x14ac:dyDescent="0.2">
      <c r="A39" s="26" t="s">
        <v>391</v>
      </c>
      <c r="B39" s="26" t="s">
        <v>390</v>
      </c>
      <c r="C39" s="26" t="s">
        <v>216</v>
      </c>
      <c r="D39" s="30">
        <v>1000</v>
      </c>
      <c r="E39" s="28">
        <v>9817.49</v>
      </c>
      <c r="F39" s="29">
        <v>5.9943533228528896</v>
      </c>
    </row>
    <row r="40" spans="1:9" x14ac:dyDescent="0.2">
      <c r="A40" s="26" t="s">
        <v>572</v>
      </c>
      <c r="B40" s="26" t="s">
        <v>571</v>
      </c>
      <c r="C40" s="26" t="s">
        <v>536</v>
      </c>
      <c r="D40" s="30">
        <v>723</v>
      </c>
      <c r="E40" s="28">
        <v>8580.2603400000007</v>
      </c>
      <c r="F40" s="29">
        <v>5.2389268621635301</v>
      </c>
    </row>
    <row r="41" spans="1:9" x14ac:dyDescent="0.2">
      <c r="A41" s="26" t="s">
        <v>383</v>
      </c>
      <c r="B41" s="26" t="s">
        <v>382</v>
      </c>
      <c r="C41" s="26" t="s">
        <v>381</v>
      </c>
      <c r="D41" s="30">
        <v>770</v>
      </c>
      <c r="E41" s="28">
        <v>6633.8623799999996</v>
      </c>
      <c r="F41" s="29">
        <v>4.05049712308357</v>
      </c>
    </row>
    <row r="42" spans="1:9" x14ac:dyDescent="0.2">
      <c r="A42" s="26" t="s">
        <v>574</v>
      </c>
      <c r="B42" s="26" t="s">
        <v>573</v>
      </c>
      <c r="C42" s="26" t="s">
        <v>398</v>
      </c>
      <c r="D42" s="30">
        <v>688</v>
      </c>
      <c r="E42" s="28">
        <v>5160</v>
      </c>
      <c r="F42" s="29">
        <v>3.1505876905319901</v>
      </c>
    </row>
    <row r="43" spans="1:9" x14ac:dyDescent="0.2">
      <c r="A43" s="26" t="s">
        <v>377</v>
      </c>
      <c r="B43" s="26" t="s">
        <v>376</v>
      </c>
      <c r="C43" s="26" t="s">
        <v>378</v>
      </c>
      <c r="D43" s="30">
        <v>370</v>
      </c>
      <c r="E43" s="28">
        <v>3511.8809000000001</v>
      </c>
      <c r="F43" s="29">
        <v>2.14428076243302</v>
      </c>
    </row>
    <row r="44" spans="1:9" x14ac:dyDescent="0.2">
      <c r="A44" s="26" t="s">
        <v>575</v>
      </c>
      <c r="B44" s="26" t="s">
        <v>191</v>
      </c>
      <c r="C44" s="26" t="s">
        <v>186</v>
      </c>
      <c r="D44" s="30">
        <v>3559</v>
      </c>
      <c r="E44" s="28">
        <v>3430.5745449999999</v>
      </c>
      <c r="F44" s="29">
        <v>2.0946368087072398</v>
      </c>
    </row>
    <row r="45" spans="1:9" x14ac:dyDescent="0.2">
      <c r="A45" s="26" t="s">
        <v>192</v>
      </c>
      <c r="B45" s="26" t="s">
        <v>191</v>
      </c>
      <c r="C45" s="26" t="s">
        <v>186</v>
      </c>
      <c r="D45" s="30">
        <v>3473</v>
      </c>
      <c r="E45" s="28">
        <v>3347.6778290000002</v>
      </c>
      <c r="F45" s="29">
        <v>2.0440218139368702</v>
      </c>
    </row>
    <row r="46" spans="1:9" x14ac:dyDescent="0.2">
      <c r="A46" s="26" t="s">
        <v>577</v>
      </c>
      <c r="B46" s="26" t="s">
        <v>576</v>
      </c>
      <c r="C46" s="26" t="s">
        <v>398</v>
      </c>
      <c r="D46" s="30">
        <v>400</v>
      </c>
      <c r="E46" s="28">
        <v>3000</v>
      </c>
      <c r="F46" s="29">
        <v>1.83173702937906</v>
      </c>
    </row>
    <row r="47" spans="1:9" x14ac:dyDescent="0.2">
      <c r="A47" s="26" t="s">
        <v>402</v>
      </c>
      <c r="B47" s="26" t="s">
        <v>401</v>
      </c>
      <c r="C47" s="26" t="s">
        <v>163</v>
      </c>
      <c r="D47" s="30">
        <v>300</v>
      </c>
      <c r="E47" s="28">
        <v>2925.0509999999999</v>
      </c>
      <c r="F47" s="29">
        <v>1.78597474317409</v>
      </c>
    </row>
    <row r="48" spans="1:9" x14ac:dyDescent="0.2">
      <c r="A48" s="26" t="s">
        <v>422</v>
      </c>
      <c r="B48" s="26" t="s">
        <v>421</v>
      </c>
      <c r="C48" s="26" t="s">
        <v>381</v>
      </c>
      <c r="D48" s="30">
        <v>250</v>
      </c>
      <c r="E48" s="28">
        <v>2206.1666249999998</v>
      </c>
      <c r="F48" s="29">
        <v>1.3470390333309099</v>
      </c>
    </row>
    <row r="49" spans="1:9" x14ac:dyDescent="0.2">
      <c r="A49" s="26" t="s">
        <v>427</v>
      </c>
      <c r="B49" s="26" t="s">
        <v>426</v>
      </c>
      <c r="C49" s="26" t="s">
        <v>428</v>
      </c>
      <c r="D49" s="30">
        <v>100</v>
      </c>
      <c r="E49" s="28">
        <v>1008.569</v>
      </c>
      <c r="F49" s="29">
        <v>0.61581106132793695</v>
      </c>
    </row>
    <row r="50" spans="1:9" x14ac:dyDescent="0.2">
      <c r="A50" s="26" t="s">
        <v>371</v>
      </c>
      <c r="B50" s="26" t="s">
        <v>370</v>
      </c>
      <c r="C50" s="26" t="s">
        <v>274</v>
      </c>
      <c r="D50" s="30">
        <v>10</v>
      </c>
      <c r="E50" s="28">
        <v>999.06100000000004</v>
      </c>
      <c r="F50" s="29">
        <v>0.61000567610282497</v>
      </c>
    </row>
    <row r="51" spans="1:9" x14ac:dyDescent="0.2">
      <c r="A51" s="26" t="s">
        <v>400</v>
      </c>
      <c r="B51" s="26" t="s">
        <v>399</v>
      </c>
      <c r="C51" s="26" t="s">
        <v>381</v>
      </c>
      <c r="D51" s="30">
        <v>110</v>
      </c>
      <c r="E51" s="28">
        <v>990.20058719999997</v>
      </c>
      <c r="F51" s="29">
        <v>0.60459569402904401</v>
      </c>
    </row>
    <row r="52" spans="1:9" x14ac:dyDescent="0.2">
      <c r="A52" s="26" t="s">
        <v>373</v>
      </c>
      <c r="B52" s="26" t="s">
        <v>372</v>
      </c>
      <c r="C52" s="26" t="s">
        <v>86</v>
      </c>
      <c r="D52" s="30">
        <v>50</v>
      </c>
      <c r="E52" s="28">
        <v>472.92700000000002</v>
      </c>
      <c r="F52" s="29">
        <v>0.28875929936438399</v>
      </c>
    </row>
    <row r="53" spans="1:9" x14ac:dyDescent="0.2">
      <c r="A53" s="26" t="s">
        <v>579</v>
      </c>
      <c r="B53" s="26" t="s">
        <v>578</v>
      </c>
      <c r="C53" s="26" t="s">
        <v>433</v>
      </c>
      <c r="D53" s="30">
        <v>607</v>
      </c>
      <c r="E53" s="28">
        <v>303.5</v>
      </c>
      <c r="F53" s="29">
        <v>0.185310729472182</v>
      </c>
    </row>
    <row r="54" spans="1:9" ht="10.5" x14ac:dyDescent="0.25">
      <c r="A54" s="25" t="s">
        <v>177</v>
      </c>
      <c r="B54" s="25"/>
      <c r="C54" s="25"/>
      <c r="D54" s="31"/>
      <c r="E54" s="32">
        <f>SUM(E37:E53)</f>
        <v>62887.221206200004</v>
      </c>
      <c r="F54" s="33">
        <f>SUM(F37:F53)</f>
        <v>38.397617252716259</v>
      </c>
      <c r="G54" s="17"/>
      <c r="H54" s="17"/>
      <c r="I54" s="17"/>
    </row>
    <row r="55" spans="1:9" x14ac:dyDescent="0.2">
      <c r="A55" s="26"/>
      <c r="B55" s="26"/>
      <c r="C55" s="26"/>
      <c r="D55" s="27"/>
      <c r="E55" s="28"/>
      <c r="F55" s="29"/>
    </row>
    <row r="56" spans="1:9" ht="10.5" x14ac:dyDescent="0.25">
      <c r="A56" s="25" t="s">
        <v>226</v>
      </c>
      <c r="B56" s="25"/>
      <c r="C56" s="25"/>
      <c r="D56" s="31"/>
      <c r="E56" s="32">
        <f>E35+E54</f>
        <v>223357.84021619998</v>
      </c>
      <c r="F56" s="33">
        <f>F35+F54</f>
        <v>136.37760890871513</v>
      </c>
      <c r="G56" s="17"/>
      <c r="H56" s="17"/>
      <c r="I56" s="17"/>
    </row>
    <row r="57" spans="1:9" ht="10.5" x14ac:dyDescent="0.25">
      <c r="A57" s="25"/>
      <c r="B57" s="25"/>
      <c r="C57" s="25"/>
      <c r="D57" s="31"/>
      <c r="E57" s="32"/>
      <c r="F57" s="33"/>
      <c r="G57" s="17"/>
      <c r="H57" s="17"/>
      <c r="I57" s="17"/>
    </row>
    <row r="58" spans="1:9" ht="10.5" x14ac:dyDescent="0.25">
      <c r="A58" s="25" t="s">
        <v>228</v>
      </c>
      <c r="B58" s="25"/>
      <c r="C58" s="25"/>
      <c r="D58" s="31"/>
      <c r="E58" s="32">
        <f>E60-(E35+E54)</f>
        <v>-59578.872390399978</v>
      </c>
      <c r="F58" s="33">
        <f>F60-(F35+F54)</f>
        <v>-36.377608908715132</v>
      </c>
      <c r="G58" s="17"/>
      <c r="H58" s="17"/>
      <c r="I58" s="17"/>
    </row>
    <row r="59" spans="1:9" ht="10.5" x14ac:dyDescent="0.25">
      <c r="A59" s="25"/>
      <c r="B59" s="25"/>
      <c r="C59" s="25"/>
      <c r="D59" s="31"/>
      <c r="E59" s="32"/>
      <c r="F59" s="33"/>
      <c r="G59" s="17"/>
      <c r="H59" s="17"/>
      <c r="I59" s="17"/>
    </row>
    <row r="60" spans="1:9" ht="10.5" x14ac:dyDescent="0.25">
      <c r="A60" s="34" t="s">
        <v>227</v>
      </c>
      <c r="B60" s="34"/>
      <c r="C60" s="34"/>
      <c r="D60" s="35"/>
      <c r="E60" s="36">
        <v>163778.96782580001</v>
      </c>
      <c r="F60" s="37">
        <v>100</v>
      </c>
      <c r="G60" s="17"/>
      <c r="H60" s="17"/>
      <c r="I60" s="17"/>
    </row>
    <row r="61" spans="1:9" ht="10.5" x14ac:dyDescent="0.25">
      <c r="A61" s="58" t="s">
        <v>231</v>
      </c>
    </row>
    <row r="62" spans="1:9" ht="10.5" x14ac:dyDescent="0.25">
      <c r="A62" s="58" t="s">
        <v>1601</v>
      </c>
    </row>
    <row r="63" spans="1:9" ht="10.5" x14ac:dyDescent="0.25">
      <c r="A63" s="59" t="s">
        <v>1607</v>
      </c>
    </row>
    <row r="64" spans="1:9" ht="10.5" x14ac:dyDescent="0.25">
      <c r="A64" s="59"/>
    </row>
    <row r="65" spans="1:5" ht="10.5" x14ac:dyDescent="0.25">
      <c r="A65" s="17" t="s">
        <v>232</v>
      </c>
    </row>
    <row r="66" spans="1:5" ht="10.5" x14ac:dyDescent="0.25">
      <c r="A66" s="17" t="s">
        <v>233</v>
      </c>
    </row>
    <row r="67" spans="1:5" ht="10.5" x14ac:dyDescent="0.25">
      <c r="A67" s="17" t="s">
        <v>234</v>
      </c>
      <c r="B67" s="17"/>
      <c r="C67" s="38" t="s">
        <v>236</v>
      </c>
      <c r="D67" s="18" t="s">
        <v>235</v>
      </c>
    </row>
    <row r="68" spans="1:5" x14ac:dyDescent="0.2">
      <c r="A68" s="10" t="s">
        <v>543</v>
      </c>
      <c r="C68" s="39">
        <v>22.771100000000001</v>
      </c>
      <c r="D68" s="39">
        <v>20.864999999999998</v>
      </c>
    </row>
    <row r="69" spans="1:5" x14ac:dyDescent="0.2">
      <c r="A69" s="10" t="s">
        <v>580</v>
      </c>
      <c r="C69" s="39">
        <v>10.775499999999999</v>
      </c>
      <c r="D69" s="39">
        <v>9.6730999999999998</v>
      </c>
    </row>
    <row r="70" spans="1:5" x14ac:dyDescent="0.2">
      <c r="A70" s="10" t="s">
        <v>546</v>
      </c>
      <c r="C70" s="39">
        <v>24.029599999999999</v>
      </c>
      <c r="D70" s="39">
        <v>22.1068</v>
      </c>
    </row>
    <row r="71" spans="1:5" x14ac:dyDescent="0.2">
      <c r="A71" s="10" t="s">
        <v>581</v>
      </c>
      <c r="C71" s="39">
        <v>11.502599999999999</v>
      </c>
      <c r="D71" s="39">
        <v>10.3819</v>
      </c>
    </row>
    <row r="73" spans="1:5" ht="10.5" x14ac:dyDescent="0.25">
      <c r="A73" s="17" t="s">
        <v>248</v>
      </c>
    </row>
    <row r="74" spans="1:5" ht="10.5" x14ac:dyDescent="0.25">
      <c r="A74" s="84" t="s">
        <v>249</v>
      </c>
      <c r="B74" s="85"/>
      <c r="C74" s="82" t="s">
        <v>250</v>
      </c>
      <c r="D74" s="83"/>
    </row>
    <row r="75" spans="1:5" ht="10.5" x14ac:dyDescent="0.25">
      <c r="A75" s="84"/>
      <c r="B75" s="85"/>
      <c r="C75" s="40" t="s">
        <v>251</v>
      </c>
      <c r="D75" s="41" t="s">
        <v>252</v>
      </c>
    </row>
    <row r="76" spans="1:5" x14ac:dyDescent="0.2">
      <c r="A76" s="78" t="s">
        <v>580</v>
      </c>
      <c r="B76" s="79"/>
      <c r="C76" s="42">
        <v>0.158470994</v>
      </c>
      <c r="D76" s="42">
        <v>0.14674493020000001</v>
      </c>
    </row>
    <row r="77" spans="1:5" x14ac:dyDescent="0.2">
      <c r="A77" s="78" t="s">
        <v>581</v>
      </c>
      <c r="B77" s="79"/>
      <c r="C77" s="42">
        <v>0.158470994</v>
      </c>
      <c r="D77" s="42">
        <v>0.14674493020000001</v>
      </c>
    </row>
    <row r="79" spans="1:5" ht="10.5" x14ac:dyDescent="0.25">
      <c r="A79" s="17" t="s">
        <v>253</v>
      </c>
      <c r="D79" s="43">
        <v>5.7290963978082203</v>
      </c>
      <c r="E79" s="15" t="s">
        <v>254</v>
      </c>
    </row>
    <row r="81" spans="1:9" ht="10.5" x14ac:dyDescent="0.25">
      <c r="A81" s="17" t="s">
        <v>255</v>
      </c>
      <c r="D81" s="46" t="s">
        <v>256</v>
      </c>
    </row>
    <row r="82" spans="1:9" x14ac:dyDescent="0.2">
      <c r="A82" s="10" t="s">
        <v>257</v>
      </c>
    </row>
    <row r="83" spans="1:9" ht="14.5" x14ac:dyDescent="0.35">
      <c r="A83" s="44" t="s">
        <v>1613</v>
      </c>
    </row>
    <row r="87" spans="1:9" s="1" customFormat="1" ht="14" x14ac:dyDescent="0.25">
      <c r="A87" s="80" t="s">
        <v>582</v>
      </c>
      <c r="B87" s="81"/>
      <c r="C87" s="81"/>
      <c r="D87" s="81"/>
      <c r="E87" s="81"/>
      <c r="F87" s="81"/>
    </row>
    <row r="88" spans="1:9" ht="10.5" x14ac:dyDescent="0.25">
      <c r="A88" s="17" t="s">
        <v>260</v>
      </c>
    </row>
    <row r="89" spans="1:9" ht="10.5" x14ac:dyDescent="0.25">
      <c r="A89" s="17" t="s">
        <v>6</v>
      </c>
    </row>
    <row r="90" spans="1:9" s="1" customFormat="1" ht="17.5" customHeight="1" x14ac:dyDescent="0.25">
      <c r="A90" s="8" t="s">
        <v>2</v>
      </c>
      <c r="B90" s="8" t="s">
        <v>0</v>
      </c>
      <c r="C90" s="8" t="s">
        <v>230</v>
      </c>
      <c r="D90" s="13" t="s">
        <v>1</v>
      </c>
      <c r="E90" s="9" t="s">
        <v>3</v>
      </c>
      <c r="F90" s="9" t="s">
        <v>4</v>
      </c>
    </row>
    <row r="91" spans="1:9" ht="10.5" x14ac:dyDescent="0.25">
      <c r="A91" s="20" t="s">
        <v>63</v>
      </c>
      <c r="B91" s="21"/>
      <c r="C91" s="21"/>
      <c r="D91" s="22"/>
      <c r="E91" s="23"/>
      <c r="F91" s="24"/>
    </row>
    <row r="92" spans="1:9" ht="10.5" x14ac:dyDescent="0.25">
      <c r="A92" s="25" t="s">
        <v>1605</v>
      </c>
      <c r="B92" s="26"/>
      <c r="C92" s="26"/>
      <c r="D92" s="27"/>
      <c r="E92" s="28"/>
      <c r="F92" s="29"/>
    </row>
    <row r="93" spans="1:9" x14ac:dyDescent="0.2">
      <c r="A93" s="26" t="s">
        <v>262</v>
      </c>
      <c r="B93" s="26" t="s">
        <v>261</v>
      </c>
      <c r="C93" s="26" t="s">
        <v>263</v>
      </c>
      <c r="D93" s="30">
        <v>470</v>
      </c>
      <c r="E93" s="53">
        <v>0</v>
      </c>
      <c r="F93" s="53">
        <v>100</v>
      </c>
    </row>
    <row r="94" spans="1:9" ht="10.5" x14ac:dyDescent="0.25">
      <c r="A94" s="25" t="s">
        <v>177</v>
      </c>
      <c r="B94" s="25"/>
      <c r="C94" s="25"/>
      <c r="D94" s="31"/>
      <c r="E94" s="51">
        <f>SUM(E92:E93)</f>
        <v>0</v>
      </c>
      <c r="F94" s="52">
        <f>SUM(F92:F93)</f>
        <v>100</v>
      </c>
      <c r="G94" s="17"/>
      <c r="H94" s="17"/>
      <c r="I94" s="17"/>
    </row>
    <row r="95" spans="1:9" x14ac:dyDescent="0.2">
      <c r="A95" s="26"/>
      <c r="B95" s="26"/>
      <c r="C95" s="26"/>
      <c r="D95" s="27"/>
      <c r="E95" s="53"/>
      <c r="F95" s="50"/>
    </row>
    <row r="96" spans="1:9" ht="10.5" x14ac:dyDescent="0.25">
      <c r="A96" s="25" t="s">
        <v>226</v>
      </c>
      <c r="B96" s="25"/>
      <c r="C96" s="25"/>
      <c r="D96" s="31"/>
      <c r="E96" s="51">
        <f>E94</f>
        <v>0</v>
      </c>
      <c r="F96" s="52">
        <f>F94</f>
        <v>100</v>
      </c>
      <c r="G96" s="17"/>
      <c r="H96" s="17"/>
      <c r="I96" s="17"/>
    </row>
    <row r="97" spans="1:9" ht="10.5" x14ac:dyDescent="0.25">
      <c r="A97" s="25"/>
      <c r="B97" s="25"/>
      <c r="C97" s="25"/>
      <c r="D97" s="31"/>
      <c r="E97" s="51"/>
      <c r="F97" s="52"/>
      <c r="G97" s="17"/>
      <c r="H97" s="17"/>
      <c r="I97" s="17"/>
    </row>
    <row r="98" spans="1:9" ht="10.5" x14ac:dyDescent="0.25">
      <c r="A98" s="25" t="s">
        <v>228</v>
      </c>
      <c r="B98" s="25"/>
      <c r="C98" s="25"/>
      <c r="D98" s="31"/>
      <c r="E98" s="51">
        <f>E100-(E94)</f>
        <v>8.9999999999999996E-7</v>
      </c>
      <c r="F98" s="33">
        <f>F100-(F94)</f>
        <v>0</v>
      </c>
      <c r="G98" s="17"/>
      <c r="H98" s="17"/>
      <c r="I98" s="17"/>
    </row>
    <row r="99" spans="1:9" ht="10.5" x14ac:dyDescent="0.25">
      <c r="A99" s="25"/>
      <c r="B99" s="25"/>
      <c r="C99" s="25"/>
      <c r="D99" s="31"/>
      <c r="E99" s="51"/>
      <c r="F99" s="52"/>
      <c r="G99" s="17"/>
      <c r="H99" s="17"/>
      <c r="I99" s="17"/>
    </row>
    <row r="100" spans="1:9" ht="10.5" x14ac:dyDescent="0.25">
      <c r="A100" s="34" t="s">
        <v>227</v>
      </c>
      <c r="B100" s="34"/>
      <c r="C100" s="34"/>
      <c r="D100" s="35"/>
      <c r="E100" s="54">
        <v>8.9999999999999996E-7</v>
      </c>
      <c r="F100" s="55">
        <v>100</v>
      </c>
      <c r="G100" s="17"/>
      <c r="H100" s="17"/>
      <c r="I100" s="17"/>
    </row>
    <row r="101" spans="1:9" ht="10.5" x14ac:dyDescent="0.25">
      <c r="A101" s="58" t="s">
        <v>231</v>
      </c>
      <c r="F101" s="19" t="s">
        <v>446</v>
      </c>
    </row>
    <row r="102" spans="1:9" ht="10.5" x14ac:dyDescent="0.25">
      <c r="A102" s="58" t="s">
        <v>1601</v>
      </c>
    </row>
    <row r="103" spans="1:9" ht="10.5" x14ac:dyDescent="0.25">
      <c r="A103" s="59" t="s">
        <v>1607</v>
      </c>
    </row>
    <row r="105" spans="1:9" ht="10.5" x14ac:dyDescent="0.25">
      <c r="A105" s="17" t="s">
        <v>232</v>
      </c>
    </row>
    <row r="106" spans="1:9" ht="10.5" x14ac:dyDescent="0.25">
      <c r="A106" s="17" t="s">
        <v>233</v>
      </c>
    </row>
    <row r="107" spans="1:9" ht="10.5" x14ac:dyDescent="0.25">
      <c r="A107" s="17" t="s">
        <v>234</v>
      </c>
      <c r="B107" s="17"/>
      <c r="C107" s="38" t="s">
        <v>236</v>
      </c>
      <c r="D107" s="18" t="s">
        <v>235</v>
      </c>
    </row>
    <row r="108" spans="1:9" x14ac:dyDescent="0.2">
      <c r="A108" s="10" t="s">
        <v>543</v>
      </c>
      <c r="C108" s="56" t="s">
        <v>1602</v>
      </c>
      <c r="D108" s="39">
        <v>0</v>
      </c>
    </row>
    <row r="109" spans="1:9" x14ac:dyDescent="0.2">
      <c r="A109" s="10" t="s">
        <v>580</v>
      </c>
      <c r="C109" s="56" t="s">
        <v>1602</v>
      </c>
      <c r="D109" s="39">
        <v>0</v>
      </c>
    </row>
    <row r="110" spans="1:9" x14ac:dyDescent="0.2">
      <c r="A110" s="10" t="s">
        <v>546</v>
      </c>
      <c r="C110" s="56" t="s">
        <v>1602</v>
      </c>
      <c r="D110" s="39">
        <v>0</v>
      </c>
    </row>
    <row r="111" spans="1:9" x14ac:dyDescent="0.2">
      <c r="A111" s="10" t="s">
        <v>581</v>
      </c>
      <c r="C111" s="56" t="s">
        <v>1602</v>
      </c>
      <c r="D111" s="39">
        <v>0</v>
      </c>
    </row>
    <row r="113" spans="1:9" ht="10.5" x14ac:dyDescent="0.25">
      <c r="A113" s="17" t="s">
        <v>1606</v>
      </c>
    </row>
    <row r="115" spans="1:9" ht="10.5" x14ac:dyDescent="0.25">
      <c r="A115" s="17" t="s">
        <v>248</v>
      </c>
      <c r="D115" s="46" t="s">
        <v>256</v>
      </c>
    </row>
    <row r="116" spans="1:9" x14ac:dyDescent="0.2">
      <c r="A116" s="10" t="s">
        <v>257</v>
      </c>
    </row>
    <row r="117" spans="1:9" ht="14.5" x14ac:dyDescent="0.35">
      <c r="A117" s="44" t="s">
        <v>1613</v>
      </c>
    </row>
    <row r="118" spans="1:9" ht="14.5" x14ac:dyDescent="0.35">
      <c r="A118" s="44"/>
    </row>
    <row r="120" spans="1:9" s="1" customFormat="1" ht="14" x14ac:dyDescent="0.25">
      <c r="A120" s="80" t="s">
        <v>583</v>
      </c>
      <c r="B120" s="81"/>
      <c r="C120" s="81"/>
      <c r="D120" s="81"/>
      <c r="E120" s="81"/>
      <c r="F120" s="81"/>
    </row>
    <row r="121" spans="1:9" ht="10.5" x14ac:dyDescent="0.25">
      <c r="A121" s="17" t="s">
        <v>455</v>
      </c>
    </row>
    <row r="122" spans="1:9" ht="10.5" x14ac:dyDescent="0.25">
      <c r="A122" s="17" t="s">
        <v>6</v>
      </c>
    </row>
    <row r="123" spans="1:9" s="1" customFormat="1" ht="17.5" customHeight="1" x14ac:dyDescent="0.25">
      <c r="A123" s="8" t="s">
        <v>2</v>
      </c>
      <c r="B123" s="8" t="s">
        <v>0</v>
      </c>
      <c r="C123" s="8" t="s">
        <v>230</v>
      </c>
      <c r="D123" s="13" t="s">
        <v>1</v>
      </c>
      <c r="E123" s="9" t="s">
        <v>3</v>
      </c>
      <c r="F123" s="9" t="s">
        <v>4</v>
      </c>
    </row>
    <row r="124" spans="1:9" ht="10.5" x14ac:dyDescent="0.25">
      <c r="A124" s="20" t="s">
        <v>63</v>
      </c>
      <c r="B124" s="21"/>
      <c r="C124" s="21"/>
      <c r="D124" s="22"/>
      <c r="E124" s="23"/>
      <c r="F124" s="24"/>
    </row>
    <row r="125" spans="1:9" ht="10.5" x14ac:dyDescent="0.25">
      <c r="A125" s="25" t="s">
        <v>64</v>
      </c>
      <c r="B125" s="26"/>
      <c r="C125" s="26"/>
      <c r="D125" s="27"/>
      <c r="E125" s="28"/>
      <c r="F125" s="29"/>
    </row>
    <row r="126" spans="1:9" x14ac:dyDescent="0.2">
      <c r="A126" s="26" t="s">
        <v>457</v>
      </c>
      <c r="B126" s="26" t="s">
        <v>456</v>
      </c>
      <c r="C126" s="26" t="s">
        <v>458</v>
      </c>
      <c r="D126" s="30">
        <v>1450</v>
      </c>
      <c r="E126" s="53">
        <v>0</v>
      </c>
      <c r="F126" s="53">
        <v>100</v>
      </c>
    </row>
    <row r="127" spans="1:9" ht="10.5" x14ac:dyDescent="0.25">
      <c r="A127" s="25" t="s">
        <v>177</v>
      </c>
      <c r="B127" s="25"/>
      <c r="C127" s="25"/>
      <c r="D127" s="31"/>
      <c r="E127" s="51">
        <f>SUM(E125:E126)</f>
        <v>0</v>
      </c>
      <c r="F127" s="52">
        <f>SUM(F125:F126)</f>
        <v>100</v>
      </c>
      <c r="G127" s="17"/>
      <c r="H127" s="17"/>
      <c r="I127" s="17"/>
    </row>
    <row r="128" spans="1:9" x14ac:dyDescent="0.2">
      <c r="A128" s="26"/>
      <c r="B128" s="26"/>
      <c r="C128" s="26"/>
      <c r="D128" s="27"/>
      <c r="E128" s="53"/>
      <c r="F128" s="50"/>
    </row>
    <row r="129" spans="1:9" ht="10.5" x14ac:dyDescent="0.25">
      <c r="A129" s="25" t="s">
        <v>226</v>
      </c>
      <c r="B129" s="25"/>
      <c r="C129" s="25"/>
      <c r="D129" s="31"/>
      <c r="E129" s="51">
        <f>E127</f>
        <v>0</v>
      </c>
      <c r="F129" s="52">
        <f>F127</f>
        <v>100</v>
      </c>
      <c r="G129" s="17"/>
      <c r="H129" s="17"/>
      <c r="I129" s="17"/>
    </row>
    <row r="130" spans="1:9" ht="10.5" x14ac:dyDescent="0.25">
      <c r="A130" s="25"/>
      <c r="B130" s="25"/>
      <c r="C130" s="25"/>
      <c r="D130" s="31"/>
      <c r="E130" s="51"/>
      <c r="F130" s="52"/>
      <c r="G130" s="17"/>
      <c r="H130" s="17"/>
      <c r="I130" s="17"/>
    </row>
    <row r="131" spans="1:9" ht="10.5" x14ac:dyDescent="0.25">
      <c r="A131" s="25" t="s">
        <v>228</v>
      </c>
      <c r="B131" s="25"/>
      <c r="C131" s="25"/>
      <c r="D131" s="31"/>
      <c r="E131" s="51">
        <f>E133-(E127)</f>
        <v>8.9999999999999996E-7</v>
      </c>
      <c r="F131" s="33">
        <f>F133-(F127)</f>
        <v>0</v>
      </c>
      <c r="G131" s="17"/>
      <c r="H131" s="17"/>
      <c r="I131" s="17"/>
    </row>
    <row r="132" spans="1:9" ht="10.5" x14ac:dyDescent="0.25">
      <c r="A132" s="25"/>
      <c r="B132" s="25"/>
      <c r="C132" s="25"/>
      <c r="D132" s="31"/>
      <c r="E132" s="51"/>
      <c r="F132" s="52"/>
      <c r="G132" s="17"/>
      <c r="H132" s="17"/>
      <c r="I132" s="17"/>
    </row>
    <row r="133" spans="1:9" ht="10.5" x14ac:dyDescent="0.25">
      <c r="A133" s="34" t="s">
        <v>227</v>
      </c>
      <c r="B133" s="34"/>
      <c r="C133" s="34"/>
      <c r="D133" s="35"/>
      <c r="E133" s="54">
        <v>8.9999999999999996E-7</v>
      </c>
      <c r="F133" s="55">
        <v>100</v>
      </c>
      <c r="G133" s="17"/>
      <c r="H133" s="17"/>
      <c r="I133" s="17"/>
    </row>
    <row r="134" spans="1:9" ht="10.5" x14ac:dyDescent="0.25">
      <c r="A134" s="58" t="s">
        <v>231</v>
      </c>
      <c r="F134" s="19" t="s">
        <v>446</v>
      </c>
    </row>
    <row r="135" spans="1:9" ht="10.5" x14ac:dyDescent="0.25">
      <c r="A135" s="58" t="s">
        <v>1601</v>
      </c>
    </row>
    <row r="136" spans="1:9" ht="10.5" x14ac:dyDescent="0.25">
      <c r="A136" s="59" t="s">
        <v>1607</v>
      </c>
    </row>
    <row r="138" spans="1:9" ht="10.5" x14ac:dyDescent="0.25">
      <c r="A138" s="17" t="s">
        <v>232</v>
      </c>
    </row>
    <row r="139" spans="1:9" ht="10.5" x14ac:dyDescent="0.25">
      <c r="A139" s="17" t="s">
        <v>233</v>
      </c>
    </row>
    <row r="140" spans="1:9" ht="10.5" x14ac:dyDescent="0.25">
      <c r="A140" s="17" t="s">
        <v>234</v>
      </c>
      <c r="B140" s="17"/>
      <c r="C140" s="38" t="s">
        <v>236</v>
      </c>
      <c r="D140" s="18" t="s">
        <v>235</v>
      </c>
    </row>
    <row r="141" spans="1:9" x14ac:dyDescent="0.2">
      <c r="A141" s="10" t="s">
        <v>543</v>
      </c>
      <c r="C141" s="56" t="s">
        <v>1602</v>
      </c>
      <c r="D141" s="39">
        <v>0</v>
      </c>
    </row>
    <row r="142" spans="1:9" x14ac:dyDescent="0.2">
      <c r="A142" s="10" t="s">
        <v>580</v>
      </c>
      <c r="C142" s="56" t="s">
        <v>1602</v>
      </c>
      <c r="D142" s="39">
        <v>0</v>
      </c>
    </row>
    <row r="143" spans="1:9" x14ac:dyDescent="0.2">
      <c r="A143" s="10" t="s">
        <v>546</v>
      </c>
      <c r="C143" s="56" t="s">
        <v>1602</v>
      </c>
      <c r="D143" s="39">
        <v>0</v>
      </c>
    </row>
    <row r="144" spans="1:9" x14ac:dyDescent="0.2">
      <c r="A144" s="10" t="s">
        <v>581</v>
      </c>
      <c r="C144" s="56" t="s">
        <v>1602</v>
      </c>
      <c r="D144" s="39">
        <v>0</v>
      </c>
    </row>
    <row r="146" spans="1:4" ht="10.5" x14ac:dyDescent="0.25">
      <c r="A146" s="17" t="s">
        <v>1606</v>
      </c>
    </row>
    <row r="148" spans="1:4" ht="10.5" x14ac:dyDescent="0.25">
      <c r="A148" s="17" t="s">
        <v>248</v>
      </c>
      <c r="D148" s="46" t="s">
        <v>256</v>
      </c>
    </row>
    <row r="149" spans="1:4" x14ac:dyDescent="0.2">
      <c r="A149" s="10" t="s">
        <v>257</v>
      </c>
    </row>
    <row r="150" spans="1:4" ht="14.5" x14ac:dyDescent="0.35">
      <c r="A150" s="44" t="s">
        <v>1613</v>
      </c>
    </row>
  </sheetData>
  <mergeCells count="8">
    <mergeCell ref="A87:F87"/>
    <mergeCell ref="A120:F120"/>
    <mergeCell ref="A1:F1"/>
    <mergeCell ref="C74:D74"/>
    <mergeCell ref="A74:B74"/>
    <mergeCell ref="A75:B75"/>
    <mergeCell ref="A76:B76"/>
    <mergeCell ref="A77:B77"/>
  </mergeCells>
  <conditionalFormatting sqref="F2:F3 F5:F86 F88:F89 F91:F92 F121:F122 F124:F125 F102:F119 F135:F65542">
    <cfRule type="cellIs" dxfId="96" priority="9" stopIfTrue="1" operator="between">
      <formula>0.009</formula>
      <formula>-0.009</formula>
    </cfRule>
  </conditionalFormatting>
  <conditionalFormatting sqref="F131">
    <cfRule type="cellIs" dxfId="95" priority="2" stopIfTrue="1" operator="between">
      <formula>0.009</formula>
      <formula>-0.009</formula>
    </cfRule>
  </conditionalFormatting>
  <conditionalFormatting sqref="F101">
    <cfRule type="cellIs" dxfId="94" priority="4" stopIfTrue="1" operator="between">
      <formula>0.009</formula>
      <formula>-0.009</formula>
    </cfRule>
  </conditionalFormatting>
  <conditionalFormatting sqref="F94:F97 F99:F100">
    <cfRule type="cellIs" dxfId="93" priority="6" stopIfTrue="1" operator="between">
      <formula>0.009</formula>
      <formula>-0.009</formula>
    </cfRule>
  </conditionalFormatting>
  <conditionalFormatting sqref="F98">
    <cfRule type="cellIs" dxfId="92" priority="5" stopIfTrue="1" operator="between">
      <formula>0.009</formula>
      <formula>-0.009</formula>
    </cfRule>
  </conditionalFormatting>
  <conditionalFormatting sqref="F127:F130 F132:F133">
    <cfRule type="cellIs" dxfId="91" priority="3" stopIfTrue="1" operator="between">
      <formula>0.009</formula>
      <formula>-0.009</formula>
    </cfRule>
  </conditionalFormatting>
  <conditionalFormatting sqref="F134">
    <cfRule type="cellIs" dxfId="90" priority="1" stopIfTrue="1" operator="between">
      <formula>0.009</formula>
      <formula>-0.009</formula>
    </cfRule>
  </conditionalFormatting>
  <hyperlinks>
    <hyperlink ref="A83" r:id="rId1" xr:uid="{00000000-0004-0000-0400-000000000000}"/>
    <hyperlink ref="A117" r:id="rId2" xr:uid="{00000000-0004-0000-0400-000001000000}"/>
    <hyperlink ref="A150" r:id="rId3" xr:uid="{00000000-0004-0000-0400-000002000000}"/>
  </hyperlinks>
  <pageMargins left="0.7" right="0.7" top="0.75" bottom="0.75" header="0.3" footer="0.3"/>
  <pageSetup paperSize="9" orientation="portrait" r:id="rId4"/>
  <headerFooter>
    <oddFooter>&amp;LPUBLIC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3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69.179687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4.7265625" style="10" bestFit="1" customWidth="1"/>
    <col min="8" max="16384" width="9.1796875" style="10"/>
  </cols>
  <sheetData>
    <row r="1" spans="1:6" s="1" customFormat="1" ht="14" x14ac:dyDescent="0.25">
      <c r="A1" s="80" t="s">
        <v>1662</v>
      </c>
      <c r="B1" s="81"/>
      <c r="C1" s="81"/>
      <c r="D1" s="81"/>
      <c r="E1" s="81"/>
      <c r="F1" s="81"/>
    </row>
    <row r="2" spans="1:6" s="1" customFormat="1" ht="11.5" x14ac:dyDescent="0.25">
      <c r="A2" s="45" t="s">
        <v>258</v>
      </c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265</v>
      </c>
      <c r="B7" s="26" t="s">
        <v>264</v>
      </c>
      <c r="C7" s="26" t="s">
        <v>148</v>
      </c>
      <c r="D7" s="30">
        <v>2750</v>
      </c>
      <c r="E7" s="28">
        <v>24963.922500000001</v>
      </c>
      <c r="F7" s="29">
        <v>10.2425864994074</v>
      </c>
    </row>
    <row r="8" spans="1:6" x14ac:dyDescent="0.2">
      <c r="A8" s="26" t="s">
        <v>169</v>
      </c>
      <c r="B8" s="26" t="s">
        <v>168</v>
      </c>
      <c r="C8" s="26" t="s">
        <v>103</v>
      </c>
      <c r="D8" s="30">
        <v>1112</v>
      </c>
      <c r="E8" s="28">
        <v>10380.75352</v>
      </c>
      <c r="F8" s="29">
        <v>4.2591770527098696</v>
      </c>
    </row>
    <row r="9" spans="1:6" x14ac:dyDescent="0.2">
      <c r="A9" s="26" t="s">
        <v>80</v>
      </c>
      <c r="B9" s="26" t="s">
        <v>79</v>
      </c>
      <c r="C9" s="26" t="s">
        <v>81</v>
      </c>
      <c r="D9" s="30">
        <v>1000</v>
      </c>
      <c r="E9" s="28">
        <v>9945.33</v>
      </c>
      <c r="F9" s="29">
        <v>4.0805247168249004</v>
      </c>
    </row>
    <row r="10" spans="1:6" x14ac:dyDescent="0.2">
      <c r="A10" s="26" t="s">
        <v>611</v>
      </c>
      <c r="B10" s="26" t="s">
        <v>610</v>
      </c>
      <c r="C10" s="26" t="s">
        <v>186</v>
      </c>
      <c r="D10" s="30">
        <v>1000</v>
      </c>
      <c r="E10" s="28">
        <v>9795.6</v>
      </c>
      <c r="F10" s="29">
        <v>4.0190911630011303</v>
      </c>
    </row>
    <row r="11" spans="1:6" x14ac:dyDescent="0.2">
      <c r="A11" s="26" t="s">
        <v>613</v>
      </c>
      <c r="B11" s="26" t="s">
        <v>612</v>
      </c>
      <c r="C11" s="26" t="s">
        <v>78</v>
      </c>
      <c r="D11" s="30">
        <v>1000</v>
      </c>
      <c r="E11" s="28">
        <v>9769.9699999999993</v>
      </c>
      <c r="F11" s="29">
        <v>4.00857528786252</v>
      </c>
    </row>
    <row r="12" spans="1:6" x14ac:dyDescent="0.2">
      <c r="A12" s="26" t="s">
        <v>615</v>
      </c>
      <c r="B12" s="26" t="s">
        <v>614</v>
      </c>
      <c r="C12" s="26" t="s">
        <v>103</v>
      </c>
      <c r="D12" s="30">
        <v>4810</v>
      </c>
      <c r="E12" s="28">
        <v>9094.6036999999997</v>
      </c>
      <c r="F12" s="29">
        <v>3.7314754952904701</v>
      </c>
    </row>
    <row r="13" spans="1:6" x14ac:dyDescent="0.2">
      <c r="A13" s="26" t="s">
        <v>552</v>
      </c>
      <c r="B13" s="26" t="s">
        <v>551</v>
      </c>
      <c r="C13" s="26" t="s">
        <v>91</v>
      </c>
      <c r="D13" s="30">
        <v>990</v>
      </c>
      <c r="E13" s="28">
        <v>8181.8154000000004</v>
      </c>
      <c r="F13" s="29">
        <v>3.35696251086677</v>
      </c>
    </row>
    <row r="14" spans="1:6" x14ac:dyDescent="0.2">
      <c r="A14" s="26" t="s">
        <v>349</v>
      </c>
      <c r="B14" s="26" t="s">
        <v>348</v>
      </c>
      <c r="C14" s="26" t="s">
        <v>67</v>
      </c>
      <c r="D14" s="30">
        <v>800</v>
      </c>
      <c r="E14" s="28">
        <v>7682.6639999999998</v>
      </c>
      <c r="F14" s="29">
        <v>3.1521629089292</v>
      </c>
    </row>
    <row r="15" spans="1:6" x14ac:dyDescent="0.2">
      <c r="A15" s="26" t="s">
        <v>267</v>
      </c>
      <c r="B15" s="26" t="s">
        <v>266</v>
      </c>
      <c r="C15" s="26" t="s">
        <v>91</v>
      </c>
      <c r="D15" s="30">
        <v>937</v>
      </c>
      <c r="E15" s="28">
        <v>7140.8395200000004</v>
      </c>
      <c r="F15" s="29">
        <v>2.9298547318429899</v>
      </c>
    </row>
    <row r="16" spans="1:6" x14ac:dyDescent="0.2">
      <c r="A16" s="26" t="s">
        <v>273</v>
      </c>
      <c r="B16" s="26" t="s">
        <v>272</v>
      </c>
      <c r="C16" s="26" t="s">
        <v>274</v>
      </c>
      <c r="D16" s="30">
        <v>650</v>
      </c>
      <c r="E16" s="28">
        <v>6469.8270000000002</v>
      </c>
      <c r="F16" s="29">
        <v>2.6545412758632501</v>
      </c>
    </row>
    <row r="17" spans="1:6" x14ac:dyDescent="0.2">
      <c r="A17" s="26" t="s">
        <v>154</v>
      </c>
      <c r="B17" s="26" t="s">
        <v>153</v>
      </c>
      <c r="C17" s="26" t="s">
        <v>73</v>
      </c>
      <c r="D17" s="30">
        <v>600</v>
      </c>
      <c r="E17" s="28">
        <v>5804.6580000000004</v>
      </c>
      <c r="F17" s="29">
        <v>2.38162539017965</v>
      </c>
    </row>
    <row r="18" spans="1:6" x14ac:dyDescent="0.2">
      <c r="A18" s="26" t="s">
        <v>296</v>
      </c>
      <c r="B18" s="26" t="s">
        <v>295</v>
      </c>
      <c r="C18" s="26" t="s">
        <v>186</v>
      </c>
      <c r="D18" s="30">
        <v>560</v>
      </c>
      <c r="E18" s="28">
        <v>5570.9304000000002</v>
      </c>
      <c r="F18" s="29">
        <v>2.2857279942356099</v>
      </c>
    </row>
    <row r="19" spans="1:6" x14ac:dyDescent="0.2">
      <c r="A19" s="26" t="s">
        <v>568</v>
      </c>
      <c r="B19" s="26" t="s">
        <v>324</v>
      </c>
      <c r="C19" s="26" t="s">
        <v>313</v>
      </c>
      <c r="D19" s="30">
        <v>560</v>
      </c>
      <c r="E19" s="28">
        <v>5451.7791999999999</v>
      </c>
      <c r="F19" s="29">
        <v>2.2368407862053701</v>
      </c>
    </row>
    <row r="20" spans="1:6" x14ac:dyDescent="0.2">
      <c r="A20" s="26" t="s">
        <v>288</v>
      </c>
      <c r="B20" s="26" t="s">
        <v>166</v>
      </c>
      <c r="C20" s="26" t="s">
        <v>78</v>
      </c>
      <c r="D20" s="30">
        <v>450</v>
      </c>
      <c r="E20" s="28">
        <v>4447.4354999999996</v>
      </c>
      <c r="F20" s="29">
        <v>1.82476302789696</v>
      </c>
    </row>
    <row r="21" spans="1:6" x14ac:dyDescent="0.2">
      <c r="A21" s="26" t="s">
        <v>306</v>
      </c>
      <c r="B21" s="26" t="s">
        <v>305</v>
      </c>
      <c r="C21" s="26" t="s">
        <v>98</v>
      </c>
      <c r="D21" s="30">
        <v>8</v>
      </c>
      <c r="E21" s="28">
        <v>4037.788</v>
      </c>
      <c r="F21" s="29">
        <v>1.6566864785079001</v>
      </c>
    </row>
    <row r="22" spans="1:6" x14ac:dyDescent="0.2">
      <c r="A22" s="26" t="s">
        <v>617</v>
      </c>
      <c r="B22" s="26" t="s">
        <v>616</v>
      </c>
      <c r="C22" s="26" t="s">
        <v>73</v>
      </c>
      <c r="D22" s="30">
        <v>450</v>
      </c>
      <c r="E22" s="28">
        <v>4023.3555000000001</v>
      </c>
      <c r="F22" s="29">
        <v>1.6507648878743499</v>
      </c>
    </row>
    <row r="23" spans="1:6" x14ac:dyDescent="0.2">
      <c r="A23" s="26" t="s">
        <v>83</v>
      </c>
      <c r="B23" s="26" t="s">
        <v>82</v>
      </c>
      <c r="C23" s="26" t="s">
        <v>70</v>
      </c>
      <c r="D23" s="30">
        <v>400</v>
      </c>
      <c r="E23" s="28">
        <v>4004.2080000000001</v>
      </c>
      <c r="F23" s="29">
        <v>1.64290875368721</v>
      </c>
    </row>
    <row r="24" spans="1:6" x14ac:dyDescent="0.2">
      <c r="A24" s="26" t="s">
        <v>540</v>
      </c>
      <c r="B24" s="26" t="s">
        <v>539</v>
      </c>
      <c r="C24" s="26" t="s">
        <v>91</v>
      </c>
      <c r="D24" s="30">
        <v>475</v>
      </c>
      <c r="E24" s="28">
        <v>3618.6298000000002</v>
      </c>
      <c r="F24" s="29">
        <v>1.48470773116017</v>
      </c>
    </row>
    <row r="25" spans="1:6" x14ac:dyDescent="0.2">
      <c r="A25" s="26" t="s">
        <v>152</v>
      </c>
      <c r="B25" s="26" t="s">
        <v>151</v>
      </c>
      <c r="C25" s="26" t="s">
        <v>81</v>
      </c>
      <c r="D25" s="30">
        <v>290</v>
      </c>
      <c r="E25" s="28">
        <v>2948.4503</v>
      </c>
      <c r="F25" s="29">
        <v>1.2097360595857301</v>
      </c>
    </row>
    <row r="26" spans="1:6" x14ac:dyDescent="0.2">
      <c r="A26" s="26" t="s">
        <v>565</v>
      </c>
      <c r="B26" s="26" t="s">
        <v>564</v>
      </c>
      <c r="C26" s="26" t="s">
        <v>103</v>
      </c>
      <c r="D26" s="30">
        <v>300</v>
      </c>
      <c r="E26" s="28">
        <v>2798.22</v>
      </c>
      <c r="F26" s="29">
        <v>1.14809723489455</v>
      </c>
    </row>
    <row r="27" spans="1:6" x14ac:dyDescent="0.2">
      <c r="A27" s="26" t="s">
        <v>284</v>
      </c>
      <c r="B27" s="26" t="s">
        <v>283</v>
      </c>
      <c r="C27" s="26" t="s">
        <v>186</v>
      </c>
      <c r="D27" s="30">
        <v>250</v>
      </c>
      <c r="E27" s="28">
        <v>2487.79</v>
      </c>
      <c r="F27" s="29">
        <v>1.0207291849812701</v>
      </c>
    </row>
    <row r="28" spans="1:6" x14ac:dyDescent="0.2">
      <c r="A28" s="26" t="s">
        <v>312</v>
      </c>
      <c r="B28" s="26" t="s">
        <v>311</v>
      </c>
      <c r="C28" s="26" t="s">
        <v>313</v>
      </c>
      <c r="D28" s="30">
        <v>250</v>
      </c>
      <c r="E28" s="28">
        <v>2483.7175000000002</v>
      </c>
      <c r="F28" s="29">
        <v>1.0190582563233801</v>
      </c>
    </row>
    <row r="29" spans="1:6" x14ac:dyDescent="0.2">
      <c r="A29" s="26" t="s">
        <v>167</v>
      </c>
      <c r="B29" s="26" t="s">
        <v>166</v>
      </c>
      <c r="C29" s="26" t="s">
        <v>78</v>
      </c>
      <c r="D29" s="30">
        <v>250</v>
      </c>
      <c r="E29" s="28">
        <v>2470.2224999999999</v>
      </c>
      <c r="F29" s="29">
        <v>1.01352131777498</v>
      </c>
    </row>
    <row r="30" spans="1:6" x14ac:dyDescent="0.2">
      <c r="A30" s="26" t="s">
        <v>619</v>
      </c>
      <c r="B30" s="26" t="s">
        <v>618</v>
      </c>
      <c r="C30" s="26" t="s">
        <v>103</v>
      </c>
      <c r="D30" s="30">
        <v>270</v>
      </c>
      <c r="E30" s="28">
        <v>2446.875</v>
      </c>
      <c r="F30" s="29">
        <v>1.00394194224635</v>
      </c>
    </row>
    <row r="31" spans="1:6" x14ac:dyDescent="0.2">
      <c r="A31" s="26" t="s">
        <v>290</v>
      </c>
      <c r="B31" s="26" t="s">
        <v>289</v>
      </c>
      <c r="C31" s="26" t="s">
        <v>67</v>
      </c>
      <c r="D31" s="30">
        <v>250</v>
      </c>
      <c r="E31" s="28">
        <v>2434.5749999999998</v>
      </c>
      <c r="F31" s="29">
        <v>0.99889530688916195</v>
      </c>
    </row>
    <row r="32" spans="1:6" x14ac:dyDescent="0.2">
      <c r="A32" s="26" t="s">
        <v>308</v>
      </c>
      <c r="B32" s="26" t="s">
        <v>307</v>
      </c>
      <c r="C32" s="26" t="s">
        <v>73</v>
      </c>
      <c r="D32" s="30">
        <v>200</v>
      </c>
      <c r="E32" s="28">
        <v>1925.5139999999999</v>
      </c>
      <c r="F32" s="29">
        <v>0.79002984009503796</v>
      </c>
    </row>
    <row r="33" spans="1:9" x14ac:dyDescent="0.2">
      <c r="A33" s="26" t="s">
        <v>535</v>
      </c>
      <c r="B33" s="26" t="s">
        <v>534</v>
      </c>
      <c r="C33" s="26" t="s">
        <v>536</v>
      </c>
      <c r="D33" s="30">
        <v>150</v>
      </c>
      <c r="E33" s="28">
        <v>1804.0815</v>
      </c>
      <c r="F33" s="29">
        <v>0.74020662480948796</v>
      </c>
    </row>
    <row r="34" spans="1:9" x14ac:dyDescent="0.2">
      <c r="A34" s="26" t="s">
        <v>319</v>
      </c>
      <c r="B34" s="26" t="s">
        <v>318</v>
      </c>
      <c r="C34" s="26" t="s">
        <v>216</v>
      </c>
      <c r="D34" s="30">
        <v>170</v>
      </c>
      <c r="E34" s="28">
        <v>1561.0097000000001</v>
      </c>
      <c r="F34" s="29">
        <v>0.64047534511709803</v>
      </c>
    </row>
    <row r="35" spans="1:9" x14ac:dyDescent="0.2">
      <c r="A35" s="26" t="s">
        <v>120</v>
      </c>
      <c r="B35" s="26" t="s">
        <v>119</v>
      </c>
      <c r="C35" s="26" t="s">
        <v>103</v>
      </c>
      <c r="D35" s="30">
        <v>160</v>
      </c>
      <c r="E35" s="28">
        <v>1535.6271999999999</v>
      </c>
      <c r="F35" s="29">
        <v>0.63006101812897297</v>
      </c>
    </row>
    <row r="36" spans="1:9" x14ac:dyDescent="0.2">
      <c r="A36" s="26" t="s">
        <v>66</v>
      </c>
      <c r="B36" s="26" t="s">
        <v>65</v>
      </c>
      <c r="C36" s="26" t="s">
        <v>67</v>
      </c>
      <c r="D36" s="30">
        <v>150</v>
      </c>
      <c r="E36" s="28">
        <v>1499.9535000000001</v>
      </c>
      <c r="F36" s="29">
        <v>0.61542425749955199</v>
      </c>
    </row>
    <row r="37" spans="1:9" x14ac:dyDescent="0.2">
      <c r="A37" s="26" t="s">
        <v>323</v>
      </c>
      <c r="B37" s="26" t="s">
        <v>322</v>
      </c>
      <c r="C37" s="26" t="s">
        <v>78</v>
      </c>
      <c r="D37" s="30">
        <v>140</v>
      </c>
      <c r="E37" s="28">
        <v>1387.2698</v>
      </c>
      <c r="F37" s="29">
        <v>0.56919063598741704</v>
      </c>
    </row>
    <row r="38" spans="1:9" x14ac:dyDescent="0.2">
      <c r="A38" s="26" t="s">
        <v>97</v>
      </c>
      <c r="B38" s="26" t="s">
        <v>96</v>
      </c>
      <c r="C38" s="26" t="s">
        <v>98</v>
      </c>
      <c r="D38" s="30">
        <v>2</v>
      </c>
      <c r="E38" s="28">
        <v>1009.447</v>
      </c>
      <c r="F38" s="29">
        <v>0.41417161962697502</v>
      </c>
    </row>
    <row r="39" spans="1:9" x14ac:dyDescent="0.2">
      <c r="A39" s="26" t="s">
        <v>621</v>
      </c>
      <c r="B39" s="26" t="s">
        <v>620</v>
      </c>
      <c r="C39" s="26" t="s">
        <v>176</v>
      </c>
      <c r="D39" s="30">
        <v>100</v>
      </c>
      <c r="E39" s="28">
        <v>1009.122</v>
      </c>
      <c r="F39" s="29">
        <v>0.41403827357078898</v>
      </c>
    </row>
    <row r="40" spans="1:9" x14ac:dyDescent="0.2">
      <c r="A40" s="26" t="s">
        <v>360</v>
      </c>
      <c r="B40" s="26" t="s">
        <v>359</v>
      </c>
      <c r="C40" s="26" t="s">
        <v>176</v>
      </c>
      <c r="D40" s="30">
        <v>100</v>
      </c>
      <c r="E40" s="28">
        <v>1007.775</v>
      </c>
      <c r="F40" s="29">
        <v>0.41348560545484297</v>
      </c>
    </row>
    <row r="41" spans="1:9" x14ac:dyDescent="0.2">
      <c r="A41" s="26" t="s">
        <v>341</v>
      </c>
      <c r="B41" s="26" t="s">
        <v>340</v>
      </c>
      <c r="C41" s="26" t="s">
        <v>73</v>
      </c>
      <c r="D41" s="30">
        <v>100</v>
      </c>
      <c r="E41" s="28">
        <v>977.40899999999999</v>
      </c>
      <c r="F41" s="29">
        <v>0.40102657055593999</v>
      </c>
    </row>
    <row r="42" spans="1:9" x14ac:dyDescent="0.2">
      <c r="A42" s="26" t="s">
        <v>345</v>
      </c>
      <c r="B42" s="26" t="s">
        <v>344</v>
      </c>
      <c r="C42" s="26" t="s">
        <v>73</v>
      </c>
      <c r="D42" s="30">
        <v>50</v>
      </c>
      <c r="E42" s="28">
        <v>500.81849999999997</v>
      </c>
      <c r="F42" s="29">
        <v>0.20548360566146801</v>
      </c>
    </row>
    <row r="43" spans="1:9" x14ac:dyDescent="0.2">
      <c r="A43" s="26" t="s">
        <v>141</v>
      </c>
      <c r="B43" s="26" t="s">
        <v>140</v>
      </c>
      <c r="C43" s="26" t="s">
        <v>91</v>
      </c>
      <c r="D43" s="30">
        <v>20</v>
      </c>
      <c r="E43" s="28">
        <v>203.28380000000001</v>
      </c>
      <c r="F43" s="29">
        <v>8.34064400507665E-2</v>
      </c>
    </row>
    <row r="44" spans="1:9" x14ac:dyDescent="0.2">
      <c r="A44" s="26" t="s">
        <v>623</v>
      </c>
      <c r="B44" s="26" t="s">
        <v>622</v>
      </c>
      <c r="C44" s="26" t="s">
        <v>176</v>
      </c>
      <c r="D44" s="30">
        <v>5</v>
      </c>
      <c r="E44" s="28">
        <v>53.685299999999998</v>
      </c>
      <c r="F44" s="29">
        <v>2.2026840092803299E-2</v>
      </c>
    </row>
    <row r="45" spans="1:9" ht="10.5" x14ac:dyDescent="0.25">
      <c r="A45" s="25" t="s">
        <v>177</v>
      </c>
      <c r="B45" s="25"/>
      <c r="C45" s="25"/>
      <c r="D45" s="31"/>
      <c r="E45" s="32">
        <f>SUM(E6:E44)</f>
        <v>172928.95664000005</v>
      </c>
      <c r="F45" s="33">
        <f>SUM(F6:F44)</f>
        <v>70.951982671692306</v>
      </c>
      <c r="G45" s="17"/>
      <c r="H45" s="17"/>
      <c r="I45" s="17"/>
    </row>
    <row r="46" spans="1:9" x14ac:dyDescent="0.2">
      <c r="A46" s="26"/>
      <c r="B46" s="26"/>
      <c r="C46" s="26"/>
      <c r="D46" s="27"/>
      <c r="E46" s="28"/>
      <c r="F46" s="29"/>
    </row>
    <row r="47" spans="1:9" ht="10.5" x14ac:dyDescent="0.25">
      <c r="A47" s="25" t="s">
        <v>178</v>
      </c>
      <c r="B47" s="26"/>
      <c r="C47" s="26"/>
      <c r="D47" s="27"/>
      <c r="E47" s="28"/>
      <c r="F47" s="29"/>
    </row>
    <row r="48" spans="1:9" x14ac:dyDescent="0.2">
      <c r="A48" s="26" t="s">
        <v>625</v>
      </c>
      <c r="B48" s="26" t="s">
        <v>624</v>
      </c>
      <c r="C48" s="26" t="s">
        <v>186</v>
      </c>
      <c r="D48" s="30">
        <v>1000</v>
      </c>
      <c r="E48" s="28">
        <v>9802.1200000000008</v>
      </c>
      <c r="F48" s="29">
        <v>4.0217662900360001</v>
      </c>
    </row>
    <row r="49" spans="1:6" x14ac:dyDescent="0.2">
      <c r="A49" s="26" t="s">
        <v>385</v>
      </c>
      <c r="B49" s="26" t="s">
        <v>384</v>
      </c>
      <c r="C49" s="26" t="s">
        <v>386</v>
      </c>
      <c r="D49" s="30">
        <v>18</v>
      </c>
      <c r="E49" s="28">
        <v>9024.3809999999994</v>
      </c>
      <c r="F49" s="29">
        <v>3.7026634334451498</v>
      </c>
    </row>
    <row r="50" spans="1:6" x14ac:dyDescent="0.2">
      <c r="A50" s="26" t="s">
        <v>192</v>
      </c>
      <c r="B50" s="26" t="s">
        <v>191</v>
      </c>
      <c r="C50" s="26" t="s">
        <v>186</v>
      </c>
      <c r="D50" s="30">
        <v>6878</v>
      </c>
      <c r="E50" s="28">
        <v>6629.8094179999998</v>
      </c>
      <c r="F50" s="29">
        <v>2.7201813512460098</v>
      </c>
    </row>
    <row r="51" spans="1:6" x14ac:dyDescent="0.2">
      <c r="A51" s="26" t="s">
        <v>391</v>
      </c>
      <c r="B51" s="26" t="s">
        <v>390</v>
      </c>
      <c r="C51" s="26" t="s">
        <v>216</v>
      </c>
      <c r="D51" s="30">
        <v>550</v>
      </c>
      <c r="E51" s="28">
        <v>5399.6194999999998</v>
      </c>
      <c r="F51" s="29">
        <v>2.21543989301508</v>
      </c>
    </row>
    <row r="52" spans="1:6" x14ac:dyDescent="0.2">
      <c r="A52" s="26" t="s">
        <v>572</v>
      </c>
      <c r="B52" s="26" t="s">
        <v>571</v>
      </c>
      <c r="C52" s="26" t="s">
        <v>536</v>
      </c>
      <c r="D52" s="30">
        <v>385</v>
      </c>
      <c r="E52" s="28">
        <v>4569.0182999999997</v>
      </c>
      <c r="F52" s="29">
        <v>1.87464791060481</v>
      </c>
    </row>
    <row r="53" spans="1:6" x14ac:dyDescent="0.2">
      <c r="A53" s="26" t="s">
        <v>570</v>
      </c>
      <c r="B53" s="26" t="s">
        <v>569</v>
      </c>
      <c r="C53" s="26" t="s">
        <v>389</v>
      </c>
      <c r="D53" s="30">
        <v>600</v>
      </c>
      <c r="E53" s="28">
        <v>4500</v>
      </c>
      <c r="F53" s="29">
        <v>1.84633000872893</v>
      </c>
    </row>
    <row r="54" spans="1:6" x14ac:dyDescent="0.2">
      <c r="A54" s="26" t="s">
        <v>375</v>
      </c>
      <c r="B54" s="26" t="s">
        <v>374</v>
      </c>
      <c r="C54" s="26" t="s">
        <v>216</v>
      </c>
      <c r="D54" s="30">
        <v>450</v>
      </c>
      <c r="E54" s="28">
        <v>4427.3609999999999</v>
      </c>
      <c r="F54" s="29">
        <v>1.8165265497280201</v>
      </c>
    </row>
    <row r="55" spans="1:6" x14ac:dyDescent="0.2">
      <c r="A55" s="26" t="s">
        <v>400</v>
      </c>
      <c r="B55" s="26" t="s">
        <v>399</v>
      </c>
      <c r="C55" s="26" t="s">
        <v>381</v>
      </c>
      <c r="D55" s="30">
        <v>440</v>
      </c>
      <c r="E55" s="28">
        <v>3960.802349</v>
      </c>
      <c r="F55" s="29">
        <v>1.6250996079117199</v>
      </c>
    </row>
    <row r="56" spans="1:6" x14ac:dyDescent="0.2">
      <c r="A56" s="26" t="s">
        <v>383</v>
      </c>
      <c r="B56" s="26" t="s">
        <v>382</v>
      </c>
      <c r="C56" s="26" t="s">
        <v>381</v>
      </c>
      <c r="D56" s="30">
        <v>450</v>
      </c>
      <c r="E56" s="28">
        <v>3876.9325600000002</v>
      </c>
      <c r="F56" s="29">
        <v>1.5906882060769501</v>
      </c>
    </row>
    <row r="57" spans="1:6" x14ac:dyDescent="0.2">
      <c r="A57" s="26" t="s">
        <v>373</v>
      </c>
      <c r="B57" s="26" t="s">
        <v>372</v>
      </c>
      <c r="C57" s="26" t="s">
        <v>86</v>
      </c>
      <c r="D57" s="30">
        <v>400</v>
      </c>
      <c r="E57" s="28">
        <v>3783.4160000000002</v>
      </c>
      <c r="F57" s="29">
        <v>1.5523187769567</v>
      </c>
    </row>
    <row r="58" spans="1:6" x14ac:dyDescent="0.2">
      <c r="A58" s="26" t="s">
        <v>627</v>
      </c>
      <c r="B58" s="26" t="s">
        <v>626</v>
      </c>
      <c r="C58" s="26" t="s">
        <v>378</v>
      </c>
      <c r="D58" s="30">
        <v>390</v>
      </c>
      <c r="E58" s="28">
        <v>3690.6401999999998</v>
      </c>
      <c r="F58" s="29">
        <v>1.51425327837363</v>
      </c>
    </row>
    <row r="59" spans="1:6" x14ac:dyDescent="0.2">
      <c r="A59" s="26" t="s">
        <v>629</v>
      </c>
      <c r="B59" s="26" t="s">
        <v>628</v>
      </c>
      <c r="C59" s="26" t="s">
        <v>428</v>
      </c>
      <c r="D59" s="30">
        <v>400</v>
      </c>
      <c r="E59" s="28">
        <v>3099.576712</v>
      </c>
      <c r="F59" s="29">
        <v>1.27174255504954</v>
      </c>
    </row>
    <row r="60" spans="1:6" x14ac:dyDescent="0.2">
      <c r="A60" s="26" t="s">
        <v>574</v>
      </c>
      <c r="B60" s="26" t="s">
        <v>573</v>
      </c>
      <c r="C60" s="26" t="s">
        <v>398</v>
      </c>
      <c r="D60" s="30">
        <v>250</v>
      </c>
      <c r="E60" s="28">
        <v>1875</v>
      </c>
      <c r="F60" s="29">
        <v>0.769304170303719</v>
      </c>
    </row>
    <row r="61" spans="1:6" x14ac:dyDescent="0.2">
      <c r="A61" s="26" t="s">
        <v>388</v>
      </c>
      <c r="B61" s="26" t="s">
        <v>387</v>
      </c>
      <c r="C61" s="26" t="s">
        <v>389</v>
      </c>
      <c r="D61" s="30">
        <v>250</v>
      </c>
      <c r="E61" s="28">
        <v>1875</v>
      </c>
      <c r="F61" s="29">
        <v>0.769304170303719</v>
      </c>
    </row>
    <row r="62" spans="1:6" x14ac:dyDescent="0.2">
      <c r="A62" s="26" t="s">
        <v>408</v>
      </c>
      <c r="B62" s="26" t="s">
        <v>407</v>
      </c>
      <c r="C62" s="26" t="s">
        <v>398</v>
      </c>
      <c r="D62" s="30">
        <v>250</v>
      </c>
      <c r="E62" s="28">
        <v>1562.623396</v>
      </c>
      <c r="F62" s="29">
        <v>0.64113743741704599</v>
      </c>
    </row>
    <row r="63" spans="1:6" x14ac:dyDescent="0.2">
      <c r="A63" s="26" t="s">
        <v>218</v>
      </c>
      <c r="B63" s="26" t="s">
        <v>217</v>
      </c>
      <c r="C63" s="26" t="s">
        <v>186</v>
      </c>
      <c r="D63" s="30">
        <v>2500</v>
      </c>
      <c r="E63" s="28">
        <v>1407.8071420000001</v>
      </c>
      <c r="F63" s="29">
        <v>0.57761701617277905</v>
      </c>
    </row>
    <row r="64" spans="1:6" x14ac:dyDescent="0.2">
      <c r="A64" s="26" t="s">
        <v>427</v>
      </c>
      <c r="B64" s="26" t="s">
        <v>426</v>
      </c>
      <c r="C64" s="26" t="s">
        <v>428</v>
      </c>
      <c r="D64" s="30">
        <v>100</v>
      </c>
      <c r="E64" s="28">
        <v>1008.569</v>
      </c>
      <c r="F64" s="29">
        <v>0.41381138012749402</v>
      </c>
    </row>
    <row r="65" spans="1:9" x14ac:dyDescent="0.2">
      <c r="A65" s="26" t="s">
        <v>371</v>
      </c>
      <c r="B65" s="26" t="s">
        <v>370</v>
      </c>
      <c r="C65" s="26" t="s">
        <v>274</v>
      </c>
      <c r="D65" s="30">
        <v>10</v>
      </c>
      <c r="E65" s="28">
        <v>999.06100000000004</v>
      </c>
      <c r="F65" s="29">
        <v>0.40991028996682899</v>
      </c>
    </row>
    <row r="66" spans="1:9" x14ac:dyDescent="0.2">
      <c r="A66" s="26" t="s">
        <v>377</v>
      </c>
      <c r="B66" s="26" t="s">
        <v>376</v>
      </c>
      <c r="C66" s="26" t="s">
        <v>378</v>
      </c>
      <c r="D66" s="30">
        <v>100</v>
      </c>
      <c r="E66" s="28">
        <v>949.15700000000004</v>
      </c>
      <c r="F66" s="29">
        <v>0.38943490046558299</v>
      </c>
    </row>
    <row r="67" spans="1:9" x14ac:dyDescent="0.2">
      <c r="A67" s="26" t="s">
        <v>631</v>
      </c>
      <c r="B67" s="26" t="s">
        <v>630</v>
      </c>
      <c r="C67" s="26" t="s">
        <v>398</v>
      </c>
      <c r="D67" s="30">
        <v>230</v>
      </c>
      <c r="E67" s="28">
        <v>862.5</v>
      </c>
      <c r="F67" s="29">
        <v>0.353879918339711</v>
      </c>
    </row>
    <row r="68" spans="1:9" x14ac:dyDescent="0.2">
      <c r="A68" s="26" t="s">
        <v>194</v>
      </c>
      <c r="B68" s="26" t="s">
        <v>193</v>
      </c>
      <c r="C68" s="26" t="s">
        <v>186</v>
      </c>
      <c r="D68" s="30">
        <v>50</v>
      </c>
      <c r="E68" s="28">
        <v>688.21950000000004</v>
      </c>
      <c r="F68" s="29">
        <v>0.28237340343164802</v>
      </c>
    </row>
    <row r="69" spans="1:9" x14ac:dyDescent="0.2">
      <c r="A69" s="26" t="s">
        <v>439</v>
      </c>
      <c r="B69" s="26" t="s">
        <v>438</v>
      </c>
      <c r="C69" s="26" t="s">
        <v>398</v>
      </c>
      <c r="D69" s="30">
        <v>230</v>
      </c>
      <c r="E69" s="28">
        <v>575</v>
      </c>
      <c r="F69" s="29">
        <v>0.235919945559807</v>
      </c>
    </row>
    <row r="70" spans="1:9" x14ac:dyDescent="0.2">
      <c r="A70" s="26" t="s">
        <v>417</v>
      </c>
      <c r="B70" s="26" t="s">
        <v>416</v>
      </c>
      <c r="C70" s="26" t="s">
        <v>418</v>
      </c>
      <c r="D70" s="30">
        <v>56</v>
      </c>
      <c r="E70" s="28">
        <v>544.50423999999998</v>
      </c>
      <c r="F70" s="29">
        <v>0.22340767070936399</v>
      </c>
    </row>
    <row r="71" spans="1:9" x14ac:dyDescent="0.2">
      <c r="A71" s="26" t="s">
        <v>633</v>
      </c>
      <c r="B71" s="26" t="s">
        <v>632</v>
      </c>
      <c r="C71" s="26" t="s">
        <v>634</v>
      </c>
      <c r="D71" s="30">
        <v>200</v>
      </c>
      <c r="E71" s="28">
        <v>465.04823160000001</v>
      </c>
      <c r="F71" s="29">
        <v>0.190807223446533</v>
      </c>
    </row>
    <row r="72" spans="1:9" x14ac:dyDescent="0.2">
      <c r="A72" s="26" t="s">
        <v>422</v>
      </c>
      <c r="B72" s="26" t="s">
        <v>421</v>
      </c>
      <c r="C72" s="26" t="s">
        <v>381</v>
      </c>
      <c r="D72" s="30">
        <v>50</v>
      </c>
      <c r="E72" s="28">
        <v>441.23332499999998</v>
      </c>
      <c r="F72" s="29">
        <v>0.181036073066387</v>
      </c>
    </row>
    <row r="73" spans="1:9" x14ac:dyDescent="0.2">
      <c r="A73" s="26" t="s">
        <v>435</v>
      </c>
      <c r="B73" s="26" t="s">
        <v>434</v>
      </c>
      <c r="C73" s="26" t="s">
        <v>413</v>
      </c>
      <c r="D73" s="30">
        <v>14</v>
      </c>
      <c r="E73" s="28">
        <v>366.54660000000001</v>
      </c>
      <c r="F73" s="29">
        <v>0.150392441595013</v>
      </c>
    </row>
    <row r="74" spans="1:9" x14ac:dyDescent="0.2">
      <c r="A74" s="26" t="s">
        <v>579</v>
      </c>
      <c r="B74" s="26" t="s">
        <v>578</v>
      </c>
      <c r="C74" s="26" t="s">
        <v>433</v>
      </c>
      <c r="D74" s="30">
        <v>321</v>
      </c>
      <c r="E74" s="28">
        <v>160.5</v>
      </c>
      <c r="F74" s="29">
        <v>6.5852436977998405E-2</v>
      </c>
    </row>
    <row r="75" spans="1:9" ht="10.5" x14ac:dyDescent="0.25">
      <c r="A75" s="25" t="s">
        <v>177</v>
      </c>
      <c r="B75" s="25"/>
      <c r="C75" s="25"/>
      <c r="D75" s="31"/>
      <c r="E75" s="32">
        <f>SUM(E47:E74)</f>
        <v>76544.446473600008</v>
      </c>
      <c r="F75" s="33">
        <f>SUM(F47:F74)</f>
        <v>31.405846339056179</v>
      </c>
      <c r="G75" s="17"/>
      <c r="H75" s="17"/>
      <c r="I75" s="17"/>
    </row>
    <row r="76" spans="1:9" x14ac:dyDescent="0.2">
      <c r="A76" s="26"/>
      <c r="B76" s="26"/>
      <c r="C76" s="26"/>
      <c r="D76" s="27"/>
      <c r="E76" s="28"/>
      <c r="F76" s="29"/>
    </row>
    <row r="77" spans="1:9" ht="10.5" x14ac:dyDescent="0.25">
      <c r="A77" s="25" t="s">
        <v>226</v>
      </c>
      <c r="B77" s="25"/>
      <c r="C77" s="25"/>
      <c r="D77" s="31"/>
      <c r="E77" s="32">
        <f>E45+E75</f>
        <v>249473.40311360004</v>
      </c>
      <c r="F77" s="33">
        <f>F45+F75</f>
        <v>102.35782901074849</v>
      </c>
      <c r="G77" s="17"/>
      <c r="H77" s="17"/>
      <c r="I77" s="17"/>
    </row>
    <row r="78" spans="1:9" ht="10.5" x14ac:dyDescent="0.25">
      <c r="A78" s="25"/>
      <c r="B78" s="25"/>
      <c r="C78" s="25"/>
      <c r="D78" s="31"/>
      <c r="E78" s="32"/>
      <c r="F78" s="33"/>
      <c r="G78" s="17"/>
      <c r="H78" s="17"/>
      <c r="I78" s="17"/>
    </row>
    <row r="79" spans="1:9" ht="10.5" x14ac:dyDescent="0.25">
      <c r="A79" s="25" t="s">
        <v>228</v>
      </c>
      <c r="B79" s="25"/>
      <c r="C79" s="25"/>
      <c r="D79" s="31"/>
      <c r="E79" s="32">
        <f>E81-(E45+E75)</f>
        <v>-5746.6598594000388</v>
      </c>
      <c r="F79" s="33">
        <f>F81-(F45+F75)</f>
        <v>-2.3578290107484889</v>
      </c>
      <c r="G79" s="17"/>
      <c r="H79" s="17"/>
      <c r="I79" s="17"/>
    </row>
    <row r="80" spans="1:9" ht="10.5" x14ac:dyDescent="0.25">
      <c r="A80" s="25"/>
      <c r="B80" s="25"/>
      <c r="C80" s="25"/>
      <c r="D80" s="31"/>
      <c r="E80" s="32"/>
      <c r="F80" s="33"/>
      <c r="G80" s="17"/>
      <c r="H80" s="17"/>
      <c r="I80" s="17"/>
    </row>
    <row r="81" spans="1:9" ht="10.5" x14ac:dyDescent="0.25">
      <c r="A81" s="34" t="s">
        <v>227</v>
      </c>
      <c r="B81" s="34"/>
      <c r="C81" s="34"/>
      <c r="D81" s="35"/>
      <c r="E81" s="36">
        <v>243726.7432542</v>
      </c>
      <c r="F81" s="37">
        <v>100</v>
      </c>
      <c r="G81" s="17"/>
      <c r="H81" s="17"/>
      <c r="I81" s="17"/>
    </row>
    <row r="82" spans="1:9" ht="10.5" x14ac:dyDescent="0.25">
      <c r="A82" s="17" t="s">
        <v>231</v>
      </c>
    </row>
    <row r="83" spans="1:9" ht="10.5" x14ac:dyDescent="0.25">
      <c r="A83" s="17" t="s">
        <v>1601</v>
      </c>
    </row>
    <row r="84" spans="1:9" ht="10.5" x14ac:dyDescent="0.25">
      <c r="A84" s="17" t="s">
        <v>1607</v>
      </c>
    </row>
    <row r="86" spans="1:9" ht="10.5" x14ac:dyDescent="0.25">
      <c r="A86" s="17" t="s">
        <v>232</v>
      </c>
    </row>
    <row r="87" spans="1:9" ht="10.5" x14ac:dyDescent="0.25">
      <c r="A87" s="17" t="s">
        <v>233</v>
      </c>
    </row>
    <row r="88" spans="1:9" ht="10.5" x14ac:dyDescent="0.25">
      <c r="A88" s="17" t="s">
        <v>234</v>
      </c>
      <c r="B88" s="17"/>
      <c r="C88" s="38" t="s">
        <v>236</v>
      </c>
      <c r="D88" s="18" t="s">
        <v>235</v>
      </c>
    </row>
    <row r="89" spans="1:9" x14ac:dyDescent="0.2">
      <c r="A89" s="10" t="s">
        <v>543</v>
      </c>
      <c r="C89" s="39">
        <v>68.781099999999995</v>
      </c>
      <c r="D89" s="39">
        <v>65.007099999999994</v>
      </c>
    </row>
    <row r="90" spans="1:9" x14ac:dyDescent="0.2">
      <c r="A90" s="10" t="s">
        <v>580</v>
      </c>
      <c r="C90" s="39">
        <v>11.8239</v>
      </c>
      <c r="D90" s="39">
        <v>10.744899999999999</v>
      </c>
    </row>
    <row r="91" spans="1:9" x14ac:dyDescent="0.2">
      <c r="A91" s="10" t="s">
        <v>546</v>
      </c>
      <c r="C91" s="39">
        <v>72.701800000000006</v>
      </c>
      <c r="D91" s="39">
        <v>69.011700000000005</v>
      </c>
    </row>
    <row r="92" spans="1:9" x14ac:dyDescent="0.2">
      <c r="A92" s="10" t="s">
        <v>581</v>
      </c>
      <c r="C92" s="39">
        <v>12.707800000000001</v>
      </c>
      <c r="D92" s="39">
        <v>11.6317</v>
      </c>
    </row>
    <row r="94" spans="1:9" ht="10.5" x14ac:dyDescent="0.25">
      <c r="A94" s="17" t="s">
        <v>248</v>
      </c>
    </row>
    <row r="95" spans="1:9" ht="10.5" x14ac:dyDescent="0.25">
      <c r="A95" s="84" t="s">
        <v>249</v>
      </c>
      <c r="B95" s="85"/>
      <c r="C95" s="82" t="s">
        <v>250</v>
      </c>
      <c r="D95" s="83"/>
    </row>
    <row r="96" spans="1:9" ht="10.5" x14ac:dyDescent="0.25">
      <c r="A96" s="84"/>
      <c r="B96" s="85"/>
      <c r="C96" s="40" t="s">
        <v>251</v>
      </c>
      <c r="D96" s="41" t="s">
        <v>252</v>
      </c>
    </row>
    <row r="97" spans="1:6" x14ac:dyDescent="0.2">
      <c r="A97" s="78" t="s">
        <v>580</v>
      </c>
      <c r="B97" s="79"/>
      <c r="C97" s="42">
        <v>0.3205436015</v>
      </c>
      <c r="D97" s="42">
        <v>0.29682497250000001</v>
      </c>
    </row>
    <row r="98" spans="1:6" x14ac:dyDescent="0.2">
      <c r="A98" s="78" t="s">
        <v>581</v>
      </c>
      <c r="B98" s="79"/>
      <c r="C98" s="42">
        <v>0.3205436015</v>
      </c>
      <c r="D98" s="42">
        <v>0.29682497250000001</v>
      </c>
    </row>
    <row r="100" spans="1:6" ht="10.5" x14ac:dyDescent="0.25">
      <c r="A100" s="17" t="s">
        <v>253</v>
      </c>
      <c r="D100" s="43">
        <v>2.7161933066027402</v>
      </c>
      <c r="E100" s="15" t="s">
        <v>254</v>
      </c>
    </row>
    <row r="102" spans="1:6" ht="10.5" x14ac:dyDescent="0.25">
      <c r="A102" s="17" t="s">
        <v>255</v>
      </c>
      <c r="D102" s="46" t="s">
        <v>256</v>
      </c>
    </row>
    <row r="103" spans="1:6" x14ac:dyDescent="0.2">
      <c r="A103" s="10" t="s">
        <v>257</v>
      </c>
    </row>
    <row r="104" spans="1:6" ht="14.5" x14ac:dyDescent="0.35">
      <c r="A104" s="44" t="s">
        <v>1613</v>
      </c>
    </row>
    <row r="108" spans="1:6" s="1" customFormat="1" ht="14" x14ac:dyDescent="0.25">
      <c r="A108" s="80" t="s">
        <v>635</v>
      </c>
      <c r="B108" s="81"/>
      <c r="C108" s="81"/>
      <c r="D108" s="81"/>
      <c r="E108" s="81"/>
      <c r="F108" s="81"/>
    </row>
    <row r="109" spans="1:6" ht="10.5" x14ac:dyDescent="0.25">
      <c r="A109" s="17" t="s">
        <v>260</v>
      </c>
    </row>
    <row r="110" spans="1:6" ht="10.5" x14ac:dyDescent="0.25">
      <c r="A110" s="17" t="s">
        <v>6</v>
      </c>
    </row>
    <row r="111" spans="1:6" s="1" customFormat="1" ht="17.5" customHeight="1" x14ac:dyDescent="0.25">
      <c r="A111" s="8" t="s">
        <v>2</v>
      </c>
      <c r="B111" s="8" t="s">
        <v>0</v>
      </c>
      <c r="C111" s="8" t="s">
        <v>230</v>
      </c>
      <c r="D111" s="13" t="s">
        <v>1</v>
      </c>
      <c r="E111" s="9" t="s">
        <v>3</v>
      </c>
      <c r="F111" s="9" t="s">
        <v>4</v>
      </c>
    </row>
    <row r="112" spans="1:6" ht="10.5" x14ac:dyDescent="0.25">
      <c r="A112" s="20" t="s">
        <v>63</v>
      </c>
      <c r="B112" s="21"/>
      <c r="C112" s="21"/>
      <c r="D112" s="22"/>
      <c r="E112" s="23"/>
      <c r="F112" s="24"/>
    </row>
    <row r="113" spans="1:9" ht="10.5" x14ac:dyDescent="0.25">
      <c r="A113" s="25" t="s">
        <v>1605</v>
      </c>
      <c r="B113" s="26"/>
      <c r="C113" s="26"/>
      <c r="D113" s="27"/>
      <c r="E113" s="28"/>
      <c r="F113" s="29"/>
    </row>
    <row r="114" spans="1:9" x14ac:dyDescent="0.2">
      <c r="A114" s="26" t="s">
        <v>262</v>
      </c>
      <c r="B114" s="26" t="s">
        <v>261</v>
      </c>
      <c r="C114" s="26" t="s">
        <v>263</v>
      </c>
      <c r="D114" s="30">
        <v>950</v>
      </c>
      <c r="E114" s="53">
        <v>0</v>
      </c>
      <c r="F114" s="53">
        <v>100</v>
      </c>
    </row>
    <row r="115" spans="1:9" ht="10.5" x14ac:dyDescent="0.25">
      <c r="A115" s="25" t="s">
        <v>177</v>
      </c>
      <c r="B115" s="25"/>
      <c r="C115" s="25"/>
      <c r="D115" s="31"/>
      <c r="E115" s="51">
        <f>SUM(E113:E114)</f>
        <v>0</v>
      </c>
      <c r="F115" s="52">
        <f>SUM(F113:F114)</f>
        <v>100</v>
      </c>
      <c r="G115" s="17"/>
      <c r="H115" s="17"/>
      <c r="I115" s="17"/>
    </row>
    <row r="116" spans="1:9" x14ac:dyDescent="0.2">
      <c r="A116" s="26"/>
      <c r="B116" s="26"/>
      <c r="C116" s="26"/>
      <c r="D116" s="27"/>
      <c r="E116" s="53"/>
      <c r="F116" s="50"/>
    </row>
    <row r="117" spans="1:9" ht="10.5" x14ac:dyDescent="0.25">
      <c r="A117" s="25" t="s">
        <v>226</v>
      </c>
      <c r="B117" s="25"/>
      <c r="C117" s="25"/>
      <c r="D117" s="31"/>
      <c r="E117" s="51">
        <f>E115</f>
        <v>0</v>
      </c>
      <c r="F117" s="52">
        <f>F115</f>
        <v>100</v>
      </c>
      <c r="G117" s="17"/>
      <c r="H117" s="17"/>
      <c r="I117" s="17"/>
    </row>
    <row r="118" spans="1:9" ht="10.5" x14ac:dyDescent="0.25">
      <c r="A118" s="25"/>
      <c r="B118" s="25"/>
      <c r="C118" s="25"/>
      <c r="D118" s="31"/>
      <c r="E118" s="51"/>
      <c r="F118" s="52"/>
      <c r="G118" s="17"/>
      <c r="H118" s="17"/>
      <c r="I118" s="17"/>
    </row>
    <row r="119" spans="1:9" ht="10.5" x14ac:dyDescent="0.25">
      <c r="A119" s="25" t="s">
        <v>228</v>
      </c>
      <c r="B119" s="25"/>
      <c r="C119" s="25"/>
      <c r="D119" s="31"/>
      <c r="E119" s="51">
        <f>E121-(E115)</f>
        <v>8.9999999999999996E-7</v>
      </c>
      <c r="F119" s="33">
        <f>F121-(F115)</f>
        <v>0</v>
      </c>
      <c r="G119" s="17"/>
      <c r="H119" s="17"/>
      <c r="I119" s="17"/>
    </row>
    <row r="120" spans="1:9" ht="10.5" x14ac:dyDescent="0.25">
      <c r="A120" s="25"/>
      <c r="B120" s="25"/>
      <c r="C120" s="25"/>
      <c r="D120" s="31"/>
      <c r="E120" s="51"/>
      <c r="F120" s="52"/>
      <c r="G120" s="17"/>
      <c r="H120" s="17"/>
      <c r="I120" s="17"/>
    </row>
    <row r="121" spans="1:9" ht="10.5" x14ac:dyDescent="0.25">
      <c r="A121" s="34" t="s">
        <v>227</v>
      </c>
      <c r="B121" s="34"/>
      <c r="C121" s="34"/>
      <c r="D121" s="35"/>
      <c r="E121" s="54">
        <v>8.9999999999999996E-7</v>
      </c>
      <c r="F121" s="55">
        <v>100</v>
      </c>
      <c r="G121" s="17"/>
      <c r="H121" s="17"/>
      <c r="I121" s="17"/>
    </row>
    <row r="122" spans="1:9" ht="10.5" x14ac:dyDescent="0.25">
      <c r="A122" s="17" t="s">
        <v>231</v>
      </c>
      <c r="F122" s="19" t="s">
        <v>446</v>
      </c>
    </row>
    <row r="123" spans="1:9" ht="10.5" x14ac:dyDescent="0.25">
      <c r="A123" s="17" t="s">
        <v>1601</v>
      </c>
    </row>
    <row r="124" spans="1:9" ht="10.5" x14ac:dyDescent="0.25">
      <c r="A124" s="17" t="s">
        <v>1607</v>
      </c>
    </row>
    <row r="125" spans="1:9" ht="10.5" x14ac:dyDescent="0.25">
      <c r="A125" s="17"/>
    </row>
    <row r="126" spans="1:9" ht="10.5" x14ac:dyDescent="0.25">
      <c r="A126" s="17" t="s">
        <v>232</v>
      </c>
    </row>
    <row r="127" spans="1:9" ht="10.5" x14ac:dyDescent="0.25">
      <c r="A127" s="17" t="s">
        <v>233</v>
      </c>
    </row>
    <row r="128" spans="1:9" ht="10.5" x14ac:dyDescent="0.25">
      <c r="A128" s="17" t="s">
        <v>234</v>
      </c>
      <c r="B128" s="17"/>
      <c r="C128" s="38" t="s">
        <v>236</v>
      </c>
      <c r="D128" s="18" t="s">
        <v>235</v>
      </c>
    </row>
    <row r="129" spans="1:6" x14ac:dyDescent="0.2">
      <c r="A129" s="10" t="s">
        <v>543</v>
      </c>
      <c r="C129" s="56" t="s">
        <v>1602</v>
      </c>
      <c r="D129" s="39">
        <v>0</v>
      </c>
    </row>
    <row r="130" spans="1:6" x14ac:dyDescent="0.2">
      <c r="A130" s="10" t="s">
        <v>580</v>
      </c>
      <c r="C130" s="56" t="s">
        <v>1602</v>
      </c>
      <c r="D130" s="39">
        <v>0</v>
      </c>
    </row>
    <row r="131" spans="1:6" x14ac:dyDescent="0.2">
      <c r="A131" s="10" t="s">
        <v>546</v>
      </c>
      <c r="C131" s="56" t="s">
        <v>1602</v>
      </c>
      <c r="D131" s="39">
        <v>0</v>
      </c>
    </row>
    <row r="132" spans="1:6" x14ac:dyDescent="0.2">
      <c r="A132" s="10" t="s">
        <v>581</v>
      </c>
      <c r="C132" s="56" t="s">
        <v>1602</v>
      </c>
      <c r="D132" s="39">
        <v>0</v>
      </c>
    </row>
    <row r="134" spans="1:6" ht="10.5" x14ac:dyDescent="0.25">
      <c r="A134" s="17" t="s">
        <v>1606</v>
      </c>
    </row>
    <row r="136" spans="1:6" ht="10.5" x14ac:dyDescent="0.25">
      <c r="A136" s="17" t="s">
        <v>1604</v>
      </c>
      <c r="D136" s="46" t="s">
        <v>256</v>
      </c>
    </row>
    <row r="137" spans="1:6" x14ac:dyDescent="0.2">
      <c r="A137" s="10" t="s">
        <v>257</v>
      </c>
    </row>
    <row r="138" spans="1:6" ht="14.5" x14ac:dyDescent="0.35">
      <c r="A138" s="44" t="s">
        <v>1613</v>
      </c>
    </row>
    <row r="141" spans="1:6" s="1" customFormat="1" ht="14" x14ac:dyDescent="0.25">
      <c r="A141" s="80" t="s">
        <v>636</v>
      </c>
      <c r="B141" s="81"/>
      <c r="C141" s="81"/>
      <c r="D141" s="81"/>
      <c r="E141" s="81"/>
      <c r="F141" s="81"/>
    </row>
    <row r="142" spans="1:6" ht="10.5" x14ac:dyDescent="0.25">
      <c r="A142" s="17" t="s">
        <v>455</v>
      </c>
    </row>
    <row r="143" spans="1:6" ht="10.5" x14ac:dyDescent="0.25">
      <c r="A143" s="17" t="s">
        <v>6</v>
      </c>
    </row>
    <row r="144" spans="1:6" s="1" customFormat="1" ht="17.5" customHeight="1" x14ac:dyDescent="0.25">
      <c r="A144" s="8" t="s">
        <v>2</v>
      </c>
      <c r="B144" s="8" t="s">
        <v>0</v>
      </c>
      <c r="C144" s="8" t="s">
        <v>230</v>
      </c>
      <c r="D144" s="13" t="s">
        <v>1</v>
      </c>
      <c r="E144" s="9" t="s">
        <v>3</v>
      </c>
      <c r="F144" s="9" t="s">
        <v>4</v>
      </c>
    </row>
    <row r="145" spans="1:9" ht="10.5" x14ac:dyDescent="0.25">
      <c r="A145" s="20" t="s">
        <v>63</v>
      </c>
      <c r="B145" s="21"/>
      <c r="C145" s="21"/>
      <c r="D145" s="22"/>
      <c r="E145" s="23"/>
      <c r="F145" s="24"/>
    </row>
    <row r="146" spans="1:9" ht="10.5" x14ac:dyDescent="0.25">
      <c r="A146" s="25" t="s">
        <v>64</v>
      </c>
      <c r="B146" s="26"/>
      <c r="C146" s="26"/>
      <c r="D146" s="27"/>
      <c r="E146" s="28"/>
      <c r="F146" s="29"/>
    </row>
    <row r="147" spans="1:9" x14ac:dyDescent="0.2">
      <c r="A147" s="26" t="s">
        <v>457</v>
      </c>
      <c r="B147" s="26" t="s">
        <v>456</v>
      </c>
      <c r="C147" s="26" t="s">
        <v>458</v>
      </c>
      <c r="D147" s="30">
        <v>940</v>
      </c>
      <c r="E147" s="53">
        <v>0</v>
      </c>
      <c r="F147" s="53">
        <v>100</v>
      </c>
    </row>
    <row r="148" spans="1:9" ht="10.5" x14ac:dyDescent="0.25">
      <c r="A148" s="25" t="s">
        <v>177</v>
      </c>
      <c r="B148" s="25"/>
      <c r="C148" s="25"/>
      <c r="D148" s="31"/>
      <c r="E148" s="51">
        <f>SUM(E146:E147)</f>
        <v>0</v>
      </c>
      <c r="F148" s="52">
        <f>SUM(F146:F147)</f>
        <v>100</v>
      </c>
      <c r="G148" s="17"/>
      <c r="H148" s="17"/>
      <c r="I148" s="17"/>
    </row>
    <row r="149" spans="1:9" x14ac:dyDescent="0.2">
      <c r="A149" s="26"/>
      <c r="B149" s="26"/>
      <c r="C149" s="26"/>
      <c r="D149" s="27"/>
      <c r="E149" s="53"/>
      <c r="F149" s="50"/>
    </row>
    <row r="150" spans="1:9" ht="10.5" x14ac:dyDescent="0.25">
      <c r="A150" s="25" t="s">
        <v>226</v>
      </c>
      <c r="B150" s="25"/>
      <c r="C150" s="25"/>
      <c r="D150" s="31"/>
      <c r="E150" s="51">
        <f>E148</f>
        <v>0</v>
      </c>
      <c r="F150" s="52">
        <f>F148</f>
        <v>100</v>
      </c>
      <c r="G150" s="17"/>
      <c r="H150" s="17"/>
      <c r="I150" s="17"/>
    </row>
    <row r="151" spans="1:9" ht="10.5" x14ac:dyDescent="0.25">
      <c r="A151" s="25"/>
      <c r="B151" s="25"/>
      <c r="C151" s="25"/>
      <c r="D151" s="31"/>
      <c r="E151" s="51"/>
      <c r="F151" s="52"/>
      <c r="G151" s="17"/>
      <c r="H151" s="17"/>
      <c r="I151" s="17"/>
    </row>
    <row r="152" spans="1:9" ht="10.5" x14ac:dyDescent="0.25">
      <c r="A152" s="25" t="s">
        <v>228</v>
      </c>
      <c r="B152" s="25"/>
      <c r="C152" s="25"/>
      <c r="D152" s="31"/>
      <c r="E152" s="51">
        <f>E154-(E148)</f>
        <v>8.9999999999999996E-7</v>
      </c>
      <c r="F152" s="33">
        <f>F154-(F148)</f>
        <v>0</v>
      </c>
      <c r="G152" s="17"/>
      <c r="H152" s="17"/>
      <c r="I152" s="17"/>
    </row>
    <row r="153" spans="1:9" ht="10.5" x14ac:dyDescent="0.25">
      <c r="A153" s="25"/>
      <c r="B153" s="25"/>
      <c r="C153" s="25"/>
      <c r="D153" s="31"/>
      <c r="E153" s="51"/>
      <c r="F153" s="52"/>
      <c r="G153" s="17"/>
      <c r="H153" s="17"/>
      <c r="I153" s="17"/>
    </row>
    <row r="154" spans="1:9" ht="10.5" x14ac:dyDescent="0.25">
      <c r="A154" s="34" t="s">
        <v>227</v>
      </c>
      <c r="B154" s="34"/>
      <c r="C154" s="34"/>
      <c r="D154" s="35"/>
      <c r="E154" s="54">
        <v>8.9999999999999996E-7</v>
      </c>
      <c r="F154" s="55">
        <v>100</v>
      </c>
      <c r="G154" s="17"/>
      <c r="H154" s="17"/>
      <c r="I154" s="17"/>
    </row>
    <row r="155" spans="1:9" ht="10.5" x14ac:dyDescent="0.25">
      <c r="A155" s="58" t="s">
        <v>231</v>
      </c>
      <c r="F155" s="19" t="s">
        <v>446</v>
      </c>
    </row>
    <row r="156" spans="1:9" ht="10.5" x14ac:dyDescent="0.25">
      <c r="A156" s="58" t="s">
        <v>1601</v>
      </c>
    </row>
    <row r="157" spans="1:9" ht="10.5" x14ac:dyDescent="0.25">
      <c r="A157" s="59" t="s">
        <v>1607</v>
      </c>
    </row>
    <row r="158" spans="1:9" ht="10.5" x14ac:dyDescent="0.25">
      <c r="A158" s="59"/>
    </row>
    <row r="159" spans="1:9" ht="10.5" x14ac:dyDescent="0.25">
      <c r="A159" s="17" t="s">
        <v>232</v>
      </c>
    </row>
    <row r="160" spans="1:9" ht="10.5" x14ac:dyDescent="0.25">
      <c r="A160" s="17" t="s">
        <v>233</v>
      </c>
    </row>
    <row r="161" spans="1:6" ht="10.5" x14ac:dyDescent="0.25">
      <c r="A161" s="17" t="s">
        <v>234</v>
      </c>
      <c r="B161" s="17"/>
      <c r="C161" s="38" t="s">
        <v>236</v>
      </c>
      <c r="D161" s="18" t="s">
        <v>235</v>
      </c>
    </row>
    <row r="162" spans="1:6" x14ac:dyDescent="0.2">
      <c r="A162" s="10" t="s">
        <v>543</v>
      </c>
      <c r="C162" s="56" t="s">
        <v>1602</v>
      </c>
      <c r="D162" s="39">
        <v>0</v>
      </c>
    </row>
    <row r="163" spans="1:6" x14ac:dyDescent="0.2">
      <c r="A163" s="10" t="s">
        <v>580</v>
      </c>
      <c r="C163" s="56" t="s">
        <v>1602</v>
      </c>
      <c r="D163" s="39">
        <v>0</v>
      </c>
    </row>
    <row r="164" spans="1:6" x14ac:dyDescent="0.2">
      <c r="A164" s="10" t="s">
        <v>546</v>
      </c>
      <c r="C164" s="56" t="s">
        <v>1602</v>
      </c>
      <c r="D164" s="39">
        <v>0</v>
      </c>
    </row>
    <row r="165" spans="1:6" x14ac:dyDescent="0.2">
      <c r="A165" s="10" t="s">
        <v>581</v>
      </c>
      <c r="C165" s="56" t="s">
        <v>1602</v>
      </c>
      <c r="D165" s="39">
        <v>0</v>
      </c>
    </row>
    <row r="167" spans="1:6" ht="10.5" x14ac:dyDescent="0.25">
      <c r="A167" s="17" t="s">
        <v>1606</v>
      </c>
    </row>
    <row r="169" spans="1:6" ht="10.5" x14ac:dyDescent="0.25">
      <c r="A169" s="17" t="s">
        <v>1604</v>
      </c>
      <c r="D169" s="46" t="s">
        <v>256</v>
      </c>
    </row>
    <row r="170" spans="1:6" x14ac:dyDescent="0.2">
      <c r="A170" s="10" t="s">
        <v>257</v>
      </c>
    </row>
    <row r="171" spans="1:6" ht="14.5" x14ac:dyDescent="0.35">
      <c r="A171" s="44" t="s">
        <v>1613</v>
      </c>
    </row>
    <row r="174" spans="1:6" s="1" customFormat="1" ht="14" x14ac:dyDescent="0.25">
      <c r="A174" s="80" t="s">
        <v>637</v>
      </c>
      <c r="B174" s="81"/>
      <c r="C174" s="81"/>
      <c r="D174" s="81"/>
      <c r="E174" s="81"/>
      <c r="F174" s="81"/>
    </row>
    <row r="175" spans="1:6" ht="10.5" x14ac:dyDescent="0.25">
      <c r="A175" s="17" t="s">
        <v>460</v>
      </c>
    </row>
    <row r="176" spans="1:6" ht="10.5" x14ac:dyDescent="0.25">
      <c r="A176" s="17" t="s">
        <v>6</v>
      </c>
    </row>
    <row r="177" spans="1:9" s="1" customFormat="1" ht="17.5" customHeight="1" x14ac:dyDescent="0.25">
      <c r="A177" s="8" t="s">
        <v>2</v>
      </c>
      <c r="B177" s="8" t="s">
        <v>0</v>
      </c>
      <c r="C177" s="8" t="s">
        <v>230</v>
      </c>
      <c r="D177" s="13" t="s">
        <v>1</v>
      </c>
      <c r="E177" s="9" t="s">
        <v>3</v>
      </c>
      <c r="F177" s="9" t="s">
        <v>4</v>
      </c>
    </row>
    <row r="178" spans="1:9" ht="10.5" x14ac:dyDescent="0.25">
      <c r="A178" s="20" t="s">
        <v>63</v>
      </c>
      <c r="B178" s="21"/>
      <c r="C178" s="21"/>
      <c r="D178" s="22"/>
      <c r="E178" s="23"/>
      <c r="F178" s="24"/>
    </row>
    <row r="179" spans="1:9" ht="10.5" x14ac:dyDescent="0.25">
      <c r="A179" s="25" t="s">
        <v>64</v>
      </c>
      <c r="B179" s="26"/>
      <c r="C179" s="26"/>
      <c r="D179" s="27"/>
      <c r="E179" s="28"/>
      <c r="F179" s="29"/>
    </row>
    <row r="180" spans="1:9" x14ac:dyDescent="0.2">
      <c r="A180" s="26" t="s">
        <v>462</v>
      </c>
      <c r="B180" s="26" t="s">
        <v>461</v>
      </c>
      <c r="C180" s="26" t="s">
        <v>425</v>
      </c>
      <c r="D180" s="30">
        <v>682</v>
      </c>
      <c r="E180" s="53">
        <v>0</v>
      </c>
      <c r="F180" s="53">
        <v>100</v>
      </c>
    </row>
    <row r="181" spans="1:9" ht="10.5" x14ac:dyDescent="0.25">
      <c r="A181" s="25" t="s">
        <v>177</v>
      </c>
      <c r="B181" s="25"/>
      <c r="C181" s="25"/>
      <c r="D181" s="31"/>
      <c r="E181" s="51">
        <f>SUM(E179:E180)</f>
        <v>0</v>
      </c>
      <c r="F181" s="52">
        <f>SUM(F179:F180)</f>
        <v>100</v>
      </c>
      <c r="G181" s="17"/>
      <c r="H181" s="17"/>
      <c r="I181" s="17"/>
    </row>
    <row r="182" spans="1:9" x14ac:dyDescent="0.2">
      <c r="A182" s="26"/>
      <c r="B182" s="26"/>
      <c r="C182" s="26"/>
      <c r="D182" s="27"/>
      <c r="E182" s="53"/>
      <c r="F182" s="50"/>
    </row>
    <row r="183" spans="1:9" ht="10.5" x14ac:dyDescent="0.25">
      <c r="A183" s="25" t="s">
        <v>226</v>
      </c>
      <c r="B183" s="25"/>
      <c r="C183" s="25"/>
      <c r="D183" s="31"/>
      <c r="E183" s="51">
        <f>E181</f>
        <v>0</v>
      </c>
      <c r="F183" s="52">
        <f>F181</f>
        <v>100</v>
      </c>
      <c r="G183" s="17"/>
      <c r="H183" s="17"/>
      <c r="I183" s="17"/>
    </row>
    <row r="184" spans="1:9" ht="10.5" x14ac:dyDescent="0.25">
      <c r="A184" s="25"/>
      <c r="B184" s="25"/>
      <c r="C184" s="25"/>
      <c r="D184" s="31"/>
      <c r="E184" s="51"/>
      <c r="F184" s="52"/>
      <c r="G184" s="17"/>
      <c r="H184" s="17"/>
      <c r="I184" s="17"/>
    </row>
    <row r="185" spans="1:9" ht="10.5" x14ac:dyDescent="0.25">
      <c r="A185" s="25" t="s">
        <v>228</v>
      </c>
      <c r="B185" s="25"/>
      <c r="C185" s="25"/>
      <c r="D185" s="31"/>
      <c r="E185" s="51">
        <f>E187-(E181)</f>
        <v>8.9999999999999996E-7</v>
      </c>
      <c r="F185" s="33">
        <f>F187-(F181)</f>
        <v>0</v>
      </c>
      <c r="G185" s="17"/>
      <c r="H185" s="17"/>
      <c r="I185" s="17"/>
    </row>
    <row r="186" spans="1:9" ht="10.5" x14ac:dyDescent="0.25">
      <c r="A186" s="25"/>
      <c r="B186" s="25"/>
      <c r="C186" s="25"/>
      <c r="D186" s="31"/>
      <c r="E186" s="51"/>
      <c r="F186" s="52"/>
      <c r="G186" s="17"/>
      <c r="H186" s="17"/>
      <c r="I186" s="17"/>
    </row>
    <row r="187" spans="1:9" ht="10.5" x14ac:dyDescent="0.25">
      <c r="A187" s="34" t="s">
        <v>227</v>
      </c>
      <c r="B187" s="34"/>
      <c r="C187" s="34"/>
      <c r="D187" s="35"/>
      <c r="E187" s="54">
        <v>8.9999999999999996E-7</v>
      </c>
      <c r="F187" s="55">
        <v>100</v>
      </c>
      <c r="G187" s="17"/>
      <c r="H187" s="17"/>
      <c r="I187" s="17"/>
    </row>
    <row r="188" spans="1:9" ht="10.5" x14ac:dyDescent="0.25">
      <c r="A188" s="17" t="s">
        <v>231</v>
      </c>
      <c r="F188" s="19" t="s">
        <v>446</v>
      </c>
    </row>
    <row r="189" spans="1:9" ht="10.5" x14ac:dyDescent="0.25">
      <c r="A189" s="58" t="s">
        <v>1601</v>
      </c>
    </row>
    <row r="191" spans="1:9" ht="10.5" x14ac:dyDescent="0.25">
      <c r="A191" s="17" t="s">
        <v>232</v>
      </c>
    </row>
    <row r="192" spans="1:9" ht="10.5" x14ac:dyDescent="0.25">
      <c r="A192" s="17" t="s">
        <v>233</v>
      </c>
    </row>
    <row r="193" spans="1:4" ht="10.5" x14ac:dyDescent="0.25">
      <c r="A193" s="17" t="s">
        <v>234</v>
      </c>
      <c r="B193" s="17"/>
      <c r="C193" s="38" t="s">
        <v>236</v>
      </c>
      <c r="D193" s="18" t="s">
        <v>235</v>
      </c>
    </row>
    <row r="194" spans="1:4" x14ac:dyDescent="0.2">
      <c r="A194" s="10" t="s">
        <v>543</v>
      </c>
      <c r="C194" s="56" t="s">
        <v>1602</v>
      </c>
      <c r="D194" s="39">
        <v>0</v>
      </c>
    </row>
    <row r="195" spans="1:4" x14ac:dyDescent="0.2">
      <c r="A195" s="10" t="s">
        <v>580</v>
      </c>
      <c r="C195" s="56" t="s">
        <v>1602</v>
      </c>
      <c r="D195" s="39">
        <v>0</v>
      </c>
    </row>
    <row r="196" spans="1:4" x14ac:dyDescent="0.2">
      <c r="A196" s="10" t="s">
        <v>546</v>
      </c>
      <c r="C196" s="56" t="s">
        <v>1602</v>
      </c>
      <c r="D196" s="39">
        <v>0</v>
      </c>
    </row>
    <row r="197" spans="1:4" x14ac:dyDescent="0.2">
      <c r="A197" s="10" t="s">
        <v>581</v>
      </c>
      <c r="C197" s="56" t="s">
        <v>1602</v>
      </c>
      <c r="D197" s="39">
        <v>0</v>
      </c>
    </row>
    <row r="199" spans="1:4" ht="10.5" x14ac:dyDescent="0.25">
      <c r="A199" s="17" t="s">
        <v>1603</v>
      </c>
    </row>
    <row r="201" spans="1:4" ht="10.5" x14ac:dyDescent="0.25">
      <c r="A201" s="17" t="s">
        <v>1604</v>
      </c>
      <c r="D201" s="46" t="s">
        <v>256</v>
      </c>
    </row>
    <row r="202" spans="1:4" x14ac:dyDescent="0.2">
      <c r="A202" s="10" t="s">
        <v>257</v>
      </c>
    </row>
    <row r="203" spans="1:4" ht="14.5" x14ac:dyDescent="0.35">
      <c r="A203" s="44" t="s">
        <v>1613</v>
      </c>
    </row>
  </sheetData>
  <mergeCells count="9">
    <mergeCell ref="A108:F108"/>
    <mergeCell ref="A141:F141"/>
    <mergeCell ref="A174:F174"/>
    <mergeCell ref="A1:F1"/>
    <mergeCell ref="C95:D95"/>
    <mergeCell ref="A95:B95"/>
    <mergeCell ref="A96:B96"/>
    <mergeCell ref="A97:B97"/>
    <mergeCell ref="A98:B98"/>
  </mergeCells>
  <conditionalFormatting sqref="F2:F3 F5:F107 F109:F110 F112:F113 F142:F143 F145:F146 F175:F176 F178:F179 F156:F173 F123:F140 F189:F65547">
    <cfRule type="cellIs" dxfId="89" priority="13" stopIfTrue="1" operator="between">
      <formula>0.009</formula>
      <formula>-0.009</formula>
    </cfRule>
  </conditionalFormatting>
  <conditionalFormatting sqref="F115:F118 F120:F121">
    <cfRule type="cellIs" dxfId="88" priority="9" stopIfTrue="1" operator="between">
      <formula>0.009</formula>
      <formula>-0.009</formula>
    </cfRule>
  </conditionalFormatting>
  <conditionalFormatting sqref="F119">
    <cfRule type="cellIs" dxfId="87" priority="8" stopIfTrue="1" operator="between">
      <formula>0.009</formula>
      <formula>-0.009</formula>
    </cfRule>
  </conditionalFormatting>
  <conditionalFormatting sqref="F122">
    <cfRule type="cellIs" dxfId="86" priority="7" stopIfTrue="1" operator="between">
      <formula>0.009</formula>
      <formula>-0.009</formula>
    </cfRule>
  </conditionalFormatting>
  <conditionalFormatting sqref="F148:F151 F153:F154">
    <cfRule type="cellIs" dxfId="85" priority="6" stopIfTrue="1" operator="between">
      <formula>0.009</formula>
      <formula>-0.009</formula>
    </cfRule>
  </conditionalFormatting>
  <conditionalFormatting sqref="F152">
    <cfRule type="cellIs" dxfId="84" priority="5" stopIfTrue="1" operator="between">
      <formula>0.009</formula>
      <formula>-0.009</formula>
    </cfRule>
  </conditionalFormatting>
  <conditionalFormatting sqref="F155">
    <cfRule type="cellIs" dxfId="83" priority="4" stopIfTrue="1" operator="between">
      <formula>0.009</formula>
      <formula>-0.009</formula>
    </cfRule>
  </conditionalFormatting>
  <conditionalFormatting sqref="F181:F184 F186:F187">
    <cfRule type="cellIs" dxfId="82" priority="3" stopIfTrue="1" operator="between">
      <formula>0.009</formula>
      <formula>-0.009</formula>
    </cfRule>
  </conditionalFormatting>
  <conditionalFormatting sqref="F185">
    <cfRule type="cellIs" dxfId="81" priority="2" stopIfTrue="1" operator="between">
      <formula>0.009</formula>
      <formula>-0.009</formula>
    </cfRule>
  </conditionalFormatting>
  <conditionalFormatting sqref="F188">
    <cfRule type="cellIs" dxfId="80" priority="1" stopIfTrue="1" operator="between">
      <formula>0.009</formula>
      <formula>-0.009</formula>
    </cfRule>
  </conditionalFormatting>
  <hyperlinks>
    <hyperlink ref="A104" r:id="rId1" xr:uid="{00000000-0004-0000-0700-000000000000}"/>
    <hyperlink ref="A138" r:id="rId2" xr:uid="{00000000-0004-0000-0700-000001000000}"/>
    <hyperlink ref="A171" r:id="rId3" xr:uid="{00000000-0004-0000-0700-000002000000}"/>
    <hyperlink ref="A203" r:id="rId4" xr:uid="{00000000-0004-0000-0700-000003000000}"/>
  </hyperlinks>
  <pageMargins left="0.7" right="0.7" top="0.75" bottom="0.75" header="0.3" footer="0.3"/>
  <pageSetup paperSize="9" orientation="portrait" r:id="rId5"/>
  <headerFooter>
    <oddFooter>&amp;LPUBLIC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3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69.179687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6" style="10" bestFit="1" customWidth="1"/>
    <col min="8" max="16384" width="9.1796875" style="10"/>
  </cols>
  <sheetData>
    <row r="1" spans="1:6" s="1" customFormat="1" ht="14" x14ac:dyDescent="0.25">
      <c r="A1" s="80" t="s">
        <v>1663</v>
      </c>
      <c r="B1" s="81"/>
      <c r="C1" s="81"/>
      <c r="D1" s="81"/>
      <c r="E1" s="81"/>
      <c r="F1" s="81"/>
    </row>
    <row r="2" spans="1:6" s="1" customFormat="1" ht="11.5" x14ac:dyDescent="0.25">
      <c r="A2" s="45" t="s">
        <v>258</v>
      </c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265</v>
      </c>
      <c r="B7" s="26" t="s">
        <v>264</v>
      </c>
      <c r="C7" s="26" t="s">
        <v>148</v>
      </c>
      <c r="D7" s="30">
        <v>3930</v>
      </c>
      <c r="E7" s="28">
        <v>35675.714699999997</v>
      </c>
      <c r="F7" s="29">
        <v>10.7872501217115</v>
      </c>
    </row>
    <row r="8" spans="1:6" x14ac:dyDescent="0.2">
      <c r="A8" s="26" t="s">
        <v>88</v>
      </c>
      <c r="B8" s="26" t="s">
        <v>87</v>
      </c>
      <c r="C8" s="26" t="s">
        <v>70</v>
      </c>
      <c r="D8" s="30">
        <v>2300</v>
      </c>
      <c r="E8" s="28">
        <v>23012.120999999999</v>
      </c>
      <c r="F8" s="29">
        <v>6.9581648789811101</v>
      </c>
    </row>
    <row r="9" spans="1:6" x14ac:dyDescent="0.2">
      <c r="A9" s="26" t="s">
        <v>321</v>
      </c>
      <c r="B9" s="26" t="s">
        <v>320</v>
      </c>
      <c r="C9" s="26" t="s">
        <v>103</v>
      </c>
      <c r="D9" s="30">
        <v>10140</v>
      </c>
      <c r="E9" s="28">
        <v>19323.392400000001</v>
      </c>
      <c r="F9" s="29">
        <v>5.84280563883922</v>
      </c>
    </row>
    <row r="10" spans="1:6" x14ac:dyDescent="0.2">
      <c r="A10" s="26" t="s">
        <v>267</v>
      </c>
      <c r="B10" s="26" t="s">
        <v>266</v>
      </c>
      <c r="C10" s="26" t="s">
        <v>91</v>
      </c>
      <c r="D10" s="30">
        <v>2125</v>
      </c>
      <c r="E10" s="28">
        <v>16194.54</v>
      </c>
      <c r="F10" s="29">
        <v>4.8967359183994699</v>
      </c>
    </row>
    <row r="11" spans="1:6" x14ac:dyDescent="0.2">
      <c r="A11" s="26" t="s">
        <v>83</v>
      </c>
      <c r="B11" s="26" t="s">
        <v>82</v>
      </c>
      <c r="C11" s="26" t="s">
        <v>70</v>
      </c>
      <c r="D11" s="30">
        <v>1150</v>
      </c>
      <c r="E11" s="28">
        <v>11512.098</v>
      </c>
      <c r="F11" s="29">
        <v>3.4809079957031601</v>
      </c>
    </row>
    <row r="12" spans="1:6" x14ac:dyDescent="0.2">
      <c r="A12" s="26" t="s">
        <v>66</v>
      </c>
      <c r="B12" s="26" t="s">
        <v>65</v>
      </c>
      <c r="C12" s="26" t="s">
        <v>67</v>
      </c>
      <c r="D12" s="30">
        <v>1100</v>
      </c>
      <c r="E12" s="28">
        <v>10999.659</v>
      </c>
      <c r="F12" s="29">
        <v>3.32596204124637</v>
      </c>
    </row>
    <row r="13" spans="1:6" x14ac:dyDescent="0.2">
      <c r="A13" s="26" t="s">
        <v>319</v>
      </c>
      <c r="B13" s="26" t="s">
        <v>318</v>
      </c>
      <c r="C13" s="26" t="s">
        <v>216</v>
      </c>
      <c r="D13" s="30">
        <v>1150</v>
      </c>
      <c r="E13" s="28">
        <v>10559.771500000001</v>
      </c>
      <c r="F13" s="29">
        <v>3.1929534518511198</v>
      </c>
    </row>
    <row r="14" spans="1:6" x14ac:dyDescent="0.2">
      <c r="A14" s="26" t="s">
        <v>615</v>
      </c>
      <c r="B14" s="26" t="s">
        <v>614</v>
      </c>
      <c r="C14" s="26" t="s">
        <v>103</v>
      </c>
      <c r="D14" s="30">
        <v>5580</v>
      </c>
      <c r="E14" s="28">
        <v>10550.4966</v>
      </c>
      <c r="F14" s="29">
        <v>3.1901490044281302</v>
      </c>
    </row>
    <row r="15" spans="1:6" x14ac:dyDescent="0.2">
      <c r="A15" s="26" t="s">
        <v>280</v>
      </c>
      <c r="B15" s="26" t="s">
        <v>279</v>
      </c>
      <c r="C15" s="26" t="s">
        <v>148</v>
      </c>
      <c r="D15" s="30">
        <v>1000</v>
      </c>
      <c r="E15" s="28">
        <v>8974.86</v>
      </c>
      <c r="F15" s="29">
        <v>2.7137244605037698</v>
      </c>
    </row>
    <row r="16" spans="1:6" x14ac:dyDescent="0.2">
      <c r="A16" s="26" t="s">
        <v>567</v>
      </c>
      <c r="B16" s="26" t="s">
        <v>566</v>
      </c>
      <c r="C16" s="26" t="s">
        <v>73</v>
      </c>
      <c r="D16" s="30">
        <v>850</v>
      </c>
      <c r="E16" s="28">
        <v>7520.4260000000004</v>
      </c>
      <c r="F16" s="29">
        <v>2.2739478932939901</v>
      </c>
    </row>
    <row r="17" spans="1:6" x14ac:dyDescent="0.2">
      <c r="A17" s="26" t="s">
        <v>273</v>
      </c>
      <c r="B17" s="26" t="s">
        <v>272</v>
      </c>
      <c r="C17" s="26" t="s">
        <v>274</v>
      </c>
      <c r="D17" s="30">
        <v>750</v>
      </c>
      <c r="E17" s="28">
        <v>7465.1850000000004</v>
      </c>
      <c r="F17" s="29">
        <v>2.2572446964839301</v>
      </c>
    </row>
    <row r="18" spans="1:6" x14ac:dyDescent="0.2">
      <c r="A18" s="26" t="s">
        <v>639</v>
      </c>
      <c r="B18" s="26" t="s">
        <v>638</v>
      </c>
      <c r="C18" s="26" t="s">
        <v>163</v>
      </c>
      <c r="D18" s="30">
        <v>650</v>
      </c>
      <c r="E18" s="28">
        <v>6395.9155000000001</v>
      </c>
      <c r="F18" s="29">
        <v>1.93393014929093</v>
      </c>
    </row>
    <row r="19" spans="1:6" x14ac:dyDescent="0.2">
      <c r="A19" s="26" t="s">
        <v>640</v>
      </c>
      <c r="B19" s="26" t="s">
        <v>332</v>
      </c>
      <c r="C19" s="26" t="s">
        <v>107</v>
      </c>
      <c r="D19" s="30">
        <v>650</v>
      </c>
      <c r="E19" s="28">
        <v>6350.8315000000002</v>
      </c>
      <c r="F19" s="29">
        <v>1.9202981200918801</v>
      </c>
    </row>
    <row r="20" spans="1:6" x14ac:dyDescent="0.2">
      <c r="A20" s="26" t="s">
        <v>642</v>
      </c>
      <c r="B20" s="26" t="s">
        <v>641</v>
      </c>
      <c r="C20" s="26" t="s">
        <v>163</v>
      </c>
      <c r="D20" s="30">
        <v>650</v>
      </c>
      <c r="E20" s="28">
        <v>6301.9125000000004</v>
      </c>
      <c r="F20" s="29">
        <v>1.90550650363398</v>
      </c>
    </row>
    <row r="21" spans="1:6" x14ac:dyDescent="0.2">
      <c r="A21" s="26" t="s">
        <v>643</v>
      </c>
      <c r="B21" s="26" t="s">
        <v>332</v>
      </c>
      <c r="C21" s="26" t="s">
        <v>107</v>
      </c>
      <c r="D21" s="30">
        <v>650</v>
      </c>
      <c r="E21" s="28">
        <v>6276.3675000000003</v>
      </c>
      <c r="F21" s="29">
        <v>1.8977824732487001</v>
      </c>
    </row>
    <row r="22" spans="1:6" x14ac:dyDescent="0.2">
      <c r="A22" s="26" t="s">
        <v>535</v>
      </c>
      <c r="B22" s="26" t="s">
        <v>534</v>
      </c>
      <c r="C22" s="26" t="s">
        <v>536</v>
      </c>
      <c r="D22" s="30">
        <v>510</v>
      </c>
      <c r="E22" s="28">
        <v>6133.8770999999997</v>
      </c>
      <c r="F22" s="29">
        <v>1.8546977138355301</v>
      </c>
    </row>
    <row r="23" spans="1:6" x14ac:dyDescent="0.2">
      <c r="A23" s="26" t="s">
        <v>282</v>
      </c>
      <c r="B23" s="26" t="s">
        <v>281</v>
      </c>
      <c r="C23" s="26" t="s">
        <v>78</v>
      </c>
      <c r="D23" s="30">
        <v>620</v>
      </c>
      <c r="E23" s="28">
        <v>6119.7906000000003</v>
      </c>
      <c r="F23" s="29">
        <v>1.85043838504233</v>
      </c>
    </row>
    <row r="24" spans="1:6" x14ac:dyDescent="0.2">
      <c r="A24" s="26" t="s">
        <v>339</v>
      </c>
      <c r="B24" s="26" t="s">
        <v>338</v>
      </c>
      <c r="C24" s="26" t="s">
        <v>186</v>
      </c>
      <c r="D24" s="30">
        <v>600</v>
      </c>
      <c r="E24" s="28">
        <v>5966.634</v>
      </c>
      <c r="F24" s="29">
        <v>1.8041284914386899</v>
      </c>
    </row>
    <row r="25" spans="1:6" x14ac:dyDescent="0.2">
      <c r="A25" s="26" t="s">
        <v>169</v>
      </c>
      <c r="B25" s="26" t="s">
        <v>168</v>
      </c>
      <c r="C25" s="26" t="s">
        <v>103</v>
      </c>
      <c r="D25" s="30">
        <v>606</v>
      </c>
      <c r="E25" s="28">
        <v>5657.1372600000004</v>
      </c>
      <c r="F25" s="29">
        <v>1.7105460986454699</v>
      </c>
    </row>
    <row r="26" spans="1:6" x14ac:dyDescent="0.2">
      <c r="A26" s="26" t="s">
        <v>80</v>
      </c>
      <c r="B26" s="26" t="s">
        <v>79</v>
      </c>
      <c r="C26" s="26" t="s">
        <v>81</v>
      </c>
      <c r="D26" s="30">
        <v>550</v>
      </c>
      <c r="E26" s="28">
        <v>5469.9314999999997</v>
      </c>
      <c r="F26" s="29">
        <v>1.65394077554748</v>
      </c>
    </row>
    <row r="27" spans="1:6" x14ac:dyDescent="0.2">
      <c r="A27" s="26" t="s">
        <v>288</v>
      </c>
      <c r="B27" s="26" t="s">
        <v>166</v>
      </c>
      <c r="C27" s="26" t="s">
        <v>78</v>
      </c>
      <c r="D27" s="30">
        <v>550</v>
      </c>
      <c r="E27" s="28">
        <v>5435.7545</v>
      </c>
      <c r="F27" s="29">
        <v>1.6436066911287099</v>
      </c>
    </row>
    <row r="28" spans="1:6" x14ac:dyDescent="0.2">
      <c r="A28" s="26" t="s">
        <v>353</v>
      </c>
      <c r="B28" s="26" t="s">
        <v>352</v>
      </c>
      <c r="C28" s="26" t="s">
        <v>103</v>
      </c>
      <c r="D28" s="30">
        <v>648</v>
      </c>
      <c r="E28" s="28">
        <v>5328.1476000000002</v>
      </c>
      <c r="F28" s="29">
        <v>1.61106964022775</v>
      </c>
    </row>
    <row r="29" spans="1:6" x14ac:dyDescent="0.2">
      <c r="A29" s="26" t="s">
        <v>645</v>
      </c>
      <c r="B29" s="26" t="s">
        <v>644</v>
      </c>
      <c r="C29" s="26" t="s">
        <v>98</v>
      </c>
      <c r="D29" s="30">
        <v>5500</v>
      </c>
      <c r="E29" s="28">
        <v>5300.4544999999998</v>
      </c>
      <c r="F29" s="29">
        <v>1.60269608979274</v>
      </c>
    </row>
    <row r="30" spans="1:6" x14ac:dyDescent="0.2">
      <c r="A30" s="26" t="s">
        <v>565</v>
      </c>
      <c r="B30" s="26" t="s">
        <v>564</v>
      </c>
      <c r="C30" s="26" t="s">
        <v>103</v>
      </c>
      <c r="D30" s="30">
        <v>550</v>
      </c>
      <c r="E30" s="28">
        <v>5130.07</v>
      </c>
      <c r="F30" s="29">
        <v>1.55117700366318</v>
      </c>
    </row>
    <row r="31" spans="1:6" x14ac:dyDescent="0.2">
      <c r="A31" s="26" t="s">
        <v>617</v>
      </c>
      <c r="B31" s="26" t="s">
        <v>616</v>
      </c>
      <c r="C31" s="26" t="s">
        <v>73</v>
      </c>
      <c r="D31" s="30">
        <v>550</v>
      </c>
      <c r="E31" s="28">
        <v>4917.4345000000003</v>
      </c>
      <c r="F31" s="29">
        <v>1.4868825012953</v>
      </c>
    </row>
    <row r="32" spans="1:6" x14ac:dyDescent="0.2">
      <c r="A32" s="26" t="s">
        <v>613</v>
      </c>
      <c r="B32" s="26" t="s">
        <v>612</v>
      </c>
      <c r="C32" s="26" t="s">
        <v>78</v>
      </c>
      <c r="D32" s="30">
        <v>500</v>
      </c>
      <c r="E32" s="28">
        <v>4884.9849999999997</v>
      </c>
      <c r="F32" s="29">
        <v>1.4770707602897399</v>
      </c>
    </row>
    <row r="33" spans="1:6" x14ac:dyDescent="0.2">
      <c r="A33" s="26" t="s">
        <v>647</v>
      </c>
      <c r="B33" s="26" t="s">
        <v>646</v>
      </c>
      <c r="C33" s="26" t="s">
        <v>98</v>
      </c>
      <c r="D33" s="30">
        <v>5000</v>
      </c>
      <c r="E33" s="28">
        <v>4782.3999999999996</v>
      </c>
      <c r="F33" s="29">
        <v>1.44605217907725</v>
      </c>
    </row>
    <row r="34" spans="1:6" x14ac:dyDescent="0.2">
      <c r="A34" s="26" t="s">
        <v>531</v>
      </c>
      <c r="B34" s="26" t="s">
        <v>530</v>
      </c>
      <c r="C34" s="26" t="s">
        <v>107</v>
      </c>
      <c r="D34" s="30">
        <v>450</v>
      </c>
      <c r="E34" s="28">
        <v>4415.9489999999996</v>
      </c>
      <c r="F34" s="29">
        <v>1.3352485518032799</v>
      </c>
    </row>
    <row r="35" spans="1:6" x14ac:dyDescent="0.2">
      <c r="A35" s="26" t="s">
        <v>162</v>
      </c>
      <c r="B35" s="26" t="s">
        <v>161</v>
      </c>
      <c r="C35" s="26" t="s">
        <v>163</v>
      </c>
      <c r="D35" s="30">
        <v>400</v>
      </c>
      <c r="E35" s="28">
        <v>3986.8359999999998</v>
      </c>
      <c r="F35" s="29">
        <v>1.20549784322173</v>
      </c>
    </row>
    <row r="36" spans="1:6" x14ac:dyDescent="0.2">
      <c r="A36" s="26" t="s">
        <v>563</v>
      </c>
      <c r="B36" s="26" t="s">
        <v>562</v>
      </c>
      <c r="C36" s="26" t="s">
        <v>186</v>
      </c>
      <c r="D36" s="30">
        <v>350</v>
      </c>
      <c r="E36" s="28">
        <v>3969.4095000000002</v>
      </c>
      <c r="F36" s="29">
        <v>1.2002286001014</v>
      </c>
    </row>
    <row r="37" spans="1:6" x14ac:dyDescent="0.2">
      <c r="A37" s="26" t="s">
        <v>167</v>
      </c>
      <c r="B37" s="26" t="s">
        <v>166</v>
      </c>
      <c r="C37" s="26" t="s">
        <v>78</v>
      </c>
      <c r="D37" s="30">
        <v>380</v>
      </c>
      <c r="E37" s="28">
        <v>3754.7381999999998</v>
      </c>
      <c r="F37" s="29">
        <v>1.1353185337852501</v>
      </c>
    </row>
    <row r="38" spans="1:6" x14ac:dyDescent="0.2">
      <c r="A38" s="26" t="s">
        <v>327</v>
      </c>
      <c r="B38" s="26" t="s">
        <v>326</v>
      </c>
      <c r="C38" s="26" t="s">
        <v>103</v>
      </c>
      <c r="D38" s="30">
        <v>350</v>
      </c>
      <c r="E38" s="28">
        <v>3373.0585000000001</v>
      </c>
      <c r="F38" s="29">
        <v>1.01991021120777</v>
      </c>
    </row>
    <row r="39" spans="1:6" x14ac:dyDescent="0.2">
      <c r="A39" s="26" t="s">
        <v>120</v>
      </c>
      <c r="B39" s="26" t="s">
        <v>119</v>
      </c>
      <c r="C39" s="26" t="s">
        <v>103</v>
      </c>
      <c r="D39" s="30">
        <v>351</v>
      </c>
      <c r="E39" s="28">
        <v>3368.78217</v>
      </c>
      <c r="F39" s="29">
        <v>1.01861717919143</v>
      </c>
    </row>
    <row r="40" spans="1:6" x14ac:dyDescent="0.2">
      <c r="A40" s="26" t="s">
        <v>152</v>
      </c>
      <c r="B40" s="26" t="s">
        <v>151</v>
      </c>
      <c r="C40" s="26" t="s">
        <v>81</v>
      </c>
      <c r="D40" s="30">
        <v>310</v>
      </c>
      <c r="E40" s="28">
        <v>3151.7917000000002</v>
      </c>
      <c r="F40" s="29">
        <v>0.95300586646507501</v>
      </c>
    </row>
    <row r="41" spans="1:6" x14ac:dyDescent="0.2">
      <c r="A41" s="26" t="s">
        <v>290</v>
      </c>
      <c r="B41" s="26" t="s">
        <v>289</v>
      </c>
      <c r="C41" s="26" t="s">
        <v>67</v>
      </c>
      <c r="D41" s="30">
        <v>300</v>
      </c>
      <c r="E41" s="28">
        <v>2921.49</v>
      </c>
      <c r="F41" s="29">
        <v>0.88336964299355603</v>
      </c>
    </row>
    <row r="42" spans="1:6" x14ac:dyDescent="0.2">
      <c r="A42" s="26" t="s">
        <v>355</v>
      </c>
      <c r="B42" s="26" t="s">
        <v>354</v>
      </c>
      <c r="C42" s="26" t="s">
        <v>103</v>
      </c>
      <c r="D42" s="30">
        <v>352</v>
      </c>
      <c r="E42" s="28">
        <v>2837.6092800000001</v>
      </c>
      <c r="F42" s="29">
        <v>0.85800666667652503</v>
      </c>
    </row>
    <row r="43" spans="1:6" x14ac:dyDescent="0.2">
      <c r="A43" s="26" t="s">
        <v>158</v>
      </c>
      <c r="B43" s="26" t="s">
        <v>157</v>
      </c>
      <c r="C43" s="26" t="s">
        <v>78</v>
      </c>
      <c r="D43" s="30">
        <v>270</v>
      </c>
      <c r="E43" s="28">
        <v>2667.4353000000001</v>
      </c>
      <c r="F43" s="29">
        <v>0.80655123538653495</v>
      </c>
    </row>
    <row r="44" spans="1:6" x14ac:dyDescent="0.2">
      <c r="A44" s="26" t="s">
        <v>304</v>
      </c>
      <c r="B44" s="26" t="s">
        <v>303</v>
      </c>
      <c r="C44" s="26" t="s">
        <v>103</v>
      </c>
      <c r="D44" s="30">
        <v>306</v>
      </c>
      <c r="E44" s="28">
        <v>2577.5542799999998</v>
      </c>
      <c r="F44" s="29">
        <v>0.77937395100449203</v>
      </c>
    </row>
    <row r="45" spans="1:6" x14ac:dyDescent="0.2">
      <c r="A45" s="26" t="s">
        <v>333</v>
      </c>
      <c r="B45" s="26" t="s">
        <v>332</v>
      </c>
      <c r="C45" s="26" t="s">
        <v>107</v>
      </c>
      <c r="D45" s="30">
        <v>260</v>
      </c>
      <c r="E45" s="28">
        <v>2530.047</v>
      </c>
      <c r="F45" s="29">
        <v>0.765009195700453</v>
      </c>
    </row>
    <row r="46" spans="1:6" x14ac:dyDescent="0.2">
      <c r="A46" s="26" t="s">
        <v>314</v>
      </c>
      <c r="B46" s="26" t="s">
        <v>311</v>
      </c>
      <c r="C46" s="26" t="s">
        <v>313</v>
      </c>
      <c r="D46" s="30">
        <v>250</v>
      </c>
      <c r="E46" s="28">
        <v>2483.7175000000002</v>
      </c>
      <c r="F46" s="29">
        <v>0.75100056521564296</v>
      </c>
    </row>
    <row r="47" spans="1:6" x14ac:dyDescent="0.2">
      <c r="A47" s="26" t="s">
        <v>308</v>
      </c>
      <c r="B47" s="26" t="s">
        <v>307</v>
      </c>
      <c r="C47" s="26" t="s">
        <v>73</v>
      </c>
      <c r="D47" s="30">
        <v>250</v>
      </c>
      <c r="E47" s="28">
        <v>2406.8924999999999</v>
      </c>
      <c r="F47" s="29">
        <v>0.72777102384361003</v>
      </c>
    </row>
    <row r="48" spans="1:6" x14ac:dyDescent="0.2">
      <c r="A48" s="26" t="s">
        <v>358</v>
      </c>
      <c r="B48" s="26" t="s">
        <v>357</v>
      </c>
      <c r="C48" s="26" t="s">
        <v>98</v>
      </c>
      <c r="D48" s="30">
        <v>2000</v>
      </c>
      <c r="E48" s="28">
        <v>1922.682</v>
      </c>
      <c r="F48" s="29">
        <v>0.581360508483731</v>
      </c>
    </row>
    <row r="49" spans="1:9" x14ac:dyDescent="0.2">
      <c r="A49" s="26" t="s">
        <v>296</v>
      </c>
      <c r="B49" s="26" t="s">
        <v>295</v>
      </c>
      <c r="C49" s="26" t="s">
        <v>186</v>
      </c>
      <c r="D49" s="30">
        <v>190</v>
      </c>
      <c r="E49" s="28">
        <v>1890.1370999999999</v>
      </c>
      <c r="F49" s="29">
        <v>0.57151992142224495</v>
      </c>
    </row>
    <row r="50" spans="1:9" x14ac:dyDescent="0.2">
      <c r="A50" s="26" t="s">
        <v>298</v>
      </c>
      <c r="B50" s="26" t="s">
        <v>297</v>
      </c>
      <c r="C50" s="26" t="s">
        <v>103</v>
      </c>
      <c r="D50" s="30">
        <v>176</v>
      </c>
      <c r="E50" s="28">
        <v>1591.72288</v>
      </c>
      <c r="F50" s="29">
        <v>0.48128854531429999</v>
      </c>
    </row>
    <row r="51" spans="1:9" x14ac:dyDescent="0.2">
      <c r="A51" s="26" t="s">
        <v>300</v>
      </c>
      <c r="B51" s="26" t="s">
        <v>299</v>
      </c>
      <c r="C51" s="26" t="s">
        <v>103</v>
      </c>
      <c r="D51" s="30">
        <v>176</v>
      </c>
      <c r="E51" s="28">
        <v>1549.6712</v>
      </c>
      <c r="F51" s="29">
        <v>0.46857339737647402</v>
      </c>
    </row>
    <row r="52" spans="1:9" x14ac:dyDescent="0.2">
      <c r="A52" s="26" t="s">
        <v>341</v>
      </c>
      <c r="B52" s="26" t="s">
        <v>340</v>
      </c>
      <c r="C52" s="26" t="s">
        <v>73</v>
      </c>
      <c r="D52" s="30">
        <v>150</v>
      </c>
      <c r="E52" s="28">
        <v>1466.1134999999999</v>
      </c>
      <c r="F52" s="29">
        <v>0.44330809247439901</v>
      </c>
    </row>
    <row r="53" spans="1:9" x14ac:dyDescent="0.2">
      <c r="A53" s="26" t="s">
        <v>284</v>
      </c>
      <c r="B53" s="26" t="s">
        <v>283</v>
      </c>
      <c r="C53" s="26" t="s">
        <v>186</v>
      </c>
      <c r="D53" s="30">
        <v>100</v>
      </c>
      <c r="E53" s="28">
        <v>995.11599999999999</v>
      </c>
      <c r="F53" s="29">
        <v>0.30089278609790698</v>
      </c>
    </row>
    <row r="54" spans="1:9" x14ac:dyDescent="0.2">
      <c r="A54" s="26" t="s">
        <v>323</v>
      </c>
      <c r="B54" s="26" t="s">
        <v>322</v>
      </c>
      <c r="C54" s="26" t="s">
        <v>78</v>
      </c>
      <c r="D54" s="30">
        <v>90</v>
      </c>
      <c r="E54" s="28">
        <v>891.81629999999996</v>
      </c>
      <c r="F54" s="29">
        <v>0.26965810136157697</v>
      </c>
    </row>
    <row r="55" spans="1:9" x14ac:dyDescent="0.2">
      <c r="A55" s="26" t="s">
        <v>552</v>
      </c>
      <c r="B55" s="26" t="s">
        <v>551</v>
      </c>
      <c r="C55" s="26" t="s">
        <v>91</v>
      </c>
      <c r="D55" s="30">
        <v>95</v>
      </c>
      <c r="E55" s="28">
        <v>785.12369999999999</v>
      </c>
      <c r="F55" s="29">
        <v>0.23739750694843401</v>
      </c>
    </row>
    <row r="56" spans="1:9" x14ac:dyDescent="0.2">
      <c r="A56" s="26" t="s">
        <v>649</v>
      </c>
      <c r="B56" s="26" t="s">
        <v>648</v>
      </c>
      <c r="C56" s="26" t="s">
        <v>650</v>
      </c>
      <c r="D56" s="30">
        <v>74</v>
      </c>
      <c r="E56" s="28">
        <v>739.66255999999998</v>
      </c>
      <c r="F56" s="29">
        <v>0.22365144209389701</v>
      </c>
    </row>
    <row r="57" spans="1:9" x14ac:dyDescent="0.2">
      <c r="A57" s="26" t="s">
        <v>345</v>
      </c>
      <c r="B57" s="26" t="s">
        <v>344</v>
      </c>
      <c r="C57" s="26" t="s">
        <v>73</v>
      </c>
      <c r="D57" s="30">
        <v>50</v>
      </c>
      <c r="E57" s="28">
        <v>500.81849999999997</v>
      </c>
      <c r="F57" s="29">
        <v>0.151432268996152</v>
      </c>
    </row>
    <row r="58" spans="1:9" x14ac:dyDescent="0.2">
      <c r="A58" s="26" t="s">
        <v>141</v>
      </c>
      <c r="B58" s="26" t="s">
        <v>140</v>
      </c>
      <c r="C58" s="26" t="s">
        <v>91</v>
      </c>
      <c r="D58" s="30">
        <v>40</v>
      </c>
      <c r="E58" s="28">
        <v>406.56760000000003</v>
      </c>
      <c r="F58" s="29">
        <v>0.12293366592552001</v>
      </c>
    </row>
    <row r="59" spans="1:9" x14ac:dyDescent="0.2">
      <c r="A59" s="26" t="s">
        <v>554</v>
      </c>
      <c r="B59" s="26" t="s">
        <v>553</v>
      </c>
      <c r="C59" s="26" t="s">
        <v>81</v>
      </c>
      <c r="D59" s="30">
        <v>400</v>
      </c>
      <c r="E59" s="28">
        <v>383.22680000000003</v>
      </c>
      <c r="F59" s="29">
        <v>0.115876118522248</v>
      </c>
    </row>
    <row r="60" spans="1:9" x14ac:dyDescent="0.2">
      <c r="A60" s="26" t="s">
        <v>652</v>
      </c>
      <c r="B60" s="26" t="s">
        <v>651</v>
      </c>
      <c r="C60" s="26" t="s">
        <v>176</v>
      </c>
      <c r="D60" s="30">
        <v>3</v>
      </c>
      <c r="E60" s="28">
        <v>304.1223</v>
      </c>
      <c r="F60" s="29">
        <v>9.1957325740419801E-2</v>
      </c>
    </row>
    <row r="61" spans="1:9" ht="10.5" x14ac:dyDescent="0.25">
      <c r="A61" s="25" t="s">
        <v>177</v>
      </c>
      <c r="B61" s="25"/>
      <c r="C61" s="25"/>
      <c r="D61" s="31"/>
      <c r="E61" s="32">
        <f>SUM(E6:E60)</f>
        <v>310111.99913000001</v>
      </c>
      <c r="F61" s="33">
        <f>SUM(F6:F60)</f>
        <v>93.768428425045485</v>
      </c>
      <c r="G61" s="17"/>
      <c r="H61" s="17"/>
      <c r="I61" s="17"/>
    </row>
    <row r="62" spans="1:9" x14ac:dyDescent="0.2">
      <c r="A62" s="26"/>
      <c r="B62" s="26"/>
      <c r="C62" s="26"/>
      <c r="D62" s="27"/>
      <c r="E62" s="28"/>
      <c r="F62" s="29"/>
    </row>
    <row r="63" spans="1:9" ht="10.5" x14ac:dyDescent="0.25">
      <c r="A63" s="25" t="s">
        <v>178</v>
      </c>
      <c r="B63" s="26"/>
      <c r="C63" s="26"/>
      <c r="D63" s="27"/>
      <c r="E63" s="28"/>
      <c r="F63" s="29"/>
    </row>
    <row r="64" spans="1:9" x14ac:dyDescent="0.2">
      <c r="A64" s="26" t="s">
        <v>371</v>
      </c>
      <c r="B64" s="26" t="s">
        <v>370</v>
      </c>
      <c r="C64" s="26" t="s">
        <v>274</v>
      </c>
      <c r="D64" s="30">
        <v>230</v>
      </c>
      <c r="E64" s="28">
        <v>22978.402999999998</v>
      </c>
      <c r="F64" s="29">
        <v>6.9479695821899297</v>
      </c>
    </row>
    <row r="65" spans="1:6" x14ac:dyDescent="0.2">
      <c r="A65" s="26" t="s">
        <v>385</v>
      </c>
      <c r="B65" s="26" t="s">
        <v>384</v>
      </c>
      <c r="C65" s="26" t="s">
        <v>386</v>
      </c>
      <c r="D65" s="30">
        <v>30</v>
      </c>
      <c r="E65" s="28">
        <v>15040.635</v>
      </c>
      <c r="F65" s="29">
        <v>4.5478301723936703</v>
      </c>
    </row>
    <row r="66" spans="1:6" x14ac:dyDescent="0.2">
      <c r="A66" s="26" t="s">
        <v>653</v>
      </c>
      <c r="B66" s="26" t="s">
        <v>374</v>
      </c>
      <c r="C66" s="26" t="s">
        <v>216</v>
      </c>
      <c r="D66" s="30">
        <v>1250</v>
      </c>
      <c r="E66" s="28">
        <v>12295.8</v>
      </c>
      <c r="F66" s="29">
        <v>3.7178756238495301</v>
      </c>
    </row>
    <row r="67" spans="1:6" x14ac:dyDescent="0.2">
      <c r="A67" s="26" t="s">
        <v>629</v>
      </c>
      <c r="B67" s="26" t="s">
        <v>628</v>
      </c>
      <c r="C67" s="26" t="s">
        <v>428</v>
      </c>
      <c r="D67" s="30">
        <v>1000</v>
      </c>
      <c r="E67" s="28">
        <v>7748.9417800000001</v>
      </c>
      <c r="F67" s="29">
        <v>2.3430441089226601</v>
      </c>
    </row>
    <row r="68" spans="1:6" x14ac:dyDescent="0.2">
      <c r="A68" s="26" t="s">
        <v>655</v>
      </c>
      <c r="B68" s="26" t="s">
        <v>654</v>
      </c>
      <c r="C68" s="26" t="s">
        <v>398</v>
      </c>
      <c r="D68" s="30">
        <v>750</v>
      </c>
      <c r="E68" s="28">
        <v>5625</v>
      </c>
      <c r="F68" s="29">
        <v>1.70082876951102</v>
      </c>
    </row>
    <row r="69" spans="1:6" x14ac:dyDescent="0.2">
      <c r="A69" s="26" t="s">
        <v>391</v>
      </c>
      <c r="B69" s="26" t="s">
        <v>390</v>
      </c>
      <c r="C69" s="26" t="s">
        <v>216</v>
      </c>
      <c r="D69" s="30">
        <v>550</v>
      </c>
      <c r="E69" s="28">
        <v>5399.6194999999998</v>
      </c>
      <c r="F69" s="29">
        <v>1.63268056711337</v>
      </c>
    </row>
    <row r="70" spans="1:6" x14ac:dyDescent="0.2">
      <c r="A70" s="26" t="s">
        <v>400</v>
      </c>
      <c r="B70" s="26" t="s">
        <v>399</v>
      </c>
      <c r="C70" s="26" t="s">
        <v>381</v>
      </c>
      <c r="D70" s="30">
        <v>580</v>
      </c>
      <c r="E70" s="28">
        <v>5221.0576419999998</v>
      </c>
      <c r="F70" s="29">
        <v>1.5786888968513699</v>
      </c>
    </row>
    <row r="71" spans="1:6" x14ac:dyDescent="0.2">
      <c r="A71" s="26" t="s">
        <v>427</v>
      </c>
      <c r="B71" s="26" t="s">
        <v>426</v>
      </c>
      <c r="C71" s="26" t="s">
        <v>428</v>
      </c>
      <c r="D71" s="30">
        <v>200</v>
      </c>
      <c r="E71" s="28">
        <v>2017.1379999999999</v>
      </c>
      <c r="F71" s="29">
        <v>0.60992112755091898</v>
      </c>
    </row>
    <row r="72" spans="1:6" x14ac:dyDescent="0.2">
      <c r="A72" s="26" t="s">
        <v>373</v>
      </c>
      <c r="B72" s="26" t="s">
        <v>372</v>
      </c>
      <c r="C72" s="26" t="s">
        <v>86</v>
      </c>
      <c r="D72" s="30">
        <v>200</v>
      </c>
      <c r="E72" s="28">
        <v>1891.7080000000001</v>
      </c>
      <c r="F72" s="29">
        <v>0.57199491376251599</v>
      </c>
    </row>
    <row r="73" spans="1:6" x14ac:dyDescent="0.2">
      <c r="A73" s="26" t="s">
        <v>631</v>
      </c>
      <c r="B73" s="26" t="s">
        <v>630</v>
      </c>
      <c r="C73" s="26" t="s">
        <v>398</v>
      </c>
      <c r="D73" s="30">
        <v>370</v>
      </c>
      <c r="E73" s="28">
        <v>1387.5</v>
      </c>
      <c r="F73" s="29">
        <v>0.41953776314605201</v>
      </c>
    </row>
    <row r="74" spans="1:6" x14ac:dyDescent="0.2">
      <c r="A74" s="26" t="s">
        <v>422</v>
      </c>
      <c r="B74" s="26" t="s">
        <v>421</v>
      </c>
      <c r="C74" s="26" t="s">
        <v>381</v>
      </c>
      <c r="D74" s="30">
        <v>130</v>
      </c>
      <c r="E74" s="28">
        <v>1147.206645</v>
      </c>
      <c r="F74" s="29">
        <v>0.346880367358261</v>
      </c>
    </row>
    <row r="75" spans="1:6" x14ac:dyDescent="0.2">
      <c r="A75" s="26" t="s">
        <v>406</v>
      </c>
      <c r="B75" s="26" t="s">
        <v>405</v>
      </c>
      <c r="C75" s="26" t="s">
        <v>389</v>
      </c>
      <c r="D75" s="30">
        <v>150</v>
      </c>
      <c r="E75" s="28">
        <v>1125</v>
      </c>
      <c r="F75" s="29">
        <v>0.34016575390220399</v>
      </c>
    </row>
    <row r="76" spans="1:6" x14ac:dyDescent="0.2">
      <c r="A76" s="26" t="s">
        <v>627</v>
      </c>
      <c r="B76" s="26" t="s">
        <v>626</v>
      </c>
      <c r="C76" s="26" t="s">
        <v>378</v>
      </c>
      <c r="D76" s="30">
        <v>110</v>
      </c>
      <c r="E76" s="28">
        <v>1040.9498000000001</v>
      </c>
      <c r="F76" s="29">
        <v>0.31475153199230999</v>
      </c>
    </row>
    <row r="77" spans="1:6" x14ac:dyDescent="0.2">
      <c r="A77" s="26" t="s">
        <v>633</v>
      </c>
      <c r="B77" s="26" t="s">
        <v>632</v>
      </c>
      <c r="C77" s="26" t="s">
        <v>634</v>
      </c>
      <c r="D77" s="30">
        <v>422</v>
      </c>
      <c r="E77" s="28">
        <v>981.25176859999999</v>
      </c>
      <c r="F77" s="29">
        <v>0.29670066456327998</v>
      </c>
    </row>
    <row r="78" spans="1:6" x14ac:dyDescent="0.2">
      <c r="A78" s="26" t="s">
        <v>435</v>
      </c>
      <c r="B78" s="26" t="s">
        <v>434</v>
      </c>
      <c r="C78" s="26" t="s">
        <v>413</v>
      </c>
      <c r="D78" s="30">
        <v>31</v>
      </c>
      <c r="E78" s="28">
        <v>811.63890000000004</v>
      </c>
      <c r="F78" s="29">
        <v>0.24541489627987201</v>
      </c>
    </row>
    <row r="79" spans="1:6" x14ac:dyDescent="0.2">
      <c r="A79" s="26" t="s">
        <v>439</v>
      </c>
      <c r="B79" s="26" t="s">
        <v>438</v>
      </c>
      <c r="C79" s="26" t="s">
        <v>398</v>
      </c>
      <c r="D79" s="30">
        <v>320</v>
      </c>
      <c r="E79" s="28">
        <v>800</v>
      </c>
      <c r="F79" s="29">
        <v>0.24189564721934501</v>
      </c>
    </row>
    <row r="80" spans="1:6" x14ac:dyDescent="0.2">
      <c r="A80" s="26" t="s">
        <v>412</v>
      </c>
      <c r="B80" s="26" t="s">
        <v>411</v>
      </c>
      <c r="C80" s="26" t="s">
        <v>413</v>
      </c>
      <c r="D80" s="30">
        <v>28</v>
      </c>
      <c r="E80" s="28">
        <v>740.64200000000005</v>
      </c>
      <c r="F80" s="29">
        <v>0.223947594934788</v>
      </c>
    </row>
    <row r="81" spans="1:9" x14ac:dyDescent="0.2">
      <c r="A81" s="26" t="s">
        <v>432</v>
      </c>
      <c r="B81" s="26" t="s">
        <v>431</v>
      </c>
      <c r="C81" s="26" t="s">
        <v>433</v>
      </c>
      <c r="D81" s="30">
        <v>979</v>
      </c>
      <c r="E81" s="28">
        <v>489.5</v>
      </c>
      <c r="F81" s="29">
        <v>0.148009899142337</v>
      </c>
    </row>
    <row r="82" spans="1:9" x14ac:dyDescent="0.2">
      <c r="A82" s="26" t="s">
        <v>377</v>
      </c>
      <c r="B82" s="26" t="s">
        <v>376</v>
      </c>
      <c r="C82" s="26" t="s">
        <v>378</v>
      </c>
      <c r="D82" s="30">
        <v>50</v>
      </c>
      <c r="E82" s="28">
        <v>474.57850000000002</v>
      </c>
      <c r="F82" s="29">
        <v>0.143498091767358</v>
      </c>
    </row>
    <row r="83" spans="1:9" x14ac:dyDescent="0.2">
      <c r="A83" s="26" t="s">
        <v>579</v>
      </c>
      <c r="B83" s="26" t="s">
        <v>578</v>
      </c>
      <c r="C83" s="26" t="s">
        <v>433</v>
      </c>
      <c r="D83" s="30">
        <v>855</v>
      </c>
      <c r="E83" s="28">
        <v>427.5</v>
      </c>
      <c r="F83" s="29">
        <v>0.12926298648283799</v>
      </c>
    </row>
    <row r="84" spans="1:9" x14ac:dyDescent="0.2">
      <c r="A84" s="26" t="s">
        <v>441</v>
      </c>
      <c r="B84" s="26" t="s">
        <v>440</v>
      </c>
      <c r="C84" s="26" t="s">
        <v>433</v>
      </c>
      <c r="D84" s="30">
        <v>641</v>
      </c>
      <c r="E84" s="28">
        <v>320.5</v>
      </c>
      <c r="F84" s="29">
        <v>9.6909443667250197E-2</v>
      </c>
    </row>
    <row r="85" spans="1:9" ht="10.5" x14ac:dyDescent="0.25">
      <c r="A85" s="25" t="s">
        <v>177</v>
      </c>
      <c r="B85" s="25"/>
      <c r="C85" s="25"/>
      <c r="D85" s="31"/>
      <c r="E85" s="32">
        <f>SUM(E63:E84)</f>
        <v>87964.570535600025</v>
      </c>
      <c r="F85" s="33">
        <f>SUM(F63:F84)</f>
        <v>26.597808402600887</v>
      </c>
      <c r="G85" s="17"/>
      <c r="H85" s="17"/>
      <c r="I85" s="17"/>
    </row>
    <row r="86" spans="1:9" x14ac:dyDescent="0.2">
      <c r="A86" s="26"/>
      <c r="B86" s="26"/>
      <c r="C86" s="26"/>
      <c r="D86" s="27"/>
      <c r="E86" s="28"/>
      <c r="F86" s="29"/>
    </row>
    <row r="87" spans="1:9" ht="10.5" x14ac:dyDescent="0.25">
      <c r="A87" s="25" t="s">
        <v>226</v>
      </c>
      <c r="B87" s="25"/>
      <c r="C87" s="25"/>
      <c r="D87" s="31"/>
      <c r="E87" s="32">
        <f>E61+E85</f>
        <v>398076.56966560002</v>
      </c>
      <c r="F87" s="33">
        <f>F61+F85</f>
        <v>120.36623682764638</v>
      </c>
      <c r="G87" s="17"/>
      <c r="H87" s="17"/>
      <c r="I87" s="17"/>
    </row>
    <row r="88" spans="1:9" ht="10.5" x14ac:dyDescent="0.25">
      <c r="A88" s="25"/>
      <c r="B88" s="25"/>
      <c r="C88" s="25"/>
      <c r="D88" s="31"/>
      <c r="E88" s="32"/>
      <c r="F88" s="33"/>
      <c r="G88" s="17"/>
      <c r="H88" s="17"/>
      <c r="I88" s="17"/>
    </row>
    <row r="89" spans="1:9" ht="10.5" x14ac:dyDescent="0.25">
      <c r="A89" s="25" t="s">
        <v>228</v>
      </c>
      <c r="B89" s="25"/>
      <c r="C89" s="25"/>
      <c r="D89" s="31"/>
      <c r="E89" s="32">
        <f>E91-(E61+E85)</f>
        <v>-67355.447067400033</v>
      </c>
      <c r="F89" s="33">
        <f>F91-(F61+F85)</f>
        <v>-20.366236827646375</v>
      </c>
      <c r="G89" s="17"/>
      <c r="H89" s="17"/>
      <c r="I89" s="17"/>
    </row>
    <row r="90" spans="1:9" ht="10.5" x14ac:dyDescent="0.25">
      <c r="A90" s="25"/>
      <c r="B90" s="25"/>
      <c r="C90" s="25"/>
      <c r="D90" s="31"/>
      <c r="E90" s="32"/>
      <c r="F90" s="33"/>
      <c r="G90" s="17"/>
      <c r="H90" s="17"/>
      <c r="I90" s="17"/>
    </row>
    <row r="91" spans="1:9" ht="10.5" x14ac:dyDescent="0.25">
      <c r="A91" s="34" t="s">
        <v>227</v>
      </c>
      <c r="B91" s="34"/>
      <c r="C91" s="34"/>
      <c r="D91" s="35"/>
      <c r="E91" s="36">
        <v>330721.12259819999</v>
      </c>
      <c r="F91" s="37">
        <v>100</v>
      </c>
      <c r="G91" s="17"/>
      <c r="H91" s="17"/>
      <c r="I91" s="17"/>
    </row>
    <row r="92" spans="1:9" ht="10.5" x14ac:dyDescent="0.25">
      <c r="A92" s="58" t="s">
        <v>231</v>
      </c>
    </row>
    <row r="93" spans="1:9" ht="10.5" x14ac:dyDescent="0.25">
      <c r="A93" s="58" t="s">
        <v>1601</v>
      </c>
    </row>
    <row r="94" spans="1:9" ht="10.5" x14ac:dyDescent="0.25">
      <c r="A94" s="59" t="s">
        <v>1607</v>
      </c>
    </row>
    <row r="95" spans="1:9" ht="10.5" x14ac:dyDescent="0.25">
      <c r="A95" s="59"/>
    </row>
    <row r="96" spans="1:9" ht="10.5" x14ac:dyDescent="0.25">
      <c r="A96" s="17" t="s">
        <v>232</v>
      </c>
    </row>
    <row r="97" spans="1:5" ht="10.5" x14ac:dyDescent="0.25">
      <c r="A97" s="17" t="s">
        <v>233</v>
      </c>
    </row>
    <row r="98" spans="1:5" ht="10.5" x14ac:dyDescent="0.25">
      <c r="A98" s="17" t="s">
        <v>234</v>
      </c>
      <c r="B98" s="17"/>
      <c r="C98" s="38" t="s">
        <v>236</v>
      </c>
      <c r="D98" s="18" t="s">
        <v>235</v>
      </c>
    </row>
    <row r="99" spans="1:5" x14ac:dyDescent="0.2">
      <c r="A99" s="10" t="s">
        <v>543</v>
      </c>
      <c r="C99" s="39">
        <v>19.814</v>
      </c>
      <c r="D99" s="39">
        <v>18.102799999999998</v>
      </c>
    </row>
    <row r="100" spans="1:5" x14ac:dyDescent="0.2">
      <c r="A100" s="10" t="s">
        <v>580</v>
      </c>
      <c r="C100" s="39">
        <v>10.8444</v>
      </c>
      <c r="D100" s="39">
        <v>9.7077000000000009</v>
      </c>
    </row>
    <row r="101" spans="1:5" x14ac:dyDescent="0.2">
      <c r="A101" s="10" t="s">
        <v>546</v>
      </c>
      <c r="C101" s="39">
        <v>20.93</v>
      </c>
      <c r="D101" s="39">
        <v>19.185099999999998</v>
      </c>
    </row>
    <row r="102" spans="1:5" x14ac:dyDescent="0.2">
      <c r="A102" s="10" t="s">
        <v>581</v>
      </c>
      <c r="C102" s="39">
        <v>11.688499999999999</v>
      </c>
      <c r="D102" s="39">
        <v>10.514099999999999</v>
      </c>
    </row>
    <row r="104" spans="1:5" ht="10.5" x14ac:dyDescent="0.25">
      <c r="A104" s="17" t="s">
        <v>248</v>
      </c>
    </row>
    <row r="105" spans="1:5" ht="10.5" x14ac:dyDescent="0.25">
      <c r="A105" s="84" t="s">
        <v>249</v>
      </c>
      <c r="B105" s="85"/>
      <c r="C105" s="82" t="s">
        <v>250</v>
      </c>
      <c r="D105" s="83"/>
    </row>
    <row r="106" spans="1:5" ht="10.5" x14ac:dyDescent="0.25">
      <c r="A106" s="84"/>
      <c r="B106" s="85"/>
      <c r="C106" s="40" t="s">
        <v>251</v>
      </c>
      <c r="D106" s="41" t="s">
        <v>252</v>
      </c>
    </row>
    <row r="107" spans="1:5" x14ac:dyDescent="0.2">
      <c r="A107" s="78" t="s">
        <v>580</v>
      </c>
      <c r="B107" s="79"/>
      <c r="C107" s="42">
        <v>0.158470994</v>
      </c>
      <c r="D107" s="42">
        <v>0.14674493020000001</v>
      </c>
    </row>
    <row r="108" spans="1:5" x14ac:dyDescent="0.2">
      <c r="A108" s="78" t="s">
        <v>581</v>
      </c>
      <c r="B108" s="79"/>
      <c r="C108" s="42">
        <v>0.158470994</v>
      </c>
      <c r="D108" s="42">
        <v>0.14674493020000001</v>
      </c>
    </row>
    <row r="110" spans="1:5" ht="10.5" x14ac:dyDescent="0.25">
      <c r="A110" s="17" t="s">
        <v>253</v>
      </c>
      <c r="D110" s="43">
        <v>3.45666885646575</v>
      </c>
      <c r="E110" s="15" t="s">
        <v>254</v>
      </c>
    </row>
    <row r="112" spans="1:5" ht="10.5" x14ac:dyDescent="0.25">
      <c r="A112" s="17" t="s">
        <v>255</v>
      </c>
      <c r="D112" s="46" t="s">
        <v>256</v>
      </c>
    </row>
    <row r="113" spans="1:9" x14ac:dyDescent="0.2">
      <c r="A113" s="10" t="s">
        <v>257</v>
      </c>
    </row>
    <row r="114" spans="1:9" ht="14.5" x14ac:dyDescent="0.35">
      <c r="A114" s="44" t="s">
        <v>1613</v>
      </c>
    </row>
    <row r="115" spans="1:9" ht="14.5" x14ac:dyDescent="0.35">
      <c r="A115" s="44"/>
    </row>
    <row r="117" spans="1:9" s="1" customFormat="1" ht="14" x14ac:dyDescent="0.25">
      <c r="A117" s="80" t="s">
        <v>656</v>
      </c>
      <c r="B117" s="81"/>
      <c r="C117" s="81"/>
      <c r="D117" s="81"/>
      <c r="E117" s="81"/>
      <c r="F117" s="81"/>
    </row>
    <row r="118" spans="1:9" ht="10.5" x14ac:dyDescent="0.25">
      <c r="A118" s="17" t="s">
        <v>260</v>
      </c>
    </row>
    <row r="119" spans="1:9" ht="10.5" x14ac:dyDescent="0.25">
      <c r="A119" s="17" t="s">
        <v>6</v>
      </c>
    </row>
    <row r="120" spans="1:9" s="1" customFormat="1" ht="17.5" customHeight="1" x14ac:dyDescent="0.25">
      <c r="A120" s="8" t="s">
        <v>2</v>
      </c>
      <c r="B120" s="8" t="s">
        <v>0</v>
      </c>
      <c r="C120" s="8" t="s">
        <v>230</v>
      </c>
      <c r="D120" s="13" t="s">
        <v>1</v>
      </c>
      <c r="E120" s="9" t="s">
        <v>3</v>
      </c>
      <c r="F120" s="9" t="s">
        <v>4</v>
      </c>
    </row>
    <row r="121" spans="1:9" ht="10.5" x14ac:dyDescent="0.25">
      <c r="A121" s="20" t="s">
        <v>63</v>
      </c>
      <c r="B121" s="21"/>
      <c r="C121" s="21"/>
      <c r="D121" s="22"/>
      <c r="E121" s="23"/>
      <c r="F121" s="24"/>
    </row>
    <row r="122" spans="1:9" ht="10.5" x14ac:dyDescent="0.25">
      <c r="A122" s="25" t="s">
        <v>1605</v>
      </c>
      <c r="B122" s="26"/>
      <c r="C122" s="26"/>
      <c r="D122" s="27"/>
      <c r="E122" s="53"/>
      <c r="F122" s="50"/>
    </row>
    <row r="123" spans="1:9" x14ac:dyDescent="0.2">
      <c r="A123" s="26" t="s">
        <v>262</v>
      </c>
      <c r="B123" s="26" t="s">
        <v>261</v>
      </c>
      <c r="C123" s="26" t="s">
        <v>263</v>
      </c>
      <c r="D123" s="30">
        <v>220</v>
      </c>
      <c r="E123" s="53">
        <v>0</v>
      </c>
      <c r="F123" s="53">
        <v>100</v>
      </c>
    </row>
    <row r="124" spans="1:9" ht="10.5" x14ac:dyDescent="0.25">
      <c r="A124" s="25" t="s">
        <v>177</v>
      </c>
      <c r="B124" s="25"/>
      <c r="C124" s="25"/>
      <c r="D124" s="31"/>
      <c r="E124" s="51">
        <f>SUM(E122:E123)</f>
        <v>0</v>
      </c>
      <c r="F124" s="52">
        <f>SUM(F122:F123)</f>
        <v>100</v>
      </c>
      <c r="G124" s="17"/>
      <c r="H124" s="17"/>
      <c r="I124" s="17"/>
    </row>
    <row r="125" spans="1:9" x14ac:dyDescent="0.2">
      <c r="A125" s="26"/>
      <c r="B125" s="26"/>
      <c r="C125" s="26"/>
      <c r="D125" s="27"/>
      <c r="E125" s="53"/>
      <c r="F125" s="50"/>
    </row>
    <row r="126" spans="1:9" ht="10.5" x14ac:dyDescent="0.25">
      <c r="A126" s="25" t="s">
        <v>226</v>
      </c>
      <c r="B126" s="25"/>
      <c r="C126" s="25"/>
      <c r="D126" s="31"/>
      <c r="E126" s="51">
        <f>E124</f>
        <v>0</v>
      </c>
      <c r="F126" s="52">
        <f>F124</f>
        <v>100</v>
      </c>
      <c r="G126" s="17"/>
      <c r="H126" s="17"/>
      <c r="I126" s="17"/>
    </row>
    <row r="127" spans="1:9" ht="10.5" x14ac:dyDescent="0.25">
      <c r="A127" s="25"/>
      <c r="B127" s="25"/>
      <c r="C127" s="25"/>
      <c r="D127" s="31"/>
      <c r="E127" s="51"/>
      <c r="F127" s="52"/>
      <c r="G127" s="17"/>
      <c r="H127" s="17"/>
      <c r="I127" s="17"/>
    </row>
    <row r="128" spans="1:9" ht="10.5" x14ac:dyDescent="0.25">
      <c r="A128" s="25" t="s">
        <v>228</v>
      </c>
      <c r="B128" s="25"/>
      <c r="C128" s="25"/>
      <c r="D128" s="31"/>
      <c r="E128" s="51">
        <f>E130-(E124)</f>
        <v>8.9999999999999996E-7</v>
      </c>
      <c r="F128" s="33">
        <f>F130-(F124)</f>
        <v>0</v>
      </c>
      <c r="G128" s="17"/>
      <c r="H128" s="17"/>
      <c r="I128" s="17"/>
    </row>
    <row r="129" spans="1:9" ht="10.5" x14ac:dyDescent="0.25">
      <c r="A129" s="25"/>
      <c r="B129" s="25"/>
      <c r="C129" s="25"/>
      <c r="D129" s="31"/>
      <c r="E129" s="51"/>
      <c r="F129" s="52"/>
      <c r="G129" s="17"/>
      <c r="H129" s="17"/>
      <c r="I129" s="17"/>
    </row>
    <row r="130" spans="1:9" ht="10.5" x14ac:dyDescent="0.25">
      <c r="A130" s="34" t="s">
        <v>227</v>
      </c>
      <c r="B130" s="34"/>
      <c r="C130" s="34"/>
      <c r="D130" s="35"/>
      <c r="E130" s="54">
        <v>8.9999999999999996E-7</v>
      </c>
      <c r="F130" s="55">
        <v>100</v>
      </c>
      <c r="G130" s="17"/>
      <c r="H130" s="17"/>
      <c r="I130" s="17"/>
    </row>
    <row r="131" spans="1:9" ht="10.5" x14ac:dyDescent="0.25">
      <c r="A131" s="58" t="s">
        <v>231</v>
      </c>
      <c r="F131" s="19" t="s">
        <v>446</v>
      </c>
    </row>
    <row r="132" spans="1:9" ht="10.5" x14ac:dyDescent="0.25">
      <c r="A132" s="58" t="s">
        <v>1601</v>
      </c>
    </row>
    <row r="133" spans="1:9" ht="10.5" x14ac:dyDescent="0.25">
      <c r="A133" s="59" t="s">
        <v>1607</v>
      </c>
    </row>
    <row r="135" spans="1:9" ht="10.5" x14ac:dyDescent="0.25">
      <c r="A135" s="17" t="s">
        <v>232</v>
      </c>
    </row>
    <row r="136" spans="1:9" ht="10.5" x14ac:dyDescent="0.25">
      <c r="A136" s="17" t="s">
        <v>233</v>
      </c>
    </row>
    <row r="137" spans="1:9" ht="10.5" x14ac:dyDescent="0.25">
      <c r="A137" s="17" t="s">
        <v>234</v>
      </c>
      <c r="B137" s="17"/>
      <c r="C137" s="38" t="s">
        <v>236</v>
      </c>
      <c r="D137" s="18" t="s">
        <v>235</v>
      </c>
    </row>
    <row r="138" spans="1:9" x14ac:dyDescent="0.2">
      <c r="A138" s="10" t="s">
        <v>543</v>
      </c>
      <c r="C138" s="56" t="s">
        <v>1602</v>
      </c>
      <c r="D138" s="39">
        <v>0</v>
      </c>
    </row>
    <row r="139" spans="1:9" x14ac:dyDescent="0.2">
      <c r="A139" s="10" t="s">
        <v>580</v>
      </c>
      <c r="C139" s="56" t="s">
        <v>1602</v>
      </c>
      <c r="D139" s="39">
        <v>0</v>
      </c>
    </row>
    <row r="140" spans="1:9" x14ac:dyDescent="0.2">
      <c r="A140" s="10" t="s">
        <v>546</v>
      </c>
      <c r="C140" s="56" t="s">
        <v>1602</v>
      </c>
      <c r="D140" s="39">
        <v>0</v>
      </c>
    </row>
    <row r="141" spans="1:9" x14ac:dyDescent="0.2">
      <c r="A141" s="10" t="s">
        <v>581</v>
      </c>
      <c r="C141" s="56" t="s">
        <v>1602</v>
      </c>
      <c r="D141" s="39">
        <v>0</v>
      </c>
    </row>
    <row r="143" spans="1:9" ht="10.5" x14ac:dyDescent="0.25">
      <c r="A143" s="17" t="s">
        <v>1606</v>
      </c>
    </row>
    <row r="145" spans="1:9" ht="10.5" x14ac:dyDescent="0.25">
      <c r="A145" s="17" t="s">
        <v>1604</v>
      </c>
      <c r="D145" s="46" t="s">
        <v>256</v>
      </c>
    </row>
    <row r="146" spans="1:9" x14ac:dyDescent="0.2">
      <c r="A146" s="10" t="s">
        <v>257</v>
      </c>
    </row>
    <row r="147" spans="1:9" ht="14.5" x14ac:dyDescent="0.35">
      <c r="A147" s="44" t="s">
        <v>1613</v>
      </c>
    </row>
    <row r="148" spans="1:9" ht="14.5" x14ac:dyDescent="0.35">
      <c r="A148" s="44"/>
    </row>
    <row r="150" spans="1:9" s="1" customFormat="1" ht="14" x14ac:dyDescent="0.25">
      <c r="A150" s="80" t="s">
        <v>657</v>
      </c>
      <c r="B150" s="81"/>
      <c r="C150" s="81"/>
      <c r="D150" s="81"/>
      <c r="E150" s="81"/>
      <c r="F150" s="81"/>
    </row>
    <row r="151" spans="1:9" ht="10.5" x14ac:dyDescent="0.25">
      <c r="A151" s="17" t="s">
        <v>455</v>
      </c>
    </row>
    <row r="152" spans="1:9" ht="10.5" x14ac:dyDescent="0.25">
      <c r="A152" s="17" t="s">
        <v>6</v>
      </c>
    </row>
    <row r="153" spans="1:9" s="1" customFormat="1" ht="17.5" customHeight="1" x14ac:dyDescent="0.25">
      <c r="A153" s="8" t="s">
        <v>2</v>
      </c>
      <c r="B153" s="8" t="s">
        <v>0</v>
      </c>
      <c r="C153" s="8" t="s">
        <v>230</v>
      </c>
      <c r="D153" s="13" t="s">
        <v>1</v>
      </c>
      <c r="E153" s="9" t="s">
        <v>3</v>
      </c>
      <c r="F153" s="9" t="s">
        <v>4</v>
      </c>
    </row>
    <row r="154" spans="1:9" ht="10.5" x14ac:dyDescent="0.25">
      <c r="A154" s="20" t="s">
        <v>63</v>
      </c>
      <c r="B154" s="21"/>
      <c r="C154" s="21"/>
      <c r="D154" s="22"/>
      <c r="E154" s="23"/>
      <c r="F154" s="24"/>
    </row>
    <row r="155" spans="1:9" ht="10.5" x14ac:dyDescent="0.25">
      <c r="A155" s="25" t="s">
        <v>64</v>
      </c>
      <c r="B155" s="26"/>
      <c r="C155" s="26"/>
      <c r="D155" s="27"/>
      <c r="E155" s="53"/>
      <c r="F155" s="50"/>
    </row>
    <row r="156" spans="1:9" x14ac:dyDescent="0.2">
      <c r="A156" s="26" t="s">
        <v>457</v>
      </c>
      <c r="B156" s="26" t="s">
        <v>456</v>
      </c>
      <c r="C156" s="26" t="s">
        <v>458</v>
      </c>
      <c r="D156" s="30">
        <v>3370</v>
      </c>
      <c r="E156" s="53">
        <v>0</v>
      </c>
      <c r="F156" s="53">
        <v>100</v>
      </c>
    </row>
    <row r="157" spans="1:9" ht="10.5" x14ac:dyDescent="0.25">
      <c r="A157" s="25" t="s">
        <v>177</v>
      </c>
      <c r="B157" s="25"/>
      <c r="C157" s="25"/>
      <c r="D157" s="31"/>
      <c r="E157" s="51">
        <f>SUM(E155:E156)</f>
        <v>0</v>
      </c>
      <c r="F157" s="52">
        <f>SUM(F155:F156)</f>
        <v>100</v>
      </c>
      <c r="G157" s="17"/>
      <c r="H157" s="17"/>
      <c r="I157" s="17"/>
    </row>
    <row r="158" spans="1:9" x14ac:dyDescent="0.2">
      <c r="A158" s="26"/>
      <c r="B158" s="26"/>
      <c r="C158" s="26"/>
      <c r="D158" s="27"/>
      <c r="E158" s="53"/>
      <c r="F158" s="50"/>
    </row>
    <row r="159" spans="1:9" ht="10.5" x14ac:dyDescent="0.25">
      <c r="A159" s="25" t="s">
        <v>226</v>
      </c>
      <c r="B159" s="25"/>
      <c r="C159" s="25"/>
      <c r="D159" s="31"/>
      <c r="E159" s="51">
        <f>E157</f>
        <v>0</v>
      </c>
      <c r="F159" s="52">
        <f>F157</f>
        <v>100</v>
      </c>
      <c r="G159" s="17"/>
      <c r="H159" s="17"/>
      <c r="I159" s="17"/>
    </row>
    <row r="160" spans="1:9" ht="10.5" x14ac:dyDescent="0.25">
      <c r="A160" s="25"/>
      <c r="B160" s="25"/>
      <c r="C160" s="25"/>
      <c r="D160" s="31"/>
      <c r="E160" s="51"/>
      <c r="F160" s="52"/>
      <c r="G160" s="17"/>
      <c r="H160" s="17"/>
      <c r="I160" s="17"/>
    </row>
    <row r="161" spans="1:9" ht="10.5" x14ac:dyDescent="0.25">
      <c r="A161" s="25" t="s">
        <v>228</v>
      </c>
      <c r="B161" s="25"/>
      <c r="C161" s="25"/>
      <c r="D161" s="31"/>
      <c r="E161" s="51">
        <f>E163-(E157)</f>
        <v>8.9999999999999996E-7</v>
      </c>
      <c r="F161" s="33">
        <f>F163-(F157)</f>
        <v>0</v>
      </c>
      <c r="G161" s="17"/>
      <c r="H161" s="17"/>
      <c r="I161" s="17"/>
    </row>
    <row r="162" spans="1:9" ht="10.5" x14ac:dyDescent="0.25">
      <c r="A162" s="25"/>
      <c r="B162" s="25"/>
      <c r="C162" s="25"/>
      <c r="D162" s="31"/>
      <c r="E162" s="51"/>
      <c r="F162" s="52"/>
      <c r="G162" s="17"/>
      <c r="H162" s="17"/>
      <c r="I162" s="17"/>
    </row>
    <row r="163" spans="1:9" ht="10.5" x14ac:dyDescent="0.25">
      <c r="A163" s="34" t="s">
        <v>227</v>
      </c>
      <c r="B163" s="34"/>
      <c r="C163" s="34"/>
      <c r="D163" s="35"/>
      <c r="E163" s="54">
        <v>8.9999999999999996E-7</v>
      </c>
      <c r="F163" s="55">
        <v>100</v>
      </c>
      <c r="G163" s="17"/>
      <c r="H163" s="17"/>
      <c r="I163" s="17"/>
    </row>
    <row r="164" spans="1:9" ht="10.5" x14ac:dyDescent="0.25">
      <c r="A164" s="58" t="s">
        <v>231</v>
      </c>
      <c r="F164" s="19" t="s">
        <v>446</v>
      </c>
    </row>
    <row r="165" spans="1:9" ht="10.5" x14ac:dyDescent="0.25">
      <c r="A165" s="58" t="s">
        <v>1601</v>
      </c>
    </row>
    <row r="166" spans="1:9" ht="10.5" x14ac:dyDescent="0.25">
      <c r="A166" s="59" t="s">
        <v>1607</v>
      </c>
    </row>
    <row r="167" spans="1:9" ht="10.5" x14ac:dyDescent="0.25">
      <c r="A167" s="59"/>
    </row>
    <row r="168" spans="1:9" ht="10.5" x14ac:dyDescent="0.25">
      <c r="A168" s="17" t="s">
        <v>232</v>
      </c>
    </row>
    <row r="169" spans="1:9" ht="10.5" x14ac:dyDescent="0.25">
      <c r="A169" s="17" t="s">
        <v>233</v>
      </c>
    </row>
    <row r="170" spans="1:9" ht="10.5" x14ac:dyDescent="0.25">
      <c r="A170" s="17" t="s">
        <v>234</v>
      </c>
      <c r="B170" s="17"/>
      <c r="C170" s="38" t="s">
        <v>236</v>
      </c>
      <c r="D170" s="18" t="s">
        <v>235</v>
      </c>
    </row>
    <row r="171" spans="1:9" x14ac:dyDescent="0.2">
      <c r="A171" s="10" t="s">
        <v>543</v>
      </c>
      <c r="C171" s="56" t="s">
        <v>1602</v>
      </c>
      <c r="D171" s="39">
        <v>0</v>
      </c>
    </row>
    <row r="172" spans="1:9" x14ac:dyDescent="0.2">
      <c r="A172" s="10" t="s">
        <v>580</v>
      </c>
      <c r="C172" s="56" t="s">
        <v>1602</v>
      </c>
      <c r="D172" s="39">
        <v>0</v>
      </c>
    </row>
    <row r="173" spans="1:9" x14ac:dyDescent="0.2">
      <c r="A173" s="10" t="s">
        <v>546</v>
      </c>
      <c r="C173" s="56" t="s">
        <v>1602</v>
      </c>
      <c r="D173" s="39">
        <v>0</v>
      </c>
    </row>
    <row r="174" spans="1:9" x14ac:dyDescent="0.2">
      <c r="A174" s="10" t="s">
        <v>581</v>
      </c>
      <c r="C174" s="56" t="s">
        <v>1602</v>
      </c>
      <c r="D174" s="39">
        <v>0</v>
      </c>
    </row>
    <row r="175" spans="1:9" x14ac:dyDescent="0.2">
      <c r="C175" s="56"/>
      <c r="D175" s="39"/>
    </row>
    <row r="176" spans="1:9" ht="10.5" x14ac:dyDescent="0.25">
      <c r="A176" s="17" t="s">
        <v>1606</v>
      </c>
    </row>
    <row r="177" spans="1:9" ht="10.5" x14ac:dyDescent="0.25">
      <c r="A177" s="17"/>
    </row>
    <row r="178" spans="1:9" ht="10.5" x14ac:dyDescent="0.25">
      <c r="A178" s="17" t="s">
        <v>1604</v>
      </c>
      <c r="D178" s="46" t="s">
        <v>256</v>
      </c>
    </row>
    <row r="179" spans="1:9" x14ac:dyDescent="0.2">
      <c r="A179" s="10" t="s">
        <v>257</v>
      </c>
    </row>
    <row r="180" spans="1:9" ht="14.5" x14ac:dyDescent="0.35">
      <c r="A180" s="44" t="s">
        <v>1613</v>
      </c>
    </row>
    <row r="184" spans="1:9" s="1" customFormat="1" ht="14" x14ac:dyDescent="0.25">
      <c r="A184" s="80" t="s">
        <v>658</v>
      </c>
      <c r="B184" s="81"/>
      <c r="C184" s="81"/>
      <c r="D184" s="81"/>
      <c r="E184" s="81"/>
      <c r="F184" s="81"/>
    </row>
    <row r="185" spans="1:9" ht="10.5" x14ac:dyDescent="0.25">
      <c r="A185" s="17" t="s">
        <v>460</v>
      </c>
    </row>
    <row r="186" spans="1:9" ht="10.5" x14ac:dyDescent="0.25">
      <c r="A186" s="17" t="s">
        <v>6</v>
      </c>
    </row>
    <row r="187" spans="1:9" s="1" customFormat="1" ht="17.5" customHeight="1" x14ac:dyDescent="0.25">
      <c r="A187" s="8" t="s">
        <v>2</v>
      </c>
      <c r="B187" s="8" t="s">
        <v>0</v>
      </c>
      <c r="C187" s="8" t="s">
        <v>230</v>
      </c>
      <c r="D187" s="13" t="s">
        <v>1</v>
      </c>
      <c r="E187" s="9" t="s">
        <v>3</v>
      </c>
      <c r="F187" s="9" t="s">
        <v>4</v>
      </c>
    </row>
    <row r="188" spans="1:9" ht="10.5" x14ac:dyDescent="0.25">
      <c r="A188" s="20" t="s">
        <v>63</v>
      </c>
      <c r="B188" s="21"/>
      <c r="C188" s="21"/>
      <c r="D188" s="22"/>
      <c r="E188" s="23"/>
      <c r="F188" s="24"/>
    </row>
    <row r="189" spans="1:9" ht="10.5" x14ac:dyDescent="0.25">
      <c r="A189" s="25" t="s">
        <v>64</v>
      </c>
      <c r="B189" s="26"/>
      <c r="C189" s="26"/>
      <c r="D189" s="27"/>
      <c r="E189" s="53"/>
      <c r="F189" s="50"/>
    </row>
    <row r="190" spans="1:9" x14ac:dyDescent="0.2">
      <c r="A190" s="26" t="s">
        <v>462</v>
      </c>
      <c r="B190" s="26" t="s">
        <v>461</v>
      </c>
      <c r="C190" s="26" t="s">
        <v>425</v>
      </c>
      <c r="D190" s="30">
        <v>1695</v>
      </c>
      <c r="E190" s="53">
        <v>0</v>
      </c>
      <c r="F190" s="53">
        <v>100</v>
      </c>
    </row>
    <row r="191" spans="1:9" ht="10.5" x14ac:dyDescent="0.25">
      <c r="A191" s="25" t="s">
        <v>177</v>
      </c>
      <c r="B191" s="25"/>
      <c r="C191" s="25"/>
      <c r="D191" s="31"/>
      <c r="E191" s="51">
        <f>SUM(E189:E190)</f>
        <v>0</v>
      </c>
      <c r="F191" s="52">
        <f>SUM(F189:F190)</f>
        <v>100</v>
      </c>
      <c r="G191" s="17"/>
      <c r="H191" s="17"/>
      <c r="I191" s="17"/>
    </row>
    <row r="192" spans="1:9" x14ac:dyDescent="0.2">
      <c r="A192" s="26"/>
      <c r="B192" s="26"/>
      <c r="C192" s="26"/>
      <c r="D192" s="27"/>
      <c r="E192" s="53"/>
      <c r="F192" s="50"/>
    </row>
    <row r="193" spans="1:9" ht="10.5" x14ac:dyDescent="0.25">
      <c r="A193" s="25" t="s">
        <v>226</v>
      </c>
      <c r="B193" s="25"/>
      <c r="C193" s="25"/>
      <c r="D193" s="31"/>
      <c r="E193" s="51">
        <f>E191</f>
        <v>0</v>
      </c>
      <c r="F193" s="52">
        <f>F191</f>
        <v>100</v>
      </c>
      <c r="G193" s="17"/>
      <c r="H193" s="17"/>
      <c r="I193" s="17"/>
    </row>
    <row r="194" spans="1:9" ht="10.5" x14ac:dyDescent="0.25">
      <c r="A194" s="25"/>
      <c r="B194" s="25"/>
      <c r="C194" s="25"/>
      <c r="D194" s="31"/>
      <c r="E194" s="51"/>
      <c r="F194" s="52"/>
      <c r="G194" s="17"/>
      <c r="H194" s="17"/>
      <c r="I194" s="17"/>
    </row>
    <row r="195" spans="1:9" ht="10.5" x14ac:dyDescent="0.25">
      <c r="A195" s="25" t="s">
        <v>228</v>
      </c>
      <c r="B195" s="25"/>
      <c r="C195" s="25"/>
      <c r="D195" s="31"/>
      <c r="E195" s="51">
        <f>E197-(E191)</f>
        <v>8.9999999999999996E-7</v>
      </c>
      <c r="F195" s="33">
        <f>F197-(F191)</f>
        <v>0</v>
      </c>
      <c r="G195" s="17"/>
      <c r="H195" s="17"/>
      <c r="I195" s="17"/>
    </row>
    <row r="196" spans="1:9" ht="10.5" x14ac:dyDescent="0.25">
      <c r="A196" s="25"/>
      <c r="B196" s="25"/>
      <c r="C196" s="25"/>
      <c r="D196" s="31"/>
      <c r="E196" s="51"/>
      <c r="F196" s="52"/>
      <c r="G196" s="17"/>
      <c r="H196" s="17"/>
      <c r="I196" s="17"/>
    </row>
    <row r="197" spans="1:9" ht="10.5" x14ac:dyDescent="0.25">
      <c r="A197" s="34" t="s">
        <v>227</v>
      </c>
      <c r="B197" s="34"/>
      <c r="C197" s="34"/>
      <c r="D197" s="35"/>
      <c r="E197" s="54">
        <v>8.9999999999999996E-7</v>
      </c>
      <c r="F197" s="55">
        <v>100</v>
      </c>
      <c r="G197" s="17"/>
      <c r="H197" s="17"/>
      <c r="I197" s="17"/>
    </row>
    <row r="198" spans="1:9" ht="10.5" x14ac:dyDescent="0.25">
      <c r="A198" s="17" t="s">
        <v>231</v>
      </c>
      <c r="F198" s="19" t="s">
        <v>446</v>
      </c>
    </row>
    <row r="199" spans="1:9" ht="10.5" x14ac:dyDescent="0.25">
      <c r="A199" s="58" t="s">
        <v>1601</v>
      </c>
    </row>
    <row r="201" spans="1:9" ht="10.5" x14ac:dyDescent="0.25">
      <c r="A201" s="17" t="s">
        <v>232</v>
      </c>
    </row>
    <row r="202" spans="1:9" ht="10.5" x14ac:dyDescent="0.25">
      <c r="A202" s="17" t="s">
        <v>233</v>
      </c>
    </row>
    <row r="203" spans="1:9" ht="10.5" x14ac:dyDescent="0.25">
      <c r="A203" s="17" t="s">
        <v>234</v>
      </c>
      <c r="B203" s="17"/>
      <c r="C203" s="38" t="s">
        <v>236</v>
      </c>
      <c r="D203" s="18" t="s">
        <v>235</v>
      </c>
    </row>
    <row r="204" spans="1:9" x14ac:dyDescent="0.2">
      <c r="A204" s="10" t="s">
        <v>543</v>
      </c>
      <c r="C204" s="56" t="s">
        <v>1602</v>
      </c>
      <c r="D204" s="39">
        <v>0</v>
      </c>
    </row>
    <row r="205" spans="1:9" x14ac:dyDescent="0.2">
      <c r="A205" s="10" t="s">
        <v>580</v>
      </c>
      <c r="C205" s="56" t="s">
        <v>1602</v>
      </c>
      <c r="D205" s="39">
        <v>0</v>
      </c>
    </row>
    <row r="206" spans="1:9" x14ac:dyDescent="0.2">
      <c r="A206" s="10" t="s">
        <v>546</v>
      </c>
      <c r="C206" s="56" t="s">
        <v>1602</v>
      </c>
      <c r="D206" s="39">
        <v>0</v>
      </c>
    </row>
    <row r="207" spans="1:9" x14ac:dyDescent="0.2">
      <c r="A207" s="10" t="s">
        <v>581</v>
      </c>
      <c r="C207" s="56" t="s">
        <v>1602</v>
      </c>
      <c r="D207" s="39">
        <v>0</v>
      </c>
    </row>
    <row r="209" spans="1:4" ht="10.5" x14ac:dyDescent="0.25">
      <c r="A209" s="17" t="s">
        <v>1603</v>
      </c>
    </row>
    <row r="211" spans="1:4" ht="10.5" x14ac:dyDescent="0.25">
      <c r="A211" s="17" t="s">
        <v>1604</v>
      </c>
      <c r="D211" s="46" t="s">
        <v>256</v>
      </c>
    </row>
    <row r="212" spans="1:4" x14ac:dyDescent="0.2">
      <c r="A212" s="10" t="s">
        <v>257</v>
      </c>
    </row>
    <row r="213" spans="1:4" ht="14.5" x14ac:dyDescent="0.35">
      <c r="A213" s="44" t="s">
        <v>1613</v>
      </c>
    </row>
  </sheetData>
  <mergeCells count="9">
    <mergeCell ref="A117:F117"/>
    <mergeCell ref="A150:F150"/>
    <mergeCell ref="A184:F184"/>
    <mergeCell ref="A1:F1"/>
    <mergeCell ref="C105:D105"/>
    <mergeCell ref="A105:B105"/>
    <mergeCell ref="A106:B106"/>
    <mergeCell ref="A107:B107"/>
    <mergeCell ref="A108:B108"/>
  </mergeCells>
  <conditionalFormatting sqref="F2:F3 F118:F119 F121 F151:F152 F154 F185:F186 F188 F165:F177 F199:F65547 F179:F183 F5:F116 F132:F149">
    <cfRule type="cellIs" dxfId="79" priority="17" stopIfTrue="1" operator="between">
      <formula>0.009</formula>
      <formula>-0.009</formula>
    </cfRule>
  </conditionalFormatting>
  <conditionalFormatting sqref="F122">
    <cfRule type="cellIs" dxfId="78" priority="16" stopIfTrue="1" operator="between">
      <formula>0.009</formula>
      <formula>-0.009</formula>
    </cfRule>
  </conditionalFormatting>
  <conditionalFormatting sqref="F155">
    <cfRule type="cellIs" dxfId="77" priority="14" stopIfTrue="1" operator="between">
      <formula>0.009</formula>
      <formula>-0.009</formula>
    </cfRule>
  </conditionalFormatting>
  <conditionalFormatting sqref="F189">
    <cfRule type="cellIs" dxfId="76" priority="12" stopIfTrue="1" operator="between">
      <formula>0.009</formula>
      <formula>-0.009</formula>
    </cfRule>
  </conditionalFormatting>
  <conditionalFormatting sqref="F178">
    <cfRule type="cellIs" dxfId="75" priority="10" stopIfTrue="1" operator="between">
      <formula>0.009</formula>
      <formula>-0.009</formula>
    </cfRule>
  </conditionalFormatting>
  <conditionalFormatting sqref="F124:F127 F129:F130">
    <cfRule type="cellIs" dxfId="74" priority="9" stopIfTrue="1" operator="between">
      <formula>0.009</formula>
      <formula>-0.009</formula>
    </cfRule>
  </conditionalFormatting>
  <conditionalFormatting sqref="F128">
    <cfRule type="cellIs" dxfId="73" priority="8" stopIfTrue="1" operator="between">
      <formula>0.009</formula>
      <formula>-0.009</formula>
    </cfRule>
  </conditionalFormatting>
  <conditionalFormatting sqref="F131">
    <cfRule type="cellIs" dxfId="72" priority="7" stopIfTrue="1" operator="between">
      <formula>0.009</formula>
      <formula>-0.009</formula>
    </cfRule>
  </conditionalFormatting>
  <conditionalFormatting sqref="F157:F160 F162:F163">
    <cfRule type="cellIs" dxfId="71" priority="6" stopIfTrue="1" operator="between">
      <formula>0.009</formula>
      <formula>-0.009</formula>
    </cfRule>
  </conditionalFormatting>
  <conditionalFormatting sqref="F161">
    <cfRule type="cellIs" dxfId="70" priority="5" stopIfTrue="1" operator="between">
      <formula>0.009</formula>
      <formula>-0.009</formula>
    </cfRule>
  </conditionalFormatting>
  <conditionalFormatting sqref="F164">
    <cfRule type="cellIs" dxfId="69" priority="4" stopIfTrue="1" operator="between">
      <formula>0.009</formula>
      <formula>-0.009</formula>
    </cfRule>
  </conditionalFormatting>
  <conditionalFormatting sqref="F191:F194 F196:F197">
    <cfRule type="cellIs" dxfId="68" priority="3" stopIfTrue="1" operator="between">
      <formula>0.009</formula>
      <formula>-0.009</formula>
    </cfRule>
  </conditionalFormatting>
  <conditionalFormatting sqref="F195">
    <cfRule type="cellIs" dxfId="67" priority="2" stopIfTrue="1" operator="between">
      <formula>0.009</formula>
      <formula>-0.009</formula>
    </cfRule>
  </conditionalFormatting>
  <conditionalFormatting sqref="F198">
    <cfRule type="cellIs" dxfId="66" priority="1" stopIfTrue="1" operator="between">
      <formula>0.009</formula>
      <formula>-0.009</formula>
    </cfRule>
  </conditionalFormatting>
  <hyperlinks>
    <hyperlink ref="A114" r:id="rId1" xr:uid="{00000000-0004-0000-0800-000000000000}"/>
    <hyperlink ref="A147" r:id="rId2" xr:uid="{00000000-0004-0000-0800-000001000000}"/>
    <hyperlink ref="A180" r:id="rId3" xr:uid="{00000000-0004-0000-0800-000002000000}"/>
    <hyperlink ref="A213" r:id="rId4" xr:uid="{00000000-0004-0000-0800-000003000000}"/>
  </hyperlinks>
  <pageMargins left="0.7" right="0.7" top="0.75" bottom="0.75" header="0.3" footer="0.3"/>
  <pageSetup paperSize="9" orientation="portrait" r:id="rId5"/>
  <headerFooter>
    <oddFooter>&amp;LPUBLIC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>
      <selection sqref="A1:F1"/>
    </sheetView>
  </sheetViews>
  <sheetFormatPr defaultColWidth="9.1796875" defaultRowHeight="10" x14ac:dyDescent="0.2"/>
  <cols>
    <col min="1" max="1" width="32.26953125" style="10" bestFit="1" customWidth="1"/>
    <col min="2" max="2" width="49.269531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4.54296875" style="10" bestFit="1" customWidth="1"/>
    <col min="8" max="16384" width="9.1796875" style="10"/>
  </cols>
  <sheetData>
    <row r="1" spans="1:6" s="1" customFormat="1" ht="14" x14ac:dyDescent="0.25">
      <c r="A1" s="80" t="s">
        <v>7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221</v>
      </c>
      <c r="B5" s="21"/>
      <c r="C5" s="21"/>
      <c r="D5" s="22"/>
      <c r="E5" s="23"/>
      <c r="F5" s="24"/>
    </row>
    <row r="6" spans="1:6" ht="10.5" x14ac:dyDescent="0.25">
      <c r="A6" s="25" t="s">
        <v>463</v>
      </c>
      <c r="B6" s="26"/>
      <c r="C6" s="26"/>
      <c r="D6" s="27"/>
      <c r="E6" s="28"/>
      <c r="F6" s="29"/>
    </row>
    <row r="7" spans="1:6" x14ac:dyDescent="0.2">
      <c r="A7" s="26" t="s">
        <v>465</v>
      </c>
      <c r="B7" s="26" t="s">
        <v>464</v>
      </c>
      <c r="C7" s="26" t="s">
        <v>466</v>
      </c>
      <c r="D7" s="30">
        <v>12500</v>
      </c>
      <c r="E7" s="28">
        <v>12181.612499999999</v>
      </c>
      <c r="F7" s="29">
        <v>6.4292078588521804</v>
      </c>
    </row>
    <row r="8" spans="1:6" x14ac:dyDescent="0.2">
      <c r="A8" s="26" t="s">
        <v>468</v>
      </c>
      <c r="B8" s="26" t="s">
        <v>467</v>
      </c>
      <c r="C8" s="26" t="s">
        <v>469</v>
      </c>
      <c r="D8" s="30">
        <v>10000</v>
      </c>
      <c r="E8" s="28">
        <v>9619.36</v>
      </c>
      <c r="F8" s="29">
        <v>5.0769029887568902</v>
      </c>
    </row>
    <row r="9" spans="1:6" x14ac:dyDescent="0.2">
      <c r="A9" s="26" t="s">
        <v>471</v>
      </c>
      <c r="B9" s="26" t="s">
        <v>470</v>
      </c>
      <c r="C9" s="26" t="s">
        <v>466</v>
      </c>
      <c r="D9" s="30">
        <v>10000</v>
      </c>
      <c r="E9" s="28">
        <v>9596.93</v>
      </c>
      <c r="F9" s="29">
        <v>5.06506488996052</v>
      </c>
    </row>
    <row r="10" spans="1:6" x14ac:dyDescent="0.2">
      <c r="A10" s="26" t="s">
        <v>473</v>
      </c>
      <c r="B10" s="26" t="s">
        <v>472</v>
      </c>
      <c r="C10" s="26" t="s">
        <v>466</v>
      </c>
      <c r="D10" s="30">
        <v>10000</v>
      </c>
      <c r="E10" s="28">
        <v>9551.56</v>
      </c>
      <c r="F10" s="29">
        <v>5.0411195247179403</v>
      </c>
    </row>
    <row r="11" spans="1:6" x14ac:dyDescent="0.2">
      <c r="A11" s="26" t="s">
        <v>475</v>
      </c>
      <c r="B11" s="26" t="s">
        <v>474</v>
      </c>
      <c r="C11" s="26" t="s">
        <v>466</v>
      </c>
      <c r="D11" s="30">
        <v>5000</v>
      </c>
      <c r="E11" s="28">
        <v>4937.3649999999998</v>
      </c>
      <c r="F11" s="29">
        <v>2.6058410460866099</v>
      </c>
    </row>
    <row r="12" spans="1:6" x14ac:dyDescent="0.2">
      <c r="A12" s="26" t="s">
        <v>477</v>
      </c>
      <c r="B12" s="26" t="s">
        <v>476</v>
      </c>
      <c r="C12" s="26" t="s">
        <v>478</v>
      </c>
      <c r="D12" s="30">
        <v>5000</v>
      </c>
      <c r="E12" s="28">
        <v>4914.3950000000004</v>
      </c>
      <c r="F12" s="29">
        <v>2.5937179462492201</v>
      </c>
    </row>
    <row r="13" spans="1:6" x14ac:dyDescent="0.2">
      <c r="A13" s="26" t="s">
        <v>480</v>
      </c>
      <c r="B13" s="26" t="s">
        <v>479</v>
      </c>
      <c r="C13" s="26" t="s">
        <v>466</v>
      </c>
      <c r="D13" s="30">
        <v>5000</v>
      </c>
      <c r="E13" s="28">
        <v>4793.0950000000003</v>
      </c>
      <c r="F13" s="29">
        <v>2.5296982679612499</v>
      </c>
    </row>
    <row r="14" spans="1:6" x14ac:dyDescent="0.2">
      <c r="A14" s="26" t="s">
        <v>482</v>
      </c>
      <c r="B14" s="26" t="s">
        <v>481</v>
      </c>
      <c r="C14" s="26" t="s">
        <v>469</v>
      </c>
      <c r="D14" s="30">
        <v>2500</v>
      </c>
      <c r="E14" s="28">
        <v>2495.6925000000001</v>
      </c>
      <c r="F14" s="29">
        <v>1.31717585289127</v>
      </c>
    </row>
    <row r="15" spans="1:6" x14ac:dyDescent="0.2">
      <c r="A15" s="26" t="s">
        <v>484</v>
      </c>
      <c r="B15" s="26" t="s">
        <v>483</v>
      </c>
      <c r="C15" s="26" t="s">
        <v>466</v>
      </c>
      <c r="D15" s="30">
        <v>2500</v>
      </c>
      <c r="E15" s="28">
        <v>2484.5625</v>
      </c>
      <c r="F15" s="29">
        <v>1.31130166476806</v>
      </c>
    </row>
    <row r="16" spans="1:6" x14ac:dyDescent="0.2">
      <c r="A16" s="26" t="s">
        <v>486</v>
      </c>
      <c r="B16" s="26" t="s">
        <v>485</v>
      </c>
      <c r="C16" s="26" t="s">
        <v>466</v>
      </c>
      <c r="D16" s="30">
        <v>2500</v>
      </c>
      <c r="E16" s="28">
        <v>2470.6525000000001</v>
      </c>
      <c r="F16" s="29">
        <v>1.30396024906331</v>
      </c>
    </row>
    <row r="17" spans="1:9" x14ac:dyDescent="0.2">
      <c r="A17" s="26" t="s">
        <v>488</v>
      </c>
      <c r="B17" s="26" t="s">
        <v>487</v>
      </c>
      <c r="C17" s="26" t="s">
        <v>466</v>
      </c>
      <c r="D17" s="30">
        <v>1022</v>
      </c>
      <c r="E17" s="28">
        <v>979.435744</v>
      </c>
      <c r="F17" s="29">
        <v>0.51692630861189603</v>
      </c>
    </row>
    <row r="18" spans="1:9" x14ac:dyDescent="0.2">
      <c r="A18" s="26" t="s">
        <v>490</v>
      </c>
      <c r="B18" s="26" t="s">
        <v>489</v>
      </c>
      <c r="C18" s="26" t="s">
        <v>466</v>
      </c>
      <c r="D18" s="30">
        <v>475</v>
      </c>
      <c r="E18" s="28">
        <v>474.34165000000002</v>
      </c>
      <c r="F18" s="29">
        <v>0.25034789638571298</v>
      </c>
    </row>
    <row r="19" spans="1:9" x14ac:dyDescent="0.2">
      <c r="A19" s="26" t="s">
        <v>492</v>
      </c>
      <c r="B19" s="26" t="s">
        <v>491</v>
      </c>
      <c r="C19" s="26" t="s">
        <v>466</v>
      </c>
      <c r="D19" s="30">
        <v>400</v>
      </c>
      <c r="E19" s="28">
        <v>397.6028</v>
      </c>
      <c r="F19" s="29">
        <v>0.209846688725457</v>
      </c>
    </row>
    <row r="20" spans="1:9" x14ac:dyDescent="0.2">
      <c r="A20" s="26" t="s">
        <v>494</v>
      </c>
      <c r="B20" s="26" t="s">
        <v>493</v>
      </c>
      <c r="C20" s="26" t="s">
        <v>466</v>
      </c>
      <c r="D20" s="30">
        <v>200</v>
      </c>
      <c r="E20" s="28">
        <v>198.83840000000001</v>
      </c>
      <c r="F20" s="29">
        <v>0.104942872211835</v>
      </c>
    </row>
    <row r="21" spans="1:9" ht="10.5" x14ac:dyDescent="0.25">
      <c r="A21" s="25" t="s">
        <v>177</v>
      </c>
      <c r="B21" s="25"/>
      <c r="C21" s="25"/>
      <c r="D21" s="31"/>
      <c r="E21" s="32">
        <f>SUM(E6:E20)</f>
        <v>65095.443594000011</v>
      </c>
      <c r="F21" s="33">
        <f>SUM(F6:F20)</f>
        <v>34.356054055242154</v>
      </c>
      <c r="G21" s="17"/>
      <c r="H21" s="17"/>
      <c r="I21" s="17"/>
    </row>
    <row r="22" spans="1:9" x14ac:dyDescent="0.2">
      <c r="A22" s="26"/>
      <c r="B22" s="26"/>
      <c r="C22" s="26"/>
      <c r="D22" s="27"/>
      <c r="E22" s="28"/>
      <c r="F22" s="29"/>
    </row>
    <row r="23" spans="1:9" ht="10.5" x14ac:dyDescent="0.25">
      <c r="A23" s="25" t="s">
        <v>222</v>
      </c>
      <c r="B23" s="26"/>
      <c r="C23" s="26"/>
      <c r="D23" s="27"/>
      <c r="E23" s="28"/>
      <c r="F23" s="29"/>
    </row>
    <row r="24" spans="1:9" x14ac:dyDescent="0.2">
      <c r="A24" s="26" t="s">
        <v>496</v>
      </c>
      <c r="B24" s="26" t="s">
        <v>495</v>
      </c>
      <c r="C24" s="26" t="s">
        <v>466</v>
      </c>
      <c r="D24" s="30">
        <v>3600</v>
      </c>
      <c r="E24" s="28">
        <v>17409.707999999999</v>
      </c>
      <c r="F24" s="29">
        <v>9.1884905626345894</v>
      </c>
    </row>
    <row r="25" spans="1:9" x14ac:dyDescent="0.2">
      <c r="A25" s="26" t="s">
        <v>498</v>
      </c>
      <c r="B25" s="26" t="s">
        <v>497</v>
      </c>
      <c r="C25" s="26" t="s">
        <v>478</v>
      </c>
      <c r="D25" s="30">
        <v>3500</v>
      </c>
      <c r="E25" s="28">
        <v>16869.16</v>
      </c>
      <c r="F25" s="29">
        <v>8.9032002983377492</v>
      </c>
    </row>
    <row r="26" spans="1:9" x14ac:dyDescent="0.2">
      <c r="A26" s="26" t="s">
        <v>500</v>
      </c>
      <c r="B26" s="26" t="s">
        <v>499</v>
      </c>
      <c r="C26" s="26" t="s">
        <v>478</v>
      </c>
      <c r="D26" s="30">
        <v>3000</v>
      </c>
      <c r="E26" s="28">
        <v>14469.21</v>
      </c>
      <c r="F26" s="29">
        <v>7.63655539390885</v>
      </c>
    </row>
    <row r="27" spans="1:9" x14ac:dyDescent="0.2">
      <c r="A27" s="26" t="s">
        <v>502</v>
      </c>
      <c r="B27" s="26" t="s">
        <v>501</v>
      </c>
      <c r="C27" s="26" t="s">
        <v>466</v>
      </c>
      <c r="D27" s="30">
        <v>2000</v>
      </c>
      <c r="E27" s="28">
        <v>9773.31</v>
      </c>
      <c r="F27" s="29">
        <v>5.1581546744323497</v>
      </c>
    </row>
    <row r="28" spans="1:9" x14ac:dyDescent="0.2">
      <c r="A28" s="26" t="s">
        <v>504</v>
      </c>
      <c r="B28" s="26" t="s">
        <v>503</v>
      </c>
      <c r="C28" s="26" t="s">
        <v>478</v>
      </c>
      <c r="D28" s="30">
        <v>2000</v>
      </c>
      <c r="E28" s="28">
        <v>9585.0499999999993</v>
      </c>
      <c r="F28" s="29">
        <v>5.0587948670581202</v>
      </c>
    </row>
    <row r="29" spans="1:9" x14ac:dyDescent="0.2">
      <c r="A29" s="26" t="s">
        <v>506</v>
      </c>
      <c r="B29" s="26" t="s">
        <v>505</v>
      </c>
      <c r="C29" s="26" t="s">
        <v>507</v>
      </c>
      <c r="D29" s="30">
        <v>2000</v>
      </c>
      <c r="E29" s="28">
        <v>9529.18</v>
      </c>
      <c r="F29" s="29">
        <v>5.0293078149068497</v>
      </c>
    </row>
    <row r="30" spans="1:9" x14ac:dyDescent="0.2">
      <c r="A30" s="26" t="s">
        <v>509</v>
      </c>
      <c r="B30" s="26" t="s">
        <v>508</v>
      </c>
      <c r="C30" s="26" t="s">
        <v>478</v>
      </c>
      <c r="D30" s="30">
        <v>2000</v>
      </c>
      <c r="E30" s="28">
        <v>9509.59</v>
      </c>
      <c r="F30" s="29">
        <v>5.01896861047436</v>
      </c>
    </row>
    <row r="31" spans="1:9" x14ac:dyDescent="0.2">
      <c r="A31" s="26" t="s">
        <v>511</v>
      </c>
      <c r="B31" s="26" t="s">
        <v>510</v>
      </c>
      <c r="C31" s="26" t="s">
        <v>478</v>
      </c>
      <c r="D31" s="30">
        <v>1000</v>
      </c>
      <c r="E31" s="28">
        <v>4784.3999999999996</v>
      </c>
      <c r="F31" s="29">
        <v>2.5251092234211501</v>
      </c>
    </row>
    <row r="32" spans="1:9" x14ac:dyDescent="0.2">
      <c r="A32" s="26" t="s">
        <v>513</v>
      </c>
      <c r="B32" s="26" t="s">
        <v>512</v>
      </c>
      <c r="C32" s="26" t="s">
        <v>466</v>
      </c>
      <c r="D32" s="30">
        <v>1000</v>
      </c>
      <c r="E32" s="28">
        <v>4766.83</v>
      </c>
      <c r="F32" s="29">
        <v>2.5158361339939499</v>
      </c>
    </row>
    <row r="33" spans="1:9" x14ac:dyDescent="0.2">
      <c r="A33" s="26" t="s">
        <v>515</v>
      </c>
      <c r="B33" s="26" t="s">
        <v>514</v>
      </c>
      <c r="C33" s="26" t="s">
        <v>478</v>
      </c>
      <c r="D33" s="30">
        <v>1000</v>
      </c>
      <c r="E33" s="28">
        <v>4745.915</v>
      </c>
      <c r="F33" s="29">
        <v>2.5047976214515502</v>
      </c>
    </row>
    <row r="34" spans="1:9" x14ac:dyDescent="0.2">
      <c r="A34" s="26" t="s">
        <v>517</v>
      </c>
      <c r="B34" s="26" t="s">
        <v>516</v>
      </c>
      <c r="C34" s="26" t="s">
        <v>466</v>
      </c>
      <c r="D34" s="30">
        <v>1000</v>
      </c>
      <c r="E34" s="28">
        <v>4714.71</v>
      </c>
      <c r="F34" s="29">
        <v>2.4883282557386299</v>
      </c>
    </row>
    <row r="35" spans="1:9" x14ac:dyDescent="0.2">
      <c r="A35" s="26" t="s">
        <v>519</v>
      </c>
      <c r="B35" s="26" t="s">
        <v>518</v>
      </c>
      <c r="C35" s="26" t="s">
        <v>478</v>
      </c>
      <c r="D35" s="30">
        <v>500</v>
      </c>
      <c r="E35" s="28">
        <v>2493.895</v>
      </c>
      <c r="F35" s="29">
        <v>1.3162271688704701</v>
      </c>
    </row>
    <row r="36" spans="1:9" x14ac:dyDescent="0.2">
      <c r="A36" s="26" t="s">
        <v>521</v>
      </c>
      <c r="B36" s="26" t="s">
        <v>520</v>
      </c>
      <c r="C36" s="26" t="s">
        <v>507</v>
      </c>
      <c r="D36" s="30">
        <v>500</v>
      </c>
      <c r="E36" s="28">
        <v>2485.5700000000002</v>
      </c>
      <c r="F36" s="29">
        <v>1.31183340282144</v>
      </c>
    </row>
    <row r="37" spans="1:9" ht="10.5" x14ac:dyDescent="0.25">
      <c r="A37" s="25" t="s">
        <v>177</v>
      </c>
      <c r="B37" s="25"/>
      <c r="C37" s="25"/>
      <c r="D37" s="31"/>
      <c r="E37" s="32">
        <f>SUM(E23:E36)</f>
        <v>111136.52799999999</v>
      </c>
      <c r="F37" s="33">
        <f>SUM(F23:F36)</f>
        <v>58.655604028050057</v>
      </c>
      <c r="G37" s="17"/>
      <c r="H37" s="17"/>
      <c r="I37" s="17"/>
    </row>
    <row r="38" spans="1:9" x14ac:dyDescent="0.2">
      <c r="A38" s="26"/>
      <c r="B38" s="26"/>
      <c r="C38" s="26"/>
      <c r="D38" s="27"/>
      <c r="E38" s="28"/>
      <c r="F38" s="29"/>
    </row>
    <row r="39" spans="1:9" ht="10.5" x14ac:dyDescent="0.25">
      <c r="A39" s="25" t="s">
        <v>226</v>
      </c>
      <c r="B39" s="25"/>
      <c r="C39" s="25"/>
      <c r="D39" s="31"/>
      <c r="E39" s="32">
        <f>E21+E37</f>
        <v>176231.971594</v>
      </c>
      <c r="F39" s="33">
        <f>F21+F37</f>
        <v>93.011658083292218</v>
      </c>
      <c r="G39" s="17"/>
      <c r="H39" s="17"/>
      <c r="I39" s="17"/>
    </row>
    <row r="40" spans="1:9" ht="10.5" x14ac:dyDescent="0.25">
      <c r="A40" s="25"/>
      <c r="B40" s="25"/>
      <c r="C40" s="25"/>
      <c r="D40" s="31"/>
      <c r="E40" s="32"/>
      <c r="F40" s="33"/>
      <c r="G40" s="17"/>
      <c r="H40" s="17"/>
      <c r="I40" s="17"/>
    </row>
    <row r="41" spans="1:9" ht="10.5" x14ac:dyDescent="0.25">
      <c r="A41" s="25" t="s">
        <v>228</v>
      </c>
      <c r="B41" s="25"/>
      <c r="C41" s="25"/>
      <c r="D41" s="31"/>
      <c r="E41" s="32">
        <f>E43-(E21+E37)</f>
        <v>13241.020529400004</v>
      </c>
      <c r="F41" s="33">
        <f>F43-(F21+F37)</f>
        <v>6.9883419167077818</v>
      </c>
      <c r="G41" s="17"/>
      <c r="H41" s="17"/>
      <c r="I41" s="17"/>
    </row>
    <row r="42" spans="1:9" ht="10.5" x14ac:dyDescent="0.25">
      <c r="A42" s="25"/>
      <c r="B42" s="25"/>
      <c r="C42" s="25"/>
      <c r="D42" s="31"/>
      <c r="E42" s="32"/>
      <c r="F42" s="33"/>
      <c r="G42" s="17"/>
      <c r="H42" s="17"/>
      <c r="I42" s="17"/>
    </row>
    <row r="43" spans="1:9" ht="10.5" x14ac:dyDescent="0.25">
      <c r="A43" s="34" t="s">
        <v>227</v>
      </c>
      <c r="B43" s="34"/>
      <c r="C43" s="34"/>
      <c r="D43" s="35"/>
      <c r="E43" s="36">
        <v>189472.99212340001</v>
      </c>
      <c r="F43" s="37">
        <v>100</v>
      </c>
      <c r="G43" s="17"/>
      <c r="H43" s="17"/>
      <c r="I43" s="17"/>
    </row>
    <row r="44" spans="1:9" ht="10.5" x14ac:dyDescent="0.25">
      <c r="A44" s="17" t="s">
        <v>229</v>
      </c>
    </row>
    <row r="45" spans="1:9" ht="10.5" x14ac:dyDescent="0.25">
      <c r="A45" s="17" t="s">
        <v>231</v>
      </c>
    </row>
    <row r="47" spans="1:9" ht="10.5" x14ac:dyDescent="0.25">
      <c r="A47" s="17" t="s">
        <v>232</v>
      </c>
    </row>
    <row r="48" spans="1:9" ht="10.5" x14ac:dyDescent="0.25">
      <c r="A48" s="17" t="s">
        <v>233</v>
      </c>
    </row>
    <row r="49" spans="1:4" ht="10.5" x14ac:dyDescent="0.25">
      <c r="A49" s="17" t="s">
        <v>234</v>
      </c>
      <c r="B49" s="17"/>
      <c r="C49" s="38" t="s">
        <v>236</v>
      </c>
      <c r="D49" s="18" t="s">
        <v>235</v>
      </c>
    </row>
    <row r="50" spans="1:4" x14ac:dyDescent="0.2">
      <c r="A50" s="10" t="s">
        <v>237</v>
      </c>
      <c r="C50" s="39">
        <v>36.091099999999997</v>
      </c>
      <c r="D50" s="39">
        <v>37.219099999999997</v>
      </c>
    </row>
    <row r="51" spans="1:4" x14ac:dyDescent="0.2">
      <c r="A51" s="10" t="s">
        <v>238</v>
      </c>
      <c r="C51" s="39">
        <v>10.0761</v>
      </c>
      <c r="D51" s="39">
        <v>10.0723</v>
      </c>
    </row>
    <row r="52" spans="1:4" x14ac:dyDescent="0.2">
      <c r="A52" s="10" t="s">
        <v>447</v>
      </c>
      <c r="C52" s="39">
        <v>10.2562</v>
      </c>
      <c r="D52" s="39">
        <v>10.180099999999999</v>
      </c>
    </row>
    <row r="53" spans="1:4" x14ac:dyDescent="0.2">
      <c r="A53" s="10" t="s">
        <v>448</v>
      </c>
      <c r="C53" s="39">
        <v>10.9764</v>
      </c>
      <c r="D53" s="39">
        <v>10.869899999999999</v>
      </c>
    </row>
    <row r="54" spans="1:4" x14ac:dyDescent="0.2">
      <c r="A54" s="10" t="s">
        <v>522</v>
      </c>
      <c r="C54" s="39">
        <v>10.382899999999999</v>
      </c>
      <c r="D54" s="39">
        <v>10.3323</v>
      </c>
    </row>
    <row r="55" spans="1:4" x14ac:dyDescent="0.2">
      <c r="A55" s="10" t="s">
        <v>449</v>
      </c>
      <c r="C55" s="39">
        <v>36.956499999999998</v>
      </c>
      <c r="D55" s="39">
        <v>38.141599999999997</v>
      </c>
    </row>
    <row r="56" spans="1:4" x14ac:dyDescent="0.2">
      <c r="A56" s="10" t="s">
        <v>523</v>
      </c>
      <c r="C56" s="39">
        <v>10.0817</v>
      </c>
      <c r="D56" s="39">
        <v>10.082800000000001</v>
      </c>
    </row>
    <row r="57" spans="1:4" x14ac:dyDescent="0.2">
      <c r="A57" s="10" t="s">
        <v>451</v>
      </c>
      <c r="C57" s="39">
        <v>10.5557</v>
      </c>
      <c r="D57" s="39">
        <v>10.4971</v>
      </c>
    </row>
    <row r="58" spans="1:4" x14ac:dyDescent="0.2">
      <c r="A58" s="10" t="s">
        <v>452</v>
      </c>
      <c r="C58" s="39">
        <v>11.3203</v>
      </c>
      <c r="D58" s="39">
        <v>11.2334</v>
      </c>
    </row>
    <row r="60" spans="1:4" ht="10.5" x14ac:dyDescent="0.25">
      <c r="A60" s="17" t="s">
        <v>248</v>
      </c>
    </row>
    <row r="61" spans="1:4" ht="10.5" x14ac:dyDescent="0.25">
      <c r="A61" s="84" t="s">
        <v>249</v>
      </c>
      <c r="B61" s="85"/>
      <c r="C61" s="82" t="s">
        <v>250</v>
      </c>
      <c r="D61" s="83"/>
    </row>
    <row r="62" spans="1:4" ht="10.5" x14ac:dyDescent="0.25">
      <c r="A62" s="84"/>
      <c r="B62" s="85"/>
      <c r="C62" s="40" t="s">
        <v>251</v>
      </c>
      <c r="D62" s="41" t="s">
        <v>252</v>
      </c>
    </row>
    <row r="63" spans="1:4" x14ac:dyDescent="0.2">
      <c r="A63" s="78" t="s">
        <v>238</v>
      </c>
      <c r="B63" s="79"/>
      <c r="C63" s="42">
        <v>0.2353340491</v>
      </c>
      <c r="D63" s="42">
        <v>0.2213564583</v>
      </c>
    </row>
    <row r="64" spans="1:4" x14ac:dyDescent="0.2">
      <c r="A64" s="78" t="s">
        <v>447</v>
      </c>
      <c r="B64" s="79"/>
      <c r="C64" s="42">
        <v>0.29260487750000003</v>
      </c>
      <c r="D64" s="42">
        <v>0.2752822835</v>
      </c>
    </row>
    <row r="65" spans="1:5" x14ac:dyDescent="0.2">
      <c r="A65" s="78" t="s">
        <v>448</v>
      </c>
      <c r="B65" s="79"/>
      <c r="C65" s="42">
        <v>0.31694198800000001</v>
      </c>
      <c r="D65" s="42">
        <v>0.29348986040000002</v>
      </c>
    </row>
    <row r="66" spans="1:5" x14ac:dyDescent="0.2">
      <c r="A66" s="78" t="s">
        <v>522</v>
      </c>
      <c r="B66" s="79"/>
      <c r="C66" s="42">
        <v>0.25495739010000001</v>
      </c>
      <c r="D66" s="42">
        <v>0.23920182440000001</v>
      </c>
    </row>
    <row r="67" spans="1:5" x14ac:dyDescent="0.2">
      <c r="A67" s="78" t="s">
        <v>523</v>
      </c>
      <c r="B67" s="79"/>
      <c r="C67" s="42">
        <v>0.23736308810000001</v>
      </c>
      <c r="D67" s="42">
        <v>0.22317248140000001</v>
      </c>
    </row>
    <row r="68" spans="1:5" x14ac:dyDescent="0.2">
      <c r="A68" s="78" t="s">
        <v>451</v>
      </c>
      <c r="B68" s="79"/>
      <c r="C68" s="42">
        <v>0.29260487750000003</v>
      </c>
      <c r="D68" s="42">
        <v>0.2752822835</v>
      </c>
    </row>
    <row r="69" spans="1:5" x14ac:dyDescent="0.2">
      <c r="A69" s="78" t="s">
        <v>452</v>
      </c>
      <c r="B69" s="79"/>
      <c r="C69" s="42">
        <v>0.31694198800000001</v>
      </c>
      <c r="D69" s="42">
        <v>0.29348986040000002</v>
      </c>
    </row>
    <row r="71" spans="1:5" ht="10.5" x14ac:dyDescent="0.25">
      <c r="A71" s="17" t="s">
        <v>253</v>
      </c>
      <c r="D71" s="43">
        <v>0.55695544687671195</v>
      </c>
      <c r="E71" s="15" t="s">
        <v>254</v>
      </c>
    </row>
    <row r="73" spans="1:5" ht="10.5" x14ac:dyDescent="0.25">
      <c r="A73" s="17" t="s">
        <v>255</v>
      </c>
      <c r="D73" s="46" t="s">
        <v>256</v>
      </c>
    </row>
  </sheetData>
  <mergeCells count="11">
    <mergeCell ref="A69:B69"/>
    <mergeCell ref="A1:F1"/>
    <mergeCell ref="C61:D61"/>
    <mergeCell ref="A61:B61"/>
    <mergeCell ref="A62:B62"/>
    <mergeCell ref="A63:B63"/>
    <mergeCell ref="A64:B64"/>
    <mergeCell ref="A65:B65"/>
    <mergeCell ref="A66:B66"/>
    <mergeCell ref="A67:B67"/>
    <mergeCell ref="A68:B68"/>
  </mergeCells>
  <conditionalFormatting sqref="F2:F3 F5:F65533">
    <cfRule type="cellIs" dxfId="65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workbookViewId="0">
      <selection sqref="A1:F1"/>
    </sheetView>
  </sheetViews>
  <sheetFormatPr defaultColWidth="9.1796875" defaultRowHeight="10" x14ac:dyDescent="0.2"/>
  <cols>
    <col min="1" max="1" width="45.7265625" style="10" customWidth="1"/>
    <col min="2" max="2" width="30.54296875" style="10" customWidth="1"/>
    <col min="3" max="3" width="19.81640625" style="10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5.81640625" style="10" bestFit="1" customWidth="1"/>
    <col min="8" max="16384" width="9.1796875" style="10"/>
  </cols>
  <sheetData>
    <row r="1" spans="1:9" s="1" customFormat="1" ht="14" x14ac:dyDescent="0.25">
      <c r="A1" s="80" t="s">
        <v>8</v>
      </c>
      <c r="B1" s="81"/>
      <c r="C1" s="81"/>
      <c r="D1" s="81"/>
      <c r="E1" s="81"/>
      <c r="F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9" ht="10.5" x14ac:dyDescent="0.25">
      <c r="A5" s="20" t="s">
        <v>584</v>
      </c>
      <c r="B5" s="21"/>
      <c r="C5" s="21"/>
      <c r="D5" s="22"/>
      <c r="E5" s="23"/>
      <c r="F5" s="24"/>
    </row>
    <row r="6" spans="1:9" x14ac:dyDescent="0.2">
      <c r="A6" s="26" t="s">
        <v>586</v>
      </c>
      <c r="B6" s="26" t="s">
        <v>585</v>
      </c>
      <c r="C6" s="26" t="s">
        <v>587</v>
      </c>
      <c r="D6" s="30">
        <v>11500000</v>
      </c>
      <c r="E6" s="28">
        <v>12553.538</v>
      </c>
      <c r="F6" s="29">
        <v>42.195029014106701</v>
      </c>
    </row>
    <row r="7" spans="1:9" x14ac:dyDescent="0.2">
      <c r="A7" s="26" t="s">
        <v>589</v>
      </c>
      <c r="B7" s="26" t="s">
        <v>588</v>
      </c>
      <c r="C7" s="26" t="s">
        <v>587</v>
      </c>
      <c r="D7" s="30">
        <v>11000000</v>
      </c>
      <c r="E7" s="28">
        <v>11262.108</v>
      </c>
      <c r="F7" s="29">
        <v>37.854266567720003</v>
      </c>
    </row>
    <row r="8" spans="1:9" x14ac:dyDescent="0.2">
      <c r="A8" s="26" t="s">
        <v>591</v>
      </c>
      <c r="B8" s="26" t="s">
        <v>590</v>
      </c>
      <c r="C8" s="26" t="s">
        <v>587</v>
      </c>
      <c r="D8" s="30">
        <v>1900000</v>
      </c>
      <c r="E8" s="28">
        <v>2040.2618</v>
      </c>
      <c r="F8" s="29">
        <v>6.8577404909574904</v>
      </c>
    </row>
    <row r="9" spans="1:9" x14ac:dyDescent="0.2">
      <c r="A9" s="26" t="s">
        <v>593</v>
      </c>
      <c r="B9" s="26" t="s">
        <v>592</v>
      </c>
      <c r="C9" s="26" t="s">
        <v>587</v>
      </c>
      <c r="D9" s="30">
        <v>1000000</v>
      </c>
      <c r="E9" s="28">
        <v>1059.989</v>
      </c>
      <c r="F9" s="29">
        <v>3.5628415359585399</v>
      </c>
    </row>
    <row r="10" spans="1:9" ht="10.5" x14ac:dyDescent="0.25">
      <c r="A10" s="25" t="s">
        <v>177</v>
      </c>
      <c r="B10" s="25"/>
      <c r="C10" s="25"/>
      <c r="D10" s="31"/>
      <c r="E10" s="32">
        <f>SUM(E6:E9)</f>
        <v>26915.896800000002</v>
      </c>
      <c r="F10" s="33">
        <f>SUM(F6:F9)</f>
        <v>90.469877608742735</v>
      </c>
      <c r="G10" s="17"/>
      <c r="H10" s="17"/>
      <c r="I10" s="17"/>
    </row>
    <row r="11" spans="1:9" x14ac:dyDescent="0.2">
      <c r="A11" s="26"/>
      <c r="B11" s="26"/>
      <c r="C11" s="26"/>
      <c r="D11" s="27"/>
      <c r="E11" s="28"/>
      <c r="F11" s="29"/>
    </row>
    <row r="12" spans="1:9" ht="10.5" x14ac:dyDescent="0.25">
      <c r="A12" s="25" t="s">
        <v>226</v>
      </c>
      <c r="B12" s="25"/>
      <c r="C12" s="25"/>
      <c r="D12" s="31"/>
      <c r="E12" s="32">
        <f>E10</f>
        <v>26915.896800000002</v>
      </c>
      <c r="F12" s="33">
        <f>F10</f>
        <v>90.469877608742735</v>
      </c>
      <c r="G12" s="17"/>
      <c r="H12" s="17"/>
      <c r="I12" s="17"/>
    </row>
    <row r="13" spans="1:9" ht="10.5" x14ac:dyDescent="0.25">
      <c r="A13" s="25"/>
      <c r="B13" s="25"/>
      <c r="C13" s="25"/>
      <c r="D13" s="31"/>
      <c r="E13" s="32"/>
      <c r="F13" s="33"/>
      <c r="G13" s="17"/>
      <c r="H13" s="17"/>
      <c r="I13" s="17"/>
    </row>
    <row r="14" spans="1:9" ht="10.5" x14ac:dyDescent="0.25">
      <c r="A14" s="25" t="s">
        <v>228</v>
      </c>
      <c r="B14" s="25"/>
      <c r="C14" s="25"/>
      <c r="D14" s="31"/>
      <c r="E14" s="32">
        <f>E16-(E10)</f>
        <v>2835.3281506999992</v>
      </c>
      <c r="F14" s="33">
        <f>F16-(F10)</f>
        <v>9.5301223912572652</v>
      </c>
      <c r="G14" s="17"/>
      <c r="H14" s="17"/>
      <c r="I14" s="17"/>
    </row>
    <row r="15" spans="1:9" ht="10.5" x14ac:dyDescent="0.25">
      <c r="A15" s="25"/>
      <c r="B15" s="25"/>
      <c r="C15" s="25"/>
      <c r="D15" s="31"/>
      <c r="E15" s="32"/>
      <c r="F15" s="33"/>
      <c r="G15" s="17"/>
      <c r="H15" s="17"/>
      <c r="I15" s="17"/>
    </row>
    <row r="16" spans="1:9" ht="10.5" x14ac:dyDescent="0.25">
      <c r="A16" s="34" t="s">
        <v>227</v>
      </c>
      <c r="B16" s="34"/>
      <c r="C16" s="34"/>
      <c r="D16" s="35"/>
      <c r="E16" s="36">
        <v>29751.224950700002</v>
      </c>
      <c r="F16" s="37">
        <v>100</v>
      </c>
      <c r="G16" s="17"/>
      <c r="H16" s="17"/>
      <c r="I16" s="17"/>
    </row>
    <row r="18" spans="1:5" ht="10.5" x14ac:dyDescent="0.25">
      <c r="A18" s="17" t="s">
        <v>232</v>
      </c>
    </row>
    <row r="19" spans="1:5" ht="10.5" x14ac:dyDescent="0.25">
      <c r="A19" s="17" t="s">
        <v>233</v>
      </c>
    </row>
    <row r="20" spans="1:5" ht="10.5" x14ac:dyDescent="0.25">
      <c r="A20" s="17" t="s">
        <v>234</v>
      </c>
      <c r="B20" s="17"/>
      <c r="C20" s="38" t="s">
        <v>236</v>
      </c>
      <c r="D20" s="18" t="s">
        <v>235</v>
      </c>
    </row>
    <row r="21" spans="1:5" x14ac:dyDescent="0.2">
      <c r="A21" s="10" t="s">
        <v>594</v>
      </c>
      <c r="C21" s="39">
        <v>43.711300000000001</v>
      </c>
      <c r="D21" s="39">
        <v>46.148099999999999</v>
      </c>
    </row>
    <row r="22" spans="1:5" x14ac:dyDescent="0.2">
      <c r="A22" s="10" t="s">
        <v>595</v>
      </c>
      <c r="C22" s="39">
        <v>10.8964</v>
      </c>
      <c r="D22" s="39">
        <v>11.045999999999999</v>
      </c>
    </row>
    <row r="23" spans="1:5" x14ac:dyDescent="0.2">
      <c r="A23" s="10" t="s">
        <v>596</v>
      </c>
      <c r="C23" s="39">
        <v>46.5961</v>
      </c>
      <c r="D23" s="39">
        <v>49.3262</v>
      </c>
    </row>
    <row r="24" spans="1:5" x14ac:dyDescent="0.2">
      <c r="A24" s="10" t="s">
        <v>597</v>
      </c>
      <c r="C24" s="39">
        <v>11.8416</v>
      </c>
      <c r="D24" s="39">
        <v>12.076499999999999</v>
      </c>
    </row>
    <row r="26" spans="1:5" ht="10.5" x14ac:dyDescent="0.25">
      <c r="A26" s="17" t="s">
        <v>248</v>
      </c>
    </row>
    <row r="27" spans="1:5" ht="10.5" x14ac:dyDescent="0.25">
      <c r="A27" s="84" t="s">
        <v>249</v>
      </c>
      <c r="B27" s="85"/>
      <c r="C27" s="82" t="s">
        <v>250</v>
      </c>
      <c r="D27" s="83"/>
    </row>
    <row r="28" spans="1:5" ht="10.5" x14ac:dyDescent="0.25">
      <c r="A28" s="84"/>
      <c r="B28" s="85"/>
      <c r="C28" s="40" t="s">
        <v>251</v>
      </c>
      <c r="D28" s="41" t="s">
        <v>252</v>
      </c>
    </row>
    <row r="29" spans="1:5" x14ac:dyDescent="0.2">
      <c r="A29" s="78" t="s">
        <v>595</v>
      </c>
      <c r="B29" s="79"/>
      <c r="C29" s="42">
        <v>0.31694198800000001</v>
      </c>
      <c r="D29" s="42">
        <v>0.29348986040000002</v>
      </c>
    </row>
    <row r="30" spans="1:5" x14ac:dyDescent="0.2">
      <c r="A30" s="78" t="s">
        <v>597</v>
      </c>
      <c r="B30" s="79"/>
      <c r="C30" s="42">
        <v>0.31694198800000001</v>
      </c>
      <c r="D30" s="42">
        <v>0.29348986040000002</v>
      </c>
    </row>
    <row r="32" spans="1:5" ht="10.5" x14ac:dyDescent="0.25">
      <c r="A32" s="17" t="s">
        <v>253</v>
      </c>
      <c r="D32" s="43">
        <v>9.8372289286301395</v>
      </c>
      <c r="E32" s="15" t="s">
        <v>254</v>
      </c>
    </row>
    <row r="34" spans="1:4" ht="10.5" x14ac:dyDescent="0.25">
      <c r="A34" s="17" t="s">
        <v>255</v>
      </c>
      <c r="D34" s="46" t="s">
        <v>256</v>
      </c>
    </row>
  </sheetData>
  <mergeCells count="6">
    <mergeCell ref="A30:B30"/>
    <mergeCell ref="A1:F1"/>
    <mergeCell ref="C27:D27"/>
    <mergeCell ref="A27:B27"/>
    <mergeCell ref="A28:B28"/>
    <mergeCell ref="A29:B29"/>
  </mergeCells>
  <conditionalFormatting sqref="F2:F3 F5:F65532">
    <cfRule type="cellIs" dxfId="64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9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5.4531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5.7265625" style="10" bestFit="1" customWidth="1"/>
    <col min="8" max="16384" width="9.1796875" style="10"/>
  </cols>
  <sheetData>
    <row r="1" spans="1:6" s="1" customFormat="1" ht="14" x14ac:dyDescent="0.25">
      <c r="A1" s="80" t="s">
        <v>9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599</v>
      </c>
      <c r="B7" s="26" t="s">
        <v>598</v>
      </c>
      <c r="C7" s="26" t="s">
        <v>600</v>
      </c>
      <c r="D7" s="30">
        <v>250</v>
      </c>
      <c r="E7" s="28">
        <v>2535.54</v>
      </c>
      <c r="F7" s="29">
        <v>10.131155992075101</v>
      </c>
    </row>
    <row r="8" spans="1:6" x14ac:dyDescent="0.2">
      <c r="A8" s="26" t="s">
        <v>602</v>
      </c>
      <c r="B8" s="26" t="s">
        <v>601</v>
      </c>
      <c r="C8" s="26" t="s">
        <v>603</v>
      </c>
      <c r="D8" s="30">
        <v>250</v>
      </c>
      <c r="E8" s="28">
        <v>2463.855</v>
      </c>
      <c r="F8" s="29">
        <v>9.8447270983120703</v>
      </c>
    </row>
    <row r="9" spans="1:6" x14ac:dyDescent="0.2">
      <c r="A9" s="26" t="s">
        <v>605</v>
      </c>
      <c r="B9" s="26" t="s">
        <v>604</v>
      </c>
      <c r="C9" s="26" t="s">
        <v>176</v>
      </c>
      <c r="D9" s="30">
        <v>250</v>
      </c>
      <c r="E9" s="28">
        <v>2453.5174999999999</v>
      </c>
      <c r="F9" s="29">
        <v>9.8034219621012095</v>
      </c>
    </row>
    <row r="10" spans="1:6" x14ac:dyDescent="0.2">
      <c r="A10" s="26" t="s">
        <v>175</v>
      </c>
      <c r="B10" s="26" t="s">
        <v>174</v>
      </c>
      <c r="C10" s="26" t="s">
        <v>176</v>
      </c>
      <c r="D10" s="30">
        <v>170</v>
      </c>
      <c r="E10" s="28">
        <v>1724.4375</v>
      </c>
      <c r="F10" s="29">
        <v>6.8902661015341904</v>
      </c>
    </row>
    <row r="11" spans="1:6" x14ac:dyDescent="0.2">
      <c r="A11" s="26" t="s">
        <v>128</v>
      </c>
      <c r="B11" s="26" t="s">
        <v>127</v>
      </c>
      <c r="C11" s="26" t="s">
        <v>98</v>
      </c>
      <c r="D11" s="30">
        <v>120</v>
      </c>
      <c r="E11" s="28">
        <v>1200.942</v>
      </c>
      <c r="F11" s="29">
        <v>4.7985560233459701</v>
      </c>
    </row>
    <row r="12" spans="1:6" x14ac:dyDescent="0.2">
      <c r="A12" s="26" t="s">
        <v>69</v>
      </c>
      <c r="B12" s="26" t="s">
        <v>68</v>
      </c>
      <c r="C12" s="26" t="s">
        <v>70</v>
      </c>
      <c r="D12" s="30">
        <v>100</v>
      </c>
      <c r="E12" s="28">
        <v>997.00599999999997</v>
      </c>
      <c r="F12" s="29">
        <v>3.9836970866303898</v>
      </c>
    </row>
    <row r="13" spans="1:6" x14ac:dyDescent="0.2">
      <c r="A13" s="26" t="s">
        <v>139</v>
      </c>
      <c r="B13" s="26" t="s">
        <v>138</v>
      </c>
      <c r="C13" s="26" t="s">
        <v>95</v>
      </c>
      <c r="D13" s="30">
        <v>100</v>
      </c>
      <c r="E13" s="28">
        <v>987.91</v>
      </c>
      <c r="F13" s="29">
        <v>3.9473525624249302</v>
      </c>
    </row>
    <row r="14" spans="1:6" x14ac:dyDescent="0.2">
      <c r="A14" s="26" t="s">
        <v>72</v>
      </c>
      <c r="B14" s="26" t="s">
        <v>71</v>
      </c>
      <c r="C14" s="26" t="s">
        <v>73</v>
      </c>
      <c r="D14" s="30">
        <v>100</v>
      </c>
      <c r="E14" s="28">
        <v>972.48800000000006</v>
      </c>
      <c r="F14" s="29">
        <v>3.8857314924714799</v>
      </c>
    </row>
    <row r="15" spans="1:6" x14ac:dyDescent="0.2">
      <c r="A15" s="26" t="s">
        <v>100</v>
      </c>
      <c r="B15" s="26" t="s">
        <v>99</v>
      </c>
      <c r="C15" s="26" t="s">
        <v>95</v>
      </c>
      <c r="D15" s="30">
        <v>90</v>
      </c>
      <c r="E15" s="28">
        <v>870.29010000000005</v>
      </c>
      <c r="F15" s="29">
        <v>3.4773834218583199</v>
      </c>
    </row>
    <row r="16" spans="1:6" x14ac:dyDescent="0.2">
      <c r="A16" s="26" t="s">
        <v>104</v>
      </c>
      <c r="B16" s="26" t="s">
        <v>1616</v>
      </c>
      <c r="C16" s="26" t="s">
        <v>81</v>
      </c>
      <c r="D16" s="30">
        <v>85</v>
      </c>
      <c r="E16" s="28">
        <v>849.67870000000005</v>
      </c>
      <c r="F16" s="29">
        <v>3.3950272734185098</v>
      </c>
    </row>
    <row r="17" spans="1:9" x14ac:dyDescent="0.2">
      <c r="A17" s="26" t="s">
        <v>607</v>
      </c>
      <c r="B17" s="26" t="s">
        <v>606</v>
      </c>
      <c r="C17" s="26" t="s">
        <v>176</v>
      </c>
      <c r="D17" s="30">
        <v>73</v>
      </c>
      <c r="E17" s="28">
        <v>734.30553999999995</v>
      </c>
      <c r="F17" s="29">
        <v>2.9340353422091301</v>
      </c>
    </row>
    <row r="18" spans="1:9" ht="10.5" x14ac:dyDescent="0.25">
      <c r="A18" s="25" t="s">
        <v>177</v>
      </c>
      <c r="B18" s="25"/>
      <c r="C18" s="25"/>
      <c r="D18" s="31"/>
      <c r="E18" s="32">
        <f>SUM(E6:E17)</f>
        <v>15789.97034</v>
      </c>
      <c r="F18" s="33">
        <f>SUM(F6:F17)</f>
        <v>63.091354356381302</v>
      </c>
      <c r="G18" s="17"/>
      <c r="H18" s="17"/>
      <c r="I18" s="17"/>
    </row>
    <row r="19" spans="1:9" x14ac:dyDescent="0.2">
      <c r="A19" s="26"/>
      <c r="B19" s="26"/>
      <c r="C19" s="26"/>
      <c r="D19" s="27"/>
      <c r="E19" s="28"/>
      <c r="F19" s="29"/>
    </row>
    <row r="20" spans="1:9" ht="10.5" x14ac:dyDescent="0.25">
      <c r="A20" s="25" t="s">
        <v>221</v>
      </c>
      <c r="B20" s="26"/>
      <c r="C20" s="26"/>
      <c r="D20" s="27"/>
      <c r="E20" s="28"/>
      <c r="F20" s="29"/>
    </row>
    <row r="21" spans="1:9" ht="10.5" x14ac:dyDescent="0.25">
      <c r="A21" s="25" t="s">
        <v>463</v>
      </c>
      <c r="B21" s="26"/>
      <c r="C21" s="26"/>
      <c r="D21" s="27"/>
      <c r="E21" s="28"/>
      <c r="F21" s="29"/>
    </row>
    <row r="22" spans="1:9" x14ac:dyDescent="0.2">
      <c r="A22" s="26" t="s">
        <v>492</v>
      </c>
      <c r="B22" s="26" t="s">
        <v>491</v>
      </c>
      <c r="C22" s="26" t="s">
        <v>466</v>
      </c>
      <c r="D22" s="30">
        <v>4600</v>
      </c>
      <c r="E22" s="28">
        <v>4572.4322000000002</v>
      </c>
      <c r="F22" s="29">
        <v>18.269884869253499</v>
      </c>
    </row>
    <row r="23" spans="1:9" x14ac:dyDescent="0.2">
      <c r="A23" s="26" t="s">
        <v>494</v>
      </c>
      <c r="B23" s="26" t="s">
        <v>493</v>
      </c>
      <c r="C23" s="26" t="s">
        <v>466</v>
      </c>
      <c r="D23" s="30">
        <v>2300</v>
      </c>
      <c r="E23" s="28">
        <v>2286.6415999999999</v>
      </c>
      <c r="F23" s="29">
        <v>9.1366425879963202</v>
      </c>
    </row>
    <row r="24" spans="1:9" ht="10.5" x14ac:dyDescent="0.25">
      <c r="A24" s="25" t="s">
        <v>177</v>
      </c>
      <c r="B24" s="25"/>
      <c r="C24" s="25"/>
      <c r="D24" s="31"/>
      <c r="E24" s="32">
        <f>SUM(E21:E23)</f>
        <v>6859.0738000000001</v>
      </c>
      <c r="F24" s="33">
        <f>SUM(F21:F23)</f>
        <v>27.406527457249819</v>
      </c>
      <c r="G24" s="17"/>
      <c r="H24" s="17"/>
      <c r="I24" s="17"/>
    </row>
    <row r="25" spans="1:9" x14ac:dyDescent="0.2">
      <c r="A25" s="26"/>
      <c r="B25" s="26"/>
      <c r="C25" s="26"/>
      <c r="D25" s="27"/>
      <c r="E25" s="28"/>
      <c r="F25" s="29"/>
    </row>
    <row r="26" spans="1:9" ht="10.5" x14ac:dyDescent="0.25">
      <c r="A26" s="25" t="s">
        <v>226</v>
      </c>
      <c r="B26" s="25"/>
      <c r="C26" s="25"/>
      <c r="D26" s="31"/>
      <c r="E26" s="32">
        <f>E18+E24</f>
        <v>22649.044139999998</v>
      </c>
      <c r="F26" s="33">
        <f>F18+F24</f>
        <v>90.497881813631125</v>
      </c>
      <c r="G26" s="17"/>
      <c r="H26" s="17"/>
      <c r="I26" s="17"/>
    </row>
    <row r="27" spans="1:9" ht="10.5" x14ac:dyDescent="0.25">
      <c r="A27" s="25"/>
      <c r="B27" s="25"/>
      <c r="C27" s="25"/>
      <c r="D27" s="31"/>
      <c r="E27" s="32"/>
      <c r="F27" s="33"/>
      <c r="G27" s="17"/>
      <c r="H27" s="17"/>
      <c r="I27" s="17"/>
    </row>
    <row r="28" spans="1:9" ht="10.5" x14ac:dyDescent="0.25">
      <c r="A28" s="25" t="s">
        <v>228</v>
      </c>
      <c r="B28" s="25"/>
      <c r="C28" s="25"/>
      <c r="D28" s="31"/>
      <c r="E28" s="32">
        <f>E30-(E18+E24)</f>
        <v>2378.1097404000029</v>
      </c>
      <c r="F28" s="33">
        <f>F30-(F18+F24)</f>
        <v>9.5021181863688753</v>
      </c>
      <c r="G28" s="17"/>
      <c r="H28" s="17"/>
      <c r="I28" s="17"/>
    </row>
    <row r="29" spans="1:9" ht="10.5" x14ac:dyDescent="0.25">
      <c r="A29" s="25"/>
      <c r="B29" s="25"/>
      <c r="C29" s="25"/>
      <c r="D29" s="31"/>
      <c r="E29" s="32"/>
      <c r="F29" s="33"/>
      <c r="G29" s="17"/>
      <c r="H29" s="17"/>
      <c r="I29" s="17"/>
    </row>
    <row r="30" spans="1:9" ht="10.5" x14ac:dyDescent="0.25">
      <c r="A30" s="34" t="s">
        <v>227</v>
      </c>
      <c r="B30" s="34"/>
      <c r="C30" s="34"/>
      <c r="D30" s="35"/>
      <c r="E30" s="36">
        <v>25027.153880400001</v>
      </c>
      <c r="F30" s="37">
        <v>100</v>
      </c>
      <c r="G30" s="17"/>
      <c r="H30" s="17"/>
      <c r="I30" s="17"/>
    </row>
    <row r="31" spans="1:9" ht="10.5" x14ac:dyDescent="0.25">
      <c r="A31" s="17" t="s">
        <v>231</v>
      </c>
    </row>
    <row r="33" spans="1:5" ht="10.5" x14ac:dyDescent="0.25">
      <c r="A33" s="17" t="s">
        <v>232</v>
      </c>
    </row>
    <row r="34" spans="1:5" ht="10.5" x14ac:dyDescent="0.25">
      <c r="A34" s="17" t="s">
        <v>233</v>
      </c>
    </row>
    <row r="35" spans="1:5" ht="10.5" x14ac:dyDescent="0.25">
      <c r="A35" s="17" t="s">
        <v>234</v>
      </c>
      <c r="B35" s="17"/>
      <c r="C35" s="38" t="s">
        <v>236</v>
      </c>
      <c r="D35" s="18" t="s">
        <v>235</v>
      </c>
    </row>
    <row r="36" spans="1:5" x14ac:dyDescent="0.2">
      <c r="A36" s="10" t="s">
        <v>543</v>
      </c>
      <c r="C36" s="39">
        <v>29.112400000000001</v>
      </c>
      <c r="D36" s="39">
        <v>29.802399999999999</v>
      </c>
    </row>
    <row r="37" spans="1:5" x14ac:dyDescent="0.2">
      <c r="A37" s="10" t="s">
        <v>608</v>
      </c>
      <c r="C37" s="39">
        <v>10.0337</v>
      </c>
      <c r="D37" s="39">
        <v>9.9755000000000003</v>
      </c>
    </row>
    <row r="38" spans="1:5" x14ac:dyDescent="0.2">
      <c r="A38" s="10" t="s">
        <v>546</v>
      </c>
      <c r="C38" s="39">
        <v>30.546299999999999</v>
      </c>
      <c r="D38" s="39">
        <v>31.3644</v>
      </c>
    </row>
    <row r="39" spans="1:5" x14ac:dyDescent="0.2">
      <c r="A39" s="10" t="s">
        <v>609</v>
      </c>
      <c r="C39" s="39">
        <v>10.048999999999999</v>
      </c>
      <c r="D39" s="39">
        <v>9.9652999999999992</v>
      </c>
    </row>
    <row r="41" spans="1:5" ht="10.5" x14ac:dyDescent="0.25">
      <c r="A41" s="17" t="s">
        <v>248</v>
      </c>
    </row>
    <row r="42" spans="1:5" ht="10.5" x14ac:dyDescent="0.25">
      <c r="A42" s="84" t="s">
        <v>249</v>
      </c>
      <c r="B42" s="85"/>
      <c r="C42" s="82" t="s">
        <v>250</v>
      </c>
      <c r="D42" s="83"/>
    </row>
    <row r="43" spans="1:5" ht="10.5" x14ac:dyDescent="0.25">
      <c r="A43" s="84"/>
      <c r="B43" s="85"/>
      <c r="C43" s="40" t="s">
        <v>251</v>
      </c>
      <c r="D43" s="41" t="s">
        <v>252</v>
      </c>
    </row>
    <row r="44" spans="1:5" x14ac:dyDescent="0.2">
      <c r="A44" s="78" t="s">
        <v>608</v>
      </c>
      <c r="B44" s="79"/>
      <c r="C44" s="42">
        <v>0.21337655210000001</v>
      </c>
      <c r="D44" s="42">
        <v>0.19831689290000001</v>
      </c>
    </row>
    <row r="45" spans="1:5" x14ac:dyDescent="0.2">
      <c r="A45" s="78" t="s">
        <v>609</v>
      </c>
      <c r="B45" s="79"/>
      <c r="C45" s="42">
        <v>0.2565147982</v>
      </c>
      <c r="D45" s="42">
        <v>0.2394150843</v>
      </c>
    </row>
    <row r="47" spans="1:5" ht="10.5" x14ac:dyDescent="0.25">
      <c r="A47" s="17" t="s">
        <v>253</v>
      </c>
      <c r="D47" s="43">
        <v>1.0814702596986301</v>
      </c>
      <c r="E47" s="15" t="s">
        <v>254</v>
      </c>
    </row>
    <row r="49" spans="1:4" ht="10.5" x14ac:dyDescent="0.25">
      <c r="A49" s="17" t="s">
        <v>255</v>
      </c>
      <c r="D49" s="46" t="s">
        <v>256</v>
      </c>
    </row>
  </sheetData>
  <mergeCells count="6">
    <mergeCell ref="A45:B45"/>
    <mergeCell ref="A1:F1"/>
    <mergeCell ref="C42:D42"/>
    <mergeCell ref="A42:B42"/>
    <mergeCell ref="A43:B43"/>
    <mergeCell ref="A44:B44"/>
  </mergeCells>
  <conditionalFormatting sqref="F2:F3 F5:F65533">
    <cfRule type="cellIs" dxfId="63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6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3.816406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6" style="10" bestFit="1" customWidth="1"/>
    <col min="8" max="16384" width="9.1796875" style="10"/>
  </cols>
  <sheetData>
    <row r="1" spans="1:6" s="1" customFormat="1" ht="14" x14ac:dyDescent="0.25">
      <c r="A1" s="80" t="s">
        <v>10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175</v>
      </c>
      <c r="B7" s="26" t="s">
        <v>174</v>
      </c>
      <c r="C7" s="26" t="s">
        <v>176</v>
      </c>
      <c r="D7" s="30">
        <v>767</v>
      </c>
      <c r="E7" s="28">
        <v>7780.2562500000004</v>
      </c>
      <c r="F7" s="29">
        <v>7.2595453768065301</v>
      </c>
    </row>
    <row r="8" spans="1:6" x14ac:dyDescent="0.2">
      <c r="A8" s="26" t="s">
        <v>599</v>
      </c>
      <c r="B8" s="26" t="s">
        <v>598</v>
      </c>
      <c r="C8" s="26" t="s">
        <v>600</v>
      </c>
      <c r="D8" s="30">
        <v>500</v>
      </c>
      <c r="E8" s="28">
        <v>5071.08</v>
      </c>
      <c r="F8" s="29">
        <v>4.7316867448184698</v>
      </c>
    </row>
    <row r="9" spans="1:6" x14ac:dyDescent="0.2">
      <c r="A9" s="26" t="s">
        <v>265</v>
      </c>
      <c r="B9" s="26" t="s">
        <v>264</v>
      </c>
      <c r="C9" s="26" t="s">
        <v>148</v>
      </c>
      <c r="D9" s="30">
        <v>500</v>
      </c>
      <c r="E9" s="28">
        <v>4538.8950000000004</v>
      </c>
      <c r="F9" s="29">
        <v>4.2351194040762197</v>
      </c>
    </row>
    <row r="10" spans="1:6" x14ac:dyDescent="0.2">
      <c r="A10" s="26" t="s">
        <v>660</v>
      </c>
      <c r="B10" s="26" t="s">
        <v>659</v>
      </c>
      <c r="C10" s="26" t="s">
        <v>600</v>
      </c>
      <c r="D10" s="30">
        <v>430</v>
      </c>
      <c r="E10" s="28">
        <v>4353.8446000000004</v>
      </c>
      <c r="F10" s="29">
        <v>4.0624539117543899</v>
      </c>
    </row>
    <row r="11" spans="1:6" x14ac:dyDescent="0.2">
      <c r="A11" s="26" t="s">
        <v>662</v>
      </c>
      <c r="B11" s="26" t="s">
        <v>661</v>
      </c>
      <c r="C11" s="26" t="s">
        <v>176</v>
      </c>
      <c r="D11" s="30">
        <v>380</v>
      </c>
      <c r="E11" s="28">
        <v>4027.3996000000002</v>
      </c>
      <c r="F11" s="29">
        <v>3.75785696605204</v>
      </c>
    </row>
    <row r="12" spans="1:6" x14ac:dyDescent="0.2">
      <c r="A12" s="26" t="s">
        <v>319</v>
      </c>
      <c r="B12" s="26" t="s">
        <v>318</v>
      </c>
      <c r="C12" s="26" t="s">
        <v>216</v>
      </c>
      <c r="D12" s="30">
        <v>310</v>
      </c>
      <c r="E12" s="28">
        <v>2846.5470999999998</v>
      </c>
      <c r="F12" s="29">
        <v>2.65603563374497</v>
      </c>
    </row>
    <row r="13" spans="1:6" x14ac:dyDescent="0.2">
      <c r="A13" s="26" t="s">
        <v>664</v>
      </c>
      <c r="B13" s="26" t="s">
        <v>663</v>
      </c>
      <c r="C13" s="26" t="s">
        <v>603</v>
      </c>
      <c r="D13" s="30">
        <v>264</v>
      </c>
      <c r="E13" s="28">
        <v>2686.1471999999999</v>
      </c>
      <c r="F13" s="29">
        <v>2.5063708521402202</v>
      </c>
    </row>
    <row r="14" spans="1:6" x14ac:dyDescent="0.2">
      <c r="A14" s="26" t="s">
        <v>666</v>
      </c>
      <c r="B14" s="26" t="s">
        <v>665</v>
      </c>
      <c r="C14" s="26" t="s">
        <v>176</v>
      </c>
      <c r="D14" s="30">
        <v>250</v>
      </c>
      <c r="E14" s="28">
        <v>2568.1799999999998</v>
      </c>
      <c r="F14" s="29">
        <v>2.3962988681519302</v>
      </c>
    </row>
    <row r="15" spans="1:6" x14ac:dyDescent="0.2">
      <c r="A15" s="26" t="s">
        <v>668</v>
      </c>
      <c r="B15" s="26" t="s">
        <v>667</v>
      </c>
      <c r="C15" s="26" t="s">
        <v>176</v>
      </c>
      <c r="D15" s="30">
        <v>250</v>
      </c>
      <c r="E15" s="28">
        <v>2491.0925000000002</v>
      </c>
      <c r="F15" s="29">
        <v>2.3243706197430698</v>
      </c>
    </row>
    <row r="16" spans="1:6" x14ac:dyDescent="0.2">
      <c r="A16" s="26" t="s">
        <v>538</v>
      </c>
      <c r="B16" s="26" t="s">
        <v>537</v>
      </c>
      <c r="C16" s="26" t="s">
        <v>148</v>
      </c>
      <c r="D16" s="30">
        <v>250</v>
      </c>
      <c r="E16" s="28">
        <v>2489.9299999999998</v>
      </c>
      <c r="F16" s="29">
        <v>2.3232859226290699</v>
      </c>
    </row>
    <row r="17" spans="1:6" x14ac:dyDescent="0.2">
      <c r="A17" s="26" t="s">
        <v>670</v>
      </c>
      <c r="B17" s="26" t="s">
        <v>669</v>
      </c>
      <c r="C17" s="26" t="s">
        <v>176</v>
      </c>
      <c r="D17" s="30">
        <v>250</v>
      </c>
      <c r="E17" s="28">
        <v>2481.3200000000002</v>
      </c>
      <c r="F17" s="29">
        <v>2.3152521659395902</v>
      </c>
    </row>
    <row r="18" spans="1:6" x14ac:dyDescent="0.2">
      <c r="A18" s="26" t="s">
        <v>672</v>
      </c>
      <c r="B18" s="26" t="s">
        <v>671</v>
      </c>
      <c r="C18" s="26" t="s">
        <v>176</v>
      </c>
      <c r="D18" s="30">
        <v>200</v>
      </c>
      <c r="E18" s="28">
        <v>2050.326</v>
      </c>
      <c r="F18" s="29">
        <v>1.9131033935092101</v>
      </c>
    </row>
    <row r="19" spans="1:6" x14ac:dyDescent="0.2">
      <c r="A19" s="26" t="s">
        <v>674</v>
      </c>
      <c r="B19" s="26" t="s">
        <v>673</v>
      </c>
      <c r="C19" s="26" t="s">
        <v>176</v>
      </c>
      <c r="D19" s="30">
        <v>166</v>
      </c>
      <c r="E19" s="28">
        <v>1928.41038</v>
      </c>
      <c r="F19" s="29">
        <v>1.79934724627029</v>
      </c>
    </row>
    <row r="20" spans="1:6" x14ac:dyDescent="0.2">
      <c r="A20" s="26" t="s">
        <v>676</v>
      </c>
      <c r="B20" s="26" t="s">
        <v>675</v>
      </c>
      <c r="C20" s="26" t="s">
        <v>176</v>
      </c>
      <c r="D20" s="30">
        <v>180</v>
      </c>
      <c r="E20" s="28">
        <v>1832.6178</v>
      </c>
      <c r="F20" s="29">
        <v>1.70996579674909</v>
      </c>
    </row>
    <row r="21" spans="1:6" x14ac:dyDescent="0.2">
      <c r="A21" s="26" t="s">
        <v>678</v>
      </c>
      <c r="B21" s="26" t="s">
        <v>677</v>
      </c>
      <c r="C21" s="26" t="s">
        <v>176</v>
      </c>
      <c r="D21" s="30">
        <v>140</v>
      </c>
      <c r="E21" s="28">
        <v>1497.846</v>
      </c>
      <c r="F21" s="29">
        <v>1.39759934057032</v>
      </c>
    </row>
    <row r="22" spans="1:6" x14ac:dyDescent="0.2">
      <c r="A22" s="26" t="s">
        <v>680</v>
      </c>
      <c r="B22" s="26" t="s">
        <v>679</v>
      </c>
      <c r="C22" s="26" t="s">
        <v>95</v>
      </c>
      <c r="D22" s="30">
        <v>150</v>
      </c>
      <c r="E22" s="28">
        <v>1465.1279999999999</v>
      </c>
      <c r="F22" s="29">
        <v>1.3670710651503</v>
      </c>
    </row>
    <row r="23" spans="1:6" x14ac:dyDescent="0.2">
      <c r="A23" s="26" t="s">
        <v>367</v>
      </c>
      <c r="B23" s="26" t="s">
        <v>366</v>
      </c>
      <c r="C23" s="26" t="s">
        <v>176</v>
      </c>
      <c r="D23" s="30">
        <v>118</v>
      </c>
      <c r="E23" s="28">
        <v>1212.7674199999999</v>
      </c>
      <c r="F23" s="29">
        <v>1.1316002756339301</v>
      </c>
    </row>
    <row r="24" spans="1:6" x14ac:dyDescent="0.2">
      <c r="A24" s="26" t="s">
        <v>682</v>
      </c>
      <c r="B24" s="26" t="s">
        <v>681</v>
      </c>
      <c r="C24" s="26" t="s">
        <v>176</v>
      </c>
      <c r="D24" s="30">
        <v>100</v>
      </c>
      <c r="E24" s="28">
        <v>1033.854</v>
      </c>
      <c r="F24" s="29">
        <v>0.96466103233976797</v>
      </c>
    </row>
    <row r="25" spans="1:6" x14ac:dyDescent="0.2">
      <c r="A25" s="26" t="s">
        <v>684</v>
      </c>
      <c r="B25" s="26" t="s">
        <v>683</v>
      </c>
      <c r="C25" s="26" t="s">
        <v>176</v>
      </c>
      <c r="D25" s="30">
        <v>100</v>
      </c>
      <c r="E25" s="28">
        <v>1001.978</v>
      </c>
      <c r="F25" s="29">
        <v>0.934918404205755</v>
      </c>
    </row>
    <row r="26" spans="1:6" x14ac:dyDescent="0.2">
      <c r="A26" s="26" t="s">
        <v>686</v>
      </c>
      <c r="B26" s="26" t="s">
        <v>685</v>
      </c>
      <c r="C26" s="26" t="s">
        <v>216</v>
      </c>
      <c r="D26" s="30">
        <v>100</v>
      </c>
      <c r="E26" s="28">
        <v>973.64200000000005</v>
      </c>
      <c r="F26" s="29">
        <v>0.90847885373501203</v>
      </c>
    </row>
    <row r="27" spans="1:6" x14ac:dyDescent="0.2">
      <c r="A27" s="26" t="s">
        <v>688</v>
      </c>
      <c r="B27" s="26" t="s">
        <v>687</v>
      </c>
      <c r="C27" s="26" t="s">
        <v>176</v>
      </c>
      <c r="D27" s="30">
        <v>76</v>
      </c>
      <c r="E27" s="28">
        <v>790.32324000000006</v>
      </c>
      <c r="F27" s="29">
        <v>0.73742910757274305</v>
      </c>
    </row>
    <row r="28" spans="1:6" x14ac:dyDescent="0.2">
      <c r="A28" s="26" t="s">
        <v>690</v>
      </c>
      <c r="B28" s="26" t="s">
        <v>689</v>
      </c>
      <c r="C28" s="26" t="s">
        <v>603</v>
      </c>
      <c r="D28" s="30">
        <v>59</v>
      </c>
      <c r="E28" s="28">
        <v>601.30498999999998</v>
      </c>
      <c r="F28" s="29">
        <v>0.56106132239605799</v>
      </c>
    </row>
    <row r="29" spans="1:6" x14ac:dyDescent="0.2">
      <c r="A29" s="26" t="s">
        <v>692</v>
      </c>
      <c r="B29" s="26" t="s">
        <v>691</v>
      </c>
      <c r="C29" s="26" t="s">
        <v>86</v>
      </c>
      <c r="D29" s="30">
        <v>60</v>
      </c>
      <c r="E29" s="28">
        <v>565.22339999999997</v>
      </c>
      <c r="F29" s="29">
        <v>0.52739457268298395</v>
      </c>
    </row>
    <row r="30" spans="1:6" x14ac:dyDescent="0.2">
      <c r="A30" s="26" t="s">
        <v>694</v>
      </c>
      <c r="B30" s="26" t="s">
        <v>693</v>
      </c>
      <c r="C30" s="26" t="s">
        <v>650</v>
      </c>
      <c r="D30" s="30">
        <v>50</v>
      </c>
      <c r="E30" s="28">
        <v>541.67499999999995</v>
      </c>
      <c r="F30" s="29">
        <v>0.50542220148361805</v>
      </c>
    </row>
    <row r="31" spans="1:6" x14ac:dyDescent="0.2">
      <c r="A31" s="26" t="s">
        <v>696</v>
      </c>
      <c r="B31" s="26" t="s">
        <v>695</v>
      </c>
      <c r="C31" s="26" t="s">
        <v>650</v>
      </c>
      <c r="D31" s="30">
        <v>53</v>
      </c>
      <c r="E31" s="28">
        <v>541.08495000000005</v>
      </c>
      <c r="F31" s="29">
        <v>0.50487164188610001</v>
      </c>
    </row>
    <row r="32" spans="1:6" x14ac:dyDescent="0.2">
      <c r="A32" s="26" t="s">
        <v>698</v>
      </c>
      <c r="B32" s="26" t="s">
        <v>697</v>
      </c>
      <c r="C32" s="26" t="s">
        <v>176</v>
      </c>
      <c r="D32" s="30">
        <v>50</v>
      </c>
      <c r="E32" s="28">
        <v>526.89350000000002</v>
      </c>
      <c r="F32" s="29">
        <v>0.49162998609389102</v>
      </c>
    </row>
    <row r="33" spans="1:6" x14ac:dyDescent="0.2">
      <c r="A33" s="26" t="s">
        <v>700</v>
      </c>
      <c r="B33" s="26" t="s">
        <v>699</v>
      </c>
      <c r="C33" s="26" t="s">
        <v>650</v>
      </c>
      <c r="D33" s="30">
        <v>44</v>
      </c>
      <c r="E33" s="28">
        <v>522.36887999999999</v>
      </c>
      <c r="F33" s="29">
        <v>0.48740818630383798</v>
      </c>
    </row>
    <row r="34" spans="1:6" x14ac:dyDescent="0.2">
      <c r="A34" s="26" t="s">
        <v>702</v>
      </c>
      <c r="B34" s="26" t="s">
        <v>701</v>
      </c>
      <c r="C34" s="26" t="s">
        <v>176</v>
      </c>
      <c r="D34" s="30">
        <v>50</v>
      </c>
      <c r="E34" s="28">
        <v>507.54500000000002</v>
      </c>
      <c r="F34" s="29">
        <v>0.473576427289431</v>
      </c>
    </row>
    <row r="35" spans="1:6" x14ac:dyDescent="0.2">
      <c r="A35" s="26" t="s">
        <v>704</v>
      </c>
      <c r="B35" s="26" t="s">
        <v>703</v>
      </c>
      <c r="C35" s="26" t="s">
        <v>176</v>
      </c>
      <c r="D35" s="30">
        <v>50</v>
      </c>
      <c r="E35" s="28">
        <v>497.99950000000001</v>
      </c>
      <c r="F35" s="29">
        <v>0.46466978100842898</v>
      </c>
    </row>
    <row r="36" spans="1:6" x14ac:dyDescent="0.2">
      <c r="A36" s="26" t="s">
        <v>623</v>
      </c>
      <c r="B36" s="26" t="s">
        <v>622</v>
      </c>
      <c r="C36" s="26" t="s">
        <v>176</v>
      </c>
      <c r="D36" s="30">
        <v>45</v>
      </c>
      <c r="E36" s="28">
        <v>483.16770000000002</v>
      </c>
      <c r="F36" s="29">
        <v>0.45083063205755503</v>
      </c>
    </row>
    <row r="37" spans="1:6" x14ac:dyDescent="0.2">
      <c r="A37" s="26" t="s">
        <v>706</v>
      </c>
      <c r="B37" s="26" t="s">
        <v>705</v>
      </c>
      <c r="C37" s="26" t="s">
        <v>650</v>
      </c>
      <c r="D37" s="30">
        <v>34</v>
      </c>
      <c r="E37" s="28">
        <v>355.34046000000001</v>
      </c>
      <c r="F37" s="29">
        <v>0.33155851307407802</v>
      </c>
    </row>
    <row r="38" spans="1:6" x14ac:dyDescent="0.2">
      <c r="A38" s="26" t="s">
        <v>708</v>
      </c>
      <c r="B38" s="26" t="s">
        <v>707</v>
      </c>
      <c r="C38" s="26" t="s">
        <v>176</v>
      </c>
      <c r="D38" s="30">
        <v>31</v>
      </c>
      <c r="E38" s="28">
        <v>349.39046000000002</v>
      </c>
      <c r="F38" s="29">
        <v>0.32600672999598301</v>
      </c>
    </row>
    <row r="39" spans="1:6" x14ac:dyDescent="0.2">
      <c r="A39" s="26" t="s">
        <v>710</v>
      </c>
      <c r="B39" s="26" t="s">
        <v>709</v>
      </c>
      <c r="C39" s="26" t="s">
        <v>176</v>
      </c>
      <c r="D39" s="30">
        <v>33</v>
      </c>
      <c r="E39" s="28">
        <v>331.93610999999999</v>
      </c>
      <c r="F39" s="29">
        <v>0.30972055100956902</v>
      </c>
    </row>
    <row r="40" spans="1:6" x14ac:dyDescent="0.2">
      <c r="A40" s="26" t="s">
        <v>712</v>
      </c>
      <c r="B40" s="26" t="s">
        <v>711</v>
      </c>
      <c r="C40" s="26" t="s">
        <v>176</v>
      </c>
      <c r="D40" s="30">
        <v>20</v>
      </c>
      <c r="E40" s="28">
        <v>216.52699999999999</v>
      </c>
      <c r="F40" s="29">
        <v>0.20203545118501601</v>
      </c>
    </row>
    <row r="41" spans="1:6" x14ac:dyDescent="0.2">
      <c r="A41" s="26" t="s">
        <v>360</v>
      </c>
      <c r="B41" s="26" t="s">
        <v>359</v>
      </c>
      <c r="C41" s="26" t="s">
        <v>176</v>
      </c>
      <c r="D41" s="30">
        <v>20</v>
      </c>
      <c r="E41" s="28">
        <v>201.55500000000001</v>
      </c>
      <c r="F41" s="29">
        <v>0.18806548542951099</v>
      </c>
    </row>
    <row r="42" spans="1:6" x14ac:dyDescent="0.2">
      <c r="A42" s="26" t="s">
        <v>714</v>
      </c>
      <c r="B42" s="26" t="s">
        <v>713</v>
      </c>
      <c r="C42" s="26" t="s">
        <v>650</v>
      </c>
      <c r="D42" s="30">
        <v>19</v>
      </c>
      <c r="E42" s="28">
        <v>196.36139</v>
      </c>
      <c r="F42" s="29">
        <v>0.18321946927619601</v>
      </c>
    </row>
    <row r="43" spans="1:6" x14ac:dyDescent="0.2">
      <c r="A43" s="26" t="s">
        <v>716</v>
      </c>
      <c r="B43" s="26" t="s">
        <v>715</v>
      </c>
      <c r="C43" s="26" t="s">
        <v>176</v>
      </c>
      <c r="D43" s="30">
        <v>15</v>
      </c>
      <c r="E43" s="28">
        <v>176.7747</v>
      </c>
      <c r="F43" s="29">
        <v>0.16494366186478199</v>
      </c>
    </row>
    <row r="44" spans="1:6" x14ac:dyDescent="0.2">
      <c r="A44" s="26" t="s">
        <v>718</v>
      </c>
      <c r="B44" s="26" t="s">
        <v>717</v>
      </c>
      <c r="C44" s="26" t="s">
        <v>201</v>
      </c>
      <c r="D44" s="30">
        <v>15</v>
      </c>
      <c r="E44" s="28">
        <v>148.72890000000001</v>
      </c>
      <c r="F44" s="29">
        <v>0.13877488911660499</v>
      </c>
    </row>
    <row r="45" spans="1:6" x14ac:dyDescent="0.2">
      <c r="A45" s="26" t="s">
        <v>720</v>
      </c>
      <c r="B45" s="26" t="s">
        <v>719</v>
      </c>
      <c r="C45" s="26" t="s">
        <v>721</v>
      </c>
      <c r="D45" s="30">
        <v>10</v>
      </c>
      <c r="E45" s="28">
        <v>106.64360000000001</v>
      </c>
      <c r="F45" s="29">
        <v>9.9506240986086306E-2</v>
      </c>
    </row>
    <row r="46" spans="1:6" x14ac:dyDescent="0.2">
      <c r="A46" s="26" t="s">
        <v>723</v>
      </c>
      <c r="B46" s="26" t="s">
        <v>722</v>
      </c>
      <c r="C46" s="26" t="s">
        <v>650</v>
      </c>
      <c r="D46" s="30">
        <v>70</v>
      </c>
      <c r="E46" s="28">
        <v>72.043369999999996</v>
      </c>
      <c r="F46" s="29">
        <v>6.7221707975628903E-2</v>
      </c>
    </row>
    <row r="47" spans="1:6" x14ac:dyDescent="0.2">
      <c r="A47" s="26" t="s">
        <v>725</v>
      </c>
      <c r="B47" s="26" t="s">
        <v>724</v>
      </c>
      <c r="C47" s="26" t="s">
        <v>378</v>
      </c>
      <c r="D47" s="30">
        <v>5</v>
      </c>
      <c r="E47" s="28">
        <v>48.124899999999997</v>
      </c>
      <c r="F47" s="29">
        <v>4.4904034530260699E-2</v>
      </c>
    </row>
    <row r="48" spans="1:6" x14ac:dyDescent="0.2">
      <c r="A48" s="26" t="s">
        <v>727</v>
      </c>
      <c r="B48" s="26" t="s">
        <v>726</v>
      </c>
      <c r="C48" s="26" t="s">
        <v>603</v>
      </c>
      <c r="D48" s="30">
        <v>3</v>
      </c>
      <c r="E48" s="28">
        <v>35.365349999999999</v>
      </c>
      <c r="F48" s="29">
        <v>3.2998445660661201E-2</v>
      </c>
    </row>
    <row r="49" spans="1:9" x14ac:dyDescent="0.2">
      <c r="A49" s="26" t="s">
        <v>729</v>
      </c>
      <c r="B49" s="26" t="s">
        <v>728</v>
      </c>
      <c r="C49" s="26" t="s">
        <v>176</v>
      </c>
      <c r="D49" s="30">
        <v>3</v>
      </c>
      <c r="E49" s="28">
        <v>30.616499999999998</v>
      </c>
      <c r="F49" s="29">
        <v>2.85674229597511E-2</v>
      </c>
    </row>
    <row r="50" spans="1:9" x14ac:dyDescent="0.2">
      <c r="A50" s="26" t="s">
        <v>731</v>
      </c>
      <c r="B50" s="26" t="s">
        <v>730</v>
      </c>
      <c r="C50" s="26" t="s">
        <v>176</v>
      </c>
      <c r="D50" s="30">
        <v>3</v>
      </c>
      <c r="E50" s="28">
        <v>30.577079999999999</v>
      </c>
      <c r="F50" s="29">
        <v>2.8530641230517701E-2</v>
      </c>
    </row>
    <row r="51" spans="1:9" x14ac:dyDescent="0.2">
      <c r="A51" s="26" t="s">
        <v>733</v>
      </c>
      <c r="B51" s="26" t="s">
        <v>732</v>
      </c>
      <c r="C51" s="26" t="s">
        <v>176</v>
      </c>
      <c r="D51" s="30">
        <v>2</v>
      </c>
      <c r="E51" s="28">
        <v>20.792120000000001</v>
      </c>
      <c r="F51" s="29">
        <v>1.9400561340123801E-2</v>
      </c>
    </row>
    <row r="52" spans="1:9" x14ac:dyDescent="0.2">
      <c r="A52" s="26" t="s">
        <v>735</v>
      </c>
      <c r="B52" s="26" t="s">
        <v>734</v>
      </c>
      <c r="C52" s="26" t="s">
        <v>176</v>
      </c>
      <c r="D52" s="30">
        <v>2</v>
      </c>
      <c r="E52" s="28">
        <v>20.247399999999999</v>
      </c>
      <c r="F52" s="29">
        <v>1.88922979320061E-2</v>
      </c>
    </row>
    <row r="53" spans="1:9" ht="10.5" x14ac:dyDescent="0.25">
      <c r="A53" s="25" t="s">
        <v>177</v>
      </c>
      <c r="B53" s="25"/>
      <c r="C53" s="25"/>
      <c r="D53" s="31"/>
      <c r="E53" s="32">
        <f>SUM(E6:E52)</f>
        <v>62249.872349999998</v>
      </c>
      <c r="F53" s="33">
        <f>SUM(F6:F52)</f>
        <v>58.083661836361593</v>
      </c>
      <c r="G53" s="17"/>
      <c r="H53" s="17"/>
      <c r="I53" s="17"/>
    </row>
    <row r="54" spans="1:9" x14ac:dyDescent="0.2">
      <c r="A54" s="26"/>
      <c r="B54" s="26"/>
      <c r="C54" s="26"/>
      <c r="D54" s="27"/>
      <c r="E54" s="28"/>
      <c r="F54" s="29"/>
    </row>
    <row r="55" spans="1:9" ht="10.5" x14ac:dyDescent="0.25">
      <c r="A55" s="25" t="s">
        <v>178</v>
      </c>
      <c r="B55" s="26"/>
      <c r="C55" s="26"/>
      <c r="D55" s="27"/>
      <c r="E55" s="28"/>
      <c r="F55" s="29"/>
    </row>
    <row r="56" spans="1:9" x14ac:dyDescent="0.2">
      <c r="A56" s="26" t="s">
        <v>424</v>
      </c>
      <c r="B56" s="26" t="s">
        <v>423</v>
      </c>
      <c r="C56" s="26" t="s">
        <v>425</v>
      </c>
      <c r="D56" s="30">
        <v>200</v>
      </c>
      <c r="E56" s="28">
        <v>534.6</v>
      </c>
      <c r="F56" s="29">
        <v>0.49882071152100799</v>
      </c>
    </row>
    <row r="57" spans="1:9" x14ac:dyDescent="0.2">
      <c r="A57" s="26" t="s">
        <v>737</v>
      </c>
      <c r="B57" s="26" t="s">
        <v>736</v>
      </c>
      <c r="C57" s="26" t="s">
        <v>176</v>
      </c>
      <c r="D57" s="30">
        <v>49</v>
      </c>
      <c r="E57" s="28">
        <v>489.50166999999999</v>
      </c>
      <c r="F57" s="29">
        <v>0.456740687093381</v>
      </c>
    </row>
    <row r="58" spans="1:9" x14ac:dyDescent="0.2">
      <c r="A58" s="26" t="s">
        <v>417</v>
      </c>
      <c r="B58" s="26" t="s">
        <v>416</v>
      </c>
      <c r="C58" s="26" t="s">
        <v>418</v>
      </c>
      <c r="D58" s="30">
        <v>42</v>
      </c>
      <c r="E58" s="28">
        <v>408.37817999999999</v>
      </c>
      <c r="F58" s="29">
        <v>0.38104656625000799</v>
      </c>
    </row>
    <row r="59" spans="1:9" ht="10.5" x14ac:dyDescent="0.25">
      <c r="A59" s="25" t="s">
        <v>177</v>
      </c>
      <c r="B59" s="25"/>
      <c r="C59" s="25"/>
      <c r="D59" s="31"/>
      <c r="E59" s="32">
        <f>SUM(E55:E58)</f>
        <v>1432.4798499999999</v>
      </c>
      <c r="F59" s="33">
        <f>SUM(F55:F58)</f>
        <v>1.3366079648643969</v>
      </c>
      <c r="G59" s="17"/>
      <c r="H59" s="17"/>
      <c r="I59" s="17"/>
    </row>
    <row r="60" spans="1:9" x14ac:dyDescent="0.2">
      <c r="A60" s="26"/>
      <c r="B60" s="26"/>
      <c r="C60" s="26"/>
      <c r="D60" s="27"/>
      <c r="E60" s="28"/>
      <c r="F60" s="29"/>
    </row>
    <row r="61" spans="1:9" ht="10.5" x14ac:dyDescent="0.25">
      <c r="A61" s="25" t="s">
        <v>221</v>
      </c>
      <c r="B61" s="26"/>
      <c r="C61" s="26"/>
      <c r="D61" s="27"/>
      <c r="E61" s="28"/>
      <c r="F61" s="29"/>
    </row>
    <row r="62" spans="1:9" ht="10.5" x14ac:dyDescent="0.25">
      <c r="A62" s="25" t="s">
        <v>463</v>
      </c>
      <c r="B62" s="26"/>
      <c r="C62" s="26"/>
      <c r="D62" s="27"/>
      <c r="E62" s="28"/>
      <c r="F62" s="29"/>
    </row>
    <row r="63" spans="1:9" x14ac:dyDescent="0.2">
      <c r="A63" s="26" t="s">
        <v>477</v>
      </c>
      <c r="B63" s="26" t="s">
        <v>476</v>
      </c>
      <c r="C63" s="26" t="s">
        <v>478</v>
      </c>
      <c r="D63" s="30">
        <v>1500</v>
      </c>
      <c r="E63" s="28">
        <v>1474.3185000000001</v>
      </c>
      <c r="F63" s="29">
        <v>1.37564647059219</v>
      </c>
    </row>
    <row r="64" spans="1:9" ht="10.5" x14ac:dyDescent="0.25">
      <c r="A64" s="25" t="s">
        <v>177</v>
      </c>
      <c r="B64" s="25"/>
      <c r="C64" s="25"/>
      <c r="D64" s="31"/>
      <c r="E64" s="32">
        <f>SUM(E62:E63)</f>
        <v>1474.3185000000001</v>
      </c>
      <c r="F64" s="33">
        <f>SUM(F62:F63)</f>
        <v>1.37564647059219</v>
      </c>
      <c r="G64" s="17"/>
      <c r="H64" s="17"/>
      <c r="I64" s="17"/>
    </row>
    <row r="65" spans="1:9" x14ac:dyDescent="0.2">
      <c r="A65" s="26"/>
      <c r="B65" s="26"/>
      <c r="C65" s="26"/>
      <c r="D65" s="27"/>
      <c r="E65" s="28"/>
      <c r="F65" s="29"/>
    </row>
    <row r="66" spans="1:9" ht="10.5" x14ac:dyDescent="0.25">
      <c r="A66" s="25" t="s">
        <v>584</v>
      </c>
      <c r="B66" s="26"/>
      <c r="C66" s="26"/>
      <c r="D66" s="27"/>
      <c r="E66" s="28"/>
      <c r="F66" s="29"/>
    </row>
    <row r="67" spans="1:9" x14ac:dyDescent="0.2">
      <c r="A67" s="26" t="s">
        <v>739</v>
      </c>
      <c r="B67" s="26" t="s">
        <v>738</v>
      </c>
      <c r="C67" s="26" t="s">
        <v>587</v>
      </c>
      <c r="D67" s="30">
        <v>11250000</v>
      </c>
      <c r="E67" s="28">
        <v>11703.6675</v>
      </c>
      <c r="F67" s="29">
        <v>10.9203736433881</v>
      </c>
    </row>
    <row r="68" spans="1:9" ht="10.5" x14ac:dyDescent="0.25">
      <c r="A68" s="25" t="s">
        <v>177</v>
      </c>
      <c r="B68" s="25"/>
      <c r="C68" s="25"/>
      <c r="D68" s="31"/>
      <c r="E68" s="32">
        <f>SUM(E67:E67)</f>
        <v>11703.6675</v>
      </c>
      <c r="F68" s="33">
        <f>SUM(F67:F67)</f>
        <v>10.9203736433881</v>
      </c>
      <c r="G68" s="17"/>
      <c r="H68" s="17"/>
      <c r="I68" s="17"/>
    </row>
    <row r="69" spans="1:9" x14ac:dyDescent="0.2">
      <c r="A69" s="26"/>
      <c r="B69" s="26"/>
      <c r="C69" s="26"/>
      <c r="D69" s="27"/>
      <c r="E69" s="28"/>
      <c r="F69" s="29"/>
    </row>
    <row r="70" spans="1:9" ht="10.5" x14ac:dyDescent="0.25">
      <c r="A70" s="25" t="s">
        <v>226</v>
      </c>
      <c r="B70" s="25"/>
      <c r="C70" s="25"/>
      <c r="D70" s="31"/>
      <c r="E70" s="32">
        <f>E53+E59+E64+E68</f>
        <v>76860.338199999998</v>
      </c>
      <c r="F70" s="33">
        <f>F53+F59+F64+F68</f>
        <v>71.716289915206275</v>
      </c>
      <c r="G70" s="17"/>
      <c r="H70" s="17"/>
      <c r="I70" s="17"/>
    </row>
    <row r="71" spans="1:9" ht="10.5" x14ac:dyDescent="0.25">
      <c r="A71" s="25"/>
      <c r="B71" s="25"/>
      <c r="C71" s="25"/>
      <c r="D71" s="31"/>
      <c r="E71" s="32"/>
      <c r="F71" s="33"/>
      <c r="G71" s="17"/>
      <c r="H71" s="17"/>
      <c r="I71" s="17"/>
    </row>
    <row r="72" spans="1:9" ht="10.5" x14ac:dyDescent="0.25">
      <c r="A72" s="25" t="s">
        <v>228</v>
      </c>
      <c r="B72" s="25"/>
      <c r="C72" s="25"/>
      <c r="D72" s="31"/>
      <c r="E72" s="32">
        <f>E74-(E53+E59+E64+E68)</f>
        <v>30312.437038200005</v>
      </c>
      <c r="F72" s="33">
        <f>F74-(F53+F59+F64+F68)</f>
        <v>28.283710084793725</v>
      </c>
      <c r="G72" s="17"/>
      <c r="H72" s="17"/>
      <c r="I72" s="17"/>
    </row>
    <row r="73" spans="1:9" ht="10.5" x14ac:dyDescent="0.25">
      <c r="A73" s="25"/>
      <c r="B73" s="25"/>
      <c r="C73" s="25"/>
      <c r="D73" s="31"/>
      <c r="E73" s="32"/>
      <c r="F73" s="33"/>
      <c r="G73" s="17"/>
      <c r="H73" s="17"/>
      <c r="I73" s="17"/>
    </row>
    <row r="74" spans="1:9" ht="10.5" x14ac:dyDescent="0.25">
      <c r="A74" s="34" t="s">
        <v>227</v>
      </c>
      <c r="B74" s="34"/>
      <c r="C74" s="34"/>
      <c r="D74" s="35"/>
      <c r="E74" s="36">
        <v>107172.7752382</v>
      </c>
      <c r="F74" s="37">
        <v>100</v>
      </c>
      <c r="G74" s="17"/>
      <c r="H74" s="17"/>
      <c r="I74" s="17"/>
    </row>
    <row r="75" spans="1:9" ht="10.5" x14ac:dyDescent="0.25">
      <c r="A75" s="17" t="s">
        <v>231</v>
      </c>
    </row>
    <row r="76" spans="1:9" ht="10.5" x14ac:dyDescent="0.25">
      <c r="A76" s="17" t="s">
        <v>1601</v>
      </c>
    </row>
    <row r="78" spans="1:9" ht="10.5" x14ac:dyDescent="0.25">
      <c r="A78" s="17" t="s">
        <v>232</v>
      </c>
    </row>
    <row r="79" spans="1:9" ht="10.5" x14ac:dyDescent="0.25">
      <c r="A79" s="17" t="s">
        <v>233</v>
      </c>
    </row>
    <row r="80" spans="1:9" ht="10.5" x14ac:dyDescent="0.25">
      <c r="A80" s="17" t="s">
        <v>234</v>
      </c>
      <c r="B80" s="17"/>
      <c r="C80" s="38" t="s">
        <v>236</v>
      </c>
      <c r="D80" s="18" t="s">
        <v>235</v>
      </c>
    </row>
    <row r="81" spans="1:4" x14ac:dyDescent="0.2">
      <c r="A81" s="10" t="s">
        <v>543</v>
      </c>
      <c r="C81" s="39">
        <v>69.661699999999996</v>
      </c>
      <c r="D81" s="39">
        <v>71.115899999999996</v>
      </c>
    </row>
    <row r="82" spans="1:4" x14ac:dyDescent="0.2">
      <c r="A82" s="10" t="s">
        <v>544</v>
      </c>
      <c r="C82" s="39">
        <v>16.082000000000001</v>
      </c>
      <c r="D82" s="39">
        <v>15.816700000000001</v>
      </c>
    </row>
    <row r="83" spans="1:4" x14ac:dyDescent="0.2">
      <c r="A83" s="10" t="s">
        <v>545</v>
      </c>
      <c r="C83" s="39">
        <v>13.49</v>
      </c>
      <c r="D83" s="39">
        <v>13.2143</v>
      </c>
    </row>
    <row r="84" spans="1:4" x14ac:dyDescent="0.2">
      <c r="A84" s="10" t="s">
        <v>740</v>
      </c>
      <c r="C84" s="39">
        <v>13.9589</v>
      </c>
      <c r="D84" s="39">
        <v>13.6934</v>
      </c>
    </row>
    <row r="85" spans="1:4" x14ac:dyDescent="0.2">
      <c r="A85" s="10" t="s">
        <v>741</v>
      </c>
      <c r="C85" s="39">
        <v>18.137499999999999</v>
      </c>
      <c r="D85" s="39">
        <v>17.098700000000001</v>
      </c>
    </row>
    <row r="86" spans="1:4" x14ac:dyDescent="0.2">
      <c r="A86" s="10" t="s">
        <v>546</v>
      </c>
      <c r="C86" s="39">
        <v>73.122699999999995</v>
      </c>
      <c r="D86" s="39">
        <v>74.861999999999995</v>
      </c>
    </row>
    <row r="87" spans="1:4" x14ac:dyDescent="0.2">
      <c r="A87" s="10" t="s">
        <v>547</v>
      </c>
      <c r="C87" s="39">
        <v>17.176600000000001</v>
      </c>
      <c r="D87" s="39">
        <v>16.9832</v>
      </c>
    </row>
    <row r="88" spans="1:4" x14ac:dyDescent="0.2">
      <c r="A88" s="10" t="s">
        <v>548</v>
      </c>
      <c r="C88" s="39">
        <v>14.4353</v>
      </c>
      <c r="D88" s="39">
        <v>14.221299999999999</v>
      </c>
    </row>
    <row r="89" spans="1:4" x14ac:dyDescent="0.2">
      <c r="A89" s="10" t="s">
        <v>742</v>
      </c>
      <c r="C89" s="39">
        <v>15.215999999999999</v>
      </c>
      <c r="D89" s="39">
        <v>15.021800000000001</v>
      </c>
    </row>
    <row r="90" spans="1:4" x14ac:dyDescent="0.2">
      <c r="A90" s="10" t="s">
        <v>743</v>
      </c>
      <c r="C90" s="39">
        <v>19.3901</v>
      </c>
      <c r="D90" s="39">
        <v>18.433</v>
      </c>
    </row>
    <row r="92" spans="1:4" ht="10.5" x14ac:dyDescent="0.25">
      <c r="A92" s="17" t="s">
        <v>248</v>
      </c>
    </row>
    <row r="93" spans="1:4" ht="10.5" x14ac:dyDescent="0.25">
      <c r="A93" s="84" t="s">
        <v>249</v>
      </c>
      <c r="B93" s="85"/>
      <c r="C93" s="82" t="s">
        <v>250</v>
      </c>
      <c r="D93" s="83"/>
    </row>
    <row r="94" spans="1:4" ht="10.5" x14ac:dyDescent="0.25">
      <c r="A94" s="84"/>
      <c r="B94" s="85"/>
      <c r="C94" s="40" t="s">
        <v>251</v>
      </c>
      <c r="D94" s="41" t="s">
        <v>252</v>
      </c>
    </row>
    <row r="95" spans="1:4" x14ac:dyDescent="0.2">
      <c r="A95" s="78" t="s">
        <v>544</v>
      </c>
      <c r="B95" s="79"/>
      <c r="C95" s="42">
        <v>0.45016135000000002</v>
      </c>
      <c r="D95" s="42">
        <v>0.423511205</v>
      </c>
    </row>
    <row r="96" spans="1:4" x14ac:dyDescent="0.2">
      <c r="A96" s="78" t="s">
        <v>545</v>
      </c>
      <c r="B96" s="79"/>
      <c r="C96" s="42">
        <v>0.396177485</v>
      </c>
      <c r="D96" s="42">
        <v>0.36686232559999998</v>
      </c>
    </row>
    <row r="97" spans="1:5" x14ac:dyDescent="0.2">
      <c r="A97" s="78" t="s">
        <v>740</v>
      </c>
      <c r="B97" s="79"/>
      <c r="C97" s="42">
        <v>0.396177485</v>
      </c>
      <c r="D97" s="42">
        <v>0.36686232549999997</v>
      </c>
    </row>
    <row r="98" spans="1:5" x14ac:dyDescent="0.2">
      <c r="A98" s="78" t="s">
        <v>741</v>
      </c>
      <c r="B98" s="79"/>
      <c r="C98" s="42">
        <v>1.0084517799999999</v>
      </c>
      <c r="D98" s="42">
        <v>0.93383137400000005</v>
      </c>
    </row>
    <row r="99" spans="1:5" x14ac:dyDescent="0.2">
      <c r="A99" s="78" t="s">
        <v>547</v>
      </c>
      <c r="B99" s="79"/>
      <c r="C99" s="42">
        <v>0.45016135000000002</v>
      </c>
      <c r="D99" s="42">
        <v>0.423511205</v>
      </c>
    </row>
    <row r="100" spans="1:5" x14ac:dyDescent="0.2">
      <c r="A100" s="78" t="s">
        <v>548</v>
      </c>
      <c r="B100" s="79"/>
      <c r="C100" s="42">
        <v>0.396177485</v>
      </c>
      <c r="D100" s="42">
        <v>0.36686232559999998</v>
      </c>
    </row>
    <row r="101" spans="1:5" x14ac:dyDescent="0.2">
      <c r="A101" s="78" t="s">
        <v>742</v>
      </c>
      <c r="B101" s="79"/>
      <c r="C101" s="42">
        <v>0.396177485</v>
      </c>
      <c r="D101" s="42">
        <v>0.36686232549999997</v>
      </c>
    </row>
    <row r="102" spans="1:5" x14ac:dyDescent="0.2">
      <c r="A102" s="78" t="s">
        <v>743</v>
      </c>
      <c r="B102" s="79"/>
      <c r="C102" s="42">
        <v>1.0084517799999999</v>
      </c>
      <c r="D102" s="42">
        <v>0.93383137400000005</v>
      </c>
    </row>
    <row r="104" spans="1:5" ht="10.5" x14ac:dyDescent="0.25">
      <c r="A104" s="17" t="s">
        <v>253</v>
      </c>
      <c r="D104" s="43">
        <v>2.31391756419178</v>
      </c>
      <c r="E104" s="15" t="s">
        <v>254</v>
      </c>
    </row>
    <row r="106" spans="1:5" ht="10.5" x14ac:dyDescent="0.25">
      <c r="A106" s="17" t="s">
        <v>255</v>
      </c>
      <c r="D106" s="46" t="s">
        <v>256</v>
      </c>
    </row>
  </sheetData>
  <mergeCells count="12">
    <mergeCell ref="A1:F1"/>
    <mergeCell ref="C93:D93"/>
    <mergeCell ref="A93:B93"/>
    <mergeCell ref="A94:B94"/>
    <mergeCell ref="A95:B95"/>
    <mergeCell ref="A101:B101"/>
    <mergeCell ref="A102:B102"/>
    <mergeCell ref="A96:B96"/>
    <mergeCell ref="A97:B97"/>
    <mergeCell ref="A98:B98"/>
    <mergeCell ref="A99:B99"/>
    <mergeCell ref="A100:B100"/>
  </mergeCells>
  <conditionalFormatting sqref="F2:F3 F5:F65534">
    <cfRule type="cellIs" dxfId="62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4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5.26953125" style="10" bestFit="1" customWidth="1"/>
    <col min="8" max="16384" width="9.1796875" style="10"/>
  </cols>
  <sheetData>
    <row r="1" spans="1:6" s="1" customFormat="1" ht="14" x14ac:dyDescent="0.25">
      <c r="A1" s="80" t="s">
        <v>11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718</v>
      </c>
      <c r="B7" s="26" t="s">
        <v>717</v>
      </c>
      <c r="C7" s="26" t="s">
        <v>201</v>
      </c>
      <c r="D7" s="30">
        <v>935</v>
      </c>
      <c r="E7" s="28">
        <v>9270.7680999999993</v>
      </c>
      <c r="F7" s="29">
        <v>8.2314408622386299</v>
      </c>
    </row>
    <row r="8" spans="1:6" x14ac:dyDescent="0.2">
      <c r="A8" s="26" t="s">
        <v>745</v>
      </c>
      <c r="B8" s="26" t="s">
        <v>744</v>
      </c>
      <c r="C8" s="26" t="s">
        <v>176</v>
      </c>
      <c r="D8" s="30">
        <v>750</v>
      </c>
      <c r="E8" s="28">
        <v>7716.4125000000004</v>
      </c>
      <c r="F8" s="29">
        <v>6.8513409544122803</v>
      </c>
    </row>
    <row r="9" spans="1:6" x14ac:dyDescent="0.2">
      <c r="A9" s="26" t="s">
        <v>662</v>
      </c>
      <c r="B9" s="26" t="s">
        <v>661</v>
      </c>
      <c r="C9" s="26" t="s">
        <v>176</v>
      </c>
      <c r="D9" s="30">
        <v>560</v>
      </c>
      <c r="E9" s="28">
        <v>5935.1152000000002</v>
      </c>
      <c r="F9" s="29">
        <v>5.26974132589657</v>
      </c>
    </row>
    <row r="10" spans="1:6" x14ac:dyDescent="0.2">
      <c r="A10" s="26" t="s">
        <v>747</v>
      </c>
      <c r="B10" s="26" t="s">
        <v>746</v>
      </c>
      <c r="C10" s="26" t="s">
        <v>176</v>
      </c>
      <c r="D10" s="30">
        <v>350</v>
      </c>
      <c r="E10" s="28">
        <v>3512.3235</v>
      </c>
      <c r="F10" s="29">
        <v>3.1185639493345798</v>
      </c>
    </row>
    <row r="11" spans="1:6" x14ac:dyDescent="0.2">
      <c r="A11" s="26" t="s">
        <v>749</v>
      </c>
      <c r="B11" s="26" t="s">
        <v>748</v>
      </c>
      <c r="C11" s="26" t="s">
        <v>176</v>
      </c>
      <c r="D11" s="30">
        <v>300</v>
      </c>
      <c r="E11" s="28">
        <v>3185.2890000000002</v>
      </c>
      <c r="F11" s="29">
        <v>2.8281926319178701</v>
      </c>
    </row>
    <row r="12" spans="1:6" x14ac:dyDescent="0.2">
      <c r="A12" s="26" t="s">
        <v>751</v>
      </c>
      <c r="B12" s="26" t="s">
        <v>750</v>
      </c>
      <c r="C12" s="26" t="s">
        <v>650</v>
      </c>
      <c r="D12" s="30">
        <v>300</v>
      </c>
      <c r="E12" s="28">
        <v>3079.3530000000001</v>
      </c>
      <c r="F12" s="29">
        <v>2.7341329046357101</v>
      </c>
    </row>
    <row r="13" spans="1:6" x14ac:dyDescent="0.2">
      <c r="A13" s="26" t="s">
        <v>660</v>
      </c>
      <c r="B13" s="26" t="s">
        <v>659</v>
      </c>
      <c r="C13" s="26" t="s">
        <v>600</v>
      </c>
      <c r="D13" s="30">
        <v>300</v>
      </c>
      <c r="E13" s="28">
        <v>3037.5659999999998</v>
      </c>
      <c r="F13" s="29">
        <v>2.6970305614857</v>
      </c>
    </row>
    <row r="14" spans="1:6" x14ac:dyDescent="0.2">
      <c r="A14" s="26" t="s">
        <v>753</v>
      </c>
      <c r="B14" s="26" t="s">
        <v>752</v>
      </c>
      <c r="C14" s="26" t="s">
        <v>176</v>
      </c>
      <c r="D14" s="30">
        <v>250</v>
      </c>
      <c r="E14" s="28">
        <v>2770.8325</v>
      </c>
      <c r="F14" s="29">
        <v>2.4602000197717002</v>
      </c>
    </row>
    <row r="15" spans="1:6" x14ac:dyDescent="0.2">
      <c r="A15" s="26" t="s">
        <v>755</v>
      </c>
      <c r="B15" s="26" t="s">
        <v>754</v>
      </c>
      <c r="C15" s="26" t="s">
        <v>650</v>
      </c>
      <c r="D15" s="30">
        <v>250</v>
      </c>
      <c r="E15" s="28">
        <v>2558.7175000000002</v>
      </c>
      <c r="F15" s="29">
        <v>2.2718648074505401</v>
      </c>
    </row>
    <row r="16" spans="1:6" x14ac:dyDescent="0.2">
      <c r="A16" s="26" t="s">
        <v>599</v>
      </c>
      <c r="B16" s="26" t="s">
        <v>598</v>
      </c>
      <c r="C16" s="26" t="s">
        <v>600</v>
      </c>
      <c r="D16" s="30">
        <v>250</v>
      </c>
      <c r="E16" s="28">
        <v>2535.54</v>
      </c>
      <c r="F16" s="29">
        <v>2.2512856905395502</v>
      </c>
    </row>
    <row r="17" spans="1:6" x14ac:dyDescent="0.2">
      <c r="A17" s="26" t="s">
        <v>757</v>
      </c>
      <c r="B17" s="26" t="s">
        <v>756</v>
      </c>
      <c r="C17" s="26" t="s">
        <v>176</v>
      </c>
      <c r="D17" s="30">
        <v>250</v>
      </c>
      <c r="E17" s="28">
        <v>2532.98</v>
      </c>
      <c r="F17" s="29">
        <v>2.2490126870106</v>
      </c>
    </row>
    <row r="18" spans="1:6" x14ac:dyDescent="0.2">
      <c r="A18" s="26" t="s">
        <v>678</v>
      </c>
      <c r="B18" s="26" t="s">
        <v>677</v>
      </c>
      <c r="C18" s="26" t="s">
        <v>176</v>
      </c>
      <c r="D18" s="30">
        <v>210</v>
      </c>
      <c r="E18" s="28">
        <v>2246.7689999999998</v>
      </c>
      <c r="F18" s="29">
        <v>1.9948882287985401</v>
      </c>
    </row>
    <row r="19" spans="1:6" x14ac:dyDescent="0.2">
      <c r="A19" s="26" t="s">
        <v>704</v>
      </c>
      <c r="B19" s="26" t="s">
        <v>703</v>
      </c>
      <c r="C19" s="26" t="s">
        <v>176</v>
      </c>
      <c r="D19" s="30">
        <v>200</v>
      </c>
      <c r="E19" s="28">
        <v>1991.998</v>
      </c>
      <c r="F19" s="29">
        <v>1.76867909517633</v>
      </c>
    </row>
    <row r="20" spans="1:6" x14ac:dyDescent="0.2">
      <c r="A20" s="26" t="s">
        <v>684</v>
      </c>
      <c r="B20" s="26" t="s">
        <v>683</v>
      </c>
      <c r="C20" s="26" t="s">
        <v>176</v>
      </c>
      <c r="D20" s="30">
        <v>150</v>
      </c>
      <c r="E20" s="28">
        <v>1502.9670000000001</v>
      </c>
      <c r="F20" s="29">
        <v>1.3344723808155901</v>
      </c>
    </row>
    <row r="21" spans="1:6" x14ac:dyDescent="0.2">
      <c r="A21" s="26" t="s">
        <v>725</v>
      </c>
      <c r="B21" s="26" t="s">
        <v>724</v>
      </c>
      <c r="C21" s="26" t="s">
        <v>378</v>
      </c>
      <c r="D21" s="30">
        <v>145</v>
      </c>
      <c r="E21" s="28">
        <v>1395.6221</v>
      </c>
      <c r="F21" s="29">
        <v>1.2391617024897099</v>
      </c>
    </row>
    <row r="22" spans="1:6" x14ac:dyDescent="0.2">
      <c r="A22" s="26" t="s">
        <v>696</v>
      </c>
      <c r="B22" s="26" t="s">
        <v>695</v>
      </c>
      <c r="C22" s="26" t="s">
        <v>650</v>
      </c>
      <c r="D22" s="30">
        <v>120</v>
      </c>
      <c r="E22" s="28">
        <v>1225.098</v>
      </c>
      <c r="F22" s="29">
        <v>1.08775471769667</v>
      </c>
    </row>
    <row r="23" spans="1:6" x14ac:dyDescent="0.2">
      <c r="A23" s="26" t="s">
        <v>676</v>
      </c>
      <c r="B23" s="26" t="s">
        <v>675</v>
      </c>
      <c r="C23" s="26" t="s">
        <v>176</v>
      </c>
      <c r="D23" s="30">
        <v>120</v>
      </c>
      <c r="E23" s="28">
        <v>1221.7452000000001</v>
      </c>
      <c r="F23" s="29">
        <v>1.0847777933873599</v>
      </c>
    </row>
    <row r="24" spans="1:6" x14ac:dyDescent="0.2">
      <c r="A24" s="26" t="s">
        <v>759</v>
      </c>
      <c r="B24" s="26" t="s">
        <v>758</v>
      </c>
      <c r="C24" s="26" t="s">
        <v>176</v>
      </c>
      <c r="D24" s="30">
        <v>100</v>
      </c>
      <c r="E24" s="28">
        <v>1032.2470000000001</v>
      </c>
      <c r="F24" s="29">
        <v>0.91652385693082306</v>
      </c>
    </row>
    <row r="25" spans="1:6" x14ac:dyDescent="0.2">
      <c r="A25" s="26" t="s">
        <v>761</v>
      </c>
      <c r="B25" s="26" t="s">
        <v>760</v>
      </c>
      <c r="C25" s="26" t="s">
        <v>78</v>
      </c>
      <c r="D25" s="30">
        <v>100</v>
      </c>
      <c r="E25" s="28">
        <v>1012.854</v>
      </c>
      <c r="F25" s="29">
        <v>0.899304967307061</v>
      </c>
    </row>
    <row r="26" spans="1:6" x14ac:dyDescent="0.2">
      <c r="A26" s="26" t="s">
        <v>763</v>
      </c>
      <c r="B26" s="26" t="s">
        <v>762</v>
      </c>
      <c r="C26" s="26" t="s">
        <v>176</v>
      </c>
      <c r="D26" s="30">
        <v>80</v>
      </c>
      <c r="E26" s="28">
        <v>855.72879999999998</v>
      </c>
      <c r="F26" s="29">
        <v>0.75979475867964197</v>
      </c>
    </row>
    <row r="27" spans="1:6" x14ac:dyDescent="0.2">
      <c r="A27" s="26" t="s">
        <v>623</v>
      </c>
      <c r="B27" s="26" t="s">
        <v>622</v>
      </c>
      <c r="C27" s="26" t="s">
        <v>176</v>
      </c>
      <c r="D27" s="30">
        <v>70</v>
      </c>
      <c r="E27" s="28">
        <v>751.5942</v>
      </c>
      <c r="F27" s="29">
        <v>0.667334480052581</v>
      </c>
    </row>
    <row r="28" spans="1:6" x14ac:dyDescent="0.2">
      <c r="A28" s="26" t="s">
        <v>765</v>
      </c>
      <c r="B28" s="26" t="s">
        <v>764</v>
      </c>
      <c r="C28" s="26" t="s">
        <v>176</v>
      </c>
      <c r="D28" s="30">
        <v>50</v>
      </c>
      <c r="E28" s="28">
        <v>541.98249999999996</v>
      </c>
      <c r="F28" s="29">
        <v>0.48122192778376699</v>
      </c>
    </row>
    <row r="29" spans="1:6" x14ac:dyDescent="0.2">
      <c r="A29" s="26" t="s">
        <v>767</v>
      </c>
      <c r="B29" s="26" t="s">
        <v>766</v>
      </c>
      <c r="C29" s="26" t="s">
        <v>176</v>
      </c>
      <c r="D29" s="30">
        <v>50</v>
      </c>
      <c r="E29" s="28">
        <v>539.60400000000004</v>
      </c>
      <c r="F29" s="29">
        <v>0.47911007665345601</v>
      </c>
    </row>
    <row r="30" spans="1:6" x14ac:dyDescent="0.2">
      <c r="A30" s="26" t="s">
        <v>769</v>
      </c>
      <c r="B30" s="26" t="s">
        <v>768</v>
      </c>
      <c r="C30" s="26" t="s">
        <v>176</v>
      </c>
      <c r="D30" s="30">
        <v>50</v>
      </c>
      <c r="E30" s="28">
        <v>537.07399999999996</v>
      </c>
      <c r="F30" s="29">
        <v>0.47686370988461602</v>
      </c>
    </row>
    <row r="31" spans="1:6" x14ac:dyDescent="0.2">
      <c r="A31" s="26" t="s">
        <v>682</v>
      </c>
      <c r="B31" s="26" t="s">
        <v>681</v>
      </c>
      <c r="C31" s="26" t="s">
        <v>176</v>
      </c>
      <c r="D31" s="30">
        <v>50</v>
      </c>
      <c r="E31" s="28">
        <v>516.92700000000002</v>
      </c>
      <c r="F31" s="29">
        <v>0.45897534969021903</v>
      </c>
    </row>
    <row r="32" spans="1:6" x14ac:dyDescent="0.2">
      <c r="A32" s="26" t="s">
        <v>664</v>
      </c>
      <c r="B32" s="26" t="s">
        <v>663</v>
      </c>
      <c r="C32" s="26" t="s">
        <v>603</v>
      </c>
      <c r="D32" s="30">
        <v>50</v>
      </c>
      <c r="E32" s="28">
        <v>508.74</v>
      </c>
      <c r="F32" s="29">
        <v>0.45170617785761202</v>
      </c>
    </row>
    <row r="33" spans="1:9" x14ac:dyDescent="0.2">
      <c r="A33" s="26" t="s">
        <v>771</v>
      </c>
      <c r="B33" s="26" t="s">
        <v>770</v>
      </c>
      <c r="C33" s="26" t="s">
        <v>91</v>
      </c>
      <c r="D33" s="30">
        <v>47</v>
      </c>
      <c r="E33" s="28">
        <v>470.16356000000002</v>
      </c>
      <c r="F33" s="29">
        <v>0.41745446525834101</v>
      </c>
    </row>
    <row r="34" spans="1:9" x14ac:dyDescent="0.2">
      <c r="A34" s="26" t="s">
        <v>773</v>
      </c>
      <c r="B34" s="26" t="s">
        <v>772</v>
      </c>
      <c r="C34" s="26" t="s">
        <v>176</v>
      </c>
      <c r="D34" s="30">
        <v>32</v>
      </c>
      <c r="E34" s="28">
        <v>330.34336000000002</v>
      </c>
      <c r="F34" s="29">
        <v>0.29330922775138801</v>
      </c>
    </row>
    <row r="35" spans="1:9" x14ac:dyDescent="0.2">
      <c r="A35" s="26" t="s">
        <v>720</v>
      </c>
      <c r="B35" s="26" t="s">
        <v>719</v>
      </c>
      <c r="C35" s="26" t="s">
        <v>721</v>
      </c>
      <c r="D35" s="30">
        <v>27</v>
      </c>
      <c r="E35" s="28">
        <v>287.93772000000001</v>
      </c>
      <c r="F35" s="29">
        <v>0.25565759909233698</v>
      </c>
    </row>
    <row r="36" spans="1:9" x14ac:dyDescent="0.2">
      <c r="A36" s="26" t="s">
        <v>735</v>
      </c>
      <c r="B36" s="26" t="s">
        <v>734</v>
      </c>
      <c r="C36" s="26" t="s">
        <v>176</v>
      </c>
      <c r="D36" s="30">
        <v>23</v>
      </c>
      <c r="E36" s="28">
        <v>232.8451</v>
      </c>
      <c r="F36" s="29">
        <v>0.206741302342795</v>
      </c>
    </row>
    <row r="37" spans="1:9" x14ac:dyDescent="0.2">
      <c r="A37" s="26" t="s">
        <v>775</v>
      </c>
      <c r="B37" s="26" t="s">
        <v>774</v>
      </c>
      <c r="C37" s="26" t="s">
        <v>650</v>
      </c>
      <c r="D37" s="30">
        <v>5</v>
      </c>
      <c r="E37" s="28">
        <v>50.987200000000001</v>
      </c>
      <c r="F37" s="29">
        <v>4.5271127160556798E-2</v>
      </c>
    </row>
    <row r="38" spans="1:9" x14ac:dyDescent="0.2">
      <c r="A38" s="26" t="s">
        <v>731</v>
      </c>
      <c r="B38" s="26" t="s">
        <v>730</v>
      </c>
      <c r="C38" s="26" t="s">
        <v>176</v>
      </c>
      <c r="D38" s="30">
        <v>2</v>
      </c>
      <c r="E38" s="28">
        <v>20.384720000000002</v>
      </c>
      <c r="F38" s="29">
        <v>1.8099429881467202E-2</v>
      </c>
    </row>
    <row r="39" spans="1:9" x14ac:dyDescent="0.2">
      <c r="A39" s="26" t="s">
        <v>777</v>
      </c>
      <c r="B39" s="26" t="s">
        <v>776</v>
      </c>
      <c r="C39" s="26" t="s">
        <v>176</v>
      </c>
      <c r="D39" s="30">
        <v>1</v>
      </c>
      <c r="E39" s="28">
        <v>10.222300000000001</v>
      </c>
      <c r="F39" s="29">
        <v>9.0762984273182207E-3</v>
      </c>
    </row>
    <row r="40" spans="1:9" ht="10.5" x14ac:dyDescent="0.25">
      <c r="A40" s="25" t="s">
        <v>177</v>
      </c>
      <c r="B40" s="25"/>
      <c r="C40" s="25"/>
      <c r="D40" s="31"/>
      <c r="E40" s="32">
        <f>SUM(E6:E39)</f>
        <v>63418.732059999995</v>
      </c>
      <c r="F40" s="33">
        <f>SUM(F6:F39)</f>
        <v>56.308985067811896</v>
      </c>
      <c r="G40" s="17"/>
      <c r="H40" s="17"/>
      <c r="I40" s="17"/>
    </row>
    <row r="41" spans="1:9" x14ac:dyDescent="0.2">
      <c r="A41" s="26"/>
      <c r="B41" s="26"/>
      <c r="C41" s="26"/>
      <c r="D41" s="27"/>
      <c r="E41" s="28"/>
      <c r="F41" s="29"/>
    </row>
    <row r="42" spans="1:9" ht="10.5" x14ac:dyDescent="0.25">
      <c r="A42" s="25" t="s">
        <v>221</v>
      </c>
      <c r="B42" s="26"/>
      <c r="C42" s="26"/>
      <c r="D42" s="27"/>
      <c r="E42" s="28"/>
      <c r="F42" s="29"/>
    </row>
    <row r="43" spans="1:9" ht="10.5" x14ac:dyDescent="0.25">
      <c r="A43" s="25" t="s">
        <v>463</v>
      </c>
      <c r="B43" s="26"/>
      <c r="C43" s="26"/>
      <c r="D43" s="27"/>
      <c r="E43" s="28"/>
      <c r="F43" s="29"/>
    </row>
    <row r="44" spans="1:9" x14ac:dyDescent="0.2">
      <c r="A44" s="26" t="s">
        <v>477</v>
      </c>
      <c r="B44" s="26" t="s">
        <v>476</v>
      </c>
      <c r="C44" s="26" t="s">
        <v>478</v>
      </c>
      <c r="D44" s="30">
        <v>6000</v>
      </c>
      <c r="E44" s="28">
        <v>5897.2740000000003</v>
      </c>
      <c r="F44" s="29">
        <v>5.2361424270139398</v>
      </c>
    </row>
    <row r="45" spans="1:9" ht="10.5" x14ac:dyDescent="0.25">
      <c r="A45" s="25" t="s">
        <v>177</v>
      </c>
      <c r="B45" s="25"/>
      <c r="C45" s="25"/>
      <c r="D45" s="31"/>
      <c r="E45" s="32">
        <f>SUM(E43:E44)</f>
        <v>5897.2740000000003</v>
      </c>
      <c r="F45" s="33">
        <f>SUM(F43:F44)</f>
        <v>5.2361424270139398</v>
      </c>
      <c r="G45" s="17"/>
      <c r="H45" s="17"/>
      <c r="I45" s="17"/>
    </row>
    <row r="46" spans="1:9" x14ac:dyDescent="0.2">
      <c r="A46" s="26"/>
      <c r="B46" s="26"/>
      <c r="C46" s="26"/>
      <c r="D46" s="27"/>
      <c r="E46" s="28"/>
      <c r="F46" s="29"/>
    </row>
    <row r="47" spans="1:9" ht="10.5" x14ac:dyDescent="0.25">
      <c r="A47" s="25" t="s">
        <v>584</v>
      </c>
      <c r="B47" s="26"/>
      <c r="C47" s="26"/>
      <c r="D47" s="27"/>
      <c r="E47" s="28"/>
      <c r="F47" s="29"/>
    </row>
    <row r="48" spans="1:9" x14ac:dyDescent="0.2">
      <c r="A48" s="26" t="s">
        <v>739</v>
      </c>
      <c r="B48" s="26" t="s">
        <v>738</v>
      </c>
      <c r="C48" s="26" t="s">
        <v>587</v>
      </c>
      <c r="D48" s="30">
        <v>11250000</v>
      </c>
      <c r="E48" s="28">
        <v>11703.6675</v>
      </c>
      <c r="F48" s="29">
        <v>10.391592784804301</v>
      </c>
    </row>
    <row r="49" spans="1:9" ht="10.5" x14ac:dyDescent="0.25">
      <c r="A49" s="25" t="s">
        <v>177</v>
      </c>
      <c r="B49" s="25"/>
      <c r="C49" s="25"/>
      <c r="D49" s="31"/>
      <c r="E49" s="32">
        <f>SUM(E48:E48)</f>
        <v>11703.6675</v>
      </c>
      <c r="F49" s="33">
        <f>SUM(F48:F48)</f>
        <v>10.391592784804301</v>
      </c>
      <c r="G49" s="17"/>
      <c r="H49" s="17"/>
      <c r="I49" s="17"/>
    </row>
    <row r="50" spans="1:9" x14ac:dyDescent="0.2">
      <c r="A50" s="26"/>
      <c r="B50" s="26"/>
      <c r="C50" s="26"/>
      <c r="D50" s="27"/>
      <c r="E50" s="28"/>
      <c r="F50" s="29"/>
    </row>
    <row r="51" spans="1:9" ht="10.5" x14ac:dyDescent="0.25">
      <c r="A51" s="25" t="s">
        <v>226</v>
      </c>
      <c r="B51" s="25"/>
      <c r="C51" s="25"/>
      <c r="D51" s="31"/>
      <c r="E51" s="32">
        <f>E40+E45+E49</f>
        <v>81019.673559999996</v>
      </c>
      <c r="F51" s="33">
        <f>F40+F45+F49</f>
        <v>71.936720279630137</v>
      </c>
      <c r="G51" s="17"/>
      <c r="H51" s="17"/>
      <c r="I51" s="17"/>
    </row>
    <row r="52" spans="1:9" ht="10.5" x14ac:dyDescent="0.25">
      <c r="A52" s="25"/>
      <c r="B52" s="25"/>
      <c r="C52" s="25"/>
      <c r="D52" s="31"/>
      <c r="E52" s="32"/>
      <c r="F52" s="33"/>
      <c r="G52" s="17"/>
      <c r="H52" s="17"/>
      <c r="I52" s="17"/>
    </row>
    <row r="53" spans="1:9" ht="10.5" x14ac:dyDescent="0.25">
      <c r="A53" s="25" t="s">
        <v>228</v>
      </c>
      <c r="B53" s="25"/>
      <c r="C53" s="25"/>
      <c r="D53" s="31"/>
      <c r="E53" s="32">
        <f>E55-(E40+E45+E49)</f>
        <v>31606.636403900004</v>
      </c>
      <c r="F53" s="33">
        <f>F55-(F40+F45+F49)</f>
        <v>28.063279720369863</v>
      </c>
      <c r="G53" s="17"/>
      <c r="H53" s="17"/>
      <c r="I53" s="17"/>
    </row>
    <row r="54" spans="1:9" ht="10.5" x14ac:dyDescent="0.25">
      <c r="A54" s="25"/>
      <c r="B54" s="25"/>
      <c r="C54" s="25"/>
      <c r="D54" s="31"/>
      <c r="E54" s="32"/>
      <c r="F54" s="33"/>
      <c r="G54" s="17"/>
      <c r="H54" s="17"/>
      <c r="I54" s="17"/>
    </row>
    <row r="55" spans="1:9" ht="10.5" x14ac:dyDescent="0.25">
      <c r="A55" s="34" t="s">
        <v>227</v>
      </c>
      <c r="B55" s="34"/>
      <c r="C55" s="34"/>
      <c r="D55" s="35"/>
      <c r="E55" s="36">
        <v>112626.3099639</v>
      </c>
      <c r="F55" s="37">
        <v>100</v>
      </c>
      <c r="G55" s="17"/>
      <c r="H55" s="17"/>
      <c r="I55" s="17"/>
    </row>
    <row r="56" spans="1:9" ht="10.5" x14ac:dyDescent="0.25">
      <c r="A56" s="17" t="s">
        <v>231</v>
      </c>
    </row>
    <row r="58" spans="1:9" ht="10.5" x14ac:dyDescent="0.25">
      <c r="A58" s="17" t="s">
        <v>232</v>
      </c>
    </row>
    <row r="59" spans="1:9" ht="10.5" x14ac:dyDescent="0.25">
      <c r="A59" s="17" t="s">
        <v>233</v>
      </c>
    </row>
    <row r="60" spans="1:9" ht="10.5" x14ac:dyDescent="0.25">
      <c r="A60" s="17" t="s">
        <v>234</v>
      </c>
      <c r="B60" s="17"/>
      <c r="C60" s="38" t="s">
        <v>236</v>
      </c>
      <c r="D60" s="18" t="s">
        <v>235</v>
      </c>
    </row>
    <row r="61" spans="1:9" x14ac:dyDescent="0.2">
      <c r="A61" s="10" t="s">
        <v>543</v>
      </c>
      <c r="C61" s="39">
        <v>15.829499999999999</v>
      </c>
      <c r="D61" s="39">
        <v>16.4801</v>
      </c>
    </row>
    <row r="62" spans="1:9" x14ac:dyDescent="0.2">
      <c r="A62" s="10" t="s">
        <v>580</v>
      </c>
      <c r="C62" s="39">
        <v>10.7303</v>
      </c>
      <c r="D62" s="39">
        <v>10.757300000000001</v>
      </c>
    </row>
    <row r="63" spans="1:9" x14ac:dyDescent="0.2">
      <c r="A63" s="10" t="s">
        <v>546</v>
      </c>
      <c r="C63" s="39">
        <v>16.2303</v>
      </c>
      <c r="D63" s="39">
        <v>16.9236</v>
      </c>
    </row>
    <row r="64" spans="1:9" x14ac:dyDescent="0.2">
      <c r="A64" s="10" t="s">
        <v>581</v>
      </c>
      <c r="C64" s="39">
        <v>11.050700000000001</v>
      </c>
      <c r="D64" s="39">
        <v>11.1099</v>
      </c>
    </row>
    <row r="66" spans="1:5" ht="10.5" x14ac:dyDescent="0.25">
      <c r="A66" s="17" t="s">
        <v>248</v>
      </c>
    </row>
    <row r="67" spans="1:5" ht="10.5" x14ac:dyDescent="0.25">
      <c r="A67" s="84" t="s">
        <v>249</v>
      </c>
      <c r="B67" s="85"/>
      <c r="C67" s="82" t="s">
        <v>250</v>
      </c>
      <c r="D67" s="83"/>
    </row>
    <row r="68" spans="1:5" ht="10.5" x14ac:dyDescent="0.25">
      <c r="A68" s="84"/>
      <c r="B68" s="85"/>
      <c r="C68" s="40" t="s">
        <v>251</v>
      </c>
      <c r="D68" s="41" t="s">
        <v>252</v>
      </c>
    </row>
    <row r="69" spans="1:5" x14ac:dyDescent="0.2">
      <c r="A69" s="78" t="s">
        <v>580</v>
      </c>
      <c r="B69" s="79"/>
      <c r="C69" s="42">
        <v>0.28812907999999998</v>
      </c>
      <c r="D69" s="42">
        <v>0.26680896399999998</v>
      </c>
    </row>
    <row r="70" spans="1:5" x14ac:dyDescent="0.2">
      <c r="A70" s="78" t="s">
        <v>581</v>
      </c>
      <c r="B70" s="79"/>
      <c r="C70" s="42">
        <v>0.28812907999999998</v>
      </c>
      <c r="D70" s="42">
        <v>0.26680896399999998</v>
      </c>
    </row>
    <row r="72" spans="1:5" ht="10.5" x14ac:dyDescent="0.25">
      <c r="A72" s="17" t="s">
        <v>253</v>
      </c>
      <c r="D72" s="43">
        <v>2.71324908547945</v>
      </c>
      <c r="E72" s="15" t="s">
        <v>254</v>
      </c>
    </row>
    <row r="74" spans="1:5" ht="10.5" x14ac:dyDescent="0.25">
      <c r="A74" s="17" t="s">
        <v>255</v>
      </c>
      <c r="D74" s="46" t="s">
        <v>256</v>
      </c>
    </row>
  </sheetData>
  <mergeCells count="6">
    <mergeCell ref="A70:B70"/>
    <mergeCell ref="A1:F1"/>
    <mergeCell ref="C67:D67"/>
    <mergeCell ref="A67:B67"/>
    <mergeCell ref="A68:B68"/>
    <mergeCell ref="A69:B69"/>
  </mergeCells>
  <conditionalFormatting sqref="F2:F3 F5:F65533">
    <cfRule type="cellIs" dxfId="61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>
      <selection sqref="A1:F1"/>
    </sheetView>
  </sheetViews>
  <sheetFormatPr defaultColWidth="9.1796875" defaultRowHeight="10" x14ac:dyDescent="0.2"/>
  <cols>
    <col min="1" max="1" width="32.26953125" style="10" bestFit="1" customWidth="1"/>
    <col min="2" max="2" width="20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6" style="10" bestFit="1" customWidth="1"/>
    <col min="8" max="16384" width="9.1796875" style="10"/>
  </cols>
  <sheetData>
    <row r="1" spans="1:9" s="1" customFormat="1" ht="14" x14ac:dyDescent="0.25">
      <c r="A1" s="80" t="s">
        <v>12</v>
      </c>
      <c r="B1" s="81"/>
      <c r="C1" s="81"/>
      <c r="D1" s="81"/>
      <c r="E1" s="81"/>
      <c r="F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9" ht="10.5" x14ac:dyDescent="0.25">
      <c r="A5" s="25" t="s">
        <v>228</v>
      </c>
      <c r="B5" s="25"/>
      <c r="C5" s="25"/>
      <c r="D5" s="31"/>
      <c r="E5" s="32">
        <v>107062.7689217</v>
      </c>
      <c r="F5" s="33">
        <v>100</v>
      </c>
      <c r="G5" s="17"/>
      <c r="H5" s="17"/>
      <c r="I5" s="17"/>
    </row>
    <row r="6" spans="1:9" ht="10.5" x14ac:dyDescent="0.25">
      <c r="A6" s="25"/>
      <c r="B6" s="25"/>
      <c r="C6" s="25"/>
      <c r="D6" s="31"/>
      <c r="E6" s="32"/>
      <c r="F6" s="33"/>
      <c r="G6" s="17"/>
      <c r="H6" s="17"/>
      <c r="I6" s="17"/>
    </row>
    <row r="7" spans="1:9" ht="10.5" x14ac:dyDescent="0.25">
      <c r="A7" s="34" t="s">
        <v>227</v>
      </c>
      <c r="B7" s="34"/>
      <c r="C7" s="34"/>
      <c r="D7" s="35"/>
      <c r="E7" s="36">
        <v>107062.7689217</v>
      </c>
      <c r="F7" s="37">
        <v>100</v>
      </c>
      <c r="G7" s="17"/>
      <c r="H7" s="17"/>
      <c r="I7" s="17"/>
    </row>
    <row r="9" spans="1:9" ht="10.5" x14ac:dyDescent="0.25">
      <c r="A9" s="17" t="s">
        <v>232</v>
      </c>
    </row>
    <row r="10" spans="1:9" ht="10.5" x14ac:dyDescent="0.25">
      <c r="A10" s="17" t="s">
        <v>233</v>
      </c>
    </row>
    <row r="11" spans="1:9" ht="10.5" x14ac:dyDescent="0.25">
      <c r="A11" s="17" t="s">
        <v>234</v>
      </c>
      <c r="B11" s="17"/>
      <c r="C11" s="38" t="s">
        <v>236</v>
      </c>
      <c r="D11" s="18" t="s">
        <v>235</v>
      </c>
    </row>
    <row r="12" spans="1:9" x14ac:dyDescent="0.2">
      <c r="A12" s="10" t="s">
        <v>543</v>
      </c>
      <c r="C12" s="39">
        <v>1025.5006000000001</v>
      </c>
      <c r="D12" s="39">
        <v>1046.3344</v>
      </c>
    </row>
    <row r="13" spans="1:9" x14ac:dyDescent="0.2">
      <c r="A13" s="10" t="s">
        <v>608</v>
      </c>
      <c r="C13" s="39">
        <v>1000</v>
      </c>
      <c r="D13" s="39">
        <v>1000</v>
      </c>
    </row>
    <row r="14" spans="1:9" x14ac:dyDescent="0.2">
      <c r="A14" s="10" t="s">
        <v>778</v>
      </c>
      <c r="C14" s="39">
        <v>1000.381</v>
      </c>
      <c r="D14" s="39">
        <v>1000.2988</v>
      </c>
    </row>
    <row r="15" spans="1:9" x14ac:dyDescent="0.2">
      <c r="A15" s="10" t="s">
        <v>546</v>
      </c>
      <c r="C15" s="39">
        <v>1025.7678000000001</v>
      </c>
      <c r="D15" s="39">
        <v>1046.9403</v>
      </c>
    </row>
    <row r="16" spans="1:9" x14ac:dyDescent="0.2">
      <c r="A16" s="10" t="s">
        <v>609</v>
      </c>
      <c r="C16" s="39">
        <v>1000</v>
      </c>
      <c r="D16" s="39">
        <v>1000</v>
      </c>
    </row>
    <row r="17" spans="1:5" x14ac:dyDescent="0.2">
      <c r="A17" s="10" t="s">
        <v>779</v>
      </c>
      <c r="C17" s="39">
        <v>1000.3837</v>
      </c>
      <c r="D17" s="39">
        <v>1000.3093</v>
      </c>
    </row>
    <row r="19" spans="1:5" ht="10.5" x14ac:dyDescent="0.25">
      <c r="A19" s="17" t="s">
        <v>248</v>
      </c>
    </row>
    <row r="20" spans="1:5" ht="10.5" x14ac:dyDescent="0.25">
      <c r="A20" s="84" t="s">
        <v>249</v>
      </c>
      <c r="B20" s="85"/>
      <c r="C20" s="82" t="s">
        <v>250</v>
      </c>
      <c r="D20" s="83"/>
    </row>
    <row r="21" spans="1:5" ht="10.5" x14ac:dyDescent="0.25">
      <c r="A21" s="84"/>
      <c r="B21" s="85"/>
      <c r="C21" s="40" t="s">
        <v>251</v>
      </c>
      <c r="D21" s="41" t="s">
        <v>252</v>
      </c>
    </row>
    <row r="22" spans="1:5" x14ac:dyDescent="0.2">
      <c r="A22" s="78" t="s">
        <v>608</v>
      </c>
      <c r="B22" s="79"/>
      <c r="C22" s="42">
        <v>14.839846753</v>
      </c>
      <c r="D22" s="42">
        <v>13.872472017</v>
      </c>
    </row>
    <row r="23" spans="1:5" x14ac:dyDescent="0.2">
      <c r="A23" s="78" t="s">
        <v>778</v>
      </c>
      <c r="B23" s="79"/>
      <c r="C23" s="42">
        <v>14.893209268</v>
      </c>
      <c r="D23" s="42">
        <v>13.902815801999999</v>
      </c>
    </row>
    <row r="24" spans="1:5" x14ac:dyDescent="0.2">
      <c r="A24" s="78" t="s">
        <v>609</v>
      </c>
      <c r="B24" s="79"/>
      <c r="C24" s="42">
        <v>15.087593388</v>
      </c>
      <c r="D24" s="42">
        <v>14.106714929000001</v>
      </c>
    </row>
    <row r="25" spans="1:5" x14ac:dyDescent="0.2">
      <c r="A25" s="78" t="s">
        <v>779</v>
      </c>
      <c r="B25" s="79"/>
      <c r="C25" s="42">
        <v>15.083246227</v>
      </c>
      <c r="D25" s="42">
        <v>14.083201192000001</v>
      </c>
    </row>
    <row r="27" spans="1:5" ht="10.5" x14ac:dyDescent="0.25">
      <c r="A27" s="17" t="s">
        <v>253</v>
      </c>
      <c r="D27" s="43">
        <v>1.0958904109589E-2</v>
      </c>
      <c r="E27" s="15" t="s">
        <v>254</v>
      </c>
    </row>
  </sheetData>
  <mergeCells count="8">
    <mergeCell ref="A24:B24"/>
    <mergeCell ref="A25:B25"/>
    <mergeCell ref="A1:F1"/>
    <mergeCell ref="C20:D20"/>
    <mergeCell ref="A20:B20"/>
    <mergeCell ref="A21:B21"/>
    <mergeCell ref="A22:B22"/>
    <mergeCell ref="A23:B23"/>
  </mergeCells>
  <conditionalFormatting sqref="F2:F3 F5:F65532">
    <cfRule type="cellIs" dxfId="60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5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49.4531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4.453125" style="10" bestFit="1" customWidth="1"/>
    <col min="8" max="16384" width="9.1796875" style="10"/>
  </cols>
  <sheetData>
    <row r="1" spans="1:9" s="1" customFormat="1" ht="14" x14ac:dyDescent="0.25">
      <c r="A1" s="80" t="s">
        <v>13</v>
      </c>
      <c r="B1" s="81"/>
      <c r="C1" s="81"/>
      <c r="D1" s="81"/>
      <c r="E1" s="81"/>
      <c r="F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9" ht="10.5" x14ac:dyDescent="0.25">
      <c r="A5" s="20" t="s">
        <v>63</v>
      </c>
      <c r="B5" s="21"/>
      <c r="C5" s="21"/>
      <c r="D5" s="22"/>
      <c r="E5" s="23"/>
      <c r="F5" s="24"/>
    </row>
    <row r="6" spans="1:9" ht="10.5" x14ac:dyDescent="0.25">
      <c r="A6" s="25" t="s">
        <v>64</v>
      </c>
      <c r="B6" s="26"/>
      <c r="C6" s="26"/>
      <c r="D6" s="27"/>
      <c r="E6" s="28"/>
      <c r="F6" s="29"/>
    </row>
    <row r="7" spans="1:9" x14ac:dyDescent="0.2">
      <c r="A7" s="26" t="s">
        <v>781</v>
      </c>
      <c r="B7" s="26" t="s">
        <v>780</v>
      </c>
      <c r="C7" s="26" t="s">
        <v>73</v>
      </c>
      <c r="D7" s="30">
        <v>800</v>
      </c>
      <c r="E7" s="28">
        <v>8019.96</v>
      </c>
      <c r="F7" s="29">
        <v>2.2388328013005001</v>
      </c>
    </row>
    <row r="8" spans="1:9" x14ac:dyDescent="0.2">
      <c r="A8" s="26" t="s">
        <v>783</v>
      </c>
      <c r="B8" s="26" t="s">
        <v>782</v>
      </c>
      <c r="C8" s="26" t="s">
        <v>603</v>
      </c>
      <c r="D8" s="30">
        <v>200</v>
      </c>
      <c r="E8" s="28">
        <v>5007.3900000000003</v>
      </c>
      <c r="F8" s="29">
        <v>1.39785098440692</v>
      </c>
    </row>
    <row r="9" spans="1:9" x14ac:dyDescent="0.2">
      <c r="A9" s="26" t="s">
        <v>785</v>
      </c>
      <c r="B9" s="26" t="s">
        <v>784</v>
      </c>
      <c r="C9" s="26" t="s">
        <v>603</v>
      </c>
      <c r="D9" s="30">
        <v>250</v>
      </c>
      <c r="E9" s="28">
        <v>3128.6824999999999</v>
      </c>
      <c r="F9" s="29">
        <v>0.87339550394950305</v>
      </c>
    </row>
    <row r="10" spans="1:9" x14ac:dyDescent="0.2">
      <c r="A10" s="26" t="s">
        <v>787</v>
      </c>
      <c r="B10" s="26" t="s">
        <v>786</v>
      </c>
      <c r="C10" s="26" t="s">
        <v>365</v>
      </c>
      <c r="D10" s="30">
        <v>250</v>
      </c>
      <c r="E10" s="28">
        <v>2867.15</v>
      </c>
      <c r="F10" s="29">
        <v>0.80038671841863696</v>
      </c>
    </row>
    <row r="11" spans="1:9" x14ac:dyDescent="0.2">
      <c r="A11" s="26" t="s">
        <v>789</v>
      </c>
      <c r="B11" s="26" t="s">
        <v>788</v>
      </c>
      <c r="C11" s="26" t="s">
        <v>73</v>
      </c>
      <c r="D11" s="30">
        <v>250</v>
      </c>
      <c r="E11" s="28">
        <v>2501.25</v>
      </c>
      <c r="F11" s="29">
        <v>0.69824295186670204</v>
      </c>
    </row>
    <row r="12" spans="1:9" ht="10.5" x14ac:dyDescent="0.25">
      <c r="A12" s="25" t="s">
        <v>177</v>
      </c>
      <c r="B12" s="25"/>
      <c r="C12" s="25"/>
      <c r="D12" s="31"/>
      <c r="E12" s="32">
        <f>SUM(E6:E11)</f>
        <v>21524.432500000003</v>
      </c>
      <c r="F12" s="33">
        <f>SUM(F6:F11)</f>
        <v>6.008708959942263</v>
      </c>
      <c r="G12" s="17"/>
      <c r="H12" s="17"/>
      <c r="I12" s="17"/>
    </row>
    <row r="13" spans="1:9" x14ac:dyDescent="0.2">
      <c r="A13" s="26"/>
      <c r="B13" s="26"/>
      <c r="C13" s="26"/>
      <c r="D13" s="27"/>
      <c r="E13" s="28"/>
      <c r="F13" s="29"/>
    </row>
    <row r="14" spans="1:9" ht="10.5" x14ac:dyDescent="0.25">
      <c r="A14" s="25" t="s">
        <v>221</v>
      </c>
      <c r="B14" s="26"/>
      <c r="C14" s="26"/>
      <c r="D14" s="27"/>
      <c r="E14" s="28"/>
      <c r="F14" s="29"/>
    </row>
    <row r="15" spans="1:9" ht="10.5" x14ac:dyDescent="0.25">
      <c r="A15" s="25" t="s">
        <v>463</v>
      </c>
      <c r="B15" s="26"/>
      <c r="C15" s="26"/>
      <c r="D15" s="27"/>
      <c r="E15" s="28"/>
      <c r="F15" s="29"/>
    </row>
    <row r="16" spans="1:9" x14ac:dyDescent="0.2">
      <c r="A16" s="26" t="s">
        <v>791</v>
      </c>
      <c r="B16" s="26" t="s">
        <v>790</v>
      </c>
      <c r="C16" s="26" t="s">
        <v>469</v>
      </c>
      <c r="D16" s="30">
        <v>20000</v>
      </c>
      <c r="E16" s="28">
        <v>19930.64</v>
      </c>
      <c r="F16" s="29">
        <v>5.5637896676432099</v>
      </c>
    </row>
    <row r="17" spans="1:9" x14ac:dyDescent="0.2">
      <c r="A17" s="26" t="s">
        <v>793</v>
      </c>
      <c r="B17" s="26" t="s">
        <v>792</v>
      </c>
      <c r="C17" s="26" t="s">
        <v>466</v>
      </c>
      <c r="D17" s="30">
        <v>20000</v>
      </c>
      <c r="E17" s="28">
        <v>19901.84</v>
      </c>
      <c r="F17" s="29">
        <v>5.5557499287071703</v>
      </c>
    </row>
    <row r="18" spans="1:9" x14ac:dyDescent="0.2">
      <c r="A18" s="26" t="s">
        <v>795</v>
      </c>
      <c r="B18" s="26" t="s">
        <v>794</v>
      </c>
      <c r="C18" s="26" t="s">
        <v>469</v>
      </c>
      <c r="D18" s="30">
        <v>15000</v>
      </c>
      <c r="E18" s="28">
        <v>14948.385</v>
      </c>
      <c r="F18" s="29">
        <v>4.17295530956119</v>
      </c>
    </row>
    <row r="19" spans="1:9" x14ac:dyDescent="0.2">
      <c r="A19" s="26" t="s">
        <v>797</v>
      </c>
      <c r="B19" s="26" t="s">
        <v>796</v>
      </c>
      <c r="C19" s="26" t="s">
        <v>466</v>
      </c>
      <c r="D19" s="30">
        <v>10000</v>
      </c>
      <c r="E19" s="28">
        <v>9951.6200000000008</v>
      </c>
      <c r="F19" s="29">
        <v>2.7780703746749502</v>
      </c>
    </row>
    <row r="20" spans="1:9" x14ac:dyDescent="0.2">
      <c r="A20" s="26" t="s">
        <v>799</v>
      </c>
      <c r="B20" s="26" t="s">
        <v>798</v>
      </c>
      <c r="C20" s="26" t="s">
        <v>466</v>
      </c>
      <c r="D20" s="30">
        <v>10000</v>
      </c>
      <c r="E20" s="28">
        <v>9930.98</v>
      </c>
      <c r="F20" s="29">
        <v>2.7723085617707901</v>
      </c>
    </row>
    <row r="21" spans="1:9" x14ac:dyDescent="0.2">
      <c r="A21" s="26" t="s">
        <v>801</v>
      </c>
      <c r="B21" s="26" t="s">
        <v>800</v>
      </c>
      <c r="C21" s="26" t="s">
        <v>466</v>
      </c>
      <c r="D21" s="30">
        <v>5000</v>
      </c>
      <c r="E21" s="28">
        <v>4986.1099999999997</v>
      </c>
      <c r="F21" s="29">
        <v>1.39191051063751</v>
      </c>
    </row>
    <row r="22" spans="1:9" x14ac:dyDescent="0.2">
      <c r="A22" s="26" t="s">
        <v>803</v>
      </c>
      <c r="B22" s="26" t="s">
        <v>802</v>
      </c>
      <c r="C22" s="26" t="s">
        <v>466</v>
      </c>
      <c r="D22" s="30">
        <v>5000</v>
      </c>
      <c r="E22" s="28">
        <v>4980.5150000000003</v>
      </c>
      <c r="F22" s="29">
        <v>1.3903486238546301</v>
      </c>
    </row>
    <row r="23" spans="1:9" ht="10.5" x14ac:dyDescent="0.25">
      <c r="A23" s="25" t="s">
        <v>177</v>
      </c>
      <c r="B23" s="25"/>
      <c r="C23" s="25"/>
      <c r="D23" s="31"/>
      <c r="E23" s="32">
        <f>SUM(E15:E22)</f>
        <v>84630.09</v>
      </c>
      <c r="F23" s="33">
        <f>SUM(F15:F22)</f>
        <v>23.62513297684945</v>
      </c>
      <c r="G23" s="17"/>
      <c r="H23" s="17"/>
      <c r="I23" s="17"/>
    </row>
    <row r="24" spans="1:9" x14ac:dyDescent="0.2">
      <c r="A24" s="26"/>
      <c r="B24" s="26"/>
      <c r="C24" s="26"/>
      <c r="D24" s="27"/>
      <c r="E24" s="28"/>
      <c r="F24" s="29"/>
    </row>
    <row r="25" spans="1:9" ht="10.5" x14ac:dyDescent="0.25">
      <c r="A25" s="25" t="s">
        <v>222</v>
      </c>
      <c r="B25" s="26"/>
      <c r="C25" s="26"/>
      <c r="D25" s="27"/>
      <c r="E25" s="28"/>
      <c r="F25" s="29"/>
    </row>
    <row r="26" spans="1:9" x14ac:dyDescent="0.2">
      <c r="A26" s="26" t="s">
        <v>805</v>
      </c>
      <c r="B26" s="26" t="s">
        <v>804</v>
      </c>
      <c r="C26" s="26" t="s">
        <v>478</v>
      </c>
      <c r="D26" s="30">
        <v>4600</v>
      </c>
      <c r="E26" s="28">
        <v>22818.944</v>
      </c>
      <c r="F26" s="29">
        <v>6.3700816859733997</v>
      </c>
    </row>
    <row r="27" spans="1:9" x14ac:dyDescent="0.2">
      <c r="A27" s="26" t="s">
        <v>807</v>
      </c>
      <c r="B27" s="26" t="s">
        <v>806</v>
      </c>
      <c r="C27" s="26" t="s">
        <v>466</v>
      </c>
      <c r="D27" s="30">
        <v>4000</v>
      </c>
      <c r="E27" s="28">
        <v>19972.7</v>
      </c>
      <c r="F27" s="29">
        <v>5.5755310363810402</v>
      </c>
    </row>
    <row r="28" spans="1:9" x14ac:dyDescent="0.2">
      <c r="A28" s="26" t="s">
        <v>809</v>
      </c>
      <c r="B28" s="26" t="s">
        <v>808</v>
      </c>
      <c r="C28" s="26" t="s">
        <v>478</v>
      </c>
      <c r="D28" s="30">
        <v>4000</v>
      </c>
      <c r="E28" s="28">
        <v>19851.48</v>
      </c>
      <c r="F28" s="29">
        <v>5.5416915518731802</v>
      </c>
    </row>
    <row r="29" spans="1:9" x14ac:dyDescent="0.2">
      <c r="A29" s="26" t="s">
        <v>811</v>
      </c>
      <c r="B29" s="26" t="s">
        <v>810</v>
      </c>
      <c r="C29" s="26" t="s">
        <v>469</v>
      </c>
      <c r="D29" s="30">
        <v>4000</v>
      </c>
      <c r="E29" s="28">
        <v>19826.419999999998</v>
      </c>
      <c r="F29" s="29">
        <v>5.5346958623684204</v>
      </c>
    </row>
    <row r="30" spans="1:9" x14ac:dyDescent="0.2">
      <c r="A30" s="26" t="s">
        <v>813</v>
      </c>
      <c r="B30" s="26" t="s">
        <v>812</v>
      </c>
      <c r="C30" s="26" t="s">
        <v>478</v>
      </c>
      <c r="D30" s="30">
        <v>4000</v>
      </c>
      <c r="E30" s="28">
        <v>19820</v>
      </c>
      <c r="F30" s="29">
        <v>5.5329036705639298</v>
      </c>
    </row>
    <row r="31" spans="1:9" x14ac:dyDescent="0.2">
      <c r="A31" s="26" t="s">
        <v>815</v>
      </c>
      <c r="B31" s="26" t="s">
        <v>814</v>
      </c>
      <c r="C31" s="26" t="s">
        <v>478</v>
      </c>
      <c r="D31" s="30">
        <v>3000</v>
      </c>
      <c r="E31" s="28">
        <v>14969.535</v>
      </c>
      <c r="F31" s="29">
        <v>4.1788594928423404</v>
      </c>
    </row>
    <row r="32" spans="1:9" x14ac:dyDescent="0.2">
      <c r="A32" s="26" t="s">
        <v>817</v>
      </c>
      <c r="B32" s="26" t="s">
        <v>816</v>
      </c>
      <c r="C32" s="26" t="s">
        <v>507</v>
      </c>
      <c r="D32" s="30">
        <v>3000</v>
      </c>
      <c r="E32" s="28">
        <v>14860.395</v>
      </c>
      <c r="F32" s="29">
        <v>4.1483922321659898</v>
      </c>
    </row>
    <row r="33" spans="1:9" x14ac:dyDescent="0.2">
      <c r="A33" s="26" t="s">
        <v>819</v>
      </c>
      <c r="B33" s="26" t="s">
        <v>818</v>
      </c>
      <c r="C33" s="26" t="s">
        <v>466</v>
      </c>
      <c r="D33" s="30">
        <v>2500</v>
      </c>
      <c r="E33" s="28">
        <v>12495.125</v>
      </c>
      <c r="F33" s="29">
        <v>3.4881091310118699</v>
      </c>
    </row>
    <row r="34" spans="1:9" x14ac:dyDescent="0.2">
      <c r="A34" s="26" t="s">
        <v>821</v>
      </c>
      <c r="B34" s="26" t="s">
        <v>820</v>
      </c>
      <c r="C34" s="26" t="s">
        <v>478</v>
      </c>
      <c r="D34" s="30">
        <v>2000</v>
      </c>
      <c r="E34" s="28">
        <v>9955.61</v>
      </c>
      <c r="F34" s="29">
        <v>2.77918421350671</v>
      </c>
    </row>
    <row r="35" spans="1:9" x14ac:dyDescent="0.2">
      <c r="A35" s="26" t="s">
        <v>823</v>
      </c>
      <c r="B35" s="26" t="s">
        <v>822</v>
      </c>
      <c r="C35" s="26" t="s">
        <v>466</v>
      </c>
      <c r="D35" s="30">
        <v>2000</v>
      </c>
      <c r="E35" s="28">
        <v>9884.83</v>
      </c>
      <c r="F35" s="29">
        <v>2.75942543844099</v>
      </c>
    </row>
    <row r="36" spans="1:9" x14ac:dyDescent="0.2">
      <c r="A36" s="26" t="s">
        <v>825</v>
      </c>
      <c r="B36" s="26" t="s">
        <v>824</v>
      </c>
      <c r="C36" s="26" t="s">
        <v>478</v>
      </c>
      <c r="D36" s="30">
        <v>1500</v>
      </c>
      <c r="E36" s="28">
        <v>7470.8850000000002</v>
      </c>
      <c r="F36" s="29">
        <v>2.08555434101216</v>
      </c>
    </row>
    <row r="37" spans="1:9" x14ac:dyDescent="0.2">
      <c r="A37" s="26" t="s">
        <v>827</v>
      </c>
      <c r="B37" s="26" t="s">
        <v>826</v>
      </c>
      <c r="C37" s="26" t="s">
        <v>478</v>
      </c>
      <c r="D37" s="30">
        <v>1500</v>
      </c>
      <c r="E37" s="28">
        <v>7424.4449999999997</v>
      </c>
      <c r="F37" s="29">
        <v>2.0725902619777998</v>
      </c>
    </row>
    <row r="38" spans="1:9" x14ac:dyDescent="0.2">
      <c r="A38" s="26" t="s">
        <v>829</v>
      </c>
      <c r="B38" s="26" t="s">
        <v>828</v>
      </c>
      <c r="C38" s="26" t="s">
        <v>466</v>
      </c>
      <c r="D38" s="30">
        <v>1000</v>
      </c>
      <c r="E38" s="28">
        <v>4957.33</v>
      </c>
      <c r="F38" s="29">
        <v>1.38387635485352</v>
      </c>
    </row>
    <row r="39" spans="1:9" x14ac:dyDescent="0.2">
      <c r="A39" s="26" t="s">
        <v>831</v>
      </c>
      <c r="B39" s="26" t="s">
        <v>830</v>
      </c>
      <c r="C39" s="26" t="s">
        <v>466</v>
      </c>
      <c r="D39" s="30">
        <v>500</v>
      </c>
      <c r="E39" s="28">
        <v>2494.2150000000001</v>
      </c>
      <c r="F39" s="29">
        <v>0.69627907813701395</v>
      </c>
    </row>
    <row r="40" spans="1:9" x14ac:dyDescent="0.2">
      <c r="A40" s="26" t="s">
        <v>833</v>
      </c>
      <c r="B40" s="26" t="s">
        <v>832</v>
      </c>
      <c r="C40" s="26" t="s">
        <v>466</v>
      </c>
      <c r="D40" s="30">
        <v>500</v>
      </c>
      <c r="E40" s="28">
        <v>2476.1550000000002</v>
      </c>
      <c r="F40" s="29">
        <v>0.69123749184587502</v>
      </c>
    </row>
    <row r="41" spans="1:9" ht="10.5" x14ac:dyDescent="0.25">
      <c r="A41" s="25" t="s">
        <v>177</v>
      </c>
      <c r="B41" s="25"/>
      <c r="C41" s="25"/>
      <c r="D41" s="31"/>
      <c r="E41" s="32">
        <f>SUM(E25:E40)</f>
        <v>189278.06899999996</v>
      </c>
      <c r="F41" s="33">
        <f>SUM(F25:F40)</f>
        <v>52.838411842954244</v>
      </c>
      <c r="G41" s="17"/>
      <c r="H41" s="17"/>
      <c r="I41" s="17"/>
    </row>
    <row r="42" spans="1:9" x14ac:dyDescent="0.2">
      <c r="A42" s="26"/>
      <c r="B42" s="26"/>
      <c r="C42" s="26"/>
      <c r="D42" s="27"/>
      <c r="E42" s="28"/>
      <c r="F42" s="29"/>
    </row>
    <row r="43" spans="1:9" ht="10.5" x14ac:dyDescent="0.25">
      <c r="A43" s="25" t="s">
        <v>226</v>
      </c>
      <c r="B43" s="25"/>
      <c r="C43" s="25"/>
      <c r="D43" s="31"/>
      <c r="E43" s="32">
        <f>E12+E23+E41</f>
        <v>295432.59149999998</v>
      </c>
      <c r="F43" s="33">
        <f>F12+F23+F41</f>
        <v>82.472253779745955</v>
      </c>
      <c r="G43" s="17"/>
      <c r="H43" s="17"/>
      <c r="I43" s="17"/>
    </row>
    <row r="44" spans="1:9" ht="10.5" x14ac:dyDescent="0.25">
      <c r="A44" s="25"/>
      <c r="B44" s="25"/>
      <c r="C44" s="25"/>
      <c r="D44" s="31"/>
      <c r="E44" s="32"/>
      <c r="F44" s="33"/>
      <c r="G44" s="17"/>
      <c r="H44" s="17"/>
      <c r="I44" s="17"/>
    </row>
    <row r="45" spans="1:9" ht="10.5" x14ac:dyDescent="0.25">
      <c r="A45" s="25" t="s">
        <v>228</v>
      </c>
      <c r="B45" s="25"/>
      <c r="C45" s="25"/>
      <c r="D45" s="31"/>
      <c r="E45" s="32">
        <f>E47-(E12+E23+E41)</f>
        <v>62787.995376400009</v>
      </c>
      <c r="F45" s="33">
        <f>F47-(F12+F23+F41)</f>
        <v>17.527746220254045</v>
      </c>
      <c r="G45" s="17"/>
      <c r="H45" s="17"/>
      <c r="I45" s="17"/>
    </row>
    <row r="46" spans="1:9" ht="10.5" x14ac:dyDescent="0.25">
      <c r="A46" s="25"/>
      <c r="B46" s="25"/>
      <c r="C46" s="25"/>
      <c r="D46" s="31"/>
      <c r="E46" s="32"/>
      <c r="F46" s="33"/>
      <c r="G46" s="17"/>
      <c r="H46" s="17"/>
      <c r="I46" s="17"/>
    </row>
    <row r="47" spans="1:9" ht="10.5" x14ac:dyDescent="0.25">
      <c r="A47" s="34" t="s">
        <v>227</v>
      </c>
      <c r="B47" s="34"/>
      <c r="C47" s="34"/>
      <c r="D47" s="35"/>
      <c r="E47" s="36">
        <v>358220.58687639999</v>
      </c>
      <c r="F47" s="37">
        <v>100</v>
      </c>
      <c r="G47" s="17"/>
      <c r="H47" s="17"/>
      <c r="I47" s="17"/>
    </row>
    <row r="48" spans="1:9" ht="10.5" x14ac:dyDescent="0.25">
      <c r="A48" s="17" t="s">
        <v>229</v>
      </c>
    </row>
    <row r="49" spans="1:4" ht="10.5" x14ac:dyDescent="0.25">
      <c r="A49" s="17" t="s">
        <v>231</v>
      </c>
    </row>
    <row r="51" spans="1:4" ht="10.5" x14ac:dyDescent="0.25">
      <c r="A51" s="17" t="s">
        <v>232</v>
      </c>
    </row>
    <row r="52" spans="1:4" ht="10.5" x14ac:dyDescent="0.25">
      <c r="A52" s="17" t="s">
        <v>233</v>
      </c>
    </row>
    <row r="53" spans="1:4" ht="10.5" x14ac:dyDescent="0.25">
      <c r="A53" s="17" t="s">
        <v>234</v>
      </c>
      <c r="B53" s="17"/>
      <c r="C53" s="38" t="s">
        <v>236</v>
      </c>
      <c r="D53" s="18" t="s">
        <v>235</v>
      </c>
    </row>
    <row r="54" spans="1:4" x14ac:dyDescent="0.2">
      <c r="A54" s="10" t="s">
        <v>834</v>
      </c>
      <c r="C54" s="39">
        <v>4527.5205999999998</v>
      </c>
      <c r="D54" s="39">
        <v>4643.6669000000002</v>
      </c>
    </row>
    <row r="55" spans="1:4" x14ac:dyDescent="0.2">
      <c r="A55" s="10" t="s">
        <v>835</v>
      </c>
      <c r="C55" s="39">
        <v>1512.2955999999999</v>
      </c>
      <c r="D55" s="39">
        <v>1510.5263</v>
      </c>
    </row>
    <row r="56" spans="1:4" x14ac:dyDescent="0.2">
      <c r="A56" s="10" t="s">
        <v>836</v>
      </c>
      <c r="C56" s="39">
        <v>1244.9236000000001</v>
      </c>
      <c r="D56" s="39">
        <v>1244.4712999999999</v>
      </c>
    </row>
    <row r="57" spans="1:4" x14ac:dyDescent="0.2">
      <c r="A57" s="10" t="s">
        <v>240</v>
      </c>
      <c r="C57" s="39">
        <v>2939.8505</v>
      </c>
      <c r="D57" s="39">
        <v>3019.0203000000001</v>
      </c>
    </row>
    <row r="58" spans="1:4" x14ac:dyDescent="0.2">
      <c r="A58" s="10" t="s">
        <v>837</v>
      </c>
      <c r="C58" s="39">
        <v>1000.6505</v>
      </c>
      <c r="D58" s="39">
        <v>1000</v>
      </c>
    </row>
    <row r="59" spans="1:4" x14ac:dyDescent="0.2">
      <c r="A59" s="10" t="s">
        <v>838</v>
      </c>
      <c r="C59" s="39">
        <v>1055.2612999999999</v>
      </c>
      <c r="D59" s="39">
        <v>1054.8970999999999</v>
      </c>
    </row>
    <row r="60" spans="1:4" x14ac:dyDescent="0.2">
      <c r="A60" s="10" t="s">
        <v>242</v>
      </c>
      <c r="C60" s="39">
        <v>2898.8254000000002</v>
      </c>
      <c r="D60" s="39">
        <v>2983.2501000000002</v>
      </c>
    </row>
    <row r="61" spans="1:4" x14ac:dyDescent="0.2">
      <c r="A61" s="10" t="s">
        <v>839</v>
      </c>
      <c r="C61" s="39">
        <v>1000.7051</v>
      </c>
      <c r="D61" s="39">
        <v>1000</v>
      </c>
    </row>
    <row r="62" spans="1:4" x14ac:dyDescent="0.2">
      <c r="A62" s="10" t="s">
        <v>244</v>
      </c>
      <c r="C62" s="39">
        <v>1021.6718</v>
      </c>
      <c r="D62" s="39">
        <v>1022.1427</v>
      </c>
    </row>
    <row r="63" spans="1:4" x14ac:dyDescent="0.2">
      <c r="A63" s="10" t="s">
        <v>840</v>
      </c>
      <c r="C63" s="39">
        <v>2910.6462000000001</v>
      </c>
      <c r="D63" s="39">
        <v>2996.4072000000001</v>
      </c>
    </row>
    <row r="64" spans="1:4" x14ac:dyDescent="0.2">
      <c r="A64" s="10" t="s">
        <v>841</v>
      </c>
      <c r="C64" s="39">
        <v>1001.8422</v>
      </c>
      <c r="D64" s="39">
        <v>1002.2243</v>
      </c>
    </row>
    <row r="65" spans="1:4" x14ac:dyDescent="0.2">
      <c r="A65" s="10" t="s">
        <v>842</v>
      </c>
      <c r="C65" s="39">
        <v>1021.9426</v>
      </c>
      <c r="D65" s="39">
        <v>1021.6152</v>
      </c>
    </row>
    <row r="66" spans="1:4" x14ac:dyDescent="0.2">
      <c r="A66" s="10" t="s">
        <v>843</v>
      </c>
      <c r="C66" s="39">
        <v>12.2881</v>
      </c>
      <c r="D66" s="39">
        <v>12.6501</v>
      </c>
    </row>
    <row r="67" spans="1:4" x14ac:dyDescent="0.2">
      <c r="A67" s="10" t="s">
        <v>844</v>
      </c>
      <c r="C67" s="39">
        <v>12.2881</v>
      </c>
      <c r="D67" s="39">
        <v>12.6501</v>
      </c>
    </row>
    <row r="68" spans="1:4" x14ac:dyDescent="0.2">
      <c r="A68" s="10" t="s">
        <v>845</v>
      </c>
      <c r="C68" s="39">
        <v>10</v>
      </c>
      <c r="D68" s="39">
        <v>10</v>
      </c>
    </row>
    <row r="69" spans="1:4" x14ac:dyDescent="0.2">
      <c r="A69" s="10" t="s">
        <v>846</v>
      </c>
      <c r="C69" s="39">
        <v>10</v>
      </c>
      <c r="D69" s="39">
        <v>10</v>
      </c>
    </row>
    <row r="71" spans="1:4" ht="10.5" x14ac:dyDescent="0.25">
      <c r="A71" s="17" t="s">
        <v>248</v>
      </c>
    </row>
    <row r="72" spans="1:4" ht="10.5" x14ac:dyDescent="0.25">
      <c r="A72" s="84" t="s">
        <v>249</v>
      </c>
      <c r="B72" s="85"/>
      <c r="C72" s="82" t="s">
        <v>250</v>
      </c>
      <c r="D72" s="83"/>
    </row>
    <row r="73" spans="1:4" ht="10.5" x14ac:dyDescent="0.25">
      <c r="A73" s="84"/>
      <c r="B73" s="85"/>
      <c r="C73" s="40" t="s">
        <v>251</v>
      </c>
      <c r="D73" s="41" t="s">
        <v>252</v>
      </c>
    </row>
    <row r="74" spans="1:4" x14ac:dyDescent="0.2">
      <c r="A74" s="78" t="s">
        <v>835</v>
      </c>
      <c r="B74" s="79"/>
      <c r="C74" s="42">
        <v>29.819746163000001</v>
      </c>
      <c r="D74" s="42">
        <v>27.968463994</v>
      </c>
    </row>
    <row r="75" spans="1:4" x14ac:dyDescent="0.2">
      <c r="A75" s="78" t="s">
        <v>836</v>
      </c>
      <c r="B75" s="79"/>
      <c r="C75" s="42">
        <v>24.011687927000001</v>
      </c>
      <c r="D75" s="42">
        <v>22.593842647999999</v>
      </c>
    </row>
    <row r="76" spans="1:4" x14ac:dyDescent="0.2">
      <c r="A76" s="78" t="s">
        <v>837</v>
      </c>
      <c r="B76" s="79"/>
      <c r="C76" s="42">
        <v>20.334004935999999</v>
      </c>
      <c r="D76" s="42">
        <v>19.09302417</v>
      </c>
    </row>
    <row r="77" spans="1:4" x14ac:dyDescent="0.2">
      <c r="A77" s="78" t="s">
        <v>838</v>
      </c>
      <c r="B77" s="79"/>
      <c r="C77" s="42">
        <v>21.344069632</v>
      </c>
      <c r="D77" s="42">
        <v>20.082860362000002</v>
      </c>
    </row>
    <row r="78" spans="1:4" x14ac:dyDescent="0.2">
      <c r="A78" s="78" t="s">
        <v>839</v>
      </c>
      <c r="B78" s="79"/>
      <c r="C78" s="42">
        <v>21.975015088999999</v>
      </c>
      <c r="D78" s="42">
        <v>20.635614926999999</v>
      </c>
    </row>
    <row r="79" spans="1:4" x14ac:dyDescent="0.2">
      <c r="A79" s="78" t="s">
        <v>244</v>
      </c>
      <c r="B79" s="79"/>
      <c r="C79" s="42">
        <v>21.570279291999999</v>
      </c>
      <c r="D79" s="42">
        <v>20.262492118000001</v>
      </c>
    </row>
    <row r="80" spans="1:4" x14ac:dyDescent="0.2">
      <c r="A80" s="78" t="s">
        <v>841</v>
      </c>
      <c r="B80" s="79"/>
      <c r="C80" s="42">
        <v>21.407187103999998</v>
      </c>
      <c r="D80" s="42">
        <v>20.098838910000001</v>
      </c>
    </row>
    <row r="81" spans="1:5" x14ac:dyDescent="0.2">
      <c r="A81" s="78" t="s">
        <v>842</v>
      </c>
      <c r="B81" s="79"/>
      <c r="C81" s="42">
        <v>22.493004706000001</v>
      </c>
      <c r="D81" s="42">
        <v>21.161893868</v>
      </c>
    </row>
    <row r="83" spans="1:5" ht="10.5" x14ac:dyDescent="0.25">
      <c r="A83" s="17" t="s">
        <v>253</v>
      </c>
      <c r="D83" s="43">
        <v>8.3417874273972598E-2</v>
      </c>
      <c r="E83" s="15" t="s">
        <v>254</v>
      </c>
    </row>
    <row r="85" spans="1:5" ht="10.5" x14ac:dyDescent="0.25">
      <c r="A85" s="17" t="s">
        <v>255</v>
      </c>
      <c r="D85" s="46" t="s">
        <v>256</v>
      </c>
    </row>
  </sheetData>
  <mergeCells count="12">
    <mergeCell ref="A1:F1"/>
    <mergeCell ref="C72:D72"/>
    <mergeCell ref="A72:B72"/>
    <mergeCell ref="A73:B73"/>
    <mergeCell ref="A74:B74"/>
    <mergeCell ref="A80:B80"/>
    <mergeCell ref="A81:B81"/>
    <mergeCell ref="A75:B75"/>
    <mergeCell ref="A76:B76"/>
    <mergeCell ref="A77:B77"/>
    <mergeCell ref="A78:B78"/>
    <mergeCell ref="A79:B79"/>
  </mergeCells>
  <conditionalFormatting sqref="F2:F3 F5:F65533">
    <cfRule type="cellIs" dxfId="59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7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81640625" style="10" bestFit="1" customWidth="1"/>
    <col min="8" max="16384" width="9.1796875" style="10"/>
  </cols>
  <sheetData>
    <row r="1" spans="1:6" s="1" customFormat="1" ht="14" x14ac:dyDescent="0.25">
      <c r="A1" s="80" t="s">
        <v>14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848</v>
      </c>
      <c r="B7" s="26" t="s">
        <v>847</v>
      </c>
      <c r="C7" s="26" t="s">
        <v>365</v>
      </c>
      <c r="D7" s="30">
        <v>40</v>
      </c>
      <c r="E7" s="28">
        <v>474.82960000000003</v>
      </c>
      <c r="F7" s="29">
        <v>9.9972797796313806</v>
      </c>
    </row>
    <row r="8" spans="1:6" x14ac:dyDescent="0.2">
      <c r="A8" s="26" t="s">
        <v>850</v>
      </c>
      <c r="B8" s="26" t="s">
        <v>849</v>
      </c>
      <c r="C8" s="26" t="s">
        <v>176</v>
      </c>
      <c r="D8" s="30">
        <v>40</v>
      </c>
      <c r="E8" s="28">
        <v>472.41079999999999</v>
      </c>
      <c r="F8" s="29">
        <v>9.9463532570831408</v>
      </c>
    </row>
    <row r="9" spans="1:6" x14ac:dyDescent="0.2">
      <c r="A9" s="26" t="s">
        <v>775</v>
      </c>
      <c r="B9" s="26" t="s">
        <v>774</v>
      </c>
      <c r="C9" s="26" t="s">
        <v>650</v>
      </c>
      <c r="D9" s="30">
        <v>42</v>
      </c>
      <c r="E9" s="28">
        <v>428.29248000000001</v>
      </c>
      <c r="F9" s="29">
        <v>9.0174659500422507</v>
      </c>
    </row>
    <row r="10" spans="1:6" x14ac:dyDescent="0.2">
      <c r="A10" s="26" t="s">
        <v>690</v>
      </c>
      <c r="B10" s="26" t="s">
        <v>689</v>
      </c>
      <c r="C10" s="26" t="s">
        <v>603</v>
      </c>
      <c r="D10" s="30">
        <v>41</v>
      </c>
      <c r="E10" s="28">
        <v>417.85601000000003</v>
      </c>
      <c r="F10" s="29">
        <v>8.7977317327530695</v>
      </c>
    </row>
    <row r="11" spans="1:6" x14ac:dyDescent="0.2">
      <c r="A11" s="26" t="s">
        <v>175</v>
      </c>
      <c r="B11" s="26" t="s">
        <v>174</v>
      </c>
      <c r="C11" s="26" t="s">
        <v>176</v>
      </c>
      <c r="D11" s="30">
        <v>41</v>
      </c>
      <c r="E11" s="28">
        <v>415.89375000000001</v>
      </c>
      <c r="F11" s="29">
        <v>8.7564174123729206</v>
      </c>
    </row>
    <row r="12" spans="1:6" x14ac:dyDescent="0.2">
      <c r="A12" s="26" t="s">
        <v>664</v>
      </c>
      <c r="B12" s="26" t="s">
        <v>663</v>
      </c>
      <c r="C12" s="26" t="s">
        <v>603</v>
      </c>
      <c r="D12" s="30">
        <v>40</v>
      </c>
      <c r="E12" s="28">
        <v>406.99200000000002</v>
      </c>
      <c r="F12" s="29">
        <v>8.5689958925722802</v>
      </c>
    </row>
    <row r="13" spans="1:6" x14ac:dyDescent="0.2">
      <c r="A13" s="26" t="s">
        <v>720</v>
      </c>
      <c r="B13" s="26" t="s">
        <v>719</v>
      </c>
      <c r="C13" s="26" t="s">
        <v>721</v>
      </c>
      <c r="D13" s="30">
        <v>37</v>
      </c>
      <c r="E13" s="28">
        <v>394.58132000000001</v>
      </c>
      <c r="F13" s="29">
        <v>8.3076957541321406</v>
      </c>
    </row>
    <row r="14" spans="1:6" x14ac:dyDescent="0.2">
      <c r="A14" s="26" t="s">
        <v>708</v>
      </c>
      <c r="B14" s="26" t="s">
        <v>707</v>
      </c>
      <c r="C14" s="26" t="s">
        <v>176</v>
      </c>
      <c r="D14" s="30">
        <v>30</v>
      </c>
      <c r="E14" s="28">
        <v>338.1198</v>
      </c>
      <c r="F14" s="29">
        <v>7.1189290634640496</v>
      </c>
    </row>
    <row r="15" spans="1:6" x14ac:dyDescent="0.2">
      <c r="A15" s="26" t="s">
        <v>688</v>
      </c>
      <c r="B15" s="26" t="s">
        <v>687</v>
      </c>
      <c r="C15" s="26" t="s">
        <v>176</v>
      </c>
      <c r="D15" s="30">
        <v>30</v>
      </c>
      <c r="E15" s="28">
        <v>311.96969999999999</v>
      </c>
      <c r="F15" s="29">
        <v>6.56835288631473</v>
      </c>
    </row>
    <row r="16" spans="1:6" x14ac:dyDescent="0.2">
      <c r="A16" s="26" t="s">
        <v>852</v>
      </c>
      <c r="B16" s="26" t="s">
        <v>851</v>
      </c>
      <c r="C16" s="26" t="s">
        <v>365</v>
      </c>
      <c r="D16" s="30">
        <v>21</v>
      </c>
      <c r="E16" s="28">
        <v>244.22958</v>
      </c>
      <c r="F16" s="29">
        <v>5.14212138780284</v>
      </c>
    </row>
    <row r="17" spans="1:9" x14ac:dyDescent="0.2">
      <c r="A17" s="26" t="s">
        <v>854</v>
      </c>
      <c r="B17" s="26" t="s">
        <v>853</v>
      </c>
      <c r="C17" s="26" t="s">
        <v>176</v>
      </c>
      <c r="D17" s="30">
        <v>19</v>
      </c>
      <c r="E17" s="28">
        <v>221.89150000000001</v>
      </c>
      <c r="F17" s="29">
        <v>4.6718052249103197</v>
      </c>
    </row>
    <row r="18" spans="1:9" x14ac:dyDescent="0.2">
      <c r="A18" s="26" t="s">
        <v>856</v>
      </c>
      <c r="B18" s="26" t="s">
        <v>855</v>
      </c>
      <c r="C18" s="26" t="s">
        <v>603</v>
      </c>
      <c r="D18" s="30">
        <v>18</v>
      </c>
      <c r="E18" s="28">
        <v>186.18822</v>
      </c>
      <c r="F18" s="29">
        <v>3.9200920225098899</v>
      </c>
    </row>
    <row r="19" spans="1:9" x14ac:dyDescent="0.2">
      <c r="A19" s="26" t="s">
        <v>858</v>
      </c>
      <c r="B19" s="26" t="s">
        <v>857</v>
      </c>
      <c r="C19" s="26" t="s">
        <v>176</v>
      </c>
      <c r="D19" s="30">
        <v>12</v>
      </c>
      <c r="E19" s="28">
        <v>138.321</v>
      </c>
      <c r="F19" s="29">
        <v>2.9122736585890898</v>
      </c>
    </row>
    <row r="20" spans="1:9" x14ac:dyDescent="0.2">
      <c r="A20" s="26" t="s">
        <v>773</v>
      </c>
      <c r="B20" s="26" t="s">
        <v>772</v>
      </c>
      <c r="C20" s="26" t="s">
        <v>176</v>
      </c>
      <c r="D20" s="30">
        <v>10</v>
      </c>
      <c r="E20" s="28">
        <v>103.2323</v>
      </c>
      <c r="F20" s="29">
        <v>2.17350010486886</v>
      </c>
    </row>
    <row r="21" spans="1:9" x14ac:dyDescent="0.2">
      <c r="A21" s="26" t="s">
        <v>660</v>
      </c>
      <c r="B21" s="26" t="s">
        <v>659</v>
      </c>
      <c r="C21" s="26" t="s">
        <v>600</v>
      </c>
      <c r="D21" s="30">
        <v>5</v>
      </c>
      <c r="E21" s="28">
        <v>50.626100000000001</v>
      </c>
      <c r="F21" s="29">
        <v>1.0659050864807</v>
      </c>
    </row>
    <row r="22" spans="1:9" ht="10.5" x14ac:dyDescent="0.25">
      <c r="A22" s="25" t="s">
        <v>177</v>
      </c>
      <c r="B22" s="25"/>
      <c r="C22" s="25"/>
      <c r="D22" s="31"/>
      <c r="E22" s="32">
        <f>SUM(E6:E21)</f>
        <v>4605.4341599999998</v>
      </c>
      <c r="F22" s="33">
        <f>SUM(F6:F21)</f>
        <v>96.964919213527665</v>
      </c>
      <c r="G22" s="17"/>
      <c r="H22" s="17"/>
      <c r="I22" s="17"/>
    </row>
    <row r="23" spans="1:9" x14ac:dyDescent="0.2">
      <c r="A23" s="26"/>
      <c r="B23" s="26"/>
      <c r="C23" s="26"/>
      <c r="D23" s="27"/>
      <c r="E23" s="28"/>
      <c r="F23" s="29"/>
    </row>
    <row r="24" spans="1:9" ht="10.5" x14ac:dyDescent="0.25">
      <c r="A24" s="25" t="s">
        <v>226</v>
      </c>
      <c r="B24" s="25"/>
      <c r="C24" s="25"/>
      <c r="D24" s="31"/>
      <c r="E24" s="32">
        <f>E22</f>
        <v>4605.4341599999998</v>
      </c>
      <c r="F24" s="33">
        <f>F22</f>
        <v>96.964919213527665</v>
      </c>
      <c r="G24" s="17"/>
      <c r="H24" s="17"/>
      <c r="I24" s="17"/>
    </row>
    <row r="25" spans="1:9" ht="10.5" x14ac:dyDescent="0.25">
      <c r="A25" s="25"/>
      <c r="B25" s="25"/>
      <c r="C25" s="25"/>
      <c r="D25" s="31"/>
      <c r="E25" s="32"/>
      <c r="F25" s="33"/>
      <c r="G25" s="17"/>
      <c r="H25" s="17"/>
      <c r="I25" s="17"/>
    </row>
    <row r="26" spans="1:9" ht="10.5" x14ac:dyDescent="0.25">
      <c r="A26" s="25" t="s">
        <v>228</v>
      </c>
      <c r="B26" s="25"/>
      <c r="C26" s="25"/>
      <c r="D26" s="31"/>
      <c r="E26" s="32">
        <f>E28-(E22)</f>
        <v>144.15383259999999</v>
      </c>
      <c r="F26" s="33">
        <f>F28-(F22)</f>
        <v>3.035080786472335</v>
      </c>
      <c r="G26" s="17"/>
      <c r="H26" s="17"/>
      <c r="I26" s="17"/>
    </row>
    <row r="27" spans="1:9" ht="10.5" x14ac:dyDescent="0.25">
      <c r="A27" s="25"/>
      <c r="B27" s="25"/>
      <c r="C27" s="25"/>
      <c r="D27" s="31"/>
      <c r="E27" s="32"/>
      <c r="F27" s="33"/>
      <c r="G27" s="17"/>
      <c r="H27" s="17"/>
      <c r="I27" s="17"/>
    </row>
    <row r="28" spans="1:9" ht="10.5" x14ac:dyDescent="0.25">
      <c r="A28" s="34" t="s">
        <v>227</v>
      </c>
      <c r="B28" s="34"/>
      <c r="C28" s="34"/>
      <c r="D28" s="35"/>
      <c r="E28" s="36">
        <v>4749.5879925999998</v>
      </c>
      <c r="F28" s="37">
        <v>100</v>
      </c>
      <c r="G28" s="17"/>
      <c r="H28" s="17"/>
      <c r="I28" s="17"/>
    </row>
    <row r="29" spans="1:9" ht="10.5" x14ac:dyDescent="0.25">
      <c r="A29" s="17" t="s">
        <v>231</v>
      </c>
    </row>
    <row r="31" spans="1:9" ht="10.5" x14ac:dyDescent="0.25">
      <c r="A31" s="17" t="s">
        <v>232</v>
      </c>
    </row>
    <row r="32" spans="1:9" ht="10.5" x14ac:dyDescent="0.25">
      <c r="A32" s="17" t="s">
        <v>233</v>
      </c>
    </row>
    <row r="33" spans="1:5" ht="10.5" x14ac:dyDescent="0.25">
      <c r="A33" s="17" t="s">
        <v>234</v>
      </c>
      <c r="B33" s="17"/>
      <c r="C33" s="38" t="s">
        <v>236</v>
      </c>
      <c r="D33" s="18" t="s">
        <v>235</v>
      </c>
    </row>
    <row r="34" spans="1:5" x14ac:dyDescent="0.2">
      <c r="A34" s="10" t="s">
        <v>543</v>
      </c>
      <c r="C34" s="39">
        <v>10.7003</v>
      </c>
      <c r="D34" s="39">
        <v>11.0722</v>
      </c>
    </row>
    <row r="35" spans="1:5" x14ac:dyDescent="0.2">
      <c r="A35" s="10" t="s">
        <v>859</v>
      </c>
      <c r="C35" s="39">
        <v>10.7003</v>
      </c>
      <c r="D35" s="39">
        <v>10.2942</v>
      </c>
    </row>
    <row r="36" spans="1:5" x14ac:dyDescent="0.2">
      <c r="A36" s="10" t="s">
        <v>545</v>
      </c>
      <c r="C36" s="39">
        <v>10.356</v>
      </c>
      <c r="D36" s="39">
        <v>10.289899999999999</v>
      </c>
    </row>
    <row r="37" spans="1:5" x14ac:dyDescent="0.2">
      <c r="A37" s="10" t="s">
        <v>546</v>
      </c>
      <c r="C37" s="39">
        <v>10.7136</v>
      </c>
      <c r="D37" s="39">
        <v>11.0969</v>
      </c>
    </row>
    <row r="39" spans="1:5" ht="10.5" x14ac:dyDescent="0.25">
      <c r="A39" s="17" t="s">
        <v>248</v>
      </c>
    </row>
    <row r="40" spans="1:5" ht="10.5" x14ac:dyDescent="0.25">
      <c r="A40" s="84" t="s">
        <v>249</v>
      </c>
      <c r="B40" s="85"/>
      <c r="C40" s="82" t="s">
        <v>250</v>
      </c>
      <c r="D40" s="83"/>
    </row>
    <row r="41" spans="1:5" ht="10.5" x14ac:dyDescent="0.25">
      <c r="A41" s="84"/>
      <c r="B41" s="85"/>
      <c r="C41" s="40" t="s">
        <v>251</v>
      </c>
      <c r="D41" s="41" t="s">
        <v>252</v>
      </c>
    </row>
    <row r="42" spans="1:5" x14ac:dyDescent="0.2">
      <c r="A42" s="78" t="s">
        <v>859</v>
      </c>
      <c r="B42" s="79"/>
      <c r="C42" s="42">
        <v>0.55825009250000002</v>
      </c>
      <c r="D42" s="42">
        <v>0.51694236780000002</v>
      </c>
    </row>
    <row r="43" spans="1:5" x14ac:dyDescent="0.2">
      <c r="A43" s="78" t="s">
        <v>545</v>
      </c>
      <c r="B43" s="79"/>
      <c r="C43" s="42">
        <v>0.30253553399999999</v>
      </c>
      <c r="D43" s="42">
        <v>0.28014941230000001</v>
      </c>
    </row>
    <row r="45" spans="1:5" ht="10.5" x14ac:dyDescent="0.25">
      <c r="A45" s="17" t="s">
        <v>253</v>
      </c>
      <c r="D45" s="43">
        <v>1.8038222117260301</v>
      </c>
      <c r="E45" s="15" t="s">
        <v>254</v>
      </c>
    </row>
    <row r="47" spans="1:5" ht="10.5" x14ac:dyDescent="0.25">
      <c r="A47" s="17" t="s">
        <v>255</v>
      </c>
      <c r="D47" s="46" t="s">
        <v>256</v>
      </c>
    </row>
  </sheetData>
  <mergeCells count="6">
    <mergeCell ref="A43:B43"/>
    <mergeCell ref="A1:F1"/>
    <mergeCell ref="C40:D40"/>
    <mergeCell ref="A40:B40"/>
    <mergeCell ref="A41:B41"/>
    <mergeCell ref="A42:B42"/>
  </mergeCells>
  <conditionalFormatting sqref="F2:F3 F5:F65533">
    <cfRule type="cellIs" dxfId="58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0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54296875" style="10" bestFit="1" customWidth="1"/>
    <col min="8" max="16384" width="9.1796875" style="10"/>
  </cols>
  <sheetData>
    <row r="1" spans="1:6" s="1" customFormat="1" ht="14" x14ac:dyDescent="0.25">
      <c r="A1" s="80" t="s">
        <v>15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708</v>
      </c>
      <c r="B7" s="26" t="s">
        <v>707</v>
      </c>
      <c r="C7" s="26" t="s">
        <v>176</v>
      </c>
      <c r="D7" s="30">
        <v>39</v>
      </c>
      <c r="E7" s="28">
        <v>439.55574000000001</v>
      </c>
      <c r="F7" s="29">
        <v>11.844657442516001</v>
      </c>
    </row>
    <row r="8" spans="1:6" x14ac:dyDescent="0.2">
      <c r="A8" s="26" t="s">
        <v>861</v>
      </c>
      <c r="B8" s="26" t="s">
        <v>860</v>
      </c>
      <c r="C8" s="26" t="s">
        <v>176</v>
      </c>
      <c r="D8" s="30">
        <v>39</v>
      </c>
      <c r="E8" s="28">
        <v>399.54953999999998</v>
      </c>
      <c r="F8" s="29">
        <v>10.766615020463201</v>
      </c>
    </row>
    <row r="9" spans="1:6" x14ac:dyDescent="0.2">
      <c r="A9" s="26" t="s">
        <v>863</v>
      </c>
      <c r="B9" s="26" t="s">
        <v>862</v>
      </c>
      <c r="C9" s="26" t="s">
        <v>176</v>
      </c>
      <c r="D9" s="30">
        <v>39</v>
      </c>
      <c r="E9" s="28">
        <v>398.62601999999998</v>
      </c>
      <c r="F9" s="29">
        <v>10.741729034350699</v>
      </c>
    </row>
    <row r="10" spans="1:6" x14ac:dyDescent="0.2">
      <c r="A10" s="26" t="s">
        <v>175</v>
      </c>
      <c r="B10" s="26" t="s">
        <v>174</v>
      </c>
      <c r="C10" s="26" t="s">
        <v>176</v>
      </c>
      <c r="D10" s="30">
        <v>38</v>
      </c>
      <c r="E10" s="28">
        <v>385.46249999999998</v>
      </c>
      <c r="F10" s="29">
        <v>10.387013190717999</v>
      </c>
    </row>
    <row r="11" spans="1:6" x14ac:dyDescent="0.2">
      <c r="A11" s="26" t="s">
        <v>856</v>
      </c>
      <c r="B11" s="26" t="s">
        <v>855</v>
      </c>
      <c r="C11" s="26" t="s">
        <v>603</v>
      </c>
      <c r="D11" s="30">
        <v>37</v>
      </c>
      <c r="E11" s="28">
        <v>382.72023000000002</v>
      </c>
      <c r="F11" s="29">
        <v>10.3131175597227</v>
      </c>
    </row>
    <row r="12" spans="1:6" x14ac:dyDescent="0.2">
      <c r="A12" s="26" t="s">
        <v>660</v>
      </c>
      <c r="B12" s="26" t="s">
        <v>659</v>
      </c>
      <c r="C12" s="26" t="s">
        <v>600</v>
      </c>
      <c r="D12" s="30">
        <v>34</v>
      </c>
      <c r="E12" s="28">
        <v>344.25747999999999</v>
      </c>
      <c r="F12" s="29">
        <v>9.2766663054469198</v>
      </c>
    </row>
    <row r="13" spans="1:6" x14ac:dyDescent="0.2">
      <c r="A13" s="26" t="s">
        <v>852</v>
      </c>
      <c r="B13" s="26" t="s">
        <v>851</v>
      </c>
      <c r="C13" s="26" t="s">
        <v>365</v>
      </c>
      <c r="D13" s="30">
        <v>29</v>
      </c>
      <c r="E13" s="28">
        <v>337.26942000000003</v>
      </c>
      <c r="F13" s="29">
        <v>9.0883598647489894</v>
      </c>
    </row>
    <row r="14" spans="1:6" x14ac:dyDescent="0.2">
      <c r="A14" s="26" t="s">
        <v>716</v>
      </c>
      <c r="B14" s="26" t="s">
        <v>715</v>
      </c>
      <c r="C14" s="26" t="s">
        <v>176</v>
      </c>
      <c r="D14" s="30">
        <v>27</v>
      </c>
      <c r="E14" s="28">
        <v>318.19445999999999</v>
      </c>
      <c r="F14" s="29">
        <v>8.5743491344382097</v>
      </c>
    </row>
    <row r="15" spans="1:6" x14ac:dyDescent="0.2">
      <c r="A15" s="26" t="s">
        <v>858</v>
      </c>
      <c r="B15" s="26" t="s">
        <v>857</v>
      </c>
      <c r="C15" s="26" t="s">
        <v>176</v>
      </c>
      <c r="D15" s="30">
        <v>24</v>
      </c>
      <c r="E15" s="28">
        <v>276.642</v>
      </c>
      <c r="F15" s="29">
        <v>7.4546398238651097</v>
      </c>
    </row>
    <row r="16" spans="1:6" x14ac:dyDescent="0.2">
      <c r="A16" s="26" t="s">
        <v>688</v>
      </c>
      <c r="B16" s="26" t="s">
        <v>687</v>
      </c>
      <c r="C16" s="26" t="s">
        <v>176</v>
      </c>
      <c r="D16" s="30">
        <v>13</v>
      </c>
      <c r="E16" s="28">
        <v>135.18687</v>
      </c>
      <c r="F16" s="29">
        <v>3.6428648750575698</v>
      </c>
    </row>
    <row r="17" spans="1:9" x14ac:dyDescent="0.2">
      <c r="A17" s="26" t="s">
        <v>773</v>
      </c>
      <c r="B17" s="26" t="s">
        <v>772</v>
      </c>
      <c r="C17" s="26" t="s">
        <v>176</v>
      </c>
      <c r="D17" s="30">
        <v>12</v>
      </c>
      <c r="E17" s="28">
        <v>123.87876</v>
      </c>
      <c r="F17" s="29">
        <v>3.33814654906713</v>
      </c>
    </row>
    <row r="18" spans="1:9" x14ac:dyDescent="0.2">
      <c r="A18" s="26" t="s">
        <v>850</v>
      </c>
      <c r="B18" s="26" t="s">
        <v>849</v>
      </c>
      <c r="C18" s="26" t="s">
        <v>176</v>
      </c>
      <c r="D18" s="30">
        <v>4</v>
      </c>
      <c r="E18" s="28">
        <v>47.241079999999997</v>
      </c>
      <c r="F18" s="29">
        <v>1.27299989260632</v>
      </c>
    </row>
    <row r="19" spans="1:9" x14ac:dyDescent="0.2">
      <c r="A19" s="26" t="s">
        <v>865</v>
      </c>
      <c r="B19" s="26" t="s">
        <v>864</v>
      </c>
      <c r="C19" s="26" t="s">
        <v>365</v>
      </c>
      <c r="D19" s="30">
        <v>1</v>
      </c>
      <c r="E19" s="28">
        <v>11.526770000000001</v>
      </c>
      <c r="F19" s="29">
        <v>0.31061053159872198</v>
      </c>
    </row>
    <row r="20" spans="1:9" x14ac:dyDescent="0.2">
      <c r="A20" s="26" t="s">
        <v>664</v>
      </c>
      <c r="B20" s="26" t="s">
        <v>663</v>
      </c>
      <c r="C20" s="26" t="s">
        <v>603</v>
      </c>
      <c r="D20" s="30">
        <v>1</v>
      </c>
      <c r="E20" s="28">
        <v>10.174799999999999</v>
      </c>
      <c r="F20" s="29">
        <v>0.27417915312881902</v>
      </c>
    </row>
    <row r="21" spans="1:9" ht="10.5" x14ac:dyDescent="0.25">
      <c r="A21" s="25" t="s">
        <v>177</v>
      </c>
      <c r="B21" s="25"/>
      <c r="C21" s="25"/>
      <c r="D21" s="31"/>
      <c r="E21" s="32">
        <f>SUM(E6:E20)</f>
        <v>3610.2856699999998</v>
      </c>
      <c r="F21" s="33">
        <f>SUM(F6:F20)</f>
        <v>97.285948377728388</v>
      </c>
      <c r="G21" s="17"/>
      <c r="H21" s="17"/>
      <c r="I21" s="17"/>
    </row>
    <row r="22" spans="1:9" x14ac:dyDescent="0.2">
      <c r="A22" s="26"/>
      <c r="B22" s="26"/>
      <c r="C22" s="26"/>
      <c r="D22" s="27"/>
      <c r="E22" s="28"/>
      <c r="F22" s="29"/>
    </row>
    <row r="23" spans="1:9" ht="10.5" x14ac:dyDescent="0.25">
      <c r="A23" s="25" t="s">
        <v>226</v>
      </c>
      <c r="B23" s="25"/>
      <c r="C23" s="25"/>
      <c r="D23" s="31"/>
      <c r="E23" s="32">
        <f>E21</f>
        <v>3610.2856699999998</v>
      </c>
      <c r="F23" s="33">
        <f>F21</f>
        <v>97.285948377728388</v>
      </c>
      <c r="G23" s="17"/>
      <c r="H23" s="17"/>
      <c r="I23" s="17"/>
    </row>
    <row r="24" spans="1:9" ht="10.5" x14ac:dyDescent="0.25">
      <c r="A24" s="25"/>
      <c r="B24" s="25"/>
      <c r="C24" s="25"/>
      <c r="D24" s="31"/>
      <c r="E24" s="32"/>
      <c r="F24" s="33"/>
      <c r="G24" s="17"/>
      <c r="H24" s="17"/>
      <c r="I24" s="17"/>
    </row>
    <row r="25" spans="1:9" ht="10.5" x14ac:dyDescent="0.25">
      <c r="A25" s="25" t="s">
        <v>228</v>
      </c>
      <c r="B25" s="25"/>
      <c r="C25" s="25"/>
      <c r="D25" s="31"/>
      <c r="E25" s="32">
        <f>E27-(E21)</f>
        <v>100.71857080000018</v>
      </c>
      <c r="F25" s="33">
        <f>F27-(F21)</f>
        <v>2.7140516222716116</v>
      </c>
      <c r="G25" s="17"/>
      <c r="H25" s="17"/>
      <c r="I25" s="17"/>
    </row>
    <row r="26" spans="1:9" ht="10.5" x14ac:dyDescent="0.25">
      <c r="A26" s="25"/>
      <c r="B26" s="25"/>
      <c r="C26" s="25"/>
      <c r="D26" s="31"/>
      <c r="E26" s="32"/>
      <c r="F26" s="33"/>
      <c r="G26" s="17"/>
      <c r="H26" s="17"/>
      <c r="I26" s="17"/>
    </row>
    <row r="27" spans="1:9" ht="10.5" x14ac:dyDescent="0.25">
      <c r="A27" s="34" t="s">
        <v>227</v>
      </c>
      <c r="B27" s="34"/>
      <c r="C27" s="34"/>
      <c r="D27" s="35"/>
      <c r="E27" s="36">
        <v>3711.0042407999999</v>
      </c>
      <c r="F27" s="37">
        <v>100</v>
      </c>
      <c r="G27" s="17"/>
      <c r="H27" s="17"/>
      <c r="I27" s="17"/>
    </row>
    <row r="28" spans="1:9" ht="10.5" x14ac:dyDescent="0.25">
      <c r="A28" s="17" t="s">
        <v>231</v>
      </c>
    </row>
    <row r="30" spans="1:9" ht="10.5" x14ac:dyDescent="0.25">
      <c r="A30" s="17" t="s">
        <v>232</v>
      </c>
    </row>
    <row r="31" spans="1:9" ht="10.5" x14ac:dyDescent="0.25">
      <c r="A31" s="17" t="s">
        <v>233</v>
      </c>
    </row>
    <row r="32" spans="1:9" ht="10.5" x14ac:dyDescent="0.25">
      <c r="A32" s="17" t="s">
        <v>234</v>
      </c>
      <c r="B32" s="17"/>
      <c r="C32" s="38" t="s">
        <v>236</v>
      </c>
      <c r="D32" s="18" t="s">
        <v>235</v>
      </c>
    </row>
    <row r="33" spans="1:5" x14ac:dyDescent="0.2">
      <c r="A33" s="10" t="s">
        <v>543</v>
      </c>
      <c r="C33" s="39">
        <v>10.812200000000001</v>
      </c>
      <c r="D33" s="39">
        <v>11.201700000000001</v>
      </c>
    </row>
    <row r="34" spans="1:5" x14ac:dyDescent="0.2">
      <c r="A34" s="10" t="s">
        <v>859</v>
      </c>
      <c r="C34" s="39">
        <v>10.812200000000001</v>
      </c>
      <c r="D34" s="39">
        <v>10.398400000000001</v>
      </c>
    </row>
    <row r="35" spans="1:5" x14ac:dyDescent="0.2">
      <c r="A35" s="10" t="s">
        <v>545</v>
      </c>
      <c r="C35" s="39">
        <v>10.4407</v>
      </c>
      <c r="D35" s="39">
        <v>10.389900000000001</v>
      </c>
    </row>
    <row r="36" spans="1:5" x14ac:dyDescent="0.2">
      <c r="A36" s="10" t="s">
        <v>546</v>
      </c>
      <c r="C36" s="39">
        <v>10.8276</v>
      </c>
      <c r="D36" s="39">
        <v>11.2288</v>
      </c>
    </row>
    <row r="37" spans="1:5" x14ac:dyDescent="0.2">
      <c r="A37" s="10" t="s">
        <v>581</v>
      </c>
      <c r="C37" s="39">
        <v>10.8276</v>
      </c>
      <c r="D37" s="39">
        <v>10.425000000000001</v>
      </c>
    </row>
    <row r="38" spans="1:5" x14ac:dyDescent="0.2">
      <c r="A38" s="10" t="s">
        <v>548</v>
      </c>
      <c r="C38" s="39">
        <v>10.4558</v>
      </c>
      <c r="D38" s="39">
        <v>10.4161</v>
      </c>
    </row>
    <row r="40" spans="1:5" ht="10.5" x14ac:dyDescent="0.25">
      <c r="A40" s="17" t="s">
        <v>248</v>
      </c>
    </row>
    <row r="41" spans="1:5" ht="10.5" x14ac:dyDescent="0.25">
      <c r="A41" s="84" t="s">
        <v>249</v>
      </c>
      <c r="B41" s="85"/>
      <c r="C41" s="82" t="s">
        <v>250</v>
      </c>
      <c r="D41" s="83"/>
    </row>
    <row r="42" spans="1:5" ht="10.5" x14ac:dyDescent="0.25">
      <c r="A42" s="84"/>
      <c r="B42" s="85"/>
      <c r="C42" s="40" t="s">
        <v>251</v>
      </c>
      <c r="D42" s="41" t="s">
        <v>252</v>
      </c>
    </row>
    <row r="43" spans="1:5" x14ac:dyDescent="0.2">
      <c r="A43" s="78" t="s">
        <v>859</v>
      </c>
      <c r="B43" s="79"/>
      <c r="C43" s="42">
        <v>0.57625815999999996</v>
      </c>
      <c r="D43" s="42">
        <v>0.53361792799999996</v>
      </c>
    </row>
    <row r="44" spans="1:5" x14ac:dyDescent="0.2">
      <c r="A44" s="78" t="s">
        <v>545</v>
      </c>
      <c r="B44" s="79"/>
      <c r="C44" s="42">
        <v>0.30253553399999999</v>
      </c>
      <c r="D44" s="42">
        <v>0.28014941230000001</v>
      </c>
    </row>
    <row r="45" spans="1:5" x14ac:dyDescent="0.2">
      <c r="A45" s="78" t="s">
        <v>581</v>
      </c>
      <c r="B45" s="79"/>
      <c r="C45" s="42">
        <v>0.57625815999999996</v>
      </c>
      <c r="D45" s="42">
        <v>0.53361792799999996</v>
      </c>
    </row>
    <row r="46" spans="1:5" x14ac:dyDescent="0.2">
      <c r="A46" s="78" t="s">
        <v>548</v>
      </c>
      <c r="B46" s="79"/>
      <c r="C46" s="42">
        <v>0.30253553399999999</v>
      </c>
      <c r="D46" s="42">
        <v>0.28014941230000001</v>
      </c>
    </row>
    <row r="48" spans="1:5" ht="10.5" x14ac:dyDescent="0.25">
      <c r="A48" s="17" t="s">
        <v>253</v>
      </c>
      <c r="D48" s="43">
        <v>1.7398403065753401</v>
      </c>
      <c r="E48" s="15" t="s">
        <v>254</v>
      </c>
    </row>
    <row r="50" spans="1:4" ht="10.5" x14ac:dyDescent="0.25">
      <c r="A50" s="17" t="s">
        <v>255</v>
      </c>
      <c r="D50" s="46" t="s">
        <v>256</v>
      </c>
    </row>
  </sheetData>
  <mergeCells count="8">
    <mergeCell ref="A45:B45"/>
    <mergeCell ref="A46:B46"/>
    <mergeCell ref="A1:F1"/>
    <mergeCell ref="C41:D41"/>
    <mergeCell ref="A41:B41"/>
    <mergeCell ref="A42:B42"/>
    <mergeCell ref="A43:B43"/>
    <mergeCell ref="A44:B44"/>
  </mergeCells>
  <conditionalFormatting sqref="F2:F3 F5:F65533">
    <cfRule type="cellIs" dxfId="57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9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7265625" style="10" bestFit="1" customWidth="1"/>
    <col min="8" max="16384" width="9.1796875" style="10"/>
  </cols>
  <sheetData>
    <row r="1" spans="1:6" s="1" customFormat="1" ht="14" x14ac:dyDescent="0.25">
      <c r="A1" s="80" t="s">
        <v>16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867</v>
      </c>
      <c r="B7" s="26" t="s">
        <v>866</v>
      </c>
      <c r="C7" s="26" t="s">
        <v>176</v>
      </c>
      <c r="D7" s="30">
        <v>23</v>
      </c>
      <c r="E7" s="28">
        <v>268.69405</v>
      </c>
      <c r="F7" s="29">
        <v>11.8194915070252</v>
      </c>
    </row>
    <row r="8" spans="1:6" x14ac:dyDescent="0.2">
      <c r="A8" s="26" t="s">
        <v>869</v>
      </c>
      <c r="B8" s="26" t="s">
        <v>868</v>
      </c>
      <c r="C8" s="26" t="s">
        <v>176</v>
      </c>
      <c r="D8" s="30">
        <v>23</v>
      </c>
      <c r="E8" s="28">
        <v>268.01209999999998</v>
      </c>
      <c r="F8" s="29">
        <v>11.789493439583101</v>
      </c>
    </row>
    <row r="9" spans="1:6" x14ac:dyDescent="0.2">
      <c r="A9" s="26" t="s">
        <v>856</v>
      </c>
      <c r="B9" s="26" t="s">
        <v>855</v>
      </c>
      <c r="C9" s="26" t="s">
        <v>603</v>
      </c>
      <c r="D9" s="30">
        <v>24</v>
      </c>
      <c r="E9" s="28">
        <v>248.25095999999999</v>
      </c>
      <c r="F9" s="29">
        <v>10.920227349027099</v>
      </c>
    </row>
    <row r="10" spans="1:6" x14ac:dyDescent="0.2">
      <c r="A10" s="26" t="s">
        <v>863</v>
      </c>
      <c r="B10" s="26" t="s">
        <v>862</v>
      </c>
      <c r="C10" s="26" t="s">
        <v>176</v>
      </c>
      <c r="D10" s="30">
        <v>24</v>
      </c>
      <c r="E10" s="28">
        <v>245.30832000000001</v>
      </c>
      <c r="F10" s="29">
        <v>10.790784555306001</v>
      </c>
    </row>
    <row r="11" spans="1:6" x14ac:dyDescent="0.2">
      <c r="A11" s="26" t="s">
        <v>861</v>
      </c>
      <c r="B11" s="26" t="s">
        <v>860</v>
      </c>
      <c r="C11" s="26" t="s">
        <v>176</v>
      </c>
      <c r="D11" s="30">
        <v>23</v>
      </c>
      <c r="E11" s="28">
        <v>235.63177999999999</v>
      </c>
      <c r="F11" s="29">
        <v>10.365126516553801</v>
      </c>
    </row>
    <row r="12" spans="1:6" x14ac:dyDescent="0.2">
      <c r="A12" s="26" t="s">
        <v>175</v>
      </c>
      <c r="B12" s="26" t="s">
        <v>174</v>
      </c>
      <c r="C12" s="26" t="s">
        <v>176</v>
      </c>
      <c r="D12" s="30">
        <v>23</v>
      </c>
      <c r="E12" s="28">
        <v>233.30625000000001</v>
      </c>
      <c r="F12" s="29">
        <v>10.262829565488699</v>
      </c>
    </row>
    <row r="13" spans="1:6" x14ac:dyDescent="0.2">
      <c r="A13" s="26" t="s">
        <v>660</v>
      </c>
      <c r="B13" s="26" t="s">
        <v>659</v>
      </c>
      <c r="C13" s="26" t="s">
        <v>600</v>
      </c>
      <c r="D13" s="30">
        <v>21</v>
      </c>
      <c r="E13" s="28">
        <v>212.62961999999999</v>
      </c>
      <c r="F13" s="29">
        <v>9.3532922955755993</v>
      </c>
    </row>
    <row r="14" spans="1:6" x14ac:dyDescent="0.2">
      <c r="A14" s="26" t="s">
        <v>865</v>
      </c>
      <c r="B14" s="26" t="s">
        <v>864</v>
      </c>
      <c r="C14" s="26" t="s">
        <v>365</v>
      </c>
      <c r="D14" s="30">
        <v>18</v>
      </c>
      <c r="E14" s="28">
        <v>207.48186000000001</v>
      </c>
      <c r="F14" s="29">
        <v>9.1268492254733609</v>
      </c>
    </row>
    <row r="15" spans="1:6" x14ac:dyDescent="0.2">
      <c r="A15" s="26" t="s">
        <v>858</v>
      </c>
      <c r="B15" s="26" t="s">
        <v>857</v>
      </c>
      <c r="C15" s="26" t="s">
        <v>176</v>
      </c>
      <c r="D15" s="30">
        <v>14</v>
      </c>
      <c r="E15" s="28">
        <v>161.37450000000001</v>
      </c>
      <c r="F15" s="29">
        <v>7.0986481918763902</v>
      </c>
    </row>
    <row r="16" spans="1:6" x14ac:dyDescent="0.2">
      <c r="A16" s="26" t="s">
        <v>773</v>
      </c>
      <c r="B16" s="26" t="s">
        <v>772</v>
      </c>
      <c r="C16" s="26" t="s">
        <v>176</v>
      </c>
      <c r="D16" s="30">
        <v>6</v>
      </c>
      <c r="E16" s="28">
        <v>61.93938</v>
      </c>
      <c r="F16" s="29">
        <v>2.7246303960225702</v>
      </c>
    </row>
    <row r="17" spans="1:9" x14ac:dyDescent="0.2">
      <c r="A17" s="26" t="s">
        <v>688</v>
      </c>
      <c r="B17" s="26" t="s">
        <v>687</v>
      </c>
      <c r="C17" s="26" t="s">
        <v>176</v>
      </c>
      <c r="D17" s="30">
        <v>3</v>
      </c>
      <c r="E17" s="28">
        <v>31.19697</v>
      </c>
      <c r="F17" s="29">
        <v>1.3723129409077801</v>
      </c>
    </row>
    <row r="18" spans="1:9" x14ac:dyDescent="0.2">
      <c r="A18" s="26" t="s">
        <v>666</v>
      </c>
      <c r="B18" s="26" t="s">
        <v>665</v>
      </c>
      <c r="C18" s="26" t="s">
        <v>176</v>
      </c>
      <c r="D18" s="30">
        <v>2</v>
      </c>
      <c r="E18" s="28">
        <v>20.545439999999999</v>
      </c>
      <c r="F18" s="29">
        <v>0.90376639746245502</v>
      </c>
    </row>
    <row r="19" spans="1:9" x14ac:dyDescent="0.2">
      <c r="A19" s="26" t="s">
        <v>871</v>
      </c>
      <c r="B19" s="26" t="s">
        <v>870</v>
      </c>
      <c r="C19" s="26" t="s">
        <v>603</v>
      </c>
      <c r="D19" s="30">
        <v>1</v>
      </c>
      <c r="E19" s="28">
        <v>10.305300000000001</v>
      </c>
      <c r="F19" s="29">
        <v>0.453316349310107</v>
      </c>
    </row>
    <row r="20" spans="1:9" ht="10.5" x14ac:dyDescent="0.25">
      <c r="A20" s="25" t="s">
        <v>177</v>
      </c>
      <c r="B20" s="25"/>
      <c r="C20" s="25"/>
      <c r="D20" s="31"/>
      <c r="E20" s="32">
        <f>SUM(E6:E19)</f>
        <v>2204.6765299999997</v>
      </c>
      <c r="F20" s="33">
        <f>SUM(F6:F19)</f>
        <v>96.980768729612166</v>
      </c>
      <c r="G20" s="17"/>
      <c r="H20" s="17"/>
      <c r="I20" s="17"/>
    </row>
    <row r="21" spans="1:9" x14ac:dyDescent="0.2">
      <c r="A21" s="26"/>
      <c r="B21" s="26"/>
      <c r="C21" s="26"/>
      <c r="D21" s="27"/>
      <c r="E21" s="28"/>
      <c r="F21" s="29"/>
    </row>
    <row r="22" spans="1:9" ht="10.5" x14ac:dyDescent="0.25">
      <c r="A22" s="25" t="s">
        <v>226</v>
      </c>
      <c r="B22" s="25"/>
      <c r="C22" s="25"/>
      <c r="D22" s="31"/>
      <c r="E22" s="32">
        <f>E20</f>
        <v>2204.6765299999997</v>
      </c>
      <c r="F22" s="33">
        <f>F20</f>
        <v>96.980768729612166</v>
      </c>
      <c r="G22" s="17"/>
      <c r="H22" s="17"/>
      <c r="I22" s="17"/>
    </row>
    <row r="23" spans="1:9" ht="10.5" x14ac:dyDescent="0.25">
      <c r="A23" s="25"/>
      <c r="B23" s="25"/>
      <c r="C23" s="25"/>
      <c r="D23" s="31"/>
      <c r="E23" s="32"/>
      <c r="F23" s="33"/>
      <c r="G23" s="17"/>
      <c r="H23" s="17"/>
      <c r="I23" s="17"/>
    </row>
    <row r="24" spans="1:9" ht="10.5" x14ac:dyDescent="0.25">
      <c r="A24" s="25" t="s">
        <v>228</v>
      </c>
      <c r="B24" s="25"/>
      <c r="C24" s="25"/>
      <c r="D24" s="31"/>
      <c r="E24" s="32">
        <f>E26-(E20)</f>
        <v>68.636580300000332</v>
      </c>
      <c r="F24" s="33">
        <f>F26-(F20)</f>
        <v>3.0192312703878343</v>
      </c>
      <c r="G24" s="17"/>
      <c r="H24" s="17"/>
      <c r="I24" s="17"/>
    </row>
    <row r="25" spans="1:9" ht="10.5" x14ac:dyDescent="0.25">
      <c r="A25" s="25"/>
      <c r="B25" s="25"/>
      <c r="C25" s="25"/>
      <c r="D25" s="31"/>
      <c r="E25" s="32"/>
      <c r="F25" s="33"/>
      <c r="G25" s="17"/>
      <c r="H25" s="17"/>
      <c r="I25" s="17"/>
    </row>
    <row r="26" spans="1:9" ht="10.5" x14ac:dyDescent="0.25">
      <c r="A26" s="34" t="s">
        <v>227</v>
      </c>
      <c r="B26" s="34"/>
      <c r="C26" s="34"/>
      <c r="D26" s="35"/>
      <c r="E26" s="36">
        <v>2273.3131103000001</v>
      </c>
      <c r="F26" s="37">
        <v>100</v>
      </c>
      <c r="G26" s="17"/>
      <c r="H26" s="17"/>
      <c r="I26" s="17"/>
    </row>
    <row r="27" spans="1:9" ht="10.5" x14ac:dyDescent="0.25">
      <c r="A27" s="17" t="s">
        <v>231</v>
      </c>
    </row>
    <row r="29" spans="1:9" ht="10.5" x14ac:dyDescent="0.25">
      <c r="A29" s="17" t="s">
        <v>232</v>
      </c>
    </row>
    <row r="30" spans="1:9" ht="10.5" x14ac:dyDescent="0.25">
      <c r="A30" s="17" t="s">
        <v>233</v>
      </c>
    </row>
    <row r="31" spans="1:9" ht="10.5" x14ac:dyDescent="0.25">
      <c r="A31" s="17" t="s">
        <v>234</v>
      </c>
      <c r="B31" s="17"/>
      <c r="C31" s="38" t="s">
        <v>236</v>
      </c>
      <c r="D31" s="18" t="s">
        <v>235</v>
      </c>
    </row>
    <row r="32" spans="1:9" x14ac:dyDescent="0.2">
      <c r="A32" s="10" t="s">
        <v>543</v>
      </c>
      <c r="C32" s="39">
        <v>10.8565</v>
      </c>
      <c r="D32" s="39">
        <v>11.257899999999999</v>
      </c>
    </row>
    <row r="33" spans="1:5" x14ac:dyDescent="0.2">
      <c r="A33" s="10" t="s">
        <v>859</v>
      </c>
      <c r="C33" s="39">
        <v>10.8565</v>
      </c>
      <c r="D33" s="39">
        <v>10.5021</v>
      </c>
    </row>
    <row r="34" spans="1:5" x14ac:dyDescent="0.2">
      <c r="A34" s="10" t="s">
        <v>545</v>
      </c>
      <c r="C34" s="39">
        <v>10.3062</v>
      </c>
      <c r="D34" s="39">
        <v>10.2584</v>
      </c>
    </row>
    <row r="35" spans="1:5" x14ac:dyDescent="0.2">
      <c r="A35" s="10" t="s">
        <v>546</v>
      </c>
      <c r="C35" s="39">
        <v>10.8774</v>
      </c>
      <c r="D35" s="39">
        <v>11.2936</v>
      </c>
    </row>
    <row r="36" spans="1:5" x14ac:dyDescent="0.2">
      <c r="A36" s="10" t="s">
        <v>581</v>
      </c>
      <c r="C36" s="39">
        <v>10.8774</v>
      </c>
      <c r="D36" s="39">
        <v>10.5373</v>
      </c>
    </row>
    <row r="37" spans="1:5" x14ac:dyDescent="0.2">
      <c r="A37" s="10" t="s">
        <v>548</v>
      </c>
      <c r="C37" s="39">
        <v>10.326700000000001</v>
      </c>
      <c r="D37" s="39">
        <v>10.2928</v>
      </c>
    </row>
    <row r="39" spans="1:5" ht="10.5" x14ac:dyDescent="0.25">
      <c r="A39" s="17" t="s">
        <v>248</v>
      </c>
    </row>
    <row r="40" spans="1:5" ht="10.5" x14ac:dyDescent="0.25">
      <c r="A40" s="84" t="s">
        <v>249</v>
      </c>
      <c r="B40" s="85"/>
      <c r="C40" s="82" t="s">
        <v>250</v>
      </c>
      <c r="D40" s="83"/>
    </row>
    <row r="41" spans="1:5" ht="10.5" x14ac:dyDescent="0.25">
      <c r="A41" s="84"/>
      <c r="B41" s="85"/>
      <c r="C41" s="40" t="s">
        <v>251</v>
      </c>
      <c r="D41" s="41" t="s">
        <v>252</v>
      </c>
    </row>
    <row r="42" spans="1:5" x14ac:dyDescent="0.2">
      <c r="A42" s="78" t="s">
        <v>859</v>
      </c>
      <c r="B42" s="79"/>
      <c r="C42" s="42">
        <v>0.53303879799999998</v>
      </c>
      <c r="D42" s="42">
        <v>0.49359658340000001</v>
      </c>
    </row>
    <row r="43" spans="1:5" x14ac:dyDescent="0.2">
      <c r="A43" s="78" t="s">
        <v>545</v>
      </c>
      <c r="B43" s="79"/>
      <c r="C43" s="42">
        <v>0.34836131300000001</v>
      </c>
      <c r="D43" s="42">
        <v>0.3382342579</v>
      </c>
    </row>
    <row r="44" spans="1:5" x14ac:dyDescent="0.2">
      <c r="A44" s="78" t="s">
        <v>581</v>
      </c>
      <c r="B44" s="79"/>
      <c r="C44" s="42">
        <v>0.53303879799999998</v>
      </c>
      <c r="D44" s="42">
        <v>0.49359658340000001</v>
      </c>
    </row>
    <row r="45" spans="1:5" x14ac:dyDescent="0.2">
      <c r="A45" s="78" t="s">
        <v>548</v>
      </c>
      <c r="B45" s="79"/>
      <c r="C45" s="42">
        <v>0.34836131300000001</v>
      </c>
      <c r="D45" s="42">
        <v>0.3382342579</v>
      </c>
    </row>
    <row r="47" spans="1:5" ht="10.5" x14ac:dyDescent="0.25">
      <c r="A47" s="17" t="s">
        <v>253</v>
      </c>
      <c r="D47" s="43">
        <v>1.7790918153698601</v>
      </c>
      <c r="E47" s="15" t="s">
        <v>254</v>
      </c>
    </row>
    <row r="49" spans="1:4" ht="10.5" x14ac:dyDescent="0.25">
      <c r="A49" s="17" t="s">
        <v>255</v>
      </c>
      <c r="D49" s="46" t="s">
        <v>256</v>
      </c>
    </row>
  </sheetData>
  <mergeCells count="8">
    <mergeCell ref="A44:B44"/>
    <mergeCell ref="A45:B45"/>
    <mergeCell ref="A1:F1"/>
    <mergeCell ref="C40:D40"/>
    <mergeCell ref="A40:B40"/>
    <mergeCell ref="A41:B41"/>
    <mergeCell ref="A42:B42"/>
    <mergeCell ref="A43:B43"/>
  </mergeCells>
  <conditionalFormatting sqref="F2:F3 F5:F65533">
    <cfRule type="cellIs" dxfId="56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8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81640625" style="10" bestFit="1" customWidth="1"/>
    <col min="8" max="16384" width="9.1796875" style="10"/>
  </cols>
  <sheetData>
    <row r="1" spans="1:6" s="1" customFormat="1" ht="14" x14ac:dyDescent="0.25">
      <c r="A1" s="80" t="s">
        <v>17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867</v>
      </c>
      <c r="B7" s="26" t="s">
        <v>866</v>
      </c>
      <c r="C7" s="26" t="s">
        <v>176</v>
      </c>
      <c r="D7" s="30">
        <v>68</v>
      </c>
      <c r="E7" s="28">
        <v>794.39980000000003</v>
      </c>
      <c r="F7" s="29">
        <v>11.7377192354611</v>
      </c>
    </row>
    <row r="8" spans="1:6" x14ac:dyDescent="0.2">
      <c r="A8" s="26" t="s">
        <v>856</v>
      </c>
      <c r="B8" s="26" t="s">
        <v>855</v>
      </c>
      <c r="C8" s="26" t="s">
        <v>603</v>
      </c>
      <c r="D8" s="30">
        <v>71</v>
      </c>
      <c r="E8" s="28">
        <v>734.40908999999999</v>
      </c>
      <c r="F8" s="29">
        <v>10.851321591962201</v>
      </c>
    </row>
    <row r="9" spans="1:6" x14ac:dyDescent="0.2">
      <c r="A9" s="26" t="s">
        <v>863</v>
      </c>
      <c r="B9" s="26" t="s">
        <v>862</v>
      </c>
      <c r="C9" s="26" t="s">
        <v>176</v>
      </c>
      <c r="D9" s="30">
        <v>71</v>
      </c>
      <c r="E9" s="28">
        <v>725.70378000000005</v>
      </c>
      <c r="F9" s="29">
        <v>10.722695571868</v>
      </c>
    </row>
    <row r="10" spans="1:6" x14ac:dyDescent="0.2">
      <c r="A10" s="26" t="s">
        <v>861</v>
      </c>
      <c r="B10" s="26" t="s">
        <v>860</v>
      </c>
      <c r="C10" s="26" t="s">
        <v>176</v>
      </c>
      <c r="D10" s="30">
        <v>70</v>
      </c>
      <c r="E10" s="28">
        <v>717.14020000000005</v>
      </c>
      <c r="F10" s="29">
        <v>10.596163694983799</v>
      </c>
    </row>
    <row r="11" spans="1:6" x14ac:dyDescent="0.2">
      <c r="A11" s="26" t="s">
        <v>873</v>
      </c>
      <c r="B11" s="26" t="s">
        <v>872</v>
      </c>
      <c r="C11" s="26" t="s">
        <v>650</v>
      </c>
      <c r="D11" s="30">
        <v>70000</v>
      </c>
      <c r="E11" s="28">
        <v>715.17880000000002</v>
      </c>
      <c r="F11" s="29">
        <v>10.5671828688199</v>
      </c>
    </row>
    <row r="12" spans="1:6" x14ac:dyDescent="0.2">
      <c r="A12" s="26" t="s">
        <v>660</v>
      </c>
      <c r="B12" s="26" t="s">
        <v>659</v>
      </c>
      <c r="C12" s="26" t="s">
        <v>600</v>
      </c>
      <c r="D12" s="30">
        <v>70</v>
      </c>
      <c r="E12" s="28">
        <v>708.7654</v>
      </c>
      <c r="F12" s="29">
        <v>10.472421152433901</v>
      </c>
    </row>
    <row r="13" spans="1:6" x14ac:dyDescent="0.2">
      <c r="A13" s="26" t="s">
        <v>175</v>
      </c>
      <c r="B13" s="26" t="s">
        <v>174</v>
      </c>
      <c r="C13" s="26" t="s">
        <v>176</v>
      </c>
      <c r="D13" s="30">
        <v>69</v>
      </c>
      <c r="E13" s="28">
        <v>699.91875000000005</v>
      </c>
      <c r="F13" s="29">
        <v>10.341706751606599</v>
      </c>
    </row>
    <row r="14" spans="1:6" x14ac:dyDescent="0.2">
      <c r="A14" s="26" t="s">
        <v>727</v>
      </c>
      <c r="B14" s="26" t="s">
        <v>726</v>
      </c>
      <c r="C14" s="26" t="s">
        <v>603</v>
      </c>
      <c r="D14" s="30">
        <v>47</v>
      </c>
      <c r="E14" s="28">
        <v>554.05714999999998</v>
      </c>
      <c r="F14" s="29">
        <v>8.1865167477380503</v>
      </c>
    </row>
    <row r="15" spans="1:6" x14ac:dyDescent="0.2">
      <c r="A15" s="26" t="s">
        <v>871</v>
      </c>
      <c r="B15" s="26" t="s">
        <v>870</v>
      </c>
      <c r="C15" s="26" t="s">
        <v>603</v>
      </c>
      <c r="D15" s="30">
        <v>31</v>
      </c>
      <c r="E15" s="28">
        <v>319.46429999999998</v>
      </c>
      <c r="F15" s="29">
        <v>4.7202709003113004</v>
      </c>
    </row>
    <row r="16" spans="1:6" x14ac:dyDescent="0.2">
      <c r="A16" s="26" t="s">
        <v>865</v>
      </c>
      <c r="B16" s="26" t="s">
        <v>864</v>
      </c>
      <c r="C16" s="26" t="s">
        <v>365</v>
      </c>
      <c r="D16" s="30">
        <v>20</v>
      </c>
      <c r="E16" s="28">
        <v>230.53540000000001</v>
      </c>
      <c r="F16" s="29">
        <v>3.4062946630081199</v>
      </c>
    </row>
    <row r="17" spans="1:9" x14ac:dyDescent="0.2">
      <c r="A17" s="26" t="s">
        <v>773</v>
      </c>
      <c r="B17" s="26" t="s">
        <v>772</v>
      </c>
      <c r="C17" s="26" t="s">
        <v>176</v>
      </c>
      <c r="D17" s="30">
        <v>22</v>
      </c>
      <c r="E17" s="28">
        <v>227.11106000000001</v>
      </c>
      <c r="F17" s="29">
        <v>3.3556980471897901</v>
      </c>
    </row>
    <row r="18" spans="1:9" x14ac:dyDescent="0.2">
      <c r="A18" s="26" t="s">
        <v>854</v>
      </c>
      <c r="B18" s="26" t="s">
        <v>853</v>
      </c>
      <c r="C18" s="26" t="s">
        <v>176</v>
      </c>
      <c r="D18" s="30">
        <v>2</v>
      </c>
      <c r="E18" s="28">
        <v>23.356999999999999</v>
      </c>
      <c r="F18" s="29">
        <v>0.34511326435714701</v>
      </c>
    </row>
    <row r="19" spans="1:9" x14ac:dyDescent="0.2">
      <c r="A19" s="26" t="s">
        <v>720</v>
      </c>
      <c r="B19" s="26" t="s">
        <v>719</v>
      </c>
      <c r="C19" s="26" t="s">
        <v>721</v>
      </c>
      <c r="D19" s="30">
        <v>1</v>
      </c>
      <c r="E19" s="28">
        <v>10.66436</v>
      </c>
      <c r="F19" s="29">
        <v>0.15757212364087</v>
      </c>
    </row>
    <row r="20" spans="1:9" x14ac:dyDescent="0.2">
      <c r="A20" s="26" t="s">
        <v>688</v>
      </c>
      <c r="B20" s="26" t="s">
        <v>687</v>
      </c>
      <c r="C20" s="26" t="s">
        <v>176</v>
      </c>
      <c r="D20" s="30">
        <v>1</v>
      </c>
      <c r="E20" s="28">
        <v>10.39899</v>
      </c>
      <c r="F20" s="29">
        <v>0.153651127495711</v>
      </c>
    </row>
    <row r="21" spans="1:9" ht="10.5" x14ac:dyDescent="0.25">
      <c r="A21" s="25" t="s">
        <v>177</v>
      </c>
      <c r="B21" s="25"/>
      <c r="C21" s="25"/>
      <c r="D21" s="31"/>
      <c r="E21" s="32">
        <f>SUM(E6:E20)</f>
        <v>6471.1040799999982</v>
      </c>
      <c r="F21" s="33">
        <f>SUM(F6:F20)</f>
        <v>95.614327740876504</v>
      </c>
      <c r="G21" s="17"/>
      <c r="H21" s="17"/>
      <c r="I21" s="17"/>
    </row>
    <row r="22" spans="1:9" x14ac:dyDescent="0.2">
      <c r="A22" s="26"/>
      <c r="B22" s="26"/>
      <c r="C22" s="26"/>
      <c r="D22" s="27"/>
      <c r="E22" s="28"/>
      <c r="F22" s="29"/>
    </row>
    <row r="23" spans="1:9" ht="10.5" x14ac:dyDescent="0.25">
      <c r="A23" s="25" t="s">
        <v>226</v>
      </c>
      <c r="B23" s="25"/>
      <c r="C23" s="25"/>
      <c r="D23" s="31"/>
      <c r="E23" s="32">
        <f>E21</f>
        <v>6471.1040799999982</v>
      </c>
      <c r="F23" s="33">
        <f>F21</f>
        <v>95.614327740876504</v>
      </c>
      <c r="G23" s="17"/>
      <c r="H23" s="17"/>
      <c r="I23" s="17"/>
    </row>
    <row r="24" spans="1:9" ht="10.5" x14ac:dyDescent="0.25">
      <c r="A24" s="25"/>
      <c r="B24" s="25"/>
      <c r="C24" s="25"/>
      <c r="D24" s="31"/>
      <c r="E24" s="32"/>
      <c r="F24" s="33"/>
      <c r="G24" s="17"/>
      <c r="H24" s="17"/>
      <c r="I24" s="17"/>
    </row>
    <row r="25" spans="1:9" ht="10.5" x14ac:dyDescent="0.25">
      <c r="A25" s="25" t="s">
        <v>228</v>
      </c>
      <c r="B25" s="25"/>
      <c r="C25" s="25"/>
      <c r="D25" s="31"/>
      <c r="E25" s="32">
        <f>E27-(E21)</f>
        <v>296.81892160000189</v>
      </c>
      <c r="F25" s="33">
        <f>F27-(F21)</f>
        <v>4.3856722591234956</v>
      </c>
      <c r="G25" s="17"/>
      <c r="H25" s="17"/>
      <c r="I25" s="17"/>
    </row>
    <row r="26" spans="1:9" ht="10.5" x14ac:dyDescent="0.25">
      <c r="A26" s="25"/>
      <c r="B26" s="25"/>
      <c r="C26" s="25"/>
      <c r="D26" s="31"/>
      <c r="E26" s="32"/>
      <c r="F26" s="33"/>
      <c r="G26" s="17"/>
      <c r="H26" s="17"/>
      <c r="I26" s="17"/>
    </row>
    <row r="27" spans="1:9" ht="10.5" x14ac:dyDescent="0.25">
      <c r="A27" s="34" t="s">
        <v>227</v>
      </c>
      <c r="B27" s="34"/>
      <c r="C27" s="34"/>
      <c r="D27" s="35"/>
      <c r="E27" s="36">
        <v>6767.9230016000001</v>
      </c>
      <c r="F27" s="37">
        <v>100</v>
      </c>
      <c r="G27" s="17"/>
      <c r="H27" s="17"/>
      <c r="I27" s="17"/>
    </row>
    <row r="28" spans="1:9" ht="10.5" x14ac:dyDescent="0.25">
      <c r="A28" s="17" t="s">
        <v>231</v>
      </c>
    </row>
    <row r="30" spans="1:9" ht="10.5" x14ac:dyDescent="0.25">
      <c r="A30" s="17" t="s">
        <v>232</v>
      </c>
    </row>
    <row r="31" spans="1:9" ht="10.5" x14ac:dyDescent="0.25">
      <c r="A31" s="17" t="s">
        <v>233</v>
      </c>
    </row>
    <row r="32" spans="1:9" ht="10.5" x14ac:dyDescent="0.25">
      <c r="A32" s="17" t="s">
        <v>234</v>
      </c>
      <c r="B32" s="17"/>
      <c r="C32" s="38" t="s">
        <v>236</v>
      </c>
      <c r="D32" s="18" t="s">
        <v>235</v>
      </c>
    </row>
    <row r="33" spans="1:5" x14ac:dyDescent="0.2">
      <c r="A33" s="10" t="s">
        <v>543</v>
      </c>
      <c r="C33" s="39">
        <v>10.893700000000001</v>
      </c>
      <c r="D33" s="39">
        <v>11.285</v>
      </c>
    </row>
    <row r="34" spans="1:5" x14ac:dyDescent="0.2">
      <c r="A34" s="10" t="s">
        <v>859</v>
      </c>
      <c r="C34" s="39">
        <v>10.893700000000001</v>
      </c>
      <c r="D34" s="39">
        <v>10.499499999999999</v>
      </c>
    </row>
    <row r="35" spans="1:5" x14ac:dyDescent="0.2">
      <c r="A35" s="10" t="s">
        <v>545</v>
      </c>
      <c r="C35" s="39">
        <v>10.312099999999999</v>
      </c>
      <c r="D35" s="39">
        <v>10.2593</v>
      </c>
    </row>
    <row r="36" spans="1:5" x14ac:dyDescent="0.2">
      <c r="A36" s="10" t="s">
        <v>546</v>
      </c>
      <c r="C36" s="39">
        <v>10.915699999999999</v>
      </c>
      <c r="D36" s="39">
        <v>11.321899999999999</v>
      </c>
    </row>
    <row r="37" spans="1:5" x14ac:dyDescent="0.2">
      <c r="A37" s="10" t="s">
        <v>581</v>
      </c>
      <c r="C37" s="39">
        <v>10.915699999999999</v>
      </c>
      <c r="D37" s="39">
        <v>10.5358</v>
      </c>
    </row>
    <row r="39" spans="1:5" ht="10.5" x14ac:dyDescent="0.25">
      <c r="A39" s="17" t="s">
        <v>248</v>
      </c>
    </row>
    <row r="40" spans="1:5" ht="10.5" x14ac:dyDescent="0.25">
      <c r="A40" s="84" t="s">
        <v>249</v>
      </c>
      <c r="B40" s="85"/>
      <c r="C40" s="82" t="s">
        <v>250</v>
      </c>
      <c r="D40" s="83"/>
    </row>
    <row r="41" spans="1:5" ht="10.5" x14ac:dyDescent="0.25">
      <c r="A41" s="84"/>
      <c r="B41" s="85"/>
      <c r="C41" s="40" t="s">
        <v>251</v>
      </c>
      <c r="D41" s="41" t="s">
        <v>252</v>
      </c>
    </row>
    <row r="42" spans="1:5" x14ac:dyDescent="0.2">
      <c r="A42" s="78" t="s">
        <v>859</v>
      </c>
      <c r="B42" s="79"/>
      <c r="C42" s="42">
        <v>0.55464847900000003</v>
      </c>
      <c r="D42" s="42">
        <v>0.51360725569999999</v>
      </c>
    </row>
    <row r="43" spans="1:5" x14ac:dyDescent="0.2">
      <c r="A43" s="78" t="s">
        <v>545</v>
      </c>
      <c r="B43" s="79"/>
      <c r="C43" s="42">
        <v>0.343861313</v>
      </c>
      <c r="D43" s="42">
        <v>0.3337342579</v>
      </c>
    </row>
    <row r="44" spans="1:5" x14ac:dyDescent="0.2">
      <c r="A44" s="78" t="s">
        <v>581</v>
      </c>
      <c r="B44" s="79"/>
      <c r="C44" s="42">
        <v>0.55464847900000003</v>
      </c>
      <c r="D44" s="42">
        <v>0.51360725569999999</v>
      </c>
    </row>
    <row r="46" spans="1:5" ht="10.5" x14ac:dyDescent="0.25">
      <c r="A46" s="17" t="s">
        <v>253</v>
      </c>
      <c r="D46" s="43">
        <v>1.7561472226027399</v>
      </c>
      <c r="E46" s="15" t="s">
        <v>254</v>
      </c>
    </row>
    <row r="48" spans="1:5" ht="10.5" x14ac:dyDescent="0.25">
      <c r="A48" s="17" t="s">
        <v>255</v>
      </c>
      <c r="D48" s="46" t="s">
        <v>256</v>
      </c>
    </row>
  </sheetData>
  <mergeCells count="7">
    <mergeCell ref="A44:B44"/>
    <mergeCell ref="A1:F1"/>
    <mergeCell ref="C40:D40"/>
    <mergeCell ref="A40:B40"/>
    <mergeCell ref="A41:B41"/>
    <mergeCell ref="A42:B42"/>
    <mergeCell ref="A43:B43"/>
  </mergeCells>
  <conditionalFormatting sqref="F2:F3 F5:F65533">
    <cfRule type="cellIs" dxfId="55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3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81640625" style="10" bestFit="1" customWidth="1"/>
    <col min="8" max="16384" width="9.1796875" style="10"/>
  </cols>
  <sheetData>
    <row r="1" spans="1:6" s="1" customFormat="1" ht="14" x14ac:dyDescent="0.25">
      <c r="A1" s="80" t="s">
        <v>18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674</v>
      </c>
      <c r="B7" s="26" t="s">
        <v>673</v>
      </c>
      <c r="C7" s="26" t="s">
        <v>176</v>
      </c>
      <c r="D7" s="30">
        <v>37</v>
      </c>
      <c r="E7" s="28">
        <v>429.82641000000001</v>
      </c>
      <c r="F7" s="29">
        <v>11.888221007838</v>
      </c>
    </row>
    <row r="8" spans="1:6" x14ac:dyDescent="0.2">
      <c r="A8" s="26" t="s">
        <v>729</v>
      </c>
      <c r="B8" s="26" t="s">
        <v>728</v>
      </c>
      <c r="C8" s="26" t="s">
        <v>176</v>
      </c>
      <c r="D8" s="30">
        <v>37</v>
      </c>
      <c r="E8" s="28">
        <v>377.6035</v>
      </c>
      <c r="F8" s="29">
        <v>10.4438297808019</v>
      </c>
    </row>
    <row r="9" spans="1:6" x14ac:dyDescent="0.2">
      <c r="A9" s="26" t="s">
        <v>775</v>
      </c>
      <c r="B9" s="26" t="s">
        <v>774</v>
      </c>
      <c r="C9" s="26" t="s">
        <v>650</v>
      </c>
      <c r="D9" s="30">
        <v>37</v>
      </c>
      <c r="E9" s="28">
        <v>377.30527999999998</v>
      </c>
      <c r="F9" s="29">
        <v>10.435581555038</v>
      </c>
    </row>
    <row r="10" spans="1:6" x14ac:dyDescent="0.2">
      <c r="A10" s="26" t="s">
        <v>871</v>
      </c>
      <c r="B10" s="26" t="s">
        <v>870</v>
      </c>
      <c r="C10" s="26" t="s">
        <v>603</v>
      </c>
      <c r="D10" s="30">
        <v>36</v>
      </c>
      <c r="E10" s="28">
        <v>370.99079999999998</v>
      </c>
      <c r="F10" s="29">
        <v>10.2609344602037</v>
      </c>
    </row>
    <row r="11" spans="1:6" x14ac:dyDescent="0.2">
      <c r="A11" s="26" t="s">
        <v>175</v>
      </c>
      <c r="B11" s="26" t="s">
        <v>174</v>
      </c>
      <c r="C11" s="26" t="s">
        <v>176</v>
      </c>
      <c r="D11" s="30">
        <v>36</v>
      </c>
      <c r="E11" s="28">
        <v>365.17500000000001</v>
      </c>
      <c r="F11" s="29">
        <v>10.100079952130599</v>
      </c>
    </row>
    <row r="12" spans="1:6" x14ac:dyDescent="0.2">
      <c r="A12" s="26" t="s">
        <v>660</v>
      </c>
      <c r="B12" s="26" t="s">
        <v>659</v>
      </c>
      <c r="C12" s="26" t="s">
        <v>600</v>
      </c>
      <c r="D12" s="30">
        <v>33</v>
      </c>
      <c r="E12" s="28">
        <v>334.13225999999997</v>
      </c>
      <c r="F12" s="29">
        <v>9.2414939154818292</v>
      </c>
    </row>
    <row r="13" spans="1:6" x14ac:dyDescent="0.2">
      <c r="A13" s="26" t="s">
        <v>688</v>
      </c>
      <c r="B13" s="26" t="s">
        <v>687</v>
      </c>
      <c r="C13" s="26" t="s">
        <v>176</v>
      </c>
      <c r="D13" s="30">
        <v>27</v>
      </c>
      <c r="E13" s="28">
        <v>280.77273000000002</v>
      </c>
      <c r="F13" s="29">
        <v>7.7656658352241204</v>
      </c>
    </row>
    <row r="14" spans="1:6" x14ac:dyDescent="0.2">
      <c r="A14" s="26" t="s">
        <v>875</v>
      </c>
      <c r="B14" s="26" t="s">
        <v>874</v>
      </c>
      <c r="C14" s="26" t="s">
        <v>176</v>
      </c>
      <c r="D14" s="30">
        <v>21</v>
      </c>
      <c r="E14" s="28">
        <v>245.29638</v>
      </c>
      <c r="F14" s="29">
        <v>6.7844541657238304</v>
      </c>
    </row>
    <row r="15" spans="1:6" x14ac:dyDescent="0.2">
      <c r="A15" s="26" t="s">
        <v>706</v>
      </c>
      <c r="B15" s="26" t="s">
        <v>705</v>
      </c>
      <c r="C15" s="26" t="s">
        <v>650</v>
      </c>
      <c r="D15" s="30">
        <v>20</v>
      </c>
      <c r="E15" s="28">
        <v>209.02379999999999</v>
      </c>
      <c r="F15" s="29">
        <v>5.7812202146865204</v>
      </c>
    </row>
    <row r="16" spans="1:6" x14ac:dyDescent="0.2">
      <c r="A16" s="26" t="s">
        <v>727</v>
      </c>
      <c r="B16" s="26" t="s">
        <v>726</v>
      </c>
      <c r="C16" s="26" t="s">
        <v>603</v>
      </c>
      <c r="D16" s="30">
        <v>12</v>
      </c>
      <c r="E16" s="28">
        <v>141.4614</v>
      </c>
      <c r="F16" s="29">
        <v>3.9125664411318501</v>
      </c>
    </row>
    <row r="17" spans="1:9" x14ac:dyDescent="0.2">
      <c r="A17" s="26" t="s">
        <v>773</v>
      </c>
      <c r="B17" s="26" t="s">
        <v>772</v>
      </c>
      <c r="C17" s="26" t="s">
        <v>176</v>
      </c>
      <c r="D17" s="30">
        <v>10</v>
      </c>
      <c r="E17" s="28">
        <v>103.2323</v>
      </c>
      <c r="F17" s="29">
        <v>2.8552186859514701</v>
      </c>
    </row>
    <row r="18" spans="1:9" x14ac:dyDescent="0.2">
      <c r="A18" s="26" t="s">
        <v>716</v>
      </c>
      <c r="B18" s="26" t="s">
        <v>715</v>
      </c>
      <c r="C18" s="26" t="s">
        <v>176</v>
      </c>
      <c r="D18" s="30">
        <v>8</v>
      </c>
      <c r="E18" s="28">
        <v>94.279839999999993</v>
      </c>
      <c r="F18" s="29">
        <v>2.6076098360349902</v>
      </c>
    </row>
    <row r="19" spans="1:9" x14ac:dyDescent="0.2">
      <c r="A19" s="26" t="s">
        <v>850</v>
      </c>
      <c r="B19" s="26" t="s">
        <v>849</v>
      </c>
      <c r="C19" s="26" t="s">
        <v>176</v>
      </c>
      <c r="D19" s="30">
        <v>3</v>
      </c>
      <c r="E19" s="28">
        <v>35.430810000000001</v>
      </c>
      <c r="F19" s="29">
        <v>0.97995211547544903</v>
      </c>
    </row>
    <row r="20" spans="1:9" x14ac:dyDescent="0.2">
      <c r="A20" s="26" t="s">
        <v>865</v>
      </c>
      <c r="B20" s="26" t="s">
        <v>864</v>
      </c>
      <c r="C20" s="26" t="s">
        <v>365</v>
      </c>
      <c r="D20" s="30">
        <v>3</v>
      </c>
      <c r="E20" s="28">
        <v>34.580309999999997</v>
      </c>
      <c r="F20" s="29">
        <v>0.95642882390486805</v>
      </c>
    </row>
    <row r="21" spans="1:9" x14ac:dyDescent="0.2">
      <c r="A21" s="26" t="s">
        <v>666</v>
      </c>
      <c r="B21" s="26" t="s">
        <v>665</v>
      </c>
      <c r="C21" s="26" t="s">
        <v>176</v>
      </c>
      <c r="D21" s="30">
        <v>3</v>
      </c>
      <c r="E21" s="28">
        <v>30.818159999999999</v>
      </c>
      <c r="F21" s="29">
        <v>0.85237456008092605</v>
      </c>
    </row>
    <row r="22" spans="1:9" x14ac:dyDescent="0.2">
      <c r="A22" s="26" t="s">
        <v>877</v>
      </c>
      <c r="B22" s="26" t="s">
        <v>876</v>
      </c>
      <c r="C22" s="26" t="s">
        <v>603</v>
      </c>
      <c r="D22" s="30">
        <v>3</v>
      </c>
      <c r="E22" s="28">
        <v>30.336870000000001</v>
      </c>
      <c r="F22" s="29">
        <v>0.83906294926375302</v>
      </c>
    </row>
    <row r="23" spans="1:9" x14ac:dyDescent="0.2">
      <c r="A23" s="26" t="s">
        <v>854</v>
      </c>
      <c r="B23" s="26" t="s">
        <v>853</v>
      </c>
      <c r="C23" s="26" t="s">
        <v>176</v>
      </c>
      <c r="D23" s="30">
        <v>2</v>
      </c>
      <c r="E23" s="28">
        <v>23.356999999999999</v>
      </c>
      <c r="F23" s="29">
        <v>0.64601237062206796</v>
      </c>
    </row>
    <row r="24" spans="1:9" ht="10.5" x14ac:dyDescent="0.25">
      <c r="A24" s="25" t="s">
        <v>177</v>
      </c>
      <c r="B24" s="25"/>
      <c r="C24" s="25"/>
      <c r="D24" s="31"/>
      <c r="E24" s="32">
        <f>SUM(E6:E23)</f>
        <v>3483.6228499999997</v>
      </c>
      <c r="F24" s="33">
        <f>SUM(F6:F23)</f>
        <v>96.35070666959389</v>
      </c>
      <c r="G24" s="17"/>
      <c r="H24" s="17"/>
      <c r="I24" s="17"/>
    </row>
    <row r="25" spans="1:9" x14ac:dyDescent="0.2">
      <c r="A25" s="26"/>
      <c r="B25" s="26"/>
      <c r="C25" s="26"/>
      <c r="D25" s="27"/>
      <c r="E25" s="28"/>
      <c r="F25" s="29"/>
    </row>
    <row r="26" spans="1:9" ht="10.5" x14ac:dyDescent="0.25">
      <c r="A26" s="25" t="s">
        <v>226</v>
      </c>
      <c r="B26" s="25"/>
      <c r="C26" s="25"/>
      <c r="D26" s="31"/>
      <c r="E26" s="32">
        <f>E24</f>
        <v>3483.6228499999997</v>
      </c>
      <c r="F26" s="33">
        <f>F24</f>
        <v>96.35070666959389</v>
      </c>
      <c r="G26" s="17"/>
      <c r="H26" s="17"/>
      <c r="I26" s="17"/>
    </row>
    <row r="27" spans="1:9" ht="10.5" x14ac:dyDescent="0.25">
      <c r="A27" s="25"/>
      <c r="B27" s="25"/>
      <c r="C27" s="25"/>
      <c r="D27" s="31"/>
      <c r="E27" s="32"/>
      <c r="F27" s="33"/>
      <c r="G27" s="17"/>
      <c r="H27" s="17"/>
      <c r="I27" s="17"/>
    </row>
    <row r="28" spans="1:9" ht="10.5" x14ac:dyDescent="0.25">
      <c r="A28" s="25" t="s">
        <v>228</v>
      </c>
      <c r="B28" s="25"/>
      <c r="C28" s="25"/>
      <c r="D28" s="31"/>
      <c r="E28" s="32">
        <f>E30-(E24)</f>
        <v>131.9425884000002</v>
      </c>
      <c r="F28" s="33">
        <f>F30-(F24)</f>
        <v>3.6492933304061097</v>
      </c>
      <c r="G28" s="17"/>
      <c r="H28" s="17"/>
      <c r="I28" s="17"/>
    </row>
    <row r="29" spans="1:9" ht="10.5" x14ac:dyDescent="0.25">
      <c r="A29" s="25"/>
      <c r="B29" s="25"/>
      <c r="C29" s="25"/>
      <c r="D29" s="31"/>
      <c r="E29" s="32"/>
      <c r="F29" s="33"/>
      <c r="G29" s="17"/>
      <c r="H29" s="17"/>
      <c r="I29" s="17"/>
    </row>
    <row r="30" spans="1:9" ht="10.5" x14ac:dyDescent="0.25">
      <c r="A30" s="34" t="s">
        <v>227</v>
      </c>
      <c r="B30" s="34"/>
      <c r="C30" s="34"/>
      <c r="D30" s="35"/>
      <c r="E30" s="36">
        <v>3615.5654383999999</v>
      </c>
      <c r="F30" s="37">
        <v>100</v>
      </c>
      <c r="G30" s="17"/>
      <c r="H30" s="17"/>
      <c r="I30" s="17"/>
    </row>
    <row r="31" spans="1:9" ht="10.5" x14ac:dyDescent="0.25">
      <c r="A31" s="17" t="s">
        <v>231</v>
      </c>
    </row>
    <row r="33" spans="1:4" ht="10.5" x14ac:dyDescent="0.25">
      <c r="A33" s="17" t="s">
        <v>232</v>
      </c>
    </row>
    <row r="34" spans="1:4" ht="10.5" x14ac:dyDescent="0.25">
      <c r="A34" s="17" t="s">
        <v>233</v>
      </c>
    </row>
    <row r="35" spans="1:4" ht="10.5" x14ac:dyDescent="0.25">
      <c r="A35" s="17" t="s">
        <v>234</v>
      </c>
      <c r="B35" s="17"/>
      <c r="C35" s="38" t="s">
        <v>236</v>
      </c>
      <c r="D35" s="18" t="s">
        <v>235</v>
      </c>
    </row>
    <row r="36" spans="1:4" x14ac:dyDescent="0.2">
      <c r="A36" s="10" t="s">
        <v>543</v>
      </c>
      <c r="C36" s="39">
        <v>10.972300000000001</v>
      </c>
      <c r="D36" s="39">
        <v>11.3828</v>
      </c>
    </row>
    <row r="37" spans="1:4" x14ac:dyDescent="0.2">
      <c r="A37" s="10" t="s">
        <v>859</v>
      </c>
      <c r="C37" s="39">
        <v>10.972300000000001</v>
      </c>
      <c r="D37" s="39">
        <v>10.561500000000001</v>
      </c>
    </row>
    <row r="38" spans="1:4" x14ac:dyDescent="0.2">
      <c r="A38" s="10" t="s">
        <v>545</v>
      </c>
      <c r="C38" s="39">
        <v>10.3865</v>
      </c>
      <c r="D38" s="39">
        <v>10.337899999999999</v>
      </c>
    </row>
    <row r="39" spans="1:4" x14ac:dyDescent="0.2">
      <c r="A39" s="10" t="s">
        <v>546</v>
      </c>
      <c r="C39" s="39">
        <v>10.9961</v>
      </c>
      <c r="D39" s="39">
        <v>11.4216</v>
      </c>
    </row>
    <row r="40" spans="1:4" x14ac:dyDescent="0.2">
      <c r="A40" s="10" t="s">
        <v>581</v>
      </c>
      <c r="C40" s="39">
        <v>10.9961</v>
      </c>
      <c r="D40" s="39">
        <v>10.5997</v>
      </c>
    </row>
    <row r="41" spans="1:4" x14ac:dyDescent="0.2">
      <c r="A41" s="10" t="s">
        <v>548</v>
      </c>
      <c r="C41" s="39">
        <v>10.409700000000001</v>
      </c>
      <c r="D41" s="39">
        <v>10.3764</v>
      </c>
    </row>
    <row r="43" spans="1:4" ht="10.5" x14ac:dyDescent="0.25">
      <c r="A43" s="17" t="s">
        <v>248</v>
      </c>
    </row>
    <row r="44" spans="1:4" ht="10.5" x14ac:dyDescent="0.25">
      <c r="A44" s="84" t="s">
        <v>249</v>
      </c>
      <c r="B44" s="85"/>
      <c r="C44" s="82" t="s">
        <v>250</v>
      </c>
      <c r="D44" s="83"/>
    </row>
    <row r="45" spans="1:4" ht="10.5" x14ac:dyDescent="0.25">
      <c r="A45" s="84"/>
      <c r="B45" s="85"/>
      <c r="C45" s="40" t="s">
        <v>251</v>
      </c>
      <c r="D45" s="41" t="s">
        <v>252</v>
      </c>
    </row>
    <row r="46" spans="1:4" x14ac:dyDescent="0.2">
      <c r="A46" s="78" t="s">
        <v>859</v>
      </c>
      <c r="B46" s="79"/>
      <c r="C46" s="42">
        <v>0.57625815999999996</v>
      </c>
      <c r="D46" s="42">
        <v>0.53361792799999996</v>
      </c>
    </row>
    <row r="47" spans="1:4" x14ac:dyDescent="0.2">
      <c r="A47" s="78" t="s">
        <v>545</v>
      </c>
      <c r="B47" s="79"/>
      <c r="C47" s="42">
        <v>0.30973876099999997</v>
      </c>
      <c r="D47" s="42">
        <v>0.28681963630000001</v>
      </c>
    </row>
    <row r="48" spans="1:4" x14ac:dyDescent="0.2">
      <c r="A48" s="78" t="s">
        <v>581</v>
      </c>
      <c r="B48" s="79"/>
      <c r="C48" s="42">
        <v>0.57625815999999996</v>
      </c>
      <c r="D48" s="42">
        <v>0.53361792799999996</v>
      </c>
    </row>
    <row r="49" spans="1:5" x14ac:dyDescent="0.2">
      <c r="A49" s="78" t="s">
        <v>548</v>
      </c>
      <c r="B49" s="79"/>
      <c r="C49" s="42">
        <v>0.30973876099999997</v>
      </c>
      <c r="D49" s="42">
        <v>0.28681963630000001</v>
      </c>
    </row>
    <row r="51" spans="1:5" ht="10.5" x14ac:dyDescent="0.25">
      <c r="A51" s="17" t="s">
        <v>253</v>
      </c>
      <c r="D51" s="43">
        <v>1.7328708400547901</v>
      </c>
      <c r="E51" s="15" t="s">
        <v>254</v>
      </c>
    </row>
    <row r="53" spans="1:5" ht="10.5" x14ac:dyDescent="0.25">
      <c r="A53" s="17" t="s">
        <v>255</v>
      </c>
      <c r="D53" s="46" t="s">
        <v>256</v>
      </c>
    </row>
  </sheetData>
  <mergeCells count="8">
    <mergeCell ref="A48:B48"/>
    <mergeCell ref="A49:B49"/>
    <mergeCell ref="A1:F1"/>
    <mergeCell ref="C44:D44"/>
    <mergeCell ref="A44:B44"/>
    <mergeCell ref="A45:B45"/>
    <mergeCell ref="A46:B46"/>
    <mergeCell ref="A47:B47"/>
  </mergeCells>
  <conditionalFormatting sqref="F2:F3 F5:F65533">
    <cfRule type="cellIs" dxfId="54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9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7265625" style="10" bestFit="1" customWidth="1"/>
    <col min="8" max="16384" width="9.1796875" style="10"/>
  </cols>
  <sheetData>
    <row r="1" spans="1:6" s="1" customFormat="1" ht="14" x14ac:dyDescent="0.25">
      <c r="A1" s="80" t="s">
        <v>19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674</v>
      </c>
      <c r="B7" s="26" t="s">
        <v>673</v>
      </c>
      <c r="C7" s="26" t="s">
        <v>176</v>
      </c>
      <c r="D7" s="30">
        <v>47</v>
      </c>
      <c r="E7" s="28">
        <v>545.99571000000003</v>
      </c>
      <c r="F7" s="29">
        <v>11.895697971266401</v>
      </c>
    </row>
    <row r="8" spans="1:6" x14ac:dyDescent="0.2">
      <c r="A8" s="26" t="s">
        <v>775</v>
      </c>
      <c r="B8" s="26" t="s">
        <v>774</v>
      </c>
      <c r="C8" s="26" t="s">
        <v>650</v>
      </c>
      <c r="D8" s="30">
        <v>47</v>
      </c>
      <c r="E8" s="28">
        <v>479.27967999999998</v>
      </c>
      <c r="F8" s="29">
        <v>10.4421448971554</v>
      </c>
    </row>
    <row r="9" spans="1:6" x14ac:dyDescent="0.2">
      <c r="A9" s="26" t="s">
        <v>735</v>
      </c>
      <c r="B9" s="26" t="s">
        <v>734</v>
      </c>
      <c r="C9" s="26" t="s">
        <v>176</v>
      </c>
      <c r="D9" s="30">
        <v>47</v>
      </c>
      <c r="E9" s="28">
        <v>475.81389999999999</v>
      </c>
      <c r="F9" s="29">
        <v>10.366635380579</v>
      </c>
    </row>
    <row r="10" spans="1:6" x14ac:dyDescent="0.2">
      <c r="A10" s="26" t="s">
        <v>175</v>
      </c>
      <c r="B10" s="26" t="s">
        <v>174</v>
      </c>
      <c r="C10" s="26" t="s">
        <v>176</v>
      </c>
      <c r="D10" s="30">
        <v>46</v>
      </c>
      <c r="E10" s="28">
        <v>466.61250000000001</v>
      </c>
      <c r="F10" s="29">
        <v>10.166162971532399</v>
      </c>
    </row>
    <row r="11" spans="1:6" x14ac:dyDescent="0.2">
      <c r="A11" s="26" t="s">
        <v>666</v>
      </c>
      <c r="B11" s="26" t="s">
        <v>665</v>
      </c>
      <c r="C11" s="26" t="s">
        <v>176</v>
      </c>
      <c r="D11" s="30">
        <v>45</v>
      </c>
      <c r="E11" s="28">
        <v>462.2724</v>
      </c>
      <c r="F11" s="29">
        <v>10.071604501896999</v>
      </c>
    </row>
    <row r="12" spans="1:6" x14ac:dyDescent="0.2">
      <c r="A12" s="26" t="s">
        <v>727</v>
      </c>
      <c r="B12" s="26" t="s">
        <v>726</v>
      </c>
      <c r="C12" s="26" t="s">
        <v>603</v>
      </c>
      <c r="D12" s="30">
        <v>38</v>
      </c>
      <c r="E12" s="28">
        <v>447.96109999999999</v>
      </c>
      <c r="F12" s="29">
        <v>9.7598018645169997</v>
      </c>
    </row>
    <row r="13" spans="1:6" x14ac:dyDescent="0.2">
      <c r="A13" s="26" t="s">
        <v>879</v>
      </c>
      <c r="B13" s="26" t="s">
        <v>878</v>
      </c>
      <c r="C13" s="26" t="s">
        <v>176</v>
      </c>
      <c r="D13" s="30">
        <v>35</v>
      </c>
      <c r="E13" s="28">
        <v>357.38254999999998</v>
      </c>
      <c r="F13" s="29">
        <v>7.7863521583366104</v>
      </c>
    </row>
    <row r="14" spans="1:6" x14ac:dyDescent="0.2">
      <c r="A14" s="26" t="s">
        <v>875</v>
      </c>
      <c r="B14" s="26" t="s">
        <v>874</v>
      </c>
      <c r="C14" s="26" t="s">
        <v>176</v>
      </c>
      <c r="D14" s="30">
        <v>29</v>
      </c>
      <c r="E14" s="28">
        <v>338.74261999999999</v>
      </c>
      <c r="F14" s="29">
        <v>7.3802409500900303</v>
      </c>
    </row>
    <row r="15" spans="1:6" x14ac:dyDescent="0.2">
      <c r="A15" s="26" t="s">
        <v>688</v>
      </c>
      <c r="B15" s="26" t="s">
        <v>687</v>
      </c>
      <c r="C15" s="26" t="s">
        <v>176</v>
      </c>
      <c r="D15" s="30">
        <v>24</v>
      </c>
      <c r="E15" s="28">
        <v>249.57576</v>
      </c>
      <c r="F15" s="29">
        <v>5.4375479651832404</v>
      </c>
    </row>
    <row r="16" spans="1:6" x14ac:dyDescent="0.2">
      <c r="A16" s="26" t="s">
        <v>720</v>
      </c>
      <c r="B16" s="26" t="s">
        <v>719</v>
      </c>
      <c r="C16" s="26" t="s">
        <v>721</v>
      </c>
      <c r="D16" s="30">
        <v>22</v>
      </c>
      <c r="E16" s="28">
        <v>234.61591999999999</v>
      </c>
      <c r="F16" s="29">
        <v>5.1116154805883198</v>
      </c>
    </row>
    <row r="17" spans="1:9" x14ac:dyDescent="0.2">
      <c r="A17" s="26" t="s">
        <v>729</v>
      </c>
      <c r="B17" s="26" t="s">
        <v>728</v>
      </c>
      <c r="C17" s="26" t="s">
        <v>176</v>
      </c>
      <c r="D17" s="30">
        <v>10</v>
      </c>
      <c r="E17" s="28">
        <v>102.05500000000001</v>
      </c>
      <c r="F17" s="29">
        <v>2.2234890022443499</v>
      </c>
    </row>
    <row r="18" spans="1:9" x14ac:dyDescent="0.2">
      <c r="A18" s="26" t="s">
        <v>773</v>
      </c>
      <c r="B18" s="26" t="s">
        <v>772</v>
      </c>
      <c r="C18" s="26" t="s">
        <v>176</v>
      </c>
      <c r="D18" s="30">
        <v>8</v>
      </c>
      <c r="E18" s="28">
        <v>82.585840000000005</v>
      </c>
      <c r="F18" s="29">
        <v>1.79931122415474</v>
      </c>
    </row>
    <row r="19" spans="1:9" x14ac:dyDescent="0.2">
      <c r="A19" s="26" t="s">
        <v>660</v>
      </c>
      <c r="B19" s="26" t="s">
        <v>659</v>
      </c>
      <c r="C19" s="26" t="s">
        <v>600</v>
      </c>
      <c r="D19" s="30">
        <v>6</v>
      </c>
      <c r="E19" s="28">
        <v>60.75132</v>
      </c>
      <c r="F19" s="29">
        <v>1.32359896028443</v>
      </c>
    </row>
    <row r="20" spans="1:9" x14ac:dyDescent="0.2">
      <c r="A20" s="26" t="s">
        <v>865</v>
      </c>
      <c r="B20" s="26" t="s">
        <v>864</v>
      </c>
      <c r="C20" s="26" t="s">
        <v>365</v>
      </c>
      <c r="D20" s="30">
        <v>5</v>
      </c>
      <c r="E20" s="28">
        <v>57.633850000000002</v>
      </c>
      <c r="F20" s="29">
        <v>1.2556781307334299</v>
      </c>
    </row>
    <row r="21" spans="1:9" x14ac:dyDescent="0.2">
      <c r="A21" s="26" t="s">
        <v>871</v>
      </c>
      <c r="B21" s="26" t="s">
        <v>870</v>
      </c>
      <c r="C21" s="26" t="s">
        <v>603</v>
      </c>
      <c r="D21" s="30">
        <v>4</v>
      </c>
      <c r="E21" s="28">
        <v>41.221200000000003</v>
      </c>
      <c r="F21" s="29">
        <v>0.89809303668918605</v>
      </c>
    </row>
    <row r="22" spans="1:9" x14ac:dyDescent="0.2">
      <c r="A22" s="26" t="s">
        <v>854</v>
      </c>
      <c r="B22" s="26" t="s">
        <v>853</v>
      </c>
      <c r="C22" s="26" t="s">
        <v>176</v>
      </c>
      <c r="D22" s="30">
        <v>1</v>
      </c>
      <c r="E22" s="28">
        <v>11.6785</v>
      </c>
      <c r="F22" s="29">
        <v>0.254441392511006</v>
      </c>
    </row>
    <row r="23" spans="1:9" x14ac:dyDescent="0.2">
      <c r="A23" s="26" t="s">
        <v>664</v>
      </c>
      <c r="B23" s="26" t="s">
        <v>663</v>
      </c>
      <c r="C23" s="26" t="s">
        <v>603</v>
      </c>
      <c r="D23" s="30">
        <v>1</v>
      </c>
      <c r="E23" s="28">
        <v>10.174799999999999</v>
      </c>
      <c r="F23" s="29">
        <v>0.221680034295584</v>
      </c>
    </row>
    <row r="24" spans="1:9" ht="10.5" x14ac:dyDescent="0.25">
      <c r="A24" s="25" t="s">
        <v>177</v>
      </c>
      <c r="B24" s="25"/>
      <c r="C24" s="25"/>
      <c r="D24" s="31"/>
      <c r="E24" s="32">
        <f>SUM(E6:E23)</f>
        <v>4424.3526499999998</v>
      </c>
      <c r="F24" s="33">
        <f>SUM(F6:F23)</f>
        <v>96.394095922058142</v>
      </c>
      <c r="G24" s="17"/>
      <c r="H24" s="17"/>
      <c r="I24" s="17"/>
    </row>
    <row r="25" spans="1:9" x14ac:dyDescent="0.2">
      <c r="A25" s="26"/>
      <c r="B25" s="26"/>
      <c r="C25" s="26"/>
      <c r="D25" s="27"/>
      <c r="E25" s="28"/>
      <c r="F25" s="29"/>
    </row>
    <row r="26" spans="1:9" ht="10.5" x14ac:dyDescent="0.25">
      <c r="A26" s="25" t="s">
        <v>226</v>
      </c>
      <c r="B26" s="25"/>
      <c r="C26" s="25"/>
      <c r="D26" s="31"/>
      <c r="E26" s="32">
        <f>E24</f>
        <v>4424.3526499999998</v>
      </c>
      <c r="F26" s="33">
        <f>F24</f>
        <v>96.394095922058142</v>
      </c>
      <c r="G26" s="17"/>
      <c r="H26" s="17"/>
      <c r="I26" s="17"/>
    </row>
    <row r="27" spans="1:9" ht="10.5" x14ac:dyDescent="0.25">
      <c r="A27" s="25"/>
      <c r="B27" s="25"/>
      <c r="C27" s="25"/>
      <c r="D27" s="31"/>
      <c r="E27" s="32"/>
      <c r="F27" s="33"/>
      <c r="G27" s="17"/>
      <c r="H27" s="17"/>
      <c r="I27" s="17"/>
    </row>
    <row r="28" spans="1:9" ht="10.5" x14ac:dyDescent="0.25">
      <c r="A28" s="25" t="s">
        <v>228</v>
      </c>
      <c r="B28" s="25"/>
      <c r="C28" s="25"/>
      <c r="D28" s="31"/>
      <c r="E28" s="32">
        <f>E30-(E24)</f>
        <v>165.50589649999984</v>
      </c>
      <c r="F28" s="33">
        <f>F30-(F24)</f>
        <v>3.6059040779418581</v>
      </c>
      <c r="G28" s="17"/>
      <c r="H28" s="17"/>
      <c r="I28" s="17"/>
    </row>
    <row r="29" spans="1:9" ht="10.5" x14ac:dyDescent="0.25">
      <c r="A29" s="25"/>
      <c r="B29" s="25"/>
      <c r="C29" s="25"/>
      <c r="D29" s="31"/>
      <c r="E29" s="32"/>
      <c r="F29" s="33"/>
      <c r="G29" s="17"/>
      <c r="H29" s="17"/>
      <c r="I29" s="17"/>
    </row>
    <row r="30" spans="1:9" ht="10.5" x14ac:dyDescent="0.25">
      <c r="A30" s="34" t="s">
        <v>227</v>
      </c>
      <c r="B30" s="34"/>
      <c r="C30" s="34"/>
      <c r="D30" s="35"/>
      <c r="E30" s="36">
        <v>4589.8585464999996</v>
      </c>
      <c r="F30" s="37">
        <v>100</v>
      </c>
      <c r="G30" s="17"/>
      <c r="H30" s="17"/>
      <c r="I30" s="17"/>
    </row>
    <row r="31" spans="1:9" ht="10.5" x14ac:dyDescent="0.25">
      <c r="A31" s="17" t="s">
        <v>231</v>
      </c>
    </row>
    <row r="33" spans="1:5" ht="10.5" x14ac:dyDescent="0.25">
      <c r="A33" s="17" t="s">
        <v>232</v>
      </c>
    </row>
    <row r="34" spans="1:5" ht="10.5" x14ac:dyDescent="0.25">
      <c r="A34" s="17" t="s">
        <v>233</v>
      </c>
    </row>
    <row r="35" spans="1:5" ht="10.5" x14ac:dyDescent="0.25">
      <c r="A35" s="17" t="s">
        <v>234</v>
      </c>
      <c r="B35" s="17"/>
      <c r="C35" s="38" t="s">
        <v>236</v>
      </c>
      <c r="D35" s="18" t="s">
        <v>235</v>
      </c>
    </row>
    <row r="36" spans="1:5" x14ac:dyDescent="0.2">
      <c r="A36" s="10" t="s">
        <v>543</v>
      </c>
      <c r="C36" s="39">
        <v>11.0671</v>
      </c>
      <c r="D36" s="39">
        <v>11.4815</v>
      </c>
    </row>
    <row r="37" spans="1:5" x14ac:dyDescent="0.2">
      <c r="A37" s="10" t="s">
        <v>859</v>
      </c>
      <c r="C37" s="39">
        <v>11.0671</v>
      </c>
      <c r="D37" s="39">
        <v>10.682600000000001</v>
      </c>
    </row>
    <row r="38" spans="1:5" x14ac:dyDescent="0.2">
      <c r="A38" s="10" t="s">
        <v>545</v>
      </c>
      <c r="C38" s="39">
        <v>10.4992</v>
      </c>
      <c r="D38" s="39">
        <v>10.464600000000001</v>
      </c>
    </row>
    <row r="39" spans="1:5" x14ac:dyDescent="0.2">
      <c r="A39" s="10" t="s">
        <v>546</v>
      </c>
      <c r="C39" s="39">
        <v>11.0977</v>
      </c>
      <c r="D39" s="39">
        <v>11.53</v>
      </c>
    </row>
    <row r="41" spans="1:5" ht="10.5" x14ac:dyDescent="0.25">
      <c r="A41" s="17" t="s">
        <v>248</v>
      </c>
    </row>
    <row r="42" spans="1:5" ht="10.5" x14ac:dyDescent="0.25">
      <c r="A42" s="84" t="s">
        <v>249</v>
      </c>
      <c r="B42" s="85"/>
      <c r="C42" s="82" t="s">
        <v>250</v>
      </c>
      <c r="D42" s="83"/>
    </row>
    <row r="43" spans="1:5" ht="10.5" x14ac:dyDescent="0.25">
      <c r="A43" s="84"/>
      <c r="B43" s="85"/>
      <c r="C43" s="40" t="s">
        <v>251</v>
      </c>
      <c r="D43" s="41" t="s">
        <v>252</v>
      </c>
    </row>
    <row r="44" spans="1:5" x14ac:dyDescent="0.2">
      <c r="A44" s="78" t="s">
        <v>859</v>
      </c>
      <c r="B44" s="79"/>
      <c r="C44" s="42">
        <v>0.55825009250000002</v>
      </c>
      <c r="D44" s="42">
        <v>0.51694236780000002</v>
      </c>
    </row>
    <row r="45" spans="1:5" x14ac:dyDescent="0.2">
      <c r="A45" s="78" t="s">
        <v>545</v>
      </c>
      <c r="B45" s="79"/>
      <c r="C45" s="42">
        <v>0.30253553399999999</v>
      </c>
      <c r="D45" s="42">
        <v>0.28014941230000001</v>
      </c>
    </row>
    <row r="47" spans="1:5" ht="10.5" x14ac:dyDescent="0.25">
      <c r="A47" s="17" t="s">
        <v>253</v>
      </c>
      <c r="D47" s="43">
        <v>1.72692057112329</v>
      </c>
      <c r="E47" s="15" t="s">
        <v>254</v>
      </c>
    </row>
    <row r="49" spans="1:4" ht="10.5" x14ac:dyDescent="0.25">
      <c r="A49" s="17" t="s">
        <v>255</v>
      </c>
      <c r="D49" s="46" t="s">
        <v>256</v>
      </c>
    </row>
  </sheetData>
  <mergeCells count="6">
    <mergeCell ref="A45:B45"/>
    <mergeCell ref="A1:F1"/>
    <mergeCell ref="C42:D42"/>
    <mergeCell ref="A42:B42"/>
    <mergeCell ref="A43:B43"/>
    <mergeCell ref="A44:B44"/>
  </mergeCells>
  <conditionalFormatting sqref="F2:F3 F5:F65533">
    <cfRule type="cellIs" dxfId="53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6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3.816406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54296875" style="10" bestFit="1" customWidth="1"/>
    <col min="8" max="16384" width="9.1796875" style="10"/>
  </cols>
  <sheetData>
    <row r="1" spans="1:6" s="1" customFormat="1" ht="14" x14ac:dyDescent="0.25">
      <c r="A1" s="80" t="s">
        <v>20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727</v>
      </c>
      <c r="B7" s="26" t="s">
        <v>726</v>
      </c>
      <c r="C7" s="26" t="s">
        <v>603</v>
      </c>
      <c r="D7" s="30">
        <v>26</v>
      </c>
      <c r="E7" s="28">
        <v>306.49970000000002</v>
      </c>
      <c r="F7" s="29">
        <v>11.8173115399652</v>
      </c>
    </row>
    <row r="8" spans="1:6" x14ac:dyDescent="0.2">
      <c r="A8" s="26" t="s">
        <v>735</v>
      </c>
      <c r="B8" s="26" t="s">
        <v>734</v>
      </c>
      <c r="C8" s="26" t="s">
        <v>176</v>
      </c>
      <c r="D8" s="30">
        <v>28</v>
      </c>
      <c r="E8" s="28">
        <v>283.46359999999999</v>
      </c>
      <c r="F8" s="29">
        <v>10.929138499776901</v>
      </c>
    </row>
    <row r="9" spans="1:6" x14ac:dyDescent="0.2">
      <c r="A9" s="26" t="s">
        <v>775</v>
      </c>
      <c r="B9" s="26" t="s">
        <v>774</v>
      </c>
      <c r="C9" s="26" t="s">
        <v>650</v>
      </c>
      <c r="D9" s="30">
        <v>27</v>
      </c>
      <c r="E9" s="28">
        <v>275.33087999999998</v>
      </c>
      <c r="F9" s="29">
        <v>10.6155757592349</v>
      </c>
    </row>
    <row r="10" spans="1:6" x14ac:dyDescent="0.2">
      <c r="A10" s="26" t="s">
        <v>706</v>
      </c>
      <c r="B10" s="26" t="s">
        <v>705</v>
      </c>
      <c r="C10" s="26" t="s">
        <v>650</v>
      </c>
      <c r="D10" s="30">
        <v>26</v>
      </c>
      <c r="E10" s="28">
        <v>271.73093999999998</v>
      </c>
      <c r="F10" s="29">
        <v>10.4767775401659</v>
      </c>
    </row>
    <row r="11" spans="1:6" x14ac:dyDescent="0.2">
      <c r="A11" s="26" t="s">
        <v>688</v>
      </c>
      <c r="B11" s="26" t="s">
        <v>687</v>
      </c>
      <c r="C11" s="26" t="s">
        <v>176</v>
      </c>
      <c r="D11" s="30">
        <v>26</v>
      </c>
      <c r="E11" s="28">
        <v>270.37374</v>
      </c>
      <c r="F11" s="29">
        <v>10.424449739446899</v>
      </c>
    </row>
    <row r="12" spans="1:6" x14ac:dyDescent="0.2">
      <c r="A12" s="26" t="s">
        <v>175</v>
      </c>
      <c r="B12" s="26" t="s">
        <v>174</v>
      </c>
      <c r="C12" s="26" t="s">
        <v>176</v>
      </c>
      <c r="D12" s="30">
        <v>26</v>
      </c>
      <c r="E12" s="28">
        <v>263.73750000000001</v>
      </c>
      <c r="F12" s="29">
        <v>10.1685848380001</v>
      </c>
    </row>
    <row r="13" spans="1:6" x14ac:dyDescent="0.2">
      <c r="A13" s="26" t="s">
        <v>877</v>
      </c>
      <c r="B13" s="26" t="s">
        <v>876</v>
      </c>
      <c r="C13" s="26" t="s">
        <v>603</v>
      </c>
      <c r="D13" s="30">
        <v>26</v>
      </c>
      <c r="E13" s="28">
        <v>262.91953999999998</v>
      </c>
      <c r="F13" s="29">
        <v>10.137047814808099</v>
      </c>
    </row>
    <row r="14" spans="1:6" x14ac:dyDescent="0.2">
      <c r="A14" s="26" t="s">
        <v>664</v>
      </c>
      <c r="B14" s="26" t="s">
        <v>663</v>
      </c>
      <c r="C14" s="26" t="s">
        <v>603</v>
      </c>
      <c r="D14" s="30">
        <v>24</v>
      </c>
      <c r="E14" s="28">
        <v>244.1952</v>
      </c>
      <c r="F14" s="29">
        <v>9.4151177145168994</v>
      </c>
    </row>
    <row r="15" spans="1:6" x14ac:dyDescent="0.2">
      <c r="A15" s="26" t="s">
        <v>863</v>
      </c>
      <c r="B15" s="26" t="s">
        <v>862</v>
      </c>
      <c r="C15" s="26" t="s">
        <v>176</v>
      </c>
      <c r="D15" s="30">
        <v>12</v>
      </c>
      <c r="E15" s="28">
        <v>122.65416</v>
      </c>
      <c r="F15" s="29">
        <v>4.7290174195692201</v>
      </c>
    </row>
    <row r="16" spans="1:6" x14ac:dyDescent="0.2">
      <c r="A16" s="26" t="s">
        <v>875</v>
      </c>
      <c r="B16" s="26" t="s">
        <v>874</v>
      </c>
      <c r="C16" s="26" t="s">
        <v>176</v>
      </c>
      <c r="D16" s="30">
        <v>10</v>
      </c>
      <c r="E16" s="28">
        <v>116.8078</v>
      </c>
      <c r="F16" s="29">
        <v>4.5036068971615597</v>
      </c>
    </row>
    <row r="17" spans="1:9" x14ac:dyDescent="0.2">
      <c r="A17" s="26" t="s">
        <v>854</v>
      </c>
      <c r="B17" s="26" t="s">
        <v>853</v>
      </c>
      <c r="C17" s="26" t="s">
        <v>176</v>
      </c>
      <c r="D17" s="30">
        <v>2</v>
      </c>
      <c r="E17" s="28">
        <v>23.356999999999999</v>
      </c>
      <c r="F17" s="29">
        <v>0.90054556542459097</v>
      </c>
    </row>
    <row r="18" spans="1:9" x14ac:dyDescent="0.2">
      <c r="A18" s="26" t="s">
        <v>871</v>
      </c>
      <c r="B18" s="26" t="s">
        <v>870</v>
      </c>
      <c r="C18" s="26" t="s">
        <v>603</v>
      </c>
      <c r="D18" s="30">
        <v>2</v>
      </c>
      <c r="E18" s="28">
        <v>20.610600000000002</v>
      </c>
      <c r="F18" s="29">
        <v>0.79465618147622097</v>
      </c>
    </row>
    <row r="19" spans="1:9" ht="10.5" x14ac:dyDescent="0.25">
      <c r="A19" s="25" t="s">
        <v>177</v>
      </c>
      <c r="B19" s="25"/>
      <c r="C19" s="25"/>
      <c r="D19" s="31"/>
      <c r="E19" s="32">
        <f>SUM(E6:E18)</f>
        <v>2461.68066</v>
      </c>
      <c r="F19" s="33">
        <f>SUM(F6:F18)</f>
        <v>94.911829509546493</v>
      </c>
      <c r="G19" s="17"/>
      <c r="H19" s="17"/>
      <c r="I19" s="17"/>
    </row>
    <row r="20" spans="1:9" x14ac:dyDescent="0.2">
      <c r="A20" s="26"/>
      <c r="B20" s="26"/>
      <c r="C20" s="26"/>
      <c r="D20" s="27"/>
      <c r="E20" s="28"/>
      <c r="F20" s="29"/>
    </row>
    <row r="21" spans="1:9" ht="10.5" x14ac:dyDescent="0.25">
      <c r="A21" s="25" t="s">
        <v>226</v>
      </c>
      <c r="B21" s="25"/>
      <c r="C21" s="25"/>
      <c r="D21" s="31"/>
      <c r="E21" s="32">
        <f>E19</f>
        <v>2461.68066</v>
      </c>
      <c r="F21" s="33">
        <f>F19</f>
        <v>94.911829509546493</v>
      </c>
      <c r="G21" s="17"/>
      <c r="H21" s="17"/>
      <c r="I21" s="17"/>
    </row>
    <row r="22" spans="1:9" ht="10.5" x14ac:dyDescent="0.25">
      <c r="A22" s="25"/>
      <c r="B22" s="25"/>
      <c r="C22" s="25"/>
      <c r="D22" s="31"/>
      <c r="E22" s="32"/>
      <c r="F22" s="33"/>
      <c r="G22" s="17"/>
      <c r="H22" s="17"/>
      <c r="I22" s="17"/>
    </row>
    <row r="23" spans="1:9" ht="10.5" x14ac:dyDescent="0.25">
      <c r="A23" s="25" t="s">
        <v>228</v>
      </c>
      <c r="B23" s="25"/>
      <c r="C23" s="25"/>
      <c r="D23" s="31"/>
      <c r="E23" s="32">
        <f>E25-(E19)</f>
        <v>131.96933360000003</v>
      </c>
      <c r="F23" s="33">
        <f>F25-(F19)</f>
        <v>5.088170490453507</v>
      </c>
      <c r="G23" s="17"/>
      <c r="H23" s="17"/>
      <c r="I23" s="17"/>
    </row>
    <row r="24" spans="1:9" ht="10.5" x14ac:dyDescent="0.25">
      <c r="A24" s="25"/>
      <c r="B24" s="25"/>
      <c r="C24" s="25"/>
      <c r="D24" s="31"/>
      <c r="E24" s="32"/>
      <c r="F24" s="33"/>
      <c r="G24" s="17"/>
      <c r="H24" s="17"/>
      <c r="I24" s="17"/>
    </row>
    <row r="25" spans="1:9" ht="10.5" x14ac:dyDescent="0.25">
      <c r="A25" s="34" t="s">
        <v>227</v>
      </c>
      <c r="B25" s="34"/>
      <c r="C25" s="34"/>
      <c r="D25" s="35"/>
      <c r="E25" s="36">
        <v>2593.6499936</v>
      </c>
      <c r="F25" s="37">
        <v>100</v>
      </c>
      <c r="G25" s="17"/>
      <c r="H25" s="17"/>
      <c r="I25" s="17"/>
    </row>
    <row r="26" spans="1:9" ht="10.5" x14ac:dyDescent="0.25">
      <c r="A26" s="17" t="s">
        <v>231</v>
      </c>
    </row>
    <row r="28" spans="1:9" ht="10.5" x14ac:dyDescent="0.25">
      <c r="A28" s="17" t="s">
        <v>232</v>
      </c>
    </row>
    <row r="29" spans="1:9" ht="10.5" x14ac:dyDescent="0.25">
      <c r="A29" s="17" t="s">
        <v>233</v>
      </c>
    </row>
    <row r="30" spans="1:9" ht="10.5" x14ac:dyDescent="0.25">
      <c r="A30" s="17" t="s">
        <v>234</v>
      </c>
      <c r="B30" s="17"/>
      <c r="C30" s="38" t="s">
        <v>236</v>
      </c>
      <c r="D30" s="18" t="s">
        <v>235</v>
      </c>
    </row>
    <row r="31" spans="1:9" x14ac:dyDescent="0.2">
      <c r="A31" s="10" t="s">
        <v>543</v>
      </c>
      <c r="C31" s="39">
        <v>11.1959</v>
      </c>
      <c r="D31" s="39">
        <v>11.632899999999999</v>
      </c>
    </row>
    <row r="32" spans="1:9" x14ac:dyDescent="0.2">
      <c r="A32" s="10" t="s">
        <v>859</v>
      </c>
      <c r="C32" s="39">
        <v>10.4026</v>
      </c>
      <c r="D32" s="39">
        <v>10.8103</v>
      </c>
    </row>
    <row r="33" spans="1:5" x14ac:dyDescent="0.2">
      <c r="A33" s="10" t="s">
        <v>545</v>
      </c>
      <c r="C33" s="39">
        <v>10.394299999999999</v>
      </c>
      <c r="D33" s="39">
        <v>10.314399999999999</v>
      </c>
    </row>
    <row r="34" spans="1:5" x14ac:dyDescent="0.2">
      <c r="A34" s="10" t="s">
        <v>546</v>
      </c>
      <c r="C34" s="39">
        <v>11.2296</v>
      </c>
      <c r="D34" s="39">
        <v>11.6853</v>
      </c>
    </row>
    <row r="35" spans="1:5" x14ac:dyDescent="0.2">
      <c r="A35" s="10" t="s">
        <v>581</v>
      </c>
      <c r="C35" s="39">
        <v>10.436199999999999</v>
      </c>
      <c r="D35" s="39">
        <v>10.8598</v>
      </c>
    </row>
    <row r="36" spans="1:5" x14ac:dyDescent="0.2">
      <c r="A36" s="10" t="s">
        <v>548</v>
      </c>
      <c r="C36" s="39">
        <v>10.427099999999999</v>
      </c>
      <c r="D36" s="39">
        <v>10.3645</v>
      </c>
    </row>
    <row r="38" spans="1:5" ht="10.5" x14ac:dyDescent="0.25">
      <c r="A38" s="17" t="s">
        <v>248</v>
      </c>
    </row>
    <row r="39" spans="1:5" ht="10.5" x14ac:dyDescent="0.25">
      <c r="A39" s="84" t="s">
        <v>249</v>
      </c>
      <c r="B39" s="85"/>
      <c r="C39" s="82" t="s">
        <v>250</v>
      </c>
      <c r="D39" s="83"/>
    </row>
    <row r="40" spans="1:5" ht="10.5" x14ac:dyDescent="0.25">
      <c r="A40" s="84"/>
      <c r="B40" s="85"/>
      <c r="C40" s="40" t="s">
        <v>251</v>
      </c>
      <c r="D40" s="41" t="s">
        <v>252</v>
      </c>
    </row>
    <row r="41" spans="1:5" x14ac:dyDescent="0.2">
      <c r="A41" s="78" t="s">
        <v>545</v>
      </c>
      <c r="B41" s="79"/>
      <c r="C41" s="42">
        <v>0.3879790615</v>
      </c>
      <c r="D41" s="42">
        <v>0.37492049049999998</v>
      </c>
    </row>
    <row r="42" spans="1:5" x14ac:dyDescent="0.2">
      <c r="A42" s="78" t="s">
        <v>548</v>
      </c>
      <c r="B42" s="79"/>
      <c r="C42" s="42">
        <v>0.3879790615</v>
      </c>
      <c r="D42" s="42">
        <v>0.37492049049999998</v>
      </c>
    </row>
    <row r="44" spans="1:5" ht="10.5" x14ac:dyDescent="0.25">
      <c r="A44" s="17" t="s">
        <v>253</v>
      </c>
      <c r="D44" s="43">
        <v>1.66937377079452</v>
      </c>
      <c r="E44" s="15" t="s">
        <v>254</v>
      </c>
    </row>
    <row r="46" spans="1:5" ht="10.5" x14ac:dyDescent="0.25">
      <c r="A46" s="17" t="s">
        <v>255</v>
      </c>
      <c r="D46" s="46" t="s">
        <v>256</v>
      </c>
    </row>
  </sheetData>
  <mergeCells count="6">
    <mergeCell ref="A42:B42"/>
    <mergeCell ref="A1:F1"/>
    <mergeCell ref="C39:D39"/>
    <mergeCell ref="A39:B39"/>
    <mergeCell ref="A40:B40"/>
    <mergeCell ref="A41:B41"/>
  </mergeCells>
  <conditionalFormatting sqref="F2:F3 F5:F65531">
    <cfRule type="cellIs" dxfId="52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4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3.816406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54296875" style="10" bestFit="1" customWidth="1"/>
    <col min="8" max="16384" width="9.1796875" style="10"/>
  </cols>
  <sheetData>
    <row r="1" spans="1:6" s="1" customFormat="1" ht="14" x14ac:dyDescent="0.25">
      <c r="A1" s="80" t="s">
        <v>21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727</v>
      </c>
      <c r="B7" s="26" t="s">
        <v>726</v>
      </c>
      <c r="C7" s="26" t="s">
        <v>603</v>
      </c>
      <c r="D7" s="30">
        <v>50</v>
      </c>
      <c r="E7" s="28">
        <v>589.42250000000001</v>
      </c>
      <c r="F7" s="29">
        <v>11.9291548179231</v>
      </c>
    </row>
    <row r="8" spans="1:6" x14ac:dyDescent="0.2">
      <c r="A8" s="26" t="s">
        <v>688</v>
      </c>
      <c r="B8" s="26" t="s">
        <v>687</v>
      </c>
      <c r="C8" s="26" t="s">
        <v>176</v>
      </c>
      <c r="D8" s="30">
        <v>50</v>
      </c>
      <c r="E8" s="28">
        <v>519.94949999999994</v>
      </c>
      <c r="F8" s="29">
        <v>10.523110473389901</v>
      </c>
    </row>
    <row r="9" spans="1:6" x14ac:dyDescent="0.2">
      <c r="A9" s="26" t="s">
        <v>720</v>
      </c>
      <c r="B9" s="26" t="s">
        <v>719</v>
      </c>
      <c r="C9" s="26" t="s">
        <v>721</v>
      </c>
      <c r="D9" s="30">
        <v>48</v>
      </c>
      <c r="E9" s="28">
        <v>511.88927999999999</v>
      </c>
      <c r="F9" s="29">
        <v>10.3599819666795</v>
      </c>
    </row>
    <row r="10" spans="1:6" x14ac:dyDescent="0.2">
      <c r="A10" s="26" t="s">
        <v>775</v>
      </c>
      <c r="B10" s="26" t="s">
        <v>774</v>
      </c>
      <c r="C10" s="26" t="s">
        <v>650</v>
      </c>
      <c r="D10" s="30">
        <v>50</v>
      </c>
      <c r="E10" s="28">
        <v>509.87200000000001</v>
      </c>
      <c r="F10" s="29">
        <v>10.319154808857901</v>
      </c>
    </row>
    <row r="11" spans="1:6" x14ac:dyDescent="0.2">
      <c r="A11" s="26" t="s">
        <v>881</v>
      </c>
      <c r="B11" s="26" t="s">
        <v>880</v>
      </c>
      <c r="C11" s="26" t="s">
        <v>176</v>
      </c>
      <c r="D11" s="30">
        <v>50</v>
      </c>
      <c r="E11" s="28">
        <v>502.98</v>
      </c>
      <c r="F11" s="29">
        <v>10.179669575421601</v>
      </c>
    </row>
    <row r="12" spans="1:6" x14ac:dyDescent="0.2">
      <c r="A12" s="26" t="s">
        <v>883</v>
      </c>
      <c r="B12" s="26" t="s">
        <v>882</v>
      </c>
      <c r="C12" s="26" t="s">
        <v>176</v>
      </c>
      <c r="D12" s="30">
        <v>50</v>
      </c>
      <c r="E12" s="28">
        <v>501.75049999999999</v>
      </c>
      <c r="F12" s="29">
        <v>10.1547860736065</v>
      </c>
    </row>
    <row r="13" spans="1:6" x14ac:dyDescent="0.2">
      <c r="A13" s="26" t="s">
        <v>175</v>
      </c>
      <c r="B13" s="26" t="s">
        <v>174</v>
      </c>
      <c r="C13" s="26" t="s">
        <v>176</v>
      </c>
      <c r="D13" s="30">
        <v>49</v>
      </c>
      <c r="E13" s="28">
        <v>497.04374999999999</v>
      </c>
      <c r="F13" s="29">
        <v>10.0595274951856</v>
      </c>
    </row>
    <row r="14" spans="1:6" x14ac:dyDescent="0.2">
      <c r="A14" s="26" t="s">
        <v>706</v>
      </c>
      <c r="B14" s="26" t="s">
        <v>705</v>
      </c>
      <c r="C14" s="26" t="s">
        <v>650</v>
      </c>
      <c r="D14" s="30">
        <v>20</v>
      </c>
      <c r="E14" s="28">
        <v>209.02379999999999</v>
      </c>
      <c r="F14" s="29">
        <v>4.2303734092787204</v>
      </c>
    </row>
    <row r="15" spans="1:6" x14ac:dyDescent="0.2">
      <c r="A15" s="26" t="s">
        <v>877</v>
      </c>
      <c r="B15" s="26" t="s">
        <v>876</v>
      </c>
      <c r="C15" s="26" t="s">
        <v>603</v>
      </c>
      <c r="D15" s="30">
        <v>15</v>
      </c>
      <c r="E15" s="28">
        <v>151.68434999999999</v>
      </c>
      <c r="F15" s="29">
        <v>3.0698965421340798</v>
      </c>
    </row>
    <row r="16" spans="1:6" x14ac:dyDescent="0.2">
      <c r="A16" s="26" t="s">
        <v>871</v>
      </c>
      <c r="B16" s="26" t="s">
        <v>870</v>
      </c>
      <c r="C16" s="26" t="s">
        <v>603</v>
      </c>
      <c r="D16" s="30">
        <v>6</v>
      </c>
      <c r="E16" s="28">
        <v>61.831800000000001</v>
      </c>
      <c r="F16" s="29">
        <v>1.2513962647690799</v>
      </c>
    </row>
    <row r="17" spans="1:9" x14ac:dyDescent="0.2">
      <c r="A17" s="26" t="s">
        <v>863</v>
      </c>
      <c r="B17" s="26" t="s">
        <v>862</v>
      </c>
      <c r="C17" s="26" t="s">
        <v>176</v>
      </c>
      <c r="D17" s="30">
        <v>4</v>
      </c>
      <c r="E17" s="28">
        <v>40.884720000000002</v>
      </c>
      <c r="F17" s="29">
        <v>0.82745425321808197</v>
      </c>
    </row>
    <row r="18" spans="1:9" x14ac:dyDescent="0.2">
      <c r="A18" s="26" t="s">
        <v>850</v>
      </c>
      <c r="B18" s="26" t="s">
        <v>849</v>
      </c>
      <c r="C18" s="26" t="s">
        <v>176</v>
      </c>
      <c r="D18" s="30">
        <v>3</v>
      </c>
      <c r="E18" s="28">
        <v>35.430810000000001</v>
      </c>
      <c r="F18" s="29">
        <v>0.71707411545099897</v>
      </c>
    </row>
    <row r="19" spans="1:9" x14ac:dyDescent="0.2">
      <c r="A19" s="26" t="s">
        <v>854</v>
      </c>
      <c r="B19" s="26" t="s">
        <v>853</v>
      </c>
      <c r="C19" s="26" t="s">
        <v>176</v>
      </c>
      <c r="D19" s="30">
        <v>3</v>
      </c>
      <c r="E19" s="28">
        <v>35.035499999999999</v>
      </c>
      <c r="F19" s="29">
        <v>0.70907354847048298</v>
      </c>
    </row>
    <row r="20" spans="1:9" x14ac:dyDescent="0.2">
      <c r="A20" s="26" t="s">
        <v>865</v>
      </c>
      <c r="B20" s="26" t="s">
        <v>864</v>
      </c>
      <c r="C20" s="26" t="s">
        <v>365</v>
      </c>
      <c r="D20" s="30">
        <v>3</v>
      </c>
      <c r="E20" s="28">
        <v>34.580309999999997</v>
      </c>
      <c r="F20" s="29">
        <v>0.69986108715186901</v>
      </c>
    </row>
    <row r="21" spans="1:9" x14ac:dyDescent="0.2">
      <c r="A21" s="26" t="s">
        <v>696</v>
      </c>
      <c r="B21" s="26" t="s">
        <v>695</v>
      </c>
      <c r="C21" s="26" t="s">
        <v>650</v>
      </c>
      <c r="D21" s="30">
        <v>2</v>
      </c>
      <c r="E21" s="28">
        <v>20.418299999999999</v>
      </c>
      <c r="F21" s="29">
        <v>0.41324018309243099</v>
      </c>
    </row>
    <row r="22" spans="1:9" x14ac:dyDescent="0.2">
      <c r="A22" s="26" t="s">
        <v>660</v>
      </c>
      <c r="B22" s="26" t="s">
        <v>659</v>
      </c>
      <c r="C22" s="26" t="s">
        <v>600</v>
      </c>
      <c r="D22" s="30">
        <v>1</v>
      </c>
      <c r="E22" s="28">
        <v>10.125220000000001</v>
      </c>
      <c r="F22" s="29">
        <v>0.20492145607867199</v>
      </c>
    </row>
    <row r="23" spans="1:9" ht="10.5" x14ac:dyDescent="0.25">
      <c r="A23" s="25" t="s">
        <v>177</v>
      </c>
      <c r="B23" s="25"/>
      <c r="C23" s="25"/>
      <c r="D23" s="31"/>
      <c r="E23" s="32">
        <f>SUM(E6:E22)</f>
        <v>4231.9223399999992</v>
      </c>
      <c r="F23" s="33">
        <f>SUM(F6:F22)</f>
        <v>85.648676070708518</v>
      </c>
      <c r="G23" s="17"/>
      <c r="H23" s="17"/>
      <c r="I23" s="17"/>
    </row>
    <row r="24" spans="1:9" x14ac:dyDescent="0.2">
      <c r="A24" s="26"/>
      <c r="B24" s="26"/>
      <c r="C24" s="26"/>
      <c r="D24" s="27"/>
      <c r="E24" s="28"/>
      <c r="F24" s="29"/>
    </row>
    <row r="25" spans="1:9" ht="10.5" x14ac:dyDescent="0.25">
      <c r="A25" s="25" t="s">
        <v>178</v>
      </c>
      <c r="B25" s="26"/>
      <c r="C25" s="26"/>
      <c r="D25" s="27"/>
      <c r="E25" s="28"/>
      <c r="F25" s="29"/>
    </row>
    <row r="26" spans="1:9" x14ac:dyDescent="0.2">
      <c r="A26" s="26" t="s">
        <v>885</v>
      </c>
      <c r="B26" s="26" t="s">
        <v>884</v>
      </c>
      <c r="C26" s="26" t="s">
        <v>176</v>
      </c>
      <c r="D26" s="30">
        <v>50</v>
      </c>
      <c r="E26" s="28">
        <v>496.90699999999998</v>
      </c>
      <c r="F26" s="29">
        <v>10.0567598507178</v>
      </c>
    </row>
    <row r="27" spans="1:9" ht="10.5" x14ac:dyDescent="0.25">
      <c r="A27" s="25" t="s">
        <v>177</v>
      </c>
      <c r="B27" s="25"/>
      <c r="C27" s="25"/>
      <c r="D27" s="31"/>
      <c r="E27" s="32">
        <f>SUM(E25:E26)</f>
        <v>496.90699999999998</v>
      </c>
      <c r="F27" s="33">
        <f>SUM(F25:F26)</f>
        <v>10.0567598507178</v>
      </c>
      <c r="G27" s="17"/>
      <c r="H27" s="17"/>
      <c r="I27" s="17"/>
    </row>
    <row r="28" spans="1:9" x14ac:dyDescent="0.2">
      <c r="A28" s="26"/>
      <c r="B28" s="26"/>
      <c r="C28" s="26"/>
      <c r="D28" s="27"/>
      <c r="E28" s="28"/>
      <c r="F28" s="29"/>
    </row>
    <row r="29" spans="1:9" ht="10.5" x14ac:dyDescent="0.25">
      <c r="A29" s="25" t="s">
        <v>226</v>
      </c>
      <c r="B29" s="25"/>
      <c r="C29" s="25"/>
      <c r="D29" s="31"/>
      <c r="E29" s="32">
        <f>E23+E27</f>
        <v>4728.8293399999993</v>
      </c>
      <c r="F29" s="33">
        <f>F23+F27</f>
        <v>95.705435921426314</v>
      </c>
      <c r="G29" s="17"/>
      <c r="H29" s="17"/>
      <c r="I29" s="17"/>
    </row>
    <row r="30" spans="1:9" ht="10.5" x14ac:dyDescent="0.25">
      <c r="A30" s="25"/>
      <c r="B30" s="25"/>
      <c r="C30" s="25"/>
      <c r="D30" s="31"/>
      <c r="E30" s="32"/>
      <c r="F30" s="33"/>
      <c r="G30" s="17"/>
      <c r="H30" s="17"/>
      <c r="I30" s="17"/>
    </row>
    <row r="31" spans="1:9" ht="10.5" x14ac:dyDescent="0.25">
      <c r="A31" s="25" t="s">
        <v>228</v>
      </c>
      <c r="B31" s="25"/>
      <c r="C31" s="25"/>
      <c r="D31" s="31"/>
      <c r="E31" s="32">
        <f>E33-(E23+E27)</f>
        <v>212.19547690000036</v>
      </c>
      <c r="F31" s="33">
        <f>F33-(F23+F27)</f>
        <v>4.2945640785736856</v>
      </c>
      <c r="G31" s="17"/>
      <c r="H31" s="17"/>
      <c r="I31" s="17"/>
    </row>
    <row r="32" spans="1:9" ht="10.5" x14ac:dyDescent="0.25">
      <c r="A32" s="25"/>
      <c r="B32" s="25"/>
      <c r="C32" s="25"/>
      <c r="D32" s="31"/>
      <c r="E32" s="32"/>
      <c r="F32" s="33"/>
      <c r="G32" s="17"/>
      <c r="H32" s="17"/>
      <c r="I32" s="17"/>
    </row>
    <row r="33" spans="1:9" ht="10.5" x14ac:dyDescent="0.25">
      <c r="A33" s="34" t="s">
        <v>227</v>
      </c>
      <c r="B33" s="34"/>
      <c r="C33" s="34"/>
      <c r="D33" s="35"/>
      <c r="E33" s="36">
        <v>4941.0248168999997</v>
      </c>
      <c r="F33" s="37">
        <v>100</v>
      </c>
      <c r="G33" s="17"/>
      <c r="H33" s="17"/>
      <c r="I33" s="17"/>
    </row>
    <row r="34" spans="1:9" ht="10.5" x14ac:dyDescent="0.25">
      <c r="A34" s="17" t="s">
        <v>231</v>
      </c>
    </row>
    <row r="36" spans="1:9" ht="10.5" x14ac:dyDescent="0.25">
      <c r="A36" s="17" t="s">
        <v>232</v>
      </c>
    </row>
    <row r="37" spans="1:9" ht="10.5" x14ac:dyDescent="0.25">
      <c r="A37" s="17" t="s">
        <v>233</v>
      </c>
    </row>
    <row r="38" spans="1:9" ht="10.5" x14ac:dyDescent="0.25">
      <c r="A38" s="17" t="s">
        <v>234</v>
      </c>
      <c r="B38" s="17"/>
      <c r="C38" s="38" t="s">
        <v>236</v>
      </c>
      <c r="D38" s="18" t="s">
        <v>235</v>
      </c>
    </row>
    <row r="39" spans="1:9" x14ac:dyDescent="0.2">
      <c r="A39" s="10" t="s">
        <v>543</v>
      </c>
      <c r="C39" s="39">
        <v>11.168100000000001</v>
      </c>
      <c r="D39" s="39">
        <v>11.5631</v>
      </c>
    </row>
    <row r="40" spans="1:9" x14ac:dyDescent="0.2">
      <c r="A40" s="10" t="s">
        <v>859</v>
      </c>
      <c r="C40" s="39">
        <v>10.405200000000001</v>
      </c>
      <c r="D40" s="39">
        <v>10.774900000000001</v>
      </c>
    </row>
    <row r="41" spans="1:9" x14ac:dyDescent="0.2">
      <c r="A41" s="10" t="s">
        <v>545</v>
      </c>
      <c r="C41" s="39">
        <v>10.3924</v>
      </c>
      <c r="D41" s="39">
        <v>10.327999999999999</v>
      </c>
    </row>
    <row r="42" spans="1:9" x14ac:dyDescent="0.2">
      <c r="A42" s="10" t="s">
        <v>546</v>
      </c>
      <c r="C42" s="39">
        <v>11.2828</v>
      </c>
      <c r="D42" s="39">
        <v>11.6853</v>
      </c>
    </row>
    <row r="43" spans="1:9" x14ac:dyDescent="0.2">
      <c r="A43" s="10" t="s">
        <v>581</v>
      </c>
      <c r="C43" s="39">
        <v>10.4192</v>
      </c>
      <c r="D43" s="39">
        <v>10.791</v>
      </c>
    </row>
    <row r="44" spans="1:9" x14ac:dyDescent="0.2">
      <c r="A44" s="10" t="s">
        <v>548</v>
      </c>
      <c r="C44" s="39">
        <v>10.4147</v>
      </c>
      <c r="D44" s="39">
        <v>10.3537</v>
      </c>
    </row>
    <row r="46" spans="1:9" ht="10.5" x14ac:dyDescent="0.25">
      <c r="A46" s="17" t="s">
        <v>248</v>
      </c>
    </row>
    <row r="47" spans="1:9" ht="10.5" x14ac:dyDescent="0.25">
      <c r="A47" s="84" t="s">
        <v>249</v>
      </c>
      <c r="B47" s="85"/>
      <c r="C47" s="82" t="s">
        <v>250</v>
      </c>
      <c r="D47" s="83"/>
    </row>
    <row r="48" spans="1:9" ht="10.5" x14ac:dyDescent="0.25">
      <c r="A48" s="84"/>
      <c r="B48" s="85"/>
      <c r="C48" s="40" t="s">
        <v>251</v>
      </c>
      <c r="D48" s="41" t="s">
        <v>252</v>
      </c>
    </row>
    <row r="49" spans="1:5" x14ac:dyDescent="0.2">
      <c r="A49" s="78" t="s">
        <v>545</v>
      </c>
      <c r="B49" s="79"/>
      <c r="C49" s="42">
        <v>0.35375969949999997</v>
      </c>
      <c r="D49" s="42">
        <v>0.34389914590000004</v>
      </c>
    </row>
    <row r="50" spans="1:5" x14ac:dyDescent="0.2">
      <c r="A50" s="78" t="s">
        <v>548</v>
      </c>
      <c r="B50" s="79"/>
      <c r="C50" s="42">
        <v>0.35375969949999997</v>
      </c>
      <c r="D50" s="42">
        <v>0.34389914590000004</v>
      </c>
    </row>
    <row r="52" spans="1:5" ht="10.5" x14ac:dyDescent="0.25">
      <c r="A52" s="17" t="s">
        <v>253</v>
      </c>
      <c r="D52" s="43">
        <v>1.70193056819178</v>
      </c>
      <c r="E52" s="15" t="s">
        <v>254</v>
      </c>
    </row>
    <row r="54" spans="1:5" ht="10.5" x14ac:dyDescent="0.25">
      <c r="A54" s="17" t="s">
        <v>255</v>
      </c>
      <c r="D54" s="46" t="s">
        <v>256</v>
      </c>
    </row>
  </sheetData>
  <mergeCells count="6">
    <mergeCell ref="A50:B50"/>
    <mergeCell ref="A1:F1"/>
    <mergeCell ref="C47:D47"/>
    <mergeCell ref="A47:B47"/>
    <mergeCell ref="A48:B48"/>
    <mergeCell ref="A49:B49"/>
  </mergeCells>
  <conditionalFormatting sqref="F2:F3 F5:F65531">
    <cfRule type="cellIs" dxfId="51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5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.269531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7265625" style="10" bestFit="1" customWidth="1"/>
    <col min="8" max="16384" width="9.1796875" style="10"/>
  </cols>
  <sheetData>
    <row r="1" spans="1:6" s="1" customFormat="1" ht="14" x14ac:dyDescent="0.25">
      <c r="A1" s="80" t="s">
        <v>22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714</v>
      </c>
      <c r="B7" s="26" t="s">
        <v>713</v>
      </c>
      <c r="C7" s="26" t="s">
        <v>650</v>
      </c>
      <c r="D7" s="30">
        <v>31</v>
      </c>
      <c r="E7" s="28">
        <v>320.37911000000003</v>
      </c>
      <c r="F7" s="29">
        <v>10.4783687566214</v>
      </c>
    </row>
    <row r="8" spans="1:6" x14ac:dyDescent="0.2">
      <c r="A8" s="26" t="s">
        <v>887</v>
      </c>
      <c r="B8" s="26" t="s">
        <v>886</v>
      </c>
      <c r="C8" s="26" t="s">
        <v>176</v>
      </c>
      <c r="D8" s="30">
        <v>31</v>
      </c>
      <c r="E8" s="28">
        <v>314.82855999999998</v>
      </c>
      <c r="F8" s="29">
        <v>10.2968316092647</v>
      </c>
    </row>
    <row r="9" spans="1:6" x14ac:dyDescent="0.2">
      <c r="A9" s="26" t="s">
        <v>710</v>
      </c>
      <c r="B9" s="26" t="s">
        <v>709</v>
      </c>
      <c r="C9" s="26" t="s">
        <v>176</v>
      </c>
      <c r="D9" s="30">
        <v>31</v>
      </c>
      <c r="E9" s="28">
        <v>311.81876999999997</v>
      </c>
      <c r="F9" s="29">
        <v>10.198392951700599</v>
      </c>
    </row>
    <row r="10" spans="1:6" x14ac:dyDescent="0.2">
      <c r="A10" s="26" t="s">
        <v>175</v>
      </c>
      <c r="B10" s="26" t="s">
        <v>174</v>
      </c>
      <c r="C10" s="26" t="s">
        <v>176</v>
      </c>
      <c r="D10" s="30">
        <v>30</v>
      </c>
      <c r="E10" s="28">
        <v>304.3125</v>
      </c>
      <c r="F10" s="29">
        <v>9.9528917233378191</v>
      </c>
    </row>
    <row r="11" spans="1:6" x14ac:dyDescent="0.2">
      <c r="A11" s="26" t="s">
        <v>649</v>
      </c>
      <c r="B11" s="26" t="s">
        <v>648</v>
      </c>
      <c r="C11" s="26" t="s">
        <v>650</v>
      </c>
      <c r="D11" s="30">
        <v>26</v>
      </c>
      <c r="E11" s="28">
        <v>259.88144</v>
      </c>
      <c r="F11" s="29">
        <v>8.4997225983983995</v>
      </c>
    </row>
    <row r="12" spans="1:6" x14ac:dyDescent="0.2">
      <c r="A12" s="26" t="s">
        <v>369</v>
      </c>
      <c r="B12" s="26" t="s">
        <v>368</v>
      </c>
      <c r="C12" s="26" t="s">
        <v>176</v>
      </c>
      <c r="D12" s="30">
        <v>22</v>
      </c>
      <c r="E12" s="28">
        <v>222.6114</v>
      </c>
      <c r="F12" s="29">
        <v>7.2807629018875204</v>
      </c>
    </row>
    <row r="13" spans="1:6" x14ac:dyDescent="0.2">
      <c r="A13" s="26" t="s">
        <v>889</v>
      </c>
      <c r="B13" s="26" t="s">
        <v>888</v>
      </c>
      <c r="C13" s="26" t="s">
        <v>650</v>
      </c>
      <c r="D13" s="30">
        <v>19</v>
      </c>
      <c r="E13" s="28">
        <v>195.71596</v>
      </c>
      <c r="F13" s="29">
        <v>6.4011164786497998</v>
      </c>
    </row>
    <row r="14" spans="1:6" x14ac:dyDescent="0.2">
      <c r="A14" s="26" t="s">
        <v>891</v>
      </c>
      <c r="B14" s="26" t="s">
        <v>890</v>
      </c>
      <c r="C14" s="26" t="s">
        <v>176</v>
      </c>
      <c r="D14" s="30">
        <v>19</v>
      </c>
      <c r="E14" s="28">
        <v>195.39562000000001</v>
      </c>
      <c r="F14" s="29">
        <v>6.3906393890308903</v>
      </c>
    </row>
    <row r="15" spans="1:6" x14ac:dyDescent="0.2">
      <c r="A15" s="26" t="s">
        <v>700</v>
      </c>
      <c r="B15" s="26" t="s">
        <v>699</v>
      </c>
      <c r="C15" s="26" t="s">
        <v>650</v>
      </c>
      <c r="D15" s="30">
        <v>16</v>
      </c>
      <c r="E15" s="28">
        <v>189.95231999999999</v>
      </c>
      <c r="F15" s="29">
        <v>6.2126099767732699</v>
      </c>
    </row>
    <row r="16" spans="1:6" x14ac:dyDescent="0.2">
      <c r="A16" s="26" t="s">
        <v>893</v>
      </c>
      <c r="B16" s="26" t="s">
        <v>892</v>
      </c>
      <c r="C16" s="26" t="s">
        <v>176</v>
      </c>
      <c r="D16" s="30">
        <v>20</v>
      </c>
      <c r="E16" s="28">
        <v>181.72200000000001</v>
      </c>
      <c r="F16" s="29">
        <v>5.94342785704956</v>
      </c>
    </row>
    <row r="17" spans="1:9" x14ac:dyDescent="0.2">
      <c r="A17" s="26" t="s">
        <v>895</v>
      </c>
      <c r="B17" s="26" t="s">
        <v>894</v>
      </c>
      <c r="C17" s="26" t="s">
        <v>176</v>
      </c>
      <c r="D17" s="30">
        <v>16</v>
      </c>
      <c r="E17" s="28">
        <v>160.70032</v>
      </c>
      <c r="F17" s="29">
        <v>5.2558895374516004</v>
      </c>
    </row>
    <row r="18" spans="1:9" x14ac:dyDescent="0.2">
      <c r="A18" s="26" t="s">
        <v>652</v>
      </c>
      <c r="B18" s="26" t="s">
        <v>651</v>
      </c>
      <c r="C18" s="26" t="s">
        <v>176</v>
      </c>
      <c r="D18" s="30">
        <v>1</v>
      </c>
      <c r="E18" s="28">
        <v>101.3741</v>
      </c>
      <c r="F18" s="29">
        <v>3.3155570042335398</v>
      </c>
    </row>
    <row r="19" spans="1:9" x14ac:dyDescent="0.2">
      <c r="A19" s="26" t="s">
        <v>897</v>
      </c>
      <c r="B19" s="26" t="s">
        <v>896</v>
      </c>
      <c r="C19" s="26" t="s">
        <v>365</v>
      </c>
      <c r="D19" s="30">
        <v>7</v>
      </c>
      <c r="E19" s="28">
        <v>81.954949999999997</v>
      </c>
      <c r="F19" s="29">
        <v>2.6804312788385798</v>
      </c>
    </row>
    <row r="20" spans="1:9" ht="10.5" x14ac:dyDescent="0.25">
      <c r="A20" s="25" t="s">
        <v>177</v>
      </c>
      <c r="B20" s="25"/>
      <c r="C20" s="25"/>
      <c r="D20" s="31"/>
      <c r="E20" s="32">
        <f>SUM(E6:E19)</f>
        <v>2840.64705</v>
      </c>
      <c r="F20" s="33">
        <f>SUM(F6:F19)</f>
        <v>92.906642063237669</v>
      </c>
      <c r="G20" s="17"/>
      <c r="H20" s="17"/>
      <c r="I20" s="17"/>
    </row>
    <row r="21" spans="1:9" x14ac:dyDescent="0.2">
      <c r="A21" s="26"/>
      <c r="B21" s="26"/>
      <c r="C21" s="26"/>
      <c r="D21" s="27"/>
      <c r="E21" s="28"/>
      <c r="F21" s="29"/>
    </row>
    <row r="22" spans="1:9" ht="10.5" x14ac:dyDescent="0.25">
      <c r="A22" s="25" t="s">
        <v>178</v>
      </c>
      <c r="B22" s="26"/>
      <c r="C22" s="26"/>
      <c r="D22" s="27"/>
      <c r="E22" s="28"/>
      <c r="F22" s="29"/>
    </row>
    <row r="23" spans="1:9" x14ac:dyDescent="0.2">
      <c r="A23" s="26" t="s">
        <v>443</v>
      </c>
      <c r="B23" s="26" t="s">
        <v>442</v>
      </c>
      <c r="C23" s="26" t="s">
        <v>176</v>
      </c>
      <c r="D23" s="30">
        <v>3</v>
      </c>
      <c r="E23" s="28">
        <v>29.823360000000001</v>
      </c>
      <c r="F23" s="29">
        <v>0.97540742791086199</v>
      </c>
    </row>
    <row r="24" spans="1:9" ht="10.5" x14ac:dyDescent="0.25">
      <c r="A24" s="25" t="s">
        <v>177</v>
      </c>
      <c r="B24" s="25"/>
      <c r="C24" s="25"/>
      <c r="D24" s="31"/>
      <c r="E24" s="32">
        <f>SUM(E22:E23)</f>
        <v>29.823360000000001</v>
      </c>
      <c r="F24" s="33">
        <f>SUM(F22:F23)</f>
        <v>0.97540742791086199</v>
      </c>
      <c r="G24" s="17"/>
      <c r="H24" s="17"/>
      <c r="I24" s="17"/>
    </row>
    <row r="25" spans="1:9" x14ac:dyDescent="0.2">
      <c r="A25" s="26"/>
      <c r="B25" s="26"/>
      <c r="C25" s="26"/>
      <c r="D25" s="27"/>
      <c r="E25" s="28"/>
      <c r="F25" s="29"/>
    </row>
    <row r="26" spans="1:9" ht="10.5" x14ac:dyDescent="0.25">
      <c r="A26" s="25" t="s">
        <v>221</v>
      </c>
      <c r="B26" s="26"/>
      <c r="C26" s="26"/>
      <c r="D26" s="27"/>
      <c r="E26" s="28"/>
      <c r="F26" s="29"/>
    </row>
    <row r="27" spans="1:9" ht="10.5" x14ac:dyDescent="0.25">
      <c r="A27" s="25" t="s">
        <v>463</v>
      </c>
      <c r="B27" s="26"/>
      <c r="C27" s="26"/>
      <c r="D27" s="27"/>
      <c r="E27" s="28"/>
      <c r="F27" s="29"/>
    </row>
    <row r="28" spans="1:9" x14ac:dyDescent="0.2">
      <c r="A28" s="26" t="s">
        <v>488</v>
      </c>
      <c r="B28" s="26" t="s">
        <v>487</v>
      </c>
      <c r="C28" s="26" t="s">
        <v>466</v>
      </c>
      <c r="D28" s="30">
        <v>16</v>
      </c>
      <c r="E28" s="28">
        <v>15.333632</v>
      </c>
      <c r="F28" s="29">
        <v>0.50150414137279298</v>
      </c>
    </row>
    <row r="29" spans="1:9" ht="10.5" x14ac:dyDescent="0.25">
      <c r="A29" s="25" t="s">
        <v>177</v>
      </c>
      <c r="B29" s="25"/>
      <c r="C29" s="25"/>
      <c r="D29" s="31"/>
      <c r="E29" s="32">
        <f>SUM(E27:E28)</f>
        <v>15.333632</v>
      </c>
      <c r="F29" s="33">
        <f>SUM(F27:F28)</f>
        <v>0.50150414137279298</v>
      </c>
      <c r="G29" s="17"/>
      <c r="H29" s="17"/>
      <c r="I29" s="17"/>
    </row>
    <row r="30" spans="1:9" x14ac:dyDescent="0.2">
      <c r="A30" s="26"/>
      <c r="B30" s="26"/>
      <c r="C30" s="26"/>
      <c r="D30" s="27"/>
      <c r="E30" s="28"/>
      <c r="F30" s="29"/>
    </row>
    <row r="31" spans="1:9" ht="10.5" x14ac:dyDescent="0.25">
      <c r="A31" s="25" t="s">
        <v>226</v>
      </c>
      <c r="B31" s="25"/>
      <c r="C31" s="25"/>
      <c r="D31" s="31"/>
      <c r="E31" s="32">
        <f>E20+E24+E29</f>
        <v>2885.8040419999998</v>
      </c>
      <c r="F31" s="33">
        <f>F20+F24+F29</f>
        <v>94.383553632521327</v>
      </c>
      <c r="G31" s="17"/>
      <c r="H31" s="17"/>
      <c r="I31" s="17"/>
    </row>
    <row r="32" spans="1:9" ht="10.5" x14ac:dyDescent="0.25">
      <c r="A32" s="25"/>
      <c r="B32" s="25"/>
      <c r="C32" s="25"/>
      <c r="D32" s="31"/>
      <c r="E32" s="32"/>
      <c r="F32" s="33"/>
      <c r="G32" s="17"/>
      <c r="H32" s="17"/>
      <c r="I32" s="17"/>
    </row>
    <row r="33" spans="1:9" ht="10.5" x14ac:dyDescent="0.25">
      <c r="A33" s="25" t="s">
        <v>228</v>
      </c>
      <c r="B33" s="25"/>
      <c r="C33" s="25"/>
      <c r="D33" s="31"/>
      <c r="E33" s="32">
        <f>E35-(E20+E24+E29)</f>
        <v>171.72444780000023</v>
      </c>
      <c r="F33" s="33">
        <f>F35-(F20+F24+F29)</f>
        <v>5.6164463674786731</v>
      </c>
      <c r="G33" s="17"/>
      <c r="H33" s="17"/>
      <c r="I33" s="17"/>
    </row>
    <row r="34" spans="1:9" ht="10.5" x14ac:dyDescent="0.25">
      <c r="A34" s="25"/>
      <c r="B34" s="25"/>
      <c r="C34" s="25"/>
      <c r="D34" s="31"/>
      <c r="E34" s="32"/>
      <c r="F34" s="33"/>
      <c r="G34" s="17"/>
      <c r="H34" s="17"/>
      <c r="I34" s="17"/>
    </row>
    <row r="35" spans="1:9" ht="10.5" x14ac:dyDescent="0.25">
      <c r="A35" s="34" t="s">
        <v>227</v>
      </c>
      <c r="B35" s="34"/>
      <c r="C35" s="34"/>
      <c r="D35" s="35"/>
      <c r="E35" s="36">
        <v>3057.5284898</v>
      </c>
      <c r="F35" s="37">
        <v>100</v>
      </c>
      <c r="G35" s="17"/>
      <c r="H35" s="17"/>
      <c r="I35" s="17"/>
    </row>
    <row r="36" spans="1:9" ht="10.5" x14ac:dyDescent="0.25">
      <c r="A36" s="17" t="s">
        <v>231</v>
      </c>
    </row>
    <row r="38" spans="1:9" ht="10.5" x14ac:dyDescent="0.25">
      <c r="A38" s="17" t="s">
        <v>232</v>
      </c>
    </row>
    <row r="39" spans="1:9" ht="10.5" x14ac:dyDescent="0.25">
      <c r="A39" s="17" t="s">
        <v>233</v>
      </c>
    </row>
    <row r="40" spans="1:9" ht="10.5" x14ac:dyDescent="0.25">
      <c r="A40" s="17" t="s">
        <v>234</v>
      </c>
      <c r="B40" s="17"/>
      <c r="C40" s="38" t="s">
        <v>236</v>
      </c>
      <c r="D40" s="18" t="s">
        <v>235</v>
      </c>
    </row>
    <row r="41" spans="1:9" x14ac:dyDescent="0.2">
      <c r="A41" s="10" t="s">
        <v>543</v>
      </c>
      <c r="C41" s="39">
        <v>11.197699999999999</v>
      </c>
      <c r="D41" s="39">
        <v>11.5907</v>
      </c>
    </row>
    <row r="42" spans="1:9" x14ac:dyDescent="0.2">
      <c r="A42" s="10" t="s">
        <v>859</v>
      </c>
      <c r="C42" s="39">
        <v>10.462</v>
      </c>
      <c r="D42" s="39">
        <v>10.8292</v>
      </c>
    </row>
    <row r="43" spans="1:9" x14ac:dyDescent="0.2">
      <c r="A43" s="10" t="s">
        <v>545</v>
      </c>
      <c r="C43" s="39">
        <v>10.4503</v>
      </c>
      <c r="D43" s="39">
        <v>10.361000000000001</v>
      </c>
    </row>
    <row r="44" spans="1:9" x14ac:dyDescent="0.2">
      <c r="A44" s="10" t="s">
        <v>546</v>
      </c>
      <c r="C44" s="39">
        <v>11.309900000000001</v>
      </c>
      <c r="D44" s="39">
        <v>11.706899999999999</v>
      </c>
    </row>
    <row r="45" spans="1:9" x14ac:dyDescent="0.2">
      <c r="A45" s="10" t="s">
        <v>548</v>
      </c>
      <c r="C45" s="39">
        <v>10.559799999999999</v>
      </c>
      <c r="D45" s="39">
        <v>10.474299999999999</v>
      </c>
    </row>
    <row r="47" spans="1:9" ht="10.5" x14ac:dyDescent="0.25">
      <c r="A47" s="17" t="s">
        <v>248</v>
      </c>
    </row>
    <row r="48" spans="1:9" ht="10.5" x14ac:dyDescent="0.25">
      <c r="A48" s="84" t="s">
        <v>249</v>
      </c>
      <c r="B48" s="85"/>
      <c r="C48" s="82" t="s">
        <v>250</v>
      </c>
      <c r="D48" s="83"/>
    </row>
    <row r="49" spans="1:5" ht="10.5" x14ac:dyDescent="0.25">
      <c r="A49" s="84"/>
      <c r="B49" s="85"/>
      <c r="C49" s="40" t="s">
        <v>251</v>
      </c>
      <c r="D49" s="41" t="s">
        <v>252</v>
      </c>
    </row>
    <row r="50" spans="1:5" x14ac:dyDescent="0.2">
      <c r="A50" s="78" t="s">
        <v>545</v>
      </c>
      <c r="B50" s="79"/>
      <c r="C50" s="42">
        <v>0.32414521499999999</v>
      </c>
      <c r="D50" s="42">
        <v>0.30016008459999999</v>
      </c>
    </row>
    <row r="51" spans="1:5" x14ac:dyDescent="0.2">
      <c r="A51" s="78" t="s">
        <v>548</v>
      </c>
      <c r="B51" s="79"/>
      <c r="C51" s="42">
        <v>0.32414521499999999</v>
      </c>
      <c r="D51" s="42">
        <v>0.30016008459999999</v>
      </c>
    </row>
    <row r="53" spans="1:5" ht="10.5" x14ac:dyDescent="0.25">
      <c r="A53" s="17" t="s">
        <v>253</v>
      </c>
      <c r="D53" s="43">
        <v>1.15167197512329</v>
      </c>
      <c r="E53" s="15" t="s">
        <v>254</v>
      </c>
    </row>
    <row r="55" spans="1:5" ht="10.5" x14ac:dyDescent="0.25">
      <c r="A55" s="17" t="s">
        <v>255</v>
      </c>
      <c r="D55" s="46" t="s">
        <v>256</v>
      </c>
    </row>
  </sheetData>
  <mergeCells count="6">
    <mergeCell ref="A51:B51"/>
    <mergeCell ref="A1:F1"/>
    <mergeCell ref="C48:D48"/>
    <mergeCell ref="A48:B48"/>
    <mergeCell ref="A49:B49"/>
    <mergeCell ref="A50:B50"/>
  </mergeCells>
  <conditionalFormatting sqref="F2:F3 F5:F65533">
    <cfRule type="cellIs" dxfId="50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1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.269531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81640625" style="10" bestFit="1" customWidth="1"/>
    <col min="8" max="16384" width="9.1796875" style="10"/>
  </cols>
  <sheetData>
    <row r="1" spans="1:6" s="1" customFormat="1" ht="14" x14ac:dyDescent="0.25">
      <c r="A1" s="80" t="s">
        <v>23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710</v>
      </c>
      <c r="B7" s="26" t="s">
        <v>709</v>
      </c>
      <c r="C7" s="26" t="s">
        <v>176</v>
      </c>
      <c r="D7" s="30">
        <v>44</v>
      </c>
      <c r="E7" s="28">
        <v>442.58148</v>
      </c>
      <c r="F7" s="29">
        <v>11.630139861114101</v>
      </c>
    </row>
    <row r="8" spans="1:6" x14ac:dyDescent="0.2">
      <c r="A8" s="26" t="s">
        <v>889</v>
      </c>
      <c r="B8" s="26" t="s">
        <v>888</v>
      </c>
      <c r="C8" s="26" t="s">
        <v>650</v>
      </c>
      <c r="D8" s="30">
        <v>41</v>
      </c>
      <c r="E8" s="28">
        <v>422.33443999999997</v>
      </c>
      <c r="F8" s="29">
        <v>11.098088888322501</v>
      </c>
    </row>
    <row r="9" spans="1:6" x14ac:dyDescent="0.2">
      <c r="A9" s="26" t="s">
        <v>891</v>
      </c>
      <c r="B9" s="26" t="s">
        <v>890</v>
      </c>
      <c r="C9" s="26" t="s">
        <v>176</v>
      </c>
      <c r="D9" s="30">
        <v>41</v>
      </c>
      <c r="E9" s="28">
        <v>421.64317999999997</v>
      </c>
      <c r="F9" s="29">
        <v>11.079923983454799</v>
      </c>
    </row>
    <row r="10" spans="1:6" x14ac:dyDescent="0.2">
      <c r="A10" s="26" t="s">
        <v>175</v>
      </c>
      <c r="B10" s="26" t="s">
        <v>174</v>
      </c>
      <c r="C10" s="26" t="s">
        <v>176</v>
      </c>
      <c r="D10" s="30">
        <v>40</v>
      </c>
      <c r="E10" s="28">
        <v>405.75</v>
      </c>
      <c r="F10" s="29">
        <v>10.662283583685101</v>
      </c>
    </row>
    <row r="11" spans="1:6" x14ac:dyDescent="0.2">
      <c r="A11" s="26" t="s">
        <v>369</v>
      </c>
      <c r="B11" s="26" t="s">
        <v>368</v>
      </c>
      <c r="C11" s="26" t="s">
        <v>176</v>
      </c>
      <c r="D11" s="30">
        <v>30</v>
      </c>
      <c r="E11" s="28">
        <v>303.56099999999998</v>
      </c>
      <c r="F11" s="29">
        <v>7.9769647983907301</v>
      </c>
    </row>
    <row r="12" spans="1:6" x14ac:dyDescent="0.2">
      <c r="A12" s="26" t="s">
        <v>893</v>
      </c>
      <c r="B12" s="26" t="s">
        <v>892</v>
      </c>
      <c r="C12" s="26" t="s">
        <v>176</v>
      </c>
      <c r="D12" s="30">
        <v>33</v>
      </c>
      <c r="E12" s="28">
        <v>299.84129999999999</v>
      </c>
      <c r="F12" s="29">
        <v>7.8792186585355699</v>
      </c>
    </row>
    <row r="13" spans="1:6" x14ac:dyDescent="0.2">
      <c r="A13" s="26" t="s">
        <v>899</v>
      </c>
      <c r="B13" s="26" t="s">
        <v>898</v>
      </c>
      <c r="C13" s="26" t="s">
        <v>176</v>
      </c>
      <c r="D13" s="30">
        <v>26</v>
      </c>
      <c r="E13" s="28">
        <v>261.14452</v>
      </c>
      <c r="F13" s="29">
        <v>6.8623460962793104</v>
      </c>
    </row>
    <row r="14" spans="1:6" x14ac:dyDescent="0.2">
      <c r="A14" s="26" t="s">
        <v>156</v>
      </c>
      <c r="B14" s="26" t="s">
        <v>155</v>
      </c>
      <c r="C14" s="26" t="s">
        <v>148</v>
      </c>
      <c r="D14" s="30">
        <v>26000</v>
      </c>
      <c r="E14" s="28">
        <v>252.66202000000001</v>
      </c>
      <c r="F14" s="29">
        <v>6.63944327311577</v>
      </c>
    </row>
    <row r="15" spans="1:6" x14ac:dyDescent="0.2">
      <c r="A15" s="26" t="s">
        <v>652</v>
      </c>
      <c r="B15" s="26" t="s">
        <v>651</v>
      </c>
      <c r="C15" s="26" t="s">
        <v>176</v>
      </c>
      <c r="D15" s="30">
        <v>2</v>
      </c>
      <c r="E15" s="28">
        <v>202.7482</v>
      </c>
      <c r="F15" s="29">
        <v>5.3278097461040304</v>
      </c>
    </row>
    <row r="16" spans="1:6" x14ac:dyDescent="0.2">
      <c r="A16" s="26" t="s">
        <v>723</v>
      </c>
      <c r="B16" s="26" t="s">
        <v>722</v>
      </c>
      <c r="C16" s="26" t="s">
        <v>650</v>
      </c>
      <c r="D16" s="30">
        <v>150</v>
      </c>
      <c r="E16" s="28">
        <v>154.37864999999999</v>
      </c>
      <c r="F16" s="29">
        <v>4.0567564893813204</v>
      </c>
    </row>
    <row r="17" spans="1:9" ht="10.5" x14ac:dyDescent="0.25">
      <c r="A17" s="25" t="s">
        <v>177</v>
      </c>
      <c r="B17" s="25"/>
      <c r="C17" s="25"/>
      <c r="D17" s="31"/>
      <c r="E17" s="32">
        <f>SUM(E6:E16)</f>
        <v>3166.6447899999998</v>
      </c>
      <c r="F17" s="33">
        <f>SUM(F6:F16)</f>
        <v>83.212975378383248</v>
      </c>
      <c r="G17" s="17"/>
      <c r="H17" s="17"/>
      <c r="I17" s="17"/>
    </row>
    <row r="18" spans="1:9" x14ac:dyDescent="0.2">
      <c r="A18" s="26"/>
      <c r="B18" s="26"/>
      <c r="C18" s="26"/>
      <c r="D18" s="27"/>
      <c r="E18" s="28"/>
      <c r="F18" s="29"/>
    </row>
    <row r="19" spans="1:9" ht="10.5" x14ac:dyDescent="0.25">
      <c r="A19" s="25" t="s">
        <v>178</v>
      </c>
      <c r="B19" s="26"/>
      <c r="C19" s="26"/>
      <c r="D19" s="27"/>
      <c r="E19" s="28"/>
      <c r="F19" s="29"/>
    </row>
    <row r="20" spans="1:9" x14ac:dyDescent="0.2">
      <c r="A20" s="26" t="s">
        <v>443</v>
      </c>
      <c r="B20" s="26" t="s">
        <v>442</v>
      </c>
      <c r="C20" s="26" t="s">
        <v>176</v>
      </c>
      <c r="D20" s="30">
        <v>34</v>
      </c>
      <c r="E20" s="28">
        <v>337.99808000000002</v>
      </c>
      <c r="F20" s="29">
        <v>8.8819011206434801</v>
      </c>
    </row>
    <row r="21" spans="1:9" x14ac:dyDescent="0.2">
      <c r="A21" s="26" t="s">
        <v>737</v>
      </c>
      <c r="B21" s="26" t="s">
        <v>736</v>
      </c>
      <c r="C21" s="26" t="s">
        <v>176</v>
      </c>
      <c r="D21" s="30">
        <v>7</v>
      </c>
      <c r="E21" s="28">
        <v>69.928809999999999</v>
      </c>
      <c r="F21" s="29">
        <v>1.8375866984341001</v>
      </c>
    </row>
    <row r="22" spans="1:9" ht="10.5" x14ac:dyDescent="0.25">
      <c r="A22" s="25" t="s">
        <v>177</v>
      </c>
      <c r="B22" s="25"/>
      <c r="C22" s="25"/>
      <c r="D22" s="31"/>
      <c r="E22" s="32">
        <f>SUM(E19:E21)</f>
        <v>407.92689000000001</v>
      </c>
      <c r="F22" s="33">
        <f>SUM(F19:F21)</f>
        <v>10.71948781907758</v>
      </c>
      <c r="G22" s="17"/>
      <c r="H22" s="17"/>
      <c r="I22" s="17"/>
    </row>
    <row r="23" spans="1:9" x14ac:dyDescent="0.2">
      <c r="A23" s="26"/>
      <c r="B23" s="26"/>
      <c r="C23" s="26"/>
      <c r="D23" s="27"/>
      <c r="E23" s="28"/>
      <c r="F23" s="29"/>
    </row>
    <row r="24" spans="1:9" ht="10.5" x14ac:dyDescent="0.25">
      <c r="A24" s="25" t="s">
        <v>221</v>
      </c>
      <c r="B24" s="26"/>
      <c r="C24" s="26"/>
      <c r="D24" s="27"/>
      <c r="E24" s="28"/>
      <c r="F24" s="29"/>
    </row>
    <row r="25" spans="1:9" ht="10.5" x14ac:dyDescent="0.25">
      <c r="A25" s="25" t="s">
        <v>463</v>
      </c>
      <c r="B25" s="26"/>
      <c r="C25" s="26"/>
      <c r="D25" s="27"/>
      <c r="E25" s="28"/>
      <c r="F25" s="29"/>
    </row>
    <row r="26" spans="1:9" x14ac:dyDescent="0.2">
      <c r="A26" s="26" t="s">
        <v>488</v>
      </c>
      <c r="B26" s="26" t="s">
        <v>487</v>
      </c>
      <c r="C26" s="26" t="s">
        <v>466</v>
      </c>
      <c r="D26" s="30">
        <v>33</v>
      </c>
      <c r="E26" s="28">
        <v>31.625616000000001</v>
      </c>
      <c r="F26" s="29">
        <v>0.83105677461670902</v>
      </c>
    </row>
    <row r="27" spans="1:9" ht="10.5" x14ac:dyDescent="0.25">
      <c r="A27" s="25" t="s">
        <v>177</v>
      </c>
      <c r="B27" s="25"/>
      <c r="C27" s="25"/>
      <c r="D27" s="31"/>
      <c r="E27" s="32">
        <f>SUM(E25:E26)</f>
        <v>31.625616000000001</v>
      </c>
      <c r="F27" s="33">
        <f>SUM(F25:F26)</f>
        <v>0.83105677461670902</v>
      </c>
      <c r="G27" s="17"/>
      <c r="H27" s="17"/>
      <c r="I27" s="17"/>
    </row>
    <row r="28" spans="1:9" x14ac:dyDescent="0.2">
      <c r="A28" s="26"/>
      <c r="B28" s="26"/>
      <c r="C28" s="26"/>
      <c r="D28" s="27"/>
      <c r="E28" s="28"/>
      <c r="F28" s="29"/>
    </row>
    <row r="29" spans="1:9" ht="10.5" x14ac:dyDescent="0.25">
      <c r="A29" s="25" t="s">
        <v>226</v>
      </c>
      <c r="B29" s="25"/>
      <c r="C29" s="25"/>
      <c r="D29" s="31"/>
      <c r="E29" s="32">
        <f>E17+E22+E27</f>
        <v>3606.1972959999998</v>
      </c>
      <c r="F29" s="33">
        <f>F17+F22+F27</f>
        <v>94.763519972077546</v>
      </c>
      <c r="G29" s="17"/>
      <c r="H29" s="17"/>
      <c r="I29" s="17"/>
    </row>
    <row r="30" spans="1:9" ht="10.5" x14ac:dyDescent="0.25">
      <c r="A30" s="25"/>
      <c r="B30" s="25"/>
      <c r="C30" s="25"/>
      <c r="D30" s="31"/>
      <c r="E30" s="32"/>
      <c r="F30" s="33"/>
      <c r="G30" s="17"/>
      <c r="H30" s="17"/>
      <c r="I30" s="17"/>
    </row>
    <row r="31" spans="1:9" ht="10.5" x14ac:dyDescent="0.25">
      <c r="A31" s="25" t="s">
        <v>228</v>
      </c>
      <c r="B31" s="25"/>
      <c r="C31" s="25"/>
      <c r="D31" s="31"/>
      <c r="E31" s="32">
        <f>E33-(E17+E22+E27)</f>
        <v>199.27267500000016</v>
      </c>
      <c r="F31" s="33">
        <f>F33-(F17+F22+F27)</f>
        <v>5.2364800279224539</v>
      </c>
      <c r="G31" s="17"/>
      <c r="H31" s="17"/>
      <c r="I31" s="17"/>
    </row>
    <row r="32" spans="1:9" ht="10.5" x14ac:dyDescent="0.25">
      <c r="A32" s="25"/>
      <c r="B32" s="25"/>
      <c r="C32" s="25"/>
      <c r="D32" s="31"/>
      <c r="E32" s="32"/>
      <c r="F32" s="33"/>
      <c r="G32" s="17"/>
      <c r="H32" s="17"/>
      <c r="I32" s="17"/>
    </row>
    <row r="33" spans="1:9" ht="10.5" x14ac:dyDescent="0.25">
      <c r="A33" s="34" t="s">
        <v>227</v>
      </c>
      <c r="B33" s="34"/>
      <c r="C33" s="34"/>
      <c r="D33" s="35"/>
      <c r="E33" s="36">
        <v>3805.469971</v>
      </c>
      <c r="F33" s="37">
        <v>100</v>
      </c>
      <c r="G33" s="17"/>
      <c r="H33" s="17"/>
      <c r="I33" s="17"/>
    </row>
    <row r="34" spans="1:9" ht="10.5" x14ac:dyDescent="0.25">
      <c r="A34" s="17" t="s">
        <v>231</v>
      </c>
    </row>
    <row r="36" spans="1:9" ht="10.5" x14ac:dyDescent="0.25">
      <c r="A36" s="17" t="s">
        <v>232</v>
      </c>
    </row>
    <row r="37" spans="1:9" ht="10.5" x14ac:dyDescent="0.25">
      <c r="A37" s="17" t="s">
        <v>233</v>
      </c>
    </row>
    <row r="38" spans="1:9" ht="10.5" x14ac:dyDescent="0.25">
      <c r="A38" s="17" t="s">
        <v>234</v>
      </c>
      <c r="B38" s="17"/>
      <c r="C38" s="38" t="s">
        <v>236</v>
      </c>
      <c r="D38" s="18" t="s">
        <v>235</v>
      </c>
    </row>
    <row r="39" spans="1:9" x14ac:dyDescent="0.2">
      <c r="A39" s="10" t="s">
        <v>543</v>
      </c>
      <c r="C39" s="39">
        <v>10.6404</v>
      </c>
      <c r="D39" s="39">
        <v>10.998799999999999</v>
      </c>
    </row>
    <row r="40" spans="1:9" x14ac:dyDescent="0.2">
      <c r="A40" s="10" t="s">
        <v>859</v>
      </c>
      <c r="C40" s="39">
        <v>10.4018</v>
      </c>
      <c r="D40" s="39">
        <v>10.7522</v>
      </c>
    </row>
    <row r="41" spans="1:9" x14ac:dyDescent="0.2">
      <c r="A41" s="10" t="s">
        <v>545</v>
      </c>
      <c r="C41" s="39">
        <v>10.2607</v>
      </c>
      <c r="D41" s="39">
        <v>10.2934</v>
      </c>
    </row>
    <row r="42" spans="1:9" x14ac:dyDescent="0.2">
      <c r="A42" s="10" t="s">
        <v>546</v>
      </c>
      <c r="C42" s="39">
        <v>10.746700000000001</v>
      </c>
      <c r="D42" s="39">
        <v>11.108599999999999</v>
      </c>
    </row>
    <row r="44" spans="1:9" ht="10.5" x14ac:dyDescent="0.25">
      <c r="A44" s="17" t="s">
        <v>248</v>
      </c>
    </row>
    <row r="45" spans="1:9" ht="10.5" x14ac:dyDescent="0.25">
      <c r="A45" s="84" t="s">
        <v>249</v>
      </c>
      <c r="B45" s="85"/>
      <c r="C45" s="82" t="s">
        <v>250</v>
      </c>
      <c r="D45" s="83"/>
    </row>
    <row r="46" spans="1:9" ht="10.5" x14ac:dyDescent="0.25">
      <c r="A46" s="84"/>
      <c r="B46" s="85"/>
      <c r="C46" s="40" t="s">
        <v>251</v>
      </c>
      <c r="D46" s="41" t="s">
        <v>252</v>
      </c>
    </row>
    <row r="47" spans="1:9" x14ac:dyDescent="0.2">
      <c r="A47" s="78" t="s">
        <v>545</v>
      </c>
      <c r="B47" s="79"/>
      <c r="C47" s="42">
        <v>0.22330003700000001</v>
      </c>
      <c r="D47" s="42">
        <v>0.20677694720000001</v>
      </c>
    </row>
    <row r="49" spans="1:5" ht="10.5" x14ac:dyDescent="0.25">
      <c r="A49" s="17" t="s">
        <v>253</v>
      </c>
      <c r="D49" s="43">
        <v>1.1656486056164399</v>
      </c>
      <c r="E49" s="15" t="s">
        <v>254</v>
      </c>
    </row>
    <row r="51" spans="1:5" ht="10.5" x14ac:dyDescent="0.25">
      <c r="A51" s="17" t="s">
        <v>255</v>
      </c>
      <c r="D51" s="46" t="s">
        <v>256</v>
      </c>
    </row>
  </sheetData>
  <mergeCells count="5">
    <mergeCell ref="A1:F1"/>
    <mergeCell ref="C45:D45"/>
    <mergeCell ref="A45:B45"/>
    <mergeCell ref="A46:B46"/>
    <mergeCell ref="A47:B47"/>
  </mergeCells>
  <conditionalFormatting sqref="F2:F3 F5:F65533">
    <cfRule type="cellIs" dxfId="49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54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.269531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81640625" style="10" bestFit="1" customWidth="1"/>
    <col min="8" max="16384" width="9.1796875" style="10"/>
  </cols>
  <sheetData>
    <row r="1" spans="1:6" s="1" customFormat="1" ht="14" x14ac:dyDescent="0.25">
      <c r="A1" s="80" t="s">
        <v>24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901</v>
      </c>
      <c r="B7" s="26" t="s">
        <v>900</v>
      </c>
      <c r="C7" s="26" t="s">
        <v>176</v>
      </c>
      <c r="D7" s="30">
        <v>90</v>
      </c>
      <c r="E7" s="28">
        <v>1073.2563</v>
      </c>
      <c r="F7" s="29">
        <v>11.926419216591199</v>
      </c>
    </row>
    <row r="8" spans="1:6" x14ac:dyDescent="0.2">
      <c r="A8" s="26" t="s">
        <v>175</v>
      </c>
      <c r="B8" s="26" t="s">
        <v>174</v>
      </c>
      <c r="C8" s="26" t="s">
        <v>176</v>
      </c>
      <c r="D8" s="30">
        <v>98</v>
      </c>
      <c r="E8" s="28">
        <v>994.08749999999998</v>
      </c>
      <c r="F8" s="29">
        <v>11.0466663582344</v>
      </c>
    </row>
    <row r="9" spans="1:6" x14ac:dyDescent="0.2">
      <c r="A9" s="26" t="s">
        <v>889</v>
      </c>
      <c r="B9" s="26" t="s">
        <v>888</v>
      </c>
      <c r="C9" s="26" t="s">
        <v>650</v>
      </c>
      <c r="D9" s="30">
        <v>90</v>
      </c>
      <c r="E9" s="28">
        <v>927.07560000000001</v>
      </c>
      <c r="F9" s="29">
        <v>10.3020054492788</v>
      </c>
    </row>
    <row r="10" spans="1:6" x14ac:dyDescent="0.2">
      <c r="A10" s="26" t="s">
        <v>891</v>
      </c>
      <c r="B10" s="26" t="s">
        <v>890</v>
      </c>
      <c r="C10" s="26" t="s">
        <v>176</v>
      </c>
      <c r="D10" s="30">
        <v>90</v>
      </c>
      <c r="E10" s="28">
        <v>925.55820000000006</v>
      </c>
      <c r="F10" s="29">
        <v>10.2851435417184</v>
      </c>
    </row>
    <row r="11" spans="1:6" x14ac:dyDescent="0.2">
      <c r="A11" s="26" t="s">
        <v>710</v>
      </c>
      <c r="B11" s="26" t="s">
        <v>709</v>
      </c>
      <c r="C11" s="26" t="s">
        <v>176</v>
      </c>
      <c r="D11" s="30">
        <v>92</v>
      </c>
      <c r="E11" s="28">
        <v>925.39764000000002</v>
      </c>
      <c r="F11" s="29">
        <v>10.283359339874499</v>
      </c>
    </row>
    <row r="12" spans="1:6" x14ac:dyDescent="0.2">
      <c r="A12" s="26" t="s">
        <v>369</v>
      </c>
      <c r="B12" s="26" t="s">
        <v>368</v>
      </c>
      <c r="C12" s="26" t="s">
        <v>176</v>
      </c>
      <c r="D12" s="30">
        <v>71</v>
      </c>
      <c r="E12" s="28">
        <v>718.42769999999996</v>
      </c>
      <c r="F12" s="29">
        <v>7.9834331529303899</v>
      </c>
    </row>
    <row r="13" spans="1:6" x14ac:dyDescent="0.2">
      <c r="A13" s="26" t="s">
        <v>903</v>
      </c>
      <c r="B13" s="26" t="s">
        <v>902</v>
      </c>
      <c r="C13" s="26" t="s">
        <v>176</v>
      </c>
      <c r="D13" s="30">
        <v>60</v>
      </c>
      <c r="E13" s="28">
        <v>697.42740000000003</v>
      </c>
      <c r="F13" s="29">
        <v>7.7500700862759704</v>
      </c>
    </row>
    <row r="14" spans="1:6" x14ac:dyDescent="0.2">
      <c r="A14" s="26" t="s">
        <v>893</v>
      </c>
      <c r="B14" s="26" t="s">
        <v>892</v>
      </c>
      <c r="C14" s="26" t="s">
        <v>176</v>
      </c>
      <c r="D14" s="30">
        <v>75</v>
      </c>
      <c r="E14" s="28">
        <v>681.45749999999998</v>
      </c>
      <c r="F14" s="29">
        <v>7.57260667679303</v>
      </c>
    </row>
    <row r="15" spans="1:6" x14ac:dyDescent="0.2">
      <c r="A15" s="26" t="s">
        <v>897</v>
      </c>
      <c r="B15" s="26" t="s">
        <v>896</v>
      </c>
      <c r="C15" s="26" t="s">
        <v>365</v>
      </c>
      <c r="D15" s="30">
        <v>58</v>
      </c>
      <c r="E15" s="28">
        <v>679.05529999999999</v>
      </c>
      <c r="F15" s="29">
        <v>7.5459125458178899</v>
      </c>
    </row>
    <row r="16" spans="1:6" x14ac:dyDescent="0.2">
      <c r="A16" s="26" t="s">
        <v>723</v>
      </c>
      <c r="B16" s="26" t="s">
        <v>722</v>
      </c>
      <c r="C16" s="26" t="s">
        <v>650</v>
      </c>
      <c r="D16" s="30">
        <v>470</v>
      </c>
      <c r="E16" s="28">
        <v>483.71976999999998</v>
      </c>
      <c r="F16" s="29">
        <v>5.3752722069957297</v>
      </c>
    </row>
    <row r="17" spans="1:9" x14ac:dyDescent="0.2">
      <c r="A17" s="26" t="s">
        <v>652</v>
      </c>
      <c r="B17" s="26" t="s">
        <v>651</v>
      </c>
      <c r="C17" s="26" t="s">
        <v>176</v>
      </c>
      <c r="D17" s="30">
        <v>2</v>
      </c>
      <c r="E17" s="28">
        <v>202.7482</v>
      </c>
      <c r="F17" s="29">
        <v>2.2530126574698599</v>
      </c>
    </row>
    <row r="18" spans="1:9" x14ac:dyDescent="0.2">
      <c r="A18" s="26" t="s">
        <v>905</v>
      </c>
      <c r="B18" s="26" t="s">
        <v>904</v>
      </c>
      <c r="C18" s="26" t="s">
        <v>365</v>
      </c>
      <c r="D18" s="30">
        <v>10</v>
      </c>
      <c r="E18" s="28">
        <v>116.7886</v>
      </c>
      <c r="F18" s="29">
        <v>1.29779792889991</v>
      </c>
    </row>
    <row r="19" spans="1:9" x14ac:dyDescent="0.2">
      <c r="A19" s="26" t="s">
        <v>367</v>
      </c>
      <c r="B19" s="26" t="s">
        <v>366</v>
      </c>
      <c r="C19" s="26" t="s">
        <v>176</v>
      </c>
      <c r="D19" s="30">
        <v>8</v>
      </c>
      <c r="E19" s="28">
        <v>82.221519999999998</v>
      </c>
      <c r="F19" s="29">
        <v>0.91367580711647001</v>
      </c>
    </row>
    <row r="20" spans="1:9" x14ac:dyDescent="0.2">
      <c r="A20" s="26" t="s">
        <v>700</v>
      </c>
      <c r="B20" s="26" t="s">
        <v>699</v>
      </c>
      <c r="C20" s="26" t="s">
        <v>650</v>
      </c>
      <c r="D20" s="30">
        <v>6</v>
      </c>
      <c r="E20" s="28">
        <v>71.232119999999995</v>
      </c>
      <c r="F20" s="29">
        <v>0.79155754763007602</v>
      </c>
    </row>
    <row r="21" spans="1:9" x14ac:dyDescent="0.2">
      <c r="A21" s="26" t="s">
        <v>899</v>
      </c>
      <c r="B21" s="26" t="s">
        <v>898</v>
      </c>
      <c r="C21" s="26" t="s">
        <v>176</v>
      </c>
      <c r="D21" s="30">
        <v>4</v>
      </c>
      <c r="E21" s="28">
        <v>40.176079999999999</v>
      </c>
      <c r="F21" s="29">
        <v>0.44645139521594701</v>
      </c>
    </row>
    <row r="22" spans="1:9" x14ac:dyDescent="0.2">
      <c r="A22" s="26" t="s">
        <v>362</v>
      </c>
      <c r="B22" s="26" t="s">
        <v>361</v>
      </c>
      <c r="C22" s="26" t="s">
        <v>176</v>
      </c>
      <c r="D22" s="30">
        <v>1</v>
      </c>
      <c r="E22" s="28">
        <v>10.087199999999999</v>
      </c>
      <c r="F22" s="29">
        <v>0.112092680864392</v>
      </c>
    </row>
    <row r="23" spans="1:9" ht="10.5" x14ac:dyDescent="0.25">
      <c r="A23" s="25" t="s">
        <v>177</v>
      </c>
      <c r="B23" s="25"/>
      <c r="C23" s="25"/>
      <c r="D23" s="31"/>
      <c r="E23" s="32">
        <f>SUM(E6:E22)</f>
        <v>8628.716629999999</v>
      </c>
      <c r="F23" s="33">
        <f>SUM(F6:F22)</f>
        <v>95.885476591706961</v>
      </c>
      <c r="G23" s="17"/>
      <c r="H23" s="17"/>
      <c r="I23" s="17"/>
    </row>
    <row r="24" spans="1:9" x14ac:dyDescent="0.2">
      <c r="A24" s="26"/>
      <c r="B24" s="26"/>
      <c r="C24" s="26"/>
      <c r="D24" s="27"/>
      <c r="E24" s="28"/>
      <c r="F24" s="29"/>
    </row>
    <row r="25" spans="1:9" ht="10.5" x14ac:dyDescent="0.25">
      <c r="A25" s="25" t="s">
        <v>221</v>
      </c>
      <c r="B25" s="26"/>
      <c r="C25" s="26"/>
      <c r="D25" s="27"/>
      <c r="E25" s="28"/>
      <c r="F25" s="29"/>
    </row>
    <row r="26" spans="1:9" ht="10.5" x14ac:dyDescent="0.25">
      <c r="A26" s="25" t="s">
        <v>463</v>
      </c>
      <c r="B26" s="26"/>
      <c r="C26" s="26"/>
      <c r="D26" s="27"/>
      <c r="E26" s="28"/>
      <c r="F26" s="29"/>
    </row>
    <row r="27" spans="1:9" x14ac:dyDescent="0.2">
      <c r="A27" s="26" t="s">
        <v>488</v>
      </c>
      <c r="B27" s="26" t="s">
        <v>487</v>
      </c>
      <c r="C27" s="26" t="s">
        <v>466</v>
      </c>
      <c r="D27" s="30">
        <v>48</v>
      </c>
      <c r="E27" s="28">
        <v>46.000895999999997</v>
      </c>
      <c r="F27" s="29">
        <v>0.51117889551155005</v>
      </c>
    </row>
    <row r="28" spans="1:9" ht="10.5" x14ac:dyDescent="0.25">
      <c r="A28" s="25" t="s">
        <v>177</v>
      </c>
      <c r="B28" s="25"/>
      <c r="C28" s="25"/>
      <c r="D28" s="31"/>
      <c r="E28" s="32">
        <f>SUM(E26:E27)</f>
        <v>46.000895999999997</v>
      </c>
      <c r="F28" s="33">
        <f>SUM(F26:F27)</f>
        <v>0.51117889551155005</v>
      </c>
      <c r="G28" s="17"/>
      <c r="H28" s="17"/>
      <c r="I28" s="17"/>
    </row>
    <row r="29" spans="1:9" x14ac:dyDescent="0.2">
      <c r="A29" s="26"/>
      <c r="B29" s="26"/>
      <c r="C29" s="26"/>
      <c r="D29" s="27"/>
      <c r="E29" s="28"/>
      <c r="F29" s="29"/>
    </row>
    <row r="30" spans="1:9" ht="10.5" x14ac:dyDescent="0.25">
      <c r="A30" s="25" t="s">
        <v>226</v>
      </c>
      <c r="B30" s="25"/>
      <c r="C30" s="25"/>
      <c r="D30" s="31"/>
      <c r="E30" s="32">
        <f>E23+E28</f>
        <v>8674.7175259999985</v>
      </c>
      <c r="F30" s="33">
        <f>F23+F28</f>
        <v>96.39665548721851</v>
      </c>
      <c r="G30" s="17"/>
      <c r="H30" s="17"/>
      <c r="I30" s="17"/>
    </row>
    <row r="31" spans="1:9" ht="10.5" x14ac:dyDescent="0.25">
      <c r="A31" s="25"/>
      <c r="B31" s="25"/>
      <c r="C31" s="25"/>
      <c r="D31" s="31"/>
      <c r="E31" s="32"/>
      <c r="F31" s="33"/>
      <c r="G31" s="17"/>
      <c r="H31" s="17"/>
      <c r="I31" s="17"/>
    </row>
    <row r="32" spans="1:9" ht="10.5" x14ac:dyDescent="0.25">
      <c r="A32" s="25" t="s">
        <v>228</v>
      </c>
      <c r="B32" s="25"/>
      <c r="C32" s="25"/>
      <c r="D32" s="31"/>
      <c r="E32" s="32">
        <f>E34-(E23+E28)</f>
        <v>324.26431850000154</v>
      </c>
      <c r="F32" s="33">
        <f>F34-(F23+F28)</f>
        <v>3.60334451278149</v>
      </c>
      <c r="G32" s="17"/>
      <c r="H32" s="17"/>
      <c r="I32" s="17"/>
    </row>
    <row r="33" spans="1:9" ht="10.5" x14ac:dyDescent="0.25">
      <c r="A33" s="25"/>
      <c r="B33" s="25"/>
      <c r="C33" s="25"/>
      <c r="D33" s="31"/>
      <c r="E33" s="32"/>
      <c r="F33" s="33"/>
      <c r="G33" s="17"/>
      <c r="H33" s="17"/>
      <c r="I33" s="17"/>
    </row>
    <row r="34" spans="1:9" ht="10.5" x14ac:dyDescent="0.25">
      <c r="A34" s="34" t="s">
        <v>227</v>
      </c>
      <c r="B34" s="34"/>
      <c r="C34" s="34"/>
      <c r="D34" s="35"/>
      <c r="E34" s="36">
        <v>8998.9818445000001</v>
      </c>
      <c r="F34" s="37">
        <v>100</v>
      </c>
      <c r="G34" s="17"/>
      <c r="H34" s="17"/>
      <c r="I34" s="17"/>
    </row>
    <row r="35" spans="1:9" ht="10.5" x14ac:dyDescent="0.25">
      <c r="A35" s="17" t="s">
        <v>231</v>
      </c>
    </row>
    <row r="37" spans="1:9" ht="10.5" x14ac:dyDescent="0.25">
      <c r="A37" s="17" t="s">
        <v>232</v>
      </c>
    </row>
    <row r="38" spans="1:9" ht="10.5" x14ac:dyDescent="0.25">
      <c r="A38" s="17" t="s">
        <v>233</v>
      </c>
    </row>
    <row r="39" spans="1:9" ht="10.5" x14ac:dyDescent="0.25">
      <c r="A39" s="17" t="s">
        <v>234</v>
      </c>
      <c r="B39" s="17"/>
      <c r="C39" s="38" t="s">
        <v>236</v>
      </c>
      <c r="D39" s="18" t="s">
        <v>235</v>
      </c>
    </row>
    <row r="40" spans="1:9" x14ac:dyDescent="0.2">
      <c r="A40" s="10" t="s">
        <v>543</v>
      </c>
      <c r="C40" s="39">
        <v>11.176</v>
      </c>
      <c r="D40" s="39">
        <v>11.5581</v>
      </c>
    </row>
    <row r="41" spans="1:9" x14ac:dyDescent="0.2">
      <c r="A41" s="10" t="s">
        <v>859</v>
      </c>
      <c r="C41" s="39">
        <v>10.473100000000001</v>
      </c>
      <c r="D41" s="39">
        <v>10.831200000000001</v>
      </c>
    </row>
    <row r="42" spans="1:9" x14ac:dyDescent="0.2">
      <c r="A42" s="10" t="s">
        <v>545</v>
      </c>
      <c r="C42" s="39">
        <v>10.4649</v>
      </c>
      <c r="D42" s="39">
        <v>10.3857</v>
      </c>
    </row>
    <row r="43" spans="1:9" x14ac:dyDescent="0.2">
      <c r="A43" s="10" t="s">
        <v>546</v>
      </c>
      <c r="C43" s="39">
        <v>11.276899999999999</v>
      </c>
      <c r="D43" s="39">
        <v>11.6625</v>
      </c>
    </row>
    <row r="44" spans="1:9" x14ac:dyDescent="0.2">
      <c r="A44" s="10" t="s">
        <v>548</v>
      </c>
      <c r="C44" s="39">
        <v>10.4732</v>
      </c>
      <c r="D44" s="39">
        <v>10.394600000000001</v>
      </c>
    </row>
    <row r="46" spans="1:9" ht="10.5" x14ac:dyDescent="0.25">
      <c r="A46" s="17" t="s">
        <v>248</v>
      </c>
    </row>
    <row r="47" spans="1:9" ht="10.5" x14ac:dyDescent="0.25">
      <c r="A47" s="84" t="s">
        <v>249</v>
      </c>
      <c r="B47" s="85"/>
      <c r="C47" s="82" t="s">
        <v>250</v>
      </c>
      <c r="D47" s="83"/>
    </row>
    <row r="48" spans="1:9" ht="10.5" x14ac:dyDescent="0.25">
      <c r="A48" s="84"/>
      <c r="B48" s="85"/>
      <c r="C48" s="40" t="s">
        <v>251</v>
      </c>
      <c r="D48" s="41" t="s">
        <v>252</v>
      </c>
    </row>
    <row r="49" spans="1:5" x14ac:dyDescent="0.2">
      <c r="A49" s="78" t="s">
        <v>545</v>
      </c>
      <c r="B49" s="79"/>
      <c r="C49" s="42">
        <v>0.30973876099999997</v>
      </c>
      <c r="D49" s="42">
        <v>0.28681963630000001</v>
      </c>
    </row>
    <row r="50" spans="1:5" x14ac:dyDescent="0.2">
      <c r="A50" s="78" t="s">
        <v>548</v>
      </c>
      <c r="B50" s="79"/>
      <c r="C50" s="42">
        <v>0.30973876099999997</v>
      </c>
      <c r="D50" s="42">
        <v>0.28681963630000001</v>
      </c>
    </row>
    <row r="52" spans="1:5" ht="10.5" x14ac:dyDescent="0.25">
      <c r="A52" s="17" t="s">
        <v>253</v>
      </c>
      <c r="D52" s="43">
        <v>1.1690531559726001</v>
      </c>
      <c r="E52" s="15" t="s">
        <v>254</v>
      </c>
    </row>
    <row r="54" spans="1:5" ht="10.5" x14ac:dyDescent="0.25">
      <c r="A54" s="17" t="s">
        <v>255</v>
      </c>
      <c r="D54" s="46" t="s">
        <v>256</v>
      </c>
    </row>
  </sheetData>
  <mergeCells count="6">
    <mergeCell ref="A50:B50"/>
    <mergeCell ref="A1:F1"/>
    <mergeCell ref="C47:D47"/>
    <mergeCell ref="A47:B47"/>
    <mergeCell ref="A48:B48"/>
    <mergeCell ref="A49:B49"/>
  </mergeCells>
  <conditionalFormatting sqref="F2:F3 F5:F65533">
    <cfRule type="cellIs" dxfId="48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60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3.269531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7265625" style="10" bestFit="1" customWidth="1"/>
    <col min="8" max="16384" width="9.1796875" style="10"/>
  </cols>
  <sheetData>
    <row r="1" spans="1:6" s="1" customFormat="1" ht="14" x14ac:dyDescent="0.25">
      <c r="A1" s="80" t="s">
        <v>25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905</v>
      </c>
      <c r="B7" s="26" t="s">
        <v>904</v>
      </c>
      <c r="C7" s="26" t="s">
        <v>365</v>
      </c>
      <c r="D7" s="30">
        <v>103</v>
      </c>
      <c r="E7" s="28">
        <v>1202.9225799999999</v>
      </c>
      <c r="F7" s="29">
        <v>10.9561733804266</v>
      </c>
    </row>
    <row r="8" spans="1:6" x14ac:dyDescent="0.2">
      <c r="A8" s="26" t="s">
        <v>369</v>
      </c>
      <c r="B8" s="26" t="s">
        <v>368</v>
      </c>
      <c r="C8" s="26" t="s">
        <v>176</v>
      </c>
      <c r="D8" s="30">
        <v>115</v>
      </c>
      <c r="E8" s="28">
        <v>1163.6505</v>
      </c>
      <c r="F8" s="29">
        <v>10.598484760523901</v>
      </c>
    </row>
    <row r="9" spans="1:6" x14ac:dyDescent="0.2">
      <c r="A9" s="26" t="s">
        <v>367</v>
      </c>
      <c r="B9" s="26" t="s">
        <v>366</v>
      </c>
      <c r="C9" s="26" t="s">
        <v>176</v>
      </c>
      <c r="D9" s="30">
        <v>112</v>
      </c>
      <c r="E9" s="28">
        <v>1151.1012800000001</v>
      </c>
      <c r="F9" s="29">
        <v>10.4841869392052</v>
      </c>
    </row>
    <row r="10" spans="1:6" x14ac:dyDescent="0.2">
      <c r="A10" s="26" t="s">
        <v>907</v>
      </c>
      <c r="B10" s="26" t="s">
        <v>906</v>
      </c>
      <c r="C10" s="26" t="s">
        <v>176</v>
      </c>
      <c r="D10" s="30">
        <v>100</v>
      </c>
      <c r="E10" s="28">
        <v>1028.7560000000001</v>
      </c>
      <c r="F10" s="29">
        <v>9.3698707544039799</v>
      </c>
    </row>
    <row r="11" spans="1:6" x14ac:dyDescent="0.2">
      <c r="A11" s="26" t="s">
        <v>897</v>
      </c>
      <c r="B11" s="26" t="s">
        <v>896</v>
      </c>
      <c r="C11" s="26" t="s">
        <v>365</v>
      </c>
      <c r="D11" s="30">
        <v>85</v>
      </c>
      <c r="E11" s="28">
        <v>995.16724999999997</v>
      </c>
      <c r="F11" s="29">
        <v>9.0639456892748491</v>
      </c>
    </row>
    <row r="12" spans="1:6" x14ac:dyDescent="0.2">
      <c r="A12" s="26" t="s">
        <v>909</v>
      </c>
      <c r="B12" s="26" t="s">
        <v>908</v>
      </c>
      <c r="C12" s="26" t="s">
        <v>176</v>
      </c>
      <c r="D12" s="30">
        <v>70</v>
      </c>
      <c r="E12" s="28">
        <v>826.22540000000004</v>
      </c>
      <c r="F12" s="29">
        <v>7.5252297065637803</v>
      </c>
    </row>
    <row r="13" spans="1:6" x14ac:dyDescent="0.2">
      <c r="A13" s="26" t="s">
        <v>911</v>
      </c>
      <c r="B13" s="26" t="s">
        <v>910</v>
      </c>
      <c r="C13" s="26" t="s">
        <v>176</v>
      </c>
      <c r="D13" s="30">
        <v>77</v>
      </c>
      <c r="E13" s="28">
        <v>795.30759</v>
      </c>
      <c r="F13" s="29">
        <v>7.2436314619759301</v>
      </c>
    </row>
    <row r="14" spans="1:6" x14ac:dyDescent="0.2">
      <c r="A14" s="26" t="s">
        <v>696</v>
      </c>
      <c r="B14" s="26" t="s">
        <v>695</v>
      </c>
      <c r="C14" s="26" t="s">
        <v>650</v>
      </c>
      <c r="D14" s="30">
        <v>75</v>
      </c>
      <c r="E14" s="28">
        <v>765.68624999999997</v>
      </c>
      <c r="F14" s="29">
        <v>6.97384141713317</v>
      </c>
    </row>
    <row r="15" spans="1:6" x14ac:dyDescent="0.2">
      <c r="A15" s="26" t="s">
        <v>913</v>
      </c>
      <c r="B15" s="26" t="s">
        <v>912</v>
      </c>
      <c r="C15" s="26" t="s">
        <v>650</v>
      </c>
      <c r="D15" s="30">
        <v>21</v>
      </c>
      <c r="E15" s="28">
        <v>521.3229</v>
      </c>
      <c r="F15" s="29">
        <v>4.7481892638400902</v>
      </c>
    </row>
    <row r="16" spans="1:6" x14ac:dyDescent="0.2">
      <c r="A16" s="26" t="s">
        <v>915</v>
      </c>
      <c r="B16" s="26" t="s">
        <v>914</v>
      </c>
      <c r="C16" s="26" t="s">
        <v>176</v>
      </c>
      <c r="D16" s="30">
        <v>33</v>
      </c>
      <c r="E16" s="28">
        <v>334.74176999999997</v>
      </c>
      <c r="F16" s="29">
        <v>3.0488153857673002</v>
      </c>
    </row>
    <row r="17" spans="1:9" x14ac:dyDescent="0.2">
      <c r="A17" s="26" t="s">
        <v>917</v>
      </c>
      <c r="B17" s="26" t="s">
        <v>916</v>
      </c>
      <c r="C17" s="26" t="s">
        <v>176</v>
      </c>
      <c r="D17" s="30">
        <v>32</v>
      </c>
      <c r="E17" s="28">
        <v>328.60543999999999</v>
      </c>
      <c r="F17" s="29">
        <v>2.9929259241200601</v>
      </c>
    </row>
    <row r="18" spans="1:9" x14ac:dyDescent="0.2">
      <c r="A18" s="26" t="s">
        <v>723</v>
      </c>
      <c r="B18" s="26" t="s">
        <v>722</v>
      </c>
      <c r="C18" s="26" t="s">
        <v>650</v>
      </c>
      <c r="D18" s="30">
        <v>310</v>
      </c>
      <c r="E18" s="28">
        <v>319.04921000000002</v>
      </c>
      <c r="F18" s="29">
        <v>2.90588814256704</v>
      </c>
    </row>
    <row r="19" spans="1:9" x14ac:dyDescent="0.2">
      <c r="A19" s="26" t="s">
        <v>919</v>
      </c>
      <c r="B19" s="26" t="s">
        <v>918</v>
      </c>
      <c r="C19" s="26" t="s">
        <v>603</v>
      </c>
      <c r="D19" s="30">
        <v>32</v>
      </c>
      <c r="E19" s="28">
        <v>295.19008000000002</v>
      </c>
      <c r="F19" s="29">
        <v>2.6885800885556699</v>
      </c>
    </row>
    <row r="20" spans="1:9" x14ac:dyDescent="0.2">
      <c r="A20" s="26" t="s">
        <v>652</v>
      </c>
      <c r="B20" s="26" t="s">
        <v>651</v>
      </c>
      <c r="C20" s="26" t="s">
        <v>176</v>
      </c>
      <c r="D20" s="30">
        <v>2</v>
      </c>
      <c r="E20" s="28">
        <v>202.7482</v>
      </c>
      <c r="F20" s="29">
        <v>1.8466229404135199</v>
      </c>
    </row>
    <row r="21" spans="1:9" x14ac:dyDescent="0.2">
      <c r="A21" s="26" t="s">
        <v>921</v>
      </c>
      <c r="B21" s="26" t="s">
        <v>920</v>
      </c>
      <c r="C21" s="26" t="s">
        <v>603</v>
      </c>
      <c r="D21" s="30">
        <v>26</v>
      </c>
      <c r="E21" s="28">
        <v>130.45318</v>
      </c>
      <c r="F21" s="29">
        <v>1.1881626314704301</v>
      </c>
    </row>
    <row r="22" spans="1:9" x14ac:dyDescent="0.2">
      <c r="A22" s="26" t="s">
        <v>362</v>
      </c>
      <c r="B22" s="26" t="s">
        <v>361</v>
      </c>
      <c r="C22" s="26" t="s">
        <v>176</v>
      </c>
      <c r="D22" s="30">
        <v>4</v>
      </c>
      <c r="E22" s="28">
        <v>40.348799999999997</v>
      </c>
      <c r="F22" s="29">
        <v>0.36749534495574798</v>
      </c>
    </row>
    <row r="23" spans="1:9" x14ac:dyDescent="0.2">
      <c r="A23" s="26" t="s">
        <v>923</v>
      </c>
      <c r="B23" s="26" t="s">
        <v>922</v>
      </c>
      <c r="C23" s="26" t="s">
        <v>176</v>
      </c>
      <c r="D23" s="30">
        <v>2</v>
      </c>
      <c r="E23" s="28">
        <v>23.920339999999999</v>
      </c>
      <c r="F23" s="29">
        <v>0.21786555237724001</v>
      </c>
    </row>
    <row r="24" spans="1:9" x14ac:dyDescent="0.2">
      <c r="A24" s="26" t="s">
        <v>364</v>
      </c>
      <c r="B24" s="26" t="s">
        <v>363</v>
      </c>
      <c r="C24" s="26" t="s">
        <v>365</v>
      </c>
      <c r="D24" s="30">
        <v>2</v>
      </c>
      <c r="E24" s="28">
        <v>23.708600000000001</v>
      </c>
      <c r="F24" s="29">
        <v>0.215937032462374</v>
      </c>
    </row>
    <row r="25" spans="1:9" x14ac:dyDescent="0.2">
      <c r="A25" s="26" t="s">
        <v>925</v>
      </c>
      <c r="B25" s="26" t="s">
        <v>924</v>
      </c>
      <c r="C25" s="26" t="s">
        <v>176</v>
      </c>
      <c r="D25" s="30">
        <v>1</v>
      </c>
      <c r="E25" s="28">
        <v>10.037599999999999</v>
      </c>
      <c r="F25" s="29">
        <v>9.1422081314136094E-2</v>
      </c>
    </row>
    <row r="26" spans="1:9" ht="10.5" x14ac:dyDescent="0.25">
      <c r="A26" s="25" t="s">
        <v>177</v>
      </c>
      <c r="B26" s="25"/>
      <c r="C26" s="25"/>
      <c r="D26" s="31"/>
      <c r="E26" s="32">
        <f>SUM(E6:E25)</f>
        <v>10158.94297</v>
      </c>
      <c r="F26" s="33">
        <f>SUM(F6:F25)</f>
        <v>92.527268497351017</v>
      </c>
      <c r="G26" s="17"/>
      <c r="H26" s="17"/>
      <c r="I26" s="17"/>
    </row>
    <row r="27" spans="1:9" x14ac:dyDescent="0.2">
      <c r="A27" s="26"/>
      <c r="B27" s="26"/>
      <c r="C27" s="26"/>
      <c r="D27" s="27"/>
      <c r="E27" s="28"/>
      <c r="F27" s="29"/>
    </row>
    <row r="28" spans="1:9" ht="10.5" x14ac:dyDescent="0.25">
      <c r="A28" s="25" t="s">
        <v>178</v>
      </c>
      <c r="B28" s="26"/>
      <c r="C28" s="26"/>
      <c r="D28" s="27"/>
      <c r="E28" s="28"/>
      <c r="F28" s="29"/>
    </row>
    <row r="29" spans="1:9" x14ac:dyDescent="0.2">
      <c r="A29" s="26" t="s">
        <v>737</v>
      </c>
      <c r="B29" s="26" t="s">
        <v>736</v>
      </c>
      <c r="C29" s="26" t="s">
        <v>176</v>
      </c>
      <c r="D29" s="30">
        <v>29</v>
      </c>
      <c r="E29" s="28">
        <v>289.70506999999998</v>
      </c>
      <c r="F29" s="29">
        <v>2.63862282484433</v>
      </c>
    </row>
    <row r="30" spans="1:9" ht="10.5" x14ac:dyDescent="0.25">
      <c r="A30" s="25" t="s">
        <v>177</v>
      </c>
      <c r="B30" s="25"/>
      <c r="C30" s="25"/>
      <c r="D30" s="31"/>
      <c r="E30" s="32">
        <f>SUM(E28:E29)</f>
        <v>289.70506999999998</v>
      </c>
      <c r="F30" s="33">
        <f>SUM(F28:F29)</f>
        <v>2.63862282484433</v>
      </c>
      <c r="G30" s="17"/>
      <c r="H30" s="17"/>
      <c r="I30" s="17"/>
    </row>
    <row r="31" spans="1:9" x14ac:dyDescent="0.2">
      <c r="A31" s="26"/>
      <c r="B31" s="26"/>
      <c r="C31" s="26"/>
      <c r="D31" s="27"/>
      <c r="E31" s="28"/>
      <c r="F31" s="29"/>
    </row>
    <row r="32" spans="1:9" ht="10.5" x14ac:dyDescent="0.25">
      <c r="A32" s="25" t="s">
        <v>221</v>
      </c>
      <c r="B32" s="26"/>
      <c r="C32" s="26"/>
      <c r="D32" s="27"/>
      <c r="E32" s="28"/>
      <c r="F32" s="29"/>
    </row>
    <row r="33" spans="1:9" ht="10.5" x14ac:dyDescent="0.25">
      <c r="A33" s="25" t="s">
        <v>463</v>
      </c>
      <c r="B33" s="26"/>
      <c r="C33" s="26"/>
      <c r="D33" s="27"/>
      <c r="E33" s="28"/>
      <c r="F33" s="29"/>
    </row>
    <row r="34" spans="1:9" x14ac:dyDescent="0.2">
      <c r="A34" s="26" t="s">
        <v>488</v>
      </c>
      <c r="B34" s="26" t="s">
        <v>487</v>
      </c>
      <c r="C34" s="26" t="s">
        <v>466</v>
      </c>
      <c r="D34" s="30">
        <v>16</v>
      </c>
      <c r="E34" s="28">
        <v>15.333632</v>
      </c>
      <c r="F34" s="29">
        <v>0.139658140546051</v>
      </c>
    </row>
    <row r="35" spans="1:9" ht="10.5" x14ac:dyDescent="0.25">
      <c r="A35" s="25" t="s">
        <v>177</v>
      </c>
      <c r="B35" s="25"/>
      <c r="C35" s="25"/>
      <c r="D35" s="31"/>
      <c r="E35" s="32">
        <f>SUM(E33:E34)</f>
        <v>15.333632</v>
      </c>
      <c r="F35" s="33">
        <f>SUM(F33:F34)</f>
        <v>0.139658140546051</v>
      </c>
      <c r="G35" s="17"/>
      <c r="H35" s="17"/>
      <c r="I35" s="17"/>
    </row>
    <row r="36" spans="1:9" x14ac:dyDescent="0.2">
      <c r="A36" s="26"/>
      <c r="B36" s="26"/>
      <c r="C36" s="26"/>
      <c r="D36" s="27"/>
      <c r="E36" s="28"/>
      <c r="F36" s="29"/>
    </row>
    <row r="37" spans="1:9" ht="10.5" x14ac:dyDescent="0.25">
      <c r="A37" s="25" t="s">
        <v>226</v>
      </c>
      <c r="B37" s="25"/>
      <c r="C37" s="25"/>
      <c r="D37" s="31"/>
      <c r="E37" s="32">
        <f>E26+E30+E35</f>
        <v>10463.981672</v>
      </c>
      <c r="F37" s="33">
        <f>F26+F30+F35</f>
        <v>95.305549462741396</v>
      </c>
      <c r="G37" s="17"/>
      <c r="H37" s="17"/>
      <c r="I37" s="17"/>
    </row>
    <row r="38" spans="1:9" ht="10.5" x14ac:dyDescent="0.25">
      <c r="A38" s="25"/>
      <c r="B38" s="25"/>
      <c r="C38" s="25"/>
      <c r="D38" s="31"/>
      <c r="E38" s="32"/>
      <c r="F38" s="33"/>
      <c r="G38" s="17"/>
      <c r="H38" s="17"/>
      <c r="I38" s="17"/>
    </row>
    <row r="39" spans="1:9" ht="10.5" x14ac:dyDescent="0.25">
      <c r="A39" s="25" t="s">
        <v>228</v>
      </c>
      <c r="B39" s="25"/>
      <c r="C39" s="25"/>
      <c r="D39" s="31"/>
      <c r="E39" s="32">
        <f>E41-(E26+E30+E35)</f>
        <v>515.4227078999993</v>
      </c>
      <c r="F39" s="33">
        <f>F41-(F26+F30+F35)</f>
        <v>4.6944505372586036</v>
      </c>
      <c r="G39" s="17"/>
      <c r="H39" s="17"/>
      <c r="I39" s="17"/>
    </row>
    <row r="40" spans="1:9" ht="10.5" x14ac:dyDescent="0.25">
      <c r="A40" s="25"/>
      <c r="B40" s="25"/>
      <c r="C40" s="25"/>
      <c r="D40" s="31"/>
      <c r="E40" s="32"/>
      <c r="F40" s="33"/>
      <c r="G40" s="17"/>
      <c r="H40" s="17"/>
      <c r="I40" s="17"/>
    </row>
    <row r="41" spans="1:9" ht="10.5" x14ac:dyDescent="0.25">
      <c r="A41" s="34" t="s">
        <v>227</v>
      </c>
      <c r="B41" s="34"/>
      <c r="C41" s="34"/>
      <c r="D41" s="35"/>
      <c r="E41" s="36">
        <v>10979.404379899999</v>
      </c>
      <c r="F41" s="37">
        <v>100</v>
      </c>
      <c r="G41" s="17"/>
      <c r="H41" s="17"/>
      <c r="I41" s="17"/>
    </row>
    <row r="42" spans="1:9" ht="10.5" x14ac:dyDescent="0.25">
      <c r="A42" s="17" t="s">
        <v>231</v>
      </c>
    </row>
    <row r="44" spans="1:9" ht="10.5" x14ac:dyDescent="0.25">
      <c r="A44" s="17" t="s">
        <v>232</v>
      </c>
    </row>
    <row r="45" spans="1:9" ht="10.5" x14ac:dyDescent="0.25">
      <c r="A45" s="17" t="s">
        <v>233</v>
      </c>
    </row>
    <row r="46" spans="1:9" ht="10.5" x14ac:dyDescent="0.25">
      <c r="A46" s="17" t="s">
        <v>234</v>
      </c>
      <c r="B46" s="17"/>
      <c r="C46" s="38" t="s">
        <v>236</v>
      </c>
      <c r="D46" s="18" t="s">
        <v>235</v>
      </c>
    </row>
    <row r="47" spans="1:9" x14ac:dyDescent="0.2">
      <c r="A47" s="10" t="s">
        <v>543</v>
      </c>
      <c r="C47" s="39">
        <v>11.1457</v>
      </c>
      <c r="D47" s="39">
        <v>11.583299999999999</v>
      </c>
    </row>
    <row r="48" spans="1:9" x14ac:dyDescent="0.2">
      <c r="A48" s="10" t="s">
        <v>859</v>
      </c>
      <c r="C48" s="39">
        <v>10.426600000000001</v>
      </c>
      <c r="D48" s="39">
        <v>10.836</v>
      </c>
    </row>
    <row r="49" spans="1:5" x14ac:dyDescent="0.2">
      <c r="A49" s="10" t="s">
        <v>545</v>
      </c>
      <c r="C49" s="39">
        <v>10.216699999999999</v>
      </c>
      <c r="D49" s="39">
        <v>10.1881</v>
      </c>
    </row>
    <row r="50" spans="1:5" x14ac:dyDescent="0.2">
      <c r="A50" s="10" t="s">
        <v>546</v>
      </c>
      <c r="C50" s="39">
        <v>11.2578</v>
      </c>
      <c r="D50" s="39">
        <v>11.6998</v>
      </c>
    </row>
    <row r="51" spans="1:5" x14ac:dyDescent="0.2">
      <c r="A51" s="10" t="s">
        <v>581</v>
      </c>
      <c r="C51" s="39">
        <v>10.538500000000001</v>
      </c>
      <c r="D51" s="39">
        <v>10.952999999999999</v>
      </c>
    </row>
    <row r="53" spans="1:5" ht="10.5" x14ac:dyDescent="0.25">
      <c r="A53" s="17" t="s">
        <v>248</v>
      </c>
    </row>
    <row r="54" spans="1:5" ht="10.5" x14ac:dyDescent="0.25">
      <c r="A54" s="84" t="s">
        <v>249</v>
      </c>
      <c r="B54" s="85"/>
      <c r="C54" s="82" t="s">
        <v>250</v>
      </c>
      <c r="D54" s="83"/>
    </row>
    <row r="55" spans="1:5" ht="10.5" x14ac:dyDescent="0.25">
      <c r="A55" s="84"/>
      <c r="B55" s="85"/>
      <c r="C55" s="40" t="s">
        <v>251</v>
      </c>
      <c r="D55" s="41" t="s">
        <v>252</v>
      </c>
    </row>
    <row r="56" spans="1:5" x14ac:dyDescent="0.2">
      <c r="A56" s="78" t="s">
        <v>545</v>
      </c>
      <c r="B56" s="79"/>
      <c r="C56" s="42">
        <v>0.34746292649999999</v>
      </c>
      <c r="D56" s="42">
        <v>0.33706936999999998</v>
      </c>
    </row>
    <row r="58" spans="1:5" ht="10.5" x14ac:dyDescent="0.25">
      <c r="A58" s="17" t="s">
        <v>253</v>
      </c>
      <c r="D58" s="43">
        <v>1.1171198231780799</v>
      </c>
      <c r="E58" s="15" t="s">
        <v>254</v>
      </c>
    </row>
    <row r="60" spans="1:5" ht="10.5" x14ac:dyDescent="0.25">
      <c r="A60" s="17" t="s">
        <v>255</v>
      </c>
      <c r="D60" s="46" t="s">
        <v>256</v>
      </c>
    </row>
  </sheetData>
  <mergeCells count="5">
    <mergeCell ref="A1:F1"/>
    <mergeCell ref="C54:D54"/>
    <mergeCell ref="A54:B54"/>
    <mergeCell ref="A55:B55"/>
    <mergeCell ref="A56:B56"/>
  </mergeCells>
  <conditionalFormatting sqref="F2:F3 F5:F65533">
    <cfRule type="cellIs" dxfId="47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60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49.269531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54296875" style="10" bestFit="1" customWidth="1"/>
    <col min="8" max="16384" width="9.1796875" style="10"/>
  </cols>
  <sheetData>
    <row r="1" spans="1:6" s="1" customFormat="1" ht="14" x14ac:dyDescent="0.25">
      <c r="A1" s="80" t="s">
        <v>26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887</v>
      </c>
      <c r="B7" s="26" t="s">
        <v>886</v>
      </c>
      <c r="C7" s="26" t="s">
        <v>176</v>
      </c>
      <c r="D7" s="30">
        <v>119</v>
      </c>
      <c r="E7" s="28">
        <v>1208.5354400000001</v>
      </c>
      <c r="F7" s="29">
        <v>10.285057009431</v>
      </c>
    </row>
    <row r="8" spans="1:6" x14ac:dyDescent="0.2">
      <c r="A8" s="26" t="s">
        <v>927</v>
      </c>
      <c r="B8" s="26" t="s">
        <v>926</v>
      </c>
      <c r="C8" s="26" t="s">
        <v>176</v>
      </c>
      <c r="D8" s="30">
        <v>119</v>
      </c>
      <c r="E8" s="28">
        <v>1208.1070400000001</v>
      </c>
      <c r="F8" s="29">
        <v>10.2814111764028</v>
      </c>
    </row>
    <row r="9" spans="1:6" x14ac:dyDescent="0.2">
      <c r="A9" s="26" t="s">
        <v>929</v>
      </c>
      <c r="B9" s="26" t="s">
        <v>928</v>
      </c>
      <c r="C9" s="26" t="s">
        <v>176</v>
      </c>
      <c r="D9" s="30">
        <v>99</v>
      </c>
      <c r="E9" s="28">
        <v>1171.70955</v>
      </c>
      <c r="F9" s="29">
        <v>9.9716558748535604</v>
      </c>
    </row>
    <row r="10" spans="1:6" x14ac:dyDescent="0.2">
      <c r="A10" s="26" t="s">
        <v>931</v>
      </c>
      <c r="B10" s="26" t="s">
        <v>930</v>
      </c>
      <c r="C10" s="26" t="s">
        <v>650</v>
      </c>
      <c r="D10" s="30">
        <v>100</v>
      </c>
      <c r="E10" s="28">
        <v>1029.8969999999999</v>
      </c>
      <c r="F10" s="29">
        <v>8.7647817418096992</v>
      </c>
    </row>
    <row r="11" spans="1:6" x14ac:dyDescent="0.2">
      <c r="A11" s="26" t="s">
        <v>933</v>
      </c>
      <c r="B11" s="26" t="s">
        <v>932</v>
      </c>
      <c r="C11" s="26" t="s">
        <v>176</v>
      </c>
      <c r="D11" s="30">
        <v>100</v>
      </c>
      <c r="E11" s="28">
        <v>1010.27</v>
      </c>
      <c r="F11" s="29">
        <v>8.5977491441358502</v>
      </c>
    </row>
    <row r="12" spans="1:6" x14ac:dyDescent="0.2">
      <c r="A12" s="26" t="s">
        <v>935</v>
      </c>
      <c r="B12" s="26" t="s">
        <v>934</v>
      </c>
      <c r="C12" s="26" t="s">
        <v>650</v>
      </c>
      <c r="D12" s="30">
        <v>100</v>
      </c>
      <c r="E12" s="28">
        <v>999.61699999999996</v>
      </c>
      <c r="F12" s="29">
        <v>8.5070884082608096</v>
      </c>
    </row>
    <row r="13" spans="1:6" x14ac:dyDescent="0.2">
      <c r="A13" s="26" t="s">
        <v>919</v>
      </c>
      <c r="B13" s="26" t="s">
        <v>918</v>
      </c>
      <c r="C13" s="26" t="s">
        <v>603</v>
      </c>
      <c r="D13" s="30">
        <v>96</v>
      </c>
      <c r="E13" s="28">
        <v>885.57024000000001</v>
      </c>
      <c r="F13" s="29">
        <v>7.5365108070438396</v>
      </c>
    </row>
    <row r="14" spans="1:6" x14ac:dyDescent="0.2">
      <c r="A14" s="26" t="s">
        <v>700</v>
      </c>
      <c r="B14" s="26" t="s">
        <v>699</v>
      </c>
      <c r="C14" s="26" t="s">
        <v>650</v>
      </c>
      <c r="D14" s="30">
        <v>74</v>
      </c>
      <c r="E14" s="28">
        <v>878.52948000000004</v>
      </c>
      <c r="F14" s="29">
        <v>7.4765914901641297</v>
      </c>
    </row>
    <row r="15" spans="1:6" x14ac:dyDescent="0.2">
      <c r="A15" s="26" t="s">
        <v>917</v>
      </c>
      <c r="B15" s="26" t="s">
        <v>916</v>
      </c>
      <c r="C15" s="26" t="s">
        <v>176</v>
      </c>
      <c r="D15" s="30">
        <v>67</v>
      </c>
      <c r="E15" s="28">
        <v>688.01764000000003</v>
      </c>
      <c r="F15" s="29">
        <v>5.8552694581254201</v>
      </c>
    </row>
    <row r="16" spans="1:6" x14ac:dyDescent="0.2">
      <c r="A16" s="26" t="s">
        <v>652</v>
      </c>
      <c r="B16" s="26" t="s">
        <v>651</v>
      </c>
      <c r="C16" s="26" t="s">
        <v>176</v>
      </c>
      <c r="D16" s="30">
        <v>5</v>
      </c>
      <c r="E16" s="28">
        <v>506.87049999999999</v>
      </c>
      <c r="F16" s="29">
        <v>4.3136442807989104</v>
      </c>
    </row>
    <row r="17" spans="1:9" x14ac:dyDescent="0.2">
      <c r="A17" s="26" t="s">
        <v>733</v>
      </c>
      <c r="B17" s="26" t="s">
        <v>732</v>
      </c>
      <c r="C17" s="26" t="s">
        <v>176</v>
      </c>
      <c r="D17" s="30">
        <v>46</v>
      </c>
      <c r="E17" s="28">
        <v>478.21875999999997</v>
      </c>
      <c r="F17" s="29">
        <v>4.0698080062752604</v>
      </c>
    </row>
    <row r="18" spans="1:9" x14ac:dyDescent="0.2">
      <c r="A18" s="26" t="s">
        <v>911</v>
      </c>
      <c r="B18" s="26" t="s">
        <v>910</v>
      </c>
      <c r="C18" s="26" t="s">
        <v>176</v>
      </c>
      <c r="D18" s="30">
        <v>23</v>
      </c>
      <c r="E18" s="28">
        <v>237.55941000000001</v>
      </c>
      <c r="F18" s="29">
        <v>2.0217132192472498</v>
      </c>
    </row>
    <row r="19" spans="1:9" x14ac:dyDescent="0.2">
      <c r="A19" s="26" t="s">
        <v>895</v>
      </c>
      <c r="B19" s="26" t="s">
        <v>894</v>
      </c>
      <c r="C19" s="26" t="s">
        <v>176</v>
      </c>
      <c r="D19" s="30">
        <v>20</v>
      </c>
      <c r="E19" s="28">
        <v>200.87540000000001</v>
      </c>
      <c r="F19" s="29">
        <v>1.7095195328258299</v>
      </c>
    </row>
    <row r="20" spans="1:9" x14ac:dyDescent="0.2">
      <c r="A20" s="26" t="s">
        <v>915</v>
      </c>
      <c r="B20" s="26" t="s">
        <v>914</v>
      </c>
      <c r="C20" s="26" t="s">
        <v>176</v>
      </c>
      <c r="D20" s="30">
        <v>17</v>
      </c>
      <c r="E20" s="28">
        <v>172.44273000000001</v>
      </c>
      <c r="F20" s="29">
        <v>1.4675476202103901</v>
      </c>
    </row>
    <row r="21" spans="1:9" x14ac:dyDescent="0.2">
      <c r="A21" s="26" t="s">
        <v>364</v>
      </c>
      <c r="B21" s="26" t="s">
        <v>363</v>
      </c>
      <c r="C21" s="26" t="s">
        <v>365</v>
      </c>
      <c r="D21" s="30">
        <v>2</v>
      </c>
      <c r="E21" s="28">
        <v>23.708600000000001</v>
      </c>
      <c r="F21" s="29">
        <v>0.20176843354613999</v>
      </c>
    </row>
    <row r="22" spans="1:9" x14ac:dyDescent="0.2">
      <c r="A22" s="26" t="s">
        <v>921</v>
      </c>
      <c r="B22" s="26" t="s">
        <v>920</v>
      </c>
      <c r="C22" s="26" t="s">
        <v>603</v>
      </c>
      <c r="D22" s="30">
        <v>4</v>
      </c>
      <c r="E22" s="28">
        <v>20.06972</v>
      </c>
      <c r="F22" s="29">
        <v>0.170800298883513</v>
      </c>
    </row>
    <row r="23" spans="1:9" x14ac:dyDescent="0.2">
      <c r="A23" s="26" t="s">
        <v>923</v>
      </c>
      <c r="B23" s="26" t="s">
        <v>922</v>
      </c>
      <c r="C23" s="26" t="s">
        <v>176</v>
      </c>
      <c r="D23" s="30">
        <v>1</v>
      </c>
      <c r="E23" s="28">
        <v>11.96017</v>
      </c>
      <c r="F23" s="29">
        <v>0.101785207302225</v>
      </c>
    </row>
    <row r="24" spans="1:9" ht="10.5" x14ac:dyDescent="0.25">
      <c r="A24" s="25" t="s">
        <v>177</v>
      </c>
      <c r="B24" s="25"/>
      <c r="C24" s="25"/>
      <c r="D24" s="31"/>
      <c r="E24" s="32">
        <f>SUM(E6:E23)</f>
        <v>10731.958680000003</v>
      </c>
      <c r="F24" s="33">
        <f>SUM(F6:F23)</f>
        <v>91.332701709316638</v>
      </c>
      <c r="G24" s="17"/>
      <c r="H24" s="17"/>
      <c r="I24" s="17"/>
    </row>
    <row r="25" spans="1:9" x14ac:dyDescent="0.2">
      <c r="A25" s="26"/>
      <c r="B25" s="26"/>
      <c r="C25" s="26"/>
      <c r="D25" s="27"/>
      <c r="E25" s="28"/>
      <c r="F25" s="29"/>
    </row>
    <row r="26" spans="1:9" ht="10.5" x14ac:dyDescent="0.25">
      <c r="A26" s="25" t="s">
        <v>178</v>
      </c>
      <c r="B26" s="26"/>
      <c r="C26" s="26"/>
      <c r="D26" s="27"/>
      <c r="E26" s="28"/>
      <c r="F26" s="29"/>
    </row>
    <row r="27" spans="1:9" x14ac:dyDescent="0.2">
      <c r="A27" s="26" t="s">
        <v>737</v>
      </c>
      <c r="B27" s="26" t="s">
        <v>736</v>
      </c>
      <c r="C27" s="26" t="s">
        <v>176</v>
      </c>
      <c r="D27" s="30">
        <v>37</v>
      </c>
      <c r="E27" s="28">
        <v>369.62371000000002</v>
      </c>
      <c r="F27" s="29">
        <v>3.1456263536528</v>
      </c>
    </row>
    <row r="28" spans="1:9" ht="10.5" x14ac:dyDescent="0.25">
      <c r="A28" s="25" t="s">
        <v>177</v>
      </c>
      <c r="B28" s="25"/>
      <c r="C28" s="25"/>
      <c r="D28" s="31"/>
      <c r="E28" s="32">
        <f>SUM(E26:E27)</f>
        <v>369.62371000000002</v>
      </c>
      <c r="F28" s="33">
        <f>SUM(F26:F27)</f>
        <v>3.1456263536528</v>
      </c>
      <c r="G28" s="17"/>
      <c r="H28" s="17"/>
      <c r="I28" s="17"/>
    </row>
    <row r="29" spans="1:9" x14ac:dyDescent="0.2">
      <c r="A29" s="26"/>
      <c r="B29" s="26"/>
      <c r="C29" s="26"/>
      <c r="D29" s="27"/>
      <c r="E29" s="28"/>
      <c r="F29" s="29"/>
    </row>
    <row r="30" spans="1:9" ht="10.5" x14ac:dyDescent="0.25">
      <c r="A30" s="25" t="s">
        <v>221</v>
      </c>
      <c r="B30" s="26"/>
      <c r="C30" s="26"/>
      <c r="D30" s="27"/>
      <c r="E30" s="28"/>
      <c r="F30" s="29"/>
    </row>
    <row r="31" spans="1:9" ht="10.5" x14ac:dyDescent="0.25">
      <c r="A31" s="25" t="s">
        <v>463</v>
      </c>
      <c r="B31" s="26"/>
      <c r="C31" s="26"/>
      <c r="D31" s="27"/>
      <c r="E31" s="28"/>
      <c r="F31" s="29"/>
    </row>
    <row r="32" spans="1:9" x14ac:dyDescent="0.2">
      <c r="A32" s="26" t="s">
        <v>488</v>
      </c>
      <c r="B32" s="26" t="s">
        <v>487</v>
      </c>
      <c r="C32" s="26" t="s">
        <v>466</v>
      </c>
      <c r="D32" s="30">
        <v>112</v>
      </c>
      <c r="E32" s="28">
        <v>107.335424</v>
      </c>
      <c r="F32" s="29">
        <v>0.91346179717447695</v>
      </c>
    </row>
    <row r="33" spans="1:9" ht="10.5" x14ac:dyDescent="0.25">
      <c r="A33" s="25" t="s">
        <v>177</v>
      </c>
      <c r="B33" s="25"/>
      <c r="C33" s="25"/>
      <c r="D33" s="31"/>
      <c r="E33" s="32">
        <f>SUM(E31:E32)</f>
        <v>107.335424</v>
      </c>
      <c r="F33" s="33">
        <f>SUM(F31:F32)</f>
        <v>0.91346179717447695</v>
      </c>
      <c r="G33" s="17"/>
      <c r="H33" s="17"/>
      <c r="I33" s="17"/>
    </row>
    <row r="34" spans="1:9" x14ac:dyDescent="0.2">
      <c r="A34" s="26"/>
      <c r="B34" s="26"/>
      <c r="C34" s="26"/>
      <c r="D34" s="27"/>
      <c r="E34" s="28"/>
      <c r="F34" s="29"/>
    </row>
    <row r="35" spans="1:9" ht="10.5" x14ac:dyDescent="0.25">
      <c r="A35" s="25" t="s">
        <v>226</v>
      </c>
      <c r="B35" s="25"/>
      <c r="C35" s="25"/>
      <c r="D35" s="31"/>
      <c r="E35" s="32">
        <f>E24+E28+E33</f>
        <v>11208.917814000004</v>
      </c>
      <c r="F35" s="33">
        <f>F24+F28+F33</f>
        <v>95.391789860143916</v>
      </c>
      <c r="G35" s="17"/>
      <c r="H35" s="17"/>
      <c r="I35" s="17"/>
    </row>
    <row r="36" spans="1:9" ht="10.5" x14ac:dyDescent="0.25">
      <c r="A36" s="25"/>
      <c r="B36" s="25"/>
      <c r="C36" s="25"/>
      <c r="D36" s="31"/>
      <c r="E36" s="32"/>
      <c r="F36" s="33"/>
      <c r="G36" s="17"/>
      <c r="H36" s="17"/>
      <c r="I36" s="17"/>
    </row>
    <row r="37" spans="1:9" ht="10.5" x14ac:dyDescent="0.25">
      <c r="A37" s="25" t="s">
        <v>228</v>
      </c>
      <c r="B37" s="25"/>
      <c r="C37" s="25"/>
      <c r="D37" s="31"/>
      <c r="E37" s="32">
        <f>E39-(E24+E28+E33)</f>
        <v>541.48316959999647</v>
      </c>
      <c r="F37" s="33">
        <f>F39-(F24+F28+F33)</f>
        <v>4.6082101398560837</v>
      </c>
      <c r="G37" s="17"/>
      <c r="H37" s="17"/>
      <c r="I37" s="17"/>
    </row>
    <row r="38" spans="1:9" ht="10.5" x14ac:dyDescent="0.25">
      <c r="A38" s="25"/>
      <c r="B38" s="25"/>
      <c r="C38" s="25"/>
      <c r="D38" s="31"/>
      <c r="E38" s="32"/>
      <c r="F38" s="33"/>
      <c r="G38" s="17"/>
      <c r="H38" s="17"/>
      <c r="I38" s="17"/>
    </row>
    <row r="39" spans="1:9" ht="10.5" x14ac:dyDescent="0.25">
      <c r="A39" s="34" t="s">
        <v>227</v>
      </c>
      <c r="B39" s="34"/>
      <c r="C39" s="34"/>
      <c r="D39" s="35"/>
      <c r="E39" s="36">
        <v>11750.4009836</v>
      </c>
      <c r="F39" s="37">
        <v>100</v>
      </c>
      <c r="G39" s="17"/>
      <c r="H39" s="17"/>
      <c r="I39" s="17"/>
    </row>
    <row r="40" spans="1:9" ht="10.5" x14ac:dyDescent="0.25">
      <c r="A40" s="17" t="s">
        <v>231</v>
      </c>
    </row>
    <row r="42" spans="1:9" ht="10.5" x14ac:dyDescent="0.25">
      <c r="A42" s="17" t="s">
        <v>232</v>
      </c>
    </row>
    <row r="43" spans="1:9" ht="10.5" x14ac:dyDescent="0.25">
      <c r="A43" s="17" t="s">
        <v>233</v>
      </c>
    </row>
    <row r="44" spans="1:9" ht="10.5" x14ac:dyDescent="0.25">
      <c r="A44" s="17" t="s">
        <v>234</v>
      </c>
      <c r="B44" s="17"/>
      <c r="C44" s="38" t="s">
        <v>236</v>
      </c>
      <c r="D44" s="18" t="s">
        <v>235</v>
      </c>
    </row>
    <row r="45" spans="1:9" x14ac:dyDescent="0.2">
      <c r="A45" s="10" t="s">
        <v>543</v>
      </c>
      <c r="C45" s="39">
        <v>11.2545</v>
      </c>
      <c r="D45" s="39">
        <v>11.6534</v>
      </c>
    </row>
    <row r="46" spans="1:9" x14ac:dyDescent="0.2">
      <c r="A46" s="10" t="s">
        <v>859</v>
      </c>
      <c r="C46" s="39">
        <v>10.584</v>
      </c>
      <c r="D46" s="39">
        <v>10.9595</v>
      </c>
    </row>
    <row r="47" spans="1:9" x14ac:dyDescent="0.2">
      <c r="A47" s="10" t="s">
        <v>545</v>
      </c>
      <c r="C47" s="39">
        <v>10.3459</v>
      </c>
      <c r="D47" s="39">
        <v>10.2715</v>
      </c>
    </row>
    <row r="48" spans="1:9" x14ac:dyDescent="0.2">
      <c r="A48" s="10" t="s">
        <v>546</v>
      </c>
      <c r="C48" s="39">
        <v>11.3673</v>
      </c>
      <c r="D48" s="39">
        <v>11.770200000000001</v>
      </c>
    </row>
    <row r="49" spans="1:5" x14ac:dyDescent="0.2">
      <c r="A49" s="10" t="s">
        <v>581</v>
      </c>
      <c r="C49" s="39">
        <v>10.6968</v>
      </c>
      <c r="D49" s="39">
        <v>11.0764</v>
      </c>
    </row>
    <row r="50" spans="1:5" x14ac:dyDescent="0.2">
      <c r="A50" s="10" t="s">
        <v>548</v>
      </c>
      <c r="C50" s="39">
        <v>10.4124</v>
      </c>
      <c r="D50" s="39">
        <v>10.340199999999999</v>
      </c>
    </row>
    <row r="52" spans="1:5" ht="10.5" x14ac:dyDescent="0.25">
      <c r="A52" s="17" t="s">
        <v>248</v>
      </c>
    </row>
    <row r="53" spans="1:5" ht="10.5" x14ac:dyDescent="0.25">
      <c r="A53" s="84" t="s">
        <v>249</v>
      </c>
      <c r="B53" s="85"/>
      <c r="C53" s="82" t="s">
        <v>250</v>
      </c>
      <c r="D53" s="83"/>
    </row>
    <row r="54" spans="1:5" ht="10.5" x14ac:dyDescent="0.25">
      <c r="A54" s="84"/>
      <c r="B54" s="85"/>
      <c r="C54" s="40" t="s">
        <v>251</v>
      </c>
      <c r="D54" s="41" t="s">
        <v>252</v>
      </c>
    </row>
    <row r="55" spans="1:5" x14ac:dyDescent="0.2">
      <c r="A55" s="78" t="s">
        <v>545</v>
      </c>
      <c r="B55" s="79"/>
      <c r="C55" s="42">
        <v>0.31334037450000002</v>
      </c>
      <c r="D55" s="42">
        <v>0.2901547484</v>
      </c>
    </row>
    <row r="56" spans="1:5" x14ac:dyDescent="0.2">
      <c r="A56" s="78" t="s">
        <v>548</v>
      </c>
      <c r="B56" s="79"/>
      <c r="C56" s="42">
        <v>0.31334037450000002</v>
      </c>
      <c r="D56" s="42">
        <v>0.2901547484</v>
      </c>
    </row>
    <row r="58" spans="1:5" ht="10.5" x14ac:dyDescent="0.25">
      <c r="A58" s="17" t="s">
        <v>253</v>
      </c>
      <c r="D58" s="43">
        <v>1.0330926768493101</v>
      </c>
      <c r="E58" s="15" t="s">
        <v>254</v>
      </c>
    </row>
    <row r="60" spans="1:5" ht="10.5" x14ac:dyDescent="0.25">
      <c r="A60" s="17" t="s">
        <v>255</v>
      </c>
      <c r="D60" s="46" t="s">
        <v>256</v>
      </c>
    </row>
  </sheetData>
  <mergeCells count="6">
    <mergeCell ref="A56:B56"/>
    <mergeCell ref="A1:F1"/>
    <mergeCell ref="C53:D53"/>
    <mergeCell ref="A53:B53"/>
    <mergeCell ref="A54:B54"/>
    <mergeCell ref="A55:B55"/>
  </mergeCells>
  <conditionalFormatting sqref="F2:F3 F5:F65533">
    <cfRule type="cellIs" dxfId="46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6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1.179687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54296875" style="10" bestFit="1" customWidth="1"/>
    <col min="8" max="16384" width="9.1796875" style="10"/>
  </cols>
  <sheetData>
    <row r="1" spans="1:6" s="1" customFormat="1" ht="14" x14ac:dyDescent="0.25">
      <c r="A1" s="80" t="s">
        <v>27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895</v>
      </c>
      <c r="B7" s="26" t="s">
        <v>894</v>
      </c>
      <c r="C7" s="26" t="s">
        <v>176</v>
      </c>
      <c r="D7" s="30">
        <v>105</v>
      </c>
      <c r="E7" s="28">
        <v>1054.5958499999999</v>
      </c>
      <c r="F7" s="29">
        <v>10.4629340473484</v>
      </c>
    </row>
    <row r="8" spans="1:6" x14ac:dyDescent="0.2">
      <c r="A8" s="26" t="s">
        <v>937</v>
      </c>
      <c r="B8" s="26" t="s">
        <v>936</v>
      </c>
      <c r="C8" s="26" t="s">
        <v>650</v>
      </c>
      <c r="D8" s="30">
        <v>100</v>
      </c>
      <c r="E8" s="28">
        <v>1019.69</v>
      </c>
      <c r="F8" s="29">
        <v>10.116623556541301</v>
      </c>
    </row>
    <row r="9" spans="1:6" x14ac:dyDescent="0.2">
      <c r="A9" s="26" t="s">
        <v>921</v>
      </c>
      <c r="B9" s="26" t="s">
        <v>920</v>
      </c>
      <c r="C9" s="26" t="s">
        <v>603</v>
      </c>
      <c r="D9" s="30">
        <v>170</v>
      </c>
      <c r="E9" s="28">
        <v>852.96310000000005</v>
      </c>
      <c r="F9" s="29">
        <v>8.4624803521859207</v>
      </c>
    </row>
    <row r="10" spans="1:6" x14ac:dyDescent="0.2">
      <c r="A10" s="26" t="s">
        <v>939</v>
      </c>
      <c r="B10" s="26" t="s">
        <v>938</v>
      </c>
      <c r="C10" s="26" t="s">
        <v>603</v>
      </c>
      <c r="D10" s="30">
        <v>78</v>
      </c>
      <c r="E10" s="28">
        <v>783.54978000000006</v>
      </c>
      <c r="F10" s="29">
        <v>7.77381180757948</v>
      </c>
    </row>
    <row r="11" spans="1:6" x14ac:dyDescent="0.2">
      <c r="A11" s="26" t="s">
        <v>700</v>
      </c>
      <c r="B11" s="26" t="s">
        <v>699</v>
      </c>
      <c r="C11" s="26" t="s">
        <v>650</v>
      </c>
      <c r="D11" s="30">
        <v>63</v>
      </c>
      <c r="E11" s="28">
        <v>747.93726000000004</v>
      </c>
      <c r="F11" s="29">
        <v>7.4204902503024703</v>
      </c>
    </row>
    <row r="12" spans="1:6" x14ac:dyDescent="0.2">
      <c r="A12" s="26" t="s">
        <v>929</v>
      </c>
      <c r="B12" s="26" t="s">
        <v>928</v>
      </c>
      <c r="C12" s="26" t="s">
        <v>176</v>
      </c>
      <c r="D12" s="30">
        <v>50</v>
      </c>
      <c r="E12" s="28">
        <v>591.77250000000004</v>
      </c>
      <c r="F12" s="29">
        <v>5.87113692751063</v>
      </c>
    </row>
    <row r="13" spans="1:6" x14ac:dyDescent="0.2">
      <c r="A13" s="26" t="s">
        <v>941</v>
      </c>
      <c r="B13" s="26" t="s">
        <v>940</v>
      </c>
      <c r="C13" s="26" t="s">
        <v>650</v>
      </c>
      <c r="D13" s="30">
        <v>52</v>
      </c>
      <c r="E13" s="28">
        <v>530.31056000000001</v>
      </c>
      <c r="F13" s="29">
        <v>5.2613562000005798</v>
      </c>
    </row>
    <row r="14" spans="1:6" x14ac:dyDescent="0.2">
      <c r="A14" s="26" t="s">
        <v>943</v>
      </c>
      <c r="B14" s="26" t="s">
        <v>942</v>
      </c>
      <c r="C14" s="26" t="s">
        <v>650</v>
      </c>
      <c r="D14" s="30">
        <v>50</v>
      </c>
      <c r="E14" s="28">
        <v>515.76949999999999</v>
      </c>
      <c r="F14" s="29">
        <v>5.1170903641749002</v>
      </c>
    </row>
    <row r="15" spans="1:6" x14ac:dyDescent="0.2">
      <c r="A15" s="26" t="s">
        <v>915</v>
      </c>
      <c r="B15" s="26" t="s">
        <v>914</v>
      </c>
      <c r="C15" s="26" t="s">
        <v>176</v>
      </c>
      <c r="D15" s="30">
        <v>50</v>
      </c>
      <c r="E15" s="28">
        <v>507.18450000000001</v>
      </c>
      <c r="F15" s="29">
        <v>5.03191622965078</v>
      </c>
    </row>
    <row r="16" spans="1:6" x14ac:dyDescent="0.2">
      <c r="A16" s="26" t="s">
        <v>923</v>
      </c>
      <c r="B16" s="26" t="s">
        <v>922</v>
      </c>
      <c r="C16" s="26" t="s">
        <v>176</v>
      </c>
      <c r="D16" s="30">
        <v>39</v>
      </c>
      <c r="E16" s="28">
        <v>466.44663000000003</v>
      </c>
      <c r="F16" s="29">
        <v>4.6277446723291202</v>
      </c>
    </row>
    <row r="17" spans="1:9" x14ac:dyDescent="0.2">
      <c r="A17" s="26" t="s">
        <v>927</v>
      </c>
      <c r="B17" s="26" t="s">
        <v>926</v>
      </c>
      <c r="C17" s="26" t="s">
        <v>176</v>
      </c>
      <c r="D17" s="30">
        <v>31</v>
      </c>
      <c r="E17" s="28">
        <v>314.71695999999997</v>
      </c>
      <c r="F17" s="29">
        <v>3.1223930912130702</v>
      </c>
    </row>
    <row r="18" spans="1:9" x14ac:dyDescent="0.2">
      <c r="A18" s="26" t="s">
        <v>731</v>
      </c>
      <c r="B18" s="26" t="s">
        <v>730</v>
      </c>
      <c r="C18" s="26" t="s">
        <v>176</v>
      </c>
      <c r="D18" s="30">
        <v>28</v>
      </c>
      <c r="E18" s="28">
        <v>285.38607999999999</v>
      </c>
      <c r="F18" s="29">
        <v>2.8313934035216302</v>
      </c>
    </row>
    <row r="19" spans="1:9" x14ac:dyDescent="0.2">
      <c r="A19" s="26" t="s">
        <v>945</v>
      </c>
      <c r="B19" s="26" t="s">
        <v>944</v>
      </c>
      <c r="C19" s="26" t="s">
        <v>176</v>
      </c>
      <c r="D19" s="30">
        <v>26</v>
      </c>
      <c r="E19" s="28">
        <v>267.11698000000001</v>
      </c>
      <c r="F19" s="29">
        <v>2.65014066257408</v>
      </c>
    </row>
    <row r="20" spans="1:9" x14ac:dyDescent="0.2">
      <c r="A20" s="26" t="s">
        <v>947</v>
      </c>
      <c r="B20" s="26" t="s">
        <v>946</v>
      </c>
      <c r="C20" s="26" t="s">
        <v>176</v>
      </c>
      <c r="D20" s="30">
        <v>21</v>
      </c>
      <c r="E20" s="28">
        <v>249.75447</v>
      </c>
      <c r="F20" s="29">
        <v>2.4778824491301101</v>
      </c>
    </row>
    <row r="21" spans="1:9" x14ac:dyDescent="0.2">
      <c r="A21" s="26" t="s">
        <v>652</v>
      </c>
      <c r="B21" s="26" t="s">
        <v>651</v>
      </c>
      <c r="C21" s="26" t="s">
        <v>176</v>
      </c>
      <c r="D21" s="30">
        <v>1</v>
      </c>
      <c r="E21" s="28">
        <v>101.3741</v>
      </c>
      <c r="F21" s="29">
        <v>1.0057601899431901</v>
      </c>
    </row>
    <row r="22" spans="1:9" x14ac:dyDescent="0.2">
      <c r="A22" s="26" t="s">
        <v>364</v>
      </c>
      <c r="B22" s="26" t="s">
        <v>363</v>
      </c>
      <c r="C22" s="26" t="s">
        <v>365</v>
      </c>
      <c r="D22" s="30">
        <v>6</v>
      </c>
      <c r="E22" s="28">
        <v>71.125799999999998</v>
      </c>
      <c r="F22" s="29">
        <v>0.70565852735423695</v>
      </c>
    </row>
    <row r="23" spans="1:9" x14ac:dyDescent="0.2">
      <c r="A23" s="26" t="s">
        <v>733</v>
      </c>
      <c r="B23" s="26" t="s">
        <v>732</v>
      </c>
      <c r="C23" s="26" t="s">
        <v>176</v>
      </c>
      <c r="D23" s="30">
        <v>2</v>
      </c>
      <c r="E23" s="28">
        <v>20.792120000000001</v>
      </c>
      <c r="F23" s="29">
        <v>0.20628431286217599</v>
      </c>
    </row>
    <row r="24" spans="1:9" x14ac:dyDescent="0.2">
      <c r="A24" s="26" t="s">
        <v>362</v>
      </c>
      <c r="B24" s="26" t="s">
        <v>361</v>
      </c>
      <c r="C24" s="26" t="s">
        <v>176</v>
      </c>
      <c r="D24" s="30">
        <v>1</v>
      </c>
      <c r="E24" s="28">
        <v>10.087199999999999</v>
      </c>
      <c r="F24" s="29">
        <v>0.100077871842955</v>
      </c>
    </row>
    <row r="25" spans="1:9" x14ac:dyDescent="0.2">
      <c r="A25" s="26" t="s">
        <v>949</v>
      </c>
      <c r="B25" s="26" t="s">
        <v>948</v>
      </c>
      <c r="C25" s="26" t="s">
        <v>176</v>
      </c>
      <c r="D25" s="30">
        <v>1</v>
      </c>
      <c r="E25" s="28">
        <v>10.068379999999999</v>
      </c>
      <c r="F25" s="29">
        <v>9.9891153472338498E-2</v>
      </c>
    </row>
    <row r="26" spans="1:9" ht="10.5" x14ac:dyDescent="0.25">
      <c r="A26" s="25" t="s">
        <v>177</v>
      </c>
      <c r="B26" s="25"/>
      <c r="C26" s="25"/>
      <c r="D26" s="31"/>
      <c r="E26" s="32">
        <f>SUM(E6:E25)</f>
        <v>8400.6417700000002</v>
      </c>
      <c r="F26" s="33">
        <f>SUM(F6:F25)</f>
        <v>83.345066069537353</v>
      </c>
      <c r="G26" s="17"/>
      <c r="H26" s="17"/>
      <c r="I26" s="17"/>
    </row>
    <row r="27" spans="1:9" x14ac:dyDescent="0.2">
      <c r="A27" s="26"/>
      <c r="B27" s="26"/>
      <c r="C27" s="26"/>
      <c r="D27" s="27"/>
      <c r="E27" s="28"/>
      <c r="F27" s="29"/>
    </row>
    <row r="28" spans="1:9" ht="10.5" x14ac:dyDescent="0.25">
      <c r="A28" s="25" t="s">
        <v>178</v>
      </c>
      <c r="B28" s="26"/>
      <c r="C28" s="26"/>
      <c r="D28" s="27"/>
      <c r="E28" s="28"/>
      <c r="F28" s="29"/>
    </row>
    <row r="29" spans="1:9" x14ac:dyDescent="0.2">
      <c r="A29" s="26" t="s">
        <v>951</v>
      </c>
      <c r="B29" s="26" t="s">
        <v>950</v>
      </c>
      <c r="C29" s="26" t="s">
        <v>603</v>
      </c>
      <c r="D29" s="30">
        <v>95</v>
      </c>
      <c r="E29" s="28">
        <v>957.30740000000003</v>
      </c>
      <c r="F29" s="29">
        <v>9.4977087092069805</v>
      </c>
    </row>
    <row r="30" spans="1:9" x14ac:dyDescent="0.2">
      <c r="A30" s="26" t="s">
        <v>737</v>
      </c>
      <c r="B30" s="26" t="s">
        <v>736</v>
      </c>
      <c r="C30" s="26" t="s">
        <v>176</v>
      </c>
      <c r="D30" s="30">
        <v>3</v>
      </c>
      <c r="E30" s="28">
        <v>29.96949</v>
      </c>
      <c r="F30" s="29">
        <v>0.29733551227483601</v>
      </c>
    </row>
    <row r="31" spans="1:9" ht="10.5" x14ac:dyDescent="0.25">
      <c r="A31" s="25" t="s">
        <v>177</v>
      </c>
      <c r="B31" s="25"/>
      <c r="C31" s="25"/>
      <c r="D31" s="31"/>
      <c r="E31" s="32">
        <f>SUM(E28:E30)</f>
        <v>987.27688999999998</v>
      </c>
      <c r="F31" s="33">
        <f>SUM(F28:F30)</f>
        <v>9.7950442214818167</v>
      </c>
      <c r="G31" s="17"/>
      <c r="H31" s="17"/>
      <c r="I31" s="17"/>
    </row>
    <row r="32" spans="1:9" x14ac:dyDescent="0.2">
      <c r="A32" s="26"/>
      <c r="B32" s="26"/>
      <c r="C32" s="26"/>
      <c r="D32" s="27"/>
      <c r="E32" s="28"/>
      <c r="F32" s="29"/>
    </row>
    <row r="33" spans="1:9" ht="10.5" x14ac:dyDescent="0.25">
      <c r="A33" s="25" t="s">
        <v>221</v>
      </c>
      <c r="B33" s="26"/>
      <c r="C33" s="26"/>
      <c r="D33" s="27"/>
      <c r="E33" s="28"/>
      <c r="F33" s="29"/>
    </row>
    <row r="34" spans="1:9" ht="10.5" x14ac:dyDescent="0.25">
      <c r="A34" s="25" t="s">
        <v>463</v>
      </c>
      <c r="B34" s="26"/>
      <c r="C34" s="26"/>
      <c r="D34" s="27"/>
      <c r="E34" s="28"/>
      <c r="F34" s="29"/>
    </row>
    <row r="35" spans="1:9" x14ac:dyDescent="0.2">
      <c r="A35" s="26" t="s">
        <v>488</v>
      </c>
      <c r="B35" s="26" t="s">
        <v>487</v>
      </c>
      <c r="C35" s="26" t="s">
        <v>466</v>
      </c>
      <c r="D35" s="30">
        <v>91</v>
      </c>
      <c r="E35" s="28">
        <v>87.210031999999998</v>
      </c>
      <c r="F35" s="29">
        <v>0.86523459492386601</v>
      </c>
    </row>
    <row r="36" spans="1:9" ht="10.5" x14ac:dyDescent="0.25">
      <c r="A36" s="25" t="s">
        <v>177</v>
      </c>
      <c r="B36" s="25"/>
      <c r="C36" s="25"/>
      <c r="D36" s="31"/>
      <c r="E36" s="32">
        <f>SUM(E34:E35)</f>
        <v>87.210031999999998</v>
      </c>
      <c r="F36" s="33">
        <f>SUM(F34:F35)</f>
        <v>0.86523459492386601</v>
      </c>
      <c r="G36" s="17"/>
      <c r="H36" s="17"/>
      <c r="I36" s="17"/>
    </row>
    <row r="37" spans="1:9" x14ac:dyDescent="0.2">
      <c r="A37" s="26"/>
      <c r="B37" s="26"/>
      <c r="C37" s="26"/>
      <c r="D37" s="27"/>
      <c r="E37" s="28"/>
      <c r="F37" s="29"/>
    </row>
    <row r="38" spans="1:9" ht="10.5" x14ac:dyDescent="0.25">
      <c r="A38" s="25" t="s">
        <v>226</v>
      </c>
      <c r="B38" s="25"/>
      <c r="C38" s="25"/>
      <c r="D38" s="31"/>
      <c r="E38" s="32">
        <f>E26+E31+E36</f>
        <v>9475.1286920000002</v>
      </c>
      <c r="F38" s="33">
        <f>F26+F31+F36</f>
        <v>94.005344885943032</v>
      </c>
      <c r="G38" s="17"/>
      <c r="H38" s="17"/>
      <c r="I38" s="17"/>
    </row>
    <row r="39" spans="1:9" ht="10.5" x14ac:dyDescent="0.25">
      <c r="A39" s="25"/>
      <c r="B39" s="25"/>
      <c r="C39" s="25"/>
      <c r="D39" s="31"/>
      <c r="E39" s="32"/>
      <c r="F39" s="33"/>
      <c r="G39" s="17"/>
      <c r="H39" s="17"/>
      <c r="I39" s="17"/>
    </row>
    <row r="40" spans="1:9" ht="10.5" x14ac:dyDescent="0.25">
      <c r="A40" s="25" t="s">
        <v>228</v>
      </c>
      <c r="B40" s="25"/>
      <c r="C40" s="25"/>
      <c r="D40" s="31"/>
      <c r="E40" s="32">
        <f>E42-(E26+E31+E36)</f>
        <v>604.22233159999996</v>
      </c>
      <c r="F40" s="33">
        <f>F42-(F26+F31+F36)</f>
        <v>5.9946551140569682</v>
      </c>
      <c r="G40" s="17"/>
      <c r="H40" s="17"/>
      <c r="I40" s="17"/>
    </row>
    <row r="41" spans="1:9" ht="10.5" x14ac:dyDescent="0.25">
      <c r="A41" s="25"/>
      <c r="B41" s="25"/>
      <c r="C41" s="25"/>
      <c r="D41" s="31"/>
      <c r="E41" s="32"/>
      <c r="F41" s="33"/>
      <c r="G41" s="17"/>
      <c r="H41" s="17"/>
      <c r="I41" s="17"/>
    </row>
    <row r="42" spans="1:9" ht="10.5" x14ac:dyDescent="0.25">
      <c r="A42" s="34" t="s">
        <v>227</v>
      </c>
      <c r="B42" s="34"/>
      <c r="C42" s="34"/>
      <c r="D42" s="35"/>
      <c r="E42" s="36">
        <v>10079.3510236</v>
      </c>
      <c r="F42" s="37">
        <v>100</v>
      </c>
      <c r="G42" s="17"/>
      <c r="H42" s="17"/>
      <c r="I42" s="17"/>
    </row>
    <row r="43" spans="1:9" ht="10.5" x14ac:dyDescent="0.25">
      <c r="A43" s="17" t="s">
        <v>231</v>
      </c>
    </row>
    <row r="45" spans="1:9" ht="10.5" x14ac:dyDescent="0.25">
      <c r="A45" s="17" t="s">
        <v>232</v>
      </c>
    </row>
    <row r="46" spans="1:9" ht="10.5" x14ac:dyDescent="0.25">
      <c r="A46" s="17" t="s">
        <v>233</v>
      </c>
    </row>
    <row r="47" spans="1:9" ht="10.5" x14ac:dyDescent="0.25">
      <c r="A47" s="17" t="s">
        <v>234</v>
      </c>
      <c r="B47" s="17"/>
      <c r="C47" s="38" t="s">
        <v>236</v>
      </c>
      <c r="D47" s="18" t="s">
        <v>235</v>
      </c>
    </row>
    <row r="48" spans="1:9" x14ac:dyDescent="0.2">
      <c r="A48" s="10" t="s">
        <v>543</v>
      </c>
      <c r="C48" s="39">
        <v>11.334899999999999</v>
      </c>
      <c r="D48" s="39">
        <v>11.766999999999999</v>
      </c>
    </row>
    <row r="49" spans="1:5" x14ac:dyDescent="0.2">
      <c r="A49" s="10" t="s">
        <v>859</v>
      </c>
      <c r="C49" s="39">
        <v>10.6595</v>
      </c>
      <c r="D49" s="39">
        <v>11.065799999999999</v>
      </c>
    </row>
    <row r="50" spans="1:5" x14ac:dyDescent="0.2">
      <c r="A50" s="10" t="s">
        <v>546</v>
      </c>
      <c r="C50" s="39">
        <v>11.4201</v>
      </c>
      <c r="D50" s="39">
        <v>11.855499999999999</v>
      </c>
    </row>
    <row r="52" spans="1:5" ht="10.5" x14ac:dyDescent="0.25">
      <c r="A52" s="17" t="s">
        <v>248</v>
      </c>
      <c r="D52" s="46" t="s">
        <v>256</v>
      </c>
    </row>
    <row r="54" spans="1:5" ht="10.5" x14ac:dyDescent="0.25">
      <c r="A54" s="17" t="s">
        <v>253</v>
      </c>
      <c r="D54" s="43">
        <v>0.92359854101369898</v>
      </c>
      <c r="E54" s="15" t="s">
        <v>254</v>
      </c>
    </row>
    <row r="56" spans="1:5" ht="10.5" x14ac:dyDescent="0.25">
      <c r="A56" s="17" t="s">
        <v>255</v>
      </c>
      <c r="D56" s="46" t="s">
        <v>256</v>
      </c>
    </row>
  </sheetData>
  <mergeCells count="1">
    <mergeCell ref="A1:F1"/>
  </mergeCells>
  <conditionalFormatting sqref="F2:F3 F5:F65533">
    <cfRule type="cellIs" dxfId="45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65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7265625" style="10" bestFit="1" customWidth="1"/>
    <col min="8" max="16384" width="9.1796875" style="10"/>
  </cols>
  <sheetData>
    <row r="1" spans="1:6" s="1" customFormat="1" ht="14" x14ac:dyDescent="0.25">
      <c r="A1" s="80" t="s">
        <v>28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953</v>
      </c>
      <c r="B7" s="26" t="s">
        <v>952</v>
      </c>
      <c r="C7" s="26" t="s">
        <v>176</v>
      </c>
      <c r="D7" s="30">
        <v>173</v>
      </c>
      <c r="E7" s="28">
        <v>1755.20956</v>
      </c>
      <c r="F7" s="29">
        <v>9.7752853166777207</v>
      </c>
    </row>
    <row r="8" spans="1:6" x14ac:dyDescent="0.2">
      <c r="A8" s="26" t="s">
        <v>955</v>
      </c>
      <c r="B8" s="26" t="s">
        <v>954</v>
      </c>
      <c r="C8" s="26" t="s">
        <v>176</v>
      </c>
      <c r="D8" s="30">
        <v>161</v>
      </c>
      <c r="E8" s="28">
        <v>1632.5512699999999</v>
      </c>
      <c r="F8" s="29">
        <v>9.0921647318024803</v>
      </c>
    </row>
    <row r="9" spans="1:6" x14ac:dyDescent="0.2">
      <c r="A9" s="26" t="s">
        <v>941</v>
      </c>
      <c r="B9" s="26" t="s">
        <v>940</v>
      </c>
      <c r="C9" s="26" t="s">
        <v>650</v>
      </c>
      <c r="D9" s="30">
        <v>150</v>
      </c>
      <c r="E9" s="28">
        <v>1529.742</v>
      </c>
      <c r="F9" s="29">
        <v>8.5195892568549993</v>
      </c>
    </row>
    <row r="10" spans="1:6" x14ac:dyDescent="0.2">
      <c r="A10" s="26" t="s">
        <v>957</v>
      </c>
      <c r="B10" s="26" t="s">
        <v>956</v>
      </c>
      <c r="C10" s="26" t="s">
        <v>603</v>
      </c>
      <c r="D10" s="30">
        <v>149</v>
      </c>
      <c r="E10" s="28">
        <v>1513.76848</v>
      </c>
      <c r="F10" s="29">
        <v>8.4306279618221396</v>
      </c>
    </row>
    <row r="11" spans="1:6" x14ac:dyDescent="0.2">
      <c r="A11" s="26" t="s">
        <v>921</v>
      </c>
      <c r="B11" s="26" t="s">
        <v>920</v>
      </c>
      <c r="C11" s="26" t="s">
        <v>603</v>
      </c>
      <c r="D11" s="30">
        <v>300</v>
      </c>
      <c r="E11" s="28">
        <v>1505.229</v>
      </c>
      <c r="F11" s="29">
        <v>8.38306905184443</v>
      </c>
    </row>
    <row r="12" spans="1:6" x14ac:dyDescent="0.2">
      <c r="A12" s="26" t="s">
        <v>959</v>
      </c>
      <c r="B12" s="26" t="s">
        <v>958</v>
      </c>
      <c r="C12" s="26" t="s">
        <v>176</v>
      </c>
      <c r="D12" s="30">
        <v>128</v>
      </c>
      <c r="E12" s="28">
        <v>1185.7702400000001</v>
      </c>
      <c r="F12" s="29">
        <v>6.6039079778174203</v>
      </c>
    </row>
    <row r="13" spans="1:6" x14ac:dyDescent="0.2">
      <c r="A13" s="26" t="s">
        <v>947</v>
      </c>
      <c r="B13" s="26" t="s">
        <v>946</v>
      </c>
      <c r="C13" s="26" t="s">
        <v>176</v>
      </c>
      <c r="D13" s="30">
        <v>89</v>
      </c>
      <c r="E13" s="28">
        <v>1058.48323</v>
      </c>
      <c r="F13" s="29">
        <v>5.8950086713113601</v>
      </c>
    </row>
    <row r="14" spans="1:6" x14ac:dyDescent="0.2">
      <c r="A14" s="26" t="s">
        <v>917</v>
      </c>
      <c r="B14" s="26" t="s">
        <v>916</v>
      </c>
      <c r="C14" s="26" t="s">
        <v>176</v>
      </c>
      <c r="D14" s="30">
        <v>101</v>
      </c>
      <c r="E14" s="28">
        <v>1037.16092</v>
      </c>
      <c r="F14" s="29">
        <v>5.7762583701446699</v>
      </c>
    </row>
    <row r="15" spans="1:6" x14ac:dyDescent="0.2">
      <c r="A15" s="26" t="s">
        <v>923</v>
      </c>
      <c r="B15" s="26" t="s">
        <v>922</v>
      </c>
      <c r="C15" s="26" t="s">
        <v>176</v>
      </c>
      <c r="D15" s="30">
        <v>84</v>
      </c>
      <c r="E15" s="28">
        <v>1004.65428</v>
      </c>
      <c r="F15" s="29">
        <v>5.5952192008465502</v>
      </c>
    </row>
    <row r="16" spans="1:6" x14ac:dyDescent="0.2">
      <c r="A16" s="26" t="s">
        <v>961</v>
      </c>
      <c r="B16" s="26" t="s">
        <v>960</v>
      </c>
      <c r="C16" s="26" t="s">
        <v>176</v>
      </c>
      <c r="D16" s="30">
        <v>50</v>
      </c>
      <c r="E16" s="28">
        <v>506.66050000000001</v>
      </c>
      <c r="F16" s="29">
        <v>2.8217433741590301</v>
      </c>
    </row>
    <row r="17" spans="1:9" x14ac:dyDescent="0.2">
      <c r="A17" s="26" t="s">
        <v>731</v>
      </c>
      <c r="B17" s="26" t="s">
        <v>730</v>
      </c>
      <c r="C17" s="26" t="s">
        <v>176</v>
      </c>
      <c r="D17" s="30">
        <v>29</v>
      </c>
      <c r="E17" s="28">
        <v>295.57844</v>
      </c>
      <c r="F17" s="29">
        <v>1.6461644525560299</v>
      </c>
    </row>
    <row r="18" spans="1:9" x14ac:dyDescent="0.2">
      <c r="A18" s="26" t="s">
        <v>362</v>
      </c>
      <c r="B18" s="26" t="s">
        <v>361</v>
      </c>
      <c r="C18" s="26" t="s">
        <v>176</v>
      </c>
      <c r="D18" s="30">
        <v>24</v>
      </c>
      <c r="E18" s="28">
        <v>242.09280000000001</v>
      </c>
      <c r="F18" s="29">
        <v>1.3482869778315201</v>
      </c>
    </row>
    <row r="19" spans="1:9" x14ac:dyDescent="0.2">
      <c r="A19" s="26" t="s">
        <v>939</v>
      </c>
      <c r="B19" s="26" t="s">
        <v>938</v>
      </c>
      <c r="C19" s="26" t="s">
        <v>603</v>
      </c>
      <c r="D19" s="30">
        <v>22</v>
      </c>
      <c r="E19" s="28">
        <v>221.00121999999999</v>
      </c>
      <c r="F19" s="29">
        <v>1.2308216808218999</v>
      </c>
    </row>
    <row r="20" spans="1:9" x14ac:dyDescent="0.2">
      <c r="A20" s="26" t="s">
        <v>901</v>
      </c>
      <c r="B20" s="26" t="s">
        <v>900</v>
      </c>
      <c r="C20" s="26" t="s">
        <v>176</v>
      </c>
      <c r="D20" s="30">
        <v>15</v>
      </c>
      <c r="E20" s="28">
        <v>178.87604999999999</v>
      </c>
      <c r="F20" s="29">
        <v>0.99621405040108602</v>
      </c>
    </row>
    <row r="21" spans="1:9" x14ac:dyDescent="0.2">
      <c r="A21" s="26" t="s">
        <v>895</v>
      </c>
      <c r="B21" s="26" t="s">
        <v>894</v>
      </c>
      <c r="C21" s="26" t="s">
        <v>176</v>
      </c>
      <c r="D21" s="30">
        <v>9</v>
      </c>
      <c r="E21" s="28">
        <v>90.393929999999997</v>
      </c>
      <c r="F21" s="29">
        <v>0.50343074512754704</v>
      </c>
    </row>
    <row r="22" spans="1:9" ht="10.5" x14ac:dyDescent="0.25">
      <c r="A22" s="25" t="s">
        <v>177</v>
      </c>
      <c r="B22" s="25"/>
      <c r="C22" s="25"/>
      <c r="D22" s="31"/>
      <c r="E22" s="32">
        <f>SUM(E6:E21)</f>
        <v>13757.171920000003</v>
      </c>
      <c r="F22" s="33">
        <f>SUM(F6:F21)</f>
        <v>76.61779182001888</v>
      </c>
      <c r="G22" s="17"/>
      <c r="H22" s="17"/>
      <c r="I22" s="17"/>
    </row>
    <row r="23" spans="1:9" x14ac:dyDescent="0.2">
      <c r="A23" s="26"/>
      <c r="B23" s="26"/>
      <c r="C23" s="26"/>
      <c r="D23" s="27"/>
      <c r="E23" s="28"/>
      <c r="F23" s="29"/>
    </row>
    <row r="24" spans="1:9" ht="10.5" x14ac:dyDescent="0.25">
      <c r="A24" s="25" t="s">
        <v>178</v>
      </c>
      <c r="B24" s="26"/>
      <c r="C24" s="26"/>
      <c r="D24" s="27"/>
      <c r="E24" s="28"/>
      <c r="F24" s="29"/>
    </row>
    <row r="25" spans="1:9" x14ac:dyDescent="0.2">
      <c r="A25" s="26" t="s">
        <v>951</v>
      </c>
      <c r="B25" s="26" t="s">
        <v>950</v>
      </c>
      <c r="C25" s="26" t="s">
        <v>603</v>
      </c>
      <c r="D25" s="30">
        <v>150</v>
      </c>
      <c r="E25" s="28">
        <v>1511.538</v>
      </c>
      <c r="F25" s="29">
        <v>8.4182057537336998</v>
      </c>
    </row>
    <row r="26" spans="1:9" x14ac:dyDescent="0.2">
      <c r="A26" s="26" t="s">
        <v>963</v>
      </c>
      <c r="B26" s="26" t="s">
        <v>962</v>
      </c>
      <c r="C26" s="26" t="s">
        <v>176</v>
      </c>
      <c r="D26" s="30">
        <v>150</v>
      </c>
      <c r="E26" s="28">
        <v>1508.7735</v>
      </c>
      <c r="F26" s="29">
        <v>8.4028094290589692</v>
      </c>
    </row>
    <row r="27" spans="1:9" x14ac:dyDescent="0.2">
      <c r="A27" s="26" t="s">
        <v>737</v>
      </c>
      <c r="B27" s="26" t="s">
        <v>736</v>
      </c>
      <c r="C27" s="26" t="s">
        <v>176</v>
      </c>
      <c r="D27" s="30">
        <v>2</v>
      </c>
      <c r="E27" s="28">
        <v>19.979659999999999</v>
      </c>
      <c r="F27" s="29">
        <v>0.111272683035189</v>
      </c>
    </row>
    <row r="28" spans="1:9" ht="10.5" x14ac:dyDescent="0.25">
      <c r="A28" s="25" t="s">
        <v>177</v>
      </c>
      <c r="B28" s="25"/>
      <c r="C28" s="25"/>
      <c r="D28" s="31"/>
      <c r="E28" s="32">
        <f>SUM(E24:E27)</f>
        <v>3040.2911599999998</v>
      </c>
      <c r="F28" s="33">
        <f>SUM(F24:F27)</f>
        <v>16.93228786582786</v>
      </c>
      <c r="G28" s="17"/>
      <c r="H28" s="17"/>
      <c r="I28" s="17"/>
    </row>
    <row r="29" spans="1:9" x14ac:dyDescent="0.2">
      <c r="A29" s="26"/>
      <c r="B29" s="26"/>
      <c r="C29" s="26"/>
      <c r="D29" s="27"/>
      <c r="E29" s="28"/>
      <c r="F29" s="29"/>
    </row>
    <row r="30" spans="1:9" ht="10.5" x14ac:dyDescent="0.25">
      <c r="A30" s="25" t="s">
        <v>221</v>
      </c>
      <c r="B30" s="26"/>
      <c r="C30" s="26"/>
      <c r="D30" s="27"/>
      <c r="E30" s="28"/>
      <c r="F30" s="29"/>
    </row>
    <row r="31" spans="1:9" ht="10.5" x14ac:dyDescent="0.25">
      <c r="A31" s="25" t="s">
        <v>463</v>
      </c>
      <c r="B31" s="26"/>
      <c r="C31" s="26"/>
      <c r="D31" s="27"/>
      <c r="E31" s="28"/>
      <c r="F31" s="29"/>
    </row>
    <row r="32" spans="1:9" x14ac:dyDescent="0.2">
      <c r="A32" s="26" t="s">
        <v>488</v>
      </c>
      <c r="B32" s="26" t="s">
        <v>487</v>
      </c>
      <c r="C32" s="26" t="s">
        <v>466</v>
      </c>
      <c r="D32" s="30">
        <v>292</v>
      </c>
      <c r="E32" s="28">
        <v>279.83878399999998</v>
      </c>
      <c r="F32" s="29">
        <v>1.5585056158605599</v>
      </c>
    </row>
    <row r="33" spans="1:9" ht="10.5" x14ac:dyDescent="0.25">
      <c r="A33" s="25" t="s">
        <v>177</v>
      </c>
      <c r="B33" s="25"/>
      <c r="C33" s="25"/>
      <c r="D33" s="31"/>
      <c r="E33" s="32">
        <f>SUM(E31:E32)</f>
        <v>279.83878399999998</v>
      </c>
      <c r="F33" s="33">
        <f>SUM(F31:F32)</f>
        <v>1.5585056158605599</v>
      </c>
      <c r="G33" s="17"/>
      <c r="H33" s="17"/>
      <c r="I33" s="17"/>
    </row>
    <row r="34" spans="1:9" x14ac:dyDescent="0.2">
      <c r="A34" s="26"/>
      <c r="B34" s="26"/>
      <c r="C34" s="26"/>
      <c r="D34" s="27"/>
      <c r="E34" s="28"/>
      <c r="F34" s="29"/>
    </row>
    <row r="35" spans="1:9" ht="10.5" x14ac:dyDescent="0.25">
      <c r="A35" s="25" t="s">
        <v>222</v>
      </c>
      <c r="B35" s="26"/>
      <c r="C35" s="26"/>
      <c r="D35" s="27"/>
      <c r="E35" s="28"/>
      <c r="F35" s="29"/>
    </row>
    <row r="36" spans="1:9" x14ac:dyDescent="0.2">
      <c r="A36" s="26" t="s">
        <v>965</v>
      </c>
      <c r="B36" s="26" t="s">
        <v>964</v>
      </c>
      <c r="C36" s="26" t="s">
        <v>507</v>
      </c>
      <c r="D36" s="30">
        <v>33</v>
      </c>
      <c r="E36" s="28">
        <v>157.060035</v>
      </c>
      <c r="F36" s="29">
        <v>0.874714158902136</v>
      </c>
    </row>
    <row r="37" spans="1:9" ht="10.5" x14ac:dyDescent="0.25">
      <c r="A37" s="25" t="s">
        <v>177</v>
      </c>
      <c r="B37" s="25"/>
      <c r="C37" s="25"/>
      <c r="D37" s="31"/>
      <c r="E37" s="32">
        <f>SUM(E35:E36)</f>
        <v>157.060035</v>
      </c>
      <c r="F37" s="33">
        <f>SUM(F35:F36)</f>
        <v>0.874714158902136</v>
      </c>
      <c r="G37" s="17"/>
      <c r="H37" s="17"/>
      <c r="I37" s="17"/>
    </row>
    <row r="38" spans="1:9" x14ac:dyDescent="0.2">
      <c r="A38" s="26"/>
      <c r="B38" s="26"/>
      <c r="C38" s="26"/>
      <c r="D38" s="27"/>
      <c r="E38" s="28"/>
      <c r="F38" s="29"/>
    </row>
    <row r="39" spans="1:9" ht="10.5" x14ac:dyDescent="0.25">
      <c r="A39" s="25" t="s">
        <v>226</v>
      </c>
      <c r="B39" s="25"/>
      <c r="C39" s="25"/>
      <c r="D39" s="31"/>
      <c r="E39" s="32">
        <f>E22+E28+E33+E37</f>
        <v>17234.361899</v>
      </c>
      <c r="F39" s="33">
        <f>F22+F28+F33+F37</f>
        <v>95.98329946060943</v>
      </c>
      <c r="G39" s="17"/>
      <c r="H39" s="17"/>
      <c r="I39" s="17"/>
    </row>
    <row r="40" spans="1:9" ht="10.5" x14ac:dyDescent="0.25">
      <c r="A40" s="25"/>
      <c r="B40" s="25"/>
      <c r="C40" s="25"/>
      <c r="D40" s="31"/>
      <c r="E40" s="32"/>
      <c r="F40" s="33"/>
      <c r="G40" s="17"/>
      <c r="H40" s="17"/>
      <c r="I40" s="17"/>
    </row>
    <row r="41" spans="1:9" ht="10.5" x14ac:dyDescent="0.25">
      <c r="A41" s="25" t="s">
        <v>228</v>
      </c>
      <c r="B41" s="25"/>
      <c r="C41" s="25"/>
      <c r="D41" s="31"/>
      <c r="E41" s="32">
        <f>E43-(E22+E28+E33+E37)</f>
        <v>721.22203680000166</v>
      </c>
      <c r="F41" s="33">
        <f>F43-(F22+F28+F33+F37)</f>
        <v>4.0167005393905697</v>
      </c>
      <c r="G41" s="17"/>
      <c r="H41" s="17"/>
      <c r="I41" s="17"/>
    </row>
    <row r="42" spans="1:9" ht="10.5" x14ac:dyDescent="0.25">
      <c r="A42" s="25"/>
      <c r="B42" s="25"/>
      <c r="C42" s="25"/>
      <c r="D42" s="31"/>
      <c r="E42" s="32"/>
      <c r="F42" s="33"/>
      <c r="G42" s="17"/>
      <c r="H42" s="17"/>
      <c r="I42" s="17"/>
    </row>
    <row r="43" spans="1:9" ht="10.5" x14ac:dyDescent="0.25">
      <c r="A43" s="34" t="s">
        <v>227</v>
      </c>
      <c r="B43" s="34"/>
      <c r="C43" s="34"/>
      <c r="D43" s="35"/>
      <c r="E43" s="36">
        <v>17955.583935800001</v>
      </c>
      <c r="F43" s="37">
        <v>100</v>
      </c>
      <c r="G43" s="17"/>
      <c r="H43" s="17"/>
      <c r="I43" s="17"/>
    </row>
    <row r="44" spans="1:9" ht="10.5" x14ac:dyDescent="0.25">
      <c r="A44" s="17" t="s">
        <v>229</v>
      </c>
    </row>
    <row r="45" spans="1:9" ht="10.5" x14ac:dyDescent="0.25">
      <c r="A45" s="17" t="s">
        <v>231</v>
      </c>
    </row>
    <row r="47" spans="1:9" ht="10.5" x14ac:dyDescent="0.25">
      <c r="A47" s="17" t="s">
        <v>232</v>
      </c>
    </row>
    <row r="48" spans="1:9" ht="10.5" x14ac:dyDescent="0.25">
      <c r="A48" s="17" t="s">
        <v>233</v>
      </c>
    </row>
    <row r="49" spans="1:5" ht="10.5" x14ac:dyDescent="0.25">
      <c r="A49" s="17" t="s">
        <v>234</v>
      </c>
      <c r="B49" s="17"/>
      <c r="C49" s="38" t="s">
        <v>236</v>
      </c>
      <c r="D49" s="18" t="s">
        <v>235</v>
      </c>
    </row>
    <row r="50" spans="1:5" x14ac:dyDescent="0.2">
      <c r="A50" s="10" t="s">
        <v>543</v>
      </c>
      <c r="C50" s="39">
        <v>11.401899999999999</v>
      </c>
      <c r="D50" s="39">
        <v>11.8306</v>
      </c>
    </row>
    <row r="51" spans="1:5" x14ac:dyDescent="0.2">
      <c r="A51" s="10" t="s">
        <v>859</v>
      </c>
      <c r="C51" s="39">
        <v>10.674099999999999</v>
      </c>
      <c r="D51" s="39">
        <v>11.0755</v>
      </c>
    </row>
    <row r="52" spans="1:5" x14ac:dyDescent="0.2">
      <c r="A52" s="10" t="s">
        <v>545</v>
      </c>
      <c r="C52" s="39">
        <v>10.359500000000001</v>
      </c>
      <c r="D52" s="39">
        <v>10.306699999999999</v>
      </c>
    </row>
    <row r="53" spans="1:5" x14ac:dyDescent="0.2">
      <c r="A53" s="10" t="s">
        <v>546</v>
      </c>
      <c r="C53" s="39">
        <v>11.470499999999999</v>
      </c>
      <c r="D53" s="39">
        <v>11.9018</v>
      </c>
    </row>
    <row r="54" spans="1:5" x14ac:dyDescent="0.2">
      <c r="A54" s="10" t="s">
        <v>581</v>
      </c>
      <c r="C54" s="39">
        <v>10.742699999999999</v>
      </c>
      <c r="D54" s="39">
        <v>11.1477</v>
      </c>
    </row>
    <row r="55" spans="1:5" x14ac:dyDescent="0.2">
      <c r="A55" s="10" t="s">
        <v>548</v>
      </c>
      <c r="C55" s="39">
        <v>10.416399999999999</v>
      </c>
      <c r="D55" s="39">
        <v>10.3665</v>
      </c>
    </row>
    <row r="57" spans="1:5" ht="10.5" x14ac:dyDescent="0.25">
      <c r="A57" s="17" t="s">
        <v>248</v>
      </c>
    </row>
    <row r="58" spans="1:5" ht="10.5" x14ac:dyDescent="0.25">
      <c r="A58" s="84" t="s">
        <v>249</v>
      </c>
      <c r="B58" s="85"/>
      <c r="C58" s="82" t="s">
        <v>250</v>
      </c>
      <c r="D58" s="83"/>
    </row>
    <row r="59" spans="1:5" ht="10.5" x14ac:dyDescent="0.25">
      <c r="A59" s="84"/>
      <c r="B59" s="85"/>
      <c r="C59" s="40" t="s">
        <v>251</v>
      </c>
      <c r="D59" s="41" t="s">
        <v>252</v>
      </c>
    </row>
    <row r="60" spans="1:5" x14ac:dyDescent="0.2">
      <c r="A60" s="78" t="s">
        <v>545</v>
      </c>
      <c r="B60" s="79"/>
      <c r="C60" s="42">
        <v>0.31334037450000002</v>
      </c>
      <c r="D60" s="42">
        <v>0.2901547484</v>
      </c>
    </row>
    <row r="61" spans="1:5" x14ac:dyDescent="0.2">
      <c r="A61" s="78" t="s">
        <v>548</v>
      </c>
      <c r="B61" s="79"/>
      <c r="C61" s="42">
        <v>0.31334037450000002</v>
      </c>
      <c r="D61" s="42">
        <v>0.2901547484</v>
      </c>
    </row>
    <row r="63" spans="1:5" ht="10.5" x14ac:dyDescent="0.25">
      <c r="A63" s="17" t="s">
        <v>253</v>
      </c>
      <c r="D63" s="43">
        <v>0.90368749863013698</v>
      </c>
      <c r="E63" s="15" t="s">
        <v>254</v>
      </c>
    </row>
    <row r="65" spans="1:4" ht="10.5" x14ac:dyDescent="0.25">
      <c r="A65" s="17" t="s">
        <v>255</v>
      </c>
      <c r="D65" s="46" t="s">
        <v>256</v>
      </c>
    </row>
  </sheetData>
  <mergeCells count="6">
    <mergeCell ref="A61:B61"/>
    <mergeCell ref="A1:F1"/>
    <mergeCell ref="C58:D58"/>
    <mergeCell ref="A58:B58"/>
    <mergeCell ref="A59:B59"/>
    <mergeCell ref="A60:B60"/>
  </mergeCells>
  <conditionalFormatting sqref="F2:F3 F5:F65533">
    <cfRule type="cellIs" dxfId="44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7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81640625" style="10" bestFit="1" customWidth="1"/>
    <col min="8" max="16384" width="9.1796875" style="10"/>
  </cols>
  <sheetData>
    <row r="1" spans="1:6" s="1" customFormat="1" ht="14" x14ac:dyDescent="0.25">
      <c r="A1" s="80" t="s">
        <v>29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955</v>
      </c>
      <c r="B7" s="26" t="s">
        <v>954</v>
      </c>
      <c r="C7" s="26" t="s">
        <v>176</v>
      </c>
      <c r="D7" s="30">
        <v>61</v>
      </c>
      <c r="E7" s="28">
        <v>618.54426999999998</v>
      </c>
      <c r="F7" s="29">
        <v>11.1587337188157</v>
      </c>
    </row>
    <row r="8" spans="1:6" x14ac:dyDescent="0.2">
      <c r="A8" s="26" t="s">
        <v>923</v>
      </c>
      <c r="B8" s="26" t="s">
        <v>922</v>
      </c>
      <c r="C8" s="26" t="s">
        <v>176</v>
      </c>
      <c r="D8" s="30">
        <v>45</v>
      </c>
      <c r="E8" s="28">
        <v>538.20764999999994</v>
      </c>
      <c r="F8" s="29">
        <v>9.7094357559558002</v>
      </c>
    </row>
    <row r="9" spans="1:6" x14ac:dyDescent="0.2">
      <c r="A9" s="26" t="s">
        <v>947</v>
      </c>
      <c r="B9" s="26" t="s">
        <v>946</v>
      </c>
      <c r="C9" s="26" t="s">
        <v>176</v>
      </c>
      <c r="D9" s="30">
        <v>45</v>
      </c>
      <c r="E9" s="28">
        <v>535.18814999999995</v>
      </c>
      <c r="F9" s="29">
        <v>9.6549630236096409</v>
      </c>
    </row>
    <row r="10" spans="1:6" x14ac:dyDescent="0.2">
      <c r="A10" s="26" t="s">
        <v>941</v>
      </c>
      <c r="B10" s="26" t="s">
        <v>940</v>
      </c>
      <c r="C10" s="26" t="s">
        <v>650</v>
      </c>
      <c r="D10" s="30">
        <v>46</v>
      </c>
      <c r="E10" s="28">
        <v>469.12088</v>
      </c>
      <c r="F10" s="29">
        <v>8.4630886352831496</v>
      </c>
    </row>
    <row r="11" spans="1:6" x14ac:dyDescent="0.2">
      <c r="A11" s="26" t="s">
        <v>961</v>
      </c>
      <c r="B11" s="26" t="s">
        <v>960</v>
      </c>
      <c r="C11" s="26" t="s">
        <v>176</v>
      </c>
      <c r="D11" s="30">
        <v>46</v>
      </c>
      <c r="E11" s="28">
        <v>466.12765999999999</v>
      </c>
      <c r="F11" s="29">
        <v>8.4090900024256605</v>
      </c>
    </row>
    <row r="12" spans="1:6" x14ac:dyDescent="0.2">
      <c r="A12" s="26" t="s">
        <v>953</v>
      </c>
      <c r="B12" s="26" t="s">
        <v>952</v>
      </c>
      <c r="C12" s="26" t="s">
        <v>176</v>
      </c>
      <c r="D12" s="30">
        <v>45</v>
      </c>
      <c r="E12" s="28">
        <v>456.55739999999997</v>
      </c>
      <c r="F12" s="29">
        <v>8.2364394935787608</v>
      </c>
    </row>
    <row r="13" spans="1:6" x14ac:dyDescent="0.2">
      <c r="A13" s="26" t="s">
        <v>700</v>
      </c>
      <c r="B13" s="26" t="s">
        <v>699</v>
      </c>
      <c r="C13" s="26" t="s">
        <v>650</v>
      </c>
      <c r="D13" s="30">
        <v>34</v>
      </c>
      <c r="E13" s="28">
        <v>403.64868000000001</v>
      </c>
      <c r="F13" s="29">
        <v>7.2819494974409196</v>
      </c>
    </row>
    <row r="14" spans="1:6" x14ac:dyDescent="0.2">
      <c r="A14" s="26" t="s">
        <v>731</v>
      </c>
      <c r="B14" s="26" t="s">
        <v>730</v>
      </c>
      <c r="C14" s="26" t="s">
        <v>176</v>
      </c>
      <c r="D14" s="30">
        <v>38</v>
      </c>
      <c r="E14" s="28">
        <v>387.30968000000001</v>
      </c>
      <c r="F14" s="29">
        <v>6.9871887841426998</v>
      </c>
    </row>
    <row r="15" spans="1:6" x14ac:dyDescent="0.2">
      <c r="A15" s="26" t="s">
        <v>901</v>
      </c>
      <c r="B15" s="26" t="s">
        <v>900</v>
      </c>
      <c r="C15" s="26" t="s">
        <v>176</v>
      </c>
      <c r="D15" s="30">
        <v>28</v>
      </c>
      <c r="E15" s="28">
        <v>333.90195999999997</v>
      </c>
      <c r="F15" s="29">
        <v>6.02369667062095</v>
      </c>
    </row>
    <row r="16" spans="1:6" x14ac:dyDescent="0.2">
      <c r="A16" s="26" t="s">
        <v>364</v>
      </c>
      <c r="B16" s="26" t="s">
        <v>363</v>
      </c>
      <c r="C16" s="26" t="s">
        <v>365</v>
      </c>
      <c r="D16" s="30">
        <v>20</v>
      </c>
      <c r="E16" s="28">
        <v>237.08600000000001</v>
      </c>
      <c r="F16" s="29">
        <v>4.2771062165997398</v>
      </c>
    </row>
    <row r="17" spans="1:9" x14ac:dyDescent="0.2">
      <c r="A17" s="26" t="s">
        <v>937</v>
      </c>
      <c r="B17" s="26" t="s">
        <v>936</v>
      </c>
      <c r="C17" s="26" t="s">
        <v>650</v>
      </c>
      <c r="D17" s="30">
        <v>20</v>
      </c>
      <c r="E17" s="28">
        <v>203.93799999999999</v>
      </c>
      <c r="F17" s="29">
        <v>3.6791058417659301</v>
      </c>
    </row>
    <row r="18" spans="1:9" x14ac:dyDescent="0.2">
      <c r="A18" s="26" t="s">
        <v>967</v>
      </c>
      <c r="B18" s="26" t="s">
        <v>966</v>
      </c>
      <c r="C18" s="26" t="s">
        <v>176</v>
      </c>
      <c r="D18" s="30">
        <v>17</v>
      </c>
      <c r="E18" s="28">
        <v>158.43626</v>
      </c>
      <c r="F18" s="29">
        <v>2.8582401009794398</v>
      </c>
    </row>
    <row r="19" spans="1:9" x14ac:dyDescent="0.2">
      <c r="A19" s="26" t="s">
        <v>362</v>
      </c>
      <c r="B19" s="26" t="s">
        <v>361</v>
      </c>
      <c r="C19" s="26" t="s">
        <v>176</v>
      </c>
      <c r="D19" s="30">
        <v>1</v>
      </c>
      <c r="E19" s="28">
        <v>10.087199999999999</v>
      </c>
      <c r="F19" s="29">
        <v>0.18197626948906701</v>
      </c>
    </row>
    <row r="20" spans="1:9" ht="10.5" x14ac:dyDescent="0.25">
      <c r="A20" s="25" t="s">
        <v>177</v>
      </c>
      <c r="B20" s="25"/>
      <c r="C20" s="25"/>
      <c r="D20" s="31"/>
      <c r="E20" s="32">
        <f>SUM(E6:E19)</f>
        <v>4818.1537900000003</v>
      </c>
      <c r="F20" s="33">
        <f>SUM(F6:F19)</f>
        <v>86.921014010707452</v>
      </c>
      <c r="G20" s="17"/>
      <c r="H20" s="17"/>
      <c r="I20" s="17"/>
    </row>
    <row r="21" spans="1:9" x14ac:dyDescent="0.2">
      <c r="A21" s="26"/>
      <c r="B21" s="26"/>
      <c r="C21" s="26"/>
      <c r="D21" s="27"/>
      <c r="E21" s="28"/>
      <c r="F21" s="29"/>
    </row>
    <row r="22" spans="1:9" ht="10.5" x14ac:dyDescent="0.25">
      <c r="A22" s="25" t="s">
        <v>178</v>
      </c>
      <c r="B22" s="26"/>
      <c r="C22" s="26"/>
      <c r="D22" s="27"/>
      <c r="E22" s="28"/>
      <c r="F22" s="29"/>
    </row>
    <row r="23" spans="1:9" x14ac:dyDescent="0.2">
      <c r="A23" s="26" t="s">
        <v>951</v>
      </c>
      <c r="B23" s="26" t="s">
        <v>950</v>
      </c>
      <c r="C23" s="26" t="s">
        <v>603</v>
      </c>
      <c r="D23" s="30">
        <v>45</v>
      </c>
      <c r="E23" s="28">
        <v>453.46140000000003</v>
      </c>
      <c r="F23" s="29">
        <v>8.1805866771045999</v>
      </c>
    </row>
    <row r="24" spans="1:9" x14ac:dyDescent="0.2">
      <c r="A24" s="26" t="s">
        <v>737</v>
      </c>
      <c r="B24" s="26" t="s">
        <v>736</v>
      </c>
      <c r="C24" s="26" t="s">
        <v>176</v>
      </c>
      <c r="D24" s="30">
        <v>6</v>
      </c>
      <c r="E24" s="28">
        <v>59.938980000000001</v>
      </c>
      <c r="F24" s="29">
        <v>1.0813181038722099</v>
      </c>
    </row>
    <row r="25" spans="1:9" ht="10.5" x14ac:dyDescent="0.25">
      <c r="A25" s="25" t="s">
        <v>177</v>
      </c>
      <c r="B25" s="25"/>
      <c r="C25" s="25"/>
      <c r="D25" s="31"/>
      <c r="E25" s="32">
        <f>SUM(E22:E24)</f>
        <v>513.40038000000004</v>
      </c>
      <c r="F25" s="33">
        <f>SUM(F22:F24)</f>
        <v>9.2619047809768098</v>
      </c>
      <c r="G25" s="17"/>
      <c r="H25" s="17"/>
      <c r="I25" s="17"/>
    </row>
    <row r="26" spans="1:9" x14ac:dyDescent="0.2">
      <c r="A26" s="26"/>
      <c r="B26" s="26"/>
      <c r="C26" s="26"/>
      <c r="D26" s="27"/>
      <c r="E26" s="28"/>
      <c r="F26" s="29"/>
    </row>
    <row r="27" spans="1:9" ht="10.5" x14ac:dyDescent="0.25">
      <c r="A27" s="25" t="s">
        <v>221</v>
      </c>
      <c r="B27" s="26"/>
      <c r="C27" s="26"/>
      <c r="D27" s="27"/>
      <c r="E27" s="28"/>
      <c r="F27" s="29"/>
    </row>
    <row r="28" spans="1:9" ht="10.5" x14ac:dyDescent="0.25">
      <c r="A28" s="25" t="s">
        <v>463</v>
      </c>
      <c r="B28" s="26"/>
      <c r="C28" s="26"/>
      <c r="D28" s="27"/>
      <c r="E28" s="28"/>
      <c r="F28" s="29"/>
    </row>
    <row r="29" spans="1:9" x14ac:dyDescent="0.2">
      <c r="A29" s="26" t="s">
        <v>488</v>
      </c>
      <c r="B29" s="26" t="s">
        <v>487</v>
      </c>
      <c r="C29" s="26" t="s">
        <v>466</v>
      </c>
      <c r="D29" s="30">
        <v>87</v>
      </c>
      <c r="E29" s="28">
        <v>83.376624000000007</v>
      </c>
      <c r="F29" s="29">
        <v>1.5041405938330401</v>
      </c>
    </row>
    <row r="30" spans="1:9" ht="10.5" x14ac:dyDescent="0.25">
      <c r="A30" s="25" t="s">
        <v>177</v>
      </c>
      <c r="B30" s="25"/>
      <c r="C30" s="25"/>
      <c r="D30" s="31"/>
      <c r="E30" s="32">
        <f>SUM(E28:E29)</f>
        <v>83.376624000000007</v>
      </c>
      <c r="F30" s="33">
        <f>SUM(F28:F29)</f>
        <v>1.5041405938330401</v>
      </c>
      <c r="G30" s="17"/>
      <c r="H30" s="17"/>
      <c r="I30" s="17"/>
    </row>
    <row r="31" spans="1:9" x14ac:dyDescent="0.2">
      <c r="A31" s="26"/>
      <c r="B31" s="26"/>
      <c r="C31" s="26"/>
      <c r="D31" s="27"/>
      <c r="E31" s="28"/>
      <c r="F31" s="29"/>
    </row>
    <row r="32" spans="1:9" ht="10.5" x14ac:dyDescent="0.25">
      <c r="A32" s="25" t="s">
        <v>226</v>
      </c>
      <c r="B32" s="25"/>
      <c r="C32" s="25"/>
      <c r="D32" s="31"/>
      <c r="E32" s="32">
        <f>E20+E25+E30</f>
        <v>5414.9307940000008</v>
      </c>
      <c r="F32" s="33">
        <f>F20+F25+F30</f>
        <v>97.687059385517301</v>
      </c>
      <c r="G32" s="17"/>
      <c r="H32" s="17"/>
      <c r="I32" s="17"/>
    </row>
    <row r="33" spans="1:9" ht="10.5" x14ac:dyDescent="0.25">
      <c r="A33" s="25"/>
      <c r="B33" s="25"/>
      <c r="C33" s="25"/>
      <c r="D33" s="31"/>
      <c r="E33" s="32"/>
      <c r="F33" s="33"/>
      <c r="G33" s="17"/>
      <c r="H33" s="17"/>
      <c r="I33" s="17"/>
    </row>
    <row r="34" spans="1:9" ht="10.5" x14ac:dyDescent="0.25">
      <c r="A34" s="25" t="s">
        <v>228</v>
      </c>
      <c r="B34" s="25"/>
      <c r="C34" s="25"/>
      <c r="D34" s="31"/>
      <c r="E34" s="32">
        <f>E36-(E20+E25+E30)</f>
        <v>128.20954419999907</v>
      </c>
      <c r="F34" s="33">
        <f>F36-(F20+F25+F30)</f>
        <v>2.3129406144826987</v>
      </c>
      <c r="G34" s="17"/>
      <c r="H34" s="17"/>
      <c r="I34" s="17"/>
    </row>
    <row r="35" spans="1:9" ht="10.5" x14ac:dyDescent="0.25">
      <c r="A35" s="25"/>
      <c r="B35" s="25"/>
      <c r="C35" s="25"/>
      <c r="D35" s="31"/>
      <c r="E35" s="32"/>
      <c r="F35" s="33"/>
      <c r="G35" s="17"/>
      <c r="H35" s="17"/>
      <c r="I35" s="17"/>
    </row>
    <row r="36" spans="1:9" ht="10.5" x14ac:dyDescent="0.25">
      <c r="A36" s="34" t="s">
        <v>227</v>
      </c>
      <c r="B36" s="34"/>
      <c r="C36" s="34"/>
      <c r="D36" s="35"/>
      <c r="E36" s="36">
        <v>5543.1403381999999</v>
      </c>
      <c r="F36" s="37">
        <v>100</v>
      </c>
      <c r="G36" s="17"/>
      <c r="H36" s="17"/>
      <c r="I36" s="17"/>
    </row>
    <row r="37" spans="1:9" ht="10.5" x14ac:dyDescent="0.25">
      <c r="A37" s="17" t="s">
        <v>231</v>
      </c>
    </row>
    <row r="39" spans="1:9" ht="10.5" x14ac:dyDescent="0.25">
      <c r="A39" s="17" t="s">
        <v>232</v>
      </c>
    </row>
    <row r="40" spans="1:9" ht="10.5" x14ac:dyDescent="0.25">
      <c r="A40" s="17" t="s">
        <v>233</v>
      </c>
    </row>
    <row r="41" spans="1:9" ht="10.5" x14ac:dyDescent="0.25">
      <c r="A41" s="17" t="s">
        <v>234</v>
      </c>
      <c r="B41" s="17"/>
      <c r="C41" s="38" t="s">
        <v>236</v>
      </c>
      <c r="D41" s="18" t="s">
        <v>235</v>
      </c>
    </row>
    <row r="42" spans="1:9" x14ac:dyDescent="0.2">
      <c r="A42" s="10" t="s">
        <v>543</v>
      </c>
      <c r="C42" s="39">
        <v>11.333</v>
      </c>
      <c r="D42" s="39">
        <v>11.764900000000001</v>
      </c>
    </row>
    <row r="43" spans="1:9" x14ac:dyDescent="0.2">
      <c r="A43" s="10" t="s">
        <v>859</v>
      </c>
      <c r="C43" s="39">
        <v>10.7271</v>
      </c>
      <c r="D43" s="39">
        <v>10.229200000000001</v>
      </c>
    </row>
    <row r="44" spans="1:9" x14ac:dyDescent="0.2">
      <c r="A44" s="10" t="s">
        <v>545</v>
      </c>
      <c r="C44" s="39">
        <v>10.2332</v>
      </c>
      <c r="D44" s="39">
        <v>10.2164</v>
      </c>
    </row>
    <row r="45" spans="1:9" x14ac:dyDescent="0.2">
      <c r="A45" s="10" t="s">
        <v>546</v>
      </c>
      <c r="C45" s="39">
        <v>11.401199999999999</v>
      </c>
      <c r="D45" s="39">
        <v>11.835699999999999</v>
      </c>
    </row>
    <row r="46" spans="1:9" x14ac:dyDescent="0.2">
      <c r="A46" s="10" t="s">
        <v>548</v>
      </c>
      <c r="C46" s="39">
        <v>10.2898</v>
      </c>
      <c r="D46" s="39">
        <v>10.2753</v>
      </c>
    </row>
    <row r="48" spans="1:9" ht="10.5" x14ac:dyDescent="0.25">
      <c r="A48" s="17" t="s">
        <v>248</v>
      </c>
    </row>
    <row r="49" spans="1:5" ht="10.5" x14ac:dyDescent="0.25">
      <c r="A49" s="84" t="s">
        <v>249</v>
      </c>
      <c r="B49" s="85"/>
      <c r="C49" s="82" t="s">
        <v>250</v>
      </c>
      <c r="D49" s="83"/>
    </row>
    <row r="50" spans="1:5" ht="10.5" x14ac:dyDescent="0.25">
      <c r="A50" s="84"/>
      <c r="B50" s="85"/>
      <c r="C50" s="40" t="s">
        <v>251</v>
      </c>
      <c r="D50" s="41" t="s">
        <v>252</v>
      </c>
    </row>
    <row r="51" spans="1:5" x14ac:dyDescent="0.2">
      <c r="A51" s="78" t="s">
        <v>859</v>
      </c>
      <c r="B51" s="79"/>
      <c r="C51" s="42">
        <v>0.64829042999999997</v>
      </c>
      <c r="D51" s="42">
        <v>0.60032016899999996</v>
      </c>
    </row>
    <row r="52" spans="1:5" x14ac:dyDescent="0.2">
      <c r="A52" s="78" t="s">
        <v>545</v>
      </c>
      <c r="B52" s="79"/>
      <c r="C52" s="42">
        <v>0.28812907999999998</v>
      </c>
      <c r="D52" s="42">
        <v>0.26680896409999999</v>
      </c>
    </row>
    <row r="53" spans="1:5" x14ac:dyDescent="0.2">
      <c r="A53" s="78" t="s">
        <v>548</v>
      </c>
      <c r="B53" s="79"/>
      <c r="C53" s="42">
        <v>0.28812907999999998</v>
      </c>
      <c r="D53" s="42">
        <v>0.26680896409999999</v>
      </c>
    </row>
    <row r="55" spans="1:5" ht="10.5" x14ac:dyDescent="0.25">
      <c r="A55" s="17" t="s">
        <v>253</v>
      </c>
      <c r="D55" s="43">
        <v>0.88183370580821896</v>
      </c>
      <c r="E55" s="15" t="s">
        <v>254</v>
      </c>
    </row>
    <row r="57" spans="1:5" ht="10.5" x14ac:dyDescent="0.25">
      <c r="A57" s="17" t="s">
        <v>255</v>
      </c>
      <c r="D57" s="46" t="s">
        <v>256</v>
      </c>
    </row>
  </sheetData>
  <mergeCells count="7">
    <mergeCell ref="A53:B53"/>
    <mergeCell ref="A1:F1"/>
    <mergeCell ref="C49:D49"/>
    <mergeCell ref="A49:B49"/>
    <mergeCell ref="A50:B50"/>
    <mergeCell ref="A51:B51"/>
    <mergeCell ref="A52:B52"/>
  </mergeCells>
  <conditionalFormatting sqref="F2:F3 F5:F65533">
    <cfRule type="cellIs" dxfId="43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64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81640625" style="10" bestFit="1" customWidth="1"/>
    <col min="8" max="16384" width="9.1796875" style="10"/>
  </cols>
  <sheetData>
    <row r="1" spans="1:6" s="1" customFormat="1" ht="14" x14ac:dyDescent="0.25">
      <c r="A1" s="80" t="s">
        <v>30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955</v>
      </c>
      <c r="B7" s="26" t="s">
        <v>954</v>
      </c>
      <c r="C7" s="26" t="s">
        <v>176</v>
      </c>
      <c r="D7" s="30">
        <v>132</v>
      </c>
      <c r="E7" s="28">
        <v>1338.4892400000001</v>
      </c>
      <c r="F7" s="29">
        <v>11.044180453556001</v>
      </c>
    </row>
    <row r="8" spans="1:6" x14ac:dyDescent="0.2">
      <c r="A8" s="26" t="s">
        <v>923</v>
      </c>
      <c r="B8" s="26" t="s">
        <v>922</v>
      </c>
      <c r="C8" s="26" t="s">
        <v>176</v>
      </c>
      <c r="D8" s="30">
        <v>100</v>
      </c>
      <c r="E8" s="28">
        <v>1196.0170000000001</v>
      </c>
      <c r="F8" s="29">
        <v>9.8686094581684802</v>
      </c>
    </row>
    <row r="9" spans="1:6" x14ac:dyDescent="0.2">
      <c r="A9" s="26" t="s">
        <v>731</v>
      </c>
      <c r="B9" s="26" t="s">
        <v>730</v>
      </c>
      <c r="C9" s="26" t="s">
        <v>176</v>
      </c>
      <c r="D9" s="30">
        <v>110</v>
      </c>
      <c r="E9" s="28">
        <v>1121.1596</v>
      </c>
      <c r="F9" s="29">
        <v>9.2509439520311094</v>
      </c>
    </row>
    <row r="10" spans="1:6" x14ac:dyDescent="0.2">
      <c r="A10" s="26" t="s">
        <v>937</v>
      </c>
      <c r="B10" s="26" t="s">
        <v>936</v>
      </c>
      <c r="C10" s="26" t="s">
        <v>650</v>
      </c>
      <c r="D10" s="30">
        <v>101</v>
      </c>
      <c r="E10" s="28">
        <v>1029.8869</v>
      </c>
      <c r="F10" s="29">
        <v>8.4978320560525606</v>
      </c>
    </row>
    <row r="11" spans="1:6" x14ac:dyDescent="0.2">
      <c r="A11" s="26" t="s">
        <v>947</v>
      </c>
      <c r="B11" s="26" t="s">
        <v>946</v>
      </c>
      <c r="C11" s="26" t="s">
        <v>176</v>
      </c>
      <c r="D11" s="30">
        <v>84</v>
      </c>
      <c r="E11" s="28">
        <v>999.01787999999999</v>
      </c>
      <c r="F11" s="29">
        <v>8.2431247210093392</v>
      </c>
    </row>
    <row r="12" spans="1:6" x14ac:dyDescent="0.2">
      <c r="A12" s="26" t="s">
        <v>901</v>
      </c>
      <c r="B12" s="26" t="s">
        <v>900</v>
      </c>
      <c r="C12" s="26" t="s">
        <v>176</v>
      </c>
      <c r="D12" s="30">
        <v>77</v>
      </c>
      <c r="E12" s="28">
        <v>918.23039000000006</v>
      </c>
      <c r="F12" s="29">
        <v>7.5765286877458502</v>
      </c>
    </row>
    <row r="13" spans="1:6" x14ac:dyDescent="0.2">
      <c r="A13" s="26" t="s">
        <v>700</v>
      </c>
      <c r="B13" s="26" t="s">
        <v>699</v>
      </c>
      <c r="C13" s="26" t="s">
        <v>650</v>
      </c>
      <c r="D13" s="30">
        <v>70</v>
      </c>
      <c r="E13" s="28">
        <v>831.04139999999995</v>
      </c>
      <c r="F13" s="29">
        <v>6.8571124157679799</v>
      </c>
    </row>
    <row r="14" spans="1:6" x14ac:dyDescent="0.2">
      <c r="A14" s="26" t="s">
        <v>969</v>
      </c>
      <c r="B14" s="26" t="s">
        <v>968</v>
      </c>
      <c r="C14" s="26" t="s">
        <v>176</v>
      </c>
      <c r="D14" s="30">
        <v>75</v>
      </c>
      <c r="E14" s="28">
        <v>760.44150000000002</v>
      </c>
      <c r="F14" s="29">
        <v>6.2745765146179604</v>
      </c>
    </row>
    <row r="15" spans="1:6" x14ac:dyDescent="0.2">
      <c r="A15" s="26" t="s">
        <v>971</v>
      </c>
      <c r="B15" s="26" t="s">
        <v>970</v>
      </c>
      <c r="C15" s="26" t="s">
        <v>650</v>
      </c>
      <c r="D15" s="30">
        <v>56</v>
      </c>
      <c r="E15" s="28">
        <v>568.88552000000004</v>
      </c>
      <c r="F15" s="29">
        <v>4.6940043689070396</v>
      </c>
    </row>
    <row r="16" spans="1:6" x14ac:dyDescent="0.2">
      <c r="A16" s="26" t="s">
        <v>607</v>
      </c>
      <c r="B16" s="26" t="s">
        <v>606</v>
      </c>
      <c r="C16" s="26" t="s">
        <v>176</v>
      </c>
      <c r="D16" s="30">
        <v>45</v>
      </c>
      <c r="E16" s="28">
        <v>452.65410000000003</v>
      </c>
      <c r="F16" s="29">
        <v>3.7349523732010002</v>
      </c>
    </row>
    <row r="17" spans="1:9" x14ac:dyDescent="0.2">
      <c r="A17" s="26" t="s">
        <v>953</v>
      </c>
      <c r="B17" s="26" t="s">
        <v>952</v>
      </c>
      <c r="C17" s="26" t="s">
        <v>176</v>
      </c>
      <c r="D17" s="30">
        <v>27</v>
      </c>
      <c r="E17" s="28">
        <v>273.93444</v>
      </c>
      <c r="F17" s="29">
        <v>2.2602956358497299</v>
      </c>
    </row>
    <row r="18" spans="1:9" x14ac:dyDescent="0.2">
      <c r="A18" s="26" t="s">
        <v>945</v>
      </c>
      <c r="B18" s="26" t="s">
        <v>944</v>
      </c>
      <c r="C18" s="26" t="s">
        <v>176</v>
      </c>
      <c r="D18" s="30">
        <v>11</v>
      </c>
      <c r="E18" s="28">
        <v>113.01103000000001</v>
      </c>
      <c r="F18" s="29">
        <v>0.93247982222272896</v>
      </c>
    </row>
    <row r="19" spans="1:9" x14ac:dyDescent="0.2">
      <c r="A19" s="26" t="s">
        <v>364</v>
      </c>
      <c r="B19" s="26" t="s">
        <v>363</v>
      </c>
      <c r="C19" s="26" t="s">
        <v>365</v>
      </c>
      <c r="D19" s="30">
        <v>9</v>
      </c>
      <c r="E19" s="28">
        <v>106.6887</v>
      </c>
      <c r="F19" s="29">
        <v>0.88031283326215204</v>
      </c>
    </row>
    <row r="20" spans="1:9" x14ac:dyDescent="0.2">
      <c r="A20" s="26" t="s">
        <v>973</v>
      </c>
      <c r="B20" s="26" t="s">
        <v>972</v>
      </c>
      <c r="C20" s="26" t="s">
        <v>176</v>
      </c>
      <c r="D20" s="30">
        <v>8</v>
      </c>
      <c r="E20" s="28">
        <v>80.929760000000002</v>
      </c>
      <c r="F20" s="29">
        <v>0.66776993553043595</v>
      </c>
    </row>
    <row r="21" spans="1:9" x14ac:dyDescent="0.2">
      <c r="A21" s="26" t="s">
        <v>961</v>
      </c>
      <c r="B21" s="26" t="s">
        <v>960</v>
      </c>
      <c r="C21" s="26" t="s">
        <v>176</v>
      </c>
      <c r="D21" s="30">
        <v>4</v>
      </c>
      <c r="E21" s="28">
        <v>40.53284</v>
      </c>
      <c r="F21" s="29">
        <v>0.334445721248469</v>
      </c>
    </row>
    <row r="22" spans="1:9" x14ac:dyDescent="0.2">
      <c r="A22" s="26" t="s">
        <v>975</v>
      </c>
      <c r="B22" s="26" t="s">
        <v>974</v>
      </c>
      <c r="C22" s="26" t="s">
        <v>176</v>
      </c>
      <c r="D22" s="30">
        <v>3</v>
      </c>
      <c r="E22" s="28">
        <v>38.638199999999998</v>
      </c>
      <c r="F22" s="29">
        <v>0.31881261383960702</v>
      </c>
    </row>
    <row r="23" spans="1:9" x14ac:dyDescent="0.2">
      <c r="A23" s="26" t="s">
        <v>941</v>
      </c>
      <c r="B23" s="26" t="s">
        <v>940</v>
      </c>
      <c r="C23" s="26" t="s">
        <v>650</v>
      </c>
      <c r="D23" s="30">
        <v>1</v>
      </c>
      <c r="E23" s="28">
        <v>10.19828</v>
      </c>
      <c r="F23" s="29">
        <v>8.41483377452414E-2</v>
      </c>
    </row>
    <row r="24" spans="1:9" x14ac:dyDescent="0.2">
      <c r="A24" s="26" t="s">
        <v>362</v>
      </c>
      <c r="B24" s="26" t="s">
        <v>361</v>
      </c>
      <c r="C24" s="26" t="s">
        <v>176</v>
      </c>
      <c r="D24" s="30">
        <v>1</v>
      </c>
      <c r="E24" s="28">
        <v>10.087199999999999</v>
      </c>
      <c r="F24" s="29">
        <v>8.3231791292629698E-2</v>
      </c>
    </row>
    <row r="25" spans="1:9" ht="10.5" x14ac:dyDescent="0.25">
      <c r="A25" s="25" t="s">
        <v>177</v>
      </c>
      <c r="B25" s="25"/>
      <c r="C25" s="25"/>
      <c r="D25" s="31"/>
      <c r="E25" s="32">
        <f>SUM(E6:E24)</f>
        <v>9889.8439799999996</v>
      </c>
      <c r="F25" s="33">
        <f>SUM(F6:F24)</f>
        <v>81.603361692048324</v>
      </c>
      <c r="G25" s="17"/>
      <c r="H25" s="17"/>
      <c r="I25" s="17"/>
    </row>
    <row r="26" spans="1:9" x14ac:dyDescent="0.2">
      <c r="A26" s="26"/>
      <c r="B26" s="26"/>
      <c r="C26" s="26"/>
      <c r="D26" s="27"/>
      <c r="E26" s="28"/>
      <c r="F26" s="29"/>
    </row>
    <row r="27" spans="1:9" ht="10.5" x14ac:dyDescent="0.25">
      <c r="A27" s="25" t="s">
        <v>178</v>
      </c>
      <c r="B27" s="26"/>
      <c r="C27" s="26"/>
      <c r="D27" s="27"/>
      <c r="E27" s="28"/>
      <c r="F27" s="29"/>
    </row>
    <row r="28" spans="1:9" x14ac:dyDescent="0.2">
      <c r="A28" s="26" t="s">
        <v>951</v>
      </c>
      <c r="B28" s="26" t="s">
        <v>950</v>
      </c>
      <c r="C28" s="26" t="s">
        <v>603</v>
      </c>
      <c r="D28" s="30">
        <v>100</v>
      </c>
      <c r="E28" s="28">
        <v>1007.692</v>
      </c>
      <c r="F28" s="29">
        <v>8.31469686644982</v>
      </c>
    </row>
    <row r="29" spans="1:9" x14ac:dyDescent="0.2">
      <c r="A29" s="26" t="s">
        <v>977</v>
      </c>
      <c r="B29" s="26" t="s">
        <v>976</v>
      </c>
      <c r="C29" s="26" t="s">
        <v>176</v>
      </c>
      <c r="D29" s="30">
        <v>72</v>
      </c>
      <c r="E29" s="28">
        <v>724.18895999999995</v>
      </c>
      <c r="F29" s="29">
        <v>5.9754485263647501</v>
      </c>
    </row>
    <row r="30" spans="1:9" ht="10.5" x14ac:dyDescent="0.25">
      <c r="A30" s="25" t="s">
        <v>177</v>
      </c>
      <c r="B30" s="25"/>
      <c r="C30" s="25"/>
      <c r="D30" s="31"/>
      <c r="E30" s="32">
        <f>SUM(E27:E29)</f>
        <v>1731.88096</v>
      </c>
      <c r="F30" s="33">
        <f>SUM(F27:F29)</f>
        <v>14.290145392814569</v>
      </c>
      <c r="G30" s="17"/>
      <c r="H30" s="17"/>
      <c r="I30" s="17"/>
    </row>
    <row r="31" spans="1:9" x14ac:dyDescent="0.2">
      <c r="A31" s="26"/>
      <c r="B31" s="26"/>
      <c r="C31" s="26"/>
      <c r="D31" s="27"/>
      <c r="E31" s="28"/>
      <c r="F31" s="29"/>
    </row>
    <row r="32" spans="1:9" ht="10.5" x14ac:dyDescent="0.25">
      <c r="A32" s="25" t="s">
        <v>221</v>
      </c>
      <c r="B32" s="26"/>
      <c r="C32" s="26"/>
      <c r="D32" s="27"/>
      <c r="E32" s="28"/>
      <c r="F32" s="29"/>
    </row>
    <row r="33" spans="1:9" ht="10.5" x14ac:dyDescent="0.25">
      <c r="A33" s="25" t="s">
        <v>463</v>
      </c>
      <c r="B33" s="26"/>
      <c r="C33" s="26"/>
      <c r="D33" s="27"/>
      <c r="E33" s="28"/>
      <c r="F33" s="29"/>
    </row>
    <row r="34" spans="1:9" x14ac:dyDescent="0.2">
      <c r="A34" s="26" t="s">
        <v>488</v>
      </c>
      <c r="B34" s="26" t="s">
        <v>487</v>
      </c>
      <c r="C34" s="26" t="s">
        <v>466</v>
      </c>
      <c r="D34" s="30">
        <v>117</v>
      </c>
      <c r="E34" s="28">
        <v>112.127184</v>
      </c>
      <c r="F34" s="29">
        <v>0.92518700699086798</v>
      </c>
    </row>
    <row r="35" spans="1:9" ht="10.5" x14ac:dyDescent="0.25">
      <c r="A35" s="25" t="s">
        <v>177</v>
      </c>
      <c r="B35" s="25"/>
      <c r="C35" s="25"/>
      <c r="D35" s="31"/>
      <c r="E35" s="32">
        <f>SUM(E33:E34)</f>
        <v>112.127184</v>
      </c>
      <c r="F35" s="33">
        <f>SUM(F33:F34)</f>
        <v>0.92518700699086798</v>
      </c>
      <c r="G35" s="17"/>
      <c r="H35" s="17"/>
      <c r="I35" s="17"/>
    </row>
    <row r="36" spans="1:9" x14ac:dyDescent="0.2">
      <c r="A36" s="26"/>
      <c r="B36" s="26"/>
      <c r="C36" s="26"/>
      <c r="D36" s="27"/>
      <c r="E36" s="28"/>
      <c r="F36" s="29"/>
    </row>
    <row r="37" spans="1:9" ht="10.5" x14ac:dyDescent="0.25">
      <c r="A37" s="25" t="s">
        <v>226</v>
      </c>
      <c r="B37" s="25"/>
      <c r="C37" s="25"/>
      <c r="D37" s="31"/>
      <c r="E37" s="32">
        <f>E25+E30+E35</f>
        <v>11733.852124000001</v>
      </c>
      <c r="F37" s="33">
        <f>F25+F30+F35</f>
        <v>96.818694091853757</v>
      </c>
      <c r="G37" s="17"/>
      <c r="H37" s="17"/>
      <c r="I37" s="17"/>
    </row>
    <row r="38" spans="1:9" ht="10.5" x14ac:dyDescent="0.25">
      <c r="A38" s="25"/>
      <c r="B38" s="25"/>
      <c r="C38" s="25"/>
      <c r="D38" s="31"/>
      <c r="E38" s="32"/>
      <c r="F38" s="33"/>
      <c r="G38" s="17"/>
      <c r="H38" s="17"/>
      <c r="I38" s="17"/>
    </row>
    <row r="39" spans="1:9" ht="10.5" x14ac:dyDescent="0.25">
      <c r="A39" s="25" t="s">
        <v>228</v>
      </c>
      <c r="B39" s="25"/>
      <c r="C39" s="25"/>
      <c r="D39" s="31"/>
      <c r="E39" s="32">
        <f>E41-(E25+E30+E35)</f>
        <v>385.55542849999983</v>
      </c>
      <c r="F39" s="33">
        <f>F41-(F25+F30+F35)</f>
        <v>3.1813059081462427</v>
      </c>
      <c r="G39" s="17"/>
      <c r="H39" s="17"/>
      <c r="I39" s="17"/>
    </row>
    <row r="40" spans="1:9" ht="10.5" x14ac:dyDescent="0.25">
      <c r="A40" s="25"/>
      <c r="B40" s="25"/>
      <c r="C40" s="25"/>
      <c r="D40" s="31"/>
      <c r="E40" s="32"/>
      <c r="F40" s="33"/>
      <c r="G40" s="17"/>
      <c r="H40" s="17"/>
      <c r="I40" s="17"/>
    </row>
    <row r="41" spans="1:9" ht="10.5" x14ac:dyDescent="0.25">
      <c r="A41" s="34" t="s">
        <v>227</v>
      </c>
      <c r="B41" s="34"/>
      <c r="C41" s="34"/>
      <c r="D41" s="35"/>
      <c r="E41" s="36">
        <v>12119.407552500001</v>
      </c>
      <c r="F41" s="37">
        <v>100</v>
      </c>
      <c r="G41" s="17"/>
      <c r="H41" s="17"/>
      <c r="I41" s="17"/>
    </row>
    <row r="42" spans="1:9" ht="10.5" x14ac:dyDescent="0.25">
      <c r="A42" s="17" t="s">
        <v>231</v>
      </c>
    </row>
    <row r="44" spans="1:9" ht="10.5" x14ac:dyDescent="0.25">
      <c r="A44" s="17" t="s">
        <v>232</v>
      </c>
    </row>
    <row r="45" spans="1:9" ht="10.5" x14ac:dyDescent="0.25">
      <c r="A45" s="17" t="s">
        <v>233</v>
      </c>
    </row>
    <row r="46" spans="1:9" ht="10.5" x14ac:dyDescent="0.25">
      <c r="A46" s="17" t="s">
        <v>234</v>
      </c>
      <c r="B46" s="17"/>
      <c r="C46" s="38" t="s">
        <v>236</v>
      </c>
      <c r="D46" s="18" t="s">
        <v>235</v>
      </c>
    </row>
    <row r="47" spans="1:9" x14ac:dyDescent="0.2">
      <c r="A47" s="10" t="s">
        <v>543</v>
      </c>
      <c r="C47" s="39">
        <v>11.3553</v>
      </c>
      <c r="D47" s="39">
        <v>11.787100000000001</v>
      </c>
    </row>
    <row r="48" spans="1:9" x14ac:dyDescent="0.2">
      <c r="A48" s="10" t="s">
        <v>859</v>
      </c>
      <c r="C48" s="39">
        <v>10.7441</v>
      </c>
      <c r="D48" s="39">
        <v>10.226000000000001</v>
      </c>
    </row>
    <row r="49" spans="1:5" x14ac:dyDescent="0.2">
      <c r="A49" s="10" t="s">
        <v>545</v>
      </c>
      <c r="C49" s="39">
        <v>10.2334</v>
      </c>
      <c r="D49" s="39">
        <v>10.2158</v>
      </c>
    </row>
    <row r="50" spans="1:5" x14ac:dyDescent="0.2">
      <c r="A50" s="10" t="s">
        <v>546</v>
      </c>
      <c r="C50" s="39">
        <v>11.4236</v>
      </c>
      <c r="D50" s="39">
        <v>11.858000000000001</v>
      </c>
    </row>
    <row r="51" spans="1:5" x14ac:dyDescent="0.2">
      <c r="A51" s="10" t="s">
        <v>581</v>
      </c>
      <c r="C51" s="39">
        <v>10.8124</v>
      </c>
      <c r="D51" s="39">
        <v>10.297000000000001</v>
      </c>
    </row>
    <row r="52" spans="1:5" x14ac:dyDescent="0.2">
      <c r="A52" s="10" t="s">
        <v>548</v>
      </c>
      <c r="C52" s="39">
        <v>10.267799999999999</v>
      </c>
      <c r="D52" s="39">
        <v>10.2515</v>
      </c>
    </row>
    <row r="54" spans="1:5" ht="10.5" x14ac:dyDescent="0.25">
      <c r="A54" s="17" t="s">
        <v>248</v>
      </c>
    </row>
    <row r="55" spans="1:5" ht="10.5" x14ac:dyDescent="0.25">
      <c r="A55" s="84" t="s">
        <v>249</v>
      </c>
      <c r="B55" s="85"/>
      <c r="C55" s="82" t="s">
        <v>250</v>
      </c>
      <c r="D55" s="83"/>
    </row>
    <row r="56" spans="1:5" ht="10.5" x14ac:dyDescent="0.25">
      <c r="A56" s="84"/>
      <c r="B56" s="85"/>
      <c r="C56" s="40" t="s">
        <v>251</v>
      </c>
      <c r="D56" s="41" t="s">
        <v>252</v>
      </c>
    </row>
    <row r="57" spans="1:5" x14ac:dyDescent="0.2">
      <c r="A57" s="78" t="s">
        <v>859</v>
      </c>
      <c r="B57" s="79"/>
      <c r="C57" s="42">
        <v>0.66269688400000004</v>
      </c>
      <c r="D57" s="42">
        <v>0.61366061719999998</v>
      </c>
    </row>
    <row r="58" spans="1:5" x14ac:dyDescent="0.2">
      <c r="A58" s="78" t="s">
        <v>545</v>
      </c>
      <c r="B58" s="79"/>
      <c r="C58" s="42">
        <v>0.28812907999999998</v>
      </c>
      <c r="D58" s="42">
        <v>0.26680896409999999</v>
      </c>
    </row>
    <row r="59" spans="1:5" x14ac:dyDescent="0.2">
      <c r="A59" s="78" t="s">
        <v>581</v>
      </c>
      <c r="B59" s="79"/>
      <c r="C59" s="42">
        <v>0.66269688400000004</v>
      </c>
      <c r="D59" s="42">
        <v>0.61366061719999998</v>
      </c>
    </row>
    <row r="60" spans="1:5" x14ac:dyDescent="0.2">
      <c r="A60" s="78" t="s">
        <v>548</v>
      </c>
      <c r="B60" s="79"/>
      <c r="C60" s="42">
        <v>0.28812907999999998</v>
      </c>
      <c r="D60" s="42">
        <v>0.26680896409999999</v>
      </c>
    </row>
    <row r="62" spans="1:5" ht="10.5" x14ac:dyDescent="0.25">
      <c r="A62" s="17" t="s">
        <v>253</v>
      </c>
      <c r="D62" s="43">
        <v>0.86214427893150702</v>
      </c>
      <c r="E62" s="15" t="s">
        <v>254</v>
      </c>
    </row>
    <row r="64" spans="1:5" ht="10.5" x14ac:dyDescent="0.25">
      <c r="A64" s="17" t="s">
        <v>255</v>
      </c>
      <c r="D64" s="46" t="s">
        <v>256</v>
      </c>
    </row>
  </sheetData>
  <mergeCells count="8">
    <mergeCell ref="A59:B59"/>
    <mergeCell ref="A60:B60"/>
    <mergeCell ref="A1:F1"/>
    <mergeCell ref="C55:D55"/>
    <mergeCell ref="A55:B55"/>
    <mergeCell ref="A56:B56"/>
    <mergeCell ref="A57:B57"/>
    <mergeCell ref="A58:B58"/>
  </mergeCells>
  <conditionalFormatting sqref="F2:F3 F5:F65533">
    <cfRule type="cellIs" dxfId="42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59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1.179687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7265625" style="10" bestFit="1" customWidth="1"/>
    <col min="8" max="16384" width="9.1796875" style="10"/>
  </cols>
  <sheetData>
    <row r="1" spans="1:6" s="1" customFormat="1" ht="14" x14ac:dyDescent="0.25">
      <c r="A1" s="80" t="s">
        <v>31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923</v>
      </c>
      <c r="B7" s="26" t="s">
        <v>922</v>
      </c>
      <c r="C7" s="26" t="s">
        <v>176</v>
      </c>
      <c r="D7" s="30">
        <v>61</v>
      </c>
      <c r="E7" s="28">
        <v>729.57037000000003</v>
      </c>
      <c r="F7" s="29">
        <v>9.9113070778758701</v>
      </c>
    </row>
    <row r="8" spans="1:6" x14ac:dyDescent="0.2">
      <c r="A8" s="26" t="s">
        <v>937</v>
      </c>
      <c r="B8" s="26" t="s">
        <v>936</v>
      </c>
      <c r="C8" s="26" t="s">
        <v>650</v>
      </c>
      <c r="D8" s="30">
        <v>61</v>
      </c>
      <c r="E8" s="28">
        <v>622.01089999999999</v>
      </c>
      <c r="F8" s="29">
        <v>8.4500978784074494</v>
      </c>
    </row>
    <row r="9" spans="1:6" x14ac:dyDescent="0.2">
      <c r="A9" s="26" t="s">
        <v>971</v>
      </c>
      <c r="B9" s="26" t="s">
        <v>970</v>
      </c>
      <c r="C9" s="26" t="s">
        <v>650</v>
      </c>
      <c r="D9" s="30">
        <v>61</v>
      </c>
      <c r="E9" s="28">
        <v>619.67886999999996</v>
      </c>
      <c r="F9" s="29">
        <v>8.41841695166584</v>
      </c>
    </row>
    <row r="10" spans="1:6" x14ac:dyDescent="0.2">
      <c r="A10" s="26" t="s">
        <v>969</v>
      </c>
      <c r="B10" s="26" t="s">
        <v>968</v>
      </c>
      <c r="C10" s="26" t="s">
        <v>176</v>
      </c>
      <c r="D10" s="30">
        <v>61</v>
      </c>
      <c r="E10" s="28">
        <v>618.49242000000004</v>
      </c>
      <c r="F10" s="29">
        <v>8.4022988761982997</v>
      </c>
    </row>
    <row r="11" spans="1:6" x14ac:dyDescent="0.2">
      <c r="A11" s="26" t="s">
        <v>973</v>
      </c>
      <c r="B11" s="26" t="s">
        <v>972</v>
      </c>
      <c r="C11" s="26" t="s">
        <v>176</v>
      </c>
      <c r="D11" s="30">
        <v>61</v>
      </c>
      <c r="E11" s="28">
        <v>617.08942000000002</v>
      </c>
      <c r="F11" s="29">
        <v>8.3832389411981101</v>
      </c>
    </row>
    <row r="12" spans="1:6" x14ac:dyDescent="0.2">
      <c r="A12" s="26" t="s">
        <v>652</v>
      </c>
      <c r="B12" s="26" t="s">
        <v>651</v>
      </c>
      <c r="C12" s="26" t="s">
        <v>176</v>
      </c>
      <c r="D12" s="30">
        <v>5</v>
      </c>
      <c r="E12" s="28">
        <v>506.87049999999999</v>
      </c>
      <c r="F12" s="29">
        <v>6.8859007722812002</v>
      </c>
    </row>
    <row r="13" spans="1:6" x14ac:dyDescent="0.2">
      <c r="A13" s="26" t="s">
        <v>700</v>
      </c>
      <c r="B13" s="26" t="s">
        <v>699</v>
      </c>
      <c r="C13" s="26" t="s">
        <v>650</v>
      </c>
      <c r="D13" s="30">
        <v>40</v>
      </c>
      <c r="E13" s="28">
        <v>474.88080000000002</v>
      </c>
      <c r="F13" s="29">
        <v>6.4513165936102297</v>
      </c>
    </row>
    <row r="14" spans="1:6" x14ac:dyDescent="0.2">
      <c r="A14" s="26" t="s">
        <v>731</v>
      </c>
      <c r="B14" s="26" t="s">
        <v>730</v>
      </c>
      <c r="C14" s="26" t="s">
        <v>176</v>
      </c>
      <c r="D14" s="30">
        <v>38</v>
      </c>
      <c r="E14" s="28">
        <v>387.30968000000001</v>
      </c>
      <c r="F14" s="29">
        <v>5.2616516933299202</v>
      </c>
    </row>
    <row r="15" spans="1:6" x14ac:dyDescent="0.2">
      <c r="A15" s="26" t="s">
        <v>607</v>
      </c>
      <c r="B15" s="26" t="s">
        <v>606</v>
      </c>
      <c r="C15" s="26" t="s">
        <v>176</v>
      </c>
      <c r="D15" s="30">
        <v>36</v>
      </c>
      <c r="E15" s="28">
        <v>362.12328000000002</v>
      </c>
      <c r="F15" s="29">
        <v>4.9194912179994699</v>
      </c>
    </row>
    <row r="16" spans="1:6" x14ac:dyDescent="0.2">
      <c r="A16" s="26" t="s">
        <v>901</v>
      </c>
      <c r="B16" s="26" t="s">
        <v>900</v>
      </c>
      <c r="C16" s="26" t="s">
        <v>176</v>
      </c>
      <c r="D16" s="30">
        <v>30</v>
      </c>
      <c r="E16" s="28">
        <v>357.75209999999998</v>
      </c>
      <c r="F16" s="29">
        <v>4.86010817689177</v>
      </c>
    </row>
    <row r="17" spans="1:9" x14ac:dyDescent="0.2">
      <c r="A17" s="26" t="s">
        <v>955</v>
      </c>
      <c r="B17" s="26" t="s">
        <v>954</v>
      </c>
      <c r="C17" s="26" t="s">
        <v>176</v>
      </c>
      <c r="D17" s="30">
        <v>21</v>
      </c>
      <c r="E17" s="28">
        <v>212.94147000000001</v>
      </c>
      <c r="F17" s="29">
        <v>2.8928371896247498</v>
      </c>
    </row>
    <row r="18" spans="1:9" x14ac:dyDescent="0.2">
      <c r="A18" s="26" t="s">
        <v>364</v>
      </c>
      <c r="B18" s="26" t="s">
        <v>363</v>
      </c>
      <c r="C18" s="26" t="s">
        <v>365</v>
      </c>
      <c r="D18" s="30">
        <v>10</v>
      </c>
      <c r="E18" s="28">
        <v>118.54300000000001</v>
      </c>
      <c r="F18" s="29">
        <v>1.61042186366839</v>
      </c>
    </row>
    <row r="19" spans="1:9" x14ac:dyDescent="0.2">
      <c r="A19" s="26" t="s">
        <v>945</v>
      </c>
      <c r="B19" s="26" t="s">
        <v>944</v>
      </c>
      <c r="C19" s="26" t="s">
        <v>176</v>
      </c>
      <c r="D19" s="30">
        <v>10</v>
      </c>
      <c r="E19" s="28">
        <v>102.7373</v>
      </c>
      <c r="F19" s="29">
        <v>1.39569940135022</v>
      </c>
    </row>
    <row r="20" spans="1:9" x14ac:dyDescent="0.2">
      <c r="A20" s="26" t="s">
        <v>362</v>
      </c>
      <c r="B20" s="26" t="s">
        <v>361</v>
      </c>
      <c r="C20" s="26" t="s">
        <v>176</v>
      </c>
      <c r="D20" s="30">
        <v>2</v>
      </c>
      <c r="E20" s="28">
        <v>20.174399999999999</v>
      </c>
      <c r="F20" s="29">
        <v>0.2740718123077</v>
      </c>
    </row>
    <row r="21" spans="1:9" x14ac:dyDescent="0.2">
      <c r="A21" s="26" t="s">
        <v>947</v>
      </c>
      <c r="B21" s="26" t="s">
        <v>946</v>
      </c>
      <c r="C21" s="26" t="s">
        <v>176</v>
      </c>
      <c r="D21" s="30">
        <v>1</v>
      </c>
      <c r="E21" s="28">
        <v>11.89307</v>
      </c>
      <c r="F21" s="29">
        <v>0.16156888179090001</v>
      </c>
    </row>
    <row r="22" spans="1:9" x14ac:dyDescent="0.2">
      <c r="A22" s="26" t="s">
        <v>941</v>
      </c>
      <c r="B22" s="26" t="s">
        <v>940</v>
      </c>
      <c r="C22" s="26" t="s">
        <v>650</v>
      </c>
      <c r="D22" s="30">
        <v>1</v>
      </c>
      <c r="E22" s="28">
        <v>10.19828</v>
      </c>
      <c r="F22" s="29">
        <v>0.13854494220503999</v>
      </c>
    </row>
    <row r="23" spans="1:9" x14ac:dyDescent="0.2">
      <c r="A23" s="26" t="s">
        <v>979</v>
      </c>
      <c r="B23" s="26" t="s">
        <v>978</v>
      </c>
      <c r="C23" s="26" t="s">
        <v>176</v>
      </c>
      <c r="D23" s="30">
        <v>1</v>
      </c>
      <c r="E23" s="28">
        <v>10.031359999999999</v>
      </c>
      <c r="F23" s="29">
        <v>0.136277312589765</v>
      </c>
    </row>
    <row r="24" spans="1:9" ht="10.5" x14ac:dyDescent="0.25">
      <c r="A24" s="25" t="s">
        <v>177</v>
      </c>
      <c r="B24" s="25"/>
      <c r="C24" s="25"/>
      <c r="D24" s="31"/>
      <c r="E24" s="32">
        <f>SUM(E6:E23)</f>
        <v>5782.2972199999986</v>
      </c>
      <c r="F24" s="33">
        <f>SUM(F6:F23)</f>
        <v>78.553249582994923</v>
      </c>
      <c r="G24" s="17"/>
      <c r="H24" s="17"/>
      <c r="I24" s="17"/>
    </row>
    <row r="25" spans="1:9" x14ac:dyDescent="0.2">
      <c r="A25" s="26"/>
      <c r="B25" s="26"/>
      <c r="C25" s="26"/>
      <c r="D25" s="27"/>
      <c r="E25" s="28"/>
      <c r="F25" s="29"/>
    </row>
    <row r="26" spans="1:9" ht="10.5" x14ac:dyDescent="0.25">
      <c r="A26" s="25" t="s">
        <v>178</v>
      </c>
      <c r="B26" s="26"/>
      <c r="C26" s="26"/>
      <c r="D26" s="27"/>
      <c r="E26" s="28"/>
      <c r="F26" s="29"/>
    </row>
    <row r="27" spans="1:9" x14ac:dyDescent="0.2">
      <c r="A27" s="26" t="s">
        <v>951</v>
      </c>
      <c r="B27" s="26" t="s">
        <v>950</v>
      </c>
      <c r="C27" s="26" t="s">
        <v>603</v>
      </c>
      <c r="D27" s="30">
        <v>61</v>
      </c>
      <c r="E27" s="28">
        <v>614.69212000000005</v>
      </c>
      <c r="F27" s="29">
        <v>8.3506713131325796</v>
      </c>
    </row>
    <row r="28" spans="1:9" x14ac:dyDescent="0.2">
      <c r="A28" s="26" t="s">
        <v>977</v>
      </c>
      <c r="B28" s="26" t="s">
        <v>976</v>
      </c>
      <c r="C28" s="26" t="s">
        <v>176</v>
      </c>
      <c r="D28" s="30">
        <v>61</v>
      </c>
      <c r="E28" s="28">
        <v>613.54898000000003</v>
      </c>
      <c r="F28" s="29">
        <v>8.3351416095715596</v>
      </c>
    </row>
    <row r="29" spans="1:9" ht="10.5" x14ac:dyDescent="0.25">
      <c r="A29" s="25" t="s">
        <v>177</v>
      </c>
      <c r="B29" s="25"/>
      <c r="C29" s="25"/>
      <c r="D29" s="31"/>
      <c r="E29" s="32">
        <f>SUM(E26:E28)</f>
        <v>1228.2411000000002</v>
      </c>
      <c r="F29" s="33">
        <f>SUM(F26:F28)</f>
        <v>16.685812922704137</v>
      </c>
      <c r="G29" s="17"/>
      <c r="H29" s="17"/>
      <c r="I29" s="17"/>
    </row>
    <row r="30" spans="1:9" x14ac:dyDescent="0.2">
      <c r="A30" s="26"/>
      <c r="B30" s="26"/>
      <c r="C30" s="26"/>
      <c r="D30" s="27"/>
      <c r="E30" s="28"/>
      <c r="F30" s="29"/>
    </row>
    <row r="31" spans="1:9" ht="10.5" x14ac:dyDescent="0.25">
      <c r="A31" s="25" t="s">
        <v>221</v>
      </c>
      <c r="B31" s="26"/>
      <c r="C31" s="26"/>
      <c r="D31" s="27"/>
      <c r="E31" s="28"/>
      <c r="F31" s="29"/>
    </row>
    <row r="32" spans="1:9" ht="10.5" x14ac:dyDescent="0.25">
      <c r="A32" s="25" t="s">
        <v>463</v>
      </c>
      <c r="B32" s="26"/>
      <c r="C32" s="26"/>
      <c r="D32" s="27"/>
      <c r="E32" s="28"/>
      <c r="F32" s="29"/>
    </row>
    <row r="33" spans="1:9" x14ac:dyDescent="0.2">
      <c r="A33" s="26" t="s">
        <v>488</v>
      </c>
      <c r="B33" s="26" t="s">
        <v>487</v>
      </c>
      <c r="C33" s="26" t="s">
        <v>466</v>
      </c>
      <c r="D33" s="30">
        <v>56</v>
      </c>
      <c r="E33" s="28">
        <v>53.667712000000002</v>
      </c>
      <c r="F33" s="29">
        <v>0.72908275290703495</v>
      </c>
    </row>
    <row r="34" spans="1:9" ht="10.5" x14ac:dyDescent="0.25">
      <c r="A34" s="25" t="s">
        <v>177</v>
      </c>
      <c r="B34" s="25"/>
      <c r="C34" s="25"/>
      <c r="D34" s="31"/>
      <c r="E34" s="32">
        <f>SUM(E32:E33)</f>
        <v>53.667712000000002</v>
      </c>
      <c r="F34" s="33">
        <f>SUM(F32:F33)</f>
        <v>0.72908275290703495</v>
      </c>
      <c r="G34" s="17"/>
      <c r="H34" s="17"/>
      <c r="I34" s="17"/>
    </row>
    <row r="35" spans="1:9" x14ac:dyDescent="0.2">
      <c r="A35" s="26"/>
      <c r="B35" s="26"/>
      <c r="C35" s="26"/>
      <c r="D35" s="27"/>
      <c r="E35" s="28"/>
      <c r="F35" s="29"/>
    </row>
    <row r="36" spans="1:9" ht="10.5" x14ac:dyDescent="0.25">
      <c r="A36" s="25" t="s">
        <v>226</v>
      </c>
      <c r="B36" s="25"/>
      <c r="C36" s="25"/>
      <c r="D36" s="31"/>
      <c r="E36" s="32">
        <f>E24+E29+E34</f>
        <v>7064.2060319999991</v>
      </c>
      <c r="F36" s="33">
        <f>F24+F29+F34</f>
        <v>95.968145258606086</v>
      </c>
      <c r="G36" s="17"/>
      <c r="H36" s="17"/>
      <c r="I36" s="17"/>
    </row>
    <row r="37" spans="1:9" ht="10.5" x14ac:dyDescent="0.25">
      <c r="A37" s="25"/>
      <c r="B37" s="25"/>
      <c r="C37" s="25"/>
      <c r="D37" s="31"/>
      <c r="E37" s="32"/>
      <c r="F37" s="33"/>
      <c r="G37" s="17"/>
      <c r="H37" s="17"/>
      <c r="I37" s="17"/>
    </row>
    <row r="38" spans="1:9" ht="10.5" x14ac:dyDescent="0.25">
      <c r="A38" s="25" t="s">
        <v>228</v>
      </c>
      <c r="B38" s="25"/>
      <c r="C38" s="25"/>
      <c r="D38" s="31"/>
      <c r="E38" s="32">
        <f>E40-(E24+E29+E34)</f>
        <v>296.78444350000063</v>
      </c>
      <c r="F38" s="33">
        <f>F40-(F24+F29+F34)</f>
        <v>4.0318547413939143</v>
      </c>
      <c r="G38" s="17"/>
      <c r="H38" s="17"/>
      <c r="I38" s="17"/>
    </row>
    <row r="39" spans="1:9" ht="10.5" x14ac:dyDescent="0.25">
      <c r="A39" s="25"/>
      <c r="B39" s="25"/>
      <c r="C39" s="25"/>
      <c r="D39" s="31"/>
      <c r="E39" s="32"/>
      <c r="F39" s="33"/>
      <c r="G39" s="17"/>
      <c r="H39" s="17"/>
      <c r="I39" s="17"/>
    </row>
    <row r="40" spans="1:9" ht="10.5" x14ac:dyDescent="0.25">
      <c r="A40" s="34" t="s">
        <v>227</v>
      </c>
      <c r="B40" s="34"/>
      <c r="C40" s="34"/>
      <c r="D40" s="35"/>
      <c r="E40" s="36">
        <v>7360.9904754999998</v>
      </c>
      <c r="F40" s="37">
        <v>100</v>
      </c>
      <c r="G40" s="17"/>
      <c r="H40" s="17"/>
      <c r="I40" s="17"/>
    </row>
    <row r="41" spans="1:9" ht="10.5" x14ac:dyDescent="0.25">
      <c r="A41" s="17" t="s">
        <v>231</v>
      </c>
    </row>
    <row r="43" spans="1:9" ht="10.5" x14ac:dyDescent="0.25">
      <c r="A43" s="17" t="s">
        <v>232</v>
      </c>
    </row>
    <row r="44" spans="1:9" ht="10.5" x14ac:dyDescent="0.25">
      <c r="A44" s="17" t="s">
        <v>233</v>
      </c>
    </row>
    <row r="45" spans="1:9" ht="10.5" x14ac:dyDescent="0.25">
      <c r="A45" s="17" t="s">
        <v>234</v>
      </c>
      <c r="B45" s="17"/>
      <c r="C45" s="38" t="s">
        <v>236</v>
      </c>
      <c r="D45" s="18" t="s">
        <v>235</v>
      </c>
    </row>
    <row r="46" spans="1:9" x14ac:dyDescent="0.2">
      <c r="A46" s="10" t="s">
        <v>543</v>
      </c>
      <c r="C46" s="39">
        <v>11.425599999999999</v>
      </c>
      <c r="D46" s="39">
        <v>11.8613</v>
      </c>
    </row>
    <row r="47" spans="1:9" x14ac:dyDescent="0.2">
      <c r="A47" s="10" t="s">
        <v>859</v>
      </c>
      <c r="C47" s="39">
        <v>10.7348</v>
      </c>
      <c r="D47" s="39">
        <v>10.2384</v>
      </c>
    </row>
    <row r="48" spans="1:9" x14ac:dyDescent="0.2">
      <c r="A48" s="10" t="s">
        <v>545</v>
      </c>
      <c r="C48" s="39">
        <v>10.252000000000001</v>
      </c>
      <c r="D48" s="39">
        <v>10.226100000000001</v>
      </c>
    </row>
    <row r="49" spans="1:5" x14ac:dyDescent="0.2">
      <c r="A49" s="10" t="s">
        <v>546</v>
      </c>
      <c r="C49" s="39">
        <v>11.482900000000001</v>
      </c>
      <c r="D49" s="39">
        <v>11.9207</v>
      </c>
    </row>
    <row r="51" spans="1:5" ht="10.5" x14ac:dyDescent="0.25">
      <c r="A51" s="17" t="s">
        <v>248</v>
      </c>
    </row>
    <row r="52" spans="1:5" ht="10.5" x14ac:dyDescent="0.25">
      <c r="A52" s="84" t="s">
        <v>249</v>
      </c>
      <c r="B52" s="85"/>
      <c r="C52" s="82" t="s">
        <v>250</v>
      </c>
      <c r="D52" s="83"/>
    </row>
    <row r="53" spans="1:5" ht="10.5" x14ac:dyDescent="0.25">
      <c r="A53" s="84"/>
      <c r="B53" s="85"/>
      <c r="C53" s="40" t="s">
        <v>251</v>
      </c>
      <c r="D53" s="41" t="s">
        <v>252</v>
      </c>
    </row>
    <row r="54" spans="1:5" x14ac:dyDescent="0.2">
      <c r="A54" s="78" t="s">
        <v>859</v>
      </c>
      <c r="B54" s="79"/>
      <c r="C54" s="42">
        <v>0.64829042999999997</v>
      </c>
      <c r="D54" s="42">
        <v>0.60032016899999996</v>
      </c>
    </row>
    <row r="55" spans="1:5" x14ac:dyDescent="0.2">
      <c r="A55" s="78" t="s">
        <v>545</v>
      </c>
      <c r="B55" s="79"/>
      <c r="C55" s="42">
        <v>0.29533230700000002</v>
      </c>
      <c r="D55" s="42">
        <v>0.27347918809999999</v>
      </c>
    </row>
    <row r="57" spans="1:5" ht="10.5" x14ac:dyDescent="0.25">
      <c r="A57" s="17" t="s">
        <v>253</v>
      </c>
      <c r="D57" s="43">
        <v>0.84792595457534203</v>
      </c>
      <c r="E57" s="15" t="s">
        <v>254</v>
      </c>
    </row>
    <row r="59" spans="1:5" ht="10.5" x14ac:dyDescent="0.25">
      <c r="A59" s="17" t="s">
        <v>255</v>
      </c>
      <c r="D59" s="46" t="s">
        <v>256</v>
      </c>
    </row>
  </sheetData>
  <mergeCells count="6">
    <mergeCell ref="A55:B55"/>
    <mergeCell ref="A1:F1"/>
    <mergeCell ref="C52:D52"/>
    <mergeCell ref="A52:B52"/>
    <mergeCell ref="A53:B53"/>
    <mergeCell ref="A54:B54"/>
  </mergeCells>
  <conditionalFormatting sqref="F2:F3 F5:F65533">
    <cfRule type="cellIs" dxfId="41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61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1.26953125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54296875" style="10" bestFit="1" customWidth="1"/>
    <col min="8" max="16384" width="9.1796875" style="10"/>
  </cols>
  <sheetData>
    <row r="1" spans="1:6" s="1" customFormat="1" ht="14" x14ac:dyDescent="0.25">
      <c r="A1" s="80" t="s">
        <v>32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967</v>
      </c>
      <c r="B7" s="26" t="s">
        <v>966</v>
      </c>
      <c r="C7" s="26" t="s">
        <v>176</v>
      </c>
      <c r="D7" s="30">
        <v>86</v>
      </c>
      <c r="E7" s="28">
        <v>801.50108</v>
      </c>
      <c r="F7" s="29">
        <v>9.8689933292889105</v>
      </c>
    </row>
    <row r="8" spans="1:6" x14ac:dyDescent="0.2">
      <c r="A8" s="26" t="s">
        <v>923</v>
      </c>
      <c r="B8" s="26" t="s">
        <v>922</v>
      </c>
      <c r="C8" s="26" t="s">
        <v>176</v>
      </c>
      <c r="D8" s="30">
        <v>67</v>
      </c>
      <c r="E8" s="28">
        <v>801.33139000000006</v>
      </c>
      <c r="F8" s="29">
        <v>9.8669039129177598</v>
      </c>
    </row>
    <row r="9" spans="1:6" x14ac:dyDescent="0.2">
      <c r="A9" s="26" t="s">
        <v>731</v>
      </c>
      <c r="B9" s="26" t="s">
        <v>730</v>
      </c>
      <c r="C9" s="26" t="s">
        <v>176</v>
      </c>
      <c r="D9" s="30">
        <v>72</v>
      </c>
      <c r="E9" s="28">
        <v>733.84992</v>
      </c>
      <c r="F9" s="29">
        <v>9.0359952667552204</v>
      </c>
    </row>
    <row r="10" spans="1:6" x14ac:dyDescent="0.2">
      <c r="A10" s="26" t="s">
        <v>937</v>
      </c>
      <c r="B10" s="26" t="s">
        <v>936</v>
      </c>
      <c r="C10" s="26" t="s">
        <v>650</v>
      </c>
      <c r="D10" s="30">
        <v>68</v>
      </c>
      <c r="E10" s="28">
        <v>693.38919999999996</v>
      </c>
      <c r="F10" s="29">
        <v>8.5377968416473902</v>
      </c>
    </row>
    <row r="11" spans="1:6" x14ac:dyDescent="0.2">
      <c r="A11" s="26" t="s">
        <v>971</v>
      </c>
      <c r="B11" s="26" t="s">
        <v>970</v>
      </c>
      <c r="C11" s="26" t="s">
        <v>650</v>
      </c>
      <c r="D11" s="30">
        <v>68</v>
      </c>
      <c r="E11" s="28">
        <v>690.78956000000005</v>
      </c>
      <c r="F11" s="29">
        <v>8.5057871158232494</v>
      </c>
    </row>
    <row r="12" spans="1:6" x14ac:dyDescent="0.2">
      <c r="A12" s="26" t="s">
        <v>969</v>
      </c>
      <c r="B12" s="26" t="s">
        <v>968</v>
      </c>
      <c r="C12" s="26" t="s">
        <v>176</v>
      </c>
      <c r="D12" s="30">
        <v>68</v>
      </c>
      <c r="E12" s="28">
        <v>689.46695999999997</v>
      </c>
      <c r="F12" s="29">
        <v>8.4895017596297002</v>
      </c>
    </row>
    <row r="13" spans="1:6" x14ac:dyDescent="0.2">
      <c r="A13" s="26" t="s">
        <v>973</v>
      </c>
      <c r="B13" s="26" t="s">
        <v>972</v>
      </c>
      <c r="C13" s="26" t="s">
        <v>176</v>
      </c>
      <c r="D13" s="30">
        <v>68</v>
      </c>
      <c r="E13" s="28">
        <v>687.90296000000001</v>
      </c>
      <c r="F13" s="29">
        <v>8.4702440119458</v>
      </c>
    </row>
    <row r="14" spans="1:6" x14ac:dyDescent="0.2">
      <c r="A14" s="26" t="s">
        <v>981</v>
      </c>
      <c r="B14" s="26" t="s">
        <v>980</v>
      </c>
      <c r="C14" s="26" t="s">
        <v>176</v>
      </c>
      <c r="D14" s="30">
        <v>50</v>
      </c>
      <c r="E14" s="28">
        <v>508.98099999999999</v>
      </c>
      <c r="F14" s="29">
        <v>6.2671532441787798</v>
      </c>
    </row>
    <row r="15" spans="1:6" x14ac:dyDescent="0.2">
      <c r="A15" s="26" t="s">
        <v>925</v>
      </c>
      <c r="B15" s="26" t="s">
        <v>924</v>
      </c>
      <c r="C15" s="26" t="s">
        <v>176</v>
      </c>
      <c r="D15" s="30">
        <v>16</v>
      </c>
      <c r="E15" s="28">
        <v>160.60159999999999</v>
      </c>
      <c r="F15" s="29">
        <v>1.9775096486122301</v>
      </c>
    </row>
    <row r="16" spans="1:6" x14ac:dyDescent="0.2">
      <c r="A16" s="26" t="s">
        <v>362</v>
      </c>
      <c r="B16" s="26" t="s">
        <v>361</v>
      </c>
      <c r="C16" s="26" t="s">
        <v>176</v>
      </c>
      <c r="D16" s="30">
        <v>7</v>
      </c>
      <c r="E16" s="28">
        <v>70.610399999999998</v>
      </c>
      <c r="F16" s="29">
        <v>0.86943559274857296</v>
      </c>
    </row>
    <row r="17" spans="1:9" x14ac:dyDescent="0.2">
      <c r="A17" s="26" t="s">
        <v>955</v>
      </c>
      <c r="B17" s="26" t="s">
        <v>954</v>
      </c>
      <c r="C17" s="26" t="s">
        <v>176</v>
      </c>
      <c r="D17" s="30">
        <v>6</v>
      </c>
      <c r="E17" s="28">
        <v>60.840420000000002</v>
      </c>
      <c r="F17" s="29">
        <v>0.74913648167652602</v>
      </c>
    </row>
    <row r="18" spans="1:9" x14ac:dyDescent="0.2">
      <c r="A18" s="26" t="s">
        <v>947</v>
      </c>
      <c r="B18" s="26" t="s">
        <v>946</v>
      </c>
      <c r="C18" s="26" t="s">
        <v>176</v>
      </c>
      <c r="D18" s="30">
        <v>4</v>
      </c>
      <c r="E18" s="28">
        <v>47.572279999999999</v>
      </c>
      <c r="F18" s="29">
        <v>0.58576404410966498</v>
      </c>
    </row>
    <row r="19" spans="1:9" x14ac:dyDescent="0.2">
      <c r="A19" s="26" t="s">
        <v>364</v>
      </c>
      <c r="B19" s="26" t="s">
        <v>363</v>
      </c>
      <c r="C19" s="26" t="s">
        <v>365</v>
      </c>
      <c r="D19" s="30">
        <v>3</v>
      </c>
      <c r="E19" s="28">
        <v>35.562899999999999</v>
      </c>
      <c r="F19" s="29">
        <v>0.43789089201248299</v>
      </c>
    </row>
    <row r="20" spans="1:9" x14ac:dyDescent="0.2">
      <c r="A20" s="26" t="s">
        <v>945</v>
      </c>
      <c r="B20" s="26" t="s">
        <v>944</v>
      </c>
      <c r="C20" s="26" t="s">
        <v>176</v>
      </c>
      <c r="D20" s="30">
        <v>3</v>
      </c>
      <c r="E20" s="28">
        <v>30.821190000000001</v>
      </c>
      <c r="F20" s="29">
        <v>0.379505562875531</v>
      </c>
    </row>
    <row r="21" spans="1:9" x14ac:dyDescent="0.2">
      <c r="A21" s="26" t="s">
        <v>983</v>
      </c>
      <c r="B21" s="26" t="s">
        <v>982</v>
      </c>
      <c r="C21" s="26" t="s">
        <v>650</v>
      </c>
      <c r="D21" s="30">
        <v>1</v>
      </c>
      <c r="E21" s="28">
        <v>10.07245</v>
      </c>
      <c r="F21" s="29">
        <v>0.124023465894264</v>
      </c>
    </row>
    <row r="22" spans="1:9" ht="10.5" x14ac:dyDescent="0.25">
      <c r="A22" s="25" t="s">
        <v>177</v>
      </c>
      <c r="B22" s="25"/>
      <c r="C22" s="25"/>
      <c r="D22" s="31"/>
      <c r="E22" s="32">
        <f>SUM(E6:E21)</f>
        <v>6023.29331</v>
      </c>
      <c r="F22" s="33">
        <f>SUM(F6:F21)</f>
        <v>74.165641170116103</v>
      </c>
      <c r="G22" s="17"/>
      <c r="H22" s="17"/>
      <c r="I22" s="17"/>
    </row>
    <row r="23" spans="1:9" x14ac:dyDescent="0.2">
      <c r="A23" s="26"/>
      <c r="B23" s="26"/>
      <c r="C23" s="26"/>
      <c r="D23" s="27"/>
      <c r="E23" s="28"/>
      <c r="F23" s="29"/>
    </row>
    <row r="24" spans="1:9" ht="10.5" x14ac:dyDescent="0.25">
      <c r="A24" s="25" t="s">
        <v>178</v>
      </c>
      <c r="B24" s="26"/>
      <c r="C24" s="26"/>
      <c r="D24" s="27"/>
      <c r="E24" s="28"/>
      <c r="F24" s="29"/>
    </row>
    <row r="25" spans="1:9" x14ac:dyDescent="0.2">
      <c r="A25" s="26" t="s">
        <v>977</v>
      </c>
      <c r="B25" s="26" t="s">
        <v>976</v>
      </c>
      <c r="C25" s="26" t="s">
        <v>176</v>
      </c>
      <c r="D25" s="30">
        <v>68</v>
      </c>
      <c r="E25" s="28">
        <v>683.95623999999998</v>
      </c>
      <c r="F25" s="29">
        <v>8.4216475043121903</v>
      </c>
    </row>
    <row r="26" spans="1:9" x14ac:dyDescent="0.2">
      <c r="A26" s="26" t="s">
        <v>951</v>
      </c>
      <c r="B26" s="26" t="s">
        <v>950</v>
      </c>
      <c r="C26" s="26" t="s">
        <v>603</v>
      </c>
      <c r="D26" s="30">
        <v>67</v>
      </c>
      <c r="E26" s="28">
        <v>675.15364</v>
      </c>
      <c r="F26" s="29">
        <v>8.3132598765869705</v>
      </c>
    </row>
    <row r="27" spans="1:9" x14ac:dyDescent="0.2">
      <c r="A27" s="26" t="s">
        <v>737</v>
      </c>
      <c r="B27" s="26" t="s">
        <v>736</v>
      </c>
      <c r="C27" s="26" t="s">
        <v>176</v>
      </c>
      <c r="D27" s="30">
        <v>12</v>
      </c>
      <c r="E27" s="28">
        <v>119.87796</v>
      </c>
      <c r="F27" s="29">
        <v>1.47607385328634</v>
      </c>
    </row>
    <row r="28" spans="1:9" ht="10.5" x14ac:dyDescent="0.25">
      <c r="A28" s="25" t="s">
        <v>177</v>
      </c>
      <c r="B28" s="25"/>
      <c r="C28" s="25"/>
      <c r="D28" s="31"/>
      <c r="E28" s="32">
        <f>SUM(E24:E27)</f>
        <v>1478.98784</v>
      </c>
      <c r="F28" s="33">
        <f>SUM(F24:F27)</f>
        <v>18.2109812341855</v>
      </c>
      <c r="G28" s="17"/>
      <c r="H28" s="17"/>
      <c r="I28" s="17"/>
    </row>
    <row r="29" spans="1:9" x14ac:dyDescent="0.2">
      <c r="A29" s="26"/>
      <c r="B29" s="26"/>
      <c r="C29" s="26"/>
      <c r="D29" s="27"/>
      <c r="E29" s="28"/>
      <c r="F29" s="29"/>
    </row>
    <row r="30" spans="1:9" ht="10.5" x14ac:dyDescent="0.25">
      <c r="A30" s="25" t="s">
        <v>221</v>
      </c>
      <c r="B30" s="26"/>
      <c r="C30" s="26"/>
      <c r="D30" s="27"/>
      <c r="E30" s="28"/>
      <c r="F30" s="29"/>
    </row>
    <row r="31" spans="1:9" ht="10.5" x14ac:dyDescent="0.25">
      <c r="A31" s="25" t="s">
        <v>463</v>
      </c>
      <c r="B31" s="26"/>
      <c r="C31" s="26"/>
      <c r="D31" s="27"/>
      <c r="E31" s="28"/>
      <c r="F31" s="29"/>
    </row>
    <row r="32" spans="1:9" x14ac:dyDescent="0.2">
      <c r="A32" s="26" t="s">
        <v>488</v>
      </c>
      <c r="B32" s="26" t="s">
        <v>487</v>
      </c>
      <c r="C32" s="26" t="s">
        <v>466</v>
      </c>
      <c r="D32" s="30">
        <v>36</v>
      </c>
      <c r="E32" s="28">
        <v>34.500672000000002</v>
      </c>
      <c r="F32" s="29">
        <v>0.424811532161609</v>
      </c>
    </row>
    <row r="33" spans="1:9" ht="10.5" x14ac:dyDescent="0.25">
      <c r="A33" s="25" t="s">
        <v>177</v>
      </c>
      <c r="B33" s="25"/>
      <c r="C33" s="25"/>
      <c r="D33" s="31"/>
      <c r="E33" s="32">
        <f>SUM(E31:E32)</f>
        <v>34.500672000000002</v>
      </c>
      <c r="F33" s="33">
        <f>SUM(F31:F32)</f>
        <v>0.424811532161609</v>
      </c>
      <c r="G33" s="17"/>
      <c r="H33" s="17"/>
      <c r="I33" s="17"/>
    </row>
    <row r="34" spans="1:9" x14ac:dyDescent="0.2">
      <c r="A34" s="26"/>
      <c r="B34" s="26"/>
      <c r="C34" s="26"/>
      <c r="D34" s="27"/>
      <c r="E34" s="28"/>
      <c r="F34" s="29"/>
    </row>
    <row r="35" spans="1:9" ht="10.5" x14ac:dyDescent="0.25">
      <c r="A35" s="25" t="s">
        <v>222</v>
      </c>
      <c r="B35" s="26"/>
      <c r="C35" s="26"/>
      <c r="D35" s="27"/>
      <c r="E35" s="28"/>
      <c r="F35" s="29"/>
    </row>
    <row r="36" spans="1:9" x14ac:dyDescent="0.2">
      <c r="A36" s="26" t="s">
        <v>965</v>
      </c>
      <c r="B36" s="26" t="s">
        <v>964</v>
      </c>
      <c r="C36" s="26" t="s">
        <v>507</v>
      </c>
      <c r="D36" s="30">
        <v>53</v>
      </c>
      <c r="E36" s="28">
        <v>252.24793500000001</v>
      </c>
      <c r="F36" s="29">
        <v>3.1059636099827901</v>
      </c>
    </row>
    <row r="37" spans="1:9" ht="10.5" x14ac:dyDescent="0.25">
      <c r="A37" s="25" t="s">
        <v>177</v>
      </c>
      <c r="B37" s="25"/>
      <c r="C37" s="25"/>
      <c r="D37" s="31"/>
      <c r="E37" s="32">
        <f>SUM(E35:E36)</f>
        <v>252.24793500000001</v>
      </c>
      <c r="F37" s="33">
        <f>SUM(F35:F36)</f>
        <v>3.1059636099827901</v>
      </c>
      <c r="G37" s="17"/>
      <c r="H37" s="17"/>
      <c r="I37" s="17"/>
    </row>
    <row r="38" spans="1:9" x14ac:dyDescent="0.2">
      <c r="A38" s="26"/>
      <c r="B38" s="26"/>
      <c r="C38" s="26"/>
      <c r="D38" s="27"/>
      <c r="E38" s="28"/>
      <c r="F38" s="29"/>
    </row>
    <row r="39" spans="1:9" ht="10.5" x14ac:dyDescent="0.25">
      <c r="A39" s="25" t="s">
        <v>226</v>
      </c>
      <c r="B39" s="25"/>
      <c r="C39" s="25"/>
      <c r="D39" s="31"/>
      <c r="E39" s="32">
        <f>E22+E28+E33+E37</f>
        <v>7789.0297570000002</v>
      </c>
      <c r="F39" s="33">
        <f>F22+F28+F33+F37</f>
        <v>95.907397546446006</v>
      </c>
      <c r="G39" s="17"/>
      <c r="H39" s="17"/>
      <c r="I39" s="17"/>
    </row>
    <row r="40" spans="1:9" ht="10.5" x14ac:dyDescent="0.25">
      <c r="A40" s="25"/>
      <c r="B40" s="25"/>
      <c r="C40" s="25"/>
      <c r="D40" s="31"/>
      <c r="E40" s="32"/>
      <c r="F40" s="33"/>
      <c r="G40" s="17"/>
      <c r="H40" s="17"/>
      <c r="I40" s="17"/>
    </row>
    <row r="41" spans="1:9" ht="10.5" x14ac:dyDescent="0.25">
      <c r="A41" s="25" t="s">
        <v>228</v>
      </c>
      <c r="B41" s="25"/>
      <c r="C41" s="25"/>
      <c r="D41" s="31"/>
      <c r="E41" s="32">
        <f>E43-(E22+E28+E33+E37)</f>
        <v>332.37688759999946</v>
      </c>
      <c r="F41" s="33">
        <f>F43-(F22+F28+F33+F37)</f>
        <v>4.0926024535539938</v>
      </c>
      <c r="G41" s="17"/>
      <c r="H41" s="17"/>
      <c r="I41" s="17"/>
    </row>
    <row r="42" spans="1:9" ht="10.5" x14ac:dyDescent="0.25">
      <c r="A42" s="25"/>
      <c r="B42" s="25"/>
      <c r="C42" s="25"/>
      <c r="D42" s="31"/>
      <c r="E42" s="32"/>
      <c r="F42" s="33"/>
      <c r="G42" s="17"/>
      <c r="H42" s="17"/>
      <c r="I42" s="17"/>
    </row>
    <row r="43" spans="1:9" ht="10.5" x14ac:dyDescent="0.25">
      <c r="A43" s="34" t="s">
        <v>227</v>
      </c>
      <c r="B43" s="34"/>
      <c r="C43" s="34"/>
      <c r="D43" s="35"/>
      <c r="E43" s="36">
        <v>8121.4066445999997</v>
      </c>
      <c r="F43" s="37">
        <v>100</v>
      </c>
      <c r="G43" s="17"/>
      <c r="H43" s="17"/>
      <c r="I43" s="17"/>
    </row>
    <row r="44" spans="1:9" ht="10.5" x14ac:dyDescent="0.25">
      <c r="A44" s="17" t="s">
        <v>229</v>
      </c>
    </row>
    <row r="45" spans="1:9" ht="10.5" x14ac:dyDescent="0.25">
      <c r="A45" s="17" t="s">
        <v>231</v>
      </c>
    </row>
    <row r="47" spans="1:9" ht="10.5" x14ac:dyDescent="0.25">
      <c r="A47" s="17" t="s">
        <v>232</v>
      </c>
    </row>
    <row r="48" spans="1:9" ht="10.5" x14ac:dyDescent="0.25">
      <c r="A48" s="17" t="s">
        <v>233</v>
      </c>
    </row>
    <row r="49" spans="1:5" ht="10.5" x14ac:dyDescent="0.25">
      <c r="A49" s="17" t="s">
        <v>234</v>
      </c>
      <c r="B49" s="17"/>
      <c r="C49" s="38" t="s">
        <v>236</v>
      </c>
      <c r="D49" s="18" t="s">
        <v>235</v>
      </c>
    </row>
    <row r="50" spans="1:5" x14ac:dyDescent="0.2">
      <c r="A50" s="10" t="s">
        <v>543</v>
      </c>
      <c r="C50" s="39">
        <v>11.4557</v>
      </c>
      <c r="D50" s="39">
        <v>11.8733</v>
      </c>
    </row>
    <row r="51" spans="1:5" x14ac:dyDescent="0.2">
      <c r="A51" s="10" t="s">
        <v>859</v>
      </c>
      <c r="C51" s="39">
        <v>10.9008</v>
      </c>
      <c r="D51" s="39">
        <v>10.3187</v>
      </c>
    </row>
    <row r="52" spans="1:5" x14ac:dyDescent="0.2">
      <c r="A52" s="10" t="s">
        <v>546</v>
      </c>
      <c r="C52" s="39">
        <v>11.5166</v>
      </c>
      <c r="D52" s="39">
        <v>11.936400000000001</v>
      </c>
    </row>
    <row r="54" spans="1:5" ht="10.5" x14ac:dyDescent="0.25">
      <c r="A54" s="17" t="s">
        <v>248</v>
      </c>
    </row>
    <row r="55" spans="1:5" ht="10.5" x14ac:dyDescent="0.25">
      <c r="A55" s="84" t="s">
        <v>249</v>
      </c>
      <c r="B55" s="85"/>
      <c r="C55" s="82" t="s">
        <v>250</v>
      </c>
      <c r="D55" s="83"/>
    </row>
    <row r="56" spans="1:5" ht="10.5" x14ac:dyDescent="0.25">
      <c r="A56" s="84"/>
      <c r="B56" s="85"/>
      <c r="C56" s="40" t="s">
        <v>251</v>
      </c>
      <c r="D56" s="41" t="s">
        <v>252</v>
      </c>
    </row>
    <row r="57" spans="1:5" x14ac:dyDescent="0.2">
      <c r="A57" s="78" t="s">
        <v>859</v>
      </c>
      <c r="B57" s="79"/>
      <c r="C57" s="42">
        <v>0.69871301900000005</v>
      </c>
      <c r="D57" s="42">
        <v>0.64701173769999998</v>
      </c>
    </row>
    <row r="59" spans="1:5" ht="10.5" x14ac:dyDescent="0.25">
      <c r="A59" s="17" t="s">
        <v>253</v>
      </c>
      <c r="D59" s="43">
        <v>0.86218115175342402</v>
      </c>
      <c r="E59" s="15" t="s">
        <v>254</v>
      </c>
    </row>
    <row r="61" spans="1:5" ht="10.5" x14ac:dyDescent="0.25">
      <c r="A61" s="17" t="s">
        <v>255</v>
      </c>
      <c r="D61" s="46" t="s">
        <v>256</v>
      </c>
    </row>
  </sheetData>
  <mergeCells count="5">
    <mergeCell ref="A1:F1"/>
    <mergeCell ref="C55:D55"/>
    <mergeCell ref="A55:B55"/>
    <mergeCell ref="A56:B56"/>
    <mergeCell ref="A57:B57"/>
  </mergeCells>
  <conditionalFormatting sqref="F2:F3 F5:F65533">
    <cfRule type="cellIs" dxfId="40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9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81640625" style="10" bestFit="1" customWidth="1"/>
    <col min="8" max="16384" width="9.1796875" style="10"/>
  </cols>
  <sheetData>
    <row r="1" spans="1:6" s="1" customFormat="1" ht="14" x14ac:dyDescent="0.25">
      <c r="A1" s="80" t="s">
        <v>33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967</v>
      </c>
      <c r="B7" s="26" t="s">
        <v>966</v>
      </c>
      <c r="C7" s="26" t="s">
        <v>176</v>
      </c>
      <c r="D7" s="30">
        <v>107</v>
      </c>
      <c r="E7" s="28">
        <v>997.21645999999998</v>
      </c>
      <c r="F7" s="29">
        <v>9.8572380051068293</v>
      </c>
    </row>
    <row r="8" spans="1:6" x14ac:dyDescent="0.2">
      <c r="A8" s="26" t="s">
        <v>983</v>
      </c>
      <c r="B8" s="26" t="s">
        <v>982</v>
      </c>
      <c r="C8" s="26" t="s">
        <v>650</v>
      </c>
      <c r="D8" s="30">
        <v>87</v>
      </c>
      <c r="E8" s="28">
        <v>876.30314999999996</v>
      </c>
      <c r="F8" s="29">
        <v>8.6620398485749295</v>
      </c>
    </row>
    <row r="9" spans="1:6" x14ac:dyDescent="0.2">
      <c r="A9" s="26" t="s">
        <v>607</v>
      </c>
      <c r="B9" s="26" t="s">
        <v>606</v>
      </c>
      <c r="C9" s="26" t="s">
        <v>176</v>
      </c>
      <c r="D9" s="30">
        <v>84</v>
      </c>
      <c r="E9" s="28">
        <v>844.95432000000005</v>
      </c>
      <c r="F9" s="29">
        <v>8.3521644194312596</v>
      </c>
    </row>
    <row r="10" spans="1:6" x14ac:dyDescent="0.2">
      <c r="A10" s="26" t="s">
        <v>961</v>
      </c>
      <c r="B10" s="26" t="s">
        <v>960</v>
      </c>
      <c r="C10" s="26" t="s">
        <v>176</v>
      </c>
      <c r="D10" s="30">
        <v>83</v>
      </c>
      <c r="E10" s="28">
        <v>841.05642999999998</v>
      </c>
      <c r="F10" s="29">
        <v>8.3136347410826605</v>
      </c>
    </row>
    <row r="11" spans="1:6" x14ac:dyDescent="0.2">
      <c r="A11" s="26" t="s">
        <v>925</v>
      </c>
      <c r="B11" s="26" t="s">
        <v>924</v>
      </c>
      <c r="C11" s="26" t="s">
        <v>176</v>
      </c>
      <c r="D11" s="30">
        <v>83</v>
      </c>
      <c r="E11" s="28">
        <v>833.12080000000003</v>
      </c>
      <c r="F11" s="29">
        <v>8.2351930017330499</v>
      </c>
    </row>
    <row r="12" spans="1:6" x14ac:dyDescent="0.2">
      <c r="A12" s="26" t="s">
        <v>985</v>
      </c>
      <c r="B12" s="26" t="s">
        <v>984</v>
      </c>
      <c r="C12" s="26" t="s">
        <v>176</v>
      </c>
      <c r="D12" s="30">
        <v>80</v>
      </c>
      <c r="E12" s="28">
        <v>803.05759999999998</v>
      </c>
      <c r="F12" s="29">
        <v>7.9380257070865801</v>
      </c>
    </row>
    <row r="13" spans="1:6" x14ac:dyDescent="0.2">
      <c r="A13" s="26" t="s">
        <v>975</v>
      </c>
      <c r="B13" s="26" t="s">
        <v>974</v>
      </c>
      <c r="C13" s="26" t="s">
        <v>176</v>
      </c>
      <c r="D13" s="30">
        <v>62</v>
      </c>
      <c r="E13" s="28">
        <v>798.52279999999996</v>
      </c>
      <c r="F13" s="29">
        <v>7.8932003309535403</v>
      </c>
    </row>
    <row r="14" spans="1:6" x14ac:dyDescent="0.2">
      <c r="A14" s="26" t="s">
        <v>971</v>
      </c>
      <c r="B14" s="26" t="s">
        <v>970</v>
      </c>
      <c r="C14" s="26" t="s">
        <v>650</v>
      </c>
      <c r="D14" s="30">
        <v>65</v>
      </c>
      <c r="E14" s="28">
        <v>660.31354999999996</v>
      </c>
      <c r="F14" s="29">
        <v>6.5270360863748804</v>
      </c>
    </row>
    <row r="15" spans="1:6" x14ac:dyDescent="0.2">
      <c r="A15" s="26" t="s">
        <v>652</v>
      </c>
      <c r="B15" s="26" t="s">
        <v>651</v>
      </c>
      <c r="C15" s="26" t="s">
        <v>176</v>
      </c>
      <c r="D15" s="30">
        <v>5</v>
      </c>
      <c r="E15" s="28">
        <v>506.87049999999999</v>
      </c>
      <c r="F15" s="29">
        <v>5.0102894974953598</v>
      </c>
    </row>
    <row r="16" spans="1:6" x14ac:dyDescent="0.2">
      <c r="A16" s="26" t="s">
        <v>955</v>
      </c>
      <c r="B16" s="26" t="s">
        <v>954</v>
      </c>
      <c r="C16" s="26" t="s">
        <v>176</v>
      </c>
      <c r="D16" s="30">
        <v>40</v>
      </c>
      <c r="E16" s="28">
        <v>405.6028</v>
      </c>
      <c r="F16" s="29">
        <v>4.0092833356739304</v>
      </c>
    </row>
    <row r="17" spans="1:9" x14ac:dyDescent="0.2">
      <c r="A17" s="26" t="s">
        <v>973</v>
      </c>
      <c r="B17" s="26" t="s">
        <v>972</v>
      </c>
      <c r="C17" s="26" t="s">
        <v>176</v>
      </c>
      <c r="D17" s="30">
        <v>13</v>
      </c>
      <c r="E17" s="28">
        <v>131.51086000000001</v>
      </c>
      <c r="F17" s="29">
        <v>1.29995231654749</v>
      </c>
    </row>
    <row r="18" spans="1:9" x14ac:dyDescent="0.2">
      <c r="A18" s="26" t="s">
        <v>969</v>
      </c>
      <c r="B18" s="26" t="s">
        <v>968</v>
      </c>
      <c r="C18" s="26" t="s">
        <v>176</v>
      </c>
      <c r="D18" s="30">
        <v>8</v>
      </c>
      <c r="E18" s="28">
        <v>81.113759999999999</v>
      </c>
      <c r="F18" s="29">
        <v>0.80178945081704101</v>
      </c>
    </row>
    <row r="19" spans="1:9" x14ac:dyDescent="0.2">
      <c r="A19" s="26" t="s">
        <v>364</v>
      </c>
      <c r="B19" s="26" t="s">
        <v>363</v>
      </c>
      <c r="C19" s="26" t="s">
        <v>365</v>
      </c>
      <c r="D19" s="30">
        <v>6</v>
      </c>
      <c r="E19" s="28">
        <v>71.125799999999998</v>
      </c>
      <c r="F19" s="29">
        <v>0.70306093714460705</v>
      </c>
    </row>
    <row r="20" spans="1:9" x14ac:dyDescent="0.2">
      <c r="A20" s="26" t="s">
        <v>953</v>
      </c>
      <c r="B20" s="26" t="s">
        <v>952</v>
      </c>
      <c r="C20" s="26" t="s">
        <v>176</v>
      </c>
      <c r="D20" s="30">
        <v>5</v>
      </c>
      <c r="E20" s="28">
        <v>50.7286</v>
      </c>
      <c r="F20" s="29">
        <v>0.50143966122045602</v>
      </c>
    </row>
    <row r="21" spans="1:9" x14ac:dyDescent="0.2">
      <c r="A21" s="26" t="s">
        <v>945</v>
      </c>
      <c r="B21" s="26" t="s">
        <v>944</v>
      </c>
      <c r="C21" s="26" t="s">
        <v>176</v>
      </c>
      <c r="D21" s="30">
        <v>3</v>
      </c>
      <c r="E21" s="28">
        <v>30.821190000000001</v>
      </c>
      <c r="F21" s="29">
        <v>0.304659838276856</v>
      </c>
    </row>
    <row r="22" spans="1:9" x14ac:dyDescent="0.2">
      <c r="A22" s="26" t="s">
        <v>362</v>
      </c>
      <c r="B22" s="26" t="s">
        <v>361</v>
      </c>
      <c r="C22" s="26" t="s">
        <v>176</v>
      </c>
      <c r="D22" s="30">
        <v>3</v>
      </c>
      <c r="E22" s="28">
        <v>30.261600000000001</v>
      </c>
      <c r="F22" s="29">
        <v>0.29912842956417002</v>
      </c>
    </row>
    <row r="23" spans="1:9" x14ac:dyDescent="0.2">
      <c r="A23" s="26" t="s">
        <v>979</v>
      </c>
      <c r="B23" s="26" t="s">
        <v>978</v>
      </c>
      <c r="C23" s="26" t="s">
        <v>176</v>
      </c>
      <c r="D23" s="30">
        <v>3</v>
      </c>
      <c r="E23" s="28">
        <v>30.094080000000002</v>
      </c>
      <c r="F23" s="29">
        <v>0.29747253580704602</v>
      </c>
    </row>
    <row r="24" spans="1:9" x14ac:dyDescent="0.2">
      <c r="A24" s="26" t="s">
        <v>923</v>
      </c>
      <c r="B24" s="26" t="s">
        <v>922</v>
      </c>
      <c r="C24" s="26" t="s">
        <v>176</v>
      </c>
      <c r="D24" s="30">
        <v>1</v>
      </c>
      <c r="E24" s="28">
        <v>11.96017</v>
      </c>
      <c r="F24" s="29">
        <v>0.11822332161618999</v>
      </c>
    </row>
    <row r="25" spans="1:9" x14ac:dyDescent="0.2">
      <c r="A25" s="26" t="s">
        <v>731</v>
      </c>
      <c r="B25" s="26" t="s">
        <v>730</v>
      </c>
      <c r="C25" s="26" t="s">
        <v>176</v>
      </c>
      <c r="D25" s="30">
        <v>1</v>
      </c>
      <c r="E25" s="28">
        <v>10.192360000000001</v>
      </c>
      <c r="F25" s="29">
        <v>0.100748957105793</v>
      </c>
    </row>
    <row r="26" spans="1:9" ht="10.5" x14ac:dyDescent="0.25">
      <c r="A26" s="25" t="s">
        <v>177</v>
      </c>
      <c r="B26" s="25"/>
      <c r="C26" s="25"/>
      <c r="D26" s="31"/>
      <c r="E26" s="32">
        <f>SUM(E6:E25)</f>
        <v>8014.82683</v>
      </c>
      <c r="F26" s="33">
        <f>SUM(F6:F25)</f>
        <v>79.224580421612671</v>
      </c>
      <c r="G26" s="17"/>
      <c r="H26" s="17"/>
      <c r="I26" s="17"/>
    </row>
    <row r="27" spans="1:9" x14ac:dyDescent="0.2">
      <c r="A27" s="26"/>
      <c r="B27" s="26"/>
      <c r="C27" s="26"/>
      <c r="D27" s="27"/>
      <c r="E27" s="28"/>
      <c r="F27" s="29"/>
    </row>
    <row r="28" spans="1:9" ht="10.5" x14ac:dyDescent="0.25">
      <c r="A28" s="25" t="s">
        <v>178</v>
      </c>
      <c r="B28" s="26"/>
      <c r="C28" s="26"/>
      <c r="D28" s="27"/>
      <c r="E28" s="28"/>
      <c r="F28" s="29"/>
    </row>
    <row r="29" spans="1:9" x14ac:dyDescent="0.2">
      <c r="A29" s="26" t="s">
        <v>951</v>
      </c>
      <c r="B29" s="26" t="s">
        <v>950</v>
      </c>
      <c r="C29" s="26" t="s">
        <v>603</v>
      </c>
      <c r="D29" s="30">
        <v>82</v>
      </c>
      <c r="E29" s="28">
        <v>826.30744000000004</v>
      </c>
      <c r="F29" s="29">
        <v>8.1678446236943696</v>
      </c>
    </row>
    <row r="30" spans="1:9" x14ac:dyDescent="0.2">
      <c r="A30" s="26" t="s">
        <v>977</v>
      </c>
      <c r="B30" s="26" t="s">
        <v>976</v>
      </c>
      <c r="C30" s="26" t="s">
        <v>176</v>
      </c>
      <c r="D30" s="30">
        <v>49</v>
      </c>
      <c r="E30" s="28">
        <v>492.85082</v>
      </c>
      <c r="F30" s="29">
        <v>4.8717084290326103</v>
      </c>
    </row>
    <row r="31" spans="1:9" x14ac:dyDescent="0.2">
      <c r="A31" s="26" t="s">
        <v>737</v>
      </c>
      <c r="B31" s="26" t="s">
        <v>736</v>
      </c>
      <c r="C31" s="26" t="s">
        <v>176</v>
      </c>
      <c r="D31" s="30">
        <v>27</v>
      </c>
      <c r="E31" s="28">
        <v>269.72541000000001</v>
      </c>
      <c r="F31" s="29">
        <v>2.6661689503149799</v>
      </c>
    </row>
    <row r="32" spans="1:9" ht="10.5" x14ac:dyDescent="0.25">
      <c r="A32" s="25" t="s">
        <v>177</v>
      </c>
      <c r="B32" s="25"/>
      <c r="C32" s="25"/>
      <c r="D32" s="31"/>
      <c r="E32" s="32">
        <f>SUM(E28:E31)</f>
        <v>1588.8836700000002</v>
      </c>
      <c r="F32" s="33">
        <f>SUM(F28:F31)</f>
        <v>15.705722003041959</v>
      </c>
      <c r="G32" s="17"/>
      <c r="H32" s="17"/>
      <c r="I32" s="17"/>
    </row>
    <row r="33" spans="1:9" x14ac:dyDescent="0.2">
      <c r="A33" s="26"/>
      <c r="B33" s="26"/>
      <c r="C33" s="26"/>
      <c r="D33" s="27"/>
      <c r="E33" s="28"/>
      <c r="F33" s="29"/>
    </row>
    <row r="34" spans="1:9" ht="10.5" x14ac:dyDescent="0.25">
      <c r="A34" s="25" t="s">
        <v>221</v>
      </c>
      <c r="B34" s="26"/>
      <c r="C34" s="26"/>
      <c r="D34" s="27"/>
      <c r="E34" s="28"/>
      <c r="F34" s="29"/>
    </row>
    <row r="35" spans="1:9" ht="10.5" x14ac:dyDescent="0.25">
      <c r="A35" s="25" t="s">
        <v>463</v>
      </c>
      <c r="B35" s="26"/>
      <c r="C35" s="26"/>
      <c r="D35" s="27"/>
      <c r="E35" s="28"/>
      <c r="F35" s="29"/>
    </row>
    <row r="36" spans="1:9" x14ac:dyDescent="0.2">
      <c r="A36" s="26" t="s">
        <v>488</v>
      </c>
      <c r="B36" s="26" t="s">
        <v>487</v>
      </c>
      <c r="C36" s="26" t="s">
        <v>466</v>
      </c>
      <c r="D36" s="30">
        <v>30</v>
      </c>
      <c r="E36" s="28">
        <v>28.75056</v>
      </c>
      <c r="F36" s="29">
        <v>0.28419217298128502</v>
      </c>
    </row>
    <row r="37" spans="1:9" ht="10.5" x14ac:dyDescent="0.25">
      <c r="A37" s="25" t="s">
        <v>177</v>
      </c>
      <c r="B37" s="25"/>
      <c r="C37" s="25"/>
      <c r="D37" s="31"/>
      <c r="E37" s="32">
        <f>SUM(E35:E36)</f>
        <v>28.75056</v>
      </c>
      <c r="F37" s="33">
        <f>SUM(F35:F36)</f>
        <v>0.28419217298128502</v>
      </c>
      <c r="G37" s="17"/>
      <c r="H37" s="17"/>
      <c r="I37" s="17"/>
    </row>
    <row r="38" spans="1:9" x14ac:dyDescent="0.2">
      <c r="A38" s="26"/>
      <c r="B38" s="26"/>
      <c r="C38" s="26"/>
      <c r="D38" s="27"/>
      <c r="E38" s="28"/>
      <c r="F38" s="29"/>
    </row>
    <row r="39" spans="1:9" ht="10.5" x14ac:dyDescent="0.25">
      <c r="A39" s="25" t="s">
        <v>222</v>
      </c>
      <c r="B39" s="26"/>
      <c r="C39" s="26"/>
      <c r="D39" s="27"/>
      <c r="E39" s="28"/>
      <c r="F39" s="29"/>
    </row>
    <row r="40" spans="1:9" x14ac:dyDescent="0.2">
      <c r="A40" s="26" t="s">
        <v>965</v>
      </c>
      <c r="B40" s="26" t="s">
        <v>964</v>
      </c>
      <c r="C40" s="26" t="s">
        <v>507</v>
      </c>
      <c r="D40" s="30">
        <v>37</v>
      </c>
      <c r="E40" s="28">
        <v>176.09761499999999</v>
      </c>
      <c r="F40" s="29">
        <v>1.7406813593777499</v>
      </c>
    </row>
    <row r="41" spans="1:9" ht="10.5" x14ac:dyDescent="0.25">
      <c r="A41" s="25" t="s">
        <v>177</v>
      </c>
      <c r="B41" s="25"/>
      <c r="C41" s="25"/>
      <c r="D41" s="31"/>
      <c r="E41" s="32">
        <f>SUM(E39:E40)</f>
        <v>176.09761499999999</v>
      </c>
      <c r="F41" s="33">
        <f>SUM(F39:F40)</f>
        <v>1.7406813593777499</v>
      </c>
      <c r="G41" s="17"/>
      <c r="H41" s="17"/>
      <c r="I41" s="17"/>
    </row>
    <row r="42" spans="1:9" x14ac:dyDescent="0.2">
      <c r="A42" s="26"/>
      <c r="B42" s="26"/>
      <c r="C42" s="26"/>
      <c r="D42" s="27"/>
      <c r="E42" s="28"/>
      <c r="F42" s="29"/>
    </row>
    <row r="43" spans="1:9" ht="10.5" x14ac:dyDescent="0.25">
      <c r="A43" s="25" t="s">
        <v>226</v>
      </c>
      <c r="B43" s="25"/>
      <c r="C43" s="25"/>
      <c r="D43" s="31"/>
      <c r="E43" s="32">
        <f>E26+E32+E37+E41</f>
        <v>9808.558675000002</v>
      </c>
      <c r="F43" s="33">
        <f>F26+F32+F37+F41</f>
        <v>96.955175957013651</v>
      </c>
      <c r="G43" s="17"/>
      <c r="H43" s="17"/>
      <c r="I43" s="17"/>
    </row>
    <row r="44" spans="1:9" ht="10.5" x14ac:dyDescent="0.25">
      <c r="A44" s="25"/>
      <c r="B44" s="25"/>
      <c r="C44" s="25"/>
      <c r="D44" s="31"/>
      <c r="E44" s="32"/>
      <c r="F44" s="33"/>
      <c r="G44" s="17"/>
      <c r="H44" s="17"/>
      <c r="I44" s="17"/>
    </row>
    <row r="45" spans="1:9" ht="10.5" x14ac:dyDescent="0.25">
      <c r="A45" s="25" t="s">
        <v>228</v>
      </c>
      <c r="B45" s="25"/>
      <c r="C45" s="25"/>
      <c r="D45" s="31"/>
      <c r="E45" s="32">
        <f>E47-(E26+E32+E37+E41)</f>
        <v>308.03239729999768</v>
      </c>
      <c r="F45" s="33">
        <f>F47-(F26+F32+F37+F41)</f>
        <v>3.0448240429863489</v>
      </c>
      <c r="G45" s="17"/>
      <c r="H45" s="17"/>
      <c r="I45" s="17"/>
    </row>
    <row r="46" spans="1:9" ht="10.5" x14ac:dyDescent="0.25">
      <c r="A46" s="25"/>
      <c r="B46" s="25"/>
      <c r="C46" s="25"/>
      <c r="D46" s="31"/>
      <c r="E46" s="32"/>
      <c r="F46" s="33"/>
      <c r="G46" s="17"/>
      <c r="H46" s="17"/>
      <c r="I46" s="17"/>
    </row>
    <row r="47" spans="1:9" ht="10.5" x14ac:dyDescent="0.25">
      <c r="A47" s="34" t="s">
        <v>227</v>
      </c>
      <c r="B47" s="34"/>
      <c r="C47" s="34"/>
      <c r="D47" s="35"/>
      <c r="E47" s="36">
        <v>10116.5910723</v>
      </c>
      <c r="F47" s="37">
        <v>100</v>
      </c>
      <c r="G47" s="17"/>
      <c r="H47" s="17"/>
      <c r="I47" s="17"/>
    </row>
    <row r="48" spans="1:9" ht="10.5" x14ac:dyDescent="0.25">
      <c r="A48" s="17" t="s">
        <v>229</v>
      </c>
    </row>
    <row r="49" spans="1:4" ht="10.5" x14ac:dyDescent="0.25">
      <c r="A49" s="17" t="s">
        <v>231</v>
      </c>
    </row>
    <row r="51" spans="1:4" ht="10.5" x14ac:dyDescent="0.25">
      <c r="A51" s="17" t="s">
        <v>232</v>
      </c>
    </row>
    <row r="52" spans="1:4" ht="10.5" x14ac:dyDescent="0.25">
      <c r="A52" s="17" t="s">
        <v>233</v>
      </c>
    </row>
    <row r="53" spans="1:4" ht="10.5" x14ac:dyDescent="0.25">
      <c r="A53" s="17" t="s">
        <v>234</v>
      </c>
      <c r="B53" s="17"/>
      <c r="C53" s="38" t="s">
        <v>236</v>
      </c>
      <c r="D53" s="18" t="s">
        <v>235</v>
      </c>
    </row>
    <row r="54" spans="1:4" x14ac:dyDescent="0.2">
      <c r="A54" s="10" t="s">
        <v>543</v>
      </c>
      <c r="C54" s="39">
        <v>11.499000000000001</v>
      </c>
      <c r="D54" s="39">
        <v>11.9087</v>
      </c>
    </row>
    <row r="55" spans="1:4" x14ac:dyDescent="0.2">
      <c r="A55" s="10" t="s">
        <v>859</v>
      </c>
      <c r="C55" s="39">
        <v>10.9137</v>
      </c>
      <c r="D55" s="39">
        <v>10.3736</v>
      </c>
    </row>
    <row r="56" spans="1:4" x14ac:dyDescent="0.2">
      <c r="A56" s="10" t="s">
        <v>545</v>
      </c>
      <c r="C56" s="39">
        <v>10.176500000000001</v>
      </c>
      <c r="D56" s="39">
        <v>10.160500000000001</v>
      </c>
    </row>
    <row r="57" spans="1:4" x14ac:dyDescent="0.2">
      <c r="A57" s="10" t="s">
        <v>546</v>
      </c>
      <c r="C57" s="39">
        <v>11.556699999999999</v>
      </c>
      <c r="D57" s="39">
        <v>11.968400000000001</v>
      </c>
    </row>
    <row r="58" spans="1:4" x14ac:dyDescent="0.2">
      <c r="A58" s="10" t="s">
        <v>581</v>
      </c>
      <c r="C58" s="39">
        <v>10.971399999999999</v>
      </c>
      <c r="D58" s="39">
        <v>10.433400000000001</v>
      </c>
    </row>
    <row r="60" spans="1:4" ht="10.5" x14ac:dyDescent="0.25">
      <c r="A60" s="17" t="s">
        <v>248</v>
      </c>
    </row>
    <row r="61" spans="1:4" ht="10.5" x14ac:dyDescent="0.25">
      <c r="A61" s="84" t="s">
        <v>249</v>
      </c>
      <c r="B61" s="85"/>
      <c r="C61" s="82" t="s">
        <v>250</v>
      </c>
      <c r="D61" s="83"/>
    </row>
    <row r="62" spans="1:4" ht="10.5" x14ac:dyDescent="0.25">
      <c r="A62" s="84"/>
      <c r="B62" s="85"/>
      <c r="C62" s="40" t="s">
        <v>251</v>
      </c>
      <c r="D62" s="41" t="s">
        <v>252</v>
      </c>
    </row>
    <row r="63" spans="1:4" x14ac:dyDescent="0.2">
      <c r="A63" s="78" t="s">
        <v>859</v>
      </c>
      <c r="B63" s="79"/>
      <c r="C63" s="42">
        <v>0.65549365699999995</v>
      </c>
      <c r="D63" s="42">
        <v>0.60699039310000003</v>
      </c>
    </row>
    <row r="64" spans="1:4" x14ac:dyDescent="0.2">
      <c r="A64" s="78" t="s">
        <v>545</v>
      </c>
      <c r="B64" s="79"/>
      <c r="C64" s="42">
        <v>0.30695485900000002</v>
      </c>
      <c r="D64" s="42">
        <v>0.29789380970000001</v>
      </c>
    </row>
    <row r="65" spans="1:5" x14ac:dyDescent="0.2">
      <c r="A65" s="78" t="s">
        <v>581</v>
      </c>
      <c r="B65" s="79"/>
      <c r="C65" s="42">
        <v>0.65549365699999995</v>
      </c>
      <c r="D65" s="42">
        <v>0.60699039310000003</v>
      </c>
    </row>
    <row r="67" spans="1:5" ht="10.5" x14ac:dyDescent="0.25">
      <c r="A67" s="17" t="s">
        <v>253</v>
      </c>
      <c r="D67" s="43">
        <v>0.80291469673972604</v>
      </c>
      <c r="E67" s="15" t="s">
        <v>254</v>
      </c>
    </row>
    <row r="69" spans="1:5" ht="10.5" x14ac:dyDescent="0.25">
      <c r="A69" s="17" t="s">
        <v>255</v>
      </c>
      <c r="D69" s="46" t="s">
        <v>256</v>
      </c>
    </row>
  </sheetData>
  <mergeCells count="7">
    <mergeCell ref="A65:B65"/>
    <mergeCell ref="A1:F1"/>
    <mergeCell ref="C61:D61"/>
    <mergeCell ref="A61:B61"/>
    <mergeCell ref="A62:B62"/>
    <mergeCell ref="A63:B63"/>
    <mergeCell ref="A64:B64"/>
  </mergeCells>
  <conditionalFormatting sqref="F2:F3 F5:F65533">
    <cfRule type="cellIs" dxfId="39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4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7265625" style="10" bestFit="1" customWidth="1"/>
    <col min="8" max="16384" width="9.1796875" style="10"/>
  </cols>
  <sheetData>
    <row r="1" spans="1:6" s="1" customFormat="1" ht="14" x14ac:dyDescent="0.25">
      <c r="A1" s="80" t="s">
        <v>34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955</v>
      </c>
      <c r="B7" s="26" t="s">
        <v>954</v>
      </c>
      <c r="C7" s="26" t="s">
        <v>176</v>
      </c>
      <c r="D7" s="30">
        <v>113</v>
      </c>
      <c r="E7" s="28">
        <v>1145.82791</v>
      </c>
      <c r="F7" s="29">
        <v>9.4138386083062304</v>
      </c>
    </row>
    <row r="8" spans="1:6" x14ac:dyDescent="0.2">
      <c r="A8" s="26" t="s">
        <v>983</v>
      </c>
      <c r="B8" s="26" t="s">
        <v>982</v>
      </c>
      <c r="C8" s="26" t="s">
        <v>650</v>
      </c>
      <c r="D8" s="30">
        <v>106</v>
      </c>
      <c r="E8" s="28">
        <v>1067.6796999999999</v>
      </c>
      <c r="F8" s="29">
        <v>8.7717922503430792</v>
      </c>
    </row>
    <row r="9" spans="1:6" x14ac:dyDescent="0.2">
      <c r="A9" s="26" t="s">
        <v>777</v>
      </c>
      <c r="B9" s="26" t="s">
        <v>776</v>
      </c>
      <c r="C9" s="26" t="s">
        <v>176</v>
      </c>
      <c r="D9" s="30">
        <v>99</v>
      </c>
      <c r="E9" s="28">
        <v>1012.0077</v>
      </c>
      <c r="F9" s="29">
        <v>8.3144048726856301</v>
      </c>
    </row>
    <row r="10" spans="1:6" x14ac:dyDescent="0.2">
      <c r="A10" s="26" t="s">
        <v>607</v>
      </c>
      <c r="B10" s="26" t="s">
        <v>606</v>
      </c>
      <c r="C10" s="26" t="s">
        <v>176</v>
      </c>
      <c r="D10" s="30">
        <v>100</v>
      </c>
      <c r="E10" s="28">
        <v>1005.898</v>
      </c>
      <c r="F10" s="29">
        <v>8.264209089145</v>
      </c>
    </row>
    <row r="11" spans="1:6" x14ac:dyDescent="0.2">
      <c r="A11" s="26" t="s">
        <v>945</v>
      </c>
      <c r="B11" s="26" t="s">
        <v>944</v>
      </c>
      <c r="C11" s="26" t="s">
        <v>176</v>
      </c>
      <c r="D11" s="30">
        <v>97</v>
      </c>
      <c r="E11" s="28">
        <v>996.55181000000005</v>
      </c>
      <c r="F11" s="29">
        <v>8.18742310453535</v>
      </c>
    </row>
    <row r="12" spans="1:6" x14ac:dyDescent="0.2">
      <c r="A12" s="26" t="s">
        <v>987</v>
      </c>
      <c r="B12" s="26" t="s">
        <v>986</v>
      </c>
      <c r="C12" s="26" t="s">
        <v>650</v>
      </c>
      <c r="D12" s="30">
        <v>100</v>
      </c>
      <c r="E12" s="28">
        <v>992.29100000000005</v>
      </c>
      <c r="F12" s="29">
        <v>8.1524173437831493</v>
      </c>
    </row>
    <row r="13" spans="1:6" x14ac:dyDescent="0.2">
      <c r="A13" s="26" t="s">
        <v>961</v>
      </c>
      <c r="B13" s="26" t="s">
        <v>960</v>
      </c>
      <c r="C13" s="26" t="s">
        <v>176</v>
      </c>
      <c r="D13" s="30">
        <v>73</v>
      </c>
      <c r="E13" s="28">
        <v>739.72433000000001</v>
      </c>
      <c r="F13" s="29">
        <v>6.0773920730011399</v>
      </c>
    </row>
    <row r="14" spans="1:6" x14ac:dyDescent="0.2">
      <c r="A14" s="26" t="s">
        <v>652</v>
      </c>
      <c r="B14" s="26" t="s">
        <v>651</v>
      </c>
      <c r="C14" s="26" t="s">
        <v>176</v>
      </c>
      <c r="D14" s="30">
        <v>5</v>
      </c>
      <c r="E14" s="28">
        <v>506.87049999999999</v>
      </c>
      <c r="F14" s="29">
        <v>4.16432261831664</v>
      </c>
    </row>
    <row r="15" spans="1:6" x14ac:dyDescent="0.2">
      <c r="A15" s="26" t="s">
        <v>989</v>
      </c>
      <c r="B15" s="26" t="s">
        <v>988</v>
      </c>
      <c r="C15" s="26" t="s">
        <v>650</v>
      </c>
      <c r="D15" s="30">
        <v>50</v>
      </c>
      <c r="E15" s="28">
        <v>505.28199999999998</v>
      </c>
      <c r="F15" s="29">
        <v>4.1512718953426297</v>
      </c>
    </row>
    <row r="16" spans="1:6" x14ac:dyDescent="0.2">
      <c r="A16" s="26" t="s">
        <v>949</v>
      </c>
      <c r="B16" s="26" t="s">
        <v>948</v>
      </c>
      <c r="C16" s="26" t="s">
        <v>176</v>
      </c>
      <c r="D16" s="30">
        <v>49</v>
      </c>
      <c r="E16" s="28">
        <v>493.35061999999999</v>
      </c>
      <c r="F16" s="29">
        <v>4.0532466293195899</v>
      </c>
    </row>
    <row r="17" spans="1:9" x14ac:dyDescent="0.2">
      <c r="A17" s="26" t="s">
        <v>979</v>
      </c>
      <c r="B17" s="26" t="s">
        <v>978</v>
      </c>
      <c r="C17" s="26" t="s">
        <v>176</v>
      </c>
      <c r="D17" s="30">
        <v>46</v>
      </c>
      <c r="E17" s="28">
        <v>461.44256000000001</v>
      </c>
      <c r="F17" s="29">
        <v>3.7910979030382199</v>
      </c>
    </row>
    <row r="18" spans="1:9" x14ac:dyDescent="0.2">
      <c r="A18" s="26" t="s">
        <v>364</v>
      </c>
      <c r="B18" s="26" t="s">
        <v>363</v>
      </c>
      <c r="C18" s="26" t="s">
        <v>365</v>
      </c>
      <c r="D18" s="30">
        <v>24</v>
      </c>
      <c r="E18" s="28">
        <v>284.50319999999999</v>
      </c>
      <c r="F18" s="29">
        <v>2.3374078995393499</v>
      </c>
    </row>
    <row r="19" spans="1:9" x14ac:dyDescent="0.2">
      <c r="A19" s="26" t="s">
        <v>967</v>
      </c>
      <c r="B19" s="26" t="s">
        <v>966</v>
      </c>
      <c r="C19" s="26" t="s">
        <v>176</v>
      </c>
      <c r="D19" s="30">
        <v>18</v>
      </c>
      <c r="E19" s="28">
        <v>167.75604000000001</v>
      </c>
      <c r="F19" s="29">
        <v>1.37824211851199</v>
      </c>
    </row>
    <row r="20" spans="1:9" x14ac:dyDescent="0.2">
      <c r="A20" s="26" t="s">
        <v>731</v>
      </c>
      <c r="B20" s="26" t="s">
        <v>730</v>
      </c>
      <c r="C20" s="26" t="s">
        <v>176</v>
      </c>
      <c r="D20" s="30">
        <v>9</v>
      </c>
      <c r="E20" s="28">
        <v>91.73124</v>
      </c>
      <c r="F20" s="29">
        <v>0.75364117173564504</v>
      </c>
    </row>
    <row r="21" spans="1:9" x14ac:dyDescent="0.2">
      <c r="A21" s="26" t="s">
        <v>947</v>
      </c>
      <c r="B21" s="26" t="s">
        <v>946</v>
      </c>
      <c r="C21" s="26" t="s">
        <v>176</v>
      </c>
      <c r="D21" s="30">
        <v>6</v>
      </c>
      <c r="E21" s="28">
        <v>71.358419999999995</v>
      </c>
      <c r="F21" s="29">
        <v>0.586263123250097</v>
      </c>
    </row>
    <row r="22" spans="1:9" x14ac:dyDescent="0.2">
      <c r="A22" s="26" t="s">
        <v>700</v>
      </c>
      <c r="B22" s="26" t="s">
        <v>699</v>
      </c>
      <c r="C22" s="26" t="s">
        <v>650</v>
      </c>
      <c r="D22" s="30">
        <v>3</v>
      </c>
      <c r="E22" s="28">
        <v>35.616059999999997</v>
      </c>
      <c r="F22" s="29">
        <v>0.29261273684959499</v>
      </c>
    </row>
    <row r="23" spans="1:9" x14ac:dyDescent="0.2">
      <c r="A23" s="26" t="s">
        <v>362</v>
      </c>
      <c r="B23" s="26" t="s">
        <v>361</v>
      </c>
      <c r="C23" s="26" t="s">
        <v>176</v>
      </c>
      <c r="D23" s="30">
        <v>3</v>
      </c>
      <c r="E23" s="28">
        <v>30.261600000000001</v>
      </c>
      <c r="F23" s="29">
        <v>0.24862181828780899</v>
      </c>
    </row>
    <row r="24" spans="1:9" ht="10.5" x14ac:dyDescent="0.25">
      <c r="A24" s="25" t="s">
        <v>177</v>
      </c>
      <c r="B24" s="25"/>
      <c r="C24" s="25"/>
      <c r="D24" s="31"/>
      <c r="E24" s="32">
        <f>SUM(E6:E23)</f>
        <v>9608.152689999999</v>
      </c>
      <c r="F24" s="33">
        <f>SUM(F6:F23)</f>
        <v>78.938205255991122</v>
      </c>
      <c r="G24" s="17"/>
      <c r="H24" s="17"/>
      <c r="I24" s="17"/>
    </row>
    <row r="25" spans="1:9" x14ac:dyDescent="0.2">
      <c r="A25" s="26"/>
      <c r="B25" s="26"/>
      <c r="C25" s="26"/>
      <c r="D25" s="27"/>
      <c r="E25" s="28"/>
      <c r="F25" s="29"/>
    </row>
    <row r="26" spans="1:9" ht="10.5" x14ac:dyDescent="0.25">
      <c r="A26" s="25" t="s">
        <v>178</v>
      </c>
      <c r="B26" s="26"/>
      <c r="C26" s="26"/>
      <c r="D26" s="27"/>
      <c r="E26" s="28"/>
      <c r="F26" s="29"/>
    </row>
    <row r="27" spans="1:9" x14ac:dyDescent="0.2">
      <c r="A27" s="26" t="s">
        <v>991</v>
      </c>
      <c r="B27" s="26" t="s">
        <v>990</v>
      </c>
      <c r="C27" s="26" t="s">
        <v>176</v>
      </c>
      <c r="D27" s="30">
        <v>100</v>
      </c>
      <c r="E27" s="28">
        <v>1000.284</v>
      </c>
      <c r="F27" s="29">
        <v>8.21808585415849</v>
      </c>
    </row>
    <row r="28" spans="1:9" x14ac:dyDescent="0.2">
      <c r="A28" s="26" t="s">
        <v>737</v>
      </c>
      <c r="B28" s="26" t="s">
        <v>736</v>
      </c>
      <c r="C28" s="26" t="s">
        <v>176</v>
      </c>
      <c r="D28" s="30">
        <v>56</v>
      </c>
      <c r="E28" s="28">
        <v>559.43047999999999</v>
      </c>
      <c r="F28" s="29">
        <v>4.5961424096287598</v>
      </c>
    </row>
    <row r="29" spans="1:9" ht="10.5" x14ac:dyDescent="0.25">
      <c r="A29" s="25" t="s">
        <v>177</v>
      </c>
      <c r="B29" s="25"/>
      <c r="C29" s="25"/>
      <c r="D29" s="31"/>
      <c r="E29" s="32">
        <f>SUM(E26:E28)</f>
        <v>1559.7144800000001</v>
      </c>
      <c r="F29" s="33">
        <f>SUM(F26:F28)</f>
        <v>12.81422826378725</v>
      </c>
      <c r="G29" s="17"/>
      <c r="H29" s="17"/>
      <c r="I29" s="17"/>
    </row>
    <row r="30" spans="1:9" x14ac:dyDescent="0.2">
      <c r="A30" s="26"/>
      <c r="B30" s="26"/>
      <c r="C30" s="26"/>
      <c r="D30" s="27"/>
      <c r="E30" s="28"/>
      <c r="F30" s="29"/>
    </row>
    <row r="31" spans="1:9" ht="10.5" x14ac:dyDescent="0.25">
      <c r="A31" s="25" t="s">
        <v>221</v>
      </c>
      <c r="B31" s="26"/>
      <c r="C31" s="26"/>
      <c r="D31" s="27"/>
      <c r="E31" s="28"/>
      <c r="F31" s="29"/>
    </row>
    <row r="32" spans="1:9" ht="10.5" x14ac:dyDescent="0.25">
      <c r="A32" s="25" t="s">
        <v>463</v>
      </c>
      <c r="B32" s="26"/>
      <c r="C32" s="26"/>
      <c r="D32" s="27"/>
      <c r="E32" s="28"/>
      <c r="F32" s="29"/>
    </row>
    <row r="33" spans="1:9" x14ac:dyDescent="0.2">
      <c r="A33" s="26" t="s">
        <v>488</v>
      </c>
      <c r="B33" s="26" t="s">
        <v>487</v>
      </c>
      <c r="C33" s="26" t="s">
        <v>466</v>
      </c>
      <c r="D33" s="30">
        <v>222</v>
      </c>
      <c r="E33" s="28">
        <v>212.754144</v>
      </c>
      <c r="F33" s="29">
        <v>1.7479354075642499</v>
      </c>
    </row>
    <row r="34" spans="1:9" ht="10.5" x14ac:dyDescent="0.25">
      <c r="A34" s="25" t="s">
        <v>177</v>
      </c>
      <c r="B34" s="25"/>
      <c r="C34" s="25"/>
      <c r="D34" s="31"/>
      <c r="E34" s="32">
        <f>SUM(E32:E33)</f>
        <v>212.754144</v>
      </c>
      <c r="F34" s="33">
        <f>SUM(F32:F33)</f>
        <v>1.7479354075642499</v>
      </c>
      <c r="G34" s="17"/>
      <c r="H34" s="17"/>
      <c r="I34" s="17"/>
    </row>
    <row r="35" spans="1:9" x14ac:dyDescent="0.2">
      <c r="A35" s="26"/>
      <c r="B35" s="26"/>
      <c r="C35" s="26"/>
      <c r="D35" s="27"/>
      <c r="E35" s="28"/>
      <c r="F35" s="29"/>
    </row>
    <row r="36" spans="1:9" ht="10.5" x14ac:dyDescent="0.25">
      <c r="A36" s="25" t="s">
        <v>222</v>
      </c>
      <c r="B36" s="26"/>
      <c r="C36" s="26"/>
      <c r="D36" s="27"/>
      <c r="E36" s="28"/>
      <c r="F36" s="29"/>
    </row>
    <row r="37" spans="1:9" x14ac:dyDescent="0.2">
      <c r="A37" s="26" t="s">
        <v>965</v>
      </c>
      <c r="B37" s="26" t="s">
        <v>964</v>
      </c>
      <c r="C37" s="26" t="s">
        <v>507</v>
      </c>
      <c r="D37" s="30">
        <v>77</v>
      </c>
      <c r="E37" s="28">
        <v>366.47341499999999</v>
      </c>
      <c r="F37" s="29">
        <v>3.0108549049436499</v>
      </c>
    </row>
    <row r="38" spans="1:9" ht="10.5" x14ac:dyDescent="0.25">
      <c r="A38" s="25" t="s">
        <v>177</v>
      </c>
      <c r="B38" s="25"/>
      <c r="C38" s="25"/>
      <c r="D38" s="31"/>
      <c r="E38" s="32">
        <f>SUM(E36:E37)</f>
        <v>366.47341499999999</v>
      </c>
      <c r="F38" s="33">
        <f>SUM(F36:F37)</f>
        <v>3.0108549049436499</v>
      </c>
      <c r="G38" s="17"/>
      <c r="H38" s="17"/>
      <c r="I38" s="17"/>
    </row>
    <row r="39" spans="1:9" x14ac:dyDescent="0.2">
      <c r="A39" s="26"/>
      <c r="B39" s="26"/>
      <c r="C39" s="26"/>
      <c r="D39" s="27"/>
      <c r="E39" s="28"/>
      <c r="F39" s="29"/>
    </row>
    <row r="40" spans="1:9" ht="10.5" x14ac:dyDescent="0.25">
      <c r="A40" s="25" t="s">
        <v>226</v>
      </c>
      <c r="B40" s="25"/>
      <c r="C40" s="25"/>
      <c r="D40" s="31"/>
      <c r="E40" s="32">
        <f>E24+E29+E34+E38</f>
        <v>11747.094729</v>
      </c>
      <c r="F40" s="33">
        <f>F24+F29+F34+F38</f>
        <v>96.511223832286291</v>
      </c>
      <c r="G40" s="17"/>
      <c r="H40" s="17"/>
      <c r="I40" s="17"/>
    </row>
    <row r="41" spans="1:9" ht="10.5" x14ac:dyDescent="0.25">
      <c r="A41" s="25"/>
      <c r="B41" s="25"/>
      <c r="C41" s="25"/>
      <c r="D41" s="31"/>
      <c r="E41" s="32"/>
      <c r="F41" s="33"/>
      <c r="G41" s="17"/>
      <c r="H41" s="17"/>
      <c r="I41" s="17"/>
    </row>
    <row r="42" spans="1:9" ht="10.5" x14ac:dyDescent="0.25">
      <c r="A42" s="25" t="s">
        <v>228</v>
      </c>
      <c r="B42" s="25"/>
      <c r="C42" s="25"/>
      <c r="D42" s="31"/>
      <c r="E42" s="32">
        <f>E44-(E24+E29+E34+E38)</f>
        <v>424.64474599999994</v>
      </c>
      <c r="F42" s="33">
        <f>F44-(F24+F29+F34+F38)</f>
        <v>3.4887761677137092</v>
      </c>
      <c r="G42" s="17"/>
      <c r="H42" s="17"/>
      <c r="I42" s="17"/>
    </row>
    <row r="43" spans="1:9" ht="10.5" x14ac:dyDescent="0.25">
      <c r="A43" s="25"/>
      <c r="B43" s="25"/>
      <c r="C43" s="25"/>
      <c r="D43" s="31"/>
      <c r="E43" s="32"/>
      <c r="F43" s="33"/>
      <c r="G43" s="17"/>
      <c r="H43" s="17"/>
      <c r="I43" s="17"/>
    </row>
    <row r="44" spans="1:9" ht="10.5" x14ac:dyDescent="0.25">
      <c r="A44" s="34" t="s">
        <v>227</v>
      </c>
      <c r="B44" s="34"/>
      <c r="C44" s="34"/>
      <c r="D44" s="35"/>
      <c r="E44" s="36">
        <v>12171.739475</v>
      </c>
      <c r="F44" s="37">
        <v>100</v>
      </c>
      <c r="G44" s="17"/>
      <c r="H44" s="17"/>
      <c r="I44" s="17"/>
    </row>
    <row r="45" spans="1:9" ht="10.5" x14ac:dyDescent="0.25">
      <c r="A45" s="17" t="s">
        <v>229</v>
      </c>
    </row>
    <row r="46" spans="1:9" ht="10.5" x14ac:dyDescent="0.25">
      <c r="A46" s="17" t="s">
        <v>231</v>
      </c>
    </row>
    <row r="48" spans="1:9" ht="10.5" x14ac:dyDescent="0.25">
      <c r="A48" s="17" t="s">
        <v>232</v>
      </c>
    </row>
    <row r="49" spans="1:5" ht="10.5" x14ac:dyDescent="0.25">
      <c r="A49" s="17" t="s">
        <v>233</v>
      </c>
    </row>
    <row r="50" spans="1:5" ht="10.5" x14ac:dyDescent="0.25">
      <c r="A50" s="17" t="s">
        <v>234</v>
      </c>
      <c r="B50" s="17"/>
      <c r="C50" s="38" t="s">
        <v>236</v>
      </c>
      <c r="D50" s="18" t="s">
        <v>235</v>
      </c>
    </row>
    <row r="51" spans="1:5" x14ac:dyDescent="0.2">
      <c r="A51" s="10" t="s">
        <v>543</v>
      </c>
      <c r="C51" s="39">
        <v>11.5025</v>
      </c>
      <c r="D51" s="39">
        <v>11.915699999999999</v>
      </c>
    </row>
    <row r="52" spans="1:5" x14ac:dyDescent="0.2">
      <c r="A52" s="10" t="s">
        <v>859</v>
      </c>
      <c r="C52" s="39">
        <v>11.0642</v>
      </c>
      <c r="D52" s="39">
        <v>10.4016</v>
      </c>
    </row>
    <row r="53" spans="1:5" x14ac:dyDescent="0.2">
      <c r="A53" s="10" t="s">
        <v>545</v>
      </c>
      <c r="C53" s="39">
        <v>10.225199999999999</v>
      </c>
      <c r="D53" s="39">
        <v>10.1965</v>
      </c>
    </row>
    <row r="54" spans="1:5" x14ac:dyDescent="0.2">
      <c r="A54" s="10" t="s">
        <v>546</v>
      </c>
      <c r="C54" s="39">
        <v>11.5601</v>
      </c>
      <c r="D54" s="39">
        <v>11.9755</v>
      </c>
    </row>
    <row r="56" spans="1:5" ht="10.5" x14ac:dyDescent="0.25">
      <c r="A56" s="17" t="s">
        <v>248</v>
      </c>
    </row>
    <row r="57" spans="1:5" ht="10.5" x14ac:dyDescent="0.25">
      <c r="A57" s="84" t="s">
        <v>249</v>
      </c>
      <c r="B57" s="85"/>
      <c r="C57" s="82" t="s">
        <v>250</v>
      </c>
      <c r="D57" s="83"/>
    </row>
    <row r="58" spans="1:5" ht="10.5" x14ac:dyDescent="0.25">
      <c r="A58" s="84"/>
      <c r="B58" s="85"/>
      <c r="C58" s="40" t="s">
        <v>251</v>
      </c>
      <c r="D58" s="41" t="s">
        <v>252</v>
      </c>
    </row>
    <row r="59" spans="1:5" x14ac:dyDescent="0.2">
      <c r="A59" s="78" t="s">
        <v>859</v>
      </c>
      <c r="B59" s="79"/>
      <c r="C59" s="42">
        <v>0.74553399450000002</v>
      </c>
      <c r="D59" s="42">
        <v>0.69036819439999997</v>
      </c>
    </row>
    <row r="60" spans="1:5" x14ac:dyDescent="0.2">
      <c r="A60" s="78" t="s">
        <v>545</v>
      </c>
      <c r="B60" s="79"/>
      <c r="C60" s="42">
        <v>0.280925853</v>
      </c>
      <c r="D60" s="42">
        <v>0.26013873990000003</v>
      </c>
    </row>
    <row r="62" spans="1:5" ht="10.5" x14ac:dyDescent="0.25">
      <c r="A62" s="17" t="s">
        <v>253</v>
      </c>
      <c r="D62" s="43">
        <v>0.77336776802739704</v>
      </c>
      <c r="E62" s="15" t="s">
        <v>254</v>
      </c>
    </row>
    <row r="64" spans="1:5" ht="10.5" x14ac:dyDescent="0.25">
      <c r="A64" s="17" t="s">
        <v>255</v>
      </c>
      <c r="D64" s="46" t="s">
        <v>256</v>
      </c>
    </row>
  </sheetData>
  <mergeCells count="6">
    <mergeCell ref="A60:B60"/>
    <mergeCell ref="A1:F1"/>
    <mergeCell ref="C57:D57"/>
    <mergeCell ref="A57:B57"/>
    <mergeCell ref="A58:B58"/>
    <mergeCell ref="A59:B59"/>
  </mergeCells>
  <conditionalFormatting sqref="F2:F3 F5:F65533">
    <cfRule type="cellIs" dxfId="38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66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4" style="10" bestFit="1" customWidth="1"/>
    <col min="3" max="3" width="1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54296875" style="10" bestFit="1" customWidth="1"/>
    <col min="8" max="16384" width="9.1796875" style="10"/>
  </cols>
  <sheetData>
    <row r="1" spans="1:6" s="1" customFormat="1" ht="14" x14ac:dyDescent="0.25">
      <c r="A1" s="80" t="s">
        <v>35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230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63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983</v>
      </c>
      <c r="B7" s="26" t="s">
        <v>982</v>
      </c>
      <c r="C7" s="26" t="s">
        <v>650</v>
      </c>
      <c r="D7" s="30">
        <v>156</v>
      </c>
      <c r="E7" s="28">
        <v>1571.3022000000001</v>
      </c>
      <c r="F7" s="29">
        <v>8.46060518377538</v>
      </c>
    </row>
    <row r="8" spans="1:6" x14ac:dyDescent="0.2">
      <c r="A8" s="26" t="s">
        <v>993</v>
      </c>
      <c r="B8" s="26" t="s">
        <v>992</v>
      </c>
      <c r="C8" s="26" t="s">
        <v>176</v>
      </c>
      <c r="D8" s="30">
        <v>150</v>
      </c>
      <c r="E8" s="28">
        <v>1535.1285</v>
      </c>
      <c r="F8" s="29">
        <v>8.2658295424402297</v>
      </c>
    </row>
    <row r="9" spans="1:6" x14ac:dyDescent="0.2">
      <c r="A9" s="26" t="s">
        <v>987</v>
      </c>
      <c r="B9" s="26" t="s">
        <v>986</v>
      </c>
      <c r="C9" s="26" t="s">
        <v>650</v>
      </c>
      <c r="D9" s="30">
        <v>150</v>
      </c>
      <c r="E9" s="28">
        <v>1488.4365</v>
      </c>
      <c r="F9" s="29">
        <v>8.0144185934573802</v>
      </c>
    </row>
    <row r="10" spans="1:6" x14ac:dyDescent="0.2">
      <c r="A10" s="26" t="s">
        <v>652</v>
      </c>
      <c r="B10" s="26" t="s">
        <v>651</v>
      </c>
      <c r="C10" s="26" t="s">
        <v>176</v>
      </c>
      <c r="D10" s="30">
        <v>14</v>
      </c>
      <c r="E10" s="28">
        <v>1419.2374</v>
      </c>
      <c r="F10" s="29">
        <v>7.64181918885361</v>
      </c>
    </row>
    <row r="11" spans="1:6" x14ac:dyDescent="0.2">
      <c r="A11" s="26" t="s">
        <v>955</v>
      </c>
      <c r="B11" s="26" t="s">
        <v>954</v>
      </c>
      <c r="C11" s="26" t="s">
        <v>176</v>
      </c>
      <c r="D11" s="30">
        <v>116</v>
      </c>
      <c r="E11" s="28">
        <v>1176.24812</v>
      </c>
      <c r="F11" s="29">
        <v>6.3334544694700003</v>
      </c>
    </row>
    <row r="12" spans="1:6" x14ac:dyDescent="0.2">
      <c r="A12" s="26" t="s">
        <v>995</v>
      </c>
      <c r="B12" s="26" t="s">
        <v>994</v>
      </c>
      <c r="C12" s="26" t="s">
        <v>176</v>
      </c>
      <c r="D12" s="30">
        <v>100</v>
      </c>
      <c r="E12" s="28">
        <v>1026.6020000000001</v>
      </c>
      <c r="F12" s="29">
        <v>5.5276917469307802</v>
      </c>
    </row>
    <row r="13" spans="1:6" x14ac:dyDescent="0.2">
      <c r="A13" s="26" t="s">
        <v>997</v>
      </c>
      <c r="B13" s="26" t="s">
        <v>996</v>
      </c>
      <c r="C13" s="26" t="s">
        <v>176</v>
      </c>
      <c r="D13" s="30">
        <v>100</v>
      </c>
      <c r="E13" s="28">
        <v>1011.688</v>
      </c>
      <c r="F13" s="29">
        <v>5.4473879926874398</v>
      </c>
    </row>
    <row r="14" spans="1:6" x14ac:dyDescent="0.2">
      <c r="A14" s="26" t="s">
        <v>999</v>
      </c>
      <c r="B14" s="26" t="s">
        <v>998</v>
      </c>
      <c r="C14" s="26" t="s">
        <v>176</v>
      </c>
      <c r="D14" s="30">
        <v>40</v>
      </c>
      <c r="E14" s="28">
        <v>1005.763</v>
      </c>
      <c r="F14" s="29">
        <v>5.4154850998423401</v>
      </c>
    </row>
    <row r="15" spans="1:6" x14ac:dyDescent="0.2">
      <c r="A15" s="26" t="s">
        <v>1001</v>
      </c>
      <c r="B15" s="26" t="s">
        <v>1000</v>
      </c>
      <c r="C15" s="26" t="s">
        <v>603</v>
      </c>
      <c r="D15" s="30">
        <v>800</v>
      </c>
      <c r="E15" s="28">
        <v>819.49760000000003</v>
      </c>
      <c r="F15" s="29">
        <v>4.4125475307369202</v>
      </c>
    </row>
    <row r="16" spans="1:6" x14ac:dyDescent="0.2">
      <c r="A16" s="26" t="s">
        <v>607</v>
      </c>
      <c r="B16" s="26" t="s">
        <v>606</v>
      </c>
      <c r="C16" s="26" t="s">
        <v>176</v>
      </c>
      <c r="D16" s="30">
        <v>62</v>
      </c>
      <c r="E16" s="28">
        <v>623.65675999999996</v>
      </c>
      <c r="F16" s="29">
        <v>3.3580514407429498</v>
      </c>
    </row>
    <row r="17" spans="1:9" x14ac:dyDescent="0.2">
      <c r="A17" s="26" t="s">
        <v>1003</v>
      </c>
      <c r="B17" s="26" t="s">
        <v>1002</v>
      </c>
      <c r="C17" s="26" t="s">
        <v>176</v>
      </c>
      <c r="D17" s="30">
        <v>40</v>
      </c>
      <c r="E17" s="28">
        <v>517.44200000000001</v>
      </c>
      <c r="F17" s="29">
        <v>2.7861428995027802</v>
      </c>
    </row>
    <row r="18" spans="1:9" x14ac:dyDescent="0.2">
      <c r="A18" s="26" t="s">
        <v>1005</v>
      </c>
      <c r="B18" s="26" t="s">
        <v>1004</v>
      </c>
      <c r="C18" s="26" t="s">
        <v>176</v>
      </c>
      <c r="D18" s="30">
        <v>50</v>
      </c>
      <c r="E18" s="28">
        <v>516.52200000000005</v>
      </c>
      <c r="F18" s="29">
        <v>2.78118920137325</v>
      </c>
    </row>
    <row r="19" spans="1:9" x14ac:dyDescent="0.2">
      <c r="A19" s="26" t="s">
        <v>1007</v>
      </c>
      <c r="B19" s="26" t="s">
        <v>1006</v>
      </c>
      <c r="C19" s="26" t="s">
        <v>176</v>
      </c>
      <c r="D19" s="30">
        <v>50</v>
      </c>
      <c r="E19" s="28">
        <v>515.16899999999998</v>
      </c>
      <c r="F19" s="29">
        <v>2.77390403445014</v>
      </c>
    </row>
    <row r="20" spans="1:9" x14ac:dyDescent="0.2">
      <c r="A20" s="26" t="s">
        <v>961</v>
      </c>
      <c r="B20" s="26" t="s">
        <v>960</v>
      </c>
      <c r="C20" s="26" t="s">
        <v>176</v>
      </c>
      <c r="D20" s="30">
        <v>44</v>
      </c>
      <c r="E20" s="28">
        <v>445.86124000000001</v>
      </c>
      <c r="F20" s="29">
        <v>2.4007195550216398</v>
      </c>
    </row>
    <row r="21" spans="1:9" x14ac:dyDescent="0.2">
      <c r="A21" s="26" t="s">
        <v>969</v>
      </c>
      <c r="B21" s="26" t="s">
        <v>968</v>
      </c>
      <c r="C21" s="26" t="s">
        <v>176</v>
      </c>
      <c r="D21" s="30">
        <v>38</v>
      </c>
      <c r="E21" s="28">
        <v>385.29036000000002</v>
      </c>
      <c r="F21" s="29">
        <v>2.0745784083257099</v>
      </c>
    </row>
    <row r="22" spans="1:9" x14ac:dyDescent="0.2">
      <c r="A22" s="26" t="s">
        <v>362</v>
      </c>
      <c r="B22" s="26" t="s">
        <v>361</v>
      </c>
      <c r="C22" s="26" t="s">
        <v>176</v>
      </c>
      <c r="D22" s="30">
        <v>25</v>
      </c>
      <c r="E22" s="28">
        <v>252.18</v>
      </c>
      <c r="F22" s="29">
        <v>1.3578517329413</v>
      </c>
    </row>
    <row r="23" spans="1:9" x14ac:dyDescent="0.2">
      <c r="A23" s="26" t="s">
        <v>731</v>
      </c>
      <c r="B23" s="26" t="s">
        <v>730</v>
      </c>
      <c r="C23" s="26" t="s">
        <v>176</v>
      </c>
      <c r="D23" s="30">
        <v>20</v>
      </c>
      <c r="E23" s="28">
        <v>203.84719999999999</v>
      </c>
      <c r="F23" s="29">
        <v>1.09760597103351</v>
      </c>
    </row>
    <row r="24" spans="1:9" x14ac:dyDescent="0.2">
      <c r="A24" s="26" t="s">
        <v>975</v>
      </c>
      <c r="B24" s="26" t="s">
        <v>974</v>
      </c>
      <c r="C24" s="26" t="s">
        <v>176</v>
      </c>
      <c r="D24" s="30">
        <v>15</v>
      </c>
      <c r="E24" s="28">
        <v>193.191</v>
      </c>
      <c r="F24" s="29">
        <v>1.04022814711184</v>
      </c>
    </row>
    <row r="25" spans="1:9" x14ac:dyDescent="0.2">
      <c r="A25" s="26" t="s">
        <v>901</v>
      </c>
      <c r="B25" s="26" t="s">
        <v>900</v>
      </c>
      <c r="C25" s="26" t="s">
        <v>176</v>
      </c>
      <c r="D25" s="30">
        <v>10</v>
      </c>
      <c r="E25" s="28">
        <v>119.25069999999999</v>
      </c>
      <c r="F25" s="29">
        <v>0.64209996688660098</v>
      </c>
    </row>
    <row r="26" spans="1:9" x14ac:dyDescent="0.2">
      <c r="A26" s="26" t="s">
        <v>957</v>
      </c>
      <c r="B26" s="26" t="s">
        <v>956</v>
      </c>
      <c r="C26" s="26" t="s">
        <v>603</v>
      </c>
      <c r="D26" s="30">
        <v>1</v>
      </c>
      <c r="E26" s="28">
        <v>10.159520000000001</v>
      </c>
      <c r="F26" s="29">
        <v>5.4703473066269298E-2</v>
      </c>
    </row>
    <row r="27" spans="1:9" ht="10.5" x14ac:dyDescent="0.25">
      <c r="A27" s="25" t="s">
        <v>177</v>
      </c>
      <c r="B27" s="25"/>
      <c r="C27" s="25"/>
      <c r="D27" s="31"/>
      <c r="E27" s="32">
        <f>SUM(E6:E26)</f>
        <v>14836.473100000005</v>
      </c>
      <c r="F27" s="33">
        <f>SUM(F6:F26)</f>
        <v>79.886314178650082</v>
      </c>
      <c r="G27" s="17"/>
      <c r="H27" s="17"/>
      <c r="I27" s="17"/>
    </row>
    <row r="28" spans="1:9" x14ac:dyDescent="0.2">
      <c r="A28" s="26"/>
      <c r="B28" s="26"/>
      <c r="C28" s="26"/>
      <c r="D28" s="27"/>
      <c r="E28" s="28"/>
      <c r="F28" s="29"/>
    </row>
    <row r="29" spans="1:9" ht="10.5" x14ac:dyDescent="0.25">
      <c r="A29" s="25" t="s">
        <v>178</v>
      </c>
      <c r="B29" s="26"/>
      <c r="C29" s="26"/>
      <c r="D29" s="27"/>
      <c r="E29" s="28"/>
      <c r="F29" s="29"/>
    </row>
    <row r="30" spans="1:9" x14ac:dyDescent="0.2">
      <c r="A30" s="26" t="s">
        <v>951</v>
      </c>
      <c r="B30" s="26" t="s">
        <v>950</v>
      </c>
      <c r="C30" s="26" t="s">
        <v>603</v>
      </c>
      <c r="D30" s="30">
        <v>150</v>
      </c>
      <c r="E30" s="28">
        <v>1511.538</v>
      </c>
      <c r="F30" s="29">
        <v>8.1388075688263406</v>
      </c>
    </row>
    <row r="31" spans="1:9" x14ac:dyDescent="0.2">
      <c r="A31" s="26" t="s">
        <v>991</v>
      </c>
      <c r="B31" s="26" t="s">
        <v>990</v>
      </c>
      <c r="C31" s="26" t="s">
        <v>176</v>
      </c>
      <c r="D31" s="30">
        <v>150</v>
      </c>
      <c r="E31" s="28">
        <v>1500.4259999999999</v>
      </c>
      <c r="F31" s="29">
        <v>8.0789755105487409</v>
      </c>
    </row>
    <row r="32" spans="1:9" ht="10.5" x14ac:dyDescent="0.25">
      <c r="A32" s="25" t="s">
        <v>177</v>
      </c>
      <c r="B32" s="25"/>
      <c r="C32" s="25"/>
      <c r="D32" s="31"/>
      <c r="E32" s="32">
        <f>SUM(E29:E31)</f>
        <v>3011.9639999999999</v>
      </c>
      <c r="F32" s="33">
        <f>SUM(F29:F31)</f>
        <v>16.217783079375081</v>
      </c>
      <c r="G32" s="17"/>
      <c r="H32" s="17"/>
      <c r="I32" s="17"/>
    </row>
    <row r="33" spans="1:9" x14ac:dyDescent="0.2">
      <c r="A33" s="26"/>
      <c r="B33" s="26"/>
      <c r="C33" s="26"/>
      <c r="D33" s="27"/>
      <c r="E33" s="28"/>
      <c r="F33" s="29"/>
    </row>
    <row r="34" spans="1:9" ht="10.5" x14ac:dyDescent="0.25">
      <c r="A34" s="25" t="s">
        <v>221</v>
      </c>
      <c r="B34" s="26"/>
      <c r="C34" s="26"/>
      <c r="D34" s="27"/>
      <c r="E34" s="28"/>
      <c r="F34" s="29"/>
    </row>
    <row r="35" spans="1:9" ht="10.5" x14ac:dyDescent="0.25">
      <c r="A35" s="25" t="s">
        <v>463</v>
      </c>
      <c r="B35" s="26"/>
      <c r="C35" s="26"/>
      <c r="D35" s="27"/>
      <c r="E35" s="28"/>
      <c r="F35" s="29"/>
    </row>
    <row r="36" spans="1:9" x14ac:dyDescent="0.2">
      <c r="A36" s="26" t="s">
        <v>488</v>
      </c>
      <c r="B36" s="26" t="s">
        <v>487</v>
      </c>
      <c r="C36" s="26" t="s">
        <v>466</v>
      </c>
      <c r="D36" s="30">
        <v>322</v>
      </c>
      <c r="E36" s="28">
        <v>308.58934399999998</v>
      </c>
      <c r="F36" s="29">
        <v>1.6615852784424601</v>
      </c>
    </row>
    <row r="37" spans="1:9" ht="10.5" x14ac:dyDescent="0.25">
      <c r="A37" s="25" t="s">
        <v>177</v>
      </c>
      <c r="B37" s="25"/>
      <c r="C37" s="25"/>
      <c r="D37" s="31"/>
      <c r="E37" s="32">
        <f>SUM(E35:E36)</f>
        <v>308.58934399999998</v>
      </c>
      <c r="F37" s="33">
        <f>SUM(F35:F36)</f>
        <v>1.6615852784424601</v>
      </c>
      <c r="G37" s="17"/>
      <c r="H37" s="17"/>
      <c r="I37" s="17"/>
    </row>
    <row r="38" spans="1:9" x14ac:dyDescent="0.2">
      <c r="A38" s="26"/>
      <c r="B38" s="26"/>
      <c r="C38" s="26"/>
      <c r="D38" s="27"/>
      <c r="E38" s="28"/>
      <c r="F38" s="29"/>
    </row>
    <row r="39" spans="1:9" ht="10.5" x14ac:dyDescent="0.25">
      <c r="A39" s="25" t="s">
        <v>226</v>
      </c>
      <c r="B39" s="25"/>
      <c r="C39" s="25"/>
      <c r="D39" s="31"/>
      <c r="E39" s="32">
        <f>E27+E32+E37</f>
        <v>18157.026444000003</v>
      </c>
      <c r="F39" s="33">
        <f>F27+F32+F37</f>
        <v>97.765682536467622</v>
      </c>
      <c r="G39" s="17"/>
      <c r="H39" s="17"/>
      <c r="I39" s="17"/>
    </row>
    <row r="40" spans="1:9" ht="10.5" x14ac:dyDescent="0.25">
      <c r="A40" s="25"/>
      <c r="B40" s="25"/>
      <c r="C40" s="25"/>
      <c r="D40" s="31"/>
      <c r="E40" s="32"/>
      <c r="F40" s="33"/>
      <c r="G40" s="17"/>
      <c r="H40" s="17"/>
      <c r="I40" s="17"/>
    </row>
    <row r="41" spans="1:9" ht="10.5" x14ac:dyDescent="0.25">
      <c r="A41" s="25" t="s">
        <v>228</v>
      </c>
      <c r="B41" s="25"/>
      <c r="C41" s="25"/>
      <c r="D41" s="31"/>
      <c r="E41" s="32">
        <f>E43-(E27+E32+E37)</f>
        <v>414.95707099999709</v>
      </c>
      <c r="F41" s="33">
        <f>F43-(F27+F32+F37)</f>
        <v>2.2343174635323777</v>
      </c>
      <c r="G41" s="17"/>
      <c r="H41" s="17"/>
      <c r="I41" s="17"/>
    </row>
    <row r="42" spans="1:9" ht="10.5" x14ac:dyDescent="0.25">
      <c r="A42" s="25"/>
      <c r="B42" s="25"/>
      <c r="C42" s="25"/>
      <c r="D42" s="31"/>
      <c r="E42" s="32"/>
      <c r="F42" s="33"/>
      <c r="G42" s="17"/>
      <c r="H42" s="17"/>
      <c r="I42" s="17"/>
    </row>
    <row r="43" spans="1:9" ht="10.5" x14ac:dyDescent="0.25">
      <c r="A43" s="34" t="s">
        <v>227</v>
      </c>
      <c r="B43" s="34"/>
      <c r="C43" s="34"/>
      <c r="D43" s="35"/>
      <c r="E43" s="36">
        <v>18571.983515</v>
      </c>
      <c r="F43" s="37">
        <v>100</v>
      </c>
      <c r="G43" s="17"/>
      <c r="H43" s="17"/>
      <c r="I43" s="17"/>
    </row>
    <row r="44" spans="1:9" ht="10.5" x14ac:dyDescent="0.25">
      <c r="A44" s="17" t="s">
        <v>231</v>
      </c>
    </row>
    <row r="46" spans="1:9" ht="10.5" x14ac:dyDescent="0.25">
      <c r="A46" s="17" t="s">
        <v>232</v>
      </c>
    </row>
    <row r="47" spans="1:9" ht="10.5" x14ac:dyDescent="0.25">
      <c r="A47" s="17" t="s">
        <v>233</v>
      </c>
    </row>
    <row r="48" spans="1:9" ht="10.5" x14ac:dyDescent="0.25">
      <c r="A48" s="17" t="s">
        <v>234</v>
      </c>
      <c r="B48" s="17"/>
      <c r="C48" s="38" t="s">
        <v>236</v>
      </c>
      <c r="D48" s="18" t="s">
        <v>235</v>
      </c>
    </row>
    <row r="49" spans="1:5" x14ac:dyDescent="0.2">
      <c r="A49" s="10" t="s">
        <v>543</v>
      </c>
      <c r="C49" s="39">
        <v>11.4595</v>
      </c>
      <c r="D49" s="39">
        <v>11.901899999999999</v>
      </c>
    </row>
    <row r="50" spans="1:5" x14ac:dyDescent="0.2">
      <c r="A50" s="10" t="s">
        <v>859</v>
      </c>
      <c r="C50" s="39">
        <v>11.08</v>
      </c>
      <c r="D50" s="39">
        <v>10.4445</v>
      </c>
    </row>
    <row r="51" spans="1:5" x14ac:dyDescent="0.2">
      <c r="A51" s="10" t="s">
        <v>545</v>
      </c>
      <c r="C51" s="39">
        <v>10.248699999999999</v>
      </c>
      <c r="D51" s="39">
        <v>10.2403</v>
      </c>
    </row>
    <row r="52" spans="1:5" x14ac:dyDescent="0.2">
      <c r="A52" s="10" t="s">
        <v>546</v>
      </c>
      <c r="C52" s="39">
        <v>11.5169</v>
      </c>
      <c r="D52" s="39">
        <v>11.961600000000001</v>
      </c>
    </row>
    <row r="53" spans="1:5" x14ac:dyDescent="0.2">
      <c r="A53" s="10" t="s">
        <v>581</v>
      </c>
      <c r="C53" s="39">
        <v>11.1045</v>
      </c>
      <c r="D53" s="39">
        <v>10.469900000000001</v>
      </c>
    </row>
    <row r="54" spans="1:5" x14ac:dyDescent="0.2">
      <c r="A54" s="10" t="s">
        <v>548</v>
      </c>
      <c r="C54" s="39">
        <v>10.2715</v>
      </c>
      <c r="D54" s="39">
        <v>10.264099999999999</v>
      </c>
    </row>
    <row r="56" spans="1:5" ht="10.5" x14ac:dyDescent="0.25">
      <c r="A56" s="17" t="s">
        <v>248</v>
      </c>
    </row>
    <row r="57" spans="1:5" ht="10.5" x14ac:dyDescent="0.25">
      <c r="A57" s="84" t="s">
        <v>249</v>
      </c>
      <c r="B57" s="85"/>
      <c r="C57" s="82" t="s">
        <v>250</v>
      </c>
      <c r="D57" s="83"/>
    </row>
    <row r="58" spans="1:5" ht="10.5" x14ac:dyDescent="0.25">
      <c r="A58" s="84"/>
      <c r="B58" s="85"/>
      <c r="C58" s="40" t="s">
        <v>251</v>
      </c>
      <c r="D58" s="41" t="s">
        <v>252</v>
      </c>
    </row>
    <row r="59" spans="1:5" x14ac:dyDescent="0.2">
      <c r="A59" s="78" t="s">
        <v>859</v>
      </c>
      <c r="B59" s="79"/>
      <c r="C59" s="42">
        <v>0.74193238100000003</v>
      </c>
      <c r="D59" s="42">
        <v>0.68703308230000004</v>
      </c>
    </row>
    <row r="60" spans="1:5" x14ac:dyDescent="0.2">
      <c r="A60" s="78" t="s">
        <v>545</v>
      </c>
      <c r="B60" s="79"/>
      <c r="C60" s="42">
        <v>0.28452746649999999</v>
      </c>
      <c r="D60" s="42">
        <v>0.26347385200000001</v>
      </c>
    </row>
    <row r="61" spans="1:5" x14ac:dyDescent="0.2">
      <c r="A61" s="78" t="s">
        <v>581</v>
      </c>
      <c r="B61" s="79"/>
      <c r="C61" s="42">
        <v>0.74193238100000003</v>
      </c>
      <c r="D61" s="42">
        <v>0.68703308230000004</v>
      </c>
    </row>
    <row r="62" spans="1:5" x14ac:dyDescent="0.2">
      <c r="A62" s="78" t="s">
        <v>548</v>
      </c>
      <c r="B62" s="79"/>
      <c r="C62" s="42">
        <v>0.28452746649999999</v>
      </c>
      <c r="D62" s="42">
        <v>0.26347385200000001</v>
      </c>
    </row>
    <row r="64" spans="1:5" ht="10.5" x14ac:dyDescent="0.25">
      <c r="A64" s="17" t="s">
        <v>253</v>
      </c>
      <c r="D64" s="43">
        <v>0.78829719731506898</v>
      </c>
      <c r="E64" s="15" t="s">
        <v>254</v>
      </c>
    </row>
    <row r="66" spans="1:4" ht="10.5" x14ac:dyDescent="0.25">
      <c r="A66" s="17" t="s">
        <v>255</v>
      </c>
      <c r="D66" s="46" t="s">
        <v>256</v>
      </c>
    </row>
  </sheetData>
  <mergeCells count="8">
    <mergeCell ref="A61:B61"/>
    <mergeCell ref="A62:B62"/>
    <mergeCell ref="A1:F1"/>
    <mergeCell ref="C57:D57"/>
    <mergeCell ref="A57:B57"/>
    <mergeCell ref="A58:B58"/>
    <mergeCell ref="A59:B59"/>
    <mergeCell ref="A60:B60"/>
  </mergeCells>
  <conditionalFormatting sqref="F2:F3 F5:F65533">
    <cfRule type="cellIs" dxfId="37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1"/>
  <sheetViews>
    <sheetView workbookViewId="0">
      <selection sqref="A1:F1"/>
    </sheetView>
  </sheetViews>
  <sheetFormatPr defaultColWidth="9.1796875" defaultRowHeight="10" x14ac:dyDescent="0.2"/>
  <cols>
    <col min="1" max="1" width="32.26953125" style="10" bestFit="1" customWidth="1"/>
    <col min="2" max="2" width="48" style="10" bestFit="1" customWidth="1"/>
    <col min="3" max="3" width="20.54296875" style="10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7.7265625" style="10" bestFit="1" customWidth="1"/>
    <col min="8" max="16384" width="9.1796875" style="10"/>
  </cols>
  <sheetData>
    <row r="1" spans="1:9" s="1" customFormat="1" ht="14" x14ac:dyDescent="0.25">
      <c r="A1" s="80" t="s">
        <v>36</v>
      </c>
      <c r="B1" s="81"/>
      <c r="C1" s="81"/>
      <c r="D1" s="81"/>
      <c r="E1" s="81"/>
      <c r="F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21" x14ac:dyDescent="0.25">
      <c r="A4" s="8" t="s">
        <v>2</v>
      </c>
      <c r="B4" s="8" t="s">
        <v>0</v>
      </c>
      <c r="C4" s="57" t="s">
        <v>5</v>
      </c>
      <c r="D4" s="13" t="s">
        <v>1</v>
      </c>
      <c r="E4" s="9" t="s">
        <v>3</v>
      </c>
      <c r="F4" s="9" t="s">
        <v>4</v>
      </c>
    </row>
    <row r="5" spans="1:9" ht="10.5" x14ac:dyDescent="0.25">
      <c r="A5" s="20" t="s">
        <v>221</v>
      </c>
      <c r="B5" s="21"/>
      <c r="C5" s="21"/>
      <c r="D5" s="22"/>
      <c r="E5" s="23"/>
      <c r="F5" s="24"/>
    </row>
    <row r="6" spans="1:9" ht="10.5" x14ac:dyDescent="0.25">
      <c r="A6" s="25" t="s">
        <v>463</v>
      </c>
      <c r="B6" s="26"/>
      <c r="C6" s="26"/>
      <c r="D6" s="27"/>
      <c r="E6" s="28"/>
      <c r="F6" s="29"/>
    </row>
    <row r="7" spans="1:9" x14ac:dyDescent="0.2">
      <c r="A7" s="26" t="s">
        <v>490</v>
      </c>
      <c r="B7" s="26" t="s">
        <v>489</v>
      </c>
      <c r="C7" s="26" t="s">
        <v>466</v>
      </c>
      <c r="D7" s="30">
        <v>25</v>
      </c>
      <c r="E7" s="28">
        <v>24.965350000000001</v>
      </c>
      <c r="F7" s="29">
        <v>0.97555813076140796</v>
      </c>
    </row>
    <row r="8" spans="1:9" ht="10.5" x14ac:dyDescent="0.25">
      <c r="A8" s="25" t="s">
        <v>177</v>
      </c>
      <c r="B8" s="25"/>
      <c r="C8" s="25"/>
      <c r="D8" s="31"/>
      <c r="E8" s="32">
        <f>SUM(E6:E7)</f>
        <v>24.965350000000001</v>
      </c>
      <c r="F8" s="33">
        <f>SUM(F6:F7)</f>
        <v>0.97555813076140796</v>
      </c>
      <c r="G8" s="17"/>
      <c r="H8" s="17"/>
      <c r="I8" s="17"/>
    </row>
    <row r="9" spans="1:9" x14ac:dyDescent="0.2">
      <c r="A9" s="26"/>
      <c r="B9" s="26"/>
      <c r="C9" s="26"/>
      <c r="D9" s="27"/>
      <c r="E9" s="28"/>
      <c r="F9" s="29"/>
    </row>
    <row r="10" spans="1:9" ht="10.5" x14ac:dyDescent="0.25">
      <c r="A10" s="25" t="s">
        <v>1008</v>
      </c>
      <c r="B10" s="26"/>
      <c r="C10" s="26"/>
      <c r="D10" s="27"/>
      <c r="E10" s="28"/>
      <c r="F10" s="29"/>
    </row>
    <row r="11" spans="1:9" x14ac:dyDescent="0.2">
      <c r="A11" s="26" t="s">
        <v>1010</v>
      </c>
      <c r="B11" s="26" t="s">
        <v>1009</v>
      </c>
      <c r="C11" s="26" t="s">
        <v>1008</v>
      </c>
      <c r="D11" s="30">
        <v>70016.842999999993</v>
      </c>
      <c r="E11" s="28">
        <v>2097.9897249999999</v>
      </c>
      <c r="F11" s="29">
        <v>81.982064520531097</v>
      </c>
    </row>
    <row r="12" spans="1:9" ht="10.5" x14ac:dyDescent="0.25">
      <c r="A12" s="25" t="s">
        <v>177</v>
      </c>
      <c r="B12" s="25"/>
      <c r="C12" s="25"/>
      <c r="D12" s="31"/>
      <c r="E12" s="32">
        <f>SUM(E11:E11)</f>
        <v>2097.9897249999999</v>
      </c>
      <c r="F12" s="33">
        <f>SUM(F11:F11)</f>
        <v>81.982064520531097</v>
      </c>
      <c r="G12" s="17"/>
      <c r="H12" s="17"/>
      <c r="I12" s="17"/>
    </row>
    <row r="13" spans="1:9" x14ac:dyDescent="0.2">
      <c r="A13" s="26"/>
      <c r="B13" s="26"/>
      <c r="C13" s="26"/>
      <c r="D13" s="27"/>
      <c r="E13" s="28"/>
      <c r="F13" s="29"/>
    </row>
    <row r="14" spans="1:9" ht="10.5" x14ac:dyDescent="0.25">
      <c r="A14" s="25" t="s">
        <v>226</v>
      </c>
      <c r="B14" s="25"/>
      <c r="C14" s="25"/>
      <c r="D14" s="31"/>
      <c r="E14" s="32">
        <f>E8+E12</f>
        <v>2122.9550749999999</v>
      </c>
      <c r="F14" s="33">
        <f>F8+F12</f>
        <v>82.95762265129251</v>
      </c>
      <c r="G14" s="17"/>
      <c r="H14" s="17"/>
      <c r="I14" s="17"/>
    </row>
    <row r="15" spans="1:9" ht="10.5" x14ac:dyDescent="0.25">
      <c r="A15" s="25"/>
      <c r="B15" s="25"/>
      <c r="C15" s="25"/>
      <c r="D15" s="31"/>
      <c r="E15" s="32"/>
      <c r="F15" s="33"/>
      <c r="G15" s="17"/>
      <c r="H15" s="17"/>
      <c r="I15" s="17"/>
    </row>
    <row r="16" spans="1:9" ht="10.5" x14ac:dyDescent="0.25">
      <c r="A16" s="25" t="s">
        <v>228</v>
      </c>
      <c r="B16" s="25"/>
      <c r="C16" s="25"/>
      <c r="D16" s="31"/>
      <c r="E16" s="32">
        <f>E18-(E8+E12)</f>
        <v>436.12871640000003</v>
      </c>
      <c r="F16" s="33">
        <f>F18-(F8+F12)</f>
        <v>17.04237734870749</v>
      </c>
      <c r="G16" s="17"/>
      <c r="H16" s="17"/>
      <c r="I16" s="17"/>
    </row>
    <row r="17" spans="1:9" ht="10.5" x14ac:dyDescent="0.25">
      <c r="A17" s="25"/>
      <c r="B17" s="25"/>
      <c r="C17" s="25"/>
      <c r="D17" s="31"/>
      <c r="E17" s="32"/>
      <c r="F17" s="33"/>
      <c r="G17" s="17"/>
      <c r="H17" s="17"/>
      <c r="I17" s="17"/>
    </row>
    <row r="18" spans="1:9" ht="10.5" x14ac:dyDescent="0.25">
      <c r="A18" s="34" t="s">
        <v>227</v>
      </c>
      <c r="B18" s="34"/>
      <c r="C18" s="34"/>
      <c r="D18" s="35"/>
      <c r="E18" s="36">
        <v>2559.0837913999999</v>
      </c>
      <c r="F18" s="37">
        <v>100</v>
      </c>
      <c r="G18" s="17"/>
      <c r="H18" s="17"/>
      <c r="I18" s="17"/>
    </row>
    <row r="19" spans="1:9" ht="10.5" x14ac:dyDescent="0.25">
      <c r="A19" s="17" t="s">
        <v>231</v>
      </c>
    </row>
    <row r="21" spans="1:9" ht="10.5" x14ac:dyDescent="0.25">
      <c r="A21" s="17" t="s">
        <v>232</v>
      </c>
    </row>
    <row r="22" spans="1:9" ht="10.5" x14ac:dyDescent="0.25">
      <c r="A22" s="17" t="s">
        <v>233</v>
      </c>
    </row>
    <row r="23" spans="1:9" ht="10.5" x14ac:dyDescent="0.25">
      <c r="A23" s="17" t="s">
        <v>234</v>
      </c>
      <c r="B23" s="17"/>
      <c r="C23" s="38" t="s">
        <v>236</v>
      </c>
      <c r="D23" s="18" t="s">
        <v>235</v>
      </c>
    </row>
    <row r="24" spans="1:9" x14ac:dyDescent="0.2">
      <c r="A24" s="10" t="s">
        <v>543</v>
      </c>
      <c r="C24" s="39">
        <v>11.9429</v>
      </c>
      <c r="D24" s="39">
        <v>12.2584</v>
      </c>
    </row>
    <row r="25" spans="1:9" x14ac:dyDescent="0.2">
      <c r="A25" s="10" t="s">
        <v>859</v>
      </c>
      <c r="C25" s="39">
        <v>10.668799999999999</v>
      </c>
      <c r="D25" s="39">
        <v>10.950699999999999</v>
      </c>
    </row>
    <row r="26" spans="1:9" x14ac:dyDescent="0.2">
      <c r="A26" s="10" t="s">
        <v>545</v>
      </c>
      <c r="C26" s="39">
        <v>10.2454</v>
      </c>
      <c r="D26" s="39">
        <v>10.1404</v>
      </c>
    </row>
    <row r="27" spans="1:9" x14ac:dyDescent="0.2">
      <c r="A27" s="10" t="s">
        <v>546</v>
      </c>
      <c r="C27" s="39">
        <v>11.9954</v>
      </c>
      <c r="D27" s="39">
        <v>12.312200000000001</v>
      </c>
    </row>
    <row r="28" spans="1:9" x14ac:dyDescent="0.2">
      <c r="A28" s="10" t="s">
        <v>581</v>
      </c>
      <c r="C28" s="39">
        <v>10.721299999999999</v>
      </c>
      <c r="D28" s="39">
        <v>11.0045</v>
      </c>
    </row>
    <row r="29" spans="1:9" x14ac:dyDescent="0.2">
      <c r="A29" s="10" t="s">
        <v>548</v>
      </c>
      <c r="C29" s="39">
        <v>10.2742</v>
      </c>
      <c r="D29" s="39">
        <v>10.1699</v>
      </c>
    </row>
    <row r="31" spans="1:9" ht="10.5" x14ac:dyDescent="0.25">
      <c r="A31" s="17" t="s">
        <v>248</v>
      </c>
    </row>
    <row r="32" spans="1:9" ht="10.5" x14ac:dyDescent="0.25">
      <c r="A32" s="84" t="s">
        <v>249</v>
      </c>
      <c r="B32" s="85"/>
      <c r="C32" s="82" t="s">
        <v>250</v>
      </c>
      <c r="D32" s="83"/>
    </row>
    <row r="33" spans="1:5" ht="10.5" x14ac:dyDescent="0.25">
      <c r="A33" s="84"/>
      <c r="B33" s="85"/>
      <c r="C33" s="40" t="s">
        <v>251</v>
      </c>
      <c r="D33" s="41" t="s">
        <v>252</v>
      </c>
    </row>
    <row r="34" spans="1:5" x14ac:dyDescent="0.2">
      <c r="A34" s="78" t="s">
        <v>545</v>
      </c>
      <c r="B34" s="79"/>
      <c r="C34" s="42">
        <v>0.26651939899999999</v>
      </c>
      <c r="D34" s="42">
        <v>0.24679829180000001</v>
      </c>
    </row>
    <row r="35" spans="1:5" x14ac:dyDescent="0.2">
      <c r="A35" s="78" t="s">
        <v>548</v>
      </c>
      <c r="B35" s="79"/>
      <c r="C35" s="42">
        <v>0.26651939899999999</v>
      </c>
      <c r="D35" s="42">
        <v>0.24679829180000001</v>
      </c>
    </row>
    <row r="37" spans="1:5" ht="10.5" x14ac:dyDescent="0.25">
      <c r="A37" s="17" t="s">
        <v>253</v>
      </c>
      <c r="D37" s="43">
        <v>4.53225936986301E-2</v>
      </c>
      <c r="E37" s="15" t="s">
        <v>254</v>
      </c>
    </row>
    <row r="39" spans="1:5" ht="10.5" x14ac:dyDescent="0.25">
      <c r="A39" s="17" t="s">
        <v>255</v>
      </c>
      <c r="D39" s="46" t="s">
        <v>256</v>
      </c>
    </row>
    <row r="41" spans="1:5" ht="14.5" x14ac:dyDescent="0.35">
      <c r="A41" s="44"/>
    </row>
  </sheetData>
  <mergeCells count="6">
    <mergeCell ref="A35:B35"/>
    <mergeCell ref="A1:F1"/>
    <mergeCell ref="C32:D32"/>
    <mergeCell ref="A32:B32"/>
    <mergeCell ref="A33:B33"/>
    <mergeCell ref="A34:B34"/>
  </mergeCells>
  <conditionalFormatting sqref="F2:F3 F5:F65535">
    <cfRule type="cellIs" dxfId="36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5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1.81640625" style="10" bestFit="1" customWidth="1"/>
    <col min="3" max="3" width="25.179687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4.7265625" style="10" bestFit="1" customWidth="1"/>
    <col min="8" max="16384" width="9.1796875" style="10"/>
  </cols>
  <sheetData>
    <row r="1" spans="1:6" s="1" customFormat="1" ht="14" x14ac:dyDescent="0.25">
      <c r="A1" s="80" t="s">
        <v>37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5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1013</v>
      </c>
      <c r="B7" s="26" t="s">
        <v>1012</v>
      </c>
      <c r="C7" s="26" t="s">
        <v>1014</v>
      </c>
      <c r="D7" s="30">
        <v>158000</v>
      </c>
      <c r="E7" s="28">
        <v>1582.8440000000001</v>
      </c>
      <c r="F7" s="29">
        <v>3.86195610341783</v>
      </c>
    </row>
    <row r="8" spans="1:6" x14ac:dyDescent="0.2">
      <c r="A8" s="26" t="s">
        <v>1016</v>
      </c>
      <c r="B8" s="26" t="s">
        <v>1015</v>
      </c>
      <c r="C8" s="26" t="s">
        <v>1017</v>
      </c>
      <c r="D8" s="30">
        <v>205373</v>
      </c>
      <c r="E8" s="28">
        <v>1056.2333389999999</v>
      </c>
      <c r="F8" s="29">
        <v>2.5770870598646698</v>
      </c>
    </row>
    <row r="9" spans="1:6" x14ac:dyDescent="0.2">
      <c r="A9" s="26" t="s">
        <v>1019</v>
      </c>
      <c r="B9" s="26" t="s">
        <v>1018</v>
      </c>
      <c r="C9" s="26" t="s">
        <v>1014</v>
      </c>
      <c r="D9" s="30">
        <v>206475</v>
      </c>
      <c r="E9" s="28">
        <v>918.60727499999996</v>
      </c>
      <c r="F9" s="29">
        <v>2.24129539760726</v>
      </c>
    </row>
    <row r="10" spans="1:6" x14ac:dyDescent="0.2">
      <c r="A10" s="26" t="s">
        <v>1021</v>
      </c>
      <c r="B10" s="26" t="s">
        <v>1020</v>
      </c>
      <c r="C10" s="26" t="s">
        <v>1022</v>
      </c>
      <c r="D10" s="30">
        <v>109904</v>
      </c>
      <c r="E10" s="28">
        <v>786.36311999999998</v>
      </c>
      <c r="F10" s="29">
        <v>1.91863497020975</v>
      </c>
    </row>
    <row r="11" spans="1:6" x14ac:dyDescent="0.2">
      <c r="A11" s="26" t="s">
        <v>1024</v>
      </c>
      <c r="B11" s="26" t="s">
        <v>1023</v>
      </c>
      <c r="C11" s="26" t="s">
        <v>1014</v>
      </c>
      <c r="D11" s="30">
        <v>206474</v>
      </c>
      <c r="E11" s="28">
        <v>784.91091100000006</v>
      </c>
      <c r="F11" s="29">
        <v>1.9150917483818299</v>
      </c>
    </row>
    <row r="12" spans="1:6" x14ac:dyDescent="0.2">
      <c r="A12" s="26" t="s">
        <v>1026</v>
      </c>
      <c r="B12" s="26" t="s">
        <v>1025</v>
      </c>
      <c r="C12" s="26" t="s">
        <v>1014</v>
      </c>
      <c r="D12" s="30">
        <v>53853</v>
      </c>
      <c r="E12" s="28">
        <v>730.89291600000001</v>
      </c>
      <c r="F12" s="29">
        <v>1.78329409461138</v>
      </c>
    </row>
    <row r="13" spans="1:6" x14ac:dyDescent="0.2">
      <c r="A13" s="26" t="s">
        <v>1028</v>
      </c>
      <c r="B13" s="26" t="s">
        <v>1027</v>
      </c>
      <c r="C13" s="26" t="s">
        <v>1029</v>
      </c>
      <c r="D13" s="30">
        <v>190244</v>
      </c>
      <c r="E13" s="28">
        <v>462.29291999999998</v>
      </c>
      <c r="F13" s="29">
        <v>1.12794120201413</v>
      </c>
    </row>
    <row r="14" spans="1:6" x14ac:dyDescent="0.2">
      <c r="A14" s="26" t="s">
        <v>1031</v>
      </c>
      <c r="B14" s="26" t="s">
        <v>1030</v>
      </c>
      <c r="C14" s="26" t="s">
        <v>1032</v>
      </c>
      <c r="D14" s="30">
        <v>79950</v>
      </c>
      <c r="E14" s="28">
        <v>403.66755000000001</v>
      </c>
      <c r="F14" s="29">
        <v>0.98490208667071499</v>
      </c>
    </row>
    <row r="15" spans="1:6" x14ac:dyDescent="0.2">
      <c r="A15" s="26" t="s">
        <v>1034</v>
      </c>
      <c r="B15" s="26" t="s">
        <v>1033</v>
      </c>
      <c r="C15" s="26" t="s">
        <v>1035</v>
      </c>
      <c r="D15" s="30">
        <v>26468</v>
      </c>
      <c r="E15" s="28">
        <v>386.19458800000001</v>
      </c>
      <c r="F15" s="29">
        <v>0.94227008235399901</v>
      </c>
    </row>
    <row r="16" spans="1:6" x14ac:dyDescent="0.2">
      <c r="A16" s="26" t="s">
        <v>1037</v>
      </c>
      <c r="B16" s="26" t="s">
        <v>1036</v>
      </c>
      <c r="C16" s="26" t="s">
        <v>1038</v>
      </c>
      <c r="D16" s="30">
        <v>40000</v>
      </c>
      <c r="E16" s="28">
        <v>373.92</v>
      </c>
      <c r="F16" s="29">
        <v>0.91232150874627804</v>
      </c>
    </row>
    <row r="17" spans="1:6" x14ac:dyDescent="0.2">
      <c r="A17" s="26" t="s">
        <v>1040</v>
      </c>
      <c r="B17" s="26" t="s">
        <v>1039</v>
      </c>
      <c r="C17" s="26" t="s">
        <v>1029</v>
      </c>
      <c r="D17" s="30">
        <v>168573</v>
      </c>
      <c r="E17" s="28">
        <v>349.36754250000001</v>
      </c>
      <c r="F17" s="29">
        <v>0.85241635505075797</v>
      </c>
    </row>
    <row r="18" spans="1:6" x14ac:dyDescent="0.2">
      <c r="A18" s="26" t="s">
        <v>1042</v>
      </c>
      <c r="B18" s="26" t="s">
        <v>1041</v>
      </c>
      <c r="C18" s="26" t="s">
        <v>1043</v>
      </c>
      <c r="D18" s="30">
        <v>156244</v>
      </c>
      <c r="E18" s="28">
        <v>344.20553200000001</v>
      </c>
      <c r="F18" s="29">
        <v>0.83982164707171403</v>
      </c>
    </row>
    <row r="19" spans="1:6" x14ac:dyDescent="0.2">
      <c r="A19" s="26" t="s">
        <v>1045</v>
      </c>
      <c r="B19" s="26" t="s">
        <v>1044</v>
      </c>
      <c r="C19" s="26" t="s">
        <v>1046</v>
      </c>
      <c r="D19" s="30">
        <v>254936</v>
      </c>
      <c r="E19" s="28">
        <v>331.926672</v>
      </c>
      <c r="F19" s="29">
        <v>0.80986265027859194</v>
      </c>
    </row>
    <row r="20" spans="1:6" x14ac:dyDescent="0.2">
      <c r="A20" s="26" t="s">
        <v>1048</v>
      </c>
      <c r="B20" s="26" t="s">
        <v>1047</v>
      </c>
      <c r="C20" s="26" t="s">
        <v>1049</v>
      </c>
      <c r="D20" s="30">
        <v>60000</v>
      </c>
      <c r="E20" s="28">
        <v>303.24</v>
      </c>
      <c r="F20" s="29">
        <v>0.73987049184911602</v>
      </c>
    </row>
    <row r="21" spans="1:6" x14ac:dyDescent="0.2">
      <c r="A21" s="26" t="s">
        <v>1051</v>
      </c>
      <c r="B21" s="26" t="s">
        <v>1050</v>
      </c>
      <c r="C21" s="26" t="s">
        <v>1052</v>
      </c>
      <c r="D21" s="30">
        <v>66526</v>
      </c>
      <c r="E21" s="28">
        <v>243.91757899999999</v>
      </c>
      <c r="F21" s="29">
        <v>0.59513065276802402</v>
      </c>
    </row>
    <row r="22" spans="1:6" x14ac:dyDescent="0.2">
      <c r="A22" s="26" t="s">
        <v>1054</v>
      </c>
      <c r="B22" s="26" t="s">
        <v>1053</v>
      </c>
      <c r="C22" s="26" t="s">
        <v>1055</v>
      </c>
      <c r="D22" s="30">
        <v>72000</v>
      </c>
      <c r="E22" s="28">
        <v>233.244</v>
      </c>
      <c r="F22" s="29">
        <v>0.56908835576063599</v>
      </c>
    </row>
    <row r="23" spans="1:6" x14ac:dyDescent="0.2">
      <c r="A23" s="26" t="s">
        <v>1057</v>
      </c>
      <c r="B23" s="26" t="s">
        <v>1056</v>
      </c>
      <c r="C23" s="26" t="s">
        <v>1058</v>
      </c>
      <c r="D23" s="30">
        <v>74355</v>
      </c>
      <c r="E23" s="28">
        <v>221.80096499999999</v>
      </c>
      <c r="F23" s="29">
        <v>0.54116867519838596</v>
      </c>
    </row>
    <row r="24" spans="1:6" x14ac:dyDescent="0.2">
      <c r="A24" s="26" t="s">
        <v>1060</v>
      </c>
      <c r="B24" s="26" t="s">
        <v>1059</v>
      </c>
      <c r="C24" s="26" t="s">
        <v>1061</v>
      </c>
      <c r="D24" s="30">
        <v>130625</v>
      </c>
      <c r="E24" s="28">
        <v>211.67781249999999</v>
      </c>
      <c r="F24" s="29">
        <v>0.51646935512438996</v>
      </c>
    </row>
    <row r="25" spans="1:6" x14ac:dyDescent="0.2">
      <c r="A25" s="26" t="s">
        <v>1063</v>
      </c>
      <c r="B25" s="26" t="s">
        <v>1062</v>
      </c>
      <c r="C25" s="26" t="s">
        <v>1061</v>
      </c>
      <c r="D25" s="30">
        <v>221251</v>
      </c>
      <c r="E25" s="28">
        <v>210.29907549999999</v>
      </c>
      <c r="F25" s="29">
        <v>0.51310539647012099</v>
      </c>
    </row>
    <row r="26" spans="1:6" x14ac:dyDescent="0.2">
      <c r="A26" s="26" t="s">
        <v>1065</v>
      </c>
      <c r="B26" s="26" t="s">
        <v>1064</v>
      </c>
      <c r="C26" s="26" t="s">
        <v>1014</v>
      </c>
      <c r="D26" s="30">
        <v>88509</v>
      </c>
      <c r="E26" s="28">
        <v>168.609645</v>
      </c>
      <c r="F26" s="29">
        <v>0.41138801271816</v>
      </c>
    </row>
    <row r="27" spans="1:6" x14ac:dyDescent="0.2">
      <c r="A27" s="26" t="s">
        <v>1067</v>
      </c>
      <c r="B27" s="26" t="s">
        <v>1066</v>
      </c>
      <c r="C27" s="26" t="s">
        <v>1055</v>
      </c>
      <c r="D27" s="30">
        <v>7072</v>
      </c>
      <c r="E27" s="28">
        <v>165.86668800000001</v>
      </c>
      <c r="F27" s="29">
        <v>0.40469551520889002</v>
      </c>
    </row>
    <row r="28" spans="1:6" x14ac:dyDescent="0.2">
      <c r="A28" s="26" t="s">
        <v>1069</v>
      </c>
      <c r="B28" s="26" t="s">
        <v>1068</v>
      </c>
      <c r="C28" s="26" t="s">
        <v>1043</v>
      </c>
      <c r="D28" s="30">
        <v>43000</v>
      </c>
      <c r="E28" s="28">
        <v>159.1</v>
      </c>
      <c r="F28" s="29">
        <v>0.38818557991424102</v>
      </c>
    </row>
    <row r="29" spans="1:6" x14ac:dyDescent="0.2">
      <c r="A29" s="26" t="s">
        <v>1071</v>
      </c>
      <c r="B29" s="26" t="s">
        <v>1070</v>
      </c>
      <c r="C29" s="26" t="s">
        <v>1035</v>
      </c>
      <c r="D29" s="30">
        <v>15000</v>
      </c>
      <c r="E29" s="28">
        <v>140.79</v>
      </c>
      <c r="F29" s="29">
        <v>0.34351129978709</v>
      </c>
    </row>
    <row r="30" spans="1:6" x14ac:dyDescent="0.2">
      <c r="A30" s="26" t="s">
        <v>1073</v>
      </c>
      <c r="B30" s="26" t="s">
        <v>1072</v>
      </c>
      <c r="C30" s="26" t="s">
        <v>1052</v>
      </c>
      <c r="D30" s="30">
        <v>4923</v>
      </c>
      <c r="E30" s="28">
        <v>129.145059</v>
      </c>
      <c r="F30" s="29">
        <v>0.31509899196086599</v>
      </c>
    </row>
    <row r="31" spans="1:6" x14ac:dyDescent="0.2">
      <c r="A31" s="26" t="s">
        <v>1075</v>
      </c>
      <c r="B31" s="26" t="s">
        <v>1074</v>
      </c>
      <c r="C31" s="26" t="s">
        <v>1076</v>
      </c>
      <c r="D31" s="30">
        <v>32100</v>
      </c>
      <c r="E31" s="28">
        <v>121.17749999999999</v>
      </c>
      <c r="F31" s="29">
        <v>0.29565907045919498</v>
      </c>
    </row>
    <row r="32" spans="1:6" x14ac:dyDescent="0.2">
      <c r="A32" s="26" t="s">
        <v>1078</v>
      </c>
      <c r="B32" s="26" t="s">
        <v>1077</v>
      </c>
      <c r="C32" s="26" t="s">
        <v>1035</v>
      </c>
      <c r="D32" s="30">
        <v>27182</v>
      </c>
      <c r="E32" s="28">
        <v>112.506298</v>
      </c>
      <c r="F32" s="29">
        <v>0.27450234150304398</v>
      </c>
    </row>
    <row r="33" spans="1:9" x14ac:dyDescent="0.2">
      <c r="A33" s="26" t="s">
        <v>1080</v>
      </c>
      <c r="B33" s="26" t="s">
        <v>1079</v>
      </c>
      <c r="C33" s="26" t="s">
        <v>1014</v>
      </c>
      <c r="D33" s="30">
        <v>301582</v>
      </c>
      <c r="E33" s="28">
        <v>88.212734999999995</v>
      </c>
      <c r="F33" s="29">
        <v>0.21522886041355299</v>
      </c>
    </row>
    <row r="34" spans="1:9" x14ac:dyDescent="0.2">
      <c r="A34" s="26" t="s">
        <v>1082</v>
      </c>
      <c r="B34" s="26" t="s">
        <v>1081</v>
      </c>
      <c r="C34" s="26" t="s">
        <v>1083</v>
      </c>
      <c r="D34" s="30">
        <v>65910</v>
      </c>
      <c r="E34" s="28">
        <v>76.191959999999995</v>
      </c>
      <c r="F34" s="29">
        <v>0.18589956114018</v>
      </c>
    </row>
    <row r="35" spans="1:9" x14ac:dyDescent="0.2">
      <c r="A35" s="26" t="s">
        <v>1085</v>
      </c>
      <c r="B35" s="26" t="s">
        <v>1084</v>
      </c>
      <c r="C35" s="26" t="s">
        <v>1052</v>
      </c>
      <c r="D35" s="30">
        <v>23121</v>
      </c>
      <c r="E35" s="28">
        <v>75.917803500000005</v>
      </c>
      <c r="F35" s="29">
        <v>0.185230651021137</v>
      </c>
    </row>
    <row r="36" spans="1:9" x14ac:dyDescent="0.2">
      <c r="A36" s="26" t="s">
        <v>1087</v>
      </c>
      <c r="B36" s="26" t="s">
        <v>1086</v>
      </c>
      <c r="C36" s="26" t="s">
        <v>1052</v>
      </c>
      <c r="D36" s="30">
        <v>74940</v>
      </c>
      <c r="E36" s="28">
        <v>69.881550000000004</v>
      </c>
      <c r="F36" s="29">
        <v>0.17050289133913299</v>
      </c>
    </row>
    <row r="37" spans="1:9" x14ac:dyDescent="0.2">
      <c r="A37" s="26" t="s">
        <v>1089</v>
      </c>
      <c r="B37" s="26" t="s">
        <v>1088</v>
      </c>
      <c r="C37" s="26" t="s">
        <v>1090</v>
      </c>
      <c r="D37" s="30">
        <v>153047</v>
      </c>
      <c r="E37" s="28">
        <v>64.203216499999996</v>
      </c>
      <c r="F37" s="29">
        <v>0.15664841501830301</v>
      </c>
    </row>
    <row r="38" spans="1:9" x14ac:dyDescent="0.2">
      <c r="A38" s="26" t="s">
        <v>1092</v>
      </c>
      <c r="B38" s="26" t="s">
        <v>1091</v>
      </c>
      <c r="C38" s="26" t="s">
        <v>1093</v>
      </c>
      <c r="D38" s="30">
        <v>984</v>
      </c>
      <c r="E38" s="28">
        <v>1.4612400000000001</v>
      </c>
      <c r="F38" s="29">
        <v>3.5652564223374299E-3</v>
      </c>
    </row>
    <row r="39" spans="1:9" ht="10.5" x14ac:dyDescent="0.25">
      <c r="A39" s="25" t="s">
        <v>177</v>
      </c>
      <c r="B39" s="25"/>
      <c r="C39" s="25"/>
      <c r="D39" s="31"/>
      <c r="E39" s="32">
        <f>SUM(E7:E38)</f>
        <v>11308.669492500003</v>
      </c>
      <c r="F39" s="33">
        <f>SUM(F7:F38)</f>
        <v>27.591844280355701</v>
      </c>
      <c r="G39" s="17"/>
      <c r="H39" s="17"/>
      <c r="I39" s="17"/>
    </row>
    <row r="40" spans="1:9" x14ac:dyDescent="0.2">
      <c r="A40" s="26"/>
      <c r="B40" s="26"/>
      <c r="C40" s="26"/>
      <c r="D40" s="27"/>
      <c r="E40" s="28"/>
      <c r="F40" s="29"/>
    </row>
    <row r="41" spans="1:9" ht="10.5" x14ac:dyDescent="0.25">
      <c r="A41" s="25" t="s">
        <v>63</v>
      </c>
      <c r="B41" s="26"/>
      <c r="C41" s="26"/>
      <c r="D41" s="27"/>
      <c r="E41" s="28"/>
      <c r="F41" s="29"/>
    </row>
    <row r="42" spans="1:9" ht="10.5" x14ac:dyDescent="0.25">
      <c r="A42" s="25" t="s">
        <v>64</v>
      </c>
      <c r="B42" s="26"/>
      <c r="C42" s="26"/>
      <c r="D42" s="27"/>
      <c r="E42" s="28"/>
      <c r="F42" s="29"/>
    </row>
    <row r="43" spans="1:9" x14ac:dyDescent="0.2">
      <c r="A43" s="26" t="s">
        <v>1095</v>
      </c>
      <c r="B43" s="26" t="s">
        <v>1094</v>
      </c>
      <c r="C43" s="26" t="s">
        <v>148</v>
      </c>
      <c r="D43" s="30">
        <v>250</v>
      </c>
      <c r="E43" s="28">
        <v>2494.7150000000001</v>
      </c>
      <c r="F43" s="29">
        <v>6.0868157699293199</v>
      </c>
    </row>
    <row r="44" spans="1:9" x14ac:dyDescent="0.2">
      <c r="A44" s="26" t="s">
        <v>1097</v>
      </c>
      <c r="B44" s="26" t="s">
        <v>1096</v>
      </c>
      <c r="C44" s="26" t="s">
        <v>176</v>
      </c>
      <c r="D44" s="30">
        <v>150</v>
      </c>
      <c r="E44" s="28">
        <v>1591.902</v>
      </c>
      <c r="F44" s="29">
        <v>3.8840565747117499</v>
      </c>
    </row>
    <row r="45" spans="1:9" x14ac:dyDescent="0.2">
      <c r="A45" s="26" t="s">
        <v>763</v>
      </c>
      <c r="B45" s="26" t="s">
        <v>762</v>
      </c>
      <c r="C45" s="26" t="s">
        <v>176</v>
      </c>
      <c r="D45" s="30">
        <v>105</v>
      </c>
      <c r="E45" s="28">
        <v>1123.1440500000001</v>
      </c>
      <c r="F45" s="29">
        <v>2.74034144799798</v>
      </c>
    </row>
    <row r="46" spans="1:9" x14ac:dyDescent="0.2">
      <c r="A46" s="26" t="s">
        <v>662</v>
      </c>
      <c r="B46" s="26" t="s">
        <v>661</v>
      </c>
      <c r="C46" s="26" t="s">
        <v>176</v>
      </c>
      <c r="D46" s="30">
        <v>100</v>
      </c>
      <c r="E46" s="28">
        <v>1059.8420000000001</v>
      </c>
      <c r="F46" s="29">
        <v>2.5858917749055199</v>
      </c>
    </row>
    <row r="47" spans="1:9" x14ac:dyDescent="0.2">
      <c r="A47" s="26" t="s">
        <v>623</v>
      </c>
      <c r="B47" s="26" t="s">
        <v>622</v>
      </c>
      <c r="C47" s="26" t="s">
        <v>176</v>
      </c>
      <c r="D47" s="30">
        <v>60</v>
      </c>
      <c r="E47" s="28">
        <v>644.22360000000003</v>
      </c>
      <c r="F47" s="29">
        <v>1.5718309978657401</v>
      </c>
    </row>
    <row r="48" spans="1:9" x14ac:dyDescent="0.2">
      <c r="A48" s="26" t="s">
        <v>349</v>
      </c>
      <c r="B48" s="26" t="s">
        <v>348</v>
      </c>
      <c r="C48" s="26" t="s">
        <v>67</v>
      </c>
      <c r="D48" s="30">
        <v>60</v>
      </c>
      <c r="E48" s="28">
        <v>576.19979999999998</v>
      </c>
      <c r="F48" s="29">
        <v>1.4058608014423</v>
      </c>
    </row>
    <row r="49" spans="1:9" x14ac:dyDescent="0.2">
      <c r="A49" s="26" t="s">
        <v>72</v>
      </c>
      <c r="B49" s="26" t="s">
        <v>71</v>
      </c>
      <c r="C49" s="26" t="s">
        <v>73</v>
      </c>
      <c r="D49" s="30">
        <v>50</v>
      </c>
      <c r="E49" s="28">
        <v>486.24400000000003</v>
      </c>
      <c r="F49" s="29">
        <v>1.1863790642351999</v>
      </c>
    </row>
    <row r="50" spans="1:9" x14ac:dyDescent="0.2">
      <c r="A50" s="26" t="s">
        <v>712</v>
      </c>
      <c r="B50" s="26" t="s">
        <v>711</v>
      </c>
      <c r="C50" s="26" t="s">
        <v>176</v>
      </c>
      <c r="D50" s="30">
        <v>5</v>
      </c>
      <c r="E50" s="28">
        <v>54.131749999999997</v>
      </c>
      <c r="F50" s="29">
        <v>0.13207520280026799</v>
      </c>
    </row>
    <row r="51" spans="1:9" ht="10.5" x14ac:dyDescent="0.25">
      <c r="A51" s="25" t="s">
        <v>177</v>
      </c>
      <c r="B51" s="25"/>
      <c r="C51" s="25"/>
      <c r="D51" s="31"/>
      <c r="E51" s="32">
        <f>SUM(E42:E50)</f>
        <v>8030.4021999999995</v>
      </c>
      <c r="F51" s="33">
        <f>SUM(F42:F50)</f>
        <v>19.59325163388808</v>
      </c>
      <c r="G51" s="17"/>
      <c r="H51" s="17"/>
      <c r="I51" s="17"/>
    </row>
    <row r="52" spans="1:9" x14ac:dyDescent="0.2">
      <c r="A52" s="26"/>
      <c r="B52" s="26"/>
      <c r="C52" s="26"/>
      <c r="D52" s="27"/>
      <c r="E52" s="28"/>
      <c r="F52" s="29"/>
    </row>
    <row r="53" spans="1:9" ht="10.5" x14ac:dyDescent="0.25">
      <c r="A53" s="25" t="s">
        <v>178</v>
      </c>
      <c r="B53" s="26"/>
      <c r="C53" s="26"/>
      <c r="D53" s="27"/>
      <c r="E53" s="28"/>
      <c r="F53" s="29"/>
    </row>
    <row r="54" spans="1:9" x14ac:dyDescent="0.2">
      <c r="A54" s="26" t="s">
        <v>220</v>
      </c>
      <c r="B54" s="26" t="s">
        <v>219</v>
      </c>
      <c r="C54" s="26" t="s">
        <v>67</v>
      </c>
      <c r="D54" s="30">
        <v>14</v>
      </c>
      <c r="E54" s="28">
        <v>1819.2048</v>
      </c>
      <c r="F54" s="29">
        <v>4.4386490903253897</v>
      </c>
    </row>
    <row r="55" spans="1:9" ht="10.5" x14ac:dyDescent="0.25">
      <c r="A55" s="25" t="s">
        <v>177</v>
      </c>
      <c r="B55" s="25"/>
      <c r="C55" s="25"/>
      <c r="D55" s="31"/>
      <c r="E55" s="32">
        <f>SUM(E53:E54)</f>
        <v>1819.2048</v>
      </c>
      <c r="F55" s="33">
        <f>SUM(F53:F54)</f>
        <v>4.4386490903253897</v>
      </c>
      <c r="G55" s="17"/>
      <c r="H55" s="17"/>
      <c r="I55" s="17"/>
    </row>
    <row r="56" spans="1:9" x14ac:dyDescent="0.2">
      <c r="A56" s="26"/>
      <c r="B56" s="26"/>
      <c r="C56" s="26"/>
      <c r="D56" s="27"/>
      <c r="E56" s="28"/>
      <c r="F56" s="29"/>
    </row>
    <row r="57" spans="1:9" ht="10.5" x14ac:dyDescent="0.25">
      <c r="A57" s="25" t="s">
        <v>584</v>
      </c>
      <c r="B57" s="26"/>
      <c r="C57" s="26"/>
      <c r="D57" s="27"/>
      <c r="E57" s="28"/>
      <c r="F57" s="29"/>
    </row>
    <row r="58" spans="1:9" x14ac:dyDescent="0.2">
      <c r="A58" s="26" t="s">
        <v>589</v>
      </c>
      <c r="B58" s="26" t="s">
        <v>588</v>
      </c>
      <c r="C58" s="26" t="s">
        <v>587</v>
      </c>
      <c r="D58" s="30">
        <v>7500000</v>
      </c>
      <c r="E58" s="28">
        <v>7678.71</v>
      </c>
      <c r="F58" s="29">
        <v>18.735163383678699</v>
      </c>
    </row>
    <row r="59" spans="1:9" x14ac:dyDescent="0.2">
      <c r="A59" s="26" t="s">
        <v>591</v>
      </c>
      <c r="B59" s="26" t="s">
        <v>590</v>
      </c>
      <c r="C59" s="26" t="s">
        <v>587</v>
      </c>
      <c r="D59" s="30">
        <v>2600000</v>
      </c>
      <c r="E59" s="28">
        <v>2791.9371999999998</v>
      </c>
      <c r="F59" s="29">
        <v>6.8120035264999403</v>
      </c>
    </row>
    <row r="60" spans="1:9" ht="10.5" x14ac:dyDescent="0.25">
      <c r="A60" s="25" t="s">
        <v>177</v>
      </c>
      <c r="B60" s="25"/>
      <c r="C60" s="25"/>
      <c r="D60" s="31"/>
      <c r="E60" s="32">
        <f>SUM(E58:E59)</f>
        <v>10470.647199999999</v>
      </c>
      <c r="F60" s="33">
        <f>SUM(F58:F59)</f>
        <v>25.547166910178639</v>
      </c>
      <c r="G60" s="17"/>
      <c r="H60" s="17"/>
      <c r="I60" s="17"/>
    </row>
    <row r="61" spans="1:9" x14ac:dyDescent="0.2">
      <c r="A61" s="26"/>
      <c r="B61" s="26"/>
      <c r="C61" s="26"/>
      <c r="D61" s="27"/>
      <c r="E61" s="28"/>
      <c r="F61" s="29"/>
    </row>
    <row r="62" spans="1:9" ht="10.5" x14ac:dyDescent="0.25">
      <c r="A62" s="25" t="s">
        <v>226</v>
      </c>
      <c r="B62" s="25"/>
      <c r="C62" s="25"/>
      <c r="D62" s="31"/>
      <c r="E62" s="32">
        <f>E39+E51+E55+E60</f>
        <v>31628.9236925</v>
      </c>
      <c r="F62" s="33">
        <f>F39+F51+F55+F60</f>
        <v>77.170911914747819</v>
      </c>
      <c r="G62" s="17"/>
      <c r="H62" s="17"/>
      <c r="I62" s="17"/>
    </row>
    <row r="63" spans="1:9" ht="10.5" x14ac:dyDescent="0.25">
      <c r="A63" s="25"/>
      <c r="B63" s="25"/>
      <c r="C63" s="25"/>
      <c r="D63" s="31"/>
      <c r="E63" s="32"/>
      <c r="F63" s="33"/>
      <c r="G63" s="17"/>
      <c r="H63" s="17"/>
      <c r="I63" s="17"/>
    </row>
    <row r="64" spans="1:9" ht="10.5" x14ac:dyDescent="0.25">
      <c r="A64" s="25" t="s">
        <v>228</v>
      </c>
      <c r="B64" s="25"/>
      <c r="C64" s="25"/>
      <c r="D64" s="31"/>
      <c r="E64" s="32">
        <f>E66-(E39+E51+E55+E60)</f>
        <v>9356.6276088000013</v>
      </c>
      <c r="F64" s="33">
        <f>F66-(F39+F51+F55+F60)</f>
        <v>22.829088085252181</v>
      </c>
      <c r="G64" s="17"/>
      <c r="H64" s="17"/>
      <c r="I64" s="17"/>
    </row>
    <row r="65" spans="1:9" ht="10.5" x14ac:dyDescent="0.25">
      <c r="A65" s="25"/>
      <c r="B65" s="25"/>
      <c r="C65" s="25"/>
      <c r="D65" s="31"/>
      <c r="E65" s="32"/>
      <c r="F65" s="33"/>
      <c r="G65" s="17"/>
      <c r="H65" s="17"/>
      <c r="I65" s="17"/>
    </row>
    <row r="66" spans="1:9" ht="10.5" x14ac:dyDescent="0.25">
      <c r="A66" s="34" t="s">
        <v>227</v>
      </c>
      <c r="B66" s="34"/>
      <c r="C66" s="34"/>
      <c r="D66" s="35"/>
      <c r="E66" s="36">
        <v>40985.551301300002</v>
      </c>
      <c r="F66" s="37">
        <v>100</v>
      </c>
      <c r="G66" s="17"/>
      <c r="H66" s="17"/>
      <c r="I66" s="17"/>
    </row>
    <row r="67" spans="1:9" ht="10.5" x14ac:dyDescent="0.25">
      <c r="A67" s="17" t="s">
        <v>231</v>
      </c>
      <c r="F67" s="19" t="s">
        <v>446</v>
      </c>
    </row>
    <row r="68" spans="1:9" ht="10.5" x14ac:dyDescent="0.25">
      <c r="A68" s="17"/>
    </row>
    <row r="69" spans="1:9" ht="10.5" x14ac:dyDescent="0.25">
      <c r="A69" s="17" t="s">
        <v>232</v>
      </c>
    </row>
    <row r="70" spans="1:9" ht="10.5" x14ac:dyDescent="0.25">
      <c r="A70" s="17" t="s">
        <v>233</v>
      </c>
    </row>
    <row r="71" spans="1:9" ht="10.5" x14ac:dyDescent="0.25">
      <c r="A71" s="17" t="s">
        <v>234</v>
      </c>
      <c r="B71" s="17"/>
      <c r="C71" s="38" t="s">
        <v>236</v>
      </c>
      <c r="D71" s="18" t="s">
        <v>235</v>
      </c>
    </row>
    <row r="72" spans="1:9" x14ac:dyDescent="0.2">
      <c r="A72" s="10" t="s">
        <v>543</v>
      </c>
      <c r="C72" s="39">
        <v>131.9144</v>
      </c>
      <c r="D72" s="39">
        <v>127.52330000000001</v>
      </c>
    </row>
    <row r="73" spans="1:9" x14ac:dyDescent="0.2">
      <c r="A73" s="10" t="s">
        <v>580</v>
      </c>
      <c r="C73" s="39">
        <v>17.747800000000002</v>
      </c>
      <c r="D73" s="39">
        <v>15.731</v>
      </c>
    </row>
    <row r="74" spans="1:9" x14ac:dyDescent="0.2">
      <c r="A74" s="10" t="s">
        <v>546</v>
      </c>
      <c r="C74" s="39">
        <v>138.35720000000001</v>
      </c>
      <c r="D74" s="39">
        <v>134.26849999999999</v>
      </c>
    </row>
    <row r="75" spans="1:9" x14ac:dyDescent="0.2">
      <c r="A75" s="10" t="s">
        <v>581</v>
      </c>
      <c r="C75" s="39">
        <v>18.773</v>
      </c>
      <c r="D75" s="39">
        <v>16.785299999999999</v>
      </c>
    </row>
    <row r="77" spans="1:9" ht="10.5" x14ac:dyDescent="0.25">
      <c r="A77" s="17" t="s">
        <v>248</v>
      </c>
    </row>
    <row r="78" spans="1:9" ht="10.5" x14ac:dyDescent="0.25">
      <c r="A78" s="84" t="s">
        <v>249</v>
      </c>
      <c r="B78" s="85"/>
      <c r="C78" s="82" t="s">
        <v>250</v>
      </c>
      <c r="D78" s="83"/>
    </row>
    <row r="79" spans="1:9" ht="10.5" x14ac:dyDescent="0.25">
      <c r="A79" s="84"/>
      <c r="B79" s="85"/>
      <c r="C79" s="40" t="s">
        <v>251</v>
      </c>
      <c r="D79" s="41" t="s">
        <v>252</v>
      </c>
    </row>
    <row r="80" spans="1:9" x14ac:dyDescent="0.2">
      <c r="A80" s="78" t="s">
        <v>580</v>
      </c>
      <c r="B80" s="79"/>
      <c r="C80" s="42">
        <v>1.0804840499999999</v>
      </c>
      <c r="D80" s="42">
        <v>1.0005336149999999</v>
      </c>
    </row>
    <row r="81" spans="1:5" x14ac:dyDescent="0.2">
      <c r="A81" s="78" t="s">
        <v>581</v>
      </c>
      <c r="B81" s="79"/>
      <c r="C81" s="42">
        <v>1.0804840499999999</v>
      </c>
      <c r="D81" s="42">
        <v>1.0005336149999999</v>
      </c>
    </row>
    <row r="83" spans="1:5" ht="10.5" x14ac:dyDescent="0.25">
      <c r="A83" s="17" t="s">
        <v>253</v>
      </c>
      <c r="D83" s="43">
        <v>3.1507312002093499</v>
      </c>
      <c r="E83" s="15" t="s">
        <v>254</v>
      </c>
    </row>
    <row r="85" spans="1:5" ht="10.5" x14ac:dyDescent="0.25">
      <c r="A85" s="17" t="s">
        <v>255</v>
      </c>
      <c r="D85" s="46" t="s">
        <v>256</v>
      </c>
    </row>
  </sheetData>
  <mergeCells count="6">
    <mergeCell ref="A81:B81"/>
    <mergeCell ref="A1:F1"/>
    <mergeCell ref="C78:D78"/>
    <mergeCell ref="A78:B78"/>
    <mergeCell ref="A79:B79"/>
    <mergeCell ref="A80:B80"/>
  </mergeCells>
  <conditionalFormatting sqref="F2:F3 F5:F66 F68:F65533">
    <cfRule type="cellIs" dxfId="35" priority="2" stopIfTrue="1" operator="between">
      <formula>0.009</formula>
      <formula>-0.009</formula>
    </cfRule>
  </conditionalFormatting>
  <conditionalFormatting sqref="F67">
    <cfRule type="cellIs" dxfId="34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11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40.54296875" style="10" bestFit="1" customWidth="1"/>
    <col min="3" max="3" width="25.179687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6" style="10" bestFit="1" customWidth="1"/>
    <col min="8" max="16384" width="9.1796875" style="10"/>
  </cols>
  <sheetData>
    <row r="1" spans="1:6" s="1" customFormat="1" ht="14" x14ac:dyDescent="0.25">
      <c r="A1" s="80" t="s">
        <v>38</v>
      </c>
      <c r="B1" s="81"/>
      <c r="C1" s="81"/>
      <c r="D1" s="81"/>
      <c r="E1" s="81"/>
      <c r="F1" s="81"/>
    </row>
    <row r="2" spans="1:6" s="1" customFormat="1" ht="11.5" x14ac:dyDescent="0.25">
      <c r="A2" s="45" t="s">
        <v>258</v>
      </c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57" t="s">
        <v>5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1021</v>
      </c>
      <c r="B7" s="26" t="s">
        <v>1020</v>
      </c>
      <c r="C7" s="26" t="s">
        <v>1022</v>
      </c>
      <c r="D7" s="30">
        <v>63338</v>
      </c>
      <c r="E7" s="28">
        <v>453.18338999999997</v>
      </c>
      <c r="F7" s="29">
        <v>1.8918179898473699</v>
      </c>
    </row>
    <row r="8" spans="1:6" x14ac:dyDescent="0.2">
      <c r="A8" s="26" t="s">
        <v>1019</v>
      </c>
      <c r="B8" s="26" t="s">
        <v>1018</v>
      </c>
      <c r="C8" s="26" t="s">
        <v>1014</v>
      </c>
      <c r="D8" s="30">
        <v>95488</v>
      </c>
      <c r="E8" s="28">
        <v>424.82611200000002</v>
      </c>
      <c r="F8" s="29">
        <v>1.77344028702931</v>
      </c>
    </row>
    <row r="9" spans="1:6" x14ac:dyDescent="0.2">
      <c r="A9" s="26" t="s">
        <v>1026</v>
      </c>
      <c r="B9" s="26" t="s">
        <v>1025</v>
      </c>
      <c r="C9" s="26" t="s">
        <v>1014</v>
      </c>
      <c r="D9" s="30">
        <v>30909</v>
      </c>
      <c r="E9" s="28">
        <v>419.49694799999997</v>
      </c>
      <c r="F9" s="29">
        <v>1.7511936457169499</v>
      </c>
    </row>
    <row r="10" spans="1:6" x14ac:dyDescent="0.2">
      <c r="A10" s="26" t="s">
        <v>1016</v>
      </c>
      <c r="B10" s="26" t="s">
        <v>1015</v>
      </c>
      <c r="C10" s="26" t="s">
        <v>1017</v>
      </c>
      <c r="D10" s="30">
        <v>76153</v>
      </c>
      <c r="E10" s="28">
        <v>391.65487899999999</v>
      </c>
      <c r="F10" s="29">
        <v>1.6349666873353299</v>
      </c>
    </row>
    <row r="11" spans="1:6" x14ac:dyDescent="0.2">
      <c r="A11" s="26" t="s">
        <v>1040</v>
      </c>
      <c r="B11" s="26" t="s">
        <v>1039</v>
      </c>
      <c r="C11" s="26" t="s">
        <v>1029</v>
      </c>
      <c r="D11" s="30">
        <v>170586</v>
      </c>
      <c r="E11" s="28">
        <v>353.53948500000001</v>
      </c>
      <c r="F11" s="29">
        <v>1.4758536446897901</v>
      </c>
    </row>
    <row r="12" spans="1:6" x14ac:dyDescent="0.2">
      <c r="A12" s="26" t="s">
        <v>1013</v>
      </c>
      <c r="B12" s="26" t="s">
        <v>1012</v>
      </c>
      <c r="C12" s="26" t="s">
        <v>1014</v>
      </c>
      <c r="D12" s="30">
        <v>34486</v>
      </c>
      <c r="E12" s="28">
        <v>345.48074800000001</v>
      </c>
      <c r="F12" s="29">
        <v>1.4422123772283999</v>
      </c>
    </row>
    <row r="13" spans="1:6" x14ac:dyDescent="0.2">
      <c r="A13" s="26" t="s">
        <v>1037</v>
      </c>
      <c r="B13" s="26" t="s">
        <v>1036</v>
      </c>
      <c r="C13" s="26" t="s">
        <v>1038</v>
      </c>
      <c r="D13" s="30">
        <v>26000</v>
      </c>
      <c r="E13" s="28">
        <v>243.048</v>
      </c>
      <c r="F13" s="29">
        <v>1.0146059827930201</v>
      </c>
    </row>
    <row r="14" spans="1:6" x14ac:dyDescent="0.2">
      <c r="A14" s="26" t="s">
        <v>1024</v>
      </c>
      <c r="B14" s="26" t="s">
        <v>1023</v>
      </c>
      <c r="C14" s="26" t="s">
        <v>1014</v>
      </c>
      <c r="D14" s="30">
        <v>60374</v>
      </c>
      <c r="E14" s="28">
        <v>229.51176100000001</v>
      </c>
      <c r="F14" s="29">
        <v>0.95809883575245602</v>
      </c>
    </row>
    <row r="15" spans="1:6" x14ac:dyDescent="0.2">
      <c r="A15" s="26" t="s">
        <v>1060</v>
      </c>
      <c r="B15" s="26" t="s">
        <v>1059</v>
      </c>
      <c r="C15" s="26" t="s">
        <v>1061</v>
      </c>
      <c r="D15" s="30">
        <v>138926</v>
      </c>
      <c r="E15" s="28">
        <v>225.129583</v>
      </c>
      <c r="F15" s="29">
        <v>0.93980539570578203</v>
      </c>
    </row>
    <row r="16" spans="1:6" x14ac:dyDescent="0.2">
      <c r="A16" s="26" t="s">
        <v>1099</v>
      </c>
      <c r="B16" s="26" t="s">
        <v>1098</v>
      </c>
      <c r="C16" s="26" t="s">
        <v>1055</v>
      </c>
      <c r="D16" s="30">
        <v>5300</v>
      </c>
      <c r="E16" s="28">
        <v>208.62389999999999</v>
      </c>
      <c r="F16" s="29">
        <v>0.870902278947425</v>
      </c>
    </row>
    <row r="17" spans="1:6" x14ac:dyDescent="0.2">
      <c r="A17" s="26" t="s">
        <v>1048</v>
      </c>
      <c r="B17" s="26" t="s">
        <v>1047</v>
      </c>
      <c r="C17" s="26" t="s">
        <v>1049</v>
      </c>
      <c r="D17" s="30">
        <v>40000</v>
      </c>
      <c r="E17" s="28">
        <v>202.16</v>
      </c>
      <c r="F17" s="29">
        <v>0.84391867236693097</v>
      </c>
    </row>
    <row r="18" spans="1:6" x14ac:dyDescent="0.2">
      <c r="A18" s="26" t="s">
        <v>1031</v>
      </c>
      <c r="B18" s="26" t="s">
        <v>1030</v>
      </c>
      <c r="C18" s="26" t="s">
        <v>1032</v>
      </c>
      <c r="D18" s="30">
        <v>34754</v>
      </c>
      <c r="E18" s="28">
        <v>175.47294600000001</v>
      </c>
      <c r="F18" s="29">
        <v>0.73251333411473196</v>
      </c>
    </row>
    <row r="19" spans="1:6" x14ac:dyDescent="0.2">
      <c r="A19" s="26" t="s">
        <v>1051</v>
      </c>
      <c r="B19" s="26" t="s">
        <v>1050</v>
      </c>
      <c r="C19" s="26" t="s">
        <v>1052</v>
      </c>
      <c r="D19" s="30">
        <v>47341</v>
      </c>
      <c r="E19" s="28">
        <v>173.57577649999999</v>
      </c>
      <c r="F19" s="29">
        <v>0.72459358359190296</v>
      </c>
    </row>
    <row r="20" spans="1:6" x14ac:dyDescent="0.2">
      <c r="A20" s="26" t="s">
        <v>1078</v>
      </c>
      <c r="B20" s="26" t="s">
        <v>1077</v>
      </c>
      <c r="C20" s="26" t="s">
        <v>1035</v>
      </c>
      <c r="D20" s="30">
        <v>37697</v>
      </c>
      <c r="E20" s="28">
        <v>156.027883</v>
      </c>
      <c r="F20" s="29">
        <v>0.65133975006718903</v>
      </c>
    </row>
    <row r="21" spans="1:6" x14ac:dyDescent="0.2">
      <c r="A21" s="26" t="s">
        <v>1054</v>
      </c>
      <c r="B21" s="26" t="s">
        <v>1053</v>
      </c>
      <c r="C21" s="26" t="s">
        <v>1055</v>
      </c>
      <c r="D21" s="30">
        <v>45000</v>
      </c>
      <c r="E21" s="28">
        <v>145.7775</v>
      </c>
      <c r="F21" s="29">
        <v>0.60854943738113498</v>
      </c>
    </row>
    <row r="22" spans="1:6" x14ac:dyDescent="0.2">
      <c r="A22" s="26" t="s">
        <v>1034</v>
      </c>
      <c r="B22" s="26" t="s">
        <v>1033</v>
      </c>
      <c r="C22" s="26" t="s">
        <v>1035</v>
      </c>
      <c r="D22" s="30">
        <v>9526</v>
      </c>
      <c r="E22" s="28">
        <v>138.993866</v>
      </c>
      <c r="F22" s="29">
        <v>0.58023109844611798</v>
      </c>
    </row>
    <row r="23" spans="1:6" x14ac:dyDescent="0.2">
      <c r="A23" s="26" t="s">
        <v>1045</v>
      </c>
      <c r="B23" s="26" t="s">
        <v>1044</v>
      </c>
      <c r="C23" s="26" t="s">
        <v>1046</v>
      </c>
      <c r="D23" s="30">
        <v>96457</v>
      </c>
      <c r="E23" s="28">
        <v>125.587014</v>
      </c>
      <c r="F23" s="29">
        <v>0.52426407855860302</v>
      </c>
    </row>
    <row r="24" spans="1:6" x14ac:dyDescent="0.2">
      <c r="A24" s="26" t="s">
        <v>1069</v>
      </c>
      <c r="B24" s="26" t="s">
        <v>1068</v>
      </c>
      <c r="C24" s="26" t="s">
        <v>1043</v>
      </c>
      <c r="D24" s="30">
        <v>30000</v>
      </c>
      <c r="E24" s="28">
        <v>111</v>
      </c>
      <c r="F24" s="29">
        <v>0.46337046217218703</v>
      </c>
    </row>
    <row r="25" spans="1:6" x14ac:dyDescent="0.2">
      <c r="A25" s="26" t="s">
        <v>1071</v>
      </c>
      <c r="B25" s="26" t="s">
        <v>1070</v>
      </c>
      <c r="C25" s="26" t="s">
        <v>1035</v>
      </c>
      <c r="D25" s="30">
        <v>10000</v>
      </c>
      <c r="E25" s="28">
        <v>93.86</v>
      </c>
      <c r="F25" s="29">
        <v>0.39181938359893198</v>
      </c>
    </row>
    <row r="26" spans="1:6" x14ac:dyDescent="0.2">
      <c r="A26" s="26" t="s">
        <v>1085</v>
      </c>
      <c r="B26" s="26" t="s">
        <v>1084</v>
      </c>
      <c r="C26" s="26" t="s">
        <v>1052</v>
      </c>
      <c r="D26" s="30">
        <v>25761</v>
      </c>
      <c r="E26" s="28">
        <v>84.586243499999995</v>
      </c>
      <c r="F26" s="29">
        <v>0.35310600670274001</v>
      </c>
    </row>
    <row r="27" spans="1:6" x14ac:dyDescent="0.2">
      <c r="A27" s="26" t="s">
        <v>1075</v>
      </c>
      <c r="B27" s="26" t="s">
        <v>1074</v>
      </c>
      <c r="C27" s="26" t="s">
        <v>1076</v>
      </c>
      <c r="D27" s="30">
        <v>20015</v>
      </c>
      <c r="E27" s="28">
        <v>75.556624999999997</v>
      </c>
      <c r="F27" s="29">
        <v>0.31541178600379</v>
      </c>
    </row>
    <row r="28" spans="1:6" x14ac:dyDescent="0.2">
      <c r="A28" s="26" t="s">
        <v>1065</v>
      </c>
      <c r="B28" s="26" t="s">
        <v>1064</v>
      </c>
      <c r="C28" s="26" t="s">
        <v>1014</v>
      </c>
      <c r="D28" s="30">
        <v>29755</v>
      </c>
      <c r="E28" s="28">
        <v>56.683275000000002</v>
      </c>
      <c r="F28" s="29">
        <v>0.236624822830479</v>
      </c>
    </row>
    <row r="29" spans="1:6" x14ac:dyDescent="0.2">
      <c r="A29" s="26" t="s">
        <v>1089</v>
      </c>
      <c r="B29" s="26" t="s">
        <v>1088</v>
      </c>
      <c r="C29" s="26" t="s">
        <v>1090</v>
      </c>
      <c r="D29" s="30">
        <v>97694</v>
      </c>
      <c r="E29" s="28">
        <v>40.982633</v>
      </c>
      <c r="F29" s="29">
        <v>0.171082356704893</v>
      </c>
    </row>
    <row r="30" spans="1:6" x14ac:dyDescent="0.2">
      <c r="A30" s="26" t="s">
        <v>1082</v>
      </c>
      <c r="B30" s="26" t="s">
        <v>1081</v>
      </c>
      <c r="C30" s="26" t="s">
        <v>1083</v>
      </c>
      <c r="D30" s="30">
        <v>35367</v>
      </c>
      <c r="E30" s="28">
        <v>40.884251999999996</v>
      </c>
      <c r="F30" s="29">
        <v>0.170671664367605</v>
      </c>
    </row>
    <row r="31" spans="1:6" x14ac:dyDescent="0.2">
      <c r="A31" s="26" t="s">
        <v>1087</v>
      </c>
      <c r="B31" s="26" t="s">
        <v>1086</v>
      </c>
      <c r="C31" s="26" t="s">
        <v>1052</v>
      </c>
      <c r="D31" s="30">
        <v>40000</v>
      </c>
      <c r="E31" s="28">
        <v>37.299999999999997</v>
      </c>
      <c r="F31" s="29">
        <v>0.15570917332452799</v>
      </c>
    </row>
    <row r="32" spans="1:6" x14ac:dyDescent="0.2">
      <c r="A32" s="26" t="s">
        <v>1080</v>
      </c>
      <c r="B32" s="26" t="s">
        <v>1079</v>
      </c>
      <c r="C32" s="26" t="s">
        <v>1014</v>
      </c>
      <c r="D32" s="30">
        <v>77000</v>
      </c>
      <c r="E32" s="28">
        <v>22.522500000000001</v>
      </c>
      <c r="F32" s="29">
        <v>9.4020371479937706E-2</v>
      </c>
    </row>
    <row r="33" spans="1:9" x14ac:dyDescent="0.2">
      <c r="A33" s="26" t="s">
        <v>1092</v>
      </c>
      <c r="B33" s="26" t="s">
        <v>1091</v>
      </c>
      <c r="C33" s="26" t="s">
        <v>1093</v>
      </c>
      <c r="D33" s="30">
        <v>581</v>
      </c>
      <c r="E33" s="28">
        <v>0.86278500000000002</v>
      </c>
      <c r="F33" s="29">
        <v>3.6017034613083799E-3</v>
      </c>
    </row>
    <row r="34" spans="1:9" ht="10.5" x14ac:dyDescent="0.25">
      <c r="A34" s="25" t="s">
        <v>177</v>
      </c>
      <c r="B34" s="25"/>
      <c r="C34" s="25"/>
      <c r="D34" s="31"/>
      <c r="E34" s="32">
        <f>SUM(E7:E33)</f>
        <v>4976.3281049999987</v>
      </c>
      <c r="F34" s="33">
        <f>SUM(F7:F33)</f>
        <v>20.773724810218841</v>
      </c>
      <c r="G34" s="17"/>
      <c r="H34" s="17"/>
      <c r="I34" s="17"/>
    </row>
    <row r="35" spans="1:9" x14ac:dyDescent="0.2">
      <c r="A35" s="26"/>
      <c r="B35" s="26"/>
      <c r="C35" s="26"/>
      <c r="D35" s="27"/>
      <c r="E35" s="28"/>
      <c r="F35" s="29"/>
    </row>
    <row r="36" spans="1:9" ht="10.5" x14ac:dyDescent="0.25">
      <c r="A36" s="25" t="s">
        <v>63</v>
      </c>
      <c r="B36" s="26"/>
      <c r="C36" s="26"/>
      <c r="D36" s="27"/>
      <c r="E36" s="28"/>
      <c r="F36" s="29"/>
    </row>
    <row r="37" spans="1:9" ht="10.5" x14ac:dyDescent="0.25">
      <c r="A37" s="25" t="s">
        <v>64</v>
      </c>
      <c r="B37" s="26"/>
      <c r="C37" s="26"/>
      <c r="D37" s="27"/>
      <c r="E37" s="28"/>
      <c r="F37" s="29"/>
    </row>
    <row r="38" spans="1:9" x14ac:dyDescent="0.2">
      <c r="A38" s="26" t="s">
        <v>662</v>
      </c>
      <c r="B38" s="26" t="s">
        <v>661</v>
      </c>
      <c r="C38" s="26" t="s">
        <v>176</v>
      </c>
      <c r="D38" s="30">
        <v>210</v>
      </c>
      <c r="E38" s="28">
        <v>2225.6682000000001</v>
      </c>
      <c r="F38" s="29">
        <v>9.2910711934769292</v>
      </c>
    </row>
    <row r="39" spans="1:9" x14ac:dyDescent="0.2">
      <c r="A39" s="26" t="s">
        <v>718</v>
      </c>
      <c r="B39" s="26" t="s">
        <v>717</v>
      </c>
      <c r="C39" s="26" t="s">
        <v>201</v>
      </c>
      <c r="D39" s="30">
        <v>150</v>
      </c>
      <c r="E39" s="28">
        <v>1487.289</v>
      </c>
      <c r="F39" s="29">
        <v>6.2087008226451399</v>
      </c>
    </row>
    <row r="40" spans="1:9" x14ac:dyDescent="0.2">
      <c r="A40" s="26" t="s">
        <v>712</v>
      </c>
      <c r="B40" s="26" t="s">
        <v>711</v>
      </c>
      <c r="C40" s="26" t="s">
        <v>176</v>
      </c>
      <c r="D40" s="30">
        <v>65</v>
      </c>
      <c r="E40" s="28">
        <v>703.71275000000003</v>
      </c>
      <c r="F40" s="29">
        <v>2.9376549748104601</v>
      </c>
    </row>
    <row r="41" spans="1:9" x14ac:dyDescent="0.2">
      <c r="A41" s="26" t="s">
        <v>763</v>
      </c>
      <c r="B41" s="26" t="s">
        <v>762</v>
      </c>
      <c r="C41" s="26" t="s">
        <v>176</v>
      </c>
      <c r="D41" s="30">
        <v>65</v>
      </c>
      <c r="E41" s="28">
        <v>695.27964999999995</v>
      </c>
      <c r="F41" s="29">
        <v>2.90245092576051</v>
      </c>
    </row>
    <row r="42" spans="1:9" x14ac:dyDescent="0.2">
      <c r="A42" s="26" t="s">
        <v>623</v>
      </c>
      <c r="B42" s="26" t="s">
        <v>622</v>
      </c>
      <c r="C42" s="26" t="s">
        <v>176</v>
      </c>
      <c r="D42" s="30">
        <v>60</v>
      </c>
      <c r="E42" s="28">
        <v>644.22360000000003</v>
      </c>
      <c r="F42" s="29">
        <v>2.6893170024705402</v>
      </c>
    </row>
    <row r="43" spans="1:9" x14ac:dyDescent="0.2">
      <c r="A43" s="26" t="s">
        <v>349</v>
      </c>
      <c r="B43" s="26" t="s">
        <v>348</v>
      </c>
      <c r="C43" s="26" t="s">
        <v>67</v>
      </c>
      <c r="D43" s="30">
        <v>60</v>
      </c>
      <c r="E43" s="28">
        <v>576.19979999999998</v>
      </c>
      <c r="F43" s="29">
        <v>2.4053510597254202</v>
      </c>
    </row>
    <row r="44" spans="1:9" ht="10.5" x14ac:dyDescent="0.25">
      <c r="A44" s="25" t="s">
        <v>177</v>
      </c>
      <c r="B44" s="25"/>
      <c r="C44" s="25"/>
      <c r="D44" s="31"/>
      <c r="E44" s="32">
        <f>SUM(E37:E43)</f>
        <v>6332.3730000000005</v>
      </c>
      <c r="F44" s="33">
        <f>SUM(F37:F43)</f>
        <v>26.434545978888998</v>
      </c>
      <c r="G44" s="17"/>
      <c r="H44" s="17"/>
      <c r="I44" s="17"/>
    </row>
    <row r="45" spans="1:9" x14ac:dyDescent="0.2">
      <c r="A45" s="26"/>
      <c r="B45" s="26"/>
      <c r="C45" s="26"/>
      <c r="D45" s="27"/>
      <c r="E45" s="28"/>
      <c r="F45" s="29"/>
    </row>
    <row r="46" spans="1:9" ht="10.5" x14ac:dyDescent="0.25">
      <c r="A46" s="25" t="s">
        <v>584</v>
      </c>
      <c r="B46" s="26"/>
      <c r="C46" s="26"/>
      <c r="D46" s="27"/>
      <c r="E46" s="28"/>
      <c r="F46" s="29"/>
    </row>
    <row r="47" spans="1:9" x14ac:dyDescent="0.2">
      <c r="A47" s="26" t="s">
        <v>591</v>
      </c>
      <c r="B47" s="26" t="s">
        <v>590</v>
      </c>
      <c r="C47" s="26" t="s">
        <v>587</v>
      </c>
      <c r="D47" s="30">
        <v>2500000</v>
      </c>
      <c r="E47" s="28">
        <v>2684.5549999999998</v>
      </c>
      <c r="F47" s="29">
        <v>11.206698117807701</v>
      </c>
    </row>
    <row r="48" spans="1:9" x14ac:dyDescent="0.2">
      <c r="A48" s="26" t="s">
        <v>589</v>
      </c>
      <c r="B48" s="26" t="s">
        <v>588</v>
      </c>
      <c r="C48" s="26" t="s">
        <v>587</v>
      </c>
      <c r="D48" s="30">
        <v>2500000</v>
      </c>
      <c r="E48" s="28">
        <v>2559.5700000000002</v>
      </c>
      <c r="F48" s="29">
        <v>10.684947151910499</v>
      </c>
    </row>
    <row r="49" spans="1:9" ht="10.5" x14ac:dyDescent="0.25">
      <c r="A49" s="25" t="s">
        <v>177</v>
      </c>
      <c r="B49" s="25"/>
      <c r="C49" s="25"/>
      <c r="D49" s="31"/>
      <c r="E49" s="32">
        <f>SUM(E47:E48)</f>
        <v>5244.125</v>
      </c>
      <c r="F49" s="33">
        <f>SUM(F47:F48)</f>
        <v>21.8916452697182</v>
      </c>
      <c r="G49" s="17"/>
      <c r="H49" s="17"/>
      <c r="I49" s="17"/>
    </row>
    <row r="50" spans="1:9" x14ac:dyDescent="0.2">
      <c r="A50" s="26"/>
      <c r="B50" s="26"/>
      <c r="C50" s="26"/>
      <c r="D50" s="27"/>
      <c r="E50" s="28"/>
      <c r="F50" s="29"/>
    </row>
    <row r="51" spans="1:9" ht="10.5" x14ac:dyDescent="0.25">
      <c r="A51" s="25" t="s">
        <v>226</v>
      </c>
      <c r="B51" s="25"/>
      <c r="C51" s="25"/>
      <c r="D51" s="31"/>
      <c r="E51" s="32">
        <f>E34+E44+E49</f>
        <v>16552.826105</v>
      </c>
      <c r="F51" s="33">
        <f>F34+F44+F49</f>
        <v>69.099916058826039</v>
      </c>
      <c r="G51" s="17"/>
      <c r="H51" s="17"/>
      <c r="I51" s="17"/>
    </row>
    <row r="52" spans="1:9" ht="10.5" x14ac:dyDescent="0.25">
      <c r="A52" s="25"/>
      <c r="B52" s="25"/>
      <c r="C52" s="25"/>
      <c r="D52" s="31"/>
      <c r="E52" s="32"/>
      <c r="F52" s="33"/>
      <c r="G52" s="17"/>
      <c r="H52" s="17"/>
      <c r="I52" s="17"/>
    </row>
    <row r="53" spans="1:9" ht="10.5" x14ac:dyDescent="0.25">
      <c r="A53" s="25" t="s">
        <v>228</v>
      </c>
      <c r="B53" s="25"/>
      <c r="C53" s="25"/>
      <c r="D53" s="31"/>
      <c r="E53" s="32">
        <f>E55-(E34+E44+E49)</f>
        <v>7402.0888197999993</v>
      </c>
      <c r="F53" s="33">
        <f>F55-(F34+F44+F49)</f>
        <v>30.900083941173961</v>
      </c>
      <c r="G53" s="17"/>
      <c r="H53" s="17"/>
      <c r="I53" s="17"/>
    </row>
    <row r="54" spans="1:9" ht="10.5" x14ac:dyDescent="0.25">
      <c r="A54" s="25"/>
      <c r="B54" s="25"/>
      <c r="C54" s="25"/>
      <c r="D54" s="31"/>
      <c r="E54" s="32"/>
      <c r="F54" s="33"/>
      <c r="G54" s="17"/>
      <c r="H54" s="17"/>
      <c r="I54" s="17"/>
    </row>
    <row r="55" spans="1:9" ht="10.5" x14ac:dyDescent="0.25">
      <c r="A55" s="34" t="s">
        <v>227</v>
      </c>
      <c r="B55" s="34"/>
      <c r="C55" s="34"/>
      <c r="D55" s="35"/>
      <c r="E55" s="36">
        <v>23954.914924799999</v>
      </c>
      <c r="F55" s="37">
        <v>100</v>
      </c>
      <c r="G55" s="17"/>
      <c r="H55" s="17"/>
      <c r="I55" s="17"/>
    </row>
    <row r="56" spans="1:9" ht="10.5" x14ac:dyDescent="0.25">
      <c r="A56" s="17" t="s">
        <v>231</v>
      </c>
      <c r="F56" s="19" t="s">
        <v>446</v>
      </c>
    </row>
    <row r="57" spans="1:9" ht="10.5" x14ac:dyDescent="0.25">
      <c r="A57" s="17"/>
    </row>
    <row r="58" spans="1:9" ht="10.5" x14ac:dyDescent="0.25">
      <c r="A58" s="17" t="s">
        <v>232</v>
      </c>
    </row>
    <row r="59" spans="1:9" ht="10.5" x14ac:dyDescent="0.25">
      <c r="A59" s="17" t="s">
        <v>233</v>
      </c>
    </row>
    <row r="60" spans="1:9" ht="10.5" x14ac:dyDescent="0.25">
      <c r="A60" s="17" t="s">
        <v>234</v>
      </c>
      <c r="B60" s="17"/>
      <c r="C60" s="38" t="s">
        <v>236</v>
      </c>
      <c r="D60" s="18" t="s">
        <v>235</v>
      </c>
    </row>
    <row r="61" spans="1:9" x14ac:dyDescent="0.2">
      <c r="A61" s="10" t="s">
        <v>543</v>
      </c>
      <c r="C61" s="39">
        <v>57.972000000000001</v>
      </c>
      <c r="D61" s="39">
        <v>56.1661</v>
      </c>
    </row>
    <row r="62" spans="1:9" x14ac:dyDescent="0.2">
      <c r="A62" s="10" t="s">
        <v>544</v>
      </c>
      <c r="C62" s="39">
        <v>13.2843</v>
      </c>
      <c r="D62" s="39">
        <v>12.3773</v>
      </c>
    </row>
    <row r="63" spans="1:9" x14ac:dyDescent="0.2">
      <c r="A63" s="10" t="s">
        <v>545</v>
      </c>
      <c r="C63" s="39">
        <v>12.7941</v>
      </c>
      <c r="D63" s="39">
        <v>11.8712</v>
      </c>
    </row>
    <row r="64" spans="1:9" x14ac:dyDescent="0.2">
      <c r="A64" s="10" t="s">
        <v>546</v>
      </c>
      <c r="C64" s="39">
        <v>60.9636</v>
      </c>
      <c r="D64" s="39">
        <v>59.320300000000003</v>
      </c>
    </row>
    <row r="65" spans="1:5" x14ac:dyDescent="0.2">
      <c r="A65" s="10" t="s">
        <v>547</v>
      </c>
      <c r="C65" s="39">
        <v>14.1526</v>
      </c>
      <c r="D65" s="39">
        <v>13.2729</v>
      </c>
    </row>
    <row r="66" spans="1:5" x14ac:dyDescent="0.2">
      <c r="A66" s="10" t="s">
        <v>548</v>
      </c>
      <c r="C66" s="39">
        <v>13.631500000000001</v>
      </c>
      <c r="D66" s="39">
        <v>12.735200000000001</v>
      </c>
    </row>
    <row r="68" spans="1:5" ht="10.5" x14ac:dyDescent="0.25">
      <c r="A68" s="17" t="s">
        <v>248</v>
      </c>
    </row>
    <row r="69" spans="1:5" ht="10.5" x14ac:dyDescent="0.25">
      <c r="A69" s="84" t="s">
        <v>249</v>
      </c>
      <c r="B69" s="85"/>
      <c r="C69" s="82" t="s">
        <v>250</v>
      </c>
      <c r="D69" s="83"/>
    </row>
    <row r="70" spans="1:5" ht="10.5" x14ac:dyDescent="0.25">
      <c r="A70" s="84"/>
      <c r="B70" s="85"/>
      <c r="C70" s="40" t="s">
        <v>251</v>
      </c>
      <c r="D70" s="41" t="s">
        <v>252</v>
      </c>
    </row>
    <row r="71" spans="1:5" x14ac:dyDescent="0.2">
      <c r="A71" s="78" t="s">
        <v>544</v>
      </c>
      <c r="B71" s="79"/>
      <c r="C71" s="42">
        <v>0.37813714749999999</v>
      </c>
      <c r="D71" s="42">
        <v>0.35548452450000001</v>
      </c>
    </row>
    <row r="72" spans="1:5" x14ac:dyDescent="0.2">
      <c r="A72" s="78" t="s">
        <v>545</v>
      </c>
      <c r="B72" s="79"/>
      <c r="C72" s="42">
        <v>0.374567804</v>
      </c>
      <c r="D72" s="42">
        <v>0.3468516532</v>
      </c>
    </row>
    <row r="73" spans="1:5" x14ac:dyDescent="0.2">
      <c r="A73" s="78" t="s">
        <v>547</v>
      </c>
      <c r="B73" s="79"/>
      <c r="C73" s="42">
        <v>0.37813714749999999</v>
      </c>
      <c r="D73" s="42">
        <v>0.35548452450000001</v>
      </c>
    </row>
    <row r="74" spans="1:5" x14ac:dyDescent="0.2">
      <c r="A74" s="78" t="s">
        <v>548</v>
      </c>
      <c r="B74" s="79"/>
      <c r="C74" s="42">
        <v>0.374567804</v>
      </c>
      <c r="D74" s="42">
        <v>0.3468516532</v>
      </c>
    </row>
    <row r="76" spans="1:5" ht="10.5" x14ac:dyDescent="0.25">
      <c r="A76" s="17" t="s">
        <v>253</v>
      </c>
      <c r="D76" s="43">
        <v>3.0612215846387301</v>
      </c>
      <c r="E76" s="15" t="s">
        <v>254</v>
      </c>
    </row>
    <row r="78" spans="1:5" ht="10.5" x14ac:dyDescent="0.25">
      <c r="A78" s="17" t="s">
        <v>255</v>
      </c>
      <c r="D78" s="46" t="s">
        <v>256</v>
      </c>
    </row>
    <row r="82" spans="1:9" s="1" customFormat="1" ht="14" x14ac:dyDescent="0.25">
      <c r="A82" s="80" t="s">
        <v>1617</v>
      </c>
      <c r="B82" s="81"/>
      <c r="C82" s="81"/>
      <c r="D82" s="81"/>
      <c r="E82" s="81"/>
      <c r="F82" s="81"/>
    </row>
    <row r="83" spans="1:9" ht="10.5" x14ac:dyDescent="0.25">
      <c r="A83" s="17" t="s">
        <v>260</v>
      </c>
    </row>
    <row r="84" spans="1:9" ht="10.5" x14ac:dyDescent="0.25">
      <c r="A84" s="17" t="s">
        <v>6</v>
      </c>
    </row>
    <row r="85" spans="1:9" s="1" customFormat="1" ht="17.5" customHeight="1" x14ac:dyDescent="0.25">
      <c r="A85" s="8" t="s">
        <v>2</v>
      </c>
      <c r="B85" s="8" t="s">
        <v>0</v>
      </c>
      <c r="C85" s="8" t="s">
        <v>230</v>
      </c>
      <c r="D85" s="13" t="s">
        <v>1</v>
      </c>
      <c r="E85" s="9" t="s">
        <v>3</v>
      </c>
      <c r="F85" s="9" t="s">
        <v>4</v>
      </c>
    </row>
    <row r="86" spans="1:9" ht="10.5" x14ac:dyDescent="0.25">
      <c r="A86" s="20" t="s">
        <v>63</v>
      </c>
      <c r="B86" s="21"/>
      <c r="C86" s="21"/>
      <c r="D86" s="22"/>
      <c r="E86" s="23"/>
      <c r="F86" s="24"/>
    </row>
    <row r="87" spans="1:9" ht="10.5" x14ac:dyDescent="0.25">
      <c r="A87" s="25" t="s">
        <v>64</v>
      </c>
      <c r="B87" s="26"/>
      <c r="C87" s="26"/>
      <c r="D87" s="27"/>
      <c r="E87" s="28"/>
      <c r="F87" s="29"/>
    </row>
    <row r="88" spans="1:9" x14ac:dyDescent="0.2">
      <c r="A88" s="26" t="s">
        <v>1101</v>
      </c>
      <c r="B88" s="26" t="s">
        <v>1100</v>
      </c>
      <c r="C88" s="26" t="s">
        <v>425</v>
      </c>
      <c r="D88" s="30">
        <v>50</v>
      </c>
      <c r="E88" s="50">
        <v>0</v>
      </c>
      <c r="F88" s="50">
        <v>100</v>
      </c>
    </row>
    <row r="89" spans="1:9" ht="10.5" x14ac:dyDescent="0.25">
      <c r="A89" s="25" t="s">
        <v>177</v>
      </c>
      <c r="B89" s="25"/>
      <c r="C89" s="25"/>
      <c r="D89" s="31"/>
      <c r="E89" s="51">
        <f>SUM(E87:E88)</f>
        <v>0</v>
      </c>
      <c r="F89" s="52">
        <f>SUM(F87:F88)</f>
        <v>100</v>
      </c>
      <c r="G89" s="17"/>
      <c r="H89" s="17"/>
      <c r="I89" s="17"/>
    </row>
    <row r="90" spans="1:9" x14ac:dyDescent="0.2">
      <c r="A90" s="26"/>
      <c r="B90" s="26"/>
      <c r="C90" s="26"/>
      <c r="D90" s="27"/>
      <c r="E90" s="53"/>
      <c r="F90" s="50"/>
    </row>
    <row r="91" spans="1:9" ht="10.5" x14ac:dyDescent="0.25">
      <c r="A91" s="25" t="s">
        <v>226</v>
      </c>
      <c r="B91" s="25"/>
      <c r="C91" s="25"/>
      <c r="D91" s="31"/>
      <c r="E91" s="51">
        <f>E89</f>
        <v>0</v>
      </c>
      <c r="F91" s="52">
        <f>F89</f>
        <v>100</v>
      </c>
      <c r="G91" s="17"/>
      <c r="H91" s="17"/>
      <c r="I91" s="17"/>
    </row>
    <row r="92" spans="1:9" ht="10.5" x14ac:dyDescent="0.25">
      <c r="A92" s="25"/>
      <c r="B92" s="25"/>
      <c r="C92" s="25"/>
      <c r="D92" s="31"/>
      <c r="E92" s="51"/>
      <c r="F92" s="52"/>
      <c r="G92" s="17"/>
      <c r="H92" s="17"/>
      <c r="I92" s="17"/>
    </row>
    <row r="93" spans="1:9" ht="10.5" x14ac:dyDescent="0.25">
      <c r="A93" s="25" t="s">
        <v>228</v>
      </c>
      <c r="B93" s="25"/>
      <c r="C93" s="25"/>
      <c r="D93" s="31"/>
      <c r="E93" s="51">
        <v>0</v>
      </c>
      <c r="F93" s="33">
        <v>0</v>
      </c>
      <c r="G93" s="17"/>
      <c r="H93" s="17"/>
      <c r="I93" s="17"/>
    </row>
    <row r="94" spans="1:9" ht="10.5" x14ac:dyDescent="0.25">
      <c r="A94" s="25"/>
      <c r="B94" s="25"/>
      <c r="C94" s="25"/>
      <c r="D94" s="31"/>
      <c r="E94" s="51"/>
      <c r="F94" s="52"/>
      <c r="G94" s="17"/>
      <c r="H94" s="17"/>
      <c r="I94" s="17"/>
    </row>
    <row r="95" spans="1:9" ht="10.5" x14ac:dyDescent="0.25">
      <c r="A95" s="34" t="s">
        <v>227</v>
      </c>
      <c r="B95" s="34"/>
      <c r="C95" s="34"/>
      <c r="D95" s="35"/>
      <c r="E95" s="54">
        <v>1.1000000000000001E-6</v>
      </c>
      <c r="F95" s="55">
        <v>100</v>
      </c>
      <c r="G95" s="17"/>
      <c r="H95" s="17"/>
      <c r="I95" s="17"/>
    </row>
    <row r="96" spans="1:9" ht="10.5" x14ac:dyDescent="0.25">
      <c r="A96" s="17" t="s">
        <v>231</v>
      </c>
      <c r="F96" s="19" t="s">
        <v>446</v>
      </c>
    </row>
    <row r="97" spans="1:4" ht="10.5" x14ac:dyDescent="0.25">
      <c r="A97" s="17" t="s">
        <v>1601</v>
      </c>
    </row>
    <row r="99" spans="1:4" ht="10.5" x14ac:dyDescent="0.25">
      <c r="A99" s="17" t="s">
        <v>232</v>
      </c>
    </row>
    <row r="100" spans="1:4" ht="10.5" x14ac:dyDescent="0.25">
      <c r="A100" s="17" t="s">
        <v>233</v>
      </c>
    </row>
    <row r="101" spans="1:4" ht="10.5" x14ac:dyDescent="0.25">
      <c r="A101" s="17" t="s">
        <v>234</v>
      </c>
      <c r="B101" s="17"/>
      <c r="C101" s="38" t="s">
        <v>236</v>
      </c>
      <c r="D101" s="18" t="s">
        <v>235</v>
      </c>
    </row>
    <row r="102" spans="1:4" x14ac:dyDescent="0.2">
      <c r="A102" s="10" t="s">
        <v>543</v>
      </c>
      <c r="C102" s="56" t="s">
        <v>1602</v>
      </c>
      <c r="D102" s="39">
        <v>0</v>
      </c>
    </row>
    <row r="103" spans="1:4" x14ac:dyDescent="0.2">
      <c r="A103" s="10" t="s">
        <v>544</v>
      </c>
      <c r="C103" s="56" t="s">
        <v>1602</v>
      </c>
      <c r="D103" s="39">
        <v>0</v>
      </c>
    </row>
    <row r="104" spans="1:4" x14ac:dyDescent="0.2">
      <c r="A104" s="10" t="s">
        <v>545</v>
      </c>
      <c r="C104" s="56" t="s">
        <v>1602</v>
      </c>
      <c r="D104" s="39">
        <v>0</v>
      </c>
    </row>
    <row r="105" spans="1:4" x14ac:dyDescent="0.2">
      <c r="A105" s="10" t="s">
        <v>546</v>
      </c>
      <c r="C105" s="56" t="s">
        <v>1602</v>
      </c>
      <c r="D105" s="39">
        <v>0</v>
      </c>
    </row>
    <row r="106" spans="1:4" x14ac:dyDescent="0.2">
      <c r="A106" s="10" t="s">
        <v>547</v>
      </c>
      <c r="C106" s="56" t="s">
        <v>1602</v>
      </c>
      <c r="D106" s="39">
        <v>0</v>
      </c>
    </row>
    <row r="107" spans="1:4" x14ac:dyDescent="0.2">
      <c r="A107" s="10" t="s">
        <v>548</v>
      </c>
      <c r="C107" s="56" t="s">
        <v>1602</v>
      </c>
      <c r="D107" s="39">
        <v>0</v>
      </c>
    </row>
    <row r="108" spans="1:4" x14ac:dyDescent="0.2">
      <c r="C108" s="56"/>
      <c r="D108" s="39"/>
    </row>
    <row r="109" spans="1:4" ht="10.5" x14ac:dyDescent="0.25">
      <c r="A109" s="17" t="s">
        <v>1603</v>
      </c>
    </row>
    <row r="110" spans="1:4" ht="10.5" x14ac:dyDescent="0.25">
      <c r="A110" s="17"/>
    </row>
    <row r="111" spans="1:4" ht="10.5" x14ac:dyDescent="0.25">
      <c r="A111" s="17" t="s">
        <v>255</v>
      </c>
      <c r="D111" s="46" t="s">
        <v>256</v>
      </c>
    </row>
  </sheetData>
  <mergeCells count="9">
    <mergeCell ref="A73:B73"/>
    <mergeCell ref="A74:B74"/>
    <mergeCell ref="A82:F82"/>
    <mergeCell ref="A1:F1"/>
    <mergeCell ref="C69:D69"/>
    <mergeCell ref="A69:B69"/>
    <mergeCell ref="A70:B70"/>
    <mergeCell ref="A71:B71"/>
    <mergeCell ref="A72:B72"/>
  </mergeCells>
  <conditionalFormatting sqref="F2:F3 F5:F55 F83:F84 F86:F87 F97:F65533 F57:F81">
    <cfRule type="cellIs" dxfId="33" priority="5" stopIfTrue="1" operator="between">
      <formula>0.009</formula>
      <formula>-0.009</formula>
    </cfRule>
  </conditionalFormatting>
  <conditionalFormatting sqref="F56">
    <cfRule type="cellIs" dxfId="32" priority="4" stopIfTrue="1" operator="between">
      <formula>0.009</formula>
      <formula>-0.009</formula>
    </cfRule>
  </conditionalFormatting>
  <conditionalFormatting sqref="F88:F92 F94:F95">
    <cfRule type="cellIs" dxfId="31" priority="3" stopIfTrue="1" operator="between">
      <formula>0.009</formula>
      <formula>-0.009</formula>
    </cfRule>
  </conditionalFormatting>
  <conditionalFormatting sqref="F93">
    <cfRule type="cellIs" dxfId="30" priority="2" stopIfTrue="1" operator="between">
      <formula>0.009</formula>
      <formula>-0.009</formula>
    </cfRule>
  </conditionalFormatting>
  <conditionalFormatting sqref="F96">
    <cfRule type="cellIs" dxfId="29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81"/>
  <sheetViews>
    <sheetView workbookViewId="0">
      <selection sqref="A1:G1"/>
    </sheetView>
  </sheetViews>
  <sheetFormatPr defaultColWidth="9.1796875" defaultRowHeight="10" x14ac:dyDescent="0.2"/>
  <cols>
    <col min="1" max="1" width="38.7265625" style="10" bestFit="1" customWidth="1"/>
    <col min="2" max="2" width="33.453125" style="10" bestFit="1" customWidth="1"/>
    <col min="3" max="3" width="35.726562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14.26953125" style="10" customWidth="1"/>
    <col min="8" max="16384" width="9.1796875" style="10"/>
  </cols>
  <sheetData>
    <row r="1" spans="1:7" s="1" customFormat="1" ht="14" x14ac:dyDescent="0.25">
      <c r="A1" s="80" t="s">
        <v>39</v>
      </c>
      <c r="B1" s="81"/>
      <c r="C1" s="81"/>
      <c r="D1" s="81"/>
      <c r="E1" s="81"/>
      <c r="F1" s="81"/>
      <c r="G1" s="81"/>
    </row>
    <row r="2" spans="1:7" s="1" customFormat="1" ht="11.5" x14ac:dyDescent="0.25">
      <c r="D2" s="6"/>
      <c r="E2" s="7"/>
      <c r="F2" s="14"/>
    </row>
    <row r="3" spans="1:7" s="1" customFormat="1" ht="11.5" x14ac:dyDescent="0.25">
      <c r="A3" s="12" t="s">
        <v>6</v>
      </c>
      <c r="B3" s="2"/>
      <c r="C3" s="3"/>
      <c r="D3" s="4"/>
      <c r="E3" s="5"/>
      <c r="F3" s="14"/>
    </row>
    <row r="4" spans="1:7" s="1" customFormat="1" ht="21" x14ac:dyDescent="0.25">
      <c r="A4" s="8" t="s">
        <v>2</v>
      </c>
      <c r="B4" s="8" t="s">
        <v>0</v>
      </c>
      <c r="C4" s="57" t="s">
        <v>5</v>
      </c>
      <c r="D4" s="13" t="s">
        <v>1</v>
      </c>
      <c r="E4" s="9" t="s">
        <v>3</v>
      </c>
      <c r="F4" s="9" t="s">
        <v>4</v>
      </c>
      <c r="G4" s="67" t="s">
        <v>1608</v>
      </c>
    </row>
    <row r="5" spans="1:7" ht="10.5" x14ac:dyDescent="0.25">
      <c r="A5" s="20" t="s">
        <v>1011</v>
      </c>
      <c r="B5" s="21"/>
      <c r="C5" s="21"/>
      <c r="D5" s="22"/>
      <c r="E5" s="23"/>
      <c r="F5" s="24"/>
      <c r="G5" s="68"/>
    </row>
    <row r="6" spans="1:7" ht="10.5" x14ac:dyDescent="0.25">
      <c r="A6" s="25" t="s">
        <v>64</v>
      </c>
      <c r="B6" s="26"/>
      <c r="C6" s="26"/>
      <c r="D6" s="27"/>
      <c r="E6" s="28"/>
      <c r="F6" s="29"/>
      <c r="G6" s="69"/>
    </row>
    <row r="7" spans="1:7" x14ac:dyDescent="0.2">
      <c r="A7" s="26" t="s">
        <v>1103</v>
      </c>
      <c r="B7" s="26" t="s">
        <v>1102</v>
      </c>
      <c r="C7" s="26" t="s">
        <v>1104</v>
      </c>
      <c r="D7" s="30">
        <v>64500</v>
      </c>
      <c r="E7" s="28">
        <v>1235.82</v>
      </c>
      <c r="F7" s="29">
        <v>7.35912425543758</v>
      </c>
      <c r="G7" s="74">
        <v>-7.3605</v>
      </c>
    </row>
    <row r="8" spans="1:7" x14ac:dyDescent="0.2">
      <c r="A8" s="26" t="s">
        <v>1106</v>
      </c>
      <c r="B8" s="26" t="s">
        <v>1105</v>
      </c>
      <c r="C8" s="26" t="s">
        <v>1035</v>
      </c>
      <c r="D8" s="30">
        <v>56100</v>
      </c>
      <c r="E8" s="28">
        <v>1231.395</v>
      </c>
      <c r="F8" s="29">
        <v>7.3327740387148301</v>
      </c>
      <c r="G8" s="74">
        <v>-7.3449999999999998</v>
      </c>
    </row>
    <row r="9" spans="1:7" x14ac:dyDescent="0.2">
      <c r="A9" s="26" t="s">
        <v>1108</v>
      </c>
      <c r="B9" s="26" t="s">
        <v>1107</v>
      </c>
      <c r="C9" s="26" t="s">
        <v>1104</v>
      </c>
      <c r="D9" s="30">
        <v>38000</v>
      </c>
      <c r="E9" s="28">
        <v>880.87800000000004</v>
      </c>
      <c r="F9" s="29">
        <v>5.2454974477523804</v>
      </c>
      <c r="G9" s="74">
        <v>-5.2462999999999997</v>
      </c>
    </row>
    <row r="10" spans="1:7" x14ac:dyDescent="0.2">
      <c r="A10" s="26" t="s">
        <v>1019</v>
      </c>
      <c r="B10" s="26" t="s">
        <v>1018</v>
      </c>
      <c r="C10" s="26" t="s">
        <v>1014</v>
      </c>
      <c r="D10" s="30">
        <v>177000</v>
      </c>
      <c r="E10" s="28">
        <v>787.47299999999996</v>
      </c>
      <c r="F10" s="29">
        <v>4.6892845679809296</v>
      </c>
      <c r="G10" s="74">
        <v>-2.2284000000000002</v>
      </c>
    </row>
    <row r="11" spans="1:7" x14ac:dyDescent="0.2">
      <c r="A11" s="26" t="s">
        <v>1021</v>
      </c>
      <c r="B11" s="26" t="s">
        <v>1020</v>
      </c>
      <c r="C11" s="26" t="s">
        <v>1022</v>
      </c>
      <c r="D11" s="30">
        <v>77195</v>
      </c>
      <c r="E11" s="28">
        <v>552.33022500000004</v>
      </c>
      <c r="F11" s="29">
        <v>3.2890443234522801</v>
      </c>
      <c r="G11" s="74"/>
    </row>
    <row r="12" spans="1:7" x14ac:dyDescent="0.2">
      <c r="A12" s="26" t="s">
        <v>1016</v>
      </c>
      <c r="B12" s="26" t="s">
        <v>1015</v>
      </c>
      <c r="C12" s="26" t="s">
        <v>1017</v>
      </c>
      <c r="D12" s="30">
        <v>89951</v>
      </c>
      <c r="E12" s="28">
        <v>462.61799300000001</v>
      </c>
      <c r="F12" s="29">
        <v>2.7548213277727802</v>
      </c>
      <c r="G12" s="74"/>
    </row>
    <row r="13" spans="1:7" x14ac:dyDescent="0.2">
      <c r="A13" s="26" t="s">
        <v>1013</v>
      </c>
      <c r="B13" s="26" t="s">
        <v>1012</v>
      </c>
      <c r="C13" s="26" t="s">
        <v>1014</v>
      </c>
      <c r="D13" s="30">
        <v>44878</v>
      </c>
      <c r="E13" s="28">
        <v>449.58780400000001</v>
      </c>
      <c r="F13" s="29">
        <v>2.6772284906906498</v>
      </c>
      <c r="G13" s="74"/>
    </row>
    <row r="14" spans="1:7" x14ac:dyDescent="0.2">
      <c r="A14" s="26" t="s">
        <v>1040</v>
      </c>
      <c r="B14" s="26" t="s">
        <v>1039</v>
      </c>
      <c r="C14" s="26" t="s">
        <v>1029</v>
      </c>
      <c r="D14" s="30">
        <v>207933</v>
      </c>
      <c r="E14" s="28">
        <v>430.94114250000001</v>
      </c>
      <c r="F14" s="29">
        <v>2.5661903953955498</v>
      </c>
      <c r="G14" s="74"/>
    </row>
    <row r="15" spans="1:7" x14ac:dyDescent="0.2">
      <c r="A15" s="26" t="s">
        <v>1110</v>
      </c>
      <c r="B15" s="26" t="s">
        <v>1109</v>
      </c>
      <c r="C15" s="26" t="s">
        <v>1035</v>
      </c>
      <c r="D15" s="30">
        <v>24000</v>
      </c>
      <c r="E15" s="28">
        <v>422.08800000000002</v>
      </c>
      <c r="F15" s="29">
        <v>2.5134712488300401</v>
      </c>
      <c r="G15" s="74">
        <v>-2.5177</v>
      </c>
    </row>
    <row r="16" spans="1:7" x14ac:dyDescent="0.2">
      <c r="A16" s="26" t="s">
        <v>1024</v>
      </c>
      <c r="B16" s="26" t="s">
        <v>1023</v>
      </c>
      <c r="C16" s="26" t="s">
        <v>1014</v>
      </c>
      <c r="D16" s="30">
        <v>100061</v>
      </c>
      <c r="E16" s="28">
        <v>380.38189149999999</v>
      </c>
      <c r="F16" s="29">
        <v>2.2651175770475298</v>
      </c>
      <c r="G16" s="74"/>
    </row>
    <row r="17" spans="1:7" x14ac:dyDescent="0.2">
      <c r="A17" s="26" t="s">
        <v>1031</v>
      </c>
      <c r="B17" s="26" t="s">
        <v>1030</v>
      </c>
      <c r="C17" s="26" t="s">
        <v>1032</v>
      </c>
      <c r="D17" s="30">
        <v>63712</v>
      </c>
      <c r="E17" s="28">
        <v>321.68188800000001</v>
      </c>
      <c r="F17" s="29">
        <v>1.9155677886065601</v>
      </c>
      <c r="G17" s="74"/>
    </row>
    <row r="18" spans="1:7" x14ac:dyDescent="0.2">
      <c r="A18" s="26" t="s">
        <v>1099</v>
      </c>
      <c r="B18" s="26" t="s">
        <v>1098</v>
      </c>
      <c r="C18" s="26" t="s">
        <v>1055</v>
      </c>
      <c r="D18" s="30">
        <v>7942</v>
      </c>
      <c r="E18" s="28">
        <v>312.620946</v>
      </c>
      <c r="F18" s="29">
        <v>1.86161122693146</v>
      </c>
      <c r="G18" s="74"/>
    </row>
    <row r="19" spans="1:7" x14ac:dyDescent="0.2">
      <c r="A19" s="26" t="s">
        <v>1112</v>
      </c>
      <c r="B19" s="26" t="s">
        <v>1111</v>
      </c>
      <c r="C19" s="26" t="s">
        <v>1061</v>
      </c>
      <c r="D19" s="30">
        <v>1300000</v>
      </c>
      <c r="E19" s="28">
        <v>270.39999999999998</v>
      </c>
      <c r="F19" s="29">
        <v>1.61019177442534</v>
      </c>
      <c r="G19" s="74"/>
    </row>
    <row r="20" spans="1:7" x14ac:dyDescent="0.2">
      <c r="A20" s="26" t="s">
        <v>1063</v>
      </c>
      <c r="B20" s="26" t="s">
        <v>1062</v>
      </c>
      <c r="C20" s="26" t="s">
        <v>1061</v>
      </c>
      <c r="D20" s="30">
        <v>283537</v>
      </c>
      <c r="E20" s="28">
        <v>269.50191849999999</v>
      </c>
      <c r="F20" s="29">
        <v>1.60484383269433</v>
      </c>
      <c r="G20" s="74"/>
    </row>
    <row r="21" spans="1:7" x14ac:dyDescent="0.2">
      <c r="A21" s="26" t="s">
        <v>1026</v>
      </c>
      <c r="B21" s="26" t="s">
        <v>1025</v>
      </c>
      <c r="C21" s="26" t="s">
        <v>1014</v>
      </c>
      <c r="D21" s="30">
        <v>19128</v>
      </c>
      <c r="E21" s="28">
        <v>259.60521599999998</v>
      </c>
      <c r="F21" s="29">
        <v>1.5459104415721601</v>
      </c>
      <c r="G21" s="74"/>
    </row>
    <row r="22" spans="1:7" x14ac:dyDescent="0.2">
      <c r="A22" s="26" t="s">
        <v>1114</v>
      </c>
      <c r="B22" s="26" t="s">
        <v>1113</v>
      </c>
      <c r="C22" s="26" t="s">
        <v>1104</v>
      </c>
      <c r="D22" s="30">
        <v>86040</v>
      </c>
      <c r="E22" s="28">
        <v>255.53880000000001</v>
      </c>
      <c r="F22" s="29">
        <v>1.5216955392253</v>
      </c>
      <c r="G22" s="74"/>
    </row>
    <row r="23" spans="1:7" x14ac:dyDescent="0.2">
      <c r="A23" s="26" t="s">
        <v>1042</v>
      </c>
      <c r="B23" s="26" t="s">
        <v>1041</v>
      </c>
      <c r="C23" s="26" t="s">
        <v>1043</v>
      </c>
      <c r="D23" s="30">
        <v>110000</v>
      </c>
      <c r="E23" s="28">
        <v>242.33</v>
      </c>
      <c r="F23" s="29">
        <v>1.44303910020892</v>
      </c>
      <c r="G23" s="74"/>
    </row>
    <row r="24" spans="1:7" x14ac:dyDescent="0.2">
      <c r="A24" s="26" t="s">
        <v>1051</v>
      </c>
      <c r="B24" s="26" t="s">
        <v>1050</v>
      </c>
      <c r="C24" s="26" t="s">
        <v>1052</v>
      </c>
      <c r="D24" s="30">
        <v>65438</v>
      </c>
      <c r="E24" s="28">
        <v>239.928427</v>
      </c>
      <c r="F24" s="29">
        <v>1.42873809025965</v>
      </c>
      <c r="G24" s="74"/>
    </row>
    <row r="25" spans="1:7" x14ac:dyDescent="0.2">
      <c r="A25" s="26" t="s">
        <v>1060</v>
      </c>
      <c r="B25" s="26" t="s">
        <v>1059</v>
      </c>
      <c r="C25" s="26" t="s">
        <v>1061</v>
      </c>
      <c r="D25" s="30">
        <v>145523</v>
      </c>
      <c r="E25" s="28">
        <v>235.8200215</v>
      </c>
      <c r="F25" s="29">
        <v>1.4042731466867799</v>
      </c>
      <c r="G25" s="74"/>
    </row>
    <row r="26" spans="1:7" x14ac:dyDescent="0.2">
      <c r="A26" s="26" t="s">
        <v>1116</v>
      </c>
      <c r="B26" s="26" t="s">
        <v>1115</v>
      </c>
      <c r="C26" s="26" t="s">
        <v>1117</v>
      </c>
      <c r="D26" s="30">
        <v>26250</v>
      </c>
      <c r="E26" s="28">
        <v>235.606875</v>
      </c>
      <c r="F26" s="29">
        <v>1.4030038909876399</v>
      </c>
      <c r="G26" s="74">
        <v>-1.4009</v>
      </c>
    </row>
    <row r="27" spans="1:7" x14ac:dyDescent="0.2">
      <c r="A27" s="26" t="s">
        <v>1119</v>
      </c>
      <c r="B27" s="26" t="s">
        <v>1118</v>
      </c>
      <c r="C27" s="26" t="s">
        <v>1032</v>
      </c>
      <c r="D27" s="30">
        <v>6000</v>
      </c>
      <c r="E27" s="28">
        <v>212.05799999999999</v>
      </c>
      <c r="F27" s="29">
        <v>1.26277384356911</v>
      </c>
      <c r="G27" s="74">
        <v>-1.2635000000000001</v>
      </c>
    </row>
    <row r="28" spans="1:7" x14ac:dyDescent="0.2">
      <c r="A28" s="26" t="s">
        <v>1121</v>
      </c>
      <c r="B28" s="26" t="s">
        <v>1120</v>
      </c>
      <c r="C28" s="26" t="s">
        <v>1035</v>
      </c>
      <c r="D28" s="30">
        <v>41250</v>
      </c>
      <c r="E28" s="28">
        <v>201.83625000000001</v>
      </c>
      <c r="F28" s="29">
        <v>1.20190484293956</v>
      </c>
      <c r="G28" s="74">
        <v>-1.2001999999999999</v>
      </c>
    </row>
    <row r="29" spans="1:7" x14ac:dyDescent="0.2">
      <c r="A29" s="26" t="s">
        <v>1045</v>
      </c>
      <c r="B29" s="26" t="s">
        <v>1044</v>
      </c>
      <c r="C29" s="26" t="s">
        <v>1046</v>
      </c>
      <c r="D29" s="30">
        <v>150335</v>
      </c>
      <c r="E29" s="28">
        <v>195.73616999999999</v>
      </c>
      <c r="F29" s="29">
        <v>1.1655797740070999</v>
      </c>
      <c r="G29" s="74"/>
    </row>
    <row r="30" spans="1:7" x14ac:dyDescent="0.2">
      <c r="A30" s="26" t="s">
        <v>1065</v>
      </c>
      <c r="B30" s="26" t="s">
        <v>1064</v>
      </c>
      <c r="C30" s="26" t="s">
        <v>1014</v>
      </c>
      <c r="D30" s="30">
        <v>97218</v>
      </c>
      <c r="E30" s="28">
        <v>185.20029</v>
      </c>
      <c r="F30" s="29">
        <v>1.10284017595853</v>
      </c>
      <c r="G30" s="74"/>
    </row>
    <row r="31" spans="1:7" x14ac:dyDescent="0.2">
      <c r="A31" s="26" t="s">
        <v>1123</v>
      </c>
      <c r="B31" s="26" t="s">
        <v>1122</v>
      </c>
      <c r="C31" s="26" t="s">
        <v>1061</v>
      </c>
      <c r="D31" s="30">
        <v>567938</v>
      </c>
      <c r="E31" s="28">
        <v>180.03634600000001</v>
      </c>
      <c r="F31" s="29">
        <v>1.07208965764347</v>
      </c>
      <c r="G31" s="74"/>
    </row>
    <row r="32" spans="1:7" x14ac:dyDescent="0.2">
      <c r="A32" s="26" t="s">
        <v>1028</v>
      </c>
      <c r="B32" s="26" t="s">
        <v>1027</v>
      </c>
      <c r="C32" s="26" t="s">
        <v>1029</v>
      </c>
      <c r="D32" s="30">
        <v>73156</v>
      </c>
      <c r="E32" s="28">
        <v>177.76908</v>
      </c>
      <c r="F32" s="29">
        <v>1.0585884258992599</v>
      </c>
      <c r="G32" s="74"/>
    </row>
    <row r="33" spans="1:9" x14ac:dyDescent="0.2">
      <c r="A33" s="26" t="s">
        <v>1071</v>
      </c>
      <c r="B33" s="26" t="s">
        <v>1070</v>
      </c>
      <c r="C33" s="26" t="s">
        <v>1035</v>
      </c>
      <c r="D33" s="30">
        <v>18456</v>
      </c>
      <c r="E33" s="28">
        <v>173.228016</v>
      </c>
      <c r="F33" s="29">
        <v>1.03154706532256</v>
      </c>
      <c r="G33" s="74"/>
    </row>
    <row r="34" spans="1:9" x14ac:dyDescent="0.2">
      <c r="A34" s="26" t="s">
        <v>1125</v>
      </c>
      <c r="B34" s="26" t="s">
        <v>1124</v>
      </c>
      <c r="C34" s="26" t="s">
        <v>1022</v>
      </c>
      <c r="D34" s="30">
        <v>29733</v>
      </c>
      <c r="E34" s="28">
        <v>162.41651250000001</v>
      </c>
      <c r="F34" s="29">
        <v>0.96716617033413499</v>
      </c>
      <c r="G34" s="74"/>
    </row>
    <row r="35" spans="1:9" x14ac:dyDescent="0.2">
      <c r="A35" s="26" t="s">
        <v>1127</v>
      </c>
      <c r="B35" s="26" t="s">
        <v>1126</v>
      </c>
      <c r="C35" s="26" t="s">
        <v>1035</v>
      </c>
      <c r="D35" s="30">
        <v>902</v>
      </c>
      <c r="E35" s="28">
        <v>161.68034299999999</v>
      </c>
      <c r="F35" s="29">
        <v>0.96278239047657999</v>
      </c>
      <c r="G35" s="74"/>
    </row>
    <row r="36" spans="1:9" x14ac:dyDescent="0.2">
      <c r="A36" s="26" t="s">
        <v>1034</v>
      </c>
      <c r="B36" s="26" t="s">
        <v>1033</v>
      </c>
      <c r="C36" s="26" t="s">
        <v>1035</v>
      </c>
      <c r="D36" s="30">
        <v>10287</v>
      </c>
      <c r="E36" s="28">
        <v>150.09761700000001</v>
      </c>
      <c r="F36" s="29">
        <v>0.89380898023019495</v>
      </c>
      <c r="G36" s="74"/>
    </row>
    <row r="37" spans="1:9" x14ac:dyDescent="0.2">
      <c r="A37" s="26" t="s">
        <v>1057</v>
      </c>
      <c r="B37" s="26" t="s">
        <v>1056</v>
      </c>
      <c r="C37" s="26" t="s">
        <v>1058</v>
      </c>
      <c r="D37" s="30">
        <v>38144</v>
      </c>
      <c r="E37" s="28">
        <v>113.783552</v>
      </c>
      <c r="F37" s="29">
        <v>0.67756412535243205</v>
      </c>
      <c r="G37" s="74"/>
    </row>
    <row r="38" spans="1:9" x14ac:dyDescent="0.2">
      <c r="A38" s="26" t="s">
        <v>1129</v>
      </c>
      <c r="B38" s="26" t="s">
        <v>1128</v>
      </c>
      <c r="C38" s="26" t="s">
        <v>1032</v>
      </c>
      <c r="D38" s="30">
        <v>60447</v>
      </c>
      <c r="E38" s="28">
        <v>103.75727550000001</v>
      </c>
      <c r="F38" s="29">
        <v>0.617859140336108</v>
      </c>
      <c r="G38" s="74"/>
    </row>
    <row r="39" spans="1:9" x14ac:dyDescent="0.2">
      <c r="A39" s="26" t="s">
        <v>1131</v>
      </c>
      <c r="B39" s="26" t="s">
        <v>1130</v>
      </c>
      <c r="C39" s="26" t="s">
        <v>1043</v>
      </c>
      <c r="D39" s="30">
        <v>121901</v>
      </c>
      <c r="E39" s="28">
        <v>102.640642</v>
      </c>
      <c r="F39" s="29">
        <v>0.61120975395760302</v>
      </c>
      <c r="G39" s="74"/>
    </row>
    <row r="40" spans="1:9" x14ac:dyDescent="0.2">
      <c r="A40" s="26" t="s">
        <v>1133</v>
      </c>
      <c r="B40" s="26" t="s">
        <v>1132</v>
      </c>
      <c r="C40" s="26" t="s">
        <v>1134</v>
      </c>
      <c r="D40" s="30">
        <v>122059</v>
      </c>
      <c r="E40" s="28">
        <v>97.525141000000005</v>
      </c>
      <c r="F40" s="29">
        <v>0.58074770650100305</v>
      </c>
      <c r="G40" s="74"/>
    </row>
    <row r="41" spans="1:9" x14ac:dyDescent="0.2">
      <c r="A41" s="26" t="s">
        <v>1136</v>
      </c>
      <c r="B41" s="26" t="s">
        <v>1135</v>
      </c>
      <c r="C41" s="26" t="s">
        <v>1090</v>
      </c>
      <c r="D41" s="30">
        <v>22800</v>
      </c>
      <c r="E41" s="28">
        <v>87.574799999999996</v>
      </c>
      <c r="F41" s="29">
        <v>0.52149490609076998</v>
      </c>
      <c r="G41" s="74">
        <v>-0.52329999999999999</v>
      </c>
    </row>
    <row r="42" spans="1:9" x14ac:dyDescent="0.2">
      <c r="A42" s="26" t="s">
        <v>1138</v>
      </c>
      <c r="B42" s="26" t="s">
        <v>1137</v>
      </c>
      <c r="C42" s="26" t="s">
        <v>1076</v>
      </c>
      <c r="D42" s="30">
        <v>64953</v>
      </c>
      <c r="E42" s="28">
        <v>61.705350000000003</v>
      </c>
      <c r="F42" s="29">
        <v>0.36744617976344901</v>
      </c>
      <c r="G42" s="74"/>
    </row>
    <row r="43" spans="1:9" x14ac:dyDescent="0.2">
      <c r="A43" s="26" t="s">
        <v>1140</v>
      </c>
      <c r="B43" s="26" t="s">
        <v>1139</v>
      </c>
      <c r="C43" s="26" t="s">
        <v>1029</v>
      </c>
      <c r="D43" s="30">
        <v>47372</v>
      </c>
      <c r="E43" s="28">
        <v>45.335003999999998</v>
      </c>
      <c r="F43" s="29">
        <v>0.269963204638831</v>
      </c>
      <c r="G43" s="74"/>
    </row>
    <row r="44" spans="1:9" x14ac:dyDescent="0.2">
      <c r="A44" s="26" t="s">
        <v>1142</v>
      </c>
      <c r="B44" s="26" t="s">
        <v>1141</v>
      </c>
      <c r="C44" s="26" t="s">
        <v>1104</v>
      </c>
      <c r="D44" s="30">
        <v>21957</v>
      </c>
      <c r="E44" s="28">
        <v>43.441924499999999</v>
      </c>
      <c r="F44" s="29">
        <v>0.25869019783693298</v>
      </c>
      <c r="G44" s="74"/>
    </row>
    <row r="45" spans="1:9" x14ac:dyDescent="0.2">
      <c r="A45" s="26" t="s">
        <v>1144</v>
      </c>
      <c r="B45" s="26" t="s">
        <v>1143</v>
      </c>
      <c r="C45" s="26" t="s">
        <v>1145</v>
      </c>
      <c r="D45" s="30">
        <v>76471</v>
      </c>
      <c r="E45" s="28">
        <v>41.600223999999997</v>
      </c>
      <c r="F45" s="29">
        <v>0.24772314533672901</v>
      </c>
      <c r="G45" s="74"/>
    </row>
    <row r="46" spans="1:9" ht="10.5" x14ac:dyDescent="0.25">
      <c r="A46" s="26" t="s">
        <v>1147</v>
      </c>
      <c r="B46" s="26" t="s">
        <v>1146</v>
      </c>
      <c r="C46" s="26" t="s">
        <v>1148</v>
      </c>
      <c r="D46" s="30">
        <v>500</v>
      </c>
      <c r="E46" s="28">
        <v>6.9717500000000001</v>
      </c>
      <c r="F46" s="29">
        <v>4.1515734110021602E-2</v>
      </c>
      <c r="G46" s="33">
        <v>-4.1500000000000002E-2</v>
      </c>
    </row>
    <row r="47" spans="1:9" x14ac:dyDescent="0.2">
      <c r="A47" s="26" t="s">
        <v>1150</v>
      </c>
      <c r="B47" s="26" t="s">
        <v>1149</v>
      </c>
      <c r="C47" s="26" t="s">
        <v>1104</v>
      </c>
      <c r="D47" s="30">
        <v>1600</v>
      </c>
      <c r="E47" s="28">
        <v>2.6551999999999998</v>
      </c>
      <c r="F47" s="29">
        <v>1.5811321003898499E-2</v>
      </c>
      <c r="G47" s="74">
        <v>-1.5800000000000002E-2</v>
      </c>
    </row>
    <row r="48" spans="1:9" ht="10.5" x14ac:dyDescent="0.25">
      <c r="A48" s="25" t="s">
        <v>177</v>
      </c>
      <c r="B48" s="25"/>
      <c r="C48" s="25"/>
      <c r="D48" s="31"/>
      <c r="E48" s="32">
        <f>SUM(E7:E47)</f>
        <v>11983.596635500002</v>
      </c>
      <c r="F48" s="33">
        <f>SUM(F7:F47)</f>
        <v>71.360535245980955</v>
      </c>
      <c r="G48" s="32">
        <f>SUM(G1:G47)</f>
        <v>-29.143099999999997</v>
      </c>
      <c r="H48" s="17"/>
      <c r="I48" s="17"/>
    </row>
    <row r="49" spans="1:9" ht="10.5" x14ac:dyDescent="0.25">
      <c r="A49" s="26"/>
      <c r="B49" s="26"/>
      <c r="C49" s="26"/>
      <c r="D49" s="27"/>
      <c r="E49" s="28"/>
      <c r="F49" s="29"/>
      <c r="G49" s="32"/>
    </row>
    <row r="50" spans="1:9" ht="10.5" x14ac:dyDescent="0.25">
      <c r="A50" s="25" t="s">
        <v>63</v>
      </c>
      <c r="B50" s="26"/>
      <c r="C50" s="26"/>
      <c r="D50" s="27"/>
      <c r="E50" s="28"/>
      <c r="F50" s="29"/>
      <c r="G50" s="71"/>
    </row>
    <row r="51" spans="1:9" ht="10.5" x14ac:dyDescent="0.25">
      <c r="A51" s="25" t="s">
        <v>64</v>
      </c>
      <c r="B51" s="26"/>
      <c r="C51" s="26"/>
      <c r="D51" s="27"/>
      <c r="E51" s="28"/>
      <c r="F51" s="29"/>
      <c r="G51" s="69"/>
    </row>
    <row r="52" spans="1:9" x14ac:dyDescent="0.2">
      <c r="A52" s="26" t="s">
        <v>623</v>
      </c>
      <c r="B52" s="26" t="s">
        <v>622</v>
      </c>
      <c r="C52" s="26" t="s">
        <v>176</v>
      </c>
      <c r="D52" s="30">
        <v>50</v>
      </c>
      <c r="E52" s="28">
        <v>536.85299999999995</v>
      </c>
      <c r="F52" s="29">
        <v>3.19687975101911</v>
      </c>
      <c r="G52" s="69"/>
    </row>
    <row r="53" spans="1:9" ht="10.5" x14ac:dyDescent="0.25">
      <c r="A53" s="25" t="s">
        <v>177</v>
      </c>
      <c r="B53" s="25"/>
      <c r="C53" s="25"/>
      <c r="D53" s="31"/>
      <c r="E53" s="32">
        <f>SUM(E51:E52)</f>
        <v>536.85299999999995</v>
      </c>
      <c r="F53" s="33">
        <f>SUM(F51:F52)</f>
        <v>3.19687975101911</v>
      </c>
      <c r="G53" s="69"/>
      <c r="H53" s="17"/>
      <c r="I53" s="17"/>
    </row>
    <row r="54" spans="1:9" ht="10.5" x14ac:dyDescent="0.25">
      <c r="A54" s="26"/>
      <c r="B54" s="26"/>
      <c r="C54" s="26"/>
      <c r="D54" s="27"/>
      <c r="E54" s="28"/>
      <c r="F54" s="29"/>
      <c r="G54" s="72"/>
    </row>
    <row r="55" spans="1:9" ht="10.5" x14ac:dyDescent="0.25">
      <c r="A55" s="25" t="s">
        <v>226</v>
      </c>
      <c r="B55" s="25"/>
      <c r="C55" s="25"/>
      <c r="D55" s="31"/>
      <c r="E55" s="32">
        <f>E48+E53</f>
        <v>12520.449635500001</v>
      </c>
      <c r="F55" s="33">
        <f>F48+F53</f>
        <v>74.557414997000066</v>
      </c>
      <c r="G55" s="69"/>
      <c r="H55" s="17"/>
      <c r="I55" s="17"/>
    </row>
    <row r="56" spans="1:9" ht="10.5" x14ac:dyDescent="0.25">
      <c r="A56" s="25"/>
      <c r="B56" s="25"/>
      <c r="C56" s="25"/>
      <c r="D56" s="31"/>
      <c r="E56" s="32"/>
      <c r="F56" s="33"/>
      <c r="G56" s="69"/>
      <c r="H56" s="17"/>
      <c r="I56" s="17"/>
    </row>
    <row r="57" spans="1:9" ht="10.5" x14ac:dyDescent="0.25">
      <c r="A57" s="25" t="s">
        <v>1609</v>
      </c>
      <c r="B57" s="25"/>
      <c r="C57" s="25"/>
      <c r="D57" s="31"/>
      <c r="E57" s="32">
        <v>2271.1508800000001</v>
      </c>
      <c r="F57" s="33">
        <v>13.524365626682201</v>
      </c>
      <c r="G57" s="69"/>
      <c r="H57" s="17"/>
      <c r="I57" s="17"/>
    </row>
    <row r="58" spans="1:9" ht="10.5" x14ac:dyDescent="0.25">
      <c r="A58" s="25" t="s">
        <v>228</v>
      </c>
      <c r="B58" s="25"/>
      <c r="C58" s="25"/>
      <c r="D58" s="31"/>
      <c r="E58" s="32">
        <f>E60-(E48+E53+E57)</f>
        <v>2001.430246099997</v>
      </c>
      <c r="F58" s="33">
        <f>F60-(F48+F53+F57)</f>
        <v>11.918219376317737</v>
      </c>
      <c r="G58" s="69"/>
      <c r="H58" s="17"/>
      <c r="I58" s="17"/>
    </row>
    <row r="59" spans="1:9" ht="10.5" x14ac:dyDescent="0.25">
      <c r="A59" s="25"/>
      <c r="B59" s="25"/>
      <c r="C59" s="25"/>
      <c r="D59" s="31"/>
      <c r="E59" s="32"/>
      <c r="F59" s="33"/>
      <c r="G59" s="69"/>
      <c r="H59" s="17"/>
      <c r="I59" s="17"/>
    </row>
    <row r="60" spans="1:9" ht="10.5" x14ac:dyDescent="0.25">
      <c r="A60" s="34" t="s">
        <v>227</v>
      </c>
      <c r="B60" s="34"/>
      <c r="C60" s="34"/>
      <c r="D60" s="35"/>
      <c r="E60" s="36">
        <v>16793.030761599999</v>
      </c>
      <c r="F60" s="37">
        <v>100</v>
      </c>
      <c r="G60" s="73"/>
      <c r="H60" s="17"/>
      <c r="I60" s="17"/>
    </row>
    <row r="61" spans="1:9" ht="10.5" x14ac:dyDescent="0.25">
      <c r="A61" s="17" t="s">
        <v>231</v>
      </c>
    </row>
    <row r="63" spans="1:9" ht="10.5" x14ac:dyDescent="0.25">
      <c r="A63" s="17" t="s">
        <v>232</v>
      </c>
    </row>
    <row r="64" spans="1:9" ht="10.5" x14ac:dyDescent="0.25">
      <c r="A64" s="17" t="s">
        <v>233</v>
      </c>
    </row>
    <row r="65" spans="1:5" ht="10.5" x14ac:dyDescent="0.25">
      <c r="A65" s="17" t="s">
        <v>234</v>
      </c>
      <c r="B65" s="17"/>
      <c r="C65" s="38" t="s">
        <v>236</v>
      </c>
      <c r="D65" s="18" t="s">
        <v>235</v>
      </c>
    </row>
    <row r="66" spans="1:5" x14ac:dyDescent="0.2">
      <c r="A66" s="10" t="s">
        <v>543</v>
      </c>
      <c r="C66" s="39">
        <v>10.3233</v>
      </c>
      <c r="D66" s="39">
        <v>9.5295000000000005</v>
      </c>
    </row>
    <row r="67" spans="1:5" x14ac:dyDescent="0.2">
      <c r="A67" s="10" t="s">
        <v>580</v>
      </c>
      <c r="C67" s="39">
        <v>10.3233</v>
      </c>
      <c r="D67" s="39">
        <v>9.5295000000000005</v>
      </c>
    </row>
    <row r="68" spans="1:5" x14ac:dyDescent="0.2">
      <c r="A68" s="10" t="s">
        <v>544</v>
      </c>
      <c r="C68" s="39">
        <v>10.2608</v>
      </c>
      <c r="D68" s="39">
        <v>9.4718999999999998</v>
      </c>
    </row>
    <row r="69" spans="1:5" x14ac:dyDescent="0.2">
      <c r="A69" s="10" t="s">
        <v>545</v>
      </c>
      <c r="C69" s="39">
        <v>10.3233</v>
      </c>
      <c r="D69" s="39">
        <v>9.5295000000000005</v>
      </c>
    </row>
    <row r="70" spans="1:5" x14ac:dyDescent="0.2">
      <c r="A70" s="10" t="s">
        <v>546</v>
      </c>
      <c r="C70" s="39">
        <v>10.542899999999999</v>
      </c>
      <c r="D70" s="39">
        <v>9.8272999999999993</v>
      </c>
    </row>
    <row r="71" spans="1:5" x14ac:dyDescent="0.2">
      <c r="A71" s="10" t="s">
        <v>581</v>
      </c>
      <c r="C71" s="39">
        <v>10.542899999999999</v>
      </c>
      <c r="D71" s="39">
        <v>9.8272999999999993</v>
      </c>
    </row>
    <row r="72" spans="1:5" x14ac:dyDescent="0.2">
      <c r="A72" s="10" t="s">
        <v>547</v>
      </c>
      <c r="C72" s="39">
        <v>10.481400000000001</v>
      </c>
      <c r="D72" s="39">
        <v>9.7698999999999998</v>
      </c>
    </row>
    <row r="73" spans="1:5" x14ac:dyDescent="0.2">
      <c r="A73" s="10" t="s">
        <v>548</v>
      </c>
      <c r="C73" s="39">
        <v>10.542899999999999</v>
      </c>
      <c r="D73" s="39">
        <v>9.8272999999999993</v>
      </c>
    </row>
    <row r="75" spans="1:5" ht="10.5" x14ac:dyDescent="0.25">
      <c r="A75" s="17" t="s">
        <v>248</v>
      </c>
      <c r="D75" s="46" t="s">
        <v>256</v>
      </c>
    </row>
    <row r="77" spans="1:5" ht="10.5" x14ac:dyDescent="0.25">
      <c r="A77" s="17" t="s">
        <v>1151</v>
      </c>
      <c r="D77" s="47">
        <v>2.4878999999999998</v>
      </c>
    </row>
    <row r="79" spans="1:5" ht="10.5" x14ac:dyDescent="0.25">
      <c r="A79" s="17" t="s">
        <v>1152</v>
      </c>
      <c r="D79" s="43">
        <v>1.82640070598695</v>
      </c>
      <c r="E79" s="15" t="s">
        <v>254</v>
      </c>
    </row>
    <row r="81" spans="1:4" ht="10.5" x14ac:dyDescent="0.25">
      <c r="A81" s="17" t="s">
        <v>1153</v>
      </c>
      <c r="D81" s="46" t="s">
        <v>256</v>
      </c>
    </row>
  </sheetData>
  <mergeCells count="1">
    <mergeCell ref="A1:G1"/>
  </mergeCells>
  <conditionalFormatting sqref="F2:F3 F5:F65535">
    <cfRule type="cellIs" dxfId="28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92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51.81640625" style="10" bestFit="1" customWidth="1"/>
    <col min="3" max="3" width="35.726562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5.81640625" style="10" bestFit="1" customWidth="1"/>
    <col min="8" max="16384" width="9.1796875" style="10"/>
  </cols>
  <sheetData>
    <row r="1" spans="1:6" s="1" customFormat="1" ht="14" x14ac:dyDescent="0.25">
      <c r="A1" s="80" t="s">
        <v>40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5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1013</v>
      </c>
      <c r="B7" s="26" t="s">
        <v>1012</v>
      </c>
      <c r="C7" s="26" t="s">
        <v>1014</v>
      </c>
      <c r="D7" s="30">
        <v>1068868</v>
      </c>
      <c r="E7" s="28">
        <v>10707.919620000001</v>
      </c>
      <c r="F7" s="29">
        <v>7.79023484759181</v>
      </c>
    </row>
    <row r="8" spans="1:6" x14ac:dyDescent="0.2">
      <c r="A8" s="26" t="s">
        <v>1019</v>
      </c>
      <c r="B8" s="26" t="s">
        <v>1018</v>
      </c>
      <c r="C8" s="26" t="s">
        <v>1014</v>
      </c>
      <c r="D8" s="30">
        <v>2051935</v>
      </c>
      <c r="E8" s="28">
        <v>9129.0588150000003</v>
      </c>
      <c r="F8" s="29">
        <v>6.6415806832819904</v>
      </c>
    </row>
    <row r="9" spans="1:6" x14ac:dyDescent="0.2">
      <c r="A9" s="26" t="s">
        <v>1016</v>
      </c>
      <c r="B9" s="26" t="s">
        <v>1015</v>
      </c>
      <c r="C9" s="26" t="s">
        <v>1017</v>
      </c>
      <c r="D9" s="30">
        <v>1264520</v>
      </c>
      <c r="E9" s="28">
        <v>6503.4263600000004</v>
      </c>
      <c r="F9" s="29">
        <v>4.7313783121598698</v>
      </c>
    </row>
    <row r="10" spans="1:6" x14ac:dyDescent="0.2">
      <c r="A10" s="26" t="s">
        <v>1021</v>
      </c>
      <c r="B10" s="26" t="s">
        <v>1020</v>
      </c>
      <c r="C10" s="26" t="s">
        <v>1022</v>
      </c>
      <c r="D10" s="30">
        <v>850492</v>
      </c>
      <c r="E10" s="28">
        <v>6085.2702600000002</v>
      </c>
      <c r="F10" s="29">
        <v>4.4271610283591301</v>
      </c>
    </row>
    <row r="11" spans="1:6" x14ac:dyDescent="0.2">
      <c r="A11" s="26" t="s">
        <v>1024</v>
      </c>
      <c r="B11" s="26" t="s">
        <v>1023</v>
      </c>
      <c r="C11" s="26" t="s">
        <v>1014</v>
      </c>
      <c r="D11" s="30">
        <v>1581302</v>
      </c>
      <c r="E11" s="28">
        <v>6011.3195530000003</v>
      </c>
      <c r="F11" s="29">
        <v>4.3733603467029596</v>
      </c>
    </row>
    <row r="12" spans="1:6" x14ac:dyDescent="0.2">
      <c r="A12" s="26" t="s">
        <v>1060</v>
      </c>
      <c r="B12" s="26" t="s">
        <v>1059</v>
      </c>
      <c r="C12" s="26" t="s">
        <v>1061</v>
      </c>
      <c r="D12" s="30">
        <v>2508769</v>
      </c>
      <c r="E12" s="28">
        <v>4065.460165</v>
      </c>
      <c r="F12" s="29">
        <v>2.9577070591494898</v>
      </c>
    </row>
    <row r="13" spans="1:6" x14ac:dyDescent="0.2">
      <c r="A13" s="26" t="s">
        <v>1051</v>
      </c>
      <c r="B13" s="26" t="s">
        <v>1050</v>
      </c>
      <c r="C13" s="26" t="s">
        <v>1052</v>
      </c>
      <c r="D13" s="30">
        <v>1071320</v>
      </c>
      <c r="E13" s="28">
        <v>3927.99478</v>
      </c>
      <c r="F13" s="29">
        <v>2.8576981245881599</v>
      </c>
    </row>
    <row r="14" spans="1:6" x14ac:dyDescent="0.2">
      <c r="A14" s="26" t="s">
        <v>1028</v>
      </c>
      <c r="B14" s="26" t="s">
        <v>1027</v>
      </c>
      <c r="C14" s="26" t="s">
        <v>1029</v>
      </c>
      <c r="D14" s="30">
        <v>1479354</v>
      </c>
      <c r="E14" s="28">
        <v>3594.8302199999998</v>
      </c>
      <c r="F14" s="29">
        <v>2.61531395871835</v>
      </c>
    </row>
    <row r="15" spans="1:6" x14ac:dyDescent="0.2">
      <c r="A15" s="26" t="s">
        <v>1040</v>
      </c>
      <c r="B15" s="26" t="s">
        <v>1039</v>
      </c>
      <c r="C15" s="26" t="s">
        <v>1029</v>
      </c>
      <c r="D15" s="30">
        <v>1666102</v>
      </c>
      <c r="E15" s="28">
        <v>3452.9963950000001</v>
      </c>
      <c r="F15" s="29">
        <v>2.5121268929489702</v>
      </c>
    </row>
    <row r="16" spans="1:6" x14ac:dyDescent="0.2">
      <c r="A16" s="26" t="s">
        <v>1099</v>
      </c>
      <c r="B16" s="26" t="s">
        <v>1098</v>
      </c>
      <c r="C16" s="26" t="s">
        <v>1055</v>
      </c>
      <c r="D16" s="30">
        <v>79688</v>
      </c>
      <c r="E16" s="28">
        <v>3136.7587440000002</v>
      </c>
      <c r="F16" s="29">
        <v>2.28205740640376</v>
      </c>
    </row>
    <row r="17" spans="1:6" x14ac:dyDescent="0.2">
      <c r="A17" s="26" t="s">
        <v>1031</v>
      </c>
      <c r="B17" s="26" t="s">
        <v>1030</v>
      </c>
      <c r="C17" s="26" t="s">
        <v>1032</v>
      </c>
      <c r="D17" s="30">
        <v>600350</v>
      </c>
      <c r="E17" s="28">
        <v>3031.1671500000002</v>
      </c>
      <c r="F17" s="29">
        <v>2.20523731955373</v>
      </c>
    </row>
    <row r="18" spans="1:6" x14ac:dyDescent="0.2">
      <c r="A18" s="26" t="s">
        <v>1045</v>
      </c>
      <c r="B18" s="26" t="s">
        <v>1044</v>
      </c>
      <c r="C18" s="26" t="s">
        <v>1046</v>
      </c>
      <c r="D18" s="30">
        <v>2044188</v>
      </c>
      <c r="E18" s="28">
        <v>2661.532776</v>
      </c>
      <c r="F18" s="29">
        <v>1.93632060338561</v>
      </c>
    </row>
    <row r="19" spans="1:6" x14ac:dyDescent="0.2">
      <c r="A19" s="26" t="s">
        <v>1071</v>
      </c>
      <c r="B19" s="26" t="s">
        <v>1070</v>
      </c>
      <c r="C19" s="26" t="s">
        <v>1035</v>
      </c>
      <c r="D19" s="30">
        <v>278251</v>
      </c>
      <c r="E19" s="28">
        <v>2611.6638859999998</v>
      </c>
      <c r="F19" s="29">
        <v>1.90003994584657</v>
      </c>
    </row>
    <row r="20" spans="1:6" x14ac:dyDescent="0.2">
      <c r="A20" s="26" t="s">
        <v>1129</v>
      </c>
      <c r="B20" s="26" t="s">
        <v>1128</v>
      </c>
      <c r="C20" s="26" t="s">
        <v>1032</v>
      </c>
      <c r="D20" s="30">
        <v>1424346</v>
      </c>
      <c r="E20" s="28">
        <v>2444.889909</v>
      </c>
      <c r="F20" s="29">
        <v>1.7787083993461399</v>
      </c>
    </row>
    <row r="21" spans="1:6" x14ac:dyDescent="0.2">
      <c r="A21" s="26" t="s">
        <v>1063</v>
      </c>
      <c r="B21" s="26" t="s">
        <v>1062</v>
      </c>
      <c r="C21" s="26" t="s">
        <v>1061</v>
      </c>
      <c r="D21" s="30">
        <v>2512015</v>
      </c>
      <c r="E21" s="28">
        <v>2387.6702580000001</v>
      </c>
      <c r="F21" s="29">
        <v>1.7370799098723699</v>
      </c>
    </row>
    <row r="22" spans="1:6" x14ac:dyDescent="0.2">
      <c r="A22" s="26" t="s">
        <v>1125</v>
      </c>
      <c r="B22" s="26" t="s">
        <v>1124</v>
      </c>
      <c r="C22" s="26" t="s">
        <v>1022</v>
      </c>
      <c r="D22" s="30">
        <v>429717</v>
      </c>
      <c r="E22" s="28">
        <v>2347.3291129999998</v>
      </c>
      <c r="F22" s="29">
        <v>1.7077308855311899</v>
      </c>
    </row>
    <row r="23" spans="1:6" x14ac:dyDescent="0.2">
      <c r="A23" s="26" t="s">
        <v>1131</v>
      </c>
      <c r="B23" s="26" t="s">
        <v>1130</v>
      </c>
      <c r="C23" s="26" t="s">
        <v>1043</v>
      </c>
      <c r="D23" s="30">
        <v>2568360</v>
      </c>
      <c r="E23" s="28">
        <v>2162.5591199999999</v>
      </c>
      <c r="F23" s="29">
        <v>1.5733068620663999</v>
      </c>
    </row>
    <row r="24" spans="1:6" x14ac:dyDescent="0.2">
      <c r="A24" s="26" t="s">
        <v>1037</v>
      </c>
      <c r="B24" s="26" t="s">
        <v>1036</v>
      </c>
      <c r="C24" s="26" t="s">
        <v>1038</v>
      </c>
      <c r="D24" s="30">
        <v>205000</v>
      </c>
      <c r="E24" s="28">
        <v>1916.34</v>
      </c>
      <c r="F24" s="29">
        <v>1.3941773171280201</v>
      </c>
    </row>
    <row r="25" spans="1:6" x14ac:dyDescent="0.2">
      <c r="A25" s="26" t="s">
        <v>1116</v>
      </c>
      <c r="B25" s="26" t="s">
        <v>1115</v>
      </c>
      <c r="C25" s="26" t="s">
        <v>1117</v>
      </c>
      <c r="D25" s="30">
        <v>205227</v>
      </c>
      <c r="E25" s="28">
        <v>1842.0149389999999</v>
      </c>
      <c r="F25" s="29">
        <v>1.3401042851293401</v>
      </c>
    </row>
    <row r="26" spans="1:6" x14ac:dyDescent="0.2">
      <c r="A26" s="26" t="s">
        <v>1042</v>
      </c>
      <c r="B26" s="26" t="s">
        <v>1041</v>
      </c>
      <c r="C26" s="26" t="s">
        <v>1043</v>
      </c>
      <c r="D26" s="30">
        <v>762218</v>
      </c>
      <c r="E26" s="28">
        <v>1679.166254</v>
      </c>
      <c r="F26" s="29">
        <v>1.22162847042468</v>
      </c>
    </row>
    <row r="27" spans="1:6" x14ac:dyDescent="0.2">
      <c r="A27" s="26" t="s">
        <v>1112</v>
      </c>
      <c r="B27" s="26" t="s">
        <v>1111</v>
      </c>
      <c r="C27" s="26" t="s">
        <v>1061</v>
      </c>
      <c r="D27" s="30">
        <v>6797235</v>
      </c>
      <c r="E27" s="28">
        <v>1413.8248799999999</v>
      </c>
      <c r="F27" s="29">
        <v>1.0285870868881499</v>
      </c>
    </row>
    <row r="28" spans="1:6" x14ac:dyDescent="0.2">
      <c r="A28" s="26" t="s">
        <v>1048</v>
      </c>
      <c r="B28" s="26" t="s">
        <v>1047</v>
      </c>
      <c r="C28" s="26" t="s">
        <v>1049</v>
      </c>
      <c r="D28" s="30">
        <v>274626</v>
      </c>
      <c r="E28" s="28">
        <v>1387.9598040000001</v>
      </c>
      <c r="F28" s="29">
        <v>1.0097697046569301</v>
      </c>
    </row>
    <row r="29" spans="1:6" x14ac:dyDescent="0.2">
      <c r="A29" s="26" t="s">
        <v>1133</v>
      </c>
      <c r="B29" s="26" t="s">
        <v>1132</v>
      </c>
      <c r="C29" s="26" t="s">
        <v>1134</v>
      </c>
      <c r="D29" s="30">
        <v>1583382</v>
      </c>
      <c r="E29" s="28">
        <v>1265.122218</v>
      </c>
      <c r="F29" s="29">
        <v>0.92040279894501498</v>
      </c>
    </row>
    <row r="30" spans="1:6" x14ac:dyDescent="0.2">
      <c r="A30" s="26" t="s">
        <v>1054</v>
      </c>
      <c r="B30" s="26" t="s">
        <v>1053</v>
      </c>
      <c r="C30" s="26" t="s">
        <v>1055</v>
      </c>
      <c r="D30" s="30">
        <v>374001</v>
      </c>
      <c r="E30" s="28">
        <v>1211.5762400000001</v>
      </c>
      <c r="F30" s="29">
        <v>0.88144698319674697</v>
      </c>
    </row>
    <row r="31" spans="1:6" x14ac:dyDescent="0.2">
      <c r="A31" s="26" t="s">
        <v>1065</v>
      </c>
      <c r="B31" s="26" t="s">
        <v>1064</v>
      </c>
      <c r="C31" s="26" t="s">
        <v>1014</v>
      </c>
      <c r="D31" s="30">
        <v>615662</v>
      </c>
      <c r="E31" s="28">
        <v>1172.83611</v>
      </c>
      <c r="F31" s="29">
        <v>0.85326273065878899</v>
      </c>
    </row>
    <row r="32" spans="1:6" x14ac:dyDescent="0.2">
      <c r="A32" s="26" t="s">
        <v>1057</v>
      </c>
      <c r="B32" s="26" t="s">
        <v>1056</v>
      </c>
      <c r="C32" s="26" t="s">
        <v>1058</v>
      </c>
      <c r="D32" s="30">
        <v>385077</v>
      </c>
      <c r="E32" s="28">
        <v>1148.6846909999999</v>
      </c>
      <c r="F32" s="29">
        <v>0.83569206963503795</v>
      </c>
    </row>
    <row r="33" spans="1:9" x14ac:dyDescent="0.2">
      <c r="A33" s="26" t="s">
        <v>1114</v>
      </c>
      <c r="B33" s="26" t="s">
        <v>1113</v>
      </c>
      <c r="C33" s="26" t="s">
        <v>1104</v>
      </c>
      <c r="D33" s="30">
        <v>345421</v>
      </c>
      <c r="E33" s="28">
        <v>1025.9003700000001</v>
      </c>
      <c r="F33" s="29">
        <v>0.74636391532152102</v>
      </c>
    </row>
    <row r="34" spans="1:9" x14ac:dyDescent="0.2">
      <c r="A34" s="26" t="s">
        <v>1087</v>
      </c>
      <c r="B34" s="26" t="s">
        <v>1086</v>
      </c>
      <c r="C34" s="26" t="s">
        <v>1052</v>
      </c>
      <c r="D34" s="30">
        <v>1081483</v>
      </c>
      <c r="E34" s="28">
        <v>1008.482898</v>
      </c>
      <c r="F34" s="29">
        <v>0.73369234118326099</v>
      </c>
    </row>
    <row r="35" spans="1:9" x14ac:dyDescent="0.2">
      <c r="A35" s="26" t="s">
        <v>1073</v>
      </c>
      <c r="B35" s="26" t="s">
        <v>1072</v>
      </c>
      <c r="C35" s="26" t="s">
        <v>1052</v>
      </c>
      <c r="D35" s="30">
        <v>36783</v>
      </c>
      <c r="E35" s="28">
        <v>964.92843900000003</v>
      </c>
      <c r="F35" s="29">
        <v>0.70200556389030599</v>
      </c>
    </row>
    <row r="36" spans="1:9" x14ac:dyDescent="0.2">
      <c r="A36" s="26" t="s">
        <v>1082</v>
      </c>
      <c r="B36" s="26" t="s">
        <v>1081</v>
      </c>
      <c r="C36" s="26" t="s">
        <v>1083</v>
      </c>
      <c r="D36" s="30">
        <v>649104</v>
      </c>
      <c r="E36" s="28">
        <v>750.36422400000004</v>
      </c>
      <c r="F36" s="29">
        <v>0.54590562253314601</v>
      </c>
    </row>
    <row r="37" spans="1:9" x14ac:dyDescent="0.2">
      <c r="A37" s="26" t="s">
        <v>1155</v>
      </c>
      <c r="B37" s="26" t="s">
        <v>1154</v>
      </c>
      <c r="C37" s="26" t="s">
        <v>1049</v>
      </c>
      <c r="D37" s="30">
        <v>72561</v>
      </c>
      <c r="E37" s="28">
        <v>703.87798050000004</v>
      </c>
      <c r="F37" s="29">
        <v>0.51208591087123301</v>
      </c>
    </row>
    <row r="38" spans="1:9" x14ac:dyDescent="0.2">
      <c r="A38" s="26" t="s">
        <v>1142</v>
      </c>
      <c r="B38" s="26" t="s">
        <v>1141</v>
      </c>
      <c r="C38" s="26" t="s">
        <v>1104</v>
      </c>
      <c r="D38" s="30">
        <v>336933</v>
      </c>
      <c r="E38" s="28">
        <v>666.62194050000005</v>
      </c>
      <c r="F38" s="29">
        <v>0.48498136476040998</v>
      </c>
    </row>
    <row r="39" spans="1:9" x14ac:dyDescent="0.2">
      <c r="A39" s="26" t="s">
        <v>1089</v>
      </c>
      <c r="B39" s="26" t="s">
        <v>1088</v>
      </c>
      <c r="C39" s="26" t="s">
        <v>1090</v>
      </c>
      <c r="D39" s="30">
        <v>1265151</v>
      </c>
      <c r="E39" s="28">
        <v>530.73084449999999</v>
      </c>
      <c r="F39" s="29">
        <v>0.38611775827989703</v>
      </c>
    </row>
    <row r="40" spans="1:9" x14ac:dyDescent="0.2">
      <c r="A40" s="26" t="s">
        <v>1144</v>
      </c>
      <c r="B40" s="26" t="s">
        <v>1143</v>
      </c>
      <c r="C40" s="26" t="s">
        <v>1145</v>
      </c>
      <c r="D40" s="30">
        <v>921918</v>
      </c>
      <c r="E40" s="28">
        <v>501.523392</v>
      </c>
      <c r="F40" s="29">
        <v>0.36486872743641802</v>
      </c>
    </row>
    <row r="41" spans="1:9" x14ac:dyDescent="0.2">
      <c r="A41" s="26" t="s">
        <v>1157</v>
      </c>
      <c r="B41" s="26" t="s">
        <v>1156</v>
      </c>
      <c r="C41" s="26" t="s">
        <v>1038</v>
      </c>
      <c r="D41" s="30">
        <v>414842</v>
      </c>
      <c r="E41" s="28">
        <v>399.49284599999999</v>
      </c>
      <c r="F41" s="29">
        <v>0.29063937727549299</v>
      </c>
    </row>
    <row r="42" spans="1:9" x14ac:dyDescent="0.2">
      <c r="A42" s="26" t="s">
        <v>1138</v>
      </c>
      <c r="B42" s="26" t="s">
        <v>1137</v>
      </c>
      <c r="C42" s="26" t="s">
        <v>1076</v>
      </c>
      <c r="D42" s="30">
        <v>377910</v>
      </c>
      <c r="E42" s="28">
        <v>359.0145</v>
      </c>
      <c r="F42" s="29">
        <v>0.261190536345355</v>
      </c>
    </row>
    <row r="43" spans="1:9" ht="10.5" x14ac:dyDescent="0.25">
      <c r="A43" s="25" t="s">
        <v>177</v>
      </c>
      <c r="B43" s="25"/>
      <c r="C43" s="25"/>
      <c r="D43" s="31"/>
      <c r="E43" s="32">
        <f>SUM(E7:E42)</f>
        <v>94210.3096945</v>
      </c>
      <c r="F43" s="33">
        <f>SUM(F7:F42)</f>
        <v>68.539965150066266</v>
      </c>
      <c r="G43" s="17"/>
      <c r="H43" s="17"/>
      <c r="I43" s="17"/>
    </row>
    <row r="44" spans="1:9" x14ac:dyDescent="0.2">
      <c r="A44" s="26"/>
      <c r="B44" s="26"/>
      <c r="C44" s="26"/>
      <c r="D44" s="27"/>
      <c r="E44" s="28"/>
      <c r="F44" s="29"/>
    </row>
    <row r="45" spans="1:9" ht="10.5" x14ac:dyDescent="0.25">
      <c r="A45" s="25" t="s">
        <v>1158</v>
      </c>
      <c r="B45" s="26"/>
      <c r="C45" s="26"/>
      <c r="D45" s="27"/>
      <c r="E45" s="28"/>
      <c r="F45" s="29"/>
    </row>
    <row r="46" spans="1:9" x14ac:dyDescent="0.2">
      <c r="A46" s="26" t="s">
        <v>1160</v>
      </c>
      <c r="B46" s="26" t="s">
        <v>1159</v>
      </c>
      <c r="C46" s="26" t="s">
        <v>1022</v>
      </c>
      <c r="D46" s="30">
        <v>270000</v>
      </c>
      <c r="E46" s="28">
        <v>2.7E-2</v>
      </c>
      <c r="F46" s="29">
        <v>1.9643063111168501E-5</v>
      </c>
    </row>
    <row r="47" spans="1:9" x14ac:dyDescent="0.2">
      <c r="A47" s="26"/>
      <c r="B47" s="26" t="s">
        <v>1161</v>
      </c>
      <c r="C47" s="26" t="s">
        <v>1104</v>
      </c>
      <c r="D47" s="30">
        <v>27500</v>
      </c>
      <c r="E47" s="28">
        <v>2.7499999999999998E-3</v>
      </c>
      <c r="F47" s="29">
        <v>2.0006823539153102E-6</v>
      </c>
    </row>
    <row r="48" spans="1:9" ht="10.5" x14ac:dyDescent="0.25">
      <c r="A48" s="25" t="s">
        <v>177</v>
      </c>
      <c r="B48" s="25"/>
      <c r="C48" s="25"/>
      <c r="D48" s="31"/>
      <c r="E48" s="32">
        <f>SUM(E45:E47)</f>
        <v>2.9749999999999999E-2</v>
      </c>
      <c r="F48" s="33">
        <f>SUM(F45:F47)</f>
        <v>2.164374546508381E-5</v>
      </c>
      <c r="G48" s="17"/>
      <c r="H48" s="17"/>
      <c r="I48" s="17"/>
    </row>
    <row r="49" spans="1:9" x14ac:dyDescent="0.2">
      <c r="A49" s="26"/>
      <c r="B49" s="26"/>
      <c r="C49" s="26"/>
      <c r="D49" s="27"/>
      <c r="E49" s="28"/>
      <c r="F49" s="29"/>
    </row>
    <row r="50" spans="1:9" ht="10.5" x14ac:dyDescent="0.25">
      <c r="A50" s="25" t="s">
        <v>63</v>
      </c>
      <c r="B50" s="26"/>
      <c r="C50" s="26"/>
      <c r="D50" s="27"/>
      <c r="E50" s="28"/>
      <c r="F50" s="29"/>
    </row>
    <row r="51" spans="1:9" ht="10.5" x14ac:dyDescent="0.25">
      <c r="A51" s="25" t="s">
        <v>64</v>
      </c>
      <c r="B51" s="26"/>
      <c r="C51" s="26"/>
      <c r="D51" s="27"/>
      <c r="E51" s="28"/>
      <c r="F51" s="29"/>
    </row>
    <row r="52" spans="1:9" x14ac:dyDescent="0.2">
      <c r="A52" s="26" t="s">
        <v>72</v>
      </c>
      <c r="B52" s="26" t="s">
        <v>71</v>
      </c>
      <c r="C52" s="26" t="s">
        <v>73</v>
      </c>
      <c r="D52" s="30">
        <v>450</v>
      </c>
      <c r="E52" s="28">
        <v>4376.1959999999999</v>
      </c>
      <c r="F52" s="29">
        <v>3.183773859809</v>
      </c>
    </row>
    <row r="53" spans="1:9" x14ac:dyDescent="0.2">
      <c r="A53" s="26" t="s">
        <v>152</v>
      </c>
      <c r="B53" s="26" t="s">
        <v>151</v>
      </c>
      <c r="C53" s="26" t="s">
        <v>81</v>
      </c>
      <c r="D53" s="30">
        <v>350</v>
      </c>
      <c r="E53" s="28">
        <v>3558.4744999999998</v>
      </c>
      <c r="F53" s="29">
        <v>2.58886441418458</v>
      </c>
    </row>
    <row r="54" spans="1:9" x14ac:dyDescent="0.2">
      <c r="A54" s="26" t="s">
        <v>718</v>
      </c>
      <c r="B54" s="26" t="s">
        <v>717</v>
      </c>
      <c r="C54" s="26" t="s">
        <v>201</v>
      </c>
      <c r="D54" s="30">
        <v>250</v>
      </c>
      <c r="E54" s="28">
        <v>2478.8150000000001</v>
      </c>
      <c r="F54" s="29">
        <v>1.8033896105892999</v>
      </c>
    </row>
    <row r="55" spans="1:9" x14ac:dyDescent="0.2">
      <c r="A55" s="26" t="s">
        <v>1163</v>
      </c>
      <c r="B55" s="26" t="s">
        <v>1162</v>
      </c>
      <c r="C55" s="26" t="s">
        <v>78</v>
      </c>
      <c r="D55" s="30">
        <v>250</v>
      </c>
      <c r="E55" s="28">
        <v>2401.75</v>
      </c>
      <c r="F55" s="29">
        <v>1.7473232158240299</v>
      </c>
    </row>
    <row r="56" spans="1:9" x14ac:dyDescent="0.2">
      <c r="A56" s="26" t="s">
        <v>1095</v>
      </c>
      <c r="B56" s="26" t="s">
        <v>1094</v>
      </c>
      <c r="C56" s="26" t="s">
        <v>148</v>
      </c>
      <c r="D56" s="30">
        <v>200</v>
      </c>
      <c r="E56" s="28">
        <v>1995.7719999999999</v>
      </c>
      <c r="F56" s="29">
        <v>1.45196575375937</v>
      </c>
    </row>
    <row r="57" spans="1:9" x14ac:dyDescent="0.2">
      <c r="A57" s="26" t="s">
        <v>349</v>
      </c>
      <c r="B57" s="26" t="s">
        <v>348</v>
      </c>
      <c r="C57" s="26" t="s">
        <v>67</v>
      </c>
      <c r="D57" s="30">
        <v>80</v>
      </c>
      <c r="E57" s="28">
        <v>768.26639999999998</v>
      </c>
      <c r="F57" s="29">
        <v>0.55892982894037702</v>
      </c>
    </row>
    <row r="58" spans="1:9" x14ac:dyDescent="0.2">
      <c r="A58" s="26" t="s">
        <v>712</v>
      </c>
      <c r="B58" s="26" t="s">
        <v>711</v>
      </c>
      <c r="C58" s="26" t="s">
        <v>176</v>
      </c>
      <c r="D58" s="30">
        <v>60</v>
      </c>
      <c r="E58" s="28">
        <v>649.58100000000002</v>
      </c>
      <c r="F58" s="29">
        <v>0.47258372514133001</v>
      </c>
    </row>
    <row r="59" spans="1:9" x14ac:dyDescent="0.2">
      <c r="A59" s="26" t="s">
        <v>623</v>
      </c>
      <c r="B59" s="26" t="s">
        <v>622</v>
      </c>
      <c r="C59" s="26" t="s">
        <v>176</v>
      </c>
      <c r="D59" s="30">
        <v>60</v>
      </c>
      <c r="E59" s="28">
        <v>644.22360000000003</v>
      </c>
      <c r="F59" s="29">
        <v>0.46868610490756102</v>
      </c>
    </row>
    <row r="60" spans="1:9" ht="10.5" x14ac:dyDescent="0.25">
      <c r="A60" s="25" t="s">
        <v>177</v>
      </c>
      <c r="B60" s="25"/>
      <c r="C60" s="25"/>
      <c r="D60" s="31"/>
      <c r="E60" s="32">
        <f>SUM(E51:E59)</f>
        <v>16873.0785</v>
      </c>
      <c r="F60" s="33">
        <f>SUM(F51:F59)</f>
        <v>12.27551651315555</v>
      </c>
      <c r="G60" s="17"/>
      <c r="H60" s="17"/>
      <c r="I60" s="17"/>
    </row>
    <row r="61" spans="1:9" x14ac:dyDescent="0.2">
      <c r="A61" s="26"/>
      <c r="B61" s="26"/>
      <c r="C61" s="26"/>
      <c r="D61" s="27"/>
      <c r="E61" s="28"/>
      <c r="F61" s="29"/>
    </row>
    <row r="62" spans="1:9" ht="10.5" x14ac:dyDescent="0.25">
      <c r="A62" s="25" t="s">
        <v>178</v>
      </c>
      <c r="B62" s="26"/>
      <c r="C62" s="26"/>
      <c r="D62" s="27"/>
      <c r="E62" s="28"/>
      <c r="F62" s="29"/>
    </row>
    <row r="63" spans="1:9" x14ac:dyDescent="0.2">
      <c r="A63" s="26" t="s">
        <v>179</v>
      </c>
      <c r="B63" s="26" t="s">
        <v>1615</v>
      </c>
      <c r="C63" s="26" t="s">
        <v>73</v>
      </c>
      <c r="D63" s="30">
        <v>250</v>
      </c>
      <c r="E63" s="28">
        <v>2496.4124999999999</v>
      </c>
      <c r="F63" s="29">
        <v>1.8161921588522201</v>
      </c>
    </row>
    <row r="64" spans="1:9" x14ac:dyDescent="0.2">
      <c r="A64" s="26" t="s">
        <v>220</v>
      </c>
      <c r="B64" s="26" t="s">
        <v>219</v>
      </c>
      <c r="C64" s="26" t="s">
        <v>67</v>
      </c>
      <c r="D64" s="30">
        <v>14</v>
      </c>
      <c r="E64" s="28">
        <v>1819.2048</v>
      </c>
      <c r="F64" s="29">
        <v>1.3235094332792801</v>
      </c>
    </row>
    <row r="65" spans="1:9" ht="10.5" x14ac:dyDescent="0.25">
      <c r="A65" s="25" t="s">
        <v>177</v>
      </c>
      <c r="B65" s="25"/>
      <c r="C65" s="25"/>
      <c r="D65" s="31"/>
      <c r="E65" s="32">
        <f>SUM(E62:E64)</f>
        <v>4315.6172999999999</v>
      </c>
      <c r="F65" s="33">
        <f>SUM(F62:F64)</f>
        <v>3.1397015921314999</v>
      </c>
      <c r="G65" s="17"/>
      <c r="H65" s="17"/>
      <c r="I65" s="17"/>
    </row>
    <row r="66" spans="1:9" x14ac:dyDescent="0.2">
      <c r="A66" s="26"/>
      <c r="B66" s="26"/>
      <c r="C66" s="26"/>
      <c r="D66" s="27"/>
      <c r="E66" s="28"/>
      <c r="F66" s="29"/>
    </row>
    <row r="67" spans="1:9" ht="10.5" x14ac:dyDescent="0.25">
      <c r="A67" s="25" t="s">
        <v>584</v>
      </c>
      <c r="B67" s="26"/>
      <c r="C67" s="26"/>
      <c r="D67" s="27"/>
      <c r="E67" s="28"/>
      <c r="F67" s="29"/>
    </row>
    <row r="68" spans="1:9" x14ac:dyDescent="0.2">
      <c r="A68" s="26" t="s">
        <v>589</v>
      </c>
      <c r="B68" s="26" t="s">
        <v>588</v>
      </c>
      <c r="C68" s="26" t="s">
        <v>587</v>
      </c>
      <c r="D68" s="30">
        <v>7500000</v>
      </c>
      <c r="E68" s="28">
        <v>7678.71</v>
      </c>
      <c r="F68" s="29">
        <v>5.5864216719392701</v>
      </c>
    </row>
    <row r="69" spans="1:9" x14ac:dyDescent="0.2">
      <c r="A69" s="26" t="s">
        <v>591</v>
      </c>
      <c r="B69" s="26" t="s">
        <v>590</v>
      </c>
      <c r="C69" s="26" t="s">
        <v>587</v>
      </c>
      <c r="D69" s="30">
        <v>2500000</v>
      </c>
      <c r="E69" s="28">
        <v>2684.5549999999998</v>
      </c>
      <c r="F69" s="29">
        <v>1.9530697514963999</v>
      </c>
    </row>
    <row r="70" spans="1:9" ht="10.5" x14ac:dyDescent="0.25">
      <c r="A70" s="25" t="s">
        <v>177</v>
      </c>
      <c r="B70" s="25"/>
      <c r="C70" s="25"/>
      <c r="D70" s="31"/>
      <c r="E70" s="32">
        <f>SUM(E68:E69)</f>
        <v>10363.264999999999</v>
      </c>
      <c r="F70" s="33">
        <f>SUM(F68:F69)</f>
        <v>7.5394914234356705</v>
      </c>
      <c r="G70" s="17"/>
      <c r="H70" s="17"/>
      <c r="I70" s="17"/>
    </row>
    <row r="71" spans="1:9" x14ac:dyDescent="0.2">
      <c r="A71" s="26"/>
      <c r="B71" s="26"/>
      <c r="C71" s="26"/>
      <c r="D71" s="27"/>
      <c r="E71" s="28"/>
      <c r="F71" s="29"/>
    </row>
    <row r="72" spans="1:9" ht="10.5" x14ac:dyDescent="0.25">
      <c r="A72" s="25" t="s">
        <v>226</v>
      </c>
      <c r="B72" s="25"/>
      <c r="C72" s="25"/>
      <c r="D72" s="31"/>
      <c r="E72" s="32">
        <f>E43+E48+E60+E65+E70</f>
        <v>125762.3002445</v>
      </c>
      <c r="F72" s="33">
        <f>F43+F48+F60+F65+F70</f>
        <v>91.494696322534452</v>
      </c>
      <c r="G72" s="17"/>
      <c r="H72" s="17"/>
      <c r="I72" s="17"/>
    </row>
    <row r="73" spans="1:9" ht="10.5" x14ac:dyDescent="0.25">
      <c r="A73" s="25"/>
      <c r="B73" s="25"/>
      <c r="C73" s="25"/>
      <c r="D73" s="31"/>
      <c r="E73" s="32"/>
      <c r="F73" s="33"/>
      <c r="G73" s="17"/>
      <c r="H73" s="17"/>
      <c r="I73" s="17"/>
    </row>
    <row r="74" spans="1:9" ht="10.5" x14ac:dyDescent="0.25">
      <c r="A74" s="25" t="s">
        <v>228</v>
      </c>
      <c r="B74" s="25"/>
      <c r="C74" s="25"/>
      <c r="D74" s="31"/>
      <c r="E74" s="32">
        <f>E76-(E43+E48+E60+E65+E70)</f>
        <v>11690.80392359999</v>
      </c>
      <c r="F74" s="33">
        <f>F76-(F43+F48+F60+F65+F70)</f>
        <v>8.5053036774655482</v>
      </c>
      <c r="G74" s="17"/>
      <c r="H74" s="17"/>
      <c r="I74" s="17"/>
    </row>
    <row r="75" spans="1:9" ht="10.5" x14ac:dyDescent="0.25">
      <c r="A75" s="25"/>
      <c r="B75" s="25"/>
      <c r="C75" s="25"/>
      <c r="D75" s="31"/>
      <c r="E75" s="32"/>
      <c r="F75" s="33"/>
      <c r="G75" s="17"/>
      <c r="H75" s="17"/>
      <c r="I75" s="17"/>
    </row>
    <row r="76" spans="1:9" ht="10.5" x14ac:dyDescent="0.25">
      <c r="A76" s="34" t="s">
        <v>227</v>
      </c>
      <c r="B76" s="34"/>
      <c r="C76" s="34"/>
      <c r="D76" s="35"/>
      <c r="E76" s="36">
        <v>137453.10416809999</v>
      </c>
      <c r="F76" s="37">
        <v>100</v>
      </c>
      <c r="G76" s="17"/>
      <c r="H76" s="17"/>
      <c r="I76" s="17"/>
    </row>
    <row r="77" spans="1:9" ht="10.5" x14ac:dyDescent="0.25">
      <c r="F77" s="19" t="s">
        <v>446</v>
      </c>
    </row>
    <row r="78" spans="1:9" ht="10.5" x14ac:dyDescent="0.25">
      <c r="A78" s="17" t="s">
        <v>232</v>
      </c>
    </row>
    <row r="79" spans="1:9" ht="10.5" x14ac:dyDescent="0.25">
      <c r="A79" s="17" t="s">
        <v>233</v>
      </c>
    </row>
    <row r="80" spans="1:9" ht="10.5" x14ac:dyDescent="0.25">
      <c r="A80" s="17" t="s">
        <v>234</v>
      </c>
      <c r="B80" s="17"/>
      <c r="C80" s="38" t="s">
        <v>236</v>
      </c>
      <c r="D80" s="18" t="s">
        <v>235</v>
      </c>
    </row>
    <row r="81" spans="1:5" x14ac:dyDescent="0.2">
      <c r="A81" s="10" t="s">
        <v>543</v>
      </c>
      <c r="C81" s="39">
        <v>122.7833</v>
      </c>
      <c r="D81" s="39">
        <v>106.28530000000001</v>
      </c>
    </row>
    <row r="82" spans="1:5" x14ac:dyDescent="0.2">
      <c r="A82" s="10" t="s">
        <v>580</v>
      </c>
      <c r="C82" s="39">
        <v>20.985299999999999</v>
      </c>
      <c r="D82" s="39">
        <v>18.164899999999999</v>
      </c>
    </row>
    <row r="83" spans="1:5" x14ac:dyDescent="0.2">
      <c r="A83" s="10" t="s">
        <v>546</v>
      </c>
      <c r="C83" s="39">
        <v>132.2799</v>
      </c>
      <c r="D83" s="39">
        <v>115.0842</v>
      </c>
    </row>
    <row r="84" spans="1:5" x14ac:dyDescent="0.2">
      <c r="A84" s="10" t="s">
        <v>581</v>
      </c>
      <c r="C84" s="39">
        <v>23.102</v>
      </c>
      <c r="D84" s="39">
        <v>20.098199999999999</v>
      </c>
    </row>
    <row r="86" spans="1:5" ht="10.5" x14ac:dyDescent="0.25">
      <c r="A86" s="17" t="s">
        <v>248</v>
      </c>
      <c r="D86" s="46" t="s">
        <v>256</v>
      </c>
    </row>
    <row r="88" spans="1:5" ht="10.5" x14ac:dyDescent="0.25">
      <c r="A88" s="17" t="s">
        <v>1151</v>
      </c>
      <c r="D88" s="47">
        <v>0.5111</v>
      </c>
    </row>
    <row r="90" spans="1:5" ht="10.5" x14ac:dyDescent="0.25">
      <c r="A90" s="17" t="s">
        <v>1152</v>
      </c>
      <c r="D90" s="43">
        <v>2.3473945496047901</v>
      </c>
      <c r="E90" s="15" t="s">
        <v>254</v>
      </c>
    </row>
    <row r="92" spans="1:5" ht="10.5" x14ac:dyDescent="0.25">
      <c r="A92" s="17" t="s">
        <v>1153</v>
      </c>
      <c r="D92" s="46" t="s">
        <v>256</v>
      </c>
    </row>
  </sheetData>
  <mergeCells count="1">
    <mergeCell ref="A1:F1"/>
  </mergeCells>
  <conditionalFormatting sqref="F2:F3 F5:F76 F78:F65533">
    <cfRule type="cellIs" dxfId="27" priority="2" stopIfTrue="1" operator="between">
      <formula>0.009</formula>
      <formula>-0.009</formula>
    </cfRule>
  </conditionalFormatting>
  <conditionalFormatting sqref="F77">
    <cfRule type="cellIs" dxfId="26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67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25.81640625" style="10" bestFit="1" customWidth="1"/>
    <col min="3" max="3" width="18.8164062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4.453125" style="10" bestFit="1" customWidth="1"/>
    <col min="8" max="16384" width="9.1796875" style="10"/>
  </cols>
  <sheetData>
    <row r="1" spans="1:6" s="1" customFormat="1" ht="14" x14ac:dyDescent="0.25">
      <c r="A1" s="80" t="s">
        <v>41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1024</v>
      </c>
      <c r="B7" s="26" t="s">
        <v>1023</v>
      </c>
      <c r="C7" s="26" t="s">
        <v>1014</v>
      </c>
      <c r="D7" s="30">
        <v>800000</v>
      </c>
      <c r="E7" s="28">
        <v>3041.2</v>
      </c>
      <c r="F7" s="29">
        <v>8.3470960037426707</v>
      </c>
    </row>
    <row r="8" spans="1:6" x14ac:dyDescent="0.2">
      <c r="A8" s="26" t="s">
        <v>1013</v>
      </c>
      <c r="B8" s="26" t="s">
        <v>1012</v>
      </c>
      <c r="C8" s="26" t="s">
        <v>1014</v>
      </c>
      <c r="D8" s="30">
        <v>300000</v>
      </c>
      <c r="E8" s="28">
        <v>3005.4</v>
      </c>
      <c r="F8" s="29">
        <v>8.2488367518243493</v>
      </c>
    </row>
    <row r="9" spans="1:6" x14ac:dyDescent="0.2">
      <c r="A9" s="26" t="s">
        <v>1021</v>
      </c>
      <c r="B9" s="26" t="s">
        <v>1020</v>
      </c>
      <c r="C9" s="26" t="s">
        <v>1022</v>
      </c>
      <c r="D9" s="30">
        <v>290000</v>
      </c>
      <c r="E9" s="28">
        <v>2074.9499999999998</v>
      </c>
      <c r="F9" s="29">
        <v>5.6950568370925501</v>
      </c>
    </row>
    <row r="10" spans="1:6" x14ac:dyDescent="0.2">
      <c r="A10" s="26" t="s">
        <v>1165</v>
      </c>
      <c r="B10" s="26" t="s">
        <v>1164</v>
      </c>
      <c r="C10" s="26" t="s">
        <v>1022</v>
      </c>
      <c r="D10" s="30">
        <v>360000</v>
      </c>
      <c r="E10" s="28">
        <v>1956.78</v>
      </c>
      <c r="F10" s="29">
        <v>5.3707189656068604</v>
      </c>
    </row>
    <row r="11" spans="1:6" x14ac:dyDescent="0.2">
      <c r="A11" s="26" t="s">
        <v>1065</v>
      </c>
      <c r="B11" s="26" t="s">
        <v>1064</v>
      </c>
      <c r="C11" s="26" t="s">
        <v>1014</v>
      </c>
      <c r="D11" s="30">
        <v>900000</v>
      </c>
      <c r="E11" s="28">
        <v>1714.5</v>
      </c>
      <c r="F11" s="29">
        <v>4.7057398718982002</v>
      </c>
    </row>
    <row r="12" spans="1:6" x14ac:dyDescent="0.2">
      <c r="A12" s="26" t="s">
        <v>1167</v>
      </c>
      <c r="B12" s="26" t="s">
        <v>1166</v>
      </c>
      <c r="C12" s="26" t="s">
        <v>1035</v>
      </c>
      <c r="D12" s="30">
        <v>800000</v>
      </c>
      <c r="E12" s="28">
        <v>1456.4</v>
      </c>
      <c r="F12" s="29">
        <v>3.9973400696602699</v>
      </c>
    </row>
    <row r="13" spans="1:6" x14ac:dyDescent="0.2">
      <c r="A13" s="26" t="s">
        <v>1051</v>
      </c>
      <c r="B13" s="26" t="s">
        <v>1050</v>
      </c>
      <c r="C13" s="26" t="s">
        <v>1052</v>
      </c>
      <c r="D13" s="30">
        <v>330000</v>
      </c>
      <c r="E13" s="28">
        <v>1209.9449999999999</v>
      </c>
      <c r="F13" s="29">
        <v>3.32090197101421</v>
      </c>
    </row>
    <row r="14" spans="1:6" x14ac:dyDescent="0.2">
      <c r="A14" s="26" t="s">
        <v>1169</v>
      </c>
      <c r="B14" s="26" t="s">
        <v>1168</v>
      </c>
      <c r="C14" s="26" t="s">
        <v>1052</v>
      </c>
      <c r="D14" s="30">
        <v>3000000</v>
      </c>
      <c r="E14" s="28">
        <v>1192.5</v>
      </c>
      <c r="F14" s="29">
        <v>3.2730211707428398</v>
      </c>
    </row>
    <row r="15" spans="1:6" x14ac:dyDescent="0.2">
      <c r="A15" s="26" t="s">
        <v>1092</v>
      </c>
      <c r="B15" s="26" t="s">
        <v>1091</v>
      </c>
      <c r="C15" s="26" t="s">
        <v>1093</v>
      </c>
      <c r="D15" s="30">
        <v>800000</v>
      </c>
      <c r="E15" s="28">
        <v>1188</v>
      </c>
      <c r="F15" s="29">
        <v>3.2606701474570201</v>
      </c>
    </row>
    <row r="16" spans="1:6" x14ac:dyDescent="0.2">
      <c r="A16" s="26" t="s">
        <v>1171</v>
      </c>
      <c r="B16" s="26" t="s">
        <v>1170</v>
      </c>
      <c r="C16" s="26" t="s">
        <v>1052</v>
      </c>
      <c r="D16" s="30">
        <v>50000</v>
      </c>
      <c r="E16" s="28">
        <v>1083.3499999999999</v>
      </c>
      <c r="F16" s="29">
        <v>2.9734402392656301</v>
      </c>
    </row>
    <row r="17" spans="1:6" x14ac:dyDescent="0.2">
      <c r="A17" s="26" t="s">
        <v>1031</v>
      </c>
      <c r="B17" s="26" t="s">
        <v>1030</v>
      </c>
      <c r="C17" s="26" t="s">
        <v>1032</v>
      </c>
      <c r="D17" s="30">
        <v>210000</v>
      </c>
      <c r="E17" s="28">
        <v>1060.29</v>
      </c>
      <c r="F17" s="29">
        <v>2.9101481066053898</v>
      </c>
    </row>
    <row r="18" spans="1:6" x14ac:dyDescent="0.2">
      <c r="A18" s="26" t="s">
        <v>1173</v>
      </c>
      <c r="B18" s="26" t="s">
        <v>1172</v>
      </c>
      <c r="C18" s="26" t="s">
        <v>1035</v>
      </c>
      <c r="D18" s="30">
        <v>280000</v>
      </c>
      <c r="E18" s="28">
        <v>984.48</v>
      </c>
      <c r="F18" s="29">
        <v>2.7020745343169099</v>
      </c>
    </row>
    <row r="19" spans="1:6" x14ac:dyDescent="0.2">
      <c r="A19" s="26" t="s">
        <v>1063</v>
      </c>
      <c r="B19" s="26" t="s">
        <v>1062</v>
      </c>
      <c r="C19" s="26" t="s">
        <v>1061</v>
      </c>
      <c r="D19" s="30">
        <v>1000000</v>
      </c>
      <c r="E19" s="28">
        <v>950.5</v>
      </c>
      <c r="F19" s="29">
        <v>2.6088105851497501</v>
      </c>
    </row>
    <row r="20" spans="1:6" x14ac:dyDescent="0.2">
      <c r="A20" s="26" t="s">
        <v>1131</v>
      </c>
      <c r="B20" s="26" t="s">
        <v>1130</v>
      </c>
      <c r="C20" s="26" t="s">
        <v>1043</v>
      </c>
      <c r="D20" s="30">
        <v>1100000</v>
      </c>
      <c r="E20" s="28">
        <v>926.2</v>
      </c>
      <c r="F20" s="29">
        <v>2.54211505940631</v>
      </c>
    </row>
    <row r="21" spans="1:6" x14ac:dyDescent="0.2">
      <c r="A21" s="26" t="s">
        <v>1175</v>
      </c>
      <c r="B21" s="26" t="s">
        <v>1174</v>
      </c>
      <c r="C21" s="26" t="s">
        <v>1176</v>
      </c>
      <c r="D21" s="30">
        <v>1100000</v>
      </c>
      <c r="E21" s="28">
        <v>878.9</v>
      </c>
      <c r="F21" s="29">
        <v>2.4122920813131099</v>
      </c>
    </row>
    <row r="22" spans="1:6" x14ac:dyDescent="0.2">
      <c r="A22" s="26" t="s">
        <v>1069</v>
      </c>
      <c r="B22" s="26" t="s">
        <v>1068</v>
      </c>
      <c r="C22" s="26" t="s">
        <v>1043</v>
      </c>
      <c r="D22" s="30">
        <v>200000</v>
      </c>
      <c r="E22" s="28">
        <v>740</v>
      </c>
      <c r="F22" s="29">
        <v>2.0310571625574001</v>
      </c>
    </row>
    <row r="23" spans="1:6" x14ac:dyDescent="0.2">
      <c r="A23" s="26" t="s">
        <v>1178</v>
      </c>
      <c r="B23" s="26" t="s">
        <v>1177</v>
      </c>
      <c r="C23" s="26" t="s">
        <v>1179</v>
      </c>
      <c r="D23" s="30">
        <v>1000000</v>
      </c>
      <c r="E23" s="28">
        <v>721</v>
      </c>
      <c r="F23" s="29">
        <v>1.9789083975728201</v>
      </c>
    </row>
    <row r="24" spans="1:6" x14ac:dyDescent="0.2">
      <c r="A24" s="26" t="s">
        <v>1181</v>
      </c>
      <c r="B24" s="26" t="s">
        <v>1180</v>
      </c>
      <c r="C24" s="26" t="s">
        <v>1182</v>
      </c>
      <c r="D24" s="30">
        <v>250000</v>
      </c>
      <c r="E24" s="28">
        <v>706.75</v>
      </c>
      <c r="F24" s="29">
        <v>1.9397968238343899</v>
      </c>
    </row>
    <row r="25" spans="1:6" x14ac:dyDescent="0.2">
      <c r="A25" s="26" t="s">
        <v>1184</v>
      </c>
      <c r="B25" s="26" t="s">
        <v>1183</v>
      </c>
      <c r="C25" s="26" t="s">
        <v>1014</v>
      </c>
      <c r="D25" s="30">
        <v>1400000</v>
      </c>
      <c r="E25" s="28">
        <v>683.2</v>
      </c>
      <c r="F25" s="29">
        <v>1.87515980197192</v>
      </c>
    </row>
    <row r="26" spans="1:6" x14ac:dyDescent="0.2">
      <c r="A26" s="26" t="s">
        <v>1140</v>
      </c>
      <c r="B26" s="26" t="s">
        <v>1139</v>
      </c>
      <c r="C26" s="26" t="s">
        <v>1029</v>
      </c>
      <c r="D26" s="30">
        <v>700000</v>
      </c>
      <c r="E26" s="28">
        <v>669.9</v>
      </c>
      <c r="F26" s="29">
        <v>1.8386556664827101</v>
      </c>
    </row>
    <row r="27" spans="1:6" x14ac:dyDescent="0.2">
      <c r="A27" s="26" t="s">
        <v>1060</v>
      </c>
      <c r="B27" s="26" t="s">
        <v>1059</v>
      </c>
      <c r="C27" s="26" t="s">
        <v>1061</v>
      </c>
      <c r="D27" s="30">
        <v>400000</v>
      </c>
      <c r="E27" s="28">
        <v>648.20000000000005</v>
      </c>
      <c r="F27" s="29">
        <v>1.7790962875266301</v>
      </c>
    </row>
    <row r="28" spans="1:6" x14ac:dyDescent="0.2">
      <c r="A28" s="26" t="s">
        <v>1186</v>
      </c>
      <c r="B28" s="26" t="s">
        <v>1185</v>
      </c>
      <c r="C28" s="26" t="s">
        <v>1046</v>
      </c>
      <c r="D28" s="30">
        <v>700000</v>
      </c>
      <c r="E28" s="28">
        <v>626.85</v>
      </c>
      <c r="F28" s="29">
        <v>1.7204975437150101</v>
      </c>
    </row>
    <row r="29" spans="1:6" x14ac:dyDescent="0.2">
      <c r="A29" s="26" t="s">
        <v>1125</v>
      </c>
      <c r="B29" s="26" t="s">
        <v>1124</v>
      </c>
      <c r="C29" s="26" t="s">
        <v>1022</v>
      </c>
      <c r="D29" s="30">
        <v>110000</v>
      </c>
      <c r="E29" s="28">
        <v>600.875</v>
      </c>
      <c r="F29" s="29">
        <v>1.64920469263741</v>
      </c>
    </row>
    <row r="30" spans="1:6" x14ac:dyDescent="0.2">
      <c r="A30" s="26" t="s">
        <v>1188</v>
      </c>
      <c r="B30" s="26" t="s">
        <v>1187</v>
      </c>
      <c r="C30" s="26" t="s">
        <v>1035</v>
      </c>
      <c r="D30" s="30">
        <v>300000</v>
      </c>
      <c r="E30" s="28">
        <v>583.95000000000005</v>
      </c>
      <c r="F30" s="29">
        <v>1.60275112172351</v>
      </c>
    </row>
    <row r="31" spans="1:6" x14ac:dyDescent="0.2">
      <c r="A31" s="26" t="s">
        <v>1190</v>
      </c>
      <c r="B31" s="26" t="s">
        <v>1189</v>
      </c>
      <c r="C31" s="26" t="s">
        <v>1076</v>
      </c>
      <c r="D31" s="30">
        <v>200000</v>
      </c>
      <c r="E31" s="28">
        <v>510.2</v>
      </c>
      <c r="F31" s="29">
        <v>1.4003315734280899</v>
      </c>
    </row>
    <row r="32" spans="1:6" x14ac:dyDescent="0.2">
      <c r="A32" s="26" t="s">
        <v>1157</v>
      </c>
      <c r="B32" s="26" t="s">
        <v>1156</v>
      </c>
      <c r="C32" s="26" t="s">
        <v>1038</v>
      </c>
      <c r="D32" s="30">
        <v>450000</v>
      </c>
      <c r="E32" s="28">
        <v>433.35</v>
      </c>
      <c r="F32" s="29">
        <v>1.1894035424246601</v>
      </c>
    </row>
    <row r="33" spans="1:9" x14ac:dyDescent="0.2">
      <c r="A33" s="26" t="s">
        <v>1192</v>
      </c>
      <c r="B33" s="26" t="s">
        <v>1191</v>
      </c>
      <c r="C33" s="26" t="s">
        <v>1104</v>
      </c>
      <c r="D33" s="30">
        <v>800000</v>
      </c>
      <c r="E33" s="28">
        <v>412</v>
      </c>
      <c r="F33" s="29">
        <v>1.1308047986130401</v>
      </c>
    </row>
    <row r="34" spans="1:9" x14ac:dyDescent="0.2">
      <c r="A34" s="26" t="s">
        <v>1142</v>
      </c>
      <c r="B34" s="26" t="s">
        <v>1141</v>
      </c>
      <c r="C34" s="26" t="s">
        <v>1104</v>
      </c>
      <c r="D34" s="30">
        <v>200000</v>
      </c>
      <c r="E34" s="28">
        <v>395.7</v>
      </c>
      <c r="F34" s="29">
        <v>1.0860666475999501</v>
      </c>
    </row>
    <row r="35" spans="1:9" x14ac:dyDescent="0.2">
      <c r="A35" s="26" t="s">
        <v>1116</v>
      </c>
      <c r="B35" s="26" t="s">
        <v>1115</v>
      </c>
      <c r="C35" s="26" t="s">
        <v>1117</v>
      </c>
      <c r="D35" s="30">
        <v>40000</v>
      </c>
      <c r="E35" s="28">
        <v>359.02</v>
      </c>
      <c r="F35" s="29">
        <v>0.985392084461296</v>
      </c>
    </row>
    <row r="36" spans="1:9" x14ac:dyDescent="0.2">
      <c r="A36" s="26" t="s">
        <v>1019</v>
      </c>
      <c r="B36" s="26" t="s">
        <v>1018</v>
      </c>
      <c r="C36" s="26" t="s">
        <v>1014</v>
      </c>
      <c r="D36" s="30">
        <v>80000</v>
      </c>
      <c r="E36" s="28">
        <v>355.92</v>
      </c>
      <c r="F36" s="29">
        <v>0.97688360175328504</v>
      </c>
    </row>
    <row r="37" spans="1:9" x14ac:dyDescent="0.2">
      <c r="A37" s="26" t="s">
        <v>1194</v>
      </c>
      <c r="B37" s="26" t="s">
        <v>1193</v>
      </c>
      <c r="C37" s="26" t="s">
        <v>1195</v>
      </c>
      <c r="D37" s="30">
        <v>600000</v>
      </c>
      <c r="E37" s="28">
        <v>346.2</v>
      </c>
      <c r="F37" s="29">
        <v>0.95020539145590999</v>
      </c>
    </row>
    <row r="38" spans="1:9" x14ac:dyDescent="0.2">
      <c r="A38" s="26" t="s">
        <v>1197</v>
      </c>
      <c r="B38" s="26" t="s">
        <v>1196</v>
      </c>
      <c r="C38" s="26" t="s">
        <v>1195</v>
      </c>
      <c r="D38" s="30">
        <v>90000</v>
      </c>
      <c r="E38" s="28">
        <v>335.745</v>
      </c>
      <c r="F38" s="29">
        <v>0.92150984735518304</v>
      </c>
    </row>
    <row r="39" spans="1:9" x14ac:dyDescent="0.2">
      <c r="A39" s="26" t="s">
        <v>1199</v>
      </c>
      <c r="B39" s="26" t="s">
        <v>1198</v>
      </c>
      <c r="C39" s="26" t="s">
        <v>1195</v>
      </c>
      <c r="D39" s="30">
        <v>400000</v>
      </c>
      <c r="E39" s="28">
        <v>297</v>
      </c>
      <c r="F39" s="29">
        <v>0.81516753686425503</v>
      </c>
    </row>
    <row r="40" spans="1:9" x14ac:dyDescent="0.2">
      <c r="A40" s="26" t="s">
        <v>1201</v>
      </c>
      <c r="B40" s="26" t="s">
        <v>1200</v>
      </c>
      <c r="C40" s="26" t="s">
        <v>1202</v>
      </c>
      <c r="D40" s="30">
        <v>100000</v>
      </c>
      <c r="E40" s="28">
        <v>292.05</v>
      </c>
      <c r="F40" s="29">
        <v>0.80158141124985105</v>
      </c>
    </row>
    <row r="41" spans="1:9" x14ac:dyDescent="0.2">
      <c r="A41" s="26" t="s">
        <v>1204</v>
      </c>
      <c r="B41" s="26" t="s">
        <v>1203</v>
      </c>
      <c r="C41" s="26" t="s">
        <v>1022</v>
      </c>
      <c r="D41" s="30">
        <v>123000</v>
      </c>
      <c r="E41" s="28">
        <v>280.87049999999999</v>
      </c>
      <c r="F41" s="29">
        <v>0.77089735240010704</v>
      </c>
    </row>
    <row r="42" spans="1:9" x14ac:dyDescent="0.2">
      <c r="A42" s="26" t="s">
        <v>1206</v>
      </c>
      <c r="B42" s="26" t="s">
        <v>1205</v>
      </c>
      <c r="C42" s="26" t="s">
        <v>1207</v>
      </c>
      <c r="D42" s="30">
        <v>40000</v>
      </c>
      <c r="E42" s="28">
        <v>258.42</v>
      </c>
      <c r="F42" s="29">
        <v>0.70927809722714097</v>
      </c>
    </row>
    <row r="43" spans="1:9" x14ac:dyDescent="0.2">
      <c r="A43" s="26" t="s">
        <v>1209</v>
      </c>
      <c r="B43" s="26" t="s">
        <v>1208</v>
      </c>
      <c r="C43" s="26" t="s">
        <v>1022</v>
      </c>
      <c r="D43" s="30">
        <v>54336</v>
      </c>
      <c r="E43" s="28">
        <v>252.68956800000001</v>
      </c>
      <c r="F43" s="29">
        <v>0.693549941878292</v>
      </c>
    </row>
    <row r="44" spans="1:9" x14ac:dyDescent="0.2">
      <c r="A44" s="26" t="s">
        <v>1144</v>
      </c>
      <c r="B44" s="26" t="s">
        <v>1143</v>
      </c>
      <c r="C44" s="26" t="s">
        <v>1145</v>
      </c>
      <c r="D44" s="30">
        <v>153000</v>
      </c>
      <c r="E44" s="28">
        <v>83.231999999999999</v>
      </c>
      <c r="F44" s="29">
        <v>0.228444526694565</v>
      </c>
    </row>
    <row r="45" spans="1:9" ht="10.5" x14ac:dyDescent="0.25">
      <c r="A45" s="25" t="s">
        <v>177</v>
      </c>
      <c r="B45" s="25"/>
      <c r="C45" s="25"/>
      <c r="D45" s="31"/>
      <c r="E45" s="32">
        <f>SUM(E7:E44)</f>
        <v>33316.517068000008</v>
      </c>
      <c r="F45" s="33">
        <f>SUM(F7:F44)</f>
        <v>91.442906246523492</v>
      </c>
      <c r="G45" s="17"/>
      <c r="H45" s="17"/>
      <c r="I45" s="17"/>
    </row>
    <row r="46" spans="1:9" x14ac:dyDescent="0.2">
      <c r="A46" s="26"/>
      <c r="B46" s="26"/>
      <c r="C46" s="26"/>
      <c r="D46" s="27"/>
      <c r="E46" s="28"/>
      <c r="F46" s="29"/>
    </row>
    <row r="47" spans="1:9" ht="10.5" x14ac:dyDescent="0.25">
      <c r="A47" s="25" t="s">
        <v>226</v>
      </c>
      <c r="B47" s="25"/>
      <c r="C47" s="25"/>
      <c r="D47" s="31"/>
      <c r="E47" s="32">
        <f>E45</f>
        <v>33316.517068000008</v>
      </c>
      <c r="F47" s="33">
        <f>F45</f>
        <v>91.442906246523492</v>
      </c>
      <c r="G47" s="17"/>
      <c r="H47" s="17"/>
      <c r="I47" s="17"/>
    </row>
    <row r="48" spans="1:9" ht="10.5" x14ac:dyDescent="0.25">
      <c r="A48" s="25"/>
      <c r="B48" s="25"/>
      <c r="C48" s="25"/>
      <c r="D48" s="31"/>
      <c r="E48" s="32"/>
      <c r="F48" s="33"/>
      <c r="G48" s="17"/>
      <c r="H48" s="17"/>
      <c r="I48" s="17"/>
    </row>
    <row r="49" spans="1:9" ht="10.5" x14ac:dyDescent="0.25">
      <c r="A49" s="25" t="s">
        <v>228</v>
      </c>
      <c r="B49" s="25"/>
      <c r="C49" s="25"/>
      <c r="D49" s="31"/>
      <c r="E49" s="32">
        <f>E51-(E45)</f>
        <v>3117.7110591999881</v>
      </c>
      <c r="F49" s="33">
        <f>F51-(F45)</f>
        <v>8.5570937534765079</v>
      </c>
      <c r="G49" s="17"/>
      <c r="H49" s="17"/>
      <c r="I49" s="17"/>
    </row>
    <row r="50" spans="1:9" ht="10.5" x14ac:dyDescent="0.25">
      <c r="A50" s="25"/>
      <c r="B50" s="25"/>
      <c r="C50" s="25"/>
      <c r="D50" s="31"/>
      <c r="E50" s="32"/>
      <c r="F50" s="33"/>
      <c r="G50" s="17"/>
      <c r="H50" s="17"/>
      <c r="I50" s="17"/>
    </row>
    <row r="51" spans="1:9" ht="10.5" x14ac:dyDescent="0.25">
      <c r="A51" s="34" t="s">
        <v>227</v>
      </c>
      <c r="B51" s="34"/>
      <c r="C51" s="34"/>
      <c r="D51" s="35"/>
      <c r="E51" s="36">
        <v>36434.228127199996</v>
      </c>
      <c r="F51" s="37">
        <v>100</v>
      </c>
      <c r="G51" s="17"/>
      <c r="H51" s="17"/>
      <c r="I51" s="17"/>
    </row>
    <row r="53" spans="1:9" ht="10.5" x14ac:dyDescent="0.25">
      <c r="A53" s="17" t="s">
        <v>232</v>
      </c>
    </row>
    <row r="54" spans="1:9" ht="10.5" x14ac:dyDescent="0.25">
      <c r="A54" s="17" t="s">
        <v>233</v>
      </c>
    </row>
    <row r="55" spans="1:9" ht="10.5" x14ac:dyDescent="0.25">
      <c r="A55" s="17" t="s">
        <v>234</v>
      </c>
      <c r="B55" s="17"/>
      <c r="C55" s="38" t="s">
        <v>236</v>
      </c>
      <c r="D55" s="18" t="s">
        <v>235</v>
      </c>
    </row>
    <row r="56" spans="1:9" x14ac:dyDescent="0.2">
      <c r="A56" s="10" t="s">
        <v>543</v>
      </c>
      <c r="C56" s="39">
        <v>241.3098</v>
      </c>
      <c r="D56" s="39">
        <v>183.5745</v>
      </c>
    </row>
    <row r="57" spans="1:9" x14ac:dyDescent="0.2">
      <c r="A57" s="10" t="s">
        <v>580</v>
      </c>
      <c r="C57" s="39">
        <v>57.830100000000002</v>
      </c>
      <c r="D57" s="39">
        <v>40.1479</v>
      </c>
    </row>
    <row r="58" spans="1:9" x14ac:dyDescent="0.2">
      <c r="A58" s="10" t="s">
        <v>546</v>
      </c>
      <c r="C58" s="39">
        <v>253.18350000000001</v>
      </c>
      <c r="D58" s="39">
        <v>193.5805</v>
      </c>
    </row>
    <row r="59" spans="1:9" x14ac:dyDescent="0.2">
      <c r="A59" s="10" t="s">
        <v>581</v>
      </c>
      <c r="C59" s="39">
        <v>61.450499999999998</v>
      </c>
      <c r="D59" s="39">
        <v>43.119</v>
      </c>
    </row>
    <row r="61" spans="1:9" ht="10.5" x14ac:dyDescent="0.25">
      <c r="A61" s="17" t="s">
        <v>248</v>
      </c>
    </row>
    <row r="62" spans="1:9" ht="10.5" x14ac:dyDescent="0.25">
      <c r="A62" s="84" t="s">
        <v>249</v>
      </c>
      <c r="B62" s="85"/>
      <c r="C62" s="82" t="s">
        <v>250</v>
      </c>
      <c r="D62" s="83"/>
    </row>
    <row r="63" spans="1:9" ht="10.5" x14ac:dyDescent="0.25">
      <c r="A63" s="84"/>
      <c r="B63" s="85"/>
      <c r="C63" s="40" t="s">
        <v>251</v>
      </c>
      <c r="D63" s="41" t="s">
        <v>252</v>
      </c>
    </row>
    <row r="64" spans="1:9" x14ac:dyDescent="0.2">
      <c r="A64" s="78" t="s">
        <v>580</v>
      </c>
      <c r="B64" s="79"/>
      <c r="C64" s="42">
        <v>4.4270423499999998</v>
      </c>
      <c r="D64" s="42">
        <v>4.4270423499999998</v>
      </c>
    </row>
    <row r="65" spans="1:4" x14ac:dyDescent="0.2">
      <c r="A65" s="78" t="s">
        <v>581</v>
      </c>
      <c r="B65" s="79"/>
      <c r="C65" s="42">
        <v>4.4270423499999998</v>
      </c>
      <c r="D65" s="42">
        <v>4.4270423499999998</v>
      </c>
    </row>
    <row r="67" spans="1:4" ht="10.5" x14ac:dyDescent="0.25">
      <c r="A67" s="17" t="s">
        <v>1151</v>
      </c>
      <c r="D67" s="47">
        <v>0.21560000000000001</v>
      </c>
    </row>
  </sheetData>
  <mergeCells count="6">
    <mergeCell ref="A65:B65"/>
    <mergeCell ref="A1:F1"/>
    <mergeCell ref="C62:D62"/>
    <mergeCell ref="A62:B62"/>
    <mergeCell ref="A63:B63"/>
    <mergeCell ref="A64:B64"/>
  </mergeCells>
  <conditionalFormatting sqref="F2:F3 F5:F65535">
    <cfRule type="cellIs" dxfId="25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85"/>
  <sheetViews>
    <sheetView workbookViewId="0">
      <selection sqref="A1:F1"/>
    </sheetView>
  </sheetViews>
  <sheetFormatPr defaultColWidth="9.1796875" defaultRowHeight="10" x14ac:dyDescent="0.2"/>
  <cols>
    <col min="1" max="1" width="40.54296875" style="10" bestFit="1" customWidth="1"/>
    <col min="2" max="2" width="26.54296875" style="10" bestFit="1" customWidth="1"/>
    <col min="3" max="3" width="18.8164062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5" style="10" bestFit="1" customWidth="1"/>
    <col min="8" max="16384" width="9.1796875" style="10"/>
  </cols>
  <sheetData>
    <row r="1" spans="1:6" s="1" customFormat="1" ht="14" x14ac:dyDescent="0.25">
      <c r="A1" s="80" t="s">
        <v>42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1021</v>
      </c>
      <c r="B7" s="26" t="s">
        <v>1020</v>
      </c>
      <c r="C7" s="26" t="s">
        <v>1022</v>
      </c>
      <c r="D7" s="30">
        <v>615444</v>
      </c>
      <c r="E7" s="28">
        <v>4403.5018200000004</v>
      </c>
      <c r="F7" s="29">
        <v>6.3020537973532704</v>
      </c>
    </row>
    <row r="8" spans="1:6" x14ac:dyDescent="0.2">
      <c r="A8" s="26" t="s">
        <v>1060</v>
      </c>
      <c r="B8" s="26" t="s">
        <v>1059</v>
      </c>
      <c r="C8" s="26" t="s">
        <v>1061</v>
      </c>
      <c r="D8" s="30">
        <v>2509054</v>
      </c>
      <c r="E8" s="28">
        <v>4065.9220070000001</v>
      </c>
      <c r="F8" s="29">
        <v>5.8189278150353001</v>
      </c>
    </row>
    <row r="9" spans="1:6" x14ac:dyDescent="0.2">
      <c r="A9" s="26" t="s">
        <v>1063</v>
      </c>
      <c r="B9" s="26" t="s">
        <v>1062</v>
      </c>
      <c r="C9" s="26" t="s">
        <v>1061</v>
      </c>
      <c r="D9" s="30">
        <v>3350145</v>
      </c>
      <c r="E9" s="28">
        <v>3184.3128230000002</v>
      </c>
      <c r="F9" s="29">
        <v>4.5572164015019903</v>
      </c>
    </row>
    <row r="10" spans="1:6" x14ac:dyDescent="0.2">
      <c r="A10" s="26" t="s">
        <v>1112</v>
      </c>
      <c r="B10" s="26" t="s">
        <v>1111</v>
      </c>
      <c r="C10" s="26" t="s">
        <v>1061</v>
      </c>
      <c r="D10" s="30">
        <v>13497327</v>
      </c>
      <c r="E10" s="28">
        <v>2807.4440159999999</v>
      </c>
      <c r="F10" s="29">
        <v>4.0178621345249104</v>
      </c>
    </row>
    <row r="11" spans="1:6" x14ac:dyDescent="0.2">
      <c r="A11" s="26" t="s">
        <v>1028</v>
      </c>
      <c r="B11" s="26" t="s">
        <v>1027</v>
      </c>
      <c r="C11" s="26" t="s">
        <v>1029</v>
      </c>
      <c r="D11" s="30">
        <v>1053388</v>
      </c>
      <c r="E11" s="28">
        <v>2559.7328400000001</v>
      </c>
      <c r="F11" s="29">
        <v>3.6633512881191201</v>
      </c>
    </row>
    <row r="12" spans="1:6" x14ac:dyDescent="0.2">
      <c r="A12" s="26" t="s">
        <v>1212</v>
      </c>
      <c r="B12" s="26" t="s">
        <v>1211</v>
      </c>
      <c r="C12" s="26" t="s">
        <v>1104</v>
      </c>
      <c r="D12" s="30">
        <v>284585</v>
      </c>
      <c r="E12" s="28">
        <v>2114.751135</v>
      </c>
      <c r="F12" s="29">
        <v>3.0265175229980699</v>
      </c>
    </row>
    <row r="13" spans="1:6" x14ac:dyDescent="0.2">
      <c r="A13" s="26" t="s">
        <v>1123</v>
      </c>
      <c r="B13" s="26" t="s">
        <v>1122</v>
      </c>
      <c r="C13" s="26" t="s">
        <v>1061</v>
      </c>
      <c r="D13" s="30">
        <v>6297866</v>
      </c>
      <c r="E13" s="28">
        <v>1996.423522</v>
      </c>
      <c r="F13" s="29">
        <v>2.8571734388304399</v>
      </c>
    </row>
    <row r="14" spans="1:6" x14ac:dyDescent="0.2">
      <c r="A14" s="26" t="s">
        <v>1173</v>
      </c>
      <c r="B14" s="26" t="s">
        <v>1172</v>
      </c>
      <c r="C14" s="26" t="s">
        <v>1035</v>
      </c>
      <c r="D14" s="30">
        <v>551912</v>
      </c>
      <c r="E14" s="28">
        <v>1940.522592</v>
      </c>
      <c r="F14" s="29">
        <v>2.7771710492363102</v>
      </c>
    </row>
    <row r="15" spans="1:6" x14ac:dyDescent="0.2">
      <c r="A15" s="26" t="s">
        <v>1040</v>
      </c>
      <c r="B15" s="26" t="s">
        <v>1039</v>
      </c>
      <c r="C15" s="26" t="s">
        <v>1029</v>
      </c>
      <c r="D15" s="30">
        <v>924255</v>
      </c>
      <c r="E15" s="28">
        <v>1915.5184879999999</v>
      </c>
      <c r="F15" s="29">
        <v>2.7413865270528701</v>
      </c>
    </row>
    <row r="16" spans="1:6" x14ac:dyDescent="0.2">
      <c r="A16" s="26" t="s">
        <v>1092</v>
      </c>
      <c r="B16" s="26" t="s">
        <v>1091</v>
      </c>
      <c r="C16" s="26" t="s">
        <v>1093</v>
      </c>
      <c r="D16" s="30">
        <v>1247000</v>
      </c>
      <c r="E16" s="28">
        <v>1851.7950000000001</v>
      </c>
      <c r="F16" s="29">
        <v>2.6501889152551299</v>
      </c>
    </row>
    <row r="17" spans="1:6" x14ac:dyDescent="0.2">
      <c r="A17" s="26" t="s">
        <v>1214</v>
      </c>
      <c r="B17" s="26" t="s">
        <v>1213</v>
      </c>
      <c r="C17" s="26" t="s">
        <v>1076</v>
      </c>
      <c r="D17" s="30">
        <v>419757</v>
      </c>
      <c r="E17" s="28">
        <v>1685.9539910000001</v>
      </c>
      <c r="F17" s="29">
        <v>2.4128462268114701</v>
      </c>
    </row>
    <row r="18" spans="1:6" x14ac:dyDescent="0.2">
      <c r="A18" s="26" t="s">
        <v>1034</v>
      </c>
      <c r="B18" s="26" t="s">
        <v>1033</v>
      </c>
      <c r="C18" s="26" t="s">
        <v>1035</v>
      </c>
      <c r="D18" s="30">
        <v>114045</v>
      </c>
      <c r="E18" s="28">
        <v>1664.0305949999999</v>
      </c>
      <c r="F18" s="29">
        <v>2.3814706474066498</v>
      </c>
    </row>
    <row r="19" spans="1:6" x14ac:dyDescent="0.2">
      <c r="A19" s="26" t="s">
        <v>1216</v>
      </c>
      <c r="B19" s="26" t="s">
        <v>1215</v>
      </c>
      <c r="C19" s="26" t="s">
        <v>1032</v>
      </c>
      <c r="D19" s="30">
        <v>126875</v>
      </c>
      <c r="E19" s="28">
        <v>1420.1118750000001</v>
      </c>
      <c r="F19" s="29">
        <v>2.0323873590474002</v>
      </c>
    </row>
    <row r="20" spans="1:6" x14ac:dyDescent="0.2">
      <c r="A20" s="26" t="s">
        <v>1042</v>
      </c>
      <c r="B20" s="26" t="s">
        <v>1041</v>
      </c>
      <c r="C20" s="26" t="s">
        <v>1043</v>
      </c>
      <c r="D20" s="30">
        <v>639633</v>
      </c>
      <c r="E20" s="28">
        <v>1409.1114990000001</v>
      </c>
      <c r="F20" s="29">
        <v>2.0166442154819202</v>
      </c>
    </row>
    <row r="21" spans="1:6" x14ac:dyDescent="0.2">
      <c r="A21" s="26" t="s">
        <v>1181</v>
      </c>
      <c r="B21" s="26" t="s">
        <v>1180</v>
      </c>
      <c r="C21" s="26" t="s">
        <v>1182</v>
      </c>
      <c r="D21" s="30">
        <v>484134</v>
      </c>
      <c r="E21" s="28">
        <v>1368.6468179999999</v>
      </c>
      <c r="F21" s="29">
        <v>1.9587333511338001</v>
      </c>
    </row>
    <row r="22" spans="1:6" x14ac:dyDescent="0.2">
      <c r="A22" s="26" t="s">
        <v>1031</v>
      </c>
      <c r="B22" s="26" t="s">
        <v>1030</v>
      </c>
      <c r="C22" s="26" t="s">
        <v>1032</v>
      </c>
      <c r="D22" s="30">
        <v>264691</v>
      </c>
      <c r="E22" s="28">
        <v>1336.424859</v>
      </c>
      <c r="F22" s="29">
        <v>1.9126190249963999</v>
      </c>
    </row>
    <row r="23" spans="1:6" x14ac:dyDescent="0.2">
      <c r="A23" s="26" t="s">
        <v>1125</v>
      </c>
      <c r="B23" s="26" t="s">
        <v>1124</v>
      </c>
      <c r="C23" s="26" t="s">
        <v>1022</v>
      </c>
      <c r="D23" s="30">
        <v>221952</v>
      </c>
      <c r="E23" s="28">
        <v>1212.4128000000001</v>
      </c>
      <c r="F23" s="29">
        <v>1.7351396689554901</v>
      </c>
    </row>
    <row r="24" spans="1:6" x14ac:dyDescent="0.2">
      <c r="A24" s="26" t="s">
        <v>1199</v>
      </c>
      <c r="B24" s="26" t="s">
        <v>1198</v>
      </c>
      <c r="C24" s="26" t="s">
        <v>1195</v>
      </c>
      <c r="D24" s="30">
        <v>1517846</v>
      </c>
      <c r="E24" s="28">
        <v>1127.0006550000001</v>
      </c>
      <c r="F24" s="29">
        <v>1.61290242352219</v>
      </c>
    </row>
    <row r="25" spans="1:6" x14ac:dyDescent="0.2">
      <c r="A25" s="26" t="s">
        <v>1218</v>
      </c>
      <c r="B25" s="26" t="s">
        <v>1217</v>
      </c>
      <c r="C25" s="26" t="s">
        <v>1046</v>
      </c>
      <c r="D25" s="30">
        <v>3209748</v>
      </c>
      <c r="E25" s="28">
        <v>1020.699864</v>
      </c>
      <c r="F25" s="29">
        <v>1.4607704769562599</v>
      </c>
    </row>
    <row r="26" spans="1:6" x14ac:dyDescent="0.2">
      <c r="A26" s="26" t="s">
        <v>1157</v>
      </c>
      <c r="B26" s="26" t="s">
        <v>1156</v>
      </c>
      <c r="C26" s="26" t="s">
        <v>1038</v>
      </c>
      <c r="D26" s="30">
        <v>1002100</v>
      </c>
      <c r="E26" s="28">
        <v>965.02229999999997</v>
      </c>
      <c r="F26" s="29">
        <v>1.3810877567085</v>
      </c>
    </row>
    <row r="27" spans="1:6" x14ac:dyDescent="0.2">
      <c r="A27" s="26" t="s">
        <v>1037</v>
      </c>
      <c r="B27" s="26" t="s">
        <v>1036</v>
      </c>
      <c r="C27" s="26" t="s">
        <v>1038</v>
      </c>
      <c r="D27" s="30">
        <v>99400</v>
      </c>
      <c r="E27" s="28">
        <v>929.19119999999998</v>
      </c>
      <c r="F27" s="29">
        <v>1.3298082230444599</v>
      </c>
    </row>
    <row r="28" spans="1:6" x14ac:dyDescent="0.2">
      <c r="A28" s="26" t="s">
        <v>1206</v>
      </c>
      <c r="B28" s="26" t="s">
        <v>1205</v>
      </c>
      <c r="C28" s="26" t="s">
        <v>1207</v>
      </c>
      <c r="D28" s="30">
        <v>136944</v>
      </c>
      <c r="E28" s="28">
        <v>884.72671200000002</v>
      </c>
      <c r="F28" s="29">
        <v>1.26617305110583</v>
      </c>
    </row>
    <row r="29" spans="1:6" x14ac:dyDescent="0.2">
      <c r="A29" s="26" t="s">
        <v>1073</v>
      </c>
      <c r="B29" s="26" t="s">
        <v>1072</v>
      </c>
      <c r="C29" s="26" t="s">
        <v>1052</v>
      </c>
      <c r="D29" s="30">
        <v>32930</v>
      </c>
      <c r="E29" s="28">
        <v>863.85269000000005</v>
      </c>
      <c r="F29" s="29">
        <v>1.2362992790515801</v>
      </c>
    </row>
    <row r="30" spans="1:6" x14ac:dyDescent="0.2">
      <c r="A30" s="26" t="s">
        <v>1220</v>
      </c>
      <c r="B30" s="26" t="s">
        <v>1219</v>
      </c>
      <c r="C30" s="26" t="s">
        <v>1145</v>
      </c>
      <c r="D30" s="30">
        <v>178656</v>
      </c>
      <c r="E30" s="28">
        <v>821.81759999999997</v>
      </c>
      <c r="F30" s="29">
        <v>1.17614093022261</v>
      </c>
    </row>
    <row r="31" spans="1:6" x14ac:dyDescent="0.2">
      <c r="A31" s="26" t="s">
        <v>1131</v>
      </c>
      <c r="B31" s="26" t="s">
        <v>1130</v>
      </c>
      <c r="C31" s="26" t="s">
        <v>1043</v>
      </c>
      <c r="D31" s="30">
        <v>972460</v>
      </c>
      <c r="E31" s="28">
        <v>818.81132000000002</v>
      </c>
      <c r="F31" s="29">
        <v>1.1718385047747799</v>
      </c>
    </row>
    <row r="32" spans="1:6" x14ac:dyDescent="0.2">
      <c r="A32" s="26" t="s">
        <v>1099</v>
      </c>
      <c r="B32" s="26" t="s">
        <v>1098</v>
      </c>
      <c r="C32" s="26" t="s">
        <v>1055</v>
      </c>
      <c r="D32" s="30">
        <v>20000</v>
      </c>
      <c r="E32" s="28">
        <v>787.26</v>
      </c>
      <c r="F32" s="29">
        <v>1.1266839609264301</v>
      </c>
    </row>
    <row r="33" spans="1:9" x14ac:dyDescent="0.2">
      <c r="A33" s="26" t="s">
        <v>1192</v>
      </c>
      <c r="B33" s="26" t="s">
        <v>1191</v>
      </c>
      <c r="C33" s="26" t="s">
        <v>1104</v>
      </c>
      <c r="D33" s="30">
        <v>1505501</v>
      </c>
      <c r="E33" s="28">
        <v>775.33301500000005</v>
      </c>
      <c r="F33" s="29">
        <v>1.1096147046429801</v>
      </c>
    </row>
    <row r="34" spans="1:9" x14ac:dyDescent="0.2">
      <c r="A34" s="26" t="s">
        <v>1184</v>
      </c>
      <c r="B34" s="26" t="s">
        <v>1183</v>
      </c>
      <c r="C34" s="26" t="s">
        <v>1014</v>
      </c>
      <c r="D34" s="30">
        <v>1505600</v>
      </c>
      <c r="E34" s="28">
        <v>734.7328</v>
      </c>
      <c r="F34" s="29">
        <v>1.05150987135961</v>
      </c>
    </row>
    <row r="35" spans="1:9" x14ac:dyDescent="0.2">
      <c r="A35" s="26" t="s">
        <v>1222</v>
      </c>
      <c r="B35" s="26" t="s">
        <v>1221</v>
      </c>
      <c r="C35" s="26" t="s">
        <v>1032</v>
      </c>
      <c r="D35" s="30">
        <v>140800</v>
      </c>
      <c r="E35" s="28">
        <v>734.48320000000001</v>
      </c>
      <c r="F35" s="29">
        <v>1.05115265733038</v>
      </c>
    </row>
    <row r="36" spans="1:9" x14ac:dyDescent="0.2">
      <c r="A36" s="26" t="s">
        <v>1224</v>
      </c>
      <c r="B36" s="26" t="s">
        <v>1223</v>
      </c>
      <c r="C36" s="26" t="s">
        <v>1038</v>
      </c>
      <c r="D36" s="30">
        <v>46395</v>
      </c>
      <c r="E36" s="28">
        <v>666.92812500000002</v>
      </c>
      <c r="F36" s="29">
        <v>0.95447148531391901</v>
      </c>
    </row>
    <row r="37" spans="1:9" x14ac:dyDescent="0.2">
      <c r="A37" s="26" t="s">
        <v>1226</v>
      </c>
      <c r="B37" s="26" t="s">
        <v>1225</v>
      </c>
      <c r="C37" s="26" t="s">
        <v>1061</v>
      </c>
      <c r="D37" s="30">
        <v>100000</v>
      </c>
      <c r="E37" s="28">
        <v>656</v>
      </c>
      <c r="F37" s="29">
        <v>0.93883174347450304</v>
      </c>
    </row>
    <row r="38" spans="1:9" x14ac:dyDescent="0.2">
      <c r="A38" s="26" t="s">
        <v>1228</v>
      </c>
      <c r="B38" s="26" t="s">
        <v>1227</v>
      </c>
      <c r="C38" s="26" t="s">
        <v>1052</v>
      </c>
      <c r="D38" s="30">
        <v>1239545</v>
      </c>
      <c r="E38" s="28">
        <v>648.90180750000002</v>
      </c>
      <c r="F38" s="29">
        <v>0.92867319402283699</v>
      </c>
    </row>
    <row r="39" spans="1:9" x14ac:dyDescent="0.2">
      <c r="A39" s="26" t="s">
        <v>1175</v>
      </c>
      <c r="B39" s="26" t="s">
        <v>1174</v>
      </c>
      <c r="C39" s="26" t="s">
        <v>1176</v>
      </c>
      <c r="D39" s="30">
        <v>753071</v>
      </c>
      <c r="E39" s="28">
        <v>601.70372899999995</v>
      </c>
      <c r="F39" s="29">
        <v>0.86112585511003004</v>
      </c>
    </row>
    <row r="40" spans="1:9" x14ac:dyDescent="0.2">
      <c r="A40" s="26" t="s">
        <v>1140</v>
      </c>
      <c r="B40" s="26" t="s">
        <v>1139</v>
      </c>
      <c r="C40" s="26" t="s">
        <v>1029</v>
      </c>
      <c r="D40" s="30">
        <v>621258</v>
      </c>
      <c r="E40" s="28">
        <v>594.54390599999999</v>
      </c>
      <c r="F40" s="29">
        <v>0.85087910341786699</v>
      </c>
    </row>
    <row r="41" spans="1:9" x14ac:dyDescent="0.2">
      <c r="A41" s="26" t="s">
        <v>1178</v>
      </c>
      <c r="B41" s="26" t="s">
        <v>1177</v>
      </c>
      <c r="C41" s="26" t="s">
        <v>1179</v>
      </c>
      <c r="D41" s="30">
        <v>821499</v>
      </c>
      <c r="E41" s="28">
        <v>592.30077900000003</v>
      </c>
      <c r="F41" s="29">
        <v>0.84766886129554297</v>
      </c>
    </row>
    <row r="42" spans="1:9" x14ac:dyDescent="0.2">
      <c r="A42" s="26" t="s">
        <v>1230</v>
      </c>
      <c r="B42" s="26" t="s">
        <v>1229</v>
      </c>
      <c r="C42" s="26" t="s">
        <v>1093</v>
      </c>
      <c r="D42" s="30">
        <v>709254</v>
      </c>
      <c r="E42" s="28">
        <v>571.30409699999996</v>
      </c>
      <c r="F42" s="29">
        <v>0.817619544879019</v>
      </c>
    </row>
    <row r="43" spans="1:9" x14ac:dyDescent="0.2">
      <c r="A43" s="26" t="s">
        <v>1051</v>
      </c>
      <c r="B43" s="26" t="s">
        <v>1050</v>
      </c>
      <c r="C43" s="26" t="s">
        <v>1052</v>
      </c>
      <c r="D43" s="30">
        <v>155566</v>
      </c>
      <c r="E43" s="28">
        <v>570.38273900000002</v>
      </c>
      <c r="F43" s="29">
        <v>0.81630094710843304</v>
      </c>
    </row>
    <row r="44" spans="1:9" x14ac:dyDescent="0.2">
      <c r="A44" s="26" t="s">
        <v>1169</v>
      </c>
      <c r="B44" s="26" t="s">
        <v>1168</v>
      </c>
      <c r="C44" s="26" t="s">
        <v>1052</v>
      </c>
      <c r="D44" s="30">
        <v>1158906</v>
      </c>
      <c r="E44" s="28">
        <v>460.66513500000002</v>
      </c>
      <c r="F44" s="29">
        <v>0.65927904245421798</v>
      </c>
    </row>
    <row r="45" spans="1:9" x14ac:dyDescent="0.2">
      <c r="A45" s="26" t="s">
        <v>1204</v>
      </c>
      <c r="B45" s="26" t="s">
        <v>1203</v>
      </c>
      <c r="C45" s="26" t="s">
        <v>1022</v>
      </c>
      <c r="D45" s="30">
        <v>119545</v>
      </c>
      <c r="E45" s="28">
        <v>272.98100749999998</v>
      </c>
      <c r="F45" s="29">
        <v>0.390675663424773</v>
      </c>
    </row>
    <row r="46" spans="1:9" x14ac:dyDescent="0.2">
      <c r="A46" s="26" t="s">
        <v>1144</v>
      </c>
      <c r="B46" s="26" t="s">
        <v>1143</v>
      </c>
      <c r="C46" s="26" t="s">
        <v>1145</v>
      </c>
      <c r="D46" s="30">
        <v>439349</v>
      </c>
      <c r="E46" s="28">
        <v>239.00585599999999</v>
      </c>
      <c r="F46" s="29">
        <v>0.34205226294069502</v>
      </c>
    </row>
    <row r="47" spans="1:9" ht="10.5" x14ac:dyDescent="0.25">
      <c r="A47" s="25" t="s">
        <v>177</v>
      </c>
      <c r="B47" s="25"/>
      <c r="C47" s="25"/>
      <c r="D47" s="31"/>
      <c r="E47" s="32">
        <f>SUM(E7:E46)</f>
        <v>53274.265217000007</v>
      </c>
      <c r="F47" s="33">
        <f>SUM(F7:F46)</f>
        <v>76.243248926828002</v>
      </c>
      <c r="G47" s="17"/>
      <c r="H47" s="17"/>
      <c r="I47" s="17"/>
    </row>
    <row r="48" spans="1:9" x14ac:dyDescent="0.2">
      <c r="A48" s="26"/>
      <c r="B48" s="26"/>
      <c r="C48" s="26"/>
      <c r="D48" s="27"/>
      <c r="E48" s="28"/>
      <c r="F48" s="29"/>
    </row>
    <row r="49" spans="1:9" ht="10.5" x14ac:dyDescent="0.25">
      <c r="A49" s="25" t="s">
        <v>1231</v>
      </c>
      <c r="B49" s="26"/>
      <c r="C49" s="26"/>
      <c r="D49" s="27"/>
      <c r="E49" s="28"/>
      <c r="F49" s="29"/>
    </row>
    <row r="50" spans="1:9" x14ac:dyDescent="0.2">
      <c r="A50" s="26" t="s">
        <v>1233</v>
      </c>
      <c r="B50" s="26" t="s">
        <v>1232</v>
      </c>
      <c r="C50" s="26"/>
      <c r="D50" s="30">
        <v>439200</v>
      </c>
      <c r="E50" s="28">
        <v>1637.3815199999999</v>
      </c>
      <c r="F50" s="29">
        <v>2.3433319316380099</v>
      </c>
    </row>
    <row r="51" spans="1:9" ht="10.5" x14ac:dyDescent="0.25">
      <c r="A51" s="25" t="s">
        <v>177</v>
      </c>
      <c r="B51" s="25"/>
      <c r="C51" s="25"/>
      <c r="D51" s="31"/>
      <c r="E51" s="32">
        <f>SUM(E49:E50)</f>
        <v>1637.3815199999999</v>
      </c>
      <c r="F51" s="33">
        <f>SUM(F49:F50)</f>
        <v>2.3433319316380099</v>
      </c>
      <c r="G51" s="17"/>
      <c r="H51" s="17"/>
      <c r="I51" s="17"/>
    </row>
    <row r="52" spans="1:9" x14ac:dyDescent="0.2">
      <c r="A52" s="26"/>
      <c r="B52" s="26"/>
      <c r="C52" s="26"/>
      <c r="D52" s="27"/>
      <c r="E52" s="28"/>
      <c r="F52" s="29"/>
    </row>
    <row r="53" spans="1:9" ht="10.5" x14ac:dyDescent="0.25">
      <c r="A53" s="25" t="s">
        <v>1234</v>
      </c>
      <c r="B53" s="26"/>
      <c r="C53" s="26"/>
      <c r="D53" s="27"/>
      <c r="E53" s="28"/>
      <c r="F53" s="29"/>
    </row>
    <row r="54" spans="1:9" x14ac:dyDescent="0.2">
      <c r="A54" s="26" t="s">
        <v>1236</v>
      </c>
      <c r="B54" s="26" t="s">
        <v>1235</v>
      </c>
      <c r="C54" s="26" t="s">
        <v>1179</v>
      </c>
      <c r="D54" s="30">
        <v>6075983</v>
      </c>
      <c r="E54" s="28">
        <v>2872.8870740000002</v>
      </c>
      <c r="F54" s="29">
        <v>4.1115207019646096</v>
      </c>
    </row>
    <row r="55" spans="1:9" x14ac:dyDescent="0.2">
      <c r="A55" s="26" t="s">
        <v>1237</v>
      </c>
      <c r="B55" s="26" t="s">
        <v>1626</v>
      </c>
      <c r="C55" s="26" t="s">
        <v>1195</v>
      </c>
      <c r="D55" s="30">
        <v>2562198</v>
      </c>
      <c r="E55" s="28">
        <v>1582.095605</v>
      </c>
      <c r="F55" s="29">
        <v>2.26420971827058</v>
      </c>
    </row>
    <row r="56" spans="1:9" x14ac:dyDescent="0.2">
      <c r="A56" s="26" t="s">
        <v>1238</v>
      </c>
      <c r="B56" s="26" t="s">
        <v>1627</v>
      </c>
      <c r="C56" s="26" t="s">
        <v>1035</v>
      </c>
      <c r="D56" s="30">
        <v>851378</v>
      </c>
      <c r="E56" s="28">
        <v>1470.3499260000001</v>
      </c>
      <c r="F56" s="29">
        <v>2.1042853422929699</v>
      </c>
    </row>
    <row r="57" spans="1:9" x14ac:dyDescent="0.2">
      <c r="A57" s="26" t="s">
        <v>1239</v>
      </c>
      <c r="B57" s="26" t="s">
        <v>1628</v>
      </c>
      <c r="C57" s="26" t="s">
        <v>1035</v>
      </c>
      <c r="D57" s="30">
        <v>31900</v>
      </c>
      <c r="E57" s="28">
        <v>1236.8947470000001</v>
      </c>
      <c r="F57" s="29">
        <v>1.7701769082629</v>
      </c>
    </row>
    <row r="58" spans="1:9" x14ac:dyDescent="0.2">
      <c r="A58" s="26" t="s">
        <v>1241</v>
      </c>
      <c r="B58" s="26" t="s">
        <v>1240</v>
      </c>
      <c r="C58" s="26" t="s">
        <v>1049</v>
      </c>
      <c r="D58" s="30">
        <v>3297307</v>
      </c>
      <c r="E58" s="28">
        <v>948.85099439999999</v>
      </c>
      <c r="F58" s="29">
        <v>1.3579442581860801</v>
      </c>
    </row>
    <row r="59" spans="1:9" x14ac:dyDescent="0.2">
      <c r="A59" s="26" t="s">
        <v>1242</v>
      </c>
      <c r="B59" s="26" t="s">
        <v>1629</v>
      </c>
      <c r="C59" s="26" t="s">
        <v>1243</v>
      </c>
      <c r="D59" s="30">
        <v>187038</v>
      </c>
      <c r="E59" s="28">
        <v>881.51367019999998</v>
      </c>
      <c r="F59" s="29">
        <v>1.26157471934523</v>
      </c>
    </row>
    <row r="60" spans="1:9" x14ac:dyDescent="0.2">
      <c r="A60" s="26" t="s">
        <v>1244</v>
      </c>
      <c r="B60" s="26" t="s">
        <v>1630</v>
      </c>
      <c r="C60" s="26" t="s">
        <v>1022</v>
      </c>
      <c r="D60" s="30">
        <v>633055</v>
      </c>
      <c r="E60" s="28">
        <v>840.31902009999999</v>
      </c>
      <c r="F60" s="29">
        <v>1.2026191626757099</v>
      </c>
    </row>
    <row r="61" spans="1:9" x14ac:dyDescent="0.2">
      <c r="A61" s="26" t="s">
        <v>1246</v>
      </c>
      <c r="B61" s="26" t="s">
        <v>1245</v>
      </c>
      <c r="C61" s="26" t="s">
        <v>1195</v>
      </c>
      <c r="D61" s="30">
        <v>2017335</v>
      </c>
      <c r="E61" s="28">
        <v>807.25409779999995</v>
      </c>
      <c r="F61" s="29">
        <v>1.1552984330251701</v>
      </c>
    </row>
    <row r="62" spans="1:9" x14ac:dyDescent="0.2">
      <c r="A62" s="26" t="s">
        <v>1247</v>
      </c>
      <c r="B62" s="26" t="s">
        <v>1631</v>
      </c>
      <c r="C62" s="26" t="s">
        <v>1055</v>
      </c>
      <c r="D62" s="30">
        <v>1678400</v>
      </c>
      <c r="E62" s="28">
        <v>614.70883319999996</v>
      </c>
      <c r="F62" s="29">
        <v>0.87973805732063004</v>
      </c>
    </row>
    <row r="63" spans="1:9" x14ac:dyDescent="0.2">
      <c r="A63" s="26" t="s">
        <v>1249</v>
      </c>
      <c r="B63" s="26" t="s">
        <v>1248</v>
      </c>
      <c r="C63" s="26" t="s">
        <v>1250</v>
      </c>
      <c r="D63" s="30">
        <v>500000</v>
      </c>
      <c r="E63" s="28">
        <v>595.12922400000002</v>
      </c>
      <c r="F63" s="29">
        <v>0.85171677890327402</v>
      </c>
    </row>
    <row r="64" spans="1:9" x14ac:dyDescent="0.2">
      <c r="A64" s="26" t="s">
        <v>1251</v>
      </c>
      <c r="B64" s="26" t="s">
        <v>1632</v>
      </c>
      <c r="C64" s="26" t="s">
        <v>1038</v>
      </c>
      <c r="D64" s="30">
        <v>200000</v>
      </c>
      <c r="E64" s="28">
        <v>525.24470289999999</v>
      </c>
      <c r="F64" s="29">
        <v>0.75170182953407605</v>
      </c>
    </row>
    <row r="65" spans="1:9" x14ac:dyDescent="0.2">
      <c r="A65" s="26" t="s">
        <v>1252</v>
      </c>
      <c r="B65" s="26" t="s">
        <v>1633</v>
      </c>
      <c r="C65" s="26" t="s">
        <v>1055</v>
      </c>
      <c r="D65" s="30">
        <v>5304</v>
      </c>
      <c r="E65" s="28">
        <v>381.43633399999999</v>
      </c>
      <c r="F65" s="29">
        <v>0.54589106474655902</v>
      </c>
    </row>
    <row r="66" spans="1:9" x14ac:dyDescent="0.2">
      <c r="A66" s="26" t="s">
        <v>1253</v>
      </c>
      <c r="B66" s="26" t="s">
        <v>1634</v>
      </c>
      <c r="C66" s="26" t="s">
        <v>1104</v>
      </c>
      <c r="D66" s="30">
        <v>25000</v>
      </c>
      <c r="E66" s="28">
        <v>368.74099999999999</v>
      </c>
      <c r="F66" s="29">
        <v>0.52772218890324896</v>
      </c>
    </row>
    <row r="67" spans="1:9" ht="10.5" x14ac:dyDescent="0.25">
      <c r="A67" s="25" t="s">
        <v>177</v>
      </c>
      <c r="B67" s="25"/>
      <c r="C67" s="25"/>
      <c r="D67" s="31"/>
      <c r="E67" s="32">
        <f>SUM(E53:E66)</f>
        <v>13125.425228599999</v>
      </c>
      <c r="F67" s="33">
        <f>SUM(F53:F66)</f>
        <v>18.78439916343104</v>
      </c>
      <c r="G67" s="17"/>
      <c r="H67" s="17"/>
      <c r="I67" s="17"/>
    </row>
    <row r="68" spans="1:9" x14ac:dyDescent="0.2">
      <c r="A68" s="26"/>
      <c r="B68" s="26"/>
      <c r="C68" s="26"/>
      <c r="D68" s="27"/>
      <c r="E68" s="28"/>
      <c r="F68" s="29"/>
    </row>
    <row r="69" spans="1:9" ht="10.5" x14ac:dyDescent="0.25">
      <c r="A69" s="25" t="s">
        <v>226</v>
      </c>
      <c r="B69" s="25"/>
      <c r="C69" s="25"/>
      <c r="D69" s="31"/>
      <c r="E69" s="32">
        <f>E47+E51+E67</f>
        <v>68037.071965600015</v>
      </c>
      <c r="F69" s="33">
        <f>F47+F51+F67</f>
        <v>97.370980021897054</v>
      </c>
      <c r="G69" s="17"/>
      <c r="H69" s="17"/>
      <c r="I69" s="17"/>
    </row>
    <row r="70" spans="1:9" ht="10.5" x14ac:dyDescent="0.25">
      <c r="A70" s="25"/>
      <c r="B70" s="25"/>
      <c r="C70" s="25"/>
      <c r="D70" s="31"/>
      <c r="E70" s="32"/>
      <c r="F70" s="33"/>
      <c r="G70" s="17"/>
      <c r="H70" s="17"/>
      <c r="I70" s="17"/>
    </row>
    <row r="71" spans="1:9" ht="10.5" x14ac:dyDescent="0.25">
      <c r="A71" s="25" t="s">
        <v>228</v>
      </c>
      <c r="B71" s="25"/>
      <c r="C71" s="25"/>
      <c r="D71" s="31"/>
      <c r="E71" s="32">
        <f>E73-(E47+E51+E67)</f>
        <v>1837.0034008999792</v>
      </c>
      <c r="F71" s="33">
        <f>F73-(F47+F51+F67)</f>
        <v>2.6290199781029457</v>
      </c>
      <c r="G71" s="17"/>
      <c r="H71" s="17"/>
      <c r="I71" s="17"/>
    </row>
    <row r="72" spans="1:9" ht="10.5" x14ac:dyDescent="0.25">
      <c r="A72" s="25"/>
      <c r="B72" s="25"/>
      <c r="C72" s="25"/>
      <c r="D72" s="31"/>
      <c r="E72" s="32"/>
      <c r="F72" s="33"/>
      <c r="G72" s="17"/>
      <c r="H72" s="17"/>
      <c r="I72" s="17"/>
    </row>
    <row r="73" spans="1:9" ht="10.5" x14ac:dyDescent="0.25">
      <c r="A73" s="34" t="s">
        <v>227</v>
      </c>
      <c r="B73" s="34"/>
      <c r="C73" s="34"/>
      <c r="D73" s="35"/>
      <c r="E73" s="36">
        <v>69874.075366499994</v>
      </c>
      <c r="F73" s="37">
        <v>100</v>
      </c>
      <c r="G73" s="17"/>
      <c r="H73" s="17"/>
      <c r="I73" s="17"/>
    </row>
    <row r="75" spans="1:9" ht="10.5" x14ac:dyDescent="0.25">
      <c r="A75" s="17" t="s">
        <v>232</v>
      </c>
    </row>
    <row r="76" spans="1:9" ht="10.5" x14ac:dyDescent="0.25">
      <c r="A76" s="17" t="s">
        <v>233</v>
      </c>
    </row>
    <row r="77" spans="1:9" ht="10.5" x14ac:dyDescent="0.25">
      <c r="A77" s="17" t="s">
        <v>234</v>
      </c>
      <c r="B77" s="17"/>
      <c r="C77" s="38" t="s">
        <v>236</v>
      </c>
      <c r="D77" s="18" t="s">
        <v>235</v>
      </c>
    </row>
    <row r="78" spans="1:9" x14ac:dyDescent="0.2">
      <c r="A78" s="10" t="s">
        <v>543</v>
      </c>
      <c r="C78" s="39">
        <v>46.197899999999997</v>
      </c>
      <c r="D78" s="39">
        <v>37.416899999999998</v>
      </c>
    </row>
    <row r="79" spans="1:9" x14ac:dyDescent="0.2">
      <c r="A79" s="10" t="s">
        <v>580</v>
      </c>
      <c r="C79" s="39">
        <v>14.127700000000001</v>
      </c>
      <c r="D79" s="39">
        <v>11.442399999999999</v>
      </c>
    </row>
    <row r="80" spans="1:9" x14ac:dyDescent="0.2">
      <c r="A80" s="10" t="s">
        <v>546</v>
      </c>
      <c r="C80" s="39">
        <v>48.182299999999998</v>
      </c>
      <c r="D80" s="39">
        <v>39.230800000000002</v>
      </c>
    </row>
    <row r="81" spans="1:4" x14ac:dyDescent="0.2">
      <c r="A81" s="10" t="s">
        <v>581</v>
      </c>
      <c r="C81" s="39">
        <v>14.935700000000001</v>
      </c>
      <c r="D81" s="39">
        <v>12.1593</v>
      </c>
    </row>
    <row r="83" spans="1:4" ht="10.5" x14ac:dyDescent="0.25">
      <c r="A83" s="17" t="s">
        <v>248</v>
      </c>
      <c r="D83" s="46" t="s">
        <v>256</v>
      </c>
    </row>
    <row r="85" spans="1:4" ht="10.5" x14ac:dyDescent="0.25">
      <c r="A85" s="17" t="s">
        <v>1151</v>
      </c>
      <c r="D85" s="47">
        <v>0.10249999999999999</v>
      </c>
    </row>
  </sheetData>
  <mergeCells count="1">
    <mergeCell ref="A1:F1"/>
  </mergeCells>
  <conditionalFormatting sqref="F2:F3 F5:F65535">
    <cfRule type="cellIs" dxfId="24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62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32.7265625" style="10" bestFit="1" customWidth="1"/>
    <col min="3" max="3" width="26.8164062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4.453125" style="10" bestFit="1" customWidth="1"/>
    <col min="8" max="8" width="9.1796875" style="10"/>
    <col min="9" max="9" width="27.26953125" style="10" bestFit="1" customWidth="1"/>
    <col min="10" max="16384" width="9.1796875" style="10"/>
  </cols>
  <sheetData>
    <row r="1" spans="1:6" s="1" customFormat="1" ht="14" x14ac:dyDescent="0.25">
      <c r="A1" s="80" t="s">
        <v>43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1021</v>
      </c>
      <c r="B7" s="26" t="s">
        <v>1020</v>
      </c>
      <c r="C7" s="26" t="s">
        <v>1022</v>
      </c>
      <c r="D7" s="30">
        <v>945647</v>
      </c>
      <c r="E7" s="28">
        <v>6766.1042850000003</v>
      </c>
      <c r="F7" s="29">
        <v>28.296394321395599</v>
      </c>
    </row>
    <row r="8" spans="1:6" x14ac:dyDescent="0.2">
      <c r="A8" s="26" t="s">
        <v>1255</v>
      </c>
      <c r="B8" s="26" t="s">
        <v>1254</v>
      </c>
      <c r="C8" s="26" t="s">
        <v>1022</v>
      </c>
      <c r="D8" s="30">
        <v>105766</v>
      </c>
      <c r="E8" s="28">
        <v>2130.6031870000002</v>
      </c>
      <c r="F8" s="29">
        <v>8.9103545234189596</v>
      </c>
    </row>
    <row r="9" spans="1:6" x14ac:dyDescent="0.2">
      <c r="A9" s="26" t="s">
        <v>1165</v>
      </c>
      <c r="B9" s="26" t="s">
        <v>1164</v>
      </c>
      <c r="C9" s="26" t="s">
        <v>1022</v>
      </c>
      <c r="D9" s="30">
        <v>370716</v>
      </c>
      <c r="E9" s="28">
        <v>2015.026818</v>
      </c>
      <c r="F9" s="29">
        <v>8.4270048182260595</v>
      </c>
    </row>
    <row r="10" spans="1:6" x14ac:dyDescent="0.2">
      <c r="A10" s="26" t="s">
        <v>1016</v>
      </c>
      <c r="B10" s="26" t="s">
        <v>1015</v>
      </c>
      <c r="C10" s="26" t="s">
        <v>1017</v>
      </c>
      <c r="D10" s="30">
        <v>248973</v>
      </c>
      <c r="E10" s="28">
        <v>1280.4681390000001</v>
      </c>
      <c r="F10" s="29">
        <v>5.3550211245565498</v>
      </c>
    </row>
    <row r="11" spans="1:6" x14ac:dyDescent="0.2">
      <c r="A11" s="26" t="s">
        <v>1257</v>
      </c>
      <c r="B11" s="26" t="s">
        <v>1256</v>
      </c>
      <c r="C11" s="26" t="s">
        <v>1022</v>
      </c>
      <c r="D11" s="30">
        <v>46300</v>
      </c>
      <c r="E11" s="28">
        <v>1179.5388</v>
      </c>
      <c r="F11" s="29">
        <v>4.9329264812219398</v>
      </c>
    </row>
    <row r="12" spans="1:6" x14ac:dyDescent="0.2">
      <c r="A12" s="26" t="s">
        <v>1125</v>
      </c>
      <c r="B12" s="26" t="s">
        <v>1124</v>
      </c>
      <c r="C12" s="26" t="s">
        <v>1022</v>
      </c>
      <c r="D12" s="30">
        <v>193656</v>
      </c>
      <c r="E12" s="28">
        <v>1057.8459</v>
      </c>
      <c r="F12" s="29">
        <v>4.4239969496230698</v>
      </c>
    </row>
    <row r="13" spans="1:6" x14ac:dyDescent="0.2">
      <c r="A13" s="26" t="s">
        <v>1204</v>
      </c>
      <c r="B13" s="26" t="s">
        <v>1203</v>
      </c>
      <c r="C13" s="26" t="s">
        <v>1022</v>
      </c>
      <c r="D13" s="30">
        <v>210143</v>
      </c>
      <c r="E13" s="28">
        <v>479.86154049999999</v>
      </c>
      <c r="F13" s="29">
        <v>2.00681969974401</v>
      </c>
    </row>
    <row r="14" spans="1:6" x14ac:dyDescent="0.2">
      <c r="A14" s="26" t="s">
        <v>1259</v>
      </c>
      <c r="B14" s="26" t="s">
        <v>1258</v>
      </c>
      <c r="C14" s="26" t="s">
        <v>1022</v>
      </c>
      <c r="D14" s="30">
        <v>30056</v>
      </c>
      <c r="E14" s="28">
        <v>478.77705200000003</v>
      </c>
      <c r="F14" s="29">
        <v>2.00228428129043</v>
      </c>
    </row>
    <row r="15" spans="1:6" x14ac:dyDescent="0.2">
      <c r="A15" s="26" t="s">
        <v>1261</v>
      </c>
      <c r="B15" s="26" t="s">
        <v>1260</v>
      </c>
      <c r="C15" s="26" t="s">
        <v>1022</v>
      </c>
      <c r="D15" s="30">
        <v>152370</v>
      </c>
      <c r="E15" s="28">
        <v>426.17889000000002</v>
      </c>
      <c r="F15" s="29">
        <v>1.7823145217595</v>
      </c>
    </row>
    <row r="16" spans="1:6" x14ac:dyDescent="0.2">
      <c r="A16" s="26" t="s">
        <v>1209</v>
      </c>
      <c r="B16" s="26" t="s">
        <v>1208</v>
      </c>
      <c r="C16" s="26" t="s">
        <v>1022</v>
      </c>
      <c r="D16" s="30">
        <v>72108</v>
      </c>
      <c r="E16" s="28">
        <v>335.33825400000001</v>
      </c>
      <c r="F16" s="29">
        <v>1.4024116487930101</v>
      </c>
    </row>
    <row r="17" spans="1:9" x14ac:dyDescent="0.2">
      <c r="A17" s="26" t="s">
        <v>1263</v>
      </c>
      <c r="B17" s="26" t="s">
        <v>1262</v>
      </c>
      <c r="C17" s="26" t="s">
        <v>1017</v>
      </c>
      <c r="D17" s="30">
        <v>4779197</v>
      </c>
      <c r="E17" s="28">
        <v>200.72627399999999</v>
      </c>
      <c r="F17" s="29">
        <v>0.83945348172659695</v>
      </c>
    </row>
    <row r="18" spans="1:9" ht="10.5" x14ac:dyDescent="0.25">
      <c r="A18" s="25" t="s">
        <v>177</v>
      </c>
      <c r="B18" s="25"/>
      <c r="C18" s="25"/>
      <c r="D18" s="31"/>
      <c r="E18" s="32">
        <f>SUM(E7:E17)</f>
        <v>16350.469139500001</v>
      </c>
      <c r="F18" s="33">
        <f>SUM(F7:F17)</f>
        <v>68.378981851755711</v>
      </c>
      <c r="G18" s="17"/>
      <c r="H18" s="17"/>
      <c r="I18" s="17"/>
    </row>
    <row r="19" spans="1:9" x14ac:dyDescent="0.2">
      <c r="A19" s="26"/>
      <c r="B19" s="26"/>
      <c r="C19" s="26"/>
      <c r="D19" s="27"/>
      <c r="E19" s="28"/>
      <c r="F19" s="29"/>
    </row>
    <row r="20" spans="1:9" ht="10.5" x14ac:dyDescent="0.25">
      <c r="A20" s="25" t="s">
        <v>1158</v>
      </c>
      <c r="B20" s="26"/>
      <c r="C20" s="26"/>
      <c r="D20" s="27"/>
      <c r="E20" s="28"/>
      <c r="F20" s="29"/>
    </row>
    <row r="21" spans="1:9" x14ac:dyDescent="0.2">
      <c r="A21" s="26"/>
      <c r="B21" s="26" t="s">
        <v>1264</v>
      </c>
      <c r="C21" s="26" t="s">
        <v>1022</v>
      </c>
      <c r="D21" s="30">
        <v>970000</v>
      </c>
      <c r="E21" s="28">
        <v>9.7000000000000003E-2</v>
      </c>
      <c r="F21" s="29">
        <v>4.05661830436208E-4</v>
      </c>
    </row>
    <row r="22" spans="1:9" ht="10.5" x14ac:dyDescent="0.25">
      <c r="A22" s="25" t="s">
        <v>177</v>
      </c>
      <c r="B22" s="25"/>
      <c r="C22" s="25"/>
      <c r="D22" s="31"/>
      <c r="E22" s="32">
        <f>SUM(E20:E21)</f>
        <v>9.7000000000000003E-2</v>
      </c>
      <c r="F22" s="33">
        <f>SUM(F20:F21)</f>
        <v>4.05661830436208E-4</v>
      </c>
      <c r="G22" s="17"/>
      <c r="H22" s="17"/>
      <c r="I22" s="17"/>
    </row>
    <row r="23" spans="1:9" x14ac:dyDescent="0.2">
      <c r="A23" s="26"/>
      <c r="B23" s="26"/>
      <c r="C23" s="26"/>
      <c r="D23" s="27"/>
      <c r="E23" s="28"/>
      <c r="F23" s="29"/>
    </row>
    <row r="24" spans="1:9" ht="10.5" x14ac:dyDescent="0.25">
      <c r="A24" s="25" t="s">
        <v>1234</v>
      </c>
      <c r="B24" s="26"/>
      <c r="C24" s="26"/>
      <c r="D24" s="27"/>
      <c r="E24" s="28"/>
      <c r="F24" s="29"/>
    </row>
    <row r="25" spans="1:9" x14ac:dyDescent="0.2">
      <c r="A25" s="26" t="s">
        <v>1265</v>
      </c>
      <c r="B25" s="26" t="s">
        <v>1618</v>
      </c>
      <c r="C25" s="26" t="s">
        <v>1022</v>
      </c>
      <c r="D25" s="30">
        <v>22500</v>
      </c>
      <c r="E25" s="28">
        <v>980.39295000000004</v>
      </c>
      <c r="F25" s="29">
        <v>4.1000824602448898</v>
      </c>
    </row>
    <row r="26" spans="1:9" x14ac:dyDescent="0.2">
      <c r="A26" s="26" t="s">
        <v>1266</v>
      </c>
      <c r="B26" s="26" t="s">
        <v>1619</v>
      </c>
      <c r="C26" s="26" t="s">
        <v>1250</v>
      </c>
      <c r="D26" s="30">
        <v>88000</v>
      </c>
      <c r="E26" s="28">
        <v>677.15850049999995</v>
      </c>
      <c r="F26" s="29">
        <v>2.8319315134873002</v>
      </c>
    </row>
    <row r="27" spans="1:9" x14ac:dyDescent="0.2">
      <c r="A27" s="26" t="s">
        <v>1267</v>
      </c>
      <c r="B27" s="26" t="s">
        <v>1620</v>
      </c>
      <c r="C27" s="26" t="s">
        <v>1250</v>
      </c>
      <c r="D27" s="30">
        <v>17000</v>
      </c>
      <c r="E27" s="28">
        <v>528.78561960000002</v>
      </c>
      <c r="F27" s="29">
        <v>2.21142414799258</v>
      </c>
    </row>
    <row r="28" spans="1:9" x14ac:dyDescent="0.2">
      <c r="A28" s="26" t="s">
        <v>1268</v>
      </c>
      <c r="B28" s="26" t="s">
        <v>1621</v>
      </c>
      <c r="C28" s="26" t="s">
        <v>1022</v>
      </c>
      <c r="D28" s="30">
        <v>22500</v>
      </c>
      <c r="E28" s="28">
        <v>484.62029999999999</v>
      </c>
      <c r="F28" s="29">
        <v>2.02672121612932</v>
      </c>
    </row>
    <row r="29" spans="1:9" x14ac:dyDescent="0.2">
      <c r="A29" s="26" t="s">
        <v>1270</v>
      </c>
      <c r="B29" s="26" t="s">
        <v>1269</v>
      </c>
      <c r="C29" s="26" t="s">
        <v>1250</v>
      </c>
      <c r="D29" s="30">
        <v>2000</v>
      </c>
      <c r="E29" s="28">
        <v>439.00456000000003</v>
      </c>
      <c r="F29" s="29">
        <v>1.8359525090664099</v>
      </c>
    </row>
    <row r="30" spans="1:9" x14ac:dyDescent="0.2">
      <c r="A30" s="26" t="s">
        <v>1271</v>
      </c>
      <c r="B30" s="26" t="s">
        <v>1622</v>
      </c>
      <c r="C30" s="26" t="s">
        <v>1272</v>
      </c>
      <c r="D30" s="30">
        <v>6000</v>
      </c>
      <c r="E30" s="28">
        <v>354.48701999999997</v>
      </c>
      <c r="F30" s="29">
        <v>1.4824933340111</v>
      </c>
    </row>
    <row r="31" spans="1:9" x14ac:dyDescent="0.2">
      <c r="A31" s="26" t="s">
        <v>1273</v>
      </c>
      <c r="B31" s="26" t="s">
        <v>1623</v>
      </c>
      <c r="C31" s="26" t="s">
        <v>1022</v>
      </c>
      <c r="D31" s="30">
        <v>267</v>
      </c>
      <c r="E31" s="28">
        <v>270.03624389999999</v>
      </c>
      <c r="F31" s="29">
        <v>1.1293133709751799</v>
      </c>
    </row>
    <row r="32" spans="1:9" x14ac:dyDescent="0.2">
      <c r="A32" s="26" t="s">
        <v>1274</v>
      </c>
      <c r="B32" s="26" t="s">
        <v>1624</v>
      </c>
      <c r="C32" s="26" t="s">
        <v>1250</v>
      </c>
      <c r="D32" s="30">
        <v>23000</v>
      </c>
      <c r="E32" s="28">
        <v>245.35637030000001</v>
      </c>
      <c r="F32" s="29">
        <v>1.02610014726889</v>
      </c>
    </row>
    <row r="33" spans="1:9" x14ac:dyDescent="0.2">
      <c r="A33" s="26" t="s">
        <v>1276</v>
      </c>
      <c r="B33" s="26" t="s">
        <v>1275</v>
      </c>
      <c r="C33" s="26" t="s">
        <v>1022</v>
      </c>
      <c r="D33" s="30">
        <v>1100</v>
      </c>
      <c r="E33" s="28">
        <v>148.04538099999999</v>
      </c>
      <c r="F33" s="29">
        <v>0.619137734475112</v>
      </c>
    </row>
    <row r="34" spans="1:9" x14ac:dyDescent="0.2">
      <c r="A34" s="26" t="s">
        <v>1277</v>
      </c>
      <c r="B34" s="26" t="s">
        <v>1625</v>
      </c>
      <c r="C34" s="26" t="s">
        <v>1250</v>
      </c>
      <c r="D34" s="30">
        <v>640</v>
      </c>
      <c r="E34" s="28">
        <v>141.21203199999999</v>
      </c>
      <c r="F34" s="29">
        <v>0.59056011732717895</v>
      </c>
    </row>
    <row r="35" spans="1:9" x14ac:dyDescent="0.2">
      <c r="A35" s="26" t="s">
        <v>1279</v>
      </c>
      <c r="B35" s="26" t="s">
        <v>1278</v>
      </c>
      <c r="C35" s="26" t="s">
        <v>1022</v>
      </c>
      <c r="D35" s="30">
        <v>7500</v>
      </c>
      <c r="E35" s="28">
        <v>83.1357</v>
      </c>
      <c r="F35" s="29">
        <v>0.34768020862469601</v>
      </c>
    </row>
    <row r="36" spans="1:9" ht="10.5" x14ac:dyDescent="0.25">
      <c r="A36" s="25" t="s">
        <v>177</v>
      </c>
      <c r="B36" s="25"/>
      <c r="C36" s="25"/>
      <c r="D36" s="31"/>
      <c r="E36" s="32">
        <f>SUM(E24:E35)</f>
        <v>4352.2346773000008</v>
      </c>
      <c r="F36" s="33">
        <f>SUM(F24:F35)</f>
        <v>18.201396759602652</v>
      </c>
      <c r="G36" s="17"/>
      <c r="H36" s="17"/>
      <c r="I36" s="17"/>
    </row>
    <row r="37" spans="1:9" x14ac:dyDescent="0.2">
      <c r="A37" s="26"/>
      <c r="B37" s="26"/>
      <c r="C37" s="26"/>
      <c r="D37" s="27"/>
      <c r="E37" s="28"/>
      <c r="F37" s="29"/>
    </row>
    <row r="38" spans="1:9" ht="10.5" x14ac:dyDescent="0.25">
      <c r="A38" s="25" t="s">
        <v>1280</v>
      </c>
      <c r="B38" s="26"/>
      <c r="C38" s="26"/>
      <c r="D38" s="27"/>
      <c r="E38" s="28"/>
      <c r="F38" s="29"/>
    </row>
    <row r="39" spans="1:9" x14ac:dyDescent="0.2">
      <c r="A39" s="26" t="s">
        <v>1281</v>
      </c>
      <c r="B39" s="26" t="s">
        <v>43</v>
      </c>
      <c r="C39" s="26" t="s">
        <v>1282</v>
      </c>
      <c r="D39" s="30">
        <v>91868.481</v>
      </c>
      <c r="E39" s="28">
        <v>2416.8328200000001</v>
      </c>
      <c r="F39" s="29">
        <v>10.107389954840199</v>
      </c>
    </row>
    <row r="40" spans="1:9" ht="10.5" x14ac:dyDescent="0.25">
      <c r="A40" s="25" t="s">
        <v>177</v>
      </c>
      <c r="B40" s="25"/>
      <c r="C40" s="25"/>
      <c r="D40" s="31"/>
      <c r="E40" s="32">
        <f>SUM(E39:E39)</f>
        <v>2416.8328200000001</v>
      </c>
      <c r="F40" s="33">
        <f>SUM(F39:F39)</f>
        <v>10.107389954840199</v>
      </c>
      <c r="G40" s="17"/>
      <c r="H40" s="17"/>
      <c r="I40" s="17"/>
    </row>
    <row r="41" spans="1:9" x14ac:dyDescent="0.2">
      <c r="A41" s="26"/>
      <c r="B41" s="26"/>
      <c r="C41" s="26"/>
      <c r="D41" s="27"/>
      <c r="E41" s="28"/>
      <c r="F41" s="29"/>
    </row>
    <row r="42" spans="1:9" ht="10.5" x14ac:dyDescent="0.25">
      <c r="A42" s="25" t="s">
        <v>226</v>
      </c>
      <c r="B42" s="25"/>
      <c r="C42" s="25"/>
      <c r="D42" s="31"/>
      <c r="E42" s="32">
        <f>E18+E22+E36+E40</f>
        <v>23119.633636800001</v>
      </c>
      <c r="F42" s="33">
        <f>F18+F22+F36+F40</f>
        <v>96.688174228029013</v>
      </c>
      <c r="G42" s="17"/>
      <c r="H42" s="17"/>
      <c r="I42" s="17"/>
    </row>
    <row r="43" spans="1:9" ht="10.5" x14ac:dyDescent="0.25">
      <c r="A43" s="25"/>
      <c r="B43" s="25"/>
      <c r="C43" s="25"/>
      <c r="D43" s="31"/>
      <c r="E43" s="32"/>
      <c r="F43" s="33"/>
      <c r="G43" s="17"/>
      <c r="H43" s="17"/>
      <c r="I43" s="17"/>
    </row>
    <row r="44" spans="1:9" ht="10.5" x14ac:dyDescent="0.25">
      <c r="A44" s="25" t="s">
        <v>228</v>
      </c>
      <c r="B44" s="25"/>
      <c r="C44" s="25"/>
      <c r="D44" s="31"/>
      <c r="E44" s="32">
        <f>E46-(E18+E22+E36+E40)</f>
        <v>791.90861889999724</v>
      </c>
      <c r="F44" s="33">
        <f>F46-(F18+F22+F36+F40)</f>
        <v>3.3118257719709874</v>
      </c>
      <c r="G44" s="17"/>
      <c r="H44" s="17"/>
      <c r="I44" s="17"/>
    </row>
    <row r="45" spans="1:9" ht="10.5" x14ac:dyDescent="0.25">
      <c r="A45" s="25"/>
      <c r="B45" s="25"/>
      <c r="C45" s="25"/>
      <c r="D45" s="31"/>
      <c r="E45" s="32"/>
      <c r="F45" s="33"/>
      <c r="G45" s="17"/>
      <c r="H45" s="17"/>
      <c r="I45" s="17"/>
    </row>
    <row r="46" spans="1:9" ht="10.5" x14ac:dyDescent="0.25">
      <c r="A46" s="34" t="s">
        <v>227</v>
      </c>
      <c r="B46" s="34"/>
      <c r="C46" s="34"/>
      <c r="D46" s="35"/>
      <c r="E46" s="36">
        <v>23911.542255699998</v>
      </c>
      <c r="F46" s="37">
        <v>100</v>
      </c>
      <c r="G46" s="17"/>
      <c r="H46" s="17"/>
      <c r="I46" s="17"/>
    </row>
    <row r="47" spans="1:9" ht="10.5" x14ac:dyDescent="0.25">
      <c r="F47" s="19" t="s">
        <v>446</v>
      </c>
    </row>
    <row r="48" spans="1:9" ht="10.5" x14ac:dyDescent="0.25">
      <c r="A48" s="17" t="s">
        <v>232</v>
      </c>
    </row>
    <row r="49" spans="1:4" ht="10.5" x14ac:dyDescent="0.25">
      <c r="A49" s="17" t="s">
        <v>233</v>
      </c>
    </row>
    <row r="50" spans="1:4" ht="10.5" x14ac:dyDescent="0.25">
      <c r="A50" s="17" t="s">
        <v>234</v>
      </c>
      <c r="B50" s="17"/>
      <c r="C50" s="38" t="s">
        <v>236</v>
      </c>
      <c r="D50" s="18" t="s">
        <v>235</v>
      </c>
    </row>
    <row r="51" spans="1:4" x14ac:dyDescent="0.2">
      <c r="A51" s="10" t="s">
        <v>543</v>
      </c>
      <c r="C51" s="39">
        <v>157.3374</v>
      </c>
      <c r="D51" s="39">
        <v>159.34460000000001</v>
      </c>
    </row>
    <row r="52" spans="1:4" x14ac:dyDescent="0.2">
      <c r="A52" s="10" t="s">
        <v>580</v>
      </c>
      <c r="C52" s="39">
        <v>24.9224</v>
      </c>
      <c r="D52" s="39">
        <v>23.2515</v>
      </c>
    </row>
    <row r="53" spans="1:4" x14ac:dyDescent="0.2">
      <c r="A53" s="10" t="s">
        <v>546</v>
      </c>
      <c r="C53" s="39">
        <v>163.6634</v>
      </c>
      <c r="D53" s="39">
        <v>166.542</v>
      </c>
    </row>
    <row r="54" spans="1:4" x14ac:dyDescent="0.2">
      <c r="A54" s="10" t="s">
        <v>581</v>
      </c>
      <c r="C54" s="39">
        <v>26.0472</v>
      </c>
      <c r="D54" s="39">
        <v>24.505600000000001</v>
      </c>
    </row>
    <row r="56" spans="1:4" ht="10.5" x14ac:dyDescent="0.25">
      <c r="A56" s="17" t="s">
        <v>248</v>
      </c>
    </row>
    <row r="57" spans="1:4" ht="10.5" x14ac:dyDescent="0.25">
      <c r="A57" s="84" t="s">
        <v>249</v>
      </c>
      <c r="B57" s="85"/>
      <c r="C57" s="82" t="s">
        <v>250</v>
      </c>
      <c r="D57" s="83"/>
    </row>
    <row r="58" spans="1:4" ht="10.5" x14ac:dyDescent="0.25">
      <c r="A58" s="84"/>
      <c r="B58" s="85"/>
      <c r="C58" s="40" t="s">
        <v>251</v>
      </c>
      <c r="D58" s="41" t="s">
        <v>252</v>
      </c>
    </row>
    <row r="59" spans="1:4" x14ac:dyDescent="0.2">
      <c r="A59" s="78" t="s">
        <v>580</v>
      </c>
      <c r="B59" s="79"/>
      <c r="C59" s="42">
        <v>1.77081694</v>
      </c>
      <c r="D59" s="42">
        <v>1.77081694</v>
      </c>
    </row>
    <row r="60" spans="1:4" x14ac:dyDescent="0.2">
      <c r="A60" s="78" t="s">
        <v>581</v>
      </c>
      <c r="B60" s="79"/>
      <c r="C60" s="42">
        <v>1.77081694</v>
      </c>
      <c r="D60" s="42">
        <v>1.77081694</v>
      </c>
    </row>
    <row r="62" spans="1:4" ht="10.5" x14ac:dyDescent="0.25">
      <c r="A62" s="17" t="s">
        <v>1151</v>
      </c>
      <c r="D62" s="47">
        <v>0.14430000000000001</v>
      </c>
    </row>
  </sheetData>
  <mergeCells count="6">
    <mergeCell ref="A60:B60"/>
    <mergeCell ref="A1:F1"/>
    <mergeCell ref="C57:D57"/>
    <mergeCell ref="A57:B57"/>
    <mergeCell ref="A58:B58"/>
    <mergeCell ref="A59:B59"/>
  </mergeCells>
  <conditionalFormatting sqref="F2:F3 F5:F46 F48:F65535">
    <cfRule type="cellIs" dxfId="23" priority="2" stopIfTrue="1" operator="between">
      <formula>0.009</formula>
      <formula>-0.009</formula>
    </cfRule>
  </conditionalFormatting>
  <conditionalFormatting sqref="F47">
    <cfRule type="cellIs" dxfId="22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00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32.26953125" style="10" bestFit="1" customWidth="1"/>
    <col min="3" max="3" width="35.726562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5.81640625" style="10" bestFit="1" customWidth="1"/>
    <col min="8" max="16384" width="9.1796875" style="10"/>
  </cols>
  <sheetData>
    <row r="1" spans="1:6" s="1" customFormat="1" ht="14" x14ac:dyDescent="0.25">
      <c r="A1" s="80" t="s">
        <v>44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1284</v>
      </c>
      <c r="B7" s="26" t="s">
        <v>1283</v>
      </c>
      <c r="C7" s="26" t="s">
        <v>1182</v>
      </c>
      <c r="D7" s="30">
        <v>5360489</v>
      </c>
      <c r="E7" s="28">
        <v>27132.11507</v>
      </c>
      <c r="F7" s="29">
        <v>5.53674552367168</v>
      </c>
    </row>
    <row r="8" spans="1:6" x14ac:dyDescent="0.2">
      <c r="A8" s="26" t="s">
        <v>1021</v>
      </c>
      <c r="B8" s="26" t="s">
        <v>1020</v>
      </c>
      <c r="C8" s="26" t="s">
        <v>1022</v>
      </c>
      <c r="D8" s="30">
        <v>2703918</v>
      </c>
      <c r="E8" s="28">
        <v>19346.533289999999</v>
      </c>
      <c r="F8" s="29">
        <v>3.94797203666631</v>
      </c>
    </row>
    <row r="9" spans="1:6" x14ac:dyDescent="0.2">
      <c r="A9" s="26" t="s">
        <v>1013</v>
      </c>
      <c r="B9" s="26" t="s">
        <v>1012</v>
      </c>
      <c r="C9" s="26" t="s">
        <v>1014</v>
      </c>
      <c r="D9" s="30">
        <v>1649964</v>
      </c>
      <c r="E9" s="28">
        <v>16529.339349999998</v>
      </c>
      <c r="F9" s="29">
        <v>3.3730781923652899</v>
      </c>
    </row>
    <row r="10" spans="1:6" x14ac:dyDescent="0.2">
      <c r="A10" s="26" t="s">
        <v>1042</v>
      </c>
      <c r="B10" s="26" t="s">
        <v>1041</v>
      </c>
      <c r="C10" s="26" t="s">
        <v>1043</v>
      </c>
      <c r="D10" s="30">
        <v>6289744</v>
      </c>
      <c r="E10" s="28">
        <v>13856.30603</v>
      </c>
      <c r="F10" s="29">
        <v>2.8276026468373501</v>
      </c>
    </row>
    <row r="11" spans="1:6" x14ac:dyDescent="0.2">
      <c r="A11" s="26" t="s">
        <v>1286</v>
      </c>
      <c r="B11" s="26" t="s">
        <v>1285</v>
      </c>
      <c r="C11" s="26" t="s">
        <v>1287</v>
      </c>
      <c r="D11" s="30">
        <v>2832329</v>
      </c>
      <c r="E11" s="28">
        <v>12768.13913</v>
      </c>
      <c r="F11" s="29">
        <v>2.6055446466763299</v>
      </c>
    </row>
    <row r="12" spans="1:6" x14ac:dyDescent="0.2">
      <c r="A12" s="26" t="s">
        <v>1048</v>
      </c>
      <c r="B12" s="26" t="s">
        <v>1047</v>
      </c>
      <c r="C12" s="26" t="s">
        <v>1049</v>
      </c>
      <c r="D12" s="30">
        <v>2521141</v>
      </c>
      <c r="E12" s="28">
        <v>12741.846610000001</v>
      </c>
      <c r="F12" s="29">
        <v>2.6001792340632601</v>
      </c>
    </row>
    <row r="13" spans="1:6" x14ac:dyDescent="0.2">
      <c r="A13" s="26" t="s">
        <v>1289</v>
      </c>
      <c r="B13" s="26" t="s">
        <v>1288</v>
      </c>
      <c r="C13" s="26" t="s">
        <v>1035</v>
      </c>
      <c r="D13" s="30">
        <v>10263765</v>
      </c>
      <c r="E13" s="28">
        <v>11911.09928</v>
      </c>
      <c r="F13" s="29">
        <v>2.4306518474657599</v>
      </c>
    </row>
    <row r="14" spans="1:6" x14ac:dyDescent="0.2">
      <c r="A14" s="26" t="s">
        <v>1291</v>
      </c>
      <c r="B14" s="26" t="s">
        <v>1290</v>
      </c>
      <c r="C14" s="26" t="s">
        <v>1055</v>
      </c>
      <c r="D14" s="30">
        <v>2124258</v>
      </c>
      <c r="E14" s="28">
        <v>11851.23538</v>
      </c>
      <c r="F14" s="29">
        <v>2.4184356535015401</v>
      </c>
    </row>
    <row r="15" spans="1:6" x14ac:dyDescent="0.2">
      <c r="A15" s="26" t="s">
        <v>1293</v>
      </c>
      <c r="B15" s="26" t="s">
        <v>1292</v>
      </c>
      <c r="C15" s="26" t="s">
        <v>1294</v>
      </c>
      <c r="D15" s="30">
        <v>9599486</v>
      </c>
      <c r="E15" s="28">
        <v>11476.185509999999</v>
      </c>
      <c r="F15" s="29">
        <v>2.3419006807020102</v>
      </c>
    </row>
    <row r="16" spans="1:6" x14ac:dyDescent="0.2">
      <c r="A16" s="26" t="s">
        <v>1296</v>
      </c>
      <c r="B16" s="26" t="s">
        <v>1295</v>
      </c>
      <c r="C16" s="26" t="s">
        <v>1055</v>
      </c>
      <c r="D16" s="30">
        <v>2236330</v>
      </c>
      <c r="E16" s="28">
        <v>11199.540639999999</v>
      </c>
      <c r="F16" s="29">
        <v>2.28544683470927</v>
      </c>
    </row>
    <row r="17" spans="1:6" x14ac:dyDescent="0.2">
      <c r="A17" s="26" t="s">
        <v>1206</v>
      </c>
      <c r="B17" s="26" t="s">
        <v>1205</v>
      </c>
      <c r="C17" s="26" t="s">
        <v>1207</v>
      </c>
      <c r="D17" s="30">
        <v>1655675</v>
      </c>
      <c r="E17" s="28">
        <v>10696.48834</v>
      </c>
      <c r="F17" s="29">
        <v>2.1827909023202201</v>
      </c>
    </row>
    <row r="18" spans="1:6" x14ac:dyDescent="0.2">
      <c r="A18" s="26" t="s">
        <v>1190</v>
      </c>
      <c r="B18" s="26" t="s">
        <v>1189</v>
      </c>
      <c r="C18" s="26" t="s">
        <v>1076</v>
      </c>
      <c r="D18" s="30">
        <v>4112021</v>
      </c>
      <c r="E18" s="28">
        <v>10489.76557</v>
      </c>
      <c r="F18" s="29">
        <v>2.14060578816729</v>
      </c>
    </row>
    <row r="19" spans="1:6" x14ac:dyDescent="0.2">
      <c r="A19" s="26" t="s">
        <v>1298</v>
      </c>
      <c r="B19" s="26" t="s">
        <v>1297</v>
      </c>
      <c r="C19" s="26" t="s">
        <v>1035</v>
      </c>
      <c r="D19" s="30">
        <v>5342185</v>
      </c>
      <c r="E19" s="28">
        <v>10366.50999</v>
      </c>
      <c r="F19" s="29">
        <v>2.1154534998524301</v>
      </c>
    </row>
    <row r="20" spans="1:6" x14ac:dyDescent="0.2">
      <c r="A20" s="26" t="s">
        <v>1019</v>
      </c>
      <c r="B20" s="26" t="s">
        <v>1018</v>
      </c>
      <c r="C20" s="26" t="s">
        <v>1014</v>
      </c>
      <c r="D20" s="30">
        <v>2299441</v>
      </c>
      <c r="E20" s="28">
        <v>10230.213009999999</v>
      </c>
      <c r="F20" s="29">
        <v>2.0876399036046598</v>
      </c>
    </row>
    <row r="21" spans="1:6" x14ac:dyDescent="0.2">
      <c r="A21" s="26" t="s">
        <v>1300</v>
      </c>
      <c r="B21" s="26" t="s">
        <v>1299</v>
      </c>
      <c r="C21" s="26" t="s">
        <v>1049</v>
      </c>
      <c r="D21" s="30">
        <v>1882960</v>
      </c>
      <c r="E21" s="28">
        <v>10037.118280000001</v>
      </c>
      <c r="F21" s="29">
        <v>2.0482358107348699</v>
      </c>
    </row>
    <row r="22" spans="1:6" x14ac:dyDescent="0.2">
      <c r="A22" s="26" t="s">
        <v>1302</v>
      </c>
      <c r="B22" s="26" t="s">
        <v>1301</v>
      </c>
      <c r="C22" s="26" t="s">
        <v>1182</v>
      </c>
      <c r="D22" s="30">
        <v>195642</v>
      </c>
      <c r="E22" s="28">
        <v>9493.4302289999996</v>
      </c>
      <c r="F22" s="29">
        <v>1.9372874981952199</v>
      </c>
    </row>
    <row r="23" spans="1:6" x14ac:dyDescent="0.2">
      <c r="A23" s="26" t="s">
        <v>1026</v>
      </c>
      <c r="B23" s="26" t="s">
        <v>1025</v>
      </c>
      <c r="C23" s="26" t="s">
        <v>1014</v>
      </c>
      <c r="D23" s="30">
        <v>673158</v>
      </c>
      <c r="E23" s="28">
        <v>9136.1003760000003</v>
      </c>
      <c r="F23" s="29">
        <v>1.86436858055951</v>
      </c>
    </row>
    <row r="24" spans="1:6" x14ac:dyDescent="0.2">
      <c r="A24" s="26" t="s">
        <v>1304</v>
      </c>
      <c r="B24" s="26" t="s">
        <v>1303</v>
      </c>
      <c r="C24" s="26" t="s">
        <v>1043</v>
      </c>
      <c r="D24" s="30">
        <v>1497004</v>
      </c>
      <c r="E24" s="28">
        <v>8874.9882140000009</v>
      </c>
      <c r="F24" s="29">
        <v>1.81108443406375</v>
      </c>
    </row>
    <row r="25" spans="1:6" x14ac:dyDescent="0.2">
      <c r="A25" s="26" t="s">
        <v>1306</v>
      </c>
      <c r="B25" s="26" t="s">
        <v>1305</v>
      </c>
      <c r="C25" s="26" t="s">
        <v>1090</v>
      </c>
      <c r="D25" s="30">
        <v>11177038</v>
      </c>
      <c r="E25" s="28">
        <v>8159.2377399999996</v>
      </c>
      <c r="F25" s="29">
        <v>1.66502400999577</v>
      </c>
    </row>
    <row r="26" spans="1:6" x14ac:dyDescent="0.2">
      <c r="A26" s="26" t="s">
        <v>1220</v>
      </c>
      <c r="B26" s="26" t="s">
        <v>1219</v>
      </c>
      <c r="C26" s="26" t="s">
        <v>1145</v>
      </c>
      <c r="D26" s="30">
        <v>1694246</v>
      </c>
      <c r="E26" s="28">
        <v>7793.5316000000003</v>
      </c>
      <c r="F26" s="29">
        <v>1.5903957759491301</v>
      </c>
    </row>
    <row r="27" spans="1:6" x14ac:dyDescent="0.2">
      <c r="A27" s="26" t="s">
        <v>1204</v>
      </c>
      <c r="B27" s="26" t="s">
        <v>1203</v>
      </c>
      <c r="C27" s="26" t="s">
        <v>1022</v>
      </c>
      <c r="D27" s="30">
        <v>3303552</v>
      </c>
      <c r="E27" s="28">
        <v>7543.6609920000001</v>
      </c>
      <c r="F27" s="29">
        <v>1.53940564979156</v>
      </c>
    </row>
    <row r="28" spans="1:6" x14ac:dyDescent="0.2">
      <c r="A28" s="26" t="s">
        <v>1308</v>
      </c>
      <c r="B28" s="26" t="s">
        <v>1307</v>
      </c>
      <c r="C28" s="26" t="s">
        <v>1309</v>
      </c>
      <c r="D28" s="30">
        <v>3511630</v>
      </c>
      <c r="E28" s="28">
        <v>7504.3533100000004</v>
      </c>
      <c r="F28" s="29">
        <v>1.5313842835325</v>
      </c>
    </row>
    <row r="29" spans="1:6" x14ac:dyDescent="0.2">
      <c r="A29" s="26" t="s">
        <v>1311</v>
      </c>
      <c r="B29" s="26" t="s">
        <v>1310</v>
      </c>
      <c r="C29" s="26" t="s">
        <v>1049</v>
      </c>
      <c r="D29" s="30">
        <v>155505</v>
      </c>
      <c r="E29" s="28">
        <v>7503.1940029999996</v>
      </c>
      <c r="F29" s="29">
        <v>1.5311477082479601</v>
      </c>
    </row>
    <row r="30" spans="1:6" x14ac:dyDescent="0.2">
      <c r="A30" s="26" t="s">
        <v>1313</v>
      </c>
      <c r="B30" s="26" t="s">
        <v>1312</v>
      </c>
      <c r="C30" s="26" t="s">
        <v>1294</v>
      </c>
      <c r="D30" s="30">
        <v>1880000</v>
      </c>
      <c r="E30" s="28">
        <v>7043.42</v>
      </c>
      <c r="F30" s="29">
        <v>1.4373234101258601</v>
      </c>
    </row>
    <row r="31" spans="1:6" x14ac:dyDescent="0.2">
      <c r="A31" s="26" t="s">
        <v>1209</v>
      </c>
      <c r="B31" s="26" t="s">
        <v>1208</v>
      </c>
      <c r="C31" s="26" t="s">
        <v>1022</v>
      </c>
      <c r="D31" s="30">
        <v>1410319</v>
      </c>
      <c r="E31" s="28">
        <v>6558.68851</v>
      </c>
      <c r="F31" s="29">
        <v>1.3384061343986999</v>
      </c>
    </row>
    <row r="32" spans="1:6" x14ac:dyDescent="0.2">
      <c r="A32" s="26" t="s">
        <v>1315</v>
      </c>
      <c r="B32" s="26" t="s">
        <v>1314</v>
      </c>
      <c r="C32" s="26" t="s">
        <v>1287</v>
      </c>
      <c r="D32" s="30">
        <v>408284</v>
      </c>
      <c r="E32" s="28">
        <v>6530.5025800000003</v>
      </c>
      <c r="F32" s="29">
        <v>1.3326543409481899</v>
      </c>
    </row>
    <row r="33" spans="1:6" x14ac:dyDescent="0.2">
      <c r="A33" s="26" t="s">
        <v>1214</v>
      </c>
      <c r="B33" s="26" t="s">
        <v>1213</v>
      </c>
      <c r="C33" s="26" t="s">
        <v>1076</v>
      </c>
      <c r="D33" s="30">
        <v>1616126</v>
      </c>
      <c r="E33" s="28">
        <v>6491.1700790000004</v>
      </c>
      <c r="F33" s="29">
        <v>1.3246279099720299</v>
      </c>
    </row>
    <row r="34" spans="1:6" x14ac:dyDescent="0.2">
      <c r="A34" s="26" t="s">
        <v>1317</v>
      </c>
      <c r="B34" s="26" t="s">
        <v>1316</v>
      </c>
      <c r="C34" s="26" t="s">
        <v>1014</v>
      </c>
      <c r="D34" s="30">
        <v>4308453</v>
      </c>
      <c r="E34" s="28">
        <v>6219.2519060000004</v>
      </c>
      <c r="F34" s="29">
        <v>1.2691386227093799</v>
      </c>
    </row>
    <row r="35" spans="1:6" x14ac:dyDescent="0.2">
      <c r="A35" s="26" t="s">
        <v>1192</v>
      </c>
      <c r="B35" s="26" t="s">
        <v>1191</v>
      </c>
      <c r="C35" s="26" t="s">
        <v>1104</v>
      </c>
      <c r="D35" s="30">
        <v>12072603</v>
      </c>
      <c r="E35" s="28">
        <v>6217.3905450000002</v>
      </c>
      <c r="F35" s="29">
        <v>1.26875878198711</v>
      </c>
    </row>
    <row r="36" spans="1:6" x14ac:dyDescent="0.2">
      <c r="A36" s="26" t="s">
        <v>1319</v>
      </c>
      <c r="B36" s="26" t="s">
        <v>1318</v>
      </c>
      <c r="C36" s="26" t="s">
        <v>1076</v>
      </c>
      <c r="D36" s="30">
        <v>2767883</v>
      </c>
      <c r="E36" s="28">
        <v>6123.9411380000001</v>
      </c>
      <c r="F36" s="29">
        <v>1.24968892382964</v>
      </c>
    </row>
    <row r="37" spans="1:6" x14ac:dyDescent="0.2">
      <c r="A37" s="26" t="s">
        <v>1321</v>
      </c>
      <c r="B37" s="26" t="s">
        <v>1320</v>
      </c>
      <c r="C37" s="26" t="s">
        <v>1014</v>
      </c>
      <c r="D37" s="30">
        <v>7449096</v>
      </c>
      <c r="E37" s="28">
        <v>6003.9713760000004</v>
      </c>
      <c r="F37" s="29">
        <v>1.2252071596540299</v>
      </c>
    </row>
    <row r="38" spans="1:6" x14ac:dyDescent="0.2">
      <c r="A38" s="26" t="s">
        <v>1323</v>
      </c>
      <c r="B38" s="26" t="s">
        <v>1322</v>
      </c>
      <c r="C38" s="26" t="s">
        <v>1294</v>
      </c>
      <c r="D38" s="30">
        <v>3270913</v>
      </c>
      <c r="E38" s="28">
        <v>5995.5835290000005</v>
      </c>
      <c r="F38" s="29">
        <v>1.22349548423872</v>
      </c>
    </row>
    <row r="39" spans="1:6" x14ac:dyDescent="0.2">
      <c r="A39" s="26" t="s">
        <v>1325</v>
      </c>
      <c r="B39" s="26" t="s">
        <v>1324</v>
      </c>
      <c r="C39" s="26" t="s">
        <v>1076</v>
      </c>
      <c r="D39" s="30">
        <v>172743</v>
      </c>
      <c r="E39" s="28">
        <v>5949.7871489999998</v>
      </c>
      <c r="F39" s="29">
        <v>1.21414999453727</v>
      </c>
    </row>
    <row r="40" spans="1:6" x14ac:dyDescent="0.2">
      <c r="A40" s="26" t="s">
        <v>1327</v>
      </c>
      <c r="B40" s="26" t="s">
        <v>1326</v>
      </c>
      <c r="C40" s="26" t="s">
        <v>1294</v>
      </c>
      <c r="D40" s="30">
        <v>2805627</v>
      </c>
      <c r="E40" s="28">
        <v>5904.4420220000002</v>
      </c>
      <c r="F40" s="29">
        <v>1.2048965902858899</v>
      </c>
    </row>
    <row r="41" spans="1:6" x14ac:dyDescent="0.2">
      <c r="A41" s="26" t="s">
        <v>1329</v>
      </c>
      <c r="B41" s="26" t="s">
        <v>1328</v>
      </c>
      <c r="C41" s="26" t="s">
        <v>1294</v>
      </c>
      <c r="D41" s="30">
        <v>2829248</v>
      </c>
      <c r="E41" s="28">
        <v>5675.4714880000001</v>
      </c>
      <c r="F41" s="29">
        <v>1.15817146119417</v>
      </c>
    </row>
    <row r="42" spans="1:6" x14ac:dyDescent="0.2">
      <c r="A42" s="26" t="s">
        <v>1057</v>
      </c>
      <c r="B42" s="26" t="s">
        <v>1056</v>
      </c>
      <c r="C42" s="26" t="s">
        <v>1058</v>
      </c>
      <c r="D42" s="30">
        <v>1852195</v>
      </c>
      <c r="E42" s="28">
        <v>5525.0976849999997</v>
      </c>
      <c r="F42" s="29">
        <v>1.1274852622564999</v>
      </c>
    </row>
    <row r="43" spans="1:6" x14ac:dyDescent="0.2">
      <c r="A43" s="26" t="s">
        <v>1331</v>
      </c>
      <c r="B43" s="26" t="s">
        <v>1330</v>
      </c>
      <c r="C43" s="26" t="s">
        <v>1090</v>
      </c>
      <c r="D43" s="30">
        <v>2713308</v>
      </c>
      <c r="E43" s="28">
        <v>5216.3346300000003</v>
      </c>
      <c r="F43" s="29">
        <v>1.06447718278183</v>
      </c>
    </row>
    <row r="44" spans="1:6" x14ac:dyDescent="0.2">
      <c r="A44" s="26" t="s">
        <v>1333</v>
      </c>
      <c r="B44" s="26" t="s">
        <v>1332</v>
      </c>
      <c r="C44" s="26" t="s">
        <v>1334</v>
      </c>
      <c r="D44" s="30">
        <v>2308153</v>
      </c>
      <c r="E44" s="28">
        <v>4781.3389399999996</v>
      </c>
      <c r="F44" s="29">
        <v>0.97570929892131397</v>
      </c>
    </row>
    <row r="45" spans="1:6" x14ac:dyDescent="0.2">
      <c r="A45" s="26" t="s">
        <v>1336</v>
      </c>
      <c r="B45" s="26" t="s">
        <v>1335</v>
      </c>
      <c r="C45" s="26" t="s">
        <v>1049</v>
      </c>
      <c r="D45" s="30">
        <v>2046602</v>
      </c>
      <c r="E45" s="28">
        <v>4716.3943090000002</v>
      </c>
      <c r="F45" s="29">
        <v>0.96245629988131798</v>
      </c>
    </row>
    <row r="46" spans="1:6" x14ac:dyDescent="0.2">
      <c r="A46" s="26" t="s">
        <v>1338</v>
      </c>
      <c r="B46" s="26" t="s">
        <v>1337</v>
      </c>
      <c r="C46" s="26" t="s">
        <v>1032</v>
      </c>
      <c r="D46" s="30">
        <v>2345030</v>
      </c>
      <c r="E46" s="28">
        <v>4679.5073650000004</v>
      </c>
      <c r="F46" s="29">
        <v>0.95492892424005305</v>
      </c>
    </row>
    <row r="47" spans="1:6" x14ac:dyDescent="0.2">
      <c r="A47" s="26" t="s">
        <v>1080</v>
      </c>
      <c r="B47" s="26" t="s">
        <v>1079</v>
      </c>
      <c r="C47" s="26" t="s">
        <v>1014</v>
      </c>
      <c r="D47" s="30">
        <v>15898917</v>
      </c>
      <c r="E47" s="28">
        <v>4650.433223</v>
      </c>
      <c r="F47" s="29">
        <v>0.94899587681054798</v>
      </c>
    </row>
    <row r="48" spans="1:6" x14ac:dyDescent="0.2">
      <c r="A48" s="26" t="s">
        <v>1340</v>
      </c>
      <c r="B48" s="26" t="s">
        <v>1339</v>
      </c>
      <c r="C48" s="26" t="s">
        <v>1182</v>
      </c>
      <c r="D48" s="30">
        <v>9156106</v>
      </c>
      <c r="E48" s="28">
        <v>4559.7407880000001</v>
      </c>
      <c r="F48" s="29">
        <v>0.93048862323958104</v>
      </c>
    </row>
    <row r="49" spans="1:6" x14ac:dyDescent="0.2">
      <c r="A49" s="26" t="s">
        <v>1342</v>
      </c>
      <c r="B49" s="26" t="s">
        <v>1341</v>
      </c>
      <c r="C49" s="26" t="s">
        <v>1076</v>
      </c>
      <c r="D49" s="30">
        <v>596612</v>
      </c>
      <c r="E49" s="28">
        <v>4317.0844319999997</v>
      </c>
      <c r="F49" s="29">
        <v>0.88097068151600999</v>
      </c>
    </row>
    <row r="50" spans="1:6" x14ac:dyDescent="0.2">
      <c r="A50" s="26" t="s">
        <v>1344</v>
      </c>
      <c r="B50" s="26" t="s">
        <v>1343</v>
      </c>
      <c r="C50" s="26" t="s">
        <v>1117</v>
      </c>
      <c r="D50" s="30">
        <v>2017424</v>
      </c>
      <c r="E50" s="28">
        <v>4102.4317039999996</v>
      </c>
      <c r="F50" s="29">
        <v>0.83716733158064105</v>
      </c>
    </row>
    <row r="51" spans="1:6" x14ac:dyDescent="0.2">
      <c r="A51" s="26" t="s">
        <v>1346</v>
      </c>
      <c r="B51" s="26" t="s">
        <v>1345</v>
      </c>
      <c r="C51" s="26" t="s">
        <v>1134</v>
      </c>
      <c r="D51" s="30">
        <v>23086857</v>
      </c>
      <c r="E51" s="28">
        <v>4063.2868319999998</v>
      </c>
      <c r="F51" s="29">
        <v>0.82917918932702295</v>
      </c>
    </row>
    <row r="52" spans="1:6" x14ac:dyDescent="0.2">
      <c r="A52" s="26" t="s">
        <v>1348</v>
      </c>
      <c r="B52" s="26" t="s">
        <v>1347</v>
      </c>
      <c r="C52" s="26" t="s">
        <v>1117</v>
      </c>
      <c r="D52" s="30">
        <v>6313159</v>
      </c>
      <c r="E52" s="28">
        <v>4040.4217600000002</v>
      </c>
      <c r="F52" s="29">
        <v>0.82451320273814799</v>
      </c>
    </row>
    <row r="53" spans="1:6" x14ac:dyDescent="0.2">
      <c r="A53" s="26" t="s">
        <v>1350</v>
      </c>
      <c r="B53" s="26" t="s">
        <v>1349</v>
      </c>
      <c r="C53" s="26" t="s">
        <v>1182</v>
      </c>
      <c r="D53" s="30">
        <v>3836227</v>
      </c>
      <c r="E53" s="28">
        <v>4028.0383499999998</v>
      </c>
      <c r="F53" s="29">
        <v>0.82198616827333004</v>
      </c>
    </row>
    <row r="54" spans="1:6" x14ac:dyDescent="0.2">
      <c r="A54" s="26" t="s">
        <v>1352</v>
      </c>
      <c r="B54" s="26" t="s">
        <v>1351</v>
      </c>
      <c r="C54" s="26" t="s">
        <v>1104</v>
      </c>
      <c r="D54" s="30">
        <v>1054044</v>
      </c>
      <c r="E54" s="28">
        <v>3886.7872499999999</v>
      </c>
      <c r="F54" s="29">
        <v>0.79316160396564594</v>
      </c>
    </row>
    <row r="55" spans="1:6" x14ac:dyDescent="0.2">
      <c r="A55" s="26" t="s">
        <v>1354</v>
      </c>
      <c r="B55" s="26" t="s">
        <v>1353</v>
      </c>
      <c r="C55" s="26" t="s">
        <v>1179</v>
      </c>
      <c r="D55" s="30">
        <v>156518</v>
      </c>
      <c r="E55" s="28">
        <v>3824.4390709999998</v>
      </c>
      <c r="F55" s="29">
        <v>0.78043845281813296</v>
      </c>
    </row>
    <row r="56" spans="1:6" x14ac:dyDescent="0.2">
      <c r="A56" s="26" t="s">
        <v>1356</v>
      </c>
      <c r="B56" s="26" t="s">
        <v>1355</v>
      </c>
      <c r="C56" s="26" t="s">
        <v>1104</v>
      </c>
      <c r="D56" s="30">
        <v>1324002</v>
      </c>
      <c r="E56" s="28">
        <v>3750.2356650000002</v>
      </c>
      <c r="F56" s="29">
        <v>0.76529605146270097</v>
      </c>
    </row>
    <row r="57" spans="1:6" x14ac:dyDescent="0.2">
      <c r="A57" s="26" t="s">
        <v>1358</v>
      </c>
      <c r="B57" s="26" t="s">
        <v>1357</v>
      </c>
      <c r="C57" s="26" t="s">
        <v>1038</v>
      </c>
      <c r="D57" s="30">
        <v>1000416</v>
      </c>
      <c r="E57" s="28">
        <v>3734.0527200000001</v>
      </c>
      <c r="F57" s="29">
        <v>0.76199366062227403</v>
      </c>
    </row>
    <row r="58" spans="1:6" x14ac:dyDescent="0.2">
      <c r="A58" s="26" t="s">
        <v>1360</v>
      </c>
      <c r="B58" s="26" t="s">
        <v>1359</v>
      </c>
      <c r="C58" s="26" t="s">
        <v>1104</v>
      </c>
      <c r="D58" s="30">
        <v>2815705</v>
      </c>
      <c r="E58" s="28">
        <v>3599.878843</v>
      </c>
      <c r="F58" s="29">
        <v>0.73461331777186201</v>
      </c>
    </row>
    <row r="59" spans="1:6" x14ac:dyDescent="0.2">
      <c r="A59" s="26" t="s">
        <v>1362</v>
      </c>
      <c r="B59" s="26" t="s">
        <v>1361</v>
      </c>
      <c r="C59" s="26" t="s">
        <v>1090</v>
      </c>
      <c r="D59" s="30">
        <v>1660211</v>
      </c>
      <c r="E59" s="28">
        <v>3517.1570040000001</v>
      </c>
      <c r="F59" s="29">
        <v>0.71773259282242596</v>
      </c>
    </row>
    <row r="60" spans="1:6" x14ac:dyDescent="0.2">
      <c r="A60" s="26" t="s">
        <v>1364</v>
      </c>
      <c r="B60" s="26" t="s">
        <v>1363</v>
      </c>
      <c r="C60" s="26" t="s">
        <v>1090</v>
      </c>
      <c r="D60" s="30">
        <v>24421468</v>
      </c>
      <c r="E60" s="28">
        <v>3345.7411160000001</v>
      </c>
      <c r="F60" s="29">
        <v>0.68275241718475099</v>
      </c>
    </row>
    <row r="61" spans="1:6" x14ac:dyDescent="0.2">
      <c r="A61" s="26" t="s">
        <v>1366</v>
      </c>
      <c r="B61" s="26" t="s">
        <v>1365</v>
      </c>
      <c r="C61" s="26" t="s">
        <v>1083</v>
      </c>
      <c r="D61" s="30">
        <v>988899</v>
      </c>
      <c r="E61" s="28">
        <v>2535.0425869999999</v>
      </c>
      <c r="F61" s="29">
        <v>0.51731631167261305</v>
      </c>
    </row>
    <row r="62" spans="1:6" x14ac:dyDescent="0.2">
      <c r="A62" s="26" t="s">
        <v>1368</v>
      </c>
      <c r="B62" s="26" t="s">
        <v>1367</v>
      </c>
      <c r="C62" s="26" t="s">
        <v>1076</v>
      </c>
      <c r="D62" s="30">
        <v>1349476</v>
      </c>
      <c r="E62" s="28">
        <v>2512.0495740000001</v>
      </c>
      <c r="F62" s="29">
        <v>0.51262421665993096</v>
      </c>
    </row>
    <row r="63" spans="1:6" x14ac:dyDescent="0.2">
      <c r="A63" s="26" t="s">
        <v>1370</v>
      </c>
      <c r="B63" s="26" t="s">
        <v>1369</v>
      </c>
      <c r="C63" s="26" t="s">
        <v>1076</v>
      </c>
      <c r="D63" s="30">
        <v>1196703</v>
      </c>
      <c r="E63" s="28">
        <v>2208.5153869999999</v>
      </c>
      <c r="F63" s="29">
        <v>0.450683172004264</v>
      </c>
    </row>
    <row r="64" spans="1:6" x14ac:dyDescent="0.2">
      <c r="A64" s="26" t="s">
        <v>1144</v>
      </c>
      <c r="B64" s="26" t="s">
        <v>1143</v>
      </c>
      <c r="C64" s="26" t="s">
        <v>1145</v>
      </c>
      <c r="D64" s="30">
        <v>4031266</v>
      </c>
      <c r="E64" s="28">
        <v>2193.0087039999999</v>
      </c>
      <c r="F64" s="29">
        <v>0.447518783328123</v>
      </c>
    </row>
    <row r="65" spans="1:9" x14ac:dyDescent="0.2">
      <c r="A65" s="26" t="s">
        <v>1372</v>
      </c>
      <c r="B65" s="26" t="s">
        <v>1371</v>
      </c>
      <c r="C65" s="26" t="s">
        <v>1148</v>
      </c>
      <c r="D65" s="30">
        <v>2979897</v>
      </c>
      <c r="E65" s="28">
        <v>2087.4178489999999</v>
      </c>
      <c r="F65" s="29">
        <v>0.42597126695302401</v>
      </c>
    </row>
    <row r="66" spans="1:9" x14ac:dyDescent="0.2">
      <c r="A66" s="26" t="s">
        <v>1374</v>
      </c>
      <c r="B66" s="26" t="s">
        <v>1373</v>
      </c>
      <c r="C66" s="26" t="s">
        <v>1148</v>
      </c>
      <c r="D66" s="30">
        <v>702845</v>
      </c>
      <c r="E66" s="28">
        <v>1965.15462</v>
      </c>
      <c r="F66" s="29">
        <v>0.40102148385911801</v>
      </c>
    </row>
    <row r="67" spans="1:9" x14ac:dyDescent="0.2">
      <c r="A67" s="26" t="s">
        <v>1169</v>
      </c>
      <c r="B67" s="26" t="s">
        <v>1168</v>
      </c>
      <c r="C67" s="26" t="s">
        <v>1052</v>
      </c>
      <c r="D67" s="30">
        <v>4933939</v>
      </c>
      <c r="E67" s="28">
        <v>1961.240753</v>
      </c>
      <c r="F67" s="29">
        <v>0.400222796195565</v>
      </c>
    </row>
    <row r="68" spans="1:9" x14ac:dyDescent="0.2">
      <c r="A68" s="26" t="s">
        <v>1376</v>
      </c>
      <c r="B68" s="26" t="s">
        <v>1375</v>
      </c>
      <c r="C68" s="26" t="s">
        <v>1148</v>
      </c>
      <c r="D68" s="30">
        <v>119106</v>
      </c>
      <c r="E68" s="28">
        <v>1888.8425010000001</v>
      </c>
      <c r="F68" s="29">
        <v>0.38544876561783598</v>
      </c>
    </row>
    <row r="69" spans="1:9" x14ac:dyDescent="0.2">
      <c r="A69" s="26" t="s">
        <v>1378</v>
      </c>
      <c r="B69" s="26" t="s">
        <v>1377</v>
      </c>
      <c r="C69" s="26" t="s">
        <v>1032</v>
      </c>
      <c r="D69" s="30">
        <v>8633308</v>
      </c>
      <c r="E69" s="28">
        <v>1636.0118660000001</v>
      </c>
      <c r="F69" s="29">
        <v>0.33385459822720898</v>
      </c>
    </row>
    <row r="70" spans="1:9" x14ac:dyDescent="0.2">
      <c r="A70" s="26" t="s">
        <v>1380</v>
      </c>
      <c r="B70" s="26" t="s">
        <v>1379</v>
      </c>
      <c r="C70" s="26" t="s">
        <v>1058</v>
      </c>
      <c r="D70" s="30">
        <v>8689354</v>
      </c>
      <c r="E70" s="28">
        <v>1529.3263039999999</v>
      </c>
      <c r="F70" s="29">
        <v>0.31208368923909902</v>
      </c>
    </row>
    <row r="71" spans="1:9" x14ac:dyDescent="0.2">
      <c r="A71" s="26" t="s">
        <v>1382</v>
      </c>
      <c r="B71" s="26" t="s">
        <v>1381</v>
      </c>
      <c r="C71" s="26" t="s">
        <v>1148</v>
      </c>
      <c r="D71" s="30">
        <v>120000</v>
      </c>
      <c r="E71" s="28">
        <v>1515.18</v>
      </c>
      <c r="F71" s="29">
        <v>0.30919690783092602</v>
      </c>
    </row>
    <row r="72" spans="1:9" x14ac:dyDescent="0.2">
      <c r="A72" s="26" t="s">
        <v>1384</v>
      </c>
      <c r="B72" s="26" t="s">
        <v>1383</v>
      </c>
      <c r="C72" s="26" t="s">
        <v>1090</v>
      </c>
      <c r="D72" s="30">
        <v>11046869</v>
      </c>
      <c r="E72" s="28">
        <v>1369.8117560000001</v>
      </c>
      <c r="F72" s="29">
        <v>0.27953217391045998</v>
      </c>
    </row>
    <row r="73" spans="1:9" x14ac:dyDescent="0.2">
      <c r="A73" s="26" t="s">
        <v>1089</v>
      </c>
      <c r="B73" s="26" t="s">
        <v>1088</v>
      </c>
      <c r="C73" s="26" t="s">
        <v>1090</v>
      </c>
      <c r="D73" s="30">
        <v>3257508</v>
      </c>
      <c r="E73" s="28">
        <v>1366.5246059999999</v>
      </c>
      <c r="F73" s="29">
        <v>0.27886137795514299</v>
      </c>
    </row>
    <row r="74" spans="1:9" x14ac:dyDescent="0.2">
      <c r="A74" s="26" t="s">
        <v>1386</v>
      </c>
      <c r="B74" s="26" t="s">
        <v>1385</v>
      </c>
      <c r="C74" s="26" t="s">
        <v>1093</v>
      </c>
      <c r="D74" s="30">
        <v>2652395</v>
      </c>
      <c r="E74" s="28">
        <v>1046.3698280000001</v>
      </c>
      <c r="F74" s="29">
        <v>0.213528633736703</v>
      </c>
    </row>
    <row r="75" spans="1:9" x14ac:dyDescent="0.2">
      <c r="A75" s="26" t="s">
        <v>1388</v>
      </c>
      <c r="B75" s="26" t="s">
        <v>1387</v>
      </c>
      <c r="C75" s="26" t="s">
        <v>1038</v>
      </c>
      <c r="D75" s="30">
        <v>1382646</v>
      </c>
      <c r="E75" s="28">
        <v>965.08690799999999</v>
      </c>
      <c r="F75" s="29">
        <v>0.196941543408512</v>
      </c>
    </row>
    <row r="76" spans="1:9" x14ac:dyDescent="0.2">
      <c r="A76" s="26" t="s">
        <v>1389</v>
      </c>
      <c r="B76" s="26" t="s">
        <v>1611</v>
      </c>
      <c r="C76" s="26" t="s">
        <v>1294</v>
      </c>
      <c r="D76" s="30">
        <v>2334565</v>
      </c>
      <c r="E76" s="28">
        <v>11.672825</v>
      </c>
      <c r="F76" s="29">
        <v>2.38202813900099E-3</v>
      </c>
    </row>
    <row r="77" spans="1:9" ht="10.5" x14ac:dyDescent="0.25">
      <c r="A77" s="25" t="s">
        <v>177</v>
      </c>
      <c r="B77" s="25"/>
      <c r="C77" s="25"/>
      <c r="D77" s="31"/>
      <c r="E77" s="32">
        <f>SUM(E7:E76)</f>
        <v>448484.21002099972</v>
      </c>
      <c r="F77" s="33">
        <f>SUM(F7:F76)</f>
        <v>91.520433842506236</v>
      </c>
      <c r="G77" s="17"/>
      <c r="H77" s="17"/>
      <c r="I77" s="17"/>
    </row>
    <row r="78" spans="1:9" x14ac:dyDescent="0.2">
      <c r="A78" s="26"/>
      <c r="B78" s="26"/>
      <c r="C78" s="26"/>
      <c r="D78" s="27"/>
      <c r="E78" s="28"/>
      <c r="F78" s="29"/>
    </row>
    <row r="79" spans="1:9" ht="10.5" x14ac:dyDescent="0.25">
      <c r="A79" s="25" t="s">
        <v>226</v>
      </c>
      <c r="B79" s="25"/>
      <c r="C79" s="25"/>
      <c r="D79" s="31"/>
      <c r="E79" s="32">
        <f>E77</f>
        <v>448484.21002099972</v>
      </c>
      <c r="F79" s="33">
        <f>F77</f>
        <v>91.520433842506236</v>
      </c>
      <c r="G79" s="17"/>
      <c r="H79" s="17"/>
      <c r="I79" s="17"/>
    </row>
    <row r="80" spans="1:9" ht="10.5" x14ac:dyDescent="0.25">
      <c r="A80" s="25"/>
      <c r="B80" s="25"/>
      <c r="C80" s="25"/>
      <c r="D80" s="31"/>
      <c r="E80" s="32"/>
      <c r="F80" s="33"/>
      <c r="G80" s="17"/>
      <c r="H80" s="17"/>
      <c r="I80" s="17"/>
    </row>
    <row r="81" spans="1:9" ht="10.5" x14ac:dyDescent="0.25">
      <c r="A81" s="25" t="s">
        <v>228</v>
      </c>
      <c r="B81" s="25"/>
      <c r="C81" s="25"/>
      <c r="D81" s="31"/>
      <c r="E81" s="32">
        <f>E83-(E77)</f>
        <v>41553.032145900303</v>
      </c>
      <c r="F81" s="33">
        <f>F83-(F77)</f>
        <v>8.479566157493764</v>
      </c>
      <c r="G81" s="17"/>
      <c r="H81" s="17"/>
      <c r="I81" s="17"/>
    </row>
    <row r="82" spans="1:9" ht="10.5" x14ac:dyDescent="0.25">
      <c r="A82" s="25"/>
      <c r="B82" s="25"/>
      <c r="C82" s="25"/>
      <c r="D82" s="31"/>
      <c r="E82" s="32"/>
      <c r="F82" s="33"/>
      <c r="G82" s="17"/>
      <c r="H82" s="17"/>
      <c r="I82" s="17"/>
    </row>
    <row r="83" spans="1:9" ht="10.5" x14ac:dyDescent="0.25">
      <c r="A83" s="34" t="s">
        <v>227</v>
      </c>
      <c r="B83" s="34"/>
      <c r="C83" s="34"/>
      <c r="D83" s="35"/>
      <c r="E83" s="36">
        <v>490037.24216690002</v>
      </c>
      <c r="F83" s="37">
        <v>100</v>
      </c>
      <c r="G83" s="17"/>
      <c r="H83" s="17"/>
      <c r="I83" s="17"/>
    </row>
    <row r="84" spans="1:9" ht="10.5" x14ac:dyDescent="0.25">
      <c r="A84" s="17" t="s">
        <v>1612</v>
      </c>
      <c r="F84" s="19" t="s">
        <v>446</v>
      </c>
    </row>
    <row r="85" spans="1:9" ht="10.5" x14ac:dyDescent="0.25">
      <c r="F85" s="19"/>
    </row>
    <row r="86" spans="1:9" ht="10.5" x14ac:dyDescent="0.25">
      <c r="A86" s="17" t="s">
        <v>232</v>
      </c>
    </row>
    <row r="87" spans="1:9" ht="10.5" x14ac:dyDescent="0.25">
      <c r="A87" s="17" t="s">
        <v>233</v>
      </c>
    </row>
    <row r="88" spans="1:9" ht="10.5" x14ac:dyDescent="0.25">
      <c r="A88" s="17" t="s">
        <v>234</v>
      </c>
      <c r="B88" s="17"/>
      <c r="C88" s="38" t="s">
        <v>236</v>
      </c>
      <c r="D88" s="18" t="s">
        <v>235</v>
      </c>
    </row>
    <row r="89" spans="1:9" x14ac:dyDescent="0.2">
      <c r="A89" s="10" t="s">
        <v>543</v>
      </c>
      <c r="C89" s="39">
        <v>49.666800000000002</v>
      </c>
      <c r="D89" s="39">
        <v>37.288200000000003</v>
      </c>
    </row>
    <row r="90" spans="1:9" x14ac:dyDescent="0.2">
      <c r="A90" s="10" t="s">
        <v>580</v>
      </c>
      <c r="C90" s="39">
        <v>22.477599999999999</v>
      </c>
      <c r="D90" s="39">
        <v>15.711600000000001</v>
      </c>
    </row>
    <row r="91" spans="1:9" x14ac:dyDescent="0.2">
      <c r="A91" s="10" t="s">
        <v>546</v>
      </c>
      <c r="C91" s="39">
        <v>53.567100000000003</v>
      </c>
      <c r="D91" s="39">
        <v>40.394799999999996</v>
      </c>
    </row>
    <row r="92" spans="1:9" x14ac:dyDescent="0.2">
      <c r="A92" s="10" t="s">
        <v>581</v>
      </c>
      <c r="C92" s="39">
        <v>24.800999999999998</v>
      </c>
      <c r="D92" s="39">
        <v>17.536300000000001</v>
      </c>
    </row>
    <row r="94" spans="1:9" ht="10.5" x14ac:dyDescent="0.25">
      <c r="A94" s="17" t="s">
        <v>248</v>
      </c>
    </row>
    <row r="95" spans="1:9" ht="10.5" x14ac:dyDescent="0.25">
      <c r="A95" s="84" t="s">
        <v>249</v>
      </c>
      <c r="B95" s="85"/>
      <c r="C95" s="82" t="s">
        <v>250</v>
      </c>
      <c r="D95" s="83"/>
    </row>
    <row r="96" spans="1:9" ht="10.5" x14ac:dyDescent="0.25">
      <c r="A96" s="84"/>
      <c r="B96" s="85"/>
      <c r="C96" s="40" t="s">
        <v>251</v>
      </c>
      <c r="D96" s="41" t="s">
        <v>252</v>
      </c>
    </row>
    <row r="97" spans="1:4" x14ac:dyDescent="0.2">
      <c r="A97" s="78" t="s">
        <v>580</v>
      </c>
      <c r="B97" s="79"/>
      <c r="C97" s="42">
        <v>1.3281127049999999</v>
      </c>
      <c r="D97" s="42">
        <v>1.3281127049999999</v>
      </c>
    </row>
    <row r="98" spans="1:4" x14ac:dyDescent="0.2">
      <c r="A98" s="78" t="s">
        <v>581</v>
      </c>
      <c r="B98" s="79"/>
      <c r="C98" s="42">
        <v>1.3281127049999999</v>
      </c>
      <c r="D98" s="42">
        <v>1.3281127049999999</v>
      </c>
    </row>
    <row r="100" spans="1:4" ht="10.5" x14ac:dyDescent="0.25">
      <c r="A100" s="17" t="s">
        <v>1151</v>
      </c>
      <c r="D100" s="47">
        <v>9.8199999999999996E-2</v>
      </c>
    </row>
  </sheetData>
  <mergeCells count="6">
    <mergeCell ref="A98:B98"/>
    <mergeCell ref="A1:F1"/>
    <mergeCell ref="C95:D95"/>
    <mergeCell ref="A95:B95"/>
    <mergeCell ref="A96:B96"/>
    <mergeCell ref="A97:B97"/>
  </mergeCells>
  <conditionalFormatting sqref="F2:F3 F5:F65536">
    <cfRule type="cellIs" dxfId="21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90"/>
  <sheetViews>
    <sheetView workbookViewId="0">
      <selection sqref="A1:G1"/>
    </sheetView>
  </sheetViews>
  <sheetFormatPr defaultColWidth="9.1796875" defaultRowHeight="10" x14ac:dyDescent="0.2"/>
  <cols>
    <col min="1" max="1" width="38.7265625" style="10" bestFit="1" customWidth="1"/>
    <col min="2" max="2" width="32.1796875" style="10" bestFit="1" customWidth="1"/>
    <col min="3" max="3" width="35.726562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13.453125" style="10" customWidth="1"/>
    <col min="8" max="16384" width="9.1796875" style="10"/>
  </cols>
  <sheetData>
    <row r="1" spans="1:7" s="1" customFormat="1" ht="14" x14ac:dyDescent="0.25">
      <c r="A1" s="80" t="s">
        <v>45</v>
      </c>
      <c r="B1" s="81"/>
      <c r="C1" s="81"/>
      <c r="D1" s="81"/>
      <c r="E1" s="81"/>
      <c r="F1" s="81"/>
      <c r="G1" s="81"/>
    </row>
    <row r="2" spans="1:7" s="1" customFormat="1" ht="11.5" x14ac:dyDescent="0.25">
      <c r="D2" s="6"/>
      <c r="E2" s="7"/>
      <c r="F2" s="14"/>
    </row>
    <row r="3" spans="1:7" s="1" customFormat="1" ht="11.5" x14ac:dyDescent="0.25">
      <c r="A3" s="12" t="s">
        <v>6</v>
      </c>
      <c r="B3" s="2"/>
      <c r="C3" s="3"/>
      <c r="D3" s="4"/>
      <c r="E3" s="5"/>
      <c r="F3" s="14"/>
    </row>
    <row r="4" spans="1:7" s="1" customFormat="1" ht="2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  <c r="G4" s="67" t="s">
        <v>1608</v>
      </c>
    </row>
    <row r="5" spans="1:7" ht="10.5" x14ac:dyDescent="0.25">
      <c r="A5" s="20" t="s">
        <v>1011</v>
      </c>
      <c r="B5" s="21"/>
      <c r="C5" s="21"/>
      <c r="D5" s="22"/>
      <c r="E5" s="23"/>
      <c r="F5" s="24"/>
      <c r="G5" s="68"/>
    </row>
    <row r="6" spans="1:7" ht="10.5" x14ac:dyDescent="0.25">
      <c r="A6" s="25" t="s">
        <v>64</v>
      </c>
      <c r="B6" s="26"/>
      <c r="C6" s="26"/>
      <c r="D6" s="27"/>
      <c r="E6" s="28"/>
      <c r="F6" s="29"/>
      <c r="G6" s="69"/>
    </row>
    <row r="7" spans="1:7" x14ac:dyDescent="0.2">
      <c r="A7" s="26" t="s">
        <v>1013</v>
      </c>
      <c r="B7" s="26" t="s">
        <v>1012</v>
      </c>
      <c r="C7" s="26" t="s">
        <v>1014</v>
      </c>
      <c r="D7" s="30">
        <v>1988423</v>
      </c>
      <c r="E7" s="28">
        <v>19920.02161</v>
      </c>
      <c r="F7" s="29">
        <v>3.28672774096297</v>
      </c>
      <c r="G7" s="70"/>
    </row>
    <row r="8" spans="1:7" x14ac:dyDescent="0.2">
      <c r="A8" s="26" t="s">
        <v>1026</v>
      </c>
      <c r="B8" s="26" t="s">
        <v>1025</v>
      </c>
      <c r="C8" s="26" t="s">
        <v>1014</v>
      </c>
      <c r="D8" s="30">
        <v>1350892</v>
      </c>
      <c r="E8" s="28">
        <v>18334.306219999999</v>
      </c>
      <c r="F8" s="29">
        <v>3.02509073756893</v>
      </c>
      <c r="G8" s="70"/>
    </row>
    <row r="9" spans="1:7" x14ac:dyDescent="0.2">
      <c r="A9" s="26" t="s">
        <v>1078</v>
      </c>
      <c r="B9" s="26" t="s">
        <v>1077</v>
      </c>
      <c r="C9" s="26" t="s">
        <v>1035</v>
      </c>
      <c r="D9" s="30">
        <v>4335936</v>
      </c>
      <c r="E9" s="28">
        <v>17946.4391</v>
      </c>
      <c r="F9" s="29">
        <v>2.9610941391680798</v>
      </c>
      <c r="G9" s="70"/>
    </row>
    <row r="10" spans="1:7" x14ac:dyDescent="0.2">
      <c r="A10" s="26" t="s">
        <v>1391</v>
      </c>
      <c r="B10" s="26" t="s">
        <v>1390</v>
      </c>
      <c r="C10" s="26" t="s">
        <v>1049</v>
      </c>
      <c r="D10" s="30">
        <v>7941052</v>
      </c>
      <c r="E10" s="28">
        <v>17645.017540000001</v>
      </c>
      <c r="F10" s="29">
        <v>2.91136072911601</v>
      </c>
      <c r="G10" s="70"/>
    </row>
    <row r="11" spans="1:7" x14ac:dyDescent="0.2">
      <c r="A11" s="26" t="s">
        <v>1393</v>
      </c>
      <c r="B11" s="26" t="s">
        <v>1392</v>
      </c>
      <c r="C11" s="26" t="s">
        <v>1038</v>
      </c>
      <c r="D11" s="30">
        <v>281404</v>
      </c>
      <c r="E11" s="28">
        <v>17575.08682</v>
      </c>
      <c r="F11" s="29">
        <v>2.8998224265042198</v>
      </c>
      <c r="G11" s="70"/>
    </row>
    <row r="12" spans="1:7" x14ac:dyDescent="0.2">
      <c r="A12" s="26" t="s">
        <v>1395</v>
      </c>
      <c r="B12" s="26" t="s">
        <v>1394</v>
      </c>
      <c r="C12" s="26" t="s">
        <v>1032</v>
      </c>
      <c r="D12" s="30">
        <v>3169401</v>
      </c>
      <c r="E12" s="28">
        <v>17517.279330000001</v>
      </c>
      <c r="F12" s="29">
        <v>2.89028441069589</v>
      </c>
      <c r="G12" s="70"/>
    </row>
    <row r="13" spans="1:7" x14ac:dyDescent="0.2">
      <c r="A13" s="26" t="s">
        <v>1024</v>
      </c>
      <c r="B13" s="26" t="s">
        <v>1023</v>
      </c>
      <c r="C13" s="26" t="s">
        <v>1014</v>
      </c>
      <c r="D13" s="30">
        <v>4567888</v>
      </c>
      <c r="E13" s="28">
        <v>17364.826229999999</v>
      </c>
      <c r="F13" s="29">
        <v>2.8651302295019199</v>
      </c>
      <c r="G13" s="70"/>
    </row>
    <row r="14" spans="1:7" x14ac:dyDescent="0.2">
      <c r="A14" s="26" t="s">
        <v>1397</v>
      </c>
      <c r="B14" s="26" t="s">
        <v>1396</v>
      </c>
      <c r="C14" s="26" t="s">
        <v>1182</v>
      </c>
      <c r="D14" s="30">
        <v>1503365</v>
      </c>
      <c r="E14" s="28">
        <v>16573.09576</v>
      </c>
      <c r="F14" s="29">
        <v>2.7344977156391601</v>
      </c>
      <c r="G14" s="70"/>
    </row>
    <row r="15" spans="1:7" x14ac:dyDescent="0.2">
      <c r="A15" s="26" t="s">
        <v>1048</v>
      </c>
      <c r="B15" s="26" t="s">
        <v>1047</v>
      </c>
      <c r="C15" s="26" t="s">
        <v>1049</v>
      </c>
      <c r="D15" s="30">
        <v>3120890</v>
      </c>
      <c r="E15" s="28">
        <v>15772.978059999999</v>
      </c>
      <c r="F15" s="29">
        <v>2.6024813407520302</v>
      </c>
      <c r="G15" s="70"/>
    </row>
    <row r="16" spans="1:7" x14ac:dyDescent="0.2">
      <c r="A16" s="26" t="s">
        <v>1040</v>
      </c>
      <c r="B16" s="26" t="s">
        <v>1039</v>
      </c>
      <c r="C16" s="26" t="s">
        <v>1029</v>
      </c>
      <c r="D16" s="30">
        <v>7572160</v>
      </c>
      <c r="E16" s="28">
        <v>15693.301600000001</v>
      </c>
      <c r="F16" s="29">
        <v>2.58933502813698</v>
      </c>
      <c r="G16" s="70"/>
    </row>
    <row r="17" spans="1:7" x14ac:dyDescent="0.2">
      <c r="A17" s="26" t="s">
        <v>1069</v>
      </c>
      <c r="B17" s="26" t="s">
        <v>1068</v>
      </c>
      <c r="C17" s="26" t="s">
        <v>1043</v>
      </c>
      <c r="D17" s="30">
        <v>4050170</v>
      </c>
      <c r="E17" s="28">
        <v>14985.629000000001</v>
      </c>
      <c r="F17" s="29">
        <v>2.4725717428616401</v>
      </c>
      <c r="G17" s="70"/>
    </row>
    <row r="18" spans="1:7" x14ac:dyDescent="0.2">
      <c r="A18" s="26" t="s">
        <v>1399</v>
      </c>
      <c r="B18" s="26" t="s">
        <v>1398</v>
      </c>
      <c r="C18" s="26" t="s">
        <v>1083</v>
      </c>
      <c r="D18" s="30">
        <v>2836049</v>
      </c>
      <c r="E18" s="28">
        <v>14322.04745</v>
      </c>
      <c r="F18" s="29">
        <v>2.3630833130056499</v>
      </c>
      <c r="G18" s="70"/>
    </row>
    <row r="19" spans="1:7" x14ac:dyDescent="0.2">
      <c r="A19" s="26" t="s">
        <v>1317</v>
      </c>
      <c r="B19" s="26" t="s">
        <v>1316</v>
      </c>
      <c r="C19" s="26" t="s">
        <v>1014</v>
      </c>
      <c r="D19" s="30">
        <v>9888196</v>
      </c>
      <c r="E19" s="28">
        <v>14273.610930000001</v>
      </c>
      <c r="F19" s="29">
        <v>2.3550914715771398</v>
      </c>
      <c r="G19" s="70"/>
    </row>
    <row r="20" spans="1:7" x14ac:dyDescent="0.2">
      <c r="A20" s="26" t="s">
        <v>1028</v>
      </c>
      <c r="B20" s="26" t="s">
        <v>1027</v>
      </c>
      <c r="C20" s="26" t="s">
        <v>1029</v>
      </c>
      <c r="D20" s="30">
        <v>5735064</v>
      </c>
      <c r="E20" s="28">
        <v>13936.20552</v>
      </c>
      <c r="F20" s="29">
        <v>2.2994208632460098</v>
      </c>
      <c r="G20" s="70"/>
    </row>
    <row r="21" spans="1:7" x14ac:dyDescent="0.2">
      <c r="A21" s="26" t="s">
        <v>1401</v>
      </c>
      <c r="B21" s="26" t="s">
        <v>1400</v>
      </c>
      <c r="C21" s="26" t="s">
        <v>1061</v>
      </c>
      <c r="D21" s="30">
        <v>3946913</v>
      </c>
      <c r="E21" s="28">
        <v>13036.65364</v>
      </c>
      <c r="F21" s="29">
        <v>2.1509982271507102</v>
      </c>
      <c r="G21" s="70"/>
    </row>
    <row r="22" spans="1:7" x14ac:dyDescent="0.2">
      <c r="A22" s="26" t="s">
        <v>1173</v>
      </c>
      <c r="B22" s="26" t="s">
        <v>1172</v>
      </c>
      <c r="C22" s="26" t="s">
        <v>1035</v>
      </c>
      <c r="D22" s="30">
        <v>3642009</v>
      </c>
      <c r="E22" s="28">
        <v>12805.30364</v>
      </c>
      <c r="F22" s="29">
        <v>2.11282635777432</v>
      </c>
      <c r="G22" s="70"/>
    </row>
    <row r="23" spans="1:7" x14ac:dyDescent="0.2">
      <c r="A23" s="26" t="s">
        <v>1257</v>
      </c>
      <c r="B23" s="26" t="s">
        <v>1256</v>
      </c>
      <c r="C23" s="26" t="s">
        <v>1022</v>
      </c>
      <c r="D23" s="30">
        <v>478016</v>
      </c>
      <c r="E23" s="28">
        <v>12177.93562</v>
      </c>
      <c r="F23" s="29">
        <v>2.0093130225231302</v>
      </c>
      <c r="G23" s="70"/>
    </row>
    <row r="24" spans="1:7" x14ac:dyDescent="0.2">
      <c r="A24" s="26" t="s">
        <v>1216</v>
      </c>
      <c r="B24" s="26" t="s">
        <v>1215</v>
      </c>
      <c r="C24" s="26" t="s">
        <v>1032</v>
      </c>
      <c r="D24" s="30">
        <v>1053268</v>
      </c>
      <c r="E24" s="28">
        <v>11789.228719999999</v>
      </c>
      <c r="F24" s="29">
        <v>1.9451778636188599</v>
      </c>
      <c r="G24" s="70"/>
    </row>
    <row r="25" spans="1:7" x14ac:dyDescent="0.2">
      <c r="A25" s="26" t="s">
        <v>1403</v>
      </c>
      <c r="B25" s="26" t="s">
        <v>1402</v>
      </c>
      <c r="C25" s="26" t="s">
        <v>1076</v>
      </c>
      <c r="D25" s="30">
        <v>783689</v>
      </c>
      <c r="E25" s="28">
        <v>11627.201849999999</v>
      </c>
      <c r="F25" s="29">
        <v>1.9184440468170201</v>
      </c>
      <c r="G25" s="70"/>
    </row>
    <row r="26" spans="1:7" x14ac:dyDescent="0.2">
      <c r="A26" s="26" t="s">
        <v>1085</v>
      </c>
      <c r="B26" s="26" t="s">
        <v>1084</v>
      </c>
      <c r="C26" s="26" t="s">
        <v>1052</v>
      </c>
      <c r="D26" s="30">
        <v>3529985</v>
      </c>
      <c r="E26" s="28">
        <v>11590.705749999999</v>
      </c>
      <c r="F26" s="29">
        <v>1.91242232923782</v>
      </c>
      <c r="G26" s="70"/>
    </row>
    <row r="27" spans="1:7" x14ac:dyDescent="0.2">
      <c r="A27" s="26" t="s">
        <v>1226</v>
      </c>
      <c r="B27" s="26" t="s">
        <v>1225</v>
      </c>
      <c r="C27" s="26" t="s">
        <v>1061</v>
      </c>
      <c r="D27" s="30">
        <v>1629004</v>
      </c>
      <c r="E27" s="28">
        <v>10686.266240000001</v>
      </c>
      <c r="F27" s="29">
        <v>1.7631932527970799</v>
      </c>
      <c r="G27" s="70"/>
    </row>
    <row r="28" spans="1:7" x14ac:dyDescent="0.2">
      <c r="A28" s="26" t="s">
        <v>1037</v>
      </c>
      <c r="B28" s="26" t="s">
        <v>1036</v>
      </c>
      <c r="C28" s="26" t="s">
        <v>1038</v>
      </c>
      <c r="D28" s="30">
        <v>1136879</v>
      </c>
      <c r="E28" s="28">
        <v>10627.544889999999</v>
      </c>
      <c r="F28" s="29">
        <v>1.7535044535673201</v>
      </c>
      <c r="G28" s="70"/>
    </row>
    <row r="29" spans="1:7" x14ac:dyDescent="0.2">
      <c r="A29" s="26" t="s">
        <v>1190</v>
      </c>
      <c r="B29" s="26" t="s">
        <v>1189</v>
      </c>
      <c r="C29" s="26" t="s">
        <v>1076</v>
      </c>
      <c r="D29" s="30">
        <v>4145052</v>
      </c>
      <c r="E29" s="28">
        <v>10574.02765</v>
      </c>
      <c r="F29" s="29">
        <v>1.7446743126783399</v>
      </c>
      <c r="G29" s="70"/>
    </row>
    <row r="30" spans="1:7" x14ac:dyDescent="0.2">
      <c r="A30" s="26" t="s">
        <v>1133</v>
      </c>
      <c r="B30" s="26" t="s">
        <v>1132</v>
      </c>
      <c r="C30" s="26" t="s">
        <v>1134</v>
      </c>
      <c r="D30" s="30">
        <v>12940848</v>
      </c>
      <c r="E30" s="28">
        <v>10339.73755</v>
      </c>
      <c r="F30" s="29">
        <v>1.7060173379933099</v>
      </c>
      <c r="G30" s="70"/>
    </row>
    <row r="31" spans="1:7" x14ac:dyDescent="0.2">
      <c r="A31" s="26" t="s">
        <v>1405</v>
      </c>
      <c r="B31" s="26" t="s">
        <v>1404</v>
      </c>
      <c r="C31" s="26" t="s">
        <v>1406</v>
      </c>
      <c r="D31" s="30">
        <v>1736685</v>
      </c>
      <c r="E31" s="28">
        <v>10320.250609999999</v>
      </c>
      <c r="F31" s="29">
        <v>1.7028020670695001</v>
      </c>
      <c r="G31" s="70"/>
    </row>
    <row r="32" spans="1:7" x14ac:dyDescent="0.2">
      <c r="A32" s="26" t="s">
        <v>1408</v>
      </c>
      <c r="B32" s="26" t="s">
        <v>1407</v>
      </c>
      <c r="C32" s="26" t="s">
        <v>1104</v>
      </c>
      <c r="D32" s="30">
        <v>794058</v>
      </c>
      <c r="E32" s="28">
        <v>10020.61493</v>
      </c>
      <c r="F32" s="29">
        <v>1.6533633204195499</v>
      </c>
      <c r="G32" s="70"/>
    </row>
    <row r="33" spans="1:7" x14ac:dyDescent="0.2">
      <c r="A33" s="26" t="s">
        <v>1228</v>
      </c>
      <c r="B33" s="26" t="s">
        <v>1227</v>
      </c>
      <c r="C33" s="26" t="s">
        <v>1052</v>
      </c>
      <c r="D33" s="30">
        <v>18734302</v>
      </c>
      <c r="E33" s="28">
        <v>9807.4070969999993</v>
      </c>
      <c r="F33" s="29">
        <v>1.6181848395407901</v>
      </c>
      <c r="G33" s="70"/>
    </row>
    <row r="34" spans="1:7" x14ac:dyDescent="0.2">
      <c r="A34" s="26" t="s">
        <v>1147</v>
      </c>
      <c r="B34" s="26" t="s">
        <v>1146</v>
      </c>
      <c r="C34" s="26" t="s">
        <v>1148</v>
      </c>
      <c r="D34" s="30">
        <v>687865</v>
      </c>
      <c r="E34" s="28">
        <v>9591.2456280000006</v>
      </c>
      <c r="F34" s="29">
        <v>1.5825190199649299</v>
      </c>
      <c r="G34" s="70"/>
    </row>
    <row r="35" spans="1:7" x14ac:dyDescent="0.2">
      <c r="A35" s="26" t="s">
        <v>1114</v>
      </c>
      <c r="B35" s="26" t="s">
        <v>1113</v>
      </c>
      <c r="C35" s="26" t="s">
        <v>1104</v>
      </c>
      <c r="D35" s="30">
        <v>3121672</v>
      </c>
      <c r="E35" s="28">
        <v>9271.3658400000004</v>
      </c>
      <c r="F35" s="29">
        <v>1.5297400725532899</v>
      </c>
      <c r="G35" s="70"/>
    </row>
    <row r="36" spans="1:7" x14ac:dyDescent="0.2">
      <c r="A36" s="26" t="s">
        <v>1325</v>
      </c>
      <c r="B36" s="26" t="s">
        <v>1324</v>
      </c>
      <c r="C36" s="26" t="s">
        <v>1076</v>
      </c>
      <c r="D36" s="30">
        <v>264692</v>
      </c>
      <c r="E36" s="28">
        <v>9116.7865559999991</v>
      </c>
      <c r="F36" s="29">
        <v>1.5042350790925401</v>
      </c>
      <c r="G36" s="70"/>
    </row>
    <row r="37" spans="1:7" x14ac:dyDescent="0.2">
      <c r="A37" s="26" t="s">
        <v>1410</v>
      </c>
      <c r="B37" s="26" t="s">
        <v>1409</v>
      </c>
      <c r="C37" s="26" t="s">
        <v>1294</v>
      </c>
      <c r="D37" s="30">
        <v>2606125</v>
      </c>
      <c r="E37" s="28">
        <v>8978.1006249999991</v>
      </c>
      <c r="F37" s="29">
        <v>1.4813524283794399</v>
      </c>
      <c r="G37" s="70"/>
    </row>
    <row r="38" spans="1:7" x14ac:dyDescent="0.2">
      <c r="A38" s="26" t="s">
        <v>1412</v>
      </c>
      <c r="B38" s="26" t="s">
        <v>1411</v>
      </c>
      <c r="C38" s="26" t="s">
        <v>1309</v>
      </c>
      <c r="D38" s="30">
        <v>556114</v>
      </c>
      <c r="E38" s="28">
        <v>8839.7100869999995</v>
      </c>
      <c r="F38" s="29">
        <v>1.4585185163869501</v>
      </c>
      <c r="G38" s="70"/>
    </row>
    <row r="39" spans="1:7" x14ac:dyDescent="0.2">
      <c r="A39" s="26" t="s">
        <v>1414</v>
      </c>
      <c r="B39" s="26" t="s">
        <v>1413</v>
      </c>
      <c r="C39" s="26" t="s">
        <v>1076</v>
      </c>
      <c r="D39" s="30">
        <v>540261</v>
      </c>
      <c r="E39" s="28">
        <v>8688.2072719999996</v>
      </c>
      <c r="F39" s="29">
        <v>1.4335211286007501</v>
      </c>
      <c r="G39" s="70"/>
    </row>
    <row r="40" spans="1:7" x14ac:dyDescent="0.2">
      <c r="A40" s="26" t="s">
        <v>1178</v>
      </c>
      <c r="B40" s="26" t="s">
        <v>1177</v>
      </c>
      <c r="C40" s="26" t="s">
        <v>1179</v>
      </c>
      <c r="D40" s="30">
        <v>11887252</v>
      </c>
      <c r="E40" s="28">
        <v>8570.7086920000002</v>
      </c>
      <c r="F40" s="29">
        <v>1.4141343101539401</v>
      </c>
      <c r="G40" s="70"/>
    </row>
    <row r="41" spans="1:7" x14ac:dyDescent="0.2">
      <c r="A41" s="26" t="s">
        <v>1181</v>
      </c>
      <c r="B41" s="26" t="s">
        <v>1180</v>
      </c>
      <c r="C41" s="26" t="s">
        <v>1182</v>
      </c>
      <c r="D41" s="30">
        <v>2956964</v>
      </c>
      <c r="E41" s="28">
        <v>8359.3372280000003</v>
      </c>
      <c r="F41" s="29">
        <v>1.3792588231701299</v>
      </c>
      <c r="G41" s="70"/>
    </row>
    <row r="42" spans="1:7" x14ac:dyDescent="0.2">
      <c r="A42" s="26" t="s">
        <v>1188</v>
      </c>
      <c r="B42" s="26" t="s">
        <v>1187</v>
      </c>
      <c r="C42" s="26" t="s">
        <v>1035</v>
      </c>
      <c r="D42" s="30">
        <v>3895000</v>
      </c>
      <c r="E42" s="28">
        <v>7581.6175000000003</v>
      </c>
      <c r="F42" s="29">
        <v>1.2509380284061</v>
      </c>
      <c r="G42" s="70"/>
    </row>
    <row r="43" spans="1:7" x14ac:dyDescent="0.2">
      <c r="A43" s="26" t="s">
        <v>1261</v>
      </c>
      <c r="B43" s="26" t="s">
        <v>1260</v>
      </c>
      <c r="C43" s="26" t="s">
        <v>1022</v>
      </c>
      <c r="D43" s="30">
        <v>2693736</v>
      </c>
      <c r="E43" s="28">
        <v>7534.3795920000002</v>
      </c>
      <c r="F43" s="29">
        <v>1.2431439533951201</v>
      </c>
      <c r="G43" s="70"/>
    </row>
    <row r="44" spans="1:7" x14ac:dyDescent="0.2">
      <c r="A44" s="26" t="s">
        <v>1054</v>
      </c>
      <c r="B44" s="26" t="s">
        <v>1053</v>
      </c>
      <c r="C44" s="26" t="s">
        <v>1055</v>
      </c>
      <c r="D44" s="30">
        <v>2275628</v>
      </c>
      <c r="E44" s="28">
        <v>7371.8969059999999</v>
      </c>
      <c r="F44" s="29">
        <v>1.21633492868833</v>
      </c>
      <c r="G44" s="70"/>
    </row>
    <row r="45" spans="1:7" x14ac:dyDescent="0.2">
      <c r="A45" s="26" t="s">
        <v>1416</v>
      </c>
      <c r="B45" s="26" t="s">
        <v>1415</v>
      </c>
      <c r="C45" s="26" t="s">
        <v>1076</v>
      </c>
      <c r="D45" s="30">
        <v>2371940</v>
      </c>
      <c r="E45" s="28">
        <v>7334.0384800000002</v>
      </c>
      <c r="F45" s="29">
        <v>1.2100884325047601</v>
      </c>
      <c r="G45" s="70"/>
    </row>
    <row r="46" spans="1:7" ht="10.5" x14ac:dyDescent="0.25">
      <c r="A46" s="26" t="s">
        <v>1157</v>
      </c>
      <c r="B46" s="26" t="s">
        <v>1156</v>
      </c>
      <c r="C46" s="26" t="s">
        <v>1038</v>
      </c>
      <c r="D46" s="30">
        <v>6794904</v>
      </c>
      <c r="E46" s="28">
        <v>6543.4925519999997</v>
      </c>
      <c r="F46" s="29">
        <v>1.0796513635631</v>
      </c>
      <c r="G46" s="52"/>
    </row>
    <row r="47" spans="1:7" x14ac:dyDescent="0.2">
      <c r="A47" s="26" t="s">
        <v>1313</v>
      </c>
      <c r="B47" s="26" t="s">
        <v>1312</v>
      </c>
      <c r="C47" s="26" t="s">
        <v>1294</v>
      </c>
      <c r="D47" s="30">
        <v>1743720</v>
      </c>
      <c r="E47" s="28">
        <v>6532.8469800000003</v>
      </c>
      <c r="F47" s="29">
        <v>1.07789488470501</v>
      </c>
      <c r="G47" s="70"/>
    </row>
    <row r="48" spans="1:7" x14ac:dyDescent="0.2">
      <c r="A48" s="26" t="s">
        <v>1418</v>
      </c>
      <c r="B48" s="26" t="s">
        <v>1417</v>
      </c>
      <c r="C48" s="26" t="s">
        <v>1014</v>
      </c>
      <c r="D48" s="30">
        <v>4734341</v>
      </c>
      <c r="E48" s="28">
        <v>6256.4316319999998</v>
      </c>
      <c r="F48" s="29">
        <v>1.03228740444788</v>
      </c>
      <c r="G48" s="70"/>
    </row>
    <row r="49" spans="1:7" x14ac:dyDescent="0.2">
      <c r="A49" s="26" t="s">
        <v>1356</v>
      </c>
      <c r="B49" s="26" t="s">
        <v>1355</v>
      </c>
      <c r="C49" s="26" t="s">
        <v>1104</v>
      </c>
      <c r="D49" s="30">
        <v>2128752</v>
      </c>
      <c r="E49" s="28">
        <v>6029.6900400000004</v>
      </c>
      <c r="F49" s="29">
        <v>0.99487590484979005</v>
      </c>
      <c r="G49" s="70"/>
    </row>
    <row r="50" spans="1:7" ht="10.5" x14ac:dyDescent="0.25">
      <c r="A50" s="26" t="s">
        <v>1192</v>
      </c>
      <c r="B50" s="26" t="s">
        <v>1191</v>
      </c>
      <c r="C50" s="26" t="s">
        <v>1104</v>
      </c>
      <c r="D50" s="30">
        <v>11253507</v>
      </c>
      <c r="E50" s="28">
        <v>5795.5561049999997</v>
      </c>
      <c r="F50" s="29">
        <v>0.95624469679532698</v>
      </c>
      <c r="G50" s="71"/>
    </row>
    <row r="51" spans="1:7" ht="10.5" x14ac:dyDescent="0.25">
      <c r="A51" s="26" t="s">
        <v>1420</v>
      </c>
      <c r="B51" s="26" t="s">
        <v>1419</v>
      </c>
      <c r="C51" s="26" t="s">
        <v>1038</v>
      </c>
      <c r="D51" s="30">
        <v>1739495</v>
      </c>
      <c r="E51" s="28">
        <v>5779.4721380000001</v>
      </c>
      <c r="F51" s="29">
        <v>0.95359090346324005</v>
      </c>
      <c r="G51" s="71"/>
    </row>
    <row r="52" spans="1:7" x14ac:dyDescent="0.2">
      <c r="A52" s="26" t="s">
        <v>1106</v>
      </c>
      <c r="B52" s="26" t="s">
        <v>1105</v>
      </c>
      <c r="C52" s="26" t="s">
        <v>1035</v>
      </c>
      <c r="D52" s="30">
        <v>254132</v>
      </c>
      <c r="E52" s="28">
        <v>5578.1974</v>
      </c>
      <c r="F52" s="29">
        <v>0.92038133783668696</v>
      </c>
      <c r="G52" s="69"/>
    </row>
    <row r="53" spans="1:7" x14ac:dyDescent="0.2">
      <c r="A53" s="26" t="s">
        <v>1422</v>
      </c>
      <c r="B53" s="26" t="s">
        <v>1421</v>
      </c>
      <c r="C53" s="26" t="s">
        <v>1294</v>
      </c>
      <c r="D53" s="30">
        <v>1021062</v>
      </c>
      <c r="E53" s="28">
        <v>5534.1560399999998</v>
      </c>
      <c r="F53" s="29">
        <v>0.91311468107818905</v>
      </c>
      <c r="G53" s="69"/>
    </row>
    <row r="54" spans="1:7" ht="10.5" x14ac:dyDescent="0.25">
      <c r="A54" s="26" t="s">
        <v>1424</v>
      </c>
      <c r="B54" s="26" t="s">
        <v>1423</v>
      </c>
      <c r="C54" s="26" t="s">
        <v>1055</v>
      </c>
      <c r="D54" s="30">
        <v>60666</v>
      </c>
      <c r="E54" s="28">
        <v>4718.7834780000003</v>
      </c>
      <c r="F54" s="29">
        <v>0.77858131202802106</v>
      </c>
      <c r="G54" s="72"/>
    </row>
    <row r="55" spans="1:7" x14ac:dyDescent="0.2">
      <c r="A55" s="26" t="s">
        <v>1426</v>
      </c>
      <c r="B55" s="26" t="s">
        <v>1425</v>
      </c>
      <c r="C55" s="26" t="s">
        <v>1090</v>
      </c>
      <c r="D55" s="30">
        <v>392358</v>
      </c>
      <c r="E55" s="28">
        <v>3973.9980030000002</v>
      </c>
      <c r="F55" s="29">
        <v>0.65569454364620805</v>
      </c>
      <c r="G55" s="50">
        <v>0.17910000000000001</v>
      </c>
    </row>
    <row r="56" spans="1:7" x14ac:dyDescent="0.2">
      <c r="A56" s="26" t="s">
        <v>1080</v>
      </c>
      <c r="B56" s="26" t="s">
        <v>1079</v>
      </c>
      <c r="C56" s="26" t="s">
        <v>1014</v>
      </c>
      <c r="D56" s="30">
        <v>12530441</v>
      </c>
      <c r="E56" s="28">
        <v>3665.1539929999999</v>
      </c>
      <c r="F56" s="29">
        <v>0.60473645759736205</v>
      </c>
      <c r="G56" s="69"/>
    </row>
    <row r="57" spans="1:7" x14ac:dyDescent="0.2">
      <c r="A57" s="26" t="s">
        <v>1082</v>
      </c>
      <c r="B57" s="26" t="s">
        <v>1081</v>
      </c>
      <c r="C57" s="26" t="s">
        <v>1083</v>
      </c>
      <c r="D57" s="30">
        <v>2881094</v>
      </c>
      <c r="E57" s="28">
        <v>3330.544664</v>
      </c>
      <c r="F57" s="29">
        <v>0.54952719198807098</v>
      </c>
      <c r="G57" s="69"/>
    </row>
    <row r="58" spans="1:7" x14ac:dyDescent="0.2">
      <c r="A58" s="26" t="s">
        <v>1169</v>
      </c>
      <c r="B58" s="26" t="s">
        <v>1168</v>
      </c>
      <c r="C58" s="26" t="s">
        <v>1052</v>
      </c>
      <c r="D58" s="30">
        <v>6934152</v>
      </c>
      <c r="E58" s="28">
        <v>2756.3254200000001</v>
      </c>
      <c r="F58" s="29">
        <v>0.45478320246839399</v>
      </c>
      <c r="G58" s="69"/>
    </row>
    <row r="59" spans="1:7" x14ac:dyDescent="0.2">
      <c r="A59" s="26" t="s">
        <v>1142</v>
      </c>
      <c r="B59" s="26" t="s">
        <v>1141</v>
      </c>
      <c r="C59" s="26" t="s">
        <v>1104</v>
      </c>
      <c r="D59" s="30">
        <v>1350619</v>
      </c>
      <c r="E59" s="28">
        <v>2672.1996920000001</v>
      </c>
      <c r="F59" s="29">
        <v>0.44090277756928098</v>
      </c>
      <c r="G59" s="69"/>
    </row>
    <row r="60" spans="1:7" ht="10.5" x14ac:dyDescent="0.25">
      <c r="A60" s="26" t="s">
        <v>1263</v>
      </c>
      <c r="B60" s="26" t="s">
        <v>1262</v>
      </c>
      <c r="C60" s="26" t="s">
        <v>1017</v>
      </c>
      <c r="D60" s="30">
        <v>35001767</v>
      </c>
      <c r="E60" s="28">
        <v>1470.074214</v>
      </c>
      <c r="F60" s="29">
        <v>0.24255664953709499</v>
      </c>
      <c r="G60" s="72"/>
    </row>
    <row r="61" spans="1:7" x14ac:dyDescent="0.2">
      <c r="A61" s="26" t="s">
        <v>1428</v>
      </c>
      <c r="B61" s="26" t="s">
        <v>1427</v>
      </c>
      <c r="C61" s="26" t="s">
        <v>1022</v>
      </c>
      <c r="D61" s="30">
        <v>325800</v>
      </c>
      <c r="E61" s="28">
        <v>441.29610000000002</v>
      </c>
      <c r="F61" s="29">
        <v>7.2812176725784605E-2</v>
      </c>
      <c r="G61" s="69"/>
    </row>
    <row r="62" spans="1:7" x14ac:dyDescent="0.2">
      <c r="A62" s="26" t="s">
        <v>1430</v>
      </c>
      <c r="B62" s="26" t="s">
        <v>1429</v>
      </c>
      <c r="C62" s="26" t="s">
        <v>1083</v>
      </c>
      <c r="D62" s="30">
        <v>254712</v>
      </c>
      <c r="E62" s="28">
        <v>353.922324</v>
      </c>
      <c r="F62" s="29">
        <v>5.8395836270224002E-2</v>
      </c>
      <c r="G62" s="69"/>
    </row>
    <row r="63" spans="1:7" x14ac:dyDescent="0.2">
      <c r="A63" s="26" t="s">
        <v>1432</v>
      </c>
      <c r="B63" s="26" t="s">
        <v>1431</v>
      </c>
      <c r="C63" s="26" t="s">
        <v>1179</v>
      </c>
      <c r="D63" s="30">
        <v>65687</v>
      </c>
      <c r="E63" s="28">
        <v>208.98319050000001</v>
      </c>
      <c r="F63" s="29">
        <v>3.4481430947167498E-2</v>
      </c>
      <c r="G63" s="69"/>
    </row>
    <row r="64" spans="1:7" x14ac:dyDescent="0.2">
      <c r="A64" s="26" t="s">
        <v>1434</v>
      </c>
      <c r="B64" s="26" t="s">
        <v>1433</v>
      </c>
      <c r="C64" s="26" t="s">
        <v>1104</v>
      </c>
      <c r="D64" s="30">
        <v>376519</v>
      </c>
      <c r="E64" s="28">
        <v>174.32829699999999</v>
      </c>
      <c r="F64" s="29">
        <v>2.8763505431996999E-2</v>
      </c>
      <c r="G64" s="69"/>
    </row>
    <row r="65" spans="1:9" x14ac:dyDescent="0.2">
      <c r="A65" s="26" t="s">
        <v>1436</v>
      </c>
      <c r="B65" s="26" t="s">
        <v>1435</v>
      </c>
      <c r="C65" s="26" t="s">
        <v>1182</v>
      </c>
      <c r="D65" s="30">
        <v>50107</v>
      </c>
      <c r="E65" s="28">
        <v>35.736312400000003</v>
      </c>
      <c r="F65" s="28">
        <v>5.8963555172970002E-3</v>
      </c>
      <c r="G65" s="69"/>
    </row>
    <row r="66" spans="1:9" ht="10.5" x14ac:dyDescent="0.25">
      <c r="A66" s="25" t="s">
        <v>177</v>
      </c>
      <c r="B66" s="25"/>
      <c r="C66" s="25"/>
      <c r="D66" s="31"/>
      <c r="E66" s="32">
        <f>SUM(E7:E65)</f>
        <v>550351.30633790023</v>
      </c>
      <c r="F66" s="33">
        <f>SUM(F7:F65)</f>
        <v>90.805870657686768</v>
      </c>
      <c r="G66" s="52">
        <f>SUM(G7:G65)</f>
        <v>0.17910000000000001</v>
      </c>
      <c r="H66" s="17"/>
      <c r="I66" s="17"/>
    </row>
    <row r="67" spans="1:9" x14ac:dyDescent="0.2">
      <c r="A67" s="26"/>
      <c r="B67" s="26"/>
      <c r="C67" s="26"/>
      <c r="D67" s="27"/>
      <c r="E67" s="28"/>
      <c r="F67" s="29"/>
      <c r="G67" s="69"/>
    </row>
    <row r="68" spans="1:9" ht="10.5" x14ac:dyDescent="0.25">
      <c r="A68" s="25" t="s">
        <v>1158</v>
      </c>
      <c r="B68" s="26"/>
      <c r="C68" s="26"/>
      <c r="D68" s="27"/>
      <c r="E68" s="28"/>
      <c r="F68" s="29"/>
      <c r="G68" s="69"/>
    </row>
    <row r="69" spans="1:9" x14ac:dyDescent="0.2">
      <c r="A69" s="26"/>
      <c r="B69" s="26" t="s">
        <v>1161</v>
      </c>
      <c r="C69" s="26" t="s">
        <v>1104</v>
      </c>
      <c r="D69" s="30">
        <v>8100</v>
      </c>
      <c r="E69" s="28">
        <v>8.0999999999999996E-4</v>
      </c>
      <c r="F69" s="29">
        <v>1.3364691677058901E-7</v>
      </c>
      <c r="G69" s="69"/>
    </row>
    <row r="70" spans="1:9" ht="10.5" x14ac:dyDescent="0.25">
      <c r="A70" s="25" t="s">
        <v>177</v>
      </c>
      <c r="B70" s="25"/>
      <c r="C70" s="25"/>
      <c r="D70" s="31"/>
      <c r="E70" s="32">
        <f>SUM(E68:E69)</f>
        <v>8.0999999999999996E-4</v>
      </c>
      <c r="F70" s="33">
        <f>SUM(F68:F69)</f>
        <v>1.3364691677058901E-7</v>
      </c>
      <c r="G70" s="69"/>
      <c r="H70" s="17"/>
      <c r="I70" s="17"/>
    </row>
    <row r="71" spans="1:9" x14ac:dyDescent="0.2">
      <c r="A71" s="26"/>
      <c r="B71" s="26"/>
      <c r="C71" s="26"/>
      <c r="D71" s="27"/>
      <c r="E71" s="28"/>
      <c r="F71" s="29"/>
      <c r="G71" s="69"/>
    </row>
    <row r="72" spans="1:9" ht="10.5" x14ac:dyDescent="0.25">
      <c r="A72" s="25" t="s">
        <v>226</v>
      </c>
      <c r="B72" s="25"/>
      <c r="C72" s="25"/>
      <c r="D72" s="31"/>
      <c r="E72" s="32">
        <f>E66+E70</f>
        <v>550351.30714790022</v>
      </c>
      <c r="F72" s="33">
        <f>F66+F70</f>
        <v>90.805870791333689</v>
      </c>
      <c r="G72" s="69"/>
      <c r="H72" s="17"/>
      <c r="I72" s="17"/>
    </row>
    <row r="73" spans="1:9" ht="10.5" x14ac:dyDescent="0.25">
      <c r="A73" s="25"/>
      <c r="B73" s="25"/>
      <c r="C73" s="25"/>
      <c r="D73" s="31"/>
      <c r="E73" s="32"/>
      <c r="F73" s="33"/>
      <c r="G73" s="69"/>
      <c r="H73" s="17"/>
      <c r="I73" s="17"/>
    </row>
    <row r="74" spans="1:9" ht="10.5" x14ac:dyDescent="0.25">
      <c r="A74" s="25" t="s">
        <v>1609</v>
      </c>
      <c r="B74" s="25"/>
      <c r="C74" s="25"/>
      <c r="D74" s="31"/>
      <c r="E74" s="32">
        <v>799.95860000000005</v>
      </c>
      <c r="F74" s="33">
        <v>0.13199012399273699</v>
      </c>
      <c r="G74" s="69"/>
      <c r="H74" s="17"/>
      <c r="I74" s="17"/>
    </row>
    <row r="75" spans="1:9" ht="10.5" x14ac:dyDescent="0.25">
      <c r="A75" s="25" t="s">
        <v>228</v>
      </c>
      <c r="B75" s="25"/>
      <c r="C75" s="25"/>
      <c r="D75" s="31"/>
      <c r="E75" s="32">
        <f>E77-(E66+E70+E74)</f>
        <v>54923.322108399705</v>
      </c>
      <c r="F75" s="33">
        <f>F77-(F66+F70+F74)</f>
        <v>9.062139084673575</v>
      </c>
      <c r="G75" s="69"/>
      <c r="H75" s="17"/>
      <c r="I75" s="17"/>
    </row>
    <row r="76" spans="1:9" ht="10.5" x14ac:dyDescent="0.25">
      <c r="A76" s="25"/>
      <c r="B76" s="25"/>
      <c r="C76" s="25"/>
      <c r="D76" s="31"/>
      <c r="E76" s="32"/>
      <c r="F76" s="33"/>
      <c r="G76" s="69"/>
      <c r="H76" s="17"/>
      <c r="I76" s="17"/>
    </row>
    <row r="77" spans="1:9" ht="10.5" x14ac:dyDescent="0.25">
      <c r="A77" s="34" t="s">
        <v>227</v>
      </c>
      <c r="B77" s="34"/>
      <c r="C77" s="34"/>
      <c r="D77" s="35"/>
      <c r="E77" s="36">
        <v>606074.58785629994</v>
      </c>
      <c r="F77" s="37">
        <v>100</v>
      </c>
      <c r="G77" s="73"/>
      <c r="H77" s="17"/>
      <c r="I77" s="17"/>
    </row>
    <row r="78" spans="1:9" ht="10.5" x14ac:dyDescent="0.25">
      <c r="A78" s="17" t="s">
        <v>1610</v>
      </c>
      <c r="F78" s="19" t="s">
        <v>446</v>
      </c>
    </row>
    <row r="79" spans="1:9" ht="10.5" x14ac:dyDescent="0.25">
      <c r="F79" s="19"/>
    </row>
    <row r="80" spans="1:9" ht="10.5" x14ac:dyDescent="0.25">
      <c r="A80" s="17" t="s">
        <v>232</v>
      </c>
    </row>
    <row r="81" spans="1:4" ht="10.5" x14ac:dyDescent="0.25">
      <c r="A81" s="17" t="s">
        <v>233</v>
      </c>
    </row>
    <row r="82" spans="1:4" ht="10.5" x14ac:dyDescent="0.25">
      <c r="A82" s="17" t="s">
        <v>234</v>
      </c>
      <c r="B82" s="17"/>
      <c r="C82" s="38" t="s">
        <v>236</v>
      </c>
      <c r="D82" s="18" t="s">
        <v>235</v>
      </c>
    </row>
    <row r="83" spans="1:4" x14ac:dyDescent="0.2">
      <c r="A83" s="10" t="s">
        <v>543</v>
      </c>
      <c r="C83" s="39">
        <v>959.20650000000001</v>
      </c>
      <c r="D83" s="39">
        <v>776.4402</v>
      </c>
    </row>
    <row r="84" spans="1:4" x14ac:dyDescent="0.2">
      <c r="A84" s="10" t="s">
        <v>580</v>
      </c>
      <c r="C84" s="39">
        <v>55.270200000000003</v>
      </c>
      <c r="D84" s="39">
        <v>44.738999999999997</v>
      </c>
    </row>
    <row r="85" spans="1:4" x14ac:dyDescent="0.2">
      <c r="A85" s="10" t="s">
        <v>546</v>
      </c>
      <c r="C85" s="39">
        <v>1028.9076</v>
      </c>
      <c r="D85" s="39">
        <v>836.4049</v>
      </c>
    </row>
    <row r="86" spans="1:4" x14ac:dyDescent="0.2">
      <c r="A86" s="10" t="s">
        <v>581</v>
      </c>
      <c r="C86" s="39">
        <v>60.998600000000003</v>
      </c>
      <c r="D86" s="39">
        <v>49.585099999999997</v>
      </c>
    </row>
    <row r="88" spans="1:4" ht="10.5" x14ac:dyDescent="0.25">
      <c r="A88" s="17" t="s">
        <v>248</v>
      </c>
      <c r="D88" s="46" t="s">
        <v>256</v>
      </c>
    </row>
    <row r="90" spans="1:4" ht="10.5" x14ac:dyDescent="0.25">
      <c r="A90" s="17" t="s">
        <v>1151</v>
      </c>
      <c r="D90" s="47">
        <v>0.1305</v>
      </c>
    </row>
  </sheetData>
  <mergeCells count="1">
    <mergeCell ref="A1:G1"/>
  </mergeCells>
  <conditionalFormatting sqref="F2:F3 F5:F64 F66:F65537">
    <cfRule type="cellIs" dxfId="20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70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33.453125" style="10" bestFit="1" customWidth="1"/>
    <col min="3" max="3" width="18.8164062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4.7265625" style="10" bestFit="1" customWidth="1"/>
    <col min="8" max="16384" width="9.1796875" style="10"/>
  </cols>
  <sheetData>
    <row r="1" spans="1:6" s="1" customFormat="1" ht="14" x14ac:dyDescent="0.25">
      <c r="A1" s="80" t="s">
        <v>46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1013</v>
      </c>
      <c r="B7" s="26" t="s">
        <v>1012</v>
      </c>
      <c r="C7" s="26" t="s">
        <v>1014</v>
      </c>
      <c r="D7" s="30">
        <v>395485</v>
      </c>
      <c r="E7" s="28">
        <v>3961.9687300000001</v>
      </c>
      <c r="F7" s="29">
        <v>8.8560754959039301</v>
      </c>
    </row>
    <row r="8" spans="1:6" x14ac:dyDescent="0.2">
      <c r="A8" s="26" t="s">
        <v>1021</v>
      </c>
      <c r="B8" s="26" t="s">
        <v>1020</v>
      </c>
      <c r="C8" s="26" t="s">
        <v>1022</v>
      </c>
      <c r="D8" s="30">
        <v>405492</v>
      </c>
      <c r="E8" s="28">
        <v>2901.2952599999999</v>
      </c>
      <c r="F8" s="29">
        <v>6.4851823952856504</v>
      </c>
    </row>
    <row r="9" spans="1:6" x14ac:dyDescent="0.2">
      <c r="A9" s="26" t="s">
        <v>1026</v>
      </c>
      <c r="B9" s="26" t="s">
        <v>1025</v>
      </c>
      <c r="C9" s="26" t="s">
        <v>1014</v>
      </c>
      <c r="D9" s="30">
        <v>197693</v>
      </c>
      <c r="E9" s="28">
        <v>2683.0893959999999</v>
      </c>
      <c r="F9" s="29">
        <v>5.9974330623339602</v>
      </c>
    </row>
    <row r="10" spans="1:6" x14ac:dyDescent="0.2">
      <c r="A10" s="26" t="s">
        <v>1019</v>
      </c>
      <c r="B10" s="26" t="s">
        <v>1018</v>
      </c>
      <c r="C10" s="26" t="s">
        <v>1014</v>
      </c>
      <c r="D10" s="30">
        <v>578281</v>
      </c>
      <c r="E10" s="28">
        <v>2572.7721689999998</v>
      </c>
      <c r="F10" s="29">
        <v>5.7508441169409501</v>
      </c>
    </row>
    <row r="11" spans="1:6" x14ac:dyDescent="0.2">
      <c r="A11" s="26" t="s">
        <v>1257</v>
      </c>
      <c r="B11" s="26" t="s">
        <v>1256</v>
      </c>
      <c r="C11" s="26" t="s">
        <v>1022</v>
      </c>
      <c r="D11" s="30">
        <v>95845</v>
      </c>
      <c r="E11" s="28">
        <v>2441.7472200000002</v>
      </c>
      <c r="F11" s="29">
        <v>5.4579677922479597</v>
      </c>
    </row>
    <row r="12" spans="1:6" x14ac:dyDescent="0.2">
      <c r="A12" s="26" t="s">
        <v>1024</v>
      </c>
      <c r="B12" s="26" t="s">
        <v>1023</v>
      </c>
      <c r="C12" s="26" t="s">
        <v>1014</v>
      </c>
      <c r="D12" s="30">
        <v>583651</v>
      </c>
      <c r="E12" s="28">
        <v>2218.7492769999999</v>
      </c>
      <c r="F12" s="29">
        <v>4.9595068620327698</v>
      </c>
    </row>
    <row r="13" spans="1:6" x14ac:dyDescent="0.2">
      <c r="A13" s="26" t="s">
        <v>1031</v>
      </c>
      <c r="B13" s="26" t="s">
        <v>1030</v>
      </c>
      <c r="C13" s="26" t="s">
        <v>1032</v>
      </c>
      <c r="D13" s="30">
        <v>411721</v>
      </c>
      <c r="E13" s="28">
        <v>2078.779329</v>
      </c>
      <c r="F13" s="29">
        <v>4.64663603666264</v>
      </c>
    </row>
    <row r="14" spans="1:6" x14ac:dyDescent="0.2">
      <c r="A14" s="26" t="s">
        <v>1393</v>
      </c>
      <c r="B14" s="26" t="s">
        <v>1392</v>
      </c>
      <c r="C14" s="26" t="s">
        <v>1038</v>
      </c>
      <c r="D14" s="30">
        <v>30980</v>
      </c>
      <c r="E14" s="28">
        <v>1934.8559</v>
      </c>
      <c r="F14" s="29">
        <v>4.3249281081769499</v>
      </c>
    </row>
    <row r="15" spans="1:6" x14ac:dyDescent="0.2">
      <c r="A15" s="26" t="s">
        <v>1069</v>
      </c>
      <c r="B15" s="26" t="s">
        <v>1068</v>
      </c>
      <c r="C15" s="26" t="s">
        <v>1043</v>
      </c>
      <c r="D15" s="30">
        <v>397644</v>
      </c>
      <c r="E15" s="28">
        <v>1471.2828</v>
      </c>
      <c r="F15" s="29">
        <v>3.2887164035302501</v>
      </c>
    </row>
    <row r="16" spans="1:6" x14ac:dyDescent="0.2">
      <c r="A16" s="26" t="s">
        <v>1216</v>
      </c>
      <c r="B16" s="26" t="s">
        <v>1215</v>
      </c>
      <c r="C16" s="26" t="s">
        <v>1032</v>
      </c>
      <c r="D16" s="30">
        <v>121898</v>
      </c>
      <c r="E16" s="28">
        <v>1364.4043140000001</v>
      </c>
      <c r="F16" s="29">
        <v>3.04981397763859</v>
      </c>
    </row>
    <row r="17" spans="1:6" x14ac:dyDescent="0.2">
      <c r="A17" s="26" t="s">
        <v>1110</v>
      </c>
      <c r="B17" s="26" t="s">
        <v>1109</v>
      </c>
      <c r="C17" s="26" t="s">
        <v>1035</v>
      </c>
      <c r="D17" s="30">
        <v>73037</v>
      </c>
      <c r="E17" s="28">
        <v>1284.5017190000001</v>
      </c>
      <c r="F17" s="29">
        <v>2.87120999011074</v>
      </c>
    </row>
    <row r="18" spans="1:6" x14ac:dyDescent="0.2">
      <c r="A18" s="26" t="s">
        <v>1051</v>
      </c>
      <c r="B18" s="26" t="s">
        <v>1050</v>
      </c>
      <c r="C18" s="26" t="s">
        <v>1052</v>
      </c>
      <c r="D18" s="30">
        <v>343240</v>
      </c>
      <c r="E18" s="28">
        <v>1258.48946</v>
      </c>
      <c r="F18" s="29">
        <v>2.8130655308224402</v>
      </c>
    </row>
    <row r="19" spans="1:6" x14ac:dyDescent="0.2">
      <c r="A19" s="26" t="s">
        <v>1165</v>
      </c>
      <c r="B19" s="26" t="s">
        <v>1164</v>
      </c>
      <c r="C19" s="26" t="s">
        <v>1022</v>
      </c>
      <c r="D19" s="30">
        <v>229692</v>
      </c>
      <c r="E19" s="28">
        <v>1248.4908660000001</v>
      </c>
      <c r="F19" s="29">
        <v>2.7907159593464201</v>
      </c>
    </row>
    <row r="20" spans="1:6" x14ac:dyDescent="0.2">
      <c r="A20" s="26" t="s">
        <v>1042</v>
      </c>
      <c r="B20" s="26" t="s">
        <v>1041</v>
      </c>
      <c r="C20" s="26" t="s">
        <v>1043</v>
      </c>
      <c r="D20" s="30">
        <v>551423</v>
      </c>
      <c r="E20" s="28">
        <v>1214.7848690000001</v>
      </c>
      <c r="F20" s="29">
        <v>2.7153739073417098</v>
      </c>
    </row>
    <row r="21" spans="1:6" x14ac:dyDescent="0.2">
      <c r="A21" s="26" t="s">
        <v>1226</v>
      </c>
      <c r="B21" s="26" t="s">
        <v>1225</v>
      </c>
      <c r="C21" s="26" t="s">
        <v>1061</v>
      </c>
      <c r="D21" s="30">
        <v>183307</v>
      </c>
      <c r="E21" s="28">
        <v>1202.4939199999999</v>
      </c>
      <c r="F21" s="29">
        <v>2.6879003002341899</v>
      </c>
    </row>
    <row r="22" spans="1:6" x14ac:dyDescent="0.2">
      <c r="A22" s="26" t="s">
        <v>1116</v>
      </c>
      <c r="B22" s="26" t="s">
        <v>1115</v>
      </c>
      <c r="C22" s="26" t="s">
        <v>1117</v>
      </c>
      <c r="D22" s="30">
        <v>116490</v>
      </c>
      <c r="E22" s="28">
        <v>1045.5559949999999</v>
      </c>
      <c r="F22" s="29">
        <v>2.3371014407059598</v>
      </c>
    </row>
    <row r="23" spans="1:6" x14ac:dyDescent="0.2">
      <c r="A23" s="26" t="s">
        <v>1395</v>
      </c>
      <c r="B23" s="26" t="s">
        <v>1394</v>
      </c>
      <c r="C23" s="26" t="s">
        <v>1032</v>
      </c>
      <c r="D23" s="30">
        <v>169316</v>
      </c>
      <c r="E23" s="28">
        <v>935.80953199999999</v>
      </c>
      <c r="F23" s="29">
        <v>2.0917883077735802</v>
      </c>
    </row>
    <row r="24" spans="1:6" x14ac:dyDescent="0.2">
      <c r="A24" s="26" t="s">
        <v>1401</v>
      </c>
      <c r="B24" s="26" t="s">
        <v>1400</v>
      </c>
      <c r="C24" s="26" t="s">
        <v>1061</v>
      </c>
      <c r="D24" s="30">
        <v>278529</v>
      </c>
      <c r="E24" s="28">
        <v>919.98128699999995</v>
      </c>
      <c r="F24" s="29">
        <v>2.0564078839892499</v>
      </c>
    </row>
    <row r="25" spans="1:6" x14ac:dyDescent="0.2">
      <c r="A25" s="26" t="s">
        <v>1099</v>
      </c>
      <c r="B25" s="26" t="s">
        <v>1098</v>
      </c>
      <c r="C25" s="26" t="s">
        <v>1055</v>
      </c>
      <c r="D25" s="30">
        <v>22418</v>
      </c>
      <c r="E25" s="28">
        <v>882.43973400000004</v>
      </c>
      <c r="F25" s="29">
        <v>1.97249232325198</v>
      </c>
    </row>
    <row r="26" spans="1:6" x14ac:dyDescent="0.2">
      <c r="A26" s="26" t="s">
        <v>1054</v>
      </c>
      <c r="B26" s="26" t="s">
        <v>1053</v>
      </c>
      <c r="C26" s="26" t="s">
        <v>1055</v>
      </c>
      <c r="D26" s="30">
        <v>268813</v>
      </c>
      <c r="E26" s="28">
        <v>870.81971350000003</v>
      </c>
      <c r="F26" s="29">
        <v>1.94651842344991</v>
      </c>
    </row>
    <row r="27" spans="1:6" x14ac:dyDescent="0.2">
      <c r="A27" s="26" t="s">
        <v>1057</v>
      </c>
      <c r="B27" s="26" t="s">
        <v>1056</v>
      </c>
      <c r="C27" s="26" t="s">
        <v>1058</v>
      </c>
      <c r="D27" s="30">
        <v>278178</v>
      </c>
      <c r="E27" s="28">
        <v>829.80497400000002</v>
      </c>
      <c r="F27" s="29">
        <v>1.8548393481693599</v>
      </c>
    </row>
    <row r="28" spans="1:6" x14ac:dyDescent="0.2">
      <c r="A28" s="26" t="s">
        <v>1348</v>
      </c>
      <c r="B28" s="26" t="s">
        <v>1347</v>
      </c>
      <c r="C28" s="26" t="s">
        <v>1117</v>
      </c>
      <c r="D28" s="30">
        <v>1262673</v>
      </c>
      <c r="E28" s="28">
        <v>808.11072000000001</v>
      </c>
      <c r="F28" s="29">
        <v>1.8063468020781901</v>
      </c>
    </row>
    <row r="29" spans="1:6" x14ac:dyDescent="0.2">
      <c r="A29" s="26" t="s">
        <v>1192</v>
      </c>
      <c r="B29" s="26" t="s">
        <v>1191</v>
      </c>
      <c r="C29" s="26" t="s">
        <v>1104</v>
      </c>
      <c r="D29" s="30">
        <v>1247117</v>
      </c>
      <c r="E29" s="28">
        <v>642.26525500000002</v>
      </c>
      <c r="F29" s="29">
        <v>1.4356371729052</v>
      </c>
    </row>
    <row r="30" spans="1:6" x14ac:dyDescent="0.2">
      <c r="A30" s="26" t="s">
        <v>1131</v>
      </c>
      <c r="B30" s="26" t="s">
        <v>1130</v>
      </c>
      <c r="C30" s="26" t="s">
        <v>1043</v>
      </c>
      <c r="D30" s="30">
        <v>752083</v>
      </c>
      <c r="E30" s="28">
        <v>633.25388599999997</v>
      </c>
      <c r="F30" s="29">
        <v>1.41549431726346</v>
      </c>
    </row>
    <row r="31" spans="1:6" x14ac:dyDescent="0.2">
      <c r="A31" s="26" t="s">
        <v>1255</v>
      </c>
      <c r="B31" s="26" t="s">
        <v>1254</v>
      </c>
      <c r="C31" s="26" t="s">
        <v>1022</v>
      </c>
      <c r="D31" s="30">
        <v>25813</v>
      </c>
      <c r="E31" s="28">
        <v>519.98997850000001</v>
      </c>
      <c r="F31" s="29">
        <v>1.162318741145</v>
      </c>
    </row>
    <row r="32" spans="1:6" x14ac:dyDescent="0.2">
      <c r="A32" s="26" t="s">
        <v>1087</v>
      </c>
      <c r="B32" s="26" t="s">
        <v>1086</v>
      </c>
      <c r="C32" s="26" t="s">
        <v>1052</v>
      </c>
      <c r="D32" s="30">
        <v>484457</v>
      </c>
      <c r="E32" s="28">
        <v>451.75615249999998</v>
      </c>
      <c r="F32" s="29">
        <v>1.00979761954837</v>
      </c>
    </row>
    <row r="33" spans="1:9" x14ac:dyDescent="0.2">
      <c r="A33" s="26" t="s">
        <v>1263</v>
      </c>
      <c r="B33" s="26" t="s">
        <v>1262</v>
      </c>
      <c r="C33" s="26" t="s">
        <v>1017</v>
      </c>
      <c r="D33" s="30">
        <v>9600668</v>
      </c>
      <c r="E33" s="28">
        <v>403.22805599999998</v>
      </c>
      <c r="F33" s="29">
        <v>0.90132415204664695</v>
      </c>
    </row>
    <row r="34" spans="1:9" x14ac:dyDescent="0.2">
      <c r="A34" s="26" t="s">
        <v>1360</v>
      </c>
      <c r="B34" s="26" t="s">
        <v>1359</v>
      </c>
      <c r="C34" s="26" t="s">
        <v>1104</v>
      </c>
      <c r="D34" s="30">
        <v>248911</v>
      </c>
      <c r="E34" s="28">
        <v>318.23271349999999</v>
      </c>
      <c r="F34" s="29">
        <v>0.71133649154832301</v>
      </c>
    </row>
    <row r="35" spans="1:9" x14ac:dyDescent="0.2">
      <c r="A35" s="26" t="s">
        <v>1434</v>
      </c>
      <c r="B35" s="26" t="s">
        <v>1433</v>
      </c>
      <c r="C35" s="26" t="s">
        <v>1104</v>
      </c>
      <c r="D35" s="30">
        <v>593597</v>
      </c>
      <c r="E35" s="28">
        <v>274.83541100000002</v>
      </c>
      <c r="F35" s="29">
        <v>0.61433174127141199</v>
      </c>
    </row>
    <row r="36" spans="1:9" x14ac:dyDescent="0.2">
      <c r="A36" s="26" t="s">
        <v>1078</v>
      </c>
      <c r="B36" s="26" t="s">
        <v>1077</v>
      </c>
      <c r="C36" s="26" t="s">
        <v>1035</v>
      </c>
      <c r="D36" s="30">
        <v>51897</v>
      </c>
      <c r="E36" s="28">
        <v>214.801683</v>
      </c>
      <c r="F36" s="29">
        <v>0.480140064430853</v>
      </c>
    </row>
    <row r="37" spans="1:9" x14ac:dyDescent="0.2">
      <c r="A37" s="26" t="s">
        <v>1438</v>
      </c>
      <c r="B37" s="26" t="s">
        <v>1437</v>
      </c>
      <c r="C37" s="26" t="s">
        <v>1104</v>
      </c>
      <c r="D37" s="30">
        <v>12795</v>
      </c>
      <c r="E37" s="28">
        <v>136.27954500000001</v>
      </c>
      <c r="F37" s="29">
        <v>0.30462177299098397</v>
      </c>
    </row>
    <row r="38" spans="1:9" x14ac:dyDescent="0.2">
      <c r="A38" s="26" t="s">
        <v>1428</v>
      </c>
      <c r="B38" s="26" t="s">
        <v>1427</v>
      </c>
      <c r="C38" s="26" t="s">
        <v>1022</v>
      </c>
      <c r="D38" s="30">
        <v>36661</v>
      </c>
      <c r="E38" s="28">
        <v>49.657324500000001</v>
      </c>
      <c r="F38" s="29">
        <v>0.11099759858442899</v>
      </c>
    </row>
    <row r="39" spans="1:9" x14ac:dyDescent="0.2">
      <c r="A39" s="26" t="s">
        <v>1430</v>
      </c>
      <c r="B39" s="26" t="s">
        <v>1429</v>
      </c>
      <c r="C39" s="26" t="s">
        <v>1083</v>
      </c>
      <c r="D39" s="30">
        <v>32642</v>
      </c>
      <c r="E39" s="28">
        <v>45.356059000000002</v>
      </c>
      <c r="F39" s="29">
        <v>0.10138310271335101</v>
      </c>
    </row>
    <row r="40" spans="1:9" x14ac:dyDescent="0.2">
      <c r="A40" s="26" t="s">
        <v>1440</v>
      </c>
      <c r="B40" s="26" t="s">
        <v>1439</v>
      </c>
      <c r="C40" s="26" t="s">
        <v>1195</v>
      </c>
      <c r="D40" s="30">
        <v>98573</v>
      </c>
      <c r="E40" s="28">
        <v>44.160704000000003</v>
      </c>
      <c r="F40" s="29">
        <v>9.8711159837010301E-2</v>
      </c>
    </row>
    <row r="41" spans="1:9" ht="10.5" x14ac:dyDescent="0.25">
      <c r="A41" s="25" t="s">
        <v>177</v>
      </c>
      <c r="B41" s="25"/>
      <c r="C41" s="25"/>
      <c r="D41" s="31"/>
      <c r="E41" s="32">
        <f>SUM(E7:E40)</f>
        <v>39864.043952499989</v>
      </c>
      <c r="F41" s="33">
        <f>SUM(F7:F40)</f>
        <v>89.106958402312472</v>
      </c>
      <c r="G41" s="17"/>
      <c r="H41" s="17"/>
      <c r="I41" s="17"/>
    </row>
    <row r="42" spans="1:9" x14ac:dyDescent="0.2">
      <c r="A42" s="26"/>
      <c r="B42" s="26"/>
      <c r="C42" s="26"/>
      <c r="D42" s="27"/>
      <c r="E42" s="28"/>
      <c r="F42" s="29"/>
    </row>
    <row r="43" spans="1:9" ht="10.5" x14ac:dyDescent="0.25">
      <c r="A43" s="25" t="s">
        <v>1158</v>
      </c>
      <c r="B43" s="26"/>
      <c r="C43" s="26"/>
      <c r="D43" s="27"/>
      <c r="E43" s="28"/>
      <c r="F43" s="29"/>
    </row>
    <row r="44" spans="1:9" x14ac:dyDescent="0.2">
      <c r="A44" s="26"/>
      <c r="B44" s="26" t="s">
        <v>1264</v>
      </c>
      <c r="C44" s="26" t="s">
        <v>1022</v>
      </c>
      <c r="D44" s="30">
        <v>489000</v>
      </c>
      <c r="E44" s="28">
        <v>4.8899999999999999E-2</v>
      </c>
      <c r="F44" s="29">
        <v>1.0930477276878999E-4</v>
      </c>
    </row>
    <row r="45" spans="1:9" x14ac:dyDescent="0.2">
      <c r="A45" s="26"/>
      <c r="B45" s="26" t="s">
        <v>1161</v>
      </c>
      <c r="C45" s="26" t="s">
        <v>1104</v>
      </c>
      <c r="D45" s="30">
        <v>98000</v>
      </c>
      <c r="E45" s="28">
        <v>9.7999999999999997E-3</v>
      </c>
      <c r="F45" s="29">
        <v>2.1905659982293301E-5</v>
      </c>
    </row>
    <row r="46" spans="1:9" x14ac:dyDescent="0.2">
      <c r="A46" s="26" t="s">
        <v>1442</v>
      </c>
      <c r="B46" s="26" t="s">
        <v>1441</v>
      </c>
      <c r="C46" s="26" t="s">
        <v>1334</v>
      </c>
      <c r="D46" s="30">
        <v>44170</v>
      </c>
      <c r="E46" s="28">
        <v>4.4169999999999999E-3</v>
      </c>
      <c r="F46" s="29">
        <v>9.8731938920193497E-6</v>
      </c>
    </row>
    <row r="47" spans="1:9" x14ac:dyDescent="0.2">
      <c r="A47" s="26"/>
      <c r="B47" s="26" t="s">
        <v>1443</v>
      </c>
      <c r="C47" s="26" t="s">
        <v>1022</v>
      </c>
      <c r="D47" s="30">
        <v>23815</v>
      </c>
      <c r="E47" s="28">
        <v>2.3814999999999999E-3</v>
      </c>
      <c r="F47" s="29">
        <v>5.3232989028399602E-6</v>
      </c>
    </row>
    <row r="48" spans="1:9" ht="10.5" x14ac:dyDescent="0.25">
      <c r="A48" s="25" t="s">
        <v>177</v>
      </c>
      <c r="B48" s="25"/>
      <c r="C48" s="25"/>
      <c r="D48" s="31"/>
      <c r="E48" s="32">
        <f>SUM(E43:E47)</f>
        <v>6.5498500000000001E-2</v>
      </c>
      <c r="F48" s="33">
        <f>SUM(F43:F47)</f>
        <v>1.4640692554594262E-4</v>
      </c>
      <c r="G48" s="17"/>
      <c r="H48" s="17"/>
      <c r="I48" s="17"/>
    </row>
    <row r="49" spans="1:9" x14ac:dyDescent="0.2">
      <c r="A49" s="26"/>
      <c r="B49" s="26"/>
      <c r="C49" s="26"/>
      <c r="D49" s="27"/>
      <c r="E49" s="28"/>
      <c r="F49" s="29"/>
    </row>
    <row r="50" spans="1:9" ht="10.5" x14ac:dyDescent="0.25">
      <c r="A50" s="25" t="s">
        <v>226</v>
      </c>
      <c r="B50" s="25"/>
      <c r="C50" s="25"/>
      <c r="D50" s="31"/>
      <c r="E50" s="32">
        <f>E41+E48</f>
        <v>39864.109450999989</v>
      </c>
      <c r="F50" s="33">
        <f>F41+F48</f>
        <v>89.107104809238024</v>
      </c>
      <c r="G50" s="17"/>
      <c r="H50" s="17"/>
      <c r="I50" s="17"/>
    </row>
    <row r="51" spans="1:9" ht="10.5" x14ac:dyDescent="0.25">
      <c r="A51" s="25"/>
      <c r="B51" s="25"/>
      <c r="C51" s="25"/>
      <c r="D51" s="31"/>
      <c r="E51" s="32"/>
      <c r="F51" s="33"/>
      <c r="G51" s="17"/>
      <c r="H51" s="17"/>
      <c r="I51" s="17"/>
    </row>
    <row r="52" spans="1:9" ht="10.5" x14ac:dyDescent="0.25">
      <c r="A52" s="25" t="s">
        <v>228</v>
      </c>
      <c r="B52" s="25"/>
      <c r="C52" s="25"/>
      <c r="D52" s="31"/>
      <c r="E52" s="32">
        <f>E54-(E41+E48)</f>
        <v>4873.1867908000131</v>
      </c>
      <c r="F52" s="33">
        <f>F54-(F41+F48)</f>
        <v>10.892895190761976</v>
      </c>
      <c r="G52" s="17"/>
      <c r="H52" s="17"/>
      <c r="I52" s="17"/>
    </row>
    <row r="53" spans="1:9" ht="10.5" x14ac:dyDescent="0.25">
      <c r="A53" s="25"/>
      <c r="B53" s="25"/>
      <c r="C53" s="25"/>
      <c r="D53" s="31"/>
      <c r="E53" s="32"/>
      <c r="F53" s="33"/>
      <c r="G53" s="17"/>
      <c r="H53" s="17"/>
      <c r="I53" s="17"/>
    </row>
    <row r="54" spans="1:9" ht="10.5" x14ac:dyDescent="0.25">
      <c r="A54" s="34" t="s">
        <v>227</v>
      </c>
      <c r="B54" s="34"/>
      <c r="C54" s="34"/>
      <c r="D54" s="35"/>
      <c r="E54" s="36">
        <v>44737.296241800002</v>
      </c>
      <c r="F54" s="37">
        <v>100</v>
      </c>
      <c r="G54" s="17"/>
      <c r="H54" s="17"/>
      <c r="I54" s="17"/>
    </row>
    <row r="55" spans="1:9" ht="10.5" x14ac:dyDescent="0.25">
      <c r="F55" s="19" t="s">
        <v>446</v>
      </c>
    </row>
    <row r="56" spans="1:9" ht="10.5" x14ac:dyDescent="0.25">
      <c r="A56" s="17" t="s">
        <v>232</v>
      </c>
    </row>
    <row r="57" spans="1:9" ht="10.5" x14ac:dyDescent="0.25">
      <c r="A57" s="17" t="s">
        <v>233</v>
      </c>
    </row>
    <row r="58" spans="1:9" ht="10.5" x14ac:dyDescent="0.25">
      <c r="A58" s="17" t="s">
        <v>234</v>
      </c>
      <c r="B58" s="17"/>
      <c r="C58" s="38" t="s">
        <v>236</v>
      </c>
      <c r="D58" s="18" t="s">
        <v>235</v>
      </c>
    </row>
    <row r="59" spans="1:9" x14ac:dyDescent="0.2">
      <c r="A59" s="10" t="s">
        <v>543</v>
      </c>
      <c r="C59" s="39">
        <v>73.127099999999999</v>
      </c>
      <c r="D59" s="39">
        <v>60.583300000000001</v>
      </c>
    </row>
    <row r="60" spans="1:9" x14ac:dyDescent="0.2">
      <c r="A60" s="10" t="s">
        <v>580</v>
      </c>
      <c r="C60" s="39">
        <v>18.5776</v>
      </c>
      <c r="D60" s="39">
        <v>14.150700000000001</v>
      </c>
    </row>
    <row r="61" spans="1:9" x14ac:dyDescent="0.2">
      <c r="A61" s="10" t="s">
        <v>546</v>
      </c>
      <c r="C61" s="39">
        <v>76.416700000000006</v>
      </c>
      <c r="D61" s="39">
        <v>63.626899999999999</v>
      </c>
    </row>
    <row r="62" spans="1:9" x14ac:dyDescent="0.2">
      <c r="A62" s="10" t="s">
        <v>581</v>
      </c>
      <c r="C62" s="39">
        <v>19.613900000000001</v>
      </c>
      <c r="D62" s="39">
        <v>15.0831</v>
      </c>
    </row>
    <row r="64" spans="1:9" ht="10.5" x14ac:dyDescent="0.25">
      <c r="A64" s="17" t="s">
        <v>248</v>
      </c>
    </row>
    <row r="65" spans="1:4" ht="10.5" x14ac:dyDescent="0.25">
      <c r="A65" s="84" t="s">
        <v>249</v>
      </c>
      <c r="B65" s="85"/>
      <c r="C65" s="82" t="s">
        <v>250</v>
      </c>
      <c r="D65" s="83"/>
    </row>
    <row r="66" spans="1:4" ht="10.5" x14ac:dyDescent="0.25">
      <c r="A66" s="84"/>
      <c r="B66" s="85"/>
      <c r="C66" s="40" t="s">
        <v>251</v>
      </c>
      <c r="D66" s="41" t="s">
        <v>252</v>
      </c>
    </row>
    <row r="67" spans="1:4" x14ac:dyDescent="0.2">
      <c r="A67" s="78" t="s">
        <v>580</v>
      </c>
      <c r="B67" s="79"/>
      <c r="C67" s="42">
        <v>1.3281127049999999</v>
      </c>
      <c r="D67" s="42">
        <v>1.3281127049999999</v>
      </c>
    </row>
    <row r="68" spans="1:4" x14ac:dyDescent="0.2">
      <c r="A68" s="78" t="s">
        <v>581</v>
      </c>
      <c r="B68" s="79"/>
      <c r="C68" s="42">
        <v>1.3281127049999999</v>
      </c>
      <c r="D68" s="42">
        <v>1.3281127049999999</v>
      </c>
    </row>
    <row r="70" spans="1:4" ht="10.5" x14ac:dyDescent="0.25">
      <c r="A70" s="17" t="s">
        <v>1151</v>
      </c>
      <c r="D70" s="47">
        <v>5.67E-2</v>
      </c>
    </row>
  </sheetData>
  <mergeCells count="6">
    <mergeCell ref="A68:B68"/>
    <mergeCell ref="A1:F1"/>
    <mergeCell ref="C65:D65"/>
    <mergeCell ref="A65:B65"/>
    <mergeCell ref="A66:B66"/>
    <mergeCell ref="A67:B67"/>
  </mergeCells>
  <conditionalFormatting sqref="F2:F3 F5:F65535">
    <cfRule type="cellIs" dxfId="19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55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24.1796875" style="10" bestFit="1" customWidth="1"/>
    <col min="3" max="3" width="18.8164062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5.54296875" style="10" bestFit="1" customWidth="1"/>
    <col min="8" max="16384" width="9.1796875" style="10"/>
  </cols>
  <sheetData>
    <row r="1" spans="1:6" s="1" customFormat="1" ht="14" x14ac:dyDescent="0.25">
      <c r="A1" s="80" t="s">
        <v>47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1024</v>
      </c>
      <c r="B7" s="26" t="s">
        <v>1023</v>
      </c>
      <c r="C7" s="26" t="s">
        <v>1014</v>
      </c>
      <c r="D7" s="30">
        <v>18800000</v>
      </c>
      <c r="E7" s="28">
        <v>71468.2</v>
      </c>
      <c r="F7" s="29">
        <v>10.273565923697401</v>
      </c>
    </row>
    <row r="8" spans="1:6" x14ac:dyDescent="0.2">
      <c r="A8" s="26" t="s">
        <v>1065</v>
      </c>
      <c r="B8" s="26" t="s">
        <v>1064</v>
      </c>
      <c r="C8" s="26" t="s">
        <v>1014</v>
      </c>
      <c r="D8" s="30">
        <v>33000000</v>
      </c>
      <c r="E8" s="28">
        <v>62865</v>
      </c>
      <c r="F8" s="29">
        <v>9.0368544582518702</v>
      </c>
    </row>
    <row r="9" spans="1:6" x14ac:dyDescent="0.2">
      <c r="A9" s="26" t="s">
        <v>1016</v>
      </c>
      <c r="B9" s="26" t="s">
        <v>1015</v>
      </c>
      <c r="C9" s="26" t="s">
        <v>1017</v>
      </c>
      <c r="D9" s="30">
        <v>10500000</v>
      </c>
      <c r="E9" s="28">
        <v>54001.5</v>
      </c>
      <c r="F9" s="29">
        <v>7.7627248234675603</v>
      </c>
    </row>
    <row r="10" spans="1:6" x14ac:dyDescent="0.2">
      <c r="A10" s="26" t="s">
        <v>1013</v>
      </c>
      <c r="B10" s="26" t="s">
        <v>1012</v>
      </c>
      <c r="C10" s="26" t="s">
        <v>1014</v>
      </c>
      <c r="D10" s="30">
        <v>4350000</v>
      </c>
      <c r="E10" s="28">
        <v>43578.3</v>
      </c>
      <c r="F10" s="29">
        <v>6.2643880480082297</v>
      </c>
    </row>
    <row r="11" spans="1:6" x14ac:dyDescent="0.2">
      <c r="A11" s="26" t="s">
        <v>1131</v>
      </c>
      <c r="B11" s="26" t="s">
        <v>1130</v>
      </c>
      <c r="C11" s="26" t="s">
        <v>1043</v>
      </c>
      <c r="D11" s="30">
        <v>47494502</v>
      </c>
      <c r="E11" s="28">
        <v>39990.37068</v>
      </c>
      <c r="F11" s="29">
        <v>5.7486225971001801</v>
      </c>
    </row>
    <row r="12" spans="1:6" x14ac:dyDescent="0.2">
      <c r="A12" s="26" t="s">
        <v>1019</v>
      </c>
      <c r="B12" s="26" t="s">
        <v>1018</v>
      </c>
      <c r="C12" s="26" t="s">
        <v>1014</v>
      </c>
      <c r="D12" s="30">
        <v>8339643</v>
      </c>
      <c r="E12" s="28">
        <v>37103.071709999997</v>
      </c>
      <c r="F12" s="29">
        <v>5.3335728783480798</v>
      </c>
    </row>
    <row r="13" spans="1:6" x14ac:dyDescent="0.2">
      <c r="A13" s="26" t="s">
        <v>1445</v>
      </c>
      <c r="B13" s="26" t="s">
        <v>1444</v>
      </c>
      <c r="C13" s="26" t="s">
        <v>1032</v>
      </c>
      <c r="D13" s="30">
        <v>3100000</v>
      </c>
      <c r="E13" s="28">
        <v>36552.1</v>
      </c>
      <c r="F13" s="29">
        <v>5.2543706011845703</v>
      </c>
    </row>
    <row r="14" spans="1:6" x14ac:dyDescent="0.2">
      <c r="A14" s="26" t="s">
        <v>1119</v>
      </c>
      <c r="B14" s="26" t="s">
        <v>1118</v>
      </c>
      <c r="C14" s="26" t="s">
        <v>1032</v>
      </c>
      <c r="D14" s="30">
        <v>1025000</v>
      </c>
      <c r="E14" s="28">
        <v>36226.574999999997</v>
      </c>
      <c r="F14" s="29">
        <v>5.2075763269855404</v>
      </c>
    </row>
    <row r="15" spans="1:6" x14ac:dyDescent="0.2">
      <c r="A15" s="26" t="s">
        <v>1069</v>
      </c>
      <c r="B15" s="26" t="s">
        <v>1068</v>
      </c>
      <c r="C15" s="26" t="s">
        <v>1043</v>
      </c>
      <c r="D15" s="30">
        <v>8385977</v>
      </c>
      <c r="E15" s="28">
        <v>31028.1149</v>
      </c>
      <c r="F15" s="29">
        <v>4.4602968021190801</v>
      </c>
    </row>
    <row r="16" spans="1:6" x14ac:dyDescent="0.2">
      <c r="A16" s="26" t="s">
        <v>1447</v>
      </c>
      <c r="B16" s="26" t="s">
        <v>1446</v>
      </c>
      <c r="C16" s="26" t="s">
        <v>1055</v>
      </c>
      <c r="D16" s="30">
        <v>3600000</v>
      </c>
      <c r="E16" s="28">
        <v>30070.799999999999</v>
      </c>
      <c r="F16" s="29">
        <v>4.3226826221776902</v>
      </c>
    </row>
    <row r="17" spans="1:6" x14ac:dyDescent="0.2">
      <c r="A17" s="26" t="s">
        <v>1449</v>
      </c>
      <c r="B17" s="26" t="s">
        <v>1448</v>
      </c>
      <c r="C17" s="26" t="s">
        <v>1195</v>
      </c>
      <c r="D17" s="30">
        <v>2800000</v>
      </c>
      <c r="E17" s="28">
        <v>27867</v>
      </c>
      <c r="F17" s="29">
        <v>4.0058859967884297</v>
      </c>
    </row>
    <row r="18" spans="1:6" x14ac:dyDescent="0.2">
      <c r="A18" s="26" t="s">
        <v>1063</v>
      </c>
      <c r="B18" s="26" t="s">
        <v>1062</v>
      </c>
      <c r="C18" s="26" t="s">
        <v>1061</v>
      </c>
      <c r="D18" s="30">
        <v>29194488</v>
      </c>
      <c r="E18" s="28">
        <v>27749.360840000001</v>
      </c>
      <c r="F18" s="29">
        <v>3.9889753475001002</v>
      </c>
    </row>
    <row r="19" spans="1:6" x14ac:dyDescent="0.2">
      <c r="A19" s="26" t="s">
        <v>1451</v>
      </c>
      <c r="B19" s="26" t="s">
        <v>1450</v>
      </c>
      <c r="C19" s="26" t="s">
        <v>1104</v>
      </c>
      <c r="D19" s="30">
        <v>2300000</v>
      </c>
      <c r="E19" s="28">
        <v>16717.55</v>
      </c>
      <c r="F19" s="29">
        <v>2.4031506601216699</v>
      </c>
    </row>
    <row r="20" spans="1:6" x14ac:dyDescent="0.2">
      <c r="A20" s="26" t="s">
        <v>1140</v>
      </c>
      <c r="B20" s="26" t="s">
        <v>1139</v>
      </c>
      <c r="C20" s="26" t="s">
        <v>1029</v>
      </c>
      <c r="D20" s="30">
        <v>17000000</v>
      </c>
      <c r="E20" s="28">
        <v>16269</v>
      </c>
      <c r="F20" s="29">
        <v>2.3386715212168898</v>
      </c>
    </row>
    <row r="21" spans="1:6" x14ac:dyDescent="0.2">
      <c r="A21" s="26" t="s">
        <v>1263</v>
      </c>
      <c r="B21" s="26" t="s">
        <v>1262</v>
      </c>
      <c r="C21" s="26" t="s">
        <v>1017</v>
      </c>
      <c r="D21" s="30">
        <v>300000000</v>
      </c>
      <c r="E21" s="28">
        <v>12600</v>
      </c>
      <c r="F21" s="29">
        <v>1.8112521462494799</v>
      </c>
    </row>
    <row r="22" spans="1:6" x14ac:dyDescent="0.2">
      <c r="A22" s="26" t="s">
        <v>1453</v>
      </c>
      <c r="B22" s="26" t="s">
        <v>1452</v>
      </c>
      <c r="C22" s="26" t="s">
        <v>1076</v>
      </c>
      <c r="D22" s="30">
        <v>4000000</v>
      </c>
      <c r="E22" s="28">
        <v>11620</v>
      </c>
      <c r="F22" s="29">
        <v>1.67037697931896</v>
      </c>
    </row>
    <row r="23" spans="1:6" x14ac:dyDescent="0.2">
      <c r="A23" s="26" t="s">
        <v>1169</v>
      </c>
      <c r="B23" s="26" t="s">
        <v>1168</v>
      </c>
      <c r="C23" s="26" t="s">
        <v>1052</v>
      </c>
      <c r="D23" s="30">
        <v>28845175</v>
      </c>
      <c r="E23" s="28">
        <v>11465.957060000001</v>
      </c>
      <c r="F23" s="29">
        <v>1.64823328045471</v>
      </c>
    </row>
    <row r="24" spans="1:6" x14ac:dyDescent="0.2">
      <c r="A24" s="26" t="s">
        <v>1440</v>
      </c>
      <c r="B24" s="26" t="s">
        <v>1439</v>
      </c>
      <c r="C24" s="26" t="s">
        <v>1195</v>
      </c>
      <c r="D24" s="30">
        <v>22500000</v>
      </c>
      <c r="E24" s="28">
        <v>10080</v>
      </c>
      <c r="F24" s="29">
        <v>1.4490017169995799</v>
      </c>
    </row>
    <row r="25" spans="1:6" x14ac:dyDescent="0.2">
      <c r="A25" s="26" t="s">
        <v>1329</v>
      </c>
      <c r="B25" s="26" t="s">
        <v>1328</v>
      </c>
      <c r="C25" s="26" t="s">
        <v>1294</v>
      </c>
      <c r="D25" s="30">
        <v>4800000</v>
      </c>
      <c r="E25" s="28">
        <v>9628.7999999999993</v>
      </c>
      <c r="F25" s="29">
        <v>1.3841416401434099</v>
      </c>
    </row>
    <row r="26" spans="1:6" x14ac:dyDescent="0.2">
      <c r="A26" s="26" t="s">
        <v>1338</v>
      </c>
      <c r="B26" s="26" t="s">
        <v>1337</v>
      </c>
      <c r="C26" s="26" t="s">
        <v>1032</v>
      </c>
      <c r="D26" s="30">
        <v>4500000</v>
      </c>
      <c r="E26" s="28">
        <v>8979.75</v>
      </c>
      <c r="F26" s="29">
        <v>1.29084059208601</v>
      </c>
    </row>
    <row r="27" spans="1:6" x14ac:dyDescent="0.2">
      <c r="A27" s="26" t="s">
        <v>1116</v>
      </c>
      <c r="B27" s="26" t="s">
        <v>1115</v>
      </c>
      <c r="C27" s="26" t="s">
        <v>1117</v>
      </c>
      <c r="D27" s="30">
        <v>1000000</v>
      </c>
      <c r="E27" s="28">
        <v>8975.5</v>
      </c>
      <c r="F27" s="29">
        <v>1.2902296538620801</v>
      </c>
    </row>
    <row r="28" spans="1:6" x14ac:dyDescent="0.2">
      <c r="A28" s="26" t="s">
        <v>1171</v>
      </c>
      <c r="B28" s="26" t="s">
        <v>1170</v>
      </c>
      <c r="C28" s="26" t="s">
        <v>1052</v>
      </c>
      <c r="D28" s="30">
        <v>400000</v>
      </c>
      <c r="E28" s="28">
        <v>8666.7999999999993</v>
      </c>
      <c r="F28" s="29">
        <v>1.24585397627897</v>
      </c>
    </row>
    <row r="29" spans="1:6" x14ac:dyDescent="0.2">
      <c r="A29" s="26" t="s">
        <v>1455</v>
      </c>
      <c r="B29" s="26" t="s">
        <v>1454</v>
      </c>
      <c r="C29" s="26" t="s">
        <v>1032</v>
      </c>
      <c r="D29" s="30">
        <v>15021316</v>
      </c>
      <c r="E29" s="28">
        <v>6136.2075860000004</v>
      </c>
      <c r="F29" s="29">
        <v>0.88208088571228904</v>
      </c>
    </row>
    <row r="30" spans="1:6" x14ac:dyDescent="0.2">
      <c r="A30" s="26" t="s">
        <v>1325</v>
      </c>
      <c r="B30" s="26" t="s">
        <v>1324</v>
      </c>
      <c r="C30" s="26" t="s">
        <v>1076</v>
      </c>
      <c r="D30" s="30">
        <v>175000</v>
      </c>
      <c r="E30" s="28">
        <v>6027.5249999999996</v>
      </c>
      <c r="F30" s="29">
        <v>0.86645774546209497</v>
      </c>
    </row>
    <row r="31" spans="1:6" x14ac:dyDescent="0.2">
      <c r="A31" s="26" t="s">
        <v>1457</v>
      </c>
      <c r="B31" s="26" t="s">
        <v>1456</v>
      </c>
      <c r="C31" s="26" t="s">
        <v>1294</v>
      </c>
      <c r="D31" s="30">
        <v>15000000</v>
      </c>
      <c r="E31" s="28">
        <v>5632.5</v>
      </c>
      <c r="F31" s="29">
        <v>0.80967283442461901</v>
      </c>
    </row>
    <row r="32" spans="1:6" x14ac:dyDescent="0.2">
      <c r="A32" s="26" t="s">
        <v>1459</v>
      </c>
      <c r="B32" s="26" t="s">
        <v>1458</v>
      </c>
      <c r="C32" s="26" t="s">
        <v>1055</v>
      </c>
      <c r="D32" s="30">
        <v>850316</v>
      </c>
      <c r="E32" s="28">
        <v>5192.8798120000001</v>
      </c>
      <c r="F32" s="29">
        <v>0.74647735751592004</v>
      </c>
    </row>
    <row r="33" spans="1:9" x14ac:dyDescent="0.2">
      <c r="A33" s="26" t="s">
        <v>1057</v>
      </c>
      <c r="B33" s="26" t="s">
        <v>1056</v>
      </c>
      <c r="C33" s="26" t="s">
        <v>1058</v>
      </c>
      <c r="D33" s="30">
        <v>1500000</v>
      </c>
      <c r="E33" s="28">
        <v>4474.5</v>
      </c>
      <c r="F33" s="29">
        <v>0.64321013717407105</v>
      </c>
    </row>
    <row r="34" spans="1:9" x14ac:dyDescent="0.2">
      <c r="A34" s="26" t="s">
        <v>1099</v>
      </c>
      <c r="B34" s="26" t="s">
        <v>1098</v>
      </c>
      <c r="C34" s="26" t="s">
        <v>1055</v>
      </c>
      <c r="D34" s="30">
        <v>100000</v>
      </c>
      <c r="E34" s="28">
        <v>3936.3</v>
      </c>
      <c r="F34" s="29">
        <v>0.56584379549855801</v>
      </c>
    </row>
    <row r="35" spans="1:9" x14ac:dyDescent="0.2">
      <c r="A35" s="26" t="s">
        <v>1461</v>
      </c>
      <c r="B35" s="26" t="s">
        <v>1460</v>
      </c>
      <c r="C35" s="26" t="s">
        <v>1294</v>
      </c>
      <c r="D35" s="30">
        <v>3200000</v>
      </c>
      <c r="E35" s="28">
        <v>3518.4</v>
      </c>
      <c r="F35" s="29">
        <v>0.50577059931461699</v>
      </c>
    </row>
    <row r="36" spans="1:9" x14ac:dyDescent="0.2">
      <c r="A36" s="26" t="s">
        <v>1157</v>
      </c>
      <c r="B36" s="26" t="s">
        <v>1156</v>
      </c>
      <c r="C36" s="26" t="s">
        <v>1038</v>
      </c>
      <c r="D36" s="30">
        <v>2350053</v>
      </c>
      <c r="E36" s="28">
        <v>2263.1010390000001</v>
      </c>
      <c r="F36" s="29">
        <v>0.32532115984668097</v>
      </c>
    </row>
    <row r="37" spans="1:9" ht="10.5" x14ac:dyDescent="0.25">
      <c r="A37" s="25" t="s">
        <v>177</v>
      </c>
      <c r="B37" s="25"/>
      <c r="C37" s="25"/>
      <c r="D37" s="31"/>
      <c r="E37" s="32">
        <f>SUM(E7:E36)</f>
        <v>650685.16362700006</v>
      </c>
      <c r="F37" s="33">
        <f>SUM(F7:F36)</f>
        <v>93.53610310730933</v>
      </c>
      <c r="G37" s="17"/>
      <c r="H37" s="17"/>
      <c r="I37" s="17"/>
    </row>
    <row r="38" spans="1:9" x14ac:dyDescent="0.2">
      <c r="A38" s="26"/>
      <c r="B38" s="26"/>
      <c r="C38" s="26"/>
      <c r="D38" s="27"/>
      <c r="E38" s="28"/>
      <c r="F38" s="29"/>
    </row>
    <row r="39" spans="1:9" ht="10.5" x14ac:dyDescent="0.25">
      <c r="A39" s="25" t="s">
        <v>226</v>
      </c>
      <c r="B39" s="25"/>
      <c r="C39" s="25"/>
      <c r="D39" s="31"/>
      <c r="E39" s="32">
        <f>E37</f>
        <v>650685.16362700006</v>
      </c>
      <c r="F39" s="33">
        <f>F37</f>
        <v>93.53610310730933</v>
      </c>
      <c r="G39" s="17"/>
      <c r="H39" s="17"/>
      <c r="I39" s="17"/>
    </row>
    <row r="40" spans="1:9" ht="10.5" x14ac:dyDescent="0.25">
      <c r="A40" s="25"/>
      <c r="B40" s="25"/>
      <c r="C40" s="25"/>
      <c r="D40" s="31"/>
      <c r="E40" s="32"/>
      <c r="F40" s="33"/>
      <c r="G40" s="17"/>
      <c r="H40" s="17"/>
      <c r="I40" s="17"/>
    </row>
    <row r="41" spans="1:9" ht="10.5" x14ac:dyDescent="0.25">
      <c r="A41" s="25" t="s">
        <v>228</v>
      </c>
      <c r="B41" s="25"/>
      <c r="C41" s="25"/>
      <c r="D41" s="31"/>
      <c r="E41" s="32">
        <f>E43-(E37)</f>
        <v>44966.185970599996</v>
      </c>
      <c r="F41" s="33">
        <f>F43-(F37)</f>
        <v>6.4638968926906699</v>
      </c>
      <c r="G41" s="17"/>
      <c r="H41" s="17"/>
      <c r="I41" s="17"/>
    </row>
    <row r="42" spans="1:9" ht="10.5" x14ac:dyDescent="0.25">
      <c r="A42" s="25"/>
      <c r="B42" s="25"/>
      <c r="C42" s="25"/>
      <c r="D42" s="31"/>
      <c r="E42" s="32"/>
      <c r="F42" s="33"/>
      <c r="G42" s="17"/>
      <c r="H42" s="17"/>
      <c r="I42" s="17"/>
    </row>
    <row r="43" spans="1:9" ht="10.5" x14ac:dyDescent="0.25">
      <c r="A43" s="34" t="s">
        <v>227</v>
      </c>
      <c r="B43" s="34"/>
      <c r="C43" s="34"/>
      <c r="D43" s="35"/>
      <c r="E43" s="36">
        <v>695651.34959760006</v>
      </c>
      <c r="F43" s="37">
        <v>100</v>
      </c>
      <c r="G43" s="17"/>
      <c r="H43" s="17"/>
      <c r="I43" s="17"/>
    </row>
    <row r="45" spans="1:9" ht="10.5" x14ac:dyDescent="0.25">
      <c r="A45" s="17" t="s">
        <v>232</v>
      </c>
    </row>
    <row r="46" spans="1:9" ht="10.5" x14ac:dyDescent="0.25">
      <c r="A46" s="17" t="s">
        <v>233</v>
      </c>
    </row>
    <row r="47" spans="1:9" ht="10.5" x14ac:dyDescent="0.25">
      <c r="A47" s="17" t="s">
        <v>234</v>
      </c>
      <c r="B47" s="17"/>
      <c r="C47" s="38" t="s">
        <v>236</v>
      </c>
      <c r="D47" s="18" t="s">
        <v>235</v>
      </c>
    </row>
    <row r="48" spans="1:9" x14ac:dyDescent="0.2">
      <c r="A48" s="10" t="s">
        <v>543</v>
      </c>
      <c r="C48" s="39">
        <v>41.190100000000001</v>
      </c>
      <c r="D48" s="39">
        <v>33.159999999999997</v>
      </c>
    </row>
    <row r="49" spans="1:4" x14ac:dyDescent="0.2">
      <c r="A49" s="10" t="s">
        <v>580</v>
      </c>
      <c r="C49" s="39">
        <v>22.331199999999999</v>
      </c>
      <c r="D49" s="39">
        <v>17.977799999999998</v>
      </c>
    </row>
    <row r="50" spans="1:4" x14ac:dyDescent="0.2">
      <c r="A50" s="10" t="s">
        <v>546</v>
      </c>
      <c r="C50" s="39">
        <v>44.283799999999999</v>
      </c>
      <c r="D50" s="39">
        <v>35.804400000000001</v>
      </c>
    </row>
    <row r="51" spans="1:4" x14ac:dyDescent="0.2">
      <c r="A51" s="10" t="s">
        <v>581</v>
      </c>
      <c r="C51" s="39">
        <v>24.613099999999999</v>
      </c>
      <c r="D51" s="39">
        <v>19.900099999999998</v>
      </c>
    </row>
    <row r="53" spans="1:4" ht="10.5" x14ac:dyDescent="0.25">
      <c r="A53" s="17" t="s">
        <v>248</v>
      </c>
      <c r="D53" s="46" t="s">
        <v>256</v>
      </c>
    </row>
    <row r="55" spans="1:4" ht="10.5" x14ac:dyDescent="0.25">
      <c r="A55" s="17" t="s">
        <v>1151</v>
      </c>
      <c r="D55" s="47">
        <v>0.28050000000000003</v>
      </c>
    </row>
  </sheetData>
  <mergeCells count="1">
    <mergeCell ref="A1:F1"/>
  </mergeCells>
  <conditionalFormatting sqref="F2:F3 F5:F65535">
    <cfRule type="cellIs" dxfId="18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95"/>
  <sheetViews>
    <sheetView topLeftCell="A79" workbookViewId="0">
      <selection activeCell="A93" sqref="A93"/>
    </sheetView>
  </sheetViews>
  <sheetFormatPr defaultColWidth="9.1796875" defaultRowHeight="10" x14ac:dyDescent="0.2"/>
  <cols>
    <col min="1" max="1" width="38.7265625" style="10" bestFit="1" customWidth="1"/>
    <col min="2" max="2" width="33.453125" style="10" bestFit="1" customWidth="1"/>
    <col min="3" max="3" width="35.726562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4.54296875" style="10" bestFit="1" customWidth="1"/>
    <col min="8" max="8" width="9.54296875" style="10" bestFit="1" customWidth="1"/>
    <col min="9" max="16384" width="9.1796875" style="10"/>
  </cols>
  <sheetData>
    <row r="1" spans="1:6" s="1" customFormat="1" ht="14" x14ac:dyDescent="0.25">
      <c r="A1" s="80" t="s">
        <v>48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1013</v>
      </c>
      <c r="B7" s="26" t="s">
        <v>1012</v>
      </c>
      <c r="C7" s="26" t="s">
        <v>1014</v>
      </c>
      <c r="D7" s="30">
        <v>7000000</v>
      </c>
      <c r="E7" s="28">
        <v>70126</v>
      </c>
      <c r="F7" s="29">
        <v>8.2685046122171499</v>
      </c>
    </row>
    <row r="8" spans="1:6" x14ac:dyDescent="0.2">
      <c r="A8" s="26" t="s">
        <v>1016</v>
      </c>
      <c r="B8" s="26" t="s">
        <v>1015</v>
      </c>
      <c r="C8" s="26" t="s">
        <v>1017</v>
      </c>
      <c r="D8" s="30">
        <v>11500000</v>
      </c>
      <c r="E8" s="28">
        <v>59144.5</v>
      </c>
      <c r="F8" s="29">
        <v>6.9736840977280501</v>
      </c>
    </row>
    <row r="9" spans="1:6" x14ac:dyDescent="0.2">
      <c r="A9" s="26" t="s">
        <v>1021</v>
      </c>
      <c r="B9" s="26" t="s">
        <v>1020</v>
      </c>
      <c r="C9" s="26" t="s">
        <v>1022</v>
      </c>
      <c r="D9" s="30">
        <v>8200000</v>
      </c>
      <c r="E9" s="28">
        <v>58671</v>
      </c>
      <c r="F9" s="29">
        <v>6.9178540641615403</v>
      </c>
    </row>
    <row r="10" spans="1:6" x14ac:dyDescent="0.2">
      <c r="A10" s="26" t="s">
        <v>1024</v>
      </c>
      <c r="B10" s="26" t="s">
        <v>1023</v>
      </c>
      <c r="C10" s="26" t="s">
        <v>1014</v>
      </c>
      <c r="D10" s="30">
        <v>11700000</v>
      </c>
      <c r="E10" s="28">
        <v>44477.55</v>
      </c>
      <c r="F10" s="29">
        <v>5.2443149090938999</v>
      </c>
    </row>
    <row r="11" spans="1:6" x14ac:dyDescent="0.2">
      <c r="A11" s="26" t="s">
        <v>1019</v>
      </c>
      <c r="B11" s="26" t="s">
        <v>1018</v>
      </c>
      <c r="C11" s="26" t="s">
        <v>1014</v>
      </c>
      <c r="D11" s="30">
        <v>7800000</v>
      </c>
      <c r="E11" s="28">
        <v>34702.199999999997</v>
      </c>
      <c r="F11" s="29">
        <v>4.0917106458957004</v>
      </c>
    </row>
    <row r="12" spans="1:6" x14ac:dyDescent="0.2">
      <c r="A12" s="26" t="s">
        <v>1116</v>
      </c>
      <c r="B12" s="26" t="s">
        <v>1115</v>
      </c>
      <c r="C12" s="26" t="s">
        <v>1117</v>
      </c>
      <c r="D12" s="30">
        <v>3500000</v>
      </c>
      <c r="E12" s="28">
        <v>31414.25</v>
      </c>
      <c r="F12" s="29">
        <v>3.70403090172465</v>
      </c>
    </row>
    <row r="13" spans="1:6" x14ac:dyDescent="0.2">
      <c r="A13" s="26" t="s">
        <v>1165</v>
      </c>
      <c r="B13" s="26" t="s">
        <v>1164</v>
      </c>
      <c r="C13" s="26" t="s">
        <v>1022</v>
      </c>
      <c r="D13" s="30">
        <v>5500000</v>
      </c>
      <c r="E13" s="28">
        <v>29895.25</v>
      </c>
      <c r="F13" s="29">
        <v>3.5249267391322001</v>
      </c>
    </row>
    <row r="14" spans="1:6" x14ac:dyDescent="0.2">
      <c r="A14" s="26" t="s">
        <v>1051</v>
      </c>
      <c r="B14" s="26" t="s">
        <v>1050</v>
      </c>
      <c r="C14" s="26" t="s">
        <v>1052</v>
      </c>
      <c r="D14" s="30">
        <v>7200000</v>
      </c>
      <c r="E14" s="28">
        <v>26398.799999999999</v>
      </c>
      <c r="F14" s="29">
        <v>3.1126629147106399</v>
      </c>
    </row>
    <row r="15" spans="1:6" x14ac:dyDescent="0.2">
      <c r="A15" s="26" t="s">
        <v>1065</v>
      </c>
      <c r="B15" s="26" t="s">
        <v>1064</v>
      </c>
      <c r="C15" s="26" t="s">
        <v>1014</v>
      </c>
      <c r="D15" s="30">
        <v>12500000</v>
      </c>
      <c r="E15" s="28">
        <v>23812.5</v>
      </c>
      <c r="F15" s="29">
        <v>2.8077142012722902</v>
      </c>
    </row>
    <row r="16" spans="1:6" x14ac:dyDescent="0.2">
      <c r="A16" s="26" t="s">
        <v>1042</v>
      </c>
      <c r="B16" s="26" t="s">
        <v>1041</v>
      </c>
      <c r="C16" s="26" t="s">
        <v>1043</v>
      </c>
      <c r="D16" s="30">
        <v>8900000</v>
      </c>
      <c r="E16" s="28">
        <v>19606.7</v>
      </c>
      <c r="F16" s="29">
        <v>2.3118114448329901</v>
      </c>
    </row>
    <row r="17" spans="1:6" x14ac:dyDescent="0.2">
      <c r="A17" s="26" t="s">
        <v>1063</v>
      </c>
      <c r="B17" s="26" t="s">
        <v>1062</v>
      </c>
      <c r="C17" s="26" t="s">
        <v>1061</v>
      </c>
      <c r="D17" s="30">
        <v>20200000</v>
      </c>
      <c r="E17" s="28">
        <v>19200.099999999999</v>
      </c>
      <c r="F17" s="29">
        <v>2.26386954061305</v>
      </c>
    </row>
    <row r="18" spans="1:6" x14ac:dyDescent="0.2">
      <c r="A18" s="26" t="s">
        <v>1071</v>
      </c>
      <c r="B18" s="26" t="s">
        <v>1070</v>
      </c>
      <c r="C18" s="26" t="s">
        <v>1035</v>
      </c>
      <c r="D18" s="30">
        <v>2030000</v>
      </c>
      <c r="E18" s="28">
        <v>19053.580000000002</v>
      </c>
      <c r="F18" s="29">
        <v>2.2465934761607498</v>
      </c>
    </row>
    <row r="19" spans="1:6" x14ac:dyDescent="0.2">
      <c r="A19" s="26" t="s">
        <v>1463</v>
      </c>
      <c r="B19" s="26" t="s">
        <v>1462</v>
      </c>
      <c r="C19" s="26" t="s">
        <v>1035</v>
      </c>
      <c r="D19" s="30">
        <v>3400000</v>
      </c>
      <c r="E19" s="28">
        <v>18246.099999999999</v>
      </c>
      <c r="F19" s="29">
        <v>2.1513841086754599</v>
      </c>
    </row>
    <row r="20" spans="1:6" x14ac:dyDescent="0.2">
      <c r="A20" s="26" t="s">
        <v>1465</v>
      </c>
      <c r="B20" s="26" t="s">
        <v>1464</v>
      </c>
      <c r="C20" s="26" t="s">
        <v>1035</v>
      </c>
      <c r="D20" s="30">
        <v>6200000</v>
      </c>
      <c r="E20" s="28">
        <v>17794</v>
      </c>
      <c r="F20" s="29">
        <v>2.09807733322579</v>
      </c>
    </row>
    <row r="21" spans="1:6" x14ac:dyDescent="0.2">
      <c r="A21" s="26" t="s">
        <v>1026</v>
      </c>
      <c r="B21" s="26" t="s">
        <v>1025</v>
      </c>
      <c r="C21" s="26" t="s">
        <v>1014</v>
      </c>
      <c r="D21" s="30">
        <v>1300000</v>
      </c>
      <c r="E21" s="28">
        <v>17643.599999999999</v>
      </c>
      <c r="F21" s="29">
        <v>2.0803437808532399</v>
      </c>
    </row>
    <row r="22" spans="1:6" x14ac:dyDescent="0.2">
      <c r="A22" s="26" t="s">
        <v>1048</v>
      </c>
      <c r="B22" s="26" t="s">
        <v>1047</v>
      </c>
      <c r="C22" s="26" t="s">
        <v>1049</v>
      </c>
      <c r="D22" s="30">
        <v>3400000</v>
      </c>
      <c r="E22" s="28">
        <v>17183.599999999999</v>
      </c>
      <c r="F22" s="29">
        <v>2.0261055222669899</v>
      </c>
    </row>
    <row r="23" spans="1:6" x14ac:dyDescent="0.2">
      <c r="A23" s="26" t="s">
        <v>1445</v>
      </c>
      <c r="B23" s="26" t="s">
        <v>1444</v>
      </c>
      <c r="C23" s="26" t="s">
        <v>1032</v>
      </c>
      <c r="D23" s="30">
        <v>1400000</v>
      </c>
      <c r="E23" s="28">
        <v>16507.400000000001</v>
      </c>
      <c r="F23" s="29">
        <v>1.9463752821451901</v>
      </c>
    </row>
    <row r="24" spans="1:6" x14ac:dyDescent="0.2">
      <c r="A24" s="26" t="s">
        <v>1085</v>
      </c>
      <c r="B24" s="26" t="s">
        <v>1084</v>
      </c>
      <c r="C24" s="26" t="s">
        <v>1052</v>
      </c>
      <c r="D24" s="30">
        <v>5000000</v>
      </c>
      <c r="E24" s="28">
        <v>16417.5</v>
      </c>
      <c r="F24" s="29">
        <v>1.93577523986931</v>
      </c>
    </row>
    <row r="25" spans="1:6" x14ac:dyDescent="0.2">
      <c r="A25" s="26" t="s">
        <v>1125</v>
      </c>
      <c r="B25" s="26" t="s">
        <v>1124</v>
      </c>
      <c r="C25" s="26" t="s">
        <v>1022</v>
      </c>
      <c r="D25" s="30">
        <v>3000000</v>
      </c>
      <c r="E25" s="28">
        <v>16387.5</v>
      </c>
      <c r="F25" s="29">
        <v>1.93223796213542</v>
      </c>
    </row>
    <row r="26" spans="1:6" x14ac:dyDescent="0.2">
      <c r="A26" s="26" t="s">
        <v>1119</v>
      </c>
      <c r="B26" s="26" t="s">
        <v>1118</v>
      </c>
      <c r="C26" s="26" t="s">
        <v>1032</v>
      </c>
      <c r="D26" s="30">
        <v>460000</v>
      </c>
      <c r="E26" s="28">
        <v>16257.78</v>
      </c>
      <c r="F26" s="29">
        <v>1.9169427732141</v>
      </c>
    </row>
    <row r="27" spans="1:6" x14ac:dyDescent="0.2">
      <c r="A27" s="26" t="s">
        <v>1467</v>
      </c>
      <c r="B27" s="26" t="s">
        <v>1466</v>
      </c>
      <c r="C27" s="26" t="s">
        <v>1104</v>
      </c>
      <c r="D27" s="30">
        <v>3900000</v>
      </c>
      <c r="E27" s="28">
        <v>16066.05</v>
      </c>
      <c r="F27" s="29">
        <v>1.89433603121683</v>
      </c>
    </row>
    <row r="28" spans="1:6" x14ac:dyDescent="0.2">
      <c r="A28" s="26" t="s">
        <v>1031</v>
      </c>
      <c r="B28" s="26" t="s">
        <v>1030</v>
      </c>
      <c r="C28" s="26" t="s">
        <v>1032</v>
      </c>
      <c r="D28" s="30">
        <v>3100000</v>
      </c>
      <c r="E28" s="28">
        <v>15651.9</v>
      </c>
      <c r="F28" s="29">
        <v>1.8455039121005301</v>
      </c>
    </row>
    <row r="29" spans="1:6" x14ac:dyDescent="0.2">
      <c r="A29" s="26" t="s">
        <v>1087</v>
      </c>
      <c r="B29" s="26" t="s">
        <v>1086</v>
      </c>
      <c r="C29" s="26" t="s">
        <v>1052</v>
      </c>
      <c r="D29" s="30">
        <v>16500000</v>
      </c>
      <c r="E29" s="28">
        <v>15386.25</v>
      </c>
      <c r="F29" s="29">
        <v>1.8141813177669599</v>
      </c>
    </row>
    <row r="30" spans="1:6" x14ac:dyDescent="0.2">
      <c r="A30" s="26" t="s">
        <v>1469</v>
      </c>
      <c r="B30" s="26" t="s">
        <v>1468</v>
      </c>
      <c r="C30" s="26" t="s">
        <v>1055</v>
      </c>
      <c r="D30" s="30">
        <v>3300000</v>
      </c>
      <c r="E30" s="28">
        <v>15326.85</v>
      </c>
      <c r="F30" s="29">
        <v>1.8071775078538701</v>
      </c>
    </row>
    <row r="31" spans="1:6" x14ac:dyDescent="0.2">
      <c r="A31" s="26" t="s">
        <v>1103</v>
      </c>
      <c r="B31" s="26" t="s">
        <v>1102</v>
      </c>
      <c r="C31" s="26" t="s">
        <v>1104</v>
      </c>
      <c r="D31" s="30">
        <v>700000</v>
      </c>
      <c r="E31" s="28">
        <v>13412</v>
      </c>
      <c r="F31" s="29">
        <v>1.58139896556279</v>
      </c>
    </row>
    <row r="32" spans="1:6" x14ac:dyDescent="0.2">
      <c r="A32" s="26" t="s">
        <v>1054</v>
      </c>
      <c r="B32" s="26" t="s">
        <v>1053</v>
      </c>
      <c r="C32" s="26" t="s">
        <v>1055</v>
      </c>
      <c r="D32" s="30">
        <v>4100000</v>
      </c>
      <c r="E32" s="28">
        <v>13281.95</v>
      </c>
      <c r="F32" s="29">
        <v>1.5660648665864001</v>
      </c>
    </row>
    <row r="33" spans="1:6" x14ac:dyDescent="0.2">
      <c r="A33" s="26" t="s">
        <v>1082</v>
      </c>
      <c r="B33" s="26" t="s">
        <v>1081</v>
      </c>
      <c r="C33" s="26" t="s">
        <v>1083</v>
      </c>
      <c r="D33" s="30">
        <v>11000000</v>
      </c>
      <c r="E33" s="28">
        <v>12716</v>
      </c>
      <c r="F33" s="29">
        <v>1.4993341221366301</v>
      </c>
    </row>
    <row r="34" spans="1:6" x14ac:dyDescent="0.2">
      <c r="A34" s="26" t="s">
        <v>1447</v>
      </c>
      <c r="B34" s="26" t="s">
        <v>1446</v>
      </c>
      <c r="C34" s="26" t="s">
        <v>1055</v>
      </c>
      <c r="D34" s="30">
        <v>1400000</v>
      </c>
      <c r="E34" s="28">
        <v>11694.2</v>
      </c>
      <c r="F34" s="29">
        <v>1.3788544425204601</v>
      </c>
    </row>
    <row r="35" spans="1:6" x14ac:dyDescent="0.2">
      <c r="A35" s="26" t="s">
        <v>1140</v>
      </c>
      <c r="B35" s="26" t="s">
        <v>1139</v>
      </c>
      <c r="C35" s="26" t="s">
        <v>1029</v>
      </c>
      <c r="D35" s="30">
        <v>12000000</v>
      </c>
      <c r="E35" s="28">
        <v>11484</v>
      </c>
      <c r="F35" s="29">
        <v>1.3540699165317001</v>
      </c>
    </row>
    <row r="36" spans="1:6" x14ac:dyDescent="0.2">
      <c r="A36" s="26" t="s">
        <v>1121</v>
      </c>
      <c r="B36" s="26" t="s">
        <v>1120</v>
      </c>
      <c r="C36" s="26" t="s">
        <v>1035</v>
      </c>
      <c r="D36" s="30">
        <v>2200000</v>
      </c>
      <c r="E36" s="28">
        <v>10764.6</v>
      </c>
      <c r="F36" s="29">
        <v>1.2692459964731</v>
      </c>
    </row>
    <row r="37" spans="1:6" x14ac:dyDescent="0.2">
      <c r="A37" s="26" t="s">
        <v>1289</v>
      </c>
      <c r="B37" s="26" t="s">
        <v>1288</v>
      </c>
      <c r="C37" s="26" t="s">
        <v>1035</v>
      </c>
      <c r="D37" s="30">
        <v>8700000</v>
      </c>
      <c r="E37" s="28">
        <v>10096.35</v>
      </c>
      <c r="F37" s="29">
        <v>1.1904531349507801</v>
      </c>
    </row>
    <row r="38" spans="1:6" x14ac:dyDescent="0.2">
      <c r="A38" s="26" t="s">
        <v>1045</v>
      </c>
      <c r="B38" s="26" t="s">
        <v>1044</v>
      </c>
      <c r="C38" s="26" t="s">
        <v>1046</v>
      </c>
      <c r="D38" s="30">
        <v>7500000</v>
      </c>
      <c r="E38" s="28">
        <v>9765</v>
      </c>
      <c r="F38" s="29">
        <v>1.1513839023800101</v>
      </c>
    </row>
    <row r="39" spans="1:6" x14ac:dyDescent="0.2">
      <c r="A39" s="26" t="s">
        <v>1263</v>
      </c>
      <c r="B39" s="26" t="s">
        <v>1262</v>
      </c>
      <c r="C39" s="26" t="s">
        <v>1017</v>
      </c>
      <c r="D39" s="30">
        <v>200000000</v>
      </c>
      <c r="E39" s="28">
        <v>8400</v>
      </c>
      <c r="F39" s="29">
        <v>0.99043776548817897</v>
      </c>
    </row>
    <row r="40" spans="1:6" x14ac:dyDescent="0.2">
      <c r="A40" s="26" t="s">
        <v>1214</v>
      </c>
      <c r="B40" s="26" t="s">
        <v>1213</v>
      </c>
      <c r="C40" s="26" t="s">
        <v>1076</v>
      </c>
      <c r="D40" s="30">
        <v>1850000</v>
      </c>
      <c r="E40" s="28">
        <v>7430.5249999999996</v>
      </c>
      <c r="F40" s="29">
        <v>0.87612768778619698</v>
      </c>
    </row>
    <row r="41" spans="1:6" x14ac:dyDescent="0.2">
      <c r="A41" s="26" t="s">
        <v>1028</v>
      </c>
      <c r="B41" s="26" t="s">
        <v>1027</v>
      </c>
      <c r="C41" s="26" t="s">
        <v>1029</v>
      </c>
      <c r="D41" s="30">
        <v>3000000</v>
      </c>
      <c r="E41" s="28">
        <v>7290</v>
      </c>
      <c r="F41" s="29">
        <v>0.85955848933438395</v>
      </c>
    </row>
    <row r="42" spans="1:6" x14ac:dyDescent="0.2">
      <c r="A42" s="26" t="s">
        <v>1338</v>
      </c>
      <c r="B42" s="26" t="s">
        <v>1337</v>
      </c>
      <c r="C42" s="26" t="s">
        <v>1032</v>
      </c>
      <c r="D42" s="30">
        <v>3200000</v>
      </c>
      <c r="E42" s="28">
        <v>6385.6</v>
      </c>
      <c r="F42" s="29">
        <v>0.75292135658349002</v>
      </c>
    </row>
    <row r="43" spans="1:6" x14ac:dyDescent="0.2">
      <c r="A43" s="26" t="s">
        <v>1471</v>
      </c>
      <c r="B43" s="26" t="s">
        <v>1470</v>
      </c>
      <c r="C43" s="26" t="s">
        <v>1104</v>
      </c>
      <c r="D43" s="30">
        <v>12000000</v>
      </c>
      <c r="E43" s="28">
        <v>5994</v>
      </c>
      <c r="F43" s="29">
        <v>0.70674809123049398</v>
      </c>
    </row>
    <row r="44" spans="1:6" x14ac:dyDescent="0.2">
      <c r="A44" s="26" t="s">
        <v>1131</v>
      </c>
      <c r="B44" s="26" t="s">
        <v>1130</v>
      </c>
      <c r="C44" s="26" t="s">
        <v>1043</v>
      </c>
      <c r="D44" s="30">
        <v>7000000</v>
      </c>
      <c r="E44" s="28">
        <v>5894</v>
      </c>
      <c r="F44" s="29">
        <v>0.69495716545087205</v>
      </c>
    </row>
    <row r="45" spans="1:6" x14ac:dyDescent="0.2">
      <c r="A45" s="26" t="s">
        <v>1075</v>
      </c>
      <c r="B45" s="26" t="s">
        <v>1074</v>
      </c>
      <c r="C45" s="26" t="s">
        <v>1076</v>
      </c>
      <c r="D45" s="30">
        <v>1500000</v>
      </c>
      <c r="E45" s="28">
        <v>5662.5</v>
      </c>
      <c r="F45" s="29">
        <v>0.66766117227104904</v>
      </c>
    </row>
    <row r="46" spans="1:6" x14ac:dyDescent="0.2">
      <c r="A46" s="26" t="s">
        <v>1194</v>
      </c>
      <c r="B46" s="26" t="s">
        <v>1193</v>
      </c>
      <c r="C46" s="26" t="s">
        <v>1195</v>
      </c>
      <c r="D46" s="30">
        <v>7950508</v>
      </c>
      <c r="E46" s="28">
        <v>4587.4431160000004</v>
      </c>
      <c r="F46" s="29">
        <v>0.54090201298990104</v>
      </c>
    </row>
    <row r="47" spans="1:6" x14ac:dyDescent="0.2">
      <c r="A47" s="26" t="s">
        <v>1403</v>
      </c>
      <c r="B47" s="26" t="s">
        <v>1402</v>
      </c>
      <c r="C47" s="26" t="s">
        <v>1076</v>
      </c>
      <c r="D47" s="30">
        <v>300000</v>
      </c>
      <c r="E47" s="28">
        <v>4450.95</v>
      </c>
      <c r="F47" s="29">
        <v>0.52480821098804897</v>
      </c>
    </row>
    <row r="48" spans="1:6" x14ac:dyDescent="0.2">
      <c r="A48" s="26" t="s">
        <v>1416</v>
      </c>
      <c r="B48" s="26" t="s">
        <v>1415</v>
      </c>
      <c r="C48" s="26" t="s">
        <v>1076</v>
      </c>
      <c r="D48" s="30">
        <v>1241725</v>
      </c>
      <c r="E48" s="28">
        <v>3839.4137000000001</v>
      </c>
      <c r="F48" s="29">
        <v>0.45270241973960801</v>
      </c>
    </row>
    <row r="49" spans="1:9" x14ac:dyDescent="0.2">
      <c r="A49" s="26" t="s">
        <v>1201</v>
      </c>
      <c r="B49" s="26" t="s">
        <v>1200</v>
      </c>
      <c r="C49" s="26" t="s">
        <v>1202</v>
      </c>
      <c r="D49" s="30">
        <v>1200000</v>
      </c>
      <c r="E49" s="28">
        <v>3504.6</v>
      </c>
      <c r="F49" s="29">
        <v>0.413224784872604</v>
      </c>
    </row>
    <row r="50" spans="1:9" x14ac:dyDescent="0.2">
      <c r="A50" s="26" t="s">
        <v>1089</v>
      </c>
      <c r="B50" s="26" t="s">
        <v>1088</v>
      </c>
      <c r="C50" s="26" t="s">
        <v>1090</v>
      </c>
      <c r="D50" s="30">
        <v>7000000</v>
      </c>
      <c r="E50" s="28">
        <v>2936.5</v>
      </c>
      <c r="F50" s="29">
        <v>0.34624053551857598</v>
      </c>
    </row>
    <row r="51" spans="1:9" x14ac:dyDescent="0.2">
      <c r="A51" s="26" t="s">
        <v>1391</v>
      </c>
      <c r="B51" s="26" t="s">
        <v>1390</v>
      </c>
      <c r="C51" s="26" t="s">
        <v>1049</v>
      </c>
      <c r="D51" s="30">
        <v>1300000</v>
      </c>
      <c r="E51" s="28">
        <v>2888.6</v>
      </c>
      <c r="F51" s="29">
        <v>0.34059268207013699</v>
      </c>
    </row>
    <row r="52" spans="1:9" x14ac:dyDescent="0.2">
      <c r="A52" s="26" t="s">
        <v>1133</v>
      </c>
      <c r="B52" s="26" t="s">
        <v>1132</v>
      </c>
      <c r="C52" s="26" t="s">
        <v>1134</v>
      </c>
      <c r="D52" s="30">
        <v>3097076</v>
      </c>
      <c r="E52" s="28">
        <v>2474.5637240000001</v>
      </c>
      <c r="F52" s="29">
        <v>0.29177397206626998</v>
      </c>
    </row>
    <row r="53" spans="1:9" x14ac:dyDescent="0.2">
      <c r="A53" s="26" t="s">
        <v>1399</v>
      </c>
      <c r="B53" s="26" t="s">
        <v>1398</v>
      </c>
      <c r="C53" s="26" t="s">
        <v>1083</v>
      </c>
      <c r="D53" s="30">
        <v>450000</v>
      </c>
      <c r="E53" s="28">
        <v>2272.5</v>
      </c>
      <c r="F53" s="29">
        <v>0.26794878834189101</v>
      </c>
    </row>
    <row r="54" spans="1:9" x14ac:dyDescent="0.2">
      <c r="A54" s="26" t="s">
        <v>1080</v>
      </c>
      <c r="B54" s="26" t="s">
        <v>1079</v>
      </c>
      <c r="C54" s="26" t="s">
        <v>1014</v>
      </c>
      <c r="D54" s="30">
        <v>7000000</v>
      </c>
      <c r="E54" s="28">
        <v>2047.5</v>
      </c>
      <c r="F54" s="29">
        <v>0.241419205337744</v>
      </c>
    </row>
    <row r="55" spans="1:9" x14ac:dyDescent="0.2">
      <c r="A55" s="26" t="s">
        <v>1430</v>
      </c>
      <c r="B55" s="26" t="s">
        <v>1429</v>
      </c>
      <c r="C55" s="26" t="s">
        <v>1083</v>
      </c>
      <c r="D55" s="30">
        <v>1450000</v>
      </c>
      <c r="E55" s="28">
        <v>2014.7750000000001</v>
      </c>
      <c r="F55" s="29">
        <v>0.23756062487636301</v>
      </c>
    </row>
    <row r="56" spans="1:9" x14ac:dyDescent="0.2">
      <c r="A56" s="26" t="s">
        <v>1169</v>
      </c>
      <c r="B56" s="26" t="s">
        <v>1168</v>
      </c>
      <c r="C56" s="26" t="s">
        <v>1052</v>
      </c>
      <c r="D56" s="30">
        <v>5000000</v>
      </c>
      <c r="E56" s="28">
        <v>1987.5</v>
      </c>
      <c r="F56" s="29">
        <v>0.234344649869971</v>
      </c>
    </row>
    <row r="57" spans="1:9" x14ac:dyDescent="0.2">
      <c r="A57" s="26" t="s">
        <v>1157</v>
      </c>
      <c r="B57" s="26" t="s">
        <v>1156</v>
      </c>
      <c r="C57" s="26" t="s">
        <v>1038</v>
      </c>
      <c r="D57" s="30">
        <v>2000000</v>
      </c>
      <c r="E57" s="28">
        <v>1926</v>
      </c>
      <c r="F57" s="29">
        <v>0.22709323051550401</v>
      </c>
    </row>
    <row r="58" spans="1:9" x14ac:dyDescent="0.2">
      <c r="A58" s="26" t="s">
        <v>1473</v>
      </c>
      <c r="B58" s="26" t="s">
        <v>1472</v>
      </c>
      <c r="C58" s="26" t="s">
        <v>1179</v>
      </c>
      <c r="D58" s="30">
        <v>22000000</v>
      </c>
      <c r="E58" s="28">
        <v>1749</v>
      </c>
      <c r="F58" s="29">
        <v>0.20622329188557401</v>
      </c>
    </row>
    <row r="59" spans="1:9" x14ac:dyDescent="0.2">
      <c r="A59" s="26" t="s">
        <v>1475</v>
      </c>
      <c r="B59" s="26" t="s">
        <v>1474</v>
      </c>
      <c r="C59" s="26" t="s">
        <v>1145</v>
      </c>
      <c r="D59" s="30">
        <v>6000000</v>
      </c>
      <c r="E59" s="28">
        <v>1449</v>
      </c>
      <c r="F59" s="29">
        <v>0.17085051454671099</v>
      </c>
    </row>
    <row r="60" spans="1:9" x14ac:dyDescent="0.2">
      <c r="A60" s="26"/>
      <c r="B60" s="26" t="s">
        <v>1655</v>
      </c>
      <c r="C60" s="26" t="s">
        <v>1145</v>
      </c>
      <c r="D60" s="30">
        <v>493617</v>
      </c>
      <c r="E60" s="28">
        <v>4.9361700000000001E-4</v>
      </c>
      <c r="F60" s="29">
        <v>5.8202014105592701E-8</v>
      </c>
      <c r="H60" s="43"/>
    </row>
    <row r="61" spans="1:9" ht="10.5" x14ac:dyDescent="0.25">
      <c r="A61" s="25" t="s">
        <v>177</v>
      </c>
      <c r="B61" s="25"/>
      <c r="C61" s="25"/>
      <c r="D61" s="31"/>
      <c r="E61" s="32">
        <f>SUM(E7:E60)</f>
        <v>813770.03103361686</v>
      </c>
      <c r="F61" s="33">
        <f>SUM(F7:F60)</f>
        <v>95.951020375974096</v>
      </c>
      <c r="G61" s="17"/>
      <c r="H61" s="17"/>
      <c r="I61" s="17"/>
    </row>
    <row r="62" spans="1:9" x14ac:dyDescent="0.2">
      <c r="A62" s="26"/>
      <c r="B62" s="26"/>
      <c r="C62" s="26"/>
      <c r="D62" s="27"/>
      <c r="E62" s="28"/>
      <c r="F62" s="29"/>
    </row>
    <row r="63" spans="1:9" ht="10.5" x14ac:dyDescent="0.25">
      <c r="A63" s="25" t="s">
        <v>1158</v>
      </c>
      <c r="B63" s="26"/>
      <c r="C63" s="26"/>
      <c r="D63" s="27"/>
      <c r="E63" s="28"/>
      <c r="F63" s="29"/>
    </row>
    <row r="64" spans="1:9" x14ac:dyDescent="0.2">
      <c r="A64" s="26"/>
      <c r="B64" s="26" t="s">
        <v>1161</v>
      </c>
      <c r="C64" s="26" t="s">
        <v>1104</v>
      </c>
      <c r="D64" s="30">
        <v>73500</v>
      </c>
      <c r="E64" s="28">
        <v>7.3499999999999998E-3</v>
      </c>
      <c r="F64" s="29">
        <v>8.6663304480215704E-7</v>
      </c>
    </row>
    <row r="65" spans="1:9" x14ac:dyDescent="0.2">
      <c r="A65" s="26"/>
      <c r="B65" s="26" t="s">
        <v>1476</v>
      </c>
      <c r="C65" s="26" t="s">
        <v>1022</v>
      </c>
      <c r="D65" s="30">
        <v>45000</v>
      </c>
      <c r="E65" s="28">
        <v>4.4999999999999997E-3</v>
      </c>
      <c r="F65" s="29">
        <v>5.3059166008295298E-7</v>
      </c>
    </row>
    <row r="66" spans="1:9" x14ac:dyDescent="0.2">
      <c r="A66" s="26" t="s">
        <v>1442</v>
      </c>
      <c r="B66" s="26" t="s">
        <v>1441</v>
      </c>
      <c r="C66" s="26" t="s">
        <v>1334</v>
      </c>
      <c r="D66" s="30">
        <v>38000</v>
      </c>
      <c r="E66" s="28">
        <v>3.8E-3</v>
      </c>
      <c r="F66" s="29">
        <v>4.4805517962560502E-7</v>
      </c>
    </row>
    <row r="67" spans="1:9" ht="10.5" x14ac:dyDescent="0.25">
      <c r="A67" s="25" t="s">
        <v>177</v>
      </c>
      <c r="B67" s="25"/>
      <c r="C67" s="25"/>
      <c r="D67" s="31"/>
      <c r="E67" s="32">
        <f>SUM(E63:E66)</f>
        <v>1.5650000000000001E-2</v>
      </c>
      <c r="F67" s="33">
        <f>SUM(F63:F66)</f>
        <v>1.8452798845107149E-6</v>
      </c>
      <c r="G67" s="17"/>
      <c r="H67" s="17"/>
      <c r="I67" s="17"/>
    </row>
    <row r="68" spans="1:9" x14ac:dyDescent="0.2">
      <c r="A68" s="26"/>
      <c r="B68" s="26"/>
      <c r="C68" s="26"/>
      <c r="D68" s="27"/>
      <c r="E68" s="28"/>
      <c r="F68" s="29"/>
    </row>
    <row r="69" spans="1:9" ht="10.5" x14ac:dyDescent="0.25">
      <c r="A69" s="25" t="s">
        <v>226</v>
      </c>
      <c r="B69" s="25"/>
      <c r="C69" s="25"/>
      <c r="D69" s="31"/>
      <c r="E69" s="32">
        <f>E61+E67</f>
        <v>813770.04668361682</v>
      </c>
      <c r="F69" s="33">
        <f>F61+F67</f>
        <v>95.951022221253979</v>
      </c>
      <c r="G69" s="17"/>
      <c r="H69" s="17"/>
      <c r="I69" s="17"/>
    </row>
    <row r="70" spans="1:9" ht="10.5" x14ac:dyDescent="0.25">
      <c r="A70" s="25"/>
      <c r="B70" s="25"/>
      <c r="C70" s="25"/>
      <c r="D70" s="31"/>
      <c r="E70" s="32"/>
      <c r="F70" s="33"/>
      <c r="G70" s="17"/>
      <c r="H70" s="17"/>
      <c r="I70" s="17"/>
    </row>
    <row r="71" spans="1:9" ht="10.5" x14ac:dyDescent="0.25">
      <c r="A71" s="25" t="s">
        <v>228</v>
      </c>
      <c r="B71" s="25"/>
      <c r="C71" s="25"/>
      <c r="D71" s="31"/>
      <c r="E71" s="32">
        <f>E73-(E61+E67)</f>
        <v>34339.778355183196</v>
      </c>
      <c r="F71" s="33">
        <f>F73-(F61+F67)</f>
        <v>4.0489777787460213</v>
      </c>
      <c r="G71" s="17"/>
      <c r="H71" s="17"/>
      <c r="I71" s="17"/>
    </row>
    <row r="72" spans="1:9" ht="10.5" x14ac:dyDescent="0.25">
      <c r="A72" s="25"/>
      <c r="B72" s="25"/>
      <c r="C72" s="25"/>
      <c r="D72" s="31"/>
      <c r="E72" s="32"/>
      <c r="F72" s="33"/>
      <c r="G72" s="17"/>
      <c r="H72" s="17"/>
      <c r="I72" s="17"/>
    </row>
    <row r="73" spans="1:9" ht="10.5" x14ac:dyDescent="0.25">
      <c r="A73" s="34" t="s">
        <v>227</v>
      </c>
      <c r="B73" s="34"/>
      <c r="C73" s="34"/>
      <c r="D73" s="35"/>
      <c r="E73" s="36">
        <v>848109.82503880002</v>
      </c>
      <c r="F73" s="37">
        <v>100</v>
      </c>
      <c r="G73" s="17"/>
      <c r="H73" s="17"/>
      <c r="I73" s="17"/>
    </row>
    <row r="74" spans="1:9" ht="10.5" x14ac:dyDescent="0.25">
      <c r="A74" s="17" t="s">
        <v>1610</v>
      </c>
      <c r="F74" s="19" t="s">
        <v>446</v>
      </c>
    </row>
    <row r="75" spans="1:9" ht="10.5" x14ac:dyDescent="0.25">
      <c r="A75" s="17" t="s">
        <v>1654</v>
      </c>
      <c r="F75" s="19"/>
    </row>
    <row r="76" spans="1:9" ht="10.5" x14ac:dyDescent="0.25">
      <c r="A76" s="17"/>
      <c r="F76" s="19"/>
    </row>
    <row r="77" spans="1:9" ht="10.5" x14ac:dyDescent="0.25">
      <c r="A77" s="17" t="s">
        <v>232</v>
      </c>
    </row>
    <row r="78" spans="1:9" ht="10.5" x14ac:dyDescent="0.25">
      <c r="A78" s="17" t="s">
        <v>233</v>
      </c>
    </row>
    <row r="79" spans="1:9" ht="10.5" x14ac:dyDescent="0.25">
      <c r="A79" s="17" t="s">
        <v>234</v>
      </c>
      <c r="B79" s="17"/>
      <c r="C79" s="38" t="s">
        <v>236</v>
      </c>
      <c r="D79" s="18" t="s">
        <v>235</v>
      </c>
    </row>
    <row r="80" spans="1:9" x14ac:dyDescent="0.2">
      <c r="A80" s="10" t="s">
        <v>543</v>
      </c>
      <c r="C80" s="39">
        <v>580.52679999999998</v>
      </c>
      <c r="D80" s="39">
        <v>471.6696</v>
      </c>
    </row>
    <row r="81" spans="1:4" x14ac:dyDescent="0.2">
      <c r="A81" s="10" t="s">
        <v>580</v>
      </c>
      <c r="C81" s="39">
        <v>35.449800000000003</v>
      </c>
      <c r="D81" s="39">
        <v>26.6173</v>
      </c>
    </row>
    <row r="82" spans="1:4" x14ac:dyDescent="0.2">
      <c r="A82" s="10" t="s">
        <v>546</v>
      </c>
      <c r="C82" s="39">
        <v>618.88800000000003</v>
      </c>
      <c r="D82" s="39">
        <v>504.82749999999999</v>
      </c>
    </row>
    <row r="83" spans="1:4" x14ac:dyDescent="0.2">
      <c r="A83" s="10" t="s">
        <v>581</v>
      </c>
      <c r="C83" s="39">
        <v>38.443800000000003</v>
      </c>
      <c r="D83" s="39">
        <v>29.1691</v>
      </c>
    </row>
    <row r="85" spans="1:4" ht="10.5" x14ac:dyDescent="0.25">
      <c r="A85" s="17" t="s">
        <v>248</v>
      </c>
    </row>
    <row r="86" spans="1:4" ht="10.5" x14ac:dyDescent="0.25">
      <c r="A86" s="84" t="s">
        <v>249</v>
      </c>
      <c r="B86" s="85"/>
      <c r="C86" s="82" t="s">
        <v>250</v>
      </c>
      <c r="D86" s="83"/>
    </row>
    <row r="87" spans="1:4" ht="10.5" x14ac:dyDescent="0.25">
      <c r="A87" s="84"/>
      <c r="B87" s="85"/>
      <c r="C87" s="40" t="s">
        <v>251</v>
      </c>
      <c r="D87" s="41" t="s">
        <v>252</v>
      </c>
    </row>
    <row r="88" spans="1:4" x14ac:dyDescent="0.2">
      <c r="A88" s="78" t="s">
        <v>580</v>
      </c>
      <c r="B88" s="79"/>
      <c r="C88" s="42">
        <v>2.4348732924999998</v>
      </c>
      <c r="D88" s="42">
        <v>2.4348732924999998</v>
      </c>
    </row>
    <row r="89" spans="1:4" x14ac:dyDescent="0.2">
      <c r="A89" s="78" t="s">
        <v>581</v>
      </c>
      <c r="B89" s="79"/>
      <c r="C89" s="42">
        <v>2.4348732924999998</v>
      </c>
      <c r="D89" s="42">
        <v>2.4348732924999998</v>
      </c>
    </row>
    <row r="91" spans="1:4" ht="10.5" x14ac:dyDescent="0.25">
      <c r="A91" s="17" t="s">
        <v>1151</v>
      </c>
      <c r="D91" s="47">
        <v>0.21249999999999999</v>
      </c>
    </row>
    <row r="93" spans="1:4" ht="10.5" x14ac:dyDescent="0.25">
      <c r="A93" s="17" t="s">
        <v>1664</v>
      </c>
      <c r="D93" s="38" t="s">
        <v>256</v>
      </c>
    </row>
    <row r="94" spans="1:4" x14ac:dyDescent="0.2">
      <c r="A94" s="10" t="s">
        <v>257</v>
      </c>
      <c r="D94" s="10"/>
    </row>
    <row r="95" spans="1:4" ht="14.5" x14ac:dyDescent="0.35">
      <c r="A95" s="44" t="s">
        <v>1613</v>
      </c>
      <c r="D95" s="10"/>
    </row>
  </sheetData>
  <mergeCells count="6">
    <mergeCell ref="A89:B89"/>
    <mergeCell ref="A1:F1"/>
    <mergeCell ref="C86:D86"/>
    <mergeCell ref="A86:B86"/>
    <mergeCell ref="A87:B87"/>
    <mergeCell ref="A88:B88"/>
  </mergeCells>
  <conditionalFormatting sqref="F2:F3 F5:F65537">
    <cfRule type="cellIs" dxfId="17" priority="1" stopIfTrue="1" operator="between">
      <formula>0.009</formula>
      <formula>-0.009</formula>
    </cfRule>
  </conditionalFormatting>
  <hyperlinks>
    <hyperlink ref="A95" r:id="rId1" xr:uid="{B0AF252A-67A7-4F3B-A848-557526A3F970}"/>
  </hyperlinks>
  <pageMargins left="0.7" right="0.7" top="0.75" bottom="0.75" header="0.3" footer="0.3"/>
  <pageSetup paperSize="9" orientation="portrait" r:id="rId2"/>
  <headerFooter>
    <oddFooter>&amp;LPUBLIC</oddFooter>
    <evenFooter>&amp;LPUBLIC</evenFooter>
    <firstFooter>&amp;LPUBLIC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79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27.54296875" style="10" bestFit="1" customWidth="1"/>
    <col min="3" max="3" width="35.726562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5.54296875" style="10" bestFit="1" customWidth="1"/>
    <col min="8" max="16384" width="9.1796875" style="10"/>
  </cols>
  <sheetData>
    <row r="1" spans="1:6" s="1" customFormat="1" ht="14" x14ac:dyDescent="0.25">
      <c r="A1" s="80" t="s">
        <v>49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1019</v>
      </c>
      <c r="B7" s="26" t="s">
        <v>1018</v>
      </c>
      <c r="C7" s="26" t="s">
        <v>1014</v>
      </c>
      <c r="D7" s="30">
        <v>3161548</v>
      </c>
      <c r="E7" s="28">
        <v>14065.72705</v>
      </c>
      <c r="F7" s="29">
        <v>7.4199096144306296</v>
      </c>
    </row>
    <row r="8" spans="1:6" x14ac:dyDescent="0.2">
      <c r="A8" s="26" t="s">
        <v>1021</v>
      </c>
      <c r="B8" s="26" t="s">
        <v>1020</v>
      </c>
      <c r="C8" s="26" t="s">
        <v>1022</v>
      </c>
      <c r="D8" s="30">
        <v>1789462</v>
      </c>
      <c r="E8" s="28">
        <v>12803.60061</v>
      </c>
      <c r="F8" s="29">
        <v>6.7541165080029701</v>
      </c>
    </row>
    <row r="9" spans="1:6" x14ac:dyDescent="0.2">
      <c r="A9" s="26" t="s">
        <v>1013</v>
      </c>
      <c r="B9" s="26" t="s">
        <v>1012</v>
      </c>
      <c r="C9" s="26" t="s">
        <v>1014</v>
      </c>
      <c r="D9" s="30">
        <v>1238046</v>
      </c>
      <c r="E9" s="28">
        <v>12402.74483</v>
      </c>
      <c r="F9" s="29">
        <v>6.5426582843754799</v>
      </c>
    </row>
    <row r="10" spans="1:6" x14ac:dyDescent="0.2">
      <c r="A10" s="26" t="s">
        <v>1024</v>
      </c>
      <c r="B10" s="26" t="s">
        <v>1023</v>
      </c>
      <c r="C10" s="26" t="s">
        <v>1014</v>
      </c>
      <c r="D10" s="30">
        <v>2485871</v>
      </c>
      <c r="E10" s="28">
        <v>9450.0386070000004</v>
      </c>
      <c r="F10" s="29">
        <v>4.9850556652754001</v>
      </c>
    </row>
    <row r="11" spans="1:6" x14ac:dyDescent="0.2">
      <c r="A11" s="26" t="s">
        <v>1016</v>
      </c>
      <c r="B11" s="26" t="s">
        <v>1015</v>
      </c>
      <c r="C11" s="26" t="s">
        <v>1017</v>
      </c>
      <c r="D11" s="30">
        <v>1583873</v>
      </c>
      <c r="E11" s="28">
        <v>8145.8588390000004</v>
      </c>
      <c r="F11" s="29">
        <v>4.2970787149812404</v>
      </c>
    </row>
    <row r="12" spans="1:6" x14ac:dyDescent="0.2">
      <c r="A12" s="26" t="s">
        <v>1051</v>
      </c>
      <c r="B12" s="26" t="s">
        <v>1050</v>
      </c>
      <c r="C12" s="26" t="s">
        <v>1052</v>
      </c>
      <c r="D12" s="30">
        <v>1396570</v>
      </c>
      <c r="E12" s="28">
        <v>5120.523905</v>
      </c>
      <c r="F12" s="29">
        <v>2.7011632188349202</v>
      </c>
    </row>
    <row r="13" spans="1:6" x14ac:dyDescent="0.2">
      <c r="A13" s="26" t="s">
        <v>1147</v>
      </c>
      <c r="B13" s="26" t="s">
        <v>1146</v>
      </c>
      <c r="C13" s="26" t="s">
        <v>1148</v>
      </c>
      <c r="D13" s="30">
        <v>357232</v>
      </c>
      <c r="E13" s="28">
        <v>4981.0643920000002</v>
      </c>
      <c r="F13" s="29">
        <v>2.6275959600893102</v>
      </c>
    </row>
    <row r="14" spans="1:6" x14ac:dyDescent="0.2">
      <c r="A14" s="26" t="s">
        <v>1123</v>
      </c>
      <c r="B14" s="26" t="s">
        <v>1122</v>
      </c>
      <c r="C14" s="26" t="s">
        <v>1061</v>
      </c>
      <c r="D14" s="30">
        <v>15577483</v>
      </c>
      <c r="E14" s="28">
        <v>4938.0621110000002</v>
      </c>
      <c r="F14" s="29">
        <v>2.6049115274183099</v>
      </c>
    </row>
    <row r="15" spans="1:6" x14ac:dyDescent="0.2">
      <c r="A15" s="26" t="s">
        <v>1178</v>
      </c>
      <c r="B15" s="26" t="s">
        <v>1177</v>
      </c>
      <c r="C15" s="26" t="s">
        <v>1179</v>
      </c>
      <c r="D15" s="30">
        <v>6544411</v>
      </c>
      <c r="E15" s="28">
        <v>4718.5203309999997</v>
      </c>
      <c r="F15" s="29">
        <v>2.4890995144025099</v>
      </c>
    </row>
    <row r="16" spans="1:6" x14ac:dyDescent="0.2">
      <c r="A16" s="26" t="s">
        <v>1040</v>
      </c>
      <c r="B16" s="26" t="s">
        <v>1039</v>
      </c>
      <c r="C16" s="26" t="s">
        <v>1029</v>
      </c>
      <c r="D16" s="30">
        <v>2265841</v>
      </c>
      <c r="E16" s="28">
        <v>4695.955473</v>
      </c>
      <c r="F16" s="29">
        <v>2.4771961690420299</v>
      </c>
    </row>
    <row r="17" spans="1:6" x14ac:dyDescent="0.2">
      <c r="A17" s="26" t="s">
        <v>1226</v>
      </c>
      <c r="B17" s="26" t="s">
        <v>1225</v>
      </c>
      <c r="C17" s="26" t="s">
        <v>1061</v>
      </c>
      <c r="D17" s="30">
        <v>710784</v>
      </c>
      <c r="E17" s="28">
        <v>4662.7430400000003</v>
      </c>
      <c r="F17" s="29">
        <v>2.4596760472552699</v>
      </c>
    </row>
    <row r="18" spans="1:6" x14ac:dyDescent="0.2">
      <c r="A18" s="26" t="s">
        <v>1114</v>
      </c>
      <c r="B18" s="26" t="s">
        <v>1113</v>
      </c>
      <c r="C18" s="26" t="s">
        <v>1104</v>
      </c>
      <c r="D18" s="30">
        <v>1561999</v>
      </c>
      <c r="E18" s="28">
        <v>4639.1370299999999</v>
      </c>
      <c r="F18" s="29">
        <v>2.4472234765538201</v>
      </c>
    </row>
    <row r="19" spans="1:6" x14ac:dyDescent="0.2">
      <c r="A19" s="26" t="s">
        <v>1031</v>
      </c>
      <c r="B19" s="26" t="s">
        <v>1030</v>
      </c>
      <c r="C19" s="26" t="s">
        <v>1032</v>
      </c>
      <c r="D19" s="30">
        <v>917044</v>
      </c>
      <c r="E19" s="28">
        <v>4630.1551559999998</v>
      </c>
      <c r="F19" s="29">
        <v>2.44248538566017</v>
      </c>
    </row>
    <row r="20" spans="1:6" x14ac:dyDescent="0.2">
      <c r="A20" s="26" t="s">
        <v>1133</v>
      </c>
      <c r="B20" s="26" t="s">
        <v>1132</v>
      </c>
      <c r="C20" s="26" t="s">
        <v>1134</v>
      </c>
      <c r="D20" s="30">
        <v>5517530</v>
      </c>
      <c r="E20" s="28">
        <v>4408.5064700000003</v>
      </c>
      <c r="F20" s="29">
        <v>2.3255619439901398</v>
      </c>
    </row>
    <row r="21" spans="1:6" x14ac:dyDescent="0.2">
      <c r="A21" s="26" t="s">
        <v>1405</v>
      </c>
      <c r="B21" s="26" t="s">
        <v>1404</v>
      </c>
      <c r="C21" s="26" t="s">
        <v>1406</v>
      </c>
      <c r="D21" s="30">
        <v>711291</v>
      </c>
      <c r="E21" s="28">
        <v>4226.8467680000003</v>
      </c>
      <c r="F21" s="29">
        <v>2.2297333697093298</v>
      </c>
    </row>
    <row r="22" spans="1:6" x14ac:dyDescent="0.2">
      <c r="A22" s="26" t="s">
        <v>1184</v>
      </c>
      <c r="B22" s="26" t="s">
        <v>1183</v>
      </c>
      <c r="C22" s="26" t="s">
        <v>1014</v>
      </c>
      <c r="D22" s="30">
        <v>8330054</v>
      </c>
      <c r="E22" s="28">
        <v>4065.0663519999998</v>
      </c>
      <c r="F22" s="29">
        <v>2.1443914560039201</v>
      </c>
    </row>
    <row r="23" spans="1:6" x14ac:dyDescent="0.2">
      <c r="A23" s="26" t="s">
        <v>1173</v>
      </c>
      <c r="B23" s="26" t="s">
        <v>1172</v>
      </c>
      <c r="C23" s="26" t="s">
        <v>1035</v>
      </c>
      <c r="D23" s="30">
        <v>1141207</v>
      </c>
      <c r="E23" s="28">
        <v>4012.4838119999999</v>
      </c>
      <c r="F23" s="29">
        <v>2.1166532742014299</v>
      </c>
    </row>
    <row r="24" spans="1:6" x14ac:dyDescent="0.2">
      <c r="A24" s="26" t="s">
        <v>1028</v>
      </c>
      <c r="B24" s="26" t="s">
        <v>1027</v>
      </c>
      <c r="C24" s="26" t="s">
        <v>1029</v>
      </c>
      <c r="D24" s="30">
        <v>1532307</v>
      </c>
      <c r="E24" s="28">
        <v>3723.5060100000001</v>
      </c>
      <c r="F24" s="29">
        <v>1.96421258174416</v>
      </c>
    </row>
    <row r="25" spans="1:6" x14ac:dyDescent="0.2">
      <c r="A25" s="26" t="s">
        <v>1116</v>
      </c>
      <c r="B25" s="26" t="s">
        <v>1115</v>
      </c>
      <c r="C25" s="26" t="s">
        <v>1117</v>
      </c>
      <c r="D25" s="30">
        <v>399838</v>
      </c>
      <c r="E25" s="28">
        <v>3588.7459690000001</v>
      </c>
      <c r="F25" s="29">
        <v>1.8931243741952399</v>
      </c>
    </row>
    <row r="26" spans="1:6" x14ac:dyDescent="0.2">
      <c r="A26" s="26" t="s">
        <v>1045</v>
      </c>
      <c r="B26" s="26" t="s">
        <v>1044</v>
      </c>
      <c r="C26" s="26" t="s">
        <v>1046</v>
      </c>
      <c r="D26" s="30">
        <v>2724884</v>
      </c>
      <c r="E26" s="28">
        <v>3547.7989680000001</v>
      </c>
      <c r="F26" s="29">
        <v>1.87152413658775</v>
      </c>
    </row>
    <row r="27" spans="1:6" x14ac:dyDescent="0.2">
      <c r="A27" s="26" t="s">
        <v>1054</v>
      </c>
      <c r="B27" s="26" t="s">
        <v>1053</v>
      </c>
      <c r="C27" s="26" t="s">
        <v>1055</v>
      </c>
      <c r="D27" s="30">
        <v>1052564</v>
      </c>
      <c r="E27" s="28">
        <v>3409.781078</v>
      </c>
      <c r="F27" s="29">
        <v>1.7987173584287499</v>
      </c>
    </row>
    <row r="28" spans="1:6" x14ac:dyDescent="0.2">
      <c r="A28" s="26" t="s">
        <v>1037</v>
      </c>
      <c r="B28" s="26" t="s">
        <v>1036</v>
      </c>
      <c r="C28" s="26" t="s">
        <v>1038</v>
      </c>
      <c r="D28" s="30">
        <v>357387</v>
      </c>
      <c r="E28" s="28">
        <v>3340.8536760000002</v>
      </c>
      <c r="F28" s="29">
        <v>1.76235698466496</v>
      </c>
    </row>
    <row r="29" spans="1:6" x14ac:dyDescent="0.2">
      <c r="A29" s="26" t="s">
        <v>1131</v>
      </c>
      <c r="B29" s="26" t="s">
        <v>1130</v>
      </c>
      <c r="C29" s="26" t="s">
        <v>1043</v>
      </c>
      <c r="D29" s="30">
        <v>3938381</v>
      </c>
      <c r="E29" s="28">
        <v>3316.116802</v>
      </c>
      <c r="F29" s="29">
        <v>1.74930786402078</v>
      </c>
    </row>
    <row r="30" spans="1:6" x14ac:dyDescent="0.2">
      <c r="A30" s="26" t="s">
        <v>1181</v>
      </c>
      <c r="B30" s="26" t="s">
        <v>1180</v>
      </c>
      <c r="C30" s="26" t="s">
        <v>1182</v>
      </c>
      <c r="D30" s="30">
        <v>1001059</v>
      </c>
      <c r="E30" s="28">
        <v>2829.9937930000001</v>
      </c>
      <c r="F30" s="29">
        <v>1.4928697307161001</v>
      </c>
    </row>
    <row r="31" spans="1:6" x14ac:dyDescent="0.2">
      <c r="A31" s="26" t="s">
        <v>1042</v>
      </c>
      <c r="B31" s="26" t="s">
        <v>1041</v>
      </c>
      <c r="C31" s="26" t="s">
        <v>1043</v>
      </c>
      <c r="D31" s="30">
        <v>1225067</v>
      </c>
      <c r="E31" s="28">
        <v>2698.8226009999998</v>
      </c>
      <c r="F31" s="29">
        <v>1.42367470189197</v>
      </c>
    </row>
    <row r="32" spans="1:6" x14ac:dyDescent="0.2">
      <c r="A32" s="26" t="s">
        <v>1099</v>
      </c>
      <c r="B32" s="26" t="s">
        <v>1098</v>
      </c>
      <c r="C32" s="26" t="s">
        <v>1055</v>
      </c>
      <c r="D32" s="30">
        <v>67295</v>
      </c>
      <c r="E32" s="28">
        <v>2648.9330850000001</v>
      </c>
      <c r="F32" s="29">
        <v>1.39735713593098</v>
      </c>
    </row>
    <row r="33" spans="1:6" x14ac:dyDescent="0.2">
      <c r="A33" s="26" t="s">
        <v>1228</v>
      </c>
      <c r="B33" s="26" t="s">
        <v>1227</v>
      </c>
      <c r="C33" s="26" t="s">
        <v>1052</v>
      </c>
      <c r="D33" s="30">
        <v>4919680</v>
      </c>
      <c r="E33" s="28">
        <v>2575.4524799999999</v>
      </c>
      <c r="F33" s="29">
        <v>1.3585948703491399</v>
      </c>
    </row>
    <row r="34" spans="1:6" x14ac:dyDescent="0.2">
      <c r="A34" s="26" t="s">
        <v>1112</v>
      </c>
      <c r="B34" s="26" t="s">
        <v>1111</v>
      </c>
      <c r="C34" s="26" t="s">
        <v>1061</v>
      </c>
      <c r="D34" s="30">
        <v>12011755</v>
      </c>
      <c r="E34" s="28">
        <v>2498.4450400000001</v>
      </c>
      <c r="F34" s="29">
        <v>1.3179721394794499</v>
      </c>
    </row>
    <row r="35" spans="1:6" x14ac:dyDescent="0.2">
      <c r="A35" s="26" t="s">
        <v>1138</v>
      </c>
      <c r="B35" s="26" t="s">
        <v>1137</v>
      </c>
      <c r="C35" s="26" t="s">
        <v>1076</v>
      </c>
      <c r="D35" s="30">
        <v>2469496</v>
      </c>
      <c r="E35" s="28">
        <v>2346.0212000000001</v>
      </c>
      <c r="F35" s="29">
        <v>1.2375659783287301</v>
      </c>
    </row>
    <row r="36" spans="1:6" x14ac:dyDescent="0.2">
      <c r="A36" s="26" t="s">
        <v>1142</v>
      </c>
      <c r="B36" s="26" t="s">
        <v>1141</v>
      </c>
      <c r="C36" s="26" t="s">
        <v>1104</v>
      </c>
      <c r="D36" s="30">
        <v>1174352</v>
      </c>
      <c r="E36" s="28">
        <v>2323.4554320000002</v>
      </c>
      <c r="F36" s="29">
        <v>1.22566215292781</v>
      </c>
    </row>
    <row r="37" spans="1:6" x14ac:dyDescent="0.2">
      <c r="A37" s="26" t="s">
        <v>1071</v>
      </c>
      <c r="B37" s="26" t="s">
        <v>1070</v>
      </c>
      <c r="C37" s="26" t="s">
        <v>1035</v>
      </c>
      <c r="D37" s="30">
        <v>247050</v>
      </c>
      <c r="E37" s="28">
        <v>2318.8112999999998</v>
      </c>
      <c r="F37" s="29">
        <v>1.22321229451985</v>
      </c>
    </row>
    <row r="38" spans="1:6" x14ac:dyDescent="0.2">
      <c r="A38" s="26" t="s">
        <v>1395</v>
      </c>
      <c r="B38" s="26" t="s">
        <v>1394</v>
      </c>
      <c r="C38" s="26" t="s">
        <v>1032</v>
      </c>
      <c r="D38" s="30">
        <v>364298</v>
      </c>
      <c r="E38" s="28">
        <v>2013.475046</v>
      </c>
      <c r="F38" s="29">
        <v>1.0621422411457599</v>
      </c>
    </row>
    <row r="39" spans="1:6" x14ac:dyDescent="0.2">
      <c r="A39" s="26" t="s">
        <v>1220</v>
      </c>
      <c r="B39" s="26" t="s">
        <v>1219</v>
      </c>
      <c r="C39" s="26" t="s">
        <v>1145</v>
      </c>
      <c r="D39" s="30">
        <v>417110</v>
      </c>
      <c r="E39" s="28">
        <v>1918.7059999999999</v>
      </c>
      <c r="F39" s="29">
        <v>1.0121499618226799</v>
      </c>
    </row>
    <row r="40" spans="1:6" x14ac:dyDescent="0.2">
      <c r="A40" s="26" t="s">
        <v>1063</v>
      </c>
      <c r="B40" s="26" t="s">
        <v>1062</v>
      </c>
      <c r="C40" s="26" t="s">
        <v>1061</v>
      </c>
      <c r="D40" s="30">
        <v>1892345</v>
      </c>
      <c r="E40" s="28">
        <v>1798.6739230000001</v>
      </c>
      <c r="F40" s="29">
        <v>0.94883100511276897</v>
      </c>
    </row>
    <row r="41" spans="1:6" x14ac:dyDescent="0.2">
      <c r="A41" s="26" t="s">
        <v>1048</v>
      </c>
      <c r="B41" s="26" t="s">
        <v>1047</v>
      </c>
      <c r="C41" s="26" t="s">
        <v>1049</v>
      </c>
      <c r="D41" s="30">
        <v>323797</v>
      </c>
      <c r="E41" s="28">
        <v>1636.4700379999999</v>
      </c>
      <c r="F41" s="29">
        <v>0.863265704326593</v>
      </c>
    </row>
    <row r="42" spans="1:6" x14ac:dyDescent="0.2">
      <c r="A42" s="26" t="s">
        <v>1125</v>
      </c>
      <c r="B42" s="26" t="s">
        <v>1124</v>
      </c>
      <c r="C42" s="26" t="s">
        <v>1022</v>
      </c>
      <c r="D42" s="30">
        <v>283932</v>
      </c>
      <c r="E42" s="28">
        <v>1550.97855</v>
      </c>
      <c r="F42" s="29">
        <v>0.81816749422282298</v>
      </c>
    </row>
    <row r="43" spans="1:6" x14ac:dyDescent="0.2">
      <c r="A43" s="26" t="s">
        <v>1478</v>
      </c>
      <c r="B43" s="26" t="s">
        <v>1477</v>
      </c>
      <c r="C43" s="26" t="s">
        <v>1014</v>
      </c>
      <c r="D43" s="30">
        <v>330528</v>
      </c>
      <c r="E43" s="28">
        <v>1547.3668319999999</v>
      </c>
      <c r="F43" s="29">
        <v>0.81626225171260303</v>
      </c>
    </row>
    <row r="44" spans="1:6" x14ac:dyDescent="0.2">
      <c r="A44" s="26" t="s">
        <v>1169</v>
      </c>
      <c r="B44" s="26" t="s">
        <v>1168</v>
      </c>
      <c r="C44" s="26" t="s">
        <v>1052</v>
      </c>
      <c r="D44" s="30">
        <v>3415915</v>
      </c>
      <c r="E44" s="28">
        <v>1357.8262130000001</v>
      </c>
      <c r="F44" s="29">
        <v>0.71627636003107498</v>
      </c>
    </row>
    <row r="45" spans="1:6" x14ac:dyDescent="0.2">
      <c r="A45" s="26" t="s">
        <v>1078</v>
      </c>
      <c r="B45" s="26" t="s">
        <v>1077</v>
      </c>
      <c r="C45" s="26" t="s">
        <v>1035</v>
      </c>
      <c r="D45" s="30">
        <v>312320</v>
      </c>
      <c r="E45" s="28">
        <v>1292.6924799999999</v>
      </c>
      <c r="F45" s="29">
        <v>0.681917211016417</v>
      </c>
    </row>
    <row r="46" spans="1:6" x14ac:dyDescent="0.2">
      <c r="A46" s="26" t="s">
        <v>1201</v>
      </c>
      <c r="B46" s="26" t="s">
        <v>1200</v>
      </c>
      <c r="C46" s="26" t="s">
        <v>1202</v>
      </c>
      <c r="D46" s="30">
        <v>397199</v>
      </c>
      <c r="E46" s="28">
        <v>1160.0196800000001</v>
      </c>
      <c r="F46" s="29">
        <v>0.61193005850065496</v>
      </c>
    </row>
    <row r="47" spans="1:6" x14ac:dyDescent="0.2">
      <c r="A47" s="26" t="s">
        <v>1218</v>
      </c>
      <c r="B47" s="26" t="s">
        <v>1217</v>
      </c>
      <c r="C47" s="26" t="s">
        <v>1046</v>
      </c>
      <c r="D47" s="30">
        <v>3050843</v>
      </c>
      <c r="E47" s="28">
        <v>970.16807400000005</v>
      </c>
      <c r="F47" s="29">
        <v>0.51178011590138495</v>
      </c>
    </row>
    <row r="48" spans="1:6" x14ac:dyDescent="0.2">
      <c r="A48" s="26" t="s">
        <v>1204</v>
      </c>
      <c r="B48" s="26" t="s">
        <v>1203</v>
      </c>
      <c r="C48" s="26" t="s">
        <v>1022</v>
      </c>
      <c r="D48" s="30">
        <v>415509</v>
      </c>
      <c r="E48" s="28">
        <v>948.81480150000004</v>
      </c>
      <c r="F48" s="29">
        <v>0.500515902444157</v>
      </c>
    </row>
    <row r="49" spans="1:9" x14ac:dyDescent="0.2">
      <c r="A49" s="26" t="s">
        <v>1082</v>
      </c>
      <c r="B49" s="26" t="s">
        <v>1081</v>
      </c>
      <c r="C49" s="26" t="s">
        <v>1083</v>
      </c>
      <c r="D49" s="30">
        <v>805716</v>
      </c>
      <c r="E49" s="28">
        <v>931.40769599999999</v>
      </c>
      <c r="F49" s="29">
        <v>0.491333359017875</v>
      </c>
    </row>
    <row r="50" spans="1:9" x14ac:dyDescent="0.2">
      <c r="A50" s="26" t="s">
        <v>1190</v>
      </c>
      <c r="B50" s="26" t="s">
        <v>1189</v>
      </c>
      <c r="C50" s="26" t="s">
        <v>1076</v>
      </c>
      <c r="D50" s="30">
        <v>360275</v>
      </c>
      <c r="E50" s="28">
        <v>919.06152499999996</v>
      </c>
      <c r="F50" s="29">
        <v>0.48482054438848099</v>
      </c>
    </row>
    <row r="51" spans="1:9" x14ac:dyDescent="0.2">
      <c r="A51" s="26" t="s">
        <v>1346</v>
      </c>
      <c r="B51" s="26" t="s">
        <v>1345</v>
      </c>
      <c r="C51" s="26" t="s">
        <v>1134</v>
      </c>
      <c r="D51" s="30">
        <v>5150797</v>
      </c>
      <c r="E51" s="28">
        <v>906.54027199999996</v>
      </c>
      <c r="F51" s="29">
        <v>0.47821537103418799</v>
      </c>
    </row>
    <row r="52" spans="1:9" x14ac:dyDescent="0.2">
      <c r="A52" s="26" t="s">
        <v>1089</v>
      </c>
      <c r="B52" s="26" t="s">
        <v>1088</v>
      </c>
      <c r="C52" s="26" t="s">
        <v>1090</v>
      </c>
      <c r="D52" s="30">
        <v>1656994</v>
      </c>
      <c r="E52" s="28">
        <v>695.10898299999997</v>
      </c>
      <c r="F52" s="29">
        <v>0.36668177959836001</v>
      </c>
    </row>
    <row r="53" spans="1:9" x14ac:dyDescent="0.2">
      <c r="A53" s="26" t="s">
        <v>1224</v>
      </c>
      <c r="B53" s="26" t="s">
        <v>1223</v>
      </c>
      <c r="C53" s="26" t="s">
        <v>1038</v>
      </c>
      <c r="D53" s="30">
        <v>42129</v>
      </c>
      <c r="E53" s="28">
        <v>605.604375</v>
      </c>
      <c r="F53" s="29">
        <v>0.31946658062042699</v>
      </c>
    </row>
    <row r="54" spans="1:9" x14ac:dyDescent="0.2">
      <c r="A54" s="26" t="s">
        <v>1192</v>
      </c>
      <c r="B54" s="26" t="s">
        <v>1191</v>
      </c>
      <c r="C54" s="26" t="s">
        <v>1104</v>
      </c>
      <c r="D54" s="30">
        <v>1113029</v>
      </c>
      <c r="E54" s="28">
        <v>573.20993499999997</v>
      </c>
      <c r="F54" s="29">
        <v>0.30237796401670203</v>
      </c>
    </row>
    <row r="55" spans="1:9" x14ac:dyDescent="0.2">
      <c r="A55" s="26" t="s">
        <v>1422</v>
      </c>
      <c r="B55" s="26" t="s">
        <v>1421</v>
      </c>
      <c r="C55" s="26" t="s">
        <v>1294</v>
      </c>
      <c r="D55" s="30">
        <v>105014</v>
      </c>
      <c r="E55" s="28">
        <v>569.17588000000001</v>
      </c>
      <c r="F55" s="29">
        <v>0.30024993157492103</v>
      </c>
    </row>
    <row r="56" spans="1:9" x14ac:dyDescent="0.2">
      <c r="A56" s="26" t="s">
        <v>1480</v>
      </c>
      <c r="B56" s="26" t="s">
        <v>1479</v>
      </c>
      <c r="C56" s="26" t="s">
        <v>1076</v>
      </c>
      <c r="D56" s="30">
        <v>724550</v>
      </c>
      <c r="E56" s="28">
        <v>514.43050000000005</v>
      </c>
      <c r="F56" s="29">
        <v>0.27137081498438098</v>
      </c>
    </row>
    <row r="57" spans="1:9" x14ac:dyDescent="0.2">
      <c r="A57" s="26" t="s">
        <v>1144</v>
      </c>
      <c r="B57" s="26" t="s">
        <v>1143</v>
      </c>
      <c r="C57" s="26" t="s">
        <v>1145</v>
      </c>
      <c r="D57" s="30">
        <v>656332</v>
      </c>
      <c r="E57" s="28">
        <v>357.04460799999998</v>
      </c>
      <c r="F57" s="29">
        <v>0.18834708723285101</v>
      </c>
    </row>
    <row r="58" spans="1:9" x14ac:dyDescent="0.2">
      <c r="A58" s="26" t="s">
        <v>1129</v>
      </c>
      <c r="B58" s="26" t="s">
        <v>1128</v>
      </c>
      <c r="C58" s="26" t="s">
        <v>1032</v>
      </c>
      <c r="D58" s="30">
        <v>188143</v>
      </c>
      <c r="E58" s="28">
        <v>322.94745949999998</v>
      </c>
      <c r="F58" s="29">
        <v>0.17036026301249699</v>
      </c>
    </row>
    <row r="59" spans="1:9" x14ac:dyDescent="0.2">
      <c r="A59" s="26" t="s">
        <v>1482</v>
      </c>
      <c r="B59" s="26" t="s">
        <v>1481</v>
      </c>
      <c r="C59" s="26" t="s">
        <v>1090</v>
      </c>
      <c r="D59" s="30">
        <v>4997148</v>
      </c>
      <c r="E59" s="28">
        <v>242.36167800000001</v>
      </c>
      <c r="F59" s="29">
        <v>0.12784989630249799</v>
      </c>
    </row>
    <row r="60" spans="1:9" x14ac:dyDescent="0.2">
      <c r="A60" s="26" t="s">
        <v>1484</v>
      </c>
      <c r="B60" s="26" t="s">
        <v>1483</v>
      </c>
      <c r="C60" s="26" t="s">
        <v>1083</v>
      </c>
      <c r="D60" s="30">
        <v>269073</v>
      </c>
      <c r="E60" s="28">
        <v>211.76045099999999</v>
      </c>
      <c r="F60" s="29">
        <v>0.11170722997437001</v>
      </c>
    </row>
    <row r="61" spans="1:9" ht="10.5" x14ac:dyDescent="0.25">
      <c r="A61" s="25" t="s">
        <v>177</v>
      </c>
      <c r="B61" s="25"/>
      <c r="C61" s="25"/>
      <c r="D61" s="31"/>
      <c r="E61" s="32">
        <f>SUM(E7:E60)</f>
        <v>176177.61720999991</v>
      </c>
      <c r="F61" s="33">
        <f>SUM(F7:F60)</f>
        <v>92.936681562007024</v>
      </c>
      <c r="G61" s="17"/>
      <c r="H61" s="17"/>
      <c r="I61" s="17"/>
    </row>
    <row r="62" spans="1:9" x14ac:dyDescent="0.2">
      <c r="A62" s="26"/>
      <c r="B62" s="26"/>
      <c r="C62" s="26"/>
      <c r="D62" s="27"/>
      <c r="E62" s="28"/>
      <c r="F62" s="29"/>
    </row>
    <row r="63" spans="1:9" ht="10.5" x14ac:dyDescent="0.25">
      <c r="A63" s="25" t="s">
        <v>226</v>
      </c>
      <c r="B63" s="25"/>
      <c r="C63" s="25"/>
      <c r="D63" s="31"/>
      <c r="E63" s="32">
        <f>E61</f>
        <v>176177.61720999991</v>
      </c>
      <c r="F63" s="33">
        <f>F61</f>
        <v>92.936681562007024</v>
      </c>
      <c r="G63" s="17"/>
      <c r="H63" s="17"/>
      <c r="I63" s="17"/>
    </row>
    <row r="64" spans="1:9" ht="10.5" x14ac:dyDescent="0.25">
      <c r="A64" s="25"/>
      <c r="B64" s="25"/>
      <c r="C64" s="25"/>
      <c r="D64" s="31"/>
      <c r="E64" s="32"/>
      <c r="F64" s="33"/>
      <c r="G64" s="17"/>
      <c r="H64" s="17"/>
      <c r="I64" s="17"/>
    </row>
    <row r="65" spans="1:9" ht="10.5" x14ac:dyDescent="0.25">
      <c r="A65" s="25" t="s">
        <v>228</v>
      </c>
      <c r="B65" s="25"/>
      <c r="C65" s="25"/>
      <c r="D65" s="31"/>
      <c r="E65" s="32">
        <f>E67-(E61)</f>
        <v>13389.746557400096</v>
      </c>
      <c r="F65" s="33">
        <f>F67-(F61)</f>
        <v>7.0633184379929759</v>
      </c>
      <c r="G65" s="17"/>
      <c r="H65" s="17"/>
      <c r="I65" s="17"/>
    </row>
    <row r="66" spans="1:9" ht="10.5" x14ac:dyDescent="0.25">
      <c r="A66" s="25"/>
      <c r="B66" s="25"/>
      <c r="C66" s="25"/>
      <c r="D66" s="31"/>
      <c r="E66" s="32"/>
      <c r="F66" s="33"/>
      <c r="G66" s="17"/>
      <c r="H66" s="17"/>
      <c r="I66" s="17"/>
    </row>
    <row r="67" spans="1:9" ht="10.5" x14ac:dyDescent="0.25">
      <c r="A67" s="34" t="s">
        <v>227</v>
      </c>
      <c r="B67" s="34"/>
      <c r="C67" s="34"/>
      <c r="D67" s="35"/>
      <c r="E67" s="36">
        <v>189567.36376740001</v>
      </c>
      <c r="F67" s="37">
        <v>100</v>
      </c>
      <c r="G67" s="17"/>
      <c r="H67" s="17"/>
      <c r="I67" s="17"/>
    </row>
    <row r="69" spans="1:9" ht="10.5" x14ac:dyDescent="0.25">
      <c r="A69" s="17" t="s">
        <v>232</v>
      </c>
    </row>
    <row r="70" spans="1:9" ht="10.5" x14ac:dyDescent="0.25">
      <c r="A70" s="17" t="s">
        <v>233</v>
      </c>
    </row>
    <row r="71" spans="1:9" ht="10.5" x14ac:dyDescent="0.25">
      <c r="A71" s="17" t="s">
        <v>234</v>
      </c>
      <c r="B71" s="17"/>
      <c r="C71" s="38" t="s">
        <v>236</v>
      </c>
      <c r="D71" s="18" t="s">
        <v>235</v>
      </c>
    </row>
    <row r="72" spans="1:9" x14ac:dyDescent="0.2">
      <c r="A72" s="10" t="s">
        <v>543</v>
      </c>
      <c r="C72" s="39">
        <v>78.930700000000002</v>
      </c>
      <c r="D72" s="39">
        <v>59.828699999999998</v>
      </c>
    </row>
    <row r="73" spans="1:9" x14ac:dyDescent="0.2">
      <c r="A73" s="10" t="s">
        <v>580</v>
      </c>
      <c r="C73" s="39">
        <v>15.0632</v>
      </c>
      <c r="D73" s="39">
        <v>11.4177</v>
      </c>
    </row>
    <row r="74" spans="1:9" x14ac:dyDescent="0.2">
      <c r="A74" s="10" t="s">
        <v>546</v>
      </c>
      <c r="C74" s="39">
        <v>82.932199999999995</v>
      </c>
      <c r="D74" s="39">
        <v>63.163499999999999</v>
      </c>
    </row>
    <row r="75" spans="1:9" x14ac:dyDescent="0.2">
      <c r="A75" s="10" t="s">
        <v>581</v>
      </c>
      <c r="C75" s="39">
        <v>16.121600000000001</v>
      </c>
      <c r="D75" s="39">
        <v>12.277799999999999</v>
      </c>
    </row>
    <row r="77" spans="1:9" ht="10.5" x14ac:dyDescent="0.25">
      <c r="A77" s="17" t="s">
        <v>248</v>
      </c>
      <c r="D77" s="46" t="s">
        <v>256</v>
      </c>
    </row>
    <row r="79" spans="1:9" ht="10.5" x14ac:dyDescent="0.25">
      <c r="A79" s="17" t="s">
        <v>1151</v>
      </c>
      <c r="D79" s="47">
        <v>0.2641</v>
      </c>
    </row>
  </sheetData>
  <mergeCells count="1">
    <mergeCell ref="A1:F1"/>
  </mergeCells>
  <conditionalFormatting sqref="F2:F3 F5:F65535">
    <cfRule type="cellIs" dxfId="16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58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24.1796875" style="10" bestFit="1" customWidth="1"/>
    <col min="3" max="3" width="18.8164062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4.54296875" style="10" bestFit="1" customWidth="1"/>
    <col min="8" max="16384" width="9.1796875" style="10"/>
  </cols>
  <sheetData>
    <row r="1" spans="1:6" s="1" customFormat="1" ht="14" x14ac:dyDescent="0.25">
      <c r="A1" s="80" t="s">
        <v>50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1024</v>
      </c>
      <c r="B7" s="26" t="s">
        <v>1023</v>
      </c>
      <c r="C7" s="26" t="s">
        <v>1014</v>
      </c>
      <c r="D7" s="30">
        <v>13500000</v>
      </c>
      <c r="E7" s="28">
        <v>51320.25</v>
      </c>
      <c r="F7" s="29">
        <v>10.226946834491599</v>
      </c>
    </row>
    <row r="8" spans="1:6" x14ac:dyDescent="0.2">
      <c r="A8" s="26" t="s">
        <v>1065</v>
      </c>
      <c r="B8" s="26" t="s">
        <v>1064</v>
      </c>
      <c r="C8" s="26" t="s">
        <v>1014</v>
      </c>
      <c r="D8" s="30">
        <v>21000000</v>
      </c>
      <c r="E8" s="28">
        <v>40005</v>
      </c>
      <c r="F8" s="29">
        <v>7.9720774570239898</v>
      </c>
    </row>
    <row r="9" spans="1:6" x14ac:dyDescent="0.2">
      <c r="A9" s="26" t="s">
        <v>1016</v>
      </c>
      <c r="B9" s="26" t="s">
        <v>1015</v>
      </c>
      <c r="C9" s="26" t="s">
        <v>1017</v>
      </c>
      <c r="D9" s="30">
        <v>7700000</v>
      </c>
      <c r="E9" s="28">
        <v>39601.1</v>
      </c>
      <c r="F9" s="29">
        <v>7.8915894659005801</v>
      </c>
    </row>
    <row r="10" spans="1:6" x14ac:dyDescent="0.2">
      <c r="A10" s="26" t="s">
        <v>1013</v>
      </c>
      <c r="B10" s="26" t="s">
        <v>1012</v>
      </c>
      <c r="C10" s="26" t="s">
        <v>1014</v>
      </c>
      <c r="D10" s="30">
        <v>3800000</v>
      </c>
      <c r="E10" s="28">
        <v>38068.400000000001</v>
      </c>
      <c r="F10" s="29">
        <v>7.5861575669284402</v>
      </c>
    </row>
    <row r="11" spans="1:6" x14ac:dyDescent="0.2">
      <c r="A11" s="26" t="s">
        <v>1019</v>
      </c>
      <c r="B11" s="26" t="s">
        <v>1018</v>
      </c>
      <c r="C11" s="26" t="s">
        <v>1014</v>
      </c>
      <c r="D11" s="30">
        <v>6000000</v>
      </c>
      <c r="E11" s="28">
        <v>26694</v>
      </c>
      <c r="F11" s="29">
        <v>5.3195009533257904</v>
      </c>
    </row>
    <row r="12" spans="1:6" x14ac:dyDescent="0.2">
      <c r="A12" s="26" t="s">
        <v>1445</v>
      </c>
      <c r="B12" s="26" t="s">
        <v>1444</v>
      </c>
      <c r="C12" s="26" t="s">
        <v>1032</v>
      </c>
      <c r="D12" s="30">
        <v>2000000</v>
      </c>
      <c r="E12" s="28">
        <v>23582</v>
      </c>
      <c r="F12" s="29">
        <v>4.6993508459327504</v>
      </c>
    </row>
    <row r="13" spans="1:6" x14ac:dyDescent="0.2">
      <c r="A13" s="26" t="s">
        <v>1119</v>
      </c>
      <c r="B13" s="26" t="s">
        <v>1118</v>
      </c>
      <c r="C13" s="26" t="s">
        <v>1032</v>
      </c>
      <c r="D13" s="30">
        <v>625000</v>
      </c>
      <c r="E13" s="28">
        <v>22089.375</v>
      </c>
      <c r="F13" s="29">
        <v>4.4019049738095104</v>
      </c>
    </row>
    <row r="14" spans="1:6" x14ac:dyDescent="0.2">
      <c r="A14" s="26" t="s">
        <v>1447</v>
      </c>
      <c r="B14" s="26" t="s">
        <v>1446</v>
      </c>
      <c r="C14" s="26" t="s">
        <v>1055</v>
      </c>
      <c r="D14" s="30">
        <v>2500000</v>
      </c>
      <c r="E14" s="28">
        <v>20882.5</v>
      </c>
      <c r="F14" s="29">
        <v>4.1614025120935798</v>
      </c>
    </row>
    <row r="15" spans="1:6" x14ac:dyDescent="0.2">
      <c r="A15" s="26" t="s">
        <v>1131</v>
      </c>
      <c r="B15" s="26" t="s">
        <v>1130</v>
      </c>
      <c r="C15" s="26" t="s">
        <v>1043</v>
      </c>
      <c r="D15" s="30">
        <v>24000000</v>
      </c>
      <c r="E15" s="28">
        <v>20208</v>
      </c>
      <c r="F15" s="29">
        <v>4.0269901575188296</v>
      </c>
    </row>
    <row r="16" spans="1:6" x14ac:dyDescent="0.2">
      <c r="A16" s="26" t="s">
        <v>1063</v>
      </c>
      <c r="B16" s="26" t="s">
        <v>1062</v>
      </c>
      <c r="C16" s="26" t="s">
        <v>1061</v>
      </c>
      <c r="D16" s="30">
        <v>21136143</v>
      </c>
      <c r="E16" s="28">
        <v>20089.903920000001</v>
      </c>
      <c r="F16" s="29">
        <v>4.0034563218200203</v>
      </c>
    </row>
    <row r="17" spans="1:6" x14ac:dyDescent="0.2">
      <c r="A17" s="26" t="s">
        <v>1449</v>
      </c>
      <c r="B17" s="26" t="s">
        <v>1448</v>
      </c>
      <c r="C17" s="26" t="s">
        <v>1195</v>
      </c>
      <c r="D17" s="30">
        <v>1928044</v>
      </c>
      <c r="E17" s="28">
        <v>19188.857909999999</v>
      </c>
      <c r="F17" s="29">
        <v>3.8238985519397</v>
      </c>
    </row>
    <row r="18" spans="1:6" x14ac:dyDescent="0.2">
      <c r="A18" s="26" t="s">
        <v>1069</v>
      </c>
      <c r="B18" s="26" t="s">
        <v>1068</v>
      </c>
      <c r="C18" s="26" t="s">
        <v>1043</v>
      </c>
      <c r="D18" s="30">
        <v>5000000</v>
      </c>
      <c r="E18" s="28">
        <v>18500</v>
      </c>
      <c r="F18" s="29">
        <v>3.6866249957491299</v>
      </c>
    </row>
    <row r="19" spans="1:6" x14ac:dyDescent="0.2">
      <c r="A19" s="26" t="s">
        <v>1140</v>
      </c>
      <c r="B19" s="26" t="s">
        <v>1139</v>
      </c>
      <c r="C19" s="26" t="s">
        <v>1029</v>
      </c>
      <c r="D19" s="30">
        <v>14500000</v>
      </c>
      <c r="E19" s="28">
        <v>13876.5</v>
      </c>
      <c r="F19" s="29">
        <v>2.76526766235204</v>
      </c>
    </row>
    <row r="20" spans="1:6" x14ac:dyDescent="0.2">
      <c r="A20" s="26" t="s">
        <v>1031</v>
      </c>
      <c r="B20" s="26" t="s">
        <v>1030</v>
      </c>
      <c r="C20" s="26" t="s">
        <v>1032</v>
      </c>
      <c r="D20" s="30">
        <v>2625000</v>
      </c>
      <c r="E20" s="28">
        <v>13253.625</v>
      </c>
      <c r="F20" s="29">
        <v>2.6411429842856999</v>
      </c>
    </row>
    <row r="21" spans="1:6" x14ac:dyDescent="0.2">
      <c r="A21" s="26" t="s">
        <v>1451</v>
      </c>
      <c r="B21" s="26" t="s">
        <v>1450</v>
      </c>
      <c r="C21" s="26" t="s">
        <v>1104</v>
      </c>
      <c r="D21" s="30">
        <v>1700000</v>
      </c>
      <c r="E21" s="28">
        <v>12356.45</v>
      </c>
      <c r="F21" s="29">
        <v>2.4623566177688798</v>
      </c>
    </row>
    <row r="22" spans="1:6" x14ac:dyDescent="0.2">
      <c r="A22" s="26" t="s">
        <v>1021</v>
      </c>
      <c r="B22" s="26" t="s">
        <v>1020</v>
      </c>
      <c r="C22" s="26" t="s">
        <v>1022</v>
      </c>
      <c r="D22" s="30">
        <v>1500000</v>
      </c>
      <c r="E22" s="28">
        <v>10732.5</v>
      </c>
      <c r="F22" s="29">
        <v>2.13874069010149</v>
      </c>
    </row>
    <row r="23" spans="1:6" x14ac:dyDescent="0.2">
      <c r="A23" s="26" t="s">
        <v>1129</v>
      </c>
      <c r="B23" s="26" t="s">
        <v>1128</v>
      </c>
      <c r="C23" s="26" t="s">
        <v>1032</v>
      </c>
      <c r="D23" s="30">
        <v>6000000</v>
      </c>
      <c r="E23" s="28">
        <v>10299</v>
      </c>
      <c r="F23" s="29">
        <v>2.0523540989848801</v>
      </c>
    </row>
    <row r="24" spans="1:6" x14ac:dyDescent="0.2">
      <c r="A24" s="26" t="s">
        <v>1099</v>
      </c>
      <c r="B24" s="26" t="s">
        <v>1098</v>
      </c>
      <c r="C24" s="26" t="s">
        <v>1055</v>
      </c>
      <c r="D24" s="30">
        <v>250000</v>
      </c>
      <c r="E24" s="28">
        <v>9840.75</v>
      </c>
      <c r="F24" s="29">
        <v>1.96103540145504</v>
      </c>
    </row>
    <row r="25" spans="1:6" x14ac:dyDescent="0.2">
      <c r="A25" s="26" t="s">
        <v>1116</v>
      </c>
      <c r="B25" s="26" t="s">
        <v>1115</v>
      </c>
      <c r="C25" s="26" t="s">
        <v>1117</v>
      </c>
      <c r="D25" s="30">
        <v>1000000</v>
      </c>
      <c r="E25" s="28">
        <v>8975.5</v>
      </c>
      <c r="F25" s="29">
        <v>1.7886109540187201</v>
      </c>
    </row>
    <row r="26" spans="1:6" x14ac:dyDescent="0.2">
      <c r="A26" s="26" t="s">
        <v>1263</v>
      </c>
      <c r="B26" s="26" t="s">
        <v>1262</v>
      </c>
      <c r="C26" s="26" t="s">
        <v>1017</v>
      </c>
      <c r="D26" s="30">
        <v>200000000</v>
      </c>
      <c r="E26" s="28">
        <v>8400</v>
      </c>
      <c r="F26" s="29">
        <v>1.6739270250969001</v>
      </c>
    </row>
    <row r="27" spans="1:6" x14ac:dyDescent="0.2">
      <c r="A27" s="26" t="s">
        <v>1045</v>
      </c>
      <c r="B27" s="26" t="s">
        <v>1044</v>
      </c>
      <c r="C27" s="26" t="s">
        <v>1046</v>
      </c>
      <c r="D27" s="30">
        <v>6200000</v>
      </c>
      <c r="E27" s="28">
        <v>8072.4</v>
      </c>
      <c r="F27" s="29">
        <v>1.6086438711181199</v>
      </c>
    </row>
    <row r="28" spans="1:6" x14ac:dyDescent="0.2">
      <c r="A28" s="26" t="s">
        <v>1087</v>
      </c>
      <c r="B28" s="26" t="s">
        <v>1086</v>
      </c>
      <c r="C28" s="26" t="s">
        <v>1052</v>
      </c>
      <c r="D28" s="30">
        <v>6000000</v>
      </c>
      <c r="E28" s="28">
        <v>5595</v>
      </c>
      <c r="F28" s="29">
        <v>1.1149549649306101</v>
      </c>
    </row>
    <row r="29" spans="1:6" x14ac:dyDescent="0.2">
      <c r="A29" s="26" t="s">
        <v>1171</v>
      </c>
      <c r="B29" s="26" t="s">
        <v>1170</v>
      </c>
      <c r="C29" s="26" t="s">
        <v>1052</v>
      </c>
      <c r="D29" s="30">
        <v>200000</v>
      </c>
      <c r="E29" s="28">
        <v>4333.3999999999996</v>
      </c>
      <c r="F29" s="29">
        <v>0.86354706792320401</v>
      </c>
    </row>
    <row r="30" spans="1:6" x14ac:dyDescent="0.2">
      <c r="A30" s="26" t="s">
        <v>1051</v>
      </c>
      <c r="B30" s="26" t="s">
        <v>1050</v>
      </c>
      <c r="C30" s="26" t="s">
        <v>1052</v>
      </c>
      <c r="D30" s="30">
        <v>1000000</v>
      </c>
      <c r="E30" s="28">
        <v>3666.5</v>
      </c>
      <c r="F30" s="29">
        <v>0.73064921875211797</v>
      </c>
    </row>
    <row r="31" spans="1:6" x14ac:dyDescent="0.2">
      <c r="A31" s="26" t="s">
        <v>1157</v>
      </c>
      <c r="B31" s="26" t="s">
        <v>1156</v>
      </c>
      <c r="C31" s="26" t="s">
        <v>1038</v>
      </c>
      <c r="D31" s="30">
        <v>3500000</v>
      </c>
      <c r="E31" s="28">
        <v>3370.5</v>
      </c>
      <c r="F31" s="29">
        <v>0.67166321882013202</v>
      </c>
    </row>
    <row r="32" spans="1:6" x14ac:dyDescent="0.2">
      <c r="A32" s="26" t="s">
        <v>1169</v>
      </c>
      <c r="B32" s="26" t="s">
        <v>1168</v>
      </c>
      <c r="C32" s="26" t="s">
        <v>1052</v>
      </c>
      <c r="D32" s="30">
        <v>8000000</v>
      </c>
      <c r="E32" s="28">
        <v>3180</v>
      </c>
      <c r="F32" s="29">
        <v>0.633700945215255</v>
      </c>
    </row>
    <row r="33" spans="1:9" x14ac:dyDescent="0.2">
      <c r="A33" s="26" t="s">
        <v>1057</v>
      </c>
      <c r="B33" s="26" t="s">
        <v>1056</v>
      </c>
      <c r="C33" s="26" t="s">
        <v>1058</v>
      </c>
      <c r="D33" s="30">
        <v>1000000</v>
      </c>
      <c r="E33" s="28">
        <v>2983</v>
      </c>
      <c r="F33" s="29">
        <v>0.59444337093619704</v>
      </c>
    </row>
    <row r="34" spans="1:9" x14ac:dyDescent="0.2">
      <c r="A34" s="26" t="s">
        <v>1028</v>
      </c>
      <c r="B34" s="26" t="s">
        <v>1027</v>
      </c>
      <c r="C34" s="26" t="s">
        <v>1029</v>
      </c>
      <c r="D34" s="30">
        <v>1200000</v>
      </c>
      <c r="E34" s="28">
        <v>2916</v>
      </c>
      <c r="F34" s="29">
        <v>0.58109181014078104</v>
      </c>
    </row>
    <row r="35" spans="1:9" x14ac:dyDescent="0.2">
      <c r="A35" s="26" t="s">
        <v>1175</v>
      </c>
      <c r="B35" s="26" t="s">
        <v>1174</v>
      </c>
      <c r="C35" s="26" t="s">
        <v>1176</v>
      </c>
      <c r="D35" s="30">
        <v>3500000</v>
      </c>
      <c r="E35" s="28">
        <v>2796.5</v>
      </c>
      <c r="F35" s="29">
        <v>0.55727820543851003</v>
      </c>
    </row>
    <row r="36" spans="1:9" ht="10.5" x14ac:dyDescent="0.25">
      <c r="A36" s="25" t="s">
        <v>177</v>
      </c>
      <c r="B36" s="25"/>
      <c r="C36" s="25"/>
      <c r="D36" s="31"/>
      <c r="E36" s="32">
        <f>SUM(E7:E35)</f>
        <v>464877.01183000009</v>
      </c>
      <c r="F36" s="33">
        <f>SUM(F7:F35)</f>
        <v>92.639308743872462</v>
      </c>
      <c r="G36" s="17"/>
      <c r="H36" s="17"/>
      <c r="I36" s="17"/>
    </row>
    <row r="37" spans="1:9" x14ac:dyDescent="0.2">
      <c r="A37" s="26"/>
      <c r="B37" s="26"/>
      <c r="C37" s="26"/>
      <c r="D37" s="27"/>
      <c r="E37" s="28"/>
      <c r="F37" s="29"/>
    </row>
    <row r="38" spans="1:9" ht="10.5" x14ac:dyDescent="0.25">
      <c r="A38" s="25" t="s">
        <v>226</v>
      </c>
      <c r="B38" s="25"/>
      <c r="C38" s="25"/>
      <c r="D38" s="31"/>
      <c r="E38" s="32">
        <f>E36</f>
        <v>464877.01183000009</v>
      </c>
      <c r="F38" s="33">
        <f>F36</f>
        <v>92.639308743872462</v>
      </c>
      <c r="G38" s="17"/>
      <c r="H38" s="17"/>
      <c r="I38" s="17"/>
    </row>
    <row r="39" spans="1:9" ht="10.5" x14ac:dyDescent="0.25">
      <c r="A39" s="25"/>
      <c r="B39" s="25"/>
      <c r="C39" s="25"/>
      <c r="D39" s="31"/>
      <c r="E39" s="32"/>
      <c r="F39" s="33"/>
      <c r="G39" s="17"/>
      <c r="H39" s="17"/>
      <c r="I39" s="17"/>
    </row>
    <row r="40" spans="1:9" ht="10.5" x14ac:dyDescent="0.25">
      <c r="A40" s="25" t="s">
        <v>228</v>
      </c>
      <c r="B40" s="25"/>
      <c r="C40" s="25"/>
      <c r="D40" s="31"/>
      <c r="E40" s="32">
        <f>E42-(E36)</f>
        <v>36936.97850889992</v>
      </c>
      <c r="F40" s="33">
        <f>F42-(F36)</f>
        <v>7.3606912561275379</v>
      </c>
      <c r="G40" s="17"/>
      <c r="H40" s="17"/>
      <c r="I40" s="17"/>
    </row>
    <row r="41" spans="1:9" ht="10.5" x14ac:dyDescent="0.25">
      <c r="A41" s="25"/>
      <c r="B41" s="25"/>
      <c r="C41" s="25"/>
      <c r="D41" s="31"/>
      <c r="E41" s="32"/>
      <c r="F41" s="33"/>
      <c r="G41" s="17"/>
      <c r="H41" s="17"/>
      <c r="I41" s="17"/>
    </row>
    <row r="42" spans="1:9" ht="10.5" x14ac:dyDescent="0.25">
      <c r="A42" s="34" t="s">
        <v>227</v>
      </c>
      <c r="B42" s="34"/>
      <c r="C42" s="34"/>
      <c r="D42" s="35"/>
      <c r="E42" s="36">
        <v>501813.99033890001</v>
      </c>
      <c r="F42" s="37">
        <v>100</v>
      </c>
      <c r="G42" s="17"/>
      <c r="H42" s="17"/>
      <c r="I42" s="17"/>
    </row>
    <row r="44" spans="1:9" ht="10.5" x14ac:dyDescent="0.25">
      <c r="A44" s="17" t="s">
        <v>232</v>
      </c>
    </row>
    <row r="45" spans="1:9" ht="10.5" x14ac:dyDescent="0.25">
      <c r="A45" s="17" t="s">
        <v>233</v>
      </c>
    </row>
    <row r="46" spans="1:9" ht="10.5" x14ac:dyDescent="0.25">
      <c r="A46" s="17" t="s">
        <v>234</v>
      </c>
      <c r="B46" s="17"/>
      <c r="C46" s="38" t="s">
        <v>236</v>
      </c>
      <c r="D46" s="18" t="s">
        <v>235</v>
      </c>
    </row>
    <row r="47" spans="1:9" x14ac:dyDescent="0.2">
      <c r="A47" s="10" t="s">
        <v>543</v>
      </c>
      <c r="C47" s="39">
        <v>459.69200000000001</v>
      </c>
      <c r="D47" s="39">
        <v>383.20170000000002</v>
      </c>
    </row>
    <row r="48" spans="1:9" x14ac:dyDescent="0.2">
      <c r="A48" s="10" t="s">
        <v>580</v>
      </c>
      <c r="C48" s="39">
        <v>37.215200000000003</v>
      </c>
      <c r="D48" s="39">
        <v>28.225100000000001</v>
      </c>
    </row>
    <row r="49" spans="1:4" x14ac:dyDescent="0.2">
      <c r="A49" s="10" t="s">
        <v>546</v>
      </c>
      <c r="C49" s="39">
        <v>486.65440000000001</v>
      </c>
      <c r="D49" s="39">
        <v>407.24040000000002</v>
      </c>
    </row>
    <row r="50" spans="1:4" x14ac:dyDescent="0.2">
      <c r="A50" s="10" t="s">
        <v>581</v>
      </c>
      <c r="C50" s="39">
        <v>40.200299999999999</v>
      </c>
      <c r="D50" s="39">
        <v>30.835000000000001</v>
      </c>
    </row>
    <row r="52" spans="1:4" ht="10.5" x14ac:dyDescent="0.25">
      <c r="A52" s="17" t="s">
        <v>248</v>
      </c>
    </row>
    <row r="53" spans="1:4" ht="10.5" x14ac:dyDescent="0.25">
      <c r="A53" s="84" t="s">
        <v>249</v>
      </c>
      <c r="B53" s="85"/>
      <c r="C53" s="82" t="s">
        <v>250</v>
      </c>
      <c r="D53" s="83"/>
    </row>
    <row r="54" spans="1:4" ht="10.5" x14ac:dyDescent="0.25">
      <c r="A54" s="84"/>
      <c r="B54" s="85"/>
      <c r="C54" s="40" t="s">
        <v>251</v>
      </c>
      <c r="D54" s="41" t="s">
        <v>252</v>
      </c>
    </row>
    <row r="55" spans="1:4" x14ac:dyDescent="0.2">
      <c r="A55" s="78" t="s">
        <v>580</v>
      </c>
      <c r="B55" s="79"/>
      <c r="C55" s="42">
        <v>3.0989296450000001</v>
      </c>
      <c r="D55" s="42">
        <v>3.0989296450000001</v>
      </c>
    </row>
    <row r="56" spans="1:4" x14ac:dyDescent="0.2">
      <c r="A56" s="78" t="s">
        <v>581</v>
      </c>
      <c r="B56" s="79"/>
      <c r="C56" s="42">
        <v>3.0989296450000001</v>
      </c>
      <c r="D56" s="42">
        <v>3.0989296450000001</v>
      </c>
    </row>
    <row r="58" spans="1:4" ht="10.5" x14ac:dyDescent="0.25">
      <c r="A58" s="17" t="s">
        <v>1151</v>
      </c>
      <c r="D58" s="47">
        <v>0.2213</v>
      </c>
    </row>
  </sheetData>
  <mergeCells count="6">
    <mergeCell ref="A56:B56"/>
    <mergeCell ref="A1:F1"/>
    <mergeCell ref="C53:D53"/>
    <mergeCell ref="A53:B53"/>
    <mergeCell ref="A54:B54"/>
    <mergeCell ref="A55:B55"/>
  </mergeCells>
  <conditionalFormatting sqref="F2:F3 F5:F65535">
    <cfRule type="cellIs" dxfId="15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66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24.7265625" style="10" bestFit="1" customWidth="1"/>
    <col min="3" max="3" width="18.81640625" style="10" bestFit="1" customWidth="1"/>
    <col min="4" max="4" width="15.26953125" style="11" bestFit="1" customWidth="1"/>
    <col min="5" max="5" width="23" style="15" bestFit="1" customWidth="1"/>
    <col min="6" max="6" width="13.54296875" style="16" bestFit="1" customWidth="1"/>
    <col min="7" max="7" width="4.54296875" style="10" bestFit="1" customWidth="1"/>
    <col min="8" max="16384" width="9.1796875" style="10"/>
  </cols>
  <sheetData>
    <row r="1" spans="1:6" s="1" customFormat="1" ht="14" x14ac:dyDescent="0.25">
      <c r="A1" s="80" t="s">
        <v>51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1016</v>
      </c>
      <c r="B7" s="26" t="s">
        <v>1015</v>
      </c>
      <c r="C7" s="26" t="s">
        <v>1017</v>
      </c>
      <c r="D7" s="30">
        <v>1400000</v>
      </c>
      <c r="E7" s="28">
        <v>7200.2</v>
      </c>
      <c r="F7" s="29">
        <v>8.4598864121929207</v>
      </c>
    </row>
    <row r="8" spans="1:6" x14ac:dyDescent="0.2">
      <c r="A8" s="26" t="s">
        <v>1024</v>
      </c>
      <c r="B8" s="26" t="s">
        <v>1023</v>
      </c>
      <c r="C8" s="26" t="s">
        <v>1014</v>
      </c>
      <c r="D8" s="30">
        <v>1875000</v>
      </c>
      <c r="E8" s="28">
        <v>7127.8125</v>
      </c>
      <c r="F8" s="29">
        <v>8.3748346042344401</v>
      </c>
    </row>
    <row r="9" spans="1:6" x14ac:dyDescent="0.2">
      <c r="A9" s="26" t="s">
        <v>1065</v>
      </c>
      <c r="B9" s="26" t="s">
        <v>1064</v>
      </c>
      <c r="C9" s="26" t="s">
        <v>1014</v>
      </c>
      <c r="D9" s="30">
        <v>3700000</v>
      </c>
      <c r="E9" s="28">
        <v>7048.5</v>
      </c>
      <c r="F9" s="29">
        <v>8.2816462565403395</v>
      </c>
    </row>
    <row r="10" spans="1:6" x14ac:dyDescent="0.2">
      <c r="A10" s="26" t="s">
        <v>1119</v>
      </c>
      <c r="B10" s="26" t="s">
        <v>1118</v>
      </c>
      <c r="C10" s="26" t="s">
        <v>1032</v>
      </c>
      <c r="D10" s="30">
        <v>135000</v>
      </c>
      <c r="E10" s="28">
        <v>4771.3050000000003</v>
      </c>
      <c r="F10" s="29">
        <v>5.60605237881283</v>
      </c>
    </row>
    <row r="11" spans="1:6" x14ac:dyDescent="0.2">
      <c r="A11" s="26" t="s">
        <v>1063</v>
      </c>
      <c r="B11" s="26" t="s">
        <v>1062</v>
      </c>
      <c r="C11" s="26" t="s">
        <v>1061</v>
      </c>
      <c r="D11" s="30">
        <v>5000000</v>
      </c>
      <c r="E11" s="28">
        <v>4752.5</v>
      </c>
      <c r="F11" s="29">
        <v>5.5839574142311097</v>
      </c>
    </row>
    <row r="12" spans="1:6" x14ac:dyDescent="0.2">
      <c r="A12" s="26" t="s">
        <v>1069</v>
      </c>
      <c r="B12" s="26" t="s">
        <v>1068</v>
      </c>
      <c r="C12" s="26" t="s">
        <v>1043</v>
      </c>
      <c r="D12" s="30">
        <v>1150000</v>
      </c>
      <c r="E12" s="28">
        <v>4255</v>
      </c>
      <c r="F12" s="29">
        <v>4.9994190000112297</v>
      </c>
    </row>
    <row r="13" spans="1:6" x14ac:dyDescent="0.2">
      <c r="A13" s="26" t="s">
        <v>1131</v>
      </c>
      <c r="B13" s="26" t="s">
        <v>1130</v>
      </c>
      <c r="C13" s="26" t="s">
        <v>1043</v>
      </c>
      <c r="D13" s="30">
        <v>5000000</v>
      </c>
      <c r="E13" s="28">
        <v>4210</v>
      </c>
      <c r="F13" s="29">
        <v>4.9465461786245104</v>
      </c>
    </row>
    <row r="14" spans="1:6" x14ac:dyDescent="0.2">
      <c r="A14" s="26" t="s">
        <v>1445</v>
      </c>
      <c r="B14" s="26" t="s">
        <v>1444</v>
      </c>
      <c r="C14" s="26" t="s">
        <v>1032</v>
      </c>
      <c r="D14" s="30">
        <v>350000</v>
      </c>
      <c r="E14" s="28">
        <v>4126.8500000000004</v>
      </c>
      <c r="F14" s="29">
        <v>4.8488489542177096</v>
      </c>
    </row>
    <row r="15" spans="1:6" x14ac:dyDescent="0.2">
      <c r="A15" s="26" t="s">
        <v>1013</v>
      </c>
      <c r="B15" s="26" t="s">
        <v>1012</v>
      </c>
      <c r="C15" s="26" t="s">
        <v>1014</v>
      </c>
      <c r="D15" s="30">
        <v>401041</v>
      </c>
      <c r="E15" s="28">
        <v>4017.6287379999999</v>
      </c>
      <c r="F15" s="29">
        <v>4.7205192591653002</v>
      </c>
    </row>
    <row r="16" spans="1:6" x14ac:dyDescent="0.2">
      <c r="A16" s="26" t="s">
        <v>1019</v>
      </c>
      <c r="B16" s="26" t="s">
        <v>1018</v>
      </c>
      <c r="C16" s="26" t="s">
        <v>1014</v>
      </c>
      <c r="D16" s="30">
        <v>600000</v>
      </c>
      <c r="E16" s="28">
        <v>2669.4</v>
      </c>
      <c r="F16" s="29">
        <v>3.1364157646603901</v>
      </c>
    </row>
    <row r="17" spans="1:6" x14ac:dyDescent="0.2">
      <c r="A17" s="26" t="s">
        <v>1175</v>
      </c>
      <c r="B17" s="26" t="s">
        <v>1174</v>
      </c>
      <c r="C17" s="26" t="s">
        <v>1176</v>
      </c>
      <c r="D17" s="30">
        <v>3200000</v>
      </c>
      <c r="E17" s="28">
        <v>2556.8000000000002</v>
      </c>
      <c r="F17" s="29">
        <v>3.0041162160349502</v>
      </c>
    </row>
    <row r="18" spans="1:6" x14ac:dyDescent="0.2">
      <c r="A18" s="26" t="s">
        <v>1140</v>
      </c>
      <c r="B18" s="26" t="s">
        <v>1139</v>
      </c>
      <c r="C18" s="26" t="s">
        <v>1029</v>
      </c>
      <c r="D18" s="30">
        <v>2500000</v>
      </c>
      <c r="E18" s="28">
        <v>2392.5</v>
      </c>
      <c r="F18" s="29">
        <v>2.8110716703940901</v>
      </c>
    </row>
    <row r="19" spans="1:6" x14ac:dyDescent="0.2">
      <c r="A19" s="26" t="s">
        <v>1453</v>
      </c>
      <c r="B19" s="26" t="s">
        <v>1452</v>
      </c>
      <c r="C19" s="26" t="s">
        <v>1076</v>
      </c>
      <c r="D19" s="30">
        <v>775000</v>
      </c>
      <c r="E19" s="28">
        <v>2251.375</v>
      </c>
      <c r="F19" s="29">
        <v>2.6452566277674001</v>
      </c>
    </row>
    <row r="20" spans="1:6" x14ac:dyDescent="0.2">
      <c r="A20" s="26" t="s">
        <v>1449</v>
      </c>
      <c r="B20" s="26" t="s">
        <v>1448</v>
      </c>
      <c r="C20" s="26" t="s">
        <v>1195</v>
      </c>
      <c r="D20" s="30">
        <v>200000</v>
      </c>
      <c r="E20" s="28">
        <v>1990.5</v>
      </c>
      <c r="F20" s="29">
        <v>2.3387411326727001</v>
      </c>
    </row>
    <row r="21" spans="1:6" x14ac:dyDescent="0.2">
      <c r="A21" s="26" t="s">
        <v>1263</v>
      </c>
      <c r="B21" s="26" t="s">
        <v>1262</v>
      </c>
      <c r="C21" s="26" t="s">
        <v>1017</v>
      </c>
      <c r="D21" s="30">
        <v>40000000</v>
      </c>
      <c r="E21" s="28">
        <v>1680</v>
      </c>
      <c r="F21" s="29">
        <v>1.9739186651043199</v>
      </c>
    </row>
    <row r="22" spans="1:6" x14ac:dyDescent="0.2">
      <c r="A22" s="26" t="s">
        <v>1338</v>
      </c>
      <c r="B22" s="26" t="s">
        <v>1337</v>
      </c>
      <c r="C22" s="26" t="s">
        <v>1032</v>
      </c>
      <c r="D22" s="30">
        <v>825000</v>
      </c>
      <c r="E22" s="28">
        <v>1646.2874999999999</v>
      </c>
      <c r="F22" s="29">
        <v>1.93430810974876</v>
      </c>
    </row>
    <row r="23" spans="1:6" x14ac:dyDescent="0.2">
      <c r="A23" s="26" t="s">
        <v>1329</v>
      </c>
      <c r="B23" s="26" t="s">
        <v>1328</v>
      </c>
      <c r="C23" s="26" t="s">
        <v>1294</v>
      </c>
      <c r="D23" s="30">
        <v>700000</v>
      </c>
      <c r="E23" s="28">
        <v>1404.2</v>
      </c>
      <c r="F23" s="29">
        <v>1.6498670175830199</v>
      </c>
    </row>
    <row r="24" spans="1:6" x14ac:dyDescent="0.2">
      <c r="A24" s="26" t="s">
        <v>1486</v>
      </c>
      <c r="B24" s="26" t="s">
        <v>1485</v>
      </c>
      <c r="C24" s="26" t="s">
        <v>1195</v>
      </c>
      <c r="D24" s="30">
        <v>1500000</v>
      </c>
      <c r="E24" s="28">
        <v>1367.25</v>
      </c>
      <c r="F24" s="29">
        <v>1.6064525564665899</v>
      </c>
    </row>
    <row r="25" spans="1:6" x14ac:dyDescent="0.2">
      <c r="A25" s="26" t="s">
        <v>1440</v>
      </c>
      <c r="B25" s="26" t="s">
        <v>1439</v>
      </c>
      <c r="C25" s="26" t="s">
        <v>1195</v>
      </c>
      <c r="D25" s="30">
        <v>3000000</v>
      </c>
      <c r="E25" s="28">
        <v>1344</v>
      </c>
      <c r="F25" s="29">
        <v>1.57913493208345</v>
      </c>
    </row>
    <row r="26" spans="1:6" x14ac:dyDescent="0.2">
      <c r="A26" s="26" t="s">
        <v>1190</v>
      </c>
      <c r="B26" s="26" t="s">
        <v>1189</v>
      </c>
      <c r="C26" s="26" t="s">
        <v>1076</v>
      </c>
      <c r="D26" s="30">
        <v>525000</v>
      </c>
      <c r="E26" s="28">
        <v>1339.2750000000001</v>
      </c>
      <c r="F26" s="29">
        <v>1.57358328583785</v>
      </c>
    </row>
    <row r="27" spans="1:6" x14ac:dyDescent="0.2">
      <c r="A27" s="26" t="s">
        <v>1194</v>
      </c>
      <c r="B27" s="26" t="s">
        <v>1193</v>
      </c>
      <c r="C27" s="26" t="s">
        <v>1195</v>
      </c>
      <c r="D27" s="30">
        <v>2300000</v>
      </c>
      <c r="E27" s="28">
        <v>1327.1</v>
      </c>
      <c r="F27" s="29">
        <v>1.5592782502737701</v>
      </c>
    </row>
    <row r="28" spans="1:6" x14ac:dyDescent="0.2">
      <c r="A28" s="26" t="s">
        <v>1480</v>
      </c>
      <c r="B28" s="26" t="s">
        <v>1479</v>
      </c>
      <c r="C28" s="26" t="s">
        <v>1076</v>
      </c>
      <c r="D28" s="30">
        <v>1600000</v>
      </c>
      <c r="E28" s="28">
        <v>1136</v>
      </c>
      <c r="F28" s="29">
        <v>1.3347450021181599</v>
      </c>
    </row>
    <row r="29" spans="1:6" x14ac:dyDescent="0.2">
      <c r="A29" s="26" t="s">
        <v>1218</v>
      </c>
      <c r="B29" s="26" t="s">
        <v>1217</v>
      </c>
      <c r="C29" s="26" t="s">
        <v>1046</v>
      </c>
      <c r="D29" s="30">
        <v>3500000</v>
      </c>
      <c r="E29" s="28">
        <v>1113</v>
      </c>
      <c r="F29" s="29">
        <v>1.30772111563161</v>
      </c>
    </row>
    <row r="30" spans="1:6" x14ac:dyDescent="0.2">
      <c r="A30" s="26" t="s">
        <v>1045</v>
      </c>
      <c r="B30" s="26" t="s">
        <v>1044</v>
      </c>
      <c r="C30" s="26" t="s">
        <v>1046</v>
      </c>
      <c r="D30" s="30">
        <v>700000</v>
      </c>
      <c r="E30" s="28">
        <v>911.4</v>
      </c>
      <c r="F30" s="29">
        <v>1.07085087581909</v>
      </c>
    </row>
    <row r="31" spans="1:6" x14ac:dyDescent="0.2">
      <c r="A31" s="26" t="s">
        <v>1116</v>
      </c>
      <c r="B31" s="26" t="s">
        <v>1115</v>
      </c>
      <c r="C31" s="26" t="s">
        <v>1117</v>
      </c>
      <c r="D31" s="30">
        <v>100000</v>
      </c>
      <c r="E31" s="28">
        <v>897.55</v>
      </c>
      <c r="F31" s="29">
        <v>1.05457779634784</v>
      </c>
    </row>
    <row r="32" spans="1:6" x14ac:dyDescent="0.2">
      <c r="A32" s="26" t="s">
        <v>1169</v>
      </c>
      <c r="B32" s="26" t="s">
        <v>1168</v>
      </c>
      <c r="C32" s="26" t="s">
        <v>1052</v>
      </c>
      <c r="D32" s="30">
        <v>2200000</v>
      </c>
      <c r="E32" s="28">
        <v>874.5</v>
      </c>
      <c r="F32" s="29">
        <v>1.0274951622819799</v>
      </c>
    </row>
    <row r="33" spans="1:9" x14ac:dyDescent="0.2">
      <c r="A33" s="26" t="s">
        <v>1488</v>
      </c>
      <c r="B33" s="26" t="s">
        <v>1487</v>
      </c>
      <c r="C33" s="26" t="s">
        <v>1294</v>
      </c>
      <c r="D33" s="30">
        <v>2233265</v>
      </c>
      <c r="E33" s="28">
        <v>834.12447750000001</v>
      </c>
      <c r="F33" s="29">
        <v>0.98005587807002104</v>
      </c>
    </row>
    <row r="34" spans="1:9" x14ac:dyDescent="0.2">
      <c r="A34" s="26" t="s">
        <v>1457</v>
      </c>
      <c r="B34" s="26" t="s">
        <v>1456</v>
      </c>
      <c r="C34" s="26" t="s">
        <v>1294</v>
      </c>
      <c r="D34" s="30">
        <v>2100000</v>
      </c>
      <c r="E34" s="28">
        <v>788.55</v>
      </c>
      <c r="F34" s="29">
        <v>0.92650807343333796</v>
      </c>
    </row>
    <row r="35" spans="1:9" x14ac:dyDescent="0.2">
      <c r="A35" s="26" t="s">
        <v>1197</v>
      </c>
      <c r="B35" s="26" t="s">
        <v>1196</v>
      </c>
      <c r="C35" s="26" t="s">
        <v>1195</v>
      </c>
      <c r="D35" s="30">
        <v>200000</v>
      </c>
      <c r="E35" s="28">
        <v>746.1</v>
      </c>
      <c r="F35" s="29">
        <v>0.87663137859186302</v>
      </c>
    </row>
    <row r="36" spans="1:9" x14ac:dyDescent="0.2">
      <c r="A36" s="26" t="s">
        <v>1028</v>
      </c>
      <c r="B36" s="26" t="s">
        <v>1027</v>
      </c>
      <c r="C36" s="26" t="s">
        <v>1029</v>
      </c>
      <c r="D36" s="30">
        <v>300000</v>
      </c>
      <c r="E36" s="28">
        <v>729</v>
      </c>
      <c r="F36" s="29">
        <v>0.85653970646490896</v>
      </c>
    </row>
    <row r="37" spans="1:9" x14ac:dyDescent="0.2">
      <c r="A37" s="26" t="s">
        <v>1490</v>
      </c>
      <c r="B37" s="26" t="s">
        <v>1489</v>
      </c>
      <c r="C37" s="26" t="s">
        <v>1104</v>
      </c>
      <c r="D37" s="30">
        <v>600000</v>
      </c>
      <c r="E37" s="28">
        <v>719.1</v>
      </c>
      <c r="F37" s="29">
        <v>0.84490768575983</v>
      </c>
    </row>
    <row r="38" spans="1:9" x14ac:dyDescent="0.2">
      <c r="A38" s="26" t="s">
        <v>1461</v>
      </c>
      <c r="B38" s="26" t="s">
        <v>1460</v>
      </c>
      <c r="C38" s="26" t="s">
        <v>1294</v>
      </c>
      <c r="D38" s="30">
        <v>550000</v>
      </c>
      <c r="E38" s="28">
        <v>604.72500000000002</v>
      </c>
      <c r="F38" s="29">
        <v>0.71052259806857598</v>
      </c>
    </row>
    <row r="39" spans="1:9" x14ac:dyDescent="0.2">
      <c r="A39" s="26" t="s">
        <v>1325</v>
      </c>
      <c r="B39" s="26" t="s">
        <v>1324</v>
      </c>
      <c r="C39" s="26" t="s">
        <v>1076</v>
      </c>
      <c r="D39" s="30">
        <v>17381</v>
      </c>
      <c r="E39" s="28">
        <v>598.65378299999998</v>
      </c>
      <c r="F39" s="29">
        <v>0.70338921202322002</v>
      </c>
    </row>
    <row r="40" spans="1:9" x14ac:dyDescent="0.2">
      <c r="A40" s="26" t="s">
        <v>1370</v>
      </c>
      <c r="B40" s="26" t="s">
        <v>1369</v>
      </c>
      <c r="C40" s="26" t="s">
        <v>1076</v>
      </c>
      <c r="D40" s="30">
        <v>250000</v>
      </c>
      <c r="E40" s="28">
        <v>461.375</v>
      </c>
      <c r="F40" s="29">
        <v>0.54209328816220503</v>
      </c>
    </row>
    <row r="41" spans="1:9" x14ac:dyDescent="0.2">
      <c r="A41" s="26" t="s">
        <v>1492</v>
      </c>
      <c r="B41" s="26" t="s">
        <v>1491</v>
      </c>
      <c r="C41" s="26" t="s">
        <v>1014</v>
      </c>
      <c r="D41" s="30">
        <v>1100000</v>
      </c>
      <c r="E41" s="28">
        <v>355.3</v>
      </c>
      <c r="F41" s="29">
        <v>0.41746029863783501</v>
      </c>
    </row>
    <row r="42" spans="1:9" x14ac:dyDescent="0.2">
      <c r="A42" s="26" t="s">
        <v>1057</v>
      </c>
      <c r="B42" s="26" t="s">
        <v>1056</v>
      </c>
      <c r="C42" s="26" t="s">
        <v>1058</v>
      </c>
      <c r="D42" s="30">
        <v>106650</v>
      </c>
      <c r="E42" s="28">
        <v>318.13695000000001</v>
      </c>
      <c r="F42" s="29">
        <v>0.37379551408592798</v>
      </c>
    </row>
    <row r="43" spans="1:9" x14ac:dyDescent="0.2">
      <c r="A43" s="26" t="s">
        <v>1494</v>
      </c>
      <c r="B43" s="26" t="s">
        <v>1493</v>
      </c>
      <c r="C43" s="26" t="s">
        <v>1090</v>
      </c>
      <c r="D43" s="30">
        <v>400000</v>
      </c>
      <c r="E43" s="28">
        <v>182</v>
      </c>
      <c r="F43" s="29">
        <v>0.21384118871963401</v>
      </c>
    </row>
    <row r="44" spans="1:9" ht="10.5" x14ac:dyDescent="0.25">
      <c r="A44" s="25" t="s">
        <v>177</v>
      </c>
      <c r="B44" s="25"/>
      <c r="C44" s="25"/>
      <c r="D44" s="31"/>
      <c r="E44" s="32">
        <f>SUM(E7:E43)</f>
        <v>80747.998948500026</v>
      </c>
      <c r="F44" s="33">
        <f>SUM(F7:F43)</f>
        <v>94.874989460873721</v>
      </c>
      <c r="G44" s="17"/>
      <c r="H44" s="17"/>
      <c r="I44" s="17"/>
    </row>
    <row r="45" spans="1:9" x14ac:dyDescent="0.2">
      <c r="A45" s="26"/>
      <c r="B45" s="26"/>
      <c r="C45" s="26"/>
      <c r="D45" s="27"/>
      <c r="E45" s="28"/>
      <c r="F45" s="29"/>
    </row>
    <row r="46" spans="1:9" ht="10.5" x14ac:dyDescent="0.25">
      <c r="A46" s="25" t="s">
        <v>226</v>
      </c>
      <c r="B46" s="25"/>
      <c r="C46" s="25"/>
      <c r="D46" s="31"/>
      <c r="E46" s="32">
        <f>E44</f>
        <v>80747.998948500026</v>
      </c>
      <c r="F46" s="33">
        <f>F44</f>
        <v>94.874989460873721</v>
      </c>
      <c r="G46" s="17"/>
      <c r="H46" s="17"/>
      <c r="I46" s="17"/>
    </row>
    <row r="47" spans="1:9" ht="10.5" x14ac:dyDescent="0.25">
      <c r="A47" s="25"/>
      <c r="B47" s="25"/>
      <c r="C47" s="25"/>
      <c r="D47" s="31"/>
      <c r="E47" s="32"/>
      <c r="F47" s="33"/>
      <c r="G47" s="17"/>
      <c r="H47" s="17"/>
      <c r="I47" s="17"/>
    </row>
    <row r="48" spans="1:9" ht="10.5" x14ac:dyDescent="0.25">
      <c r="A48" s="25" t="s">
        <v>228</v>
      </c>
      <c r="B48" s="25"/>
      <c r="C48" s="25"/>
      <c r="D48" s="31"/>
      <c r="E48" s="32">
        <f>E50-(E44)</f>
        <v>4361.8908204999752</v>
      </c>
      <c r="F48" s="33">
        <f>F50-(F44)</f>
        <v>5.1250105391262792</v>
      </c>
      <c r="G48" s="17"/>
      <c r="H48" s="17"/>
      <c r="I48" s="17"/>
    </row>
    <row r="49" spans="1:9" ht="10.5" x14ac:dyDescent="0.25">
      <c r="A49" s="25"/>
      <c r="B49" s="25"/>
      <c r="C49" s="25"/>
      <c r="D49" s="31"/>
      <c r="E49" s="32"/>
      <c r="F49" s="33"/>
      <c r="G49" s="17"/>
      <c r="H49" s="17"/>
      <c r="I49" s="17"/>
    </row>
    <row r="50" spans="1:9" ht="10.5" x14ac:dyDescent="0.25">
      <c r="A50" s="34" t="s">
        <v>227</v>
      </c>
      <c r="B50" s="34"/>
      <c r="C50" s="34"/>
      <c r="D50" s="35"/>
      <c r="E50" s="36">
        <v>85109.889769000001</v>
      </c>
      <c r="F50" s="37">
        <v>100</v>
      </c>
      <c r="G50" s="17"/>
      <c r="H50" s="17"/>
      <c r="I50" s="17"/>
    </row>
    <row r="52" spans="1:9" ht="10.5" x14ac:dyDescent="0.25">
      <c r="A52" s="17" t="s">
        <v>232</v>
      </c>
    </row>
    <row r="53" spans="1:9" ht="10.5" x14ac:dyDescent="0.25">
      <c r="A53" s="17" t="s">
        <v>233</v>
      </c>
    </row>
    <row r="54" spans="1:9" ht="10.5" x14ac:dyDescent="0.25">
      <c r="A54" s="17" t="s">
        <v>234</v>
      </c>
      <c r="B54" s="17"/>
      <c r="C54" s="38" t="s">
        <v>236</v>
      </c>
      <c r="D54" s="18" t="s">
        <v>235</v>
      </c>
    </row>
    <row r="55" spans="1:9" x14ac:dyDescent="0.2">
      <c r="A55" s="10" t="s">
        <v>543</v>
      </c>
      <c r="C55" s="39">
        <v>41.4741</v>
      </c>
      <c r="D55" s="39">
        <v>30.8111</v>
      </c>
    </row>
    <row r="56" spans="1:9" x14ac:dyDescent="0.2">
      <c r="A56" s="10" t="s">
        <v>580</v>
      </c>
      <c r="C56" s="39">
        <v>21.555900000000001</v>
      </c>
      <c r="D56" s="39">
        <v>14.7257</v>
      </c>
    </row>
    <row r="57" spans="1:9" x14ac:dyDescent="0.2">
      <c r="A57" s="10" t="s">
        <v>546</v>
      </c>
      <c r="C57" s="39">
        <v>44.940399999999997</v>
      </c>
      <c r="D57" s="39">
        <v>33.569600000000001</v>
      </c>
    </row>
    <row r="58" spans="1:9" x14ac:dyDescent="0.2">
      <c r="A58" s="10" t="s">
        <v>581</v>
      </c>
      <c r="C58" s="39">
        <v>23.911200000000001</v>
      </c>
      <c r="D58" s="39">
        <v>16.568999999999999</v>
      </c>
    </row>
    <row r="60" spans="1:9" ht="10.5" x14ac:dyDescent="0.25">
      <c r="A60" s="17" t="s">
        <v>248</v>
      </c>
    </row>
    <row r="61" spans="1:9" ht="10.5" x14ac:dyDescent="0.25">
      <c r="A61" s="84" t="s">
        <v>249</v>
      </c>
      <c r="B61" s="85"/>
      <c r="C61" s="82" t="s">
        <v>250</v>
      </c>
      <c r="D61" s="83"/>
    </row>
    <row r="62" spans="1:9" ht="10.5" x14ac:dyDescent="0.25">
      <c r="A62" s="84"/>
      <c r="B62" s="85"/>
      <c r="C62" s="40" t="s">
        <v>251</v>
      </c>
      <c r="D62" s="41" t="s">
        <v>252</v>
      </c>
    </row>
    <row r="63" spans="1:9" x14ac:dyDescent="0.2">
      <c r="A63" s="78" t="s">
        <v>580</v>
      </c>
      <c r="B63" s="79"/>
      <c r="C63" s="42">
        <v>1.5494648225000001</v>
      </c>
      <c r="D63" s="42">
        <v>1.5494648225000001</v>
      </c>
    </row>
    <row r="64" spans="1:9" x14ac:dyDescent="0.2">
      <c r="A64" s="78" t="s">
        <v>581</v>
      </c>
      <c r="B64" s="79"/>
      <c r="C64" s="42">
        <v>1.5494648225000001</v>
      </c>
      <c r="D64" s="42">
        <v>1.5494648225000001</v>
      </c>
    </row>
    <row r="66" spans="1:4" ht="10.5" x14ac:dyDescent="0.25">
      <c r="A66" s="17" t="s">
        <v>1151</v>
      </c>
      <c r="D66" s="47">
        <v>0.1215</v>
      </c>
    </row>
  </sheetData>
  <mergeCells count="6">
    <mergeCell ref="A64:B64"/>
    <mergeCell ref="A1:F1"/>
    <mergeCell ref="C61:D61"/>
    <mergeCell ref="A61:B61"/>
    <mergeCell ref="A62:B62"/>
    <mergeCell ref="A63:B63"/>
  </mergeCells>
  <conditionalFormatting sqref="F2:F3 F5:F65535">
    <cfRule type="cellIs" dxfId="14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80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40.26953125" style="10" bestFit="1" customWidth="1"/>
    <col min="3" max="3" width="35.726562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5.1796875" style="10" bestFit="1" customWidth="1"/>
    <col min="8" max="10" width="9.1796875" style="10"/>
    <col min="11" max="11" width="36.26953125" style="10" bestFit="1" customWidth="1"/>
    <col min="12" max="16384" width="9.1796875" style="10"/>
  </cols>
  <sheetData>
    <row r="1" spans="1:6" s="1" customFormat="1" ht="14" x14ac:dyDescent="0.25">
      <c r="A1" s="80" t="s">
        <v>52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1013</v>
      </c>
      <c r="B7" s="26" t="s">
        <v>1012</v>
      </c>
      <c r="C7" s="26" t="s">
        <v>1014</v>
      </c>
      <c r="D7" s="30">
        <v>30714</v>
      </c>
      <c r="E7" s="28">
        <v>307.69285200000002</v>
      </c>
      <c r="F7" s="29">
        <v>2.2234641375041102</v>
      </c>
    </row>
    <row r="8" spans="1:6" x14ac:dyDescent="0.2">
      <c r="A8" s="26" t="s">
        <v>1026</v>
      </c>
      <c r="B8" s="26" t="s">
        <v>1025</v>
      </c>
      <c r="C8" s="26" t="s">
        <v>1014</v>
      </c>
      <c r="D8" s="30">
        <v>18256</v>
      </c>
      <c r="E8" s="28">
        <v>247.770432</v>
      </c>
      <c r="F8" s="29">
        <v>1.79045000982311</v>
      </c>
    </row>
    <row r="9" spans="1:6" x14ac:dyDescent="0.2">
      <c r="A9" s="26" t="s">
        <v>1399</v>
      </c>
      <c r="B9" s="26" t="s">
        <v>1398</v>
      </c>
      <c r="C9" s="26" t="s">
        <v>1083</v>
      </c>
      <c r="D9" s="30">
        <v>31568</v>
      </c>
      <c r="E9" s="28">
        <v>159.41839999999999</v>
      </c>
      <c r="F9" s="29">
        <v>1.15199652170758</v>
      </c>
    </row>
    <row r="10" spans="1:6" x14ac:dyDescent="0.2">
      <c r="A10" s="26" t="s">
        <v>1024</v>
      </c>
      <c r="B10" s="26" t="s">
        <v>1023</v>
      </c>
      <c r="C10" s="26" t="s">
        <v>1014</v>
      </c>
      <c r="D10" s="30">
        <v>41847</v>
      </c>
      <c r="E10" s="28">
        <v>159.08137049999999</v>
      </c>
      <c r="F10" s="29">
        <v>1.14956106374468</v>
      </c>
    </row>
    <row r="11" spans="1:6" x14ac:dyDescent="0.2">
      <c r="A11" s="26" t="s">
        <v>1133</v>
      </c>
      <c r="B11" s="26" t="s">
        <v>1132</v>
      </c>
      <c r="C11" s="26" t="s">
        <v>1134</v>
      </c>
      <c r="D11" s="30">
        <v>189501</v>
      </c>
      <c r="E11" s="28">
        <v>151.41129900000001</v>
      </c>
      <c r="F11" s="29">
        <v>1.0941352428278499</v>
      </c>
    </row>
    <row r="12" spans="1:6" x14ac:dyDescent="0.2">
      <c r="A12" s="26" t="s">
        <v>1173</v>
      </c>
      <c r="B12" s="26" t="s">
        <v>1172</v>
      </c>
      <c r="C12" s="26" t="s">
        <v>1035</v>
      </c>
      <c r="D12" s="30">
        <v>30332</v>
      </c>
      <c r="E12" s="28">
        <v>106.647312</v>
      </c>
      <c r="F12" s="29">
        <v>0.77065967588097295</v>
      </c>
    </row>
    <row r="13" spans="1:6" x14ac:dyDescent="0.2">
      <c r="A13" s="26" t="s">
        <v>1374</v>
      </c>
      <c r="B13" s="26" t="s">
        <v>1373</v>
      </c>
      <c r="C13" s="26" t="s">
        <v>1148</v>
      </c>
      <c r="D13" s="30">
        <v>37307</v>
      </c>
      <c r="E13" s="28">
        <v>104.310372</v>
      </c>
      <c r="F13" s="29">
        <v>0.75377237333973901</v>
      </c>
    </row>
    <row r="14" spans="1:6" x14ac:dyDescent="0.2">
      <c r="A14" s="26" t="s">
        <v>1496</v>
      </c>
      <c r="B14" s="26" t="s">
        <v>1495</v>
      </c>
      <c r="C14" s="26" t="s">
        <v>1294</v>
      </c>
      <c r="D14" s="30">
        <v>14536</v>
      </c>
      <c r="E14" s="28">
        <v>98.495936</v>
      </c>
      <c r="F14" s="29">
        <v>0.71175583040811197</v>
      </c>
    </row>
    <row r="15" spans="1:6" x14ac:dyDescent="0.2">
      <c r="A15" s="26" t="s">
        <v>1410</v>
      </c>
      <c r="B15" s="26" t="s">
        <v>1409</v>
      </c>
      <c r="C15" s="26" t="s">
        <v>1294</v>
      </c>
      <c r="D15" s="30">
        <v>27999</v>
      </c>
      <c r="E15" s="28">
        <v>96.456554999999994</v>
      </c>
      <c r="F15" s="29">
        <v>0.69701876230031201</v>
      </c>
    </row>
    <row r="16" spans="1:6" x14ac:dyDescent="0.2">
      <c r="A16" s="26" t="s">
        <v>1498</v>
      </c>
      <c r="B16" s="26" t="s">
        <v>1497</v>
      </c>
      <c r="C16" s="26" t="s">
        <v>1104</v>
      </c>
      <c r="D16" s="30">
        <v>15620</v>
      </c>
      <c r="E16" s="28">
        <v>79.099680000000006</v>
      </c>
      <c r="F16" s="29">
        <v>0.57159371959687699</v>
      </c>
    </row>
    <row r="17" spans="1:9" x14ac:dyDescent="0.2">
      <c r="A17" s="26" t="s">
        <v>1045</v>
      </c>
      <c r="B17" s="26" t="s">
        <v>1044</v>
      </c>
      <c r="C17" s="26" t="s">
        <v>1046</v>
      </c>
      <c r="D17" s="30">
        <v>56959</v>
      </c>
      <c r="E17" s="28">
        <v>74.160617999999999</v>
      </c>
      <c r="F17" s="29">
        <v>0.53590284423682999</v>
      </c>
    </row>
    <row r="18" spans="1:9" x14ac:dyDescent="0.2">
      <c r="A18" s="26" t="s">
        <v>1467</v>
      </c>
      <c r="B18" s="26" t="s">
        <v>1466</v>
      </c>
      <c r="C18" s="26" t="s">
        <v>1104</v>
      </c>
      <c r="D18" s="30">
        <v>15523</v>
      </c>
      <c r="E18" s="28">
        <v>63.946998499999999</v>
      </c>
      <c r="F18" s="29">
        <v>0.46209672061468399</v>
      </c>
    </row>
    <row r="19" spans="1:9" x14ac:dyDescent="0.2">
      <c r="A19" s="26" t="s">
        <v>1087</v>
      </c>
      <c r="B19" s="26" t="s">
        <v>1086</v>
      </c>
      <c r="C19" s="26" t="s">
        <v>1052</v>
      </c>
      <c r="D19" s="30">
        <v>54279</v>
      </c>
      <c r="E19" s="28">
        <v>50.615167499999998</v>
      </c>
      <c r="F19" s="29">
        <v>0.365757634662289</v>
      </c>
    </row>
    <row r="20" spans="1:9" ht="10.5" x14ac:dyDescent="0.25">
      <c r="A20" s="25" t="s">
        <v>177</v>
      </c>
      <c r="B20" s="25"/>
      <c r="C20" s="25"/>
      <c r="D20" s="31"/>
      <c r="E20" s="32">
        <f>SUM(E7:E19)</f>
        <v>1699.1069925000002</v>
      </c>
      <c r="F20" s="33">
        <f>SUM(F7:F19)</f>
        <v>12.278164536647145</v>
      </c>
      <c r="G20" s="17"/>
      <c r="H20" s="17"/>
      <c r="I20" s="17"/>
    </row>
    <row r="21" spans="1:9" x14ac:dyDescent="0.2">
      <c r="A21" s="26"/>
      <c r="B21" s="26"/>
      <c r="C21" s="26"/>
      <c r="D21" s="27"/>
      <c r="E21" s="28"/>
      <c r="F21" s="29"/>
    </row>
    <row r="22" spans="1:9" ht="10.5" x14ac:dyDescent="0.25">
      <c r="A22" s="25" t="s">
        <v>1234</v>
      </c>
      <c r="B22" s="26"/>
      <c r="C22" s="26"/>
      <c r="D22" s="27"/>
      <c r="E22" s="28"/>
      <c r="F22" s="29"/>
    </row>
    <row r="23" spans="1:9" x14ac:dyDescent="0.2">
      <c r="A23" s="26" t="s">
        <v>1500</v>
      </c>
      <c r="B23" s="26" t="s">
        <v>1499</v>
      </c>
      <c r="C23" s="26" t="s">
        <v>1022</v>
      </c>
      <c r="D23" s="30">
        <v>40000</v>
      </c>
      <c r="E23" s="28">
        <v>1616.1372100000001</v>
      </c>
      <c r="F23" s="29">
        <v>11.678604505641699</v>
      </c>
    </row>
    <row r="24" spans="1:9" x14ac:dyDescent="0.2">
      <c r="A24" s="26" t="s">
        <v>1501</v>
      </c>
      <c r="B24" s="26" t="s">
        <v>1635</v>
      </c>
      <c r="C24" s="26" t="s">
        <v>1083</v>
      </c>
      <c r="D24" s="30">
        <v>9063</v>
      </c>
      <c r="E24" s="28">
        <v>1406.8648969999999</v>
      </c>
      <c r="F24" s="29">
        <v>10.1663513613014</v>
      </c>
    </row>
    <row r="25" spans="1:9" x14ac:dyDescent="0.2">
      <c r="A25" s="26" t="s">
        <v>1266</v>
      </c>
      <c r="B25" s="26" t="s">
        <v>1619</v>
      </c>
      <c r="C25" s="26" t="s">
        <v>1250</v>
      </c>
      <c r="D25" s="30">
        <v>146714</v>
      </c>
      <c r="E25" s="28">
        <v>1128.96173</v>
      </c>
      <c r="F25" s="29">
        <v>8.1581548058503497</v>
      </c>
    </row>
    <row r="26" spans="1:9" x14ac:dyDescent="0.2">
      <c r="A26" s="26" t="s">
        <v>1267</v>
      </c>
      <c r="B26" s="26" t="s">
        <v>1620</v>
      </c>
      <c r="C26" s="26" t="s">
        <v>1250</v>
      </c>
      <c r="D26" s="30">
        <v>32100</v>
      </c>
      <c r="E26" s="28">
        <v>998.47167000000002</v>
      </c>
      <c r="F26" s="29">
        <v>7.2152015756246497</v>
      </c>
    </row>
    <row r="27" spans="1:9" x14ac:dyDescent="0.2">
      <c r="A27" s="26" t="s">
        <v>1503</v>
      </c>
      <c r="B27" s="26" t="s">
        <v>1502</v>
      </c>
      <c r="C27" s="26" t="s">
        <v>1104</v>
      </c>
      <c r="D27" s="30">
        <v>112524</v>
      </c>
      <c r="E27" s="28">
        <v>784.43713260000004</v>
      </c>
      <c r="F27" s="29">
        <v>5.6685354278644704</v>
      </c>
    </row>
    <row r="28" spans="1:9" x14ac:dyDescent="0.2">
      <c r="A28" s="26" t="s">
        <v>1504</v>
      </c>
      <c r="B28" s="26" t="s">
        <v>1636</v>
      </c>
      <c r="C28" s="26" t="s">
        <v>1104</v>
      </c>
      <c r="D28" s="30">
        <v>80310</v>
      </c>
      <c r="E28" s="28">
        <v>620.16910970000004</v>
      </c>
      <c r="F28" s="29">
        <v>4.4814943397053799</v>
      </c>
    </row>
    <row r="29" spans="1:9" x14ac:dyDescent="0.2">
      <c r="A29" s="26" t="s">
        <v>1506</v>
      </c>
      <c r="B29" s="26" t="s">
        <v>1505</v>
      </c>
      <c r="C29" s="26" t="s">
        <v>1090</v>
      </c>
      <c r="D29" s="30">
        <v>3547</v>
      </c>
      <c r="E29" s="28">
        <v>435.80177889999999</v>
      </c>
      <c r="F29" s="29">
        <v>3.1492107149913502</v>
      </c>
    </row>
    <row r="30" spans="1:9" x14ac:dyDescent="0.2">
      <c r="A30" s="26" t="s">
        <v>1507</v>
      </c>
      <c r="B30" s="26" t="s">
        <v>1637</v>
      </c>
      <c r="C30" s="26" t="s">
        <v>1032</v>
      </c>
      <c r="D30" s="30">
        <v>45612</v>
      </c>
      <c r="E30" s="28">
        <v>366.25753459999999</v>
      </c>
      <c r="F30" s="29">
        <v>2.6466669211859801</v>
      </c>
    </row>
    <row r="31" spans="1:9" x14ac:dyDescent="0.2">
      <c r="A31" s="26" t="s">
        <v>1508</v>
      </c>
      <c r="B31" s="26" t="s">
        <v>1638</v>
      </c>
      <c r="C31" s="26" t="s">
        <v>1509</v>
      </c>
      <c r="D31" s="30">
        <v>3660</v>
      </c>
      <c r="E31" s="28">
        <v>349.54709220000001</v>
      </c>
      <c r="F31" s="29">
        <v>2.5259131592551398</v>
      </c>
    </row>
    <row r="32" spans="1:9" x14ac:dyDescent="0.2">
      <c r="A32" s="26" t="s">
        <v>1510</v>
      </c>
      <c r="B32" s="26" t="s">
        <v>1639</v>
      </c>
      <c r="C32" s="26" t="s">
        <v>1083</v>
      </c>
      <c r="D32" s="30">
        <v>199700</v>
      </c>
      <c r="E32" s="28">
        <v>329.05444879999999</v>
      </c>
      <c r="F32" s="29">
        <v>2.3778282837489599</v>
      </c>
    </row>
    <row r="33" spans="1:6" x14ac:dyDescent="0.2">
      <c r="A33" s="26" t="s">
        <v>1512</v>
      </c>
      <c r="B33" s="26" t="s">
        <v>1511</v>
      </c>
      <c r="C33" s="26" t="s">
        <v>1014</v>
      </c>
      <c r="D33" s="30">
        <v>27842</v>
      </c>
      <c r="E33" s="28">
        <v>296.04573049999999</v>
      </c>
      <c r="F33" s="29">
        <v>2.1392991762706202</v>
      </c>
    </row>
    <row r="34" spans="1:6" x14ac:dyDescent="0.2">
      <c r="A34" s="26" t="s">
        <v>1514</v>
      </c>
      <c r="B34" s="26" t="s">
        <v>1513</v>
      </c>
      <c r="C34" s="26" t="s">
        <v>1294</v>
      </c>
      <c r="D34" s="30">
        <v>84000</v>
      </c>
      <c r="E34" s="28">
        <v>258.81449129999999</v>
      </c>
      <c r="F34" s="29">
        <v>1.8702570954489399</v>
      </c>
    </row>
    <row r="35" spans="1:6" x14ac:dyDescent="0.2">
      <c r="A35" s="26" t="s">
        <v>1516</v>
      </c>
      <c r="B35" s="26" t="s">
        <v>1515</v>
      </c>
      <c r="C35" s="26" t="s">
        <v>1014</v>
      </c>
      <c r="D35" s="30">
        <v>195429</v>
      </c>
      <c r="E35" s="28">
        <v>255.05422369999999</v>
      </c>
      <c r="F35" s="29">
        <v>1.84308447801024</v>
      </c>
    </row>
    <row r="36" spans="1:6" x14ac:dyDescent="0.2">
      <c r="A36" s="26" t="s">
        <v>1518</v>
      </c>
      <c r="B36" s="26" t="s">
        <v>1517</v>
      </c>
      <c r="C36" s="26" t="s">
        <v>1014</v>
      </c>
      <c r="D36" s="30">
        <v>67000</v>
      </c>
      <c r="E36" s="28">
        <v>241.16584660000001</v>
      </c>
      <c r="F36" s="29">
        <v>1.7427236532160899</v>
      </c>
    </row>
    <row r="37" spans="1:6" x14ac:dyDescent="0.2">
      <c r="A37" s="26" t="s">
        <v>1519</v>
      </c>
      <c r="B37" s="26" t="s">
        <v>1640</v>
      </c>
      <c r="C37" s="26" t="s">
        <v>1083</v>
      </c>
      <c r="D37" s="30">
        <v>37521</v>
      </c>
      <c r="E37" s="28">
        <v>214.67253740000001</v>
      </c>
      <c r="F37" s="29">
        <v>1.55127649249359</v>
      </c>
    </row>
    <row r="38" spans="1:6" x14ac:dyDescent="0.2">
      <c r="A38" s="26" t="s">
        <v>1520</v>
      </c>
      <c r="B38" s="26" t="s">
        <v>1641</v>
      </c>
      <c r="C38" s="26" t="s">
        <v>1035</v>
      </c>
      <c r="D38" s="30">
        <v>1500</v>
      </c>
      <c r="E38" s="28">
        <v>202.25704999999999</v>
      </c>
      <c r="F38" s="29">
        <v>1.4615591305071201</v>
      </c>
    </row>
    <row r="39" spans="1:6" x14ac:dyDescent="0.2">
      <c r="A39" s="26" t="s">
        <v>1521</v>
      </c>
      <c r="B39" s="26" t="s">
        <v>1642</v>
      </c>
      <c r="C39" s="26" t="s">
        <v>1195</v>
      </c>
      <c r="D39" s="30">
        <v>10238</v>
      </c>
      <c r="E39" s="28">
        <v>199.2152016</v>
      </c>
      <c r="F39" s="29">
        <v>1.4395779866971099</v>
      </c>
    </row>
    <row r="40" spans="1:6" x14ac:dyDescent="0.2">
      <c r="A40" s="26" t="s">
        <v>1522</v>
      </c>
      <c r="B40" s="26" t="s">
        <v>1643</v>
      </c>
      <c r="C40" s="26" t="s">
        <v>1014</v>
      </c>
      <c r="D40" s="30">
        <v>131360</v>
      </c>
      <c r="E40" s="28">
        <v>197.69414520000001</v>
      </c>
      <c r="F40" s="29">
        <v>1.42858645948243</v>
      </c>
    </row>
    <row r="41" spans="1:6" x14ac:dyDescent="0.2">
      <c r="A41" s="26" t="s">
        <v>1523</v>
      </c>
      <c r="B41" s="26" t="s">
        <v>1644</v>
      </c>
      <c r="C41" s="26" t="s">
        <v>1035</v>
      </c>
      <c r="D41" s="30">
        <v>66000</v>
      </c>
      <c r="E41" s="28">
        <v>176.81587490000001</v>
      </c>
      <c r="F41" s="29">
        <v>1.2777149492623401</v>
      </c>
    </row>
    <row r="42" spans="1:6" x14ac:dyDescent="0.2">
      <c r="A42" s="26" t="s">
        <v>1274</v>
      </c>
      <c r="B42" s="26" t="s">
        <v>1624</v>
      </c>
      <c r="C42" s="26" t="s">
        <v>1250</v>
      </c>
      <c r="D42" s="30">
        <v>14600</v>
      </c>
      <c r="E42" s="28">
        <v>155.7479568</v>
      </c>
      <c r="F42" s="29">
        <v>1.1254729974498701</v>
      </c>
    </row>
    <row r="43" spans="1:6" x14ac:dyDescent="0.2">
      <c r="A43" s="26" t="s">
        <v>1524</v>
      </c>
      <c r="B43" s="26" t="s">
        <v>1645</v>
      </c>
      <c r="C43" s="26" t="s">
        <v>1083</v>
      </c>
      <c r="D43" s="30">
        <v>1925400</v>
      </c>
      <c r="E43" s="28">
        <v>147.75681399999999</v>
      </c>
      <c r="F43" s="29">
        <v>1.0677270364436899</v>
      </c>
    </row>
    <row r="44" spans="1:6" x14ac:dyDescent="0.2">
      <c r="A44" s="26" t="s">
        <v>1525</v>
      </c>
      <c r="B44" s="26" t="s">
        <v>1646</v>
      </c>
      <c r="C44" s="26" t="s">
        <v>1176</v>
      </c>
      <c r="D44" s="30">
        <v>170000</v>
      </c>
      <c r="E44" s="28">
        <v>144.78380290000001</v>
      </c>
      <c r="F44" s="29">
        <v>1.0462433278743</v>
      </c>
    </row>
    <row r="45" spans="1:6" x14ac:dyDescent="0.2">
      <c r="A45" s="26" t="s">
        <v>1526</v>
      </c>
      <c r="B45" s="26" t="s">
        <v>1647</v>
      </c>
      <c r="C45" s="26" t="s">
        <v>1083</v>
      </c>
      <c r="D45" s="30">
        <v>300100</v>
      </c>
      <c r="E45" s="28">
        <v>138.6235394</v>
      </c>
      <c r="F45" s="29">
        <v>1.0017277504704201</v>
      </c>
    </row>
    <row r="46" spans="1:6" x14ac:dyDescent="0.2">
      <c r="A46" s="26" t="s">
        <v>1528</v>
      </c>
      <c r="B46" s="26" t="s">
        <v>1527</v>
      </c>
      <c r="C46" s="26" t="s">
        <v>1032</v>
      </c>
      <c r="D46" s="30">
        <v>132000</v>
      </c>
      <c r="E46" s="28">
        <v>134.2905379</v>
      </c>
      <c r="F46" s="29">
        <v>0.97041641717041505</v>
      </c>
    </row>
    <row r="47" spans="1:6" x14ac:dyDescent="0.2">
      <c r="A47" s="26" t="s">
        <v>1529</v>
      </c>
      <c r="B47" s="26" t="s">
        <v>1648</v>
      </c>
      <c r="C47" s="26" t="s">
        <v>1049</v>
      </c>
      <c r="D47" s="30">
        <v>1000</v>
      </c>
      <c r="E47" s="28">
        <v>103.86331680000001</v>
      </c>
      <c r="F47" s="29">
        <v>0.750541842639323</v>
      </c>
    </row>
    <row r="48" spans="1:6" x14ac:dyDescent="0.2">
      <c r="A48" s="26" t="s">
        <v>1530</v>
      </c>
      <c r="B48" s="26" t="s">
        <v>1649</v>
      </c>
      <c r="C48" s="26" t="s">
        <v>1014</v>
      </c>
      <c r="D48" s="30">
        <v>5267</v>
      </c>
      <c r="E48" s="28">
        <v>100.1002687</v>
      </c>
      <c r="F48" s="29">
        <v>0.72334913262455403</v>
      </c>
    </row>
    <row r="49" spans="1:9" x14ac:dyDescent="0.2">
      <c r="A49" s="26" t="s">
        <v>1531</v>
      </c>
      <c r="B49" s="26" t="s">
        <v>1650</v>
      </c>
      <c r="C49" s="26" t="s">
        <v>1032</v>
      </c>
      <c r="D49" s="30">
        <v>244200</v>
      </c>
      <c r="E49" s="28">
        <v>98.015723699999995</v>
      </c>
      <c r="F49" s="29">
        <v>0.70828569835760102</v>
      </c>
    </row>
    <row r="50" spans="1:9" x14ac:dyDescent="0.2">
      <c r="A50" s="26" t="s">
        <v>1532</v>
      </c>
      <c r="B50" s="26" t="s">
        <v>1651</v>
      </c>
      <c r="C50" s="26" t="s">
        <v>1134</v>
      </c>
      <c r="D50" s="30">
        <v>193900</v>
      </c>
      <c r="E50" s="28">
        <v>94.949267300000002</v>
      </c>
      <c r="F50" s="29">
        <v>0.686126731094299</v>
      </c>
    </row>
    <row r="51" spans="1:9" x14ac:dyDescent="0.2">
      <c r="A51" s="26" t="s">
        <v>1534</v>
      </c>
      <c r="B51" s="26" t="s">
        <v>1533</v>
      </c>
      <c r="C51" s="26" t="s">
        <v>1035</v>
      </c>
      <c r="D51" s="30">
        <v>2300</v>
      </c>
      <c r="E51" s="28">
        <v>86.209542999999996</v>
      </c>
      <c r="F51" s="29">
        <v>0.62297133626984202</v>
      </c>
    </row>
    <row r="52" spans="1:9" x14ac:dyDescent="0.2">
      <c r="A52" s="26" t="s">
        <v>1279</v>
      </c>
      <c r="B52" s="26" t="s">
        <v>1278</v>
      </c>
      <c r="C52" s="26" t="s">
        <v>1022</v>
      </c>
      <c r="D52" s="30">
        <v>6900</v>
      </c>
      <c r="E52" s="28">
        <v>80.734002000000004</v>
      </c>
      <c r="F52" s="29">
        <v>0.58340373186240102</v>
      </c>
    </row>
    <row r="53" spans="1:9" x14ac:dyDescent="0.2">
      <c r="A53" s="26" t="s">
        <v>1535</v>
      </c>
      <c r="B53" s="26" t="s">
        <v>1652</v>
      </c>
      <c r="C53" s="26" t="s">
        <v>1250</v>
      </c>
      <c r="D53" s="30">
        <v>16010</v>
      </c>
      <c r="E53" s="28">
        <v>79.096717200000001</v>
      </c>
      <c r="F53" s="29">
        <v>0.57157230967622497</v>
      </c>
    </row>
    <row r="54" spans="1:9" x14ac:dyDescent="0.2">
      <c r="A54" s="26" t="s">
        <v>1537</v>
      </c>
      <c r="B54" s="26" t="s">
        <v>1536</v>
      </c>
      <c r="C54" s="26" t="s">
        <v>1032</v>
      </c>
      <c r="D54" s="30">
        <v>125600</v>
      </c>
      <c r="E54" s="28">
        <v>73.875175799999994</v>
      </c>
      <c r="F54" s="29">
        <v>0.53384016877685503</v>
      </c>
    </row>
    <row r="55" spans="1:9" x14ac:dyDescent="0.2">
      <c r="A55" s="26" t="s">
        <v>1539</v>
      </c>
      <c r="B55" s="26" t="s">
        <v>1538</v>
      </c>
      <c r="C55" s="26" t="s">
        <v>1035</v>
      </c>
      <c r="D55" s="30">
        <v>101700</v>
      </c>
      <c r="E55" s="28">
        <v>64.542299799999995</v>
      </c>
      <c r="F55" s="29">
        <v>0.46639851405237998</v>
      </c>
    </row>
    <row r="56" spans="1:9" x14ac:dyDescent="0.2">
      <c r="A56" s="26" t="s">
        <v>1541</v>
      </c>
      <c r="B56" s="26" t="s">
        <v>1540</v>
      </c>
      <c r="C56" s="26" t="s">
        <v>1035</v>
      </c>
      <c r="D56" s="30">
        <v>16000</v>
      </c>
      <c r="E56" s="28">
        <v>45.809932400000001</v>
      </c>
      <c r="F56" s="29">
        <v>0.33103382535804798</v>
      </c>
    </row>
    <row r="57" spans="1:9" x14ac:dyDescent="0.2">
      <c r="A57" s="26" t="s">
        <v>1542</v>
      </c>
      <c r="B57" s="26" t="s">
        <v>1653</v>
      </c>
      <c r="C57" s="26" t="s">
        <v>1134</v>
      </c>
      <c r="D57" s="30">
        <v>9695</v>
      </c>
      <c r="E57" s="28">
        <v>0.50399609999999995</v>
      </c>
      <c r="F57" s="29">
        <v>3.6419996321264401E-3</v>
      </c>
    </row>
    <row r="58" spans="1:9" ht="10.5" x14ac:dyDescent="0.25">
      <c r="A58" s="25" t="s">
        <v>177</v>
      </c>
      <c r="B58" s="25"/>
      <c r="C58" s="25"/>
      <c r="D58" s="31"/>
      <c r="E58" s="32">
        <f>SUM(E22:E57)</f>
        <v>11626.340598799999</v>
      </c>
      <c r="F58" s="33">
        <f>SUM(F22:F57)</f>
        <v>84.01479333631022</v>
      </c>
      <c r="G58" s="17"/>
      <c r="H58" s="17"/>
      <c r="I58" s="17"/>
    </row>
    <row r="59" spans="1:9" x14ac:dyDescent="0.2">
      <c r="A59" s="26"/>
      <c r="B59" s="26"/>
      <c r="C59" s="26"/>
      <c r="D59" s="27"/>
      <c r="E59" s="28"/>
      <c r="F59" s="29"/>
    </row>
    <row r="60" spans="1:9" ht="10.5" x14ac:dyDescent="0.25">
      <c r="A60" s="25" t="s">
        <v>226</v>
      </c>
      <c r="B60" s="25"/>
      <c r="C60" s="25"/>
      <c r="D60" s="31"/>
      <c r="E60" s="32">
        <f>E20+E58</f>
        <v>13325.447591299999</v>
      </c>
      <c r="F60" s="33">
        <f>F20+F58</f>
        <v>96.292957872957359</v>
      </c>
      <c r="G60" s="17"/>
      <c r="H60" s="17"/>
      <c r="I60" s="17"/>
    </row>
    <row r="61" spans="1:9" ht="10.5" x14ac:dyDescent="0.25">
      <c r="A61" s="25"/>
      <c r="B61" s="25"/>
      <c r="C61" s="25"/>
      <c r="D61" s="31"/>
      <c r="E61" s="32"/>
      <c r="F61" s="33"/>
      <c r="G61" s="17"/>
      <c r="H61" s="17"/>
      <c r="I61" s="17"/>
    </row>
    <row r="62" spans="1:9" ht="10.5" x14ac:dyDescent="0.25">
      <c r="A62" s="25" t="s">
        <v>228</v>
      </c>
      <c r="B62" s="25"/>
      <c r="C62" s="25"/>
      <c r="D62" s="31"/>
      <c r="E62" s="32">
        <f>E64-(E20+E58)</f>
        <v>512.99696960000074</v>
      </c>
      <c r="F62" s="33">
        <f>F64-(F20+F58)</f>
        <v>3.7070421270426408</v>
      </c>
      <c r="G62" s="17"/>
      <c r="H62" s="17"/>
      <c r="I62" s="17"/>
    </row>
    <row r="63" spans="1:9" ht="10.5" x14ac:dyDescent="0.25">
      <c r="A63" s="25"/>
      <c r="B63" s="25"/>
      <c r="C63" s="25"/>
      <c r="D63" s="31"/>
      <c r="E63" s="32"/>
      <c r="F63" s="33"/>
      <c r="G63" s="17"/>
      <c r="H63" s="17"/>
      <c r="I63" s="17"/>
    </row>
    <row r="64" spans="1:9" ht="10.5" x14ac:dyDescent="0.25">
      <c r="A64" s="34" t="s">
        <v>227</v>
      </c>
      <c r="B64" s="34"/>
      <c r="C64" s="34"/>
      <c r="D64" s="35"/>
      <c r="E64" s="36">
        <v>13838.444560899999</v>
      </c>
      <c r="F64" s="37">
        <v>100</v>
      </c>
      <c r="G64" s="17"/>
      <c r="H64" s="17"/>
      <c r="I64" s="17"/>
    </row>
    <row r="65" spans="1:6" ht="10.5" x14ac:dyDescent="0.25">
      <c r="F65" s="19" t="s">
        <v>446</v>
      </c>
    </row>
    <row r="66" spans="1:6" ht="10.5" x14ac:dyDescent="0.25">
      <c r="A66" s="17" t="s">
        <v>232</v>
      </c>
    </row>
    <row r="67" spans="1:6" ht="10.5" x14ac:dyDescent="0.25">
      <c r="A67" s="17" t="s">
        <v>233</v>
      </c>
    </row>
    <row r="68" spans="1:6" ht="10.5" x14ac:dyDescent="0.25">
      <c r="A68" s="17" t="s">
        <v>234</v>
      </c>
      <c r="B68" s="17"/>
      <c r="C68" s="38" t="s">
        <v>236</v>
      </c>
      <c r="D68" s="18" t="s">
        <v>235</v>
      </c>
    </row>
    <row r="69" spans="1:6" x14ac:dyDescent="0.2">
      <c r="A69" s="10" t="s">
        <v>543</v>
      </c>
      <c r="C69" s="39">
        <v>22.779499999999999</v>
      </c>
      <c r="D69" s="39">
        <v>22.394400000000001</v>
      </c>
    </row>
    <row r="70" spans="1:6" x14ac:dyDescent="0.2">
      <c r="A70" s="10" t="s">
        <v>580</v>
      </c>
      <c r="C70" s="39">
        <v>13.421200000000001</v>
      </c>
      <c r="D70" s="39">
        <v>12.3323</v>
      </c>
    </row>
    <row r="71" spans="1:6" x14ac:dyDescent="0.2">
      <c r="A71" s="10" t="s">
        <v>546</v>
      </c>
      <c r="C71" s="39">
        <v>23.789100000000001</v>
      </c>
      <c r="D71" s="39">
        <v>23.456</v>
      </c>
    </row>
    <row r="72" spans="1:6" x14ac:dyDescent="0.2">
      <c r="A72" s="10" t="s">
        <v>581</v>
      </c>
      <c r="C72" s="39">
        <v>14.0656</v>
      </c>
      <c r="D72" s="39">
        <v>13.014699999999999</v>
      </c>
    </row>
    <row r="74" spans="1:6" ht="10.5" x14ac:dyDescent="0.25">
      <c r="A74" s="17" t="s">
        <v>248</v>
      </c>
    </row>
    <row r="75" spans="1:6" ht="10.5" x14ac:dyDescent="0.25">
      <c r="A75" s="84" t="s">
        <v>249</v>
      </c>
      <c r="B75" s="85"/>
      <c r="C75" s="82" t="s">
        <v>250</v>
      </c>
      <c r="D75" s="83"/>
    </row>
    <row r="76" spans="1:6" ht="10.5" x14ac:dyDescent="0.25">
      <c r="A76" s="84"/>
      <c r="B76" s="85"/>
      <c r="C76" s="40" t="s">
        <v>251</v>
      </c>
      <c r="D76" s="41" t="s">
        <v>252</v>
      </c>
    </row>
    <row r="77" spans="1:6" x14ac:dyDescent="0.2">
      <c r="A77" s="78" t="s">
        <v>580</v>
      </c>
      <c r="B77" s="79"/>
      <c r="C77" s="42">
        <v>0.64829042999999997</v>
      </c>
      <c r="D77" s="42">
        <v>0.60032016899999996</v>
      </c>
    </row>
    <row r="78" spans="1:6" x14ac:dyDescent="0.2">
      <c r="A78" s="78" t="s">
        <v>581</v>
      </c>
      <c r="B78" s="79"/>
      <c r="C78" s="42">
        <v>0.64829042999999997</v>
      </c>
      <c r="D78" s="42">
        <v>0.60032016899999996</v>
      </c>
    </row>
    <row r="80" spans="1:6" ht="10.5" x14ac:dyDescent="0.25">
      <c r="A80" s="17" t="s">
        <v>1151</v>
      </c>
      <c r="D80" s="47">
        <v>0.19639999999999999</v>
      </c>
    </row>
  </sheetData>
  <mergeCells count="6">
    <mergeCell ref="A78:B78"/>
    <mergeCell ref="A1:F1"/>
    <mergeCell ref="A75:B75"/>
    <mergeCell ref="C75:D75"/>
    <mergeCell ref="A76:B76"/>
    <mergeCell ref="A77:B77"/>
  </mergeCells>
  <conditionalFormatting sqref="F2:F3 F5:F65539">
    <cfRule type="cellIs" dxfId="13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76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33.453125" style="10" bestFit="1" customWidth="1"/>
    <col min="3" max="3" width="26.8164062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8" style="10" bestFit="1" customWidth="1"/>
    <col min="8" max="16384" width="9.1796875" style="10"/>
  </cols>
  <sheetData>
    <row r="1" spans="1:6" s="1" customFormat="1" ht="14" x14ac:dyDescent="0.25">
      <c r="A1" s="80" t="s">
        <v>53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1544</v>
      </c>
      <c r="B7" s="26" t="s">
        <v>1543</v>
      </c>
      <c r="C7" s="26" t="s">
        <v>1043</v>
      </c>
      <c r="D7" s="30">
        <v>234453</v>
      </c>
      <c r="E7" s="28">
        <v>3437.0809800000002</v>
      </c>
      <c r="F7" s="29">
        <v>11.558976954093801</v>
      </c>
    </row>
    <row r="8" spans="1:6" x14ac:dyDescent="0.2">
      <c r="A8" s="26" t="s">
        <v>1013</v>
      </c>
      <c r="B8" s="26" t="s">
        <v>1012</v>
      </c>
      <c r="C8" s="26" t="s">
        <v>1014</v>
      </c>
      <c r="D8" s="30">
        <v>313417</v>
      </c>
      <c r="E8" s="28">
        <v>3139.811506</v>
      </c>
      <c r="F8" s="29">
        <v>10.559253345858799</v>
      </c>
    </row>
    <row r="9" spans="1:6" x14ac:dyDescent="0.2">
      <c r="A9" s="26" t="s">
        <v>1103</v>
      </c>
      <c r="B9" s="26" t="s">
        <v>1102</v>
      </c>
      <c r="C9" s="26" t="s">
        <v>1104</v>
      </c>
      <c r="D9" s="30">
        <v>124707</v>
      </c>
      <c r="E9" s="28">
        <v>2389.3861200000001</v>
      </c>
      <c r="F9" s="29">
        <v>8.0355566994850491</v>
      </c>
    </row>
    <row r="10" spans="1:6" x14ac:dyDescent="0.2">
      <c r="A10" s="26" t="s">
        <v>1021</v>
      </c>
      <c r="B10" s="26" t="s">
        <v>1020</v>
      </c>
      <c r="C10" s="26" t="s">
        <v>1022</v>
      </c>
      <c r="D10" s="30">
        <v>264757</v>
      </c>
      <c r="E10" s="28">
        <v>1894.336335</v>
      </c>
      <c r="F10" s="29">
        <v>6.3706936691283698</v>
      </c>
    </row>
    <row r="11" spans="1:6" x14ac:dyDescent="0.2">
      <c r="A11" s="26" t="s">
        <v>1024</v>
      </c>
      <c r="B11" s="26" t="s">
        <v>1023</v>
      </c>
      <c r="C11" s="26" t="s">
        <v>1014</v>
      </c>
      <c r="D11" s="30">
        <v>467926</v>
      </c>
      <c r="E11" s="28">
        <v>1778.8206889999999</v>
      </c>
      <c r="F11" s="29">
        <v>5.9822120774170102</v>
      </c>
    </row>
    <row r="12" spans="1:6" x14ac:dyDescent="0.2">
      <c r="A12" s="26" t="s">
        <v>1255</v>
      </c>
      <c r="B12" s="26" t="s">
        <v>1254</v>
      </c>
      <c r="C12" s="26" t="s">
        <v>1022</v>
      </c>
      <c r="D12" s="30">
        <v>76257</v>
      </c>
      <c r="E12" s="28">
        <v>1536.1591370000001</v>
      </c>
      <c r="F12" s="29">
        <v>5.1661360805073704</v>
      </c>
    </row>
    <row r="13" spans="1:6" x14ac:dyDescent="0.2">
      <c r="A13" s="26" t="s">
        <v>1026</v>
      </c>
      <c r="B13" s="26" t="s">
        <v>1025</v>
      </c>
      <c r="C13" s="26" t="s">
        <v>1014</v>
      </c>
      <c r="D13" s="30">
        <v>96833</v>
      </c>
      <c r="E13" s="28">
        <v>1314.217476</v>
      </c>
      <c r="F13" s="29">
        <v>4.41974152082717</v>
      </c>
    </row>
    <row r="14" spans="1:6" x14ac:dyDescent="0.2">
      <c r="A14" s="26" t="s">
        <v>1167</v>
      </c>
      <c r="B14" s="26" t="s">
        <v>1166</v>
      </c>
      <c r="C14" s="26" t="s">
        <v>1035</v>
      </c>
      <c r="D14" s="30">
        <v>618573</v>
      </c>
      <c r="E14" s="28">
        <v>1126.112147</v>
      </c>
      <c r="F14" s="29">
        <v>3.7871392703986002</v>
      </c>
    </row>
    <row r="15" spans="1:6" x14ac:dyDescent="0.2">
      <c r="A15" s="26" t="s">
        <v>1106</v>
      </c>
      <c r="B15" s="26" t="s">
        <v>1105</v>
      </c>
      <c r="C15" s="26" t="s">
        <v>1035</v>
      </c>
      <c r="D15" s="30">
        <v>50486</v>
      </c>
      <c r="E15" s="28">
        <v>1108.1677</v>
      </c>
      <c r="F15" s="29">
        <v>3.72679171078802</v>
      </c>
    </row>
    <row r="16" spans="1:6" x14ac:dyDescent="0.2">
      <c r="A16" s="26" t="s">
        <v>1016</v>
      </c>
      <c r="B16" s="26" t="s">
        <v>1015</v>
      </c>
      <c r="C16" s="26" t="s">
        <v>1017</v>
      </c>
      <c r="D16" s="30">
        <v>161250</v>
      </c>
      <c r="E16" s="28">
        <v>829.30875000000003</v>
      </c>
      <c r="F16" s="29">
        <v>2.7889830890974099</v>
      </c>
    </row>
    <row r="17" spans="1:6" x14ac:dyDescent="0.2">
      <c r="A17" s="26" t="s">
        <v>1116</v>
      </c>
      <c r="B17" s="26" t="s">
        <v>1115</v>
      </c>
      <c r="C17" s="26" t="s">
        <v>1117</v>
      </c>
      <c r="D17" s="30">
        <v>89112</v>
      </c>
      <c r="E17" s="28">
        <v>799.82475599999998</v>
      </c>
      <c r="F17" s="29">
        <v>2.68982778576189</v>
      </c>
    </row>
    <row r="18" spans="1:6" x14ac:dyDescent="0.2">
      <c r="A18" s="26" t="s">
        <v>1019</v>
      </c>
      <c r="B18" s="26" t="s">
        <v>1018</v>
      </c>
      <c r="C18" s="26" t="s">
        <v>1014</v>
      </c>
      <c r="D18" s="30">
        <v>162452</v>
      </c>
      <c r="E18" s="28">
        <v>722.74894800000004</v>
      </c>
      <c r="F18" s="29">
        <v>2.4306201925820101</v>
      </c>
    </row>
    <row r="19" spans="1:6" x14ac:dyDescent="0.2">
      <c r="A19" s="26" t="s">
        <v>1110</v>
      </c>
      <c r="B19" s="26" t="s">
        <v>1109</v>
      </c>
      <c r="C19" s="26" t="s">
        <v>1035</v>
      </c>
      <c r="D19" s="30">
        <v>32690</v>
      </c>
      <c r="E19" s="28">
        <v>574.91903000000002</v>
      </c>
      <c r="F19" s="29">
        <v>1.9334650119998</v>
      </c>
    </row>
    <row r="20" spans="1:6" x14ac:dyDescent="0.2">
      <c r="A20" s="26" t="s">
        <v>1065</v>
      </c>
      <c r="B20" s="26" t="s">
        <v>1064</v>
      </c>
      <c r="C20" s="26" t="s">
        <v>1014</v>
      </c>
      <c r="D20" s="30">
        <v>275075</v>
      </c>
      <c r="E20" s="28">
        <v>524.017875</v>
      </c>
      <c r="F20" s="29">
        <v>1.7622833374901199</v>
      </c>
    </row>
    <row r="21" spans="1:6" x14ac:dyDescent="0.2">
      <c r="A21" s="26" t="s">
        <v>1546</v>
      </c>
      <c r="B21" s="26" t="s">
        <v>1545</v>
      </c>
      <c r="C21" s="26" t="s">
        <v>1052</v>
      </c>
      <c r="D21" s="30">
        <v>9610</v>
      </c>
      <c r="E21" s="28">
        <v>514.98068000000001</v>
      </c>
      <c r="F21" s="29">
        <v>1.7318910571387101</v>
      </c>
    </row>
    <row r="22" spans="1:6" x14ac:dyDescent="0.2">
      <c r="A22" s="26" t="s">
        <v>1127</v>
      </c>
      <c r="B22" s="26" t="s">
        <v>1126</v>
      </c>
      <c r="C22" s="26" t="s">
        <v>1035</v>
      </c>
      <c r="D22" s="30">
        <v>2577</v>
      </c>
      <c r="E22" s="28">
        <v>461.91823049999999</v>
      </c>
      <c r="F22" s="29">
        <v>1.55344090293307</v>
      </c>
    </row>
    <row r="23" spans="1:6" x14ac:dyDescent="0.2">
      <c r="A23" s="26" t="s">
        <v>1108</v>
      </c>
      <c r="B23" s="26" t="s">
        <v>1107</v>
      </c>
      <c r="C23" s="26" t="s">
        <v>1104</v>
      </c>
      <c r="D23" s="30">
        <v>19105</v>
      </c>
      <c r="E23" s="28">
        <v>442.87300499999998</v>
      </c>
      <c r="F23" s="29">
        <v>1.48939140164957</v>
      </c>
    </row>
    <row r="24" spans="1:6" x14ac:dyDescent="0.2">
      <c r="A24" s="26" t="s">
        <v>1165</v>
      </c>
      <c r="B24" s="26" t="s">
        <v>1164</v>
      </c>
      <c r="C24" s="26" t="s">
        <v>1022</v>
      </c>
      <c r="D24" s="30">
        <v>78725</v>
      </c>
      <c r="E24" s="28">
        <v>427.90973750000001</v>
      </c>
      <c r="F24" s="29">
        <v>1.4390696125509499</v>
      </c>
    </row>
    <row r="25" spans="1:6" x14ac:dyDescent="0.2">
      <c r="A25" s="26" t="s">
        <v>1469</v>
      </c>
      <c r="B25" s="26" t="s">
        <v>1468</v>
      </c>
      <c r="C25" s="26" t="s">
        <v>1055</v>
      </c>
      <c r="D25" s="30">
        <v>77853</v>
      </c>
      <c r="E25" s="28">
        <v>361.58825849999999</v>
      </c>
      <c r="F25" s="29">
        <v>1.21602905814352</v>
      </c>
    </row>
    <row r="26" spans="1:6" x14ac:dyDescent="0.2">
      <c r="A26" s="26" t="s">
        <v>1099</v>
      </c>
      <c r="B26" s="26" t="s">
        <v>1098</v>
      </c>
      <c r="C26" s="26" t="s">
        <v>1055</v>
      </c>
      <c r="D26" s="30">
        <v>8486</v>
      </c>
      <c r="E26" s="28">
        <v>334.03441800000002</v>
      </c>
      <c r="F26" s="29">
        <v>1.1233649023701899</v>
      </c>
    </row>
    <row r="27" spans="1:6" x14ac:dyDescent="0.2">
      <c r="A27" s="26" t="s">
        <v>1063</v>
      </c>
      <c r="B27" s="26" t="s">
        <v>1062</v>
      </c>
      <c r="C27" s="26" t="s">
        <v>1061</v>
      </c>
      <c r="D27" s="30">
        <v>335289</v>
      </c>
      <c r="E27" s="28">
        <v>318.69219450000003</v>
      </c>
      <c r="F27" s="29">
        <v>1.07176867612676</v>
      </c>
    </row>
    <row r="28" spans="1:6" x14ac:dyDescent="0.2">
      <c r="A28" s="26" t="s">
        <v>1060</v>
      </c>
      <c r="B28" s="26" t="s">
        <v>1059</v>
      </c>
      <c r="C28" s="26" t="s">
        <v>1061</v>
      </c>
      <c r="D28" s="30">
        <v>182793</v>
      </c>
      <c r="E28" s="28">
        <v>296.21605649999998</v>
      </c>
      <c r="F28" s="29">
        <v>0.99618094261952805</v>
      </c>
    </row>
    <row r="29" spans="1:6" x14ac:dyDescent="0.2">
      <c r="A29" s="26" t="s">
        <v>1119</v>
      </c>
      <c r="B29" s="26" t="s">
        <v>1118</v>
      </c>
      <c r="C29" s="26" t="s">
        <v>1032</v>
      </c>
      <c r="D29" s="30">
        <v>8331</v>
      </c>
      <c r="E29" s="28">
        <v>294.44253300000003</v>
      </c>
      <c r="F29" s="29">
        <v>0.99021654510217805</v>
      </c>
    </row>
    <row r="30" spans="1:6" x14ac:dyDescent="0.2">
      <c r="A30" s="26" t="s">
        <v>1155</v>
      </c>
      <c r="B30" s="26" t="s">
        <v>1154</v>
      </c>
      <c r="C30" s="26" t="s">
        <v>1049</v>
      </c>
      <c r="D30" s="30">
        <v>30092</v>
      </c>
      <c r="E30" s="28">
        <v>291.90744599999999</v>
      </c>
      <c r="F30" s="29">
        <v>0.98169099322250597</v>
      </c>
    </row>
    <row r="31" spans="1:6" x14ac:dyDescent="0.2">
      <c r="A31" s="26" t="s">
        <v>1548</v>
      </c>
      <c r="B31" s="26" t="s">
        <v>1547</v>
      </c>
      <c r="C31" s="26" t="s">
        <v>1035</v>
      </c>
      <c r="D31" s="30">
        <v>8236</v>
      </c>
      <c r="E31" s="28">
        <v>260.73117000000002</v>
      </c>
      <c r="F31" s="29">
        <v>0.87684450927423796</v>
      </c>
    </row>
    <row r="32" spans="1:6" x14ac:dyDescent="0.2">
      <c r="A32" s="26" t="s">
        <v>1051</v>
      </c>
      <c r="B32" s="26" t="s">
        <v>1050</v>
      </c>
      <c r="C32" s="26" t="s">
        <v>1052</v>
      </c>
      <c r="D32" s="30">
        <v>68938</v>
      </c>
      <c r="E32" s="28">
        <v>252.761177</v>
      </c>
      <c r="F32" s="29">
        <v>0.85004125210707904</v>
      </c>
    </row>
    <row r="33" spans="1:6" x14ac:dyDescent="0.2">
      <c r="A33" s="26" t="s">
        <v>1073</v>
      </c>
      <c r="B33" s="26" t="s">
        <v>1072</v>
      </c>
      <c r="C33" s="26" t="s">
        <v>1052</v>
      </c>
      <c r="D33" s="30">
        <v>9388</v>
      </c>
      <c r="E33" s="28">
        <v>246.27540400000001</v>
      </c>
      <c r="F33" s="29">
        <v>0.82822945859022001</v>
      </c>
    </row>
    <row r="34" spans="1:6" x14ac:dyDescent="0.2">
      <c r="A34" s="26" t="s">
        <v>1125</v>
      </c>
      <c r="B34" s="26" t="s">
        <v>1124</v>
      </c>
      <c r="C34" s="26" t="s">
        <v>1022</v>
      </c>
      <c r="D34" s="30">
        <v>44808</v>
      </c>
      <c r="E34" s="28">
        <v>244.7637</v>
      </c>
      <c r="F34" s="29">
        <v>0.82314556565924502</v>
      </c>
    </row>
    <row r="35" spans="1:6" x14ac:dyDescent="0.2">
      <c r="A35" s="26" t="s">
        <v>1550</v>
      </c>
      <c r="B35" s="26" t="s">
        <v>1549</v>
      </c>
      <c r="C35" s="26" t="s">
        <v>1104</v>
      </c>
      <c r="D35" s="30">
        <v>4219</v>
      </c>
      <c r="E35" s="28">
        <v>215.35252650000001</v>
      </c>
      <c r="F35" s="29">
        <v>0.72423515922495896</v>
      </c>
    </row>
    <row r="36" spans="1:6" x14ac:dyDescent="0.2">
      <c r="A36" s="26" t="s">
        <v>1092</v>
      </c>
      <c r="B36" s="26" t="s">
        <v>1091</v>
      </c>
      <c r="C36" s="26" t="s">
        <v>1093</v>
      </c>
      <c r="D36" s="30">
        <v>144607</v>
      </c>
      <c r="E36" s="28">
        <v>214.74139500000001</v>
      </c>
      <c r="F36" s="29">
        <v>0.72217991090071898</v>
      </c>
    </row>
    <row r="37" spans="1:6" x14ac:dyDescent="0.2">
      <c r="A37" s="26" t="s">
        <v>1069</v>
      </c>
      <c r="B37" s="26" t="s">
        <v>1068</v>
      </c>
      <c r="C37" s="26" t="s">
        <v>1043</v>
      </c>
      <c r="D37" s="30">
        <v>56059</v>
      </c>
      <c r="E37" s="28">
        <v>207.41829999999999</v>
      </c>
      <c r="F37" s="29">
        <v>0.69755218556337795</v>
      </c>
    </row>
    <row r="38" spans="1:6" x14ac:dyDescent="0.2">
      <c r="A38" s="26" t="s">
        <v>1175</v>
      </c>
      <c r="B38" s="26" t="s">
        <v>1174</v>
      </c>
      <c r="C38" s="26" t="s">
        <v>1176</v>
      </c>
      <c r="D38" s="30">
        <v>258171</v>
      </c>
      <c r="E38" s="28">
        <v>206.278629</v>
      </c>
      <c r="F38" s="29">
        <v>0.69371944757992499</v>
      </c>
    </row>
    <row r="39" spans="1:6" x14ac:dyDescent="0.2">
      <c r="A39" s="26" t="s">
        <v>1552</v>
      </c>
      <c r="B39" s="26" t="s">
        <v>1551</v>
      </c>
      <c r="C39" s="26" t="s">
        <v>1022</v>
      </c>
      <c r="D39" s="30">
        <v>106711</v>
      </c>
      <c r="E39" s="28">
        <v>203.76465450000001</v>
      </c>
      <c r="F39" s="29">
        <v>0.685264897489959</v>
      </c>
    </row>
    <row r="40" spans="1:6" x14ac:dyDescent="0.2">
      <c r="A40" s="26" t="s">
        <v>1554</v>
      </c>
      <c r="B40" s="26" t="s">
        <v>1553</v>
      </c>
      <c r="C40" s="26" t="s">
        <v>1055</v>
      </c>
      <c r="D40" s="30">
        <v>34519</v>
      </c>
      <c r="E40" s="28">
        <v>203.524024</v>
      </c>
      <c r="F40" s="29">
        <v>0.68445565196442804</v>
      </c>
    </row>
    <row r="41" spans="1:6" x14ac:dyDescent="0.2">
      <c r="A41" s="26" t="s">
        <v>1171</v>
      </c>
      <c r="B41" s="26" t="s">
        <v>1170</v>
      </c>
      <c r="C41" s="26" t="s">
        <v>1052</v>
      </c>
      <c r="D41" s="30">
        <v>9291</v>
      </c>
      <c r="E41" s="28">
        <v>201.308097</v>
      </c>
      <c r="F41" s="29">
        <v>0.67700344200079998</v>
      </c>
    </row>
    <row r="42" spans="1:6" x14ac:dyDescent="0.2">
      <c r="A42" s="26" t="s">
        <v>1478</v>
      </c>
      <c r="B42" s="26" t="s">
        <v>1477</v>
      </c>
      <c r="C42" s="26" t="s">
        <v>1014</v>
      </c>
      <c r="D42" s="30">
        <v>42928</v>
      </c>
      <c r="E42" s="28">
        <v>200.967432</v>
      </c>
      <c r="F42" s="29">
        <v>0.67585777830914395</v>
      </c>
    </row>
    <row r="43" spans="1:6" x14ac:dyDescent="0.2">
      <c r="A43" s="26" t="s">
        <v>1556</v>
      </c>
      <c r="B43" s="26" t="s">
        <v>1555</v>
      </c>
      <c r="C43" s="26" t="s">
        <v>1032</v>
      </c>
      <c r="D43" s="30">
        <v>949</v>
      </c>
      <c r="E43" s="28">
        <v>187.59737100000001</v>
      </c>
      <c r="F43" s="29">
        <v>0.63089397679468895</v>
      </c>
    </row>
    <row r="44" spans="1:6" x14ac:dyDescent="0.2">
      <c r="A44" s="26" t="s">
        <v>1057</v>
      </c>
      <c r="B44" s="26" t="s">
        <v>1056</v>
      </c>
      <c r="C44" s="26" t="s">
        <v>1058</v>
      </c>
      <c r="D44" s="30">
        <v>53150</v>
      </c>
      <c r="E44" s="28">
        <v>158.54644999999999</v>
      </c>
      <c r="F44" s="29">
        <v>0.53319510723410102</v>
      </c>
    </row>
    <row r="45" spans="1:6" x14ac:dyDescent="0.2">
      <c r="A45" s="26" t="s">
        <v>1558</v>
      </c>
      <c r="B45" s="26" t="s">
        <v>1557</v>
      </c>
      <c r="C45" s="26" t="s">
        <v>1195</v>
      </c>
      <c r="D45" s="30">
        <v>54235</v>
      </c>
      <c r="E45" s="28">
        <v>157.335735</v>
      </c>
      <c r="F45" s="29">
        <v>0.52912344675696599</v>
      </c>
    </row>
    <row r="46" spans="1:6" x14ac:dyDescent="0.2">
      <c r="A46" s="26" t="s">
        <v>1560</v>
      </c>
      <c r="B46" s="26" t="s">
        <v>1559</v>
      </c>
      <c r="C46" s="26" t="s">
        <v>1309</v>
      </c>
      <c r="D46" s="30">
        <v>37119</v>
      </c>
      <c r="E46" s="28">
        <v>155.91835950000001</v>
      </c>
      <c r="F46" s="29">
        <v>0.52435678259189999</v>
      </c>
    </row>
    <row r="47" spans="1:6" x14ac:dyDescent="0.2">
      <c r="A47" s="26" t="s">
        <v>1562</v>
      </c>
      <c r="B47" s="26" t="s">
        <v>1561</v>
      </c>
      <c r="C47" s="26" t="s">
        <v>1052</v>
      </c>
      <c r="D47" s="30">
        <v>1000</v>
      </c>
      <c r="E47" s="28">
        <v>147.0795</v>
      </c>
      <c r="F47" s="29">
        <v>0.49463150877511203</v>
      </c>
    </row>
    <row r="48" spans="1:6" x14ac:dyDescent="0.2">
      <c r="A48" s="26" t="s">
        <v>1131</v>
      </c>
      <c r="B48" s="26" t="s">
        <v>1130</v>
      </c>
      <c r="C48" s="26" t="s">
        <v>1043</v>
      </c>
      <c r="D48" s="30">
        <v>167727</v>
      </c>
      <c r="E48" s="28">
        <v>141.226134</v>
      </c>
      <c r="F48" s="29">
        <v>0.47494651354468997</v>
      </c>
    </row>
    <row r="49" spans="1:9" x14ac:dyDescent="0.2">
      <c r="A49" s="26" t="s">
        <v>1031</v>
      </c>
      <c r="B49" s="26" t="s">
        <v>1030</v>
      </c>
      <c r="C49" s="26" t="s">
        <v>1032</v>
      </c>
      <c r="D49" s="30">
        <v>27627</v>
      </c>
      <c r="E49" s="28">
        <v>139.48872299999999</v>
      </c>
      <c r="F49" s="29">
        <v>0.46910356313832802</v>
      </c>
    </row>
    <row r="50" spans="1:9" x14ac:dyDescent="0.2">
      <c r="A50" s="26" t="s">
        <v>1045</v>
      </c>
      <c r="B50" s="26" t="s">
        <v>1044</v>
      </c>
      <c r="C50" s="26" t="s">
        <v>1046</v>
      </c>
      <c r="D50" s="30">
        <v>99365</v>
      </c>
      <c r="E50" s="28">
        <v>129.37323000000001</v>
      </c>
      <c r="F50" s="29">
        <v>0.43508494351700699</v>
      </c>
    </row>
    <row r="51" spans="1:9" x14ac:dyDescent="0.2">
      <c r="A51" s="26" t="s">
        <v>1564</v>
      </c>
      <c r="B51" s="26" t="s">
        <v>1563</v>
      </c>
      <c r="C51" s="26" t="s">
        <v>1058</v>
      </c>
      <c r="D51" s="30">
        <v>71302</v>
      </c>
      <c r="E51" s="28">
        <v>128.807063</v>
      </c>
      <c r="F51" s="29">
        <v>0.43318091176935603</v>
      </c>
    </row>
    <row r="52" spans="1:9" x14ac:dyDescent="0.2">
      <c r="A52" s="26" t="s">
        <v>1087</v>
      </c>
      <c r="B52" s="26" t="s">
        <v>1086</v>
      </c>
      <c r="C52" s="26" t="s">
        <v>1052</v>
      </c>
      <c r="D52" s="30">
        <v>129388</v>
      </c>
      <c r="E52" s="28">
        <v>120.65431</v>
      </c>
      <c r="F52" s="29">
        <v>0.405763028807686</v>
      </c>
    </row>
    <row r="53" spans="1:9" x14ac:dyDescent="0.2">
      <c r="A53" s="26" t="s">
        <v>1140</v>
      </c>
      <c r="B53" s="26" t="s">
        <v>1139</v>
      </c>
      <c r="C53" s="26" t="s">
        <v>1029</v>
      </c>
      <c r="D53" s="30">
        <v>124941</v>
      </c>
      <c r="E53" s="28">
        <v>119.56853700000001</v>
      </c>
      <c r="F53" s="29">
        <v>0.40211155095266699</v>
      </c>
    </row>
    <row r="54" spans="1:9" x14ac:dyDescent="0.2">
      <c r="A54" s="26" t="s">
        <v>1566</v>
      </c>
      <c r="B54" s="26" t="s">
        <v>1565</v>
      </c>
      <c r="C54" s="26" t="s">
        <v>1272</v>
      </c>
      <c r="D54" s="30">
        <v>61139</v>
      </c>
      <c r="E54" s="28">
        <v>106.62641600000001</v>
      </c>
      <c r="F54" s="29">
        <v>0.35858692082419902</v>
      </c>
    </row>
    <row r="55" spans="1:9" x14ac:dyDescent="0.2">
      <c r="A55" s="26" t="s">
        <v>1186</v>
      </c>
      <c r="B55" s="26" t="s">
        <v>1185</v>
      </c>
      <c r="C55" s="26" t="s">
        <v>1046</v>
      </c>
      <c r="D55" s="30">
        <v>114126</v>
      </c>
      <c r="E55" s="28">
        <v>102.199833</v>
      </c>
      <c r="F55" s="29">
        <v>0.34370022738284101</v>
      </c>
    </row>
    <row r="56" spans="1:9" x14ac:dyDescent="0.2">
      <c r="A56" s="26" t="s">
        <v>1568</v>
      </c>
      <c r="B56" s="26" t="s">
        <v>1567</v>
      </c>
      <c r="C56" s="26" t="s">
        <v>1090</v>
      </c>
      <c r="D56" s="30">
        <v>63147</v>
      </c>
      <c r="E56" s="28">
        <v>100.62474450000001</v>
      </c>
      <c r="F56" s="29">
        <v>0.33840317102074202</v>
      </c>
    </row>
    <row r="57" spans="1:9" x14ac:dyDescent="0.2">
      <c r="A57" s="26" t="s">
        <v>1570</v>
      </c>
      <c r="B57" s="26" t="s">
        <v>1569</v>
      </c>
      <c r="C57" s="26" t="s">
        <v>1014</v>
      </c>
      <c r="D57" s="30">
        <v>92088</v>
      </c>
      <c r="E57" s="28">
        <v>9.2088000000000003E-5</v>
      </c>
      <c r="F57" s="29">
        <v>3.0969391641991302E-7</v>
      </c>
    </row>
    <row r="58" spans="1:9" ht="10.5" x14ac:dyDescent="0.25">
      <c r="A58" s="25" t="s">
        <v>177</v>
      </c>
      <c r="B58" s="25"/>
      <c r="C58" s="25"/>
      <c r="D58" s="31"/>
      <c r="E58" s="32">
        <f>SUM(E7:E57)</f>
        <v>29472.407015588004</v>
      </c>
      <c r="F58" s="33">
        <f>SUM(F7:F57)</f>
        <v>99.116336058760695</v>
      </c>
      <c r="G58" s="17"/>
      <c r="H58" s="17"/>
      <c r="I58" s="17"/>
    </row>
    <row r="59" spans="1:9" x14ac:dyDescent="0.2">
      <c r="A59" s="26"/>
      <c r="B59" s="26"/>
      <c r="C59" s="26"/>
      <c r="D59" s="27"/>
      <c r="E59" s="28"/>
      <c r="F59" s="29"/>
    </row>
    <row r="60" spans="1:9" ht="10.5" x14ac:dyDescent="0.25">
      <c r="A60" s="25" t="s">
        <v>226</v>
      </c>
      <c r="B60" s="25"/>
      <c r="C60" s="25"/>
      <c r="D60" s="31"/>
      <c r="E60" s="32">
        <f>E58</f>
        <v>29472.407015588004</v>
      </c>
      <c r="F60" s="33">
        <f>F58</f>
        <v>99.116336058760695</v>
      </c>
      <c r="G60" s="17"/>
      <c r="H60" s="17"/>
      <c r="I60" s="17"/>
    </row>
    <row r="61" spans="1:9" ht="10.5" x14ac:dyDescent="0.25">
      <c r="A61" s="25"/>
      <c r="B61" s="25"/>
      <c r="C61" s="25"/>
      <c r="D61" s="31"/>
      <c r="E61" s="32"/>
      <c r="F61" s="33"/>
      <c r="G61" s="17"/>
      <c r="H61" s="17"/>
      <c r="I61" s="17"/>
    </row>
    <row r="62" spans="1:9" ht="10.5" x14ac:dyDescent="0.25">
      <c r="A62" s="25" t="s">
        <v>228</v>
      </c>
      <c r="B62" s="25"/>
      <c r="C62" s="25"/>
      <c r="D62" s="31"/>
      <c r="E62" s="32">
        <f>E64-(E58)</f>
        <v>262.75893941199683</v>
      </c>
      <c r="F62" s="33">
        <f>F64-(F58)</f>
        <v>0.88366394123930547</v>
      </c>
      <c r="G62" s="17"/>
      <c r="H62" s="17"/>
      <c r="I62" s="17"/>
    </row>
    <row r="63" spans="1:9" ht="10.5" x14ac:dyDescent="0.25">
      <c r="A63" s="25"/>
      <c r="B63" s="25"/>
      <c r="C63" s="25"/>
      <c r="D63" s="31"/>
      <c r="E63" s="32"/>
      <c r="F63" s="33"/>
      <c r="G63" s="17"/>
      <c r="H63" s="17"/>
      <c r="I63" s="17"/>
    </row>
    <row r="64" spans="1:9" ht="10.5" x14ac:dyDescent="0.25">
      <c r="A64" s="34" t="s">
        <v>227</v>
      </c>
      <c r="B64" s="34"/>
      <c r="C64" s="34"/>
      <c r="D64" s="35"/>
      <c r="E64" s="36">
        <v>29735.165955</v>
      </c>
      <c r="F64" s="37">
        <v>100</v>
      </c>
      <c r="G64" s="17"/>
      <c r="H64" s="17"/>
      <c r="I64" s="17"/>
    </row>
    <row r="65" spans="1:6" ht="10.5" x14ac:dyDescent="0.25">
      <c r="F65" s="19" t="s">
        <v>446</v>
      </c>
    </row>
    <row r="66" spans="1:6" ht="10.5" x14ac:dyDescent="0.25">
      <c r="A66" s="17" t="s">
        <v>232</v>
      </c>
    </row>
    <row r="67" spans="1:6" ht="10.5" x14ac:dyDescent="0.25">
      <c r="A67" s="17" t="s">
        <v>233</v>
      </c>
    </row>
    <row r="68" spans="1:6" ht="10.5" x14ac:dyDescent="0.25">
      <c r="A68" s="17" t="s">
        <v>234</v>
      </c>
      <c r="B68" s="17"/>
      <c r="C68" s="38" t="s">
        <v>236</v>
      </c>
      <c r="D68" s="18" t="s">
        <v>235</v>
      </c>
    </row>
    <row r="69" spans="1:6" x14ac:dyDescent="0.2">
      <c r="A69" s="10" t="s">
        <v>543</v>
      </c>
      <c r="C69" s="39">
        <v>94.123900000000006</v>
      </c>
      <c r="D69" s="39">
        <v>77.9863</v>
      </c>
    </row>
    <row r="70" spans="1:6" x14ac:dyDescent="0.2">
      <c r="A70" s="10" t="s">
        <v>580</v>
      </c>
      <c r="C70" s="39">
        <v>94.123900000000006</v>
      </c>
      <c r="D70" s="39">
        <v>77.9863</v>
      </c>
    </row>
    <row r="71" spans="1:6" x14ac:dyDescent="0.2">
      <c r="A71" s="10" t="s">
        <v>546</v>
      </c>
      <c r="C71" s="39">
        <v>96.594899999999996</v>
      </c>
      <c r="D71" s="39">
        <v>80.258300000000006</v>
      </c>
    </row>
    <row r="72" spans="1:6" x14ac:dyDescent="0.2">
      <c r="A72" s="10" t="s">
        <v>581</v>
      </c>
      <c r="C72" s="39">
        <v>96.594899999999996</v>
      </c>
      <c r="D72" s="39">
        <v>80.258300000000006</v>
      </c>
    </row>
    <row r="74" spans="1:6" ht="10.5" x14ac:dyDescent="0.25">
      <c r="A74" s="17" t="s">
        <v>248</v>
      </c>
      <c r="D74" s="46" t="s">
        <v>256</v>
      </c>
    </row>
    <row r="76" spans="1:6" ht="10.5" x14ac:dyDescent="0.25">
      <c r="A76" s="17" t="s">
        <v>1151</v>
      </c>
      <c r="D76" s="47">
        <v>4.8800000000000003E-2</v>
      </c>
    </row>
  </sheetData>
  <mergeCells count="1">
    <mergeCell ref="A1:F1"/>
  </mergeCells>
  <conditionalFormatting sqref="F2:F3 F5:F65535">
    <cfRule type="cellIs" dxfId="12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83"/>
  <sheetViews>
    <sheetView workbookViewId="0">
      <selection sqref="A1:F1"/>
    </sheetView>
  </sheetViews>
  <sheetFormatPr defaultColWidth="9.1796875" defaultRowHeight="10" x14ac:dyDescent="0.2"/>
  <cols>
    <col min="1" max="1" width="38.7265625" style="10" bestFit="1" customWidth="1"/>
    <col min="2" max="2" width="27.54296875" style="10" bestFit="1" customWidth="1"/>
    <col min="3" max="3" width="35.7265625" style="10" bestFit="1" customWidth="1"/>
    <col min="4" max="4" width="15.26953125" style="11" bestFit="1" customWidth="1"/>
    <col min="5" max="5" width="23" style="15" bestFit="1" customWidth="1"/>
    <col min="6" max="6" width="14.7265625" style="16" bestFit="1" customWidth="1"/>
    <col min="7" max="7" width="4.453125" style="10" bestFit="1" customWidth="1"/>
    <col min="8" max="16384" width="9.1796875" style="10"/>
  </cols>
  <sheetData>
    <row r="1" spans="1:6" s="1" customFormat="1" ht="14" x14ac:dyDescent="0.25">
      <c r="A1" s="80" t="s">
        <v>54</v>
      </c>
      <c r="B1" s="81"/>
      <c r="C1" s="81"/>
      <c r="D1" s="81"/>
      <c r="E1" s="81"/>
      <c r="F1" s="81"/>
    </row>
    <row r="2" spans="1:6" s="1" customFormat="1" ht="11.5" x14ac:dyDescent="0.25">
      <c r="D2" s="6"/>
      <c r="E2" s="7"/>
      <c r="F2" s="14"/>
    </row>
    <row r="3" spans="1:6" s="1" customFormat="1" ht="11.5" x14ac:dyDescent="0.25">
      <c r="A3" s="12" t="s">
        <v>6</v>
      </c>
      <c r="B3" s="2"/>
      <c r="C3" s="3"/>
      <c r="D3" s="4"/>
      <c r="E3" s="5"/>
      <c r="F3" s="14"/>
    </row>
    <row r="4" spans="1:6" s="1" customFormat="1" ht="17.5" customHeight="1" x14ac:dyDescent="0.25">
      <c r="A4" s="8" t="s">
        <v>2</v>
      </c>
      <c r="B4" s="8" t="s">
        <v>0</v>
      </c>
      <c r="C4" s="8" t="s">
        <v>1210</v>
      </c>
      <c r="D4" s="13" t="s">
        <v>1</v>
      </c>
      <c r="E4" s="9" t="s">
        <v>3</v>
      </c>
      <c r="F4" s="9" t="s">
        <v>4</v>
      </c>
    </row>
    <row r="5" spans="1:6" ht="10.5" x14ac:dyDescent="0.25">
      <c r="A5" s="20" t="s">
        <v>1011</v>
      </c>
      <c r="B5" s="21"/>
      <c r="C5" s="21"/>
      <c r="D5" s="22"/>
      <c r="E5" s="23"/>
      <c r="F5" s="24"/>
    </row>
    <row r="6" spans="1:6" ht="10.5" x14ac:dyDescent="0.25">
      <c r="A6" s="25" t="s">
        <v>64</v>
      </c>
      <c r="B6" s="26"/>
      <c r="C6" s="26"/>
      <c r="D6" s="27"/>
      <c r="E6" s="28"/>
      <c r="F6" s="29"/>
    </row>
    <row r="7" spans="1:6" x14ac:dyDescent="0.2">
      <c r="A7" s="26" t="s">
        <v>1019</v>
      </c>
      <c r="B7" s="26" t="s">
        <v>1018</v>
      </c>
      <c r="C7" s="26" t="s">
        <v>1014</v>
      </c>
      <c r="D7" s="30">
        <v>6104842</v>
      </c>
      <c r="E7" s="28">
        <v>27160.442060000001</v>
      </c>
      <c r="F7" s="29">
        <v>8.6756162845151703</v>
      </c>
    </row>
    <row r="8" spans="1:6" x14ac:dyDescent="0.2">
      <c r="A8" s="26" t="s">
        <v>1021</v>
      </c>
      <c r="B8" s="26" t="s">
        <v>1020</v>
      </c>
      <c r="C8" s="26" t="s">
        <v>1022</v>
      </c>
      <c r="D8" s="30">
        <v>3704517</v>
      </c>
      <c r="E8" s="28">
        <v>26505.81914</v>
      </c>
      <c r="F8" s="29">
        <v>8.4665159594018</v>
      </c>
    </row>
    <row r="9" spans="1:6" x14ac:dyDescent="0.2">
      <c r="A9" s="26" t="s">
        <v>1013</v>
      </c>
      <c r="B9" s="26" t="s">
        <v>1012</v>
      </c>
      <c r="C9" s="26" t="s">
        <v>1014</v>
      </c>
      <c r="D9" s="30">
        <v>2630104</v>
      </c>
      <c r="E9" s="28">
        <v>26348.381870000001</v>
      </c>
      <c r="F9" s="29">
        <v>8.4162271850002597</v>
      </c>
    </row>
    <row r="10" spans="1:6" x14ac:dyDescent="0.2">
      <c r="A10" s="26" t="s">
        <v>1024</v>
      </c>
      <c r="B10" s="26" t="s">
        <v>1023</v>
      </c>
      <c r="C10" s="26" t="s">
        <v>1014</v>
      </c>
      <c r="D10" s="30">
        <v>4383052</v>
      </c>
      <c r="E10" s="28">
        <v>16662.172180000001</v>
      </c>
      <c r="F10" s="29">
        <v>5.3222481423854902</v>
      </c>
    </row>
    <row r="11" spans="1:6" x14ac:dyDescent="0.2">
      <c r="A11" s="26" t="s">
        <v>1016</v>
      </c>
      <c r="B11" s="26" t="s">
        <v>1015</v>
      </c>
      <c r="C11" s="26" t="s">
        <v>1017</v>
      </c>
      <c r="D11" s="30">
        <v>3044619</v>
      </c>
      <c r="E11" s="28">
        <v>15658.47552</v>
      </c>
      <c r="F11" s="29">
        <v>5.0016463248976404</v>
      </c>
    </row>
    <row r="12" spans="1:6" x14ac:dyDescent="0.2">
      <c r="A12" s="26" t="s">
        <v>1060</v>
      </c>
      <c r="B12" s="26" t="s">
        <v>1059</v>
      </c>
      <c r="C12" s="26" t="s">
        <v>1061</v>
      </c>
      <c r="D12" s="30">
        <v>7119223</v>
      </c>
      <c r="E12" s="28">
        <v>11536.700870000001</v>
      </c>
      <c r="F12" s="29">
        <v>3.6850648349628701</v>
      </c>
    </row>
    <row r="13" spans="1:6" x14ac:dyDescent="0.2">
      <c r="A13" s="26" t="s">
        <v>1031</v>
      </c>
      <c r="B13" s="26" t="s">
        <v>1030</v>
      </c>
      <c r="C13" s="26" t="s">
        <v>1032</v>
      </c>
      <c r="D13" s="30">
        <v>1976455</v>
      </c>
      <c r="E13" s="28">
        <v>9979.1212950000008</v>
      </c>
      <c r="F13" s="29">
        <v>3.18754116817398</v>
      </c>
    </row>
    <row r="14" spans="1:6" x14ac:dyDescent="0.2">
      <c r="A14" s="26" t="s">
        <v>1028</v>
      </c>
      <c r="B14" s="26" t="s">
        <v>1027</v>
      </c>
      <c r="C14" s="26" t="s">
        <v>1029</v>
      </c>
      <c r="D14" s="30">
        <v>4078627</v>
      </c>
      <c r="E14" s="28">
        <v>9911.0636099999992</v>
      </c>
      <c r="F14" s="29">
        <v>3.1658021125662699</v>
      </c>
    </row>
    <row r="15" spans="1:6" x14ac:dyDescent="0.2">
      <c r="A15" s="26" t="s">
        <v>1063</v>
      </c>
      <c r="B15" s="26" t="s">
        <v>1062</v>
      </c>
      <c r="C15" s="26" t="s">
        <v>1061</v>
      </c>
      <c r="D15" s="30">
        <v>10065496</v>
      </c>
      <c r="E15" s="28">
        <v>9567.2539479999996</v>
      </c>
      <c r="F15" s="29">
        <v>3.05598207739042</v>
      </c>
    </row>
    <row r="16" spans="1:6" x14ac:dyDescent="0.2">
      <c r="A16" s="26" t="s">
        <v>1071</v>
      </c>
      <c r="B16" s="26" t="s">
        <v>1070</v>
      </c>
      <c r="C16" s="26" t="s">
        <v>1035</v>
      </c>
      <c r="D16" s="30">
        <v>871834</v>
      </c>
      <c r="E16" s="28">
        <v>8183.0339240000003</v>
      </c>
      <c r="F16" s="29">
        <v>2.6138330963452101</v>
      </c>
    </row>
    <row r="17" spans="1:6" x14ac:dyDescent="0.2">
      <c r="A17" s="26" t="s">
        <v>1045</v>
      </c>
      <c r="B17" s="26" t="s">
        <v>1044</v>
      </c>
      <c r="C17" s="26" t="s">
        <v>1046</v>
      </c>
      <c r="D17" s="30">
        <v>6049242</v>
      </c>
      <c r="E17" s="28">
        <v>7876.1130839999996</v>
      </c>
      <c r="F17" s="29">
        <v>2.5157961265610398</v>
      </c>
    </row>
    <row r="18" spans="1:6" x14ac:dyDescent="0.2">
      <c r="A18" s="26" t="s">
        <v>1125</v>
      </c>
      <c r="B18" s="26" t="s">
        <v>1124</v>
      </c>
      <c r="C18" s="26" t="s">
        <v>1022</v>
      </c>
      <c r="D18" s="30">
        <v>1405548</v>
      </c>
      <c r="E18" s="28">
        <v>7677.8059499999999</v>
      </c>
      <c r="F18" s="29">
        <v>2.4524526582454098</v>
      </c>
    </row>
    <row r="19" spans="1:6" x14ac:dyDescent="0.2">
      <c r="A19" s="26" t="s">
        <v>1051</v>
      </c>
      <c r="B19" s="26" t="s">
        <v>1050</v>
      </c>
      <c r="C19" s="26" t="s">
        <v>1052</v>
      </c>
      <c r="D19" s="30">
        <v>2059699</v>
      </c>
      <c r="E19" s="28">
        <v>7551.8863840000004</v>
      </c>
      <c r="F19" s="29">
        <v>2.4122313012102299</v>
      </c>
    </row>
    <row r="20" spans="1:6" x14ac:dyDescent="0.2">
      <c r="A20" s="26" t="s">
        <v>1463</v>
      </c>
      <c r="B20" s="26" t="s">
        <v>1462</v>
      </c>
      <c r="C20" s="26" t="s">
        <v>1035</v>
      </c>
      <c r="D20" s="30">
        <v>1396279</v>
      </c>
      <c r="E20" s="28">
        <v>7493.1312539999999</v>
      </c>
      <c r="F20" s="29">
        <v>2.3934636772702098</v>
      </c>
    </row>
    <row r="21" spans="1:6" x14ac:dyDescent="0.2">
      <c r="A21" s="26" t="s">
        <v>1099</v>
      </c>
      <c r="B21" s="26" t="s">
        <v>1098</v>
      </c>
      <c r="C21" s="26" t="s">
        <v>1055</v>
      </c>
      <c r="D21" s="30">
        <v>177107</v>
      </c>
      <c r="E21" s="28">
        <v>6971.4628409999996</v>
      </c>
      <c r="F21" s="29">
        <v>2.2268318172680002</v>
      </c>
    </row>
    <row r="22" spans="1:6" x14ac:dyDescent="0.2">
      <c r="A22" s="26" t="s">
        <v>1116</v>
      </c>
      <c r="B22" s="26" t="s">
        <v>1115</v>
      </c>
      <c r="C22" s="26" t="s">
        <v>1117</v>
      </c>
      <c r="D22" s="30">
        <v>757133</v>
      </c>
      <c r="E22" s="28">
        <v>6795.647242</v>
      </c>
      <c r="F22" s="29">
        <v>2.1706726181508902</v>
      </c>
    </row>
    <row r="23" spans="1:6" x14ac:dyDescent="0.2">
      <c r="A23" s="26" t="s">
        <v>1026</v>
      </c>
      <c r="B23" s="26" t="s">
        <v>1025</v>
      </c>
      <c r="C23" s="26" t="s">
        <v>1014</v>
      </c>
      <c r="D23" s="30">
        <v>474652</v>
      </c>
      <c r="E23" s="28">
        <v>6441.976944</v>
      </c>
      <c r="F23" s="29">
        <v>2.0577028885014301</v>
      </c>
    </row>
    <row r="24" spans="1:6" x14ac:dyDescent="0.2">
      <c r="A24" s="26" t="s">
        <v>1040</v>
      </c>
      <c r="B24" s="26" t="s">
        <v>1039</v>
      </c>
      <c r="C24" s="26" t="s">
        <v>1029</v>
      </c>
      <c r="D24" s="30">
        <v>2995176</v>
      </c>
      <c r="E24" s="28">
        <v>6207.5022600000002</v>
      </c>
      <c r="F24" s="29">
        <v>1.9828067442368</v>
      </c>
    </row>
    <row r="25" spans="1:6" x14ac:dyDescent="0.2">
      <c r="A25" s="26" t="s">
        <v>1042</v>
      </c>
      <c r="B25" s="26" t="s">
        <v>1041</v>
      </c>
      <c r="C25" s="26" t="s">
        <v>1043</v>
      </c>
      <c r="D25" s="30">
        <v>2520962</v>
      </c>
      <c r="E25" s="28">
        <v>5553.6792859999996</v>
      </c>
      <c r="F25" s="29">
        <v>1.77396193869593</v>
      </c>
    </row>
    <row r="26" spans="1:6" x14ac:dyDescent="0.2">
      <c r="A26" s="26" t="s">
        <v>1131</v>
      </c>
      <c r="B26" s="26" t="s">
        <v>1130</v>
      </c>
      <c r="C26" s="26" t="s">
        <v>1043</v>
      </c>
      <c r="D26" s="30">
        <v>5948967</v>
      </c>
      <c r="E26" s="28">
        <v>5009.0302140000003</v>
      </c>
      <c r="F26" s="29">
        <v>1.59998957300502</v>
      </c>
    </row>
    <row r="27" spans="1:6" x14ac:dyDescent="0.2">
      <c r="A27" s="26" t="s">
        <v>1133</v>
      </c>
      <c r="B27" s="26" t="s">
        <v>1132</v>
      </c>
      <c r="C27" s="26" t="s">
        <v>1134</v>
      </c>
      <c r="D27" s="30">
        <v>6223868</v>
      </c>
      <c r="E27" s="28">
        <v>4972.8705319999999</v>
      </c>
      <c r="F27" s="29">
        <v>1.5884394102606501</v>
      </c>
    </row>
    <row r="28" spans="1:6" x14ac:dyDescent="0.2">
      <c r="A28" s="26" t="s">
        <v>1123</v>
      </c>
      <c r="B28" s="26" t="s">
        <v>1122</v>
      </c>
      <c r="C28" s="26" t="s">
        <v>1061</v>
      </c>
      <c r="D28" s="30">
        <v>15624428</v>
      </c>
      <c r="E28" s="28">
        <v>4952.9436759999999</v>
      </c>
      <c r="F28" s="29">
        <v>1.5820743534610999</v>
      </c>
    </row>
    <row r="29" spans="1:6" x14ac:dyDescent="0.2">
      <c r="A29" s="26" t="s">
        <v>1114</v>
      </c>
      <c r="B29" s="26" t="s">
        <v>1113</v>
      </c>
      <c r="C29" s="26" t="s">
        <v>1104</v>
      </c>
      <c r="D29" s="30">
        <v>1338759</v>
      </c>
      <c r="E29" s="28">
        <v>3976.1142300000001</v>
      </c>
      <c r="F29" s="29">
        <v>1.27005448904982</v>
      </c>
    </row>
    <row r="30" spans="1:6" x14ac:dyDescent="0.2">
      <c r="A30" s="26" t="s">
        <v>1037</v>
      </c>
      <c r="B30" s="26" t="s">
        <v>1036</v>
      </c>
      <c r="C30" s="26" t="s">
        <v>1038</v>
      </c>
      <c r="D30" s="30">
        <v>402972</v>
      </c>
      <c r="E30" s="28">
        <v>3766.9822559999998</v>
      </c>
      <c r="F30" s="29">
        <v>1.2032533392290901</v>
      </c>
    </row>
    <row r="31" spans="1:6" x14ac:dyDescent="0.2">
      <c r="A31" s="26" t="s">
        <v>1065</v>
      </c>
      <c r="B31" s="26" t="s">
        <v>1064</v>
      </c>
      <c r="C31" s="26" t="s">
        <v>1014</v>
      </c>
      <c r="D31" s="30">
        <v>1935519</v>
      </c>
      <c r="E31" s="28">
        <v>3687.1636950000002</v>
      </c>
      <c r="F31" s="29">
        <v>1.1777576125362601</v>
      </c>
    </row>
    <row r="32" spans="1:6" x14ac:dyDescent="0.2">
      <c r="A32" s="26" t="s">
        <v>1073</v>
      </c>
      <c r="B32" s="26" t="s">
        <v>1072</v>
      </c>
      <c r="C32" s="26" t="s">
        <v>1052</v>
      </c>
      <c r="D32" s="30">
        <v>137369</v>
      </c>
      <c r="E32" s="28">
        <v>3603.6009770000001</v>
      </c>
      <c r="F32" s="29">
        <v>1.15106592337091</v>
      </c>
    </row>
    <row r="33" spans="1:6" x14ac:dyDescent="0.2">
      <c r="A33" s="26" t="s">
        <v>1054</v>
      </c>
      <c r="B33" s="26" t="s">
        <v>1053</v>
      </c>
      <c r="C33" s="26" t="s">
        <v>1055</v>
      </c>
      <c r="D33" s="30">
        <v>920735</v>
      </c>
      <c r="E33" s="28">
        <v>2982.7210329999998</v>
      </c>
      <c r="F33" s="29">
        <v>0.95274381429050703</v>
      </c>
    </row>
    <row r="34" spans="1:6" x14ac:dyDescent="0.2">
      <c r="A34" s="26" t="s">
        <v>1057</v>
      </c>
      <c r="B34" s="26" t="s">
        <v>1056</v>
      </c>
      <c r="C34" s="26" t="s">
        <v>1058</v>
      </c>
      <c r="D34" s="30">
        <v>960704</v>
      </c>
      <c r="E34" s="28">
        <v>2865.7800320000001</v>
      </c>
      <c r="F34" s="29">
        <v>0.91539039970462099</v>
      </c>
    </row>
    <row r="35" spans="1:6" x14ac:dyDescent="0.2">
      <c r="A35" s="26" t="s">
        <v>1178</v>
      </c>
      <c r="B35" s="26" t="s">
        <v>1177</v>
      </c>
      <c r="C35" s="26" t="s">
        <v>1179</v>
      </c>
      <c r="D35" s="30">
        <v>3970503</v>
      </c>
      <c r="E35" s="28">
        <v>2862.7326629999998</v>
      </c>
      <c r="F35" s="29">
        <v>0.91441700597034703</v>
      </c>
    </row>
    <row r="36" spans="1:6" x14ac:dyDescent="0.2">
      <c r="A36" s="26" t="s">
        <v>1140</v>
      </c>
      <c r="B36" s="26" t="s">
        <v>1139</v>
      </c>
      <c r="C36" s="26" t="s">
        <v>1029</v>
      </c>
      <c r="D36" s="30">
        <v>2792178</v>
      </c>
      <c r="E36" s="28">
        <v>2672.1143459999998</v>
      </c>
      <c r="F36" s="29">
        <v>0.85352950747386402</v>
      </c>
    </row>
    <row r="37" spans="1:6" x14ac:dyDescent="0.2">
      <c r="A37" s="26" t="s">
        <v>1087</v>
      </c>
      <c r="B37" s="26" t="s">
        <v>1086</v>
      </c>
      <c r="C37" s="26" t="s">
        <v>1052</v>
      </c>
      <c r="D37" s="30">
        <v>2746634</v>
      </c>
      <c r="E37" s="28">
        <v>2561.2362050000002</v>
      </c>
      <c r="F37" s="29">
        <v>0.81811269785304197</v>
      </c>
    </row>
    <row r="38" spans="1:6" x14ac:dyDescent="0.2">
      <c r="A38" s="26" t="s">
        <v>1190</v>
      </c>
      <c r="B38" s="26" t="s">
        <v>1189</v>
      </c>
      <c r="C38" s="26" t="s">
        <v>1076</v>
      </c>
      <c r="D38" s="30">
        <v>990217</v>
      </c>
      <c r="E38" s="28">
        <v>2526.0435670000002</v>
      </c>
      <c r="F38" s="29">
        <v>0.80687142929587496</v>
      </c>
    </row>
    <row r="39" spans="1:6" x14ac:dyDescent="0.2">
      <c r="A39" s="26" t="s">
        <v>1078</v>
      </c>
      <c r="B39" s="26" t="s">
        <v>1077</v>
      </c>
      <c r="C39" s="26" t="s">
        <v>1035</v>
      </c>
      <c r="D39" s="30">
        <v>607174</v>
      </c>
      <c r="E39" s="28">
        <v>2513.0931860000001</v>
      </c>
      <c r="F39" s="29">
        <v>0.80273480530256602</v>
      </c>
    </row>
    <row r="40" spans="1:6" x14ac:dyDescent="0.2">
      <c r="A40" s="26" t="s">
        <v>1138</v>
      </c>
      <c r="B40" s="26" t="s">
        <v>1137</v>
      </c>
      <c r="C40" s="26" t="s">
        <v>1076</v>
      </c>
      <c r="D40" s="30">
        <v>2516044</v>
      </c>
      <c r="E40" s="28">
        <v>2390.2417999999998</v>
      </c>
      <c r="F40" s="29">
        <v>0.76349348947263995</v>
      </c>
    </row>
    <row r="41" spans="1:6" x14ac:dyDescent="0.2">
      <c r="A41" s="26" t="s">
        <v>1142</v>
      </c>
      <c r="B41" s="26" t="s">
        <v>1141</v>
      </c>
      <c r="C41" s="26" t="s">
        <v>1104</v>
      </c>
      <c r="D41" s="30">
        <v>1158898</v>
      </c>
      <c r="E41" s="28">
        <v>2292.8796929999999</v>
      </c>
      <c r="F41" s="29">
        <v>0.73239398530706201</v>
      </c>
    </row>
    <row r="42" spans="1:6" x14ac:dyDescent="0.2">
      <c r="A42" s="26" t="s">
        <v>1155</v>
      </c>
      <c r="B42" s="26" t="s">
        <v>1154</v>
      </c>
      <c r="C42" s="26" t="s">
        <v>1049</v>
      </c>
      <c r="D42" s="30">
        <v>199808</v>
      </c>
      <c r="E42" s="28">
        <v>1938.2375039999999</v>
      </c>
      <c r="F42" s="29">
        <v>0.61911381323667802</v>
      </c>
    </row>
    <row r="43" spans="1:6" x14ac:dyDescent="0.2">
      <c r="A43" s="26" t="s">
        <v>1048</v>
      </c>
      <c r="B43" s="26" t="s">
        <v>1047</v>
      </c>
      <c r="C43" s="26" t="s">
        <v>1049</v>
      </c>
      <c r="D43" s="30">
        <v>300000</v>
      </c>
      <c r="E43" s="28">
        <v>1516.2</v>
      </c>
      <c r="F43" s="29">
        <v>0.48430616046393998</v>
      </c>
    </row>
    <row r="44" spans="1:6" x14ac:dyDescent="0.2">
      <c r="A44" s="26" t="s">
        <v>1089</v>
      </c>
      <c r="B44" s="26" t="s">
        <v>1088</v>
      </c>
      <c r="C44" s="26" t="s">
        <v>1090</v>
      </c>
      <c r="D44" s="30">
        <v>3057159</v>
      </c>
      <c r="E44" s="28">
        <v>1282.4782009999999</v>
      </c>
      <c r="F44" s="29">
        <v>0.40965050349888599</v>
      </c>
    </row>
    <row r="45" spans="1:6" x14ac:dyDescent="0.2">
      <c r="A45" s="26" t="s">
        <v>1082</v>
      </c>
      <c r="B45" s="26" t="s">
        <v>1081</v>
      </c>
      <c r="C45" s="26" t="s">
        <v>1083</v>
      </c>
      <c r="D45" s="30">
        <v>1075124</v>
      </c>
      <c r="E45" s="28">
        <v>1242.8433439999999</v>
      </c>
      <c r="F45" s="29">
        <v>0.39699029678855302</v>
      </c>
    </row>
    <row r="46" spans="1:6" x14ac:dyDescent="0.2">
      <c r="A46" s="26" t="s">
        <v>1346</v>
      </c>
      <c r="B46" s="26" t="s">
        <v>1345</v>
      </c>
      <c r="C46" s="26" t="s">
        <v>1134</v>
      </c>
      <c r="D46" s="30">
        <v>6320734</v>
      </c>
      <c r="E46" s="28">
        <v>1112.4491840000001</v>
      </c>
      <c r="F46" s="29">
        <v>0.35533966034446901</v>
      </c>
    </row>
    <row r="47" spans="1:6" x14ac:dyDescent="0.2">
      <c r="A47" s="26" t="s">
        <v>1204</v>
      </c>
      <c r="B47" s="26" t="s">
        <v>1203</v>
      </c>
      <c r="C47" s="26" t="s">
        <v>1022</v>
      </c>
      <c r="D47" s="30">
        <v>481063</v>
      </c>
      <c r="E47" s="28">
        <v>1098.5073609999999</v>
      </c>
      <c r="F47" s="29">
        <v>0.35088634892974901</v>
      </c>
    </row>
    <row r="48" spans="1:6" x14ac:dyDescent="0.2">
      <c r="A48" s="26" t="s">
        <v>1194</v>
      </c>
      <c r="B48" s="26" t="s">
        <v>1193</v>
      </c>
      <c r="C48" s="26" t="s">
        <v>1195</v>
      </c>
      <c r="D48" s="30">
        <v>1774842</v>
      </c>
      <c r="E48" s="28">
        <v>1024.083834</v>
      </c>
      <c r="F48" s="29">
        <v>0.32711390953550401</v>
      </c>
    </row>
    <row r="49" spans="1:9" x14ac:dyDescent="0.2">
      <c r="A49" s="26" t="s">
        <v>1192</v>
      </c>
      <c r="B49" s="26" t="s">
        <v>1191</v>
      </c>
      <c r="C49" s="26" t="s">
        <v>1104</v>
      </c>
      <c r="D49" s="30">
        <v>1695647</v>
      </c>
      <c r="E49" s="28">
        <v>873.25820499999998</v>
      </c>
      <c r="F49" s="29">
        <v>0.27893703228939598</v>
      </c>
    </row>
    <row r="50" spans="1:9" x14ac:dyDescent="0.2">
      <c r="A50" s="26" t="s">
        <v>1085</v>
      </c>
      <c r="B50" s="26" t="s">
        <v>1084</v>
      </c>
      <c r="C50" s="26" t="s">
        <v>1052</v>
      </c>
      <c r="D50" s="30">
        <v>265282</v>
      </c>
      <c r="E50" s="28">
        <v>871.05344700000001</v>
      </c>
      <c r="F50" s="29">
        <v>0.278232786225729</v>
      </c>
    </row>
    <row r="51" spans="1:9" x14ac:dyDescent="0.2">
      <c r="A51" s="26" t="s">
        <v>1169</v>
      </c>
      <c r="B51" s="26" t="s">
        <v>1168</v>
      </c>
      <c r="C51" s="26" t="s">
        <v>1052</v>
      </c>
      <c r="D51" s="30">
        <v>1791828</v>
      </c>
      <c r="E51" s="28">
        <v>712.25162999999998</v>
      </c>
      <c r="F51" s="29">
        <v>0.22750814682065901</v>
      </c>
    </row>
    <row r="52" spans="1:9" x14ac:dyDescent="0.2">
      <c r="A52" s="26" t="s">
        <v>1144</v>
      </c>
      <c r="B52" s="26" t="s">
        <v>1143</v>
      </c>
      <c r="C52" s="26" t="s">
        <v>1145</v>
      </c>
      <c r="D52" s="30">
        <v>1278633</v>
      </c>
      <c r="E52" s="28">
        <v>695.57635200000004</v>
      </c>
      <c r="F52" s="29">
        <v>0.222181712403795</v>
      </c>
    </row>
    <row r="53" spans="1:9" x14ac:dyDescent="0.2">
      <c r="A53" s="26" t="s">
        <v>1129</v>
      </c>
      <c r="B53" s="26" t="s">
        <v>1128</v>
      </c>
      <c r="C53" s="26" t="s">
        <v>1032</v>
      </c>
      <c r="D53" s="30">
        <v>311857</v>
      </c>
      <c r="E53" s="28">
        <v>535.30254049999996</v>
      </c>
      <c r="F53" s="29">
        <v>0.17098688700445</v>
      </c>
    </row>
    <row r="54" spans="1:9" x14ac:dyDescent="0.2">
      <c r="A54" s="26" t="s">
        <v>1482</v>
      </c>
      <c r="B54" s="26" t="s">
        <v>1481</v>
      </c>
      <c r="C54" s="26" t="s">
        <v>1090</v>
      </c>
      <c r="D54" s="30">
        <v>2436728</v>
      </c>
      <c r="E54" s="28">
        <v>118.181308</v>
      </c>
      <c r="F54" s="29">
        <v>3.774959472107E-2</v>
      </c>
    </row>
    <row r="55" spans="1:9" ht="10.5" x14ac:dyDescent="0.25">
      <c r="A55" s="25" t="s">
        <v>177</v>
      </c>
      <c r="B55" s="25"/>
      <c r="C55" s="25"/>
      <c r="D55" s="31"/>
      <c r="E55" s="32">
        <f>SUM(E7:E54)</f>
        <v>290737.64067750023</v>
      </c>
      <c r="F55" s="33">
        <f>SUM(F7:F54)</f>
        <v>92.867715643625274</v>
      </c>
      <c r="G55" s="17"/>
      <c r="H55" s="17"/>
      <c r="I55" s="17"/>
    </row>
    <row r="56" spans="1:9" x14ac:dyDescent="0.2">
      <c r="A56" s="26"/>
      <c r="B56" s="26"/>
      <c r="C56" s="26"/>
      <c r="D56" s="27"/>
      <c r="E56" s="28"/>
      <c r="F56" s="29"/>
    </row>
    <row r="57" spans="1:9" ht="10.5" x14ac:dyDescent="0.25">
      <c r="A57" s="25" t="s">
        <v>1158</v>
      </c>
      <c r="B57" s="26"/>
      <c r="C57" s="26"/>
      <c r="D57" s="27"/>
      <c r="E57" s="28"/>
      <c r="F57" s="29"/>
    </row>
    <row r="58" spans="1:9" x14ac:dyDescent="0.2">
      <c r="A58" s="26" t="s">
        <v>1160</v>
      </c>
      <c r="B58" s="26" t="s">
        <v>1159</v>
      </c>
      <c r="C58" s="26" t="s">
        <v>1022</v>
      </c>
      <c r="D58" s="30">
        <v>30000</v>
      </c>
      <c r="E58" s="28">
        <v>3.0000000000000001E-3</v>
      </c>
      <c r="F58" s="29">
        <v>9.5826307966747192E-7</v>
      </c>
    </row>
    <row r="59" spans="1:9" x14ac:dyDescent="0.2">
      <c r="A59" s="26" t="s">
        <v>1442</v>
      </c>
      <c r="B59" s="26" t="s">
        <v>1441</v>
      </c>
      <c r="C59" s="26" t="s">
        <v>1334</v>
      </c>
      <c r="D59" s="30">
        <v>3500</v>
      </c>
      <c r="E59" s="28">
        <v>3.5E-4</v>
      </c>
      <c r="F59" s="29">
        <v>1.11797359294538E-7</v>
      </c>
    </row>
    <row r="60" spans="1:9" x14ac:dyDescent="0.2">
      <c r="A60" s="26"/>
      <c r="B60" s="26" t="s">
        <v>1161</v>
      </c>
      <c r="C60" s="26" t="s">
        <v>1104</v>
      </c>
      <c r="D60" s="30">
        <v>2900</v>
      </c>
      <c r="E60" s="28">
        <v>2.9E-4</v>
      </c>
      <c r="F60" s="29">
        <v>9.2632097701188895E-8</v>
      </c>
    </row>
    <row r="61" spans="1:9" ht="10.5" x14ac:dyDescent="0.25">
      <c r="A61" s="25" t="s">
        <v>177</v>
      </c>
      <c r="B61" s="25"/>
      <c r="C61" s="25"/>
      <c r="D61" s="31"/>
      <c r="E61" s="32">
        <f>SUM(E57:E60)</f>
        <v>3.64E-3</v>
      </c>
      <c r="F61" s="33">
        <f>SUM(F57:F60)</f>
        <v>1.1626925366631988E-6</v>
      </c>
      <c r="G61" s="17"/>
      <c r="H61" s="17"/>
      <c r="I61" s="17"/>
    </row>
    <row r="62" spans="1:9" x14ac:dyDescent="0.2">
      <c r="A62" s="26"/>
      <c r="B62" s="26"/>
      <c r="C62" s="26"/>
      <c r="D62" s="27"/>
      <c r="E62" s="28"/>
      <c r="F62" s="29"/>
    </row>
    <row r="63" spans="1:9" ht="10.5" x14ac:dyDescent="0.25">
      <c r="A63" s="25" t="s">
        <v>226</v>
      </c>
      <c r="B63" s="25"/>
      <c r="C63" s="25"/>
      <c r="D63" s="31"/>
      <c r="E63" s="32">
        <f>E55+E61</f>
        <v>290737.64431750024</v>
      </c>
      <c r="F63" s="33">
        <f>F55+F61</f>
        <v>92.867716806317816</v>
      </c>
      <c r="G63" s="17"/>
      <c r="H63" s="17"/>
      <c r="I63" s="17"/>
    </row>
    <row r="64" spans="1:9" ht="10.5" x14ac:dyDescent="0.25">
      <c r="A64" s="25"/>
      <c r="B64" s="25"/>
      <c r="C64" s="25"/>
      <c r="D64" s="31"/>
      <c r="E64" s="32"/>
      <c r="F64" s="33"/>
      <c r="G64" s="17"/>
      <c r="H64" s="17"/>
      <c r="I64" s="17"/>
    </row>
    <row r="65" spans="1:9" ht="10.5" x14ac:dyDescent="0.25">
      <c r="A65" s="25" t="s">
        <v>228</v>
      </c>
      <c r="B65" s="25"/>
      <c r="C65" s="25"/>
      <c r="D65" s="31"/>
      <c r="E65" s="32">
        <f>E67-(E55+E61)</f>
        <v>22328.784271299781</v>
      </c>
      <c r="F65" s="33">
        <f>F67-(F55+F61)</f>
        <v>7.1322831936821842</v>
      </c>
      <c r="G65" s="17"/>
      <c r="H65" s="17"/>
      <c r="I65" s="17"/>
    </row>
    <row r="66" spans="1:9" ht="10.5" x14ac:dyDescent="0.25">
      <c r="A66" s="25"/>
      <c r="B66" s="25"/>
      <c r="C66" s="25"/>
      <c r="D66" s="31"/>
      <c r="E66" s="32"/>
      <c r="F66" s="33"/>
      <c r="G66" s="17"/>
      <c r="H66" s="17"/>
      <c r="I66" s="17"/>
    </row>
    <row r="67" spans="1:9" ht="10.5" x14ac:dyDescent="0.25">
      <c r="A67" s="34" t="s">
        <v>227</v>
      </c>
      <c r="B67" s="34"/>
      <c r="C67" s="34"/>
      <c r="D67" s="35"/>
      <c r="E67" s="36">
        <v>313066.42858880002</v>
      </c>
      <c r="F67" s="37">
        <v>100</v>
      </c>
      <c r="G67" s="17"/>
      <c r="H67" s="17"/>
      <c r="I67" s="17"/>
    </row>
    <row r="68" spans="1:9" ht="10.5" x14ac:dyDescent="0.25">
      <c r="F68" s="19" t="s">
        <v>446</v>
      </c>
    </row>
    <row r="69" spans="1:9" ht="10.5" x14ac:dyDescent="0.25">
      <c r="A69" s="17" t="s">
        <v>232</v>
      </c>
    </row>
    <row r="70" spans="1:9" ht="10.5" x14ac:dyDescent="0.25">
      <c r="A70" s="17" t="s">
        <v>233</v>
      </c>
    </row>
    <row r="71" spans="1:9" ht="10.5" x14ac:dyDescent="0.25">
      <c r="A71" s="17" t="s">
        <v>234</v>
      </c>
      <c r="B71" s="17"/>
      <c r="C71" s="38" t="s">
        <v>236</v>
      </c>
      <c r="D71" s="18" t="s">
        <v>235</v>
      </c>
    </row>
    <row r="72" spans="1:9" x14ac:dyDescent="0.2">
      <c r="A72" s="10" t="s">
        <v>543</v>
      </c>
      <c r="C72" s="39">
        <v>571.71730000000002</v>
      </c>
      <c r="D72" s="39">
        <v>441.05119999999999</v>
      </c>
    </row>
    <row r="73" spans="1:9" x14ac:dyDescent="0.2">
      <c r="A73" s="10" t="s">
        <v>580</v>
      </c>
      <c r="C73" s="39">
        <v>41.192399999999999</v>
      </c>
      <c r="D73" s="39">
        <v>29.331099999999999</v>
      </c>
    </row>
    <row r="74" spans="1:9" x14ac:dyDescent="0.2">
      <c r="A74" s="10" t="s">
        <v>546</v>
      </c>
      <c r="C74" s="39">
        <v>607.23710000000005</v>
      </c>
      <c r="D74" s="39">
        <v>470.79070000000002</v>
      </c>
    </row>
    <row r="75" spans="1:9" x14ac:dyDescent="0.2">
      <c r="A75" s="10" t="s">
        <v>581</v>
      </c>
      <c r="C75" s="39">
        <v>44.551000000000002</v>
      </c>
      <c r="D75" s="39">
        <v>32.086500000000001</v>
      </c>
    </row>
    <row r="77" spans="1:9" ht="10.5" x14ac:dyDescent="0.25">
      <c r="A77" s="17" t="s">
        <v>248</v>
      </c>
    </row>
    <row r="78" spans="1:9" ht="10.5" x14ac:dyDescent="0.25">
      <c r="A78" s="84" t="s">
        <v>249</v>
      </c>
      <c r="B78" s="85"/>
      <c r="C78" s="82" t="s">
        <v>250</v>
      </c>
      <c r="D78" s="83"/>
    </row>
    <row r="79" spans="1:9" ht="10.5" x14ac:dyDescent="0.25">
      <c r="A79" s="84"/>
      <c r="B79" s="85"/>
      <c r="C79" s="40" t="s">
        <v>251</v>
      </c>
      <c r="D79" s="41" t="s">
        <v>252</v>
      </c>
    </row>
    <row r="80" spans="1:9" x14ac:dyDescent="0.2">
      <c r="A80" s="78" t="s">
        <v>580</v>
      </c>
      <c r="B80" s="79"/>
      <c r="C80" s="42">
        <v>2.8775775275000002</v>
      </c>
      <c r="D80" s="42">
        <v>2.8775775275000002</v>
      </c>
    </row>
    <row r="81" spans="1:4" x14ac:dyDescent="0.2">
      <c r="A81" s="78" t="s">
        <v>581</v>
      </c>
      <c r="B81" s="79"/>
      <c r="C81" s="42">
        <v>2.8775775275000002</v>
      </c>
      <c r="D81" s="42">
        <v>2.8775775275000002</v>
      </c>
    </row>
    <row r="83" spans="1:4" ht="10.5" x14ac:dyDescent="0.25">
      <c r="A83" s="17" t="s">
        <v>1151</v>
      </c>
      <c r="D83" s="47">
        <v>0.16439999999999999</v>
      </c>
    </row>
  </sheetData>
  <mergeCells count="6">
    <mergeCell ref="A81:B81"/>
    <mergeCell ref="A1:F1"/>
    <mergeCell ref="C78:D78"/>
    <mergeCell ref="A78:B78"/>
    <mergeCell ref="A79:B79"/>
    <mergeCell ref="A80:B80"/>
  </mergeCells>
  <conditionalFormatting sqref="F2:F3 F5:F65535">
    <cfRule type="cellIs" dxfId="11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25"/>
  <sheetViews>
    <sheetView workbookViewId="0">
      <selection sqref="A1:E1"/>
    </sheetView>
  </sheetViews>
  <sheetFormatPr defaultColWidth="9.1796875" defaultRowHeight="10" x14ac:dyDescent="0.2"/>
  <cols>
    <col min="1" max="1" width="32.26953125" style="10" bestFit="1" customWidth="1"/>
    <col min="2" max="2" width="33.54296875" style="10" bestFit="1" customWidth="1"/>
    <col min="3" max="3" width="18.81640625" style="10" bestFit="1" customWidth="1"/>
    <col min="4" max="4" width="23" style="11" bestFit="1" customWidth="1"/>
    <col min="5" max="5" width="13.54296875" style="15" customWidth="1"/>
    <col min="6" max="6" width="13.54296875" style="16" bestFit="1" customWidth="1"/>
    <col min="7" max="7" width="4.81640625" style="10" bestFit="1" customWidth="1"/>
    <col min="8" max="16384" width="9.1796875" style="10"/>
  </cols>
  <sheetData>
    <row r="1" spans="1:9" s="1" customFormat="1" ht="15" customHeight="1" x14ac:dyDescent="0.25">
      <c r="A1" s="80" t="s">
        <v>55</v>
      </c>
      <c r="B1" s="81"/>
      <c r="C1" s="81"/>
      <c r="D1" s="81"/>
      <c r="E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13" t="s">
        <v>1</v>
      </c>
      <c r="D4" s="9" t="s">
        <v>3</v>
      </c>
      <c r="E4" s="9" t="s">
        <v>4</v>
      </c>
    </row>
    <row r="5" spans="1:9" ht="10.5" x14ac:dyDescent="0.25">
      <c r="A5" s="20" t="s">
        <v>1280</v>
      </c>
      <c r="B5" s="21"/>
      <c r="C5" s="22"/>
      <c r="D5" s="23"/>
      <c r="E5" s="24"/>
    </row>
    <row r="6" spans="1:9" x14ac:dyDescent="0.2">
      <c r="A6" s="26" t="s">
        <v>1572</v>
      </c>
      <c r="B6" s="26" t="s">
        <v>1571</v>
      </c>
      <c r="C6" s="30">
        <v>3901278.571</v>
      </c>
      <c r="D6" s="28">
        <v>151620.26569999999</v>
      </c>
      <c r="E6" s="29">
        <v>100.087379690164</v>
      </c>
    </row>
    <row r="7" spans="1:9" ht="10.5" x14ac:dyDescent="0.25">
      <c r="A7" s="25" t="s">
        <v>177</v>
      </c>
      <c r="B7" s="25"/>
      <c r="C7" s="31"/>
      <c r="D7" s="32">
        <f>SUM(D6:D6)</f>
        <v>151620.26569999999</v>
      </c>
      <c r="E7" s="33">
        <f>SUM(E6:E6)</f>
        <v>100.087379690164</v>
      </c>
      <c r="G7" s="17"/>
      <c r="H7" s="17"/>
      <c r="I7" s="17"/>
    </row>
    <row r="8" spans="1:9" x14ac:dyDescent="0.2">
      <c r="A8" s="26"/>
      <c r="B8" s="26"/>
      <c r="C8" s="27"/>
      <c r="D8" s="28"/>
      <c r="E8" s="29"/>
    </row>
    <row r="9" spans="1:9" ht="10.5" x14ac:dyDescent="0.25">
      <c r="A9" s="25" t="s">
        <v>226</v>
      </c>
      <c r="B9" s="25"/>
      <c r="C9" s="31"/>
      <c r="D9" s="32">
        <f>D7</f>
        <v>151620.26569999999</v>
      </c>
      <c r="E9" s="33">
        <f>E7</f>
        <v>100.087379690164</v>
      </c>
      <c r="G9" s="17"/>
      <c r="H9" s="17"/>
      <c r="I9" s="17"/>
    </row>
    <row r="10" spans="1:9" ht="10.5" x14ac:dyDescent="0.25">
      <c r="A10" s="25"/>
      <c r="B10" s="25"/>
      <c r="C10" s="31"/>
      <c r="D10" s="32"/>
      <c r="E10" s="33"/>
      <c r="G10" s="17"/>
      <c r="H10" s="17"/>
      <c r="I10" s="17"/>
    </row>
    <row r="11" spans="1:9" ht="10.5" x14ac:dyDescent="0.25">
      <c r="A11" s="25" t="s">
        <v>228</v>
      </c>
      <c r="B11" s="25"/>
      <c r="C11" s="31"/>
      <c r="D11" s="32">
        <f>D13-(D7)</f>
        <v>-132.3696541999816</v>
      </c>
      <c r="E11" s="33">
        <f>E13-(E7)</f>
        <v>-8.7379690163999157E-2</v>
      </c>
      <c r="G11" s="17"/>
      <c r="H11" s="17"/>
      <c r="I11" s="17"/>
    </row>
    <row r="12" spans="1:9" ht="10.5" x14ac:dyDescent="0.25">
      <c r="A12" s="25"/>
      <c r="B12" s="25"/>
      <c r="C12" s="31"/>
      <c r="D12" s="32"/>
      <c r="E12" s="33"/>
      <c r="G12" s="17"/>
      <c r="H12" s="17"/>
      <c r="I12" s="17"/>
    </row>
    <row r="13" spans="1:9" ht="10.5" x14ac:dyDescent="0.25">
      <c r="A13" s="34" t="s">
        <v>227</v>
      </c>
      <c r="B13" s="34"/>
      <c r="C13" s="35"/>
      <c r="D13" s="36">
        <v>151487.89604580001</v>
      </c>
      <c r="E13" s="37">
        <v>100</v>
      </c>
      <c r="G13" s="17"/>
      <c r="H13" s="17"/>
      <c r="I13" s="17"/>
    </row>
    <row r="15" spans="1:9" ht="10.5" x14ac:dyDescent="0.25">
      <c r="A15" s="17" t="s">
        <v>232</v>
      </c>
    </row>
    <row r="16" spans="1:9" ht="10.5" x14ac:dyDescent="0.25">
      <c r="A16" s="17" t="s">
        <v>233</v>
      </c>
    </row>
    <row r="17" spans="1:4" ht="10.5" x14ac:dyDescent="0.25">
      <c r="A17" s="17" t="s">
        <v>234</v>
      </c>
      <c r="B17" s="17"/>
      <c r="C17" s="38" t="s">
        <v>236</v>
      </c>
      <c r="D17" s="18" t="s">
        <v>235</v>
      </c>
    </row>
    <row r="18" spans="1:4" x14ac:dyDescent="0.2">
      <c r="A18" s="10" t="s">
        <v>543</v>
      </c>
      <c r="C18" s="39">
        <v>32.390500000000003</v>
      </c>
      <c r="D18" s="39">
        <v>36.816800000000001</v>
      </c>
    </row>
    <row r="19" spans="1:4" x14ac:dyDescent="0.2">
      <c r="A19" s="10" t="s">
        <v>580</v>
      </c>
      <c r="C19" s="39">
        <v>32.390500000000003</v>
      </c>
      <c r="D19" s="39">
        <v>36.816800000000001</v>
      </c>
    </row>
    <row r="20" spans="1:4" x14ac:dyDescent="0.2">
      <c r="A20" s="10" t="s">
        <v>546</v>
      </c>
      <c r="C20" s="39">
        <v>34.597799999999999</v>
      </c>
      <c r="D20" s="39">
        <v>39.522100000000002</v>
      </c>
    </row>
    <row r="21" spans="1:4" x14ac:dyDescent="0.2">
      <c r="A21" s="10" t="s">
        <v>581</v>
      </c>
      <c r="C21" s="39">
        <v>34.597799999999999</v>
      </c>
      <c r="D21" s="39">
        <v>39.522100000000002</v>
      </c>
    </row>
    <row r="23" spans="1:4" ht="10.5" x14ac:dyDescent="0.25">
      <c r="A23" s="17" t="s">
        <v>248</v>
      </c>
      <c r="D23" s="46" t="s">
        <v>256</v>
      </c>
    </row>
    <row r="25" spans="1:4" ht="10.5" x14ac:dyDescent="0.25">
      <c r="A25" s="17" t="s">
        <v>1151</v>
      </c>
      <c r="D25" s="47">
        <v>3.2300000000000002E-2</v>
      </c>
    </row>
  </sheetData>
  <mergeCells count="1">
    <mergeCell ref="A1:E1"/>
  </mergeCells>
  <conditionalFormatting sqref="F2:F3 E5:E13 F14:F65535">
    <cfRule type="cellIs" dxfId="10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25"/>
  <sheetViews>
    <sheetView workbookViewId="0">
      <selection sqref="A1:E1"/>
    </sheetView>
  </sheetViews>
  <sheetFormatPr defaultColWidth="9.1796875" defaultRowHeight="10" x14ac:dyDescent="0.2"/>
  <cols>
    <col min="1" max="1" width="32.26953125" style="10" bestFit="1" customWidth="1"/>
    <col min="2" max="2" width="33.453125" style="10" bestFit="1" customWidth="1"/>
    <col min="3" max="3" width="18.81640625" style="10" bestFit="1" customWidth="1"/>
    <col min="4" max="4" width="23" style="11" bestFit="1" customWidth="1"/>
    <col min="5" max="5" width="13.54296875" style="15" customWidth="1"/>
    <col min="6" max="6" width="13.54296875" style="16" bestFit="1" customWidth="1"/>
    <col min="7" max="7" width="5.453125" style="10" bestFit="1" customWidth="1"/>
    <col min="8" max="16384" width="9.1796875" style="10"/>
  </cols>
  <sheetData>
    <row r="1" spans="1:9" s="1" customFormat="1" ht="15" customHeight="1" x14ac:dyDescent="0.25">
      <c r="A1" s="80" t="s">
        <v>56</v>
      </c>
      <c r="B1" s="81"/>
      <c r="C1" s="81"/>
      <c r="D1" s="81"/>
      <c r="E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13" t="s">
        <v>1</v>
      </c>
      <c r="D4" s="9" t="s">
        <v>3</v>
      </c>
      <c r="E4" s="9" t="s">
        <v>4</v>
      </c>
    </row>
    <row r="5" spans="1:9" ht="10.5" x14ac:dyDescent="0.25">
      <c r="A5" s="20" t="s">
        <v>1280</v>
      </c>
      <c r="B5" s="21"/>
      <c r="C5" s="22"/>
      <c r="D5" s="23"/>
      <c r="E5" s="24"/>
    </row>
    <row r="6" spans="1:9" x14ac:dyDescent="0.2">
      <c r="A6" s="26" t="s">
        <v>1574</v>
      </c>
      <c r="B6" s="26" t="s">
        <v>1573</v>
      </c>
      <c r="C6" s="30">
        <v>74481.187000000005</v>
      </c>
      <c r="D6" s="28">
        <v>1470.7915640000001</v>
      </c>
      <c r="E6" s="29">
        <v>98.487471408786007</v>
      </c>
    </row>
    <row r="7" spans="1:9" ht="10.5" x14ac:dyDescent="0.25">
      <c r="A7" s="25" t="s">
        <v>177</v>
      </c>
      <c r="B7" s="25"/>
      <c r="C7" s="31"/>
      <c r="D7" s="32">
        <f>SUM(D6:D6)</f>
        <v>1470.7915640000001</v>
      </c>
      <c r="E7" s="33">
        <f>SUM(E6:E6)</f>
        <v>98.487471408786007</v>
      </c>
      <c r="G7" s="17"/>
      <c r="H7" s="17"/>
      <c r="I7" s="17"/>
    </row>
    <row r="8" spans="1:9" x14ac:dyDescent="0.2">
      <c r="A8" s="26"/>
      <c r="B8" s="26"/>
      <c r="C8" s="27"/>
      <c r="D8" s="28"/>
      <c r="E8" s="29"/>
    </row>
    <row r="9" spans="1:9" ht="10.5" x14ac:dyDescent="0.25">
      <c r="A9" s="25" t="s">
        <v>226</v>
      </c>
      <c r="B9" s="25"/>
      <c r="C9" s="31"/>
      <c r="D9" s="32">
        <f>D7</f>
        <v>1470.7915640000001</v>
      </c>
      <c r="E9" s="33">
        <f>E7</f>
        <v>98.487471408786007</v>
      </c>
      <c r="G9" s="17"/>
      <c r="H9" s="17"/>
      <c r="I9" s="17"/>
    </row>
    <row r="10" spans="1:9" ht="10.5" x14ac:dyDescent="0.25">
      <c r="A10" s="25"/>
      <c r="B10" s="25"/>
      <c r="C10" s="31"/>
      <c r="D10" s="32"/>
      <c r="E10" s="33"/>
      <c r="G10" s="17"/>
      <c r="H10" s="17"/>
      <c r="I10" s="17"/>
    </row>
    <row r="11" spans="1:9" ht="10.5" x14ac:dyDescent="0.25">
      <c r="A11" s="25" t="s">
        <v>228</v>
      </c>
      <c r="B11" s="25"/>
      <c r="C11" s="31"/>
      <c r="D11" s="32">
        <f>D13-(D7)</f>
        <v>22.587789699999803</v>
      </c>
      <c r="E11" s="33">
        <f>E13-(E7)</f>
        <v>1.512528591213993</v>
      </c>
      <c r="G11" s="17"/>
      <c r="H11" s="17"/>
      <c r="I11" s="17"/>
    </row>
    <row r="12" spans="1:9" ht="10.5" x14ac:dyDescent="0.25">
      <c r="A12" s="25"/>
      <c r="B12" s="25"/>
      <c r="C12" s="31"/>
      <c r="D12" s="32"/>
      <c r="E12" s="33"/>
      <c r="G12" s="17"/>
      <c r="H12" s="17"/>
      <c r="I12" s="17"/>
    </row>
    <row r="13" spans="1:9" ht="10.5" x14ac:dyDescent="0.25">
      <c r="A13" s="34" t="s">
        <v>227</v>
      </c>
      <c r="B13" s="34"/>
      <c r="C13" s="35"/>
      <c r="D13" s="36">
        <v>1493.3793536999999</v>
      </c>
      <c r="E13" s="37">
        <v>100</v>
      </c>
      <c r="G13" s="17"/>
      <c r="H13" s="17"/>
      <c r="I13" s="17"/>
    </row>
    <row r="15" spans="1:9" ht="10.5" x14ac:dyDescent="0.25">
      <c r="A15" s="17" t="s">
        <v>232</v>
      </c>
    </row>
    <row r="16" spans="1:9" ht="10.5" x14ac:dyDescent="0.25">
      <c r="A16" s="17" t="s">
        <v>233</v>
      </c>
    </row>
    <row r="17" spans="1:4" ht="10.5" x14ac:dyDescent="0.25">
      <c r="A17" s="17" t="s">
        <v>234</v>
      </c>
      <c r="B17" s="17"/>
      <c r="C17" s="38" t="s">
        <v>236</v>
      </c>
      <c r="D17" s="18" t="s">
        <v>235</v>
      </c>
    </row>
    <row r="18" spans="1:4" x14ac:dyDescent="0.2">
      <c r="A18" s="10" t="s">
        <v>543</v>
      </c>
      <c r="C18" s="39">
        <v>9.1997</v>
      </c>
      <c r="D18" s="39">
        <v>7.5301</v>
      </c>
    </row>
    <row r="19" spans="1:4" x14ac:dyDescent="0.2">
      <c r="A19" s="10" t="s">
        <v>580</v>
      </c>
      <c r="C19" s="39">
        <v>9.1997</v>
      </c>
      <c r="D19" s="39">
        <v>7.5301</v>
      </c>
    </row>
    <row r="20" spans="1:4" x14ac:dyDescent="0.2">
      <c r="A20" s="10" t="s">
        <v>546</v>
      </c>
      <c r="C20" s="39">
        <v>9.8595000000000006</v>
      </c>
      <c r="D20" s="39">
        <v>8.1065000000000005</v>
      </c>
    </row>
    <row r="21" spans="1:4" x14ac:dyDescent="0.2">
      <c r="A21" s="10" t="s">
        <v>581</v>
      </c>
      <c r="C21" s="39">
        <v>9.8595000000000006</v>
      </c>
      <c r="D21" s="39">
        <v>8.1065000000000005</v>
      </c>
    </row>
    <row r="23" spans="1:4" ht="10.5" x14ac:dyDescent="0.25">
      <c r="A23" s="17" t="s">
        <v>248</v>
      </c>
      <c r="D23" s="46" t="s">
        <v>256</v>
      </c>
    </row>
    <row r="25" spans="1:4" ht="10.5" x14ac:dyDescent="0.25">
      <c r="A25" s="17" t="s">
        <v>1151</v>
      </c>
      <c r="D25" s="47">
        <v>0.11210000000000001</v>
      </c>
    </row>
  </sheetData>
  <mergeCells count="1">
    <mergeCell ref="A1:E1"/>
  </mergeCells>
  <conditionalFormatting sqref="F2:F3 E5:E13 F14:F65535">
    <cfRule type="cellIs" dxfId="9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31"/>
  <sheetViews>
    <sheetView workbookViewId="0">
      <selection sqref="A1:E1"/>
    </sheetView>
  </sheetViews>
  <sheetFormatPr defaultColWidth="9.1796875" defaultRowHeight="10" x14ac:dyDescent="0.2"/>
  <cols>
    <col min="1" max="1" width="32.26953125" style="10" bestFit="1" customWidth="1"/>
    <col min="2" max="2" width="20.26953125" style="10" bestFit="1" customWidth="1"/>
    <col min="3" max="3" width="15" style="10" bestFit="1" customWidth="1"/>
    <col min="4" max="4" width="23" style="11" bestFit="1" customWidth="1"/>
    <col min="5" max="5" width="13.54296875" style="15" customWidth="1"/>
    <col min="6" max="6" width="13.54296875" style="16" bestFit="1" customWidth="1"/>
    <col min="7" max="7" width="10.54296875" style="10" bestFit="1" customWidth="1"/>
    <col min="8" max="16384" width="9.1796875" style="10"/>
  </cols>
  <sheetData>
    <row r="1" spans="1:9" s="1" customFormat="1" ht="15" customHeight="1" x14ac:dyDescent="0.25">
      <c r="A1" s="80" t="s">
        <v>58</v>
      </c>
      <c r="B1" s="81"/>
      <c r="C1" s="81"/>
      <c r="D1" s="81"/>
      <c r="E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49" t="s">
        <v>1</v>
      </c>
      <c r="D4" s="9" t="s">
        <v>3</v>
      </c>
      <c r="E4" s="9" t="s">
        <v>4</v>
      </c>
    </row>
    <row r="5" spans="1:9" ht="10.5" x14ac:dyDescent="0.25">
      <c r="A5" s="20" t="s">
        <v>1008</v>
      </c>
      <c r="B5" s="21"/>
      <c r="C5" s="22"/>
      <c r="D5" s="23"/>
      <c r="E5" s="24"/>
    </row>
    <row r="6" spans="1:9" x14ac:dyDescent="0.2">
      <c r="A6" s="26" t="s">
        <v>1585</v>
      </c>
      <c r="B6" s="26" t="s">
        <v>7</v>
      </c>
      <c r="C6" s="30">
        <v>4787563.2060000002</v>
      </c>
      <c r="D6" s="28">
        <v>1826.053208</v>
      </c>
      <c r="E6" s="29">
        <v>78.424489274706403</v>
      </c>
    </row>
    <row r="7" spans="1:9" x14ac:dyDescent="0.2">
      <c r="A7" s="26" t="s">
        <v>1575</v>
      </c>
      <c r="B7" s="26" t="s">
        <v>50</v>
      </c>
      <c r="C7" s="30">
        <v>90287.702999999994</v>
      </c>
      <c r="D7" s="28">
        <v>367.68800279999999</v>
      </c>
      <c r="E7" s="29">
        <v>15.7912944188573</v>
      </c>
    </row>
    <row r="8" spans="1:9" x14ac:dyDescent="0.2">
      <c r="A8" s="26" t="s">
        <v>1586</v>
      </c>
      <c r="B8" s="26" t="s">
        <v>41</v>
      </c>
      <c r="C8" s="30">
        <v>65557.048999999999</v>
      </c>
      <c r="D8" s="28">
        <v>126.90566320000001</v>
      </c>
      <c r="E8" s="29">
        <v>5.45028577421819</v>
      </c>
    </row>
    <row r="9" spans="1:9" ht="10.5" x14ac:dyDescent="0.25">
      <c r="A9" s="25" t="s">
        <v>177</v>
      </c>
      <c r="B9" s="25"/>
      <c r="C9" s="31"/>
      <c r="D9" s="32">
        <f>SUM(D6:D8)</f>
        <v>2320.646874</v>
      </c>
      <c r="E9" s="33">
        <f>SUM(E6:E8)</f>
        <v>99.666069467781895</v>
      </c>
      <c r="G9" s="17"/>
      <c r="H9" s="17"/>
      <c r="I9" s="17"/>
    </row>
    <row r="10" spans="1:9" x14ac:dyDescent="0.2">
      <c r="A10" s="26"/>
      <c r="B10" s="26"/>
      <c r="C10" s="27"/>
      <c r="D10" s="28"/>
      <c r="E10" s="29"/>
    </row>
    <row r="11" spans="1:9" ht="10.5" x14ac:dyDescent="0.25">
      <c r="A11" s="25" t="s">
        <v>226</v>
      </c>
      <c r="B11" s="25"/>
      <c r="C11" s="31"/>
      <c r="D11" s="32">
        <f>D9</f>
        <v>2320.646874</v>
      </c>
      <c r="E11" s="33">
        <f>E9</f>
        <v>99.666069467781895</v>
      </c>
      <c r="G11" s="17"/>
      <c r="H11" s="17"/>
      <c r="I11" s="17"/>
    </row>
    <row r="12" spans="1:9" ht="10.5" x14ac:dyDescent="0.25">
      <c r="A12" s="25"/>
      <c r="B12" s="25"/>
      <c r="C12" s="31"/>
      <c r="D12" s="32"/>
      <c r="E12" s="33"/>
      <c r="G12" s="17"/>
      <c r="H12" s="17"/>
      <c r="I12" s="17"/>
    </row>
    <row r="13" spans="1:9" ht="10.5" x14ac:dyDescent="0.25">
      <c r="A13" s="25" t="s">
        <v>228</v>
      </c>
      <c r="B13" s="25"/>
      <c r="C13" s="31"/>
      <c r="D13" s="32">
        <f>D15-(D9)</f>
        <v>7.7753125999997792</v>
      </c>
      <c r="E13" s="33">
        <f>E15-(E9)</f>
        <v>0.33393053221810476</v>
      </c>
      <c r="G13" s="17"/>
      <c r="H13" s="17"/>
      <c r="I13" s="17"/>
    </row>
    <row r="14" spans="1:9" ht="10.5" x14ac:dyDescent="0.25">
      <c r="A14" s="25"/>
      <c r="B14" s="25"/>
      <c r="C14" s="31"/>
      <c r="D14" s="32"/>
      <c r="E14" s="33"/>
      <c r="G14" s="17"/>
      <c r="H14" s="17"/>
      <c r="I14" s="17"/>
    </row>
    <row r="15" spans="1:9" ht="10.5" x14ac:dyDescent="0.25">
      <c r="A15" s="34" t="s">
        <v>227</v>
      </c>
      <c r="B15" s="34"/>
      <c r="C15" s="35"/>
      <c r="D15" s="36">
        <v>2328.4221865999998</v>
      </c>
      <c r="E15" s="37">
        <v>100</v>
      </c>
      <c r="G15" s="17"/>
      <c r="H15" s="17"/>
      <c r="I15" s="17"/>
    </row>
    <row r="17" spans="1:4" ht="10.5" x14ac:dyDescent="0.25">
      <c r="A17" s="17" t="s">
        <v>232</v>
      </c>
    </row>
    <row r="18" spans="1:4" ht="10.5" x14ac:dyDescent="0.25">
      <c r="A18" s="17" t="s">
        <v>233</v>
      </c>
    </row>
    <row r="19" spans="1:4" ht="10.5" x14ac:dyDescent="0.25">
      <c r="A19" s="17" t="s">
        <v>234</v>
      </c>
      <c r="B19" s="17"/>
      <c r="C19" s="38" t="s">
        <v>236</v>
      </c>
      <c r="D19" s="46" t="s">
        <v>235</v>
      </c>
    </row>
    <row r="20" spans="1:4" x14ac:dyDescent="0.2">
      <c r="A20" s="10" t="s">
        <v>594</v>
      </c>
      <c r="C20" s="39">
        <v>38.913499999999999</v>
      </c>
      <c r="D20" s="39">
        <v>38.511800000000001</v>
      </c>
    </row>
    <row r="21" spans="1:4" x14ac:dyDescent="0.2">
      <c r="A21" s="10" t="s">
        <v>1587</v>
      </c>
      <c r="C21" s="39">
        <v>14.145899999999999</v>
      </c>
      <c r="D21" s="39">
        <v>13.4498</v>
      </c>
    </row>
    <row r="22" spans="1:4" x14ac:dyDescent="0.2">
      <c r="A22" s="10" t="s">
        <v>596</v>
      </c>
      <c r="C22" s="39">
        <v>40.003700000000002</v>
      </c>
      <c r="D22" s="39">
        <v>39.698500000000003</v>
      </c>
    </row>
    <row r="23" spans="1:4" x14ac:dyDescent="0.2">
      <c r="A23" s="10" t="s">
        <v>1588</v>
      </c>
      <c r="C23" s="39">
        <v>14.571099999999999</v>
      </c>
      <c r="D23" s="39">
        <v>13.9054</v>
      </c>
    </row>
    <row r="25" spans="1:4" ht="10.5" x14ac:dyDescent="0.25">
      <c r="A25" s="61" t="s">
        <v>248</v>
      </c>
      <c r="B25" s="62"/>
      <c r="C25" s="62"/>
      <c r="D25" s="63"/>
    </row>
    <row r="26" spans="1:4" ht="10.5" x14ac:dyDescent="0.25">
      <c r="A26" s="90" t="s">
        <v>249</v>
      </c>
      <c r="B26" s="91"/>
      <c r="C26" s="88" t="s">
        <v>250</v>
      </c>
      <c r="D26" s="89"/>
    </row>
    <row r="27" spans="1:4" ht="10.5" x14ac:dyDescent="0.25">
      <c r="A27" s="90"/>
      <c r="B27" s="91"/>
      <c r="C27" s="64" t="s">
        <v>251</v>
      </c>
      <c r="D27" s="65" t="s">
        <v>252</v>
      </c>
    </row>
    <row r="28" spans="1:4" x14ac:dyDescent="0.2">
      <c r="A28" s="86" t="s">
        <v>1587</v>
      </c>
      <c r="B28" s="87"/>
      <c r="C28" s="66">
        <v>0.38897425800000002</v>
      </c>
      <c r="D28" s="66">
        <v>0.36019210149999997</v>
      </c>
    </row>
    <row r="29" spans="1:4" x14ac:dyDescent="0.2">
      <c r="A29" s="86" t="s">
        <v>1588</v>
      </c>
      <c r="B29" s="87"/>
      <c r="C29" s="66">
        <v>0.38897425800000002</v>
      </c>
      <c r="D29" s="66">
        <v>0.36019210149999997</v>
      </c>
    </row>
    <row r="31" spans="1:4" ht="10.5" x14ac:dyDescent="0.25">
      <c r="A31" s="17" t="s">
        <v>1151</v>
      </c>
      <c r="D31" s="47">
        <v>8.1600000000000006E-2</v>
      </c>
    </row>
  </sheetData>
  <mergeCells count="6">
    <mergeCell ref="A29:B29"/>
    <mergeCell ref="A1:E1"/>
    <mergeCell ref="C26:D26"/>
    <mergeCell ref="A26:B26"/>
    <mergeCell ref="A27:B27"/>
    <mergeCell ref="A28:B28"/>
  </mergeCells>
  <conditionalFormatting sqref="F2:F3 E5:E15 F16:F65534">
    <cfRule type="cellIs" dxfId="8" priority="1" stopIfTrue="1" operator="between">
      <formula>0.009</formula>
      <formula>-0.009</formula>
    </cfRule>
  </conditionalFormatting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35"/>
  <sheetViews>
    <sheetView workbookViewId="0">
      <selection sqref="A1:E1"/>
    </sheetView>
  </sheetViews>
  <sheetFormatPr defaultColWidth="9.1796875" defaultRowHeight="10" x14ac:dyDescent="0.2"/>
  <cols>
    <col min="1" max="1" width="32.26953125" style="10" bestFit="1" customWidth="1"/>
    <col min="2" max="2" width="43.1796875" style="10" customWidth="1"/>
    <col min="3" max="3" width="15" style="10" bestFit="1" customWidth="1"/>
    <col min="4" max="4" width="23" style="11" bestFit="1" customWidth="1"/>
    <col min="5" max="5" width="13.54296875" style="15" customWidth="1"/>
    <col min="6" max="6" width="14.7265625" style="16" bestFit="1" customWidth="1"/>
    <col min="7" max="7" width="5.81640625" style="10" bestFit="1" customWidth="1"/>
    <col min="8" max="16384" width="9.1796875" style="10"/>
  </cols>
  <sheetData>
    <row r="1" spans="1:9" s="1" customFormat="1" ht="15" customHeight="1" x14ac:dyDescent="0.25">
      <c r="A1" s="80" t="s">
        <v>57</v>
      </c>
      <c r="B1" s="81"/>
      <c r="C1" s="81"/>
      <c r="D1" s="81"/>
      <c r="E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13" t="s">
        <v>1</v>
      </c>
      <c r="D4" s="9" t="s">
        <v>3</v>
      </c>
      <c r="E4" s="9" t="s">
        <v>4</v>
      </c>
    </row>
    <row r="5" spans="1:9" ht="10.5" x14ac:dyDescent="0.25">
      <c r="A5" s="20" t="s">
        <v>1008</v>
      </c>
      <c r="B5" s="21"/>
      <c r="C5" s="22"/>
      <c r="D5" s="23"/>
      <c r="E5" s="24"/>
    </row>
    <row r="6" spans="1:9" x14ac:dyDescent="0.2">
      <c r="A6" s="26" t="s">
        <v>1575</v>
      </c>
      <c r="B6" s="26" t="s">
        <v>50</v>
      </c>
      <c r="C6" s="30">
        <v>131093.61600000001</v>
      </c>
      <c r="D6" s="28">
        <v>533.86616619999995</v>
      </c>
      <c r="E6" s="29">
        <v>27.690090034954299</v>
      </c>
    </row>
    <row r="7" spans="1:9" ht="20" x14ac:dyDescent="0.2">
      <c r="A7" s="26" t="s">
        <v>1576</v>
      </c>
      <c r="B7" s="48" t="s">
        <v>1656</v>
      </c>
      <c r="C7" s="30">
        <v>27213.78</v>
      </c>
      <c r="D7" s="28">
        <v>531.18212519999997</v>
      </c>
      <c r="E7" s="29">
        <v>27.5508766109674</v>
      </c>
    </row>
    <row r="8" spans="1:9" x14ac:dyDescent="0.2">
      <c r="A8" s="26" t="s">
        <v>1578</v>
      </c>
      <c r="B8" s="26" t="s">
        <v>1577</v>
      </c>
      <c r="C8" s="30">
        <v>1169821</v>
      </c>
      <c r="D8" s="28">
        <v>497.99279969999998</v>
      </c>
      <c r="E8" s="29">
        <v>25.829442533517099</v>
      </c>
    </row>
    <row r="9" spans="1:9" ht="20" x14ac:dyDescent="0.2">
      <c r="A9" s="26" t="s">
        <v>1580</v>
      </c>
      <c r="B9" s="48" t="s">
        <v>1579</v>
      </c>
      <c r="C9" s="30">
        <v>24846.464</v>
      </c>
      <c r="D9" s="28">
        <v>0</v>
      </c>
      <c r="E9" s="29">
        <v>0</v>
      </c>
    </row>
    <row r="10" spans="1:9" ht="20" x14ac:dyDescent="0.2">
      <c r="A10" s="26" t="s">
        <v>1582</v>
      </c>
      <c r="B10" s="48" t="s">
        <v>1581</v>
      </c>
      <c r="C10" s="30">
        <v>24846.464</v>
      </c>
      <c r="D10" s="28">
        <v>0</v>
      </c>
      <c r="E10" s="29">
        <v>0</v>
      </c>
    </row>
    <row r="11" spans="1:9" ht="20" x14ac:dyDescent="0.2">
      <c r="A11" s="26" t="s">
        <v>1584</v>
      </c>
      <c r="B11" s="48" t="s">
        <v>1583</v>
      </c>
      <c r="C11" s="30">
        <v>23973.544999999998</v>
      </c>
      <c r="D11" s="28">
        <v>0</v>
      </c>
      <c r="E11" s="29">
        <v>0</v>
      </c>
    </row>
    <row r="12" spans="1:9" ht="10.5" x14ac:dyDescent="0.25">
      <c r="A12" s="25" t="s">
        <v>177</v>
      </c>
      <c r="B12" s="25"/>
      <c r="C12" s="31"/>
      <c r="D12" s="32">
        <f>SUM(D6:D11)</f>
        <v>1563.0410910999999</v>
      </c>
      <c r="E12" s="33">
        <f>SUM(E6:E11)</f>
        <v>81.070409179438798</v>
      </c>
      <c r="G12" s="17"/>
      <c r="H12" s="17"/>
      <c r="I12" s="17"/>
    </row>
    <row r="13" spans="1:9" x14ac:dyDescent="0.2">
      <c r="A13" s="26"/>
      <c r="B13" s="26"/>
      <c r="C13" s="27"/>
      <c r="D13" s="28"/>
      <c r="E13" s="29"/>
    </row>
    <row r="14" spans="1:9" ht="10.5" x14ac:dyDescent="0.25">
      <c r="A14" s="25" t="s">
        <v>226</v>
      </c>
      <c r="B14" s="25"/>
      <c r="C14" s="31"/>
      <c r="D14" s="32">
        <f>D12</f>
        <v>1563.0410910999999</v>
      </c>
      <c r="E14" s="33">
        <f>E12</f>
        <v>81.070409179438798</v>
      </c>
      <c r="G14" s="17"/>
      <c r="H14" s="17"/>
      <c r="I14" s="17"/>
    </row>
    <row r="15" spans="1:9" ht="10.5" x14ac:dyDescent="0.25">
      <c r="A15" s="25"/>
      <c r="B15" s="25"/>
      <c r="C15" s="31"/>
      <c r="D15" s="32"/>
      <c r="E15" s="33"/>
      <c r="G15" s="17"/>
      <c r="H15" s="17"/>
      <c r="I15" s="17"/>
    </row>
    <row r="16" spans="1:9" ht="10.5" x14ac:dyDescent="0.25">
      <c r="A16" s="25" t="s">
        <v>228</v>
      </c>
      <c r="B16" s="25"/>
      <c r="C16" s="31"/>
      <c r="D16" s="32">
        <f>D18-(D12)</f>
        <v>364.96335210000007</v>
      </c>
      <c r="E16" s="33">
        <f>E18-(E12)</f>
        <v>18.929590820561202</v>
      </c>
      <c r="G16" s="17"/>
      <c r="H16" s="17"/>
      <c r="I16" s="17"/>
    </row>
    <row r="17" spans="1:9" ht="10.5" x14ac:dyDescent="0.25">
      <c r="A17" s="25"/>
      <c r="B17" s="25"/>
      <c r="C17" s="31"/>
      <c r="D17" s="32"/>
      <c r="E17" s="33"/>
      <c r="G17" s="17"/>
      <c r="H17" s="17"/>
      <c r="I17" s="17"/>
    </row>
    <row r="18" spans="1:9" ht="10.5" x14ac:dyDescent="0.25">
      <c r="A18" s="34" t="s">
        <v>227</v>
      </c>
      <c r="B18" s="34"/>
      <c r="C18" s="35"/>
      <c r="D18" s="36">
        <v>1928.0044432</v>
      </c>
      <c r="E18" s="37">
        <v>100</v>
      </c>
      <c r="G18" s="17"/>
      <c r="H18" s="17"/>
      <c r="I18" s="17"/>
    </row>
    <row r="19" spans="1:9" ht="10.5" x14ac:dyDescent="0.25">
      <c r="A19" s="17" t="s">
        <v>1654</v>
      </c>
      <c r="C19" s="11"/>
      <c r="D19" s="15"/>
      <c r="E19" s="19" t="s">
        <v>446</v>
      </c>
    </row>
    <row r="20" spans="1:9" ht="10.5" x14ac:dyDescent="0.25">
      <c r="A20" s="17"/>
      <c r="C20" s="11"/>
      <c r="D20" s="15"/>
      <c r="E20" s="19"/>
    </row>
    <row r="21" spans="1:9" ht="10.5" x14ac:dyDescent="0.25">
      <c r="A21" s="17" t="s">
        <v>232</v>
      </c>
    </row>
    <row r="22" spans="1:9" ht="10.5" x14ac:dyDescent="0.25">
      <c r="A22" s="17" t="s">
        <v>233</v>
      </c>
    </row>
    <row r="23" spans="1:9" ht="10.5" x14ac:dyDescent="0.25">
      <c r="A23" s="17" t="s">
        <v>234</v>
      </c>
      <c r="B23" s="17"/>
      <c r="C23" s="38" t="s">
        <v>236</v>
      </c>
      <c r="D23" s="46" t="s">
        <v>235</v>
      </c>
    </row>
    <row r="24" spans="1:9" x14ac:dyDescent="0.2">
      <c r="A24" s="10" t="s">
        <v>543</v>
      </c>
      <c r="C24" s="39">
        <v>13.050599999999999</v>
      </c>
      <c r="D24" s="39">
        <v>9.8952000000000009</v>
      </c>
    </row>
    <row r="25" spans="1:9" x14ac:dyDescent="0.2">
      <c r="A25" s="10" t="s">
        <v>580</v>
      </c>
      <c r="C25" s="39">
        <v>13.050599999999999</v>
      </c>
      <c r="D25" s="39">
        <v>9.8952000000000009</v>
      </c>
    </row>
    <row r="26" spans="1:9" x14ac:dyDescent="0.2">
      <c r="A26" s="10" t="s">
        <v>546</v>
      </c>
      <c r="C26" s="39">
        <v>13.9907</v>
      </c>
      <c r="D26" s="39">
        <v>10.638999999999999</v>
      </c>
    </row>
    <row r="27" spans="1:9" x14ac:dyDescent="0.2">
      <c r="A27" s="10" t="s">
        <v>581</v>
      </c>
      <c r="C27" s="39">
        <v>13.9907</v>
      </c>
      <c r="D27" s="39">
        <v>10.638999999999999</v>
      </c>
    </row>
    <row r="29" spans="1:9" ht="10.5" x14ac:dyDescent="0.25">
      <c r="A29" s="61" t="s">
        <v>248</v>
      </c>
      <c r="B29" s="62"/>
      <c r="D29" s="60" t="s">
        <v>256</v>
      </c>
    </row>
    <row r="31" spans="1:9" ht="10.5" x14ac:dyDescent="0.25">
      <c r="A31" s="17" t="s">
        <v>1151</v>
      </c>
      <c r="D31" s="47">
        <v>0.49730000000000002</v>
      </c>
    </row>
    <row r="33" spans="1:4" ht="10.5" x14ac:dyDescent="0.25">
      <c r="A33" s="17" t="s">
        <v>255</v>
      </c>
      <c r="D33" s="38">
        <v>1</v>
      </c>
    </row>
    <row r="34" spans="1:4" x14ac:dyDescent="0.2">
      <c r="A34" s="10" t="s">
        <v>257</v>
      </c>
      <c r="D34" s="10"/>
    </row>
    <row r="35" spans="1:4" ht="14.5" x14ac:dyDescent="0.35">
      <c r="A35" s="44" t="s">
        <v>1613</v>
      </c>
      <c r="D35" s="10"/>
    </row>
  </sheetData>
  <mergeCells count="1">
    <mergeCell ref="A1:E1"/>
  </mergeCells>
  <conditionalFormatting sqref="F2:F3 E5:E20 F21:F65531">
    <cfRule type="cellIs" dxfId="7" priority="1" stopIfTrue="1" operator="between">
      <formula>0.009</formula>
      <formula>-0.009</formula>
    </cfRule>
  </conditionalFormatting>
  <hyperlinks>
    <hyperlink ref="A35" r:id="rId1" xr:uid="{7179B783-551A-4D25-A190-694166957F13}"/>
  </hyperlinks>
  <pageMargins left="0.7" right="0.7" top="0.75" bottom="0.75" header="0.3" footer="0.3"/>
  <pageSetup paperSize="9" orientation="portrait" r:id="rId2"/>
  <headerFooter>
    <oddFooter>&amp;LPUBLIC</oddFooter>
    <evenFooter>&amp;LPUBLIC</evenFooter>
    <firstFooter>&amp;LPUBLIC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40"/>
  <sheetViews>
    <sheetView workbookViewId="0">
      <selection sqref="A1:E1"/>
    </sheetView>
  </sheetViews>
  <sheetFormatPr defaultColWidth="9.1796875" defaultRowHeight="10" x14ac:dyDescent="0.2"/>
  <cols>
    <col min="1" max="1" width="32.26953125" style="10" bestFit="1" customWidth="1"/>
    <col min="2" max="2" width="42.7265625" style="10" customWidth="1"/>
    <col min="3" max="3" width="15" style="10" bestFit="1" customWidth="1"/>
    <col min="4" max="4" width="23" style="11" bestFit="1" customWidth="1"/>
    <col min="5" max="5" width="13.54296875" style="15" customWidth="1"/>
    <col min="6" max="6" width="14.7265625" style="16" bestFit="1" customWidth="1"/>
    <col min="7" max="7" width="9.54296875" style="10" bestFit="1" customWidth="1"/>
    <col min="8" max="16384" width="9.1796875" style="10"/>
  </cols>
  <sheetData>
    <row r="1" spans="1:9" s="1" customFormat="1" ht="15" customHeight="1" x14ac:dyDescent="0.25">
      <c r="A1" s="80" t="s">
        <v>59</v>
      </c>
      <c r="B1" s="81"/>
      <c r="C1" s="81"/>
      <c r="D1" s="81"/>
      <c r="E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49" t="s">
        <v>1</v>
      </c>
      <c r="D4" s="9" t="s">
        <v>3</v>
      </c>
      <c r="E4" s="9" t="s">
        <v>4</v>
      </c>
    </row>
    <row r="5" spans="1:9" ht="10.5" x14ac:dyDescent="0.25">
      <c r="A5" s="20" t="s">
        <v>1008</v>
      </c>
      <c r="B5" s="21"/>
      <c r="C5" s="22"/>
      <c r="D5" s="23"/>
      <c r="E5" s="24"/>
    </row>
    <row r="6" spans="1:9" ht="20" x14ac:dyDescent="0.2">
      <c r="A6" s="26" t="s">
        <v>1589</v>
      </c>
      <c r="B6" s="48" t="s">
        <v>1657</v>
      </c>
      <c r="C6" s="30">
        <v>427573.21600000001</v>
      </c>
      <c r="D6" s="28">
        <v>147.5379863</v>
      </c>
      <c r="E6" s="29">
        <v>33.3006631778551</v>
      </c>
    </row>
    <row r="7" spans="1:9" x14ac:dyDescent="0.2">
      <c r="A7" s="26" t="s">
        <v>1590</v>
      </c>
      <c r="B7" s="26" t="s">
        <v>10</v>
      </c>
      <c r="C7" s="30">
        <v>174165.90100000001</v>
      </c>
      <c r="D7" s="28">
        <v>130.3840768</v>
      </c>
      <c r="E7" s="29">
        <v>29.428870043296701</v>
      </c>
    </row>
    <row r="8" spans="1:9" x14ac:dyDescent="0.2">
      <c r="A8" s="26" t="s">
        <v>1575</v>
      </c>
      <c r="B8" s="26" t="s">
        <v>50</v>
      </c>
      <c r="C8" s="30">
        <v>11548.119000000001</v>
      </c>
      <c r="D8" s="28">
        <v>47.028606000000003</v>
      </c>
      <c r="E8" s="29">
        <v>10.6147834019208</v>
      </c>
    </row>
    <row r="9" spans="1:9" x14ac:dyDescent="0.2">
      <c r="A9" s="26" t="s">
        <v>1586</v>
      </c>
      <c r="B9" s="26" t="s">
        <v>41</v>
      </c>
      <c r="C9" s="30">
        <v>14011.602000000001</v>
      </c>
      <c r="D9" s="28">
        <v>27.1237292</v>
      </c>
      <c r="E9" s="29">
        <v>6.1220719685026097</v>
      </c>
    </row>
    <row r="10" spans="1:9" ht="20" x14ac:dyDescent="0.2">
      <c r="A10" s="26" t="s">
        <v>1596</v>
      </c>
      <c r="B10" s="48" t="s">
        <v>1595</v>
      </c>
      <c r="C10" s="30">
        <v>403150.37400000001</v>
      </c>
      <c r="D10" s="28">
        <v>0</v>
      </c>
      <c r="E10" s="29">
        <v>0</v>
      </c>
      <c r="F10" s="10"/>
    </row>
    <row r="11" spans="1:9" ht="20" x14ac:dyDescent="0.2">
      <c r="A11" s="26" t="s">
        <v>1594</v>
      </c>
      <c r="B11" s="48" t="s">
        <v>1593</v>
      </c>
      <c r="C11" s="30">
        <v>403150.37400000001</v>
      </c>
      <c r="D11" s="28">
        <v>0</v>
      </c>
      <c r="E11" s="29">
        <v>0</v>
      </c>
      <c r="F11" s="10"/>
    </row>
    <row r="12" spans="1:9" ht="20" x14ac:dyDescent="0.2">
      <c r="A12" s="26" t="s">
        <v>1592</v>
      </c>
      <c r="B12" s="48" t="s">
        <v>1591</v>
      </c>
      <c r="C12" s="30">
        <v>489502.28</v>
      </c>
      <c r="D12" s="28">
        <v>0</v>
      </c>
      <c r="E12" s="29">
        <v>0</v>
      </c>
      <c r="F12" s="10"/>
    </row>
    <row r="13" spans="1:9" ht="10.5" x14ac:dyDescent="0.25">
      <c r="A13" s="25" t="s">
        <v>177</v>
      </c>
      <c r="B13" s="25"/>
      <c r="C13" s="31"/>
      <c r="D13" s="32">
        <f>SUM(D6:D12)</f>
        <v>352.07439830000004</v>
      </c>
      <c r="E13" s="32">
        <f>SUM(E6:E12)</f>
        <v>79.46638859157521</v>
      </c>
      <c r="F13" s="10"/>
      <c r="G13" s="17"/>
      <c r="H13" s="17"/>
      <c r="I13" s="17"/>
    </row>
    <row r="14" spans="1:9" x14ac:dyDescent="0.2">
      <c r="A14" s="26"/>
      <c r="B14" s="26"/>
      <c r="C14" s="27"/>
      <c r="D14" s="28"/>
      <c r="E14" s="29"/>
      <c r="F14" s="10"/>
    </row>
    <row r="15" spans="1:9" ht="10.5" x14ac:dyDescent="0.25">
      <c r="A15" s="25" t="s">
        <v>226</v>
      </c>
      <c r="B15" s="25"/>
      <c r="C15" s="31"/>
      <c r="D15" s="32">
        <f>D13</f>
        <v>352.07439830000004</v>
      </c>
      <c r="E15" s="33">
        <f>E13</f>
        <v>79.46638859157521</v>
      </c>
      <c r="F15" s="10"/>
      <c r="G15" s="17"/>
      <c r="H15" s="17"/>
      <c r="I15" s="17"/>
    </row>
    <row r="16" spans="1:9" ht="10.5" x14ac:dyDescent="0.25">
      <c r="A16" s="25"/>
      <c r="B16" s="25"/>
      <c r="C16" s="31"/>
      <c r="D16" s="32"/>
      <c r="E16" s="33"/>
      <c r="F16" s="10"/>
      <c r="G16" s="17"/>
      <c r="H16" s="17"/>
      <c r="I16" s="17"/>
    </row>
    <row r="17" spans="1:9" ht="10.5" x14ac:dyDescent="0.25">
      <c r="A17" s="25" t="s">
        <v>228</v>
      </c>
      <c r="B17" s="25"/>
      <c r="C17" s="31"/>
      <c r="D17" s="32">
        <f>D19-(D13)</f>
        <v>90.973794199999986</v>
      </c>
      <c r="E17" s="33">
        <f>E19-(E13)</f>
        <v>20.53361140842479</v>
      </c>
      <c r="F17" s="10"/>
      <c r="G17" s="17"/>
      <c r="H17" s="17"/>
      <c r="I17" s="17"/>
    </row>
    <row r="18" spans="1:9" ht="10.5" x14ac:dyDescent="0.25">
      <c r="A18" s="25"/>
      <c r="B18" s="25"/>
      <c r="C18" s="31"/>
      <c r="D18" s="32"/>
      <c r="E18" s="33"/>
      <c r="F18" s="10"/>
      <c r="G18" s="17"/>
      <c r="H18" s="17"/>
      <c r="I18" s="17"/>
    </row>
    <row r="19" spans="1:9" ht="10.5" x14ac:dyDescent="0.25">
      <c r="A19" s="34" t="s">
        <v>227</v>
      </c>
      <c r="B19" s="34"/>
      <c r="C19" s="35"/>
      <c r="D19" s="36">
        <v>443.04819250000003</v>
      </c>
      <c r="E19" s="37">
        <v>100</v>
      </c>
      <c r="F19" s="10"/>
      <c r="G19" s="17"/>
      <c r="H19" s="17"/>
      <c r="I19" s="17"/>
    </row>
    <row r="20" spans="1:9" ht="10.5" x14ac:dyDescent="0.25">
      <c r="A20" s="17" t="s">
        <v>1654</v>
      </c>
      <c r="C20" s="11"/>
      <c r="D20" s="15"/>
      <c r="E20" s="19" t="s">
        <v>446</v>
      </c>
      <c r="F20" s="10"/>
    </row>
    <row r="21" spans="1:9" ht="10.5" x14ac:dyDescent="0.25">
      <c r="A21" s="17"/>
      <c r="C21" s="11"/>
      <c r="D21" s="15"/>
      <c r="E21" s="19"/>
      <c r="F21" s="10"/>
    </row>
    <row r="22" spans="1:9" ht="10.5" x14ac:dyDescent="0.25">
      <c r="A22" s="17" t="s">
        <v>232</v>
      </c>
    </row>
    <row r="23" spans="1:9" ht="10.5" x14ac:dyDescent="0.25">
      <c r="A23" s="17" t="s">
        <v>233</v>
      </c>
    </row>
    <row r="24" spans="1:9" ht="10.5" x14ac:dyDescent="0.25">
      <c r="A24" s="17" t="s">
        <v>234</v>
      </c>
      <c r="B24" s="17"/>
      <c r="C24" s="38" t="s">
        <v>236</v>
      </c>
      <c r="D24" s="46" t="s">
        <v>235</v>
      </c>
    </row>
    <row r="25" spans="1:9" x14ac:dyDescent="0.2">
      <c r="A25" s="10" t="s">
        <v>594</v>
      </c>
      <c r="C25" s="39">
        <v>36.715499999999999</v>
      </c>
      <c r="D25" s="39">
        <v>26.1036</v>
      </c>
    </row>
    <row r="26" spans="1:9" x14ac:dyDescent="0.2">
      <c r="A26" s="10" t="s">
        <v>1587</v>
      </c>
      <c r="C26" s="39">
        <v>13.137700000000001</v>
      </c>
      <c r="D26" s="39">
        <v>8.9372000000000007</v>
      </c>
    </row>
    <row r="27" spans="1:9" x14ac:dyDescent="0.2">
      <c r="A27" s="10" t="s">
        <v>596</v>
      </c>
      <c r="C27" s="39">
        <v>38.463299999999997</v>
      </c>
      <c r="D27" s="39">
        <v>27.427099999999999</v>
      </c>
    </row>
    <row r="28" spans="1:9" x14ac:dyDescent="0.2">
      <c r="A28" s="10" t="s">
        <v>1588</v>
      </c>
      <c r="C28" s="39">
        <v>13.7681</v>
      </c>
      <c r="D28" s="39">
        <v>9.4085000000000001</v>
      </c>
    </row>
    <row r="30" spans="1:9" ht="10.5" x14ac:dyDescent="0.25">
      <c r="A30" s="61" t="s">
        <v>248</v>
      </c>
      <c r="B30" s="62"/>
      <c r="C30" s="62"/>
      <c r="D30" s="63"/>
    </row>
    <row r="31" spans="1:9" ht="10.5" x14ac:dyDescent="0.25">
      <c r="A31" s="90" t="s">
        <v>249</v>
      </c>
      <c r="B31" s="91"/>
      <c r="C31" s="88" t="s">
        <v>250</v>
      </c>
      <c r="D31" s="89"/>
    </row>
    <row r="32" spans="1:9" ht="10.5" x14ac:dyDescent="0.25">
      <c r="A32" s="90"/>
      <c r="B32" s="91"/>
      <c r="C32" s="64" t="s">
        <v>251</v>
      </c>
      <c r="D32" s="65" t="s">
        <v>252</v>
      </c>
    </row>
    <row r="33" spans="1:4" x14ac:dyDescent="0.2">
      <c r="A33" s="86" t="s">
        <v>1587</v>
      </c>
      <c r="B33" s="87"/>
      <c r="C33" s="66">
        <v>0.38897425800000002</v>
      </c>
      <c r="D33" s="66">
        <v>0.36019210149999997</v>
      </c>
    </row>
    <row r="34" spans="1:4" x14ac:dyDescent="0.2">
      <c r="A34" s="86" t="s">
        <v>1588</v>
      </c>
      <c r="B34" s="87"/>
      <c r="C34" s="66">
        <v>0.38897425800000002</v>
      </c>
      <c r="D34" s="66">
        <v>0.36019210149999997</v>
      </c>
    </row>
    <row r="36" spans="1:4" ht="10.5" x14ac:dyDescent="0.25">
      <c r="A36" s="17" t="s">
        <v>1151</v>
      </c>
      <c r="D36" s="47">
        <v>0.28710000000000002</v>
      </c>
    </row>
    <row r="38" spans="1:4" ht="10.5" x14ac:dyDescent="0.25">
      <c r="A38" s="17" t="s">
        <v>255</v>
      </c>
      <c r="D38" s="38">
        <v>1</v>
      </c>
    </row>
    <row r="39" spans="1:4" x14ac:dyDescent="0.2">
      <c r="A39" s="10" t="s">
        <v>257</v>
      </c>
      <c r="D39" s="10"/>
    </row>
    <row r="40" spans="1:4" ht="14.5" x14ac:dyDescent="0.35">
      <c r="A40" s="44" t="s">
        <v>1613</v>
      </c>
      <c r="D40" s="10"/>
    </row>
  </sheetData>
  <mergeCells count="6">
    <mergeCell ref="A34:B34"/>
    <mergeCell ref="A1:E1"/>
    <mergeCell ref="C31:D31"/>
    <mergeCell ref="A31:B31"/>
    <mergeCell ref="A32:B32"/>
    <mergeCell ref="A33:B33"/>
  </mergeCells>
  <conditionalFormatting sqref="F2:F3 E5:E10 E14:E21 F22:F65532">
    <cfRule type="cellIs" dxfId="6" priority="3" stopIfTrue="1" operator="between">
      <formula>0.009</formula>
      <formula>-0.009</formula>
    </cfRule>
  </conditionalFormatting>
  <conditionalFormatting sqref="E11">
    <cfRule type="cellIs" dxfId="5" priority="2" stopIfTrue="1" operator="between">
      <formula>0.009</formula>
      <formula>-0.009</formula>
    </cfRule>
  </conditionalFormatting>
  <conditionalFormatting sqref="E12">
    <cfRule type="cellIs" dxfId="4" priority="1" stopIfTrue="1" operator="between">
      <formula>0.009</formula>
      <formula>-0.009</formula>
    </cfRule>
  </conditionalFormatting>
  <hyperlinks>
    <hyperlink ref="A40" r:id="rId1" xr:uid="{C1892125-A6D9-4CD2-96D9-DCE06189C6C3}"/>
  </hyperlinks>
  <pageMargins left="0.7" right="0.7" top="0.75" bottom="0.75" header="0.3" footer="0.3"/>
  <pageSetup paperSize="9" orientation="portrait" r:id="rId2"/>
  <headerFooter>
    <oddFooter>&amp;LPUBLIC</oddFooter>
    <evenFooter>&amp;LPUBLIC</evenFooter>
    <firstFooter>&amp;LPUBLIC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41"/>
  <sheetViews>
    <sheetView workbookViewId="0">
      <selection sqref="A1:E1"/>
    </sheetView>
  </sheetViews>
  <sheetFormatPr defaultColWidth="9.1796875" defaultRowHeight="10" x14ac:dyDescent="0.2"/>
  <cols>
    <col min="1" max="1" width="32.26953125" style="10" bestFit="1" customWidth="1"/>
    <col min="2" max="2" width="41.81640625" style="10" customWidth="1"/>
    <col min="3" max="3" width="15" style="10" bestFit="1" customWidth="1"/>
    <col min="4" max="4" width="23" style="11" bestFit="1" customWidth="1"/>
    <col min="5" max="5" width="13.54296875" style="15" customWidth="1"/>
    <col min="6" max="6" width="14.7265625" style="16" bestFit="1" customWidth="1"/>
    <col min="7" max="7" width="9.54296875" style="10" bestFit="1" customWidth="1"/>
    <col min="8" max="16384" width="9.1796875" style="10"/>
  </cols>
  <sheetData>
    <row r="1" spans="1:9" s="1" customFormat="1" ht="15" customHeight="1" x14ac:dyDescent="0.25">
      <c r="A1" s="80" t="s">
        <v>60</v>
      </c>
      <c r="B1" s="81"/>
      <c r="C1" s="81"/>
      <c r="D1" s="81"/>
      <c r="E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49" t="s">
        <v>1</v>
      </c>
      <c r="D4" s="9" t="s">
        <v>3</v>
      </c>
      <c r="E4" s="9" t="s">
        <v>4</v>
      </c>
    </row>
    <row r="5" spans="1:9" ht="10.5" x14ac:dyDescent="0.25">
      <c r="A5" s="20" t="s">
        <v>1008</v>
      </c>
      <c r="B5" s="21"/>
      <c r="C5" s="22"/>
      <c r="D5" s="23"/>
      <c r="E5" s="24"/>
    </row>
    <row r="6" spans="1:9" x14ac:dyDescent="0.2">
      <c r="A6" s="26" t="s">
        <v>1590</v>
      </c>
      <c r="B6" s="26" t="s">
        <v>10</v>
      </c>
      <c r="C6" s="30">
        <v>374056.29499999998</v>
      </c>
      <c r="D6" s="28">
        <v>280.02602359999997</v>
      </c>
      <c r="E6" s="29">
        <v>30.2015388609315</v>
      </c>
    </row>
    <row r="7" spans="1:9" x14ac:dyDescent="0.2">
      <c r="A7" s="26" t="s">
        <v>1575</v>
      </c>
      <c r="B7" s="26" t="s">
        <v>50</v>
      </c>
      <c r="C7" s="30">
        <v>48898.262000000002</v>
      </c>
      <c r="D7" s="28">
        <v>199.13347780000001</v>
      </c>
      <c r="E7" s="29">
        <v>21.477066277525498</v>
      </c>
    </row>
    <row r="8" spans="1:9" ht="20" x14ac:dyDescent="0.2">
      <c r="A8" s="26" t="s">
        <v>1589</v>
      </c>
      <c r="B8" s="48" t="s">
        <v>1657</v>
      </c>
      <c r="C8" s="30">
        <v>556579.69499999995</v>
      </c>
      <c r="D8" s="28">
        <v>192.05283299999999</v>
      </c>
      <c r="E8" s="29">
        <v>20.713400221283901</v>
      </c>
    </row>
    <row r="9" spans="1:9" x14ac:dyDescent="0.2">
      <c r="A9" s="26" t="s">
        <v>1597</v>
      </c>
      <c r="B9" s="26" t="s">
        <v>45</v>
      </c>
      <c r="C9" s="30">
        <v>11633.004999999999</v>
      </c>
      <c r="D9" s="28">
        <v>97.299023800000001</v>
      </c>
      <c r="E9" s="29">
        <v>10.493954135577001</v>
      </c>
    </row>
    <row r="10" spans="1:9" x14ac:dyDescent="0.2">
      <c r="A10" s="26" t="s">
        <v>1586</v>
      </c>
      <c r="B10" s="26" t="s">
        <v>41</v>
      </c>
      <c r="C10" s="30">
        <v>26019.831999999999</v>
      </c>
      <c r="D10" s="28">
        <v>50.369320899999998</v>
      </c>
      <c r="E10" s="29">
        <v>5.4324629654173204</v>
      </c>
    </row>
    <row r="11" spans="1:9" ht="20" x14ac:dyDescent="0.2">
      <c r="A11" s="26" t="s">
        <v>1596</v>
      </c>
      <c r="B11" s="48" t="s">
        <v>1595</v>
      </c>
      <c r="C11" s="30">
        <v>635092.41099999996</v>
      </c>
      <c r="D11" s="28">
        <v>0</v>
      </c>
      <c r="E11" s="29">
        <v>0</v>
      </c>
    </row>
    <row r="12" spans="1:9" ht="20" x14ac:dyDescent="0.2">
      <c r="A12" s="26" t="s">
        <v>1594</v>
      </c>
      <c r="B12" s="48" t="s">
        <v>1593</v>
      </c>
      <c r="C12" s="30">
        <v>635092.41099999996</v>
      </c>
      <c r="D12" s="28">
        <v>0</v>
      </c>
      <c r="E12" s="29">
        <v>0</v>
      </c>
    </row>
    <row r="13" spans="1:9" ht="20" x14ac:dyDescent="0.2">
      <c r="A13" s="26" t="s">
        <v>1592</v>
      </c>
      <c r="B13" s="48" t="s">
        <v>1591</v>
      </c>
      <c r="C13" s="30">
        <v>631308.71</v>
      </c>
      <c r="D13" s="28">
        <v>0</v>
      </c>
      <c r="E13" s="29">
        <v>0</v>
      </c>
    </row>
    <row r="14" spans="1:9" ht="10.5" x14ac:dyDescent="0.25">
      <c r="A14" s="25" t="s">
        <v>177</v>
      </c>
      <c r="B14" s="25"/>
      <c r="C14" s="31"/>
      <c r="D14" s="32">
        <f>SUM(D6:D13)</f>
        <v>818.88067909999995</v>
      </c>
      <c r="E14" s="33">
        <f>SUM(E6:E13)</f>
        <v>88.318422460735221</v>
      </c>
      <c r="G14" s="17"/>
      <c r="H14" s="17"/>
      <c r="I14" s="17"/>
    </row>
    <row r="15" spans="1:9" x14ac:dyDescent="0.2">
      <c r="A15" s="26"/>
      <c r="B15" s="26"/>
      <c r="C15" s="27"/>
      <c r="D15" s="28"/>
      <c r="E15" s="29"/>
    </row>
    <row r="16" spans="1:9" ht="10.5" x14ac:dyDescent="0.25">
      <c r="A16" s="25" t="s">
        <v>226</v>
      </c>
      <c r="B16" s="25"/>
      <c r="C16" s="31"/>
      <c r="D16" s="32">
        <f>D14</f>
        <v>818.88067909999995</v>
      </c>
      <c r="E16" s="33">
        <f>E14</f>
        <v>88.318422460735221</v>
      </c>
      <c r="G16" s="17"/>
      <c r="H16" s="17"/>
      <c r="I16" s="17"/>
    </row>
    <row r="17" spans="1:9" ht="10.5" x14ac:dyDescent="0.25">
      <c r="A17" s="25"/>
      <c r="B17" s="25"/>
      <c r="C17" s="31"/>
      <c r="D17" s="32"/>
      <c r="E17" s="33"/>
      <c r="G17" s="17"/>
      <c r="H17" s="17"/>
      <c r="I17" s="17"/>
    </row>
    <row r="18" spans="1:9" ht="10.5" x14ac:dyDescent="0.25">
      <c r="A18" s="25" t="s">
        <v>228</v>
      </c>
      <c r="B18" s="25"/>
      <c r="C18" s="31"/>
      <c r="D18" s="32">
        <f>D20-(D14)</f>
        <v>108.310564</v>
      </c>
      <c r="E18" s="33">
        <f>E20-(E14)</f>
        <v>11.681577539264779</v>
      </c>
      <c r="G18" s="17"/>
      <c r="H18" s="17"/>
      <c r="I18" s="17"/>
    </row>
    <row r="19" spans="1:9" ht="10.5" x14ac:dyDescent="0.25">
      <c r="A19" s="25"/>
      <c r="B19" s="25"/>
      <c r="C19" s="31"/>
      <c r="D19" s="32"/>
      <c r="E19" s="33"/>
      <c r="G19" s="17"/>
      <c r="H19" s="17"/>
      <c r="I19" s="17"/>
    </row>
    <row r="20" spans="1:9" ht="10.5" x14ac:dyDescent="0.25">
      <c r="A20" s="34" t="s">
        <v>227</v>
      </c>
      <c r="B20" s="34"/>
      <c r="C20" s="35"/>
      <c r="D20" s="36">
        <v>927.19124309999995</v>
      </c>
      <c r="E20" s="37">
        <v>100</v>
      </c>
      <c r="G20" s="17"/>
      <c r="H20" s="17"/>
      <c r="I20" s="17"/>
    </row>
    <row r="21" spans="1:9" ht="10.5" x14ac:dyDescent="0.25">
      <c r="A21" s="17" t="s">
        <v>1654</v>
      </c>
      <c r="C21" s="11"/>
      <c r="D21" s="15"/>
      <c r="E21" s="19" t="s">
        <v>446</v>
      </c>
    </row>
    <row r="22" spans="1:9" ht="10.5" x14ac:dyDescent="0.25">
      <c r="A22" s="17"/>
      <c r="C22" s="11"/>
      <c r="D22" s="15"/>
      <c r="E22" s="19"/>
    </row>
    <row r="23" spans="1:9" ht="10.5" x14ac:dyDescent="0.25">
      <c r="A23" s="17" t="s">
        <v>232</v>
      </c>
    </row>
    <row r="24" spans="1:9" ht="10.5" x14ac:dyDescent="0.25">
      <c r="A24" s="17" t="s">
        <v>233</v>
      </c>
    </row>
    <row r="25" spans="1:9" ht="10.5" x14ac:dyDescent="0.25">
      <c r="A25" s="17" t="s">
        <v>234</v>
      </c>
      <c r="B25" s="17"/>
      <c r="C25" s="38" t="s">
        <v>236</v>
      </c>
      <c r="D25" s="46" t="s">
        <v>235</v>
      </c>
    </row>
    <row r="26" spans="1:9" x14ac:dyDescent="0.2">
      <c r="A26" s="10" t="s">
        <v>594</v>
      </c>
      <c r="C26" s="39">
        <v>49.028300000000002</v>
      </c>
      <c r="D26" s="39">
        <v>37.899799999999999</v>
      </c>
    </row>
    <row r="27" spans="1:9" x14ac:dyDescent="0.2">
      <c r="A27" s="10" t="s">
        <v>1587</v>
      </c>
      <c r="C27" s="39">
        <v>15.2515</v>
      </c>
      <c r="D27" s="39">
        <v>10.8253</v>
      </c>
    </row>
    <row r="28" spans="1:9" x14ac:dyDescent="0.2">
      <c r="A28" s="10" t="s">
        <v>596</v>
      </c>
      <c r="C28" s="39">
        <v>51.313800000000001</v>
      </c>
      <c r="D28" s="39">
        <v>39.7926</v>
      </c>
    </row>
    <row r="29" spans="1:9" x14ac:dyDescent="0.2">
      <c r="A29" s="10" t="s">
        <v>1588</v>
      </c>
      <c r="C29" s="39">
        <v>15.8543</v>
      </c>
      <c r="D29" s="39">
        <v>11.321199999999999</v>
      </c>
    </row>
    <row r="31" spans="1:9" ht="10.5" x14ac:dyDescent="0.25">
      <c r="A31" s="61" t="s">
        <v>248</v>
      </c>
      <c r="B31" s="62"/>
      <c r="C31" s="62"/>
      <c r="D31" s="63"/>
    </row>
    <row r="32" spans="1:9" ht="10.5" x14ac:dyDescent="0.25">
      <c r="A32" s="90" t="s">
        <v>249</v>
      </c>
      <c r="B32" s="91"/>
      <c r="C32" s="88" t="s">
        <v>250</v>
      </c>
      <c r="D32" s="89"/>
    </row>
    <row r="33" spans="1:4" ht="10.5" x14ac:dyDescent="0.25">
      <c r="A33" s="90"/>
      <c r="B33" s="91"/>
      <c r="C33" s="64" t="s">
        <v>251</v>
      </c>
      <c r="D33" s="65" t="s">
        <v>252</v>
      </c>
    </row>
    <row r="34" spans="1:4" x14ac:dyDescent="0.2">
      <c r="A34" s="86" t="s">
        <v>1587</v>
      </c>
      <c r="B34" s="87"/>
      <c r="C34" s="66">
        <v>0.90040337500000001</v>
      </c>
      <c r="D34" s="66">
        <v>0.83377801250000005</v>
      </c>
    </row>
    <row r="35" spans="1:4" x14ac:dyDescent="0.2">
      <c r="A35" s="86" t="s">
        <v>1588</v>
      </c>
      <c r="B35" s="87"/>
      <c r="C35" s="66">
        <v>0.90040337500000001</v>
      </c>
      <c r="D35" s="66">
        <v>0.83377801250000005</v>
      </c>
    </row>
    <row r="37" spans="1:4" ht="10.5" x14ac:dyDescent="0.25">
      <c r="A37" s="17" t="s">
        <v>1151</v>
      </c>
      <c r="D37" s="47">
        <v>0.1278</v>
      </c>
    </row>
    <row r="39" spans="1:4" ht="10.5" x14ac:dyDescent="0.25">
      <c r="A39" s="17" t="s">
        <v>255</v>
      </c>
      <c r="D39" s="38">
        <v>1</v>
      </c>
    </row>
    <row r="40" spans="1:4" x14ac:dyDescent="0.2">
      <c r="A40" s="10" t="s">
        <v>257</v>
      </c>
      <c r="D40" s="10"/>
    </row>
    <row r="41" spans="1:4" ht="14.5" x14ac:dyDescent="0.35">
      <c r="A41" s="44" t="s">
        <v>1613</v>
      </c>
      <c r="D41" s="10"/>
    </row>
  </sheetData>
  <mergeCells count="6">
    <mergeCell ref="A35:B35"/>
    <mergeCell ref="A1:E1"/>
    <mergeCell ref="C32:D32"/>
    <mergeCell ref="A32:B32"/>
    <mergeCell ref="A33:B33"/>
    <mergeCell ref="A34:B34"/>
  </mergeCells>
  <conditionalFormatting sqref="F2:F3 E5:E22 F23:F65532">
    <cfRule type="cellIs" dxfId="3" priority="1" stopIfTrue="1" operator="between">
      <formula>0.009</formula>
      <formula>-0.009</formula>
    </cfRule>
  </conditionalFormatting>
  <hyperlinks>
    <hyperlink ref="A41" r:id="rId1" xr:uid="{F5BB4421-EDEB-4495-9F23-CD0A6E82990D}"/>
  </hyperlinks>
  <pageMargins left="0.7" right="0.7" top="0.75" bottom="0.75" header="0.3" footer="0.3"/>
  <pageSetup paperSize="9" orientation="portrait" r:id="rId2"/>
  <headerFooter>
    <oddFooter>&amp;LPUBLIC</oddFooter>
    <evenFooter>&amp;LPUBLIC</evenFooter>
    <firstFooter>&amp;LPUBLIC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41"/>
  <sheetViews>
    <sheetView workbookViewId="0">
      <selection sqref="A1:E1"/>
    </sheetView>
  </sheetViews>
  <sheetFormatPr defaultColWidth="9.1796875" defaultRowHeight="10" x14ac:dyDescent="0.2"/>
  <cols>
    <col min="1" max="1" width="32.26953125" style="10" bestFit="1" customWidth="1"/>
    <col min="2" max="2" width="42.1796875" style="10" customWidth="1"/>
    <col min="3" max="3" width="22.7265625" style="10" customWidth="1"/>
    <col min="4" max="4" width="23" style="11" bestFit="1" customWidth="1"/>
    <col min="5" max="5" width="13.54296875" style="15" customWidth="1"/>
    <col min="6" max="6" width="14.7265625" style="16" bestFit="1" customWidth="1"/>
    <col min="7" max="7" width="9.54296875" style="10" bestFit="1" customWidth="1"/>
    <col min="8" max="16384" width="9.1796875" style="10"/>
  </cols>
  <sheetData>
    <row r="1" spans="1:9" s="1" customFormat="1" ht="15" customHeight="1" x14ac:dyDescent="0.25">
      <c r="A1" s="80" t="s">
        <v>61</v>
      </c>
      <c r="B1" s="81"/>
      <c r="C1" s="81"/>
      <c r="D1" s="81"/>
      <c r="E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13" t="s">
        <v>1</v>
      </c>
      <c r="D4" s="9" t="s">
        <v>3</v>
      </c>
      <c r="E4" s="9" t="s">
        <v>4</v>
      </c>
    </row>
    <row r="5" spans="1:9" ht="10.5" x14ac:dyDescent="0.25">
      <c r="A5" s="20" t="s">
        <v>1008</v>
      </c>
      <c r="B5" s="21"/>
      <c r="C5" s="22"/>
      <c r="D5" s="23"/>
      <c r="E5" s="24"/>
    </row>
    <row r="6" spans="1:9" x14ac:dyDescent="0.2">
      <c r="A6" s="26" t="s">
        <v>1575</v>
      </c>
      <c r="B6" s="26" t="s">
        <v>50</v>
      </c>
      <c r="C6" s="30">
        <v>38655.923000000003</v>
      </c>
      <c r="D6" s="28">
        <v>157.42253539999999</v>
      </c>
      <c r="E6" s="29">
        <v>36.397476424969199</v>
      </c>
    </row>
    <row r="7" spans="1:9" x14ac:dyDescent="0.2">
      <c r="A7" s="26" t="s">
        <v>1590</v>
      </c>
      <c r="B7" s="26" t="s">
        <v>10</v>
      </c>
      <c r="C7" s="30">
        <v>112035.981</v>
      </c>
      <c r="D7" s="28">
        <v>83.872376099999997</v>
      </c>
      <c r="E7" s="29">
        <v>19.392031922552199</v>
      </c>
    </row>
    <row r="8" spans="1:9" ht="20" x14ac:dyDescent="0.2">
      <c r="A8" s="26" t="s">
        <v>1589</v>
      </c>
      <c r="B8" s="48" t="s">
        <v>1657</v>
      </c>
      <c r="C8" s="30">
        <v>165948.389</v>
      </c>
      <c r="D8" s="28">
        <v>57.261985199999998</v>
      </c>
      <c r="E8" s="29">
        <v>13.239475219149201</v>
      </c>
    </row>
    <row r="9" spans="1:9" x14ac:dyDescent="0.2">
      <c r="A9" s="26" t="s">
        <v>1586</v>
      </c>
      <c r="B9" s="26" t="s">
        <v>41</v>
      </c>
      <c r="C9" s="30">
        <v>23314.062000000002</v>
      </c>
      <c r="D9" s="28">
        <v>45.131477799999999</v>
      </c>
      <c r="E9" s="29">
        <v>10.434795088743799</v>
      </c>
    </row>
    <row r="10" spans="1:9" x14ac:dyDescent="0.2">
      <c r="A10" s="26" t="s">
        <v>1597</v>
      </c>
      <c r="B10" s="26" t="s">
        <v>45</v>
      </c>
      <c r="C10" s="30">
        <v>5315.3069999999998</v>
      </c>
      <c r="D10" s="28">
        <v>44.4574882</v>
      </c>
      <c r="E10" s="29">
        <v>10.278962758167101</v>
      </c>
    </row>
    <row r="11" spans="1:9" ht="20" x14ac:dyDescent="0.2">
      <c r="A11" s="26" t="s">
        <v>1596</v>
      </c>
      <c r="B11" s="48" t="s">
        <v>1595</v>
      </c>
      <c r="C11" s="30">
        <v>192562.454</v>
      </c>
      <c r="D11" s="28">
        <v>0</v>
      </c>
      <c r="E11" s="29">
        <v>0</v>
      </c>
    </row>
    <row r="12" spans="1:9" ht="27" customHeight="1" x14ac:dyDescent="0.2">
      <c r="A12" s="26" t="s">
        <v>1594</v>
      </c>
      <c r="B12" s="48" t="s">
        <v>1593</v>
      </c>
      <c r="C12" s="30">
        <v>192562.454</v>
      </c>
      <c r="D12" s="28">
        <v>0</v>
      </c>
      <c r="E12" s="29">
        <v>0</v>
      </c>
    </row>
    <row r="13" spans="1:9" ht="20" x14ac:dyDescent="0.2">
      <c r="A13" s="26" t="s">
        <v>1592</v>
      </c>
      <c r="B13" s="48" t="s">
        <v>1591</v>
      </c>
      <c r="C13" s="30">
        <v>196087.27</v>
      </c>
      <c r="D13" s="28">
        <v>0</v>
      </c>
      <c r="E13" s="29">
        <v>0</v>
      </c>
    </row>
    <row r="14" spans="1:9" ht="10.5" x14ac:dyDescent="0.25">
      <c r="A14" s="25" t="s">
        <v>177</v>
      </c>
      <c r="B14" s="25"/>
      <c r="C14" s="31"/>
      <c r="D14" s="32">
        <f>SUM(D6:D13)</f>
        <v>388.14586270000001</v>
      </c>
      <c r="E14" s="33">
        <f>SUM(E6:E13)</f>
        <v>89.742741413581498</v>
      </c>
      <c r="G14" s="17"/>
      <c r="H14" s="17"/>
      <c r="I14" s="17"/>
    </row>
    <row r="15" spans="1:9" x14ac:dyDescent="0.2">
      <c r="A15" s="26"/>
      <c r="B15" s="26"/>
      <c r="C15" s="27"/>
      <c r="D15" s="28"/>
      <c r="E15" s="29"/>
    </row>
    <row r="16" spans="1:9" ht="10.5" x14ac:dyDescent="0.25">
      <c r="A16" s="25" t="s">
        <v>226</v>
      </c>
      <c r="B16" s="25"/>
      <c r="C16" s="31"/>
      <c r="D16" s="32">
        <f>D14</f>
        <v>388.14586270000001</v>
      </c>
      <c r="E16" s="33">
        <f>E14</f>
        <v>89.742741413581498</v>
      </c>
      <c r="G16" s="17"/>
      <c r="H16" s="17"/>
      <c r="I16" s="17"/>
    </row>
    <row r="17" spans="1:9" ht="10.5" x14ac:dyDescent="0.25">
      <c r="A17" s="25"/>
      <c r="B17" s="25"/>
      <c r="C17" s="31"/>
      <c r="D17" s="32"/>
      <c r="E17" s="33"/>
      <c r="G17" s="17"/>
      <c r="H17" s="17"/>
      <c r="I17" s="17"/>
    </row>
    <row r="18" spans="1:9" ht="10.5" x14ac:dyDescent="0.25">
      <c r="A18" s="25" t="s">
        <v>228</v>
      </c>
      <c r="B18" s="25"/>
      <c r="C18" s="31"/>
      <c r="D18" s="32">
        <f>D20-(D14)</f>
        <v>44.363615600000003</v>
      </c>
      <c r="E18" s="33">
        <f>E20-(E14)</f>
        <v>10.257258586418502</v>
      </c>
      <c r="G18" s="17"/>
      <c r="H18" s="17"/>
      <c r="I18" s="17"/>
    </row>
    <row r="19" spans="1:9" ht="10.5" x14ac:dyDescent="0.25">
      <c r="A19" s="25"/>
      <c r="B19" s="25"/>
      <c r="C19" s="31"/>
      <c r="D19" s="32"/>
      <c r="E19" s="33"/>
      <c r="G19" s="17"/>
      <c r="H19" s="17"/>
      <c r="I19" s="17"/>
    </row>
    <row r="20" spans="1:9" ht="10.5" x14ac:dyDescent="0.25">
      <c r="A20" s="34" t="s">
        <v>227</v>
      </c>
      <c r="B20" s="34"/>
      <c r="C20" s="35"/>
      <c r="D20" s="36">
        <v>432.50947830000001</v>
      </c>
      <c r="E20" s="37">
        <v>100</v>
      </c>
      <c r="G20" s="17"/>
      <c r="H20" s="17"/>
      <c r="I20" s="17"/>
    </row>
    <row r="21" spans="1:9" ht="10.5" x14ac:dyDescent="0.25">
      <c r="A21" s="17" t="s">
        <v>1654</v>
      </c>
      <c r="C21" s="11"/>
      <c r="D21" s="15"/>
      <c r="E21" s="19" t="s">
        <v>446</v>
      </c>
    </row>
    <row r="22" spans="1:9" ht="10.5" x14ac:dyDescent="0.25">
      <c r="A22" s="17"/>
      <c r="C22" s="11"/>
      <c r="D22" s="15"/>
      <c r="E22" s="19"/>
    </row>
    <row r="23" spans="1:9" ht="10.5" x14ac:dyDescent="0.25">
      <c r="A23" s="17" t="s">
        <v>232</v>
      </c>
    </row>
    <row r="24" spans="1:9" ht="10.5" x14ac:dyDescent="0.25">
      <c r="A24" s="17" t="s">
        <v>233</v>
      </c>
    </row>
    <row r="25" spans="1:9" ht="10.5" x14ac:dyDescent="0.25">
      <c r="A25" s="17" t="s">
        <v>234</v>
      </c>
      <c r="B25" s="17"/>
      <c r="C25" s="38" t="s">
        <v>236</v>
      </c>
      <c r="D25" s="46" t="s">
        <v>235</v>
      </c>
    </row>
    <row r="26" spans="1:9" x14ac:dyDescent="0.2">
      <c r="A26" s="10" t="s">
        <v>594</v>
      </c>
      <c r="C26" s="39">
        <v>60.336300000000001</v>
      </c>
      <c r="D26" s="39">
        <v>47.488300000000002</v>
      </c>
    </row>
    <row r="27" spans="1:9" x14ac:dyDescent="0.2">
      <c r="A27" s="10" t="s">
        <v>1587</v>
      </c>
      <c r="C27" s="39">
        <v>23.2837</v>
      </c>
      <c r="D27" s="39">
        <v>16.756</v>
      </c>
    </row>
    <row r="28" spans="1:9" x14ac:dyDescent="0.2">
      <c r="A28" s="10" t="s">
        <v>596</v>
      </c>
      <c r="C28" s="39">
        <v>62.701900000000002</v>
      </c>
      <c r="D28" s="39">
        <v>49.518999999999998</v>
      </c>
    </row>
    <row r="29" spans="1:9" x14ac:dyDescent="0.2">
      <c r="A29" s="10" t="s">
        <v>1588</v>
      </c>
      <c r="C29" s="39">
        <v>24.378900000000002</v>
      </c>
      <c r="D29" s="39">
        <v>17.675000000000001</v>
      </c>
    </row>
    <row r="31" spans="1:9" ht="10.5" x14ac:dyDescent="0.25">
      <c r="A31" s="61" t="s">
        <v>248</v>
      </c>
      <c r="B31" s="16"/>
      <c r="C31" s="16"/>
      <c r="D31" s="16"/>
      <c r="E31" s="16"/>
    </row>
    <row r="32" spans="1:9" ht="10.5" x14ac:dyDescent="0.25">
      <c r="A32" s="90" t="s">
        <v>249</v>
      </c>
      <c r="B32" s="91"/>
      <c r="C32" s="88" t="s">
        <v>250</v>
      </c>
      <c r="D32" s="89"/>
    </row>
    <row r="33" spans="1:4" ht="10.5" x14ac:dyDescent="0.25">
      <c r="A33" s="90"/>
      <c r="B33" s="91"/>
      <c r="C33" s="64" t="s">
        <v>251</v>
      </c>
      <c r="D33" s="65" t="s">
        <v>252</v>
      </c>
    </row>
    <row r="34" spans="1:4" x14ac:dyDescent="0.2">
      <c r="A34" s="86" t="s">
        <v>1587</v>
      </c>
      <c r="B34" s="87"/>
      <c r="C34" s="66">
        <v>1.4406454</v>
      </c>
      <c r="D34" s="66">
        <v>1.3340448199999999</v>
      </c>
    </row>
    <row r="35" spans="1:4" x14ac:dyDescent="0.2">
      <c r="A35" s="86" t="s">
        <v>1588</v>
      </c>
      <c r="B35" s="87"/>
      <c r="C35" s="66">
        <v>1.4406454</v>
      </c>
      <c r="D35" s="66">
        <v>1.3340448199999999</v>
      </c>
    </row>
    <row r="37" spans="1:4" ht="10.5" x14ac:dyDescent="0.25">
      <c r="A37" s="17" t="s">
        <v>1151</v>
      </c>
      <c r="D37" s="47">
        <v>0.1585</v>
      </c>
    </row>
    <row r="39" spans="1:4" ht="10.5" x14ac:dyDescent="0.25">
      <c r="A39" s="17" t="s">
        <v>255</v>
      </c>
      <c r="D39" s="38">
        <v>1</v>
      </c>
    </row>
    <row r="40" spans="1:4" x14ac:dyDescent="0.2">
      <c r="A40" s="10" t="s">
        <v>257</v>
      </c>
      <c r="D40" s="10"/>
    </row>
    <row r="41" spans="1:4" ht="14.5" x14ac:dyDescent="0.35">
      <c r="A41" s="44" t="s">
        <v>1613</v>
      </c>
      <c r="D41" s="10"/>
    </row>
  </sheetData>
  <mergeCells count="6">
    <mergeCell ref="A35:B35"/>
    <mergeCell ref="A1:E1"/>
    <mergeCell ref="C32:D32"/>
    <mergeCell ref="A32:B32"/>
    <mergeCell ref="A33:B33"/>
    <mergeCell ref="A34:B34"/>
  </mergeCells>
  <conditionalFormatting sqref="F2:F3 E5:E22 B31:F31 F23:F65532">
    <cfRule type="cellIs" dxfId="2" priority="1" stopIfTrue="1" operator="between">
      <formula>0.009</formula>
      <formula>-0.009</formula>
    </cfRule>
  </conditionalFormatting>
  <hyperlinks>
    <hyperlink ref="A41" r:id="rId1" xr:uid="{07988C76-0DB8-45FF-9C56-00BA868CE246}"/>
  </hyperlinks>
  <pageMargins left="0.7" right="0.7" top="0.75" bottom="0.75" header="0.3" footer="0.3"/>
  <pageSetup paperSize="9" orientation="portrait" r:id="rId2"/>
  <headerFooter>
    <oddFooter>&amp;LPUBLIC</oddFooter>
    <evenFooter>&amp;LPUBLIC</evenFooter>
    <firstFooter>&amp;LPUBLIC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41"/>
  <sheetViews>
    <sheetView workbookViewId="0">
      <selection sqref="A1:E1"/>
    </sheetView>
  </sheetViews>
  <sheetFormatPr defaultColWidth="9.1796875" defaultRowHeight="10" x14ac:dyDescent="0.2"/>
  <cols>
    <col min="1" max="1" width="32.26953125" style="10" bestFit="1" customWidth="1"/>
    <col min="2" max="2" width="42.453125" style="10" customWidth="1"/>
    <col min="3" max="3" width="15" style="10" bestFit="1" customWidth="1"/>
    <col min="4" max="4" width="22.1796875" style="11" customWidth="1"/>
    <col min="5" max="5" width="13.54296875" style="15" customWidth="1"/>
    <col min="6" max="6" width="14.7265625" style="16" bestFit="1" customWidth="1"/>
    <col min="7" max="7" width="9.54296875" style="10" bestFit="1" customWidth="1"/>
    <col min="8" max="16384" width="9.1796875" style="10"/>
  </cols>
  <sheetData>
    <row r="1" spans="1:9" s="1" customFormat="1" ht="15" customHeight="1" x14ac:dyDescent="0.25">
      <c r="A1" s="80" t="s">
        <v>62</v>
      </c>
      <c r="B1" s="81"/>
      <c r="C1" s="81"/>
      <c r="D1" s="81"/>
      <c r="E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49" t="s">
        <v>1</v>
      </c>
      <c r="D4" s="9" t="s">
        <v>3</v>
      </c>
      <c r="E4" s="9" t="s">
        <v>4</v>
      </c>
    </row>
    <row r="5" spans="1:9" ht="10.5" x14ac:dyDescent="0.25">
      <c r="A5" s="20" t="s">
        <v>1008</v>
      </c>
      <c r="B5" s="21"/>
      <c r="C5" s="22"/>
      <c r="D5" s="23"/>
      <c r="E5" s="24"/>
    </row>
    <row r="6" spans="1:9" x14ac:dyDescent="0.2">
      <c r="A6" s="26" t="s">
        <v>1575</v>
      </c>
      <c r="B6" s="26" t="s">
        <v>50</v>
      </c>
      <c r="C6" s="30">
        <v>115816.424</v>
      </c>
      <c r="D6" s="28">
        <v>471.65126839999999</v>
      </c>
      <c r="E6" s="29">
        <v>50.187249272674698</v>
      </c>
    </row>
    <row r="7" spans="1:9" x14ac:dyDescent="0.2">
      <c r="A7" s="26" t="s">
        <v>1586</v>
      </c>
      <c r="B7" s="26" t="s">
        <v>41</v>
      </c>
      <c r="C7" s="30">
        <v>73881.182000000001</v>
      </c>
      <c r="D7" s="28">
        <v>143.01956150000001</v>
      </c>
      <c r="E7" s="29">
        <v>15.218359124143801</v>
      </c>
    </row>
    <row r="8" spans="1:9" x14ac:dyDescent="0.2">
      <c r="A8" s="26" t="s">
        <v>1597</v>
      </c>
      <c r="B8" s="26" t="s">
        <v>45</v>
      </c>
      <c r="C8" s="30">
        <v>16816.112000000001</v>
      </c>
      <c r="D8" s="28">
        <v>140.6507848</v>
      </c>
      <c r="E8" s="29">
        <v>14.9663034324089</v>
      </c>
    </row>
    <row r="9" spans="1:9" x14ac:dyDescent="0.2">
      <c r="A9" s="26" t="s">
        <v>1590</v>
      </c>
      <c r="B9" s="26" t="s">
        <v>10</v>
      </c>
      <c r="C9" s="30">
        <v>115297.349</v>
      </c>
      <c r="D9" s="28">
        <v>86.313901400000006</v>
      </c>
      <c r="E9" s="29">
        <v>9.1844495615457191</v>
      </c>
    </row>
    <row r="10" spans="1:9" ht="20" x14ac:dyDescent="0.2">
      <c r="A10" s="26" t="s">
        <v>1589</v>
      </c>
      <c r="B10" s="48" t="s">
        <v>1657</v>
      </c>
      <c r="C10" s="30">
        <v>127811.15300000001</v>
      </c>
      <c r="D10" s="28">
        <v>44.102388599999998</v>
      </c>
      <c r="E10" s="29">
        <v>4.6928264980545702</v>
      </c>
    </row>
    <row r="11" spans="1:9" ht="20" x14ac:dyDescent="0.2">
      <c r="A11" s="26" t="s">
        <v>1596</v>
      </c>
      <c r="B11" s="48" t="s">
        <v>1595</v>
      </c>
      <c r="C11" s="30">
        <v>160182.31</v>
      </c>
      <c r="D11" s="28">
        <v>0</v>
      </c>
      <c r="E11" s="29">
        <v>0</v>
      </c>
    </row>
    <row r="12" spans="1:9" ht="20" x14ac:dyDescent="0.2">
      <c r="A12" s="26" t="s">
        <v>1594</v>
      </c>
      <c r="B12" s="48" t="s">
        <v>1593</v>
      </c>
      <c r="C12" s="30">
        <v>160182.31</v>
      </c>
      <c r="D12" s="28">
        <v>0</v>
      </c>
      <c r="E12" s="29">
        <v>0</v>
      </c>
    </row>
    <row r="13" spans="1:9" ht="20" x14ac:dyDescent="0.2">
      <c r="A13" s="26" t="s">
        <v>1592</v>
      </c>
      <c r="B13" s="48" t="s">
        <v>1591</v>
      </c>
      <c r="C13" s="30">
        <v>167004.62</v>
      </c>
      <c r="D13" s="28">
        <v>0</v>
      </c>
      <c r="E13" s="29">
        <v>0</v>
      </c>
    </row>
    <row r="14" spans="1:9" ht="10.5" x14ac:dyDescent="0.25">
      <c r="A14" s="25" t="s">
        <v>177</v>
      </c>
      <c r="B14" s="25"/>
      <c r="C14" s="31"/>
      <c r="D14" s="32">
        <f>SUM(D6:D13)</f>
        <v>885.73790469999994</v>
      </c>
      <c r="E14" s="33">
        <f>SUM(E6:E13)</f>
        <v>94.249187888827691</v>
      </c>
      <c r="G14" s="17"/>
      <c r="H14" s="17"/>
      <c r="I14" s="17"/>
    </row>
    <row r="15" spans="1:9" x14ac:dyDescent="0.2">
      <c r="A15" s="26"/>
      <c r="B15" s="26"/>
      <c r="C15" s="27"/>
      <c r="D15" s="28"/>
      <c r="E15" s="29"/>
    </row>
    <row r="16" spans="1:9" ht="10.5" x14ac:dyDescent="0.25">
      <c r="A16" s="25" t="s">
        <v>226</v>
      </c>
      <c r="B16" s="25"/>
      <c r="C16" s="31"/>
      <c r="D16" s="32">
        <f>D14</f>
        <v>885.73790469999994</v>
      </c>
      <c r="E16" s="33">
        <f>E14</f>
        <v>94.249187888827691</v>
      </c>
      <c r="G16" s="17"/>
      <c r="H16" s="17"/>
      <c r="I16" s="17"/>
    </row>
    <row r="17" spans="1:9" ht="10.5" x14ac:dyDescent="0.25">
      <c r="A17" s="25"/>
      <c r="B17" s="25"/>
      <c r="C17" s="31"/>
      <c r="D17" s="32"/>
      <c r="E17" s="33"/>
      <c r="G17" s="17"/>
      <c r="H17" s="17"/>
      <c r="I17" s="17"/>
    </row>
    <row r="18" spans="1:9" ht="10.5" x14ac:dyDescent="0.25">
      <c r="A18" s="25" t="s">
        <v>228</v>
      </c>
      <c r="B18" s="25"/>
      <c r="C18" s="31"/>
      <c r="D18" s="32">
        <f>D20-(D14)</f>
        <v>54.04515820000006</v>
      </c>
      <c r="E18" s="33">
        <f>E20-(E14)</f>
        <v>5.7508121111723085</v>
      </c>
      <c r="G18" s="17"/>
      <c r="H18" s="17"/>
      <c r="I18" s="17"/>
    </row>
    <row r="19" spans="1:9" ht="10.5" x14ac:dyDescent="0.25">
      <c r="A19" s="25"/>
      <c r="B19" s="25"/>
      <c r="C19" s="31"/>
      <c r="D19" s="32"/>
      <c r="E19" s="33"/>
      <c r="G19" s="17"/>
      <c r="H19" s="17"/>
      <c r="I19" s="17"/>
    </row>
    <row r="20" spans="1:9" ht="10.5" x14ac:dyDescent="0.25">
      <c r="A20" s="34" t="s">
        <v>227</v>
      </c>
      <c r="B20" s="34"/>
      <c r="C20" s="35"/>
      <c r="D20" s="36">
        <v>939.7830629</v>
      </c>
      <c r="E20" s="37">
        <v>100</v>
      </c>
      <c r="G20" s="17"/>
      <c r="H20" s="17"/>
      <c r="I20" s="17"/>
    </row>
    <row r="21" spans="1:9" ht="10.5" x14ac:dyDescent="0.25">
      <c r="A21" s="17" t="s">
        <v>1654</v>
      </c>
      <c r="C21" s="11"/>
      <c r="D21" s="15"/>
      <c r="E21" s="19" t="s">
        <v>446</v>
      </c>
    </row>
    <row r="22" spans="1:9" ht="10.5" x14ac:dyDescent="0.25">
      <c r="A22" s="17"/>
      <c r="C22" s="11"/>
      <c r="D22" s="15"/>
      <c r="E22" s="19"/>
    </row>
    <row r="23" spans="1:9" ht="10.5" x14ac:dyDescent="0.25">
      <c r="A23" s="17" t="s">
        <v>232</v>
      </c>
    </row>
    <row r="24" spans="1:9" ht="10.5" x14ac:dyDescent="0.25">
      <c r="A24" s="17" t="s">
        <v>233</v>
      </c>
    </row>
    <row r="25" spans="1:9" ht="10.5" x14ac:dyDescent="0.25">
      <c r="A25" s="17" t="s">
        <v>234</v>
      </c>
      <c r="B25" s="17"/>
      <c r="C25" s="38" t="s">
        <v>236</v>
      </c>
      <c r="D25" s="46" t="s">
        <v>235</v>
      </c>
    </row>
    <row r="26" spans="1:9" x14ac:dyDescent="0.2">
      <c r="A26" s="10" t="s">
        <v>543</v>
      </c>
      <c r="C26" s="39">
        <v>82.206100000000006</v>
      </c>
      <c r="D26" s="39">
        <v>66.674599999999998</v>
      </c>
    </row>
    <row r="27" spans="1:9" x14ac:dyDescent="0.2">
      <c r="A27" s="10" t="s">
        <v>580</v>
      </c>
      <c r="C27" s="39">
        <v>29.3691</v>
      </c>
      <c r="D27" s="39">
        <v>21.799399999999999</v>
      </c>
    </row>
    <row r="28" spans="1:9" x14ac:dyDescent="0.2">
      <c r="A28" s="10" t="s">
        <v>546</v>
      </c>
      <c r="C28" s="39">
        <v>84.624099999999999</v>
      </c>
      <c r="D28" s="39">
        <v>68.871899999999997</v>
      </c>
    </row>
    <row r="29" spans="1:9" x14ac:dyDescent="0.2">
      <c r="A29" s="10" t="s">
        <v>581</v>
      </c>
      <c r="C29" s="39">
        <v>30.4069</v>
      </c>
      <c r="D29" s="39">
        <v>22.714700000000001</v>
      </c>
    </row>
    <row r="31" spans="1:9" ht="10.5" x14ac:dyDescent="0.25">
      <c r="A31" s="17" t="s">
        <v>248</v>
      </c>
    </row>
    <row r="32" spans="1:9" ht="10.5" x14ac:dyDescent="0.25">
      <c r="A32" s="84" t="s">
        <v>249</v>
      </c>
      <c r="B32" s="85"/>
      <c r="C32" s="82" t="s">
        <v>250</v>
      </c>
      <c r="D32" s="83"/>
    </row>
    <row r="33" spans="1:4" ht="10.5" x14ac:dyDescent="0.25">
      <c r="A33" s="84"/>
      <c r="B33" s="85"/>
      <c r="C33" s="40" t="s">
        <v>251</v>
      </c>
      <c r="D33" s="41" t="s">
        <v>252</v>
      </c>
    </row>
    <row r="34" spans="1:4" x14ac:dyDescent="0.2">
      <c r="A34" s="78" t="s">
        <v>580</v>
      </c>
      <c r="B34" s="79"/>
      <c r="C34" s="42">
        <v>1.80080675</v>
      </c>
      <c r="D34" s="42">
        <v>1.6675560250000001</v>
      </c>
    </row>
    <row r="35" spans="1:4" x14ac:dyDescent="0.2">
      <c r="A35" s="78" t="s">
        <v>581</v>
      </c>
      <c r="B35" s="79"/>
      <c r="C35" s="42">
        <v>1.80080675</v>
      </c>
      <c r="D35" s="42">
        <v>1.6675560250000001</v>
      </c>
    </row>
    <row r="37" spans="1:4" ht="10.5" x14ac:dyDescent="0.25">
      <c r="A37" s="17" t="s">
        <v>1151</v>
      </c>
      <c r="D37" s="47">
        <v>9.7299999999999998E-2</v>
      </c>
    </row>
    <row r="39" spans="1:4" ht="10.5" x14ac:dyDescent="0.25">
      <c r="A39" s="17" t="s">
        <v>255</v>
      </c>
      <c r="D39" s="38">
        <v>1</v>
      </c>
    </row>
    <row r="40" spans="1:4" x14ac:dyDescent="0.2">
      <c r="A40" s="10" t="s">
        <v>257</v>
      </c>
      <c r="D40" s="10"/>
    </row>
    <row r="41" spans="1:4" ht="14.5" x14ac:dyDescent="0.35">
      <c r="A41" s="44" t="s">
        <v>1613</v>
      </c>
      <c r="D41" s="10"/>
    </row>
  </sheetData>
  <mergeCells count="6">
    <mergeCell ref="A35:B35"/>
    <mergeCell ref="A1:E1"/>
    <mergeCell ref="C32:D32"/>
    <mergeCell ref="A32:B32"/>
    <mergeCell ref="A33:B33"/>
    <mergeCell ref="A34:B34"/>
  </mergeCells>
  <conditionalFormatting sqref="F2:F3 E5:E22 F23:F65531">
    <cfRule type="cellIs" dxfId="1" priority="1" stopIfTrue="1" operator="between">
      <formula>0.009</formula>
      <formula>-0.009</formula>
    </cfRule>
  </conditionalFormatting>
  <hyperlinks>
    <hyperlink ref="A41" r:id="rId1" xr:uid="{DE006E49-8898-4585-A722-930572EA53AF}"/>
  </hyperlinks>
  <pageMargins left="0.7" right="0.7" top="0.75" bottom="0.75" header="0.3" footer="0.3"/>
  <pageSetup paperSize="9" orientation="portrait" r:id="rId2"/>
  <headerFooter>
    <oddFooter>&amp;LPUBLIC</oddFooter>
    <evenFooter>&amp;LPUBLIC</evenFooter>
    <firstFooter>&amp;LPUBLIC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40"/>
  <sheetViews>
    <sheetView topLeftCell="A22" zoomScaleNormal="100" workbookViewId="0">
      <selection activeCell="A22" sqref="A22"/>
    </sheetView>
  </sheetViews>
  <sheetFormatPr defaultColWidth="9.1796875" defaultRowHeight="10" x14ac:dyDescent="0.2"/>
  <cols>
    <col min="1" max="1" width="32.26953125" style="10" bestFit="1" customWidth="1"/>
    <col min="2" max="2" width="43.26953125" style="10" customWidth="1"/>
    <col min="3" max="3" width="22.1796875" style="10" customWidth="1"/>
    <col min="4" max="4" width="22.453125" style="11" customWidth="1"/>
    <col min="5" max="5" width="15.1796875" style="15" customWidth="1"/>
    <col min="6" max="6" width="14.7265625" style="16" bestFit="1" customWidth="1"/>
    <col min="7" max="7" width="3" style="10" bestFit="1" customWidth="1"/>
    <col min="8" max="16384" width="9.1796875" style="10"/>
  </cols>
  <sheetData>
    <row r="1" spans="1:9" s="1" customFormat="1" ht="15" customHeight="1" x14ac:dyDescent="0.25">
      <c r="A1" s="80" t="s">
        <v>1599</v>
      </c>
      <c r="B1" s="81"/>
      <c r="C1" s="81"/>
      <c r="D1" s="81"/>
      <c r="E1" s="81"/>
    </row>
    <row r="2" spans="1:9" s="1" customFormat="1" ht="11.5" x14ac:dyDescent="0.25">
      <c r="D2" s="6"/>
      <c r="E2" s="7"/>
      <c r="F2" s="14"/>
    </row>
    <row r="3" spans="1:9" s="1" customFormat="1" ht="11.5" x14ac:dyDescent="0.25">
      <c r="A3" s="12" t="s">
        <v>6</v>
      </c>
      <c r="B3" s="2"/>
      <c r="C3" s="3"/>
      <c r="D3" s="4"/>
      <c r="E3" s="5"/>
      <c r="F3" s="14"/>
    </row>
    <row r="4" spans="1:9" s="1" customFormat="1" ht="17.5" customHeight="1" x14ac:dyDescent="0.25">
      <c r="A4" s="8" t="s">
        <v>2</v>
      </c>
      <c r="B4" s="8" t="s">
        <v>0</v>
      </c>
      <c r="C4" s="49" t="s">
        <v>1</v>
      </c>
      <c r="D4" s="9" t="s">
        <v>3</v>
      </c>
      <c r="E4" s="9" t="s">
        <v>4</v>
      </c>
    </row>
    <row r="5" spans="1:9" ht="10.5" x14ac:dyDescent="0.25">
      <c r="A5" s="20" t="s">
        <v>1008</v>
      </c>
      <c r="B5" s="21"/>
      <c r="C5" s="22"/>
      <c r="D5" s="23"/>
      <c r="E5" s="24"/>
    </row>
    <row r="6" spans="1:9" x14ac:dyDescent="0.2">
      <c r="A6" s="26" t="s">
        <v>1598</v>
      </c>
      <c r="B6" s="26" t="s">
        <v>48</v>
      </c>
      <c r="C6" s="30">
        <v>10231929.119999999</v>
      </c>
      <c r="D6" s="28">
        <v>51653.591979999997</v>
      </c>
      <c r="E6" s="29">
        <v>70.582597482361905</v>
      </c>
    </row>
    <row r="7" spans="1:9" ht="20" x14ac:dyDescent="0.2">
      <c r="A7" s="26" t="s">
        <v>1576</v>
      </c>
      <c r="B7" s="48" t="s">
        <v>1656</v>
      </c>
      <c r="C7" s="30">
        <v>674822.10900000005</v>
      </c>
      <c r="D7" s="28">
        <v>13171.76232</v>
      </c>
      <c r="E7" s="29">
        <v>17.998694037113101</v>
      </c>
    </row>
    <row r="8" spans="1:9" ht="20" x14ac:dyDescent="0.2">
      <c r="A8" s="26" t="s">
        <v>1580</v>
      </c>
      <c r="B8" s="48" t="s">
        <v>1579</v>
      </c>
      <c r="C8" s="30">
        <v>1341516.8259999999</v>
      </c>
      <c r="D8" s="28">
        <v>0</v>
      </c>
      <c r="E8" s="29">
        <v>0</v>
      </c>
    </row>
    <row r="9" spans="1:9" ht="20" x14ac:dyDescent="0.2">
      <c r="A9" s="26" t="s">
        <v>1582</v>
      </c>
      <c r="B9" s="48" t="s">
        <v>1581</v>
      </c>
      <c r="C9" s="30">
        <v>1341516.8259999999</v>
      </c>
      <c r="D9" s="28">
        <v>0</v>
      </c>
      <c r="E9" s="29">
        <v>0</v>
      </c>
    </row>
    <row r="10" spans="1:9" ht="20" x14ac:dyDescent="0.2">
      <c r="A10" s="26" t="s">
        <v>1584</v>
      </c>
      <c r="B10" s="48" t="s">
        <v>1583</v>
      </c>
      <c r="C10" s="30">
        <v>1370528.45</v>
      </c>
      <c r="D10" s="28">
        <v>0</v>
      </c>
      <c r="E10" s="29">
        <v>0</v>
      </c>
    </row>
    <row r="11" spans="1:9" ht="10.5" x14ac:dyDescent="0.25">
      <c r="A11" s="25" t="s">
        <v>177</v>
      </c>
      <c r="B11" s="25"/>
      <c r="C11" s="31"/>
      <c r="D11" s="32">
        <f>SUM(D6:D10)</f>
        <v>64825.354299999999</v>
      </c>
      <c r="E11" s="33">
        <f>SUM(E6:E10)</f>
        <v>88.581291519475002</v>
      </c>
      <c r="G11" s="17"/>
      <c r="H11" s="17"/>
      <c r="I11" s="17"/>
    </row>
    <row r="12" spans="1:9" x14ac:dyDescent="0.2">
      <c r="A12" s="26"/>
      <c r="B12" s="26"/>
      <c r="C12" s="27"/>
      <c r="D12" s="28"/>
      <c r="E12" s="29"/>
    </row>
    <row r="13" spans="1:9" ht="10.5" x14ac:dyDescent="0.25">
      <c r="A13" s="25" t="s">
        <v>226</v>
      </c>
      <c r="B13" s="25"/>
      <c r="C13" s="31"/>
      <c r="D13" s="32">
        <f>D11</f>
        <v>64825.354299999999</v>
      </c>
      <c r="E13" s="33">
        <f>E11</f>
        <v>88.581291519475002</v>
      </c>
      <c r="G13" s="17"/>
      <c r="H13" s="17"/>
      <c r="I13" s="17"/>
    </row>
    <row r="14" spans="1:9" ht="10.5" x14ac:dyDescent="0.25">
      <c r="A14" s="25"/>
      <c r="B14" s="25"/>
      <c r="C14" s="31"/>
      <c r="D14" s="32"/>
      <c r="E14" s="33"/>
      <c r="G14" s="17"/>
      <c r="H14" s="17"/>
      <c r="I14" s="17"/>
    </row>
    <row r="15" spans="1:9" ht="10.5" x14ac:dyDescent="0.25">
      <c r="A15" s="25" t="s">
        <v>228</v>
      </c>
      <c r="B15" s="25"/>
      <c r="C15" s="31"/>
      <c r="D15" s="32">
        <f>D17-(D11)</f>
        <v>8356.4126261999991</v>
      </c>
      <c r="E15" s="33">
        <f>E17-(E11)</f>
        <v>11.418708480524998</v>
      </c>
      <c r="G15" s="17"/>
      <c r="H15" s="17"/>
      <c r="I15" s="17"/>
    </row>
    <row r="16" spans="1:9" ht="10.5" x14ac:dyDescent="0.25">
      <c r="A16" s="25"/>
      <c r="B16" s="25"/>
      <c r="C16" s="31"/>
      <c r="D16" s="32"/>
      <c r="E16" s="33"/>
      <c r="G16" s="17"/>
      <c r="H16" s="17"/>
      <c r="I16" s="17"/>
    </row>
    <row r="17" spans="1:9" ht="10.5" x14ac:dyDescent="0.25">
      <c r="A17" s="34" t="s">
        <v>227</v>
      </c>
      <c r="B17" s="34"/>
      <c r="C17" s="35"/>
      <c r="D17" s="36">
        <v>73181.766926199998</v>
      </c>
      <c r="E17" s="37">
        <v>100</v>
      </c>
      <c r="G17" s="17"/>
      <c r="H17" s="17"/>
      <c r="I17" s="17"/>
    </row>
    <row r="18" spans="1:9" ht="10.5" x14ac:dyDescent="0.25">
      <c r="A18" s="17" t="s">
        <v>1654</v>
      </c>
      <c r="B18" s="75"/>
      <c r="C18" s="76"/>
      <c r="D18" s="77"/>
      <c r="E18" s="19"/>
      <c r="G18" s="17"/>
      <c r="H18" s="17"/>
      <c r="I18" s="17"/>
    </row>
    <row r="19" spans="1:9" ht="10.5" x14ac:dyDescent="0.25">
      <c r="A19" s="17"/>
      <c r="C19" s="11"/>
      <c r="D19" s="15"/>
      <c r="E19" s="19" t="s">
        <v>446</v>
      </c>
    </row>
    <row r="20" spans="1:9" ht="10.5" x14ac:dyDescent="0.25">
      <c r="A20" s="17" t="s">
        <v>232</v>
      </c>
    </row>
    <row r="21" spans="1:9" ht="10.5" x14ac:dyDescent="0.25">
      <c r="A21" s="17" t="s">
        <v>233</v>
      </c>
    </row>
    <row r="22" spans="1:9" ht="10.5" x14ac:dyDescent="0.25">
      <c r="A22" s="17" t="s">
        <v>234</v>
      </c>
      <c r="B22" s="17"/>
      <c r="C22" s="38" t="s">
        <v>236</v>
      </c>
      <c r="D22" s="46" t="s">
        <v>235</v>
      </c>
    </row>
    <row r="23" spans="1:9" x14ac:dyDescent="0.2">
      <c r="A23" s="10" t="s">
        <v>543</v>
      </c>
      <c r="C23" s="39">
        <v>85.5274</v>
      </c>
      <c r="D23" s="39">
        <v>64.004300000000001</v>
      </c>
    </row>
    <row r="24" spans="1:9" x14ac:dyDescent="0.2">
      <c r="A24" s="10" t="s">
        <v>580</v>
      </c>
      <c r="C24" s="39">
        <v>36.785699999999999</v>
      </c>
      <c r="D24" s="39">
        <v>25.764099999999999</v>
      </c>
    </row>
    <row r="25" spans="1:9" x14ac:dyDescent="0.2">
      <c r="A25" s="10" t="s">
        <v>546</v>
      </c>
      <c r="C25" s="39">
        <v>91.499899999999997</v>
      </c>
      <c r="D25" s="39">
        <v>68.830799999999996</v>
      </c>
    </row>
    <row r="26" spans="1:9" x14ac:dyDescent="0.2">
      <c r="A26" s="10" t="s">
        <v>581</v>
      </c>
      <c r="C26" s="39">
        <v>40.163800000000002</v>
      </c>
      <c r="D26" s="39">
        <v>28.442699999999999</v>
      </c>
    </row>
    <row r="28" spans="1:9" ht="10.5" x14ac:dyDescent="0.25">
      <c r="A28" s="17" t="s">
        <v>248</v>
      </c>
    </row>
    <row r="29" spans="1:9" ht="10.5" x14ac:dyDescent="0.25">
      <c r="A29" s="84" t="s">
        <v>249</v>
      </c>
      <c r="B29" s="85"/>
      <c r="C29" s="82" t="s">
        <v>250</v>
      </c>
      <c r="D29" s="83"/>
    </row>
    <row r="30" spans="1:9" ht="10.5" x14ac:dyDescent="0.25">
      <c r="A30" s="84"/>
      <c r="B30" s="85"/>
      <c r="C30" s="40" t="s">
        <v>251</v>
      </c>
      <c r="D30" s="41" t="s">
        <v>252</v>
      </c>
    </row>
    <row r="31" spans="1:9" x14ac:dyDescent="0.2">
      <c r="A31" s="78" t="s">
        <v>580</v>
      </c>
      <c r="B31" s="79"/>
      <c r="C31" s="42">
        <v>1.75548405</v>
      </c>
      <c r="D31" s="42">
        <v>1.675533615</v>
      </c>
    </row>
    <row r="32" spans="1:9" x14ac:dyDescent="0.2">
      <c r="A32" s="78" t="s">
        <v>581</v>
      </c>
      <c r="B32" s="79"/>
      <c r="C32" s="42">
        <v>1.75548405</v>
      </c>
      <c r="D32" s="42">
        <v>1.675533615</v>
      </c>
    </row>
    <row r="34" spans="1:5" ht="10.5" x14ac:dyDescent="0.25">
      <c r="A34" s="17" t="s">
        <v>1151</v>
      </c>
      <c r="D34" s="47">
        <v>0.54420000000000002</v>
      </c>
    </row>
    <row r="36" spans="1:5" ht="10.5" x14ac:dyDescent="0.25">
      <c r="A36" s="17" t="s">
        <v>255</v>
      </c>
      <c r="D36" s="38">
        <v>1</v>
      </c>
    </row>
    <row r="37" spans="1:5" x14ac:dyDescent="0.2">
      <c r="A37" s="10" t="s">
        <v>257</v>
      </c>
      <c r="D37" s="10"/>
    </row>
    <row r="38" spans="1:5" ht="14.5" x14ac:dyDescent="0.35">
      <c r="A38" s="44" t="s">
        <v>1613</v>
      </c>
      <c r="D38" s="10"/>
    </row>
    <row r="40" spans="1:5" ht="10.5" x14ac:dyDescent="0.25">
      <c r="A40" s="92" t="s">
        <v>1600</v>
      </c>
      <c r="B40" s="92"/>
      <c r="C40" s="92"/>
      <c r="D40" s="92"/>
      <c r="E40" s="92"/>
    </row>
  </sheetData>
  <mergeCells count="7">
    <mergeCell ref="A32:B32"/>
    <mergeCell ref="A1:E1"/>
    <mergeCell ref="A40:E40"/>
    <mergeCell ref="C29:D29"/>
    <mergeCell ref="A29:B29"/>
    <mergeCell ref="A30:B30"/>
    <mergeCell ref="A31:B31"/>
  </mergeCells>
  <conditionalFormatting sqref="F2:F3 E5:E19 F20:F65527">
    <cfRule type="cellIs" dxfId="0" priority="1" stopIfTrue="1" operator="between">
      <formula>0.009</formula>
      <formula>-0.009</formula>
    </cfRule>
  </conditionalFormatting>
  <hyperlinks>
    <hyperlink ref="A38" r:id="rId1" xr:uid="{D8F8DEDE-1C44-4AC7-817A-8E30F5A1D218}"/>
  </hyperlinks>
  <pageMargins left="0.7" right="0.7" top="0.75" bottom="0.75" header="0.3" footer="0.3"/>
  <pageSetup paperSize="9" orientation="portrait" r:id="rId2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FIUBF</vt:lpstr>
      <vt:lpstr>FISTIP</vt:lpstr>
      <vt:lpstr>FILDF</vt:lpstr>
      <vt:lpstr>FIIOF</vt:lpstr>
      <vt:lpstr>FIDA</vt:lpstr>
      <vt:lpstr>FICRF</vt:lpstr>
      <vt:lpstr>FISF</vt:lpstr>
      <vt:lpstr>FIGSF</vt:lpstr>
      <vt:lpstr>FIFRF</vt:lpstr>
      <vt:lpstr>FICDF</vt:lpstr>
      <vt:lpstr>FBPF</vt:lpstr>
      <vt:lpstr>FIONF</vt:lpstr>
      <vt:lpstr>FILF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FIPP</vt:lpstr>
      <vt:lpstr>FIDHY</vt:lpstr>
      <vt:lpstr>FIESF</vt:lpstr>
      <vt:lpstr>FIEHF</vt:lpstr>
      <vt:lpstr>TIVF</vt:lpstr>
      <vt:lpstr>TIEIF</vt:lpstr>
      <vt:lpstr>FITF</vt:lpstr>
      <vt:lpstr>FISCF</vt:lpstr>
      <vt:lpstr>FIPF</vt:lpstr>
      <vt:lpstr>FIOF</vt:lpstr>
      <vt:lpstr>FIFEF</vt:lpstr>
      <vt:lpstr>FIEF</vt:lpstr>
      <vt:lpstr>FIEAF</vt:lpstr>
      <vt:lpstr>FIBF</vt:lpstr>
      <vt:lpstr>FBIF</vt:lpstr>
      <vt:lpstr>FAEF</vt:lpstr>
      <vt:lpstr>FIIF-NSE</vt:lpstr>
      <vt:lpstr>FITX</vt:lpstr>
      <vt:lpstr>FIUS</vt:lpstr>
      <vt:lpstr>FEGF</vt:lpstr>
      <vt:lpstr>FIFOF-50's+</vt:lpstr>
      <vt:lpstr>FIMAS</vt:lpstr>
      <vt:lpstr>FIFOF-50's</vt:lpstr>
      <vt:lpstr>FIFOF-40's</vt:lpstr>
      <vt:lpstr>FIFOF-30's</vt:lpstr>
      <vt:lpstr>FIFOF-20's</vt:lpstr>
      <vt:lpstr>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2020-05-07T20:38:47Z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CLAPUBLIC</vt:lpwstr>
  </property>
</Properties>
</file>