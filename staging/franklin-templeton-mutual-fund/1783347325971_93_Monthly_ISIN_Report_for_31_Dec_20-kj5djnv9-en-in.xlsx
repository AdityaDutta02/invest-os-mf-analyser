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filterPrivacy="1" defaultThemeVersion="124226"/>
  <xr:revisionPtr revIDLastSave="0" documentId="13_ncr:1_{A9E84FB8-0908-4479-95BC-0CDEDEEA37CA}" xr6:coauthVersionLast="45" xr6:coauthVersionMax="45" xr10:uidLastSave="{00000000-0000-0000-0000-000000000000}"/>
  <bookViews>
    <workbookView xWindow="-110" yWindow="-110" windowWidth="19420" windowHeight="10420" xr2:uid="{00000000-000D-0000-FFFF-FFFF00000000}"/>
  </bookViews>
  <sheets>
    <sheet name="FILF" sheetId="14" r:id="rId1"/>
    <sheet name="FIONF" sheetId="13" r:id="rId2"/>
    <sheet name="FISF" sheetId="4" r:id="rId3"/>
    <sheet name="FIFRF" sheetId="8" r:id="rId4"/>
    <sheet name="FICDF" sheetId="11" r:id="rId5"/>
    <sheet name="FBPF" sheetId="12" r:id="rId6"/>
    <sheet name="FIGSF" sheetId="7" r:id="rId7"/>
    <sheet name="FIDA" sheetId="9" r:id="rId8"/>
    <sheet name="FILDF" sheetId="5" r:id="rId9"/>
    <sheet name="FIUBF" sheetId="2" r:id="rId10"/>
    <sheet name="FISTIP" sheetId="3" r:id="rId11"/>
    <sheet name="FIIOF" sheetId="6" r:id="rId12"/>
    <sheet name="FICRF" sheetId="10" r:id="rId13"/>
    <sheet name="FMPS6C" sheetId="15" r:id="rId14"/>
    <sheet name="FMPS5F" sheetId="16" r:id="rId15"/>
    <sheet name="FMPS5E" sheetId="17" r:id="rId16"/>
    <sheet name="FMPS5D" sheetId="18" r:id="rId17"/>
    <sheet name="FMPS5C" sheetId="19" r:id="rId18"/>
    <sheet name="FMPS5B" sheetId="20" r:id="rId19"/>
    <sheet name="FMPS5A" sheetId="21" r:id="rId20"/>
    <sheet name="FMPS4F" sheetId="22" r:id="rId21"/>
    <sheet name="FMPS4E" sheetId="23" r:id="rId22"/>
    <sheet name="FMPS4D" sheetId="24" r:id="rId23"/>
    <sheet name="FMPS4C" sheetId="25" r:id="rId24"/>
    <sheet name="FMPS4B" sheetId="26" r:id="rId25"/>
    <sheet name="FMPS4A" sheetId="27" r:id="rId26"/>
    <sheet name="FMPS3F" sheetId="28" r:id="rId27"/>
    <sheet name="FMPS3E" sheetId="29" r:id="rId28"/>
    <sheet name="FMPS3D" sheetId="30" r:id="rId29"/>
    <sheet name="FMPS3C" sheetId="31" r:id="rId30"/>
    <sheet name="FMPS3B" sheetId="32" r:id="rId31"/>
    <sheet name="FMPS3A" sheetId="33" r:id="rId32"/>
    <sheet name="FMPS2C" sheetId="34" r:id="rId33"/>
    <sheet name="FMPS2B" sheetId="35" r:id="rId34"/>
    <sheet name="FMPS2A" sheetId="36" r:id="rId35"/>
    <sheet name="FIPP" sheetId="37" r:id="rId36"/>
    <sheet name="FIDHY" sheetId="38" r:id="rId37"/>
    <sheet name="FIESF" sheetId="39" r:id="rId38"/>
    <sheet name="FIEHF" sheetId="40" r:id="rId39"/>
    <sheet name="TIVF" sheetId="41" r:id="rId40"/>
    <sheet name="TIEIF" sheetId="42" r:id="rId41"/>
    <sheet name="FITF" sheetId="43" r:id="rId42"/>
    <sheet name="FISCF" sheetId="44" r:id="rId43"/>
    <sheet name="FIPF" sheetId="45" r:id="rId44"/>
    <sheet name="FIOF" sheetId="46" r:id="rId45"/>
    <sheet name="FIFEF" sheetId="47" r:id="rId46"/>
    <sheet name="FIEF" sheetId="48" r:id="rId47"/>
    <sheet name="FIEAF" sheetId="49" r:id="rId48"/>
    <sheet name="FIBF" sheetId="50" r:id="rId49"/>
    <sheet name="FBIF" sheetId="51" r:id="rId50"/>
    <sheet name="FAEF" sheetId="52" r:id="rId51"/>
    <sheet name="FIIF-NSE" sheetId="53" r:id="rId52"/>
    <sheet name="FITX" sheetId="54" r:id="rId53"/>
    <sheet name="FIUS" sheetId="55" r:id="rId54"/>
    <sheet name="FEGF" sheetId="56" r:id="rId55"/>
    <sheet name="FIMAS" sheetId="57" r:id="rId56"/>
    <sheet name="FIFOF-50's+" sheetId="58" r:id="rId57"/>
    <sheet name="FIFOF-50's" sheetId="59" r:id="rId58"/>
    <sheet name="FIFOF-40's" sheetId="60" r:id="rId59"/>
    <sheet name="FIFOF-30's" sheetId="61" r:id="rId60"/>
    <sheet name="FIFOF-20's" sheetId="62" r:id="rId61"/>
    <sheet name="FF" sheetId="63"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63" l="1"/>
  <c r="E10" i="63"/>
  <c r="E14" i="63" s="1"/>
  <c r="D10" i="63"/>
  <c r="D14" i="63" s="1"/>
  <c r="E13" i="62"/>
  <c r="E17" i="62" s="1"/>
  <c r="D13" i="62"/>
  <c r="D17" i="62" s="1"/>
  <c r="E13" i="61"/>
  <c r="E17" i="61" s="1"/>
  <c r="D13" i="61"/>
  <c r="D17" i="61" s="1"/>
  <c r="E13" i="60"/>
  <c r="E17" i="60" s="1"/>
  <c r="D13" i="60"/>
  <c r="D17" i="60" s="1"/>
  <c r="E12" i="59"/>
  <c r="E16" i="59" s="1"/>
  <c r="D12" i="59"/>
  <c r="D14" i="59" s="1"/>
  <c r="E9" i="58"/>
  <c r="E13" i="58" s="1"/>
  <c r="D9" i="58"/>
  <c r="D11" i="58" s="1"/>
  <c r="E15" i="57"/>
  <c r="E11" i="57"/>
  <c r="E13" i="57" s="1"/>
  <c r="D11" i="57"/>
  <c r="D15" i="57" s="1"/>
  <c r="E7" i="56"/>
  <c r="E9" i="56" s="1"/>
  <c r="D7" i="56"/>
  <c r="D9" i="56" s="1"/>
  <c r="E7" i="55"/>
  <c r="E11" i="55" s="1"/>
  <c r="D7" i="55"/>
  <c r="D11" i="55" s="1"/>
  <c r="F65" i="54"/>
  <c r="E65" i="54"/>
  <c r="F59" i="54"/>
  <c r="F69" i="54" s="1"/>
  <c r="E59" i="54"/>
  <c r="E69" i="54" s="1"/>
  <c r="F58" i="53"/>
  <c r="F62" i="53" s="1"/>
  <c r="E58" i="53"/>
  <c r="E62" i="53" s="1"/>
  <c r="F66" i="52"/>
  <c r="E66" i="52"/>
  <c r="F20" i="52"/>
  <c r="E20" i="52"/>
  <c r="F39" i="51"/>
  <c r="F35" i="51"/>
  <c r="F37" i="51" s="1"/>
  <c r="E35" i="51"/>
  <c r="E39" i="51" s="1"/>
  <c r="F31" i="50"/>
  <c r="F33" i="50" s="1"/>
  <c r="E31" i="50"/>
  <c r="E33" i="50" s="1"/>
  <c r="F59" i="49"/>
  <c r="F63" i="49" s="1"/>
  <c r="E59" i="49"/>
  <c r="E63" i="49" s="1"/>
  <c r="F60" i="48"/>
  <c r="E60" i="48"/>
  <c r="F54" i="48"/>
  <c r="F64" i="48" s="1"/>
  <c r="E54" i="48"/>
  <c r="E64" i="48" s="1"/>
  <c r="F34" i="47"/>
  <c r="F38" i="47" s="1"/>
  <c r="E34" i="47"/>
  <c r="E36" i="47" s="1"/>
  <c r="F49" i="46"/>
  <c r="E49" i="46"/>
  <c r="F42" i="46"/>
  <c r="E42" i="46"/>
  <c r="E53" i="46" s="1"/>
  <c r="F62" i="45"/>
  <c r="E62" i="45"/>
  <c r="F58" i="45"/>
  <c r="E58" i="45"/>
  <c r="E66" i="45" s="1"/>
  <c r="F71" i="44"/>
  <c r="F67" i="44"/>
  <c r="F69" i="44" s="1"/>
  <c r="E67" i="44"/>
  <c r="E71" i="44" s="1"/>
  <c r="F43" i="43"/>
  <c r="E43" i="43"/>
  <c r="F39" i="43"/>
  <c r="E39" i="43"/>
  <c r="F23" i="43"/>
  <c r="E23" i="43"/>
  <c r="F19" i="43"/>
  <c r="F47" i="43" s="1"/>
  <c r="E19" i="43"/>
  <c r="E45" i="43" s="1"/>
  <c r="F62" i="42"/>
  <c r="E62" i="42"/>
  <c r="F50" i="42"/>
  <c r="E50" i="42"/>
  <c r="F46" i="42"/>
  <c r="F66" i="42" s="1"/>
  <c r="E46" i="42"/>
  <c r="E66" i="42" s="1"/>
  <c r="E42" i="41"/>
  <c r="F40" i="41"/>
  <c r="F44" i="41" s="1"/>
  <c r="E40" i="41"/>
  <c r="E44" i="41" s="1"/>
  <c r="F83" i="40"/>
  <c r="E83" i="40"/>
  <c r="F74" i="40"/>
  <c r="E74" i="40"/>
  <c r="F70" i="40"/>
  <c r="E70" i="40"/>
  <c r="F65" i="40"/>
  <c r="E65" i="40"/>
  <c r="F61" i="40"/>
  <c r="E61" i="40"/>
  <c r="F50" i="40"/>
  <c r="E50" i="40"/>
  <c r="F46" i="40"/>
  <c r="E46" i="40"/>
  <c r="F41" i="40"/>
  <c r="F87" i="40" s="1"/>
  <c r="E41" i="40"/>
  <c r="F52" i="39"/>
  <c r="E52" i="39"/>
  <c r="F47" i="39"/>
  <c r="E47" i="39"/>
  <c r="F42" i="39"/>
  <c r="F54" i="39" s="1"/>
  <c r="E42" i="39"/>
  <c r="G38" i="39"/>
  <c r="D80" i="39" s="1"/>
  <c r="F38" i="39"/>
  <c r="E38" i="39"/>
  <c r="E54" i="39" s="1"/>
  <c r="E35" i="50" l="1"/>
  <c r="F42" i="41"/>
  <c r="E62" i="48"/>
  <c r="E61" i="49"/>
  <c r="F35" i="50"/>
  <c r="E70" i="52"/>
  <c r="E67" i="54"/>
  <c r="D9" i="55"/>
  <c r="E11" i="56"/>
  <c r="E14" i="59"/>
  <c r="D15" i="60"/>
  <c r="D15" i="62"/>
  <c r="E12" i="63"/>
  <c r="D11" i="56"/>
  <c r="E87" i="40"/>
  <c r="F64" i="42"/>
  <c r="F45" i="43"/>
  <c r="F66" i="45"/>
  <c r="F53" i="46"/>
  <c r="F61" i="49"/>
  <c r="F70" i="52"/>
  <c r="E9" i="55"/>
  <c r="D16" i="59"/>
  <c r="E15" i="60"/>
  <c r="E57" i="39"/>
  <c r="E64" i="42"/>
  <c r="E47" i="43"/>
  <c r="F57" i="39"/>
  <c r="E85" i="40"/>
  <c r="E60" i="53"/>
  <c r="F60" i="53"/>
  <c r="F67" i="54"/>
  <c r="E11" i="58"/>
  <c r="E69" i="44"/>
  <c r="E64" i="45"/>
  <c r="E51" i="46"/>
  <c r="E38" i="47"/>
  <c r="E37" i="51"/>
  <c r="E68" i="52"/>
  <c r="D13" i="57"/>
  <c r="D13" i="58"/>
  <c r="D15" i="61"/>
  <c r="F85" i="40"/>
  <c r="F36" i="47"/>
  <c r="F62" i="48"/>
  <c r="E15" i="62"/>
  <c r="F64" i="45"/>
  <c r="F51" i="46"/>
  <c r="F68" i="52"/>
  <c r="E15" i="61"/>
  <c r="F141" i="10"/>
  <c r="F143" i="10" s="1"/>
  <c r="E141" i="10"/>
  <c r="E143" i="10" s="1"/>
  <c r="F107" i="10"/>
  <c r="F109" i="10" s="1"/>
  <c r="E107" i="10"/>
  <c r="E111" i="10" s="1"/>
  <c r="F87" i="6"/>
  <c r="E85" i="6"/>
  <c r="E87" i="6" s="1"/>
  <c r="F174" i="3"/>
  <c r="F176" i="3" s="1"/>
  <c r="E174" i="3"/>
  <c r="E176" i="3" s="1"/>
  <c r="F135" i="3"/>
  <c r="F137" i="3" s="1"/>
  <c r="E135" i="3"/>
  <c r="E139" i="3" s="1"/>
  <c r="F86" i="5"/>
  <c r="F88" i="5" s="1"/>
  <c r="E86" i="5"/>
  <c r="E90" i="5" s="1"/>
  <c r="F123" i="9"/>
  <c r="F125" i="9" s="1"/>
  <c r="E123" i="9"/>
  <c r="E127" i="9" s="1"/>
  <c r="F90" i="9"/>
  <c r="F92" i="9" s="1"/>
  <c r="E90" i="9"/>
  <c r="E94" i="9" s="1"/>
  <c r="E89" i="6" l="1"/>
  <c r="E178" i="3"/>
  <c r="E145" i="10"/>
  <c r="E109" i="10"/>
  <c r="E137" i="3"/>
  <c r="E88" i="5"/>
  <c r="E125" i="9"/>
  <c r="E92" i="9"/>
  <c r="F63" i="38"/>
  <c r="E63" i="38"/>
  <c r="F54" i="38"/>
  <c r="E54" i="38"/>
  <c r="F50" i="38"/>
  <c r="E50" i="38"/>
  <c r="F45" i="38"/>
  <c r="E45" i="38"/>
  <c r="F35" i="38"/>
  <c r="E35" i="38"/>
  <c r="F75" i="37"/>
  <c r="E75" i="37"/>
  <c r="F65" i="37"/>
  <c r="E65" i="37"/>
  <c r="F61" i="37"/>
  <c r="E61" i="37"/>
  <c r="F55" i="37"/>
  <c r="E55" i="37"/>
  <c r="F51" i="37"/>
  <c r="E51" i="37"/>
  <c r="F39" i="37"/>
  <c r="F79" i="37" s="1"/>
  <c r="F77" i="37"/>
  <c r="E39" i="37"/>
  <c r="F39" i="36"/>
  <c r="E39" i="36"/>
  <c r="F35" i="36"/>
  <c r="E35" i="36"/>
  <c r="F30" i="36"/>
  <c r="F43" i="36" s="1"/>
  <c r="E30" i="36"/>
  <c r="F25" i="36"/>
  <c r="E25" i="36"/>
  <c r="E41" i="36" s="1"/>
  <c r="E43" i="36"/>
  <c r="F39" i="35"/>
  <c r="E39" i="35"/>
  <c r="F35" i="35"/>
  <c r="E35" i="35"/>
  <c r="F31" i="35"/>
  <c r="E31" i="35"/>
  <c r="F26" i="35"/>
  <c r="F41" i="35" s="1"/>
  <c r="E26" i="35"/>
  <c r="E43" i="35" s="1"/>
  <c r="F21" i="35"/>
  <c r="E21" i="35"/>
  <c r="F42" i="34"/>
  <c r="E42" i="34"/>
  <c r="F38" i="34"/>
  <c r="E38" i="34"/>
  <c r="F34" i="34"/>
  <c r="E34" i="34"/>
  <c r="F29" i="34"/>
  <c r="E29" i="34"/>
  <c r="F23" i="34"/>
  <c r="F44" i="34" s="1"/>
  <c r="E23" i="34"/>
  <c r="E46" i="34" s="1"/>
  <c r="F40" i="33"/>
  <c r="E40" i="33"/>
  <c r="F36" i="33"/>
  <c r="E36" i="33"/>
  <c r="F32" i="33"/>
  <c r="E32" i="33"/>
  <c r="E44" i="33" s="1"/>
  <c r="F27" i="33"/>
  <c r="E27" i="33"/>
  <c r="F21" i="33"/>
  <c r="F44" i="33"/>
  <c r="E21" i="33"/>
  <c r="F36" i="32"/>
  <c r="E36" i="32"/>
  <c r="F32" i="32"/>
  <c r="E32" i="32"/>
  <c r="F27" i="32"/>
  <c r="E27" i="32"/>
  <c r="F22" i="32"/>
  <c r="F40" i="32" s="1"/>
  <c r="E22" i="32"/>
  <c r="E40" i="32" s="1"/>
  <c r="F38" i="31"/>
  <c r="E38" i="31"/>
  <c r="F34" i="31"/>
  <c r="E34" i="31"/>
  <c r="F29" i="31"/>
  <c r="E29" i="31"/>
  <c r="F24" i="31"/>
  <c r="F42" i="31" s="1"/>
  <c r="E24" i="31"/>
  <c r="E42" i="31" s="1"/>
  <c r="F34" i="30"/>
  <c r="E34" i="30"/>
  <c r="F30" i="30"/>
  <c r="E30" i="30"/>
  <c r="F25" i="30"/>
  <c r="F36" i="30" s="1"/>
  <c r="E25" i="30"/>
  <c r="F20" i="30"/>
  <c r="F38" i="30" s="1"/>
  <c r="E20" i="30"/>
  <c r="F37" i="29"/>
  <c r="E37" i="29"/>
  <c r="F33" i="29"/>
  <c r="E33" i="29"/>
  <c r="F28" i="29"/>
  <c r="E28" i="29"/>
  <c r="F22" i="29"/>
  <c r="E22" i="29"/>
  <c r="E41" i="29" s="1"/>
  <c r="F36" i="28"/>
  <c r="E36" i="28"/>
  <c r="F31" i="28"/>
  <c r="E31" i="28"/>
  <c r="F26" i="28"/>
  <c r="E26" i="28"/>
  <c r="F33" i="27"/>
  <c r="E33" i="27"/>
  <c r="F28" i="27"/>
  <c r="E28" i="27"/>
  <c r="F24" i="27"/>
  <c r="E24" i="27"/>
  <c r="E35" i="27" s="1"/>
  <c r="F35" i="26"/>
  <c r="E35" i="26"/>
  <c r="F30" i="26"/>
  <c r="E30" i="26"/>
  <c r="F26" i="26"/>
  <c r="F39" i="26" s="1"/>
  <c r="E26" i="26"/>
  <c r="F28" i="25"/>
  <c r="E28" i="25"/>
  <c r="E30" i="25" s="1"/>
  <c r="F23" i="25"/>
  <c r="E23" i="25"/>
  <c r="E32" i="25" s="1"/>
  <c r="F27" i="24"/>
  <c r="E27" i="24"/>
  <c r="F22" i="24"/>
  <c r="E22" i="24"/>
  <c r="F17" i="24"/>
  <c r="E17" i="24"/>
  <c r="E31" i="24" s="1"/>
  <c r="F29" i="23"/>
  <c r="E29" i="23"/>
  <c r="F24" i="23"/>
  <c r="E24" i="23"/>
  <c r="F20" i="23"/>
  <c r="E20" i="23"/>
  <c r="E33" i="23" s="1"/>
  <c r="F27" i="22"/>
  <c r="E27" i="22"/>
  <c r="F23" i="22"/>
  <c r="F31" i="22" s="1"/>
  <c r="E23" i="22"/>
  <c r="E31" i="22" s="1"/>
  <c r="F19" i="21"/>
  <c r="F23" i="21" s="1"/>
  <c r="E19" i="21"/>
  <c r="E21" i="21" s="1"/>
  <c r="F24" i="20"/>
  <c r="F28" i="20" s="1"/>
  <c r="E24" i="20"/>
  <c r="E28" i="20"/>
  <c r="F24" i="19"/>
  <c r="F28" i="19" s="1"/>
  <c r="E24" i="19"/>
  <c r="E26" i="19" s="1"/>
  <c r="F21" i="18"/>
  <c r="F25" i="18" s="1"/>
  <c r="E21" i="18"/>
  <c r="E25" i="18" s="1"/>
  <c r="F20" i="17"/>
  <c r="F22" i="17" s="1"/>
  <c r="E20" i="17"/>
  <c r="E24" i="17" s="1"/>
  <c r="E22" i="17"/>
  <c r="F21" i="16"/>
  <c r="F25" i="16" s="1"/>
  <c r="E21" i="16"/>
  <c r="E25" i="16" s="1"/>
  <c r="F22" i="15"/>
  <c r="F26" i="15"/>
  <c r="E22" i="15"/>
  <c r="E26" i="15" s="1"/>
  <c r="F37" i="14"/>
  <c r="E37" i="14"/>
  <c r="F28" i="14"/>
  <c r="E28" i="14"/>
  <c r="F22" i="14"/>
  <c r="E22" i="14"/>
  <c r="E41" i="14" s="1"/>
  <c r="F9" i="14"/>
  <c r="E9" i="14"/>
  <c r="E39" i="14" s="1"/>
  <c r="F57" i="12"/>
  <c r="E57" i="12"/>
  <c r="F52" i="12"/>
  <c r="E52" i="12"/>
  <c r="F48" i="12"/>
  <c r="F59" i="12" s="1"/>
  <c r="E48" i="12"/>
  <c r="F41" i="12"/>
  <c r="F61" i="12" s="1"/>
  <c r="E41" i="12"/>
  <c r="F67" i="11"/>
  <c r="E67" i="11"/>
  <c r="F63" i="11"/>
  <c r="E63" i="11"/>
  <c r="F59" i="11"/>
  <c r="E59" i="11"/>
  <c r="F54" i="11"/>
  <c r="E54" i="11"/>
  <c r="E71" i="11" s="1"/>
  <c r="F50" i="11"/>
  <c r="E50" i="11"/>
  <c r="F63" i="10"/>
  <c r="E63" i="10"/>
  <c r="F48" i="10"/>
  <c r="E48" i="10"/>
  <c r="F47" i="9"/>
  <c r="E47" i="9"/>
  <c r="F32" i="9"/>
  <c r="E32" i="9"/>
  <c r="F23" i="8"/>
  <c r="E23" i="8"/>
  <c r="F16" i="8"/>
  <c r="E16" i="8"/>
  <c r="F11" i="8"/>
  <c r="E11" i="8"/>
  <c r="E27" i="8" s="1"/>
  <c r="F18" i="7"/>
  <c r="E18" i="7"/>
  <c r="F8" i="7"/>
  <c r="E8" i="7"/>
  <c r="F43" i="6"/>
  <c r="E43" i="6"/>
  <c r="F29" i="6"/>
  <c r="E29" i="6"/>
  <c r="E45" i="6" s="1"/>
  <c r="F42" i="5"/>
  <c r="E42" i="5"/>
  <c r="F33" i="5"/>
  <c r="E33" i="5"/>
  <c r="F35" i="4"/>
  <c r="E35" i="4"/>
  <c r="F27" i="4"/>
  <c r="E27" i="4"/>
  <c r="E37" i="4" s="1"/>
  <c r="F12" i="4"/>
  <c r="E12" i="4"/>
  <c r="F83" i="3"/>
  <c r="E83" i="3"/>
  <c r="F57" i="3"/>
  <c r="E57" i="3"/>
  <c r="F52" i="2"/>
  <c r="E52" i="2"/>
  <c r="F44" i="2"/>
  <c r="E44" i="2"/>
  <c r="F41" i="36"/>
  <c r="E41" i="35"/>
  <c r="F42" i="33"/>
  <c r="F38" i="32"/>
  <c r="F39" i="29"/>
  <c r="E37" i="27"/>
  <c r="E29" i="24"/>
  <c r="E29" i="22"/>
  <c r="E26" i="20"/>
  <c r="F26" i="20"/>
  <c r="F24" i="15"/>
  <c r="E69" i="11" l="1"/>
  <c r="F25" i="8"/>
  <c r="F69" i="11"/>
  <c r="E61" i="12"/>
  <c r="F23" i="16"/>
  <c r="F23" i="18"/>
  <c r="F26" i="19"/>
  <c r="F32" i="25"/>
  <c r="F37" i="26"/>
  <c r="F38" i="28"/>
  <c r="E38" i="30"/>
  <c r="F56" i="2"/>
  <c r="F37" i="4"/>
  <c r="E49" i="9"/>
  <c r="F41" i="14"/>
  <c r="E31" i="23"/>
  <c r="F29" i="24"/>
  <c r="E39" i="26"/>
  <c r="E40" i="28"/>
  <c r="E40" i="31"/>
  <c r="F46" i="34"/>
  <c r="E77" i="37"/>
  <c r="E25" i="8"/>
  <c r="E28" i="19"/>
  <c r="E23" i="21"/>
  <c r="F31" i="23"/>
  <c r="F35" i="27"/>
  <c r="F41" i="29"/>
  <c r="E44" i="34"/>
  <c r="E79" i="37"/>
  <c r="F40" i="28"/>
  <c r="E24" i="15"/>
  <c r="F37" i="27"/>
  <c r="F71" i="11"/>
  <c r="F27" i="8"/>
  <c r="F39" i="14"/>
  <c r="E23" i="18"/>
  <c r="F21" i="21"/>
  <c r="F33" i="23"/>
  <c r="E37" i="26"/>
  <c r="F40" i="31"/>
  <c r="E42" i="33"/>
  <c r="F22" i="7"/>
  <c r="E59" i="12"/>
  <c r="F24" i="17"/>
  <c r="F31" i="24"/>
  <c r="F30" i="25"/>
  <c r="E36" i="30"/>
  <c r="F43" i="35"/>
  <c r="E67" i="38"/>
  <c r="E38" i="28"/>
  <c r="E56" i="2"/>
  <c r="E39" i="4"/>
  <c r="E46" i="5"/>
  <c r="E20" i="7"/>
  <c r="E23" i="16"/>
  <c r="F29" i="22"/>
  <c r="E39" i="29"/>
  <c r="E38" i="32"/>
  <c r="F67" i="38"/>
  <c r="E65" i="38"/>
  <c r="F65" i="38"/>
  <c r="E65" i="10"/>
  <c r="F67" i="10"/>
  <c r="E67" i="10"/>
  <c r="F65" i="10"/>
  <c r="F47" i="6"/>
  <c r="E47" i="6"/>
  <c r="F45" i="6"/>
  <c r="E87" i="3"/>
  <c r="E85" i="3"/>
  <c r="F85" i="3"/>
  <c r="F87" i="3"/>
  <c r="F54" i="2"/>
  <c r="E54" i="2"/>
  <c r="E44" i="5"/>
  <c r="F44" i="5"/>
  <c r="F46" i="5"/>
  <c r="E51" i="9"/>
  <c r="F49" i="9"/>
  <c r="F51" i="9"/>
  <c r="E22" i="7"/>
  <c r="F20" i="7"/>
  <c r="F39" i="4"/>
</calcChain>
</file>

<file path=xl/sharedStrings.xml><?xml version="1.0" encoding="utf-8"?>
<sst xmlns="http://schemas.openxmlformats.org/spreadsheetml/2006/main" count="7565" uniqueCount="1517">
  <si>
    <t>Franklin India Liquid Fund</t>
  </si>
  <si>
    <t>Portfolio Statement as on December 31, 2020</t>
  </si>
  <si>
    <t>ISIN Number</t>
  </si>
  <si>
    <t>Name of the Instrument</t>
  </si>
  <si>
    <t>Rating</t>
  </si>
  <si>
    <t>Quantity</t>
  </si>
  <si>
    <t xml:space="preserve">Market Value(Rs. in Lakhs) </t>
  </si>
  <si>
    <t>% to Net Assets</t>
  </si>
  <si>
    <t>YTM</t>
  </si>
  <si>
    <t>Debt Instruments</t>
  </si>
  <si>
    <t>(a) Listed / awaiting listing on Stock Exchanges</t>
  </si>
  <si>
    <t>INE774D07RV3</t>
  </si>
  <si>
    <t>7.532% Mahindra &amp; Mahindra Financial Services Ltd (29-Jan-2021) **</t>
  </si>
  <si>
    <t>IND AAA</t>
  </si>
  <si>
    <t>INE115A07MT0</t>
  </si>
  <si>
    <t>7.88% LIC Housing Finance Ltd (28-Jan-2021) **</t>
  </si>
  <si>
    <t>CRISIL AAA</t>
  </si>
  <si>
    <t>Sub Total</t>
  </si>
  <si>
    <t>Money Market Instruments</t>
  </si>
  <si>
    <t>Commercial Paper</t>
  </si>
  <si>
    <t>INE001A14WY7</t>
  </si>
  <si>
    <t>Housing Development Finance Corporation Ltd (22-Jan-2021) **@</t>
  </si>
  <si>
    <t>ICRA A1+</t>
  </si>
  <si>
    <t>INE733E14948</t>
  </si>
  <si>
    <t>NTPC Ltd (01-Feb-2021) **@</t>
  </si>
  <si>
    <t>CRISIL A1+</t>
  </si>
  <si>
    <t>INE103A14207</t>
  </si>
  <si>
    <t>Mangalore Refinery &amp; Petrochemicals Ltd (17-Feb-2021) **@</t>
  </si>
  <si>
    <t>INE763G14JE8</t>
  </si>
  <si>
    <t>ICICI Securities Ltd (16-Feb-2021) **@</t>
  </si>
  <si>
    <t>INE975F14TP5</t>
  </si>
  <si>
    <t>Kotak Mahindra Investments Ltd (18-Feb-2021) **@</t>
  </si>
  <si>
    <t>INE261F14GR3</t>
  </si>
  <si>
    <t>National Bank For Agriculture &amp; Rural Development (10-Mar-2021) **@</t>
  </si>
  <si>
    <t>INE002A14GZ5</t>
  </si>
  <si>
    <t>Reliance Industries Ltd (18-Mar-2021) **@</t>
  </si>
  <si>
    <t>INE027E14JU9</t>
  </si>
  <si>
    <t>L&amp;T Finance Ltd (20-Jan-2021) **@</t>
  </si>
  <si>
    <t>CARE A1+</t>
  </si>
  <si>
    <t>INE377Y14702</t>
  </si>
  <si>
    <t>Bajaj Housing Finance Ltd (27-Jan-2021) **@</t>
  </si>
  <si>
    <t>Treasury Bill</t>
  </si>
  <si>
    <t>IN002020Y157</t>
  </si>
  <si>
    <t>182 DTB (14-Jan-2021)</t>
  </si>
  <si>
    <t>SOVEREIGN</t>
  </si>
  <si>
    <t>IN002020X407</t>
  </si>
  <si>
    <t>91 DTB (25-Mar-2021)</t>
  </si>
  <si>
    <t>IN002020Y140</t>
  </si>
  <si>
    <t>182 DTB (07-Jan-2021)</t>
  </si>
  <si>
    <t>Government Securities</t>
  </si>
  <si>
    <t>IN3520180057</t>
  </si>
  <si>
    <t>7.64% Chhattisgarh SDL (02-Jan-2021)</t>
  </si>
  <si>
    <t>IN2220100084</t>
  </si>
  <si>
    <t>8.51% Maharashtra  SDL (17-Feb-2021)</t>
  </si>
  <si>
    <t>IN0020180470</t>
  </si>
  <si>
    <t>7.00% GOI 2021 (21-Jan-2021)</t>
  </si>
  <si>
    <t>IN1520100133</t>
  </si>
  <si>
    <t>8.46% Gujarat SDL (03-Mar-2021)</t>
  </si>
  <si>
    <t>IN2220100068</t>
  </si>
  <si>
    <t>8.54% Maharashtra  SDL (19-Jan-2021)</t>
  </si>
  <si>
    <t>IN1720150060</t>
  </si>
  <si>
    <t>8.14% Himachal Pradesh SDL (13-Jan-2021)</t>
  </si>
  <si>
    <t>Total</t>
  </si>
  <si>
    <t>Call, Cash &amp; Other Assets</t>
  </si>
  <si>
    <t>Net Assets</t>
  </si>
  <si>
    <t>@ Listed</t>
  </si>
  <si>
    <t>** Non- Traded Scrips</t>
  </si>
  <si>
    <t>Notes</t>
  </si>
  <si>
    <t>a) NAV at the beginning and at the end of the Half-year ended 31-Dec-2020</t>
  </si>
  <si>
    <t xml:space="preserve">      Plan/Option</t>
  </si>
  <si>
    <t>As on 30-Jun-2020</t>
  </si>
  <si>
    <t>As on 31-Dec-2020</t>
  </si>
  <si>
    <t xml:space="preserve">      Regular Plan Growth Option</t>
  </si>
  <si>
    <t xml:space="preserve">      Regular Plan Daily Dividend Reinvestment Option</t>
  </si>
  <si>
    <t xml:space="preserve">      Regular Plan Weekly Dividend Option</t>
  </si>
  <si>
    <t xml:space="preserve">      Institutional Plan Growth Option</t>
  </si>
  <si>
    <t>N..A **</t>
  </si>
  <si>
    <t xml:space="preserve">      Institutional Plan Daily Dividend Reinvestment Option</t>
  </si>
  <si>
    <t xml:space="preserve">      Institutional Plan Weekly Dividend Option</t>
  </si>
  <si>
    <t xml:space="preserve">      Super Institutional Plan Growth Option</t>
  </si>
  <si>
    <t xml:space="preserve">      Super Institutional Plan Daily Dividend Reinvestment Option</t>
  </si>
  <si>
    <t xml:space="preserve">      Super Institutional Plan Weekly Dividend Option</t>
  </si>
  <si>
    <t xml:space="preserve">      Direct Super Institutional Growth Option</t>
  </si>
  <si>
    <t xml:space="preserve">      Direct Super Institutional Daily Dividend Reinvestment Option</t>
  </si>
  <si>
    <t xml:space="preserve">      Direct Super Institutional Weekly Dividend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</si>
  <si>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</si>
  <si>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</si>
  <si>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</si>
  <si>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</si>
  <si>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 Plan closed effective 09 July 2020</t>
  </si>
  <si>
    <t>b) Aggregate Dividends declared during the Half - year ended 31-Dec-2020</t>
  </si>
  <si>
    <t>Plan Name</t>
  </si>
  <si>
    <t>Dividend per unit (Rs.)+++</t>
  </si>
  <si>
    <t>+++ Dividend payouts/ re-investments are subject to deduction of TDS at the applicable rates.</t>
  </si>
  <si>
    <t>c) Average Maturity as on 31-Dec-2020</t>
  </si>
  <si>
    <t>(In Years)</t>
  </si>
  <si>
    <t>Nil</t>
  </si>
  <si>
    <t>Franklin India Overnight Fund</t>
  </si>
  <si>
    <t xml:space="preserve">      Growth Plan</t>
  </si>
  <si>
    <t xml:space="preserve">      Daily Dividend Plan</t>
  </si>
  <si>
    <t xml:space="preserve">      Weekly Dividend Plan</t>
  </si>
  <si>
    <t xml:space="preserve">      Direct Growth Plan</t>
  </si>
  <si>
    <t xml:space="preserve">      Direct Daily Dividend Plan</t>
  </si>
  <si>
    <t xml:space="preserve">      Direct Weekly Dividend Plan</t>
  </si>
  <si>
    <t>Franklin India Savings Fund</t>
  </si>
  <si>
    <t>Certificate of Deposit</t>
  </si>
  <si>
    <t>INE028A16BX1</t>
  </si>
  <si>
    <t>Bank of Baroda (11-Feb-2021) **</t>
  </si>
  <si>
    <t>IND A1+</t>
  </si>
  <si>
    <t>INE238A164V6</t>
  </si>
  <si>
    <t>Axis Bank Ltd (MIBOR+30 Bps ) (23-Dec-2021) **</t>
  </si>
  <si>
    <t>INE028A16BY9</t>
  </si>
  <si>
    <t>Bank of Baroda (09-Mar-2021) **</t>
  </si>
  <si>
    <t>INE261F16488</t>
  </si>
  <si>
    <t>National Bank For Agriculture &amp; Rural Development (03-Feb-2021) **</t>
  </si>
  <si>
    <t>INE261F16512</t>
  </si>
  <si>
    <t>National Bank For Agriculture &amp; Rural Development (05-Mar-2021) **</t>
  </si>
  <si>
    <t>INE110L14NK1</t>
  </si>
  <si>
    <t>Reliance Jio Infocomm Ltd (09-Feb-2021) **@</t>
  </si>
  <si>
    <t>INE691I14JS7</t>
  </si>
  <si>
    <t>L&amp;T Infrastructure Finance Co Ltd (29-Jan-2021) **@</t>
  </si>
  <si>
    <t>INE134E14AR8</t>
  </si>
  <si>
    <t>Power Finance Corporation Ltd (30-Jul-2021)@</t>
  </si>
  <si>
    <t>INE001A14WG4</t>
  </si>
  <si>
    <t>Housing Development Finance Corporation Ltd (13-Jan-2021) **@</t>
  </si>
  <si>
    <t>INE377Y14710</t>
  </si>
  <si>
    <t>Bajaj Housing Finance Ltd (29-Jan-2021) **@</t>
  </si>
  <si>
    <t>INE691I14JR9</t>
  </si>
  <si>
    <t>L&amp;T Infrastructure Finance Co Ltd (08-Feb-2021) **@</t>
  </si>
  <si>
    <t>INE002A14FM5</t>
  </si>
  <si>
    <t>Reliance Industries Ltd (05-Mar-2021) **@</t>
  </si>
  <si>
    <t>INE002A14EY3</t>
  </si>
  <si>
    <t>Reliance Industries Ltd (15-Mar-2021)@</t>
  </si>
  <si>
    <t>INE975F14SW3</t>
  </si>
  <si>
    <t>Kotak Mahindra Investments Ltd (23-Mar-2021) **@</t>
  </si>
  <si>
    <t>INE001A14WM2</t>
  </si>
  <si>
    <t>Housing Development Finance Corporation Ltd (10-Mar-2021) **@</t>
  </si>
  <si>
    <t>INE261F14HE9</t>
  </si>
  <si>
    <t>National Bank For Agriculture &amp; Rural Development (28-May-2021) **@</t>
  </si>
  <si>
    <t>IN002020Y223</t>
  </si>
  <si>
    <t>182 DTB (04-Mar-2021)</t>
  </si>
  <si>
    <t>IN002019Z537</t>
  </si>
  <si>
    <t>364 DTB (25-Mar-2021)</t>
  </si>
  <si>
    <t>IN002019Z511</t>
  </si>
  <si>
    <t>364 DTB (11-Mar-2021)</t>
  </si>
  <si>
    <t>IN002019Z545</t>
  </si>
  <si>
    <t>364 DTB (30-Mar-2021)</t>
  </si>
  <si>
    <t>IN002020Y249</t>
  </si>
  <si>
    <t>182 DTB (18-Mar-2021)</t>
  </si>
  <si>
    <t xml:space="preserve">      Retail Plan Growth Option</t>
  </si>
  <si>
    <t xml:space="preserve">      Retail Plan Daily Dividend Option</t>
  </si>
  <si>
    <t xml:space="preserve">      Retail Plan Monthly Dividend Option</t>
  </si>
  <si>
    <t xml:space="preserve">      Retail Plan Quarterly Dividend Option</t>
  </si>
  <si>
    <t xml:space="preserve">      Direct Retail Plan Growth Option</t>
  </si>
  <si>
    <t xml:space="preserve">      Direct Retail Plan Daily Dividend Option</t>
  </si>
  <si>
    <t xml:space="preserve">      Direct Retail Plan Monthly Dividend Option</t>
  </si>
  <si>
    <t xml:space="preserve">      Direct Retail Plan Quarterly Dividend Option</t>
  </si>
  <si>
    <t>Franklin India Floating Rate Fund</t>
  </si>
  <si>
    <t>INE831R07268</t>
  </si>
  <si>
    <t>Aditya Birla Housing Finance Ltd (364DTB +250 Bps) (17-Feb-2023) **</t>
  </si>
  <si>
    <t>ICRA AAA</t>
  </si>
  <si>
    <t>INE756I07CA5</t>
  </si>
  <si>
    <t>HDB Financial Services Ltd (91DTB + 205 Bps) (12-Jul-2021) **</t>
  </si>
  <si>
    <t>INE651J07739</t>
  </si>
  <si>
    <t>JM Financial Credit Solutions Ltd (1Y SBI MCLR + 460 Bps) (23-Jul-2024) **</t>
  </si>
  <si>
    <t>ICRA AA</t>
  </si>
  <si>
    <t>INE896L07561</t>
  </si>
  <si>
    <t>Indostar Capital Finance Ltd (1Y SBI MCLR + 200 Bps) (02-May-2023) **</t>
  </si>
  <si>
    <t>CARE AA-</t>
  </si>
  <si>
    <t>IN0020160084</t>
  </si>
  <si>
    <t>GOI FRB 2024 (07-Nov-2024)</t>
  </si>
  <si>
    <t>IN0020200112</t>
  </si>
  <si>
    <t>5.22% GOI 2025 (15-Jun-2025)</t>
  </si>
  <si>
    <t>IN0020200153</t>
  </si>
  <si>
    <t>5.77% GOI 2030 (03-Aug-2030)</t>
  </si>
  <si>
    <t>IN0020160050</t>
  </si>
  <si>
    <t>6.84% GOI 2022 (19-Dec-2022)</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</si>
  <si>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</si>
  <si>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</si>
  <si>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</si>
  <si>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</si>
  <si>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</si>
  <si>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</si>
  <si>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</si>
  <si>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 **</t>
  </si>
  <si>
    <t>INE163N08065</t>
  </si>
  <si>
    <t>8.60% ONGC Petro Additions Ltd (11-Mar-2022) **</t>
  </si>
  <si>
    <t>CARE AAA(CE)</t>
  </si>
  <si>
    <t>INE295J08022</t>
  </si>
  <si>
    <t>9.90% Coastal Gujarat Power Ltd (25-Aug-2028) **</t>
  </si>
  <si>
    <t>CARE AA(CE)</t>
  </si>
  <si>
    <t>INE163N08073</t>
  </si>
  <si>
    <t>8.85% ONGC Petro Additions Ltd (19-Apr-2022) **</t>
  </si>
  <si>
    <t>INE134E08JC3</t>
  </si>
  <si>
    <t>7.44% Power Finance Corporation Ltd (11-Jun-2027) **</t>
  </si>
  <si>
    <t>INE020B08CM4</t>
  </si>
  <si>
    <t>6.99% REC Ltd (30-Sep-2024) **</t>
  </si>
  <si>
    <t>INE261F08BI5</t>
  </si>
  <si>
    <t>7.90% National Bank For Agriculture &amp; Rural Development (18-Apr-2022) **</t>
  </si>
  <si>
    <t>INE020B08AM8</t>
  </si>
  <si>
    <t>7.09% REC Ltd (17-Oct-2022) **</t>
  </si>
  <si>
    <t>INE906B07FG1</t>
  </si>
  <si>
    <t>7.60% National Highways Authority Of India (18-Mar-2022) **</t>
  </si>
  <si>
    <t>INE053F07CC9</t>
  </si>
  <si>
    <t>6.19% Indian Railway Finance Corporation Ltd (28-Apr-2023) **</t>
  </si>
  <si>
    <t>INE557F08FJ5</t>
  </si>
  <si>
    <t>5.80% National Housing Bank (15-May-2023) **</t>
  </si>
  <si>
    <t>INE848E07989</t>
  </si>
  <si>
    <t>7.52% NHPC Ltd (06-Jun-2023) **</t>
  </si>
  <si>
    <t>CARE AAA</t>
  </si>
  <si>
    <t>INE094A08036</t>
  </si>
  <si>
    <t>7.00% Hindustan Petroleum Corporation Ltd (14-Aug-2024) **</t>
  </si>
  <si>
    <t>INE115A07NM3</t>
  </si>
  <si>
    <t>0.00% LIC Housing Finance Ltd (25-Feb-2022) **</t>
  </si>
  <si>
    <t>INE941D08065</t>
  </si>
  <si>
    <t>10.25% Sikka Ports &amp; Terminals Ltd (22-Aug-2021) **</t>
  </si>
  <si>
    <t>INE906B07FE6</t>
  </si>
  <si>
    <t>7.17% National Highways Authority Of India (23-Dec-2021) **</t>
  </si>
  <si>
    <t>INE514E08EQ7</t>
  </si>
  <si>
    <t>8.02% Export-Import Bank of India (29-Oct-2025) **</t>
  </si>
  <si>
    <t>INE721A08DC8</t>
  </si>
  <si>
    <t>10.25% Shriram Transport Finance Co Ltd (26-Apr-2024) **</t>
  </si>
  <si>
    <t>CRISIL AA+</t>
  </si>
  <si>
    <t>INE261F08AL1</t>
  </si>
  <si>
    <t>8.39% National Bank For Agriculture &amp; Rural Development (19-Jul-2021)</t>
  </si>
  <si>
    <t>INE020B08930</t>
  </si>
  <si>
    <t>8.30% REC Ltd (10-Apr-2025) **</t>
  </si>
  <si>
    <t>INE134E08KH0</t>
  </si>
  <si>
    <t>7.42% Power Finance Corporation Ltd (19-Nov-2024) **</t>
  </si>
  <si>
    <t>INE134E08KN8</t>
  </si>
  <si>
    <t>6.98% Power Finance Corporation Ltd (20-Apr-2023) **</t>
  </si>
  <si>
    <t>INE261F08AI7</t>
  </si>
  <si>
    <t>8.60% National Bank For Agriculture &amp; Rural Development (31-Jan-2022) **</t>
  </si>
  <si>
    <t>INE134E08JW1</t>
  </si>
  <si>
    <t>8.18% Power Finance Corporation Ltd (19-Mar-2022) **</t>
  </si>
  <si>
    <t>INE031A08699</t>
  </si>
  <si>
    <t>8.41% Housing &amp; Urban Development Corporation Ltd (15-Mar-2029) **</t>
  </si>
  <si>
    <t>INE535H07AG6</t>
  </si>
  <si>
    <t>0.00% Fullerton India Credit Co Ltd (08-Apr-2021) **</t>
  </si>
  <si>
    <t>INE941D07125</t>
  </si>
  <si>
    <t>10.40% Sikka Ports &amp; Terminals Ltd (18-Jul-2021)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</si>
  <si>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</si>
  <si>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</si>
  <si>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</si>
  <si>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</si>
  <si>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</si>
  <si>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</si>
  <si>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</si>
  <si>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</si>
  <si>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INE020B08BQ7</t>
  </si>
  <si>
    <t>8.85% REC Ltd (16-Apr-2029) **</t>
  </si>
  <si>
    <t>INE134E08KC1</t>
  </si>
  <si>
    <t>8.85% Power Finance Corporation Ltd (25-May-2029) **</t>
  </si>
  <si>
    <t>INE752E07MZ9</t>
  </si>
  <si>
    <t>8.40% Power Grid Corporation of India Ltd (14-Sep-2021) **</t>
  </si>
  <si>
    <t>INE756I07CD9</t>
  </si>
  <si>
    <t>0.00% HDB Financial Services Ltd (29-Oct-2021) **</t>
  </si>
  <si>
    <t>INE848E07815</t>
  </si>
  <si>
    <t>8.50% NHPC Ltd (14-Jul-2021) **</t>
  </si>
  <si>
    <t>INE860H07GE0</t>
  </si>
  <si>
    <t>0.00% Aditya Birla Finance Ltd (08-Apr-2022) **</t>
  </si>
  <si>
    <t>INE029A07075</t>
  </si>
  <si>
    <t>7.35% Bharat Petroleum Corporation Ltd (10-Mar-2022) **</t>
  </si>
  <si>
    <t>INE053F07AK6</t>
  </si>
  <si>
    <t>7.65% Indian Railway Finance Corporation Ltd (15-Mar-2021) **</t>
  </si>
  <si>
    <t>INE053F07942</t>
  </si>
  <si>
    <t>6.70% Indian Railway Finance Corporation Ltd (24-Nov-2021) **</t>
  </si>
  <si>
    <t>INE053F09HR2</t>
  </si>
  <si>
    <t>9.57% Indian Railway Finance Corporation Ltd (31-May-2021) **</t>
  </si>
  <si>
    <t>(b) Privately Placed / Unlisted</t>
  </si>
  <si>
    <t>INE801J08019</t>
  </si>
  <si>
    <t>7.48% Bennett Coleman and Co Ltd (26-Apr-2021) **</t>
  </si>
  <si>
    <t>IN0020180488</t>
  </si>
  <si>
    <t>7.32% GOI 2024 (28-Jan-2024)</t>
  </si>
  <si>
    <t xml:space="preserve">      Monthly Dividend Plan</t>
  </si>
  <si>
    <t xml:space="preserve">      Quarterly Dividend Plan</t>
  </si>
  <si>
    <t xml:space="preserve">      Half Yearly Dividend Plan</t>
  </si>
  <si>
    <t xml:space="preserve">      Annual Dividend Plan</t>
  </si>
  <si>
    <t xml:space="preserve">      Direct Monthly Dividend Plan</t>
  </si>
  <si>
    <t xml:space="preserve">      Direct Quarterly Dividend Plan</t>
  </si>
  <si>
    <t xml:space="preserve">      Direct Half Yearly Dividend Plan</t>
  </si>
  <si>
    <t xml:space="preserve">      Direct Annual Dividend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</si>
  <si>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</si>
  <si>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</si>
  <si>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Franklin India Banking &amp; PSU Debt Fund</t>
  </si>
  <si>
    <t>INE557F08FG1</t>
  </si>
  <si>
    <t>7.05% National Housing Bank (18-Dec-2024) **</t>
  </si>
  <si>
    <t>INE020B08997</t>
  </si>
  <si>
    <t>7.24% REC Ltd (21-Oct-2021) **</t>
  </si>
  <si>
    <t>INE514E08FG5</t>
  </si>
  <si>
    <t>7.62% Export-Import Bank of India (01-Sep-2026) **</t>
  </si>
  <si>
    <t>INE556F08JM3</t>
  </si>
  <si>
    <t>7.29% Small Industries Development Bank Of India (01-Aug-2022) **</t>
  </si>
  <si>
    <t>INE733E07JO9</t>
  </si>
  <si>
    <t>9.17% NTPC Ltd (21-Sep-2024) **</t>
  </si>
  <si>
    <t>INE906B07FT4</t>
  </si>
  <si>
    <t>7.27% National Highways Authority Of India (06-Jun-2022) **</t>
  </si>
  <si>
    <t>INE261F08BQ8</t>
  </si>
  <si>
    <t>6.70% National Bank For Agriculture &amp; Rural Development (11-Nov-2022) **</t>
  </si>
  <si>
    <t>INE094A08077</t>
  </si>
  <si>
    <t>5.36% Hindustan Petroleum Corporation Ltd (11-Apr-2025) **</t>
  </si>
  <si>
    <t>INE206D08261</t>
  </si>
  <si>
    <t>8.14% Nuclear Power Corporation of India Ltd (25-Mar-2026) **</t>
  </si>
  <si>
    <t>INE020B08906</t>
  </si>
  <si>
    <t>8.27% REC Ltd (06-Feb-2025) **</t>
  </si>
  <si>
    <t>INE848E07AZ0</t>
  </si>
  <si>
    <t>7.13% NHPC Ltd (11-Feb-2027) **</t>
  </si>
  <si>
    <t>INE848E07BK0</t>
  </si>
  <si>
    <t>6.80% NHPC Ltd (23-Apr-2027) **</t>
  </si>
  <si>
    <t>INE976G08064</t>
  </si>
  <si>
    <t>10.20% RBL Bank Ltd (15-Apr-2023) **</t>
  </si>
  <si>
    <t>ICRA AA-</t>
  </si>
  <si>
    <t>INE733E07JX0</t>
  </si>
  <si>
    <t>8.19% NTPC Ltd (15-Dec-2025) **</t>
  </si>
  <si>
    <t>INE514E08EP9</t>
  </si>
  <si>
    <t>8.25% Export-Import Bank of India (28-Sep-2025) **</t>
  </si>
  <si>
    <t>INE020B08BS3</t>
  </si>
  <si>
    <t>8.80% REC Ltd (14-May-2029) **</t>
  </si>
  <si>
    <t>INE752E07MQ8</t>
  </si>
  <si>
    <t>8.40% Power Grid Corporation of India Ltd (27-May-2024) **</t>
  </si>
  <si>
    <t>INE861G08035</t>
  </si>
  <si>
    <t>9.95% Food Corporation Of India (07-Mar-2022) **</t>
  </si>
  <si>
    <t>CRISIL AAA(CE)</t>
  </si>
  <si>
    <t>INE020B08BM6</t>
  </si>
  <si>
    <t>8.35% REC Ltd (11-Mar-2022) **</t>
  </si>
  <si>
    <t>INE752E07NN3</t>
  </si>
  <si>
    <t>8.13% Power Grid Corporation of India Ltd (23-Apr-2021) **</t>
  </si>
  <si>
    <t>INE261F16538</t>
  </si>
  <si>
    <t>National Bank For Agriculture &amp; Rural Development (10-Jun-2021) **</t>
  </si>
  <si>
    <t>IN0020170174</t>
  </si>
  <si>
    <t>7.17% GOI 2028 (08-Jan-2028)</t>
  </si>
  <si>
    <t xml:space="preserve">      Dividend Plan</t>
  </si>
  <si>
    <t xml:space="preserve">      Direct Dividend Plan</t>
  </si>
  <si>
    <t>Franklin India Government Securities Fund</t>
  </si>
  <si>
    <t>IN0020170026</t>
  </si>
  <si>
    <t>6.79% GOI 2027 (15-May-2027)</t>
  </si>
  <si>
    <t>IN0020200245</t>
  </si>
  <si>
    <t>6.22% GOI 2035 (16-Mar-2035)</t>
  </si>
  <si>
    <t>IN0020190016</t>
  </si>
  <si>
    <t>7.27% GOI 2026 (08-Apr-2026)</t>
  </si>
  <si>
    <t xml:space="preserve">      Growth Option</t>
  </si>
  <si>
    <t xml:space="preserve">      Quarterly Dividend Option</t>
  </si>
  <si>
    <t xml:space="preserve">      Direct Growth Option</t>
  </si>
  <si>
    <t xml:space="preserve">      Direct Quarterly Dividend Option</t>
  </si>
  <si>
    <t>Franklin India Dynamic Accrual Fund (No. of segregated Portfolios in the scheme - 3) - (under winding up)</t>
  </si>
  <si>
    <t>Main Portfolio</t>
  </si>
  <si>
    <t>INE540P07301</t>
  </si>
  <si>
    <t>10.15% Uttar Pradesh Power Corporation Ltd (20-Jan-2023) **</t>
  </si>
  <si>
    <t>CRISIL A+(CE)</t>
  </si>
  <si>
    <t>INE657N07605</t>
  </si>
  <si>
    <t>Edelweiss Rural &amp; Corporate Services Ltd (1Y SBI MCLR + 250 Bps) (29-Nov-2021) - Series II **</t>
  </si>
  <si>
    <t>CRISIL AA-</t>
  </si>
  <si>
    <t>INE01E708040</t>
  </si>
  <si>
    <t>10.32% Andhra Pradesh Capital Region Development Authority (16-Aug-2027) **</t>
  </si>
  <si>
    <t>INE641O08035</t>
  </si>
  <si>
    <t>9.55% Piramal Capital &amp; Housing Finance Ltd (08-Mar-2027) **</t>
  </si>
  <si>
    <t>CARE AA</t>
  </si>
  <si>
    <t>INE205A07162</t>
  </si>
  <si>
    <t>8.90% Vedanta Ltd (09-Dec-2021) **</t>
  </si>
  <si>
    <t>INE516Y07105</t>
  </si>
  <si>
    <t>9.50% Piramal Capital &amp; Housing Finance Ltd (15-Apr-2022) **</t>
  </si>
  <si>
    <t>INE155A08365</t>
  </si>
  <si>
    <t>7.40% Tata Motors Ltd (29-Jun-2021) **</t>
  </si>
  <si>
    <t>INE764L07181</t>
  </si>
  <si>
    <t>0.00% Sadbhav Infrastructure Project Ltd (06-Jun-2023) **</t>
  </si>
  <si>
    <t>CARE BBB+(CE)</t>
  </si>
  <si>
    <t>INE146O08100</t>
  </si>
  <si>
    <t>9.40% Hinduja Leyland Finance Ltd (28-Aug-2024) **</t>
  </si>
  <si>
    <t>INE657N07381</t>
  </si>
  <si>
    <t>8.70% Edelweiss Rural &amp; Corporate Services Ltd (30-Jun-2027) **</t>
  </si>
  <si>
    <t>ICRA A+</t>
  </si>
  <si>
    <t>INE516Y07089</t>
  </si>
  <si>
    <t>9.50% Piramal Capital &amp; Housing Finance Ltd (21-Apr-2022) **</t>
  </si>
  <si>
    <t>INE245A08042</t>
  </si>
  <si>
    <t>10.75% The Tata Power Co Ltd (21-Aug-2022) **</t>
  </si>
  <si>
    <t>CRISIL AA</t>
  </si>
  <si>
    <t>INE540P07210</t>
  </si>
  <si>
    <t>9.75% Uttar Pradesh Power Corporation Ltd (20-Oct-2022) **</t>
  </si>
  <si>
    <t>INE540P07228</t>
  </si>
  <si>
    <t>9.75% Uttar Pradesh Power Corporation Ltd (20-Oct-2023) **</t>
  </si>
  <si>
    <t>INE205A07139</t>
  </si>
  <si>
    <t>8.50% Vedanta Ltd (05-Apr-2021)</t>
  </si>
  <si>
    <t>INE616U07036</t>
  </si>
  <si>
    <t>INE146O08159</t>
  </si>
  <si>
    <t>11.60% Hinduja Leyland Finance Ltd (29-Sep-2024) **</t>
  </si>
  <si>
    <t>INE764L07173</t>
  </si>
  <si>
    <t>0.00% Sadbhav Infrastructure Project Ltd (23-Apr-2023) **</t>
  </si>
  <si>
    <t>INE540P07293</t>
  </si>
  <si>
    <t>10.15% Uttar Pradesh Power Corporation Ltd (20-Jan-2022) **</t>
  </si>
  <si>
    <t>INE146O08068</t>
  </si>
  <si>
    <t>11.50% Hinduja Leyland Finance Ltd (31-May-2021) **</t>
  </si>
  <si>
    <t>INE146O08092</t>
  </si>
  <si>
    <t>11.10% Hinduja Leyland Finance Ltd (08-Apr-2022) **</t>
  </si>
  <si>
    <t>INE245A08034</t>
  </si>
  <si>
    <t>11.40% Tata Power Co Ltd (02-Jun-2021) **</t>
  </si>
  <si>
    <t>INE575P08024</t>
  </si>
  <si>
    <t>10.20% Star Health &amp; Allied Insurance Co Ltd (31-Oct-2024) **</t>
  </si>
  <si>
    <t>IND A+</t>
  </si>
  <si>
    <t>INE659X07014</t>
  </si>
  <si>
    <t>9.95% Molagavalli Renewable Pvt Ltd (31-Mar-2023) **</t>
  </si>
  <si>
    <t>CARE A+(CE)</t>
  </si>
  <si>
    <t>INE964Q07012</t>
  </si>
  <si>
    <t>9.60% Renew Wind Energy (Rajasthan One) Pvt Ltd (31-Mar-2023) **</t>
  </si>
  <si>
    <t>INE003S07189</t>
  </si>
  <si>
    <t>9.45% Renew Power Pvt Ltd (31-Jul-2025) **</t>
  </si>
  <si>
    <t>CARE A+</t>
  </si>
  <si>
    <t>INE458O07036</t>
  </si>
  <si>
    <t>9.41% Renew Wind Energy Delhi Pvt Ltd (30-Sep-2030) **</t>
  </si>
  <si>
    <t>CARE A+(SO)</t>
  </si>
  <si>
    <t>INE575P08016</t>
  </si>
  <si>
    <t>10.25% Star Health &amp; Allied Insurance Co Ltd (06-Sep-2024) **</t>
  </si>
  <si>
    <t>INE01EA07016</t>
  </si>
  <si>
    <t>11.90% Vishal Mega Mart Pvt Ltd (20-Oct-2023) **</t>
  </si>
  <si>
    <t>INE209W07028</t>
  </si>
  <si>
    <t>9.95% Narmada Wind Energy Pvt Ltd (31-Mar-2023) **</t>
  </si>
  <si>
    <t>INE971Z07133</t>
  </si>
  <si>
    <t>12.25% Rivaaz Trade Ventures Pvt Ltd (30-Jun-2023) $$ @@@ **</t>
  </si>
  <si>
    <t>BWR D(CE)</t>
  </si>
  <si>
    <t>INE333T07063</t>
  </si>
  <si>
    <t>11.49% Reliance Big Pvt Ltd Series III (14-Jan-2021) $$ ^^ **</t>
  </si>
  <si>
    <t>BWR D</t>
  </si>
  <si>
    <t>INE971Z07190</t>
  </si>
  <si>
    <t>13.00% Rivaaz Trade Ventures Pvt Ltd (31-Dec-2023) $$ @@@ **</t>
  </si>
  <si>
    <t>INE946S07189</t>
  </si>
  <si>
    <t>13.55% Nufuture Digital (India) Ltd (31-Dec-2023) $$ @@@ **</t>
  </si>
  <si>
    <t xml:space="preserve"> $$ Indicates securties below investment grade or default</t>
  </si>
  <si>
    <t>^^ Securities are fair valued. This amount only reflects the realizable value as on the date of disclosure and does not indicate any reduction or write-off of the amount repayable by the issuers.</t>
  </si>
  <si>
    <t>Refer below link for rationale of devation under Valuation policy</t>
  </si>
  <si>
    <t>https://www.franklintempletonindia.com/investor/reports?firstFilter-4</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</si>
  <si>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Dynamic Accrual Fund is 637.78 Lakhs.</t>
  </si>
  <si>
    <t>f)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</si>
  <si>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</si>
  <si>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Dynamic Accrual Fund - Segregated Portfolio 2 - 10.90% Vodafone Idea Ltd (02-Sep-2023) P/C 03 Sep 2021</t>
  </si>
  <si>
    <t>INE669E08318</t>
  </si>
  <si>
    <t>10.90% Vodafone Idea Ltd (02-Sep-2023) $$ ^^ **</t>
  </si>
  <si>
    <t>CARE B+</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</si>
  <si>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</si>
  <si>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</si>
  <si>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</si>
  <si>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</si>
  <si>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t>
  </si>
  <si>
    <t>INE265J07324</t>
  </si>
  <si>
    <t>11.50% JM Financial Asset Reconstruction Co Ltd (29-Mar-2022) **</t>
  </si>
  <si>
    <t>INE265J07316</t>
  </si>
  <si>
    <t>11.50% JM Financial Asset Reconstruction Co Ltd (29-May-2022) **</t>
  </si>
  <si>
    <t>INE124N07309</t>
  </si>
  <si>
    <t>12.00% Ess Kay Fincorp Ltd (01-Aug-2023) **</t>
  </si>
  <si>
    <t>CRISIL A</t>
  </si>
  <si>
    <t>INE657N07597</t>
  </si>
  <si>
    <t>Edelweiss Rural &amp; Corporate Services Ltd (1Y SBI MCLR + 250 Bps) (29-Nov-2021) **</t>
  </si>
  <si>
    <t>INE694L07123</t>
  </si>
  <si>
    <t>9.23% Talwandi Sabo Power Ltd (30-Jul-2021) **</t>
  </si>
  <si>
    <t>CRISIL AA-(CE)</t>
  </si>
  <si>
    <t>INE157D08027</t>
  </si>
  <si>
    <t>11.25% Clix Capital Services Pvt Ltd (27-Jun-2023) **</t>
  </si>
  <si>
    <t>INE721A08DE4</t>
  </si>
  <si>
    <t>10.25% Shriram Transport Finance Co Ltd (27-Dec-2024) **</t>
  </si>
  <si>
    <t>INE721A07NQ9</t>
  </si>
  <si>
    <t>0.00% Shriram Transport Finance Co Ltd (31-May-2021) **</t>
  </si>
  <si>
    <t>INE540P07202</t>
  </si>
  <si>
    <t>9.75% Uttar Pradesh Power Corporation Ltd (20-Oct-2021) **</t>
  </si>
  <si>
    <t>INE945W07035</t>
  </si>
  <si>
    <t>10.25% Incred Financial Services Pvt Ltd (26-Apr-2021) **</t>
  </si>
  <si>
    <t>CARE A</t>
  </si>
  <si>
    <t>INE540P07285</t>
  </si>
  <si>
    <t>10.15% Uttar Pradesh Power Corporation Ltd (20-Jan-2021) **</t>
  </si>
  <si>
    <t>INE146O08084</t>
  </si>
  <si>
    <t>11.30% Hinduja Leyland Finance Ltd (21-Jul-2021) **</t>
  </si>
  <si>
    <t>INE721A08DF1</t>
  </si>
  <si>
    <t>9.90% Shriram Transport Finance Co Ltd (21-Jun-2024) **</t>
  </si>
  <si>
    <t>INE896L07660</t>
  </si>
  <si>
    <t>Indostar Capital Finance Ltd (1Y SBI MCLR + 325 Bps) (02-Nov-2021)</t>
  </si>
  <si>
    <t>INE128S07333</t>
  </si>
  <si>
    <t>10.21% Five-Star Business Finance Ltd Series C (28-Mar-2023) **</t>
  </si>
  <si>
    <t>INE252T07040</t>
  </si>
  <si>
    <t>9.70% Xander Finance Pvt Ltd (15-Mar-2021) **</t>
  </si>
  <si>
    <t>INE721A08DA2</t>
  </si>
  <si>
    <t>9.00% Shriram Transport Finance Co Ltd (28-Mar-2028) **</t>
  </si>
  <si>
    <t>INE540P07319</t>
  </si>
  <si>
    <t>10.15% Uttar Pradesh Power Corporation Ltd (19-Jan-2024) **</t>
  </si>
  <si>
    <t>INE540P07327</t>
  </si>
  <si>
    <t>10.15% Uttar Pradesh Power Corporation Ltd (20-Jan-2025) **</t>
  </si>
  <si>
    <t>INE918T07020</t>
  </si>
  <si>
    <t>0.00% Hero Wind Energy Pvt Ltd (08-Feb-2022) **</t>
  </si>
  <si>
    <t>ICRA A</t>
  </si>
  <si>
    <t>INE209W07010</t>
  </si>
  <si>
    <t>9.60% Narmada Wind Energy Pvt Ltd (31-Mar-2023) **</t>
  </si>
  <si>
    <t>INE428K07011</t>
  </si>
  <si>
    <t>11.49% Reliance Infrastructure Consulting &amp; Engineers Pvt Ltd (15-Jan-2021) $$ ^^ **</t>
  </si>
  <si>
    <t>INE333T07048</t>
  </si>
  <si>
    <t>11.49% Reliance Big Pvt Ltd  Series I (14-Jan-2021) $$ ^^ **</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</si>
  <si>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Low Duration Fund is 7,623.05 Lakhs.</t>
  </si>
  <si>
    <t>f)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</si>
  <si>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Low Duration Fund-Segregated Portfolio 2 - 10.90% Vodafone Idea Ltd (02-Sep-2023) P/C 03 Sep 2021</t>
  </si>
  <si>
    <t>Franklin India Ultra Short Bond Fund - (No. of segregated Portfolio in the scheme -1) - (under winding up)</t>
  </si>
  <si>
    <t>INE140A07567</t>
  </si>
  <si>
    <t>9.60% Piramal Enterprises Ltd (06-May-2022) **</t>
  </si>
  <si>
    <t>INE371K08128</t>
  </si>
  <si>
    <t>0.00% Tata Realty &amp; Infrastructure Ltd (04-Jun-2021) **</t>
  </si>
  <si>
    <t>INE157D08019</t>
  </si>
  <si>
    <t>11.25% Clix Capital Services Pvt Ltd (25-May-2023) **</t>
  </si>
  <si>
    <t>INE572E09361</t>
  </si>
  <si>
    <t>8.47% PNB Housing Finance Ltd (01-Jul-2021) **</t>
  </si>
  <si>
    <t>INE157D08068</t>
  </si>
  <si>
    <t>13.65% Clix Capital Services Pvt Ltd (06-Jul-2021) **</t>
  </si>
  <si>
    <t>INE157D08035</t>
  </si>
  <si>
    <t>13.65% Clix Capital Services Pvt Ltd (06-Sep-2021) **</t>
  </si>
  <si>
    <t>INE157D08050</t>
  </si>
  <si>
    <t>13.65% Clix Capital Services Pvt Ltd (06-May-2021) **</t>
  </si>
  <si>
    <t>INE572E09429</t>
  </si>
  <si>
    <t>7.80% PNB Housing Finance Ltd (07-May-2021) **</t>
  </si>
  <si>
    <t>INE157D08043</t>
  </si>
  <si>
    <t>13.65% Clix Capital Services Pvt Ltd (12-Nov-2021) **</t>
  </si>
  <si>
    <t>INE850M08069</t>
  </si>
  <si>
    <t>Northern ARC Capital Ltd (6M SBI MCLR + 305 Bps) Series B (16-Jul-2021) **</t>
  </si>
  <si>
    <t>INE850M08077</t>
  </si>
  <si>
    <t>Northern ARC Capital Ltd (6M SBI MCLR + 305 Bps) Series C (16-Jul-2021) **</t>
  </si>
  <si>
    <t>INE949L08152</t>
  </si>
  <si>
    <t>11.75% AU Small Finance Bank Ltd (04-May-2021) **</t>
  </si>
  <si>
    <t>IND AA-</t>
  </si>
  <si>
    <t>INE081A08165</t>
  </si>
  <si>
    <t>11.80% Tata Steel Ltd (18-Mar-2021) **</t>
  </si>
  <si>
    <t>INE850M08051</t>
  </si>
  <si>
    <t>Northern ARC Capital Ltd (6M SBI MCLR + 305 Bps) Series A (16-Jul-2021) **</t>
  </si>
  <si>
    <t>INE572E09569</t>
  </si>
  <si>
    <t>7.58% PNB Housing Finance Ltd (15-Mar-2021) **</t>
  </si>
  <si>
    <t>INE721A07NI6</t>
  </si>
  <si>
    <t>8.55% Shriram Transport Finance Co Ltd (21-May-2021) **</t>
  </si>
  <si>
    <t>INE721A07NV9</t>
  </si>
  <si>
    <t>9.10% Shriram Transport Finance Co Ltd (12-Jul-2021) **</t>
  </si>
  <si>
    <t>INE252T07057</t>
  </si>
  <si>
    <t>9.70% Xander Finance Pvt Ltd (30-Apr-2021) **</t>
  </si>
  <si>
    <t>INE01HV07015</t>
  </si>
  <si>
    <t>12.00% Vivriti Capital Pvt Ltd (19-Mar-2021) **</t>
  </si>
  <si>
    <t>ICRA A-</t>
  </si>
  <si>
    <t>INE155A08316</t>
  </si>
  <si>
    <t>7.50% Tata Motors Ltd (20-Oct-2021) **</t>
  </si>
  <si>
    <t>INE403D08025</t>
  </si>
  <si>
    <t>0.00% Bharti Telecom Ltd (19-Feb-2021) **</t>
  </si>
  <si>
    <t>INE587B08037</t>
  </si>
  <si>
    <t>13.65% Clix Finance India Pvt Ltd (06-Jan-2022) **</t>
  </si>
  <si>
    <t>INE003S07155</t>
  </si>
  <si>
    <t>11.96% Renew Power Pvt Ltd (28-Sep-2022) **</t>
  </si>
  <si>
    <t>INE321N07244</t>
  </si>
  <si>
    <t>0.00% KKR India Financial Services Pvt Ltd (10-Mar-2021) **</t>
  </si>
  <si>
    <t xml:space="preserve">      Retail Plan Weekly Dividend Option</t>
  </si>
  <si>
    <t xml:space="preserve">      Institutional Plan Daily Dividend Option</t>
  </si>
  <si>
    <t xml:space="preserve">      Super Institutional Plan Daily Dividend Option</t>
  </si>
  <si>
    <t xml:space="preserve">      Direct Super Institutional Plan Growth Option</t>
  </si>
  <si>
    <t xml:space="preserve">      Direct Super Institutional Plan Daily Dividend Option</t>
  </si>
  <si>
    <t xml:space="preserve">      Direct Super Institutional Plan Weekly Dividend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</si>
  <si>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</si>
  <si>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Short-Term Income Plan (No. of segregated Portfolios in the scheme - 3) - (under winding up)</t>
  </si>
  <si>
    <t>INE01E708024</t>
  </si>
  <si>
    <t>10.32% Andhra Pradesh Capital Region Development Authority (16-Aug-2025) **</t>
  </si>
  <si>
    <t>INE01E708016</t>
  </si>
  <si>
    <t>10.32% Andhra Pradesh Capital Region Development Authority (16-Aug-2024) **</t>
  </si>
  <si>
    <t>INE852O07097</t>
  </si>
  <si>
    <t>10.00% Aptus Value Housing Finance India Ltd (20-Aug-2025) **</t>
  </si>
  <si>
    <t>INE572E09403</t>
  </si>
  <si>
    <t>7.91% PNB Housing Finance Ltd (29-Mar-2022) **</t>
  </si>
  <si>
    <t>INE852O07089</t>
  </si>
  <si>
    <t>10.00% Aptus Value Housing Finance India Ltd (20-Jul-2025) **</t>
  </si>
  <si>
    <t>INE540P07335</t>
  </si>
  <si>
    <t>10.15% Uttar Pradesh Power Corporation Ltd (20-Jan-2026) **</t>
  </si>
  <si>
    <t>INE016P07146</t>
  </si>
  <si>
    <t>10.50% Vistaar Financial Services Pvt Ltd (24-Aug-2025) **</t>
  </si>
  <si>
    <t>INE01E708032</t>
  </si>
  <si>
    <t>10.32% Andhra Pradesh Capital Region Development Authority (16-Aug-2026) **</t>
  </si>
  <si>
    <t>INE608A08025</t>
  </si>
  <si>
    <t>10.90% Punjab &amp; Sind Bank (07-May-2022) **</t>
  </si>
  <si>
    <t>INE205A07154</t>
  </si>
  <si>
    <t>9.18% Vedanta Ltd (02-Jul-2021) **</t>
  </si>
  <si>
    <t>INE503A08028</t>
  </si>
  <si>
    <t>9.85% DCB Bank Ltd (18-Nov-2026) **</t>
  </si>
  <si>
    <t>INE146O08027</t>
  </si>
  <si>
    <t>12.00% Hinduja Leyland Finance Ltd (28-Mar-2021) **</t>
  </si>
  <si>
    <t>INE540P07343</t>
  </si>
  <si>
    <t>10.15% Uttar Pradesh Power Corporation Ltd (20-Jan-2027) **</t>
  </si>
  <si>
    <t>INE540P07350</t>
  </si>
  <si>
    <t>10.15% Uttar Pradesh Power Corporation Ltd (20-Jan-2028) **</t>
  </si>
  <si>
    <t>INE028A08083</t>
  </si>
  <si>
    <t>8.50% Bank of Baroda (02-Dec-2021) **</t>
  </si>
  <si>
    <t>INE128S07317</t>
  </si>
  <si>
    <t>10.21% Five-Star Business Finance Ltd Series A (28-Mar-2023) **</t>
  </si>
  <si>
    <t>INE535H07AU7</t>
  </si>
  <si>
    <t>9.30% Fullerton India Credit Co Ltd (15-Mar-2021) **</t>
  </si>
  <si>
    <t>INE774D07RY7</t>
  </si>
  <si>
    <t>0.00% Mahindra &amp; Mahindra Financial Services Ltd (07-Apr-2021) **</t>
  </si>
  <si>
    <t>INE110L07070</t>
  </si>
  <si>
    <t>8.32% Reliance Industries Ltd (08-Jul-2021) **</t>
  </si>
  <si>
    <t>INE00MX08011</t>
  </si>
  <si>
    <t>11.70% Svatantra Microfin Pvt Ltd (30-Nov-2023) **</t>
  </si>
  <si>
    <t>INE895D08634</t>
  </si>
  <si>
    <t>8.01% Tata Sons Pvt Ltd (02-Sep-2021) **</t>
  </si>
  <si>
    <t>INE971Z07125</t>
  </si>
  <si>
    <t>12.25% Rivaaz Trade Ventures Pvt Ltd (30-Jun-2022) $$ @@@ **</t>
  </si>
  <si>
    <t>INE333T07055</t>
  </si>
  <si>
    <t>11.49% Reliance Big Pvt Ltd Series II (14-Jan-2021) $$ ^^ **</t>
  </si>
  <si>
    <t>INE971Z07117</t>
  </si>
  <si>
    <t>12.25% Rivaaz Trade Ventures Pvt Ltd (30-Jun-2021)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</si>
  <si>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</si>
  <si>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</si>
  <si>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</si>
  <si>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</si>
  <si>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</si>
  <si>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</si>
  <si>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</si>
  <si>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</si>
  <si>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</si>
  <si>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</si>
  <si>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INE080T07094</t>
  </si>
  <si>
    <t>14.15% Future Ideas Co Ltd (31-Jan-2021) $$ @@@ **</t>
  </si>
  <si>
    <t xml:space="preserve">      Direct Retail Plan Weekly Dividend Option</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</si>
  <si>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Short Term Income Plan is 5,078.18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</si>
  <si>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</si>
  <si>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and by Nufuture Digital (India) Ltd. on December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</si>
  <si>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</si>
  <si>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 Term Income Plan - Segregated Portfolio 2 - 10.90% Vodafone Idea Ltd (02-Sep-2023) P/C 03 Sep 2021</t>
  </si>
  <si>
    <t>Franklin India Short Term Income Plan - Segregated Portfolio 3 - 9.50% Yes Bank Ltd CO 23 Dec 2021</t>
  </si>
  <si>
    <t>Franklin India Income Opportunities Fund (No. of segregated Portfolio in the scheme - 2) - (under winding up)</t>
  </si>
  <si>
    <t>INE503A08044</t>
  </si>
  <si>
    <t>9.85% DCB Bank Ltd (12-Jan-2028) **</t>
  </si>
  <si>
    <t>INE01E708057</t>
  </si>
  <si>
    <t>10.32% Andhra Pradesh Capital Region Development Authority (16-Aug-2028) **</t>
  </si>
  <si>
    <t>INE146O08134</t>
  </si>
  <si>
    <t>10.15% Hinduja Leyland Finance Ltd (27-Mar-2025) **</t>
  </si>
  <si>
    <t>INE922K07039</t>
  </si>
  <si>
    <t>0.00% India Shelter Finance Corporation Ltd (02-May-2025) **</t>
  </si>
  <si>
    <t>INE146O08118</t>
  </si>
  <si>
    <t>9.20% Hinduja Leyland Finance Ltd (13-Sep-2024)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</si>
  <si>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</si>
  <si>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</si>
  <si>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</si>
  <si>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Franklin India Income Opportunities Fund-Segregated Portfolio 2 - 10.90% Vodafone Idea Ltd (02-Sep-2023) P/C 03 Sep 2021</t>
  </si>
  <si>
    <t>Franklin India Credit Risk Fund (No. of segregated Portfolios in the scheme -3) - (under winding up)</t>
  </si>
  <si>
    <t>INE016P07120</t>
  </si>
  <si>
    <t>10.50% Vistaar Financial Services Pvt Ltd (22-Jun-2023) **</t>
  </si>
  <si>
    <t>INE016P07138</t>
  </si>
  <si>
    <t>10.50% Vistaar Financial Services Pvt Ltd (23-Jul-2024) **</t>
  </si>
  <si>
    <t>INE128S07325</t>
  </si>
  <si>
    <t>10.21% Five-Star Business Finance Ltd Series B (28-Mar-2023) **</t>
  </si>
  <si>
    <t>INE128S07341</t>
  </si>
  <si>
    <t>10.21% Five-Star Business Finance Ltd Series D (28-Mar-2023) **</t>
  </si>
  <si>
    <t>INE852O07071</t>
  </si>
  <si>
    <t>10.00% Aptus Value Housing Finance India Ltd (20-Jun-2025) **</t>
  </si>
  <si>
    <t>INE027E07709</t>
  </si>
  <si>
    <t>8.9492% L&amp;T Finance Ltd (16-Aug-2021) **</t>
  </si>
  <si>
    <t>INE001A07OO9</t>
  </si>
  <si>
    <t>8.75% Housing Development Finance Corporation Ltd (04-Mar-2021) **</t>
  </si>
  <si>
    <t>INE946S07171</t>
  </si>
  <si>
    <t>13.55% Nufuture Digital (India) Ltd (31-Dec-2022) $$ @@@ **</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</si>
  <si>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Credit Risk Fund is 2,695.27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</si>
  <si>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</si>
  <si>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Franklin India Credit Risk Fund-Segregated Portfolio 2 - 10.90% Vodafone Idea Ltd (02-Sep-2023) P/C 03 Sep 2021</t>
  </si>
  <si>
    <t>Franklin India Credit Risk Fund - Segregated Portfolio 3 - 9.50% Yes Bank Ltd CO 23 Dec 2021</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</si>
  <si>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</si>
  <si>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</si>
  <si>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</si>
  <si>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</si>
  <si>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</si>
  <si>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</si>
  <si>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</si>
  <si>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</si>
  <si>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</si>
  <si>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</si>
  <si>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</si>
  <si>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</si>
  <si>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</si>
  <si>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Dividend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</si>
  <si>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</si>
  <si>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</si>
  <si>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</si>
  <si>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</si>
  <si>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</si>
  <si>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</si>
  <si>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</si>
  <si>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</si>
  <si>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</si>
  <si>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</si>
  <si>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</si>
  <si>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</si>
  <si>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</si>
  <si>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</si>
  <si>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</si>
  <si>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</si>
  <si>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</si>
  <si>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</si>
  <si>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</si>
  <si>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</si>
  <si>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</si>
  <si>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Housing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</si>
  <si>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</si>
  <si>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</si>
  <si>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</si>
  <si>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</si>
  <si>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</si>
  <si>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</si>
  <si>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</si>
  <si>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</si>
  <si>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</si>
  <si>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INE895D08790</t>
  </si>
  <si>
    <t>8.25% Tata Sons Pvt Ltd (23-Mar-2022) **</t>
  </si>
  <si>
    <t>Franklin India Fixed Maturity Plans - Series 4 - Plan E (1098 days)</t>
  </si>
  <si>
    <t>INE481G08057</t>
  </si>
  <si>
    <t>8.36% Ultratech Cement Ltd (07-Jun-2021) **</t>
  </si>
  <si>
    <t>INE556F08JH3</t>
  </si>
  <si>
    <t>8.40% Small Industries Development Bank Of India (10-Aug-2021) **</t>
  </si>
  <si>
    <t>INE261F08AM9</t>
  </si>
  <si>
    <t>8.37% National Bank For Agriculture &amp; Rural Development (03-Aug-2021) **</t>
  </si>
  <si>
    <t>INE660A07PT8</t>
  </si>
  <si>
    <t>0.00% Sundaram Finance Ltd (31-Aug-2021) **</t>
  </si>
  <si>
    <t>INE020B08AO4</t>
  </si>
  <si>
    <t>7.18% REC Ltd (21-May-2021) **</t>
  </si>
  <si>
    <t>INE860H07FW4</t>
  </si>
  <si>
    <t>0.00% Aditya Birla Finance Ltd (26-Jul-2021) **</t>
  </si>
  <si>
    <t>Franklin India Fixed Maturity Plans - Series 4 - Plan D (1098 Days)</t>
  </si>
  <si>
    <t>INE377Y07045</t>
  </si>
  <si>
    <t>8.1352% Bajaj Housing Finance Ltd (04-Jun-2021) **</t>
  </si>
  <si>
    <t>Franklin India Fixed Maturity Plans - Series 4 - Plan C (1098 Days)</t>
  </si>
  <si>
    <t>INE115A07MX2</t>
  </si>
  <si>
    <t>0.00% LIC Housing Finance Ltd (25-Mar-2021) **</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</si>
  <si>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</si>
  <si>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</si>
  <si>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</si>
  <si>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</si>
  <si>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</si>
  <si>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</si>
  <si>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</si>
  <si>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</si>
  <si>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</si>
  <si>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INE134E08DN3</t>
  </si>
  <si>
    <t>9.70% Power Finance Corporation Ltd (09-Jun-2021) **</t>
  </si>
  <si>
    <t>INE027E07642</t>
  </si>
  <si>
    <t>8.25% L&amp;T Finance Ltd (21-Jun-2021) **</t>
  </si>
  <si>
    <t>INE134E08ID3</t>
  </si>
  <si>
    <t>8.05% Power Finance Corporation Ltd (27-Apr-2021) **</t>
  </si>
  <si>
    <t>INE752E07MN5</t>
  </si>
  <si>
    <t>8.40% Power Grid Corporation of India Ltd (27-May-2021) **</t>
  </si>
  <si>
    <t>INE660A07PN1</t>
  </si>
  <si>
    <t>0.00% Sundaram Finance Ltd (15-Jun-2021) **</t>
  </si>
  <si>
    <t>INE071G07314</t>
  </si>
  <si>
    <t>8.22% ICICI Home Finance Co Ltd (27-May-2021) **</t>
  </si>
  <si>
    <t>INE377Y07029</t>
  </si>
  <si>
    <t>0.00% Bajaj Housing Finance Ltd (06-Apr-2021) **</t>
  </si>
  <si>
    <t>Franklin India Fixed Maturity Plans-Series 4 - Plan A (1098 Days)</t>
  </si>
  <si>
    <t>INE891K07390</t>
  </si>
  <si>
    <t>0.00% Axis Finance Ltd (14-Jun-2021) **</t>
  </si>
  <si>
    <t>INE110L07112</t>
  </si>
  <si>
    <t>8.70% Reliance Industries Ltd (15-Jun-2021)</t>
  </si>
  <si>
    <t>INE556F08JF7</t>
  </si>
  <si>
    <t>8.50% Small Industries Development Bank of India (21-Jun-2021) **</t>
  </si>
  <si>
    <t>INE476M07BM9</t>
  </si>
  <si>
    <t>8.80% L&amp;T Housing Finance Ltd (23-Jun-2021) **</t>
  </si>
  <si>
    <t>INE020B08AW7</t>
  </si>
  <si>
    <t>7.73% REC Ltd (15-Jun-2021) **</t>
  </si>
  <si>
    <t>Franklin India Fixed Maturity Plans - Series 3 - Plan F (1098 days)</t>
  </si>
  <si>
    <t>INE031A08566</t>
  </si>
  <si>
    <t>7.73% Housing &amp; Urban Development Corporation Ltd (15-Apr-2021) **</t>
  </si>
  <si>
    <t>INE774D07SB3</t>
  </si>
  <si>
    <t>8.10% Mahindra &amp; Mahindra Financial Services Ltd (19-Apr-2021) **</t>
  </si>
  <si>
    <t>INE556F08JD2</t>
  </si>
  <si>
    <t>7.65% Small Industries Development Bank Of India (15-Apr-2021) **</t>
  </si>
  <si>
    <t>INE883A07174</t>
  </si>
  <si>
    <t>10.09% MRF Ltd (27-May-2021) **</t>
  </si>
  <si>
    <t>INE756I07BW1</t>
  </si>
  <si>
    <t>0.00% HDB Financial Services Ltd (06-Apr-2021) **</t>
  </si>
  <si>
    <t>INE134E08DM5</t>
  </si>
  <si>
    <t>9.18% Power Finance Corporation Ltd (15-Apr-2021) **</t>
  </si>
  <si>
    <t>INE115A07IO9</t>
  </si>
  <si>
    <t>8.50% LIC Housing Finance Ltd (05-Jan-2021) **</t>
  </si>
  <si>
    <t>INE244N07065</t>
  </si>
  <si>
    <t>8.19% Mahindra Vehicle Manufacturers Ltd (23-Feb-2021) **</t>
  </si>
  <si>
    <t>Franklin India Fixed Maturity Plans - Series 3 - Plan E (1104 Days)</t>
  </si>
  <si>
    <t>INE134E08JM2</t>
  </si>
  <si>
    <t>7.75% Power Finance Corporation Ltd (15-Apr-2021) **</t>
  </si>
  <si>
    <t>INE020B08AS5</t>
  </si>
  <si>
    <t>7.70% REC Ltd (15-Mar-2021) **</t>
  </si>
  <si>
    <t>INE031A08590</t>
  </si>
  <si>
    <t>7.68% Housing &amp; Urban Development Corporation Ltd (05-Apr-2021) **</t>
  </si>
  <si>
    <t>INE916DA7PO3</t>
  </si>
  <si>
    <t>0.00% Kotak Mahindra Prime Ltd (27-May-2021) **</t>
  </si>
  <si>
    <t>INE261F08956</t>
  </si>
  <si>
    <t>7.40% National Bank For Agriculture &amp; Rural Development (01-Feb-2021) **</t>
  </si>
  <si>
    <t>INE895D08899</t>
  </si>
  <si>
    <t>8.25% Tata Sons Pvt Ltd (24-Mar-2021) **</t>
  </si>
  <si>
    <t>INE002A14EM8</t>
  </si>
  <si>
    <t>Reliance Industries Ltd (02-Mar-2021) **@</t>
  </si>
  <si>
    <t>Franklin India Fixed Maturity Plans - Series 3 - Plan D (1132 Days)</t>
  </si>
  <si>
    <t>INE916DA7PI5</t>
  </si>
  <si>
    <t>0.00% Kotak Mahindra Prime Ltd (26-Apr-2021) **</t>
  </si>
  <si>
    <t xml:space="preserve"> SOVEREIGN</t>
  </si>
  <si>
    <t>Franklin India Fixed Maturity Plans - Series 3 - Plan C (1132 Days)</t>
  </si>
  <si>
    <t>INE134E08JK6</t>
  </si>
  <si>
    <t>7.73% Power Finance Corporation Ltd (05-Apr-2021) **</t>
  </si>
  <si>
    <t>INE556F08JA8</t>
  </si>
  <si>
    <t>7.52% Small Industries Development Bank of India (10-Feb-2021) **</t>
  </si>
  <si>
    <t>INE020B08AR7</t>
  </si>
  <si>
    <t>7.60% REC Ltd (17-Apr-2021) **</t>
  </si>
  <si>
    <t>INE752E07GX6</t>
  </si>
  <si>
    <t>8.84% Power Grid Corporation of India Ltd (29-Mar-2021) **</t>
  </si>
  <si>
    <t>INE895D08881</t>
  </si>
  <si>
    <t>8.25% Tata Sons Pvt Ltd (23-Mar-2021) **</t>
  </si>
  <si>
    <t>Franklin India Fixed Maturity Plans - Series 3 - Plan B (1139 Days)</t>
  </si>
  <si>
    <t>Franklin India Fixed Maturity Plans-Series 3-Plan A (1157 Days)</t>
  </si>
  <si>
    <t>INE115A07AL2</t>
  </si>
  <si>
    <t>9.60% LIC Housing Finance Ltd (07-Mar-2021) **</t>
  </si>
  <si>
    <t>Franklin India Fixed Maturity Plans- Series 2 - Plan C (1205 Days)</t>
  </si>
  <si>
    <t>INE756I07BU5</t>
  </si>
  <si>
    <t>7.9407% HDB Financial Services Ltd (15-Apr-2021) **</t>
  </si>
  <si>
    <t>Franklin India Fixed Maturity Plans - Series 2 - Plan B (1224 Days)</t>
  </si>
  <si>
    <t>INE477A07274</t>
  </si>
  <si>
    <t>7.64% Can Fin Homes Ltd (28-Feb-2021) **</t>
  </si>
  <si>
    <t>INE115A07JB4</t>
  </si>
  <si>
    <t>8.75% LIC Housing Finance Ltd (12-Feb-2021) **</t>
  </si>
  <si>
    <t>INE895D08725</t>
  </si>
  <si>
    <t>7.85% Tata Sons Pvt Ltd (31-Jan-2021) **</t>
  </si>
  <si>
    <t>Franklin India Fixed Maturity Plans - Series 2- Plan A (1224 Days)</t>
  </si>
  <si>
    <t>INE733E07JZ5</t>
  </si>
  <si>
    <t>8.33% NTPC Ltd (24-Feb-2021) **</t>
  </si>
  <si>
    <t>INE537P07117</t>
  </si>
  <si>
    <t>8.62% India Infradebt Ltd (08-Mar-2021) **</t>
  </si>
  <si>
    <t>INE235P07167</t>
  </si>
  <si>
    <t>8.70% L&amp;T Infrastructure Debt Fund Ltd (24-Feb-2021) **</t>
  </si>
  <si>
    <t>INE134E07505</t>
  </si>
  <si>
    <t>9.70% Power Finance Corporation Ltd (31-Jan-2021) **</t>
  </si>
  <si>
    <t>INE848E07419</t>
  </si>
  <si>
    <t>8.78% NHPC Ltd (11-Feb-2021) **</t>
  </si>
  <si>
    <t>INE752E07ER3</t>
  </si>
  <si>
    <t>9.47% Power Grid Corporation of India Ltd (31-Mar-2021) **</t>
  </si>
  <si>
    <t>INE514E08951</t>
  </si>
  <si>
    <t>9.15% Export-Import Bank of India (18-Mar-2021) **</t>
  </si>
  <si>
    <t>INE514E08928</t>
  </si>
  <si>
    <t>9.15% Export-Import Bank of India (25-Feb-2021) **</t>
  </si>
  <si>
    <t>Franklin India Pension Plan</t>
  </si>
  <si>
    <t>Industry Classification / Rating</t>
  </si>
  <si>
    <t>Equity &amp; Equity related</t>
  </si>
  <si>
    <t>INE040A01034</t>
  </si>
  <si>
    <t>HDFC Bank Ltd</t>
  </si>
  <si>
    <t>Banks</t>
  </si>
  <si>
    <t>INE009A01021</t>
  </si>
  <si>
    <t>Infosys Ltd</t>
  </si>
  <si>
    <t>Software</t>
  </si>
  <si>
    <t>INE238A01034</t>
  </si>
  <si>
    <t>Axis Bank Ltd</t>
  </si>
  <si>
    <t>INE090A01021</t>
  </si>
  <si>
    <t>ICICI Bank Ltd</t>
  </si>
  <si>
    <t>INE397D01024</t>
  </si>
  <si>
    <t>Bharti Airtel Ltd</t>
  </si>
  <si>
    <t>Telecom - Services</t>
  </si>
  <si>
    <t>INE237A01028</t>
  </si>
  <si>
    <t>Kotak Mahindra Bank Ltd</t>
  </si>
  <si>
    <t>INE787D01026</t>
  </si>
  <si>
    <t>Balkrishna Industries Ltd</t>
  </si>
  <si>
    <t>Auto Ancillaries</t>
  </si>
  <si>
    <t>INE226A01021</t>
  </si>
  <si>
    <t>Voltas Ltd</t>
  </si>
  <si>
    <t>Consumer Durables</t>
  </si>
  <si>
    <t>INE081A01012</t>
  </si>
  <si>
    <t>Tata Steel Ltd</t>
  </si>
  <si>
    <t>Ferrous Metals</t>
  </si>
  <si>
    <t>INE347G01014</t>
  </si>
  <si>
    <t>Petronet LNG Ltd</t>
  </si>
  <si>
    <t>Gas</t>
  </si>
  <si>
    <t>INE259A01022</t>
  </si>
  <si>
    <t>Colgate Palmolive (India) Ltd</t>
  </si>
  <si>
    <t>Consumer Non Durables</t>
  </si>
  <si>
    <t>INE246F01010</t>
  </si>
  <si>
    <t>Gujarat State Petronet Ltd</t>
  </si>
  <si>
    <t>INE101A01026</t>
  </si>
  <si>
    <t>Mahindra &amp; Mahindra Ltd</t>
  </si>
  <si>
    <t>Auto</t>
  </si>
  <si>
    <t>INE010B01027</t>
  </si>
  <si>
    <t>Cadila Healthcare Ltd</t>
  </si>
  <si>
    <t>Pharmaceuticals</t>
  </si>
  <si>
    <t>INE094A01015</t>
  </si>
  <si>
    <t>Hindustan Petroleum Corporation Ltd</t>
  </si>
  <si>
    <t>Petroleum Products</t>
  </si>
  <si>
    <t>INE038A01020</t>
  </si>
  <si>
    <t>Hindalco Industries Ltd</t>
  </si>
  <si>
    <t>Non - Ferrous Metals</t>
  </si>
  <si>
    <t>INE752E01010</t>
  </si>
  <si>
    <t>Power Grid Corporation of India Ltd</t>
  </si>
  <si>
    <t>Power</t>
  </si>
  <si>
    <t>INE062A01020</t>
  </si>
  <si>
    <t>State Bank of India</t>
  </si>
  <si>
    <t>INE733E01010</t>
  </si>
  <si>
    <t>NTPC Ltd</t>
  </si>
  <si>
    <t>INE685A01028</t>
  </si>
  <si>
    <t>Torrent Pharmaceuticals Ltd</t>
  </si>
  <si>
    <t>INE298A01020</t>
  </si>
  <si>
    <t>Cummins India Ltd</t>
  </si>
  <si>
    <t>Industrial Products</t>
  </si>
  <si>
    <t>INE686F01025</t>
  </si>
  <si>
    <t>United Breweries Ltd</t>
  </si>
  <si>
    <t>INE917I01010</t>
  </si>
  <si>
    <t>Bajaj Auto Ltd</t>
  </si>
  <si>
    <t>INE531A01024</t>
  </si>
  <si>
    <t>Kansai Nerolac Paints Ltd</t>
  </si>
  <si>
    <t>INE029A01011</t>
  </si>
  <si>
    <t>Bharat Petroleum Corporation Ltd</t>
  </si>
  <si>
    <t>INE036D01028</t>
  </si>
  <si>
    <t>Karur Vysya Bank Ltd</t>
  </si>
  <si>
    <t>INE155A01022</t>
  </si>
  <si>
    <t>Tata Motors Ltd</t>
  </si>
  <si>
    <t>INE494B01023</t>
  </si>
  <si>
    <t>TVS Motor Co Ltd</t>
  </si>
  <si>
    <t>INE647O01011</t>
  </si>
  <si>
    <t>Aditya Birla Fashion and Retail Ltd</t>
  </si>
  <si>
    <t>Retailing</t>
  </si>
  <si>
    <t>INE199G01027</t>
  </si>
  <si>
    <t>Jagran Prakashan Ltd</t>
  </si>
  <si>
    <t>Media &amp; Entertainment</t>
  </si>
  <si>
    <t>IN9647O01019</t>
  </si>
  <si>
    <t>Aditya Birla Fashion and Retail Ltd – Partly Paid</t>
  </si>
  <si>
    <t>INE522F01014</t>
  </si>
  <si>
    <t>Coal India Ltd</t>
  </si>
  <si>
    <t>Minerals/Mining</t>
  </si>
  <si>
    <t>INE001A07SK8</t>
  </si>
  <si>
    <t>6.95% Housing Development Finance Corporation Ltd (27-Apr-2023) **</t>
  </si>
  <si>
    <t>INE110L08037</t>
  </si>
  <si>
    <t>9.25% Reliance Industries Ltd (17-Jun-2024) **</t>
  </si>
  <si>
    <t>IN0020190396</t>
  </si>
  <si>
    <t>6.18% GOI 2024 (04-Nov-2024)</t>
  </si>
  <si>
    <t>* Less than 0.01%</t>
  </si>
  <si>
    <t>Franklin India Debt Hybrid Fund (No. of segregated Portfolio in the scheme - 1)</t>
  </si>
  <si>
    <t>INE089A01023</t>
  </si>
  <si>
    <t>Dr. Reddy's Laboratories Ltd</t>
  </si>
  <si>
    <t>INE047A01021</t>
  </si>
  <si>
    <t>Grasim Industries Ltd</t>
  </si>
  <si>
    <t>Cement</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</si>
  <si>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</si>
  <si>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Franklin India Equity Savings Fund</t>
  </si>
  <si>
    <t>% to Net Assets(Hedged &amp; Unhedged)</t>
  </si>
  <si>
    <t>% to Net Assets Derivative</t>
  </si>
  <si>
    <t>INE001A01036</t>
  </si>
  <si>
    <t>Housing Development Finance Corporation Ltd</t>
  </si>
  <si>
    <t>Finance</t>
  </si>
  <si>
    <t>INE424H01027</t>
  </si>
  <si>
    <t>Sun TV Network Ltd</t>
  </si>
  <si>
    <t>INE585B01010</t>
  </si>
  <si>
    <t>Maruti Suzuki India Ltd</t>
  </si>
  <si>
    <t>INE245A01021</t>
  </si>
  <si>
    <t>Tata Power Co Ltd</t>
  </si>
  <si>
    <t>INE669C01036</t>
  </si>
  <si>
    <t>Tech Mahindra Ltd</t>
  </si>
  <si>
    <t>INE016A01026</t>
  </si>
  <si>
    <t>Dabur India Ltd</t>
  </si>
  <si>
    <t>INE018A01030</t>
  </si>
  <si>
    <t>Larsen &amp; Toubro Ltd</t>
  </si>
  <si>
    <t>Construction Project</t>
  </si>
  <si>
    <t>INE149A01033</t>
  </si>
  <si>
    <t>Cholamandalam Financial Holdings Ltd</t>
  </si>
  <si>
    <t>INE053A01029</t>
  </si>
  <si>
    <t>Indian Hotels Co Ltd</t>
  </si>
  <si>
    <t>Hotels/ Resorts And Other Recreational Activities</t>
  </si>
  <si>
    <t>INE536H01010</t>
  </si>
  <si>
    <t>Mahindra CIE Automotive Ltd</t>
  </si>
  <si>
    <t>INE242A01010</t>
  </si>
  <si>
    <t>Indian Oil Corporation Ltd</t>
  </si>
  <si>
    <t>INE049A01027</t>
  </si>
  <si>
    <t>Himatsingka Seide Ltd</t>
  </si>
  <si>
    <t>Textile Products</t>
  </si>
  <si>
    <t>INE572E01012</t>
  </si>
  <si>
    <t>PNB Housing Finance Ltd</t>
  </si>
  <si>
    <t>INE239A01016</t>
  </si>
  <si>
    <t>Nestle India Ltd</t>
  </si>
  <si>
    <t>INE129A01019</t>
  </si>
  <si>
    <t>GAIL (India) Ltd</t>
  </si>
  <si>
    <t>INE171A01029</t>
  </si>
  <si>
    <t>Federal Bank Ltd</t>
  </si>
  <si>
    <t>(b) Units of Real Estate Investment Trusts (REITs)</t>
  </si>
  <si>
    <t>INE041025011</t>
  </si>
  <si>
    <t>Embassy Office Parks REIT</t>
  </si>
  <si>
    <t>Margin on Derivatives</t>
  </si>
  <si>
    <t xml:space="preserve">c) Total outstanding position (as at Decembet 31, 2020) in Derivative Instruments (Gross Notional) </t>
  </si>
  <si>
    <t>Rs.4,243.43 Lacs</t>
  </si>
  <si>
    <t>d) Outstanding derivative exposure as % to net assets</t>
  </si>
  <si>
    <t>e) Portfolio Turnover Ratio during the Half - year 31-Dec-2020</t>
  </si>
  <si>
    <t>f) Average Maturity as on 31-Dec-2020</t>
  </si>
  <si>
    <t xml:space="preserve">g) During the month additional instances of fair valuation/deviation from valuation price provided by the valuation agencies </t>
  </si>
  <si>
    <t>Franklin India Equity Hybrid Fund</t>
  </si>
  <si>
    <t>INE467B01029</t>
  </si>
  <si>
    <t>Tata Consultancy Services Ltd</t>
  </si>
  <si>
    <t>INE848E01016</t>
  </si>
  <si>
    <t>NHPC Ltd</t>
  </si>
  <si>
    <t>INE280A01028</t>
  </si>
  <si>
    <t>Titan Co Ltd</t>
  </si>
  <si>
    <t xml:space="preserve">(b) Unlisted </t>
  </si>
  <si>
    <t>INE671B01018</t>
  </si>
  <si>
    <t>Globsyn Technologies Ltd **</t>
  </si>
  <si>
    <t>Commercial Services</t>
  </si>
  <si>
    <t>Numero Uno International Ltd **</t>
  </si>
  <si>
    <t>(c) Units of Real Estate Investment Trusts (REITs)</t>
  </si>
  <si>
    <t>INE261F16504</t>
  </si>
  <si>
    <t>National Bank For Agriculture &amp; Rural Development (18-Feb-2021) **</t>
  </si>
  <si>
    <t>IN0020200294</t>
  </si>
  <si>
    <t>5.85% GOI 2030 (01-Dec-2030)</t>
  </si>
  <si>
    <t>c) Portfolio Turnover Ratio during the Half - year 31-Dec-2020</t>
  </si>
  <si>
    <t>d) Average Maturity as on 31-Dec-2020</t>
  </si>
  <si>
    <t xml:space="preserve">e) During the month additional instances of fair valuation/deviation from valuation price provided by the valuation agencies </t>
  </si>
  <si>
    <t>Templeton India Value Fund</t>
  </si>
  <si>
    <t>Industry Classification</t>
  </si>
  <si>
    <t>IN9155A01020</t>
  </si>
  <si>
    <t>Tata Motors Ltd DVR</t>
  </si>
  <si>
    <t>INE154A01025</t>
  </si>
  <si>
    <t>ITC Ltd</t>
  </si>
  <si>
    <t>INE263A01024</t>
  </si>
  <si>
    <t>Bharat Electronics Ltd</t>
  </si>
  <si>
    <t>Industrial Capital Goods</t>
  </si>
  <si>
    <t>INE860A01027</t>
  </si>
  <si>
    <t>HCL Technologies Ltd</t>
  </si>
  <si>
    <t>INE213A01029</t>
  </si>
  <si>
    <t>Oil &amp; Natural Gas Corporation Ltd</t>
  </si>
  <si>
    <t>Oil</t>
  </si>
  <si>
    <t>INE092A01019</t>
  </si>
  <si>
    <t>Tata Chemicals Ltd</t>
  </si>
  <si>
    <t>Chemicals</t>
  </si>
  <si>
    <t>INE235A01022</t>
  </si>
  <si>
    <t>Finolex Cables Ltd</t>
  </si>
  <si>
    <t>INE111A01025</t>
  </si>
  <si>
    <t>Container Corporation Of India Ltd</t>
  </si>
  <si>
    <t>Transportation</t>
  </si>
  <si>
    <t>INE105A01035</t>
  </si>
  <si>
    <t>Sundaram Clayton Ltd</t>
  </si>
  <si>
    <t>INE988K01017</t>
  </si>
  <si>
    <t>Equitas Holdings Ltd</t>
  </si>
  <si>
    <t>INE055A01016</t>
  </si>
  <si>
    <t>Century Textile &amp; Industries Ltd</t>
  </si>
  <si>
    <t>Paper</t>
  </si>
  <si>
    <t>INE012A01025</t>
  </si>
  <si>
    <t>ACC Ltd</t>
  </si>
  <si>
    <t>INE323A01026</t>
  </si>
  <si>
    <t>Bosch Ltd</t>
  </si>
  <si>
    <t>INE635Q01029</t>
  </si>
  <si>
    <t>Gulf Oil Lubricants India Ltd</t>
  </si>
  <si>
    <t>Templeton India Equity Income Fund</t>
  </si>
  <si>
    <t>INE183A01016</t>
  </si>
  <si>
    <t>Finolex Industries Ltd</t>
  </si>
  <si>
    <t>INE192A01025</t>
  </si>
  <si>
    <t>Tata Consumer Products Ltd</t>
  </si>
  <si>
    <t>INE672A01018</t>
  </si>
  <si>
    <t>Tata Investment Corporation Ltd</t>
  </si>
  <si>
    <t>INE891D01026</t>
  </si>
  <si>
    <t>Redington (India) Ltd</t>
  </si>
  <si>
    <t>INE930H01023</t>
  </si>
  <si>
    <t>K.P.R. Mill Ltd</t>
  </si>
  <si>
    <t>INE825A01012</t>
  </si>
  <si>
    <t>Vardhman Textiles Ltd</t>
  </si>
  <si>
    <t>Textiles - Cotton</t>
  </si>
  <si>
    <t>INE823G01014</t>
  </si>
  <si>
    <t>J.K. Cement Ltd</t>
  </si>
  <si>
    <t>INE139A01034</t>
  </si>
  <si>
    <t>National Aluminium Co Ltd</t>
  </si>
  <si>
    <t>INE208A01029</t>
  </si>
  <si>
    <t>Ashok Leyland Ltd</t>
  </si>
  <si>
    <t>INE030A01027</t>
  </si>
  <si>
    <t>Hindustan Unilever Ltd</t>
  </si>
  <si>
    <t>INE584A01023</t>
  </si>
  <si>
    <t>NMDC Ltd</t>
  </si>
  <si>
    <t>INE00R701025</t>
  </si>
  <si>
    <t>Dalmia Bharat Ltd</t>
  </si>
  <si>
    <t>INE486A01013</t>
  </si>
  <si>
    <t>CESC Ltd</t>
  </si>
  <si>
    <t>INE136B01020</t>
  </si>
  <si>
    <t>Cyient Ltd</t>
  </si>
  <si>
    <t>Foreign Equity Securities</t>
  </si>
  <si>
    <t>KYG9829N1025</t>
  </si>
  <si>
    <t>Xinyi Solar Holdings Ltd</t>
  </si>
  <si>
    <t>US9047677045</t>
  </si>
  <si>
    <t>Unilever PLC, (ADR)</t>
  </si>
  <si>
    <t>AEA002301017</t>
  </si>
  <si>
    <t>Aramex PJSC</t>
  </si>
  <si>
    <t>TW0003034005</t>
  </si>
  <si>
    <t>Novatek Microelectronics Corp. Ltd</t>
  </si>
  <si>
    <t>Semiconductors</t>
  </si>
  <si>
    <t>KYG982771092</t>
  </si>
  <si>
    <t>Xtep International Holdings Ltd</t>
  </si>
  <si>
    <t>CNE1000004J3</t>
  </si>
  <si>
    <t>Travelsky Technology Ltd, H</t>
  </si>
  <si>
    <t>TW0004915004</t>
  </si>
  <si>
    <t>Primax Electronics Ltd</t>
  </si>
  <si>
    <t>Hardware</t>
  </si>
  <si>
    <t>BRLEVEACNOR2</t>
  </si>
  <si>
    <t>Mahle-Metal Leve S A</t>
  </si>
  <si>
    <t>US30712A1034</t>
  </si>
  <si>
    <t>Fanhua Inc, (ADR)</t>
  </si>
  <si>
    <t>Franklin India Technology Fund</t>
  </si>
  <si>
    <t>INE663F01024</t>
  </si>
  <si>
    <t>Info Edge (India) Ltd</t>
  </si>
  <si>
    <t>INE214T01019</t>
  </si>
  <si>
    <t>Larsen &amp; Toubro Infotech Ltd</t>
  </si>
  <si>
    <t>INE933S01016</t>
  </si>
  <si>
    <t>Indiamart Intermesh Ltd</t>
  </si>
  <si>
    <t>INE419U01012</t>
  </si>
  <si>
    <t>Happiest Minds Technologies Ltd</t>
  </si>
  <si>
    <t>INE599M01018</t>
  </si>
  <si>
    <t>JustDial Ltd</t>
  </si>
  <si>
    <t>INE01P501012</t>
  </si>
  <si>
    <t>Xelpmoc Design and Tech Ltd</t>
  </si>
  <si>
    <t>Brillio Technologies Pvt Ltd **</t>
  </si>
  <si>
    <t>MU0295S00016</t>
  </si>
  <si>
    <t>Makemytrip Ltd</t>
  </si>
  <si>
    <t>TW0002330008</t>
  </si>
  <si>
    <t>Taiwan Semiconductor Manufacturing Co. Ltd</t>
  </si>
  <si>
    <t>KR7005930003</t>
  </si>
  <si>
    <t>Samsung Electronics Co. Ltd</t>
  </si>
  <si>
    <t>US90184L1026</t>
  </si>
  <si>
    <t>Twitter Inc.</t>
  </si>
  <si>
    <t>US7475251036</t>
  </si>
  <si>
    <t>Qualcomm Inc.</t>
  </si>
  <si>
    <t>Telecom -  Equipment &amp; Accessories</t>
  </si>
  <si>
    <t>KYG017191142</t>
  </si>
  <si>
    <t>Alibaba Group Holding Ltd</t>
  </si>
  <si>
    <t>TW0002454006</t>
  </si>
  <si>
    <t>Mediatek Inc</t>
  </si>
  <si>
    <t>US67066G1040</t>
  </si>
  <si>
    <t>Nvidia Corp</t>
  </si>
  <si>
    <t>KYG8586D1097</t>
  </si>
  <si>
    <t>Sunny Optical Technology Group Co. Ltd</t>
  </si>
  <si>
    <t>US79466L3024</t>
  </si>
  <si>
    <t>Salesforce.Com Inc</t>
  </si>
  <si>
    <t xml:space="preserve">Software                                </t>
  </si>
  <si>
    <t>US02079K3059</t>
  </si>
  <si>
    <t>Alphabet Inc</t>
  </si>
  <si>
    <t>US4581401001</t>
  </si>
  <si>
    <t>Intel Corp</t>
  </si>
  <si>
    <t>US5949181045</t>
  </si>
  <si>
    <t>Microsoft Corp</t>
  </si>
  <si>
    <t>Foreign Mutual Fund Units</t>
  </si>
  <si>
    <t>LU0626261944</t>
  </si>
  <si>
    <t>Franklin Technology Fund, Class I (Acc)</t>
  </si>
  <si>
    <t>Foreign Mutual Fund</t>
  </si>
  <si>
    <t>Franklin India Smaller Companies Fund</t>
  </si>
  <si>
    <t>INE288B01029</t>
  </si>
  <si>
    <t>Deepak Nitrite Ltd</t>
  </si>
  <si>
    <t>INE791I01019</t>
  </si>
  <si>
    <t>Brigade Enterprises Ltd</t>
  </si>
  <si>
    <t>Construction</t>
  </si>
  <si>
    <t>INE668F01031</t>
  </si>
  <si>
    <t>Jyothy Labs Ltd</t>
  </si>
  <si>
    <t>INE317F01035</t>
  </si>
  <si>
    <t>Nesco Ltd</t>
  </si>
  <si>
    <t>INE421D01022</t>
  </si>
  <si>
    <t>CCL Products (India) Ltd</t>
  </si>
  <si>
    <t>INE572A01028</t>
  </si>
  <si>
    <t>J.B. Chemicals &amp; Pharmaceuticals Ltd</t>
  </si>
  <si>
    <t>INE472A01039</t>
  </si>
  <si>
    <t>Blue Star Ltd</t>
  </si>
  <si>
    <t>INE615P01015</t>
  </si>
  <si>
    <t>Quess Corp Ltd</t>
  </si>
  <si>
    <t>Services</t>
  </si>
  <si>
    <t>INE100A01010</t>
  </si>
  <si>
    <t>Atul Ltd</t>
  </si>
  <si>
    <t>INE503A01015</t>
  </si>
  <si>
    <t>DCB Bank Ltd</t>
  </si>
  <si>
    <t>INE671H01015</t>
  </si>
  <si>
    <t>Sobha Ltd</t>
  </si>
  <si>
    <t>INE406M01024</t>
  </si>
  <si>
    <t>Eris Lifesciences Ltd</t>
  </si>
  <si>
    <t>INE985S01024</t>
  </si>
  <si>
    <t>Teamlease Services Ltd</t>
  </si>
  <si>
    <t>INE690A01010</t>
  </si>
  <si>
    <t>TTK Prestige Ltd</t>
  </si>
  <si>
    <t>INE120A01034</t>
  </si>
  <si>
    <t>Carborundum Universal Ltd</t>
  </si>
  <si>
    <t>INE970X01018</t>
  </si>
  <si>
    <t>Lemon Tree Hotels Ltd</t>
  </si>
  <si>
    <t>INE634I01029</t>
  </si>
  <si>
    <t>KNR Constructions Ltd</t>
  </si>
  <si>
    <t>INE121A01024</t>
  </si>
  <si>
    <t>Cholamandalam Investment and Finance Co Ltd</t>
  </si>
  <si>
    <t>INE060A01024</t>
  </si>
  <si>
    <t>Navneet Education Ltd</t>
  </si>
  <si>
    <t>INE758C01029</t>
  </si>
  <si>
    <t>Ahluwalia Contracts (India) Ltd</t>
  </si>
  <si>
    <t>INE974X01010</t>
  </si>
  <si>
    <t>Tube Investments of India Ltd</t>
  </si>
  <si>
    <t>INE539A01019</t>
  </si>
  <si>
    <t>GHCL Ltd</t>
  </si>
  <si>
    <t>INE745G01035</t>
  </si>
  <si>
    <t>Multi Commodity Exchange Of India Ltd</t>
  </si>
  <si>
    <t>INE491A01021</t>
  </si>
  <si>
    <t>City Union Bank Ltd</t>
  </si>
  <si>
    <t>INE112L01020</t>
  </si>
  <si>
    <t>Metropolis Healthcare Ltd</t>
  </si>
  <si>
    <t>Healthcare Services</t>
  </si>
  <si>
    <t>INE054A01027</t>
  </si>
  <si>
    <t>V.I.P. Industries Ltd</t>
  </si>
  <si>
    <t>INE04I401011</t>
  </si>
  <si>
    <t>KPIT Technologies Ltd</t>
  </si>
  <si>
    <t>INE399G01015</t>
  </si>
  <si>
    <t>Ramkrishna Forgings Ltd</t>
  </si>
  <si>
    <t>INE410P01011</t>
  </si>
  <si>
    <t>Narayana Hrudayalaya Ltd</t>
  </si>
  <si>
    <t>INE666D01022</t>
  </si>
  <si>
    <t>Borosil Renewables Ltd</t>
  </si>
  <si>
    <t>INE038F01029</t>
  </si>
  <si>
    <t>TV Today Network Ltd</t>
  </si>
  <si>
    <t>INE442H01029</t>
  </si>
  <si>
    <t>Ashoka Buildcon Ltd</t>
  </si>
  <si>
    <t>INE786A01032</t>
  </si>
  <si>
    <t>JK Lakshmi Cement Ltd</t>
  </si>
  <si>
    <t>INE919I01024</t>
  </si>
  <si>
    <t>Music Broadcast Ltd</t>
  </si>
  <si>
    <t>INE752H01013</t>
  </si>
  <si>
    <t>CARE Ratings Ltd</t>
  </si>
  <si>
    <t>INE063P01018</t>
  </si>
  <si>
    <t>Equitas Small Finance Bank Ltd</t>
  </si>
  <si>
    <t>INE227C01017</t>
  </si>
  <si>
    <t>M M Forgings Ltd</t>
  </si>
  <si>
    <t>INE285K01026</t>
  </si>
  <si>
    <t>Techno Electric &amp; Engineering Co Ltd</t>
  </si>
  <si>
    <t>INE274V01019</t>
  </si>
  <si>
    <t>Shankara Building Products Ltd</t>
  </si>
  <si>
    <t>INE495P01012</t>
  </si>
  <si>
    <t>Mrs Bectors Food Specialities Ltd</t>
  </si>
  <si>
    <t>INE932A01024</t>
  </si>
  <si>
    <t>Pennar Industries Ltd</t>
  </si>
  <si>
    <t>INE501G01024</t>
  </si>
  <si>
    <t>HT Media Ltd</t>
  </si>
  <si>
    <t>INE312H01016</t>
  </si>
  <si>
    <t>Inox Leisure Ltd</t>
  </si>
  <si>
    <t>INE999B01013</t>
  </si>
  <si>
    <t>Sanghi Industries Ltd</t>
  </si>
  <si>
    <t>Franklin India Prima Fund</t>
  </si>
  <si>
    <t>INE299U01018</t>
  </si>
  <si>
    <t>Crompton Greaves Consumer Electricals Ltd</t>
  </si>
  <si>
    <t>INE331A01037</t>
  </si>
  <si>
    <t>The Ramco Cements Ltd</t>
  </si>
  <si>
    <t>INE769A01020</t>
  </si>
  <si>
    <t>Aarti Industries Ltd</t>
  </si>
  <si>
    <t>INE093I01010</t>
  </si>
  <si>
    <t>Oberoi Realty Ltd</t>
  </si>
  <si>
    <t>INE849A01020</t>
  </si>
  <si>
    <t>Trent Ltd</t>
  </si>
  <si>
    <t>INE548C01032</t>
  </si>
  <si>
    <t>Emami Ltd</t>
  </si>
  <si>
    <t>INE640A01023</t>
  </si>
  <si>
    <t>SKF India Ltd</t>
  </si>
  <si>
    <t>INE438A01022</t>
  </si>
  <si>
    <t>Apollo Tyres Ltd</t>
  </si>
  <si>
    <t>INE437A01024</t>
  </si>
  <si>
    <t>Apollo Hospitals Enterprise Ltd</t>
  </si>
  <si>
    <t>INE660A01013</t>
  </si>
  <si>
    <t>Sundaram Finance Ltd</t>
  </si>
  <si>
    <t>INE603J01030</t>
  </si>
  <si>
    <t>PI Industries Ltd</t>
  </si>
  <si>
    <t>Pesticides</t>
  </si>
  <si>
    <t>INE513A01014</t>
  </si>
  <si>
    <t>Schaeffler India Ltd</t>
  </si>
  <si>
    <t>INE169A01031</t>
  </si>
  <si>
    <t>Coromandel International Ltd</t>
  </si>
  <si>
    <t>Fertilisers</t>
  </si>
  <si>
    <t>INE356A01018</t>
  </si>
  <si>
    <t>Mphasis Ltd</t>
  </si>
  <si>
    <t>INE976G01028</t>
  </si>
  <si>
    <t>RBL Bank Ltd</t>
  </si>
  <si>
    <t>INE387A01021</t>
  </si>
  <si>
    <t>Sundram Fasteners Ltd</t>
  </si>
  <si>
    <t>INE068V01023</t>
  </si>
  <si>
    <t>Gland Pharma Ltd</t>
  </si>
  <si>
    <t>INE212H01026</t>
  </si>
  <si>
    <t>AIA Engineering Ltd</t>
  </si>
  <si>
    <t>INE255A01020</t>
  </si>
  <si>
    <t>EPL Ltd</t>
  </si>
  <si>
    <t>INE217B01036</t>
  </si>
  <si>
    <t>Kajaria Ceramics Ltd</t>
  </si>
  <si>
    <t>INE211B01039</t>
  </si>
  <si>
    <t>Phoenix Mills Ltd</t>
  </si>
  <si>
    <t>INE465A01025</t>
  </si>
  <si>
    <t>Bharat Forge Ltd</t>
  </si>
  <si>
    <t>INE571A01020</t>
  </si>
  <si>
    <t>IPCA Laboratories Ltd</t>
  </si>
  <si>
    <t>Franklin India Opportunities Fund</t>
  </si>
  <si>
    <t>INE021A01026</t>
  </si>
  <si>
    <t>Asian Paints Ltd</t>
  </si>
  <si>
    <t>INE869I01013</t>
  </si>
  <si>
    <t>GTPL Hathway Ltd</t>
  </si>
  <si>
    <t>INE475E01026</t>
  </si>
  <si>
    <t>Caplin Point Laboratories Ltd</t>
  </si>
  <si>
    <t>INE029L01018</t>
  </si>
  <si>
    <t>Kalyani Invest Co Ltd</t>
  </si>
  <si>
    <t>INE898S01029</t>
  </si>
  <si>
    <t>Majesco Ltd</t>
  </si>
  <si>
    <t>INE696201123</t>
  </si>
  <si>
    <t>Quantum Information Services **</t>
  </si>
  <si>
    <t>Chennai Interactive Business Services Pvt Ltd **</t>
  </si>
  <si>
    <t>Franklin India Focused Equity Fund</t>
  </si>
  <si>
    <t>INE326A01037</t>
  </si>
  <si>
    <t>Lupin Ltd</t>
  </si>
  <si>
    <t>INE481G01011</t>
  </si>
  <si>
    <t>Ultratech Cement Ltd</t>
  </si>
  <si>
    <t>INE646L01027</t>
  </si>
  <si>
    <t>Interglobe Aviation Ltd</t>
  </si>
  <si>
    <t>INE878B01027</t>
  </si>
  <si>
    <t>KEI Industries Ltd</t>
  </si>
  <si>
    <t>INE876N01018</t>
  </si>
  <si>
    <t>Orient Cement Ltd</t>
  </si>
  <si>
    <t>INE355A01028</t>
  </si>
  <si>
    <t>Somany Ceramics Ltd</t>
  </si>
  <si>
    <t>INE686A01026</t>
  </si>
  <si>
    <t>ITD Cementation India Ltd</t>
  </si>
  <si>
    <t>INE854D01024</t>
  </si>
  <si>
    <t>United Spirits Ltd</t>
  </si>
  <si>
    <t>INE066F01012</t>
  </si>
  <si>
    <t>Hindustan Aeronautics Ltd</t>
  </si>
  <si>
    <t>Aerospace &amp; Defense</t>
  </si>
  <si>
    <t>INE285B01017</t>
  </si>
  <si>
    <t>Spicejet Ltd</t>
  </si>
  <si>
    <t>Franklin India Equity Fund</t>
  </si>
  <si>
    <t>INE196A01026</t>
  </si>
  <si>
    <t>Marico Ltd</t>
  </si>
  <si>
    <t>INE726G01019</t>
  </si>
  <si>
    <t>ICICI Prudential Life Insurance Co Ltd</t>
  </si>
  <si>
    <t>INE044A01036</t>
  </si>
  <si>
    <t>Sun Pharmaceutical Industries Ltd</t>
  </si>
  <si>
    <t>INE674K01013</t>
  </si>
  <si>
    <t>Aditya Birla Capital Ltd</t>
  </si>
  <si>
    <t>INE517F01014</t>
  </si>
  <si>
    <t>Gujarat Pipavav Port Ltd</t>
  </si>
  <si>
    <t>INE176A01028</t>
  </si>
  <si>
    <t>Bata India Ltd</t>
  </si>
  <si>
    <t>INE955V01021</t>
  </si>
  <si>
    <t>Arvind Fashions Ltd</t>
  </si>
  <si>
    <t>Quantum Information Systems **</t>
  </si>
  <si>
    <t>Franklin India Equity Advantage Fund</t>
  </si>
  <si>
    <t>INE095A01012</t>
  </si>
  <si>
    <t>IndusInd Bank Ltd</t>
  </si>
  <si>
    <t>INE349A01021</t>
  </si>
  <si>
    <t>NRB Bearings Ltd</t>
  </si>
  <si>
    <t>Franklin India Bluechip Fund</t>
  </si>
  <si>
    <t>INE079A01024</t>
  </si>
  <si>
    <t>Ambuja Cements Ltd</t>
  </si>
  <si>
    <t>Franklin Build India Fund</t>
  </si>
  <si>
    <t>INE323I01011</t>
  </si>
  <si>
    <t>Puravankara Ltd</t>
  </si>
  <si>
    <t>INE852F01015</t>
  </si>
  <si>
    <t>Gateway Distriparks Ltd</t>
  </si>
  <si>
    <t>INE470Y01017</t>
  </si>
  <si>
    <t>The New India Assurance Co Ltd</t>
  </si>
  <si>
    <t>INE871K01015</t>
  </si>
  <si>
    <t>Hindustan Media Vent Ltd</t>
  </si>
  <si>
    <t>Franklin Asian Equity Fund</t>
  </si>
  <si>
    <t>INE484J01027</t>
  </si>
  <si>
    <t>Godrej Properties Ltd</t>
  </si>
  <si>
    <t>INE338I01027</t>
  </si>
  <si>
    <t>Motilal Oswal Financial Services Ltd</t>
  </si>
  <si>
    <t>KYG875721634</t>
  </si>
  <si>
    <t>Tencent Holdings Ltd</t>
  </si>
  <si>
    <t>HK0000069689</t>
  </si>
  <si>
    <t>AIA Group Ltd</t>
  </si>
  <si>
    <t>CNE1000003X6</t>
  </si>
  <si>
    <t>Ping An Insurance (Group) Co. Of China Ltd, H</t>
  </si>
  <si>
    <t>KYG596691041</t>
  </si>
  <si>
    <t>Meituan Dianping</t>
  </si>
  <si>
    <t>KR7035420009</t>
  </si>
  <si>
    <t>Naver Corp</t>
  </si>
  <si>
    <t>KYG210961051</t>
  </si>
  <si>
    <t>China Mengniu Dairy Co. Ltd</t>
  </si>
  <si>
    <t>KYG8208B1014</t>
  </si>
  <si>
    <t>JD.Com Inc</t>
  </si>
  <si>
    <t>KYG6470A1085</t>
  </si>
  <si>
    <t>New Oriental Education &amp; Technology Group Inc</t>
  </si>
  <si>
    <t>Diversified Consumer Service</t>
  </si>
  <si>
    <t>ID1000106800</t>
  </si>
  <si>
    <t>Semen Indonesia (Persero) Tbk PT</t>
  </si>
  <si>
    <t>HK0669013440</t>
  </si>
  <si>
    <t>Techtronic Industries Co. Ltd</t>
  </si>
  <si>
    <t>ID1000109507</t>
  </si>
  <si>
    <t>Bank Central Asia Tbk Pt</t>
  </si>
  <si>
    <t>CNE0000018R8</t>
  </si>
  <si>
    <t>Kweichow Moutai Co. Ltd, A</t>
  </si>
  <si>
    <t>CNE1000002M1</t>
  </si>
  <si>
    <t>China Merchants Bank Co Ltd</t>
  </si>
  <si>
    <t>CNE100001QQ5</t>
  </si>
  <si>
    <t>Midea Group Co Ltd</t>
  </si>
  <si>
    <t>KYG1674K1013</t>
  </si>
  <si>
    <t>Budweiser Brewing Co APAC Ltd</t>
  </si>
  <si>
    <t>KYG2453A1085</t>
  </si>
  <si>
    <t>Country Garden Services Holdings Co Ltd</t>
  </si>
  <si>
    <t>KYG2108Y1052</t>
  </si>
  <si>
    <t>China Resources Land Ltd</t>
  </si>
  <si>
    <t>PHY806761029</t>
  </si>
  <si>
    <t>SM Investments Corp</t>
  </si>
  <si>
    <t>BMG0171K1018</t>
  </si>
  <si>
    <t>Alibaba Health Information Technology Ltd</t>
  </si>
  <si>
    <t>ID1000061302</t>
  </si>
  <si>
    <t>Indocement Tunggal Prakarsa Tbk Pt</t>
  </si>
  <si>
    <t>KYG2113L1068</t>
  </si>
  <si>
    <t>China Resources Cement Holdings Ltd</t>
  </si>
  <si>
    <t>ID1000125503</t>
  </si>
  <si>
    <t>ACE Hardware Indonesia Tbk Pt</t>
  </si>
  <si>
    <t>US98850P1093</t>
  </si>
  <si>
    <t>Yum China Holdings INC</t>
  </si>
  <si>
    <t>US89677Q1076</t>
  </si>
  <si>
    <t>Trip.Com Group Ltd, (ADR)</t>
  </si>
  <si>
    <t>TH0003010Z12</t>
  </si>
  <si>
    <t>The Siam Cement PCL, Fgn.</t>
  </si>
  <si>
    <t>HK0883013259</t>
  </si>
  <si>
    <t>CNOOC Ltd</t>
  </si>
  <si>
    <t>KR7000660001</t>
  </si>
  <si>
    <t>SK Hynix Inc</t>
  </si>
  <si>
    <t>CNE100000CS3</t>
  </si>
  <si>
    <t>Beijing Oriental Yuhong Waterproof Technology Co Ltd</t>
  </si>
  <si>
    <t>Engineering Services</t>
  </si>
  <si>
    <t>TH0128B10Z17</t>
  </si>
  <si>
    <t>Minor International Pcl, Fgn.</t>
  </si>
  <si>
    <t>LU0633102719</t>
  </si>
  <si>
    <t>Samsonite International S A</t>
  </si>
  <si>
    <t>US81141R1005</t>
  </si>
  <si>
    <t>Sea Ltd (ADR)</t>
  </si>
  <si>
    <t>TW0003008009</t>
  </si>
  <si>
    <t>Largan Precision Co. Ltd</t>
  </si>
  <si>
    <t>CNE100001FR6</t>
  </si>
  <si>
    <t>Longi Green Energy Technology Co Ltd</t>
  </si>
  <si>
    <t>SG1F60858221</t>
  </si>
  <si>
    <t>Singapore Technologies Engineering Ltd</t>
  </si>
  <si>
    <t>KYG4387E1070</t>
  </si>
  <si>
    <t>Health &amp; Happiness H&amp;H International Holdings Ltd</t>
  </si>
  <si>
    <t>KYG2122G1064</t>
  </si>
  <si>
    <t>China Resources Mixc Lifestyle Services Ltd</t>
  </si>
  <si>
    <t>TH0128053707</t>
  </si>
  <si>
    <t>Minor International PCL- Warrants (31-July-2023)</t>
  </si>
  <si>
    <t>TH0128051909</t>
  </si>
  <si>
    <t>Minor International PCL- Warrants (30-Sep-2021)</t>
  </si>
  <si>
    <t>Franklin India Index Fund NSE Nifty Plan</t>
  </si>
  <si>
    <t>INE002A01018</t>
  </si>
  <si>
    <t>Reliance Industries Ltd</t>
  </si>
  <si>
    <t>INE296A01024</t>
  </si>
  <si>
    <t>Bajaj Finance Ltd</t>
  </si>
  <si>
    <t>INE075A01022</t>
  </si>
  <si>
    <t>Wipro Ltd</t>
  </si>
  <si>
    <t>INE918I01018</t>
  </si>
  <si>
    <t>Bajaj Finserv Ltd</t>
  </si>
  <si>
    <t>INE795G01014</t>
  </si>
  <si>
    <t>HDFC Life Insurance Co Ltd</t>
  </si>
  <si>
    <t>INE361B01024</t>
  </si>
  <si>
    <t>Divi's Laboratories Ltd</t>
  </si>
  <si>
    <t>INE216A01030</t>
  </si>
  <si>
    <t>Britannia Industries Ltd</t>
  </si>
  <si>
    <t>INE059A01026</t>
  </si>
  <si>
    <t>Cipla Ltd</t>
  </si>
  <si>
    <t>INE158A01026</t>
  </si>
  <si>
    <t>Hero MotoCorp Ltd</t>
  </si>
  <si>
    <t>INE019A01038</t>
  </si>
  <si>
    <t>JSW Steel Ltd</t>
  </si>
  <si>
    <t>INE742F01042</t>
  </si>
  <si>
    <t>Adani Ports and Special Economic Zone Ltd</t>
  </si>
  <si>
    <t>INE123W01016</t>
  </si>
  <si>
    <t>SBI Life Insurance Co Ltd</t>
  </si>
  <si>
    <t>INE066A01021</t>
  </si>
  <si>
    <t>Eicher Motors Ltd</t>
  </si>
  <si>
    <t>INE070A01015</t>
  </si>
  <si>
    <t>Shree Cement Ltd</t>
  </si>
  <si>
    <t>INE628A01036</t>
  </si>
  <si>
    <t>UPL Ltd</t>
  </si>
  <si>
    <t>INE528G01035</t>
  </si>
  <si>
    <t>Yes Bank Ltd</t>
  </si>
  <si>
    <t>Franklin India TAXSHIELD</t>
  </si>
  <si>
    <t>INE811K01011</t>
  </si>
  <si>
    <t>Prestige Estates Projects Ltd</t>
  </si>
  <si>
    <t>Franklin India Feeder - Franklin U.S. Opportunities Fund</t>
  </si>
  <si>
    <t>LU0195948665</t>
  </si>
  <si>
    <t>Franklin U.S. Opportunities Fund, Class I (Acc)</t>
  </si>
  <si>
    <t>Franklin India Feeder - Templeton European Opportunities Fund ^</t>
  </si>
  <si>
    <t>LU0195949390</t>
  </si>
  <si>
    <t>Templeton European Opportunities Fund, Class I (Acc)</t>
  </si>
  <si>
    <t>^ Franklin India Feeder - Franklin European Growth Fund is renamed as Franklin India Feeder - Templeton European Opportunities Fund effective Aug 18, 2020.</t>
  </si>
  <si>
    <t>Franklin India Multi-Asset Solution Fund</t>
  </si>
  <si>
    <t>Mutual Fund Units</t>
  </si>
  <si>
    <t>INF090I01FN7</t>
  </si>
  <si>
    <t>Franklin India Bluechip Fund Direct-Growth Plan</t>
  </si>
  <si>
    <t>INF090I01GK1</t>
  </si>
  <si>
    <t>Franklin India Short-Term Income Plan (No. of Segregated Portfolios in the Scheme- 3) - (under winding up) Direct-Growth Plan ^^</t>
  </si>
  <si>
    <t>INF204KB17I5</t>
  </si>
  <si>
    <t>Nippon India ETF Gold Bees</t>
  </si>
  <si>
    <t>INF090I01VS3</t>
  </si>
  <si>
    <t>Franklin India Short Term Income Plan-Segregated Portfolio 3- 9.50% Yes Bank Ltd CO 23Dec21-Direct-Growth Plan</t>
  </si>
  <si>
    <t>INF090I01UY3</t>
  </si>
  <si>
    <t>Franklin India Short Term Income Plan- Segregated Portfolio 2- 10.90% Vodafone Idea Ltd 02Sep2023 (P/C 03Sep2021)-Direct-Growth Plan</t>
  </si>
  <si>
    <t>^^ Securities are fair Valued</t>
  </si>
  <si>
    <t>Franklin India Life Stage Fund Of Funds - 50's Plus Floating Rate Plan</t>
  </si>
  <si>
    <t>INF090I01GV8</t>
  </si>
  <si>
    <t>Franklin India Savings Fund Direct-Growth Plan</t>
  </si>
  <si>
    <t>INF090I01GY2</t>
  </si>
  <si>
    <t>Templeton India Value Fund Direct-Growth Plan</t>
  </si>
  <si>
    <t xml:space="preserve">      Dividend Option</t>
  </si>
  <si>
    <t xml:space="preserve">      Direct Dividend Option</t>
  </si>
  <si>
    <t>Franklin India Life Stage Fund Of Funds - 50's Plus Plan</t>
  </si>
  <si>
    <t>INF090I01FW8</t>
  </si>
  <si>
    <t>Franklin India Corporate Debt Fund Direct-Growth Plan</t>
  </si>
  <si>
    <t>INF090I01HB8</t>
  </si>
  <si>
    <t>Franklin India Dynamic Accrual Fund (No. of Segregated Portfolios in the Scheme- 3) - (under winding up) Direct-Growth Plan ^^</t>
  </si>
  <si>
    <t>INF090I01WD3</t>
  </si>
  <si>
    <t>Franklin India Dynamic Accrual Fund- Segregated Portfolio 3- 9.50% Yes Bank Ltd CO 23Dec21-Direct-Growth Plan</t>
  </si>
  <si>
    <t>INF090I01TX7</t>
  </si>
  <si>
    <t>Franklin India Dynamic Accrual Fund- Segregated Portfolio 2- 10.90% Vodafone Idea Ltd 02Sep2023 (P/C 03Sep2021)-Direct-Growth Plan</t>
  </si>
  <si>
    <t>Franklin India Life Stage Fund Of Funds - 40's Plan</t>
  </si>
  <si>
    <t>INF090I01FH9</t>
  </si>
  <si>
    <t>Franklin India Prima Fund Direct-Growth Plan</t>
  </si>
  <si>
    <t>Franklin India Life Stage Fund Of Funds - 30's Plan</t>
  </si>
  <si>
    <t>Franklin India Life Stage Fund Of Funds - 20's Plan</t>
  </si>
  <si>
    <t>Franklin India Dynamic Asset Allocation Fund Of Funds</t>
  </si>
  <si>
    <t>INF090I01FK3</t>
  </si>
  <si>
    <t>Franklin India Equity Fund Direct-Growth Plan</t>
  </si>
  <si>
    <t xml:space="preserve">d) During the month additional instances of fair valuation/deviation from valuation price provided by the valuation agencies </t>
  </si>
  <si>
    <t xml:space="preserve">b) During the month additional instances of fair valuation/deviation from valuation price provided by the valuation agencies </t>
  </si>
  <si>
    <t>e) For product labeling and risk-o-meter refer the link below</t>
  </si>
  <si>
    <t>https://www.franklintempletonindia.com/downloadsServlet/pdf/product-labels-jg9o5k7l</t>
  </si>
  <si>
    <t>d) During the month additional instances of fair valuation/deviation from valuation price provided by the valuation agencies</t>
  </si>
  <si>
    <t>f) For product labeling and risk-o-meter refer the link below</t>
  </si>
  <si>
    <t>h) For product labeling and risk-o-meter refer the link below</t>
  </si>
  <si>
    <t>c) For product labeling and risk-o-meter refer the link below</t>
  </si>
  <si>
    <t>g) For product labeling and risk-o-meter refer the link below</t>
  </si>
  <si>
    <t>i) For product labeling and risk-o-meter refer the link below</t>
  </si>
  <si>
    <t>d) For product labeling and risk-o-meter refer the link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</si>
</sst>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b/>
      <sz val="9"/>
      <color theme="1"/>
      <name val="Arial"/>
      <family val="2"/>
    </font>
    <font>
      <u/>
      <sz val="11"/>
      <color theme="10"/>
      <name val="Calibri"/>
      <family val="2"/>
      <scheme val="minor"/>
    </font>
    <font>
      <u/>
      <sz val="8"/>
      <color theme="10"/>
      <name val="Arial"/>
      <family val="2"/>
    </font>
    <font>
      <sz val="8"/>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81">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4" fontId="7" fillId="2" borderId="0" xfId="0" applyNumberFormat="1" applyFont="1" applyFill="1"/>
    <xf numFmtId="0" fontId="6" fillId="2" borderId="0" xfId="0" applyNumberFormat="1" applyFont="1" applyFill="1" applyAlignment="1">
      <alignment horizontal="right"/>
    </xf>
    <xf numFmtId="0" fontId="8" fillId="2" borderId="0" xfId="0" applyFont="1" applyFill="1"/>
    <xf numFmtId="164" fontId="7" fillId="3" borderId="0" xfId="0" applyNumberFormat="1" applyFont="1" applyFill="1" applyAlignment="1">
      <alignment horizontal="right"/>
    </xf>
    <xf numFmtId="0" fontId="10" fillId="0" borderId="0" xfId="1" applyFont="1" applyAlignment="1">
      <alignment vertical="center"/>
    </xf>
    <xf numFmtId="0" fontId="10" fillId="2" borderId="0" xfId="1" applyFont="1" applyFill="1"/>
    <xf numFmtId="0" fontId="7" fillId="2" borderId="4" xfId="0" applyFont="1" applyFill="1" applyBorder="1" applyAlignment="1">
      <alignment wrapText="1"/>
    </xf>
    <xf numFmtId="0" fontId="6" fillId="3" borderId="0" xfId="0"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3" borderId="0" xfId="0" applyFont="1" applyFill="1"/>
    <xf numFmtId="0" fontId="7" fillId="3" borderId="0" xfId="0" applyNumberFormat="1" applyFont="1" applyFill="1"/>
    <xf numFmtId="0" fontId="10" fillId="3" borderId="0" xfId="1" applyFont="1" applyFill="1"/>
    <xf numFmtId="2" fontId="6" fillId="0" borderId="1" xfId="0" applyNumberFormat="1" applyFont="1" applyBorder="1" applyAlignment="1">
      <alignment horizontal="center" vertical="center" wrapText="1"/>
    </xf>
    <xf numFmtId="0" fontId="11" fillId="3" borderId="0" xfId="0" applyFont="1" applyFill="1" applyAlignment="1">
      <alignment horizontal="right"/>
    </xf>
    <xf numFmtId="165" fontId="7" fillId="2" borderId="0" xfId="0" applyNumberFormat="1" applyFont="1" applyFill="1"/>
    <xf numFmtId="0" fontId="7" fillId="0" borderId="4" xfId="0" applyFont="1" applyFill="1" applyBorder="1"/>
    <xf numFmtId="3" fontId="7" fillId="0" borderId="4" xfId="0" applyNumberFormat="1" applyFont="1" applyFill="1" applyBorder="1"/>
    <xf numFmtId="39" fontId="7" fillId="0" borderId="4" xfId="0" applyNumberFormat="1" applyFont="1" applyFill="1" applyBorder="1"/>
    <xf numFmtId="0" fontId="6" fillId="2" borderId="0" xfId="0" applyFont="1" applyFill="1" applyAlignment="1">
      <alignment horizontal="justify" vertical="top" wrapText="1"/>
    </xf>
    <xf numFmtId="0" fontId="7" fillId="2" borderId="6" xfId="0" applyFont="1" applyFill="1" applyBorder="1" applyAlignment="1"/>
    <xf numFmtId="0" fontId="7" fillId="2" borderId="7" xfId="0" applyFont="1" applyFill="1" applyBorder="1" applyAlignment="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applyAlignment="1"/>
    <xf numFmtId="0" fontId="6" fillId="2" borderId="7" xfId="0" applyFont="1" applyFill="1" applyBorder="1" applyAlignment="1"/>
    <xf numFmtId="0" fontId="6" fillId="2" borderId="0" xfId="0" applyFont="1" applyFill="1" applyAlignment="1">
      <alignment horizontal="left" vertical="top" wrapText="1"/>
    </xf>
    <xf numFmtId="0" fontId="6" fillId="2" borderId="0" xfId="0" applyFont="1" applyFill="1" applyAlignment="1">
      <alignment vertical="top"/>
    </xf>
    <xf numFmtId="0" fontId="0" fillId="0" borderId="0" xfId="0" applyAlignment="1">
      <alignment vertical="top"/>
    </xf>
    <xf numFmtId="0" fontId="6" fillId="0" borderId="0" xfId="0" applyFont="1" applyFill="1" applyAlignment="1">
      <alignment horizontal="justify"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6" fillId="2" borderId="0" xfId="0" applyFont="1" applyFill="1" applyAlignment="1">
      <alignment horizontal="justify" vertical="top"/>
    </xf>
    <xf numFmtId="0" fontId="6" fillId="2" borderId="6" xfId="0" applyFont="1" applyFill="1" applyBorder="1"/>
    <xf numFmtId="0" fontId="6" fillId="2" borderId="7" xfId="0" applyFont="1" applyFill="1" applyBorder="1"/>
    <xf numFmtId="0" fontId="7" fillId="2" borderId="6" xfId="0" applyFont="1" applyFill="1" applyBorder="1"/>
    <xf numFmtId="0" fontId="7" fillId="2" borderId="7" xfId="0" applyFont="1" applyFill="1" applyBorder="1"/>
  </cellXfs>
  <cellStyles count="2">
    <cellStyle name="Hyperlink" xfId="1" builtinId="8"/>
    <cellStyle name="Normal" xfId="0" builtinId="0"/>
  </cellStyles>
  <dxfs count="93">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7" Type="http://schemas.openxmlformats.org/officeDocument/2006/relationships/printerSettings" Target="../printerSettings/printerSettings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5" Type="http://schemas.openxmlformats.org/officeDocument/2006/relationships/printerSettings" Target="../printerSettings/printerSettings9.bin"/><Relationship Id="rId4"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www.franklintempletonindia.com/investor/reports?firstFilter-4"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5" Type="http://schemas.openxmlformats.org/officeDocument/2006/relationships/printerSettings" Target="../printerSettings/printerSettings12.bin"/><Relationship Id="rId4"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7" Type="http://schemas.openxmlformats.org/officeDocument/2006/relationships/printerSettings" Target="../printerSettings/printerSettings1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www.franklintempletonindia.com/downloadsServlet/pdf/product-labels-jg9o5k7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www.franklintempletonindia.com/downloadsServlet/pdf/product-labels-jg9o5k7l"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www.franklintempletonindia.com/downloadsServlet/pdf/product-labels-jg9o5k7l"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www.franklintempletonindia.com/downloadsServlet/pdf/product-labels-jg9o5k7l" TargetMode="Externa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https://www.franklintempletonindia.com/downloadsServlet/pdf/product-labels-jg9o5k7l"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https://www.franklintempletonindia.com/downloadsServlet/pdf/product-labels-jg9o5k7l"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s://www.franklintempletonindia.com/downloadsServlet/pdf/product-labels-jg9o5k7l"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https://www.franklintempletonindia.com/downloadsServlet/pdf/product-labels-jg9o5k7l"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s://www.franklintempletonindia.com/downloadsServlet/pdf/product-labels-jg9o5k7l"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https://www.franklintempletonindia.com/downloadsServlet/pdf/product-labels-jg9o5k7l"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s://www.franklintempletonindia.com/downloadsServlet/pdf/product-labels-jg9o5k7l"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s://www.franklintempletonindia.com/downloadsServlet/pdf/product-labels-jg9o5k7l"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61.bin"/><Relationship Id="rId1" Type="http://schemas.openxmlformats.org/officeDocument/2006/relationships/hyperlink" Target="https://www.franklintempletonindia.com/downloadsServlet/pdf/product-labels-jg9o5k7l" TargetMode="External"/></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7"/>
  <sheetViews>
    <sheetView tabSelected="1" zoomScaleNormal="100" workbookViewId="0">
      <selection sqref="A1:G1"/>
    </sheetView>
  </sheetViews>
  <sheetFormatPr defaultColWidth="9.1796875" defaultRowHeight="10" x14ac:dyDescent="0.2"/>
  <cols>
    <col min="1" max="1" width="38.7265625" style="9" bestFit="1" customWidth="1"/>
    <col min="2" max="2" width="50.72656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66" t="s">
        <v>0</v>
      </c>
      <c r="B1" s="67"/>
      <c r="C1" s="67"/>
      <c r="D1" s="67"/>
      <c r="E1" s="67"/>
      <c r="F1" s="67"/>
      <c r="G1" s="67"/>
    </row>
    <row r="2" spans="1:9" s="1" customFormat="1" ht="11.5" x14ac:dyDescent="0.25">
      <c r="D2" s="6"/>
      <c r="E2" s="7"/>
      <c r="F2" s="12"/>
      <c r="G2" s="13"/>
    </row>
    <row r="3" spans="1:9" s="1" customFormat="1" ht="11.5" x14ac:dyDescent="0.25">
      <c r="A3" s="11" t="s">
        <v>1</v>
      </c>
      <c r="B3" s="2"/>
      <c r="C3" s="3"/>
      <c r="D3" s="4"/>
      <c r="E3" s="5"/>
      <c r="F3" s="12"/>
      <c r="G3" s="13"/>
    </row>
    <row r="4" spans="1:9" s="1" customFormat="1" ht="17.5" customHeight="1" x14ac:dyDescent="0.25">
      <c r="A4" s="8" t="s">
        <v>2</v>
      </c>
      <c r="B4" s="8" t="s">
        <v>3</v>
      </c>
      <c r="C4" s="17" t="s">
        <v>4</v>
      </c>
      <c r="D4" s="16" t="s">
        <v>5</v>
      </c>
      <c r="E4" s="15" t="s">
        <v>6</v>
      </c>
      <c r="F4" s="15" t="s">
        <v>7</v>
      </c>
      <c r="G4" s="15" t="s">
        <v>8</v>
      </c>
    </row>
    <row r="5" spans="1:9" ht="10.5" x14ac:dyDescent="0.25">
      <c r="A5" s="20" t="s">
        <v>9</v>
      </c>
      <c r="B5" s="21"/>
      <c r="C5" s="21"/>
      <c r="D5" s="22"/>
      <c r="E5" s="23"/>
      <c r="F5" s="24"/>
      <c r="G5" s="23"/>
    </row>
    <row r="6" spans="1:9" ht="10.5" x14ac:dyDescent="0.25">
      <c r="A6" s="25" t="s">
        <v>10</v>
      </c>
      <c r="B6" s="26"/>
      <c r="C6" s="26"/>
      <c r="D6" s="27"/>
      <c r="E6" s="28"/>
      <c r="F6" s="29"/>
      <c r="G6" s="28"/>
    </row>
    <row r="7" spans="1:9" x14ac:dyDescent="0.2">
      <c r="A7" s="26" t="s">
        <v>11</v>
      </c>
      <c r="B7" s="26" t="s">
        <v>12</v>
      </c>
      <c r="C7" s="26" t="s">
        <v>13</v>
      </c>
      <c r="D7" s="30">
        <v>250</v>
      </c>
      <c r="E7" s="28">
        <v>2508.0450000000001</v>
      </c>
      <c r="F7" s="29">
        <v>1.37623901718597</v>
      </c>
      <c r="G7" s="28">
        <v>3.2852000000000001</v>
      </c>
    </row>
    <row r="8" spans="1:9" x14ac:dyDescent="0.2">
      <c r="A8" s="26" t="s">
        <v>14</v>
      </c>
      <c r="B8" s="26" t="s">
        <v>15</v>
      </c>
      <c r="C8" s="26" t="s">
        <v>16</v>
      </c>
      <c r="D8" s="30">
        <v>50</v>
      </c>
      <c r="E8" s="28">
        <v>501.68549999999999</v>
      </c>
      <c r="F8" s="29">
        <v>0.27528978126646603</v>
      </c>
      <c r="G8" s="28">
        <v>3.2597999999999998</v>
      </c>
    </row>
    <row r="9" spans="1:9" ht="10.5" x14ac:dyDescent="0.25">
      <c r="A9" s="25" t="s">
        <v>17</v>
      </c>
      <c r="B9" s="25"/>
      <c r="C9" s="25"/>
      <c r="D9" s="31"/>
      <c r="E9" s="32">
        <f>SUM(E6:E8)</f>
        <v>3009.7305000000001</v>
      </c>
      <c r="F9" s="33">
        <f>SUM(F6:F8)</f>
        <v>1.6515287984524361</v>
      </c>
      <c r="G9" s="32"/>
      <c r="H9" s="18"/>
      <c r="I9" s="18"/>
    </row>
    <row r="10" spans="1:9" x14ac:dyDescent="0.2">
      <c r="A10" s="26"/>
      <c r="B10" s="26"/>
      <c r="C10" s="26"/>
      <c r="D10" s="27"/>
      <c r="E10" s="28"/>
      <c r="F10" s="29"/>
      <c r="G10" s="28"/>
    </row>
    <row r="11" spans="1:9" ht="10.5" x14ac:dyDescent="0.25">
      <c r="A11" s="25" t="s">
        <v>18</v>
      </c>
      <c r="B11" s="26"/>
      <c r="C11" s="26"/>
      <c r="D11" s="27"/>
      <c r="E11" s="28"/>
      <c r="F11" s="29"/>
      <c r="G11" s="28"/>
    </row>
    <row r="12" spans="1:9" ht="10.5" x14ac:dyDescent="0.25">
      <c r="A12" s="25" t="s">
        <v>19</v>
      </c>
      <c r="B12" s="26"/>
      <c r="C12" s="26"/>
      <c r="D12" s="27"/>
      <c r="E12" s="28"/>
      <c r="F12" s="29"/>
      <c r="G12" s="28"/>
    </row>
    <row r="13" spans="1:9" x14ac:dyDescent="0.2">
      <c r="A13" s="26" t="s">
        <v>20</v>
      </c>
      <c r="B13" s="26" t="s">
        <v>21</v>
      </c>
      <c r="C13" s="26" t="s">
        <v>22</v>
      </c>
      <c r="D13" s="30">
        <v>1500</v>
      </c>
      <c r="E13" s="28">
        <v>7486.86</v>
      </c>
      <c r="F13" s="29">
        <v>4.10826314847181</v>
      </c>
      <c r="G13" s="28">
        <v>3.0505</v>
      </c>
    </row>
    <row r="14" spans="1:9" x14ac:dyDescent="0.2">
      <c r="A14" s="26" t="s">
        <v>23</v>
      </c>
      <c r="B14" s="26" t="s">
        <v>24</v>
      </c>
      <c r="C14" s="26" t="s">
        <v>25</v>
      </c>
      <c r="D14" s="30">
        <v>1500</v>
      </c>
      <c r="E14" s="28">
        <v>7480.9125000000004</v>
      </c>
      <c r="F14" s="29">
        <v>4.1049995780196404</v>
      </c>
      <c r="G14" s="28">
        <v>3.0047999999999999</v>
      </c>
    </row>
    <row r="15" spans="1:9" x14ac:dyDescent="0.2">
      <c r="A15" s="26" t="s">
        <v>26</v>
      </c>
      <c r="B15" s="26" t="s">
        <v>27</v>
      </c>
      <c r="C15" s="26" t="s">
        <v>25</v>
      </c>
      <c r="D15" s="30">
        <v>1500</v>
      </c>
      <c r="E15" s="28">
        <v>7470.2775000000001</v>
      </c>
      <c r="F15" s="29">
        <v>4.0991638366562402</v>
      </c>
      <c r="G15" s="28">
        <v>3.0899000000000001</v>
      </c>
    </row>
    <row r="16" spans="1:9" x14ac:dyDescent="0.2">
      <c r="A16" s="26" t="s">
        <v>28</v>
      </c>
      <c r="B16" s="26" t="s">
        <v>29</v>
      </c>
      <c r="C16" s="26" t="s">
        <v>25</v>
      </c>
      <c r="D16" s="30">
        <v>1500</v>
      </c>
      <c r="E16" s="28">
        <v>7469.0775000000003</v>
      </c>
      <c r="F16" s="29">
        <v>4.09850536090297</v>
      </c>
      <c r="G16" s="28">
        <v>3.2850999999999999</v>
      </c>
    </row>
    <row r="17" spans="1:9" x14ac:dyDescent="0.2">
      <c r="A17" s="26" t="s">
        <v>30</v>
      </c>
      <c r="B17" s="26" t="s">
        <v>31</v>
      </c>
      <c r="C17" s="26" t="s">
        <v>25</v>
      </c>
      <c r="D17" s="30">
        <v>1500</v>
      </c>
      <c r="E17" s="28">
        <v>7467.4949999999999</v>
      </c>
      <c r="F17" s="29">
        <v>4.0976369960033301</v>
      </c>
      <c r="G17" s="28">
        <v>3.31</v>
      </c>
    </row>
    <row r="18" spans="1:9" x14ac:dyDescent="0.2">
      <c r="A18" s="26" t="s">
        <v>32</v>
      </c>
      <c r="B18" s="26" t="s">
        <v>33</v>
      </c>
      <c r="C18" s="26" t="s">
        <v>22</v>
      </c>
      <c r="D18" s="30">
        <v>1500</v>
      </c>
      <c r="E18" s="28">
        <v>7457.6925000000001</v>
      </c>
      <c r="F18" s="29">
        <v>4.0922580721937702</v>
      </c>
      <c r="G18" s="28">
        <v>3.0451000000000001</v>
      </c>
    </row>
    <row r="19" spans="1:9" x14ac:dyDescent="0.2">
      <c r="A19" s="26" t="s">
        <v>34</v>
      </c>
      <c r="B19" s="26" t="s">
        <v>35</v>
      </c>
      <c r="C19" s="26" t="s">
        <v>25</v>
      </c>
      <c r="D19" s="30">
        <v>1500</v>
      </c>
      <c r="E19" s="28">
        <v>7451.9025000000001</v>
      </c>
      <c r="F19" s="29">
        <v>4.0890809266842103</v>
      </c>
      <c r="G19" s="28">
        <v>3.0998000000000001</v>
      </c>
    </row>
    <row r="20" spans="1:9" x14ac:dyDescent="0.2">
      <c r="A20" s="26" t="s">
        <v>36</v>
      </c>
      <c r="B20" s="26" t="s">
        <v>37</v>
      </c>
      <c r="C20" s="26" t="s">
        <v>38</v>
      </c>
      <c r="D20" s="30">
        <v>1000</v>
      </c>
      <c r="E20" s="28">
        <v>4991.415</v>
      </c>
      <c r="F20" s="29">
        <v>2.73893812669523</v>
      </c>
      <c r="G20" s="28">
        <v>3.3050999999999999</v>
      </c>
    </row>
    <row r="21" spans="1:9" x14ac:dyDescent="0.2">
      <c r="A21" s="26" t="s">
        <v>39</v>
      </c>
      <c r="B21" s="26" t="s">
        <v>40</v>
      </c>
      <c r="C21" s="26" t="s">
        <v>25</v>
      </c>
      <c r="D21" s="30">
        <v>500</v>
      </c>
      <c r="E21" s="28">
        <v>2494.4575</v>
      </c>
      <c r="F21" s="29">
        <v>1.36878315110462</v>
      </c>
      <c r="G21" s="28">
        <v>3.1198999999999999</v>
      </c>
    </row>
    <row r="22" spans="1:9" ht="10.5" x14ac:dyDescent="0.25">
      <c r="A22" s="25" t="s">
        <v>17</v>
      </c>
      <c r="B22" s="25"/>
      <c r="C22" s="25"/>
      <c r="D22" s="31"/>
      <c r="E22" s="32">
        <f>SUM(E12:E21)</f>
        <v>59770.09</v>
      </c>
      <c r="F22" s="33">
        <f>SUM(F12:F21)</f>
        <v>32.797629196731826</v>
      </c>
      <c r="G22" s="32"/>
      <c r="H22" s="18"/>
      <c r="I22" s="18"/>
    </row>
    <row r="23" spans="1:9" x14ac:dyDescent="0.2">
      <c r="A23" s="26"/>
      <c r="B23" s="26"/>
      <c r="C23" s="26"/>
      <c r="D23" s="27"/>
      <c r="E23" s="28"/>
      <c r="F23" s="29"/>
      <c r="G23" s="28"/>
    </row>
    <row r="24" spans="1:9" ht="10.5" x14ac:dyDescent="0.25">
      <c r="A24" s="25" t="s">
        <v>41</v>
      </c>
      <c r="B24" s="26"/>
      <c r="C24" s="26"/>
      <c r="D24" s="27"/>
      <c r="E24" s="28"/>
      <c r="F24" s="29"/>
      <c r="G24" s="28"/>
    </row>
    <row r="25" spans="1:9" x14ac:dyDescent="0.2">
      <c r="A25" s="26" t="s">
        <v>42</v>
      </c>
      <c r="B25" s="26" t="s">
        <v>43</v>
      </c>
      <c r="C25" s="26" t="s">
        <v>44</v>
      </c>
      <c r="D25" s="30">
        <v>15000000</v>
      </c>
      <c r="E25" s="28">
        <v>14984.25</v>
      </c>
      <c r="F25" s="29">
        <v>8.2223044216786203</v>
      </c>
      <c r="G25" s="28">
        <v>2.9512</v>
      </c>
    </row>
    <row r="26" spans="1:9" x14ac:dyDescent="0.2">
      <c r="A26" s="26" t="s">
        <v>45</v>
      </c>
      <c r="B26" s="26" t="s">
        <v>46</v>
      </c>
      <c r="C26" s="26" t="s">
        <v>44</v>
      </c>
      <c r="D26" s="30">
        <v>15000000</v>
      </c>
      <c r="E26" s="28">
        <v>14898.36</v>
      </c>
      <c r="F26" s="29">
        <v>8.1751740196379394</v>
      </c>
      <c r="G26" s="28">
        <v>3.0001000000000002</v>
      </c>
    </row>
    <row r="27" spans="1:9" x14ac:dyDescent="0.2">
      <c r="A27" s="26" t="s">
        <v>47</v>
      </c>
      <c r="B27" s="26" t="s">
        <v>48</v>
      </c>
      <c r="C27" s="26" t="s">
        <v>44</v>
      </c>
      <c r="D27" s="30">
        <v>5000000</v>
      </c>
      <c r="E27" s="28">
        <v>4997.6149999999998</v>
      </c>
      <c r="F27" s="29">
        <v>2.74234025142048</v>
      </c>
      <c r="G27" s="28">
        <v>2.9062000000000001</v>
      </c>
    </row>
    <row r="28" spans="1:9" ht="10.5" x14ac:dyDescent="0.25">
      <c r="A28" s="25" t="s">
        <v>17</v>
      </c>
      <c r="B28" s="25"/>
      <c r="C28" s="25"/>
      <c r="D28" s="31"/>
      <c r="E28" s="32">
        <f>SUM(E24:E27)</f>
        <v>34880.224999999999</v>
      </c>
      <c r="F28" s="33">
        <f>SUM(F24:F27)</f>
        <v>19.139818692737038</v>
      </c>
      <c r="G28" s="32"/>
      <c r="H28" s="18"/>
      <c r="I28" s="18"/>
    </row>
    <row r="29" spans="1:9" x14ac:dyDescent="0.2">
      <c r="A29" s="26"/>
      <c r="B29" s="26"/>
      <c r="C29" s="26"/>
      <c r="D29" s="27"/>
      <c r="E29" s="28"/>
      <c r="F29" s="29"/>
      <c r="G29" s="28"/>
    </row>
    <row r="30" spans="1:9" ht="10.5" x14ac:dyDescent="0.25">
      <c r="A30" s="25" t="s">
        <v>49</v>
      </c>
      <c r="B30" s="26"/>
      <c r="C30" s="26"/>
      <c r="D30" s="27"/>
      <c r="E30" s="28"/>
      <c r="F30" s="29"/>
      <c r="G30" s="28"/>
    </row>
    <row r="31" spans="1:9" x14ac:dyDescent="0.2">
      <c r="A31" s="26" t="s">
        <v>50</v>
      </c>
      <c r="B31" s="26" t="s">
        <v>51</v>
      </c>
      <c r="C31" s="26" t="s">
        <v>44</v>
      </c>
      <c r="D31" s="30">
        <v>10000000</v>
      </c>
      <c r="E31" s="28">
        <v>10001.25</v>
      </c>
      <c r="F31" s="29">
        <v>5.4879838562032299</v>
      </c>
      <c r="G31" s="28">
        <v>3.0667</v>
      </c>
    </row>
    <row r="32" spans="1:9" x14ac:dyDescent="0.2">
      <c r="A32" s="26" t="s">
        <v>52</v>
      </c>
      <c r="B32" s="26" t="s">
        <v>53</v>
      </c>
      <c r="C32" s="26" t="s">
        <v>44</v>
      </c>
      <c r="D32" s="30">
        <v>5000000</v>
      </c>
      <c r="E32" s="28">
        <v>5033.91</v>
      </c>
      <c r="F32" s="29">
        <v>2.76225639930809</v>
      </c>
      <c r="G32" s="28">
        <v>3.0600999999999998</v>
      </c>
    </row>
    <row r="33" spans="1:9" x14ac:dyDescent="0.2">
      <c r="A33" s="26" t="s">
        <v>54</v>
      </c>
      <c r="B33" s="26" t="s">
        <v>55</v>
      </c>
      <c r="C33" s="26" t="s">
        <v>44</v>
      </c>
      <c r="D33" s="30">
        <v>3500000</v>
      </c>
      <c r="E33" s="28">
        <v>3507.518</v>
      </c>
      <c r="F33" s="29">
        <v>1.92467963098035</v>
      </c>
      <c r="G33" s="28">
        <v>3.0749</v>
      </c>
    </row>
    <row r="34" spans="1:9" x14ac:dyDescent="0.2">
      <c r="A34" s="26" t="s">
        <v>56</v>
      </c>
      <c r="B34" s="26" t="s">
        <v>57</v>
      </c>
      <c r="C34" s="26" t="s">
        <v>44</v>
      </c>
      <c r="D34" s="30">
        <v>3266000</v>
      </c>
      <c r="E34" s="28">
        <v>3296.2660219999998</v>
      </c>
      <c r="F34" s="29">
        <v>1.8087593765266601</v>
      </c>
      <c r="G34" s="28">
        <v>3.0598999999999998</v>
      </c>
    </row>
    <row r="35" spans="1:9" x14ac:dyDescent="0.2">
      <c r="A35" s="26" t="s">
        <v>58</v>
      </c>
      <c r="B35" s="26" t="s">
        <v>59</v>
      </c>
      <c r="C35" s="26" t="s">
        <v>44</v>
      </c>
      <c r="D35" s="30">
        <v>2500000</v>
      </c>
      <c r="E35" s="28">
        <v>2506.7474999999999</v>
      </c>
      <c r="F35" s="29">
        <v>1.37552704027775</v>
      </c>
      <c r="G35" s="28">
        <v>3.0608</v>
      </c>
    </row>
    <row r="36" spans="1:9" x14ac:dyDescent="0.2">
      <c r="A36" s="26" t="s">
        <v>60</v>
      </c>
      <c r="B36" s="26" t="s">
        <v>61</v>
      </c>
      <c r="C36" s="26" t="s">
        <v>44</v>
      </c>
      <c r="D36" s="30">
        <v>2500000</v>
      </c>
      <c r="E36" s="28">
        <v>2504.16</v>
      </c>
      <c r="F36" s="29">
        <v>1.37410720193475</v>
      </c>
      <c r="G36" s="28">
        <v>3.0714999999999999</v>
      </c>
    </row>
    <row r="37" spans="1:9" ht="10.5" x14ac:dyDescent="0.25">
      <c r="A37" s="25" t="s">
        <v>17</v>
      </c>
      <c r="B37" s="25"/>
      <c r="C37" s="25"/>
      <c r="D37" s="31"/>
      <c r="E37" s="32">
        <f>SUM(E31:E36)</f>
        <v>26849.851522000001</v>
      </c>
      <c r="F37" s="33">
        <f>SUM(F31:F36)</f>
        <v>14.73331350523083</v>
      </c>
      <c r="G37" s="32"/>
      <c r="H37" s="18"/>
      <c r="I37" s="18"/>
    </row>
    <row r="38" spans="1:9" x14ac:dyDescent="0.2">
      <c r="A38" s="26"/>
      <c r="B38" s="26"/>
      <c r="C38" s="26"/>
      <c r="D38" s="27"/>
      <c r="E38" s="28"/>
      <c r="F38" s="29"/>
      <c r="G38" s="28"/>
    </row>
    <row r="39" spans="1:9" ht="10.5" x14ac:dyDescent="0.25">
      <c r="A39" s="25" t="s">
        <v>62</v>
      </c>
      <c r="B39" s="25"/>
      <c r="C39" s="25"/>
      <c r="D39" s="31"/>
      <c r="E39" s="32">
        <f>E9+E22+E28+E37</f>
        <v>124509.89702199999</v>
      </c>
      <c r="F39" s="33">
        <f>F9+F22+F28+F37</f>
        <v>68.322290193152128</v>
      </c>
      <c r="G39" s="32"/>
      <c r="H39" s="18"/>
      <c r="I39" s="18"/>
    </row>
    <row r="40" spans="1:9" ht="10.5" x14ac:dyDescent="0.25">
      <c r="A40" s="25"/>
      <c r="B40" s="25"/>
      <c r="C40" s="25"/>
      <c r="D40" s="31"/>
      <c r="E40" s="32"/>
      <c r="F40" s="33"/>
      <c r="G40" s="32"/>
      <c r="H40" s="18"/>
      <c r="I40" s="18"/>
    </row>
    <row r="41" spans="1:9" ht="10.5" x14ac:dyDescent="0.25">
      <c r="A41" s="25" t="s">
        <v>63</v>
      </c>
      <c r="B41" s="25"/>
      <c r="C41" s="25"/>
      <c r="D41" s="31"/>
      <c r="E41" s="32">
        <f>E43-(E9+E22+E28+E37)</f>
        <v>57729.159470400016</v>
      </c>
      <c r="F41" s="33">
        <f>F43-(F9+F22+F28+F37)</f>
        <v>31.677709806847872</v>
      </c>
      <c r="G41" s="32"/>
      <c r="H41" s="18"/>
      <c r="I41" s="18"/>
    </row>
    <row r="42" spans="1:9" ht="10.5" x14ac:dyDescent="0.25">
      <c r="A42" s="25"/>
      <c r="B42" s="25"/>
      <c r="C42" s="25"/>
      <c r="D42" s="31"/>
      <c r="E42" s="32"/>
      <c r="F42" s="33"/>
      <c r="G42" s="32"/>
      <c r="H42" s="18"/>
      <c r="I42" s="18"/>
    </row>
    <row r="43" spans="1:9" ht="10.5" x14ac:dyDescent="0.25">
      <c r="A43" s="34" t="s">
        <v>64</v>
      </c>
      <c r="B43" s="34"/>
      <c r="C43" s="34"/>
      <c r="D43" s="35"/>
      <c r="E43" s="36">
        <v>182239.05649240001</v>
      </c>
      <c r="F43" s="37">
        <v>100</v>
      </c>
      <c r="G43" s="36"/>
      <c r="H43" s="18"/>
      <c r="I43" s="18"/>
    </row>
    <row r="45" spans="1:9" ht="10.5" x14ac:dyDescent="0.25">
      <c r="A45" s="18" t="s">
        <v>65</v>
      </c>
    </row>
    <row r="46" spans="1:9" ht="10.5" x14ac:dyDescent="0.25">
      <c r="A46" s="18" t="s">
        <v>66</v>
      </c>
    </row>
    <row r="48" spans="1:9" ht="10.5" x14ac:dyDescent="0.25">
      <c r="A48" s="18" t="s">
        <v>67</v>
      </c>
    </row>
    <row r="49" spans="1:4" ht="10.5" x14ac:dyDescent="0.25">
      <c r="A49" s="18" t="s">
        <v>68</v>
      </c>
    </row>
    <row r="50" spans="1:4" ht="10.5" x14ac:dyDescent="0.25">
      <c r="A50" s="18" t="s">
        <v>69</v>
      </c>
      <c r="B50" s="18"/>
      <c r="C50" s="38" t="s">
        <v>70</v>
      </c>
      <c r="D50" s="43" t="s">
        <v>71</v>
      </c>
    </row>
    <row r="51" spans="1:4" x14ac:dyDescent="0.2">
      <c r="A51" s="9" t="s">
        <v>72</v>
      </c>
      <c r="C51" s="39">
        <v>4673.2893999999997</v>
      </c>
      <c r="D51" s="39">
        <v>4730.2748000000001</v>
      </c>
    </row>
    <row r="52" spans="1:4" x14ac:dyDescent="0.2">
      <c r="A52" s="9" t="s">
        <v>73</v>
      </c>
      <c r="C52" s="39">
        <v>1510.5263</v>
      </c>
      <c r="D52" s="39">
        <v>1510.5263</v>
      </c>
    </row>
    <row r="53" spans="1:4" x14ac:dyDescent="0.2">
      <c r="A53" s="9" t="s">
        <v>74</v>
      </c>
      <c r="C53" s="39">
        <v>1244.5157999999999</v>
      </c>
      <c r="D53" s="39">
        <v>1244.6821</v>
      </c>
    </row>
    <row r="54" spans="1:4" x14ac:dyDescent="0.2">
      <c r="A54" s="9" t="s">
        <v>75</v>
      </c>
      <c r="C54" s="39">
        <v>3039.5486999999998</v>
      </c>
      <c r="D54" s="45" t="s">
        <v>76</v>
      </c>
    </row>
    <row r="55" spans="1:4" x14ac:dyDescent="0.2">
      <c r="A55" s="9" t="s">
        <v>77</v>
      </c>
      <c r="C55" s="39">
        <v>1000</v>
      </c>
      <c r="D55" s="39">
        <v>1000</v>
      </c>
    </row>
    <row r="56" spans="1:4" x14ac:dyDescent="0.2">
      <c r="A56" s="9" t="s">
        <v>78</v>
      </c>
      <c r="C56" s="39">
        <v>1054.9194</v>
      </c>
      <c r="D56" s="39">
        <v>1055.0764999999999</v>
      </c>
    </row>
    <row r="57" spans="1:4" x14ac:dyDescent="0.2">
      <c r="A57" s="9" t="s">
        <v>79</v>
      </c>
      <c r="C57" s="39">
        <v>3005.6442999999999</v>
      </c>
      <c r="D57" s="39">
        <v>3052.6019000000001</v>
      </c>
    </row>
    <row r="58" spans="1:4" x14ac:dyDescent="0.2">
      <c r="A58" s="9" t="s">
        <v>80</v>
      </c>
      <c r="C58" s="39">
        <v>1000</v>
      </c>
      <c r="D58" s="39">
        <v>1000</v>
      </c>
    </row>
    <row r="59" spans="1:4" x14ac:dyDescent="0.2">
      <c r="A59" s="9" t="s">
        <v>81</v>
      </c>
      <c r="C59" s="39">
        <v>1022.1417</v>
      </c>
      <c r="D59" s="39">
        <v>1022.3161</v>
      </c>
    </row>
    <row r="60" spans="1:4" x14ac:dyDescent="0.2">
      <c r="A60" s="9" t="s">
        <v>82</v>
      </c>
      <c r="C60" s="39">
        <v>3019.3231000000001</v>
      </c>
      <c r="D60" s="39">
        <v>3067.7937999999999</v>
      </c>
    </row>
    <row r="61" spans="1:4" x14ac:dyDescent="0.2">
      <c r="A61" s="9" t="s">
        <v>83</v>
      </c>
      <c r="C61" s="39">
        <v>1002.2243</v>
      </c>
      <c r="D61" s="39">
        <v>1002.2243</v>
      </c>
    </row>
    <row r="62" spans="1:4" x14ac:dyDescent="0.2">
      <c r="A62" s="9" t="s">
        <v>84</v>
      </c>
      <c r="C62" s="39">
        <v>1021.6103000000001</v>
      </c>
      <c r="D62" s="39">
        <v>1021.7886</v>
      </c>
    </row>
    <row r="63" spans="1:4" x14ac:dyDescent="0.2">
      <c r="A63" s="9" t="s">
        <v>85</v>
      </c>
      <c r="C63" s="39">
        <v>12.746499999999999</v>
      </c>
      <c r="D63" s="39">
        <v>12.950200000000001</v>
      </c>
    </row>
    <row r="64" spans="1:4" x14ac:dyDescent="0.2">
      <c r="A64" s="9" t="s">
        <v>86</v>
      </c>
      <c r="C64" s="39">
        <v>12.746499999999999</v>
      </c>
      <c r="D64" s="39">
        <v>12.950200000000001</v>
      </c>
    </row>
    <row r="65" spans="1:4" x14ac:dyDescent="0.2">
      <c r="A65" s="9" t="s">
        <v>87</v>
      </c>
      <c r="C65" s="39">
        <v>10</v>
      </c>
      <c r="D65" s="39">
        <v>10</v>
      </c>
    </row>
    <row r="66" spans="1:4" x14ac:dyDescent="0.2">
      <c r="A66" s="9" t="s">
        <v>88</v>
      </c>
      <c r="C66" s="39">
        <v>10</v>
      </c>
      <c r="D66" s="39">
        <v>10</v>
      </c>
    </row>
    <row r="67" spans="1:4" x14ac:dyDescent="0.2">
      <c r="C67" s="39"/>
      <c r="D67" s="39"/>
    </row>
    <row r="68" spans="1:4" ht="10.5" x14ac:dyDescent="0.25">
      <c r="A68" s="18" t="s">
        <v>89</v>
      </c>
      <c r="C68" s="39"/>
      <c r="D68" s="39"/>
    </row>
    <row r="70" spans="1:4" ht="10.5" x14ac:dyDescent="0.25">
      <c r="A70" s="18" t="s">
        <v>90</v>
      </c>
    </row>
    <row r="71" spans="1:4" ht="10.5" x14ac:dyDescent="0.25">
      <c r="A71" s="68" t="s">
        <v>91</v>
      </c>
      <c r="B71" s="69"/>
      <c r="C71" s="40" t="s">
        <v>92</v>
      </c>
    </row>
    <row r="72" spans="1:4" x14ac:dyDescent="0.2">
      <c r="A72" s="64" t="s">
        <v>73</v>
      </c>
      <c r="B72" s="65"/>
      <c r="C72" s="41">
        <v>18.308503619</v>
      </c>
    </row>
    <row r="73" spans="1:4" x14ac:dyDescent="0.2">
      <c r="A73" s="64" t="s">
        <v>74</v>
      </c>
      <c r="B73" s="65"/>
      <c r="C73" s="41">
        <v>14.918241598</v>
      </c>
    </row>
    <row r="74" spans="1:4" x14ac:dyDescent="0.2">
      <c r="A74" s="64" t="s">
        <v>77</v>
      </c>
      <c r="B74" s="65"/>
      <c r="C74" s="41">
        <v>13.379863966</v>
      </c>
    </row>
    <row r="75" spans="1:4" x14ac:dyDescent="0.2">
      <c r="A75" s="64" t="s">
        <v>78</v>
      </c>
      <c r="B75" s="65"/>
      <c r="C75" s="41">
        <v>13.978472785999999</v>
      </c>
    </row>
    <row r="76" spans="1:4" x14ac:dyDescent="0.2">
      <c r="A76" s="64" t="s">
        <v>80</v>
      </c>
      <c r="B76" s="65"/>
      <c r="C76" s="41">
        <v>15.497603449</v>
      </c>
    </row>
    <row r="77" spans="1:4" x14ac:dyDescent="0.2">
      <c r="A77" s="64" t="s">
        <v>81</v>
      </c>
      <c r="B77" s="65"/>
      <c r="C77" s="41">
        <v>15.671692928000001</v>
      </c>
    </row>
    <row r="78" spans="1:4" x14ac:dyDescent="0.2">
      <c r="A78" s="64" t="s">
        <v>83</v>
      </c>
      <c r="B78" s="65"/>
      <c r="C78" s="41">
        <v>15.883152794000001</v>
      </c>
    </row>
    <row r="79" spans="1:4" x14ac:dyDescent="0.2">
      <c r="A79" s="64" t="s">
        <v>84</v>
      </c>
      <c r="B79" s="65"/>
      <c r="C79" s="41">
        <v>16.024155285999999</v>
      </c>
    </row>
    <row r="80" spans="1:4" x14ac:dyDescent="0.2">
      <c r="A80" s="9" t="s">
        <v>93</v>
      </c>
    </row>
    <row r="82" spans="1:5" ht="10.5" x14ac:dyDescent="0.25">
      <c r="A82" s="18" t="s">
        <v>94</v>
      </c>
      <c r="D82" s="42">
        <v>7.4236790328767094E-2</v>
      </c>
      <c r="E82" s="13" t="s">
        <v>95</v>
      </c>
    </row>
    <row r="84" spans="1:5" ht="10.5" x14ac:dyDescent="0.25">
      <c r="A84" s="18" t="s">
        <v>1506</v>
      </c>
      <c r="D84" s="43" t="s">
        <v>96</v>
      </c>
    </row>
    <row r="86" spans="1:5" ht="10.5" x14ac:dyDescent="0.25">
      <c r="A86" s="18" t="s">
        <v>1508</v>
      </c>
    </row>
    <row r="87" spans="1:5" x14ac:dyDescent="0.2">
      <c r="A87" s="47" t="s">
        <v>1509</v>
      </c>
    </row>
  </sheetData>
  <mergeCells count="10">
    <mergeCell ref="A76:B76"/>
    <mergeCell ref="A77:B77"/>
    <mergeCell ref="A78:B78"/>
    <mergeCell ref="A79:B79"/>
    <mergeCell ref="A1:G1"/>
    <mergeCell ref="A71:B71"/>
    <mergeCell ref="A72:B72"/>
    <mergeCell ref="A73:B73"/>
    <mergeCell ref="A74:B74"/>
    <mergeCell ref="A75:B75"/>
  </mergeCells>
  <conditionalFormatting sqref="F2:F3 F5:F65539">
    <cfRule type="cellIs" dxfId="92" priority="1" stopIfTrue="1" operator="between">
      <formula>0.009</formula>
      <formula>-0.009</formula>
    </cfRule>
  </conditionalFormatting>
  <hyperlinks>
    <hyperlink ref="A87" r:id="rId1" xr:uid="{18C01C2C-36E8-474D-A601-09BE4686BE57}"/>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selection sqref="A1:G1"/>
    </sheetView>
  </sheetViews>
  <sheetFormatPr defaultColWidth="9.1796875" defaultRowHeight="10" x14ac:dyDescent="0.2"/>
  <cols>
    <col min="1" max="1" width="41.26953125" style="9" customWidth="1"/>
    <col min="2" max="2" width="22.453125" style="9" customWidth="1"/>
    <col min="3" max="3" width="22.7265625" style="9"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66" t="s">
        <v>97</v>
      </c>
      <c r="B1" s="67"/>
      <c r="C1" s="67"/>
      <c r="D1" s="67"/>
      <c r="E1" s="67"/>
      <c r="F1" s="67"/>
      <c r="G1" s="67"/>
    </row>
    <row r="2" spans="1:9" s="1" customFormat="1" ht="11.5" x14ac:dyDescent="0.25">
      <c r="D2" s="6"/>
      <c r="E2" s="7"/>
      <c r="F2" s="12"/>
      <c r="G2" s="13"/>
    </row>
    <row r="3" spans="1:9" s="1" customFormat="1" ht="11.5" x14ac:dyDescent="0.25">
      <c r="A3" s="11" t="s">
        <v>1</v>
      </c>
      <c r="B3" s="2"/>
      <c r="C3" s="3"/>
      <c r="D3" s="4"/>
      <c r="E3" s="5"/>
      <c r="F3" s="12"/>
      <c r="G3" s="13"/>
    </row>
    <row r="4" spans="1:9" s="1" customFormat="1" ht="17.5" customHeight="1" x14ac:dyDescent="0.25">
      <c r="A4" s="8" t="s">
        <v>2</v>
      </c>
      <c r="B4" s="8" t="s">
        <v>3</v>
      </c>
      <c r="C4" s="17" t="s">
        <v>4</v>
      </c>
      <c r="D4" s="16" t="s">
        <v>5</v>
      </c>
      <c r="E4" s="15" t="s">
        <v>6</v>
      </c>
      <c r="F4" s="15" t="s">
        <v>7</v>
      </c>
      <c r="G4" s="15" t="s">
        <v>8</v>
      </c>
    </row>
    <row r="5" spans="1:9" ht="10.5" x14ac:dyDescent="0.25">
      <c r="A5" s="25" t="s">
        <v>63</v>
      </c>
      <c r="B5" s="25"/>
      <c r="C5" s="25"/>
      <c r="D5" s="31"/>
      <c r="E5" s="32">
        <v>27390.469837600001</v>
      </c>
      <c r="F5" s="33">
        <v>100</v>
      </c>
      <c r="G5" s="32"/>
      <c r="H5" s="18"/>
      <c r="I5" s="18"/>
    </row>
    <row r="6" spans="1:9" ht="10.5" x14ac:dyDescent="0.25">
      <c r="A6" s="25"/>
      <c r="B6" s="25"/>
      <c r="C6" s="25"/>
      <c r="D6" s="31"/>
      <c r="E6" s="32"/>
      <c r="F6" s="33"/>
      <c r="G6" s="32"/>
      <c r="H6" s="18"/>
      <c r="I6" s="18"/>
    </row>
    <row r="7" spans="1:9" ht="10.5" x14ac:dyDescent="0.25">
      <c r="A7" s="34" t="s">
        <v>64</v>
      </c>
      <c r="B7" s="34"/>
      <c r="C7" s="34"/>
      <c r="D7" s="35"/>
      <c r="E7" s="36">
        <v>27390.469837600001</v>
      </c>
      <c r="F7" s="37">
        <v>100</v>
      </c>
      <c r="G7" s="36"/>
      <c r="H7" s="18"/>
      <c r="I7" s="18"/>
    </row>
    <row r="9" spans="1:9" ht="10.5" x14ac:dyDescent="0.25">
      <c r="A9" s="18"/>
    </row>
    <row r="11" spans="1:9" ht="10.5" x14ac:dyDescent="0.25">
      <c r="A11" s="18" t="s">
        <v>67</v>
      </c>
    </row>
    <row r="12" spans="1:9" ht="10.5" x14ac:dyDescent="0.25">
      <c r="A12" s="18" t="s">
        <v>68</v>
      </c>
    </row>
    <row r="13" spans="1:9" ht="10.5" x14ac:dyDescent="0.25">
      <c r="A13" s="18" t="s">
        <v>69</v>
      </c>
      <c r="B13" s="18"/>
      <c r="C13" s="38" t="s">
        <v>70</v>
      </c>
      <c r="D13" s="43" t="s">
        <v>71</v>
      </c>
    </row>
    <row r="14" spans="1:9" x14ac:dyDescent="0.2">
      <c r="A14" s="9" t="s">
        <v>98</v>
      </c>
      <c r="C14" s="39">
        <v>1051.0764999999999</v>
      </c>
      <c r="D14" s="39">
        <v>1066.6025999999999</v>
      </c>
    </row>
    <row r="15" spans="1:9" x14ac:dyDescent="0.2">
      <c r="A15" s="9" t="s">
        <v>99</v>
      </c>
      <c r="C15" s="39">
        <v>1000</v>
      </c>
      <c r="D15" s="39">
        <v>1000</v>
      </c>
    </row>
    <row r="16" spans="1:9" x14ac:dyDescent="0.2">
      <c r="A16" s="9" t="s">
        <v>100</v>
      </c>
      <c r="C16" s="39">
        <v>1000.1546</v>
      </c>
      <c r="D16" s="39">
        <v>1000.3111</v>
      </c>
    </row>
    <row r="17" spans="1:5" x14ac:dyDescent="0.2">
      <c r="A17" s="9" t="s">
        <v>101</v>
      </c>
      <c r="C17" s="39">
        <v>1051.8347000000001</v>
      </c>
      <c r="D17" s="39">
        <v>1067.6436000000001</v>
      </c>
    </row>
    <row r="18" spans="1:5" x14ac:dyDescent="0.2">
      <c r="A18" s="9" t="s">
        <v>102</v>
      </c>
      <c r="C18" s="39">
        <v>1000</v>
      </c>
      <c r="D18" s="39">
        <v>1000</v>
      </c>
    </row>
    <row r="19" spans="1:5" x14ac:dyDescent="0.2">
      <c r="A19" s="9" t="s">
        <v>103</v>
      </c>
      <c r="C19" s="39">
        <v>1000.1577</v>
      </c>
      <c r="D19" s="39">
        <v>1000.3171</v>
      </c>
    </row>
    <row r="21" spans="1:5" ht="10.5" x14ac:dyDescent="0.25">
      <c r="A21" s="18" t="s">
        <v>90</v>
      </c>
    </row>
    <row r="22" spans="1:5" ht="10.5" x14ac:dyDescent="0.25">
      <c r="A22" s="68" t="s">
        <v>91</v>
      </c>
      <c r="B22" s="69"/>
      <c r="C22" s="40" t="s">
        <v>92</v>
      </c>
    </row>
    <row r="23" spans="1:5" x14ac:dyDescent="0.2">
      <c r="A23" s="64" t="s">
        <v>99</v>
      </c>
      <c r="B23" s="65"/>
      <c r="C23" s="41">
        <v>14.664727198</v>
      </c>
    </row>
    <row r="24" spans="1:5" x14ac:dyDescent="0.2">
      <c r="A24" s="64" t="s">
        <v>100</v>
      </c>
      <c r="B24" s="65"/>
      <c r="C24" s="41">
        <v>14.542789938</v>
      </c>
    </row>
    <row r="25" spans="1:5" x14ac:dyDescent="0.2">
      <c r="A25" s="64" t="s">
        <v>102</v>
      </c>
      <c r="B25" s="65"/>
      <c r="C25" s="41">
        <v>14.913033726</v>
      </c>
    </row>
    <row r="26" spans="1:5" x14ac:dyDescent="0.2">
      <c r="A26" s="64" t="s">
        <v>103</v>
      </c>
      <c r="B26" s="65"/>
      <c r="C26" s="41">
        <v>14.776432112</v>
      </c>
    </row>
    <row r="27" spans="1:5" x14ac:dyDescent="0.2">
      <c r="A27" s="9" t="s">
        <v>93</v>
      </c>
    </row>
    <row r="29" spans="1:5" ht="10.5" x14ac:dyDescent="0.25">
      <c r="A29" s="18" t="s">
        <v>94</v>
      </c>
      <c r="D29" s="42">
        <v>2.7397260273972599E-3</v>
      </c>
      <c r="E29" s="13" t="s">
        <v>95</v>
      </c>
    </row>
    <row r="31" spans="1:5" ht="10.5" x14ac:dyDescent="0.25">
      <c r="A31" s="70" t="s">
        <v>1510</v>
      </c>
      <c r="B31" s="70"/>
      <c r="C31" s="70"/>
      <c r="D31" s="43" t="s">
        <v>96</v>
      </c>
    </row>
    <row r="33" spans="1:1" ht="10.5" x14ac:dyDescent="0.25">
      <c r="A33" s="18" t="s">
        <v>1508</v>
      </c>
    </row>
    <row r="34" spans="1:1" x14ac:dyDescent="0.2">
      <c r="A34" s="47" t="s">
        <v>1509</v>
      </c>
    </row>
  </sheetData>
  <mergeCells count="7">
    <mergeCell ref="A26:B26"/>
    <mergeCell ref="A31:C31"/>
    <mergeCell ref="A1:G1"/>
    <mergeCell ref="A22:B22"/>
    <mergeCell ref="A23:B23"/>
    <mergeCell ref="A24:B24"/>
    <mergeCell ref="A25:B25"/>
  </mergeCells>
  <conditionalFormatting sqref="F2:F3 F5:F65534">
    <cfRule type="cellIs" dxfId="91" priority="1" stopIfTrue="1" operator="between">
      <formula>0.009</formula>
      <formula>-0.009</formula>
    </cfRule>
  </conditionalFormatting>
  <hyperlinks>
    <hyperlink ref="A34" r:id="rId1" xr:uid="{D31C8AF7-9812-49DA-ABFB-866EC19D92DA}"/>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election sqref="A1:G1"/>
    </sheetView>
  </sheetViews>
  <sheetFormatPr defaultColWidth="9.1796875" defaultRowHeight="10" x14ac:dyDescent="0.2"/>
  <cols>
    <col min="1" max="1" width="36.81640625" style="9" bestFit="1" customWidth="1"/>
    <col min="2" max="2" width="51"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66" t="s">
        <v>104</v>
      </c>
      <c r="B1" s="67"/>
      <c r="C1" s="67"/>
      <c r="D1" s="67"/>
      <c r="E1" s="67"/>
      <c r="F1" s="67"/>
      <c r="G1" s="67"/>
    </row>
    <row r="2" spans="1:9" s="1" customFormat="1" ht="11.5" x14ac:dyDescent="0.25">
      <c r="D2" s="6"/>
      <c r="E2" s="7"/>
      <c r="F2" s="12"/>
      <c r="G2" s="13"/>
    </row>
    <row r="3" spans="1:9" s="1" customFormat="1" ht="11.5" x14ac:dyDescent="0.25">
      <c r="A3" s="11" t="s">
        <v>1</v>
      </c>
      <c r="B3" s="2"/>
      <c r="C3" s="3"/>
      <c r="D3" s="4"/>
      <c r="E3" s="5"/>
      <c r="F3" s="12"/>
      <c r="G3" s="13"/>
    </row>
    <row r="4" spans="1:9" s="1" customFormat="1" ht="17.5" customHeight="1" x14ac:dyDescent="0.25">
      <c r="A4" s="8" t="s">
        <v>2</v>
      </c>
      <c r="B4" s="8" t="s">
        <v>3</v>
      </c>
      <c r="C4" s="17" t="s">
        <v>4</v>
      </c>
      <c r="D4" s="16" t="s">
        <v>5</v>
      </c>
      <c r="E4" s="15" t="s">
        <v>6</v>
      </c>
      <c r="F4" s="15" t="s">
        <v>7</v>
      </c>
      <c r="G4" s="15" t="s">
        <v>8</v>
      </c>
    </row>
    <row r="5" spans="1:9" ht="10.5" x14ac:dyDescent="0.25">
      <c r="A5" s="20" t="s">
        <v>18</v>
      </c>
      <c r="B5" s="21"/>
      <c r="C5" s="21"/>
      <c r="D5" s="22"/>
      <c r="E5" s="23"/>
      <c r="F5" s="24"/>
      <c r="G5" s="23"/>
    </row>
    <row r="6" spans="1:9" ht="10.5" x14ac:dyDescent="0.25">
      <c r="A6" s="25" t="s">
        <v>105</v>
      </c>
      <c r="B6" s="26"/>
      <c r="C6" s="26"/>
      <c r="D6" s="27"/>
      <c r="E6" s="28"/>
      <c r="F6" s="29"/>
      <c r="G6" s="28"/>
    </row>
    <row r="7" spans="1:9" x14ac:dyDescent="0.2">
      <c r="A7" s="26" t="s">
        <v>106</v>
      </c>
      <c r="B7" s="26" t="s">
        <v>107</v>
      </c>
      <c r="C7" s="26" t="s">
        <v>108</v>
      </c>
      <c r="D7" s="30">
        <v>10000</v>
      </c>
      <c r="E7" s="28">
        <v>9966.59</v>
      </c>
      <c r="F7" s="29">
        <v>8.0858021511333291</v>
      </c>
      <c r="G7" s="28">
        <v>2.9847000000000001</v>
      </c>
    </row>
    <row r="8" spans="1:9" x14ac:dyDescent="0.2">
      <c r="A8" s="26" t="s">
        <v>109</v>
      </c>
      <c r="B8" s="26" t="s">
        <v>110</v>
      </c>
      <c r="C8" s="26" t="s">
        <v>25</v>
      </c>
      <c r="D8" s="30">
        <v>5000</v>
      </c>
      <c r="E8" s="28">
        <v>5013.5550000000003</v>
      </c>
      <c r="F8" s="29">
        <v>4.0674507332824197</v>
      </c>
      <c r="G8" s="28">
        <v>3.7149999999999999</v>
      </c>
    </row>
    <row r="9" spans="1:9" x14ac:dyDescent="0.2">
      <c r="A9" s="26" t="s">
        <v>111</v>
      </c>
      <c r="B9" s="26" t="s">
        <v>112</v>
      </c>
      <c r="C9" s="26" t="s">
        <v>25</v>
      </c>
      <c r="D9" s="30">
        <v>5000</v>
      </c>
      <c r="E9" s="28">
        <v>4972.4350000000004</v>
      </c>
      <c r="F9" s="29">
        <v>4.0340904581577703</v>
      </c>
      <c r="G9" s="28">
        <v>3.02</v>
      </c>
    </row>
    <row r="10" spans="1:9" x14ac:dyDescent="0.2">
      <c r="A10" s="26" t="s">
        <v>113</v>
      </c>
      <c r="B10" s="26" t="s">
        <v>114</v>
      </c>
      <c r="C10" s="26" t="s">
        <v>108</v>
      </c>
      <c r="D10" s="30">
        <v>2500</v>
      </c>
      <c r="E10" s="28">
        <v>2493.2275</v>
      </c>
      <c r="F10" s="29">
        <v>2.0227323771485302</v>
      </c>
      <c r="G10" s="28">
        <v>3.0049999999999999</v>
      </c>
    </row>
    <row r="11" spans="1:9" x14ac:dyDescent="0.2">
      <c r="A11" s="26" t="s">
        <v>115</v>
      </c>
      <c r="B11" s="26" t="s">
        <v>116</v>
      </c>
      <c r="C11" s="26" t="s">
        <v>25</v>
      </c>
      <c r="D11" s="30">
        <v>1022</v>
      </c>
      <c r="E11" s="28">
        <v>1016.683556</v>
      </c>
      <c r="F11" s="29">
        <v>0.82482595191802599</v>
      </c>
      <c r="G11" s="28">
        <v>3.0299</v>
      </c>
    </row>
    <row r="12" spans="1:9" ht="10.5" x14ac:dyDescent="0.25">
      <c r="A12" s="25" t="s">
        <v>17</v>
      </c>
      <c r="B12" s="25"/>
      <c r="C12" s="25"/>
      <c r="D12" s="31"/>
      <c r="E12" s="32">
        <f>SUM(E6:E11)</f>
        <v>23462.491056000003</v>
      </c>
      <c r="F12" s="33">
        <f>SUM(F6:F11)</f>
        <v>19.034901671640075</v>
      </c>
      <c r="G12" s="32"/>
      <c r="H12" s="18"/>
      <c r="I12" s="18"/>
    </row>
    <row r="13" spans="1:9" x14ac:dyDescent="0.2">
      <c r="A13" s="26"/>
      <c r="B13" s="26"/>
      <c r="C13" s="26"/>
      <c r="D13" s="27"/>
      <c r="E13" s="28"/>
      <c r="F13" s="29"/>
      <c r="G13" s="28"/>
    </row>
    <row r="14" spans="1:9" ht="10.5" x14ac:dyDescent="0.25">
      <c r="A14" s="25" t="s">
        <v>19</v>
      </c>
      <c r="B14" s="26"/>
      <c r="C14" s="26"/>
      <c r="D14" s="27"/>
      <c r="E14" s="28"/>
      <c r="F14" s="29"/>
      <c r="G14" s="28"/>
    </row>
    <row r="15" spans="1:9" x14ac:dyDescent="0.2">
      <c r="A15" s="26" t="s">
        <v>117</v>
      </c>
      <c r="B15" s="26" t="s">
        <v>118</v>
      </c>
      <c r="C15" s="26" t="s">
        <v>38</v>
      </c>
      <c r="D15" s="30">
        <v>2000</v>
      </c>
      <c r="E15" s="28">
        <v>9967.33</v>
      </c>
      <c r="F15" s="29">
        <v>8.0864025062790503</v>
      </c>
      <c r="G15" s="28">
        <v>3.0676000000000001</v>
      </c>
    </row>
    <row r="16" spans="1:9" x14ac:dyDescent="0.2">
      <c r="A16" s="26" t="s">
        <v>119</v>
      </c>
      <c r="B16" s="26" t="s">
        <v>120</v>
      </c>
      <c r="C16" s="26" t="s">
        <v>22</v>
      </c>
      <c r="D16" s="30">
        <v>1500</v>
      </c>
      <c r="E16" s="28">
        <v>7480.8675000000003</v>
      </c>
      <c r="F16" s="29">
        <v>6.0691585109694897</v>
      </c>
      <c r="G16" s="28">
        <v>3.3346</v>
      </c>
    </row>
    <row r="17" spans="1:9" x14ac:dyDescent="0.2">
      <c r="A17" s="26" t="s">
        <v>121</v>
      </c>
      <c r="B17" s="26" t="s">
        <v>122</v>
      </c>
      <c r="C17" s="26" t="s">
        <v>38</v>
      </c>
      <c r="D17" s="30">
        <v>1500</v>
      </c>
      <c r="E17" s="28">
        <v>7349.88</v>
      </c>
      <c r="F17" s="29">
        <v>5.9628895654954999</v>
      </c>
      <c r="G17" s="28">
        <v>3.55</v>
      </c>
    </row>
    <row r="18" spans="1:9" x14ac:dyDescent="0.2">
      <c r="A18" s="26" t="s">
        <v>123</v>
      </c>
      <c r="B18" s="26" t="s">
        <v>124</v>
      </c>
      <c r="C18" s="26" t="s">
        <v>22</v>
      </c>
      <c r="D18" s="30">
        <v>1000</v>
      </c>
      <c r="E18" s="28">
        <v>4994.99</v>
      </c>
      <c r="F18" s="29">
        <v>4.0523891207413403</v>
      </c>
      <c r="G18" s="28">
        <v>3.0508000000000002</v>
      </c>
    </row>
    <row r="19" spans="1:9" x14ac:dyDescent="0.2">
      <c r="A19" s="26" t="s">
        <v>125</v>
      </c>
      <c r="B19" s="26" t="s">
        <v>126</v>
      </c>
      <c r="C19" s="26" t="s">
        <v>25</v>
      </c>
      <c r="D19" s="30">
        <v>1000</v>
      </c>
      <c r="E19" s="28">
        <v>4988.0649999999996</v>
      </c>
      <c r="F19" s="29">
        <v>4.0467709323843799</v>
      </c>
      <c r="G19" s="28">
        <v>3.1196999999999999</v>
      </c>
    </row>
    <row r="20" spans="1:9" x14ac:dyDescent="0.2">
      <c r="A20" s="26" t="s">
        <v>127</v>
      </c>
      <c r="B20" s="26" t="s">
        <v>128</v>
      </c>
      <c r="C20" s="26" t="s">
        <v>22</v>
      </c>
      <c r="D20" s="30">
        <v>1000</v>
      </c>
      <c r="E20" s="28">
        <v>4982.7</v>
      </c>
      <c r="F20" s="29">
        <v>4.04241835757787</v>
      </c>
      <c r="G20" s="28">
        <v>3.3353999999999999</v>
      </c>
    </row>
    <row r="21" spans="1:9" x14ac:dyDescent="0.2">
      <c r="A21" s="26" t="s">
        <v>129</v>
      </c>
      <c r="B21" s="26" t="s">
        <v>130</v>
      </c>
      <c r="C21" s="26" t="s">
        <v>38</v>
      </c>
      <c r="D21" s="30">
        <v>1000</v>
      </c>
      <c r="E21" s="28">
        <v>4973.3900000000003</v>
      </c>
      <c r="F21" s="29">
        <v>4.0348652408120502</v>
      </c>
      <c r="G21" s="28">
        <v>3.0998999999999999</v>
      </c>
    </row>
    <row r="22" spans="1:9" x14ac:dyDescent="0.2">
      <c r="A22" s="26" t="s">
        <v>131</v>
      </c>
      <c r="B22" s="26" t="s">
        <v>132</v>
      </c>
      <c r="C22" s="26" t="s">
        <v>25</v>
      </c>
      <c r="D22" s="30">
        <v>1000</v>
      </c>
      <c r="E22" s="28">
        <v>4969.1899999999996</v>
      </c>
      <c r="F22" s="29">
        <v>4.0314578197146904</v>
      </c>
      <c r="G22" s="28">
        <v>3.1000999999999999</v>
      </c>
    </row>
    <row r="23" spans="1:9" x14ac:dyDescent="0.2">
      <c r="A23" s="26" t="s">
        <v>133</v>
      </c>
      <c r="B23" s="26" t="s">
        <v>134</v>
      </c>
      <c r="C23" s="26" t="s">
        <v>25</v>
      </c>
      <c r="D23" s="30">
        <v>1000</v>
      </c>
      <c r="E23" s="28">
        <v>4963.375</v>
      </c>
      <c r="F23" s="29">
        <v>4.0267401640763199</v>
      </c>
      <c r="G23" s="28">
        <v>3.3250999999999999</v>
      </c>
    </row>
    <row r="24" spans="1:9" x14ac:dyDescent="0.2">
      <c r="A24" s="26" t="s">
        <v>26</v>
      </c>
      <c r="B24" s="26" t="s">
        <v>27</v>
      </c>
      <c r="C24" s="26" t="s">
        <v>25</v>
      </c>
      <c r="D24" s="30">
        <v>500</v>
      </c>
      <c r="E24" s="28">
        <v>2490.0925000000002</v>
      </c>
      <c r="F24" s="29">
        <v>2.0201889806865698</v>
      </c>
      <c r="G24" s="28">
        <v>3.0899000000000001</v>
      </c>
    </row>
    <row r="25" spans="1:9" x14ac:dyDescent="0.2">
      <c r="A25" s="26" t="s">
        <v>135</v>
      </c>
      <c r="B25" s="26" t="s">
        <v>136</v>
      </c>
      <c r="C25" s="26" t="s">
        <v>25</v>
      </c>
      <c r="D25" s="30">
        <v>500</v>
      </c>
      <c r="E25" s="28">
        <v>2485.5749999999998</v>
      </c>
      <c r="F25" s="29">
        <v>2.0165239747800601</v>
      </c>
      <c r="G25" s="28">
        <v>3.1151</v>
      </c>
    </row>
    <row r="26" spans="1:9" x14ac:dyDescent="0.2">
      <c r="A26" s="26" t="s">
        <v>137</v>
      </c>
      <c r="B26" s="26" t="s">
        <v>138</v>
      </c>
      <c r="C26" s="26" t="s">
        <v>22</v>
      </c>
      <c r="D26" s="30">
        <v>500</v>
      </c>
      <c r="E26" s="28">
        <v>2465.5949999999998</v>
      </c>
      <c r="F26" s="29">
        <v>2.0003143858454702</v>
      </c>
      <c r="G26" s="28">
        <v>3.4649000000000001</v>
      </c>
    </row>
    <row r="27" spans="1:9" ht="10.5" x14ac:dyDescent="0.25">
      <c r="A27" s="25" t="s">
        <v>17</v>
      </c>
      <c r="B27" s="25"/>
      <c r="C27" s="25"/>
      <c r="D27" s="31"/>
      <c r="E27" s="32">
        <f>SUM(E14:E26)</f>
        <v>62111.05</v>
      </c>
      <c r="F27" s="33">
        <f>SUM(F14:F26)</f>
        <v>50.390119559362788</v>
      </c>
      <c r="G27" s="32"/>
      <c r="H27" s="18"/>
      <c r="I27" s="18"/>
    </row>
    <row r="28" spans="1:9" x14ac:dyDescent="0.2">
      <c r="A28" s="26"/>
      <c r="B28" s="26"/>
      <c r="C28" s="26"/>
      <c r="D28" s="27"/>
      <c r="E28" s="28"/>
      <c r="F28" s="29"/>
      <c r="G28" s="28"/>
    </row>
    <row r="29" spans="1:9" ht="10.5" x14ac:dyDescent="0.25">
      <c r="A29" s="25" t="s">
        <v>41</v>
      </c>
      <c r="B29" s="26"/>
      <c r="C29" s="26"/>
      <c r="D29" s="27"/>
      <c r="E29" s="28"/>
      <c r="F29" s="29"/>
      <c r="G29" s="28"/>
    </row>
    <row r="30" spans="1:9" x14ac:dyDescent="0.2">
      <c r="A30" s="26" t="s">
        <v>139</v>
      </c>
      <c r="B30" s="26" t="s">
        <v>140</v>
      </c>
      <c r="C30" s="26" t="s">
        <v>44</v>
      </c>
      <c r="D30" s="30">
        <v>10000000</v>
      </c>
      <c r="E30" s="28">
        <v>9949.2999999999993</v>
      </c>
      <c r="F30" s="29">
        <v>8.0717749342825194</v>
      </c>
      <c r="G30" s="28">
        <v>3</v>
      </c>
    </row>
    <row r="31" spans="1:9" x14ac:dyDescent="0.2">
      <c r="A31" s="26" t="s">
        <v>141</v>
      </c>
      <c r="B31" s="26" t="s">
        <v>142</v>
      </c>
      <c r="C31" s="26" t="s">
        <v>44</v>
      </c>
      <c r="D31" s="30">
        <v>5200000</v>
      </c>
      <c r="E31" s="28">
        <v>5164.6660000000002</v>
      </c>
      <c r="F31" s="29">
        <v>4.1900456879118302</v>
      </c>
      <c r="G31" s="28">
        <v>3.0085999999999999</v>
      </c>
    </row>
    <row r="32" spans="1:9" x14ac:dyDescent="0.2">
      <c r="A32" s="26" t="s">
        <v>143</v>
      </c>
      <c r="B32" s="26" t="s">
        <v>144</v>
      </c>
      <c r="C32" s="26" t="s">
        <v>44</v>
      </c>
      <c r="D32" s="30">
        <v>5000000</v>
      </c>
      <c r="E32" s="28">
        <v>4971.8050000000003</v>
      </c>
      <c r="F32" s="29">
        <v>4.0335793449931696</v>
      </c>
      <c r="G32" s="28">
        <v>2.9998999999999998</v>
      </c>
    </row>
    <row r="33" spans="1:9" x14ac:dyDescent="0.2">
      <c r="A33" s="26" t="s">
        <v>145</v>
      </c>
      <c r="B33" s="26" t="s">
        <v>146</v>
      </c>
      <c r="C33" s="26" t="s">
        <v>44</v>
      </c>
      <c r="D33" s="30">
        <v>5000000</v>
      </c>
      <c r="E33" s="28">
        <v>4963.99</v>
      </c>
      <c r="F33" s="29">
        <v>4.0272391078798604</v>
      </c>
      <c r="G33" s="28">
        <v>3.0089000000000001</v>
      </c>
    </row>
    <row r="34" spans="1:9" x14ac:dyDescent="0.2">
      <c r="A34" s="26" t="s">
        <v>147</v>
      </c>
      <c r="B34" s="26" t="s">
        <v>148</v>
      </c>
      <c r="C34" s="26" t="s">
        <v>44</v>
      </c>
      <c r="D34" s="30">
        <v>2500000</v>
      </c>
      <c r="E34" s="28">
        <v>2484.48</v>
      </c>
      <c r="F34" s="29">
        <v>2.0156356114225402</v>
      </c>
      <c r="G34" s="28">
        <v>3.0001000000000002</v>
      </c>
    </row>
    <row r="35" spans="1:9" ht="10.5" x14ac:dyDescent="0.25">
      <c r="A35" s="25" t="s">
        <v>17</v>
      </c>
      <c r="B35" s="25"/>
      <c r="C35" s="25"/>
      <c r="D35" s="31"/>
      <c r="E35" s="32">
        <f>SUM(E29:E34)</f>
        <v>27534.240999999998</v>
      </c>
      <c r="F35" s="33">
        <f>SUM(F29:F34)</f>
        <v>22.338274686489921</v>
      </c>
      <c r="G35" s="32"/>
      <c r="H35" s="18"/>
      <c r="I35" s="18"/>
    </row>
    <row r="36" spans="1:9" x14ac:dyDescent="0.2">
      <c r="A36" s="26"/>
      <c r="B36" s="26"/>
      <c r="C36" s="26"/>
      <c r="D36" s="27"/>
      <c r="E36" s="28"/>
      <c r="F36" s="29"/>
      <c r="G36" s="28"/>
    </row>
    <row r="37" spans="1:9" ht="10.5" x14ac:dyDescent="0.25">
      <c r="A37" s="25" t="s">
        <v>62</v>
      </c>
      <c r="B37" s="25"/>
      <c r="C37" s="25"/>
      <c r="D37" s="31"/>
      <c r="E37" s="32">
        <f>E12+E27+E35</f>
        <v>113107.782056</v>
      </c>
      <c r="F37" s="33">
        <f>F12+F27+F35</f>
        <v>91.763295917492783</v>
      </c>
      <c r="G37" s="32"/>
      <c r="H37" s="18"/>
      <c r="I37" s="18"/>
    </row>
    <row r="38" spans="1:9" ht="10.5" x14ac:dyDescent="0.25">
      <c r="A38" s="25"/>
      <c r="B38" s="25"/>
      <c r="C38" s="25"/>
      <c r="D38" s="31"/>
      <c r="E38" s="32"/>
      <c r="F38" s="33"/>
      <c r="G38" s="32"/>
      <c r="H38" s="18"/>
      <c r="I38" s="18"/>
    </row>
    <row r="39" spans="1:9" ht="10.5" x14ac:dyDescent="0.25">
      <c r="A39" s="25" t="s">
        <v>63</v>
      </c>
      <c r="B39" s="25"/>
      <c r="C39" s="25"/>
      <c r="D39" s="31"/>
      <c r="E39" s="32">
        <f>E41-(E12+E27+E35)</f>
        <v>10152.59228550001</v>
      </c>
      <c r="F39" s="33">
        <f>F41-(F12+F27+F35)</f>
        <v>8.2367040825072166</v>
      </c>
      <c r="G39" s="32"/>
      <c r="H39" s="18"/>
      <c r="I39" s="18"/>
    </row>
    <row r="40" spans="1:9" ht="10.5" x14ac:dyDescent="0.25">
      <c r="A40" s="25"/>
      <c r="B40" s="25"/>
      <c r="C40" s="25"/>
      <c r="D40" s="31"/>
      <c r="E40" s="32"/>
      <c r="F40" s="33"/>
      <c r="G40" s="32"/>
      <c r="H40" s="18"/>
      <c r="I40" s="18"/>
    </row>
    <row r="41" spans="1:9" ht="10.5" x14ac:dyDescent="0.25">
      <c r="A41" s="34" t="s">
        <v>64</v>
      </c>
      <c r="B41" s="34"/>
      <c r="C41" s="34"/>
      <c r="D41" s="35"/>
      <c r="E41" s="36">
        <v>123260.37434150001</v>
      </c>
      <c r="F41" s="37">
        <v>100</v>
      </c>
      <c r="G41" s="36"/>
      <c r="H41" s="18"/>
      <c r="I41" s="18"/>
    </row>
    <row r="43" spans="1:9" ht="10.5" x14ac:dyDescent="0.25">
      <c r="A43" s="18" t="s">
        <v>65</v>
      </c>
    </row>
    <row r="44" spans="1:9" ht="10.5" x14ac:dyDescent="0.25">
      <c r="A44" s="18" t="s">
        <v>66</v>
      </c>
    </row>
    <row r="46" spans="1:9" ht="10.5" x14ac:dyDescent="0.25">
      <c r="A46" s="18" t="s">
        <v>67</v>
      </c>
    </row>
    <row r="47" spans="1:9" ht="10.5" x14ac:dyDescent="0.25">
      <c r="A47" s="18" t="s">
        <v>68</v>
      </c>
    </row>
    <row r="48" spans="1:9" ht="10.5" x14ac:dyDescent="0.25">
      <c r="A48" s="18" t="s">
        <v>69</v>
      </c>
      <c r="B48" s="18"/>
      <c r="C48" s="38" t="s">
        <v>70</v>
      </c>
      <c r="D48" s="43" t="s">
        <v>71</v>
      </c>
    </row>
    <row r="49" spans="1:4" x14ac:dyDescent="0.2">
      <c r="A49" s="9" t="s">
        <v>149</v>
      </c>
      <c r="C49" s="39">
        <v>37.824800000000003</v>
      </c>
      <c r="D49" s="39">
        <v>38.607199999999999</v>
      </c>
    </row>
    <row r="50" spans="1:4" x14ac:dyDescent="0.2">
      <c r="A50" s="9" t="s">
        <v>150</v>
      </c>
      <c r="C50" s="39">
        <v>10.1051</v>
      </c>
      <c r="D50" s="39">
        <v>10.11</v>
      </c>
    </row>
    <row r="51" spans="1:4" x14ac:dyDescent="0.2">
      <c r="A51" s="9" t="s">
        <v>151</v>
      </c>
      <c r="C51" s="39">
        <v>10.215199999999999</v>
      </c>
      <c r="D51" s="39">
        <v>10.1541</v>
      </c>
    </row>
    <row r="52" spans="1:4" x14ac:dyDescent="0.2">
      <c r="A52" s="9" t="s">
        <v>152</v>
      </c>
      <c r="C52" s="39">
        <v>10.826499999999999</v>
      </c>
      <c r="D52" s="39">
        <v>10.607900000000001</v>
      </c>
    </row>
    <row r="53" spans="1:4" x14ac:dyDescent="0.2">
      <c r="A53" s="9" t="s">
        <v>153</v>
      </c>
      <c r="C53" s="39">
        <v>38.772199999999998</v>
      </c>
      <c r="D53" s="39">
        <v>39.604399999999998</v>
      </c>
    </row>
    <row r="54" spans="1:4" x14ac:dyDescent="0.2">
      <c r="A54" s="9" t="s">
        <v>154</v>
      </c>
      <c r="C54" s="39">
        <v>10.114699999999999</v>
      </c>
      <c r="D54" s="39">
        <v>10.1198</v>
      </c>
    </row>
    <row r="55" spans="1:4" x14ac:dyDescent="0.2">
      <c r="A55" s="9" t="s">
        <v>155</v>
      </c>
      <c r="C55" s="39">
        <v>10.54</v>
      </c>
      <c r="D55" s="39">
        <v>10.4937</v>
      </c>
    </row>
    <row r="56" spans="1:4" x14ac:dyDescent="0.2">
      <c r="A56" s="9" t="s">
        <v>156</v>
      </c>
      <c r="C56" s="39">
        <v>11.1988</v>
      </c>
      <c r="D56" s="39">
        <v>10.996600000000001</v>
      </c>
    </row>
    <row r="58" spans="1:4" ht="10.5" x14ac:dyDescent="0.25">
      <c r="A58" s="18" t="s">
        <v>90</v>
      </c>
    </row>
    <row r="59" spans="1:4" ht="10.5" x14ac:dyDescent="0.25">
      <c r="A59" s="68" t="s">
        <v>91</v>
      </c>
      <c r="B59" s="69"/>
      <c r="C59" s="40" t="s">
        <v>92</v>
      </c>
    </row>
    <row r="60" spans="1:4" x14ac:dyDescent="0.2">
      <c r="A60" s="64" t="s">
        <v>150</v>
      </c>
      <c r="B60" s="65"/>
      <c r="C60" s="41">
        <v>0.20207764180000001</v>
      </c>
    </row>
    <row r="61" spans="1:4" x14ac:dyDescent="0.2">
      <c r="A61" s="64" t="s">
        <v>151</v>
      </c>
      <c r="B61" s="65"/>
      <c r="C61" s="41">
        <v>0.27</v>
      </c>
    </row>
    <row r="62" spans="1:4" x14ac:dyDescent="0.2">
      <c r="A62" s="64" t="s">
        <v>152</v>
      </c>
      <c r="B62" s="65"/>
      <c r="C62" s="41">
        <v>0.44</v>
      </c>
    </row>
    <row r="63" spans="1:4" x14ac:dyDescent="0.2">
      <c r="A63" s="64" t="s">
        <v>154</v>
      </c>
      <c r="B63" s="65"/>
      <c r="C63" s="41">
        <v>0.20979376220000001</v>
      </c>
    </row>
    <row r="64" spans="1:4" x14ac:dyDescent="0.2">
      <c r="A64" s="64" t="s">
        <v>155</v>
      </c>
      <c r="B64" s="65"/>
      <c r="C64" s="41">
        <v>0.27</v>
      </c>
    </row>
    <row r="65" spans="1:5" x14ac:dyDescent="0.2">
      <c r="A65" s="64" t="s">
        <v>156</v>
      </c>
      <c r="B65" s="65"/>
      <c r="C65" s="41">
        <v>0.44</v>
      </c>
    </row>
    <row r="66" spans="1:5" x14ac:dyDescent="0.2">
      <c r="A66" s="9" t="s">
        <v>93</v>
      </c>
    </row>
    <row r="68" spans="1:5" ht="10.5" x14ac:dyDescent="0.25">
      <c r="A68" s="18" t="s">
        <v>94</v>
      </c>
      <c r="D68" s="42">
        <v>0.20132216153424701</v>
      </c>
      <c r="E68" s="13" t="s">
        <v>95</v>
      </c>
    </row>
    <row r="70" spans="1:5" ht="10.5" x14ac:dyDescent="0.25">
      <c r="A70" s="18" t="s">
        <v>1506</v>
      </c>
      <c r="D70" s="43" t="s">
        <v>96</v>
      </c>
    </row>
    <row r="72" spans="1:5" ht="10.5" x14ac:dyDescent="0.25">
      <c r="A72" s="18" t="s">
        <v>1508</v>
      </c>
    </row>
    <row r="73" spans="1:5" x14ac:dyDescent="0.2">
      <c r="A73" s="47" t="s">
        <v>1509</v>
      </c>
    </row>
  </sheetData>
  <mergeCells count="8">
    <mergeCell ref="A64:B64"/>
    <mergeCell ref="A65:B65"/>
    <mergeCell ref="A1:G1"/>
    <mergeCell ref="A59:B59"/>
    <mergeCell ref="A60:B60"/>
    <mergeCell ref="A61:B61"/>
    <mergeCell ref="A62:B62"/>
    <mergeCell ref="A63:B63"/>
  </mergeCells>
  <conditionalFormatting sqref="F2:F3 F5:F65536">
    <cfRule type="cellIs" dxfId="90" priority="1" stopIfTrue="1" operator="between">
      <formula>0.009</formula>
      <formula>-0.009</formula>
    </cfRule>
  </conditionalFormatting>
  <hyperlinks>
    <hyperlink ref="A73" r:id="rId1" xr:uid="{811C954A-567D-4B3D-9A61-87F71293FB1C}"/>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66" t="s">
        <v>157</v>
      </c>
      <c r="B1" s="67"/>
      <c r="C1" s="67"/>
      <c r="D1" s="67"/>
      <c r="E1" s="67"/>
      <c r="F1" s="67"/>
      <c r="G1" s="67"/>
    </row>
    <row r="2" spans="1:9" s="1" customFormat="1" ht="11.5" x14ac:dyDescent="0.25">
      <c r="D2" s="6"/>
      <c r="E2" s="7"/>
      <c r="F2" s="12"/>
      <c r="G2" s="13"/>
    </row>
    <row r="3" spans="1:9" s="1" customFormat="1" ht="11.5" x14ac:dyDescent="0.25">
      <c r="A3" s="11" t="s">
        <v>1</v>
      </c>
      <c r="B3" s="2"/>
      <c r="C3" s="3"/>
      <c r="D3" s="4"/>
      <c r="E3" s="5"/>
      <c r="F3" s="12"/>
      <c r="G3" s="13"/>
    </row>
    <row r="4" spans="1:9" s="1" customFormat="1" ht="17.5" customHeight="1" x14ac:dyDescent="0.25">
      <c r="A4" s="8" t="s">
        <v>2</v>
      </c>
      <c r="B4" s="8" t="s">
        <v>3</v>
      </c>
      <c r="C4" s="17" t="s">
        <v>4</v>
      </c>
      <c r="D4" s="16" t="s">
        <v>5</v>
      </c>
      <c r="E4" s="15" t="s">
        <v>6</v>
      </c>
      <c r="F4" s="15" t="s">
        <v>7</v>
      </c>
      <c r="G4" s="15" t="s">
        <v>8</v>
      </c>
    </row>
    <row r="5" spans="1:9" ht="10.5" x14ac:dyDescent="0.25">
      <c r="A5" s="20" t="s">
        <v>9</v>
      </c>
      <c r="B5" s="21"/>
      <c r="C5" s="21"/>
      <c r="D5" s="22"/>
      <c r="E5" s="23"/>
      <c r="F5" s="24"/>
      <c r="G5" s="23"/>
    </row>
    <row r="6" spans="1:9" ht="10.5" x14ac:dyDescent="0.25">
      <c r="A6" s="25" t="s">
        <v>10</v>
      </c>
      <c r="B6" s="26"/>
      <c r="C6" s="26"/>
      <c r="D6" s="27"/>
      <c r="E6" s="28"/>
      <c r="F6" s="29"/>
      <c r="G6" s="28"/>
    </row>
    <row r="7" spans="1:9" x14ac:dyDescent="0.2">
      <c r="A7" s="26" t="s">
        <v>158</v>
      </c>
      <c r="B7" s="26" t="s">
        <v>159</v>
      </c>
      <c r="C7" s="26" t="s">
        <v>160</v>
      </c>
      <c r="D7" s="30">
        <v>250</v>
      </c>
      <c r="E7" s="28">
        <v>2558.42</v>
      </c>
      <c r="F7" s="29">
        <v>13.236030350452699</v>
      </c>
      <c r="G7" s="28">
        <v>5.9550000000000001</v>
      </c>
    </row>
    <row r="8" spans="1:9" x14ac:dyDescent="0.2">
      <c r="A8" s="26" t="s">
        <v>161</v>
      </c>
      <c r="B8" s="26" t="s">
        <v>162</v>
      </c>
      <c r="C8" s="26" t="s">
        <v>16</v>
      </c>
      <c r="D8" s="30">
        <v>250</v>
      </c>
      <c r="E8" s="28">
        <v>2510.2725</v>
      </c>
      <c r="F8" s="29">
        <v>12.986938422114701</v>
      </c>
      <c r="G8" s="28">
        <v>4.5250000000000004</v>
      </c>
    </row>
    <row r="9" spans="1:9" x14ac:dyDescent="0.2">
      <c r="A9" s="26" t="s">
        <v>163</v>
      </c>
      <c r="B9" s="26" t="s">
        <v>164</v>
      </c>
      <c r="C9" s="26" t="s">
        <v>165</v>
      </c>
      <c r="D9" s="30">
        <v>100</v>
      </c>
      <c r="E9" s="28">
        <v>1002.066</v>
      </c>
      <c r="F9" s="29">
        <v>5.1842058728264799</v>
      </c>
      <c r="G9" s="28">
        <v>9.5693000000000001</v>
      </c>
    </row>
    <row r="10" spans="1:9" x14ac:dyDescent="0.2">
      <c r="A10" s="26" t="s">
        <v>166</v>
      </c>
      <c r="B10" s="26" t="s">
        <v>167</v>
      </c>
      <c r="C10" s="26" t="s">
        <v>168</v>
      </c>
      <c r="D10" s="30">
        <v>100</v>
      </c>
      <c r="E10" s="28">
        <v>996.11</v>
      </c>
      <c r="F10" s="29">
        <v>5.1533924032760199</v>
      </c>
      <c r="G10" s="28">
        <v>10.6899</v>
      </c>
    </row>
    <row r="11" spans="1:9" ht="10.5" x14ac:dyDescent="0.25">
      <c r="A11" s="25" t="s">
        <v>17</v>
      </c>
      <c r="B11" s="25"/>
      <c r="C11" s="25"/>
      <c r="D11" s="31"/>
      <c r="E11" s="32">
        <f>SUM(E6:E10)</f>
        <v>7066.8684999999996</v>
      </c>
      <c r="F11" s="33">
        <f>SUM(F6:F10)</f>
        <v>36.560567048669903</v>
      </c>
      <c r="G11" s="32"/>
      <c r="H11" s="18"/>
      <c r="I11" s="18"/>
    </row>
    <row r="12" spans="1:9" x14ac:dyDescent="0.2">
      <c r="A12" s="26"/>
      <c r="B12" s="26"/>
      <c r="C12" s="26"/>
      <c r="D12" s="27"/>
      <c r="E12" s="28"/>
      <c r="F12" s="29"/>
      <c r="G12" s="28"/>
    </row>
    <row r="13" spans="1:9" ht="10.5" x14ac:dyDescent="0.25">
      <c r="A13" s="25" t="s">
        <v>18</v>
      </c>
      <c r="B13" s="26"/>
      <c r="C13" s="26"/>
      <c r="D13" s="27"/>
      <c r="E13" s="28"/>
      <c r="F13" s="29"/>
      <c r="G13" s="28"/>
    </row>
    <row r="14" spans="1:9" ht="10.5" x14ac:dyDescent="0.25">
      <c r="A14" s="25" t="s">
        <v>105</v>
      </c>
      <c r="B14" s="26"/>
      <c r="C14" s="26"/>
      <c r="D14" s="27"/>
      <c r="E14" s="28"/>
      <c r="F14" s="29"/>
      <c r="G14" s="28"/>
    </row>
    <row r="15" spans="1:9" x14ac:dyDescent="0.2">
      <c r="A15" s="26" t="s">
        <v>109</v>
      </c>
      <c r="B15" s="26" t="s">
        <v>110</v>
      </c>
      <c r="C15" s="26" t="s">
        <v>25</v>
      </c>
      <c r="D15" s="30">
        <v>1000</v>
      </c>
      <c r="E15" s="28">
        <v>1002.711</v>
      </c>
      <c r="F15" s="29">
        <v>5.1875427915403902</v>
      </c>
      <c r="G15" s="28">
        <v>3.7149999999999999</v>
      </c>
    </row>
    <row r="16" spans="1:9" ht="10.5" x14ac:dyDescent="0.25">
      <c r="A16" s="25" t="s">
        <v>17</v>
      </c>
      <c r="B16" s="25"/>
      <c r="C16" s="25"/>
      <c r="D16" s="31"/>
      <c r="E16" s="32">
        <f>SUM(E14:E15)</f>
        <v>1002.711</v>
      </c>
      <c r="F16" s="33">
        <f>SUM(F14:F15)</f>
        <v>5.1875427915403902</v>
      </c>
      <c r="G16" s="32"/>
      <c r="H16" s="18"/>
      <c r="I16" s="18"/>
    </row>
    <row r="17" spans="1:9" x14ac:dyDescent="0.2">
      <c r="A17" s="26"/>
      <c r="B17" s="26"/>
      <c r="C17" s="26"/>
      <c r="D17" s="27"/>
      <c r="E17" s="28"/>
      <c r="F17" s="29"/>
      <c r="G17" s="28"/>
    </row>
    <row r="18" spans="1:9" ht="10.5" x14ac:dyDescent="0.25">
      <c r="A18" s="25" t="s">
        <v>49</v>
      </c>
      <c r="B18" s="26"/>
      <c r="C18" s="26"/>
      <c r="D18" s="27"/>
      <c r="E18" s="28"/>
      <c r="F18" s="29"/>
      <c r="G18" s="28"/>
    </row>
    <row r="19" spans="1:9" x14ac:dyDescent="0.2">
      <c r="A19" s="26" t="s">
        <v>169</v>
      </c>
      <c r="B19" s="26" t="s">
        <v>170</v>
      </c>
      <c r="C19" s="26" t="s">
        <v>44</v>
      </c>
      <c r="D19" s="30">
        <v>3000000</v>
      </c>
      <c r="E19" s="28">
        <v>2965.2330000000002</v>
      </c>
      <c r="F19" s="29">
        <v>15.3406844787658</v>
      </c>
      <c r="G19" s="28">
        <v>3.6847248695959798</v>
      </c>
    </row>
    <row r="20" spans="1:9" x14ac:dyDescent="0.2">
      <c r="A20" s="26" t="s">
        <v>171</v>
      </c>
      <c r="B20" s="26" t="s">
        <v>172</v>
      </c>
      <c r="C20" s="26" t="s">
        <v>44</v>
      </c>
      <c r="D20" s="30">
        <v>2000000</v>
      </c>
      <c r="E20" s="28">
        <v>2013.8040000000001</v>
      </c>
      <c r="F20" s="29">
        <v>10.4184500058095</v>
      </c>
      <c r="G20" s="28">
        <v>5.0444000000000004</v>
      </c>
    </row>
    <row r="21" spans="1:9" x14ac:dyDescent="0.2">
      <c r="A21" s="26" t="s">
        <v>173</v>
      </c>
      <c r="B21" s="26" t="s">
        <v>174</v>
      </c>
      <c r="C21" s="26" t="s">
        <v>44</v>
      </c>
      <c r="D21" s="30">
        <v>1000000</v>
      </c>
      <c r="E21" s="28">
        <v>991.08299999999997</v>
      </c>
      <c r="F21" s="29">
        <v>5.1273851313770704</v>
      </c>
      <c r="G21" s="28">
        <v>5.8921999999999999</v>
      </c>
    </row>
    <row r="22" spans="1:9" x14ac:dyDescent="0.2">
      <c r="A22" s="26" t="s">
        <v>175</v>
      </c>
      <c r="B22" s="26" t="s">
        <v>176</v>
      </c>
      <c r="C22" s="26" t="s">
        <v>44</v>
      </c>
      <c r="D22" s="30">
        <v>500000</v>
      </c>
      <c r="E22" s="28">
        <v>527.88750000000005</v>
      </c>
      <c r="F22" s="29">
        <v>2.7310351590530901</v>
      </c>
      <c r="G22" s="28">
        <v>3.8664000000000001</v>
      </c>
    </row>
    <row r="23" spans="1:9" ht="10.5" x14ac:dyDescent="0.25">
      <c r="A23" s="25" t="s">
        <v>17</v>
      </c>
      <c r="B23" s="25"/>
      <c r="C23" s="25"/>
      <c r="D23" s="31"/>
      <c r="E23" s="32">
        <f>SUM(E19:E22)</f>
        <v>6498.0074999999997</v>
      </c>
      <c r="F23" s="33">
        <f>SUM(F19:F22)</f>
        <v>33.617554775005459</v>
      </c>
      <c r="G23" s="32"/>
      <c r="H23" s="18"/>
      <c r="I23" s="18"/>
    </row>
    <row r="24" spans="1:9" x14ac:dyDescent="0.2">
      <c r="A24" s="26"/>
      <c r="B24" s="26"/>
      <c r="C24" s="26"/>
      <c r="D24" s="27"/>
      <c r="E24" s="28"/>
      <c r="F24" s="29"/>
      <c r="G24" s="28"/>
    </row>
    <row r="25" spans="1:9" ht="10.5" x14ac:dyDescent="0.25">
      <c r="A25" s="25" t="s">
        <v>62</v>
      </c>
      <c r="B25" s="25"/>
      <c r="C25" s="25"/>
      <c r="D25" s="31"/>
      <c r="E25" s="32">
        <f>E11+E16+E23</f>
        <v>14567.587</v>
      </c>
      <c r="F25" s="33">
        <f>F11+F16+F23</f>
        <v>75.365664615215749</v>
      </c>
      <c r="G25" s="32"/>
      <c r="H25" s="18"/>
      <c r="I25" s="18"/>
    </row>
    <row r="26" spans="1:9" ht="10.5" x14ac:dyDescent="0.25">
      <c r="A26" s="25"/>
      <c r="B26" s="25"/>
      <c r="C26" s="25"/>
      <c r="D26" s="31"/>
      <c r="E26" s="32"/>
      <c r="F26" s="33"/>
      <c r="G26" s="32"/>
      <c r="H26" s="18"/>
      <c r="I26" s="18"/>
    </row>
    <row r="27" spans="1:9" ht="10.5" x14ac:dyDescent="0.25">
      <c r="A27" s="25" t="s">
        <v>63</v>
      </c>
      <c r="B27" s="25"/>
      <c r="C27" s="25"/>
      <c r="D27" s="31"/>
      <c r="E27" s="32">
        <f>E29-(E11+E16+E23)</f>
        <v>4761.6222286000011</v>
      </c>
      <c r="F27" s="33">
        <f>F29-(F11+F16+F23)</f>
        <v>24.634335384784251</v>
      </c>
      <c r="G27" s="32"/>
      <c r="H27" s="18"/>
      <c r="I27" s="18"/>
    </row>
    <row r="28" spans="1:9" ht="10.5" x14ac:dyDescent="0.25">
      <c r="A28" s="25"/>
      <c r="B28" s="25"/>
      <c r="C28" s="25"/>
      <c r="D28" s="31"/>
      <c r="E28" s="32"/>
      <c r="F28" s="33"/>
      <c r="G28" s="32"/>
      <c r="H28" s="18"/>
      <c r="I28" s="18"/>
    </row>
    <row r="29" spans="1:9" ht="10.5" x14ac:dyDescent="0.25">
      <c r="A29" s="34" t="s">
        <v>64</v>
      </c>
      <c r="B29" s="34"/>
      <c r="C29" s="34"/>
      <c r="D29" s="35"/>
      <c r="E29" s="36">
        <v>19329.209228600001</v>
      </c>
      <c r="F29" s="37">
        <v>100</v>
      </c>
      <c r="G29" s="36"/>
      <c r="H29" s="18"/>
      <c r="I29" s="18"/>
    </row>
    <row r="31" spans="1:9" ht="10.5" x14ac:dyDescent="0.25">
      <c r="A31" s="18" t="s">
        <v>66</v>
      </c>
    </row>
    <row r="33" spans="1:5" ht="10.5" x14ac:dyDescent="0.25">
      <c r="A33" s="18" t="s">
        <v>67</v>
      </c>
    </row>
    <row r="34" spans="1:5" ht="10.5" x14ac:dyDescent="0.25">
      <c r="A34" s="18" t="s">
        <v>68</v>
      </c>
    </row>
    <row r="35" spans="1:5" ht="10.5" x14ac:dyDescent="0.25">
      <c r="A35" s="18" t="s">
        <v>69</v>
      </c>
      <c r="B35" s="18"/>
      <c r="C35" s="38" t="s">
        <v>70</v>
      </c>
      <c r="D35" s="43" t="s">
        <v>71</v>
      </c>
    </row>
    <row r="36" spans="1:5" x14ac:dyDescent="0.2">
      <c r="A36" s="9" t="s">
        <v>98</v>
      </c>
      <c r="C36" s="39">
        <v>30.302900000000001</v>
      </c>
      <c r="D36" s="39">
        <v>31.171299999999999</v>
      </c>
    </row>
    <row r="37" spans="1:5" x14ac:dyDescent="0.2">
      <c r="A37" s="9" t="s">
        <v>99</v>
      </c>
      <c r="C37" s="39">
        <v>10.1096</v>
      </c>
      <c r="D37" s="39">
        <v>10.1708</v>
      </c>
    </row>
    <row r="38" spans="1:5" x14ac:dyDescent="0.2">
      <c r="A38" s="9" t="s">
        <v>101</v>
      </c>
      <c r="C38" s="39">
        <v>31.936199999999999</v>
      </c>
      <c r="D38" s="39">
        <v>32.971499999999999</v>
      </c>
    </row>
    <row r="39" spans="1:5" x14ac:dyDescent="0.2">
      <c r="A39" s="9" t="s">
        <v>102</v>
      </c>
      <c r="C39" s="39">
        <v>10.0107</v>
      </c>
      <c r="D39" s="39">
        <v>10.071300000000001</v>
      </c>
    </row>
    <row r="41" spans="1:5" ht="10.5" x14ac:dyDescent="0.25">
      <c r="A41" s="18" t="s">
        <v>90</v>
      </c>
    </row>
    <row r="42" spans="1:5" ht="10.5" x14ac:dyDescent="0.25">
      <c r="A42" s="68" t="s">
        <v>91</v>
      </c>
      <c r="B42" s="69"/>
      <c r="C42" s="40" t="s">
        <v>92</v>
      </c>
    </row>
    <row r="43" spans="1:5" x14ac:dyDescent="0.2">
      <c r="A43" s="64" t="s">
        <v>99</v>
      </c>
      <c r="B43" s="65"/>
      <c r="C43" s="41">
        <v>0.2254835775</v>
      </c>
    </row>
    <row r="44" spans="1:5" x14ac:dyDescent="0.2">
      <c r="A44" s="64" t="s">
        <v>102</v>
      </c>
      <c r="B44" s="65"/>
      <c r="C44" s="41">
        <v>0.25978655760000002</v>
      </c>
    </row>
    <row r="45" spans="1:5" x14ac:dyDescent="0.2">
      <c r="A45" s="9" t="s">
        <v>93</v>
      </c>
    </row>
    <row r="47" spans="1:5" ht="10.5" x14ac:dyDescent="0.25">
      <c r="A47" s="18" t="s">
        <v>94</v>
      </c>
      <c r="D47" s="42">
        <v>2.3015469673150699</v>
      </c>
      <c r="E47" s="13" t="s">
        <v>95</v>
      </c>
    </row>
    <row r="49" spans="1:4" ht="10.5" x14ac:dyDescent="0.25">
      <c r="A49" s="18" t="s">
        <v>1506</v>
      </c>
      <c r="D49" s="43" t="s">
        <v>96</v>
      </c>
    </row>
    <row r="51" spans="1:4" ht="10.5" x14ac:dyDescent="0.25">
      <c r="A51" s="18" t="s">
        <v>1508</v>
      </c>
    </row>
    <row r="52" spans="1:4" x14ac:dyDescent="0.2">
      <c r="A52" s="47" t="s">
        <v>1509</v>
      </c>
    </row>
  </sheetData>
  <mergeCells count="4">
    <mergeCell ref="A1:G1"/>
    <mergeCell ref="A42:B42"/>
    <mergeCell ref="A43:B43"/>
    <mergeCell ref="A44:B44"/>
  </mergeCells>
  <conditionalFormatting sqref="F2:F3 F5:F65536">
    <cfRule type="cellIs" dxfId="89" priority="1" stopIfTrue="1" operator="between">
      <formula>0.009</formula>
      <formula>-0.009</formula>
    </cfRule>
  </conditionalFormatting>
  <hyperlinks>
    <hyperlink ref="A52" r:id="rId1" xr:uid="{311AA378-5791-4E3D-A0BF-5AF2C40E313B}"/>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177</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178</v>
      </c>
      <c r="B7" s="26" t="s">
        <v>179</v>
      </c>
      <c r="C7" s="26" t="s">
        <v>180</v>
      </c>
      <c r="D7" s="30">
        <v>550</v>
      </c>
      <c r="E7" s="28">
        <v>5972.7415000000001</v>
      </c>
      <c r="F7" s="29">
        <v>6.8923194977785798</v>
      </c>
      <c r="G7" s="28">
        <v>4.4512999999999998</v>
      </c>
    </row>
    <row r="8" spans="1:7" x14ac:dyDescent="0.2">
      <c r="A8" s="26" t="s">
        <v>181</v>
      </c>
      <c r="B8" s="26" t="s">
        <v>182</v>
      </c>
      <c r="C8" s="26" t="s">
        <v>16</v>
      </c>
      <c r="D8" s="30">
        <v>500</v>
      </c>
      <c r="E8" s="28">
        <v>5394.19</v>
      </c>
      <c r="F8" s="29">
        <v>6.2246927833260903</v>
      </c>
      <c r="G8" s="28">
        <v>4.9249999999999998</v>
      </c>
    </row>
    <row r="9" spans="1:7" x14ac:dyDescent="0.2">
      <c r="A9" s="26" t="s">
        <v>183</v>
      </c>
      <c r="B9" s="26" t="s">
        <v>184</v>
      </c>
      <c r="C9" s="26" t="s">
        <v>16</v>
      </c>
      <c r="D9" s="30">
        <v>500</v>
      </c>
      <c r="E9" s="28">
        <v>5134.3599999999997</v>
      </c>
      <c r="F9" s="29">
        <v>5.9248587163222197</v>
      </c>
      <c r="G9" s="28">
        <v>4.0999999999999996</v>
      </c>
    </row>
    <row r="10" spans="1:7" x14ac:dyDescent="0.2">
      <c r="A10" s="26" t="s">
        <v>185</v>
      </c>
      <c r="B10" s="26" t="s">
        <v>186</v>
      </c>
      <c r="C10" s="26" t="s">
        <v>187</v>
      </c>
      <c r="D10" s="30">
        <v>430</v>
      </c>
      <c r="E10" s="28">
        <v>4439.8446000000004</v>
      </c>
      <c r="F10" s="29">
        <v>5.1234140140983699</v>
      </c>
      <c r="G10" s="28">
        <v>5.7188999999999997</v>
      </c>
    </row>
    <row r="11" spans="1:7" x14ac:dyDescent="0.2">
      <c r="A11" s="26" t="s">
        <v>188</v>
      </c>
      <c r="B11" s="26" t="s">
        <v>189</v>
      </c>
      <c r="C11" s="26" t="s">
        <v>190</v>
      </c>
      <c r="D11" s="30">
        <v>310</v>
      </c>
      <c r="E11" s="28">
        <v>3491.5517</v>
      </c>
      <c r="F11" s="29">
        <v>4.02911960268362</v>
      </c>
      <c r="G11" s="28">
        <v>7.6436000000000002</v>
      </c>
    </row>
    <row r="12" spans="1:7" x14ac:dyDescent="0.2">
      <c r="A12" s="26" t="s">
        <v>191</v>
      </c>
      <c r="B12" s="26" t="s">
        <v>192</v>
      </c>
      <c r="C12" s="26" t="s">
        <v>180</v>
      </c>
      <c r="D12" s="30">
        <v>264</v>
      </c>
      <c r="E12" s="28">
        <v>2736.0695999999998</v>
      </c>
      <c r="F12" s="29">
        <v>3.1573216171098699</v>
      </c>
      <c r="G12" s="28">
        <v>5.8335999999999997</v>
      </c>
    </row>
    <row r="13" spans="1:7" x14ac:dyDescent="0.2">
      <c r="A13" s="26" t="s">
        <v>193</v>
      </c>
      <c r="B13" s="26" t="s">
        <v>194</v>
      </c>
      <c r="C13" s="26" t="s">
        <v>16</v>
      </c>
      <c r="D13" s="30">
        <v>250</v>
      </c>
      <c r="E13" s="28">
        <v>2635.0875000000001</v>
      </c>
      <c r="F13" s="29">
        <v>3.04079206418068</v>
      </c>
      <c r="G13" s="28">
        <v>6.3799000000000001</v>
      </c>
    </row>
    <row r="14" spans="1:7" x14ac:dyDescent="0.2">
      <c r="A14" s="26" t="s">
        <v>195</v>
      </c>
      <c r="B14" s="26" t="s">
        <v>196</v>
      </c>
      <c r="C14" s="26" t="s">
        <v>16</v>
      </c>
      <c r="D14" s="30">
        <v>250</v>
      </c>
      <c r="E14" s="28">
        <v>2623.34</v>
      </c>
      <c r="F14" s="29">
        <v>3.02723589013562</v>
      </c>
      <c r="G14" s="28">
        <v>5.4999000000000002</v>
      </c>
    </row>
    <row r="15" spans="1:7" x14ac:dyDescent="0.2">
      <c r="A15" s="26" t="s">
        <v>197</v>
      </c>
      <c r="B15" s="26" t="s">
        <v>198</v>
      </c>
      <c r="C15" s="26" t="s">
        <v>16</v>
      </c>
      <c r="D15" s="30">
        <v>250</v>
      </c>
      <c r="E15" s="28">
        <v>2617.6325000000002</v>
      </c>
      <c r="F15" s="29">
        <v>3.0206496493727202</v>
      </c>
      <c r="G15" s="28">
        <v>4.0650000000000004</v>
      </c>
    </row>
    <row r="16" spans="1:7" x14ac:dyDescent="0.2">
      <c r="A16" s="26" t="s">
        <v>199</v>
      </c>
      <c r="B16" s="26" t="s">
        <v>200</v>
      </c>
      <c r="C16" s="26" t="s">
        <v>16</v>
      </c>
      <c r="D16" s="30">
        <v>250</v>
      </c>
      <c r="E16" s="28">
        <v>2610.67</v>
      </c>
      <c r="F16" s="29">
        <v>3.0126151857175798</v>
      </c>
      <c r="G16" s="28">
        <v>4.45</v>
      </c>
    </row>
    <row r="17" spans="1:7" x14ac:dyDescent="0.2">
      <c r="A17" s="26" t="s">
        <v>201</v>
      </c>
      <c r="B17" s="26" t="s">
        <v>202</v>
      </c>
      <c r="C17" s="26" t="s">
        <v>16</v>
      </c>
      <c r="D17" s="30">
        <v>250</v>
      </c>
      <c r="E17" s="28">
        <v>2607.4549999999999</v>
      </c>
      <c r="F17" s="29">
        <v>3.0089051963960398</v>
      </c>
      <c r="G17" s="28">
        <v>3.87</v>
      </c>
    </row>
    <row r="18" spans="1:7" x14ac:dyDescent="0.2">
      <c r="A18" s="26" t="s">
        <v>203</v>
      </c>
      <c r="B18" s="26" t="s">
        <v>204</v>
      </c>
      <c r="C18" s="26" t="s">
        <v>16</v>
      </c>
      <c r="D18" s="30">
        <v>250</v>
      </c>
      <c r="E18" s="28">
        <v>2593.1424999999999</v>
      </c>
      <c r="F18" s="29">
        <v>2.9923891086309902</v>
      </c>
      <c r="G18" s="28">
        <v>4.4550000000000001</v>
      </c>
    </row>
    <row r="19" spans="1:7" x14ac:dyDescent="0.2">
      <c r="A19" s="26" t="s">
        <v>205</v>
      </c>
      <c r="B19" s="26" t="s">
        <v>206</v>
      </c>
      <c r="C19" s="26" t="s">
        <v>16</v>
      </c>
      <c r="D19" s="30">
        <v>250</v>
      </c>
      <c r="E19" s="28">
        <v>2574.9349999999999</v>
      </c>
      <c r="F19" s="29">
        <v>2.9713783370689102</v>
      </c>
      <c r="G19" s="28">
        <v>4.4249999999999998</v>
      </c>
    </row>
    <row r="20" spans="1:7" x14ac:dyDescent="0.2">
      <c r="A20" s="26" t="s">
        <v>207</v>
      </c>
      <c r="B20" s="26" t="s">
        <v>208</v>
      </c>
      <c r="C20" s="26" t="s">
        <v>209</v>
      </c>
      <c r="D20" s="30">
        <v>200</v>
      </c>
      <c r="E20" s="28">
        <v>2138.2919999999999</v>
      </c>
      <c r="F20" s="29">
        <v>2.4675087049295499</v>
      </c>
      <c r="G20" s="28">
        <v>4.4349999999999996</v>
      </c>
    </row>
    <row r="21" spans="1:7" x14ac:dyDescent="0.2">
      <c r="A21" s="26" t="s">
        <v>210</v>
      </c>
      <c r="B21" s="26" t="s">
        <v>211</v>
      </c>
      <c r="C21" s="26" t="s">
        <v>16</v>
      </c>
      <c r="D21" s="30">
        <v>200</v>
      </c>
      <c r="E21" s="28">
        <v>2132.0140000000001</v>
      </c>
      <c r="F21" s="29">
        <v>2.4602641285809699</v>
      </c>
      <c r="G21" s="28">
        <v>4.9496000000000002</v>
      </c>
    </row>
    <row r="22" spans="1:7" x14ac:dyDescent="0.2">
      <c r="A22" s="26" t="s">
        <v>212</v>
      </c>
      <c r="B22" s="26" t="s">
        <v>213</v>
      </c>
      <c r="C22" s="26" t="s">
        <v>16</v>
      </c>
      <c r="D22" s="30">
        <v>166</v>
      </c>
      <c r="E22" s="28">
        <v>2101.1466599999999</v>
      </c>
      <c r="F22" s="29">
        <v>2.4246443768594999</v>
      </c>
      <c r="G22" s="28">
        <v>4.2008000000000001</v>
      </c>
    </row>
    <row r="23" spans="1:7" x14ac:dyDescent="0.2">
      <c r="A23" s="26" t="s">
        <v>214</v>
      </c>
      <c r="B23" s="26" t="s">
        <v>215</v>
      </c>
      <c r="C23" s="26" t="s">
        <v>16</v>
      </c>
      <c r="D23" s="30">
        <v>187</v>
      </c>
      <c r="E23" s="28">
        <v>1943.1543999999999</v>
      </c>
      <c r="F23" s="29">
        <v>2.2423272392274498</v>
      </c>
      <c r="G23" s="28">
        <v>3.83</v>
      </c>
    </row>
    <row r="24" spans="1:7" x14ac:dyDescent="0.2">
      <c r="A24" s="26" t="s">
        <v>216</v>
      </c>
      <c r="B24" s="26" t="s">
        <v>217</v>
      </c>
      <c r="C24" s="26" t="s">
        <v>16</v>
      </c>
      <c r="D24" s="30">
        <v>180</v>
      </c>
      <c r="E24" s="28">
        <v>1858.8942</v>
      </c>
      <c r="F24" s="29">
        <v>2.1450941312239098</v>
      </c>
      <c r="G24" s="28">
        <v>3.6882000000000001</v>
      </c>
    </row>
    <row r="25" spans="1:7" x14ac:dyDescent="0.2">
      <c r="A25" s="26" t="s">
        <v>218</v>
      </c>
      <c r="B25" s="26" t="s">
        <v>219</v>
      </c>
      <c r="C25" s="26" t="s">
        <v>16</v>
      </c>
      <c r="D25" s="30">
        <v>140</v>
      </c>
      <c r="E25" s="28">
        <v>1556.4892</v>
      </c>
      <c r="F25" s="29">
        <v>1.79613011231807</v>
      </c>
      <c r="G25" s="28">
        <v>5.3249000000000004</v>
      </c>
    </row>
    <row r="26" spans="1:7" x14ac:dyDescent="0.2">
      <c r="A26" s="26" t="s">
        <v>220</v>
      </c>
      <c r="B26" s="26" t="s">
        <v>221</v>
      </c>
      <c r="C26" s="26" t="s">
        <v>222</v>
      </c>
      <c r="D26" s="30">
        <v>150</v>
      </c>
      <c r="E26" s="28">
        <v>1476.4065000000001</v>
      </c>
      <c r="F26" s="29">
        <v>1.7037176825076099</v>
      </c>
      <c r="G26" s="28">
        <v>11.369400000000001</v>
      </c>
    </row>
    <row r="27" spans="1:7" x14ac:dyDescent="0.2">
      <c r="A27" s="26" t="s">
        <v>223</v>
      </c>
      <c r="B27" s="26" t="s">
        <v>224</v>
      </c>
      <c r="C27" s="26" t="s">
        <v>16</v>
      </c>
      <c r="D27" s="30">
        <v>118</v>
      </c>
      <c r="E27" s="28">
        <v>1209.7584199999999</v>
      </c>
      <c r="F27" s="29">
        <v>1.3960158071076401</v>
      </c>
      <c r="G27" s="28">
        <v>3.54</v>
      </c>
    </row>
    <row r="28" spans="1:7" x14ac:dyDescent="0.2">
      <c r="A28" s="26" t="s">
        <v>225</v>
      </c>
      <c r="B28" s="26" t="s">
        <v>226</v>
      </c>
      <c r="C28" s="26" t="s">
        <v>16</v>
      </c>
      <c r="D28" s="30">
        <v>100</v>
      </c>
      <c r="E28" s="28">
        <v>1092.499</v>
      </c>
      <c r="F28" s="29">
        <v>1.26070283788502</v>
      </c>
      <c r="G28" s="28">
        <v>5.8009000000000004</v>
      </c>
    </row>
    <row r="29" spans="1:7" x14ac:dyDescent="0.2">
      <c r="A29" s="26" t="s">
        <v>227</v>
      </c>
      <c r="B29" s="26" t="s">
        <v>228</v>
      </c>
      <c r="C29" s="26" t="s">
        <v>16</v>
      </c>
      <c r="D29" s="30">
        <v>100</v>
      </c>
      <c r="E29" s="28">
        <v>1064.42</v>
      </c>
      <c r="F29" s="29">
        <v>1.2283007258602201</v>
      </c>
      <c r="G29" s="28">
        <v>5.5250000000000004</v>
      </c>
    </row>
    <row r="30" spans="1:7" x14ac:dyDescent="0.2">
      <c r="A30" s="26" t="s">
        <v>229</v>
      </c>
      <c r="B30" s="26" t="s">
        <v>230</v>
      </c>
      <c r="C30" s="26" t="s">
        <v>16</v>
      </c>
      <c r="D30" s="30">
        <v>100</v>
      </c>
      <c r="E30" s="28">
        <v>1047.1659999999999</v>
      </c>
      <c r="F30" s="29">
        <v>1.2083902575075101</v>
      </c>
      <c r="G30" s="28">
        <v>4.7497999999999996</v>
      </c>
    </row>
    <row r="31" spans="1:7" x14ac:dyDescent="0.2">
      <c r="A31" s="26" t="s">
        <v>231</v>
      </c>
      <c r="B31" s="26" t="s">
        <v>232</v>
      </c>
      <c r="C31" s="26" t="s">
        <v>16</v>
      </c>
      <c r="D31" s="30">
        <v>76</v>
      </c>
      <c r="E31" s="28">
        <v>796.62972000000002</v>
      </c>
      <c r="F31" s="29">
        <v>0.91928079453394895</v>
      </c>
      <c r="G31" s="28">
        <v>3.95</v>
      </c>
    </row>
    <row r="32" spans="1:7" x14ac:dyDescent="0.2">
      <c r="A32" s="26" t="s">
        <v>233</v>
      </c>
      <c r="B32" s="26" t="s">
        <v>234</v>
      </c>
      <c r="C32" s="26" t="s">
        <v>160</v>
      </c>
      <c r="D32" s="30">
        <v>59</v>
      </c>
      <c r="E32" s="28">
        <v>617.57955000000004</v>
      </c>
      <c r="F32" s="29">
        <v>0.71266361919301602</v>
      </c>
      <c r="G32" s="28">
        <v>4.12</v>
      </c>
    </row>
    <row r="33" spans="1:7" x14ac:dyDescent="0.2">
      <c r="A33" s="26" t="s">
        <v>235</v>
      </c>
      <c r="B33" s="26" t="s">
        <v>236</v>
      </c>
      <c r="C33" s="26" t="s">
        <v>209</v>
      </c>
      <c r="D33" s="30">
        <v>50</v>
      </c>
      <c r="E33" s="28">
        <v>562.53200000000004</v>
      </c>
      <c r="F33" s="29">
        <v>0.64914081276150704</v>
      </c>
      <c r="G33" s="28">
        <v>6.5250000000000004</v>
      </c>
    </row>
    <row r="34" spans="1:7" x14ac:dyDescent="0.2">
      <c r="A34" s="26" t="s">
        <v>237</v>
      </c>
      <c r="B34" s="26" t="s">
        <v>238</v>
      </c>
      <c r="C34" s="26" t="s">
        <v>209</v>
      </c>
      <c r="D34" s="30">
        <v>44</v>
      </c>
      <c r="E34" s="28">
        <v>556.11908000000005</v>
      </c>
      <c r="F34" s="29">
        <v>0.64174054379729795</v>
      </c>
      <c r="G34" s="28">
        <v>5.0650000000000004</v>
      </c>
    </row>
    <row r="35" spans="1:7" x14ac:dyDescent="0.2">
      <c r="A35" s="26" t="s">
        <v>239</v>
      </c>
      <c r="B35" s="26" t="s">
        <v>240</v>
      </c>
      <c r="C35" s="26" t="s">
        <v>209</v>
      </c>
      <c r="D35" s="30">
        <v>53</v>
      </c>
      <c r="E35" s="28">
        <v>548.23518000000001</v>
      </c>
      <c r="F35" s="29">
        <v>0.632642819127891</v>
      </c>
      <c r="G35" s="28">
        <v>3.75</v>
      </c>
    </row>
    <row r="36" spans="1:7" x14ac:dyDescent="0.2">
      <c r="A36" s="26" t="s">
        <v>241</v>
      </c>
      <c r="B36" s="26" t="s">
        <v>242</v>
      </c>
      <c r="C36" s="26" t="s">
        <v>16</v>
      </c>
      <c r="D36" s="30">
        <v>45</v>
      </c>
      <c r="E36" s="28">
        <v>500.34555</v>
      </c>
      <c r="F36" s="29">
        <v>0.57737998369622201</v>
      </c>
      <c r="G36" s="28">
        <v>5.8296999999999999</v>
      </c>
    </row>
    <row r="37" spans="1:7" x14ac:dyDescent="0.2">
      <c r="A37" s="26" t="s">
        <v>243</v>
      </c>
      <c r="B37" s="26" t="s">
        <v>244</v>
      </c>
      <c r="C37" s="26" t="s">
        <v>16</v>
      </c>
      <c r="D37" s="30">
        <v>31</v>
      </c>
      <c r="E37" s="28">
        <v>382.21325999999999</v>
      </c>
      <c r="F37" s="29">
        <v>0.44105975525770102</v>
      </c>
      <c r="G37" s="28">
        <v>4.38</v>
      </c>
    </row>
    <row r="38" spans="1:7" x14ac:dyDescent="0.2">
      <c r="A38" s="26" t="s">
        <v>245</v>
      </c>
      <c r="B38" s="26" t="s">
        <v>246</v>
      </c>
      <c r="C38" s="26" t="s">
        <v>209</v>
      </c>
      <c r="D38" s="30">
        <v>34</v>
      </c>
      <c r="E38" s="28">
        <v>357.22915999999998</v>
      </c>
      <c r="F38" s="29">
        <v>0.41222904166253699</v>
      </c>
      <c r="G38" s="28">
        <v>3.855</v>
      </c>
    </row>
    <row r="39" spans="1:7" x14ac:dyDescent="0.2">
      <c r="A39" s="26" t="s">
        <v>247</v>
      </c>
      <c r="B39" s="26" t="s">
        <v>248</v>
      </c>
      <c r="C39" s="26" t="s">
        <v>16</v>
      </c>
      <c r="D39" s="30">
        <v>33</v>
      </c>
      <c r="E39" s="28">
        <v>337.64643000000001</v>
      </c>
      <c r="F39" s="29">
        <v>0.38963130630118997</v>
      </c>
      <c r="G39" s="28">
        <v>3.59</v>
      </c>
    </row>
    <row r="40" spans="1:7" x14ac:dyDescent="0.2">
      <c r="A40" s="26" t="s">
        <v>249</v>
      </c>
      <c r="B40" s="26" t="s">
        <v>250</v>
      </c>
      <c r="C40" s="26" t="s">
        <v>16</v>
      </c>
      <c r="D40" s="30">
        <v>25</v>
      </c>
      <c r="E40" s="28">
        <v>280.01925</v>
      </c>
      <c r="F40" s="29">
        <v>0.32313170367884397</v>
      </c>
      <c r="G40" s="28">
        <v>6.8902999999999999</v>
      </c>
    </row>
    <row r="41" spans="1:7" x14ac:dyDescent="0.2">
      <c r="A41" s="26" t="s">
        <v>251</v>
      </c>
      <c r="B41" s="26" t="s">
        <v>252</v>
      </c>
      <c r="C41" s="26" t="s">
        <v>16</v>
      </c>
      <c r="D41" s="30">
        <v>20</v>
      </c>
      <c r="E41" s="28">
        <v>225.14580000000001</v>
      </c>
      <c r="F41" s="29">
        <v>0.25980980211230598</v>
      </c>
      <c r="G41" s="28">
        <v>6.8223000000000003</v>
      </c>
    </row>
    <row r="42" spans="1:7" x14ac:dyDescent="0.2">
      <c r="A42" s="26" t="s">
        <v>253</v>
      </c>
      <c r="B42" s="26" t="s">
        <v>254</v>
      </c>
      <c r="C42" s="26" t="s">
        <v>209</v>
      </c>
      <c r="D42" s="30">
        <v>19</v>
      </c>
      <c r="E42" s="28">
        <v>196.12863999999999</v>
      </c>
      <c r="F42" s="29">
        <v>0.22632508866234999</v>
      </c>
      <c r="G42" s="28">
        <v>3.5949</v>
      </c>
    </row>
    <row r="43" spans="1:7" x14ac:dyDescent="0.2">
      <c r="A43" s="26" t="s">
        <v>255</v>
      </c>
      <c r="B43" s="26" t="s">
        <v>256</v>
      </c>
      <c r="C43" s="26" t="s">
        <v>16</v>
      </c>
      <c r="D43" s="30">
        <v>15</v>
      </c>
      <c r="E43" s="28">
        <v>190.48769999999999</v>
      </c>
      <c r="F43" s="29">
        <v>0.21981565564104799</v>
      </c>
      <c r="G43" s="28">
        <v>4.165</v>
      </c>
    </row>
    <row r="44" spans="1:7" x14ac:dyDescent="0.2">
      <c r="A44" s="26" t="s">
        <v>257</v>
      </c>
      <c r="B44" s="26" t="s">
        <v>258</v>
      </c>
      <c r="C44" s="26" t="s">
        <v>209</v>
      </c>
      <c r="D44" s="30">
        <v>70</v>
      </c>
      <c r="E44" s="28">
        <v>71.779330000000002</v>
      </c>
      <c r="F44" s="29">
        <v>8.2830652506304406E-2</v>
      </c>
      <c r="G44" s="28">
        <v>3.49</v>
      </c>
    </row>
    <row r="45" spans="1:7" x14ac:dyDescent="0.2">
      <c r="A45" s="26" t="s">
        <v>259</v>
      </c>
      <c r="B45" s="26" t="s">
        <v>260</v>
      </c>
      <c r="C45" s="26" t="s">
        <v>160</v>
      </c>
      <c r="D45" s="30">
        <v>3</v>
      </c>
      <c r="E45" s="28">
        <v>38.250059999999998</v>
      </c>
      <c r="F45" s="29">
        <v>4.4139133483208803E-2</v>
      </c>
      <c r="G45" s="28">
        <v>5.7145999999999999</v>
      </c>
    </row>
    <row r="46" spans="1:7" x14ac:dyDescent="0.2">
      <c r="A46" s="26" t="s">
        <v>261</v>
      </c>
      <c r="B46" s="26" t="s">
        <v>262</v>
      </c>
      <c r="C46" s="26" t="s">
        <v>16</v>
      </c>
      <c r="D46" s="30">
        <v>3</v>
      </c>
      <c r="E46" s="28">
        <v>30.979620000000001</v>
      </c>
      <c r="F46" s="29">
        <v>3.57493186269272E-2</v>
      </c>
      <c r="G46" s="28">
        <v>4.5350000000000001</v>
      </c>
    </row>
    <row r="47" spans="1:7" x14ac:dyDescent="0.2">
      <c r="A47" s="26" t="s">
        <v>263</v>
      </c>
      <c r="B47" s="26" t="s">
        <v>264</v>
      </c>
      <c r="C47" s="26" t="s">
        <v>16</v>
      </c>
      <c r="D47" s="30">
        <v>3</v>
      </c>
      <c r="E47" s="28">
        <v>30.269880000000001</v>
      </c>
      <c r="F47" s="29">
        <v>3.4930305307775002E-2</v>
      </c>
      <c r="G47" s="28">
        <v>3.0741000000000001</v>
      </c>
    </row>
    <row r="48" spans="1:7" x14ac:dyDescent="0.2">
      <c r="A48" s="26" t="s">
        <v>265</v>
      </c>
      <c r="B48" s="26" t="s">
        <v>266</v>
      </c>
      <c r="C48" s="26" t="s">
        <v>16</v>
      </c>
      <c r="D48" s="30">
        <v>2</v>
      </c>
      <c r="E48" s="28">
        <v>20.523800000000001</v>
      </c>
      <c r="F48" s="29">
        <v>2.36836948172808E-2</v>
      </c>
      <c r="G48" s="28">
        <v>3.665</v>
      </c>
    </row>
    <row r="49" spans="1:9" x14ac:dyDescent="0.2">
      <c r="A49" s="26" t="s">
        <v>267</v>
      </c>
      <c r="B49" s="26" t="s">
        <v>268</v>
      </c>
      <c r="C49" s="26" t="s">
        <v>16</v>
      </c>
      <c r="D49" s="30">
        <v>2</v>
      </c>
      <c r="E49" s="28">
        <v>20.500640000000001</v>
      </c>
      <c r="F49" s="29">
        <v>2.36569690466161E-2</v>
      </c>
      <c r="G49" s="28">
        <v>3.44</v>
      </c>
    </row>
    <row r="50" spans="1:9" ht="10.5" x14ac:dyDescent="0.25">
      <c r="A50" s="25" t="s">
        <v>17</v>
      </c>
      <c r="B50" s="25"/>
      <c r="C50" s="25"/>
      <c r="D50" s="31"/>
      <c r="E50" s="32">
        <f>SUM(E6:E49)</f>
        <v>68813.874929999991</v>
      </c>
      <c r="F50" s="33">
        <f>SUM(F6:F49)</f>
        <v>79.408628667042677</v>
      </c>
      <c r="G50" s="32"/>
      <c r="H50" s="18"/>
      <c r="I50" s="18"/>
    </row>
    <row r="51" spans="1:9" x14ac:dyDescent="0.2">
      <c r="A51" s="26"/>
      <c r="B51" s="26"/>
      <c r="C51" s="26"/>
      <c r="D51" s="27"/>
      <c r="E51" s="28"/>
      <c r="F51" s="29"/>
      <c r="G51" s="28"/>
    </row>
    <row r="52" spans="1:9" ht="10.5" x14ac:dyDescent="0.25">
      <c r="A52" s="25" t="s">
        <v>269</v>
      </c>
      <c r="B52" s="26"/>
      <c r="C52" s="26"/>
      <c r="D52" s="27"/>
      <c r="E52" s="28"/>
      <c r="F52" s="29"/>
      <c r="G52" s="28"/>
    </row>
    <row r="53" spans="1:9" x14ac:dyDescent="0.2">
      <c r="A53" s="26" t="s">
        <v>270</v>
      </c>
      <c r="B53" s="26" t="s">
        <v>271</v>
      </c>
      <c r="C53" s="26" t="s">
        <v>16</v>
      </c>
      <c r="D53" s="30">
        <v>49</v>
      </c>
      <c r="E53" s="28">
        <v>495.77710000000002</v>
      </c>
      <c r="F53" s="29">
        <v>0.57210816387786401</v>
      </c>
      <c r="G53" s="28">
        <v>3.5169999999999999</v>
      </c>
    </row>
    <row r="54" spans="1:9" ht="10.5" x14ac:dyDescent="0.25">
      <c r="A54" s="25" t="s">
        <v>17</v>
      </c>
      <c r="B54" s="25"/>
      <c r="C54" s="25"/>
      <c r="D54" s="31"/>
      <c r="E54" s="32">
        <f>SUM(E52:E53)</f>
        <v>495.77710000000002</v>
      </c>
      <c r="F54" s="33">
        <f>SUM(F52:F53)</f>
        <v>0.57210816387786401</v>
      </c>
      <c r="G54" s="32"/>
      <c r="H54" s="18"/>
      <c r="I54" s="18"/>
    </row>
    <row r="55" spans="1:9" x14ac:dyDescent="0.2">
      <c r="A55" s="26"/>
      <c r="B55" s="26"/>
      <c r="C55" s="26"/>
      <c r="D55" s="27"/>
      <c r="E55" s="28"/>
      <c r="F55" s="29"/>
      <c r="G55" s="28"/>
    </row>
    <row r="56" spans="1:9" ht="10.5" x14ac:dyDescent="0.25">
      <c r="A56" s="25" t="s">
        <v>18</v>
      </c>
      <c r="B56" s="26"/>
      <c r="C56" s="26"/>
      <c r="D56" s="27"/>
      <c r="E56" s="28"/>
      <c r="F56" s="29"/>
      <c r="G56" s="28"/>
    </row>
    <row r="57" spans="1:9" ht="10.5" x14ac:dyDescent="0.25">
      <c r="A57" s="25" t="s">
        <v>105</v>
      </c>
      <c r="B57" s="26"/>
      <c r="C57" s="26"/>
      <c r="D57" s="27"/>
      <c r="E57" s="28"/>
      <c r="F57" s="29"/>
      <c r="G57" s="28"/>
    </row>
    <row r="58" spans="1:9" x14ac:dyDescent="0.2">
      <c r="A58" s="26" t="s">
        <v>111</v>
      </c>
      <c r="B58" s="26" t="s">
        <v>112</v>
      </c>
      <c r="C58" s="26" t="s">
        <v>25</v>
      </c>
      <c r="D58" s="30">
        <v>1000</v>
      </c>
      <c r="E58" s="28">
        <v>994.48699999999997</v>
      </c>
      <c r="F58" s="29">
        <v>1.14760066886995</v>
      </c>
      <c r="G58" s="28">
        <v>3.02</v>
      </c>
    </row>
    <row r="59" spans="1:9" ht="10.5" x14ac:dyDescent="0.25">
      <c r="A59" s="25" t="s">
        <v>17</v>
      </c>
      <c r="B59" s="25"/>
      <c r="C59" s="25"/>
      <c r="D59" s="31"/>
      <c r="E59" s="32">
        <f>SUM(E57:E58)</f>
        <v>994.48699999999997</v>
      </c>
      <c r="F59" s="33">
        <f>SUM(F57:F58)</f>
        <v>1.14760066886995</v>
      </c>
      <c r="G59" s="32"/>
      <c r="H59" s="18"/>
      <c r="I59" s="18"/>
    </row>
    <row r="60" spans="1:9" x14ac:dyDescent="0.2">
      <c r="A60" s="26"/>
      <c r="B60" s="26"/>
      <c r="C60" s="26"/>
      <c r="D60" s="27"/>
      <c r="E60" s="28"/>
      <c r="F60" s="29"/>
      <c r="G60" s="28"/>
    </row>
    <row r="61" spans="1:9" ht="10.5" x14ac:dyDescent="0.25">
      <c r="A61" s="25" t="s">
        <v>41</v>
      </c>
      <c r="B61" s="26"/>
      <c r="C61" s="26"/>
      <c r="D61" s="27"/>
      <c r="E61" s="28"/>
      <c r="F61" s="29"/>
      <c r="G61" s="28"/>
    </row>
    <row r="62" spans="1:9" x14ac:dyDescent="0.2">
      <c r="A62" s="26" t="s">
        <v>141</v>
      </c>
      <c r="B62" s="26" t="s">
        <v>142</v>
      </c>
      <c r="C62" s="26" t="s">
        <v>44</v>
      </c>
      <c r="D62" s="30">
        <v>500000</v>
      </c>
      <c r="E62" s="28">
        <v>496.60250000000002</v>
      </c>
      <c r="F62" s="29">
        <v>0.57306064449559502</v>
      </c>
      <c r="G62" s="28">
        <v>3.0085999999999999</v>
      </c>
    </row>
    <row r="63" spans="1:9" ht="10.5" x14ac:dyDescent="0.25">
      <c r="A63" s="25" t="s">
        <v>17</v>
      </c>
      <c r="B63" s="25"/>
      <c r="C63" s="25"/>
      <c r="D63" s="31"/>
      <c r="E63" s="32">
        <f>SUM(E61:E62)</f>
        <v>496.60250000000002</v>
      </c>
      <c r="F63" s="33">
        <f>SUM(F61:F62)</f>
        <v>0.57306064449559502</v>
      </c>
      <c r="G63" s="32"/>
      <c r="H63" s="18"/>
      <c r="I63" s="18"/>
    </row>
    <row r="64" spans="1:9" x14ac:dyDescent="0.2">
      <c r="A64" s="26"/>
      <c r="B64" s="26"/>
      <c r="C64" s="26"/>
      <c r="D64" s="27"/>
      <c r="E64" s="28"/>
      <c r="F64" s="29"/>
      <c r="G64" s="28"/>
    </row>
    <row r="65" spans="1:9" ht="10.5" x14ac:dyDescent="0.25">
      <c r="A65" s="25" t="s">
        <v>49</v>
      </c>
      <c r="B65" s="26"/>
      <c r="C65" s="26"/>
      <c r="D65" s="27"/>
      <c r="E65" s="28"/>
      <c r="F65" s="29"/>
      <c r="G65" s="28"/>
    </row>
    <row r="66" spans="1:9" x14ac:dyDescent="0.2">
      <c r="A66" s="26" t="s">
        <v>272</v>
      </c>
      <c r="B66" s="26" t="s">
        <v>273</v>
      </c>
      <c r="C66" s="26" t="s">
        <v>44</v>
      </c>
      <c r="D66" s="30">
        <v>2000000</v>
      </c>
      <c r="E66" s="28">
        <v>2165.7179999999998</v>
      </c>
      <c r="F66" s="29">
        <v>2.4991572794653898</v>
      </c>
      <c r="G66" s="28">
        <v>4.4074</v>
      </c>
    </row>
    <row r="67" spans="1:9" ht="10.5" x14ac:dyDescent="0.25">
      <c r="A67" s="25" t="s">
        <v>17</v>
      </c>
      <c r="B67" s="25"/>
      <c r="C67" s="25"/>
      <c r="D67" s="31"/>
      <c r="E67" s="32">
        <f>SUM(E66:E66)</f>
        <v>2165.7179999999998</v>
      </c>
      <c r="F67" s="33">
        <f>SUM(F66:F66)</f>
        <v>2.4991572794653898</v>
      </c>
      <c r="G67" s="32"/>
      <c r="H67" s="18"/>
      <c r="I67" s="18"/>
    </row>
    <row r="68" spans="1:9" x14ac:dyDescent="0.2">
      <c r="A68" s="26"/>
      <c r="B68" s="26"/>
      <c r="C68" s="26"/>
      <c r="D68" s="27"/>
      <c r="E68" s="28"/>
      <c r="F68" s="29"/>
      <c r="G68" s="28"/>
    </row>
    <row r="69" spans="1:9" ht="10.5" x14ac:dyDescent="0.25">
      <c r="A69" s="25" t="s">
        <v>62</v>
      </c>
      <c r="B69" s="25"/>
      <c r="C69" s="25"/>
      <c r="D69" s="31"/>
      <c r="E69" s="32">
        <f>E50+E54+E59+E63+E67</f>
        <v>72966.459529999978</v>
      </c>
      <c r="F69" s="33">
        <f>F50+F54+F59+F63+F67</f>
        <v>84.200555423751481</v>
      </c>
      <c r="G69" s="32"/>
      <c r="H69" s="18"/>
      <c r="I69" s="18"/>
    </row>
    <row r="70" spans="1:9" ht="10.5" x14ac:dyDescent="0.25">
      <c r="A70" s="25"/>
      <c r="B70" s="25"/>
      <c r="C70" s="25"/>
      <c r="D70" s="31"/>
      <c r="E70" s="32"/>
      <c r="F70" s="33"/>
      <c r="G70" s="32"/>
      <c r="H70" s="18"/>
      <c r="I70" s="18"/>
    </row>
    <row r="71" spans="1:9" ht="10.5" x14ac:dyDescent="0.25">
      <c r="A71" s="25" t="s">
        <v>63</v>
      </c>
      <c r="B71" s="25"/>
      <c r="C71" s="25"/>
      <c r="D71" s="31"/>
      <c r="E71" s="32">
        <f>E73-(E50+E54+E59+E63+E67)</f>
        <v>13691.471837300021</v>
      </c>
      <c r="F71" s="33">
        <f>F73-(F50+F54+F59+F63+F67)</f>
        <v>15.799444576248519</v>
      </c>
      <c r="G71" s="32"/>
      <c r="H71" s="18"/>
      <c r="I71" s="18"/>
    </row>
    <row r="72" spans="1:9" ht="10.5" x14ac:dyDescent="0.25">
      <c r="A72" s="25"/>
      <c r="B72" s="25"/>
      <c r="C72" s="25"/>
      <c r="D72" s="31"/>
      <c r="E72" s="32"/>
      <c r="F72" s="33"/>
      <c r="G72" s="32"/>
      <c r="H72" s="18"/>
      <c r="I72" s="18"/>
    </row>
    <row r="73" spans="1:9" ht="10.5" x14ac:dyDescent="0.25">
      <c r="A73" s="34" t="s">
        <v>64</v>
      </c>
      <c r="B73" s="34"/>
      <c r="C73" s="34"/>
      <c r="D73" s="35"/>
      <c r="E73" s="36">
        <v>86657.9313673</v>
      </c>
      <c r="F73" s="37">
        <v>100</v>
      </c>
      <c r="G73" s="36"/>
      <c r="H73" s="18"/>
      <c r="I73" s="18"/>
    </row>
    <row r="75" spans="1:9" ht="10.5" x14ac:dyDescent="0.25">
      <c r="A75" s="18" t="s">
        <v>66</v>
      </c>
    </row>
    <row r="77" spans="1:9" ht="10.5" x14ac:dyDescent="0.25">
      <c r="A77" s="18" t="s">
        <v>67</v>
      </c>
    </row>
    <row r="78" spans="1:9" ht="10.5" x14ac:dyDescent="0.25">
      <c r="A78" s="18" t="s">
        <v>68</v>
      </c>
    </row>
    <row r="79" spans="1:9" ht="10.5" x14ac:dyDescent="0.25">
      <c r="A79" s="18" t="s">
        <v>69</v>
      </c>
      <c r="B79" s="18"/>
      <c r="C79" s="38" t="s">
        <v>70</v>
      </c>
      <c r="D79" s="43" t="s">
        <v>71</v>
      </c>
    </row>
    <row r="80" spans="1:9" x14ac:dyDescent="0.2">
      <c r="A80" s="9" t="s">
        <v>98</v>
      </c>
      <c r="C80" s="39">
        <v>73.403999999999996</v>
      </c>
      <c r="D80" s="39">
        <v>76.787700000000001</v>
      </c>
    </row>
    <row r="81" spans="1:4" x14ac:dyDescent="0.2">
      <c r="A81" s="9" t="s">
        <v>274</v>
      </c>
      <c r="C81" s="39">
        <v>16.123200000000001</v>
      </c>
      <c r="D81" s="39">
        <v>16.253699999999998</v>
      </c>
    </row>
    <row r="82" spans="1:4" x14ac:dyDescent="0.2">
      <c r="A82" s="9" t="s">
        <v>275</v>
      </c>
      <c r="C82" s="39">
        <v>13.3627</v>
      </c>
      <c r="D82" s="39">
        <v>13.4199</v>
      </c>
    </row>
    <row r="83" spans="1:4" x14ac:dyDescent="0.2">
      <c r="A83" s="9" t="s">
        <v>276</v>
      </c>
      <c r="C83" s="39">
        <v>14.133900000000001</v>
      </c>
      <c r="D83" s="39">
        <v>14.2188</v>
      </c>
    </row>
    <row r="84" spans="1:4" x14ac:dyDescent="0.2">
      <c r="A84" s="9" t="s">
        <v>277</v>
      </c>
      <c r="C84" s="39">
        <v>17.648800000000001</v>
      </c>
      <c r="D84" s="39">
        <v>18.462299999999999</v>
      </c>
    </row>
    <row r="85" spans="1:4" x14ac:dyDescent="0.2">
      <c r="A85" s="9" t="s">
        <v>101</v>
      </c>
      <c r="C85" s="39">
        <v>77.3476</v>
      </c>
      <c r="D85" s="39">
        <v>81.142300000000006</v>
      </c>
    </row>
    <row r="86" spans="1:4" x14ac:dyDescent="0.2">
      <c r="A86" s="9" t="s">
        <v>278</v>
      </c>
      <c r="C86" s="39">
        <v>17.3447</v>
      </c>
      <c r="D86" s="39">
        <v>17.582000000000001</v>
      </c>
    </row>
    <row r="87" spans="1:4" x14ac:dyDescent="0.2">
      <c r="A87" s="9" t="s">
        <v>279</v>
      </c>
      <c r="C87" s="39">
        <v>14.4168</v>
      </c>
      <c r="D87" s="39">
        <v>14.5649</v>
      </c>
    </row>
    <row r="88" spans="1:4" x14ac:dyDescent="0.2">
      <c r="A88" s="9" t="s">
        <v>280</v>
      </c>
      <c r="C88" s="39">
        <v>15.520899999999999</v>
      </c>
      <c r="D88" s="39">
        <v>15.715999999999999</v>
      </c>
    </row>
    <row r="89" spans="1:4" x14ac:dyDescent="0.2">
      <c r="A89" s="9" t="s">
        <v>281</v>
      </c>
      <c r="C89" s="39">
        <v>19.045200000000001</v>
      </c>
      <c r="D89" s="39">
        <v>19.98</v>
      </c>
    </row>
    <row r="91" spans="1:4" ht="10.5" x14ac:dyDescent="0.25">
      <c r="A91" s="18" t="s">
        <v>90</v>
      </c>
    </row>
    <row r="92" spans="1:4" ht="10.5" x14ac:dyDescent="0.25">
      <c r="A92" s="68" t="s">
        <v>91</v>
      </c>
      <c r="B92" s="69"/>
      <c r="C92" s="40" t="s">
        <v>92</v>
      </c>
    </row>
    <row r="93" spans="1:4" x14ac:dyDescent="0.2">
      <c r="A93" s="64" t="s">
        <v>274</v>
      </c>
      <c r="B93" s="65"/>
      <c r="C93" s="41">
        <v>0.6</v>
      </c>
    </row>
    <row r="94" spans="1:4" x14ac:dyDescent="0.2">
      <c r="A94" s="64" t="s">
        <v>275</v>
      </c>
      <c r="B94" s="65"/>
      <c r="C94" s="41">
        <v>0.55000000000000004</v>
      </c>
    </row>
    <row r="95" spans="1:4" x14ac:dyDescent="0.2">
      <c r="A95" s="64" t="s">
        <v>276</v>
      </c>
      <c r="B95" s="65"/>
      <c r="C95" s="41">
        <v>0.55000000000000004</v>
      </c>
    </row>
    <row r="96" spans="1:4" x14ac:dyDescent="0.2">
      <c r="A96" s="64" t="s">
        <v>278</v>
      </c>
      <c r="B96" s="65"/>
      <c r="C96" s="41">
        <v>0.6</v>
      </c>
    </row>
    <row r="97" spans="1:5" x14ac:dyDescent="0.2">
      <c r="A97" s="64" t="s">
        <v>279</v>
      </c>
      <c r="B97" s="65"/>
      <c r="C97" s="41">
        <v>0.55000000000000004</v>
      </c>
    </row>
    <row r="98" spans="1:5" x14ac:dyDescent="0.2">
      <c r="A98" s="64" t="s">
        <v>280</v>
      </c>
      <c r="B98" s="65"/>
      <c r="C98" s="41">
        <v>0.55000000000000004</v>
      </c>
    </row>
    <row r="99" spans="1:5" x14ac:dyDescent="0.2">
      <c r="A99" s="9" t="s">
        <v>93</v>
      </c>
    </row>
    <row r="101" spans="1:5" ht="10.5" x14ac:dyDescent="0.25">
      <c r="A101" s="18" t="s">
        <v>94</v>
      </c>
      <c r="D101" s="42">
        <v>2.0916741559726</v>
      </c>
      <c r="E101" s="13" t="s">
        <v>95</v>
      </c>
    </row>
    <row r="103" spans="1:5" ht="10.5" x14ac:dyDescent="0.25">
      <c r="A103" s="18" t="s">
        <v>1506</v>
      </c>
      <c r="D103" s="43" t="s">
        <v>96</v>
      </c>
    </row>
    <row r="105" spans="1:5" ht="10.5" x14ac:dyDescent="0.25">
      <c r="A105" s="18" t="s">
        <v>282</v>
      </c>
    </row>
    <row r="106" spans="1:5" x14ac:dyDescent="0.2">
      <c r="A106" s="46" t="s">
        <v>283</v>
      </c>
    </row>
    <row r="108" spans="1:5" ht="10.5" x14ac:dyDescent="0.25">
      <c r="A108" s="18" t="s">
        <v>1511</v>
      </c>
    </row>
    <row r="109" spans="1:5" x14ac:dyDescent="0.2">
      <c r="A109" s="47" t="s">
        <v>1509</v>
      </c>
    </row>
  </sheetData>
  <mergeCells count="8">
    <mergeCell ref="A97:B97"/>
    <mergeCell ref="A98:B98"/>
    <mergeCell ref="A1:G1"/>
    <mergeCell ref="A92:B92"/>
    <mergeCell ref="A93:B93"/>
    <mergeCell ref="A94:B94"/>
    <mergeCell ref="A95:B95"/>
    <mergeCell ref="A96:B96"/>
  </mergeCells>
  <conditionalFormatting sqref="F2:F3 F5:F65536">
    <cfRule type="cellIs" dxfId="88" priority="1" stopIfTrue="1" operator="between">
      <formula>0.009</formula>
      <formula>-0.009</formula>
    </cfRule>
  </conditionalFormatting>
  <hyperlinks>
    <hyperlink ref="A106" r:id="rId1" xr:uid="{00000000-0004-0000-0400-000000000000}"/>
    <hyperlink ref="A109" r:id="rId2" xr:uid="{5EA758F5-1A8F-4E6B-A919-9998CC6083C1}"/>
  </hyperlinks>
  <pageMargins left="0.7" right="0.7" top="0.75" bottom="0.75" header="0.3" footer="0.3"/>
  <pageSetup paperSize="9" orientation="portrait" r:id="rId3"/>
  <headerFooter>
    <oddFooter>&amp;LPUBLIC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6"/>
  <sheetViews>
    <sheetView workbookViewId="0">
      <selection sqref="A1:G1"/>
    </sheetView>
  </sheetViews>
  <sheetFormatPr defaultColWidth="9.1796875" defaultRowHeight="10" x14ac:dyDescent="0.2"/>
  <cols>
    <col min="1" max="1" width="38.7265625" style="9" bestFit="1" customWidth="1"/>
    <col min="2" max="2" width="54.179687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284</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285</v>
      </c>
      <c r="B7" s="26" t="s">
        <v>286</v>
      </c>
      <c r="C7" s="26" t="s">
        <v>16</v>
      </c>
      <c r="D7" s="30">
        <v>750</v>
      </c>
      <c r="E7" s="28">
        <v>8059.3424999999997</v>
      </c>
      <c r="F7" s="29">
        <v>7.8878956172103099</v>
      </c>
      <c r="G7" s="28">
        <v>4.93</v>
      </c>
    </row>
    <row r="8" spans="1:7" x14ac:dyDescent="0.2">
      <c r="A8" s="26" t="s">
        <v>287</v>
      </c>
      <c r="B8" s="26" t="s">
        <v>288</v>
      </c>
      <c r="C8" s="26" t="s">
        <v>16</v>
      </c>
      <c r="D8" s="30">
        <v>500</v>
      </c>
      <c r="E8" s="28">
        <v>5132.165</v>
      </c>
      <c r="F8" s="29">
        <v>5.0229881420599902</v>
      </c>
      <c r="G8" s="28">
        <v>3.8</v>
      </c>
    </row>
    <row r="9" spans="1:7" x14ac:dyDescent="0.2">
      <c r="A9" s="26" t="s">
        <v>289</v>
      </c>
      <c r="B9" s="26" t="s">
        <v>290</v>
      </c>
      <c r="C9" s="26" t="s">
        <v>16</v>
      </c>
      <c r="D9" s="30">
        <v>400</v>
      </c>
      <c r="E9" s="28">
        <v>4313.5439999999999</v>
      </c>
      <c r="F9" s="29">
        <v>4.2217817163427203</v>
      </c>
      <c r="G9" s="28">
        <v>5.9398999999999997</v>
      </c>
    </row>
    <row r="10" spans="1:7" x14ac:dyDescent="0.2">
      <c r="A10" s="26" t="s">
        <v>227</v>
      </c>
      <c r="B10" s="26" t="s">
        <v>228</v>
      </c>
      <c r="C10" s="26" t="s">
        <v>16</v>
      </c>
      <c r="D10" s="30">
        <v>400</v>
      </c>
      <c r="E10" s="28">
        <v>4257.68</v>
      </c>
      <c r="F10" s="29">
        <v>4.1671061146097204</v>
      </c>
      <c r="G10" s="28">
        <v>5.5250000000000004</v>
      </c>
    </row>
    <row r="11" spans="1:7" x14ac:dyDescent="0.2">
      <c r="A11" s="26" t="s">
        <v>207</v>
      </c>
      <c r="B11" s="26" t="s">
        <v>208</v>
      </c>
      <c r="C11" s="26" t="s">
        <v>209</v>
      </c>
      <c r="D11" s="30">
        <v>300</v>
      </c>
      <c r="E11" s="28">
        <v>3207.4380000000001</v>
      </c>
      <c r="F11" s="29">
        <v>3.13920597650166</v>
      </c>
      <c r="G11" s="28">
        <v>4.4349999999999996</v>
      </c>
    </row>
    <row r="12" spans="1:7" x14ac:dyDescent="0.2">
      <c r="A12" s="26" t="s">
        <v>291</v>
      </c>
      <c r="B12" s="26" t="s">
        <v>292</v>
      </c>
      <c r="C12" s="26" t="s">
        <v>209</v>
      </c>
      <c r="D12" s="30">
        <v>300</v>
      </c>
      <c r="E12" s="28">
        <v>3144.471</v>
      </c>
      <c r="F12" s="29">
        <v>3.07757847731932</v>
      </c>
      <c r="G12" s="28">
        <v>4.0599999999999996</v>
      </c>
    </row>
    <row r="13" spans="1:7" x14ac:dyDescent="0.2">
      <c r="A13" s="26" t="s">
        <v>185</v>
      </c>
      <c r="B13" s="26" t="s">
        <v>186</v>
      </c>
      <c r="C13" s="26" t="s">
        <v>187</v>
      </c>
      <c r="D13" s="30">
        <v>300</v>
      </c>
      <c r="E13" s="28">
        <v>3097.5659999999998</v>
      </c>
      <c r="F13" s="29">
        <v>3.0316712902348599</v>
      </c>
      <c r="G13" s="28">
        <v>5.7188999999999997</v>
      </c>
    </row>
    <row r="14" spans="1:7" x14ac:dyDescent="0.2">
      <c r="A14" s="26" t="s">
        <v>293</v>
      </c>
      <c r="B14" s="26" t="s">
        <v>294</v>
      </c>
      <c r="C14" s="26" t="s">
        <v>16</v>
      </c>
      <c r="D14" s="30">
        <v>250</v>
      </c>
      <c r="E14" s="28">
        <v>2850.0225</v>
      </c>
      <c r="F14" s="29">
        <v>2.7893937981542201</v>
      </c>
      <c r="G14" s="28">
        <v>4.9448999999999996</v>
      </c>
    </row>
    <row r="15" spans="1:7" x14ac:dyDescent="0.2">
      <c r="A15" s="26" t="s">
        <v>295</v>
      </c>
      <c r="B15" s="26" t="s">
        <v>296</v>
      </c>
      <c r="C15" s="26" t="s">
        <v>209</v>
      </c>
      <c r="D15" s="30">
        <v>250</v>
      </c>
      <c r="E15" s="28">
        <v>2611.1125000000002</v>
      </c>
      <c r="F15" s="29">
        <v>2.55556614510341</v>
      </c>
      <c r="G15" s="28">
        <v>3.98</v>
      </c>
    </row>
    <row r="16" spans="1:7" x14ac:dyDescent="0.2">
      <c r="A16" s="26" t="s">
        <v>297</v>
      </c>
      <c r="B16" s="26" t="s">
        <v>298</v>
      </c>
      <c r="C16" s="26" t="s">
        <v>16</v>
      </c>
      <c r="D16" s="30">
        <v>250</v>
      </c>
      <c r="E16" s="28">
        <v>2606.5075000000002</v>
      </c>
      <c r="F16" s="29">
        <v>2.55105910754826</v>
      </c>
      <c r="G16" s="28">
        <v>4.26</v>
      </c>
    </row>
    <row r="17" spans="1:7" x14ac:dyDescent="0.2">
      <c r="A17" s="26" t="s">
        <v>299</v>
      </c>
      <c r="B17" s="26" t="s">
        <v>300</v>
      </c>
      <c r="C17" s="26" t="s">
        <v>16</v>
      </c>
      <c r="D17" s="30">
        <v>250</v>
      </c>
      <c r="E17" s="28">
        <v>2501.1624999999999</v>
      </c>
      <c r="F17" s="29">
        <v>2.4479551181353498</v>
      </c>
      <c r="G17" s="28">
        <v>5.3449999999999998</v>
      </c>
    </row>
    <row r="18" spans="1:7" x14ac:dyDescent="0.2">
      <c r="A18" s="26" t="s">
        <v>218</v>
      </c>
      <c r="B18" s="26" t="s">
        <v>219</v>
      </c>
      <c r="C18" s="26" t="s">
        <v>16</v>
      </c>
      <c r="D18" s="30">
        <v>210</v>
      </c>
      <c r="E18" s="28">
        <v>2334.7338</v>
      </c>
      <c r="F18" s="29">
        <v>2.2850668659847599</v>
      </c>
      <c r="G18" s="28">
        <v>5.3249000000000004</v>
      </c>
    </row>
    <row r="19" spans="1:7" x14ac:dyDescent="0.2">
      <c r="A19" s="26" t="s">
        <v>229</v>
      </c>
      <c r="B19" s="26" t="s">
        <v>230</v>
      </c>
      <c r="C19" s="26" t="s">
        <v>16</v>
      </c>
      <c r="D19" s="30">
        <v>150</v>
      </c>
      <c r="E19" s="28">
        <v>1570.749</v>
      </c>
      <c r="F19" s="29">
        <v>1.5373343610645001</v>
      </c>
      <c r="G19" s="28">
        <v>4.7497999999999996</v>
      </c>
    </row>
    <row r="20" spans="1:7" x14ac:dyDescent="0.2">
      <c r="A20" s="26" t="s">
        <v>239</v>
      </c>
      <c r="B20" s="26" t="s">
        <v>240</v>
      </c>
      <c r="C20" s="26" t="s">
        <v>209</v>
      </c>
      <c r="D20" s="30">
        <v>120</v>
      </c>
      <c r="E20" s="28">
        <v>1241.2872</v>
      </c>
      <c r="F20" s="29">
        <v>1.21488122195815</v>
      </c>
      <c r="G20" s="28">
        <v>3.75</v>
      </c>
    </row>
    <row r="21" spans="1:7" x14ac:dyDescent="0.2">
      <c r="A21" s="26" t="s">
        <v>216</v>
      </c>
      <c r="B21" s="26" t="s">
        <v>217</v>
      </c>
      <c r="C21" s="26" t="s">
        <v>16</v>
      </c>
      <c r="D21" s="30">
        <v>120</v>
      </c>
      <c r="E21" s="28">
        <v>1239.2628</v>
      </c>
      <c r="F21" s="29">
        <v>1.21289988714238</v>
      </c>
      <c r="G21" s="28">
        <v>3.6882000000000001</v>
      </c>
    </row>
    <row r="22" spans="1:7" x14ac:dyDescent="0.2">
      <c r="A22" s="26" t="s">
        <v>241</v>
      </c>
      <c r="B22" s="26" t="s">
        <v>242</v>
      </c>
      <c r="C22" s="26" t="s">
        <v>16</v>
      </c>
      <c r="D22" s="30">
        <v>110</v>
      </c>
      <c r="E22" s="28">
        <v>1223.0669</v>
      </c>
      <c r="F22" s="29">
        <v>1.19704852350735</v>
      </c>
      <c r="G22" s="28">
        <v>5.8296999999999999</v>
      </c>
    </row>
    <row r="23" spans="1:7" x14ac:dyDescent="0.2">
      <c r="A23" s="26" t="s">
        <v>301</v>
      </c>
      <c r="B23" s="26" t="s">
        <v>302</v>
      </c>
      <c r="C23" s="26" t="s">
        <v>209</v>
      </c>
      <c r="D23" s="30">
        <v>100</v>
      </c>
      <c r="E23" s="28">
        <v>1103.8150000000001</v>
      </c>
      <c r="F23" s="29">
        <v>1.0803334764232899</v>
      </c>
      <c r="G23" s="28">
        <v>5.89</v>
      </c>
    </row>
    <row r="24" spans="1:7" x14ac:dyDescent="0.2">
      <c r="A24" s="26" t="s">
        <v>303</v>
      </c>
      <c r="B24" s="26" t="s">
        <v>304</v>
      </c>
      <c r="C24" s="26" t="s">
        <v>16</v>
      </c>
      <c r="D24" s="30">
        <v>100</v>
      </c>
      <c r="E24" s="28">
        <v>1089.9549999999999</v>
      </c>
      <c r="F24" s="29">
        <v>1.0667683210456</v>
      </c>
      <c r="G24" s="28">
        <v>5.7398999999999996</v>
      </c>
    </row>
    <row r="25" spans="1:7" x14ac:dyDescent="0.2">
      <c r="A25" s="26" t="s">
        <v>305</v>
      </c>
      <c r="B25" s="26" t="s">
        <v>306</v>
      </c>
      <c r="C25" s="26" t="s">
        <v>209</v>
      </c>
      <c r="D25" s="30">
        <v>500</v>
      </c>
      <c r="E25" s="28">
        <v>1053.6410000000001</v>
      </c>
      <c r="F25" s="29">
        <v>1.0312268309745001</v>
      </c>
      <c r="G25" s="28">
        <v>6.0499000000000001</v>
      </c>
    </row>
    <row r="26" spans="1:7" x14ac:dyDescent="0.2">
      <c r="A26" s="26" t="s">
        <v>307</v>
      </c>
      <c r="B26" s="26" t="s">
        <v>308</v>
      </c>
      <c r="C26" s="26" t="s">
        <v>209</v>
      </c>
      <c r="D26" s="30">
        <v>500</v>
      </c>
      <c r="E26" s="28">
        <v>1037.9590000000001</v>
      </c>
      <c r="F26" s="29">
        <v>1.0158784351135299</v>
      </c>
      <c r="G26" s="28">
        <v>6.0499000000000001</v>
      </c>
    </row>
    <row r="27" spans="1:7" x14ac:dyDescent="0.2">
      <c r="A27" s="26" t="s">
        <v>309</v>
      </c>
      <c r="B27" s="26" t="s">
        <v>310</v>
      </c>
      <c r="C27" s="26" t="s">
        <v>311</v>
      </c>
      <c r="D27" s="30">
        <v>100</v>
      </c>
      <c r="E27" s="28">
        <v>1036.3489999999999</v>
      </c>
      <c r="F27" s="29">
        <v>1.0143026847413801</v>
      </c>
      <c r="G27" s="28">
        <v>8.7034000000000002</v>
      </c>
    </row>
    <row r="28" spans="1:7" x14ac:dyDescent="0.2">
      <c r="A28" s="26" t="s">
        <v>312</v>
      </c>
      <c r="B28" s="26" t="s">
        <v>313</v>
      </c>
      <c r="C28" s="26" t="s">
        <v>16</v>
      </c>
      <c r="D28" s="30">
        <v>50</v>
      </c>
      <c r="E28" s="28">
        <v>560.57299999999998</v>
      </c>
      <c r="F28" s="29">
        <v>0.54864789650352197</v>
      </c>
      <c r="G28" s="28">
        <v>5.34</v>
      </c>
    </row>
    <row r="29" spans="1:7" x14ac:dyDescent="0.2">
      <c r="A29" s="26" t="s">
        <v>314</v>
      </c>
      <c r="B29" s="26" t="s">
        <v>315</v>
      </c>
      <c r="C29" s="26" t="s">
        <v>16</v>
      </c>
      <c r="D29" s="30">
        <v>50</v>
      </c>
      <c r="E29" s="28">
        <v>559.67150000000004</v>
      </c>
      <c r="F29" s="29">
        <v>0.54776557416780802</v>
      </c>
      <c r="G29" s="28">
        <v>5.3249000000000004</v>
      </c>
    </row>
    <row r="30" spans="1:7" x14ac:dyDescent="0.2">
      <c r="A30" s="26" t="s">
        <v>316</v>
      </c>
      <c r="B30" s="26" t="s">
        <v>317</v>
      </c>
      <c r="C30" s="26" t="s">
        <v>16</v>
      </c>
      <c r="D30" s="30">
        <v>50</v>
      </c>
      <c r="E30" s="28">
        <v>558.86900000000003</v>
      </c>
      <c r="F30" s="29">
        <v>0.54698014579907805</v>
      </c>
      <c r="G30" s="28">
        <v>6.8902999999999999</v>
      </c>
    </row>
    <row r="31" spans="1:7" x14ac:dyDescent="0.2">
      <c r="A31" s="26" t="s">
        <v>318</v>
      </c>
      <c r="B31" s="26" t="s">
        <v>319</v>
      </c>
      <c r="C31" s="26" t="s">
        <v>16</v>
      </c>
      <c r="D31" s="30">
        <v>50</v>
      </c>
      <c r="E31" s="28">
        <v>556.09699999999998</v>
      </c>
      <c r="F31" s="29">
        <v>0.54426711472353995</v>
      </c>
      <c r="G31" s="28">
        <v>4.7348999999999997</v>
      </c>
    </row>
    <row r="32" spans="1:7" x14ac:dyDescent="0.2">
      <c r="A32" s="26" t="s">
        <v>225</v>
      </c>
      <c r="B32" s="26" t="s">
        <v>226</v>
      </c>
      <c r="C32" s="26" t="s">
        <v>16</v>
      </c>
      <c r="D32" s="30">
        <v>50</v>
      </c>
      <c r="E32" s="28">
        <v>546.24950000000001</v>
      </c>
      <c r="F32" s="29">
        <v>0.53462910118949802</v>
      </c>
      <c r="G32" s="28">
        <v>5.8009000000000004</v>
      </c>
    </row>
    <row r="33" spans="1:9" x14ac:dyDescent="0.2">
      <c r="A33" s="26" t="s">
        <v>191</v>
      </c>
      <c r="B33" s="26" t="s">
        <v>192</v>
      </c>
      <c r="C33" s="26" t="s">
        <v>180</v>
      </c>
      <c r="D33" s="30">
        <v>50</v>
      </c>
      <c r="E33" s="28">
        <v>518.19500000000005</v>
      </c>
      <c r="F33" s="29">
        <v>0.50717140627294299</v>
      </c>
      <c r="G33" s="28">
        <v>5.8335999999999997</v>
      </c>
    </row>
    <row r="34" spans="1:9" x14ac:dyDescent="0.2">
      <c r="A34" s="26" t="s">
        <v>249</v>
      </c>
      <c r="B34" s="26" t="s">
        <v>250</v>
      </c>
      <c r="C34" s="26" t="s">
        <v>16</v>
      </c>
      <c r="D34" s="30">
        <v>30</v>
      </c>
      <c r="E34" s="28">
        <v>336.0231</v>
      </c>
      <c r="F34" s="29">
        <v>0.32887486017270301</v>
      </c>
      <c r="G34" s="28">
        <v>6.8902999999999999</v>
      </c>
    </row>
    <row r="35" spans="1:9" x14ac:dyDescent="0.2">
      <c r="A35" s="26" t="s">
        <v>197</v>
      </c>
      <c r="B35" s="26" t="s">
        <v>198</v>
      </c>
      <c r="C35" s="26" t="s">
        <v>16</v>
      </c>
      <c r="D35" s="30">
        <v>32</v>
      </c>
      <c r="E35" s="28">
        <v>335.05696</v>
      </c>
      <c r="F35" s="29">
        <v>0.32792927292763802</v>
      </c>
      <c r="G35" s="28">
        <v>4.0650000000000004</v>
      </c>
    </row>
    <row r="36" spans="1:9" x14ac:dyDescent="0.2">
      <c r="A36" s="26" t="s">
        <v>320</v>
      </c>
      <c r="B36" s="26" t="s">
        <v>321</v>
      </c>
      <c r="C36" s="26" t="s">
        <v>322</v>
      </c>
      <c r="D36" s="30">
        <v>27</v>
      </c>
      <c r="E36" s="28">
        <v>288.43263000000002</v>
      </c>
      <c r="F36" s="29">
        <v>0.28229678513320899</v>
      </c>
      <c r="G36" s="28">
        <v>3.8849999999999998</v>
      </c>
    </row>
    <row r="37" spans="1:9" x14ac:dyDescent="0.2">
      <c r="A37" s="26" t="s">
        <v>265</v>
      </c>
      <c r="B37" s="26" t="s">
        <v>266</v>
      </c>
      <c r="C37" s="26" t="s">
        <v>16</v>
      </c>
      <c r="D37" s="30">
        <v>23</v>
      </c>
      <c r="E37" s="28">
        <v>236.02369999999999</v>
      </c>
      <c r="F37" s="29">
        <v>0.23100275348612601</v>
      </c>
      <c r="G37" s="28">
        <v>3.665</v>
      </c>
    </row>
    <row r="38" spans="1:9" x14ac:dyDescent="0.2">
      <c r="A38" s="26" t="s">
        <v>323</v>
      </c>
      <c r="B38" s="26" t="s">
        <v>324</v>
      </c>
      <c r="C38" s="26" t="s">
        <v>209</v>
      </c>
      <c r="D38" s="30">
        <v>5</v>
      </c>
      <c r="E38" s="28">
        <v>52.363549999999996</v>
      </c>
      <c r="F38" s="29">
        <v>5.1249617018581002E-2</v>
      </c>
      <c r="G38" s="28">
        <v>4.17</v>
      </c>
    </row>
    <row r="39" spans="1:9" x14ac:dyDescent="0.2">
      <c r="A39" s="26" t="s">
        <v>263</v>
      </c>
      <c r="B39" s="26" t="s">
        <v>264</v>
      </c>
      <c r="C39" s="26" t="s">
        <v>16</v>
      </c>
      <c r="D39" s="30">
        <v>2</v>
      </c>
      <c r="E39" s="28">
        <v>20.179919999999999</v>
      </c>
      <c r="F39" s="29">
        <v>1.9750631335453801E-2</v>
      </c>
      <c r="G39" s="28">
        <v>3.0741000000000001</v>
      </c>
    </row>
    <row r="40" spans="1:9" x14ac:dyDescent="0.2">
      <c r="A40" s="26" t="s">
        <v>325</v>
      </c>
      <c r="B40" s="26" t="s">
        <v>326</v>
      </c>
      <c r="C40" s="26" t="s">
        <v>16</v>
      </c>
      <c r="D40" s="30">
        <v>1</v>
      </c>
      <c r="E40" s="28">
        <v>10.136620000000001</v>
      </c>
      <c r="F40" s="29">
        <v>9.9209830667112506E-3</v>
      </c>
      <c r="G40" s="28">
        <v>3.4399000000000002</v>
      </c>
    </row>
    <row r="41" spans="1:9" ht="10.5" x14ac:dyDescent="0.25">
      <c r="A41" s="25" t="s">
        <v>17</v>
      </c>
      <c r="B41" s="25"/>
      <c r="C41" s="25"/>
      <c r="D41" s="31"/>
      <c r="E41" s="32">
        <f>SUM(E6:E40)</f>
        <v>59289.701680000013</v>
      </c>
      <c r="F41" s="33">
        <f>SUM(F6:F40)</f>
        <v>58.028428252972084</v>
      </c>
      <c r="G41" s="32"/>
      <c r="H41" s="18"/>
      <c r="I41" s="18"/>
    </row>
    <row r="42" spans="1:9" x14ac:dyDescent="0.2">
      <c r="A42" s="26"/>
      <c r="B42" s="26"/>
      <c r="C42" s="26"/>
      <c r="D42" s="27"/>
      <c r="E42" s="28"/>
      <c r="F42" s="29"/>
      <c r="G42" s="28"/>
    </row>
    <row r="43" spans="1:9" ht="10.5" x14ac:dyDescent="0.25">
      <c r="A43" s="25" t="s">
        <v>18</v>
      </c>
      <c r="B43" s="26"/>
      <c r="C43" s="26"/>
      <c r="D43" s="27"/>
      <c r="E43" s="28"/>
      <c r="F43" s="29"/>
      <c r="G43" s="28"/>
    </row>
    <row r="44" spans="1:9" ht="10.5" x14ac:dyDescent="0.25">
      <c r="A44" s="25" t="s">
        <v>105</v>
      </c>
      <c r="B44" s="26"/>
      <c r="C44" s="26"/>
      <c r="D44" s="27"/>
      <c r="E44" s="28"/>
      <c r="F44" s="29"/>
      <c r="G44" s="28"/>
    </row>
    <row r="45" spans="1:9" x14ac:dyDescent="0.2">
      <c r="A45" s="26" t="s">
        <v>111</v>
      </c>
      <c r="B45" s="26" t="s">
        <v>112</v>
      </c>
      <c r="C45" s="26" t="s">
        <v>25</v>
      </c>
      <c r="D45" s="30">
        <v>9000</v>
      </c>
      <c r="E45" s="28">
        <v>8950.3829999999998</v>
      </c>
      <c r="F45" s="29">
        <v>8.7599809585029593</v>
      </c>
      <c r="G45" s="28">
        <v>3.02</v>
      </c>
    </row>
    <row r="46" spans="1:9" x14ac:dyDescent="0.2">
      <c r="A46" s="26" t="s">
        <v>115</v>
      </c>
      <c r="B46" s="26" t="s">
        <v>116</v>
      </c>
      <c r="C46" s="26" t="s">
        <v>25</v>
      </c>
      <c r="D46" s="30">
        <v>2500</v>
      </c>
      <c r="E46" s="28">
        <v>2486.9949999999999</v>
      </c>
      <c r="F46" s="29">
        <v>2.4340890042238499</v>
      </c>
      <c r="G46" s="28">
        <v>3.0299</v>
      </c>
    </row>
    <row r="47" spans="1:9" x14ac:dyDescent="0.2">
      <c r="A47" s="26" t="s">
        <v>327</v>
      </c>
      <c r="B47" s="26" t="s">
        <v>328</v>
      </c>
      <c r="C47" s="26" t="s">
        <v>25</v>
      </c>
      <c r="D47" s="30">
        <v>2500</v>
      </c>
      <c r="E47" s="28">
        <v>2462.9699999999998</v>
      </c>
      <c r="F47" s="29">
        <v>2.4105750895089102</v>
      </c>
      <c r="G47" s="28">
        <v>3.4298999999999999</v>
      </c>
    </row>
    <row r="48" spans="1:9" ht="10.5" x14ac:dyDescent="0.25">
      <c r="A48" s="25" t="s">
        <v>17</v>
      </c>
      <c r="B48" s="25"/>
      <c r="C48" s="25"/>
      <c r="D48" s="31"/>
      <c r="E48" s="32">
        <f>SUM(E44:E47)</f>
        <v>13900.348</v>
      </c>
      <c r="F48" s="33">
        <f>SUM(F44:F47)</f>
        <v>13.604645052235719</v>
      </c>
      <c r="G48" s="32"/>
      <c r="H48" s="18"/>
      <c r="I48" s="18"/>
    </row>
    <row r="49" spans="1:9" x14ac:dyDescent="0.2">
      <c r="A49" s="26"/>
      <c r="B49" s="26"/>
      <c r="C49" s="26"/>
      <c r="D49" s="27"/>
      <c r="E49" s="28"/>
      <c r="F49" s="29"/>
      <c r="G49" s="28"/>
    </row>
    <row r="50" spans="1:9" ht="10.5" x14ac:dyDescent="0.25">
      <c r="A50" s="25" t="s">
        <v>41</v>
      </c>
      <c r="B50" s="26"/>
      <c r="C50" s="26"/>
      <c r="D50" s="27"/>
      <c r="E50" s="28"/>
      <c r="F50" s="29"/>
      <c r="G50" s="28"/>
    </row>
    <row r="51" spans="1:9" x14ac:dyDescent="0.2">
      <c r="A51" s="26" t="s">
        <v>147</v>
      </c>
      <c r="B51" s="26" t="s">
        <v>148</v>
      </c>
      <c r="C51" s="26" t="s">
        <v>44</v>
      </c>
      <c r="D51" s="30">
        <v>5000000</v>
      </c>
      <c r="E51" s="28">
        <v>4968.96</v>
      </c>
      <c r="F51" s="29">
        <v>4.8632550119433802</v>
      </c>
      <c r="G51" s="28">
        <v>3.0001000000000002</v>
      </c>
    </row>
    <row r="52" spans="1:9" ht="10.5" x14ac:dyDescent="0.25">
      <c r="A52" s="25" t="s">
        <v>17</v>
      </c>
      <c r="B52" s="25"/>
      <c r="C52" s="25"/>
      <c r="D52" s="31"/>
      <c r="E52" s="32">
        <f>SUM(E50:E51)</f>
        <v>4968.96</v>
      </c>
      <c r="F52" s="33">
        <f>SUM(F50:F51)</f>
        <v>4.8632550119433802</v>
      </c>
      <c r="G52" s="32"/>
      <c r="H52" s="18"/>
      <c r="I52" s="18"/>
    </row>
    <row r="53" spans="1:9" x14ac:dyDescent="0.2">
      <c r="A53" s="26"/>
      <c r="B53" s="26"/>
      <c r="C53" s="26"/>
      <c r="D53" s="27"/>
      <c r="E53" s="28"/>
      <c r="F53" s="29"/>
      <c r="G53" s="28"/>
    </row>
    <row r="54" spans="1:9" ht="10.5" x14ac:dyDescent="0.25">
      <c r="A54" s="25" t="s">
        <v>49</v>
      </c>
      <c r="B54" s="26"/>
      <c r="C54" s="26"/>
      <c r="D54" s="27"/>
      <c r="E54" s="28"/>
      <c r="F54" s="29"/>
      <c r="G54" s="28"/>
    </row>
    <row r="55" spans="1:9" x14ac:dyDescent="0.2">
      <c r="A55" s="26" t="s">
        <v>329</v>
      </c>
      <c r="B55" s="26" t="s">
        <v>330</v>
      </c>
      <c r="C55" s="26" t="s">
        <v>44</v>
      </c>
      <c r="D55" s="30">
        <v>5000000</v>
      </c>
      <c r="E55" s="28">
        <v>5411.5950000000003</v>
      </c>
      <c r="F55" s="29">
        <v>5.2964738106883003</v>
      </c>
      <c r="G55" s="28">
        <v>5.7289000000000003</v>
      </c>
    </row>
    <row r="56" spans="1:9" x14ac:dyDescent="0.2">
      <c r="A56" s="26" t="s">
        <v>272</v>
      </c>
      <c r="B56" s="26" t="s">
        <v>273</v>
      </c>
      <c r="C56" s="26" t="s">
        <v>44</v>
      </c>
      <c r="D56" s="30">
        <v>3000000</v>
      </c>
      <c r="E56" s="28">
        <v>3248.5770000000002</v>
      </c>
      <c r="F56" s="29">
        <v>3.17946982405453</v>
      </c>
      <c r="G56" s="28">
        <v>4.4074</v>
      </c>
    </row>
    <row r="57" spans="1:9" ht="10.5" x14ac:dyDescent="0.25">
      <c r="A57" s="25" t="s">
        <v>17</v>
      </c>
      <c r="B57" s="25"/>
      <c r="C57" s="25"/>
      <c r="D57" s="31"/>
      <c r="E57" s="32">
        <f>SUM(E55:E56)</f>
        <v>8660.1720000000005</v>
      </c>
      <c r="F57" s="33">
        <f>SUM(F55:F56)</f>
        <v>8.4759436347428299</v>
      </c>
      <c r="G57" s="32"/>
      <c r="H57" s="18"/>
      <c r="I57" s="18"/>
    </row>
    <row r="58" spans="1:9" x14ac:dyDescent="0.2">
      <c r="A58" s="26"/>
      <c r="B58" s="26"/>
      <c r="C58" s="26"/>
      <c r="D58" s="27"/>
      <c r="E58" s="28"/>
      <c r="F58" s="29"/>
      <c r="G58" s="28"/>
    </row>
    <row r="59" spans="1:9" ht="10.5" x14ac:dyDescent="0.25">
      <c r="A59" s="25" t="s">
        <v>62</v>
      </c>
      <c r="B59" s="25"/>
      <c r="C59" s="25"/>
      <c r="D59" s="31"/>
      <c r="E59" s="32">
        <f>E41+E48+E52+E57</f>
        <v>86819.181680000023</v>
      </c>
      <c r="F59" s="33">
        <f>F41+F48+F52+F57</f>
        <v>84.972271951894015</v>
      </c>
      <c r="G59" s="32"/>
      <c r="H59" s="18"/>
      <c r="I59" s="18"/>
    </row>
    <row r="60" spans="1:9" ht="10.5" x14ac:dyDescent="0.25">
      <c r="A60" s="25"/>
      <c r="B60" s="25"/>
      <c r="C60" s="25"/>
      <c r="D60" s="31"/>
      <c r="E60" s="32"/>
      <c r="F60" s="33"/>
      <c r="G60" s="32"/>
      <c r="H60" s="18"/>
      <c r="I60" s="18"/>
    </row>
    <row r="61" spans="1:9" ht="10.5" x14ac:dyDescent="0.25">
      <c r="A61" s="25" t="s">
        <v>63</v>
      </c>
      <c r="B61" s="25"/>
      <c r="C61" s="25"/>
      <c r="D61" s="31"/>
      <c r="E61" s="32">
        <f>E63-(E41+E48+E52+E57)</f>
        <v>15354.362331099983</v>
      </c>
      <c r="F61" s="33">
        <f>F63-(F41+F48+F52+F57)</f>
        <v>15.027728048105985</v>
      </c>
      <c r="G61" s="32"/>
      <c r="H61" s="18"/>
      <c r="I61" s="18"/>
    </row>
    <row r="62" spans="1:9" ht="10.5" x14ac:dyDescent="0.25">
      <c r="A62" s="25"/>
      <c r="B62" s="25"/>
      <c r="C62" s="25"/>
      <c r="D62" s="31"/>
      <c r="E62" s="32"/>
      <c r="F62" s="33"/>
      <c r="G62" s="32"/>
      <c r="H62" s="18"/>
      <c r="I62" s="18"/>
    </row>
    <row r="63" spans="1:9" ht="10.5" x14ac:dyDescent="0.25">
      <c r="A63" s="34" t="s">
        <v>64</v>
      </c>
      <c r="B63" s="34"/>
      <c r="C63" s="34"/>
      <c r="D63" s="35"/>
      <c r="E63" s="36">
        <v>102173.54401110001</v>
      </c>
      <c r="F63" s="37">
        <v>100</v>
      </c>
      <c r="G63" s="36"/>
      <c r="H63" s="18"/>
      <c r="I63" s="18"/>
    </row>
    <row r="65" spans="1:4" ht="10.5" x14ac:dyDescent="0.25">
      <c r="A65" s="18" t="s">
        <v>66</v>
      </c>
    </row>
    <row r="67" spans="1:4" ht="10.5" x14ac:dyDescent="0.25">
      <c r="A67" s="18" t="s">
        <v>67</v>
      </c>
    </row>
    <row r="68" spans="1:4" ht="10.5" x14ac:dyDescent="0.25">
      <c r="A68" s="18" t="s">
        <v>68</v>
      </c>
    </row>
    <row r="69" spans="1:4" ht="10.5" x14ac:dyDescent="0.25">
      <c r="A69" s="18" t="s">
        <v>69</v>
      </c>
      <c r="B69" s="18"/>
      <c r="C69" s="38" t="s">
        <v>70</v>
      </c>
      <c r="D69" s="43" t="s">
        <v>71</v>
      </c>
    </row>
    <row r="70" spans="1:4" x14ac:dyDescent="0.2">
      <c r="A70" s="9" t="s">
        <v>98</v>
      </c>
      <c r="C70" s="39">
        <v>16.926600000000001</v>
      </c>
      <c r="D70" s="39">
        <v>17.444299999999998</v>
      </c>
    </row>
    <row r="71" spans="1:4" x14ac:dyDescent="0.2">
      <c r="A71" s="9" t="s">
        <v>331</v>
      </c>
      <c r="C71" s="39">
        <v>10.8476</v>
      </c>
      <c r="D71" s="39">
        <v>10.7742</v>
      </c>
    </row>
    <row r="72" spans="1:4" x14ac:dyDescent="0.2">
      <c r="A72" s="9" t="s">
        <v>101</v>
      </c>
      <c r="C72" s="39">
        <v>17.392199999999999</v>
      </c>
      <c r="D72" s="39">
        <v>17.952300000000001</v>
      </c>
    </row>
    <row r="73" spans="1:4" x14ac:dyDescent="0.2">
      <c r="A73" s="9" t="s">
        <v>332</v>
      </c>
      <c r="C73" s="39">
        <v>11.2163</v>
      </c>
      <c r="D73" s="39">
        <v>11.1721</v>
      </c>
    </row>
    <row r="75" spans="1:4" ht="10.5" x14ac:dyDescent="0.25">
      <c r="A75" s="18" t="s">
        <v>90</v>
      </c>
    </row>
    <row r="76" spans="1:4" ht="10.5" x14ac:dyDescent="0.25">
      <c r="A76" s="68" t="s">
        <v>91</v>
      </c>
      <c r="B76" s="69"/>
      <c r="C76" s="40" t="s">
        <v>92</v>
      </c>
    </row>
    <row r="77" spans="1:4" x14ac:dyDescent="0.2">
      <c r="A77" s="64" t="s">
        <v>331</v>
      </c>
      <c r="B77" s="65"/>
      <c r="C77" s="41">
        <v>0.4</v>
      </c>
    </row>
    <row r="78" spans="1:4" x14ac:dyDescent="0.2">
      <c r="A78" s="64" t="s">
        <v>332</v>
      </c>
      <c r="B78" s="65"/>
      <c r="C78" s="41">
        <v>0.4</v>
      </c>
    </row>
    <row r="79" spans="1:4" x14ac:dyDescent="0.2">
      <c r="A79" s="9" t="s">
        <v>93</v>
      </c>
    </row>
    <row r="81" spans="1:5" ht="10.5" x14ac:dyDescent="0.25">
      <c r="A81" s="18" t="s">
        <v>94</v>
      </c>
      <c r="D81" s="42">
        <v>2.3643765841917799</v>
      </c>
      <c r="E81" s="13" t="s">
        <v>95</v>
      </c>
    </row>
    <row r="83" spans="1:5" ht="10.5" x14ac:dyDescent="0.25">
      <c r="A83" s="18" t="s">
        <v>1506</v>
      </c>
      <c r="D83" s="43" t="s">
        <v>96</v>
      </c>
    </row>
    <row r="85" spans="1:5" ht="10.5" x14ac:dyDescent="0.25">
      <c r="A85" s="18" t="s">
        <v>1508</v>
      </c>
    </row>
    <row r="86" spans="1:5" x14ac:dyDescent="0.2">
      <c r="A86" s="47" t="s">
        <v>1509</v>
      </c>
    </row>
  </sheetData>
  <mergeCells count="4">
    <mergeCell ref="A1:G1"/>
    <mergeCell ref="A76:B76"/>
    <mergeCell ref="A77:B77"/>
    <mergeCell ref="A78:B78"/>
  </mergeCells>
  <conditionalFormatting sqref="F2:F3 F5:F65536">
    <cfRule type="cellIs" dxfId="87" priority="1" stopIfTrue="1" operator="between">
      <formula>0.009</formula>
      <formula>-0.009</formula>
    </cfRule>
  </conditionalFormatting>
  <hyperlinks>
    <hyperlink ref="A86" r:id="rId1" xr:uid="{F4DBF62A-0883-499D-9928-314E58EF6B65}"/>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6"/>
  <sheetViews>
    <sheetView workbookViewId="0">
      <selection sqref="A1:G1"/>
    </sheetView>
  </sheetViews>
  <sheetFormatPr defaultColWidth="9.1796875" defaultRowHeight="10" x14ac:dyDescent="0.2"/>
  <cols>
    <col min="1" max="1" width="36.81640625" style="9" bestFit="1" customWidth="1"/>
    <col min="2" max="2" width="23.453125" style="9" bestFit="1" customWidth="1"/>
    <col min="3" max="3" width="27.54296875" style="9"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66" t="s">
        <v>333</v>
      </c>
      <c r="B1" s="67"/>
      <c r="C1" s="67"/>
      <c r="D1" s="67"/>
      <c r="E1" s="67"/>
      <c r="F1" s="67"/>
      <c r="G1" s="67"/>
    </row>
    <row r="2" spans="1:9" s="1" customFormat="1" ht="11.5" x14ac:dyDescent="0.25">
      <c r="D2" s="6"/>
      <c r="E2" s="7"/>
      <c r="F2" s="12"/>
      <c r="G2" s="13"/>
    </row>
    <row r="3" spans="1:9" s="1" customFormat="1" ht="11.5" x14ac:dyDescent="0.25">
      <c r="A3" s="11" t="s">
        <v>1</v>
      </c>
      <c r="B3" s="2"/>
      <c r="C3" s="3"/>
      <c r="D3" s="4"/>
      <c r="E3" s="5"/>
      <c r="F3" s="12"/>
      <c r="G3" s="13"/>
    </row>
    <row r="4" spans="1:9" s="1" customFormat="1" ht="17.5" customHeight="1" x14ac:dyDescent="0.25">
      <c r="A4" s="8" t="s">
        <v>2</v>
      </c>
      <c r="B4" s="8" t="s">
        <v>3</v>
      </c>
      <c r="C4" s="17" t="s">
        <v>4</v>
      </c>
      <c r="D4" s="16" t="s">
        <v>5</v>
      </c>
      <c r="E4" s="15" t="s">
        <v>6</v>
      </c>
      <c r="F4" s="15" t="s">
        <v>7</v>
      </c>
      <c r="G4" s="15" t="s">
        <v>8</v>
      </c>
    </row>
    <row r="5" spans="1:9" ht="10.5" x14ac:dyDescent="0.25">
      <c r="A5" s="20" t="s">
        <v>18</v>
      </c>
      <c r="B5" s="21"/>
      <c r="C5" s="21"/>
      <c r="D5" s="22"/>
      <c r="E5" s="23"/>
      <c r="F5" s="24"/>
      <c r="G5" s="23"/>
    </row>
    <row r="6" spans="1:9" ht="10.5" x14ac:dyDescent="0.25">
      <c r="A6" s="25" t="s">
        <v>41</v>
      </c>
      <c r="B6" s="26"/>
      <c r="C6" s="26"/>
      <c r="D6" s="27"/>
      <c r="E6" s="28"/>
      <c r="F6" s="29"/>
      <c r="G6" s="28"/>
    </row>
    <row r="7" spans="1:9" x14ac:dyDescent="0.2">
      <c r="A7" s="26" t="s">
        <v>42</v>
      </c>
      <c r="B7" s="26" t="s">
        <v>43</v>
      </c>
      <c r="C7" s="26" t="s">
        <v>44</v>
      </c>
      <c r="D7" s="30">
        <v>3000000</v>
      </c>
      <c r="E7" s="28">
        <v>2996.85</v>
      </c>
      <c r="F7" s="29">
        <v>11.989680730734401</v>
      </c>
      <c r="G7" s="28">
        <v>2.9512</v>
      </c>
    </row>
    <row r="8" spans="1:9" ht="10.5" x14ac:dyDescent="0.25">
      <c r="A8" s="25" t="s">
        <v>17</v>
      </c>
      <c r="B8" s="25"/>
      <c r="C8" s="25"/>
      <c r="D8" s="31"/>
      <c r="E8" s="32">
        <f>SUM(E6:E7)</f>
        <v>2996.85</v>
      </c>
      <c r="F8" s="33">
        <f>SUM(F6:F7)</f>
        <v>11.989680730734401</v>
      </c>
      <c r="G8" s="32"/>
      <c r="H8" s="18"/>
      <c r="I8" s="18"/>
    </row>
    <row r="9" spans="1:9" x14ac:dyDescent="0.2">
      <c r="A9" s="26"/>
      <c r="B9" s="26"/>
      <c r="C9" s="26"/>
      <c r="D9" s="27"/>
      <c r="E9" s="28"/>
      <c r="F9" s="29"/>
      <c r="G9" s="28"/>
    </row>
    <row r="10" spans="1:9" ht="10.5" x14ac:dyDescent="0.25">
      <c r="A10" s="25" t="s">
        <v>49</v>
      </c>
      <c r="B10" s="26"/>
      <c r="C10" s="26"/>
      <c r="D10" s="27"/>
      <c r="E10" s="28"/>
      <c r="F10" s="29"/>
      <c r="G10" s="28"/>
    </row>
    <row r="11" spans="1:9" x14ac:dyDescent="0.2">
      <c r="A11" s="26" t="s">
        <v>334</v>
      </c>
      <c r="B11" s="26" t="s">
        <v>335</v>
      </c>
      <c r="C11" s="26" t="s">
        <v>44</v>
      </c>
      <c r="D11" s="30">
        <v>5200000</v>
      </c>
      <c r="E11" s="28">
        <v>5543.6419999999998</v>
      </c>
      <c r="F11" s="29">
        <v>22.178786948125499</v>
      </c>
      <c r="G11" s="28">
        <v>5.5431999999999997</v>
      </c>
    </row>
    <row r="12" spans="1:9" x14ac:dyDescent="0.2">
      <c r="A12" s="26" t="s">
        <v>173</v>
      </c>
      <c r="B12" s="26" t="s">
        <v>174</v>
      </c>
      <c r="C12" s="26" t="s">
        <v>44</v>
      </c>
      <c r="D12" s="30">
        <v>5140000</v>
      </c>
      <c r="E12" s="28">
        <v>5094.16662</v>
      </c>
      <c r="F12" s="29">
        <v>20.380543358180901</v>
      </c>
      <c r="G12" s="28">
        <v>5.8921999999999999</v>
      </c>
    </row>
    <row r="13" spans="1:9" x14ac:dyDescent="0.2">
      <c r="A13" s="26" t="s">
        <v>329</v>
      </c>
      <c r="B13" s="26" t="s">
        <v>330</v>
      </c>
      <c r="C13" s="26" t="s">
        <v>44</v>
      </c>
      <c r="D13" s="30">
        <v>3450000</v>
      </c>
      <c r="E13" s="28">
        <v>3734.0005500000002</v>
      </c>
      <c r="F13" s="29">
        <v>14.9388439337593</v>
      </c>
      <c r="G13" s="28">
        <v>5.7289000000000003</v>
      </c>
    </row>
    <row r="14" spans="1:9" x14ac:dyDescent="0.2">
      <c r="A14" s="26" t="s">
        <v>336</v>
      </c>
      <c r="B14" s="26" t="s">
        <v>337</v>
      </c>
      <c r="C14" s="26" t="s">
        <v>44</v>
      </c>
      <c r="D14" s="30">
        <v>3000000</v>
      </c>
      <c r="E14" s="28">
        <v>2987.5079999999998</v>
      </c>
      <c r="F14" s="29">
        <v>11.952305621073799</v>
      </c>
      <c r="G14" s="28">
        <v>6.2640000000000002</v>
      </c>
    </row>
    <row r="15" spans="1:9" x14ac:dyDescent="0.2">
      <c r="A15" s="26" t="s">
        <v>338</v>
      </c>
      <c r="B15" s="26" t="s">
        <v>339</v>
      </c>
      <c r="C15" s="26" t="s">
        <v>44</v>
      </c>
      <c r="D15" s="30">
        <v>1900000</v>
      </c>
      <c r="E15" s="28">
        <v>2075.2123000000001</v>
      </c>
      <c r="F15" s="29">
        <v>8.3024285251157206</v>
      </c>
      <c r="G15" s="28">
        <v>5.2419000000000002</v>
      </c>
    </row>
    <row r="16" spans="1:9" x14ac:dyDescent="0.2">
      <c r="A16" s="26" t="s">
        <v>272</v>
      </c>
      <c r="B16" s="26" t="s">
        <v>273</v>
      </c>
      <c r="C16" s="26" t="s">
        <v>44</v>
      </c>
      <c r="D16" s="30">
        <v>300000</v>
      </c>
      <c r="E16" s="28">
        <v>324.85770000000002</v>
      </c>
      <c r="F16" s="29">
        <v>1.2996780305723299</v>
      </c>
      <c r="G16" s="28">
        <v>4.4074</v>
      </c>
    </row>
    <row r="17" spans="1:9" x14ac:dyDescent="0.2">
      <c r="A17" s="26" t="s">
        <v>171</v>
      </c>
      <c r="B17" s="26" t="s">
        <v>172</v>
      </c>
      <c r="C17" s="26" t="s">
        <v>44</v>
      </c>
      <c r="D17" s="30">
        <v>200000</v>
      </c>
      <c r="E17" s="28">
        <v>201.38040000000001</v>
      </c>
      <c r="F17" s="29">
        <v>0.80567485907789504</v>
      </c>
      <c r="G17" s="28">
        <v>5.0444000000000004</v>
      </c>
    </row>
    <row r="18" spans="1:9" ht="10.5" x14ac:dyDescent="0.25">
      <c r="A18" s="25" t="s">
        <v>17</v>
      </c>
      <c r="B18" s="25"/>
      <c r="C18" s="25"/>
      <c r="D18" s="31"/>
      <c r="E18" s="32">
        <f>SUM(E11:E17)</f>
        <v>19960.767570000004</v>
      </c>
      <c r="F18" s="33">
        <f>SUM(F11:F17)</f>
        <v>79.858261275905434</v>
      </c>
      <c r="G18" s="32"/>
      <c r="H18" s="18"/>
      <c r="I18" s="18"/>
    </row>
    <row r="19" spans="1:9" x14ac:dyDescent="0.2">
      <c r="A19" s="26"/>
      <c r="B19" s="26"/>
      <c r="C19" s="26"/>
      <c r="D19" s="27"/>
      <c r="E19" s="28"/>
      <c r="F19" s="29"/>
      <c r="G19" s="28"/>
    </row>
    <row r="20" spans="1:9" ht="10.5" x14ac:dyDescent="0.25">
      <c r="A20" s="25" t="s">
        <v>62</v>
      </c>
      <c r="B20" s="25"/>
      <c r="C20" s="25"/>
      <c r="D20" s="31"/>
      <c r="E20" s="32">
        <f>E8+E18</f>
        <v>22957.617570000002</v>
      </c>
      <c r="F20" s="33">
        <f>F8+F18</f>
        <v>91.84794200663984</v>
      </c>
      <c r="G20" s="32"/>
      <c r="H20" s="18"/>
      <c r="I20" s="18"/>
    </row>
    <row r="21" spans="1:9" ht="10.5" x14ac:dyDescent="0.25">
      <c r="A21" s="25"/>
      <c r="B21" s="25"/>
      <c r="C21" s="25"/>
      <c r="D21" s="31"/>
      <c r="E21" s="32"/>
      <c r="F21" s="33"/>
      <c r="G21" s="32"/>
      <c r="H21" s="18"/>
      <c r="I21" s="18"/>
    </row>
    <row r="22" spans="1:9" ht="10.5" x14ac:dyDescent="0.25">
      <c r="A22" s="25" t="s">
        <v>63</v>
      </c>
      <c r="B22" s="25"/>
      <c r="C22" s="25"/>
      <c r="D22" s="31"/>
      <c r="E22" s="32">
        <f>E24-(E8+E18)</f>
        <v>2037.6268180999978</v>
      </c>
      <c r="F22" s="33">
        <f>F24-(F8+F18)</f>
        <v>8.1520579933601596</v>
      </c>
      <c r="G22" s="32"/>
      <c r="H22" s="18"/>
      <c r="I22" s="18"/>
    </row>
    <row r="23" spans="1:9" ht="10.5" x14ac:dyDescent="0.25">
      <c r="A23" s="25"/>
      <c r="B23" s="25"/>
      <c r="C23" s="25"/>
      <c r="D23" s="31"/>
      <c r="E23" s="32"/>
      <c r="F23" s="33"/>
      <c r="G23" s="32"/>
      <c r="H23" s="18"/>
      <c r="I23" s="18"/>
    </row>
    <row r="24" spans="1:9" ht="10.5" x14ac:dyDescent="0.25">
      <c r="A24" s="34" t="s">
        <v>64</v>
      </c>
      <c r="B24" s="34"/>
      <c r="C24" s="34"/>
      <c r="D24" s="35"/>
      <c r="E24" s="36">
        <v>24995.2443881</v>
      </c>
      <c r="F24" s="37">
        <v>100</v>
      </c>
      <c r="G24" s="36"/>
      <c r="H24" s="18"/>
      <c r="I24" s="18"/>
    </row>
    <row r="27" spans="1:9" ht="10.5" x14ac:dyDescent="0.25">
      <c r="A27" s="18" t="s">
        <v>67</v>
      </c>
    </row>
    <row r="28" spans="1:9" ht="10.5" x14ac:dyDescent="0.25">
      <c r="A28" s="18" t="s">
        <v>68</v>
      </c>
    </row>
    <row r="29" spans="1:9" ht="10.5" x14ac:dyDescent="0.25">
      <c r="A29" s="18" t="s">
        <v>69</v>
      </c>
      <c r="B29" s="18"/>
      <c r="C29" s="38" t="s">
        <v>70</v>
      </c>
      <c r="D29" s="43" t="s">
        <v>71</v>
      </c>
    </row>
    <row r="30" spans="1:9" x14ac:dyDescent="0.2">
      <c r="A30" s="9" t="s">
        <v>340</v>
      </c>
      <c r="C30" s="39">
        <v>46.834099999999999</v>
      </c>
      <c r="D30" s="39">
        <v>47.584499999999998</v>
      </c>
    </row>
    <row r="31" spans="1:9" x14ac:dyDescent="0.2">
      <c r="A31" s="9" t="s">
        <v>341</v>
      </c>
      <c r="C31" s="39">
        <v>10.99</v>
      </c>
      <c r="D31" s="39">
        <v>10.7212</v>
      </c>
    </row>
    <row r="32" spans="1:9" x14ac:dyDescent="0.2">
      <c r="A32" s="9" t="s">
        <v>342</v>
      </c>
      <c r="C32" s="39">
        <v>50.106000000000002</v>
      </c>
      <c r="D32" s="39">
        <v>51.026899999999998</v>
      </c>
    </row>
    <row r="33" spans="1:5" x14ac:dyDescent="0.2">
      <c r="A33" s="9" t="s">
        <v>343</v>
      </c>
      <c r="C33" s="39">
        <v>12.047000000000001</v>
      </c>
      <c r="D33" s="39">
        <v>11.822900000000001</v>
      </c>
    </row>
    <row r="35" spans="1:5" ht="10.5" x14ac:dyDescent="0.25">
      <c r="A35" s="18" t="s">
        <v>90</v>
      </c>
    </row>
    <row r="36" spans="1:5" ht="10.5" x14ac:dyDescent="0.25">
      <c r="A36" s="68" t="s">
        <v>91</v>
      </c>
      <c r="B36" s="69"/>
      <c r="C36" s="40" t="s">
        <v>92</v>
      </c>
    </row>
    <row r="37" spans="1:5" x14ac:dyDescent="0.2">
      <c r="A37" s="64" t="s">
        <v>341</v>
      </c>
      <c r="B37" s="65"/>
      <c r="C37" s="41">
        <v>0.44</v>
      </c>
    </row>
    <row r="38" spans="1:5" x14ac:dyDescent="0.2">
      <c r="A38" s="64" t="s">
        <v>343</v>
      </c>
      <c r="B38" s="65"/>
      <c r="C38" s="41">
        <v>0.44</v>
      </c>
    </row>
    <row r="39" spans="1:5" x14ac:dyDescent="0.2">
      <c r="A39" s="9" t="s">
        <v>93</v>
      </c>
    </row>
    <row r="41" spans="1:5" ht="10.5" x14ac:dyDescent="0.25">
      <c r="A41" s="18" t="s">
        <v>94</v>
      </c>
      <c r="D41" s="42">
        <v>6.6351884997534203</v>
      </c>
      <c r="E41" s="13" t="s">
        <v>95</v>
      </c>
    </row>
    <row r="43" spans="1:5" ht="10.5" x14ac:dyDescent="0.25">
      <c r="A43" s="71" t="s">
        <v>1506</v>
      </c>
      <c r="B43" s="72"/>
      <c r="C43" s="72"/>
      <c r="D43" s="43" t="s">
        <v>96</v>
      </c>
    </row>
    <row r="44" spans="1:5" x14ac:dyDescent="0.2">
      <c r="A44" s="72"/>
      <c r="B44" s="72"/>
      <c r="C44" s="72"/>
    </row>
    <row r="45" spans="1:5" ht="10.5" x14ac:dyDescent="0.25">
      <c r="A45" s="18" t="s">
        <v>1508</v>
      </c>
    </row>
    <row r="46" spans="1:5" x14ac:dyDescent="0.2">
      <c r="A46" s="47" t="s">
        <v>1509</v>
      </c>
    </row>
  </sheetData>
  <mergeCells count="5">
    <mergeCell ref="A1:G1"/>
    <mergeCell ref="A36:B36"/>
    <mergeCell ref="A37:B37"/>
    <mergeCell ref="A38:B38"/>
    <mergeCell ref="A43:C44"/>
  </mergeCells>
  <conditionalFormatting sqref="F2:F3 F5:F65535">
    <cfRule type="cellIs" dxfId="86" priority="1" stopIfTrue="1" operator="between">
      <formula>0.009</formula>
      <formula>-0.009</formula>
    </cfRule>
  </conditionalFormatting>
  <hyperlinks>
    <hyperlink ref="A46" r:id="rId1" xr:uid="{847B8A77-8BF6-4AF3-911F-8E377197CABA}"/>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47"/>
  <sheetViews>
    <sheetView zoomScaleNormal="100"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66" t="s">
        <v>344</v>
      </c>
      <c r="B1" s="67"/>
      <c r="C1" s="67"/>
      <c r="D1" s="67"/>
      <c r="E1" s="67"/>
      <c r="F1" s="67"/>
      <c r="G1" s="67"/>
    </row>
    <row r="2" spans="1:7" s="1" customFormat="1" ht="11.5" x14ac:dyDescent="0.25">
      <c r="A2" s="44" t="s">
        <v>345</v>
      </c>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220</v>
      </c>
      <c r="B7" s="26" t="s">
        <v>221</v>
      </c>
      <c r="C7" s="26" t="s">
        <v>222</v>
      </c>
      <c r="D7" s="30">
        <v>2750</v>
      </c>
      <c r="E7" s="28">
        <v>27067.452499999999</v>
      </c>
      <c r="F7" s="29">
        <v>10.5900040603936</v>
      </c>
      <c r="G7" s="28">
        <v>11.369400000000001</v>
      </c>
    </row>
    <row r="8" spans="1:7" x14ac:dyDescent="0.2">
      <c r="A8" s="26" t="s">
        <v>346</v>
      </c>
      <c r="B8" s="26" t="s">
        <v>347</v>
      </c>
      <c r="C8" s="26" t="s">
        <v>348</v>
      </c>
      <c r="D8" s="30">
        <v>1112</v>
      </c>
      <c r="E8" s="28">
        <v>11125.54888</v>
      </c>
      <c r="F8" s="29">
        <v>4.3528147990028803</v>
      </c>
      <c r="G8" s="28">
        <v>10.505000000000001</v>
      </c>
    </row>
    <row r="9" spans="1:7" x14ac:dyDescent="0.2">
      <c r="A9" s="26" t="s">
        <v>349</v>
      </c>
      <c r="B9" s="26" t="s">
        <v>350</v>
      </c>
      <c r="C9" s="26" t="s">
        <v>351</v>
      </c>
      <c r="D9" s="30">
        <v>1000</v>
      </c>
      <c r="E9" s="28">
        <v>9848.7800000000007</v>
      </c>
      <c r="F9" s="29">
        <v>3.85328542425348</v>
      </c>
      <c r="G9" s="28">
        <v>18.036100000000001</v>
      </c>
    </row>
    <row r="10" spans="1:7" x14ac:dyDescent="0.2">
      <c r="A10" s="26" t="s">
        <v>352</v>
      </c>
      <c r="B10" s="26" t="s">
        <v>353</v>
      </c>
      <c r="C10" s="26" t="s">
        <v>348</v>
      </c>
      <c r="D10" s="30">
        <v>4810</v>
      </c>
      <c r="E10" s="28">
        <v>9684.0499600000003</v>
      </c>
      <c r="F10" s="29">
        <v>3.7888356282311602</v>
      </c>
      <c r="G10" s="28">
        <v>10.568300000000001</v>
      </c>
    </row>
    <row r="11" spans="1:7" x14ac:dyDescent="0.2">
      <c r="A11" s="26" t="s">
        <v>354</v>
      </c>
      <c r="B11" s="26" t="s">
        <v>355</v>
      </c>
      <c r="C11" s="26" t="s">
        <v>356</v>
      </c>
      <c r="D11" s="30">
        <v>990</v>
      </c>
      <c r="E11" s="28">
        <v>9023.7114000000001</v>
      </c>
      <c r="F11" s="29">
        <v>3.5304815023068801</v>
      </c>
      <c r="G11" s="28">
        <v>11.6172</v>
      </c>
    </row>
    <row r="12" spans="1:7" x14ac:dyDescent="0.2">
      <c r="A12" s="26" t="s">
        <v>357</v>
      </c>
      <c r="B12" s="26" t="s">
        <v>358</v>
      </c>
      <c r="C12" s="26" t="s">
        <v>351</v>
      </c>
      <c r="D12" s="30">
        <v>800</v>
      </c>
      <c r="E12" s="28">
        <v>7850.8639999999996</v>
      </c>
      <c r="F12" s="29">
        <v>3.07161088165198</v>
      </c>
      <c r="G12" s="28">
        <v>11.0334</v>
      </c>
    </row>
    <row r="13" spans="1:7" x14ac:dyDescent="0.2">
      <c r="A13" s="26" t="s">
        <v>359</v>
      </c>
      <c r="B13" s="26" t="s">
        <v>360</v>
      </c>
      <c r="C13" s="26" t="s">
        <v>356</v>
      </c>
      <c r="D13" s="30">
        <v>937</v>
      </c>
      <c r="E13" s="28">
        <v>7503.6384239999998</v>
      </c>
      <c r="F13" s="29">
        <v>2.9357606290390801</v>
      </c>
      <c r="G13" s="28">
        <v>9.8347999999999995</v>
      </c>
    </row>
    <row r="14" spans="1:7" x14ac:dyDescent="0.2">
      <c r="A14" s="26" t="s">
        <v>361</v>
      </c>
      <c r="B14" s="26" t="s">
        <v>362</v>
      </c>
      <c r="C14" s="26" t="s">
        <v>168</v>
      </c>
      <c r="D14" s="30">
        <v>600</v>
      </c>
      <c r="E14" s="28">
        <v>6085.116</v>
      </c>
      <c r="F14" s="29">
        <v>2.3807708962624399</v>
      </c>
      <c r="G14" s="28">
        <v>4.3099999999999996</v>
      </c>
    </row>
    <row r="15" spans="1:7" x14ac:dyDescent="0.2">
      <c r="A15" s="26" t="s">
        <v>363</v>
      </c>
      <c r="B15" s="26" t="s">
        <v>364</v>
      </c>
      <c r="C15" s="26" t="s">
        <v>365</v>
      </c>
      <c r="D15" s="30">
        <v>385</v>
      </c>
      <c r="E15" s="28">
        <v>5022.7484999999997</v>
      </c>
      <c r="F15" s="29">
        <v>1.9651249783974301</v>
      </c>
      <c r="G15" s="28">
        <v>10.535299999999999</v>
      </c>
    </row>
    <row r="16" spans="1:7" x14ac:dyDescent="0.2">
      <c r="A16" s="26" t="s">
        <v>366</v>
      </c>
      <c r="B16" s="26" t="s">
        <v>367</v>
      </c>
      <c r="C16" s="26" t="s">
        <v>168</v>
      </c>
      <c r="D16" s="30">
        <v>450</v>
      </c>
      <c r="E16" s="28">
        <v>4188.6315000000004</v>
      </c>
      <c r="F16" s="29">
        <v>1.6387809156584801</v>
      </c>
      <c r="G16" s="28">
        <v>11.7966</v>
      </c>
    </row>
    <row r="17" spans="1:9" x14ac:dyDescent="0.2">
      <c r="A17" s="26" t="s">
        <v>368</v>
      </c>
      <c r="B17" s="26" t="s">
        <v>369</v>
      </c>
      <c r="C17" s="26" t="s">
        <v>370</v>
      </c>
      <c r="D17" s="30">
        <v>450</v>
      </c>
      <c r="E17" s="28">
        <v>3839.6475</v>
      </c>
      <c r="F17" s="29">
        <v>1.5022426885382001</v>
      </c>
      <c r="G17" s="28">
        <v>20.960599999999999</v>
      </c>
    </row>
    <row r="18" spans="1:9" x14ac:dyDescent="0.2">
      <c r="A18" s="26" t="s">
        <v>371</v>
      </c>
      <c r="B18" s="26" t="s">
        <v>372</v>
      </c>
      <c r="C18" s="26" t="s">
        <v>356</v>
      </c>
      <c r="D18" s="30">
        <v>475</v>
      </c>
      <c r="E18" s="28">
        <v>3803.933</v>
      </c>
      <c r="F18" s="29">
        <v>1.4882695708236799</v>
      </c>
      <c r="G18" s="28">
        <v>9.8348999999999993</v>
      </c>
    </row>
    <row r="19" spans="1:9" x14ac:dyDescent="0.2">
      <c r="A19" s="26" t="s">
        <v>373</v>
      </c>
      <c r="B19" s="26" t="s">
        <v>374</v>
      </c>
      <c r="C19" s="26" t="s">
        <v>375</v>
      </c>
      <c r="D19" s="30">
        <v>290</v>
      </c>
      <c r="E19" s="28">
        <v>3102.2779</v>
      </c>
      <c r="F19" s="29">
        <v>1.21375055733336</v>
      </c>
      <c r="G19" s="28">
        <v>6.2958999999999996</v>
      </c>
    </row>
    <row r="20" spans="1:9" x14ac:dyDescent="0.2">
      <c r="A20" s="26" t="s">
        <v>376</v>
      </c>
      <c r="B20" s="26" t="s">
        <v>377</v>
      </c>
      <c r="C20" s="26" t="s">
        <v>348</v>
      </c>
      <c r="D20" s="30">
        <v>300</v>
      </c>
      <c r="E20" s="28">
        <v>2988.924</v>
      </c>
      <c r="F20" s="29">
        <v>1.16940141656138</v>
      </c>
      <c r="G20" s="28">
        <v>10.4131</v>
      </c>
    </row>
    <row r="21" spans="1:9" x14ac:dyDescent="0.2">
      <c r="A21" s="26" t="s">
        <v>378</v>
      </c>
      <c r="B21" s="26" t="s">
        <v>379</v>
      </c>
      <c r="C21" s="26" t="s">
        <v>348</v>
      </c>
      <c r="D21" s="30">
        <v>270</v>
      </c>
      <c r="E21" s="28">
        <v>2676.6071999999999</v>
      </c>
      <c r="F21" s="29">
        <v>1.0472090462181001</v>
      </c>
      <c r="G21" s="28">
        <v>10.55</v>
      </c>
    </row>
    <row r="22" spans="1:9" x14ac:dyDescent="0.2">
      <c r="A22" s="26" t="s">
        <v>380</v>
      </c>
      <c r="B22" s="26" t="s">
        <v>381</v>
      </c>
      <c r="C22" s="26" t="s">
        <v>351</v>
      </c>
      <c r="D22" s="30">
        <v>250</v>
      </c>
      <c r="E22" s="28">
        <v>2484.0374999999999</v>
      </c>
      <c r="F22" s="29">
        <v>0.97186712385179097</v>
      </c>
      <c r="G22" s="28">
        <v>10.389900000000001</v>
      </c>
    </row>
    <row r="23" spans="1:9" x14ac:dyDescent="0.2">
      <c r="A23" s="26" t="s">
        <v>382</v>
      </c>
      <c r="B23" s="26" t="s">
        <v>369</v>
      </c>
      <c r="C23" s="26" t="s">
        <v>370</v>
      </c>
      <c r="D23" s="30">
        <v>250</v>
      </c>
      <c r="E23" s="28">
        <v>2131.2224999999999</v>
      </c>
      <c r="F23" s="29">
        <v>0.83383003733366501</v>
      </c>
      <c r="G23" s="28">
        <v>21.034099999999999</v>
      </c>
    </row>
    <row r="24" spans="1:9" x14ac:dyDescent="0.2">
      <c r="A24" s="26" t="s">
        <v>383</v>
      </c>
      <c r="B24" s="26" t="s">
        <v>384</v>
      </c>
      <c r="C24" s="26" t="s">
        <v>168</v>
      </c>
      <c r="D24" s="30">
        <v>200</v>
      </c>
      <c r="E24" s="28">
        <v>1983.876</v>
      </c>
      <c r="F24" s="29">
        <v>0.77618146352403905</v>
      </c>
      <c r="G24" s="28">
        <v>11.8749</v>
      </c>
    </row>
    <row r="25" spans="1:9" x14ac:dyDescent="0.2">
      <c r="A25" s="26" t="s">
        <v>385</v>
      </c>
      <c r="B25" s="26" t="s">
        <v>386</v>
      </c>
      <c r="C25" s="26" t="s">
        <v>365</v>
      </c>
      <c r="D25" s="30">
        <v>150</v>
      </c>
      <c r="E25" s="28">
        <v>1979.7435</v>
      </c>
      <c r="F25" s="29">
        <v>0.77456464377420997</v>
      </c>
      <c r="G25" s="28">
        <v>10.535399999999999</v>
      </c>
    </row>
    <row r="26" spans="1:9" x14ac:dyDescent="0.2">
      <c r="A26" s="26" t="s">
        <v>188</v>
      </c>
      <c r="B26" s="26" t="s">
        <v>189</v>
      </c>
      <c r="C26" s="26" t="s">
        <v>190</v>
      </c>
      <c r="D26" s="30">
        <v>170</v>
      </c>
      <c r="E26" s="28">
        <v>1914.7219</v>
      </c>
      <c r="F26" s="29">
        <v>0.749125271228408</v>
      </c>
      <c r="G26" s="28">
        <v>7.6436000000000002</v>
      </c>
    </row>
    <row r="27" spans="1:9" x14ac:dyDescent="0.2">
      <c r="A27" s="26" t="s">
        <v>387</v>
      </c>
      <c r="B27" s="26" t="s">
        <v>388</v>
      </c>
      <c r="C27" s="26" t="s">
        <v>348</v>
      </c>
      <c r="D27" s="30">
        <v>160</v>
      </c>
      <c r="E27" s="28">
        <v>1602.7103999999999</v>
      </c>
      <c r="F27" s="29">
        <v>0.62705234796791698</v>
      </c>
      <c r="G27" s="28">
        <v>10.252700000000001</v>
      </c>
    </row>
    <row r="28" spans="1:9" x14ac:dyDescent="0.2">
      <c r="A28" s="26" t="s">
        <v>389</v>
      </c>
      <c r="B28" s="26" t="s">
        <v>390</v>
      </c>
      <c r="C28" s="26" t="s">
        <v>311</v>
      </c>
      <c r="D28" s="30">
        <v>140</v>
      </c>
      <c r="E28" s="28">
        <v>1410.4649999999999</v>
      </c>
      <c r="F28" s="29">
        <v>0.55183730633841699</v>
      </c>
      <c r="G28" s="28">
        <v>9.5142000000000007</v>
      </c>
    </row>
    <row r="29" spans="1:9" x14ac:dyDescent="0.2">
      <c r="A29" s="26" t="s">
        <v>391</v>
      </c>
      <c r="B29" s="26" t="s">
        <v>392</v>
      </c>
      <c r="C29" s="26" t="s">
        <v>168</v>
      </c>
      <c r="D29" s="30">
        <v>100</v>
      </c>
      <c r="E29" s="28">
        <v>1005.014</v>
      </c>
      <c r="F29" s="29">
        <v>0.393206650709091</v>
      </c>
      <c r="G29" s="28">
        <v>10.6076</v>
      </c>
    </row>
    <row r="30" spans="1:9" x14ac:dyDescent="0.2">
      <c r="A30" s="26" t="s">
        <v>393</v>
      </c>
      <c r="B30" s="26" t="s">
        <v>394</v>
      </c>
      <c r="C30" s="26" t="s">
        <v>356</v>
      </c>
      <c r="D30" s="30">
        <v>20</v>
      </c>
      <c r="E30" s="28">
        <v>205.11539999999999</v>
      </c>
      <c r="F30" s="29">
        <v>8.0250364117171999E-2</v>
      </c>
      <c r="G30" s="28">
        <v>5.28</v>
      </c>
    </row>
    <row r="31" spans="1:9" x14ac:dyDescent="0.2">
      <c r="A31" s="26" t="s">
        <v>249</v>
      </c>
      <c r="B31" s="26" t="s">
        <v>250</v>
      </c>
      <c r="C31" s="26" t="s">
        <v>16</v>
      </c>
      <c r="D31" s="30">
        <v>5</v>
      </c>
      <c r="E31" s="28">
        <v>56.00385</v>
      </c>
      <c r="F31" s="29">
        <v>2.1911223411130901E-2</v>
      </c>
      <c r="G31" s="28">
        <v>6.8902999999999999</v>
      </c>
    </row>
    <row r="32" spans="1:9" ht="10.5" x14ac:dyDescent="0.25">
      <c r="A32" s="25" t="s">
        <v>17</v>
      </c>
      <c r="B32" s="25"/>
      <c r="C32" s="25"/>
      <c r="D32" s="31"/>
      <c r="E32" s="32">
        <f>SUM(E6:E31)</f>
        <v>128584.84081400001</v>
      </c>
      <c r="F32" s="33">
        <f>SUM(F6:F31)</f>
        <v>50.308169426927989</v>
      </c>
      <c r="G32" s="32"/>
      <c r="H32" s="18"/>
      <c r="I32" s="18"/>
    </row>
    <row r="33" spans="1:9" x14ac:dyDescent="0.2">
      <c r="A33" s="26"/>
      <c r="B33" s="26"/>
      <c r="C33" s="26"/>
      <c r="D33" s="27"/>
      <c r="E33" s="28"/>
      <c r="F33" s="29"/>
      <c r="G33" s="28"/>
    </row>
    <row r="34" spans="1:9" ht="10.5" x14ac:dyDescent="0.25">
      <c r="A34" s="25" t="s">
        <v>269</v>
      </c>
      <c r="B34" s="26"/>
      <c r="C34" s="26"/>
      <c r="D34" s="27"/>
      <c r="E34" s="28"/>
      <c r="F34" s="29"/>
      <c r="G34" s="28"/>
    </row>
    <row r="35" spans="1:9" x14ac:dyDescent="0.2">
      <c r="A35" s="26" t="s">
        <v>395</v>
      </c>
      <c r="B35" s="26" t="s">
        <v>396</v>
      </c>
      <c r="C35" s="26" t="s">
        <v>397</v>
      </c>
      <c r="D35" s="30">
        <v>390</v>
      </c>
      <c r="E35" s="28">
        <v>4082.0715</v>
      </c>
      <c r="F35" s="29">
        <v>1.5970898539423699</v>
      </c>
      <c r="G35" s="28">
        <v>7.375</v>
      </c>
    </row>
    <row r="36" spans="1:9" x14ac:dyDescent="0.2">
      <c r="A36" s="26" t="s">
        <v>398</v>
      </c>
      <c r="B36" s="26" t="s">
        <v>399</v>
      </c>
      <c r="C36" s="26" t="s">
        <v>400</v>
      </c>
      <c r="D36" s="30">
        <v>440</v>
      </c>
      <c r="E36" s="28">
        <v>3963.5840050000002</v>
      </c>
      <c r="F36" s="29">
        <v>1.5507322200588001</v>
      </c>
      <c r="G36" s="28">
        <v>11.3598</v>
      </c>
    </row>
    <row r="37" spans="1:9" x14ac:dyDescent="0.2">
      <c r="A37" s="26" t="s">
        <v>401</v>
      </c>
      <c r="B37" s="26" t="s">
        <v>402</v>
      </c>
      <c r="C37" s="26" t="s">
        <v>400</v>
      </c>
      <c r="D37" s="30">
        <v>450</v>
      </c>
      <c r="E37" s="28">
        <v>3847.5055689999999</v>
      </c>
      <c r="F37" s="29">
        <v>1.50531711833971</v>
      </c>
      <c r="G37" s="28">
        <v>11.357699999999999</v>
      </c>
    </row>
    <row r="38" spans="1:9" x14ac:dyDescent="0.2">
      <c r="A38" s="26" t="s">
        <v>403</v>
      </c>
      <c r="B38" s="26" t="s">
        <v>404</v>
      </c>
      <c r="C38" s="26" t="s">
        <v>405</v>
      </c>
      <c r="D38" s="30">
        <v>400</v>
      </c>
      <c r="E38" s="28">
        <v>3796.8760000000002</v>
      </c>
      <c r="F38" s="29">
        <v>1.4855085552218501</v>
      </c>
      <c r="G38" s="28">
        <v>11.904999999999999</v>
      </c>
    </row>
    <row r="39" spans="1:9" x14ac:dyDescent="0.2">
      <c r="A39" s="26" t="s">
        <v>406</v>
      </c>
      <c r="B39" s="26" t="s">
        <v>407</v>
      </c>
      <c r="C39" s="26" t="s">
        <v>408</v>
      </c>
      <c r="D39" s="30">
        <v>400</v>
      </c>
      <c r="E39" s="28">
        <v>2955.4291840000001</v>
      </c>
      <c r="F39" s="29">
        <v>1.1562967389992</v>
      </c>
      <c r="G39" s="28">
        <v>10.98</v>
      </c>
    </row>
    <row r="40" spans="1:9" x14ac:dyDescent="0.2">
      <c r="A40" s="26" t="s">
        <v>409</v>
      </c>
      <c r="B40" s="26" t="s">
        <v>410</v>
      </c>
      <c r="C40" s="26" t="s">
        <v>397</v>
      </c>
      <c r="D40" s="30">
        <v>100</v>
      </c>
      <c r="E40" s="28">
        <v>1045.4269999999999</v>
      </c>
      <c r="F40" s="29">
        <v>0.40901803281432197</v>
      </c>
      <c r="G40" s="28">
        <v>7.2649999999999997</v>
      </c>
    </row>
    <row r="41" spans="1:9" x14ac:dyDescent="0.2">
      <c r="A41" s="26" t="s">
        <v>411</v>
      </c>
      <c r="B41" s="26" t="s">
        <v>412</v>
      </c>
      <c r="C41" s="26" t="s">
        <v>397</v>
      </c>
      <c r="D41" s="30">
        <v>10</v>
      </c>
      <c r="E41" s="28">
        <v>983.19879000000003</v>
      </c>
      <c r="F41" s="29">
        <v>0.38467155999531499</v>
      </c>
      <c r="G41" s="28">
        <v>7.7750000000000004</v>
      </c>
    </row>
    <row r="42" spans="1:9" x14ac:dyDescent="0.2">
      <c r="A42" s="26" t="s">
        <v>413</v>
      </c>
      <c r="B42" s="26" t="s">
        <v>414</v>
      </c>
      <c r="C42" s="26" t="s">
        <v>400</v>
      </c>
      <c r="D42" s="30">
        <v>50</v>
      </c>
      <c r="E42" s="28">
        <v>440.90902</v>
      </c>
      <c r="F42" s="29">
        <v>0.17250342683945499</v>
      </c>
      <c r="G42" s="28">
        <v>11.3597</v>
      </c>
    </row>
    <row r="43" spans="1:9" x14ac:dyDescent="0.2">
      <c r="A43" s="26" t="s">
        <v>415</v>
      </c>
      <c r="B43" s="26" t="s">
        <v>416</v>
      </c>
      <c r="C43" s="26" t="s">
        <v>417</v>
      </c>
      <c r="D43" s="30">
        <v>600</v>
      </c>
      <c r="E43" s="28">
        <v>0</v>
      </c>
      <c r="F43" s="28">
        <v>0</v>
      </c>
      <c r="G43" s="28">
        <v>0</v>
      </c>
    </row>
    <row r="44" spans="1:9" x14ac:dyDescent="0.2">
      <c r="A44" s="26" t="s">
        <v>418</v>
      </c>
      <c r="B44" s="26" t="s">
        <v>419</v>
      </c>
      <c r="C44" s="26" t="s">
        <v>420</v>
      </c>
      <c r="D44" s="30">
        <v>317</v>
      </c>
      <c r="E44" s="28">
        <v>0</v>
      </c>
      <c r="F44" s="28">
        <v>0</v>
      </c>
      <c r="G44" s="28">
        <v>0</v>
      </c>
    </row>
    <row r="45" spans="1:9" x14ac:dyDescent="0.2">
      <c r="A45" s="26" t="s">
        <v>421</v>
      </c>
      <c r="B45" s="26" t="s">
        <v>422</v>
      </c>
      <c r="C45" s="26" t="s">
        <v>417</v>
      </c>
      <c r="D45" s="30">
        <v>250</v>
      </c>
      <c r="E45" s="28">
        <v>0</v>
      </c>
      <c r="F45" s="28">
        <v>0</v>
      </c>
      <c r="G45" s="28">
        <v>0</v>
      </c>
    </row>
    <row r="46" spans="1:9" x14ac:dyDescent="0.2">
      <c r="A46" s="26" t="s">
        <v>423</v>
      </c>
      <c r="B46" s="26" t="s">
        <v>424</v>
      </c>
      <c r="C46" s="26" t="s">
        <v>417</v>
      </c>
      <c r="D46" s="30">
        <v>250</v>
      </c>
      <c r="E46" s="28">
        <v>0</v>
      </c>
      <c r="F46" s="28">
        <v>0</v>
      </c>
      <c r="G46" s="28">
        <v>0</v>
      </c>
    </row>
    <row r="47" spans="1:9" ht="10.5" x14ac:dyDescent="0.25">
      <c r="A47" s="25" t="s">
        <v>17</v>
      </c>
      <c r="B47" s="25"/>
      <c r="C47" s="25"/>
      <c r="D47" s="31"/>
      <c r="E47" s="32">
        <f>SUM(E34:E46)</f>
        <v>21115.001067999998</v>
      </c>
      <c r="F47" s="33">
        <f>SUM(F34:F46)</f>
        <v>8.2611375062110213</v>
      </c>
      <c r="G47" s="32"/>
      <c r="H47" s="18"/>
      <c r="I47" s="18"/>
    </row>
    <row r="48" spans="1:9" x14ac:dyDescent="0.2">
      <c r="A48" s="26"/>
      <c r="B48" s="26"/>
      <c r="C48" s="26"/>
      <c r="D48" s="27"/>
      <c r="E48" s="28"/>
      <c r="F48" s="29"/>
      <c r="G48" s="28"/>
    </row>
    <row r="49" spans="1:9" ht="10.5" x14ac:dyDescent="0.25">
      <c r="A49" s="25" t="s">
        <v>62</v>
      </c>
      <c r="B49" s="25"/>
      <c r="C49" s="25"/>
      <c r="D49" s="31"/>
      <c r="E49" s="32">
        <f>E32+E47</f>
        <v>149699.84188200001</v>
      </c>
      <c r="F49" s="33">
        <f>F32+F47</f>
        <v>58.569306933139011</v>
      </c>
      <c r="G49" s="32"/>
      <c r="H49" s="18"/>
      <c r="I49" s="18"/>
    </row>
    <row r="50" spans="1:9" ht="10.5" x14ac:dyDescent="0.25">
      <c r="A50" s="25"/>
      <c r="B50" s="25"/>
      <c r="C50" s="25"/>
      <c r="D50" s="31"/>
      <c r="E50" s="32"/>
      <c r="F50" s="33"/>
      <c r="G50" s="32"/>
      <c r="H50" s="18"/>
      <c r="I50" s="18"/>
    </row>
    <row r="51" spans="1:9" ht="10.5" x14ac:dyDescent="0.25">
      <c r="A51" s="25" t="s">
        <v>63</v>
      </c>
      <c r="B51" s="25"/>
      <c r="C51" s="25"/>
      <c r="D51" s="31"/>
      <c r="E51" s="32">
        <f>E53-(E32+E47)</f>
        <v>105894.51243209999</v>
      </c>
      <c r="F51" s="33">
        <f>F53-(F32+F47)</f>
        <v>41.430693066860989</v>
      </c>
      <c r="G51" s="32"/>
      <c r="H51" s="18"/>
      <c r="I51" s="18"/>
    </row>
    <row r="52" spans="1:9" ht="10.5" x14ac:dyDescent="0.25">
      <c r="A52" s="25"/>
      <c r="B52" s="25"/>
      <c r="C52" s="25"/>
      <c r="D52" s="31"/>
      <c r="E52" s="32"/>
      <c r="F52" s="33"/>
      <c r="G52" s="32"/>
      <c r="H52" s="18"/>
      <c r="I52" s="18"/>
    </row>
    <row r="53" spans="1:9" ht="10.5" x14ac:dyDescent="0.25">
      <c r="A53" s="34" t="s">
        <v>64</v>
      </c>
      <c r="B53" s="34"/>
      <c r="C53" s="34"/>
      <c r="D53" s="35"/>
      <c r="E53" s="36">
        <v>255594.3543141</v>
      </c>
      <c r="F53" s="37">
        <v>100</v>
      </c>
      <c r="G53" s="36"/>
      <c r="H53" s="18"/>
      <c r="I53" s="18"/>
    </row>
    <row r="54" spans="1:9" ht="10.5" x14ac:dyDescent="0.25">
      <c r="F54" s="19"/>
    </row>
    <row r="55" spans="1:9" ht="10.5" x14ac:dyDescent="0.25">
      <c r="A55" s="18" t="s">
        <v>66</v>
      </c>
    </row>
    <row r="56" spans="1:9" ht="10.5" x14ac:dyDescent="0.25">
      <c r="A56" s="18" t="s">
        <v>425</v>
      </c>
    </row>
    <row r="57" spans="1:9" ht="10.5" x14ac:dyDescent="0.25">
      <c r="A57" s="18" t="s">
        <v>426</v>
      </c>
    </row>
    <row r="59" spans="1:9" ht="10.5" x14ac:dyDescent="0.25">
      <c r="A59" s="18" t="s">
        <v>67</v>
      </c>
    </row>
    <row r="60" spans="1:9" ht="10.5" x14ac:dyDescent="0.25">
      <c r="A60" s="18" t="s">
        <v>68</v>
      </c>
    </row>
    <row r="61" spans="1:9" ht="10.5" x14ac:dyDescent="0.25">
      <c r="A61" s="18" t="s">
        <v>69</v>
      </c>
      <c r="B61" s="18"/>
      <c r="C61" s="38" t="s">
        <v>70</v>
      </c>
      <c r="D61" s="43" t="s">
        <v>71</v>
      </c>
    </row>
    <row r="62" spans="1:9" x14ac:dyDescent="0.2">
      <c r="A62" s="9" t="s">
        <v>98</v>
      </c>
      <c r="C62" s="39">
        <v>66.192999999999998</v>
      </c>
      <c r="D62" s="39">
        <v>68.113900000000001</v>
      </c>
    </row>
    <row r="63" spans="1:9" x14ac:dyDescent="0.2">
      <c r="A63" s="9" t="s">
        <v>331</v>
      </c>
      <c r="C63" s="39">
        <v>10.941000000000001</v>
      </c>
      <c r="D63" s="39">
        <v>11.2585</v>
      </c>
    </row>
    <row r="64" spans="1:9" x14ac:dyDescent="0.2">
      <c r="A64" s="9" t="s">
        <v>101</v>
      </c>
      <c r="C64" s="39">
        <v>70.364699999999999</v>
      </c>
      <c r="D64" s="39">
        <v>72.699200000000005</v>
      </c>
    </row>
    <row r="65" spans="1:7" x14ac:dyDescent="0.2">
      <c r="A65" s="9" t="s">
        <v>332</v>
      </c>
      <c r="C65" s="39">
        <v>11.8597</v>
      </c>
      <c r="D65" s="39">
        <v>12.2532</v>
      </c>
    </row>
    <row r="67" spans="1:7" ht="10.5" x14ac:dyDescent="0.25">
      <c r="A67" s="18" t="s">
        <v>90</v>
      </c>
      <c r="D67" s="43" t="s">
        <v>96</v>
      </c>
    </row>
    <row r="69" spans="1:7" ht="10.5" x14ac:dyDescent="0.25">
      <c r="A69" s="18" t="s">
        <v>94</v>
      </c>
      <c r="D69" s="42">
        <v>1.6357766401917799</v>
      </c>
      <c r="E69" s="13" t="s">
        <v>95</v>
      </c>
    </row>
    <row r="71" spans="1:7" ht="10.5" x14ac:dyDescent="0.25">
      <c r="A71" s="18" t="s">
        <v>1506</v>
      </c>
      <c r="D71" s="43" t="s">
        <v>96</v>
      </c>
    </row>
    <row r="72" spans="1:7" x14ac:dyDescent="0.2">
      <c r="A72" s="9" t="s">
        <v>427</v>
      </c>
    </row>
    <row r="73" spans="1:7" x14ac:dyDescent="0.2">
      <c r="A73" s="47" t="s">
        <v>428</v>
      </c>
    </row>
    <row r="75" spans="1:7" ht="25.5" customHeight="1" x14ac:dyDescent="0.2">
      <c r="A75" s="73" t="s">
        <v>429</v>
      </c>
      <c r="B75" s="73"/>
      <c r="C75" s="73"/>
      <c r="D75" s="73"/>
      <c r="E75" s="73"/>
      <c r="F75" s="73"/>
      <c r="G75" s="73"/>
    </row>
    <row r="77" spans="1:7" ht="47.25" customHeight="1" x14ac:dyDescent="0.2">
      <c r="A77" s="74" t="s">
        <v>430</v>
      </c>
      <c r="B77" s="74"/>
      <c r="C77" s="74"/>
      <c r="D77" s="74"/>
      <c r="E77" s="74"/>
      <c r="F77" s="74"/>
      <c r="G77" s="74"/>
    </row>
    <row r="79" spans="1:7" ht="29.25" customHeight="1" x14ac:dyDescent="0.2">
      <c r="A79" s="75" t="s">
        <v>431</v>
      </c>
      <c r="B79" s="75"/>
      <c r="C79" s="75"/>
      <c r="D79" s="75"/>
      <c r="E79" s="75"/>
      <c r="F79" s="75"/>
      <c r="G79" s="75"/>
    </row>
    <row r="80" spans="1:7" ht="10.5" x14ac:dyDescent="0.2">
      <c r="A80" s="63"/>
      <c r="B80" s="63"/>
      <c r="C80" s="63"/>
      <c r="D80" s="63"/>
      <c r="E80" s="63"/>
      <c r="F80" s="63"/>
      <c r="G80" s="63"/>
    </row>
    <row r="81" spans="1:9" ht="10.5" x14ac:dyDescent="0.25">
      <c r="A81" s="18" t="s">
        <v>1512</v>
      </c>
      <c r="B81" s="63"/>
      <c r="C81" s="63"/>
      <c r="D81" s="63"/>
      <c r="E81" s="63"/>
      <c r="F81" s="63"/>
      <c r="G81" s="63"/>
    </row>
    <row r="82" spans="1:9" ht="10.5" x14ac:dyDescent="0.2">
      <c r="A82" s="47" t="s">
        <v>1509</v>
      </c>
      <c r="B82" s="63"/>
      <c r="C82" s="63"/>
      <c r="D82" s="63"/>
      <c r="E82" s="63"/>
      <c r="F82" s="63"/>
      <c r="G82" s="63"/>
    </row>
    <row r="84" spans="1:9" s="1" customFormat="1" ht="14" x14ac:dyDescent="0.25">
      <c r="A84" s="66" t="s">
        <v>432</v>
      </c>
      <c r="B84" s="67"/>
      <c r="C84" s="67"/>
      <c r="D84" s="67"/>
      <c r="E84" s="67"/>
      <c r="F84" s="67"/>
      <c r="G84" s="67"/>
    </row>
    <row r="85" spans="1:9" ht="10.5" x14ac:dyDescent="0.25">
      <c r="A85" s="18" t="s">
        <v>1</v>
      </c>
    </row>
    <row r="86" spans="1:9" s="1" customFormat="1" ht="17.5" customHeight="1" x14ac:dyDescent="0.25">
      <c r="A86" s="8" t="s">
        <v>2</v>
      </c>
      <c r="B86" s="8" t="s">
        <v>3</v>
      </c>
      <c r="C86" s="17" t="s">
        <v>4</v>
      </c>
      <c r="D86" s="16" t="s">
        <v>5</v>
      </c>
      <c r="E86" s="15" t="s">
        <v>6</v>
      </c>
      <c r="F86" s="15" t="s">
        <v>7</v>
      </c>
      <c r="G86" s="15" t="s">
        <v>8</v>
      </c>
    </row>
    <row r="87" spans="1:9" ht="10.5" x14ac:dyDescent="0.25">
      <c r="A87" s="20" t="s">
        <v>9</v>
      </c>
      <c r="B87" s="21"/>
      <c r="C87" s="21"/>
      <c r="D87" s="22"/>
      <c r="E87" s="23"/>
      <c r="F87" s="24"/>
      <c r="G87" s="23"/>
    </row>
    <row r="88" spans="1:9" ht="10.5" x14ac:dyDescent="0.25">
      <c r="A88" s="25" t="s">
        <v>10</v>
      </c>
      <c r="B88" s="26"/>
      <c r="C88" s="26"/>
      <c r="D88" s="27"/>
      <c r="E88" s="28"/>
      <c r="F88" s="29"/>
      <c r="G88" s="28"/>
    </row>
    <row r="89" spans="1:9" x14ac:dyDescent="0.2">
      <c r="A89" s="26" t="s">
        <v>433</v>
      </c>
      <c r="B89" s="26" t="s">
        <v>434</v>
      </c>
      <c r="C89" s="26" t="s">
        <v>435</v>
      </c>
      <c r="D89" s="30">
        <v>940</v>
      </c>
      <c r="E89" s="28">
        <v>0</v>
      </c>
      <c r="F89" s="29">
        <v>100</v>
      </c>
      <c r="G89" s="28">
        <v>0</v>
      </c>
    </row>
    <row r="90" spans="1:9" ht="10.5" x14ac:dyDescent="0.25">
      <c r="A90" s="25" t="s">
        <v>17</v>
      </c>
      <c r="B90" s="25"/>
      <c r="C90" s="25"/>
      <c r="D90" s="31"/>
      <c r="E90" s="32">
        <f>SUM(E88:E89)</f>
        <v>0</v>
      </c>
      <c r="F90" s="33">
        <f>SUM(F88:F89)</f>
        <v>100</v>
      </c>
      <c r="G90" s="32"/>
      <c r="H90" s="18"/>
      <c r="I90" s="18"/>
    </row>
    <row r="91" spans="1:9" x14ac:dyDescent="0.2">
      <c r="A91" s="26"/>
      <c r="B91" s="26"/>
      <c r="C91" s="26"/>
      <c r="D91" s="27"/>
      <c r="E91" s="28"/>
      <c r="F91" s="29"/>
      <c r="G91" s="28"/>
    </row>
    <row r="92" spans="1:9" ht="10.5" x14ac:dyDescent="0.25">
      <c r="A92" s="25" t="s">
        <v>62</v>
      </c>
      <c r="B92" s="25"/>
      <c r="C92" s="25"/>
      <c r="D92" s="31"/>
      <c r="E92" s="32">
        <f>E90</f>
        <v>0</v>
      </c>
      <c r="F92" s="33">
        <f>F90</f>
        <v>100</v>
      </c>
      <c r="G92" s="32"/>
      <c r="H92" s="18"/>
      <c r="I92" s="18"/>
    </row>
    <row r="93" spans="1:9" ht="10.5" x14ac:dyDescent="0.25">
      <c r="A93" s="25"/>
      <c r="B93" s="25"/>
      <c r="C93" s="25"/>
      <c r="D93" s="31"/>
      <c r="E93" s="32"/>
      <c r="F93" s="33"/>
      <c r="G93" s="32"/>
      <c r="H93" s="18"/>
      <c r="I93" s="18"/>
    </row>
    <row r="94" spans="1:9" ht="10.5" x14ac:dyDescent="0.25">
      <c r="A94" s="25" t="s">
        <v>63</v>
      </c>
      <c r="B94" s="25"/>
      <c r="C94" s="25"/>
      <c r="D94" s="31"/>
      <c r="E94" s="32">
        <f>E96-(E90)</f>
        <v>3.9999999999999998E-7</v>
      </c>
      <c r="F94" s="33">
        <v>0</v>
      </c>
      <c r="G94" s="32"/>
      <c r="H94" s="18"/>
      <c r="I94" s="18"/>
    </row>
    <row r="95" spans="1:9" ht="10.5" x14ac:dyDescent="0.25">
      <c r="A95" s="25"/>
      <c r="B95" s="25"/>
      <c r="C95" s="25"/>
      <c r="D95" s="31"/>
      <c r="E95" s="32"/>
      <c r="F95" s="33"/>
      <c r="G95" s="32"/>
      <c r="H95" s="18"/>
      <c r="I95" s="18"/>
    </row>
    <row r="96" spans="1:9" ht="10.5" x14ac:dyDescent="0.25">
      <c r="A96" s="34" t="s">
        <v>64</v>
      </c>
      <c r="B96" s="34"/>
      <c r="C96" s="34"/>
      <c r="D96" s="35"/>
      <c r="E96" s="36">
        <v>3.9999999999999998E-7</v>
      </c>
      <c r="F96" s="37">
        <v>100</v>
      </c>
      <c r="G96" s="36"/>
      <c r="H96" s="18"/>
      <c r="I96" s="18"/>
    </row>
    <row r="97" spans="1:6" ht="10.5" x14ac:dyDescent="0.25">
      <c r="F97" s="19"/>
    </row>
    <row r="98" spans="1:6" ht="10.5" x14ac:dyDescent="0.25">
      <c r="A98" s="18" t="s">
        <v>66</v>
      </c>
    </row>
    <row r="99" spans="1:6" ht="10.5" x14ac:dyDescent="0.25">
      <c r="A99" s="18" t="s">
        <v>425</v>
      </c>
    </row>
    <row r="100" spans="1:6" ht="10.5" x14ac:dyDescent="0.25">
      <c r="A100" s="18" t="s">
        <v>426</v>
      </c>
    </row>
    <row r="102" spans="1:6" ht="10.5" x14ac:dyDescent="0.25">
      <c r="A102" s="18" t="s">
        <v>67</v>
      </c>
    </row>
    <row r="103" spans="1:6" ht="10.5" x14ac:dyDescent="0.25">
      <c r="A103" s="18" t="s">
        <v>68</v>
      </c>
    </row>
    <row r="104" spans="1:6" ht="10.5" x14ac:dyDescent="0.25">
      <c r="A104" s="18" t="s">
        <v>69</v>
      </c>
      <c r="B104" s="18"/>
      <c r="C104" s="38" t="s">
        <v>70</v>
      </c>
      <c r="D104" s="43" t="s">
        <v>71</v>
      </c>
    </row>
    <row r="105" spans="1:6" x14ac:dyDescent="0.2">
      <c r="A105" s="9" t="s">
        <v>98</v>
      </c>
      <c r="C105" s="39">
        <v>0</v>
      </c>
      <c r="D105" s="39">
        <v>0</v>
      </c>
    </row>
    <row r="106" spans="1:6" x14ac:dyDescent="0.2">
      <c r="A106" s="9" t="s">
        <v>331</v>
      </c>
      <c r="C106" s="39">
        <v>0</v>
      </c>
      <c r="D106" s="39">
        <v>0</v>
      </c>
    </row>
    <row r="107" spans="1:6" x14ac:dyDescent="0.2">
      <c r="A107" s="9" t="s">
        <v>101</v>
      </c>
      <c r="C107" s="39">
        <v>0</v>
      </c>
      <c r="D107" s="39">
        <v>0</v>
      </c>
    </row>
    <row r="108" spans="1:6" x14ac:dyDescent="0.2">
      <c r="A108" s="9" t="s">
        <v>332</v>
      </c>
      <c r="C108" s="39">
        <v>0</v>
      </c>
      <c r="D108" s="39">
        <v>0</v>
      </c>
    </row>
    <row r="110" spans="1:6" ht="10.5" x14ac:dyDescent="0.25">
      <c r="A110" s="18" t="s">
        <v>1507</v>
      </c>
      <c r="D110" s="43" t="s">
        <v>96</v>
      </c>
    </row>
    <row r="111" spans="1:6" x14ac:dyDescent="0.2">
      <c r="A111" s="9" t="s">
        <v>427</v>
      </c>
    </row>
    <row r="112" spans="1:6" x14ac:dyDescent="0.2">
      <c r="A112" s="47" t="s">
        <v>428</v>
      </c>
    </row>
    <row r="113" spans="1:9" x14ac:dyDescent="0.2">
      <c r="A113" s="47"/>
    </row>
    <row r="114" spans="1:9" ht="10.5" x14ac:dyDescent="0.25">
      <c r="A114" s="18" t="s">
        <v>1513</v>
      </c>
    </row>
    <row r="115" spans="1:9" x14ac:dyDescent="0.2">
      <c r="A115" s="47" t="s">
        <v>1509</v>
      </c>
    </row>
    <row r="117" spans="1:9" s="1" customFormat="1" ht="14" x14ac:dyDescent="0.25">
      <c r="A117" s="66" t="s">
        <v>436</v>
      </c>
      <c r="B117" s="67"/>
      <c r="C117" s="67"/>
      <c r="D117" s="67"/>
      <c r="E117" s="67"/>
      <c r="F117" s="67"/>
      <c r="G117" s="67"/>
    </row>
    <row r="118" spans="1:9" ht="10.5" x14ac:dyDescent="0.25">
      <c r="A118" s="18" t="s">
        <v>1</v>
      </c>
    </row>
    <row r="119" spans="1:9" s="1" customFormat="1" ht="17.5" customHeight="1" x14ac:dyDescent="0.25">
      <c r="A119" s="8" t="s">
        <v>2</v>
      </c>
      <c r="B119" s="8" t="s">
        <v>3</v>
      </c>
      <c r="C119" s="17" t="s">
        <v>4</v>
      </c>
      <c r="D119" s="16" t="s">
        <v>5</v>
      </c>
      <c r="E119" s="15" t="s">
        <v>6</v>
      </c>
      <c r="F119" s="15" t="s">
        <v>7</v>
      </c>
      <c r="G119" s="15" t="s">
        <v>8</v>
      </c>
    </row>
    <row r="120" spans="1:9" ht="10.5" x14ac:dyDescent="0.25">
      <c r="A120" s="20" t="s">
        <v>9</v>
      </c>
      <c r="B120" s="21"/>
      <c r="C120" s="21"/>
      <c r="D120" s="22"/>
      <c r="E120" s="23"/>
      <c r="F120" s="24"/>
      <c r="G120" s="23"/>
    </row>
    <row r="121" spans="1:9" ht="10.5" x14ac:dyDescent="0.25">
      <c r="A121" s="25" t="s">
        <v>10</v>
      </c>
      <c r="B121" s="26"/>
      <c r="C121" s="26"/>
      <c r="D121" s="27"/>
      <c r="E121" s="28"/>
      <c r="F121" s="29"/>
      <c r="G121" s="28"/>
    </row>
    <row r="122" spans="1:9" ht="20" x14ac:dyDescent="0.2">
      <c r="A122" s="26" t="s">
        <v>437</v>
      </c>
      <c r="B122" s="26" t="s">
        <v>438</v>
      </c>
      <c r="C122" s="48" t="s">
        <v>439</v>
      </c>
      <c r="D122" s="30">
        <v>682</v>
      </c>
      <c r="E122" s="28">
        <v>0</v>
      </c>
      <c r="F122" s="29">
        <v>100</v>
      </c>
      <c r="G122" s="28">
        <v>0</v>
      </c>
    </row>
    <row r="123" spans="1:9" ht="10.5" x14ac:dyDescent="0.25">
      <c r="A123" s="25" t="s">
        <v>17</v>
      </c>
      <c r="B123" s="25"/>
      <c r="C123" s="25"/>
      <c r="D123" s="31"/>
      <c r="E123" s="32">
        <f>SUM(E121:E122)</f>
        <v>0</v>
      </c>
      <c r="F123" s="33">
        <f>SUM(F121:F122)</f>
        <v>100</v>
      </c>
      <c r="G123" s="32"/>
      <c r="H123" s="18"/>
      <c r="I123" s="18"/>
    </row>
    <row r="124" spans="1:9" x14ac:dyDescent="0.2">
      <c r="A124" s="26"/>
      <c r="B124" s="26"/>
      <c r="C124" s="26"/>
      <c r="D124" s="27"/>
      <c r="E124" s="28"/>
      <c r="F124" s="29"/>
      <c r="G124" s="28"/>
    </row>
    <row r="125" spans="1:9" ht="10.5" x14ac:dyDescent="0.25">
      <c r="A125" s="25" t="s">
        <v>62</v>
      </c>
      <c r="B125" s="25"/>
      <c r="C125" s="25"/>
      <c r="D125" s="31"/>
      <c r="E125" s="32">
        <f>E123</f>
        <v>0</v>
      </c>
      <c r="F125" s="33">
        <f>F123</f>
        <v>100</v>
      </c>
      <c r="G125" s="32"/>
      <c r="H125" s="18"/>
      <c r="I125" s="18"/>
    </row>
    <row r="126" spans="1:9" ht="10.5" x14ac:dyDescent="0.25">
      <c r="A126" s="25"/>
      <c r="B126" s="25"/>
      <c r="C126" s="25"/>
      <c r="D126" s="31"/>
      <c r="E126" s="32"/>
      <c r="F126" s="33"/>
      <c r="G126" s="32"/>
      <c r="H126" s="18"/>
      <c r="I126" s="18"/>
    </row>
    <row r="127" spans="1:9" ht="10.5" x14ac:dyDescent="0.25">
      <c r="A127" s="25" t="s">
        <v>63</v>
      </c>
      <c r="B127" s="25"/>
      <c r="C127" s="25"/>
      <c r="D127" s="31"/>
      <c r="E127" s="32">
        <f>E129-(E123)</f>
        <v>3.9999999999999998E-7</v>
      </c>
      <c r="F127" s="33">
        <v>0</v>
      </c>
      <c r="G127" s="32"/>
      <c r="H127" s="18"/>
      <c r="I127" s="18"/>
    </row>
    <row r="128" spans="1:9" ht="10.5" x14ac:dyDescent="0.25">
      <c r="A128" s="25"/>
      <c r="B128" s="25"/>
      <c r="C128" s="25"/>
      <c r="D128" s="31"/>
      <c r="E128" s="32"/>
      <c r="F128" s="33"/>
      <c r="G128" s="32"/>
      <c r="H128" s="18"/>
      <c r="I128" s="18"/>
    </row>
    <row r="129" spans="1:9" ht="10.5" x14ac:dyDescent="0.25">
      <c r="A129" s="34" t="s">
        <v>64</v>
      </c>
      <c r="B129" s="34"/>
      <c r="C129" s="34"/>
      <c r="D129" s="35"/>
      <c r="E129" s="36">
        <v>3.9999999999999998E-7</v>
      </c>
      <c r="F129" s="37">
        <v>100</v>
      </c>
      <c r="G129" s="36"/>
      <c r="H129" s="18"/>
      <c r="I129" s="18"/>
    </row>
    <row r="130" spans="1:9" ht="10.5" x14ac:dyDescent="0.25">
      <c r="F130" s="19"/>
    </row>
    <row r="131" spans="1:9" ht="10.5" x14ac:dyDescent="0.25">
      <c r="A131" s="18" t="s">
        <v>66</v>
      </c>
    </row>
    <row r="132" spans="1:9" ht="10.5" x14ac:dyDescent="0.25">
      <c r="A132" s="49" t="s">
        <v>425</v>
      </c>
    </row>
    <row r="134" spans="1:9" ht="10.5" x14ac:dyDescent="0.25">
      <c r="A134" s="18" t="s">
        <v>67</v>
      </c>
    </row>
    <row r="135" spans="1:9" ht="10.5" x14ac:dyDescent="0.25">
      <c r="A135" s="18" t="s">
        <v>68</v>
      </c>
    </row>
    <row r="136" spans="1:9" ht="10.5" x14ac:dyDescent="0.25">
      <c r="A136" s="18" t="s">
        <v>69</v>
      </c>
      <c r="B136" s="18"/>
      <c r="C136" s="38" t="s">
        <v>70</v>
      </c>
      <c r="D136" s="43" t="s">
        <v>71</v>
      </c>
    </row>
    <row r="137" spans="1:9" x14ac:dyDescent="0.2">
      <c r="A137" s="9" t="s">
        <v>98</v>
      </c>
      <c r="C137" s="39">
        <v>0</v>
      </c>
      <c r="D137" s="39">
        <v>0</v>
      </c>
    </row>
    <row r="138" spans="1:9" x14ac:dyDescent="0.2">
      <c r="A138" s="9" t="s">
        <v>331</v>
      </c>
      <c r="C138" s="39">
        <v>0</v>
      </c>
      <c r="D138" s="39">
        <v>0</v>
      </c>
    </row>
    <row r="139" spans="1:9" x14ac:dyDescent="0.2">
      <c r="A139" s="9" t="s">
        <v>101</v>
      </c>
      <c r="C139" s="39">
        <v>0</v>
      </c>
      <c r="D139" s="39">
        <v>0</v>
      </c>
    </row>
    <row r="140" spans="1:9" x14ac:dyDescent="0.2">
      <c r="A140" s="9" t="s">
        <v>332</v>
      </c>
      <c r="C140" s="39">
        <v>0</v>
      </c>
      <c r="D140" s="39">
        <v>0</v>
      </c>
    </row>
    <row r="142" spans="1:9" ht="10.5" x14ac:dyDescent="0.25">
      <c r="A142" s="18" t="s">
        <v>1507</v>
      </c>
      <c r="D142" s="43" t="s">
        <v>96</v>
      </c>
    </row>
    <row r="143" spans="1:9" x14ac:dyDescent="0.2">
      <c r="A143" s="9" t="s">
        <v>427</v>
      </c>
    </row>
    <row r="144" spans="1:9" x14ac:dyDescent="0.2">
      <c r="A144" s="47" t="s">
        <v>428</v>
      </c>
    </row>
    <row r="146" spans="1:1" ht="10.5" x14ac:dyDescent="0.25">
      <c r="A146" s="18" t="s">
        <v>1513</v>
      </c>
    </row>
    <row r="147" spans="1:1" x14ac:dyDescent="0.2">
      <c r="A147" s="47" t="s">
        <v>1509</v>
      </c>
    </row>
  </sheetData>
  <mergeCells count="6">
    <mergeCell ref="A1:G1"/>
    <mergeCell ref="A84:G84"/>
    <mergeCell ref="A117:G117"/>
    <mergeCell ref="A75:G75"/>
    <mergeCell ref="A77:G77"/>
    <mergeCell ref="A79:G79"/>
  </mergeCells>
  <conditionalFormatting sqref="F2:F3 F5:F42 F87:F88 F120:F121 F47:F74 F83 F85 F101:F116 F118 F131:F65549">
    <cfRule type="cellIs" dxfId="85" priority="10" stopIfTrue="1" operator="between">
      <formula>0.009</formula>
      <formula>-0.009</formula>
    </cfRule>
  </conditionalFormatting>
  <conditionalFormatting sqref="F76 F78">
    <cfRule type="cellIs" dxfId="84" priority="9" stopIfTrue="1" operator="between">
      <formula>0.009</formula>
      <formula>-0.009</formula>
    </cfRule>
  </conditionalFormatting>
  <conditionalFormatting sqref="F97:F100">
    <cfRule type="cellIs" dxfId="83" priority="8" stopIfTrue="1" operator="between">
      <formula>0.009</formula>
      <formula>-0.009</formula>
    </cfRule>
  </conditionalFormatting>
  <conditionalFormatting sqref="F90:F91">
    <cfRule type="cellIs" dxfId="82" priority="7" stopIfTrue="1" operator="between">
      <formula>0.009</formula>
      <formula>-0.009</formula>
    </cfRule>
  </conditionalFormatting>
  <conditionalFormatting sqref="F89">
    <cfRule type="cellIs" dxfId="81" priority="6" stopIfTrue="1" operator="between">
      <formula>0.009</formula>
      <formula>-0.009</formula>
    </cfRule>
  </conditionalFormatting>
  <conditionalFormatting sqref="F92:F93 F95:F96">
    <cfRule type="cellIs" dxfId="80" priority="5" stopIfTrue="1" operator="between">
      <formula>0.009</formula>
      <formula>-0.009</formula>
    </cfRule>
  </conditionalFormatting>
  <conditionalFormatting sqref="F130">
    <cfRule type="cellIs" dxfId="79" priority="4" stopIfTrue="1" operator="between">
      <formula>0.009</formula>
      <formula>-0.009</formula>
    </cfRule>
  </conditionalFormatting>
  <conditionalFormatting sqref="F123:F124">
    <cfRule type="cellIs" dxfId="78" priority="3" stopIfTrue="1" operator="between">
      <formula>0.009</formula>
      <formula>-0.009</formula>
    </cfRule>
  </conditionalFormatting>
  <conditionalFormatting sqref="F122">
    <cfRule type="cellIs" dxfId="77" priority="2" stopIfTrue="1" operator="between">
      <formula>0.009</formula>
      <formula>-0.009</formula>
    </cfRule>
  </conditionalFormatting>
  <conditionalFormatting sqref="F125:F126 F128:F129">
    <cfRule type="cellIs" dxfId="76" priority="1" stopIfTrue="1" operator="between">
      <formula>0.009</formula>
      <formula>-0.009</formula>
    </cfRule>
  </conditionalFormatting>
  <hyperlinks>
    <hyperlink ref="A73" r:id="rId1" xr:uid="{00000000-0004-0000-0700-000000000000}"/>
    <hyperlink ref="A112" r:id="rId2" xr:uid="{00000000-0004-0000-0700-000001000000}"/>
    <hyperlink ref="A144" r:id="rId3" xr:uid="{00000000-0004-0000-0700-000002000000}"/>
    <hyperlink ref="A82" r:id="rId4" xr:uid="{3F742B05-750F-4D3B-B270-38A8BDB3EA50}"/>
    <hyperlink ref="A115" r:id="rId5" xr:uid="{F09BBCDC-BC0F-4DF0-A667-951701F13259}"/>
    <hyperlink ref="A147" r:id="rId6" xr:uid="{1B551E59-130A-4AD0-B109-E595651CE658}"/>
  </hyperlinks>
  <pageMargins left="0.7" right="0.7" top="0.75" bottom="0.75" header="0.3" footer="0.3"/>
  <pageSetup paperSize="9" orientation="portrait" r:id="rId7"/>
  <headerFooter>
    <oddFooter>&amp;LPUBLIC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3"/>
  <sheetViews>
    <sheetView zoomScaleNormal="100" workbookViewId="0">
      <selection sqref="A1:G1"/>
    </sheetView>
  </sheetViews>
  <sheetFormatPr defaultColWidth="9.1796875" defaultRowHeight="10" x14ac:dyDescent="0.2"/>
  <cols>
    <col min="1" max="1" width="38.7265625" style="9" bestFit="1" customWidth="1"/>
    <col min="2" max="2" width="62" style="9" bestFit="1" customWidth="1"/>
    <col min="3" max="3" width="15.2695312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66" t="s">
        <v>440</v>
      </c>
      <c r="B1" s="67"/>
      <c r="C1" s="67"/>
      <c r="D1" s="67"/>
      <c r="E1" s="67"/>
      <c r="F1" s="67"/>
      <c r="G1" s="67"/>
    </row>
    <row r="2" spans="1:7" s="1" customFormat="1" ht="11.5" x14ac:dyDescent="0.25">
      <c r="A2" s="44" t="s">
        <v>345</v>
      </c>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441</v>
      </c>
      <c r="B7" s="26" t="s">
        <v>442</v>
      </c>
      <c r="C7" s="26" t="s">
        <v>311</v>
      </c>
      <c r="D7" s="30">
        <v>1480</v>
      </c>
      <c r="E7" s="28">
        <v>14700.766</v>
      </c>
      <c r="F7" s="29">
        <v>5.70259026995297</v>
      </c>
      <c r="G7" s="28">
        <v>12.005000000000001</v>
      </c>
    </row>
    <row r="8" spans="1:7" x14ac:dyDescent="0.2">
      <c r="A8" s="26" t="s">
        <v>443</v>
      </c>
      <c r="B8" s="26" t="s">
        <v>444</v>
      </c>
      <c r="C8" s="26" t="s">
        <v>311</v>
      </c>
      <c r="D8" s="30">
        <v>1283</v>
      </c>
      <c r="E8" s="28">
        <v>12734.788570000001</v>
      </c>
      <c r="F8" s="29">
        <v>4.93996580784908</v>
      </c>
      <c r="G8" s="28">
        <v>12.069900000000001</v>
      </c>
    </row>
    <row r="9" spans="1:7" x14ac:dyDescent="0.2">
      <c r="A9" s="26" t="s">
        <v>445</v>
      </c>
      <c r="B9" s="26" t="s">
        <v>446</v>
      </c>
      <c r="C9" s="26" t="s">
        <v>447</v>
      </c>
      <c r="D9" s="30">
        <v>1000</v>
      </c>
      <c r="E9" s="28">
        <v>10060.450000000001</v>
      </c>
      <c r="F9" s="29">
        <v>3.9025601986555198</v>
      </c>
      <c r="G9" s="28">
        <v>11.414999999999999</v>
      </c>
    </row>
    <row r="10" spans="1:7" x14ac:dyDescent="0.2">
      <c r="A10" s="26" t="s">
        <v>448</v>
      </c>
      <c r="B10" s="26" t="s">
        <v>449</v>
      </c>
      <c r="C10" s="26" t="s">
        <v>370</v>
      </c>
      <c r="D10" s="30">
        <v>2000</v>
      </c>
      <c r="E10" s="28">
        <v>9889.0400000000009</v>
      </c>
      <c r="F10" s="29">
        <v>3.8360683574703298</v>
      </c>
      <c r="G10" s="28">
        <v>17.997800000000002</v>
      </c>
    </row>
    <row r="11" spans="1:7" x14ac:dyDescent="0.2">
      <c r="A11" s="26" t="s">
        <v>450</v>
      </c>
      <c r="B11" s="26" t="s">
        <v>451</v>
      </c>
      <c r="C11" s="26" t="s">
        <v>452</v>
      </c>
      <c r="D11" s="30">
        <v>1000</v>
      </c>
      <c r="E11" s="28">
        <v>9863.7800000000007</v>
      </c>
      <c r="F11" s="29">
        <v>3.8262697231529801</v>
      </c>
      <c r="G11" s="28">
        <v>11.3085</v>
      </c>
    </row>
    <row r="12" spans="1:7" x14ac:dyDescent="0.2">
      <c r="A12" s="26" t="s">
        <v>373</v>
      </c>
      <c r="B12" s="26" t="s">
        <v>374</v>
      </c>
      <c r="C12" s="26" t="s">
        <v>375</v>
      </c>
      <c r="D12" s="30">
        <v>780</v>
      </c>
      <c r="E12" s="28">
        <v>8344.0578000000005</v>
      </c>
      <c r="F12" s="29">
        <v>3.23675261698643</v>
      </c>
      <c r="G12" s="28">
        <v>6.2958999999999996</v>
      </c>
    </row>
    <row r="13" spans="1:7" x14ac:dyDescent="0.2">
      <c r="A13" s="26" t="s">
        <v>453</v>
      </c>
      <c r="B13" s="26" t="s">
        <v>454</v>
      </c>
      <c r="C13" s="26" t="s">
        <v>405</v>
      </c>
      <c r="D13" s="30">
        <v>650</v>
      </c>
      <c r="E13" s="28">
        <v>6474.6109999999999</v>
      </c>
      <c r="F13" s="29">
        <v>2.5115734574872102</v>
      </c>
      <c r="G13" s="28">
        <v>12.783200000000001</v>
      </c>
    </row>
    <row r="14" spans="1:7" x14ac:dyDescent="0.2">
      <c r="A14" s="26" t="s">
        <v>163</v>
      </c>
      <c r="B14" s="26" t="s">
        <v>164</v>
      </c>
      <c r="C14" s="26" t="s">
        <v>165</v>
      </c>
      <c r="D14" s="30">
        <v>500</v>
      </c>
      <c r="E14" s="28">
        <v>5010.33</v>
      </c>
      <c r="F14" s="29">
        <v>1.9435626080473201</v>
      </c>
      <c r="G14" s="28">
        <v>9.5693000000000001</v>
      </c>
    </row>
    <row r="15" spans="1:7" x14ac:dyDescent="0.2">
      <c r="A15" s="26" t="s">
        <v>455</v>
      </c>
      <c r="B15" s="26" t="s">
        <v>456</v>
      </c>
      <c r="C15" s="26" t="s">
        <v>222</v>
      </c>
      <c r="D15" s="30">
        <v>500</v>
      </c>
      <c r="E15" s="28">
        <v>4905.03</v>
      </c>
      <c r="F15" s="29">
        <v>1.9027155695034801</v>
      </c>
      <c r="G15" s="28">
        <v>11.3941</v>
      </c>
    </row>
    <row r="16" spans="1:7" x14ac:dyDescent="0.2">
      <c r="A16" s="26" t="s">
        <v>457</v>
      </c>
      <c r="B16" s="26" t="s">
        <v>458</v>
      </c>
      <c r="C16" s="26" t="s">
        <v>222</v>
      </c>
      <c r="D16" s="30">
        <v>250</v>
      </c>
      <c r="E16" s="28">
        <v>3134.8274999999999</v>
      </c>
      <c r="F16" s="29">
        <v>1.2160343753162901</v>
      </c>
      <c r="G16" s="28">
        <v>8.5850000000000009</v>
      </c>
    </row>
    <row r="17" spans="1:7" x14ac:dyDescent="0.2">
      <c r="A17" s="26" t="s">
        <v>385</v>
      </c>
      <c r="B17" s="26" t="s">
        <v>386</v>
      </c>
      <c r="C17" s="26" t="s">
        <v>365</v>
      </c>
      <c r="D17" s="30">
        <v>232</v>
      </c>
      <c r="E17" s="28">
        <v>3062.0032799999999</v>
      </c>
      <c r="F17" s="29">
        <v>1.1877850522273501</v>
      </c>
      <c r="G17" s="28">
        <v>10.535399999999999</v>
      </c>
    </row>
    <row r="18" spans="1:7" x14ac:dyDescent="0.2">
      <c r="A18" s="26" t="s">
        <v>459</v>
      </c>
      <c r="B18" s="26" t="s">
        <v>460</v>
      </c>
      <c r="C18" s="26" t="s">
        <v>348</v>
      </c>
      <c r="D18" s="30">
        <v>300</v>
      </c>
      <c r="E18" s="28">
        <v>3006.9029999999998</v>
      </c>
      <c r="F18" s="29">
        <v>1.16641104215198</v>
      </c>
      <c r="G18" s="28">
        <v>9.5</v>
      </c>
    </row>
    <row r="19" spans="1:7" x14ac:dyDescent="0.2">
      <c r="A19" s="26" t="s">
        <v>461</v>
      </c>
      <c r="B19" s="26" t="s">
        <v>462</v>
      </c>
      <c r="C19" s="26" t="s">
        <v>463</v>
      </c>
      <c r="D19" s="30">
        <v>300</v>
      </c>
      <c r="E19" s="28">
        <v>3001.3110000000001</v>
      </c>
      <c r="F19" s="29">
        <v>1.16424184329598</v>
      </c>
      <c r="G19" s="28">
        <v>9.4466000000000001</v>
      </c>
    </row>
    <row r="20" spans="1:7" x14ac:dyDescent="0.2">
      <c r="A20" s="26" t="s">
        <v>464</v>
      </c>
      <c r="B20" s="26" t="s">
        <v>465</v>
      </c>
      <c r="C20" s="26" t="s">
        <v>348</v>
      </c>
      <c r="D20" s="30">
        <v>1102</v>
      </c>
      <c r="E20" s="28">
        <v>2756.8733999999999</v>
      </c>
      <c r="F20" s="29">
        <v>1.06942178566288</v>
      </c>
      <c r="G20" s="28">
        <v>8.6857000000000006</v>
      </c>
    </row>
    <row r="21" spans="1:7" x14ac:dyDescent="0.2">
      <c r="A21" s="26" t="s">
        <v>466</v>
      </c>
      <c r="B21" s="26" t="s">
        <v>467</v>
      </c>
      <c r="C21" s="26" t="s">
        <v>311</v>
      </c>
      <c r="D21" s="30">
        <v>250</v>
      </c>
      <c r="E21" s="28">
        <v>2523.7325000000001</v>
      </c>
      <c r="F21" s="29">
        <v>0.97898384332245503</v>
      </c>
      <c r="G21" s="28">
        <v>9.6384000000000007</v>
      </c>
    </row>
    <row r="22" spans="1:7" x14ac:dyDescent="0.2">
      <c r="A22" s="26" t="s">
        <v>468</v>
      </c>
      <c r="B22" s="26" t="s">
        <v>469</v>
      </c>
      <c r="C22" s="26" t="s">
        <v>222</v>
      </c>
      <c r="D22" s="30">
        <v>250</v>
      </c>
      <c r="E22" s="28">
        <v>2429.5</v>
      </c>
      <c r="F22" s="29">
        <v>0.94243001084778399</v>
      </c>
      <c r="G22" s="28">
        <v>10.941000000000001</v>
      </c>
    </row>
    <row r="23" spans="1:7" x14ac:dyDescent="0.2">
      <c r="A23" s="26" t="s">
        <v>470</v>
      </c>
      <c r="B23" s="26" t="s">
        <v>471</v>
      </c>
      <c r="C23" s="26" t="s">
        <v>168</v>
      </c>
      <c r="D23" s="30">
        <v>194</v>
      </c>
      <c r="E23" s="28">
        <v>1940.8031599999999</v>
      </c>
      <c r="F23" s="29">
        <v>0.75285908340490404</v>
      </c>
      <c r="G23" s="28">
        <v>10.2499</v>
      </c>
    </row>
    <row r="24" spans="1:7" x14ac:dyDescent="0.2">
      <c r="A24" s="26" t="s">
        <v>387</v>
      </c>
      <c r="B24" s="26" t="s">
        <v>388</v>
      </c>
      <c r="C24" s="26" t="s">
        <v>348</v>
      </c>
      <c r="D24" s="30">
        <v>176</v>
      </c>
      <c r="E24" s="28">
        <v>1762.98144</v>
      </c>
      <c r="F24" s="29">
        <v>0.68388006487904596</v>
      </c>
      <c r="G24" s="28">
        <v>10.252700000000001</v>
      </c>
    </row>
    <row r="25" spans="1:7" x14ac:dyDescent="0.2">
      <c r="A25" s="26" t="s">
        <v>382</v>
      </c>
      <c r="B25" s="26" t="s">
        <v>369</v>
      </c>
      <c r="C25" s="26" t="s">
        <v>370</v>
      </c>
      <c r="D25" s="30">
        <v>200</v>
      </c>
      <c r="E25" s="28">
        <v>1704.9780000000001</v>
      </c>
      <c r="F25" s="29">
        <v>0.66137988682248705</v>
      </c>
      <c r="G25" s="28">
        <v>21.034099999999999</v>
      </c>
    </row>
    <row r="26" spans="1:7" x14ac:dyDescent="0.2">
      <c r="A26" s="26" t="s">
        <v>472</v>
      </c>
      <c r="B26" s="26" t="s">
        <v>473</v>
      </c>
      <c r="C26" s="26" t="s">
        <v>463</v>
      </c>
      <c r="D26" s="30">
        <v>150</v>
      </c>
      <c r="E26" s="28">
        <v>1486.5</v>
      </c>
      <c r="F26" s="29">
        <v>0.57662984611040602</v>
      </c>
      <c r="G26" s="28">
        <v>11.324999999999999</v>
      </c>
    </row>
    <row r="27" spans="1:7" x14ac:dyDescent="0.2">
      <c r="A27" s="26" t="s">
        <v>371</v>
      </c>
      <c r="B27" s="26" t="s">
        <v>372</v>
      </c>
      <c r="C27" s="26" t="s">
        <v>356</v>
      </c>
      <c r="D27" s="30">
        <v>150</v>
      </c>
      <c r="E27" s="28">
        <v>1201.242</v>
      </c>
      <c r="F27" s="29">
        <v>0.46597510232180001</v>
      </c>
      <c r="G27" s="28">
        <v>9.8348999999999993</v>
      </c>
    </row>
    <row r="28" spans="1:7" x14ac:dyDescent="0.2">
      <c r="A28" s="26" t="s">
        <v>474</v>
      </c>
      <c r="B28" s="26" t="s">
        <v>475</v>
      </c>
      <c r="C28" s="26" t="s">
        <v>370</v>
      </c>
      <c r="D28" s="30">
        <v>400</v>
      </c>
      <c r="E28" s="28">
        <v>1002.812</v>
      </c>
      <c r="F28" s="29">
        <v>0.38900190328803802</v>
      </c>
      <c r="G28" s="28">
        <v>8.2696000000000005</v>
      </c>
    </row>
    <row r="29" spans="1:7" x14ac:dyDescent="0.2">
      <c r="A29" s="26" t="s">
        <v>476</v>
      </c>
      <c r="B29" s="26" t="s">
        <v>477</v>
      </c>
      <c r="C29" s="26" t="s">
        <v>222</v>
      </c>
      <c r="D29" s="30">
        <v>115</v>
      </c>
      <c r="E29" s="28">
        <v>965.28009999999995</v>
      </c>
      <c r="F29" s="29">
        <v>0.37444286277594202</v>
      </c>
      <c r="G29" s="28">
        <v>12.4773</v>
      </c>
    </row>
    <row r="30" spans="1:7" x14ac:dyDescent="0.2">
      <c r="A30" s="26" t="s">
        <v>478</v>
      </c>
      <c r="B30" s="26" t="s">
        <v>479</v>
      </c>
      <c r="C30" s="26" t="s">
        <v>348</v>
      </c>
      <c r="D30" s="30">
        <v>62</v>
      </c>
      <c r="E30" s="28">
        <v>619.87599999999998</v>
      </c>
      <c r="F30" s="29">
        <v>0.240456779339074</v>
      </c>
      <c r="G30" s="28">
        <v>10.55</v>
      </c>
    </row>
    <row r="31" spans="1:7" x14ac:dyDescent="0.2">
      <c r="A31" s="26" t="s">
        <v>480</v>
      </c>
      <c r="B31" s="26" t="s">
        <v>481</v>
      </c>
      <c r="C31" s="26" t="s">
        <v>348</v>
      </c>
      <c r="D31" s="30">
        <v>62</v>
      </c>
      <c r="E31" s="28">
        <v>619.83073999999999</v>
      </c>
      <c r="F31" s="29">
        <v>0.24043922248281099</v>
      </c>
      <c r="G31" s="28">
        <v>10.55</v>
      </c>
    </row>
    <row r="32" spans="1:7" x14ac:dyDescent="0.2">
      <c r="A32" s="26" t="s">
        <v>346</v>
      </c>
      <c r="B32" s="26" t="s">
        <v>347</v>
      </c>
      <c r="C32" s="26" t="s">
        <v>348</v>
      </c>
      <c r="D32" s="30">
        <v>55</v>
      </c>
      <c r="E32" s="28">
        <v>550.27445</v>
      </c>
      <c r="F32" s="29">
        <v>0.21345756570601301</v>
      </c>
      <c r="G32" s="28">
        <v>10.505000000000001</v>
      </c>
    </row>
    <row r="33" spans="1:9" ht="10.5" x14ac:dyDescent="0.25">
      <c r="A33" s="25" t="s">
        <v>17</v>
      </c>
      <c r="B33" s="25"/>
      <c r="C33" s="25"/>
      <c r="D33" s="31"/>
      <c r="E33" s="32">
        <f>SUM(E6:E32)</f>
        <v>113752.58194000003</v>
      </c>
      <c r="F33" s="33">
        <f>SUM(F6:F32)</f>
        <v>44.125888879060575</v>
      </c>
      <c r="G33" s="32"/>
      <c r="H33" s="18"/>
      <c r="I33" s="18"/>
    </row>
    <row r="34" spans="1:9" x14ac:dyDescent="0.2">
      <c r="A34" s="26"/>
      <c r="B34" s="26"/>
      <c r="C34" s="26"/>
      <c r="D34" s="27"/>
      <c r="E34" s="28"/>
      <c r="F34" s="29"/>
      <c r="G34" s="28"/>
    </row>
    <row r="35" spans="1:9" ht="10.5" x14ac:dyDescent="0.25">
      <c r="A35" s="25" t="s">
        <v>269</v>
      </c>
      <c r="B35" s="26"/>
      <c r="C35" s="26"/>
      <c r="D35" s="27"/>
      <c r="E35" s="28"/>
      <c r="F35" s="29"/>
      <c r="G35" s="28"/>
    </row>
    <row r="36" spans="1:9" x14ac:dyDescent="0.2">
      <c r="A36" s="26" t="s">
        <v>482</v>
      </c>
      <c r="B36" s="26" t="s">
        <v>483</v>
      </c>
      <c r="C36" s="26" t="s">
        <v>484</v>
      </c>
      <c r="D36" s="30">
        <v>310</v>
      </c>
      <c r="E36" s="28">
        <v>4876.7773999999999</v>
      </c>
      <c r="F36" s="29">
        <v>1.8917560724364</v>
      </c>
      <c r="G36" s="28">
        <v>10.2949</v>
      </c>
    </row>
    <row r="37" spans="1:9" x14ac:dyDescent="0.2">
      <c r="A37" s="26" t="s">
        <v>401</v>
      </c>
      <c r="B37" s="26" t="s">
        <v>402</v>
      </c>
      <c r="C37" s="26" t="s">
        <v>400</v>
      </c>
      <c r="D37" s="30">
        <v>180</v>
      </c>
      <c r="E37" s="28">
        <v>1539.0022280000001</v>
      </c>
      <c r="F37" s="29">
        <v>0.59699604298366105</v>
      </c>
      <c r="G37" s="28">
        <v>11.357699999999999</v>
      </c>
    </row>
    <row r="38" spans="1:9" x14ac:dyDescent="0.2">
      <c r="A38" s="26" t="s">
        <v>413</v>
      </c>
      <c r="B38" s="26" t="s">
        <v>414</v>
      </c>
      <c r="C38" s="26" t="s">
        <v>400</v>
      </c>
      <c r="D38" s="30">
        <v>120</v>
      </c>
      <c r="E38" s="28">
        <v>1058.181648</v>
      </c>
      <c r="F38" s="29">
        <v>0.41048040419986198</v>
      </c>
      <c r="G38" s="28">
        <v>11.3597</v>
      </c>
    </row>
    <row r="39" spans="1:9" x14ac:dyDescent="0.2">
      <c r="A39" s="26" t="s">
        <v>485</v>
      </c>
      <c r="B39" s="26" t="s">
        <v>486</v>
      </c>
      <c r="C39" s="26" t="s">
        <v>400</v>
      </c>
      <c r="D39" s="30">
        <v>40</v>
      </c>
      <c r="E39" s="28">
        <v>333.70428720000001</v>
      </c>
      <c r="F39" s="29">
        <v>0.12944759621561999</v>
      </c>
      <c r="G39" s="28">
        <v>11.3598</v>
      </c>
    </row>
    <row r="40" spans="1:9" x14ac:dyDescent="0.2">
      <c r="A40" s="26" t="s">
        <v>487</v>
      </c>
      <c r="B40" s="26" t="s">
        <v>488</v>
      </c>
      <c r="C40" s="26" t="s">
        <v>420</v>
      </c>
      <c r="D40" s="30">
        <v>1043</v>
      </c>
      <c r="E40" s="28">
        <v>0</v>
      </c>
      <c r="F40" s="28">
        <v>0</v>
      </c>
      <c r="G40" s="28">
        <v>0</v>
      </c>
    </row>
    <row r="41" spans="1:9" x14ac:dyDescent="0.2">
      <c r="A41" s="26" t="s">
        <v>489</v>
      </c>
      <c r="B41" s="26" t="s">
        <v>490</v>
      </c>
      <c r="C41" s="26" t="s">
        <v>420</v>
      </c>
      <c r="D41" s="30">
        <v>323</v>
      </c>
      <c r="E41" s="28">
        <v>0</v>
      </c>
      <c r="F41" s="28">
        <v>0</v>
      </c>
      <c r="G41" s="28">
        <v>0</v>
      </c>
    </row>
    <row r="42" spans="1:9" ht="10.5" x14ac:dyDescent="0.25">
      <c r="A42" s="25" t="s">
        <v>17</v>
      </c>
      <c r="B42" s="25"/>
      <c r="C42" s="25"/>
      <c r="D42" s="31"/>
      <c r="E42" s="32">
        <f>SUM(E35:E41)</f>
        <v>7807.6655632000002</v>
      </c>
      <c r="F42" s="33">
        <f>SUM(F35:F41)</f>
        <v>3.0286801158355425</v>
      </c>
      <c r="G42" s="32"/>
      <c r="H42" s="18"/>
      <c r="I42" s="18"/>
    </row>
    <row r="43" spans="1:9" x14ac:dyDescent="0.2">
      <c r="A43" s="26"/>
      <c r="B43" s="26"/>
      <c r="C43" s="26"/>
      <c r="D43" s="27"/>
      <c r="E43" s="28"/>
      <c r="F43" s="29"/>
      <c r="G43" s="28"/>
    </row>
    <row r="44" spans="1:9" ht="10.5" x14ac:dyDescent="0.25">
      <c r="A44" s="25" t="s">
        <v>62</v>
      </c>
      <c r="B44" s="25"/>
      <c r="C44" s="25"/>
      <c r="D44" s="31"/>
      <c r="E44" s="32">
        <f>E33+E42</f>
        <v>121560.24750320004</v>
      </c>
      <c r="F44" s="33">
        <f>F33+F42</f>
        <v>47.154568994896117</v>
      </c>
      <c r="G44" s="32"/>
      <c r="H44" s="18"/>
      <c r="I44" s="18"/>
    </row>
    <row r="45" spans="1:9" ht="10.5" x14ac:dyDescent="0.25">
      <c r="A45" s="25"/>
      <c r="B45" s="25"/>
      <c r="C45" s="25"/>
      <c r="D45" s="31"/>
      <c r="E45" s="32"/>
      <c r="F45" s="33"/>
      <c r="G45" s="32"/>
      <c r="H45" s="18"/>
      <c r="I45" s="18"/>
    </row>
    <row r="46" spans="1:9" ht="10.5" x14ac:dyDescent="0.25">
      <c r="A46" s="25" t="s">
        <v>63</v>
      </c>
      <c r="B46" s="25"/>
      <c r="C46" s="25"/>
      <c r="D46" s="31"/>
      <c r="E46" s="32">
        <f>E48-(E33+E42)</f>
        <v>136230.77910199994</v>
      </c>
      <c r="F46" s="33">
        <f>F48-(F33+F42)</f>
        <v>52.845431005103883</v>
      </c>
      <c r="G46" s="32"/>
      <c r="H46" s="18"/>
      <c r="I46" s="18"/>
    </row>
    <row r="47" spans="1:9" ht="10.5" x14ac:dyDescent="0.25">
      <c r="A47" s="25"/>
      <c r="B47" s="25"/>
      <c r="C47" s="25"/>
      <c r="D47" s="31"/>
      <c r="E47" s="32"/>
      <c r="F47" s="33"/>
      <c r="G47" s="32"/>
      <c r="H47" s="18"/>
      <c r="I47" s="18"/>
    </row>
    <row r="48" spans="1:9" ht="10.5" x14ac:dyDescent="0.25">
      <c r="A48" s="34" t="s">
        <v>64</v>
      </c>
      <c r="B48" s="34"/>
      <c r="C48" s="34"/>
      <c r="D48" s="35"/>
      <c r="E48" s="36">
        <v>257791.02660519999</v>
      </c>
      <c r="F48" s="37">
        <v>100</v>
      </c>
      <c r="G48" s="36"/>
      <c r="H48" s="18"/>
      <c r="I48" s="18"/>
    </row>
    <row r="49" spans="1:6" ht="10.5" x14ac:dyDescent="0.25">
      <c r="F49" s="19"/>
    </row>
    <row r="50" spans="1:6" ht="10.5" x14ac:dyDescent="0.25">
      <c r="A50" s="18" t="s">
        <v>66</v>
      </c>
    </row>
    <row r="51" spans="1:6" ht="10.5" x14ac:dyDescent="0.25">
      <c r="A51" s="18" t="s">
        <v>425</v>
      </c>
    </row>
    <row r="52" spans="1:6" ht="10.5" x14ac:dyDescent="0.25">
      <c r="A52" s="18" t="s">
        <v>426</v>
      </c>
    </row>
    <row r="54" spans="1:6" ht="10.5" x14ac:dyDescent="0.25">
      <c r="A54" s="18" t="s">
        <v>67</v>
      </c>
    </row>
    <row r="55" spans="1:6" ht="10.5" x14ac:dyDescent="0.25">
      <c r="A55" s="18" t="s">
        <v>68</v>
      </c>
    </row>
    <row r="56" spans="1:6" ht="10.5" x14ac:dyDescent="0.25">
      <c r="A56" s="18" t="s">
        <v>69</v>
      </c>
      <c r="B56" s="18"/>
      <c r="C56" s="38" t="s">
        <v>70</v>
      </c>
      <c r="D56" s="43" t="s">
        <v>71</v>
      </c>
    </row>
    <row r="57" spans="1:6" x14ac:dyDescent="0.2">
      <c r="A57" s="9" t="s">
        <v>98</v>
      </c>
      <c r="C57" s="39">
        <v>21.001899999999999</v>
      </c>
      <c r="D57" s="39">
        <v>22.6553</v>
      </c>
    </row>
    <row r="58" spans="1:6" x14ac:dyDescent="0.2">
      <c r="A58" s="9" t="s">
        <v>274</v>
      </c>
      <c r="C58" s="39">
        <v>9.6839999999999993</v>
      </c>
      <c r="D58" s="39">
        <v>10.446400000000001</v>
      </c>
    </row>
    <row r="59" spans="1:6" x14ac:dyDescent="0.2">
      <c r="A59" s="9" t="s">
        <v>275</v>
      </c>
      <c r="C59" s="39">
        <v>9.5109999999999992</v>
      </c>
      <c r="D59" s="39">
        <v>10.2598</v>
      </c>
    </row>
    <row r="60" spans="1:6" x14ac:dyDescent="0.2">
      <c r="A60" s="9" t="s">
        <v>101</v>
      </c>
      <c r="C60" s="39">
        <v>21.515499999999999</v>
      </c>
      <c r="D60" s="39">
        <v>23.2514</v>
      </c>
    </row>
    <row r="61" spans="1:6" x14ac:dyDescent="0.2">
      <c r="A61" s="9" t="s">
        <v>278</v>
      </c>
      <c r="C61" s="39">
        <v>9.9992000000000001</v>
      </c>
      <c r="D61" s="39">
        <v>10.805999999999999</v>
      </c>
    </row>
    <row r="62" spans="1:6" x14ac:dyDescent="0.2">
      <c r="A62" s="9" t="s">
        <v>279</v>
      </c>
      <c r="C62" s="39">
        <v>9.8262</v>
      </c>
      <c r="D62" s="39">
        <v>10.619</v>
      </c>
    </row>
    <row r="64" spans="1:6" ht="10.5" x14ac:dyDescent="0.25">
      <c r="A64" s="18" t="s">
        <v>90</v>
      </c>
      <c r="D64" s="43" t="s">
        <v>96</v>
      </c>
    </row>
    <row r="66" spans="1:7" ht="10.5" x14ac:dyDescent="0.25">
      <c r="A66" s="18" t="s">
        <v>94</v>
      </c>
      <c r="D66" s="42">
        <v>0.73583534172602705</v>
      </c>
      <c r="E66" s="13" t="s">
        <v>95</v>
      </c>
    </row>
    <row r="68" spans="1:7" ht="10.5" x14ac:dyDescent="0.25">
      <c r="A68" s="18" t="s">
        <v>1506</v>
      </c>
      <c r="D68" s="43" t="s">
        <v>96</v>
      </c>
    </row>
    <row r="69" spans="1:7" x14ac:dyDescent="0.2">
      <c r="A69" s="9" t="s">
        <v>427</v>
      </c>
    </row>
    <row r="70" spans="1:7" x14ac:dyDescent="0.2">
      <c r="A70" s="47" t="s">
        <v>428</v>
      </c>
    </row>
    <row r="72" spans="1:7" ht="25.5" customHeight="1" x14ac:dyDescent="0.2">
      <c r="A72" s="73" t="s">
        <v>491</v>
      </c>
      <c r="B72" s="73"/>
      <c r="C72" s="73"/>
      <c r="D72" s="73"/>
      <c r="E72" s="73"/>
      <c r="F72" s="73"/>
      <c r="G72" s="73"/>
    </row>
    <row r="74" spans="1:7" ht="26" customHeight="1" x14ac:dyDescent="0.2">
      <c r="A74" s="75" t="s">
        <v>492</v>
      </c>
      <c r="B74" s="75"/>
      <c r="C74" s="75"/>
      <c r="D74" s="75"/>
      <c r="E74" s="75"/>
      <c r="F74" s="75"/>
      <c r="G74" s="75"/>
    </row>
    <row r="75" spans="1:7" ht="10.5" x14ac:dyDescent="0.2">
      <c r="A75" s="63"/>
      <c r="B75" s="63"/>
      <c r="C75" s="63"/>
      <c r="D75" s="63"/>
      <c r="E75" s="63"/>
      <c r="F75" s="63"/>
      <c r="G75" s="63"/>
    </row>
    <row r="76" spans="1:7" ht="10.5" x14ac:dyDescent="0.25">
      <c r="A76" s="18" t="s">
        <v>1514</v>
      </c>
      <c r="B76" s="63"/>
      <c r="C76" s="63"/>
      <c r="D76" s="63"/>
      <c r="E76" s="63"/>
      <c r="F76" s="63"/>
      <c r="G76" s="63"/>
    </row>
    <row r="77" spans="1:7" x14ac:dyDescent="0.2">
      <c r="A77" s="47" t="s">
        <v>1509</v>
      </c>
    </row>
    <row r="78" spans="1:7" x14ac:dyDescent="0.2">
      <c r="A78" s="47"/>
    </row>
    <row r="80" spans="1:7" s="1" customFormat="1" ht="14" x14ac:dyDescent="0.25">
      <c r="A80" s="66" t="s">
        <v>493</v>
      </c>
      <c r="B80" s="67"/>
      <c r="C80" s="67"/>
      <c r="D80" s="67"/>
      <c r="E80" s="67"/>
      <c r="F80" s="67"/>
      <c r="G80" s="67"/>
    </row>
    <row r="81" spans="1:9" ht="10.5" x14ac:dyDescent="0.25">
      <c r="A81" s="18" t="s">
        <v>1</v>
      </c>
    </row>
    <row r="82" spans="1:9" s="1" customFormat="1" ht="17.5" customHeight="1" x14ac:dyDescent="0.25">
      <c r="A82" s="8" t="s">
        <v>2</v>
      </c>
      <c r="B82" s="8" t="s">
        <v>3</v>
      </c>
      <c r="C82" s="17" t="s">
        <v>4</v>
      </c>
      <c r="D82" s="16" t="s">
        <v>5</v>
      </c>
      <c r="E82" s="15" t="s">
        <v>6</v>
      </c>
      <c r="F82" s="15" t="s">
        <v>7</v>
      </c>
      <c r="G82" s="15" t="s">
        <v>8</v>
      </c>
    </row>
    <row r="83" spans="1:9" ht="10.5" x14ac:dyDescent="0.25">
      <c r="A83" s="20" t="s">
        <v>9</v>
      </c>
      <c r="B83" s="21"/>
      <c r="C83" s="21"/>
      <c r="D83" s="22"/>
      <c r="E83" s="23"/>
      <c r="F83" s="24"/>
      <c r="G83" s="23"/>
    </row>
    <row r="84" spans="1:9" ht="10.5" x14ac:dyDescent="0.25">
      <c r="A84" s="25" t="s">
        <v>10</v>
      </c>
      <c r="B84" s="26"/>
      <c r="C84" s="26"/>
      <c r="D84" s="27"/>
      <c r="E84" s="28"/>
      <c r="F84" s="29"/>
      <c r="G84" s="28"/>
    </row>
    <row r="85" spans="1:9" x14ac:dyDescent="0.2">
      <c r="A85" s="26" t="s">
        <v>433</v>
      </c>
      <c r="B85" s="26" t="s">
        <v>434</v>
      </c>
      <c r="C85" s="26" t="s">
        <v>435</v>
      </c>
      <c r="D85" s="30">
        <v>1510</v>
      </c>
      <c r="E85" s="28">
        <v>0</v>
      </c>
      <c r="F85" s="29">
        <v>100</v>
      </c>
      <c r="G85" s="28">
        <v>0</v>
      </c>
    </row>
    <row r="86" spans="1:9" ht="10.5" x14ac:dyDescent="0.25">
      <c r="A86" s="25" t="s">
        <v>17</v>
      </c>
      <c r="B86" s="25"/>
      <c r="C86" s="25"/>
      <c r="D86" s="31"/>
      <c r="E86" s="32">
        <f>SUM(E84:E85)</f>
        <v>0</v>
      </c>
      <c r="F86" s="33">
        <f>SUM(F84:F85)</f>
        <v>100</v>
      </c>
      <c r="G86" s="32"/>
      <c r="H86" s="18"/>
      <c r="I86" s="18"/>
    </row>
    <row r="87" spans="1:9" x14ac:dyDescent="0.2">
      <c r="A87" s="26"/>
      <c r="B87" s="26"/>
      <c r="C87" s="26"/>
      <c r="D87" s="27"/>
      <c r="E87" s="28"/>
      <c r="F87" s="29"/>
      <c r="G87" s="28"/>
    </row>
    <row r="88" spans="1:9" ht="10.5" x14ac:dyDescent="0.25">
      <c r="A88" s="25" t="s">
        <v>62</v>
      </c>
      <c r="B88" s="25"/>
      <c r="C88" s="25"/>
      <c r="D88" s="31"/>
      <c r="E88" s="32">
        <f>E86</f>
        <v>0</v>
      </c>
      <c r="F88" s="33">
        <f>F86</f>
        <v>100</v>
      </c>
      <c r="G88" s="32"/>
      <c r="H88" s="18"/>
      <c r="I88" s="18"/>
    </row>
    <row r="89" spans="1:9" ht="10.5" x14ac:dyDescent="0.25">
      <c r="A89" s="25"/>
      <c r="B89" s="25"/>
      <c r="C89" s="25"/>
      <c r="D89" s="31"/>
      <c r="E89" s="32"/>
      <c r="F89" s="33"/>
      <c r="G89" s="32"/>
      <c r="H89" s="18"/>
      <c r="I89" s="18"/>
    </row>
    <row r="90" spans="1:9" ht="10.5" x14ac:dyDescent="0.25">
      <c r="A90" s="25" t="s">
        <v>63</v>
      </c>
      <c r="B90" s="25"/>
      <c r="C90" s="25"/>
      <c r="D90" s="31"/>
      <c r="E90" s="32">
        <f>E92-(E86)</f>
        <v>5.9999999999999997E-7</v>
      </c>
      <c r="F90" s="33">
        <v>0</v>
      </c>
      <c r="G90" s="32"/>
      <c r="H90" s="18"/>
      <c r="I90" s="18"/>
    </row>
    <row r="91" spans="1:9" ht="10.5" x14ac:dyDescent="0.25">
      <c r="A91" s="25"/>
      <c r="B91" s="25"/>
      <c r="C91" s="25"/>
      <c r="D91" s="31"/>
      <c r="E91" s="32"/>
      <c r="F91" s="33"/>
      <c r="G91" s="32"/>
      <c r="H91" s="18"/>
      <c r="I91" s="18"/>
    </row>
    <row r="92" spans="1:9" ht="10.5" x14ac:dyDescent="0.25">
      <c r="A92" s="34" t="s">
        <v>64</v>
      </c>
      <c r="B92" s="34"/>
      <c r="C92" s="34"/>
      <c r="D92" s="35"/>
      <c r="E92" s="36">
        <v>5.9999999999999997E-7</v>
      </c>
      <c r="F92" s="37">
        <v>100</v>
      </c>
      <c r="G92" s="36"/>
      <c r="H92" s="18"/>
      <c r="I92" s="18"/>
    </row>
    <row r="93" spans="1:9" ht="10.5" x14ac:dyDescent="0.25">
      <c r="F93" s="19"/>
    </row>
    <row r="94" spans="1:9" ht="10.5" x14ac:dyDescent="0.25">
      <c r="A94" s="18" t="s">
        <v>66</v>
      </c>
    </row>
    <row r="95" spans="1:9" ht="10.5" x14ac:dyDescent="0.25">
      <c r="A95" s="49" t="s">
        <v>425</v>
      </c>
    </row>
    <row r="96" spans="1:9" ht="10.5" x14ac:dyDescent="0.25">
      <c r="A96" s="18" t="s">
        <v>426</v>
      </c>
    </row>
    <row r="98" spans="1:4" ht="10.5" x14ac:dyDescent="0.25">
      <c r="A98" s="18" t="s">
        <v>67</v>
      </c>
    </row>
    <row r="99" spans="1:4" ht="10.5" x14ac:dyDescent="0.25">
      <c r="A99" s="18" t="s">
        <v>68</v>
      </c>
    </row>
    <row r="100" spans="1:4" ht="10.5" x14ac:dyDescent="0.25">
      <c r="A100" s="18" t="s">
        <v>69</v>
      </c>
      <c r="B100" s="18"/>
      <c r="C100" s="38" t="s">
        <v>70</v>
      </c>
      <c r="D100" s="43" t="s">
        <v>71</v>
      </c>
    </row>
    <row r="101" spans="1:4" x14ac:dyDescent="0.2">
      <c r="A101" s="9" t="s">
        <v>98</v>
      </c>
      <c r="C101" s="39">
        <v>0</v>
      </c>
      <c r="D101" s="39">
        <v>0</v>
      </c>
    </row>
    <row r="102" spans="1:4" x14ac:dyDescent="0.2">
      <c r="A102" s="9" t="s">
        <v>274</v>
      </c>
      <c r="C102" s="39">
        <v>0</v>
      </c>
      <c r="D102" s="39">
        <v>0</v>
      </c>
    </row>
    <row r="103" spans="1:4" x14ac:dyDescent="0.2">
      <c r="A103" s="9" t="s">
        <v>275</v>
      </c>
      <c r="C103" s="39">
        <v>0</v>
      </c>
      <c r="D103" s="39">
        <v>0</v>
      </c>
    </row>
    <row r="104" spans="1:4" x14ac:dyDescent="0.2">
      <c r="A104" s="9" t="s">
        <v>101</v>
      </c>
      <c r="C104" s="39">
        <v>0</v>
      </c>
      <c r="D104" s="39">
        <v>0</v>
      </c>
    </row>
    <row r="105" spans="1:4" x14ac:dyDescent="0.2">
      <c r="A105" s="9" t="s">
        <v>278</v>
      </c>
      <c r="C105" s="39">
        <v>0</v>
      </c>
      <c r="D105" s="39">
        <v>0</v>
      </c>
    </row>
    <row r="106" spans="1:4" x14ac:dyDescent="0.2">
      <c r="A106" s="9" t="s">
        <v>279</v>
      </c>
      <c r="C106" s="39">
        <v>0</v>
      </c>
      <c r="D106" s="39">
        <v>0</v>
      </c>
    </row>
    <row r="108" spans="1:4" ht="10.5" x14ac:dyDescent="0.25">
      <c r="A108" s="18" t="s">
        <v>1507</v>
      </c>
      <c r="D108" s="43" t="s">
        <v>96</v>
      </c>
    </row>
    <row r="109" spans="1:4" x14ac:dyDescent="0.2">
      <c r="A109" s="9" t="s">
        <v>427</v>
      </c>
    </row>
    <row r="110" spans="1:4" x14ac:dyDescent="0.2">
      <c r="A110" s="47" t="s">
        <v>428</v>
      </c>
    </row>
    <row r="112" spans="1:4" ht="10.5" x14ac:dyDescent="0.25">
      <c r="A112" s="18" t="s">
        <v>1513</v>
      </c>
    </row>
    <row r="113" spans="1:1" x14ac:dyDescent="0.2">
      <c r="A113" s="47" t="s">
        <v>1509</v>
      </c>
    </row>
  </sheetData>
  <mergeCells count="4">
    <mergeCell ref="A1:G1"/>
    <mergeCell ref="A80:G80"/>
    <mergeCell ref="A72:G72"/>
    <mergeCell ref="A74:G74"/>
  </mergeCells>
  <conditionalFormatting sqref="F2:F3 F5:F39 F83:F84 F42:F71 F77:F79 F81 F94:F65545">
    <cfRule type="cellIs" dxfId="75" priority="6" stopIfTrue="1" operator="between">
      <formula>0.009</formula>
      <formula>-0.009</formula>
    </cfRule>
  </conditionalFormatting>
  <conditionalFormatting sqref="F73">
    <cfRule type="cellIs" dxfId="74" priority="5" stopIfTrue="1" operator="between">
      <formula>0.009</formula>
      <formula>-0.009</formula>
    </cfRule>
  </conditionalFormatting>
  <conditionalFormatting sqref="F93">
    <cfRule type="cellIs" dxfId="73" priority="4" stopIfTrue="1" operator="between">
      <formula>0.009</formula>
      <formula>-0.009</formula>
    </cfRule>
  </conditionalFormatting>
  <conditionalFormatting sqref="F86:F87">
    <cfRule type="cellIs" dxfId="72" priority="3" stopIfTrue="1" operator="between">
      <formula>0.009</formula>
      <formula>-0.009</formula>
    </cfRule>
  </conditionalFormatting>
  <conditionalFormatting sqref="F85">
    <cfRule type="cellIs" dxfId="71" priority="2" stopIfTrue="1" operator="between">
      <formula>0.009</formula>
      <formula>-0.009</formula>
    </cfRule>
  </conditionalFormatting>
  <conditionalFormatting sqref="F88:F89 F91:F92">
    <cfRule type="cellIs" dxfId="70" priority="1" stopIfTrue="1" operator="between">
      <formula>0.009</formula>
      <formula>-0.009</formula>
    </cfRule>
  </conditionalFormatting>
  <hyperlinks>
    <hyperlink ref="A70" r:id="rId1" xr:uid="{00000000-0004-0000-0800-000000000000}"/>
    <hyperlink ref="A110" r:id="rId2" xr:uid="{00000000-0004-0000-0800-000001000000}"/>
    <hyperlink ref="A77" r:id="rId3" xr:uid="{3A6A4C1C-26E2-4968-8E3D-0F935F3C7B22}"/>
    <hyperlink ref="A113" r:id="rId4" xr:uid="{4FAA1C4E-56E2-4C55-AAD4-1575AF2210E3}"/>
  </hyperlinks>
  <pageMargins left="0.7" right="0.7" top="0.75" bottom="0.75" header="0.3" footer="0.3"/>
  <pageSetup paperSize="9" orientation="portrait" r:id="rId5"/>
  <headerFooter>
    <oddFooter>&amp;LPUBLIC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5"/>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494</v>
      </c>
      <c r="B1" s="67"/>
      <c r="C1" s="67"/>
      <c r="D1" s="67"/>
      <c r="E1" s="67"/>
      <c r="F1" s="67"/>
      <c r="G1" s="67"/>
    </row>
    <row r="2" spans="1:7" s="1" customFormat="1" ht="11.5" x14ac:dyDescent="0.25">
      <c r="A2" s="44" t="s">
        <v>345</v>
      </c>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163</v>
      </c>
      <c r="B7" s="26" t="s">
        <v>164</v>
      </c>
      <c r="C7" s="26" t="s">
        <v>165</v>
      </c>
      <c r="D7" s="30">
        <v>5400</v>
      </c>
      <c r="E7" s="28">
        <v>54111.563999999998</v>
      </c>
      <c r="F7" s="29">
        <v>5.3171087332890403</v>
      </c>
      <c r="G7" s="28">
        <v>9.5693000000000001</v>
      </c>
    </row>
    <row r="8" spans="1:7" x14ac:dyDescent="0.2">
      <c r="A8" s="26" t="s">
        <v>166</v>
      </c>
      <c r="B8" s="26" t="s">
        <v>167</v>
      </c>
      <c r="C8" s="26" t="s">
        <v>168</v>
      </c>
      <c r="D8" s="30">
        <v>4400</v>
      </c>
      <c r="E8" s="28">
        <v>43828.84</v>
      </c>
      <c r="F8" s="29">
        <v>4.3067080436619403</v>
      </c>
      <c r="G8" s="28">
        <v>10.6899</v>
      </c>
    </row>
    <row r="9" spans="1:7" x14ac:dyDescent="0.2">
      <c r="A9" s="26" t="s">
        <v>448</v>
      </c>
      <c r="B9" s="26" t="s">
        <v>449</v>
      </c>
      <c r="C9" s="26" t="s">
        <v>370</v>
      </c>
      <c r="D9" s="30">
        <v>7500</v>
      </c>
      <c r="E9" s="28">
        <v>37083.9</v>
      </c>
      <c r="F9" s="29">
        <v>3.6439369698206701</v>
      </c>
      <c r="G9" s="28">
        <v>17.997800000000002</v>
      </c>
    </row>
    <row r="10" spans="1:7" x14ac:dyDescent="0.2">
      <c r="A10" s="26" t="s">
        <v>349</v>
      </c>
      <c r="B10" s="26" t="s">
        <v>350</v>
      </c>
      <c r="C10" s="26" t="s">
        <v>351</v>
      </c>
      <c r="D10" s="30">
        <v>3650</v>
      </c>
      <c r="E10" s="28">
        <v>35948.046999999999</v>
      </c>
      <c r="F10" s="29">
        <v>3.53232581945672</v>
      </c>
      <c r="G10" s="28">
        <v>18.036100000000001</v>
      </c>
    </row>
    <row r="11" spans="1:7" x14ac:dyDescent="0.2">
      <c r="A11" s="26" t="s">
        <v>495</v>
      </c>
      <c r="B11" s="26" t="s">
        <v>496</v>
      </c>
      <c r="C11" s="26" t="s">
        <v>356</v>
      </c>
      <c r="D11" s="30">
        <v>2550</v>
      </c>
      <c r="E11" s="28">
        <v>25515.350999999999</v>
      </c>
      <c r="F11" s="29">
        <v>2.50718858606702</v>
      </c>
      <c r="G11" s="28">
        <v>8.4687999999999999</v>
      </c>
    </row>
    <row r="12" spans="1:7" x14ac:dyDescent="0.2">
      <c r="A12" s="26" t="s">
        <v>497</v>
      </c>
      <c r="B12" s="26" t="s">
        <v>498</v>
      </c>
      <c r="C12" s="26" t="s">
        <v>165</v>
      </c>
      <c r="D12" s="30">
        <v>2000</v>
      </c>
      <c r="E12" s="28">
        <v>23528.32</v>
      </c>
      <c r="F12" s="29">
        <v>2.3119390108853501</v>
      </c>
      <c r="G12" s="28">
        <v>4.4950000000000001</v>
      </c>
    </row>
    <row r="13" spans="1:7" x14ac:dyDescent="0.2">
      <c r="A13" s="26" t="s">
        <v>453</v>
      </c>
      <c r="B13" s="26" t="s">
        <v>454</v>
      </c>
      <c r="C13" s="26" t="s">
        <v>405</v>
      </c>
      <c r="D13" s="30">
        <v>2350</v>
      </c>
      <c r="E13" s="28">
        <v>23408.208999999999</v>
      </c>
      <c r="F13" s="29">
        <v>2.3001366677288302</v>
      </c>
      <c r="G13" s="28">
        <v>12.783200000000001</v>
      </c>
    </row>
    <row r="14" spans="1:7" x14ac:dyDescent="0.2">
      <c r="A14" s="26" t="s">
        <v>470</v>
      </c>
      <c r="B14" s="26" t="s">
        <v>471</v>
      </c>
      <c r="C14" s="26" t="s">
        <v>168</v>
      </c>
      <c r="D14" s="30">
        <v>2167</v>
      </c>
      <c r="E14" s="28">
        <v>21678.971379999999</v>
      </c>
      <c r="F14" s="29">
        <v>2.1302183772274899</v>
      </c>
      <c r="G14" s="28">
        <v>10.2499</v>
      </c>
    </row>
    <row r="15" spans="1:7" x14ac:dyDescent="0.2">
      <c r="A15" s="26" t="s">
        <v>499</v>
      </c>
      <c r="B15" s="26" t="s">
        <v>500</v>
      </c>
      <c r="C15" s="26" t="s">
        <v>405</v>
      </c>
      <c r="D15" s="30">
        <v>2000</v>
      </c>
      <c r="E15" s="28">
        <v>19937.98</v>
      </c>
      <c r="F15" s="29">
        <v>1.95914513914516</v>
      </c>
      <c r="G15" s="28">
        <v>12.7585</v>
      </c>
    </row>
    <row r="16" spans="1:7" x14ac:dyDescent="0.2">
      <c r="A16" s="26" t="s">
        <v>501</v>
      </c>
      <c r="B16" s="26" t="s">
        <v>502</v>
      </c>
      <c r="C16" s="26" t="s">
        <v>356</v>
      </c>
      <c r="D16" s="30">
        <v>1910</v>
      </c>
      <c r="E16" s="28">
        <v>19085.140200000002</v>
      </c>
      <c r="F16" s="29">
        <v>1.87534342259015</v>
      </c>
      <c r="G16" s="28">
        <v>8.8185000000000002</v>
      </c>
    </row>
    <row r="17" spans="1:7" x14ac:dyDescent="0.2">
      <c r="A17" s="26" t="s">
        <v>503</v>
      </c>
      <c r="B17" s="26" t="s">
        <v>504</v>
      </c>
      <c r="C17" s="26" t="s">
        <v>405</v>
      </c>
      <c r="D17" s="30">
        <v>1000</v>
      </c>
      <c r="E17" s="28">
        <v>10065.01</v>
      </c>
      <c r="F17" s="29">
        <v>0.98900768367444603</v>
      </c>
      <c r="G17" s="28">
        <v>12.7835</v>
      </c>
    </row>
    <row r="18" spans="1:7" x14ac:dyDescent="0.2">
      <c r="A18" s="26" t="s">
        <v>505</v>
      </c>
      <c r="B18" s="26" t="s">
        <v>506</v>
      </c>
      <c r="C18" s="26" t="s">
        <v>405</v>
      </c>
      <c r="D18" s="30">
        <v>1000</v>
      </c>
      <c r="E18" s="28">
        <v>10057.459999999999</v>
      </c>
      <c r="F18" s="29">
        <v>0.98826580582119605</v>
      </c>
      <c r="G18" s="28">
        <v>13.228199999999999</v>
      </c>
    </row>
    <row r="19" spans="1:7" x14ac:dyDescent="0.2">
      <c r="A19" s="26" t="s">
        <v>507</v>
      </c>
      <c r="B19" s="26" t="s">
        <v>508</v>
      </c>
      <c r="C19" s="26" t="s">
        <v>405</v>
      </c>
      <c r="D19" s="30">
        <v>1000</v>
      </c>
      <c r="E19" s="28">
        <v>10052.57</v>
      </c>
      <c r="F19" s="29">
        <v>0.98778530480101101</v>
      </c>
      <c r="G19" s="28">
        <v>12.779</v>
      </c>
    </row>
    <row r="20" spans="1:7" x14ac:dyDescent="0.2">
      <c r="A20" s="26" t="s">
        <v>509</v>
      </c>
      <c r="B20" s="26" t="s">
        <v>510</v>
      </c>
      <c r="C20" s="26" t="s">
        <v>356</v>
      </c>
      <c r="D20" s="30">
        <v>1000</v>
      </c>
      <c r="E20" s="28">
        <v>9966.82</v>
      </c>
      <c r="F20" s="29">
        <v>0.97935934110349998</v>
      </c>
      <c r="G20" s="28">
        <v>8.7190999999999992</v>
      </c>
    </row>
    <row r="21" spans="1:7" x14ac:dyDescent="0.2">
      <c r="A21" s="26" t="s">
        <v>387</v>
      </c>
      <c r="B21" s="26" t="s">
        <v>388</v>
      </c>
      <c r="C21" s="26" t="s">
        <v>348</v>
      </c>
      <c r="D21" s="30">
        <v>938</v>
      </c>
      <c r="E21" s="28">
        <v>9395.8897199999992</v>
      </c>
      <c r="F21" s="29">
        <v>0.92325860858933495</v>
      </c>
      <c r="G21" s="28">
        <v>10.252700000000001</v>
      </c>
    </row>
    <row r="22" spans="1:7" x14ac:dyDescent="0.2">
      <c r="A22" s="26" t="s">
        <v>511</v>
      </c>
      <c r="B22" s="26" t="s">
        <v>512</v>
      </c>
      <c r="C22" s="26" t="s">
        <v>405</v>
      </c>
      <c r="D22" s="30">
        <v>900</v>
      </c>
      <c r="E22" s="28">
        <v>9055.116</v>
      </c>
      <c r="F22" s="29">
        <v>0.88977351245189196</v>
      </c>
      <c r="G22" s="28">
        <v>13.3645</v>
      </c>
    </row>
    <row r="23" spans="1:7" x14ac:dyDescent="0.2">
      <c r="A23" s="26" t="s">
        <v>513</v>
      </c>
      <c r="B23" s="26" t="s">
        <v>514</v>
      </c>
      <c r="C23" s="26" t="s">
        <v>370</v>
      </c>
      <c r="D23" s="30">
        <v>800</v>
      </c>
      <c r="E23" s="28">
        <v>7993.28</v>
      </c>
      <c r="F23" s="29">
        <v>0.78543541812291096</v>
      </c>
      <c r="G23" s="28">
        <v>10.6516</v>
      </c>
    </row>
    <row r="24" spans="1:7" x14ac:dyDescent="0.2">
      <c r="A24" s="26" t="s">
        <v>515</v>
      </c>
      <c r="B24" s="26" t="s">
        <v>516</v>
      </c>
      <c r="C24" s="26" t="s">
        <v>370</v>
      </c>
      <c r="D24" s="30">
        <v>780</v>
      </c>
      <c r="E24" s="28">
        <v>7793.4480000000003</v>
      </c>
      <c r="F24" s="29">
        <v>0.76579953266983802</v>
      </c>
      <c r="G24" s="28">
        <v>10.6516</v>
      </c>
    </row>
    <row r="25" spans="1:7" x14ac:dyDescent="0.2">
      <c r="A25" s="26" t="s">
        <v>517</v>
      </c>
      <c r="B25" s="26" t="s">
        <v>518</v>
      </c>
      <c r="C25" s="26" t="s">
        <v>519</v>
      </c>
      <c r="D25" s="30">
        <v>750</v>
      </c>
      <c r="E25" s="28">
        <v>7616.0174999999999</v>
      </c>
      <c r="F25" s="29">
        <v>0.74836486267763702</v>
      </c>
      <c r="G25" s="28">
        <v>6.9231999999999996</v>
      </c>
    </row>
    <row r="26" spans="1:7" x14ac:dyDescent="0.2">
      <c r="A26" s="26" t="s">
        <v>520</v>
      </c>
      <c r="B26" s="26" t="s">
        <v>521</v>
      </c>
      <c r="C26" s="26" t="s">
        <v>168</v>
      </c>
      <c r="D26" s="30">
        <v>750</v>
      </c>
      <c r="E26" s="28">
        <v>7596.2849999999999</v>
      </c>
      <c r="F26" s="29">
        <v>0.74642590840753698</v>
      </c>
      <c r="G26" s="28">
        <v>5.6050000000000004</v>
      </c>
    </row>
    <row r="27" spans="1:7" x14ac:dyDescent="0.2">
      <c r="A27" s="26" t="s">
        <v>450</v>
      </c>
      <c r="B27" s="26" t="s">
        <v>451</v>
      </c>
      <c r="C27" s="26" t="s">
        <v>452</v>
      </c>
      <c r="D27" s="30">
        <v>750</v>
      </c>
      <c r="E27" s="28">
        <v>7397.835</v>
      </c>
      <c r="F27" s="29">
        <v>0.72692582099329695</v>
      </c>
      <c r="G27" s="28">
        <v>11.3085</v>
      </c>
    </row>
    <row r="28" spans="1:7" x14ac:dyDescent="0.2">
      <c r="A28" s="26" t="s">
        <v>393</v>
      </c>
      <c r="B28" s="26" t="s">
        <v>394</v>
      </c>
      <c r="C28" s="26" t="s">
        <v>356</v>
      </c>
      <c r="D28" s="30">
        <v>670</v>
      </c>
      <c r="E28" s="28">
        <v>6871.3658999999998</v>
      </c>
      <c r="F28" s="29">
        <v>0.67519393149520701</v>
      </c>
      <c r="G28" s="28">
        <v>5.28</v>
      </c>
    </row>
    <row r="29" spans="1:7" x14ac:dyDescent="0.2">
      <c r="A29" s="26" t="s">
        <v>464</v>
      </c>
      <c r="B29" s="26" t="s">
        <v>465</v>
      </c>
      <c r="C29" s="26" t="s">
        <v>348</v>
      </c>
      <c r="D29" s="30">
        <v>2244</v>
      </c>
      <c r="E29" s="28">
        <v>5613.8148000000001</v>
      </c>
      <c r="F29" s="29">
        <v>0.55162448640640405</v>
      </c>
      <c r="G29" s="28">
        <v>8.6857000000000006</v>
      </c>
    </row>
    <row r="30" spans="1:7" x14ac:dyDescent="0.2">
      <c r="A30" s="26" t="s">
        <v>522</v>
      </c>
      <c r="B30" s="26" t="s">
        <v>523</v>
      </c>
      <c r="C30" s="26" t="s">
        <v>370</v>
      </c>
      <c r="D30" s="30">
        <v>550</v>
      </c>
      <c r="E30" s="28">
        <v>5495.38</v>
      </c>
      <c r="F30" s="29">
        <v>0.53998684995950097</v>
      </c>
      <c r="G30" s="28">
        <v>10.6516</v>
      </c>
    </row>
    <row r="31" spans="1:7" x14ac:dyDescent="0.2">
      <c r="A31" s="26" t="s">
        <v>524</v>
      </c>
      <c r="B31" s="26" t="s">
        <v>525</v>
      </c>
      <c r="C31" s="26" t="s">
        <v>356</v>
      </c>
      <c r="D31" s="30">
        <v>550</v>
      </c>
      <c r="E31" s="28">
        <v>5492.674</v>
      </c>
      <c r="F31" s="29">
        <v>0.53972095307593904</v>
      </c>
      <c r="G31" s="28">
        <v>7.7846000000000002</v>
      </c>
    </row>
    <row r="32" spans="1:7" x14ac:dyDescent="0.2">
      <c r="A32" s="26" t="s">
        <v>526</v>
      </c>
      <c r="B32" s="26" t="s">
        <v>527</v>
      </c>
      <c r="C32" s="26" t="s">
        <v>222</v>
      </c>
      <c r="D32" s="30">
        <v>550</v>
      </c>
      <c r="E32" s="28">
        <v>5490.0450000000001</v>
      </c>
      <c r="F32" s="29">
        <v>0.53946262236386</v>
      </c>
      <c r="G32" s="28">
        <v>8.5850000000000009</v>
      </c>
    </row>
    <row r="33" spans="1:9" x14ac:dyDescent="0.2">
      <c r="A33" s="26" t="s">
        <v>373</v>
      </c>
      <c r="B33" s="26" t="s">
        <v>374</v>
      </c>
      <c r="C33" s="26" t="s">
        <v>375</v>
      </c>
      <c r="D33" s="30">
        <v>500</v>
      </c>
      <c r="E33" s="28">
        <v>5348.7550000000001</v>
      </c>
      <c r="F33" s="29">
        <v>0.52557918900151201</v>
      </c>
      <c r="G33" s="28">
        <v>6.2958999999999996</v>
      </c>
    </row>
    <row r="34" spans="1:9" x14ac:dyDescent="0.2">
      <c r="A34" s="26" t="s">
        <v>361</v>
      </c>
      <c r="B34" s="26" t="s">
        <v>362</v>
      </c>
      <c r="C34" s="26" t="s">
        <v>168</v>
      </c>
      <c r="D34" s="30">
        <v>502</v>
      </c>
      <c r="E34" s="28">
        <v>5091.2137199999997</v>
      </c>
      <c r="F34" s="29">
        <v>0.50027267616313897</v>
      </c>
      <c r="G34" s="28">
        <v>4.3099999999999996</v>
      </c>
    </row>
    <row r="35" spans="1:9" x14ac:dyDescent="0.2">
      <c r="A35" s="26" t="s">
        <v>474</v>
      </c>
      <c r="B35" s="26" t="s">
        <v>475</v>
      </c>
      <c r="C35" s="26" t="s">
        <v>370</v>
      </c>
      <c r="D35" s="30">
        <v>1600</v>
      </c>
      <c r="E35" s="28">
        <v>4011.248</v>
      </c>
      <c r="F35" s="29">
        <v>0.39415311988003499</v>
      </c>
      <c r="G35" s="28">
        <v>8.2696000000000005</v>
      </c>
    </row>
    <row r="36" spans="1:9" x14ac:dyDescent="0.2">
      <c r="A36" s="26" t="s">
        <v>528</v>
      </c>
      <c r="B36" s="26" t="s">
        <v>529</v>
      </c>
      <c r="C36" s="26" t="s">
        <v>222</v>
      </c>
      <c r="D36" s="30">
        <v>300000</v>
      </c>
      <c r="E36" s="28">
        <v>2996.1509999999998</v>
      </c>
      <c r="F36" s="29">
        <v>0.29440769164152603</v>
      </c>
      <c r="G36" s="28">
        <v>8.9686000000000003</v>
      </c>
    </row>
    <row r="37" spans="1:9" x14ac:dyDescent="0.2">
      <c r="A37" s="26" t="s">
        <v>466</v>
      </c>
      <c r="B37" s="26" t="s">
        <v>467</v>
      </c>
      <c r="C37" s="26" t="s">
        <v>311</v>
      </c>
      <c r="D37" s="30">
        <v>280</v>
      </c>
      <c r="E37" s="28">
        <v>2826.5803999999998</v>
      </c>
      <c r="F37" s="29">
        <v>0.27774535088624702</v>
      </c>
      <c r="G37" s="28">
        <v>9.6384000000000007</v>
      </c>
    </row>
    <row r="38" spans="1:9" x14ac:dyDescent="0.2">
      <c r="A38" s="26" t="s">
        <v>530</v>
      </c>
      <c r="B38" s="26" t="s">
        <v>531</v>
      </c>
      <c r="C38" s="26" t="s">
        <v>370</v>
      </c>
      <c r="D38" s="30">
        <v>500</v>
      </c>
      <c r="E38" s="28">
        <v>1254.0999999999999</v>
      </c>
      <c r="F38" s="29">
        <v>0.123230333213392</v>
      </c>
      <c r="G38" s="28">
        <v>8.9436999999999998</v>
      </c>
    </row>
    <row r="39" spans="1:9" x14ac:dyDescent="0.2">
      <c r="A39" s="26" t="s">
        <v>346</v>
      </c>
      <c r="B39" s="26" t="s">
        <v>347</v>
      </c>
      <c r="C39" s="26" t="s">
        <v>348</v>
      </c>
      <c r="D39" s="30">
        <v>61</v>
      </c>
      <c r="E39" s="28">
        <v>610.30439000000001</v>
      </c>
      <c r="F39" s="29">
        <v>5.9969710024157498E-2</v>
      </c>
      <c r="G39" s="28">
        <v>10.505000000000001</v>
      </c>
    </row>
    <row r="40" spans="1:9" x14ac:dyDescent="0.2">
      <c r="A40" s="26" t="s">
        <v>382</v>
      </c>
      <c r="B40" s="26" t="s">
        <v>369</v>
      </c>
      <c r="C40" s="26" t="s">
        <v>370</v>
      </c>
      <c r="D40" s="30">
        <v>70</v>
      </c>
      <c r="E40" s="28">
        <v>596.7423</v>
      </c>
      <c r="F40" s="29">
        <v>5.8637072379814997E-2</v>
      </c>
      <c r="G40" s="28">
        <v>21.034099999999999</v>
      </c>
    </row>
    <row r="41" spans="1:9" x14ac:dyDescent="0.2">
      <c r="A41" s="26" t="s">
        <v>532</v>
      </c>
      <c r="B41" s="26" t="s">
        <v>533</v>
      </c>
      <c r="C41" s="26" t="s">
        <v>534</v>
      </c>
      <c r="D41" s="30">
        <v>200</v>
      </c>
      <c r="E41" s="28">
        <v>500.35199999999998</v>
      </c>
      <c r="F41" s="29">
        <v>4.9165571871451298E-2</v>
      </c>
      <c r="G41" s="28">
        <v>12.3207</v>
      </c>
    </row>
    <row r="42" spans="1:9" x14ac:dyDescent="0.2">
      <c r="A42" s="26" t="s">
        <v>535</v>
      </c>
      <c r="B42" s="26" t="s">
        <v>536</v>
      </c>
      <c r="C42" s="26" t="s">
        <v>168</v>
      </c>
      <c r="D42" s="30">
        <v>34</v>
      </c>
      <c r="E42" s="28">
        <v>345.71301999999997</v>
      </c>
      <c r="F42" s="29">
        <v>3.3970441472616297E-2</v>
      </c>
      <c r="G42" s="28">
        <v>5.2332000000000001</v>
      </c>
    </row>
    <row r="43" spans="1:9" x14ac:dyDescent="0.2">
      <c r="A43" s="26" t="s">
        <v>214</v>
      </c>
      <c r="B43" s="26" t="s">
        <v>215</v>
      </c>
      <c r="C43" s="26" t="s">
        <v>16</v>
      </c>
      <c r="D43" s="30">
        <v>22</v>
      </c>
      <c r="E43" s="28">
        <v>228.60640000000001</v>
      </c>
      <c r="F43" s="29">
        <v>2.2463314605465301E-2</v>
      </c>
      <c r="G43" s="28">
        <v>3.83</v>
      </c>
    </row>
    <row r="44" spans="1:9" ht="10.5" x14ac:dyDescent="0.25">
      <c r="A44" s="25" t="s">
        <v>17</v>
      </c>
      <c r="B44" s="25"/>
      <c r="C44" s="25"/>
      <c r="D44" s="31"/>
      <c r="E44" s="32">
        <f>SUM(E6:E43)</f>
        <v>453889.09972999996</v>
      </c>
      <c r="F44" s="33">
        <f>SUM(F6:F43)</f>
        <v>44.600035883625253</v>
      </c>
      <c r="G44" s="32"/>
      <c r="H44" s="18"/>
      <c r="I44" s="18"/>
    </row>
    <row r="45" spans="1:9" x14ac:dyDescent="0.2">
      <c r="A45" s="26"/>
      <c r="B45" s="26"/>
      <c r="C45" s="26"/>
      <c r="D45" s="27"/>
      <c r="E45" s="28"/>
      <c r="F45" s="29"/>
      <c r="G45" s="28"/>
    </row>
    <row r="46" spans="1:9" ht="10.5" x14ac:dyDescent="0.25">
      <c r="A46" s="25" t="s">
        <v>269</v>
      </c>
      <c r="B46" s="26"/>
      <c r="C46" s="26"/>
      <c r="D46" s="27"/>
      <c r="E46" s="28"/>
      <c r="F46" s="29"/>
      <c r="G46" s="28"/>
    </row>
    <row r="47" spans="1:9" x14ac:dyDescent="0.2">
      <c r="A47" s="26" t="s">
        <v>537</v>
      </c>
      <c r="B47" s="26" t="s">
        <v>538</v>
      </c>
      <c r="C47" s="26" t="s">
        <v>222</v>
      </c>
      <c r="D47" s="30">
        <v>2400</v>
      </c>
      <c r="E47" s="28">
        <v>30581.52</v>
      </c>
      <c r="F47" s="29">
        <v>3.0050003187720402</v>
      </c>
      <c r="G47" s="28">
        <v>3.8548</v>
      </c>
    </row>
    <row r="48" spans="1:9" x14ac:dyDescent="0.2">
      <c r="A48" s="26" t="s">
        <v>482</v>
      </c>
      <c r="B48" s="26" t="s">
        <v>483</v>
      </c>
      <c r="C48" s="26" t="s">
        <v>484</v>
      </c>
      <c r="D48" s="30">
        <v>890</v>
      </c>
      <c r="E48" s="28">
        <v>14001.070599999999</v>
      </c>
      <c r="F48" s="29">
        <v>1.3757727417129599</v>
      </c>
      <c r="G48" s="28">
        <v>10.2949</v>
      </c>
    </row>
    <row r="49" spans="1:9" x14ac:dyDescent="0.2">
      <c r="A49" s="26" t="s">
        <v>539</v>
      </c>
      <c r="B49" s="26" t="s">
        <v>540</v>
      </c>
      <c r="C49" s="26" t="s">
        <v>405</v>
      </c>
      <c r="D49" s="30">
        <v>1000</v>
      </c>
      <c r="E49" s="28">
        <v>10060.14</v>
      </c>
      <c r="F49" s="29">
        <v>0.98852914789360802</v>
      </c>
      <c r="G49" s="28">
        <v>13.4909</v>
      </c>
    </row>
    <row r="50" spans="1:9" x14ac:dyDescent="0.2">
      <c r="A50" s="26" t="s">
        <v>541</v>
      </c>
      <c r="B50" s="26" t="s">
        <v>542</v>
      </c>
      <c r="C50" s="26" t="s">
        <v>405</v>
      </c>
      <c r="D50" s="30">
        <v>850</v>
      </c>
      <c r="E50" s="28">
        <v>8596.5174999999999</v>
      </c>
      <c r="F50" s="29">
        <v>0.84471072163284899</v>
      </c>
      <c r="G50" s="28">
        <v>11.97</v>
      </c>
    </row>
    <row r="51" spans="1:9" x14ac:dyDescent="0.2">
      <c r="A51" s="26" t="s">
        <v>543</v>
      </c>
      <c r="B51" s="26" t="s">
        <v>544</v>
      </c>
      <c r="C51" s="26" t="s">
        <v>375</v>
      </c>
      <c r="D51" s="30">
        <v>7</v>
      </c>
      <c r="E51" s="28">
        <v>983.78629999999998</v>
      </c>
      <c r="F51" s="29">
        <v>9.66687772584085E-2</v>
      </c>
      <c r="G51" s="28">
        <v>10.19</v>
      </c>
    </row>
    <row r="52" spans="1:9" ht="10.5" x14ac:dyDescent="0.25">
      <c r="A52" s="25" t="s">
        <v>17</v>
      </c>
      <c r="B52" s="25"/>
      <c r="C52" s="25"/>
      <c r="D52" s="31"/>
      <c r="E52" s="32">
        <f>SUM(E46:E51)</f>
        <v>64223.034399999997</v>
      </c>
      <c r="F52" s="33">
        <f>SUM(F46:F51)</f>
        <v>6.3106817072698647</v>
      </c>
      <c r="G52" s="32"/>
      <c r="H52" s="18"/>
      <c r="I52" s="18"/>
    </row>
    <row r="53" spans="1:9" x14ac:dyDescent="0.2">
      <c r="A53" s="26"/>
      <c r="B53" s="26"/>
      <c r="C53" s="26"/>
      <c r="D53" s="27"/>
      <c r="E53" s="28"/>
      <c r="F53" s="29"/>
      <c r="G53" s="28"/>
    </row>
    <row r="54" spans="1:9" ht="10.5" x14ac:dyDescent="0.25">
      <c r="A54" s="25" t="s">
        <v>62</v>
      </c>
      <c r="B54" s="25"/>
      <c r="C54" s="25"/>
      <c r="D54" s="31"/>
      <c r="E54" s="32">
        <f>E44+E52</f>
        <v>518112.13412999996</v>
      </c>
      <c r="F54" s="33">
        <f>F44+F52</f>
        <v>50.910717590895118</v>
      </c>
      <c r="G54" s="32"/>
      <c r="H54" s="18"/>
      <c r="I54" s="18"/>
    </row>
    <row r="55" spans="1:9" ht="10.5" x14ac:dyDescent="0.25">
      <c r="A55" s="25"/>
      <c r="B55" s="25"/>
      <c r="C55" s="25"/>
      <c r="D55" s="31"/>
      <c r="E55" s="32"/>
      <c r="F55" s="33"/>
      <c r="G55" s="32"/>
      <c r="H55" s="18"/>
      <c r="I55" s="18"/>
    </row>
    <row r="56" spans="1:9" ht="10.5" x14ac:dyDescent="0.25">
      <c r="A56" s="25" t="s">
        <v>63</v>
      </c>
      <c r="B56" s="25"/>
      <c r="C56" s="25"/>
      <c r="D56" s="31"/>
      <c r="E56" s="32">
        <f>E58-(E44+E52)</f>
        <v>499575.61149049998</v>
      </c>
      <c r="F56" s="33">
        <f>F58-(F44+F52)</f>
        <v>49.089282409104882</v>
      </c>
      <c r="G56" s="32"/>
      <c r="H56" s="18"/>
      <c r="I56" s="18"/>
    </row>
    <row r="57" spans="1:9" ht="10.5" x14ac:dyDescent="0.25">
      <c r="A57" s="25"/>
      <c r="B57" s="25"/>
      <c r="C57" s="25"/>
      <c r="D57" s="31"/>
      <c r="E57" s="32"/>
      <c r="F57" s="33"/>
      <c r="G57" s="32"/>
      <c r="H57" s="18"/>
      <c r="I57" s="18"/>
    </row>
    <row r="58" spans="1:9" ht="10.5" x14ac:dyDescent="0.25">
      <c r="A58" s="34" t="s">
        <v>64</v>
      </c>
      <c r="B58" s="34"/>
      <c r="C58" s="34"/>
      <c r="D58" s="35"/>
      <c r="E58" s="36">
        <v>1017687.7456204999</v>
      </c>
      <c r="F58" s="37">
        <v>100</v>
      </c>
      <c r="G58" s="36"/>
      <c r="H58" s="18"/>
      <c r="I58" s="18"/>
    </row>
    <row r="60" spans="1:9" ht="10.5" x14ac:dyDescent="0.25">
      <c r="A60" s="18" t="s">
        <v>66</v>
      </c>
    </row>
    <row r="62" spans="1:9" ht="10.5" x14ac:dyDescent="0.25">
      <c r="A62" s="18" t="s">
        <v>67</v>
      </c>
    </row>
    <row r="63" spans="1:9" ht="10.5" x14ac:dyDescent="0.25">
      <c r="A63" s="18" t="s">
        <v>68</v>
      </c>
    </row>
    <row r="64" spans="1:9" ht="10.5" x14ac:dyDescent="0.25">
      <c r="A64" s="18" t="s">
        <v>69</v>
      </c>
      <c r="B64" s="18"/>
      <c r="C64" s="38" t="s">
        <v>70</v>
      </c>
      <c r="D64" s="43" t="s">
        <v>71</v>
      </c>
    </row>
    <row r="65" spans="1:5" x14ac:dyDescent="0.2">
      <c r="A65" s="9" t="s">
        <v>149</v>
      </c>
      <c r="C65" s="39">
        <v>26.483699999999999</v>
      </c>
      <c r="D65" s="39">
        <v>27.555399999999999</v>
      </c>
    </row>
    <row r="66" spans="1:5" x14ac:dyDescent="0.2">
      <c r="A66" s="9" t="s">
        <v>150</v>
      </c>
      <c r="C66" s="39">
        <v>9.9847999999999999</v>
      </c>
      <c r="D66" s="39">
        <v>10.3889</v>
      </c>
    </row>
    <row r="67" spans="1:5" x14ac:dyDescent="0.2">
      <c r="A67" s="9" t="s">
        <v>545</v>
      </c>
      <c r="C67" s="39">
        <v>10.067399999999999</v>
      </c>
      <c r="D67" s="39">
        <v>10.4748</v>
      </c>
    </row>
    <row r="68" spans="1:5" x14ac:dyDescent="0.2">
      <c r="A68" s="9" t="s">
        <v>75</v>
      </c>
      <c r="C68" s="39">
        <v>27.1496</v>
      </c>
      <c r="D68" s="39">
        <v>28.261099999999999</v>
      </c>
    </row>
    <row r="69" spans="1:5" x14ac:dyDescent="0.2">
      <c r="A69" s="9" t="s">
        <v>546</v>
      </c>
      <c r="C69" s="39">
        <v>9.9430999999999994</v>
      </c>
      <c r="D69" s="39">
        <v>10.35</v>
      </c>
    </row>
    <row r="70" spans="1:5" x14ac:dyDescent="0.2">
      <c r="A70" s="9" t="s">
        <v>79</v>
      </c>
      <c r="C70" s="39">
        <v>28.0518</v>
      </c>
      <c r="D70" s="39">
        <v>29.209099999999999</v>
      </c>
    </row>
    <row r="71" spans="1:5" x14ac:dyDescent="0.2">
      <c r="A71" s="9" t="s">
        <v>547</v>
      </c>
      <c r="C71" s="39">
        <v>10.026400000000001</v>
      </c>
      <c r="D71" s="39">
        <v>10.44</v>
      </c>
    </row>
    <row r="72" spans="1:5" x14ac:dyDescent="0.2">
      <c r="A72" s="9" t="s">
        <v>81</v>
      </c>
      <c r="C72" s="39">
        <v>10.0524</v>
      </c>
      <c r="D72" s="39">
        <v>10.4671</v>
      </c>
    </row>
    <row r="73" spans="1:5" x14ac:dyDescent="0.2">
      <c r="A73" s="9" t="s">
        <v>548</v>
      </c>
      <c r="C73" s="39">
        <v>28.209</v>
      </c>
      <c r="D73" s="39">
        <v>29.386099999999999</v>
      </c>
    </row>
    <row r="74" spans="1:5" x14ac:dyDescent="0.2">
      <c r="A74" s="9" t="s">
        <v>549</v>
      </c>
      <c r="C74" s="39">
        <v>10.0122</v>
      </c>
      <c r="D74" s="39">
        <v>10.43</v>
      </c>
    </row>
    <row r="75" spans="1:5" x14ac:dyDescent="0.2">
      <c r="A75" s="9" t="s">
        <v>550</v>
      </c>
      <c r="C75" s="39">
        <v>10.049200000000001</v>
      </c>
      <c r="D75" s="39">
        <v>10.468500000000001</v>
      </c>
    </row>
    <row r="77" spans="1:5" ht="10.5" x14ac:dyDescent="0.25">
      <c r="A77" s="18" t="s">
        <v>90</v>
      </c>
      <c r="D77" s="43" t="s">
        <v>96</v>
      </c>
    </row>
    <row r="79" spans="1:5" ht="10.5" x14ac:dyDescent="0.25">
      <c r="A79" s="18" t="s">
        <v>94</v>
      </c>
      <c r="D79" s="42">
        <v>0.64167592460274003</v>
      </c>
      <c r="E79" s="13" t="s">
        <v>95</v>
      </c>
    </row>
    <row r="81" spans="1:7" ht="10.5" x14ac:dyDescent="0.25">
      <c r="A81" s="18" t="s">
        <v>1506</v>
      </c>
      <c r="D81" s="43" t="s">
        <v>96</v>
      </c>
    </row>
    <row r="83" spans="1:7" ht="28.5" customHeight="1" x14ac:dyDescent="0.2">
      <c r="A83" s="76" t="s">
        <v>551</v>
      </c>
      <c r="B83" s="76"/>
      <c r="C83" s="76"/>
      <c r="D83" s="76"/>
      <c r="E83" s="76"/>
      <c r="F83" s="76"/>
      <c r="G83" s="76"/>
    </row>
    <row r="84" spans="1:7" ht="10.5" x14ac:dyDescent="0.25">
      <c r="A84" s="18" t="s">
        <v>1511</v>
      </c>
    </row>
    <row r="85" spans="1:7" x14ac:dyDescent="0.2">
      <c r="A85" s="47" t="s">
        <v>1509</v>
      </c>
    </row>
  </sheetData>
  <mergeCells count="2">
    <mergeCell ref="A1:G1"/>
    <mergeCell ref="A83:G83"/>
  </mergeCells>
  <conditionalFormatting sqref="F2:F3 F5:F82 F84:F65514">
    <cfRule type="cellIs" dxfId="69" priority="1" stopIfTrue="1" operator="between">
      <formula>0.009</formula>
      <formula>-0.009</formula>
    </cfRule>
  </conditionalFormatting>
  <hyperlinks>
    <hyperlink ref="A85" r:id="rId1" xr:uid="{9F0B6CAA-0683-4CD6-A3E2-B054F8850834}"/>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03"/>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66" t="s">
        <v>552</v>
      </c>
      <c r="B1" s="67"/>
      <c r="C1" s="67"/>
      <c r="D1" s="67"/>
      <c r="E1" s="67"/>
      <c r="F1" s="67"/>
      <c r="G1" s="67"/>
    </row>
    <row r="2" spans="1:7" s="1" customFormat="1" ht="11.5" x14ac:dyDescent="0.25">
      <c r="A2" s="44" t="s">
        <v>345</v>
      </c>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220</v>
      </c>
      <c r="B7" s="26" t="s">
        <v>221</v>
      </c>
      <c r="C7" s="26" t="s">
        <v>222</v>
      </c>
      <c r="D7" s="30">
        <v>7200</v>
      </c>
      <c r="E7" s="28">
        <v>70867.512000000002</v>
      </c>
      <c r="F7" s="29">
        <v>12.743526194532301</v>
      </c>
      <c r="G7" s="28">
        <v>11.369400000000001</v>
      </c>
    </row>
    <row r="8" spans="1:7" x14ac:dyDescent="0.2">
      <c r="A8" s="26" t="s">
        <v>359</v>
      </c>
      <c r="B8" s="26" t="s">
        <v>360</v>
      </c>
      <c r="C8" s="26" t="s">
        <v>356</v>
      </c>
      <c r="D8" s="30">
        <v>4813</v>
      </c>
      <c r="E8" s="28">
        <v>38543.23558</v>
      </c>
      <c r="F8" s="29">
        <v>6.9309154275905698</v>
      </c>
      <c r="G8" s="28">
        <v>9.8347999999999995</v>
      </c>
    </row>
    <row r="9" spans="1:7" x14ac:dyDescent="0.2">
      <c r="A9" s="26" t="s">
        <v>382</v>
      </c>
      <c r="B9" s="26" t="s">
        <v>369</v>
      </c>
      <c r="C9" s="26" t="s">
        <v>370</v>
      </c>
      <c r="D9" s="30">
        <v>3100</v>
      </c>
      <c r="E9" s="28">
        <v>26427.159</v>
      </c>
      <c r="F9" s="29">
        <v>4.7521802792169403</v>
      </c>
      <c r="G9" s="28">
        <v>21.034099999999999</v>
      </c>
    </row>
    <row r="10" spans="1:7" x14ac:dyDescent="0.2">
      <c r="A10" s="26" t="s">
        <v>553</v>
      </c>
      <c r="B10" s="26" t="s">
        <v>554</v>
      </c>
      <c r="C10" s="26" t="s">
        <v>348</v>
      </c>
      <c r="D10" s="30">
        <v>11135</v>
      </c>
      <c r="E10" s="28">
        <v>22900.241000000002</v>
      </c>
      <c r="F10" s="29">
        <v>4.11796340535565</v>
      </c>
      <c r="G10" s="28">
        <v>9.8427000000000007</v>
      </c>
    </row>
    <row r="11" spans="1:7" x14ac:dyDescent="0.2">
      <c r="A11" s="26" t="s">
        <v>555</v>
      </c>
      <c r="B11" s="26" t="s">
        <v>556</v>
      </c>
      <c r="C11" s="26" t="s">
        <v>348</v>
      </c>
      <c r="D11" s="30">
        <v>10675</v>
      </c>
      <c r="E11" s="28">
        <v>22052.393650000002</v>
      </c>
      <c r="F11" s="29">
        <v>3.9655019373463101</v>
      </c>
      <c r="G11" s="28">
        <v>9.4519000000000002</v>
      </c>
    </row>
    <row r="12" spans="1:7" x14ac:dyDescent="0.2">
      <c r="A12" s="26" t="s">
        <v>349</v>
      </c>
      <c r="B12" s="26" t="s">
        <v>350</v>
      </c>
      <c r="C12" s="26" t="s">
        <v>351</v>
      </c>
      <c r="D12" s="30">
        <v>2020</v>
      </c>
      <c r="E12" s="28">
        <v>19894.535599999999</v>
      </c>
      <c r="F12" s="29">
        <v>3.5774719387165099</v>
      </c>
      <c r="G12" s="28">
        <v>18.036100000000001</v>
      </c>
    </row>
    <row r="13" spans="1:7" x14ac:dyDescent="0.2">
      <c r="A13" s="26" t="s">
        <v>387</v>
      </c>
      <c r="B13" s="26" t="s">
        <v>388</v>
      </c>
      <c r="C13" s="26" t="s">
        <v>348</v>
      </c>
      <c r="D13" s="30">
        <v>1349</v>
      </c>
      <c r="E13" s="28">
        <v>13512.852059999999</v>
      </c>
      <c r="F13" s="29">
        <v>2.4299058811243399</v>
      </c>
      <c r="G13" s="28">
        <v>10.252700000000001</v>
      </c>
    </row>
    <row r="14" spans="1:7" x14ac:dyDescent="0.2">
      <c r="A14" s="26" t="s">
        <v>468</v>
      </c>
      <c r="B14" s="26" t="s">
        <v>469</v>
      </c>
      <c r="C14" s="26" t="s">
        <v>222</v>
      </c>
      <c r="D14" s="30">
        <v>1300</v>
      </c>
      <c r="E14" s="28">
        <v>12633.4</v>
      </c>
      <c r="F14" s="29">
        <v>2.27176119610357</v>
      </c>
      <c r="G14" s="28">
        <v>10.941000000000001</v>
      </c>
    </row>
    <row r="15" spans="1:7" x14ac:dyDescent="0.2">
      <c r="A15" s="26" t="s">
        <v>557</v>
      </c>
      <c r="B15" s="26" t="s">
        <v>558</v>
      </c>
      <c r="C15" s="26" t="s">
        <v>370</v>
      </c>
      <c r="D15" s="30">
        <v>12500</v>
      </c>
      <c r="E15" s="28">
        <v>12357.025</v>
      </c>
      <c r="F15" s="29">
        <v>2.2220629358907198</v>
      </c>
      <c r="G15" s="28">
        <v>11.0198</v>
      </c>
    </row>
    <row r="16" spans="1:7" x14ac:dyDescent="0.2">
      <c r="A16" s="26" t="s">
        <v>559</v>
      </c>
      <c r="B16" s="26" t="s">
        <v>560</v>
      </c>
      <c r="C16" s="26" t="s">
        <v>356</v>
      </c>
      <c r="D16" s="30">
        <v>1250</v>
      </c>
      <c r="E16" s="28">
        <v>12325</v>
      </c>
      <c r="F16" s="29">
        <v>2.2163041415593998</v>
      </c>
      <c r="G16" s="28">
        <v>9.3203999999999994</v>
      </c>
    </row>
    <row r="17" spans="1:7" x14ac:dyDescent="0.2">
      <c r="A17" s="26" t="s">
        <v>380</v>
      </c>
      <c r="B17" s="26" t="s">
        <v>381</v>
      </c>
      <c r="C17" s="26" t="s">
        <v>351</v>
      </c>
      <c r="D17" s="30">
        <v>1000</v>
      </c>
      <c r="E17" s="28">
        <v>9936.15</v>
      </c>
      <c r="F17" s="29">
        <v>1.7867367461383701</v>
      </c>
      <c r="G17" s="28">
        <v>10.389900000000001</v>
      </c>
    </row>
    <row r="18" spans="1:7" x14ac:dyDescent="0.2">
      <c r="A18" s="26" t="s">
        <v>346</v>
      </c>
      <c r="B18" s="26" t="s">
        <v>347</v>
      </c>
      <c r="C18" s="26" t="s">
        <v>348</v>
      </c>
      <c r="D18" s="30">
        <v>879</v>
      </c>
      <c r="E18" s="28">
        <v>8794.3862100000006</v>
      </c>
      <c r="F18" s="29">
        <v>1.5814226839509899</v>
      </c>
      <c r="G18" s="28">
        <v>10.505000000000001</v>
      </c>
    </row>
    <row r="19" spans="1:7" x14ac:dyDescent="0.2">
      <c r="A19" s="26" t="s">
        <v>368</v>
      </c>
      <c r="B19" s="26" t="s">
        <v>369</v>
      </c>
      <c r="C19" s="26" t="s">
        <v>370</v>
      </c>
      <c r="D19" s="30">
        <v>1000</v>
      </c>
      <c r="E19" s="28">
        <v>8532.5499999999993</v>
      </c>
      <c r="F19" s="29">
        <v>1.5343388156643201</v>
      </c>
      <c r="G19" s="28">
        <v>20.960599999999999</v>
      </c>
    </row>
    <row r="20" spans="1:7" x14ac:dyDescent="0.2">
      <c r="A20" s="26" t="s">
        <v>561</v>
      </c>
      <c r="B20" s="26" t="s">
        <v>562</v>
      </c>
      <c r="C20" s="26" t="s">
        <v>370</v>
      </c>
      <c r="D20" s="30">
        <v>8500</v>
      </c>
      <c r="E20" s="28">
        <v>8405.6924999999992</v>
      </c>
      <c r="F20" s="29">
        <v>1.5115270669715899</v>
      </c>
      <c r="G20" s="28">
        <v>11.0199</v>
      </c>
    </row>
    <row r="21" spans="1:7" x14ac:dyDescent="0.2">
      <c r="A21" s="26" t="s">
        <v>478</v>
      </c>
      <c r="B21" s="26" t="s">
        <v>479</v>
      </c>
      <c r="C21" s="26" t="s">
        <v>348</v>
      </c>
      <c r="D21" s="30">
        <v>822</v>
      </c>
      <c r="E21" s="28">
        <v>8218.3559999999998</v>
      </c>
      <c r="F21" s="29">
        <v>1.4778398733963101</v>
      </c>
      <c r="G21" s="28">
        <v>10.55</v>
      </c>
    </row>
    <row r="22" spans="1:7" x14ac:dyDescent="0.2">
      <c r="A22" s="26" t="s">
        <v>480</v>
      </c>
      <c r="B22" s="26" t="s">
        <v>481</v>
      </c>
      <c r="C22" s="26" t="s">
        <v>348</v>
      </c>
      <c r="D22" s="30">
        <v>822</v>
      </c>
      <c r="E22" s="28">
        <v>8217.7559399999991</v>
      </c>
      <c r="F22" s="29">
        <v>1.4777319695047799</v>
      </c>
      <c r="G22" s="28">
        <v>10.55</v>
      </c>
    </row>
    <row r="23" spans="1:7" x14ac:dyDescent="0.2">
      <c r="A23" s="26" t="s">
        <v>563</v>
      </c>
      <c r="B23" s="26" t="s">
        <v>564</v>
      </c>
      <c r="C23" s="26" t="s">
        <v>348</v>
      </c>
      <c r="D23" s="30">
        <v>754</v>
      </c>
      <c r="E23" s="28">
        <v>7537.8887999999997</v>
      </c>
      <c r="F23" s="29">
        <v>1.35547701144456</v>
      </c>
      <c r="G23" s="28">
        <v>10.55</v>
      </c>
    </row>
    <row r="24" spans="1:7" x14ac:dyDescent="0.2">
      <c r="A24" s="26" t="s">
        <v>565</v>
      </c>
      <c r="B24" s="26" t="s">
        <v>566</v>
      </c>
      <c r="C24" s="26" t="s">
        <v>534</v>
      </c>
      <c r="D24" s="30">
        <v>690</v>
      </c>
      <c r="E24" s="28">
        <v>6867.1836000000003</v>
      </c>
      <c r="F24" s="29">
        <v>1.2348695702660299</v>
      </c>
      <c r="G24" s="28">
        <v>11.2501</v>
      </c>
    </row>
    <row r="25" spans="1:7" x14ac:dyDescent="0.2">
      <c r="A25" s="26" t="s">
        <v>383</v>
      </c>
      <c r="B25" s="26" t="s">
        <v>384</v>
      </c>
      <c r="C25" s="26" t="s">
        <v>168</v>
      </c>
      <c r="D25" s="30">
        <v>550</v>
      </c>
      <c r="E25" s="28">
        <v>5455.6589999999997</v>
      </c>
      <c r="F25" s="29">
        <v>0.98104662366213602</v>
      </c>
      <c r="G25" s="28">
        <v>11.8749</v>
      </c>
    </row>
    <row r="26" spans="1:7" x14ac:dyDescent="0.2">
      <c r="A26" s="26" t="s">
        <v>188</v>
      </c>
      <c r="B26" s="26" t="s">
        <v>189</v>
      </c>
      <c r="C26" s="26" t="s">
        <v>190</v>
      </c>
      <c r="D26" s="30">
        <v>460</v>
      </c>
      <c r="E26" s="28">
        <v>5181.0122000000001</v>
      </c>
      <c r="F26" s="29">
        <v>0.93165913154805602</v>
      </c>
      <c r="G26" s="28">
        <v>7.6436000000000002</v>
      </c>
    </row>
    <row r="27" spans="1:7" x14ac:dyDescent="0.2">
      <c r="A27" s="26" t="s">
        <v>445</v>
      </c>
      <c r="B27" s="26" t="s">
        <v>446</v>
      </c>
      <c r="C27" s="26" t="s">
        <v>447</v>
      </c>
      <c r="D27" s="30">
        <v>500</v>
      </c>
      <c r="E27" s="28">
        <v>5030.2250000000004</v>
      </c>
      <c r="F27" s="29">
        <v>0.90454430024143195</v>
      </c>
      <c r="G27" s="28">
        <v>11.414999999999999</v>
      </c>
    </row>
    <row r="28" spans="1:7" x14ac:dyDescent="0.2">
      <c r="A28" s="26" t="s">
        <v>509</v>
      </c>
      <c r="B28" s="26" t="s">
        <v>510</v>
      </c>
      <c r="C28" s="26" t="s">
        <v>356</v>
      </c>
      <c r="D28" s="30">
        <v>500</v>
      </c>
      <c r="E28" s="28">
        <v>4983.41</v>
      </c>
      <c r="F28" s="29">
        <v>0.896125940940247</v>
      </c>
      <c r="G28" s="28">
        <v>8.7190999999999992</v>
      </c>
    </row>
    <row r="29" spans="1:7" x14ac:dyDescent="0.2">
      <c r="A29" s="26" t="s">
        <v>495</v>
      </c>
      <c r="B29" s="26" t="s">
        <v>496</v>
      </c>
      <c r="C29" s="26" t="s">
        <v>356</v>
      </c>
      <c r="D29" s="30">
        <v>450</v>
      </c>
      <c r="E29" s="28">
        <v>4502.7089999999998</v>
      </c>
      <c r="F29" s="29">
        <v>0.809685404051667</v>
      </c>
      <c r="G29" s="28">
        <v>8.4687999999999999</v>
      </c>
    </row>
    <row r="30" spans="1:7" x14ac:dyDescent="0.2">
      <c r="A30" s="26" t="s">
        <v>567</v>
      </c>
      <c r="B30" s="26" t="s">
        <v>568</v>
      </c>
      <c r="C30" s="26" t="s">
        <v>348</v>
      </c>
      <c r="D30" s="30">
        <v>2125</v>
      </c>
      <c r="E30" s="28">
        <v>4281.2545</v>
      </c>
      <c r="F30" s="29">
        <v>0.76986304904014902</v>
      </c>
      <c r="G30" s="28">
        <v>10.5281</v>
      </c>
    </row>
    <row r="31" spans="1:7" x14ac:dyDescent="0.2">
      <c r="A31" s="26" t="s">
        <v>389</v>
      </c>
      <c r="B31" s="26" t="s">
        <v>390</v>
      </c>
      <c r="C31" s="26" t="s">
        <v>311</v>
      </c>
      <c r="D31" s="30">
        <v>370</v>
      </c>
      <c r="E31" s="28">
        <v>3727.6574999999998</v>
      </c>
      <c r="F31" s="29">
        <v>0.67031421951845604</v>
      </c>
      <c r="G31" s="28">
        <v>9.5142000000000007</v>
      </c>
    </row>
    <row r="32" spans="1:7" x14ac:dyDescent="0.2">
      <c r="A32" s="26" t="s">
        <v>459</v>
      </c>
      <c r="B32" s="26" t="s">
        <v>460</v>
      </c>
      <c r="C32" s="26" t="s">
        <v>348</v>
      </c>
      <c r="D32" s="30">
        <v>350</v>
      </c>
      <c r="E32" s="28">
        <v>3508.0535</v>
      </c>
      <c r="F32" s="29">
        <v>0.63082462481638601</v>
      </c>
      <c r="G32" s="28">
        <v>9.5</v>
      </c>
    </row>
    <row r="33" spans="1:7" x14ac:dyDescent="0.2">
      <c r="A33" s="26" t="s">
        <v>532</v>
      </c>
      <c r="B33" s="26" t="s">
        <v>533</v>
      </c>
      <c r="C33" s="26" t="s">
        <v>534</v>
      </c>
      <c r="D33" s="30">
        <v>1390</v>
      </c>
      <c r="E33" s="28">
        <v>3477.4463999999998</v>
      </c>
      <c r="F33" s="29">
        <v>0.62532079986781597</v>
      </c>
      <c r="G33" s="28">
        <v>12.3207</v>
      </c>
    </row>
    <row r="34" spans="1:7" x14ac:dyDescent="0.2">
      <c r="A34" s="26" t="s">
        <v>569</v>
      </c>
      <c r="B34" s="26" t="s">
        <v>570</v>
      </c>
      <c r="C34" s="26" t="s">
        <v>463</v>
      </c>
      <c r="D34" s="30">
        <v>272</v>
      </c>
      <c r="E34" s="28">
        <v>2730.8473600000002</v>
      </c>
      <c r="F34" s="29">
        <v>0.49106598896020798</v>
      </c>
      <c r="G34" s="28">
        <v>10.4648</v>
      </c>
    </row>
    <row r="35" spans="1:7" x14ac:dyDescent="0.2">
      <c r="A35" s="26" t="s">
        <v>501</v>
      </c>
      <c r="B35" s="26" t="s">
        <v>502</v>
      </c>
      <c r="C35" s="26" t="s">
        <v>356</v>
      </c>
      <c r="D35" s="30">
        <v>250</v>
      </c>
      <c r="E35" s="28">
        <v>2498.0549999999998</v>
      </c>
      <c r="F35" s="29">
        <v>0.44920483913534898</v>
      </c>
      <c r="G35" s="28">
        <v>8.8185000000000002</v>
      </c>
    </row>
    <row r="36" spans="1:7" x14ac:dyDescent="0.2">
      <c r="A36" s="26" t="s">
        <v>472</v>
      </c>
      <c r="B36" s="26" t="s">
        <v>473</v>
      </c>
      <c r="C36" s="26" t="s">
        <v>463</v>
      </c>
      <c r="D36" s="30">
        <v>240</v>
      </c>
      <c r="E36" s="28">
        <v>2378.4</v>
      </c>
      <c r="F36" s="29">
        <v>0.427688257223926</v>
      </c>
      <c r="G36" s="28">
        <v>11.324999999999999</v>
      </c>
    </row>
    <row r="37" spans="1:7" x14ac:dyDescent="0.2">
      <c r="A37" s="26" t="s">
        <v>571</v>
      </c>
      <c r="B37" s="26" t="s">
        <v>572</v>
      </c>
      <c r="C37" s="26" t="s">
        <v>351</v>
      </c>
      <c r="D37" s="30">
        <v>200</v>
      </c>
      <c r="E37" s="28">
        <v>1980.0319999999999</v>
      </c>
      <c r="F37" s="29">
        <v>0.356052991644637</v>
      </c>
      <c r="G37" s="28">
        <v>10.798500000000001</v>
      </c>
    </row>
    <row r="38" spans="1:7" x14ac:dyDescent="0.2">
      <c r="A38" s="26" t="s">
        <v>443</v>
      </c>
      <c r="B38" s="26" t="s">
        <v>444</v>
      </c>
      <c r="C38" s="26" t="s">
        <v>311</v>
      </c>
      <c r="D38" s="30">
        <v>197</v>
      </c>
      <c r="E38" s="28">
        <v>1955.3806300000001</v>
      </c>
      <c r="F38" s="29">
        <v>0.35162013700560102</v>
      </c>
      <c r="G38" s="28">
        <v>12.069900000000001</v>
      </c>
    </row>
    <row r="39" spans="1:7" x14ac:dyDescent="0.2">
      <c r="A39" s="26" t="s">
        <v>464</v>
      </c>
      <c r="B39" s="26" t="s">
        <v>465</v>
      </c>
      <c r="C39" s="26" t="s">
        <v>348</v>
      </c>
      <c r="D39" s="30">
        <v>650</v>
      </c>
      <c r="E39" s="28">
        <v>1626.105</v>
      </c>
      <c r="F39" s="29">
        <v>0.29240918832539198</v>
      </c>
      <c r="G39" s="28">
        <v>8.6857000000000006</v>
      </c>
    </row>
    <row r="40" spans="1:7" x14ac:dyDescent="0.2">
      <c r="A40" s="26" t="s">
        <v>391</v>
      </c>
      <c r="B40" s="26" t="s">
        <v>392</v>
      </c>
      <c r="C40" s="26" t="s">
        <v>168</v>
      </c>
      <c r="D40" s="30">
        <v>150</v>
      </c>
      <c r="E40" s="28">
        <v>1507.521</v>
      </c>
      <c r="F40" s="29">
        <v>0.27108519560144201</v>
      </c>
      <c r="G40" s="28">
        <v>10.6076</v>
      </c>
    </row>
    <row r="41" spans="1:7" x14ac:dyDescent="0.2">
      <c r="A41" s="26" t="s">
        <v>573</v>
      </c>
      <c r="B41" s="26" t="s">
        <v>574</v>
      </c>
      <c r="C41" s="26" t="s">
        <v>370</v>
      </c>
      <c r="D41" s="30">
        <v>1400</v>
      </c>
      <c r="E41" s="28">
        <v>1415.3076000000001</v>
      </c>
      <c r="F41" s="29">
        <v>0.25450321261342801</v>
      </c>
      <c r="G41" s="28">
        <v>8.6919000000000004</v>
      </c>
    </row>
    <row r="42" spans="1:7" x14ac:dyDescent="0.2">
      <c r="A42" s="26" t="s">
        <v>530</v>
      </c>
      <c r="B42" s="26" t="s">
        <v>531</v>
      </c>
      <c r="C42" s="26" t="s">
        <v>370</v>
      </c>
      <c r="D42" s="30">
        <v>500</v>
      </c>
      <c r="E42" s="28">
        <v>1254.0999999999999</v>
      </c>
      <c r="F42" s="29">
        <v>0.22551456583607701</v>
      </c>
      <c r="G42" s="28">
        <v>8.9436999999999998</v>
      </c>
    </row>
    <row r="43" spans="1:7" x14ac:dyDescent="0.2">
      <c r="A43" s="26" t="s">
        <v>511</v>
      </c>
      <c r="B43" s="26" t="s">
        <v>512</v>
      </c>
      <c r="C43" s="26" t="s">
        <v>405</v>
      </c>
      <c r="D43" s="30">
        <v>100</v>
      </c>
      <c r="E43" s="28">
        <v>1006.124</v>
      </c>
      <c r="F43" s="29">
        <v>0.18092306597341301</v>
      </c>
      <c r="G43" s="28">
        <v>13.3645</v>
      </c>
    </row>
    <row r="44" spans="1:7" x14ac:dyDescent="0.2">
      <c r="A44" s="26" t="s">
        <v>575</v>
      </c>
      <c r="B44" s="26" t="s">
        <v>576</v>
      </c>
      <c r="C44" s="26" t="s">
        <v>519</v>
      </c>
      <c r="D44" s="30">
        <v>100</v>
      </c>
      <c r="E44" s="28">
        <v>1004.995</v>
      </c>
      <c r="F44" s="29">
        <v>0.18072004711939099</v>
      </c>
      <c r="G44" s="28">
        <v>9.0649999999999995</v>
      </c>
    </row>
    <row r="45" spans="1:7" x14ac:dyDescent="0.2">
      <c r="A45" s="26" t="s">
        <v>357</v>
      </c>
      <c r="B45" s="26" t="s">
        <v>358</v>
      </c>
      <c r="C45" s="26" t="s">
        <v>351</v>
      </c>
      <c r="D45" s="30">
        <v>100</v>
      </c>
      <c r="E45" s="28">
        <v>981.35799999999995</v>
      </c>
      <c r="F45" s="29">
        <v>0.176469598357197</v>
      </c>
      <c r="G45" s="28">
        <v>11.0334</v>
      </c>
    </row>
    <row r="46" spans="1:7" x14ac:dyDescent="0.2">
      <c r="A46" s="26" t="s">
        <v>577</v>
      </c>
      <c r="B46" s="26" t="s">
        <v>578</v>
      </c>
      <c r="C46" s="26" t="s">
        <v>348</v>
      </c>
      <c r="D46" s="30">
        <v>62</v>
      </c>
      <c r="E46" s="28">
        <v>619.80097999999998</v>
      </c>
      <c r="F46" s="29">
        <v>0.11145375082487401</v>
      </c>
      <c r="G46" s="28">
        <v>10.55</v>
      </c>
    </row>
    <row r="47" spans="1:7" x14ac:dyDescent="0.2">
      <c r="A47" s="26" t="s">
        <v>579</v>
      </c>
      <c r="B47" s="26" t="s">
        <v>580</v>
      </c>
      <c r="C47" s="26" t="s">
        <v>348</v>
      </c>
      <c r="D47" s="30">
        <v>62</v>
      </c>
      <c r="E47" s="28">
        <v>619.77431999999999</v>
      </c>
      <c r="F47" s="29">
        <v>0.111448956774699</v>
      </c>
      <c r="G47" s="28">
        <v>10.55</v>
      </c>
    </row>
    <row r="48" spans="1:7" x14ac:dyDescent="0.2">
      <c r="A48" s="26" t="s">
        <v>581</v>
      </c>
      <c r="B48" s="26" t="s">
        <v>582</v>
      </c>
      <c r="C48" s="26" t="s">
        <v>356</v>
      </c>
      <c r="D48" s="30">
        <v>55</v>
      </c>
      <c r="E48" s="28">
        <v>565.89940000000001</v>
      </c>
      <c r="F48" s="29">
        <v>0.101761069689735</v>
      </c>
      <c r="G48" s="28">
        <v>5.1649000000000003</v>
      </c>
    </row>
    <row r="49" spans="1:9" x14ac:dyDescent="0.2">
      <c r="A49" s="26" t="s">
        <v>466</v>
      </c>
      <c r="B49" s="26" t="s">
        <v>467</v>
      </c>
      <c r="C49" s="26" t="s">
        <v>311</v>
      </c>
      <c r="D49" s="30">
        <v>50</v>
      </c>
      <c r="E49" s="28">
        <v>504.74650000000003</v>
      </c>
      <c r="F49" s="29">
        <v>9.07644428712059E-2</v>
      </c>
      <c r="G49" s="28">
        <v>9.6384000000000007</v>
      </c>
    </row>
    <row r="50" spans="1:9" x14ac:dyDescent="0.2">
      <c r="A50" s="26" t="s">
        <v>583</v>
      </c>
      <c r="B50" s="26" t="s">
        <v>584</v>
      </c>
      <c r="C50" s="26" t="s">
        <v>463</v>
      </c>
      <c r="D50" s="30">
        <v>50</v>
      </c>
      <c r="E50" s="28">
        <v>496.25</v>
      </c>
      <c r="F50" s="29">
        <v>8.9236586632766998E-2</v>
      </c>
      <c r="G50" s="28">
        <v>11.22</v>
      </c>
    </row>
    <row r="51" spans="1:9" x14ac:dyDescent="0.2">
      <c r="A51" s="26" t="s">
        <v>585</v>
      </c>
      <c r="B51" s="26" t="s">
        <v>586</v>
      </c>
      <c r="C51" s="26" t="s">
        <v>16</v>
      </c>
      <c r="D51" s="30">
        <v>28</v>
      </c>
      <c r="E51" s="28">
        <v>282.57767999999999</v>
      </c>
      <c r="F51" s="29">
        <v>5.0813637525050498E-2</v>
      </c>
      <c r="G51" s="28">
        <v>4.6449999999999996</v>
      </c>
    </row>
    <row r="52" spans="1:9" x14ac:dyDescent="0.2">
      <c r="A52" s="26" t="s">
        <v>587</v>
      </c>
      <c r="B52" s="26" t="s">
        <v>588</v>
      </c>
      <c r="C52" s="26" t="s">
        <v>13</v>
      </c>
      <c r="D52" s="30">
        <v>18</v>
      </c>
      <c r="E52" s="28">
        <v>226.17251999999999</v>
      </c>
      <c r="F52" s="29">
        <v>4.0670758035125897E-2</v>
      </c>
      <c r="G52" s="28">
        <v>3.875</v>
      </c>
    </row>
    <row r="53" spans="1:9" x14ac:dyDescent="0.2">
      <c r="A53" s="26" t="s">
        <v>223</v>
      </c>
      <c r="B53" s="26" t="s">
        <v>224</v>
      </c>
      <c r="C53" s="26" t="s">
        <v>16</v>
      </c>
      <c r="D53" s="30">
        <v>12</v>
      </c>
      <c r="E53" s="28">
        <v>123.02628</v>
      </c>
      <c r="F53" s="29">
        <v>2.21228116742107E-2</v>
      </c>
      <c r="G53" s="28">
        <v>3.54</v>
      </c>
    </row>
    <row r="54" spans="1:9" x14ac:dyDescent="0.2">
      <c r="A54" s="26" t="s">
        <v>589</v>
      </c>
      <c r="B54" s="26" t="s">
        <v>590</v>
      </c>
      <c r="C54" s="26" t="s">
        <v>16</v>
      </c>
      <c r="D54" s="30">
        <v>12</v>
      </c>
      <c r="E54" s="28">
        <v>122.68584</v>
      </c>
      <c r="F54" s="29">
        <v>2.2061593128007598E-2</v>
      </c>
      <c r="G54" s="28">
        <v>3.7401</v>
      </c>
    </row>
    <row r="55" spans="1:9" x14ac:dyDescent="0.2">
      <c r="A55" s="26" t="s">
        <v>528</v>
      </c>
      <c r="B55" s="26" t="s">
        <v>529</v>
      </c>
      <c r="C55" s="26" t="s">
        <v>222</v>
      </c>
      <c r="D55" s="30">
        <v>4000</v>
      </c>
      <c r="E55" s="28">
        <v>39.948680000000003</v>
      </c>
      <c r="F55" s="29">
        <v>7.1836450250573102E-3</v>
      </c>
      <c r="G55" s="28">
        <v>8.9686000000000003</v>
      </c>
    </row>
    <row r="56" spans="1:9" x14ac:dyDescent="0.2">
      <c r="A56" s="26" t="s">
        <v>361</v>
      </c>
      <c r="B56" s="26" t="s">
        <v>362</v>
      </c>
      <c r="C56" s="26" t="s">
        <v>168</v>
      </c>
      <c r="D56" s="30">
        <v>3</v>
      </c>
      <c r="E56" s="28">
        <v>30.42558</v>
      </c>
      <c r="F56" s="29">
        <v>5.4711836887096901E-3</v>
      </c>
      <c r="G56" s="28">
        <v>4.3099999999999996</v>
      </c>
    </row>
    <row r="57" spans="1:9" ht="10.5" x14ac:dyDescent="0.25">
      <c r="A57" s="25" t="s">
        <v>17</v>
      </c>
      <c r="B57" s="25"/>
      <c r="C57" s="25"/>
      <c r="D57" s="31"/>
      <c r="E57" s="32">
        <f>SUM(E6:E56)</f>
        <v>382140.27740999992</v>
      </c>
      <c r="F57" s="33">
        <f>SUM(F6:F56)</f>
        <v>68.717166692125076</v>
      </c>
      <c r="G57" s="32"/>
      <c r="H57" s="18"/>
      <c r="I57" s="18"/>
    </row>
    <row r="58" spans="1:9" x14ac:dyDescent="0.2">
      <c r="A58" s="26"/>
      <c r="B58" s="26"/>
      <c r="C58" s="26"/>
      <c r="D58" s="27"/>
      <c r="E58" s="28"/>
      <c r="F58" s="29"/>
      <c r="G58" s="28"/>
    </row>
    <row r="59" spans="1:9" ht="10.5" x14ac:dyDescent="0.25">
      <c r="A59" s="25" t="s">
        <v>269</v>
      </c>
      <c r="B59" s="26"/>
      <c r="C59" s="26"/>
      <c r="D59" s="27"/>
      <c r="E59" s="28"/>
      <c r="F59" s="29"/>
      <c r="G59" s="28"/>
    </row>
    <row r="60" spans="1:9" x14ac:dyDescent="0.2">
      <c r="A60" s="26" t="s">
        <v>411</v>
      </c>
      <c r="B60" s="26" t="s">
        <v>412</v>
      </c>
      <c r="C60" s="26" t="s">
        <v>397</v>
      </c>
      <c r="D60" s="30">
        <v>350</v>
      </c>
      <c r="E60" s="28">
        <v>34411.957649999997</v>
      </c>
      <c r="F60" s="29">
        <v>6.1880214408812799</v>
      </c>
      <c r="G60" s="28">
        <v>7.7750000000000004</v>
      </c>
    </row>
    <row r="61" spans="1:9" x14ac:dyDescent="0.2">
      <c r="A61" s="26" t="s">
        <v>403</v>
      </c>
      <c r="B61" s="26" t="s">
        <v>404</v>
      </c>
      <c r="C61" s="26" t="s">
        <v>405</v>
      </c>
      <c r="D61" s="30">
        <v>2560</v>
      </c>
      <c r="E61" s="28">
        <v>24300.006399999998</v>
      </c>
      <c r="F61" s="29">
        <v>4.3696717910133902</v>
      </c>
      <c r="G61" s="28">
        <v>11.904999999999999</v>
      </c>
    </row>
    <row r="62" spans="1:9" x14ac:dyDescent="0.2">
      <c r="A62" s="26" t="s">
        <v>409</v>
      </c>
      <c r="B62" s="26" t="s">
        <v>410</v>
      </c>
      <c r="C62" s="26" t="s">
        <v>397</v>
      </c>
      <c r="D62" s="30">
        <v>1480</v>
      </c>
      <c r="E62" s="28">
        <v>15472.319600000001</v>
      </c>
      <c r="F62" s="29">
        <v>2.7822609337939701</v>
      </c>
      <c r="G62" s="28">
        <v>7.2649999999999997</v>
      </c>
    </row>
    <row r="63" spans="1:9" x14ac:dyDescent="0.2">
      <c r="A63" s="26" t="s">
        <v>485</v>
      </c>
      <c r="B63" s="26" t="s">
        <v>486</v>
      </c>
      <c r="C63" s="26" t="s">
        <v>400</v>
      </c>
      <c r="D63" s="30">
        <v>1660</v>
      </c>
      <c r="E63" s="28">
        <v>13848.727919999999</v>
      </c>
      <c r="F63" s="29">
        <v>2.4903036952880599</v>
      </c>
      <c r="G63" s="28">
        <v>11.3598</v>
      </c>
    </row>
    <row r="64" spans="1:9" x14ac:dyDescent="0.2">
      <c r="A64" s="26" t="s">
        <v>541</v>
      </c>
      <c r="B64" s="26" t="s">
        <v>542</v>
      </c>
      <c r="C64" s="26" t="s">
        <v>405</v>
      </c>
      <c r="D64" s="30">
        <v>1150</v>
      </c>
      <c r="E64" s="28">
        <v>11630.5825</v>
      </c>
      <c r="F64" s="29">
        <v>2.0914327110343498</v>
      </c>
      <c r="G64" s="28">
        <v>11.97</v>
      </c>
    </row>
    <row r="65" spans="1:7" x14ac:dyDescent="0.2">
      <c r="A65" s="26" t="s">
        <v>401</v>
      </c>
      <c r="B65" s="26" t="s">
        <v>402</v>
      </c>
      <c r="C65" s="26" t="s">
        <v>400</v>
      </c>
      <c r="D65" s="30">
        <v>1280</v>
      </c>
      <c r="E65" s="28">
        <v>10944.01584</v>
      </c>
      <c r="F65" s="29">
        <v>1.9679730329804199</v>
      </c>
      <c r="G65" s="28">
        <v>11.357699999999999</v>
      </c>
    </row>
    <row r="66" spans="1:7" x14ac:dyDescent="0.2">
      <c r="A66" s="26" t="s">
        <v>398</v>
      </c>
      <c r="B66" s="26" t="s">
        <v>399</v>
      </c>
      <c r="C66" s="26" t="s">
        <v>400</v>
      </c>
      <c r="D66" s="30">
        <v>385</v>
      </c>
      <c r="E66" s="28">
        <v>3468.136004</v>
      </c>
      <c r="F66" s="29">
        <v>0.62364658735549505</v>
      </c>
      <c r="G66" s="28">
        <v>11.3598</v>
      </c>
    </row>
    <row r="67" spans="1:7" x14ac:dyDescent="0.2">
      <c r="A67" s="26" t="s">
        <v>591</v>
      </c>
      <c r="B67" s="26" t="s">
        <v>592</v>
      </c>
      <c r="C67" s="26" t="s">
        <v>534</v>
      </c>
      <c r="D67" s="30">
        <v>300</v>
      </c>
      <c r="E67" s="28">
        <v>2939.1570000000002</v>
      </c>
      <c r="F67" s="29">
        <v>0.52852461109884896</v>
      </c>
      <c r="G67" s="28">
        <v>12.549300000000001</v>
      </c>
    </row>
    <row r="68" spans="1:7" x14ac:dyDescent="0.2">
      <c r="A68" s="26" t="s">
        <v>543</v>
      </c>
      <c r="B68" s="26" t="s">
        <v>544</v>
      </c>
      <c r="C68" s="26" t="s">
        <v>375</v>
      </c>
      <c r="D68" s="30">
        <v>15</v>
      </c>
      <c r="E68" s="28">
        <v>2108.1134999999999</v>
      </c>
      <c r="F68" s="29">
        <v>0.379084842265906</v>
      </c>
      <c r="G68" s="28">
        <v>10.19</v>
      </c>
    </row>
    <row r="69" spans="1:7" x14ac:dyDescent="0.2">
      <c r="A69" s="26" t="s">
        <v>413</v>
      </c>
      <c r="B69" s="26" t="s">
        <v>414</v>
      </c>
      <c r="C69" s="26" t="s">
        <v>400</v>
      </c>
      <c r="D69" s="30">
        <v>150</v>
      </c>
      <c r="E69" s="28">
        <v>1322.7270599999999</v>
      </c>
      <c r="F69" s="29">
        <v>0.23785520983616201</v>
      </c>
      <c r="G69" s="28">
        <v>11.3597</v>
      </c>
    </row>
    <row r="70" spans="1:7" x14ac:dyDescent="0.2">
      <c r="A70" s="26" t="s">
        <v>593</v>
      </c>
      <c r="B70" s="26" t="s">
        <v>594</v>
      </c>
      <c r="C70" s="26" t="s">
        <v>16</v>
      </c>
      <c r="D70" s="30">
        <v>13</v>
      </c>
      <c r="E70" s="28">
        <v>133.12234000000001</v>
      </c>
      <c r="F70" s="29">
        <v>2.3938303730310698E-2</v>
      </c>
      <c r="G70" s="28">
        <v>4.3098999999999998</v>
      </c>
    </row>
    <row r="71" spans="1:7" x14ac:dyDescent="0.2">
      <c r="A71" s="26" t="s">
        <v>487</v>
      </c>
      <c r="B71" s="26" t="s">
        <v>488</v>
      </c>
      <c r="C71" s="26" t="s">
        <v>420</v>
      </c>
      <c r="D71" s="30">
        <v>1608</v>
      </c>
      <c r="E71" s="28">
        <v>0</v>
      </c>
      <c r="F71" s="28">
        <v>0</v>
      </c>
      <c r="G71" s="28">
        <v>0</v>
      </c>
    </row>
    <row r="72" spans="1:7" x14ac:dyDescent="0.2">
      <c r="A72" s="26" t="s">
        <v>421</v>
      </c>
      <c r="B72" s="26" t="s">
        <v>422</v>
      </c>
      <c r="C72" s="26" t="s">
        <v>417</v>
      </c>
      <c r="D72" s="30">
        <v>1000</v>
      </c>
      <c r="E72" s="28">
        <v>0</v>
      </c>
      <c r="F72" s="28">
        <v>0</v>
      </c>
      <c r="G72" s="28">
        <v>0</v>
      </c>
    </row>
    <row r="73" spans="1:7" x14ac:dyDescent="0.2">
      <c r="A73" s="26" t="s">
        <v>595</v>
      </c>
      <c r="B73" s="26" t="s">
        <v>596</v>
      </c>
      <c r="C73" s="26" t="s">
        <v>417</v>
      </c>
      <c r="D73" s="30">
        <v>800</v>
      </c>
      <c r="E73" s="28">
        <v>0</v>
      </c>
      <c r="F73" s="28">
        <v>0</v>
      </c>
      <c r="G73" s="28">
        <v>0</v>
      </c>
    </row>
    <row r="74" spans="1:7" x14ac:dyDescent="0.2">
      <c r="A74" s="26" t="s">
        <v>597</v>
      </c>
      <c r="B74" s="26" t="s">
        <v>598</v>
      </c>
      <c r="C74" s="26" t="s">
        <v>420</v>
      </c>
      <c r="D74" s="30">
        <v>775</v>
      </c>
      <c r="E74" s="28">
        <v>0</v>
      </c>
      <c r="F74" s="28">
        <v>0</v>
      </c>
      <c r="G74" s="28">
        <v>0</v>
      </c>
    </row>
    <row r="75" spans="1:7" x14ac:dyDescent="0.2">
      <c r="A75" s="26" t="s">
        <v>599</v>
      </c>
      <c r="B75" s="26" t="s">
        <v>600</v>
      </c>
      <c r="C75" s="26" t="s">
        <v>417</v>
      </c>
      <c r="D75" s="30">
        <v>600</v>
      </c>
      <c r="E75" s="28">
        <v>0</v>
      </c>
      <c r="F75" s="28">
        <v>0</v>
      </c>
      <c r="G75" s="28">
        <v>0</v>
      </c>
    </row>
    <row r="76" spans="1:7" x14ac:dyDescent="0.2">
      <c r="A76" s="26" t="s">
        <v>601</v>
      </c>
      <c r="B76" s="26" t="s">
        <v>602</v>
      </c>
      <c r="C76" s="26" t="s">
        <v>417</v>
      </c>
      <c r="D76" s="30">
        <v>500</v>
      </c>
      <c r="E76" s="28">
        <v>0</v>
      </c>
      <c r="F76" s="28">
        <v>0</v>
      </c>
      <c r="G76" s="28">
        <v>0</v>
      </c>
    </row>
    <row r="77" spans="1:7" x14ac:dyDescent="0.2">
      <c r="A77" s="26" t="s">
        <v>603</v>
      </c>
      <c r="B77" s="26" t="s">
        <v>604</v>
      </c>
      <c r="C77" s="26" t="s">
        <v>417</v>
      </c>
      <c r="D77" s="30">
        <v>375</v>
      </c>
      <c r="E77" s="28">
        <v>0</v>
      </c>
      <c r="F77" s="28">
        <v>0</v>
      </c>
      <c r="G77" s="28">
        <v>0</v>
      </c>
    </row>
    <row r="78" spans="1:7" x14ac:dyDescent="0.2">
      <c r="A78" s="26" t="s">
        <v>605</v>
      </c>
      <c r="B78" s="26" t="s">
        <v>606</v>
      </c>
      <c r="C78" s="26" t="s">
        <v>417</v>
      </c>
      <c r="D78" s="30">
        <v>350</v>
      </c>
      <c r="E78" s="28">
        <v>0</v>
      </c>
      <c r="F78" s="28">
        <v>0</v>
      </c>
      <c r="G78" s="28">
        <v>0</v>
      </c>
    </row>
    <row r="79" spans="1:7" x14ac:dyDescent="0.2">
      <c r="A79" s="26" t="s">
        <v>607</v>
      </c>
      <c r="B79" s="26" t="s">
        <v>608</v>
      </c>
      <c r="C79" s="26" t="s">
        <v>417</v>
      </c>
      <c r="D79" s="30">
        <v>300</v>
      </c>
      <c r="E79" s="28">
        <v>0</v>
      </c>
      <c r="F79" s="28">
        <v>0</v>
      </c>
      <c r="G79" s="28">
        <v>0</v>
      </c>
    </row>
    <row r="80" spans="1:7" x14ac:dyDescent="0.2">
      <c r="A80" s="26" t="s">
        <v>609</v>
      </c>
      <c r="B80" s="26" t="s">
        <v>610</v>
      </c>
      <c r="C80" s="26" t="s">
        <v>417</v>
      </c>
      <c r="D80" s="30">
        <v>200</v>
      </c>
      <c r="E80" s="28">
        <v>0</v>
      </c>
      <c r="F80" s="28">
        <v>0</v>
      </c>
      <c r="G80" s="28">
        <v>0</v>
      </c>
    </row>
    <row r="81" spans="1:9" x14ac:dyDescent="0.2">
      <c r="A81" s="26" t="s">
        <v>611</v>
      </c>
      <c r="B81" s="26" t="s">
        <v>612</v>
      </c>
      <c r="C81" s="26" t="s">
        <v>417</v>
      </c>
      <c r="D81" s="30">
        <v>100</v>
      </c>
      <c r="E81" s="28">
        <v>0</v>
      </c>
      <c r="F81" s="28">
        <v>0</v>
      </c>
      <c r="G81" s="28">
        <v>0</v>
      </c>
    </row>
    <row r="82" spans="1:9" x14ac:dyDescent="0.2">
      <c r="A82" s="26" t="s">
        <v>489</v>
      </c>
      <c r="B82" s="26" t="s">
        <v>490</v>
      </c>
      <c r="C82" s="26" t="s">
        <v>420</v>
      </c>
      <c r="D82" s="30">
        <v>28</v>
      </c>
      <c r="E82" s="28">
        <v>0</v>
      </c>
      <c r="F82" s="28">
        <v>0</v>
      </c>
      <c r="G82" s="28">
        <v>0</v>
      </c>
    </row>
    <row r="83" spans="1:9" ht="10.5" x14ac:dyDescent="0.25">
      <c r="A83" s="25" t="s">
        <v>17</v>
      </c>
      <c r="B83" s="25"/>
      <c r="C83" s="25"/>
      <c r="D83" s="31"/>
      <c r="E83" s="32">
        <f>SUM(E59:E82)</f>
        <v>120578.86581400002</v>
      </c>
      <c r="F83" s="33">
        <f>SUM(F59:F82)</f>
        <v>21.682713159278197</v>
      </c>
      <c r="G83" s="32"/>
      <c r="H83" s="18"/>
      <c r="I83" s="18"/>
    </row>
    <row r="84" spans="1:9" x14ac:dyDescent="0.2">
      <c r="A84" s="26"/>
      <c r="B84" s="26"/>
      <c r="C84" s="26"/>
      <c r="D84" s="27"/>
      <c r="E84" s="28"/>
      <c r="F84" s="29"/>
      <c r="G84" s="28"/>
    </row>
    <row r="85" spans="1:9" ht="10.5" x14ac:dyDescent="0.25">
      <c r="A85" s="25" t="s">
        <v>62</v>
      </c>
      <c r="B85" s="25"/>
      <c r="C85" s="25"/>
      <c r="D85" s="31"/>
      <c r="E85" s="32">
        <f>E57+E83</f>
        <v>502719.14322399994</v>
      </c>
      <c r="F85" s="33">
        <f>F57+F83</f>
        <v>90.39987985140327</v>
      </c>
      <c r="G85" s="32"/>
      <c r="H85" s="18"/>
      <c r="I85" s="18"/>
    </row>
    <row r="86" spans="1:9" ht="10.5" x14ac:dyDescent="0.25">
      <c r="A86" s="25"/>
      <c r="B86" s="25"/>
      <c r="C86" s="25"/>
      <c r="D86" s="31"/>
      <c r="E86" s="32"/>
      <c r="F86" s="33"/>
      <c r="G86" s="32"/>
      <c r="H86" s="18"/>
      <c r="I86" s="18"/>
    </row>
    <row r="87" spans="1:9" ht="10.5" x14ac:dyDescent="0.25">
      <c r="A87" s="25" t="s">
        <v>63</v>
      </c>
      <c r="B87" s="25"/>
      <c r="C87" s="25"/>
      <c r="D87" s="31"/>
      <c r="E87" s="32">
        <f>E89-(E57+E83)</f>
        <v>53386.842813100026</v>
      </c>
      <c r="F87" s="33">
        <f>F89-(F57+F83)</f>
        <v>9.60012014859673</v>
      </c>
      <c r="G87" s="32"/>
      <c r="H87" s="18"/>
      <c r="I87" s="18"/>
    </row>
    <row r="88" spans="1:9" ht="10.5" x14ac:dyDescent="0.25">
      <c r="A88" s="25"/>
      <c r="B88" s="25"/>
      <c r="C88" s="25"/>
      <c r="D88" s="31"/>
      <c r="E88" s="32"/>
      <c r="F88" s="33"/>
      <c r="G88" s="32"/>
      <c r="H88" s="18"/>
      <c r="I88" s="18"/>
    </row>
    <row r="89" spans="1:9" ht="10.5" x14ac:dyDescent="0.25">
      <c r="A89" s="34" t="s">
        <v>64</v>
      </c>
      <c r="B89" s="34"/>
      <c r="C89" s="34"/>
      <c r="D89" s="35"/>
      <c r="E89" s="36">
        <v>556105.98603709997</v>
      </c>
      <c r="F89" s="37">
        <v>100</v>
      </c>
      <c r="G89" s="36"/>
      <c r="H89" s="18"/>
      <c r="I89" s="18"/>
    </row>
    <row r="90" spans="1:9" ht="10.5" x14ac:dyDescent="0.25">
      <c r="F90" s="19"/>
    </row>
    <row r="91" spans="1:9" ht="10.5" x14ac:dyDescent="0.25">
      <c r="A91" s="18" t="s">
        <v>66</v>
      </c>
    </row>
    <row r="92" spans="1:9" ht="10.5" x14ac:dyDescent="0.25">
      <c r="A92" s="18" t="s">
        <v>425</v>
      </c>
    </row>
    <row r="93" spans="1:9" ht="10.5" x14ac:dyDescent="0.25">
      <c r="A93" s="18" t="s">
        <v>426</v>
      </c>
    </row>
    <row r="95" spans="1:9" ht="10.5" x14ac:dyDescent="0.25">
      <c r="A95" s="18" t="s">
        <v>67</v>
      </c>
    </row>
    <row r="96" spans="1:9" ht="10.5" x14ac:dyDescent="0.25">
      <c r="A96" s="18" t="s">
        <v>68</v>
      </c>
    </row>
    <row r="97" spans="1:5" ht="10.5" x14ac:dyDescent="0.25">
      <c r="A97" s="18" t="s">
        <v>69</v>
      </c>
      <c r="B97" s="18"/>
      <c r="C97" s="38" t="s">
        <v>70</v>
      </c>
      <c r="D97" s="43" t="s">
        <v>71</v>
      </c>
    </row>
    <row r="98" spans="1:5" x14ac:dyDescent="0.2">
      <c r="A98" s="9" t="s">
        <v>149</v>
      </c>
      <c r="C98" s="39">
        <v>3751.0288</v>
      </c>
      <c r="D98" s="39">
        <v>3856.1433999999999</v>
      </c>
    </row>
    <row r="99" spans="1:5" x14ac:dyDescent="0.2">
      <c r="A99" s="9" t="s">
        <v>545</v>
      </c>
      <c r="C99" s="39">
        <v>948.05219999999997</v>
      </c>
      <c r="D99" s="39">
        <v>974.61929999999995</v>
      </c>
    </row>
    <row r="100" spans="1:5" x14ac:dyDescent="0.2">
      <c r="A100" s="9" t="s">
        <v>151</v>
      </c>
      <c r="C100" s="39">
        <v>1046.6963000000001</v>
      </c>
      <c r="D100" s="39">
        <v>1076.0278000000001</v>
      </c>
    </row>
    <row r="101" spans="1:5" x14ac:dyDescent="0.2">
      <c r="A101" s="9" t="s">
        <v>152</v>
      </c>
      <c r="C101" s="39">
        <v>1088.8876</v>
      </c>
      <c r="D101" s="39">
        <v>1119.4014</v>
      </c>
    </row>
    <row r="102" spans="1:5" x14ac:dyDescent="0.2">
      <c r="A102" s="9" t="s">
        <v>75</v>
      </c>
      <c r="C102" s="39">
        <v>3107.6547999999998</v>
      </c>
      <c r="D102" s="39">
        <v>3194.5654</v>
      </c>
    </row>
    <row r="103" spans="1:5" x14ac:dyDescent="0.2">
      <c r="A103" s="9" t="s">
        <v>153</v>
      </c>
      <c r="C103" s="39">
        <v>3974.4404</v>
      </c>
      <c r="D103" s="39">
        <v>4101.2924999999996</v>
      </c>
    </row>
    <row r="104" spans="1:5" x14ac:dyDescent="0.2">
      <c r="A104" s="9" t="s">
        <v>613</v>
      </c>
      <c r="C104" s="39">
        <v>953.75379999999996</v>
      </c>
      <c r="D104" s="39">
        <v>984.19470000000001</v>
      </c>
    </row>
    <row r="105" spans="1:5" x14ac:dyDescent="0.2">
      <c r="A105" s="9" t="s">
        <v>155</v>
      </c>
      <c r="C105" s="39">
        <v>1127.087</v>
      </c>
      <c r="D105" s="39">
        <v>1163.0601999999999</v>
      </c>
    </row>
    <row r="106" spans="1:5" x14ac:dyDescent="0.2">
      <c r="A106" s="9" t="s">
        <v>156</v>
      </c>
      <c r="C106" s="39">
        <v>1174.1107999999999</v>
      </c>
      <c r="D106" s="39">
        <v>1211.5849000000001</v>
      </c>
    </row>
    <row r="108" spans="1:5" ht="10.5" x14ac:dyDescent="0.25">
      <c r="A108" s="18" t="s">
        <v>90</v>
      </c>
      <c r="D108" s="43" t="s">
        <v>96</v>
      </c>
    </row>
    <row r="110" spans="1:5" ht="10.5" x14ac:dyDescent="0.25">
      <c r="A110" s="18" t="s">
        <v>94</v>
      </c>
      <c r="D110" s="42">
        <v>2.5767490012602701</v>
      </c>
      <c r="E110" s="13" t="s">
        <v>95</v>
      </c>
    </row>
    <row r="112" spans="1:5" ht="10.5" x14ac:dyDescent="0.25">
      <c r="A112" s="18" t="s">
        <v>1506</v>
      </c>
      <c r="D112" s="43" t="s">
        <v>96</v>
      </c>
    </row>
    <row r="113" spans="1:7" x14ac:dyDescent="0.2">
      <c r="A113" s="9" t="s">
        <v>427</v>
      </c>
    </row>
    <row r="114" spans="1:7" x14ac:dyDescent="0.2">
      <c r="A114" s="47" t="s">
        <v>428</v>
      </c>
    </row>
    <row r="116" spans="1:7" ht="27.75" customHeight="1" x14ac:dyDescent="0.2">
      <c r="A116" s="73" t="s">
        <v>614</v>
      </c>
      <c r="B116" s="73"/>
      <c r="C116" s="73"/>
      <c r="D116" s="73"/>
      <c r="E116" s="73"/>
      <c r="F116" s="73"/>
      <c r="G116" s="73"/>
    </row>
    <row r="118" spans="1:7" ht="10.5" x14ac:dyDescent="0.25">
      <c r="A118" s="18" t="s">
        <v>615</v>
      </c>
    </row>
    <row r="119" spans="1:7" x14ac:dyDescent="0.2">
      <c r="A119" s="46" t="s">
        <v>283</v>
      </c>
    </row>
    <row r="121" spans="1:7" ht="51" customHeight="1" x14ac:dyDescent="0.2">
      <c r="A121" s="74" t="s">
        <v>616</v>
      </c>
      <c r="B121" s="74"/>
      <c r="C121" s="74"/>
      <c r="D121" s="74"/>
      <c r="E121" s="74"/>
      <c r="F121" s="74"/>
      <c r="G121" s="74"/>
    </row>
    <row r="123" spans="1:7" ht="27.75" customHeight="1" x14ac:dyDescent="0.2">
      <c r="A123" s="75" t="s">
        <v>617</v>
      </c>
      <c r="B123" s="75"/>
      <c r="C123" s="75"/>
      <c r="D123" s="75"/>
      <c r="E123" s="75"/>
      <c r="F123" s="75"/>
      <c r="G123" s="75"/>
    </row>
    <row r="124" spans="1:7" ht="10.5" x14ac:dyDescent="0.2">
      <c r="A124" s="63"/>
      <c r="B124" s="63"/>
      <c r="C124" s="63"/>
      <c r="D124" s="63"/>
      <c r="E124" s="63"/>
      <c r="F124" s="63"/>
      <c r="G124" s="63"/>
    </row>
    <row r="125" spans="1:7" ht="10.5" x14ac:dyDescent="0.25">
      <c r="A125" s="18" t="s">
        <v>1515</v>
      </c>
      <c r="B125" s="63"/>
      <c r="C125" s="63"/>
      <c r="D125" s="63"/>
      <c r="E125" s="63"/>
      <c r="F125" s="63"/>
      <c r="G125" s="63"/>
    </row>
    <row r="126" spans="1:7" ht="10.5" x14ac:dyDescent="0.2">
      <c r="A126" s="47" t="s">
        <v>1509</v>
      </c>
      <c r="B126" s="63"/>
      <c r="C126" s="63"/>
      <c r="D126" s="63"/>
      <c r="E126" s="63"/>
      <c r="F126" s="63"/>
      <c r="G126" s="63"/>
    </row>
    <row r="129" spans="1:9" s="1" customFormat="1" ht="14" x14ac:dyDescent="0.25">
      <c r="A129" s="66" t="s">
        <v>618</v>
      </c>
      <c r="B129" s="67"/>
      <c r="C129" s="67"/>
      <c r="D129" s="67"/>
      <c r="E129" s="67"/>
      <c r="F129" s="67"/>
      <c r="G129" s="67"/>
    </row>
    <row r="130" spans="1:9" ht="10.5" x14ac:dyDescent="0.25">
      <c r="A130" s="18" t="s">
        <v>1</v>
      </c>
    </row>
    <row r="131" spans="1:9" s="1" customFormat="1" ht="17.5" customHeight="1" x14ac:dyDescent="0.25">
      <c r="A131" s="8" t="s">
        <v>2</v>
      </c>
      <c r="B131" s="8" t="s">
        <v>3</v>
      </c>
      <c r="C131" s="17" t="s">
        <v>4</v>
      </c>
      <c r="D131" s="16" t="s">
        <v>5</v>
      </c>
      <c r="E131" s="15" t="s">
        <v>6</v>
      </c>
      <c r="F131" s="15" t="s">
        <v>7</v>
      </c>
      <c r="G131" s="15" t="s">
        <v>8</v>
      </c>
    </row>
    <row r="132" spans="1:9" ht="10.5" x14ac:dyDescent="0.25">
      <c r="A132" s="20" t="s">
        <v>9</v>
      </c>
      <c r="B132" s="21"/>
      <c r="C132" s="21"/>
      <c r="D132" s="22"/>
      <c r="E132" s="23"/>
      <c r="F132" s="24"/>
      <c r="G132" s="23"/>
    </row>
    <row r="133" spans="1:9" ht="10.5" x14ac:dyDescent="0.25">
      <c r="A133" s="25" t="s">
        <v>10</v>
      </c>
      <c r="B133" s="26"/>
      <c r="C133" s="26"/>
      <c r="D133" s="27"/>
      <c r="E133" s="28"/>
      <c r="F133" s="29"/>
      <c r="G133" s="28"/>
    </row>
    <row r="134" spans="1:9" x14ac:dyDescent="0.2">
      <c r="A134" s="26" t="s">
        <v>433</v>
      </c>
      <c r="B134" s="26" t="s">
        <v>434</v>
      </c>
      <c r="C134" s="26" t="s">
        <v>435</v>
      </c>
      <c r="D134" s="30">
        <v>5230</v>
      </c>
      <c r="E134" s="28">
        <v>0</v>
      </c>
      <c r="F134" s="29">
        <v>100</v>
      </c>
      <c r="G134" s="28">
        <v>0</v>
      </c>
    </row>
    <row r="135" spans="1:9" ht="10.5" x14ac:dyDescent="0.25">
      <c r="A135" s="25" t="s">
        <v>17</v>
      </c>
      <c r="B135" s="25"/>
      <c r="C135" s="25"/>
      <c r="D135" s="31"/>
      <c r="E135" s="32">
        <f>SUM(E133:E134)</f>
        <v>0</v>
      </c>
      <c r="F135" s="33">
        <f>SUM(F133:F134)</f>
        <v>100</v>
      </c>
      <c r="G135" s="32"/>
      <c r="H135" s="18"/>
      <c r="I135" s="18"/>
    </row>
    <row r="136" spans="1:9" x14ac:dyDescent="0.2">
      <c r="A136" s="26"/>
      <c r="B136" s="26"/>
      <c r="C136" s="26"/>
      <c r="D136" s="27"/>
      <c r="E136" s="28"/>
      <c r="F136" s="29"/>
      <c r="G136" s="28"/>
    </row>
    <row r="137" spans="1:9" ht="10.5" x14ac:dyDescent="0.25">
      <c r="A137" s="25" t="s">
        <v>62</v>
      </c>
      <c r="B137" s="25"/>
      <c r="C137" s="25"/>
      <c r="D137" s="31"/>
      <c r="E137" s="32">
        <f>E135</f>
        <v>0</v>
      </c>
      <c r="F137" s="33">
        <f>F135</f>
        <v>100</v>
      </c>
      <c r="G137" s="32"/>
      <c r="H137" s="18"/>
      <c r="I137" s="18"/>
    </row>
    <row r="138" spans="1:9" ht="10.5" x14ac:dyDescent="0.25">
      <c r="A138" s="25"/>
      <c r="B138" s="25"/>
      <c r="C138" s="25"/>
      <c r="D138" s="31"/>
      <c r="E138" s="32"/>
      <c r="F138" s="33"/>
      <c r="G138" s="32"/>
      <c r="H138" s="18"/>
      <c r="I138" s="18"/>
    </row>
    <row r="139" spans="1:9" ht="10.5" x14ac:dyDescent="0.25">
      <c r="A139" s="25" t="s">
        <v>63</v>
      </c>
      <c r="B139" s="25"/>
      <c r="C139" s="25"/>
      <c r="D139" s="31"/>
      <c r="E139" s="32">
        <f>E141-(E135)</f>
        <v>8.9999999999999996E-7</v>
      </c>
      <c r="F139" s="33">
        <v>0</v>
      </c>
      <c r="G139" s="32"/>
      <c r="H139" s="18"/>
      <c r="I139" s="18"/>
    </row>
    <row r="140" spans="1:9" ht="10.5" x14ac:dyDescent="0.25">
      <c r="A140" s="25"/>
      <c r="B140" s="25"/>
      <c r="C140" s="25"/>
      <c r="D140" s="31"/>
      <c r="E140" s="32"/>
      <c r="F140" s="33"/>
      <c r="G140" s="32"/>
      <c r="H140" s="18"/>
      <c r="I140" s="18"/>
    </row>
    <row r="141" spans="1:9" ht="10.5" x14ac:dyDescent="0.25">
      <c r="A141" s="34" t="s">
        <v>64</v>
      </c>
      <c r="B141" s="34"/>
      <c r="C141" s="34"/>
      <c r="D141" s="35"/>
      <c r="E141" s="36">
        <v>8.9999999999999996E-7</v>
      </c>
      <c r="F141" s="37">
        <v>100</v>
      </c>
      <c r="G141" s="36"/>
      <c r="H141" s="18"/>
      <c r="I141" s="18"/>
    </row>
    <row r="142" spans="1:9" ht="10.5" x14ac:dyDescent="0.25">
      <c r="F142" s="19"/>
    </row>
    <row r="143" spans="1:9" ht="10.5" x14ac:dyDescent="0.25">
      <c r="A143" s="18" t="s">
        <v>66</v>
      </c>
    </row>
    <row r="144" spans="1:9" ht="10.5" x14ac:dyDescent="0.25">
      <c r="A144" s="49" t="s">
        <v>425</v>
      </c>
    </row>
    <row r="145" spans="1:4" ht="10.5" x14ac:dyDescent="0.25">
      <c r="A145" s="18" t="s">
        <v>426</v>
      </c>
    </row>
    <row r="147" spans="1:4" ht="10.5" x14ac:dyDescent="0.25">
      <c r="A147" s="18" t="s">
        <v>67</v>
      </c>
    </row>
    <row r="148" spans="1:4" ht="10.5" x14ac:dyDescent="0.25">
      <c r="A148" s="18" t="s">
        <v>68</v>
      </c>
    </row>
    <row r="149" spans="1:4" ht="10.5" x14ac:dyDescent="0.25">
      <c r="A149" s="18" t="s">
        <v>69</v>
      </c>
      <c r="B149" s="18"/>
      <c r="C149" s="38" t="s">
        <v>70</v>
      </c>
      <c r="D149" s="43" t="s">
        <v>71</v>
      </c>
    </row>
    <row r="150" spans="1:4" x14ac:dyDescent="0.2">
      <c r="A150" s="9" t="s">
        <v>149</v>
      </c>
      <c r="C150" s="39">
        <v>0</v>
      </c>
      <c r="D150" s="39">
        <v>0</v>
      </c>
    </row>
    <row r="151" spans="1:4" x14ac:dyDescent="0.2">
      <c r="A151" s="9" t="s">
        <v>545</v>
      </c>
      <c r="C151" s="39">
        <v>0</v>
      </c>
      <c r="D151" s="39">
        <v>0</v>
      </c>
    </row>
    <row r="152" spans="1:4" x14ac:dyDescent="0.2">
      <c r="A152" s="9" t="s">
        <v>151</v>
      </c>
      <c r="C152" s="39">
        <v>0</v>
      </c>
      <c r="D152" s="39">
        <v>0</v>
      </c>
    </row>
    <row r="153" spans="1:4" x14ac:dyDescent="0.2">
      <c r="A153" s="9" t="s">
        <v>152</v>
      </c>
      <c r="C153" s="39">
        <v>0</v>
      </c>
      <c r="D153" s="39">
        <v>0</v>
      </c>
    </row>
    <row r="154" spans="1:4" x14ac:dyDescent="0.2">
      <c r="A154" s="9" t="s">
        <v>75</v>
      </c>
      <c r="C154" s="39">
        <v>0</v>
      </c>
      <c r="D154" s="39">
        <v>0</v>
      </c>
    </row>
    <row r="155" spans="1:4" x14ac:dyDescent="0.2">
      <c r="A155" s="9" t="s">
        <v>153</v>
      </c>
      <c r="C155" s="39">
        <v>0</v>
      </c>
      <c r="D155" s="39">
        <v>0</v>
      </c>
    </row>
    <row r="156" spans="1:4" x14ac:dyDescent="0.2">
      <c r="A156" s="9" t="s">
        <v>613</v>
      </c>
      <c r="C156" s="39">
        <v>0</v>
      </c>
      <c r="D156" s="39">
        <v>0</v>
      </c>
    </row>
    <row r="157" spans="1:4" x14ac:dyDescent="0.2">
      <c r="A157" s="9" t="s">
        <v>155</v>
      </c>
      <c r="C157" s="39">
        <v>0</v>
      </c>
      <c r="D157" s="39">
        <v>0</v>
      </c>
    </row>
    <row r="158" spans="1:4" x14ac:dyDescent="0.2">
      <c r="A158" s="9" t="s">
        <v>156</v>
      </c>
      <c r="C158" s="39">
        <v>0</v>
      </c>
      <c r="D158" s="39">
        <v>0</v>
      </c>
    </row>
    <row r="160" spans="1:4" ht="10.5" x14ac:dyDescent="0.25">
      <c r="A160" s="18" t="s">
        <v>1507</v>
      </c>
      <c r="D160" s="43" t="s">
        <v>96</v>
      </c>
    </row>
    <row r="161" spans="1:9" x14ac:dyDescent="0.2">
      <c r="A161" s="9" t="s">
        <v>427</v>
      </c>
    </row>
    <row r="162" spans="1:9" x14ac:dyDescent="0.2">
      <c r="A162" s="47" t="s">
        <v>428</v>
      </c>
    </row>
    <row r="163" spans="1:9" x14ac:dyDescent="0.2">
      <c r="A163" s="47"/>
    </row>
    <row r="164" spans="1:9" ht="10.5" x14ac:dyDescent="0.25">
      <c r="A164" s="18" t="s">
        <v>1513</v>
      </c>
    </row>
    <row r="165" spans="1:9" x14ac:dyDescent="0.2">
      <c r="A165" s="47" t="s">
        <v>1509</v>
      </c>
    </row>
    <row r="166" spans="1:9" x14ac:dyDescent="0.2">
      <c r="A166" s="47"/>
    </row>
    <row r="168" spans="1:9" s="1" customFormat="1" ht="14" x14ac:dyDescent="0.25">
      <c r="A168" s="66" t="s">
        <v>619</v>
      </c>
      <c r="B168" s="67"/>
      <c r="C168" s="67"/>
      <c r="D168" s="67"/>
      <c r="E168" s="67"/>
      <c r="F168" s="67"/>
      <c r="G168" s="67"/>
    </row>
    <row r="169" spans="1:9" ht="10.5" x14ac:dyDescent="0.25">
      <c r="A169" s="18" t="s">
        <v>1</v>
      </c>
    </row>
    <row r="170" spans="1:9" s="1" customFormat="1" ht="17.5" customHeight="1" x14ac:dyDescent="0.25">
      <c r="A170" s="8" t="s">
        <v>2</v>
      </c>
      <c r="B170" s="8" t="s">
        <v>3</v>
      </c>
      <c r="C170" s="17" t="s">
        <v>4</v>
      </c>
      <c r="D170" s="16" t="s">
        <v>5</v>
      </c>
      <c r="E170" s="15" t="s">
        <v>6</v>
      </c>
      <c r="F170" s="15" t="s">
        <v>7</v>
      </c>
      <c r="G170" s="15" t="s">
        <v>8</v>
      </c>
    </row>
    <row r="171" spans="1:9" ht="10.5" x14ac:dyDescent="0.25">
      <c r="A171" s="20" t="s">
        <v>9</v>
      </c>
      <c r="B171" s="21"/>
      <c r="C171" s="21"/>
      <c r="D171" s="22"/>
      <c r="E171" s="23"/>
      <c r="F171" s="24"/>
      <c r="G171" s="23"/>
    </row>
    <row r="172" spans="1:9" ht="10.5" x14ac:dyDescent="0.25">
      <c r="A172" s="25" t="s">
        <v>10</v>
      </c>
      <c r="B172" s="26"/>
      <c r="C172" s="26"/>
      <c r="D172" s="27"/>
      <c r="E172" s="28"/>
      <c r="F172" s="29"/>
      <c r="G172" s="28"/>
    </row>
    <row r="173" spans="1:9" ht="20" x14ac:dyDescent="0.2">
      <c r="A173" s="26" t="s">
        <v>437</v>
      </c>
      <c r="B173" s="26" t="s">
        <v>438</v>
      </c>
      <c r="C173" s="48" t="s">
        <v>439</v>
      </c>
      <c r="D173" s="30">
        <v>3523</v>
      </c>
      <c r="E173" s="28">
        <v>0</v>
      </c>
      <c r="F173" s="29">
        <v>100</v>
      </c>
      <c r="G173" s="28">
        <v>0</v>
      </c>
    </row>
    <row r="174" spans="1:9" ht="10.5" x14ac:dyDescent="0.25">
      <c r="A174" s="25" t="s">
        <v>17</v>
      </c>
      <c r="B174" s="25"/>
      <c r="C174" s="25"/>
      <c r="D174" s="31"/>
      <c r="E174" s="32">
        <f>SUM(E172:E173)</f>
        <v>0</v>
      </c>
      <c r="F174" s="33">
        <f>SUM(F172:F173)</f>
        <v>100</v>
      </c>
      <c r="G174" s="32"/>
      <c r="H174" s="18"/>
      <c r="I174" s="18"/>
    </row>
    <row r="175" spans="1:9" x14ac:dyDescent="0.2">
      <c r="A175" s="26"/>
      <c r="B175" s="26"/>
      <c r="C175" s="26"/>
      <c r="D175" s="27"/>
      <c r="E175" s="28"/>
      <c r="F175" s="29"/>
      <c r="G175" s="28"/>
    </row>
    <row r="176" spans="1:9" ht="10.5" x14ac:dyDescent="0.25">
      <c r="A176" s="25" t="s">
        <v>62</v>
      </c>
      <c r="B176" s="25"/>
      <c r="C176" s="25"/>
      <c r="D176" s="31"/>
      <c r="E176" s="32">
        <f>E174</f>
        <v>0</v>
      </c>
      <c r="F176" s="33">
        <f>F174</f>
        <v>100</v>
      </c>
      <c r="G176" s="32"/>
      <c r="H176" s="18"/>
      <c r="I176" s="18"/>
    </row>
    <row r="177" spans="1:9" ht="10.5" x14ac:dyDescent="0.25">
      <c r="A177" s="25"/>
      <c r="B177" s="25"/>
      <c r="C177" s="25"/>
      <c r="D177" s="31"/>
      <c r="E177" s="32"/>
      <c r="F177" s="33"/>
      <c r="G177" s="32"/>
      <c r="H177" s="18"/>
      <c r="I177" s="18"/>
    </row>
    <row r="178" spans="1:9" ht="10.5" x14ac:dyDescent="0.25">
      <c r="A178" s="25" t="s">
        <v>63</v>
      </c>
      <c r="B178" s="25"/>
      <c r="C178" s="25"/>
      <c r="D178" s="31"/>
      <c r="E178" s="32">
        <f>E180-(E174)</f>
        <v>8.9999999999999996E-7</v>
      </c>
      <c r="F178" s="33">
        <v>0</v>
      </c>
      <c r="G178" s="32"/>
      <c r="H178" s="18"/>
      <c r="I178" s="18"/>
    </row>
    <row r="179" spans="1:9" ht="10.5" x14ac:dyDescent="0.25">
      <c r="A179" s="25"/>
      <c r="B179" s="25"/>
      <c r="C179" s="25"/>
      <c r="D179" s="31"/>
      <c r="E179" s="32"/>
      <c r="F179" s="33"/>
      <c r="G179" s="32"/>
      <c r="H179" s="18"/>
      <c r="I179" s="18"/>
    </row>
    <row r="180" spans="1:9" ht="10.5" x14ac:dyDescent="0.25">
      <c r="A180" s="34" t="s">
        <v>64</v>
      </c>
      <c r="B180" s="34"/>
      <c r="C180" s="34"/>
      <c r="D180" s="35"/>
      <c r="E180" s="36">
        <v>8.9999999999999996E-7</v>
      </c>
      <c r="F180" s="37">
        <v>100</v>
      </c>
      <c r="G180" s="36"/>
      <c r="H180" s="18"/>
      <c r="I180" s="18"/>
    </row>
    <row r="181" spans="1:9" ht="10.5" x14ac:dyDescent="0.25">
      <c r="F181" s="19"/>
    </row>
    <row r="182" spans="1:9" ht="10.5" x14ac:dyDescent="0.25">
      <c r="A182" s="18" t="s">
        <v>66</v>
      </c>
    </row>
    <row r="183" spans="1:9" ht="10.5" x14ac:dyDescent="0.25">
      <c r="A183" s="18" t="s">
        <v>425</v>
      </c>
    </row>
    <row r="185" spans="1:9" ht="10.5" x14ac:dyDescent="0.25">
      <c r="A185" s="18" t="s">
        <v>67</v>
      </c>
    </row>
    <row r="186" spans="1:9" ht="10.5" x14ac:dyDescent="0.25">
      <c r="A186" s="18" t="s">
        <v>68</v>
      </c>
    </row>
    <row r="187" spans="1:9" ht="10.5" x14ac:dyDescent="0.25">
      <c r="A187" s="18" t="s">
        <v>69</v>
      </c>
      <c r="B187" s="18"/>
      <c r="C187" s="38" t="s">
        <v>70</v>
      </c>
      <c r="D187" s="43" t="s">
        <v>71</v>
      </c>
    </row>
    <row r="188" spans="1:9" x14ac:dyDescent="0.2">
      <c r="A188" s="9" t="s">
        <v>149</v>
      </c>
      <c r="C188" s="39">
        <v>0</v>
      </c>
      <c r="D188" s="39">
        <v>0</v>
      </c>
    </row>
    <row r="189" spans="1:9" x14ac:dyDescent="0.2">
      <c r="A189" s="9" t="s">
        <v>545</v>
      </c>
      <c r="C189" s="39">
        <v>0</v>
      </c>
      <c r="D189" s="39">
        <v>0</v>
      </c>
    </row>
    <row r="190" spans="1:9" x14ac:dyDescent="0.2">
      <c r="A190" s="9" t="s">
        <v>151</v>
      </c>
      <c r="C190" s="39">
        <v>0</v>
      </c>
      <c r="D190" s="39">
        <v>0</v>
      </c>
    </row>
    <row r="191" spans="1:9" x14ac:dyDescent="0.2">
      <c r="A191" s="9" t="s">
        <v>152</v>
      </c>
      <c r="C191" s="39">
        <v>0</v>
      </c>
      <c r="D191" s="39">
        <v>0</v>
      </c>
    </row>
    <row r="192" spans="1:9" x14ac:dyDescent="0.2">
      <c r="A192" s="9" t="s">
        <v>75</v>
      </c>
      <c r="C192" s="39">
        <v>0</v>
      </c>
      <c r="D192" s="39">
        <v>0</v>
      </c>
    </row>
    <row r="193" spans="1:4" x14ac:dyDescent="0.2">
      <c r="A193" s="9" t="s">
        <v>153</v>
      </c>
      <c r="C193" s="39">
        <v>0</v>
      </c>
      <c r="D193" s="39">
        <v>0</v>
      </c>
    </row>
    <row r="194" spans="1:4" x14ac:dyDescent="0.2">
      <c r="A194" s="9" t="s">
        <v>613</v>
      </c>
      <c r="C194" s="39">
        <v>0</v>
      </c>
      <c r="D194" s="39">
        <v>0</v>
      </c>
    </row>
    <row r="195" spans="1:4" x14ac:dyDescent="0.2">
      <c r="A195" s="9" t="s">
        <v>155</v>
      </c>
      <c r="C195" s="39">
        <v>0</v>
      </c>
      <c r="D195" s="39">
        <v>0</v>
      </c>
    </row>
    <row r="196" spans="1:4" x14ac:dyDescent="0.2">
      <c r="A196" s="9" t="s">
        <v>156</v>
      </c>
      <c r="C196" s="39">
        <v>0</v>
      </c>
      <c r="D196" s="39">
        <v>0</v>
      </c>
    </row>
    <row r="198" spans="1:4" ht="10.5" x14ac:dyDescent="0.25">
      <c r="A198" s="18" t="s">
        <v>1507</v>
      </c>
      <c r="D198" s="43" t="s">
        <v>96</v>
      </c>
    </row>
    <row r="199" spans="1:4" x14ac:dyDescent="0.2">
      <c r="A199" s="9" t="s">
        <v>427</v>
      </c>
    </row>
    <row r="200" spans="1:4" x14ac:dyDescent="0.2">
      <c r="A200" s="47" t="s">
        <v>428</v>
      </c>
    </row>
    <row r="202" spans="1:4" ht="10.5" x14ac:dyDescent="0.25">
      <c r="A202" s="18" t="s">
        <v>1513</v>
      </c>
    </row>
    <row r="203" spans="1:4" x14ac:dyDescent="0.2">
      <c r="A203" s="47" t="s">
        <v>1509</v>
      </c>
    </row>
  </sheetData>
  <mergeCells count="6">
    <mergeCell ref="A1:G1"/>
    <mergeCell ref="A129:G129"/>
    <mergeCell ref="A168:G168"/>
    <mergeCell ref="A116:G116"/>
    <mergeCell ref="A121:G121"/>
    <mergeCell ref="A123:G123"/>
  </mergeCells>
  <conditionalFormatting sqref="F2:F3 F5:F54 F132:F133 F171:F172 F57:F70 F83:F115 F127:F128 F130 F146:F167 F169 F182:F65554">
    <cfRule type="cellIs" dxfId="68" priority="7" stopIfTrue="1" operator="between">
      <formula>0.009</formula>
      <formula>-0.009</formula>
    </cfRule>
  </conditionalFormatting>
  <conditionalFormatting sqref="F117:F120 F122">
    <cfRule type="cellIs" dxfId="67" priority="5" stopIfTrue="1" operator="between">
      <formula>0.009</formula>
      <formula>-0.009</formula>
    </cfRule>
  </conditionalFormatting>
  <conditionalFormatting sqref="F136:F138 F140:F145">
    <cfRule type="cellIs" dxfId="66" priority="4" stopIfTrue="1" operator="between">
      <formula>0.009</formula>
      <formula>-0.009</formula>
    </cfRule>
  </conditionalFormatting>
  <conditionalFormatting sqref="F134:F135">
    <cfRule type="cellIs" dxfId="65" priority="3" stopIfTrue="1" operator="between">
      <formula>0.009</formula>
      <formula>-0.009</formula>
    </cfRule>
  </conditionalFormatting>
  <conditionalFormatting sqref="F175:F177 F179:F181">
    <cfRule type="cellIs" dxfId="64" priority="2" stopIfTrue="1" operator="between">
      <formula>0.009</formula>
      <formula>-0.009</formula>
    </cfRule>
  </conditionalFormatting>
  <conditionalFormatting sqref="F173:F174">
    <cfRule type="cellIs" dxfId="63" priority="1" stopIfTrue="1" operator="between">
      <formula>0.009</formula>
      <formula>-0.009</formula>
    </cfRule>
  </conditionalFormatting>
  <hyperlinks>
    <hyperlink ref="A114" r:id="rId1" xr:uid="{00000000-0004-0000-0A00-000000000000}"/>
    <hyperlink ref="A119" r:id="rId2" xr:uid="{00000000-0004-0000-0A00-000001000000}"/>
    <hyperlink ref="A162" r:id="rId3" xr:uid="{00000000-0004-0000-0A00-000002000000}"/>
    <hyperlink ref="A200" r:id="rId4" xr:uid="{00000000-0004-0000-0A00-000003000000}"/>
    <hyperlink ref="A126" r:id="rId5" xr:uid="{BE4C76C6-3DFC-4572-B2D0-322C35E23C0F}"/>
    <hyperlink ref="A165" r:id="rId6" xr:uid="{2864226F-B564-42BE-BEF5-45AA38D5D450}"/>
    <hyperlink ref="A203" r:id="rId7" xr:uid="{D47636EA-7014-4E49-9629-983D7AABA7F4}"/>
  </hyperlinks>
  <pageMargins left="0.7" right="0.7" top="0.75" bottom="0.75" header="0.3" footer="0.3"/>
  <pageSetup paperSize="9" orientation="portrait" r:id="rId8"/>
  <headerFooter>
    <oddFooter>&amp;LPUBLIC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0"/>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66" t="s">
        <v>620</v>
      </c>
      <c r="B1" s="67"/>
      <c r="C1" s="67"/>
      <c r="D1" s="67"/>
      <c r="E1" s="67"/>
      <c r="F1" s="67"/>
      <c r="G1" s="67"/>
    </row>
    <row r="2" spans="1:7" s="1" customFormat="1" ht="11.5" x14ac:dyDescent="0.25">
      <c r="A2" s="44" t="s">
        <v>345</v>
      </c>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354</v>
      </c>
      <c r="B7" s="26" t="s">
        <v>355</v>
      </c>
      <c r="C7" s="26" t="s">
        <v>356</v>
      </c>
      <c r="D7" s="30">
        <v>2797</v>
      </c>
      <c r="E7" s="28">
        <v>25494.263419999999</v>
      </c>
      <c r="F7" s="29">
        <v>14.810988256281</v>
      </c>
      <c r="G7" s="28">
        <v>11.6172</v>
      </c>
    </row>
    <row r="8" spans="1:7" x14ac:dyDescent="0.2">
      <c r="A8" s="26" t="s">
        <v>188</v>
      </c>
      <c r="B8" s="26" t="s">
        <v>189</v>
      </c>
      <c r="C8" s="26" t="s">
        <v>190</v>
      </c>
      <c r="D8" s="30">
        <v>1910</v>
      </c>
      <c r="E8" s="28">
        <v>21512.4637</v>
      </c>
      <c r="F8" s="29">
        <v>12.497746727383999</v>
      </c>
      <c r="G8" s="28">
        <v>7.6436000000000002</v>
      </c>
    </row>
    <row r="9" spans="1:7" x14ac:dyDescent="0.2">
      <c r="A9" s="26" t="s">
        <v>468</v>
      </c>
      <c r="B9" s="26" t="s">
        <v>469</v>
      </c>
      <c r="C9" s="26" t="s">
        <v>222</v>
      </c>
      <c r="D9" s="30">
        <v>1550</v>
      </c>
      <c r="E9" s="28">
        <v>15062.9</v>
      </c>
      <c r="F9" s="29">
        <v>8.7508484293183404</v>
      </c>
      <c r="G9" s="28">
        <v>10.941000000000001</v>
      </c>
    </row>
    <row r="10" spans="1:7" x14ac:dyDescent="0.2">
      <c r="A10" s="26" t="s">
        <v>621</v>
      </c>
      <c r="B10" s="26" t="s">
        <v>622</v>
      </c>
      <c r="C10" s="26" t="s">
        <v>351</v>
      </c>
      <c r="D10" s="30">
        <v>12100</v>
      </c>
      <c r="E10" s="28">
        <v>12247.4869</v>
      </c>
      <c r="F10" s="29">
        <v>7.1152235958521901</v>
      </c>
      <c r="G10" s="28">
        <v>9.3853000000000009</v>
      </c>
    </row>
    <row r="11" spans="1:7" x14ac:dyDescent="0.2">
      <c r="A11" s="26" t="s">
        <v>623</v>
      </c>
      <c r="B11" s="26" t="s">
        <v>624</v>
      </c>
      <c r="C11" s="26" t="s">
        <v>348</v>
      </c>
      <c r="D11" s="30">
        <v>5858</v>
      </c>
      <c r="E11" s="28">
        <v>11620.35058</v>
      </c>
      <c r="F11" s="29">
        <v>6.7508863911412504</v>
      </c>
      <c r="G11" s="28">
        <v>10.899800000000001</v>
      </c>
    </row>
    <row r="12" spans="1:7" x14ac:dyDescent="0.2">
      <c r="A12" s="26" t="s">
        <v>363</v>
      </c>
      <c r="B12" s="26" t="s">
        <v>364</v>
      </c>
      <c r="C12" s="26" t="s">
        <v>365</v>
      </c>
      <c r="D12" s="30">
        <v>723</v>
      </c>
      <c r="E12" s="28">
        <v>9432.3302999999996</v>
      </c>
      <c r="F12" s="29">
        <v>5.4797477770261196</v>
      </c>
      <c r="G12" s="28">
        <v>10.535299999999999</v>
      </c>
    </row>
    <row r="13" spans="1:7" x14ac:dyDescent="0.2">
      <c r="A13" s="26" t="s">
        <v>625</v>
      </c>
      <c r="B13" s="26" t="s">
        <v>626</v>
      </c>
      <c r="C13" s="26" t="s">
        <v>168</v>
      </c>
      <c r="D13" s="30">
        <v>1000</v>
      </c>
      <c r="E13" s="28">
        <v>9383.52</v>
      </c>
      <c r="F13" s="29">
        <v>5.4513912495918602</v>
      </c>
      <c r="G13" s="28">
        <v>12.067500000000001</v>
      </c>
    </row>
    <row r="14" spans="1:7" x14ac:dyDescent="0.2">
      <c r="A14" s="26" t="s">
        <v>349</v>
      </c>
      <c r="B14" s="26" t="s">
        <v>350</v>
      </c>
      <c r="C14" s="26" t="s">
        <v>351</v>
      </c>
      <c r="D14" s="30">
        <v>780</v>
      </c>
      <c r="E14" s="28">
        <v>7682.0483999999997</v>
      </c>
      <c r="F14" s="29">
        <v>4.4629149217672204</v>
      </c>
      <c r="G14" s="28">
        <v>18.036100000000001</v>
      </c>
    </row>
    <row r="15" spans="1:7" x14ac:dyDescent="0.2">
      <c r="A15" s="26" t="s">
        <v>579</v>
      </c>
      <c r="B15" s="26" t="s">
        <v>580</v>
      </c>
      <c r="C15" s="26" t="s">
        <v>348</v>
      </c>
      <c r="D15" s="30">
        <v>646</v>
      </c>
      <c r="E15" s="28">
        <v>6457.6485599999996</v>
      </c>
      <c r="F15" s="29">
        <v>3.7515952279020501</v>
      </c>
      <c r="G15" s="28">
        <v>10.55</v>
      </c>
    </row>
    <row r="16" spans="1:7" x14ac:dyDescent="0.2">
      <c r="A16" s="26" t="s">
        <v>357</v>
      </c>
      <c r="B16" s="26" t="s">
        <v>358</v>
      </c>
      <c r="C16" s="26" t="s">
        <v>351</v>
      </c>
      <c r="D16" s="30">
        <v>650</v>
      </c>
      <c r="E16" s="28">
        <v>6378.8270000000002</v>
      </c>
      <c r="F16" s="29">
        <v>3.7058035460531098</v>
      </c>
      <c r="G16" s="28">
        <v>11.0334</v>
      </c>
    </row>
    <row r="17" spans="1:9" x14ac:dyDescent="0.2">
      <c r="A17" s="26" t="s">
        <v>220</v>
      </c>
      <c r="B17" s="26" t="s">
        <v>221</v>
      </c>
      <c r="C17" s="26" t="s">
        <v>222</v>
      </c>
      <c r="D17" s="30">
        <v>620</v>
      </c>
      <c r="E17" s="28">
        <v>6102.4802</v>
      </c>
      <c r="F17" s="29">
        <v>3.54525883283539</v>
      </c>
      <c r="G17" s="28">
        <v>11.369400000000001</v>
      </c>
    </row>
    <row r="18" spans="1:9" x14ac:dyDescent="0.2">
      <c r="A18" s="26" t="s">
        <v>346</v>
      </c>
      <c r="B18" s="26" t="s">
        <v>347</v>
      </c>
      <c r="C18" s="26" t="s">
        <v>348</v>
      </c>
      <c r="D18" s="30">
        <v>501</v>
      </c>
      <c r="E18" s="28">
        <v>5012.4999900000003</v>
      </c>
      <c r="F18" s="29">
        <v>2.9120307287739902</v>
      </c>
      <c r="G18" s="28">
        <v>10.505000000000001</v>
      </c>
    </row>
    <row r="19" spans="1:9" x14ac:dyDescent="0.2">
      <c r="A19" s="26" t="s">
        <v>561</v>
      </c>
      <c r="B19" s="26" t="s">
        <v>562</v>
      </c>
      <c r="C19" s="26" t="s">
        <v>370</v>
      </c>
      <c r="D19" s="30">
        <v>4000</v>
      </c>
      <c r="E19" s="28">
        <v>3955.62</v>
      </c>
      <c r="F19" s="29">
        <v>2.2980323220615002</v>
      </c>
      <c r="G19" s="28">
        <v>11.0199</v>
      </c>
    </row>
    <row r="20" spans="1:9" x14ac:dyDescent="0.2">
      <c r="A20" s="26" t="s">
        <v>577</v>
      </c>
      <c r="B20" s="26" t="s">
        <v>578</v>
      </c>
      <c r="C20" s="26" t="s">
        <v>348</v>
      </c>
      <c r="D20" s="30">
        <v>350</v>
      </c>
      <c r="E20" s="28">
        <v>3498.8764999999999</v>
      </c>
      <c r="F20" s="29">
        <v>2.03268546723432</v>
      </c>
      <c r="G20" s="28">
        <v>10.55</v>
      </c>
    </row>
    <row r="21" spans="1:9" x14ac:dyDescent="0.2">
      <c r="A21" s="26" t="s">
        <v>387</v>
      </c>
      <c r="B21" s="26" t="s">
        <v>388</v>
      </c>
      <c r="C21" s="26" t="s">
        <v>348</v>
      </c>
      <c r="D21" s="30">
        <v>240</v>
      </c>
      <c r="E21" s="28">
        <v>2404.0655999999999</v>
      </c>
      <c r="F21" s="29">
        <v>1.39665095564189</v>
      </c>
      <c r="G21" s="28">
        <v>10.252700000000001</v>
      </c>
    </row>
    <row r="22" spans="1:9" x14ac:dyDescent="0.2">
      <c r="A22" s="26" t="s">
        <v>373</v>
      </c>
      <c r="B22" s="26" t="s">
        <v>374</v>
      </c>
      <c r="C22" s="26" t="s">
        <v>375</v>
      </c>
      <c r="D22" s="30">
        <v>204</v>
      </c>
      <c r="E22" s="28">
        <v>2182.2920399999998</v>
      </c>
      <c r="F22" s="29">
        <v>1.2678107715345599</v>
      </c>
      <c r="G22" s="28">
        <v>6.2958999999999996</v>
      </c>
    </row>
    <row r="23" spans="1:9" x14ac:dyDescent="0.2">
      <c r="A23" s="26" t="s">
        <v>391</v>
      </c>
      <c r="B23" s="26" t="s">
        <v>392</v>
      </c>
      <c r="C23" s="26" t="s">
        <v>168</v>
      </c>
      <c r="D23" s="30">
        <v>200</v>
      </c>
      <c r="E23" s="28">
        <v>2010.028</v>
      </c>
      <c r="F23" s="29">
        <v>1.1677333293513099</v>
      </c>
      <c r="G23" s="28">
        <v>10.6076</v>
      </c>
    </row>
    <row r="24" spans="1:9" x14ac:dyDescent="0.2">
      <c r="A24" s="26" t="s">
        <v>359</v>
      </c>
      <c r="B24" s="26" t="s">
        <v>360</v>
      </c>
      <c r="C24" s="26" t="s">
        <v>356</v>
      </c>
      <c r="D24" s="30">
        <v>250</v>
      </c>
      <c r="E24" s="28">
        <v>2002.038</v>
      </c>
      <c r="F24" s="29">
        <v>1.16309150878885</v>
      </c>
      <c r="G24" s="28">
        <v>9.8347999999999995</v>
      </c>
    </row>
    <row r="25" spans="1:9" x14ac:dyDescent="0.2">
      <c r="A25" s="26" t="s">
        <v>627</v>
      </c>
      <c r="B25" s="26" t="s">
        <v>628</v>
      </c>
      <c r="C25" s="26" t="s">
        <v>484</v>
      </c>
      <c r="D25" s="30">
        <v>150</v>
      </c>
      <c r="E25" s="28">
        <v>1899.153</v>
      </c>
      <c r="F25" s="29">
        <v>1.10332008093297</v>
      </c>
      <c r="G25" s="28">
        <v>10.993600000000001</v>
      </c>
    </row>
    <row r="26" spans="1:9" x14ac:dyDescent="0.2">
      <c r="A26" s="26" t="s">
        <v>376</v>
      </c>
      <c r="B26" s="26" t="s">
        <v>377</v>
      </c>
      <c r="C26" s="26" t="s">
        <v>348</v>
      </c>
      <c r="D26" s="30">
        <v>150</v>
      </c>
      <c r="E26" s="28">
        <v>1494.462</v>
      </c>
      <c r="F26" s="29">
        <v>0.86821332182886102</v>
      </c>
      <c r="G26" s="28">
        <v>10.4131</v>
      </c>
    </row>
    <row r="27" spans="1:9" x14ac:dyDescent="0.2">
      <c r="A27" s="26" t="s">
        <v>629</v>
      </c>
      <c r="B27" s="26" t="s">
        <v>630</v>
      </c>
      <c r="C27" s="26" t="s">
        <v>168</v>
      </c>
      <c r="D27" s="30">
        <v>150</v>
      </c>
      <c r="E27" s="28">
        <v>1383.864</v>
      </c>
      <c r="F27" s="29">
        <v>0.80396099760273199</v>
      </c>
      <c r="G27" s="28">
        <v>11.8748</v>
      </c>
    </row>
    <row r="28" spans="1:9" x14ac:dyDescent="0.2">
      <c r="A28" s="26" t="s">
        <v>393</v>
      </c>
      <c r="B28" s="26" t="s">
        <v>394</v>
      </c>
      <c r="C28" s="26" t="s">
        <v>356</v>
      </c>
      <c r="D28" s="30">
        <v>30</v>
      </c>
      <c r="E28" s="28">
        <v>307.67309999999998</v>
      </c>
      <c r="F28" s="29">
        <v>0.178743845068247</v>
      </c>
      <c r="G28" s="28">
        <v>5.28</v>
      </c>
    </row>
    <row r="29" spans="1:9" ht="10.5" x14ac:dyDescent="0.25">
      <c r="A29" s="25" t="s">
        <v>17</v>
      </c>
      <c r="B29" s="25"/>
      <c r="C29" s="25"/>
      <c r="D29" s="31"/>
      <c r="E29" s="32">
        <f>SUM(E6:E28)</f>
        <v>157524.89129</v>
      </c>
      <c r="F29" s="33">
        <f>SUM(F6:F28)</f>
        <v>91.514678283971719</v>
      </c>
      <c r="G29" s="32"/>
      <c r="H29" s="18"/>
      <c r="I29" s="18"/>
    </row>
    <row r="30" spans="1:9" x14ac:dyDescent="0.2">
      <c r="A30" s="26"/>
      <c r="B30" s="26"/>
      <c r="C30" s="26"/>
      <c r="D30" s="27"/>
      <c r="E30" s="28"/>
      <c r="F30" s="29"/>
      <c r="G30" s="28"/>
    </row>
    <row r="31" spans="1:9" ht="10.5" x14ac:dyDescent="0.25">
      <c r="A31" s="25" t="s">
        <v>269</v>
      </c>
      <c r="B31" s="26"/>
      <c r="C31" s="26"/>
      <c r="D31" s="27"/>
      <c r="E31" s="28"/>
      <c r="F31" s="29"/>
      <c r="G31" s="28"/>
    </row>
    <row r="32" spans="1:9" x14ac:dyDescent="0.2">
      <c r="A32" s="26" t="s">
        <v>401</v>
      </c>
      <c r="B32" s="26" t="s">
        <v>402</v>
      </c>
      <c r="C32" s="26" t="s">
        <v>400</v>
      </c>
      <c r="D32" s="30">
        <v>770</v>
      </c>
      <c r="E32" s="28">
        <v>6583.5095300000003</v>
      </c>
      <c r="F32" s="29">
        <v>3.8247146319767702</v>
      </c>
      <c r="G32" s="28">
        <v>11.357699999999999</v>
      </c>
    </row>
    <row r="33" spans="1:9" x14ac:dyDescent="0.2">
      <c r="A33" s="26" t="s">
        <v>409</v>
      </c>
      <c r="B33" s="26" t="s">
        <v>410</v>
      </c>
      <c r="C33" s="26" t="s">
        <v>397</v>
      </c>
      <c r="D33" s="30">
        <v>370</v>
      </c>
      <c r="E33" s="28">
        <v>3868.0799000000002</v>
      </c>
      <c r="F33" s="29">
        <v>2.2471755715959598</v>
      </c>
      <c r="G33" s="28">
        <v>7.2649999999999997</v>
      </c>
    </row>
    <row r="34" spans="1:9" x14ac:dyDescent="0.2">
      <c r="A34" s="26" t="s">
        <v>591</v>
      </c>
      <c r="B34" s="26" t="s">
        <v>592</v>
      </c>
      <c r="C34" s="26" t="s">
        <v>534</v>
      </c>
      <c r="D34" s="30">
        <v>300</v>
      </c>
      <c r="E34" s="28">
        <v>2939.1570000000002</v>
      </c>
      <c r="F34" s="29">
        <v>1.7075143177588601</v>
      </c>
      <c r="G34" s="28">
        <v>12.549300000000001</v>
      </c>
    </row>
    <row r="35" spans="1:9" x14ac:dyDescent="0.2">
      <c r="A35" s="26" t="s">
        <v>413</v>
      </c>
      <c r="B35" s="26" t="s">
        <v>414</v>
      </c>
      <c r="C35" s="26" t="s">
        <v>400</v>
      </c>
      <c r="D35" s="30">
        <v>250</v>
      </c>
      <c r="E35" s="28">
        <v>2204.5450999999998</v>
      </c>
      <c r="F35" s="29">
        <v>1.2807387704689299</v>
      </c>
      <c r="G35" s="28">
        <v>11.3597</v>
      </c>
    </row>
    <row r="36" spans="1:9" x14ac:dyDescent="0.2">
      <c r="A36" s="26" t="s">
        <v>398</v>
      </c>
      <c r="B36" s="26" t="s">
        <v>399</v>
      </c>
      <c r="C36" s="26" t="s">
        <v>400</v>
      </c>
      <c r="D36" s="30">
        <v>110</v>
      </c>
      <c r="E36" s="28">
        <v>990.8960012</v>
      </c>
      <c r="F36" s="29">
        <v>0.57566476015367896</v>
      </c>
      <c r="G36" s="28">
        <v>11.3598</v>
      </c>
    </row>
    <row r="37" spans="1:9" x14ac:dyDescent="0.2">
      <c r="A37" s="26" t="s">
        <v>411</v>
      </c>
      <c r="B37" s="26" t="s">
        <v>412</v>
      </c>
      <c r="C37" s="26" t="s">
        <v>397</v>
      </c>
      <c r="D37" s="30">
        <v>10</v>
      </c>
      <c r="E37" s="28">
        <v>983.19879000000003</v>
      </c>
      <c r="F37" s="29">
        <v>0.571193036346201</v>
      </c>
      <c r="G37" s="28">
        <v>7.7750000000000004</v>
      </c>
    </row>
    <row r="38" spans="1:9" x14ac:dyDescent="0.2">
      <c r="A38" s="26" t="s">
        <v>403</v>
      </c>
      <c r="B38" s="26" t="s">
        <v>404</v>
      </c>
      <c r="C38" s="26" t="s">
        <v>405</v>
      </c>
      <c r="D38" s="30">
        <v>50</v>
      </c>
      <c r="E38" s="28">
        <v>474.60950000000003</v>
      </c>
      <c r="F38" s="29">
        <v>0.275726174748193</v>
      </c>
      <c r="G38" s="28">
        <v>11.904999999999999</v>
      </c>
    </row>
    <row r="39" spans="1:9" x14ac:dyDescent="0.2">
      <c r="A39" s="26" t="s">
        <v>415</v>
      </c>
      <c r="B39" s="26" t="s">
        <v>416</v>
      </c>
      <c r="C39" s="26" t="s">
        <v>417</v>
      </c>
      <c r="D39" s="30">
        <v>1400</v>
      </c>
      <c r="E39" s="28">
        <v>0</v>
      </c>
      <c r="F39" s="28">
        <v>0</v>
      </c>
      <c r="G39" s="28">
        <v>0</v>
      </c>
    </row>
    <row r="40" spans="1:9" x14ac:dyDescent="0.2">
      <c r="A40" s="26" t="s">
        <v>423</v>
      </c>
      <c r="B40" s="26" t="s">
        <v>424</v>
      </c>
      <c r="C40" s="26" t="s">
        <v>417</v>
      </c>
      <c r="D40" s="30">
        <v>688</v>
      </c>
      <c r="E40" s="28">
        <v>0</v>
      </c>
      <c r="F40" s="28">
        <v>0</v>
      </c>
      <c r="G40" s="28">
        <v>0</v>
      </c>
    </row>
    <row r="41" spans="1:9" x14ac:dyDescent="0.2">
      <c r="A41" s="26" t="s">
        <v>418</v>
      </c>
      <c r="B41" s="26" t="s">
        <v>419</v>
      </c>
      <c r="C41" s="26" t="s">
        <v>420</v>
      </c>
      <c r="D41" s="30">
        <v>599</v>
      </c>
      <c r="E41" s="28">
        <v>0</v>
      </c>
      <c r="F41" s="28">
        <v>0</v>
      </c>
      <c r="G41" s="28">
        <v>0</v>
      </c>
    </row>
    <row r="42" spans="1:9" x14ac:dyDescent="0.2">
      <c r="A42" s="26" t="s">
        <v>631</v>
      </c>
      <c r="B42" s="26" t="s">
        <v>632</v>
      </c>
      <c r="C42" s="26" t="s">
        <v>417</v>
      </c>
      <c r="D42" s="30">
        <v>400</v>
      </c>
      <c r="E42" s="28">
        <v>0</v>
      </c>
      <c r="F42" s="28">
        <v>0</v>
      </c>
      <c r="G42" s="28">
        <v>0</v>
      </c>
    </row>
    <row r="43" spans="1:9" ht="10.5" x14ac:dyDescent="0.25">
      <c r="A43" s="25" t="s">
        <v>17</v>
      </c>
      <c r="B43" s="25"/>
      <c r="C43" s="25"/>
      <c r="D43" s="31"/>
      <c r="E43" s="32">
        <f>SUM(E31:E42)</f>
        <v>18043.995821199995</v>
      </c>
      <c r="F43" s="33">
        <f>SUM(F31:F42)</f>
        <v>10.482727263048593</v>
      </c>
      <c r="G43" s="32"/>
      <c r="H43" s="18"/>
      <c r="I43" s="18"/>
    </row>
    <row r="44" spans="1:9" x14ac:dyDescent="0.2">
      <c r="A44" s="26"/>
      <c r="B44" s="26"/>
      <c r="C44" s="26"/>
      <c r="D44" s="27"/>
      <c r="E44" s="28"/>
      <c r="F44" s="29"/>
      <c r="G44" s="28"/>
    </row>
    <row r="45" spans="1:9" ht="10.5" x14ac:dyDescent="0.25">
      <c r="A45" s="25" t="s">
        <v>62</v>
      </c>
      <c r="B45" s="25"/>
      <c r="C45" s="25"/>
      <c r="D45" s="31"/>
      <c r="E45" s="32">
        <f>E29+E43</f>
        <v>175568.88711119999</v>
      </c>
      <c r="F45" s="33">
        <f>F29+F43</f>
        <v>101.99740554702031</v>
      </c>
      <c r="G45" s="32"/>
      <c r="H45" s="18"/>
      <c r="I45" s="18"/>
    </row>
    <row r="46" spans="1:9" ht="10.5" x14ac:dyDescent="0.25">
      <c r="A46" s="25"/>
      <c r="B46" s="25"/>
      <c r="C46" s="25"/>
      <c r="D46" s="31"/>
      <c r="E46" s="32"/>
      <c r="F46" s="33"/>
      <c r="G46" s="32"/>
      <c r="H46" s="18"/>
      <c r="I46" s="18"/>
    </row>
    <row r="47" spans="1:9" ht="10.5" x14ac:dyDescent="0.25">
      <c r="A47" s="25" t="s">
        <v>63</v>
      </c>
      <c r="B47" s="25"/>
      <c r="C47" s="25"/>
      <c r="D47" s="31"/>
      <c r="E47" s="32">
        <f>E49-(E29+E43)</f>
        <v>-3438.148912899982</v>
      </c>
      <c r="F47" s="33">
        <f>F49-(F29+F43)</f>
        <v>-1.9974055470203069</v>
      </c>
      <c r="G47" s="32"/>
      <c r="H47" s="18"/>
      <c r="I47" s="18"/>
    </row>
    <row r="48" spans="1:9" ht="10.5" x14ac:dyDescent="0.25">
      <c r="A48" s="25"/>
      <c r="B48" s="25"/>
      <c r="C48" s="25"/>
      <c r="D48" s="31"/>
      <c r="E48" s="32"/>
      <c r="F48" s="33"/>
      <c r="G48" s="32"/>
      <c r="H48" s="18"/>
      <c r="I48" s="18"/>
    </row>
    <row r="49" spans="1:9" ht="10.5" x14ac:dyDescent="0.25">
      <c r="A49" s="34" t="s">
        <v>64</v>
      </c>
      <c r="B49" s="34"/>
      <c r="C49" s="34"/>
      <c r="D49" s="35"/>
      <c r="E49" s="36">
        <v>172130.73819830001</v>
      </c>
      <c r="F49" s="37">
        <v>100</v>
      </c>
      <c r="G49" s="36"/>
      <c r="H49" s="18"/>
      <c r="I49" s="18"/>
    </row>
    <row r="50" spans="1:9" ht="10.5" x14ac:dyDescent="0.25">
      <c r="F50" s="19"/>
    </row>
    <row r="51" spans="1:9" ht="10.5" x14ac:dyDescent="0.25">
      <c r="A51" s="18" t="s">
        <v>66</v>
      </c>
    </row>
    <row r="52" spans="1:9" ht="10.5" x14ac:dyDescent="0.25">
      <c r="A52" s="18" t="s">
        <v>425</v>
      </c>
    </row>
    <row r="53" spans="1:9" ht="10.5" x14ac:dyDescent="0.25">
      <c r="A53" s="18" t="s">
        <v>426</v>
      </c>
    </row>
    <row r="55" spans="1:9" ht="10.5" x14ac:dyDescent="0.25">
      <c r="A55" s="18" t="s">
        <v>67</v>
      </c>
    </row>
    <row r="56" spans="1:9" ht="10.5" x14ac:dyDescent="0.25">
      <c r="A56" s="18" t="s">
        <v>68</v>
      </c>
    </row>
    <row r="57" spans="1:9" ht="10.5" x14ac:dyDescent="0.25">
      <c r="A57" s="18" t="s">
        <v>69</v>
      </c>
      <c r="B57" s="18"/>
      <c r="C57" s="38" t="s">
        <v>70</v>
      </c>
      <c r="D57" s="43" t="s">
        <v>71</v>
      </c>
    </row>
    <row r="58" spans="1:9" x14ac:dyDescent="0.2">
      <c r="A58" s="9" t="s">
        <v>98</v>
      </c>
      <c r="C58" s="39">
        <v>21.778300000000002</v>
      </c>
      <c r="D58" s="39">
        <v>21.919499999999999</v>
      </c>
    </row>
    <row r="59" spans="1:9" x14ac:dyDescent="0.2">
      <c r="A59" s="9" t="s">
        <v>331</v>
      </c>
      <c r="C59" s="39">
        <v>10.096500000000001</v>
      </c>
      <c r="D59" s="39">
        <v>10.161899999999999</v>
      </c>
    </row>
    <row r="60" spans="1:9" x14ac:dyDescent="0.2">
      <c r="A60" s="9" t="s">
        <v>101</v>
      </c>
      <c r="C60" s="39">
        <v>23.1005</v>
      </c>
      <c r="D60" s="39">
        <v>23.33</v>
      </c>
    </row>
    <row r="61" spans="1:9" x14ac:dyDescent="0.2">
      <c r="A61" s="9" t="s">
        <v>332</v>
      </c>
      <c r="C61" s="39">
        <v>10.8485</v>
      </c>
      <c r="D61" s="39">
        <v>10.956300000000001</v>
      </c>
    </row>
    <row r="63" spans="1:9" ht="10.5" x14ac:dyDescent="0.25">
      <c r="A63" s="18" t="s">
        <v>90</v>
      </c>
      <c r="D63" s="43" t="s">
        <v>96</v>
      </c>
    </row>
    <row r="65" spans="1:7" ht="10.5" x14ac:dyDescent="0.25">
      <c r="A65" s="18" t="s">
        <v>94</v>
      </c>
      <c r="D65" s="42">
        <v>4.14351175986301</v>
      </c>
      <c r="E65" s="13" t="s">
        <v>95</v>
      </c>
    </row>
    <row r="67" spans="1:7" ht="10.5" x14ac:dyDescent="0.25">
      <c r="A67" s="18" t="s">
        <v>1506</v>
      </c>
      <c r="D67" s="43" t="s">
        <v>96</v>
      </c>
    </row>
    <row r="68" spans="1:7" x14ac:dyDescent="0.2">
      <c r="A68" s="9" t="s">
        <v>427</v>
      </c>
    </row>
    <row r="69" spans="1:7" x14ac:dyDescent="0.2">
      <c r="A69" s="47" t="s">
        <v>428</v>
      </c>
    </row>
    <row r="71" spans="1:7" ht="35.25" customHeight="1" x14ac:dyDescent="0.2">
      <c r="A71" s="74" t="s">
        <v>633</v>
      </c>
      <c r="B71" s="74"/>
      <c r="C71" s="74"/>
      <c r="D71" s="74"/>
      <c r="E71" s="74"/>
      <c r="F71" s="74"/>
      <c r="G71" s="74"/>
    </row>
    <row r="73" spans="1:7" ht="25.5" customHeight="1" x14ac:dyDescent="0.2">
      <c r="A73" s="75" t="s">
        <v>492</v>
      </c>
      <c r="B73" s="75"/>
      <c r="C73" s="75"/>
      <c r="D73" s="75"/>
      <c r="E73" s="75"/>
      <c r="F73" s="75"/>
      <c r="G73" s="75"/>
    </row>
    <row r="74" spans="1:7" ht="10.5" x14ac:dyDescent="0.2">
      <c r="A74" s="63"/>
      <c r="B74" s="63"/>
      <c r="C74" s="63"/>
      <c r="D74" s="63"/>
      <c r="E74" s="63"/>
      <c r="F74" s="63"/>
      <c r="G74" s="63"/>
    </row>
    <row r="75" spans="1:7" ht="10.5" x14ac:dyDescent="0.25">
      <c r="A75" s="18" t="s">
        <v>1514</v>
      </c>
      <c r="B75" s="63"/>
      <c r="C75" s="63"/>
      <c r="D75" s="63"/>
      <c r="E75" s="63"/>
      <c r="F75" s="63"/>
      <c r="G75" s="63"/>
    </row>
    <row r="76" spans="1:7" ht="10.5" x14ac:dyDescent="0.2">
      <c r="A76" s="47" t="s">
        <v>1509</v>
      </c>
      <c r="B76" s="63"/>
      <c r="C76" s="63"/>
      <c r="D76" s="63"/>
      <c r="E76" s="63"/>
      <c r="F76" s="63"/>
      <c r="G76" s="63"/>
    </row>
    <row r="79" spans="1:7" s="1" customFormat="1" ht="14" x14ac:dyDescent="0.25">
      <c r="A79" s="66" t="s">
        <v>634</v>
      </c>
      <c r="B79" s="67"/>
      <c r="C79" s="67"/>
      <c r="D79" s="67"/>
      <c r="E79" s="67"/>
      <c r="F79" s="67"/>
      <c r="G79" s="67"/>
    </row>
    <row r="80" spans="1:7" ht="10.5" x14ac:dyDescent="0.25">
      <c r="A80" s="18" t="s">
        <v>1</v>
      </c>
    </row>
    <row r="81" spans="1:9" s="1" customFormat="1" ht="17.5" customHeight="1" x14ac:dyDescent="0.25">
      <c r="A81" s="8" t="s">
        <v>2</v>
      </c>
      <c r="B81" s="8" t="s">
        <v>3</v>
      </c>
      <c r="C81" s="17" t="s">
        <v>4</v>
      </c>
      <c r="D81" s="16" t="s">
        <v>5</v>
      </c>
      <c r="E81" s="15" t="s">
        <v>6</v>
      </c>
      <c r="F81" s="15" t="s">
        <v>7</v>
      </c>
      <c r="G81" s="15" t="s">
        <v>8</v>
      </c>
    </row>
    <row r="82" spans="1:9" ht="10.5" x14ac:dyDescent="0.25">
      <c r="A82" s="20" t="s">
        <v>9</v>
      </c>
      <c r="B82" s="21"/>
      <c r="C82" s="21"/>
      <c r="D82" s="22"/>
      <c r="E82" s="23"/>
      <c r="F82" s="24"/>
      <c r="G82" s="23"/>
    </row>
    <row r="83" spans="1:9" ht="10.5" x14ac:dyDescent="0.25">
      <c r="A83" s="25" t="s">
        <v>10</v>
      </c>
      <c r="B83" s="26"/>
      <c r="C83" s="26"/>
      <c r="D83" s="27"/>
      <c r="E83" s="28"/>
      <c r="F83" s="29"/>
      <c r="G83" s="28"/>
    </row>
    <row r="84" spans="1:9" x14ac:dyDescent="0.2">
      <c r="A84" s="26" t="s">
        <v>433</v>
      </c>
      <c r="B84" s="26" t="s">
        <v>434</v>
      </c>
      <c r="C84" s="26" t="s">
        <v>435</v>
      </c>
      <c r="D84" s="30">
        <v>1450</v>
      </c>
      <c r="E84" s="28">
        <v>0</v>
      </c>
      <c r="F84" s="29">
        <v>100</v>
      </c>
      <c r="G84" s="28">
        <v>0</v>
      </c>
    </row>
    <row r="85" spans="1:9" ht="10.5" x14ac:dyDescent="0.25">
      <c r="A85" s="25" t="s">
        <v>17</v>
      </c>
      <c r="B85" s="25"/>
      <c r="C85" s="25"/>
      <c r="D85" s="31"/>
      <c r="E85" s="32">
        <f>SUM(E83:E84)</f>
        <v>0</v>
      </c>
      <c r="F85" s="33">
        <v>100</v>
      </c>
      <c r="G85" s="32"/>
      <c r="H85" s="18"/>
      <c r="I85" s="18"/>
    </row>
    <row r="86" spans="1:9" x14ac:dyDescent="0.2">
      <c r="A86" s="26"/>
      <c r="B86" s="26"/>
      <c r="C86" s="26"/>
      <c r="D86" s="27"/>
      <c r="E86" s="28"/>
      <c r="F86" s="29"/>
      <c r="G86" s="28"/>
    </row>
    <row r="87" spans="1:9" ht="10.5" x14ac:dyDescent="0.25">
      <c r="A87" s="25" t="s">
        <v>62</v>
      </c>
      <c r="B87" s="25"/>
      <c r="C87" s="25"/>
      <c r="D87" s="31"/>
      <c r="E87" s="32">
        <f>E85</f>
        <v>0</v>
      </c>
      <c r="F87" s="33">
        <f>F85</f>
        <v>100</v>
      </c>
      <c r="G87" s="32"/>
      <c r="H87" s="18"/>
      <c r="I87" s="18"/>
    </row>
    <row r="88" spans="1:9" ht="10.5" x14ac:dyDescent="0.25">
      <c r="A88" s="25"/>
      <c r="B88" s="25"/>
      <c r="C88" s="25"/>
      <c r="D88" s="31"/>
      <c r="E88" s="32"/>
      <c r="F88" s="33"/>
      <c r="G88" s="32"/>
      <c r="H88" s="18"/>
      <c r="I88" s="18"/>
    </row>
    <row r="89" spans="1:9" ht="10.5" x14ac:dyDescent="0.25">
      <c r="A89" s="25" t="s">
        <v>63</v>
      </c>
      <c r="B89" s="25"/>
      <c r="C89" s="25"/>
      <c r="D89" s="31"/>
      <c r="E89" s="32">
        <f>E91-(E85)</f>
        <v>3.9999999999999998E-7</v>
      </c>
      <c r="F89" s="33">
        <v>0</v>
      </c>
      <c r="G89" s="32"/>
      <c r="H89" s="18"/>
      <c r="I89" s="18"/>
    </row>
    <row r="90" spans="1:9" ht="10.5" x14ac:dyDescent="0.25">
      <c r="A90" s="25"/>
      <c r="B90" s="25"/>
      <c r="C90" s="25"/>
      <c r="D90" s="31"/>
      <c r="E90" s="32"/>
      <c r="F90" s="33"/>
      <c r="G90" s="32"/>
      <c r="H90" s="18"/>
      <c r="I90" s="18"/>
    </row>
    <row r="91" spans="1:9" ht="10.5" x14ac:dyDescent="0.25">
      <c r="A91" s="34" t="s">
        <v>64</v>
      </c>
      <c r="B91" s="34"/>
      <c r="C91" s="34"/>
      <c r="D91" s="35"/>
      <c r="E91" s="36">
        <v>3.9999999999999998E-7</v>
      </c>
      <c r="F91" s="37">
        <v>100</v>
      </c>
      <c r="G91" s="36"/>
      <c r="H91" s="18"/>
      <c r="I91" s="18"/>
    </row>
    <row r="92" spans="1:9" ht="10.5" x14ac:dyDescent="0.25">
      <c r="F92" s="19"/>
    </row>
    <row r="93" spans="1:9" ht="10.5" x14ac:dyDescent="0.25">
      <c r="A93" s="18" t="s">
        <v>66</v>
      </c>
    </row>
    <row r="94" spans="1:9" ht="10.5" x14ac:dyDescent="0.25">
      <c r="A94" s="49" t="s">
        <v>425</v>
      </c>
    </row>
    <row r="95" spans="1:9" ht="10.5" x14ac:dyDescent="0.25">
      <c r="A95" s="18" t="s">
        <v>426</v>
      </c>
    </row>
    <row r="97" spans="1:4" ht="10.5" x14ac:dyDescent="0.25">
      <c r="A97" s="18" t="s">
        <v>67</v>
      </c>
    </row>
    <row r="98" spans="1:4" ht="10.5" x14ac:dyDescent="0.25">
      <c r="A98" s="18" t="s">
        <v>68</v>
      </c>
    </row>
    <row r="99" spans="1:4" ht="10.5" x14ac:dyDescent="0.25">
      <c r="A99" s="18" t="s">
        <v>69</v>
      </c>
      <c r="B99" s="18"/>
      <c r="C99" s="38" t="s">
        <v>70</v>
      </c>
      <c r="D99" s="43" t="s">
        <v>71</v>
      </c>
    </row>
    <row r="100" spans="1:4" x14ac:dyDescent="0.2">
      <c r="A100" s="9" t="s">
        <v>98</v>
      </c>
      <c r="C100" s="39">
        <v>0</v>
      </c>
      <c r="D100" s="39">
        <v>0</v>
      </c>
    </row>
    <row r="101" spans="1:4" x14ac:dyDescent="0.2">
      <c r="A101" s="9" t="s">
        <v>331</v>
      </c>
      <c r="C101" s="39">
        <v>0</v>
      </c>
      <c r="D101" s="39">
        <v>0</v>
      </c>
    </row>
    <row r="102" spans="1:4" x14ac:dyDescent="0.2">
      <c r="A102" s="9" t="s">
        <v>101</v>
      </c>
      <c r="C102" s="39">
        <v>0</v>
      </c>
      <c r="D102" s="39">
        <v>0</v>
      </c>
    </row>
    <row r="103" spans="1:4" x14ac:dyDescent="0.2">
      <c r="A103" s="9" t="s">
        <v>332</v>
      </c>
      <c r="C103" s="39">
        <v>0</v>
      </c>
      <c r="D103" s="39">
        <v>0</v>
      </c>
    </row>
    <row r="105" spans="1:4" ht="10.5" x14ac:dyDescent="0.25">
      <c r="A105" s="18" t="s">
        <v>1507</v>
      </c>
      <c r="D105" s="43" t="s">
        <v>96</v>
      </c>
    </row>
    <row r="106" spans="1:4" x14ac:dyDescent="0.2">
      <c r="A106" s="9" t="s">
        <v>427</v>
      </c>
    </row>
    <row r="107" spans="1:4" x14ac:dyDescent="0.2">
      <c r="A107" s="47" t="s">
        <v>428</v>
      </c>
    </row>
    <row r="109" spans="1:4" ht="10.5" x14ac:dyDescent="0.25">
      <c r="A109" s="18" t="s">
        <v>1513</v>
      </c>
    </row>
    <row r="110" spans="1:4" x14ac:dyDescent="0.2">
      <c r="A110" s="47" t="s">
        <v>1509</v>
      </c>
    </row>
  </sheetData>
  <mergeCells count="4">
    <mergeCell ref="A1:G1"/>
    <mergeCell ref="A79:G79"/>
    <mergeCell ref="A71:G71"/>
    <mergeCell ref="A73:G73"/>
  </mergeCells>
  <conditionalFormatting sqref="F2:F3 F5:F38 F82:F83 F43:F70 F77:F78 F80 F93:F65545">
    <cfRule type="cellIs" dxfId="62" priority="3" stopIfTrue="1" operator="between">
      <formula>0.009</formula>
      <formula>-0.009</formula>
    </cfRule>
  </conditionalFormatting>
  <conditionalFormatting sqref="F72">
    <cfRule type="cellIs" dxfId="61" priority="2" stopIfTrue="1" operator="between">
      <formula>0.009</formula>
      <formula>-0.009</formula>
    </cfRule>
  </conditionalFormatting>
  <conditionalFormatting sqref="F84:F88 F90:F92">
    <cfRule type="cellIs" dxfId="60" priority="1" stopIfTrue="1" operator="between">
      <formula>0.009</formula>
      <formula>-0.009</formula>
    </cfRule>
  </conditionalFormatting>
  <hyperlinks>
    <hyperlink ref="A69" r:id="rId1" xr:uid="{00000000-0004-0000-0B00-000000000000}"/>
    <hyperlink ref="A107" r:id="rId2" xr:uid="{00000000-0004-0000-0B00-000001000000}"/>
    <hyperlink ref="A76" r:id="rId3" xr:uid="{509001EB-9D84-4F56-9533-B9E9DB1E585B}"/>
    <hyperlink ref="A110" r:id="rId4" xr:uid="{024AB66E-3F15-4BB0-85A5-9EC8AB4C73B7}"/>
  </hyperlinks>
  <pageMargins left="0.7" right="0.7" top="0.75" bottom="0.75" header="0.3" footer="0.3"/>
  <pageSetup paperSize="9" orientation="portrait" r:id="rId5"/>
  <headerFooter>
    <oddFooter>&amp;LPUBLIC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5"/>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66" t="s">
        <v>635</v>
      </c>
      <c r="B1" s="67"/>
      <c r="C1" s="67"/>
      <c r="D1" s="67"/>
      <c r="E1" s="67"/>
      <c r="F1" s="67"/>
      <c r="G1" s="67"/>
    </row>
    <row r="2" spans="1:7" s="1" customFormat="1" ht="11.5" x14ac:dyDescent="0.25">
      <c r="A2" s="44" t="s">
        <v>345</v>
      </c>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220</v>
      </c>
      <c r="B7" s="26" t="s">
        <v>221</v>
      </c>
      <c r="C7" s="26" t="s">
        <v>222</v>
      </c>
      <c r="D7" s="30">
        <v>3930</v>
      </c>
      <c r="E7" s="28">
        <v>38681.850299999998</v>
      </c>
      <c r="F7" s="29">
        <v>10.633465701722001</v>
      </c>
      <c r="G7" s="28">
        <v>11.369400000000001</v>
      </c>
    </row>
    <row r="8" spans="1:7" x14ac:dyDescent="0.2">
      <c r="A8" s="26" t="s">
        <v>567</v>
      </c>
      <c r="B8" s="26" t="s">
        <v>568</v>
      </c>
      <c r="C8" s="26" t="s">
        <v>348</v>
      </c>
      <c r="D8" s="30">
        <v>10140</v>
      </c>
      <c r="E8" s="28">
        <v>20429.13912</v>
      </c>
      <c r="F8" s="29">
        <v>5.6158779495671496</v>
      </c>
      <c r="G8" s="28">
        <v>10.5281</v>
      </c>
    </row>
    <row r="9" spans="1:7" x14ac:dyDescent="0.2">
      <c r="A9" s="26" t="s">
        <v>359</v>
      </c>
      <c r="B9" s="26" t="s">
        <v>360</v>
      </c>
      <c r="C9" s="26" t="s">
        <v>356</v>
      </c>
      <c r="D9" s="30">
        <v>2125</v>
      </c>
      <c r="E9" s="28">
        <v>17017.323</v>
      </c>
      <c r="F9" s="29">
        <v>4.6779851287420202</v>
      </c>
      <c r="G9" s="28">
        <v>9.8347999999999995</v>
      </c>
    </row>
    <row r="10" spans="1:7" x14ac:dyDescent="0.2">
      <c r="A10" s="26" t="s">
        <v>188</v>
      </c>
      <c r="B10" s="26" t="s">
        <v>189</v>
      </c>
      <c r="C10" s="26" t="s">
        <v>190</v>
      </c>
      <c r="D10" s="30">
        <v>1150</v>
      </c>
      <c r="E10" s="28">
        <v>12952.530500000001</v>
      </c>
      <c r="F10" s="29">
        <v>3.56059205426009</v>
      </c>
      <c r="G10" s="28">
        <v>7.6436000000000002</v>
      </c>
    </row>
    <row r="11" spans="1:7" x14ac:dyDescent="0.2">
      <c r="A11" s="26" t="s">
        <v>352</v>
      </c>
      <c r="B11" s="26" t="s">
        <v>353</v>
      </c>
      <c r="C11" s="26" t="s">
        <v>348</v>
      </c>
      <c r="D11" s="30">
        <v>5580</v>
      </c>
      <c r="E11" s="28">
        <v>11234.30328</v>
      </c>
      <c r="F11" s="29">
        <v>3.0882591624791802</v>
      </c>
      <c r="G11" s="28">
        <v>10.568300000000001</v>
      </c>
    </row>
    <row r="12" spans="1:7" x14ac:dyDescent="0.2">
      <c r="A12" s="26" t="s">
        <v>468</v>
      </c>
      <c r="B12" s="26" t="s">
        <v>469</v>
      </c>
      <c r="C12" s="26" t="s">
        <v>222</v>
      </c>
      <c r="D12" s="30">
        <v>1000</v>
      </c>
      <c r="E12" s="28">
        <v>9718</v>
      </c>
      <c r="F12" s="29">
        <v>2.6714342485663001</v>
      </c>
      <c r="G12" s="28">
        <v>10.941000000000001</v>
      </c>
    </row>
    <row r="13" spans="1:7" x14ac:dyDescent="0.2">
      <c r="A13" s="26" t="s">
        <v>629</v>
      </c>
      <c r="B13" s="26" t="s">
        <v>630</v>
      </c>
      <c r="C13" s="26" t="s">
        <v>168</v>
      </c>
      <c r="D13" s="30">
        <v>850</v>
      </c>
      <c r="E13" s="28">
        <v>7841.8959999999997</v>
      </c>
      <c r="F13" s="29">
        <v>2.1557017439900199</v>
      </c>
      <c r="G13" s="28">
        <v>11.8748</v>
      </c>
    </row>
    <row r="14" spans="1:7" x14ac:dyDescent="0.2">
      <c r="A14" s="26" t="s">
        <v>385</v>
      </c>
      <c r="B14" s="26" t="s">
        <v>386</v>
      </c>
      <c r="C14" s="26" t="s">
        <v>365</v>
      </c>
      <c r="D14" s="30">
        <v>510</v>
      </c>
      <c r="E14" s="28">
        <v>6731.1279000000004</v>
      </c>
      <c r="F14" s="29">
        <v>1.85035661695206</v>
      </c>
      <c r="G14" s="28">
        <v>10.535399999999999</v>
      </c>
    </row>
    <row r="15" spans="1:7" x14ac:dyDescent="0.2">
      <c r="A15" s="26" t="s">
        <v>636</v>
      </c>
      <c r="B15" s="26" t="s">
        <v>637</v>
      </c>
      <c r="C15" s="26" t="s">
        <v>534</v>
      </c>
      <c r="D15" s="30">
        <v>650</v>
      </c>
      <c r="E15" s="28">
        <v>6534.3850000000002</v>
      </c>
      <c r="F15" s="29">
        <v>1.7962728835478401</v>
      </c>
      <c r="G15" s="28">
        <v>9.7659000000000002</v>
      </c>
    </row>
    <row r="16" spans="1:7" x14ac:dyDescent="0.2">
      <c r="A16" s="26" t="s">
        <v>638</v>
      </c>
      <c r="B16" s="26" t="s">
        <v>639</v>
      </c>
      <c r="C16" s="26" t="s">
        <v>534</v>
      </c>
      <c r="D16" s="30">
        <v>650</v>
      </c>
      <c r="E16" s="28">
        <v>6503.5685000000003</v>
      </c>
      <c r="F16" s="29">
        <v>1.7878015670711001</v>
      </c>
      <c r="G16" s="28">
        <v>10.980399999999999</v>
      </c>
    </row>
    <row r="17" spans="1:7" x14ac:dyDescent="0.2">
      <c r="A17" s="26" t="s">
        <v>577</v>
      </c>
      <c r="B17" s="26" t="s">
        <v>578</v>
      </c>
      <c r="C17" s="26" t="s">
        <v>348</v>
      </c>
      <c r="D17" s="30">
        <v>648</v>
      </c>
      <c r="E17" s="28">
        <v>6477.9199200000003</v>
      </c>
      <c r="F17" s="29">
        <v>1.7807508884295</v>
      </c>
      <c r="G17" s="28">
        <v>10.55</v>
      </c>
    </row>
    <row r="18" spans="1:7" x14ac:dyDescent="0.2">
      <c r="A18" s="26" t="s">
        <v>640</v>
      </c>
      <c r="B18" s="26" t="s">
        <v>641</v>
      </c>
      <c r="C18" s="26" t="s">
        <v>463</v>
      </c>
      <c r="D18" s="30">
        <v>650</v>
      </c>
      <c r="E18" s="28">
        <v>6452.1925000000001</v>
      </c>
      <c r="F18" s="29">
        <v>1.77367853702846</v>
      </c>
      <c r="G18" s="28">
        <v>11.22</v>
      </c>
    </row>
    <row r="19" spans="1:7" x14ac:dyDescent="0.2">
      <c r="A19" s="26" t="s">
        <v>642</v>
      </c>
      <c r="B19" s="26" t="s">
        <v>643</v>
      </c>
      <c r="C19" s="26" t="s">
        <v>463</v>
      </c>
      <c r="D19" s="30">
        <v>650</v>
      </c>
      <c r="E19" s="28">
        <v>6425.1850000000004</v>
      </c>
      <c r="F19" s="29">
        <v>1.7662542974248201</v>
      </c>
      <c r="G19" s="28">
        <v>12.05</v>
      </c>
    </row>
    <row r="20" spans="1:7" x14ac:dyDescent="0.2">
      <c r="A20" s="26" t="s">
        <v>346</v>
      </c>
      <c r="B20" s="26" t="s">
        <v>347</v>
      </c>
      <c r="C20" s="26" t="s">
        <v>348</v>
      </c>
      <c r="D20" s="30">
        <v>606</v>
      </c>
      <c r="E20" s="28">
        <v>6063.02394</v>
      </c>
      <c r="F20" s="29">
        <v>1.66669785997051</v>
      </c>
      <c r="G20" s="28">
        <v>10.505000000000001</v>
      </c>
    </row>
    <row r="21" spans="1:7" x14ac:dyDescent="0.2">
      <c r="A21" s="26" t="s">
        <v>376</v>
      </c>
      <c r="B21" s="26" t="s">
        <v>377</v>
      </c>
      <c r="C21" s="26" t="s">
        <v>348</v>
      </c>
      <c r="D21" s="30">
        <v>550</v>
      </c>
      <c r="E21" s="28">
        <v>5479.6940000000004</v>
      </c>
      <c r="F21" s="29">
        <v>1.50634309768093</v>
      </c>
      <c r="G21" s="28">
        <v>10.4131</v>
      </c>
    </row>
    <row r="22" spans="1:7" x14ac:dyDescent="0.2">
      <c r="A22" s="26" t="s">
        <v>349</v>
      </c>
      <c r="B22" s="26" t="s">
        <v>350</v>
      </c>
      <c r="C22" s="26" t="s">
        <v>351</v>
      </c>
      <c r="D22" s="30">
        <v>550</v>
      </c>
      <c r="E22" s="28">
        <v>5416.8289999999997</v>
      </c>
      <c r="F22" s="29">
        <v>1.4890617934993999</v>
      </c>
      <c r="G22" s="28">
        <v>18.036100000000001</v>
      </c>
    </row>
    <row r="23" spans="1:7" x14ac:dyDescent="0.2">
      <c r="A23" s="26" t="s">
        <v>366</v>
      </c>
      <c r="B23" s="26" t="s">
        <v>367</v>
      </c>
      <c r="C23" s="26" t="s">
        <v>168</v>
      </c>
      <c r="D23" s="30">
        <v>550</v>
      </c>
      <c r="E23" s="28">
        <v>5119.4385000000002</v>
      </c>
      <c r="F23" s="29">
        <v>1.4073104900523601</v>
      </c>
      <c r="G23" s="28">
        <v>11.7966</v>
      </c>
    </row>
    <row r="24" spans="1:7" x14ac:dyDescent="0.2">
      <c r="A24" s="26" t="s">
        <v>644</v>
      </c>
      <c r="B24" s="26" t="s">
        <v>645</v>
      </c>
      <c r="C24" s="26" t="s">
        <v>370</v>
      </c>
      <c r="D24" s="30">
        <v>5000</v>
      </c>
      <c r="E24" s="28">
        <v>4950.9750000000004</v>
      </c>
      <c r="F24" s="29">
        <v>1.36100063580938</v>
      </c>
      <c r="G24" s="28">
        <v>10.97</v>
      </c>
    </row>
    <row r="25" spans="1:7" x14ac:dyDescent="0.2">
      <c r="A25" s="26" t="s">
        <v>368</v>
      </c>
      <c r="B25" s="26" t="s">
        <v>369</v>
      </c>
      <c r="C25" s="26" t="s">
        <v>370</v>
      </c>
      <c r="D25" s="30">
        <v>550</v>
      </c>
      <c r="E25" s="28">
        <v>4692.9025000000001</v>
      </c>
      <c r="F25" s="29">
        <v>1.2900576727394899</v>
      </c>
      <c r="G25" s="28">
        <v>20.960599999999999</v>
      </c>
    </row>
    <row r="26" spans="1:7" x14ac:dyDescent="0.2">
      <c r="A26" s="26" t="s">
        <v>461</v>
      </c>
      <c r="B26" s="26" t="s">
        <v>462</v>
      </c>
      <c r="C26" s="26" t="s">
        <v>463</v>
      </c>
      <c r="D26" s="30">
        <v>450</v>
      </c>
      <c r="E26" s="28">
        <v>4501.9665000000005</v>
      </c>
      <c r="F26" s="29">
        <v>1.2375702298825</v>
      </c>
      <c r="G26" s="28">
        <v>9.4466000000000001</v>
      </c>
    </row>
    <row r="27" spans="1:7" x14ac:dyDescent="0.2">
      <c r="A27" s="26" t="s">
        <v>627</v>
      </c>
      <c r="B27" s="26" t="s">
        <v>628</v>
      </c>
      <c r="C27" s="26" t="s">
        <v>484</v>
      </c>
      <c r="D27" s="30">
        <v>350</v>
      </c>
      <c r="E27" s="28">
        <v>4431.357</v>
      </c>
      <c r="F27" s="29">
        <v>1.21815999767689</v>
      </c>
      <c r="G27" s="28">
        <v>10.993600000000001</v>
      </c>
    </row>
    <row r="28" spans="1:7" x14ac:dyDescent="0.2">
      <c r="A28" s="26" t="s">
        <v>579</v>
      </c>
      <c r="B28" s="26" t="s">
        <v>580</v>
      </c>
      <c r="C28" s="26" t="s">
        <v>348</v>
      </c>
      <c r="D28" s="30">
        <v>352</v>
      </c>
      <c r="E28" s="28">
        <v>3518.7187199999998</v>
      </c>
      <c r="F28" s="29">
        <v>0.96727986207855199</v>
      </c>
      <c r="G28" s="28">
        <v>10.55</v>
      </c>
    </row>
    <row r="29" spans="1:7" x14ac:dyDescent="0.2">
      <c r="A29" s="26" t="s">
        <v>387</v>
      </c>
      <c r="B29" s="26" t="s">
        <v>388</v>
      </c>
      <c r="C29" s="26" t="s">
        <v>348</v>
      </c>
      <c r="D29" s="30">
        <v>351</v>
      </c>
      <c r="E29" s="28">
        <v>3515.9459400000001</v>
      </c>
      <c r="F29" s="29">
        <v>0.96651763739695695</v>
      </c>
      <c r="G29" s="28">
        <v>10.252700000000001</v>
      </c>
    </row>
    <row r="30" spans="1:7" x14ac:dyDescent="0.2">
      <c r="A30" s="26" t="s">
        <v>459</v>
      </c>
      <c r="B30" s="26" t="s">
        <v>460</v>
      </c>
      <c r="C30" s="26" t="s">
        <v>348</v>
      </c>
      <c r="D30" s="30">
        <v>350</v>
      </c>
      <c r="E30" s="28">
        <v>3508.0535</v>
      </c>
      <c r="F30" s="29">
        <v>0.96434804133596097</v>
      </c>
      <c r="G30" s="28">
        <v>9.5</v>
      </c>
    </row>
    <row r="31" spans="1:7" x14ac:dyDescent="0.2">
      <c r="A31" s="26" t="s">
        <v>373</v>
      </c>
      <c r="B31" s="26" t="s">
        <v>374</v>
      </c>
      <c r="C31" s="26" t="s">
        <v>375</v>
      </c>
      <c r="D31" s="30">
        <v>310</v>
      </c>
      <c r="E31" s="28">
        <v>3316.2280999999998</v>
      </c>
      <c r="F31" s="29">
        <v>0.91161610644144297</v>
      </c>
      <c r="G31" s="28">
        <v>6.2958999999999996</v>
      </c>
    </row>
    <row r="32" spans="1:7" x14ac:dyDescent="0.2">
      <c r="A32" s="26" t="s">
        <v>382</v>
      </c>
      <c r="B32" s="26" t="s">
        <v>369</v>
      </c>
      <c r="C32" s="26" t="s">
        <v>370</v>
      </c>
      <c r="D32" s="30">
        <v>380</v>
      </c>
      <c r="E32" s="28">
        <v>3239.4582</v>
      </c>
      <c r="F32" s="29">
        <v>0.89051240813736698</v>
      </c>
      <c r="G32" s="28">
        <v>21.034099999999999</v>
      </c>
    </row>
    <row r="33" spans="1:9" x14ac:dyDescent="0.2">
      <c r="A33" s="26" t="s">
        <v>563</v>
      </c>
      <c r="B33" s="26" t="s">
        <v>564</v>
      </c>
      <c r="C33" s="26" t="s">
        <v>348</v>
      </c>
      <c r="D33" s="30">
        <v>306</v>
      </c>
      <c r="E33" s="28">
        <v>3059.1432</v>
      </c>
      <c r="F33" s="29">
        <v>0.84094463014495802</v>
      </c>
      <c r="G33" s="28">
        <v>10.55</v>
      </c>
    </row>
    <row r="34" spans="1:9" x14ac:dyDescent="0.2">
      <c r="A34" s="26" t="s">
        <v>380</v>
      </c>
      <c r="B34" s="26" t="s">
        <v>381</v>
      </c>
      <c r="C34" s="26" t="s">
        <v>351</v>
      </c>
      <c r="D34" s="30">
        <v>300</v>
      </c>
      <c r="E34" s="28">
        <v>2980.8449999999998</v>
      </c>
      <c r="F34" s="29">
        <v>0.81942080908289805</v>
      </c>
      <c r="G34" s="28">
        <v>10.389900000000001</v>
      </c>
    </row>
    <row r="35" spans="1:9" x14ac:dyDescent="0.2">
      <c r="A35" s="26" t="s">
        <v>466</v>
      </c>
      <c r="B35" s="26" t="s">
        <v>467</v>
      </c>
      <c r="C35" s="26" t="s">
        <v>311</v>
      </c>
      <c r="D35" s="30">
        <v>270</v>
      </c>
      <c r="E35" s="28">
        <v>2725.6311000000001</v>
      </c>
      <c r="F35" s="29">
        <v>0.74926366222447305</v>
      </c>
      <c r="G35" s="28">
        <v>9.6384000000000007</v>
      </c>
    </row>
    <row r="36" spans="1:9" x14ac:dyDescent="0.2">
      <c r="A36" s="26" t="s">
        <v>472</v>
      </c>
      <c r="B36" s="26" t="s">
        <v>473</v>
      </c>
      <c r="C36" s="26" t="s">
        <v>463</v>
      </c>
      <c r="D36" s="30">
        <v>260</v>
      </c>
      <c r="E36" s="28">
        <v>2576.6</v>
      </c>
      <c r="F36" s="29">
        <v>0.70829568685489996</v>
      </c>
      <c r="G36" s="28">
        <v>11.324999999999999</v>
      </c>
    </row>
    <row r="37" spans="1:9" x14ac:dyDescent="0.2">
      <c r="A37" s="26" t="s">
        <v>383</v>
      </c>
      <c r="B37" s="26" t="s">
        <v>384</v>
      </c>
      <c r="C37" s="26" t="s">
        <v>168</v>
      </c>
      <c r="D37" s="30">
        <v>250</v>
      </c>
      <c r="E37" s="28">
        <v>2479.8449999999998</v>
      </c>
      <c r="F37" s="29">
        <v>0.68169817494709695</v>
      </c>
      <c r="G37" s="28">
        <v>11.8749</v>
      </c>
    </row>
    <row r="38" spans="1:9" x14ac:dyDescent="0.2">
      <c r="A38" s="26" t="s">
        <v>478</v>
      </c>
      <c r="B38" s="26" t="s">
        <v>479</v>
      </c>
      <c r="C38" s="26" t="s">
        <v>348</v>
      </c>
      <c r="D38" s="30">
        <v>176</v>
      </c>
      <c r="E38" s="28">
        <v>1759.6479999999999</v>
      </c>
      <c r="F38" s="29">
        <v>0.483719276869849</v>
      </c>
      <c r="G38" s="28">
        <v>10.55</v>
      </c>
    </row>
    <row r="39" spans="1:9" x14ac:dyDescent="0.2">
      <c r="A39" s="26" t="s">
        <v>480</v>
      </c>
      <c r="B39" s="26" t="s">
        <v>481</v>
      </c>
      <c r="C39" s="26" t="s">
        <v>348</v>
      </c>
      <c r="D39" s="30">
        <v>176</v>
      </c>
      <c r="E39" s="28">
        <v>1759.5195200000001</v>
      </c>
      <c r="F39" s="29">
        <v>0.48368395829892302</v>
      </c>
      <c r="G39" s="28">
        <v>10.55</v>
      </c>
    </row>
    <row r="40" spans="1:9" x14ac:dyDescent="0.2">
      <c r="A40" s="26" t="s">
        <v>391</v>
      </c>
      <c r="B40" s="26" t="s">
        <v>392</v>
      </c>
      <c r="C40" s="26" t="s">
        <v>168</v>
      </c>
      <c r="D40" s="30">
        <v>150</v>
      </c>
      <c r="E40" s="28">
        <v>1507.521</v>
      </c>
      <c r="F40" s="29">
        <v>0.41441070486035297</v>
      </c>
      <c r="G40" s="28">
        <v>10.6076</v>
      </c>
    </row>
    <row r="41" spans="1:9" x14ac:dyDescent="0.2">
      <c r="A41" s="26" t="s">
        <v>532</v>
      </c>
      <c r="B41" s="26" t="s">
        <v>533</v>
      </c>
      <c r="C41" s="26" t="s">
        <v>534</v>
      </c>
      <c r="D41" s="30">
        <v>400</v>
      </c>
      <c r="E41" s="28">
        <v>1000.704</v>
      </c>
      <c r="F41" s="29">
        <v>0.27508900373299899</v>
      </c>
      <c r="G41" s="28">
        <v>12.3207</v>
      </c>
    </row>
    <row r="42" spans="1:9" x14ac:dyDescent="0.2">
      <c r="A42" s="26" t="s">
        <v>389</v>
      </c>
      <c r="B42" s="26" t="s">
        <v>390</v>
      </c>
      <c r="C42" s="26" t="s">
        <v>311</v>
      </c>
      <c r="D42" s="30">
        <v>90</v>
      </c>
      <c r="E42" s="28">
        <v>906.72749999999996</v>
      </c>
      <c r="F42" s="29">
        <v>0.24925528890892101</v>
      </c>
      <c r="G42" s="28">
        <v>9.5142000000000007</v>
      </c>
    </row>
    <row r="43" spans="1:9" x14ac:dyDescent="0.2">
      <c r="A43" s="26" t="s">
        <v>354</v>
      </c>
      <c r="B43" s="26" t="s">
        <v>355</v>
      </c>
      <c r="C43" s="26" t="s">
        <v>356</v>
      </c>
      <c r="D43" s="30">
        <v>95</v>
      </c>
      <c r="E43" s="28">
        <v>865.9117</v>
      </c>
      <c r="F43" s="29">
        <v>0.23803521008584699</v>
      </c>
      <c r="G43" s="28">
        <v>11.6172</v>
      </c>
    </row>
    <row r="44" spans="1:9" x14ac:dyDescent="0.2">
      <c r="A44" s="26" t="s">
        <v>646</v>
      </c>
      <c r="B44" s="26" t="s">
        <v>647</v>
      </c>
      <c r="C44" s="26" t="s">
        <v>209</v>
      </c>
      <c r="D44" s="30">
        <v>74</v>
      </c>
      <c r="E44" s="28">
        <v>762.31913999999995</v>
      </c>
      <c r="F44" s="29">
        <v>0.20955808385816099</v>
      </c>
      <c r="G44" s="28">
        <v>4.6524000000000001</v>
      </c>
    </row>
    <row r="45" spans="1:9" x14ac:dyDescent="0.2">
      <c r="A45" s="26" t="s">
        <v>393</v>
      </c>
      <c r="B45" s="26" t="s">
        <v>394</v>
      </c>
      <c r="C45" s="26" t="s">
        <v>356</v>
      </c>
      <c r="D45" s="30">
        <v>40</v>
      </c>
      <c r="E45" s="28">
        <v>410.23079999999999</v>
      </c>
      <c r="F45" s="29">
        <v>0.112770591576122</v>
      </c>
      <c r="G45" s="28">
        <v>5.28</v>
      </c>
    </row>
    <row r="46" spans="1:9" x14ac:dyDescent="0.2">
      <c r="A46" s="26" t="s">
        <v>621</v>
      </c>
      <c r="B46" s="26" t="s">
        <v>622</v>
      </c>
      <c r="C46" s="26" t="s">
        <v>351</v>
      </c>
      <c r="D46" s="30">
        <v>400</v>
      </c>
      <c r="E46" s="28">
        <v>404.87560000000002</v>
      </c>
      <c r="F46" s="29">
        <v>0.111298471315994</v>
      </c>
      <c r="G46" s="28">
        <v>9.3853000000000009</v>
      </c>
    </row>
    <row r="47" spans="1:9" x14ac:dyDescent="0.2">
      <c r="A47" s="26" t="s">
        <v>648</v>
      </c>
      <c r="B47" s="26" t="s">
        <v>649</v>
      </c>
      <c r="C47" s="26" t="s">
        <v>16</v>
      </c>
      <c r="D47" s="30">
        <v>3</v>
      </c>
      <c r="E47" s="28">
        <v>302.71710000000002</v>
      </c>
      <c r="F47" s="29">
        <v>8.32155616965084E-2</v>
      </c>
      <c r="G47" s="28">
        <v>3.1598999999999999</v>
      </c>
    </row>
    <row r="48" spans="1:9" ht="10.5" x14ac:dyDescent="0.25">
      <c r="A48" s="25" t="s">
        <v>17</v>
      </c>
      <c r="B48" s="25"/>
      <c r="C48" s="25"/>
      <c r="D48" s="31"/>
      <c r="E48" s="32">
        <f>SUM(E6:E47)</f>
        <v>238256.25058000002</v>
      </c>
      <c r="F48" s="33">
        <f>SUM(F6:F47)</f>
        <v>65.495565726940299</v>
      </c>
      <c r="G48" s="32"/>
      <c r="H48" s="18"/>
      <c r="I48" s="18"/>
    </row>
    <row r="49" spans="1:9" x14ac:dyDescent="0.2">
      <c r="A49" s="26"/>
      <c r="B49" s="26"/>
      <c r="C49" s="26"/>
      <c r="D49" s="27"/>
      <c r="E49" s="28"/>
      <c r="F49" s="29"/>
      <c r="G49" s="28"/>
    </row>
    <row r="50" spans="1:9" ht="10.5" x14ac:dyDescent="0.25">
      <c r="A50" s="25" t="s">
        <v>269</v>
      </c>
      <c r="B50" s="26"/>
      <c r="C50" s="26"/>
      <c r="D50" s="27"/>
      <c r="E50" s="28"/>
      <c r="F50" s="29"/>
      <c r="G50" s="28"/>
    </row>
    <row r="51" spans="1:9" x14ac:dyDescent="0.2">
      <c r="A51" s="26" t="s">
        <v>411</v>
      </c>
      <c r="B51" s="26" t="s">
        <v>412</v>
      </c>
      <c r="C51" s="26" t="s">
        <v>397</v>
      </c>
      <c r="D51" s="30">
        <v>230</v>
      </c>
      <c r="E51" s="28">
        <v>22613.572169999999</v>
      </c>
      <c r="F51" s="29">
        <v>6.2163687155138598</v>
      </c>
      <c r="G51" s="28">
        <v>7.7750000000000004</v>
      </c>
    </row>
    <row r="52" spans="1:9" x14ac:dyDescent="0.2">
      <c r="A52" s="26" t="s">
        <v>406</v>
      </c>
      <c r="B52" s="26" t="s">
        <v>407</v>
      </c>
      <c r="C52" s="26" t="s">
        <v>408</v>
      </c>
      <c r="D52" s="30">
        <v>1000</v>
      </c>
      <c r="E52" s="28">
        <v>7388.5729600000004</v>
      </c>
      <c r="F52" s="29">
        <v>2.0310852905304499</v>
      </c>
      <c r="G52" s="28">
        <v>10.98</v>
      </c>
    </row>
    <row r="53" spans="1:9" x14ac:dyDescent="0.2">
      <c r="A53" s="26" t="s">
        <v>398</v>
      </c>
      <c r="B53" s="26" t="s">
        <v>399</v>
      </c>
      <c r="C53" s="26" t="s">
        <v>400</v>
      </c>
      <c r="D53" s="30">
        <v>580</v>
      </c>
      <c r="E53" s="28">
        <v>5224.7243699999999</v>
      </c>
      <c r="F53" s="29">
        <v>1.4362530995407501</v>
      </c>
      <c r="G53" s="28">
        <v>11.3598</v>
      </c>
    </row>
    <row r="54" spans="1:9" x14ac:dyDescent="0.2">
      <c r="A54" s="26" t="s">
        <v>403</v>
      </c>
      <c r="B54" s="26" t="s">
        <v>404</v>
      </c>
      <c r="C54" s="26" t="s">
        <v>405</v>
      </c>
      <c r="D54" s="30">
        <v>200</v>
      </c>
      <c r="E54" s="28">
        <v>1898.4380000000001</v>
      </c>
      <c r="F54" s="29">
        <v>0.521872020166671</v>
      </c>
      <c r="G54" s="28">
        <v>11.904999999999999</v>
      </c>
    </row>
    <row r="55" spans="1:9" x14ac:dyDescent="0.2">
      <c r="A55" s="26" t="s">
        <v>395</v>
      </c>
      <c r="B55" s="26" t="s">
        <v>396</v>
      </c>
      <c r="C55" s="26" t="s">
        <v>397</v>
      </c>
      <c r="D55" s="30">
        <v>110</v>
      </c>
      <c r="E55" s="28">
        <v>1151.3534999999999</v>
      </c>
      <c r="F55" s="29">
        <v>0.31650186994306201</v>
      </c>
      <c r="G55" s="28">
        <v>7.375</v>
      </c>
    </row>
    <row r="56" spans="1:9" x14ac:dyDescent="0.2">
      <c r="A56" s="26" t="s">
        <v>413</v>
      </c>
      <c r="B56" s="26" t="s">
        <v>414</v>
      </c>
      <c r="C56" s="26" t="s">
        <v>400</v>
      </c>
      <c r="D56" s="30">
        <v>130</v>
      </c>
      <c r="E56" s="28">
        <v>1146.3634520000001</v>
      </c>
      <c r="F56" s="29">
        <v>0.31513012831626702</v>
      </c>
      <c r="G56" s="28">
        <v>11.3597</v>
      </c>
    </row>
    <row r="57" spans="1:9" x14ac:dyDescent="0.2">
      <c r="A57" s="26" t="s">
        <v>409</v>
      </c>
      <c r="B57" s="26" t="s">
        <v>410</v>
      </c>
      <c r="C57" s="26" t="s">
        <v>397</v>
      </c>
      <c r="D57" s="30">
        <v>50</v>
      </c>
      <c r="E57" s="28">
        <v>522.71349999999995</v>
      </c>
      <c r="F57" s="29">
        <v>0.143691577082523</v>
      </c>
      <c r="G57" s="28">
        <v>7.2649999999999997</v>
      </c>
    </row>
    <row r="58" spans="1:9" x14ac:dyDescent="0.2">
      <c r="A58" s="26" t="s">
        <v>487</v>
      </c>
      <c r="B58" s="26" t="s">
        <v>488</v>
      </c>
      <c r="C58" s="26" t="s">
        <v>420</v>
      </c>
      <c r="D58" s="30">
        <v>938</v>
      </c>
      <c r="E58" s="28">
        <v>0</v>
      </c>
      <c r="F58" s="28">
        <v>0</v>
      </c>
      <c r="G58" s="28">
        <v>0</v>
      </c>
    </row>
    <row r="59" spans="1:9" x14ac:dyDescent="0.2">
      <c r="A59" s="26" t="s">
        <v>418</v>
      </c>
      <c r="B59" s="26" t="s">
        <v>419</v>
      </c>
      <c r="C59" s="26" t="s">
        <v>420</v>
      </c>
      <c r="D59" s="30">
        <v>843</v>
      </c>
      <c r="E59" s="28">
        <v>0</v>
      </c>
      <c r="F59" s="28">
        <v>0</v>
      </c>
      <c r="G59" s="28">
        <v>0</v>
      </c>
    </row>
    <row r="60" spans="1:9" x14ac:dyDescent="0.2">
      <c r="A60" s="26" t="s">
        <v>650</v>
      </c>
      <c r="B60" s="26" t="s">
        <v>651</v>
      </c>
      <c r="C60" s="26" t="s">
        <v>417</v>
      </c>
      <c r="D60" s="30">
        <v>750</v>
      </c>
      <c r="E60" s="28">
        <v>0</v>
      </c>
      <c r="F60" s="28">
        <v>0</v>
      </c>
      <c r="G60" s="28">
        <v>0</v>
      </c>
    </row>
    <row r="61" spans="1:9" x14ac:dyDescent="0.2">
      <c r="A61" s="26" t="s">
        <v>597</v>
      </c>
      <c r="B61" s="26" t="s">
        <v>598</v>
      </c>
      <c r="C61" s="26" t="s">
        <v>420</v>
      </c>
      <c r="D61" s="30">
        <v>632</v>
      </c>
      <c r="E61" s="28">
        <v>0</v>
      </c>
      <c r="F61" s="28">
        <v>0</v>
      </c>
      <c r="G61" s="28">
        <v>0</v>
      </c>
    </row>
    <row r="62" spans="1:9" x14ac:dyDescent="0.2">
      <c r="A62" s="26" t="s">
        <v>605</v>
      </c>
      <c r="B62" s="26" t="s">
        <v>606</v>
      </c>
      <c r="C62" s="26" t="s">
        <v>417</v>
      </c>
      <c r="D62" s="30">
        <v>150</v>
      </c>
      <c r="E62" s="28">
        <v>0</v>
      </c>
      <c r="F62" s="28">
        <v>0</v>
      </c>
      <c r="G62" s="28">
        <v>0</v>
      </c>
    </row>
    <row r="63" spans="1:9" ht="10.5" x14ac:dyDescent="0.25">
      <c r="A63" s="25" t="s">
        <v>17</v>
      </c>
      <c r="B63" s="25"/>
      <c r="C63" s="25"/>
      <c r="D63" s="31"/>
      <c r="E63" s="32">
        <f>SUM(E50:E62)</f>
        <v>39945.737951999996</v>
      </c>
      <c r="F63" s="33">
        <f>SUM(F50:F62)</f>
        <v>10.980902701093582</v>
      </c>
      <c r="G63" s="32"/>
      <c r="H63" s="18"/>
      <c r="I63" s="18"/>
    </row>
    <row r="64" spans="1:9" x14ac:dyDescent="0.2">
      <c r="A64" s="26"/>
      <c r="B64" s="26"/>
      <c r="C64" s="26"/>
      <c r="D64" s="27"/>
      <c r="E64" s="28"/>
      <c r="F64" s="29"/>
      <c r="G64" s="28"/>
    </row>
    <row r="65" spans="1:9" ht="10.5" x14ac:dyDescent="0.25">
      <c r="A65" s="25" t="s">
        <v>62</v>
      </c>
      <c r="B65" s="25"/>
      <c r="C65" s="25"/>
      <c r="D65" s="31"/>
      <c r="E65" s="32">
        <f>E48+E63</f>
        <v>278201.98853199999</v>
      </c>
      <c r="F65" s="33">
        <f>F48+F63</f>
        <v>76.476468428033883</v>
      </c>
      <c r="G65" s="32"/>
      <c r="H65" s="18"/>
      <c r="I65" s="18"/>
    </row>
    <row r="66" spans="1:9" ht="10.5" x14ac:dyDescent="0.25">
      <c r="A66" s="25"/>
      <c r="B66" s="25"/>
      <c r="C66" s="25"/>
      <c r="D66" s="31"/>
      <c r="E66" s="32"/>
      <c r="F66" s="33"/>
      <c r="G66" s="32"/>
      <c r="H66" s="18"/>
      <c r="I66" s="18"/>
    </row>
    <row r="67" spans="1:9" ht="10.5" x14ac:dyDescent="0.25">
      <c r="A67" s="25" t="s">
        <v>63</v>
      </c>
      <c r="B67" s="25"/>
      <c r="C67" s="25"/>
      <c r="D67" s="31"/>
      <c r="E67" s="32">
        <f>E69-(E48+E63)</f>
        <v>85572.639468499983</v>
      </c>
      <c r="F67" s="33">
        <f>F69-(F48+F63)</f>
        <v>23.523531571966117</v>
      </c>
      <c r="G67" s="32"/>
      <c r="H67" s="18"/>
      <c r="I67" s="18"/>
    </row>
    <row r="68" spans="1:9" ht="10.5" x14ac:dyDescent="0.25">
      <c r="A68" s="25"/>
      <c r="B68" s="25"/>
      <c r="C68" s="25"/>
      <c r="D68" s="31"/>
      <c r="E68" s="32"/>
      <c r="F68" s="33"/>
      <c r="G68" s="32"/>
      <c r="H68" s="18"/>
      <c r="I68" s="18"/>
    </row>
    <row r="69" spans="1:9" ht="10.5" x14ac:dyDescent="0.25">
      <c r="A69" s="34" t="s">
        <v>64</v>
      </c>
      <c r="B69" s="34"/>
      <c r="C69" s="34"/>
      <c r="D69" s="35"/>
      <c r="E69" s="36">
        <v>363774.62800049997</v>
      </c>
      <c r="F69" s="37">
        <v>100</v>
      </c>
      <c r="G69" s="36"/>
      <c r="H69" s="18"/>
      <c r="I69" s="18"/>
    </row>
    <row r="70" spans="1:9" ht="10.5" x14ac:dyDescent="0.25">
      <c r="F70" s="19"/>
    </row>
    <row r="71" spans="1:9" ht="10.5" x14ac:dyDescent="0.25">
      <c r="A71" s="18" t="s">
        <v>66</v>
      </c>
    </row>
    <row r="72" spans="1:9" ht="10.5" x14ac:dyDescent="0.25">
      <c r="A72" s="49" t="s">
        <v>425</v>
      </c>
    </row>
    <row r="73" spans="1:9" ht="10.5" x14ac:dyDescent="0.25">
      <c r="A73" s="18" t="s">
        <v>426</v>
      </c>
    </row>
    <row r="75" spans="1:9" ht="10.5" x14ac:dyDescent="0.25">
      <c r="A75" s="18" t="s">
        <v>67</v>
      </c>
    </row>
    <row r="76" spans="1:9" ht="10.5" x14ac:dyDescent="0.25">
      <c r="A76" s="18" t="s">
        <v>68</v>
      </c>
    </row>
    <row r="77" spans="1:9" ht="10.5" x14ac:dyDescent="0.25">
      <c r="A77" s="18" t="s">
        <v>69</v>
      </c>
      <c r="B77" s="18"/>
      <c r="C77" s="38" t="s">
        <v>70</v>
      </c>
      <c r="D77" s="43" t="s">
        <v>71</v>
      </c>
    </row>
    <row r="78" spans="1:9" x14ac:dyDescent="0.2">
      <c r="A78" s="9" t="s">
        <v>98</v>
      </c>
      <c r="C78" s="39">
        <v>18.6038</v>
      </c>
      <c r="D78" s="39">
        <v>19.903400000000001</v>
      </c>
    </row>
    <row r="79" spans="1:9" x14ac:dyDescent="0.2">
      <c r="A79" s="9" t="s">
        <v>331</v>
      </c>
      <c r="C79" s="39">
        <v>9.9763999999999999</v>
      </c>
      <c r="D79" s="39">
        <v>10.673299999999999</v>
      </c>
    </row>
    <row r="80" spans="1:9" x14ac:dyDescent="0.2">
      <c r="A80" s="9" t="s">
        <v>101</v>
      </c>
      <c r="C80" s="39">
        <v>19.735299999999999</v>
      </c>
      <c r="D80" s="39">
        <v>21.175799999999999</v>
      </c>
    </row>
    <row r="81" spans="1:7" x14ac:dyDescent="0.2">
      <c r="A81" s="9" t="s">
        <v>332</v>
      </c>
      <c r="C81" s="39">
        <v>10.8156</v>
      </c>
      <c r="D81" s="39">
        <v>11.605</v>
      </c>
    </row>
    <row r="83" spans="1:7" ht="10.5" x14ac:dyDescent="0.25">
      <c r="A83" s="18" t="s">
        <v>90</v>
      </c>
      <c r="D83" s="43" t="s">
        <v>96</v>
      </c>
    </row>
    <row r="85" spans="1:7" ht="10.5" x14ac:dyDescent="0.25">
      <c r="A85" s="18" t="s">
        <v>94</v>
      </c>
      <c r="D85" s="42">
        <v>2.4530761249588999</v>
      </c>
      <c r="E85" s="13" t="s">
        <v>95</v>
      </c>
    </row>
    <row r="87" spans="1:7" ht="10.5" x14ac:dyDescent="0.25">
      <c r="A87" s="18" t="s">
        <v>1506</v>
      </c>
      <c r="D87" s="43" t="s">
        <v>96</v>
      </c>
    </row>
    <row r="88" spans="1:7" x14ac:dyDescent="0.2">
      <c r="A88" s="9" t="s">
        <v>427</v>
      </c>
    </row>
    <row r="89" spans="1:7" x14ac:dyDescent="0.2">
      <c r="A89" s="47" t="s">
        <v>428</v>
      </c>
    </row>
    <row r="91" spans="1:7" ht="27.75" customHeight="1" x14ac:dyDescent="0.2">
      <c r="A91" s="73" t="s">
        <v>652</v>
      </c>
      <c r="B91" s="73"/>
      <c r="C91" s="73"/>
      <c r="D91" s="73"/>
      <c r="E91" s="73"/>
      <c r="F91" s="73"/>
      <c r="G91" s="73"/>
    </row>
    <row r="93" spans="1:7" ht="38.25" customHeight="1" x14ac:dyDescent="0.2">
      <c r="A93" s="74" t="s">
        <v>653</v>
      </c>
      <c r="B93" s="74"/>
      <c r="C93" s="74"/>
      <c r="D93" s="74"/>
      <c r="E93" s="74"/>
      <c r="F93" s="74"/>
      <c r="G93" s="74"/>
    </row>
    <row r="95" spans="1:7" ht="27.75" customHeight="1" x14ac:dyDescent="0.2">
      <c r="A95" s="75" t="s">
        <v>431</v>
      </c>
      <c r="B95" s="75"/>
      <c r="C95" s="75"/>
      <c r="D95" s="75"/>
      <c r="E95" s="75"/>
      <c r="F95" s="75"/>
      <c r="G95" s="75"/>
    </row>
    <row r="96" spans="1:7" ht="10.5" x14ac:dyDescent="0.2">
      <c r="A96" s="63"/>
      <c r="B96" s="63"/>
      <c r="C96" s="63"/>
      <c r="D96" s="63"/>
      <c r="E96" s="63"/>
      <c r="F96" s="63"/>
      <c r="G96" s="63"/>
    </row>
    <row r="97" spans="1:9" ht="10.5" x14ac:dyDescent="0.25">
      <c r="A97" s="18" t="s">
        <v>1512</v>
      </c>
      <c r="B97" s="63"/>
      <c r="C97" s="63"/>
      <c r="D97" s="63"/>
      <c r="E97" s="63"/>
      <c r="F97" s="63"/>
      <c r="G97" s="63"/>
    </row>
    <row r="98" spans="1:9" ht="10.5" x14ac:dyDescent="0.2">
      <c r="A98" s="47" t="s">
        <v>1509</v>
      </c>
      <c r="B98" s="63"/>
      <c r="C98" s="63"/>
      <c r="D98" s="63"/>
      <c r="E98" s="63"/>
      <c r="F98" s="63"/>
      <c r="G98" s="63"/>
    </row>
    <row r="99" spans="1:9" ht="10.5" x14ac:dyDescent="0.2">
      <c r="A99" s="47"/>
      <c r="B99" s="63"/>
      <c r="C99" s="63"/>
      <c r="D99" s="63"/>
      <c r="E99" s="63"/>
      <c r="F99" s="63"/>
      <c r="G99" s="63"/>
    </row>
    <row r="101" spans="1:9" s="1" customFormat="1" ht="14" x14ac:dyDescent="0.25">
      <c r="A101" s="66" t="s">
        <v>654</v>
      </c>
      <c r="B101" s="67"/>
      <c r="C101" s="67"/>
      <c r="D101" s="67"/>
      <c r="E101" s="67"/>
      <c r="F101" s="67"/>
      <c r="G101" s="67"/>
    </row>
    <row r="102" spans="1:9" ht="10.5" x14ac:dyDescent="0.25">
      <c r="A102" s="18" t="s">
        <v>1</v>
      </c>
    </row>
    <row r="103" spans="1:9" s="1" customFormat="1" ht="17.5" customHeight="1" x14ac:dyDescent="0.25">
      <c r="A103" s="8" t="s">
        <v>2</v>
      </c>
      <c r="B103" s="8" t="s">
        <v>3</v>
      </c>
      <c r="C103" s="17" t="s">
        <v>4</v>
      </c>
      <c r="D103" s="16" t="s">
        <v>5</v>
      </c>
      <c r="E103" s="15" t="s">
        <v>6</v>
      </c>
      <c r="F103" s="15" t="s">
        <v>7</v>
      </c>
      <c r="G103" s="15" t="s">
        <v>8</v>
      </c>
    </row>
    <row r="104" spans="1:9" ht="10.5" x14ac:dyDescent="0.25">
      <c r="A104" s="20" t="s">
        <v>9</v>
      </c>
      <c r="B104" s="21"/>
      <c r="C104" s="21"/>
      <c r="D104" s="22"/>
      <c r="E104" s="23"/>
      <c r="F104" s="24"/>
      <c r="G104" s="23"/>
    </row>
    <row r="105" spans="1:9" ht="10.5" x14ac:dyDescent="0.25">
      <c r="A105" s="25" t="s">
        <v>10</v>
      </c>
      <c r="B105" s="26"/>
      <c r="C105" s="26"/>
      <c r="D105" s="27"/>
      <c r="E105" s="28"/>
      <c r="F105" s="29"/>
      <c r="G105" s="28"/>
    </row>
    <row r="106" spans="1:9" x14ac:dyDescent="0.2">
      <c r="A106" s="26" t="s">
        <v>433</v>
      </c>
      <c r="B106" s="26" t="s">
        <v>434</v>
      </c>
      <c r="C106" s="26" t="s">
        <v>435</v>
      </c>
      <c r="D106" s="30">
        <v>3370</v>
      </c>
      <c r="E106" s="28">
        <v>0</v>
      </c>
      <c r="F106" s="50">
        <v>100</v>
      </c>
      <c r="G106" s="28">
        <v>0</v>
      </c>
    </row>
    <row r="107" spans="1:9" ht="10.5" x14ac:dyDescent="0.25">
      <c r="A107" s="25" t="s">
        <v>17</v>
      </c>
      <c r="B107" s="25"/>
      <c r="C107" s="25"/>
      <c r="D107" s="31"/>
      <c r="E107" s="32">
        <f>SUM(E105:E106)</f>
        <v>0</v>
      </c>
      <c r="F107" s="51">
        <f>SUM(F105:F106)</f>
        <v>100</v>
      </c>
      <c r="G107" s="32"/>
      <c r="H107" s="18"/>
      <c r="I107" s="18"/>
    </row>
    <row r="108" spans="1:9" x14ac:dyDescent="0.2">
      <c r="A108" s="26"/>
      <c r="B108" s="26"/>
      <c r="C108" s="26"/>
      <c r="D108" s="27"/>
      <c r="E108" s="28"/>
      <c r="F108" s="52"/>
      <c r="G108" s="28"/>
    </row>
    <row r="109" spans="1:9" ht="10.5" x14ac:dyDescent="0.25">
      <c r="A109" s="25" t="s">
        <v>62</v>
      </c>
      <c r="B109" s="25"/>
      <c r="C109" s="25"/>
      <c r="D109" s="31"/>
      <c r="E109" s="32">
        <f>E107</f>
        <v>0</v>
      </c>
      <c r="F109" s="51">
        <f>F107</f>
        <v>100</v>
      </c>
      <c r="G109" s="32"/>
      <c r="H109" s="18"/>
      <c r="I109" s="18"/>
    </row>
    <row r="110" spans="1:9" ht="10.5" x14ac:dyDescent="0.25">
      <c r="A110" s="25"/>
      <c r="B110" s="25"/>
      <c r="C110" s="25"/>
      <c r="D110" s="31"/>
      <c r="E110" s="32"/>
      <c r="F110" s="51"/>
      <c r="G110" s="32"/>
      <c r="H110" s="18"/>
      <c r="I110" s="18"/>
    </row>
    <row r="111" spans="1:9" ht="10.5" x14ac:dyDescent="0.25">
      <c r="A111" s="25" t="s">
        <v>63</v>
      </c>
      <c r="B111" s="25"/>
      <c r="C111" s="25"/>
      <c r="D111" s="31"/>
      <c r="E111" s="32">
        <f>E113-(E107)</f>
        <v>3.9999999999999998E-7</v>
      </c>
      <c r="F111" s="33">
        <v>0</v>
      </c>
      <c r="G111" s="32"/>
      <c r="H111" s="18"/>
      <c r="I111" s="18"/>
    </row>
    <row r="112" spans="1:9" ht="10.5" x14ac:dyDescent="0.25">
      <c r="A112" s="25"/>
      <c r="B112" s="25"/>
      <c r="C112" s="25"/>
      <c r="D112" s="31"/>
      <c r="E112" s="32"/>
      <c r="F112" s="51"/>
      <c r="G112" s="32"/>
      <c r="H112" s="18"/>
      <c r="I112" s="18"/>
    </row>
    <row r="113" spans="1:9" ht="10.5" x14ac:dyDescent="0.25">
      <c r="A113" s="34" t="s">
        <v>64</v>
      </c>
      <c r="B113" s="34"/>
      <c r="C113" s="34"/>
      <c r="D113" s="35"/>
      <c r="E113" s="36">
        <v>3.9999999999999998E-7</v>
      </c>
      <c r="F113" s="53">
        <v>100</v>
      </c>
      <c r="G113" s="36"/>
      <c r="H113" s="18"/>
      <c r="I113" s="18"/>
    </row>
    <row r="114" spans="1:9" ht="10.5" x14ac:dyDescent="0.25">
      <c r="F114" s="19"/>
    </row>
    <row r="115" spans="1:9" ht="10.5" x14ac:dyDescent="0.25">
      <c r="A115" s="18" t="s">
        <v>66</v>
      </c>
    </row>
    <row r="116" spans="1:9" ht="10.5" x14ac:dyDescent="0.25">
      <c r="A116" s="49" t="s">
        <v>425</v>
      </c>
    </row>
    <row r="117" spans="1:9" ht="10.5" x14ac:dyDescent="0.25">
      <c r="A117" s="18" t="s">
        <v>426</v>
      </c>
    </row>
    <row r="119" spans="1:9" ht="10.5" x14ac:dyDescent="0.25">
      <c r="A119" s="18" t="s">
        <v>67</v>
      </c>
    </row>
    <row r="120" spans="1:9" ht="10.5" x14ac:dyDescent="0.25">
      <c r="A120" s="18" t="s">
        <v>68</v>
      </c>
    </row>
    <row r="121" spans="1:9" ht="10.5" x14ac:dyDescent="0.25">
      <c r="A121" s="18" t="s">
        <v>69</v>
      </c>
      <c r="B121" s="18"/>
      <c r="C121" s="38" t="s">
        <v>70</v>
      </c>
      <c r="D121" s="43" t="s">
        <v>71</v>
      </c>
    </row>
    <row r="122" spans="1:9" x14ac:dyDescent="0.2">
      <c r="A122" s="9" t="s">
        <v>98</v>
      </c>
      <c r="C122" s="39">
        <v>0</v>
      </c>
      <c r="D122" s="39">
        <v>0</v>
      </c>
    </row>
    <row r="123" spans="1:9" x14ac:dyDescent="0.2">
      <c r="A123" s="9" t="s">
        <v>331</v>
      </c>
      <c r="C123" s="39">
        <v>0</v>
      </c>
      <c r="D123" s="39">
        <v>0</v>
      </c>
    </row>
    <row r="124" spans="1:9" x14ac:dyDescent="0.2">
      <c r="A124" s="9" t="s">
        <v>101</v>
      </c>
      <c r="C124" s="39">
        <v>0</v>
      </c>
      <c r="D124" s="39">
        <v>0</v>
      </c>
    </row>
    <row r="125" spans="1:9" x14ac:dyDescent="0.2">
      <c r="A125" s="9" t="s">
        <v>332</v>
      </c>
      <c r="C125" s="39">
        <v>0</v>
      </c>
      <c r="D125" s="39">
        <v>0</v>
      </c>
    </row>
    <row r="127" spans="1:9" ht="10.5" x14ac:dyDescent="0.25">
      <c r="A127" s="18" t="s">
        <v>1507</v>
      </c>
      <c r="D127" s="43" t="s">
        <v>96</v>
      </c>
    </row>
    <row r="128" spans="1:9" x14ac:dyDescent="0.2">
      <c r="A128" s="9" t="s">
        <v>427</v>
      </c>
    </row>
    <row r="129" spans="1:9" x14ac:dyDescent="0.2">
      <c r="A129" s="47" t="s">
        <v>428</v>
      </c>
    </row>
    <row r="130" spans="1:9" x14ac:dyDescent="0.2">
      <c r="A130" s="47"/>
    </row>
    <row r="131" spans="1:9" ht="10.5" x14ac:dyDescent="0.25">
      <c r="A131" s="18" t="s">
        <v>1513</v>
      </c>
    </row>
    <row r="132" spans="1:9" x14ac:dyDescent="0.2">
      <c r="A132" s="47" t="s">
        <v>1509</v>
      </c>
    </row>
    <row r="133" spans="1:9" x14ac:dyDescent="0.2">
      <c r="A133" s="47"/>
    </row>
    <row r="135" spans="1:9" s="1" customFormat="1" ht="14" x14ac:dyDescent="0.25">
      <c r="A135" s="66" t="s">
        <v>655</v>
      </c>
      <c r="B135" s="67"/>
      <c r="C135" s="67"/>
      <c r="D135" s="67"/>
      <c r="E135" s="67"/>
      <c r="F135" s="67"/>
      <c r="G135" s="67"/>
    </row>
    <row r="136" spans="1:9" ht="10.5" x14ac:dyDescent="0.25">
      <c r="A136" s="18" t="s">
        <v>1</v>
      </c>
    </row>
    <row r="137" spans="1:9" s="1" customFormat="1" ht="17.5" customHeight="1" x14ac:dyDescent="0.25">
      <c r="A137" s="8" t="s">
        <v>2</v>
      </c>
      <c r="B137" s="8" t="s">
        <v>3</v>
      </c>
      <c r="C137" s="17" t="s">
        <v>4</v>
      </c>
      <c r="D137" s="16" t="s">
        <v>5</v>
      </c>
      <c r="E137" s="15" t="s">
        <v>6</v>
      </c>
      <c r="F137" s="15" t="s">
        <v>7</v>
      </c>
      <c r="G137" s="15" t="s">
        <v>8</v>
      </c>
    </row>
    <row r="138" spans="1:9" ht="10.5" x14ac:dyDescent="0.25">
      <c r="A138" s="20" t="s">
        <v>9</v>
      </c>
      <c r="B138" s="21"/>
      <c r="C138" s="21"/>
      <c r="D138" s="22"/>
      <c r="E138" s="23"/>
      <c r="F138" s="24"/>
      <c r="G138" s="23"/>
    </row>
    <row r="139" spans="1:9" ht="10.5" x14ac:dyDescent="0.25">
      <c r="A139" s="25" t="s">
        <v>10</v>
      </c>
      <c r="B139" s="26"/>
      <c r="C139" s="26"/>
      <c r="D139" s="27"/>
      <c r="E139" s="28"/>
      <c r="F139" s="29"/>
      <c r="G139" s="28"/>
    </row>
    <row r="140" spans="1:9" ht="20" x14ac:dyDescent="0.2">
      <c r="A140" s="26" t="s">
        <v>437</v>
      </c>
      <c r="B140" s="26" t="s">
        <v>438</v>
      </c>
      <c r="C140" s="48" t="s">
        <v>439</v>
      </c>
      <c r="D140" s="30">
        <v>1695</v>
      </c>
      <c r="E140" s="28">
        <v>0</v>
      </c>
      <c r="F140" s="50">
        <v>100</v>
      </c>
      <c r="G140" s="28">
        <v>0</v>
      </c>
    </row>
    <row r="141" spans="1:9" ht="10.5" x14ac:dyDescent="0.25">
      <c r="A141" s="25" t="s">
        <v>17</v>
      </c>
      <c r="B141" s="25"/>
      <c r="C141" s="25"/>
      <c r="D141" s="31"/>
      <c r="E141" s="32">
        <f>SUM(E139:E140)</f>
        <v>0</v>
      </c>
      <c r="F141" s="51">
        <f>SUM(F139:F140)</f>
        <v>100</v>
      </c>
      <c r="G141" s="32"/>
      <c r="H141" s="18"/>
      <c r="I141" s="18"/>
    </row>
    <row r="142" spans="1:9" x14ac:dyDescent="0.2">
      <c r="A142" s="26"/>
      <c r="B142" s="26"/>
      <c r="C142" s="26"/>
      <c r="D142" s="27"/>
      <c r="E142" s="28"/>
      <c r="F142" s="52"/>
      <c r="G142" s="28"/>
    </row>
    <row r="143" spans="1:9" ht="10.5" x14ac:dyDescent="0.25">
      <c r="A143" s="25" t="s">
        <v>62</v>
      </c>
      <c r="B143" s="25"/>
      <c r="C143" s="25"/>
      <c r="D143" s="31"/>
      <c r="E143" s="32">
        <f>E141</f>
        <v>0</v>
      </c>
      <c r="F143" s="51">
        <f>F141</f>
        <v>100</v>
      </c>
      <c r="G143" s="32"/>
      <c r="H143" s="18"/>
      <c r="I143" s="18"/>
    </row>
    <row r="144" spans="1:9" ht="10.5" x14ac:dyDescent="0.25">
      <c r="A144" s="25"/>
      <c r="B144" s="25"/>
      <c r="C144" s="25"/>
      <c r="D144" s="31"/>
      <c r="E144" s="32"/>
      <c r="F144" s="51"/>
      <c r="G144" s="32"/>
      <c r="H144" s="18"/>
      <c r="I144" s="18"/>
    </row>
    <row r="145" spans="1:9" ht="10.5" x14ac:dyDescent="0.25">
      <c r="A145" s="25" t="s">
        <v>63</v>
      </c>
      <c r="B145" s="25"/>
      <c r="C145" s="25"/>
      <c r="D145" s="31"/>
      <c r="E145" s="32">
        <f>E147-(E141)</f>
        <v>3.9999999999999998E-7</v>
      </c>
      <c r="F145" s="33">
        <v>0</v>
      </c>
      <c r="G145" s="32"/>
      <c r="H145" s="18"/>
      <c r="I145" s="18"/>
    </row>
    <row r="146" spans="1:9" ht="10.5" x14ac:dyDescent="0.25">
      <c r="A146" s="25"/>
      <c r="B146" s="25"/>
      <c r="C146" s="25"/>
      <c r="D146" s="31"/>
      <c r="E146" s="32"/>
      <c r="F146" s="51"/>
      <c r="G146" s="32"/>
      <c r="H146" s="18"/>
      <c r="I146" s="18"/>
    </row>
    <row r="147" spans="1:9" ht="10.5" x14ac:dyDescent="0.25">
      <c r="A147" s="34" t="s">
        <v>64</v>
      </c>
      <c r="B147" s="34"/>
      <c r="C147" s="34"/>
      <c r="D147" s="35"/>
      <c r="E147" s="36">
        <v>3.9999999999999998E-7</v>
      </c>
      <c r="F147" s="53">
        <v>100</v>
      </c>
      <c r="G147" s="36"/>
      <c r="H147" s="18"/>
      <c r="I147" s="18"/>
    </row>
    <row r="148" spans="1:9" ht="10.5" x14ac:dyDescent="0.25">
      <c r="F148" s="19"/>
    </row>
    <row r="149" spans="1:9" ht="10.5" x14ac:dyDescent="0.25">
      <c r="A149" s="18" t="s">
        <v>66</v>
      </c>
    </row>
    <row r="150" spans="1:9" ht="10.5" x14ac:dyDescent="0.25">
      <c r="A150" s="18" t="s">
        <v>425</v>
      </c>
    </row>
    <row r="152" spans="1:9" ht="10.5" x14ac:dyDescent="0.25">
      <c r="A152" s="18" t="s">
        <v>67</v>
      </c>
    </row>
    <row r="153" spans="1:9" ht="10.5" x14ac:dyDescent="0.25">
      <c r="A153" s="18" t="s">
        <v>68</v>
      </c>
    </row>
    <row r="154" spans="1:9" ht="10.5" x14ac:dyDescent="0.25">
      <c r="A154" s="18" t="s">
        <v>69</v>
      </c>
      <c r="B154" s="18"/>
      <c r="C154" s="38" t="s">
        <v>70</v>
      </c>
      <c r="D154" s="43" t="s">
        <v>71</v>
      </c>
    </row>
    <row r="155" spans="1:9" x14ac:dyDescent="0.2">
      <c r="A155" s="9" t="s">
        <v>98</v>
      </c>
      <c r="C155" s="39">
        <v>0</v>
      </c>
      <c r="D155" s="39">
        <v>0</v>
      </c>
    </row>
    <row r="156" spans="1:9" x14ac:dyDescent="0.2">
      <c r="A156" s="9" t="s">
        <v>331</v>
      </c>
      <c r="C156" s="39">
        <v>0</v>
      </c>
      <c r="D156" s="39">
        <v>0</v>
      </c>
    </row>
    <row r="157" spans="1:9" x14ac:dyDescent="0.2">
      <c r="A157" s="9" t="s">
        <v>101</v>
      </c>
      <c r="C157" s="39">
        <v>0</v>
      </c>
      <c r="D157" s="39">
        <v>0</v>
      </c>
    </row>
    <row r="158" spans="1:9" x14ac:dyDescent="0.2">
      <c r="A158" s="9" t="s">
        <v>332</v>
      </c>
      <c r="C158" s="39">
        <v>0</v>
      </c>
      <c r="D158" s="39">
        <v>0</v>
      </c>
    </row>
    <row r="160" spans="1:9" ht="10.5" x14ac:dyDescent="0.25">
      <c r="A160" s="18" t="s">
        <v>1507</v>
      </c>
      <c r="D160" s="43" t="s">
        <v>96</v>
      </c>
    </row>
    <row r="161" spans="1:4" x14ac:dyDescent="0.2">
      <c r="A161" s="54" t="s">
        <v>427</v>
      </c>
      <c r="B161" s="54"/>
      <c r="C161" s="54"/>
      <c r="D161" s="55"/>
    </row>
    <row r="162" spans="1:4" x14ac:dyDescent="0.2">
      <c r="A162" s="56" t="s">
        <v>428</v>
      </c>
      <c r="B162" s="54"/>
      <c r="C162" s="54"/>
      <c r="D162" s="55"/>
    </row>
    <row r="164" spans="1:4" ht="10.5" x14ac:dyDescent="0.25">
      <c r="A164" s="18" t="s">
        <v>1513</v>
      </c>
    </row>
    <row r="165" spans="1:4" x14ac:dyDescent="0.2">
      <c r="A165" s="47" t="s">
        <v>1509</v>
      </c>
    </row>
  </sheetData>
  <mergeCells count="6">
    <mergeCell ref="A1:G1"/>
    <mergeCell ref="A101:G101"/>
    <mergeCell ref="A135:G135"/>
    <mergeCell ref="A91:G91"/>
    <mergeCell ref="A93:G93"/>
    <mergeCell ref="A95:G95"/>
  </mergeCells>
  <conditionalFormatting sqref="F2:F3 F5:F57 F104:F105 F138:F139 F63:F90 F100 F102 F115:F134 F136 F149:F65551">
    <cfRule type="cellIs" dxfId="59" priority="6" stopIfTrue="1" operator="between">
      <formula>0.009</formula>
      <formula>-0.009</formula>
    </cfRule>
  </conditionalFormatting>
  <conditionalFormatting sqref="F92 F94">
    <cfRule type="cellIs" dxfId="58" priority="5" stopIfTrue="1" operator="between">
      <formula>0.009</formula>
      <formula>-0.009</formula>
    </cfRule>
  </conditionalFormatting>
  <conditionalFormatting sqref="F114">
    <cfRule type="cellIs" dxfId="57" priority="4" stopIfTrue="1" operator="between">
      <formula>0.009</formula>
      <formula>-0.009</formula>
    </cfRule>
  </conditionalFormatting>
  <conditionalFormatting sqref="F107:F110 F112:F113">
    <cfRule type="cellIs" dxfId="56" priority="3" stopIfTrue="1" operator="between">
      <formula>0.009</formula>
      <formula>-0.009</formula>
    </cfRule>
  </conditionalFormatting>
  <conditionalFormatting sqref="F148">
    <cfRule type="cellIs" dxfId="55" priority="2" stopIfTrue="1" operator="between">
      <formula>0.009</formula>
      <formula>-0.009</formula>
    </cfRule>
  </conditionalFormatting>
  <conditionalFormatting sqref="F141:F144 F146:F147">
    <cfRule type="cellIs" dxfId="54" priority="1" stopIfTrue="1" operator="between">
      <formula>0.009</formula>
      <formula>-0.009</formula>
    </cfRule>
  </conditionalFormatting>
  <hyperlinks>
    <hyperlink ref="A89" r:id="rId1" xr:uid="{00000000-0004-0000-0C00-000000000000}"/>
    <hyperlink ref="A129" r:id="rId2" xr:uid="{00000000-0004-0000-0C00-000001000000}"/>
    <hyperlink ref="A162" r:id="rId3" xr:uid="{00000000-0004-0000-0C00-000002000000}"/>
    <hyperlink ref="A98" r:id="rId4" xr:uid="{41EB4E1F-2384-42AD-AF2A-279A4BD3044E}"/>
    <hyperlink ref="A132" r:id="rId5" xr:uid="{9162C297-ED91-410F-BDB2-D895D59DF6FB}"/>
    <hyperlink ref="A165" r:id="rId6" xr:uid="{9E63C3D5-AB5F-47A1-A9EC-20E34EDF833C}"/>
  </hyperlinks>
  <pageMargins left="0.7" right="0.7" top="0.75" bottom="0.75" header="0.3" footer="0.3"/>
  <pageSetup paperSize="9" orientation="portrait" r:id="rId7"/>
  <headerFooter>
    <oddFooter>&amp;LPUBLIC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0"/>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656</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657</v>
      </c>
      <c r="B7" s="26" t="s">
        <v>658</v>
      </c>
      <c r="C7" s="26" t="s">
        <v>13</v>
      </c>
      <c r="D7" s="30">
        <v>40</v>
      </c>
      <c r="E7" s="28">
        <v>518.19359999999995</v>
      </c>
      <c r="F7" s="29">
        <v>10.1168884859692</v>
      </c>
      <c r="G7" s="28">
        <v>4.9149000000000003</v>
      </c>
    </row>
    <row r="8" spans="1:7" x14ac:dyDescent="0.2">
      <c r="A8" s="26" t="s">
        <v>659</v>
      </c>
      <c r="B8" s="26" t="s">
        <v>660</v>
      </c>
      <c r="C8" s="26" t="s">
        <v>16</v>
      </c>
      <c r="D8" s="30">
        <v>40</v>
      </c>
      <c r="E8" s="28">
        <v>515.58839999999998</v>
      </c>
      <c r="F8" s="29">
        <v>10.066026186852399</v>
      </c>
      <c r="G8" s="28">
        <v>4.5949</v>
      </c>
    </row>
    <row r="9" spans="1:7" x14ac:dyDescent="0.2">
      <c r="A9" s="26" t="s">
        <v>323</v>
      </c>
      <c r="B9" s="26" t="s">
        <v>324</v>
      </c>
      <c r="C9" s="26" t="s">
        <v>209</v>
      </c>
      <c r="D9" s="30">
        <v>42</v>
      </c>
      <c r="E9" s="28">
        <v>439.85381999999998</v>
      </c>
      <c r="F9" s="29">
        <v>8.5874315064245792</v>
      </c>
      <c r="G9" s="28">
        <v>4.17</v>
      </c>
    </row>
    <row r="10" spans="1:7" x14ac:dyDescent="0.2">
      <c r="A10" s="26" t="s">
        <v>233</v>
      </c>
      <c r="B10" s="26" t="s">
        <v>234</v>
      </c>
      <c r="C10" s="26" t="s">
        <v>160</v>
      </c>
      <c r="D10" s="30">
        <v>41</v>
      </c>
      <c r="E10" s="28">
        <v>429.16545000000002</v>
      </c>
      <c r="F10" s="29">
        <v>8.3787584402447308</v>
      </c>
      <c r="G10" s="28">
        <v>4.12</v>
      </c>
    </row>
    <row r="11" spans="1:7" x14ac:dyDescent="0.2">
      <c r="A11" s="26" t="s">
        <v>214</v>
      </c>
      <c r="B11" s="26" t="s">
        <v>215</v>
      </c>
      <c r="C11" s="26" t="s">
        <v>16</v>
      </c>
      <c r="D11" s="30">
        <v>41</v>
      </c>
      <c r="E11" s="28">
        <v>426.03919999999999</v>
      </c>
      <c r="F11" s="29">
        <v>8.3177234860707205</v>
      </c>
      <c r="G11" s="28">
        <v>3.83</v>
      </c>
    </row>
    <row r="12" spans="1:7" x14ac:dyDescent="0.2">
      <c r="A12" s="26" t="s">
        <v>191</v>
      </c>
      <c r="B12" s="26" t="s">
        <v>192</v>
      </c>
      <c r="C12" s="26" t="s">
        <v>180</v>
      </c>
      <c r="D12" s="30">
        <v>40</v>
      </c>
      <c r="E12" s="28">
        <v>414.55599999999998</v>
      </c>
      <c r="F12" s="29">
        <v>8.0935326549564799</v>
      </c>
      <c r="G12" s="28">
        <v>5.8335999999999997</v>
      </c>
    </row>
    <row r="13" spans="1:7" x14ac:dyDescent="0.2">
      <c r="A13" s="26" t="s">
        <v>320</v>
      </c>
      <c r="B13" s="26" t="s">
        <v>321</v>
      </c>
      <c r="C13" s="26" t="s">
        <v>322</v>
      </c>
      <c r="D13" s="30">
        <v>37</v>
      </c>
      <c r="E13" s="28">
        <v>395.25952999999998</v>
      </c>
      <c r="F13" s="29">
        <v>7.71680041595768</v>
      </c>
      <c r="G13" s="28">
        <v>3.8849999999999998</v>
      </c>
    </row>
    <row r="14" spans="1:7" x14ac:dyDescent="0.2">
      <c r="A14" s="26" t="s">
        <v>243</v>
      </c>
      <c r="B14" s="26" t="s">
        <v>244</v>
      </c>
      <c r="C14" s="26" t="s">
        <v>16</v>
      </c>
      <c r="D14" s="30">
        <v>30</v>
      </c>
      <c r="E14" s="28">
        <v>369.88380000000001</v>
      </c>
      <c r="F14" s="29">
        <v>7.2213804982665604</v>
      </c>
      <c r="G14" s="28">
        <v>4.38</v>
      </c>
    </row>
    <row r="15" spans="1:7" x14ac:dyDescent="0.2">
      <c r="A15" s="26" t="s">
        <v>231</v>
      </c>
      <c r="B15" s="26" t="s">
        <v>232</v>
      </c>
      <c r="C15" s="26" t="s">
        <v>16</v>
      </c>
      <c r="D15" s="30">
        <v>30</v>
      </c>
      <c r="E15" s="28">
        <v>314.45909999999998</v>
      </c>
      <c r="F15" s="29">
        <v>6.1393032412948401</v>
      </c>
      <c r="G15" s="28">
        <v>3.95</v>
      </c>
    </row>
    <row r="16" spans="1:7" x14ac:dyDescent="0.2">
      <c r="A16" s="26" t="s">
        <v>661</v>
      </c>
      <c r="B16" s="26" t="s">
        <v>662</v>
      </c>
      <c r="C16" s="26" t="s">
        <v>13</v>
      </c>
      <c r="D16" s="30">
        <v>21</v>
      </c>
      <c r="E16" s="28">
        <v>265.70292000000001</v>
      </c>
      <c r="F16" s="29">
        <v>5.1874180075485299</v>
      </c>
      <c r="G16" s="28">
        <v>4.9074</v>
      </c>
    </row>
    <row r="17" spans="1:9" x14ac:dyDescent="0.2">
      <c r="A17" s="26" t="s">
        <v>663</v>
      </c>
      <c r="B17" s="26" t="s">
        <v>664</v>
      </c>
      <c r="C17" s="26" t="s">
        <v>16</v>
      </c>
      <c r="D17" s="30">
        <v>19</v>
      </c>
      <c r="E17" s="28">
        <v>240.74576999999999</v>
      </c>
      <c r="F17" s="29">
        <v>4.70017018457734</v>
      </c>
      <c r="G17" s="28">
        <v>4.7149999999999999</v>
      </c>
    </row>
    <row r="18" spans="1:9" x14ac:dyDescent="0.2">
      <c r="A18" s="26" t="s">
        <v>665</v>
      </c>
      <c r="B18" s="26" t="s">
        <v>666</v>
      </c>
      <c r="C18" s="26" t="s">
        <v>160</v>
      </c>
      <c r="D18" s="30">
        <v>18</v>
      </c>
      <c r="E18" s="28">
        <v>189.27162000000001</v>
      </c>
      <c r="F18" s="29">
        <v>3.69522100060429</v>
      </c>
      <c r="G18" s="28">
        <v>4.0598999999999998</v>
      </c>
    </row>
    <row r="19" spans="1:9" x14ac:dyDescent="0.2">
      <c r="A19" s="26" t="s">
        <v>667</v>
      </c>
      <c r="B19" s="26" t="s">
        <v>668</v>
      </c>
      <c r="C19" s="26" t="s">
        <v>16</v>
      </c>
      <c r="D19" s="30">
        <v>12</v>
      </c>
      <c r="E19" s="28">
        <v>150.13811999999999</v>
      </c>
      <c r="F19" s="29">
        <v>2.9312029664840802</v>
      </c>
      <c r="G19" s="28">
        <v>5.9550000000000001</v>
      </c>
    </row>
    <row r="20" spans="1:9" x14ac:dyDescent="0.2">
      <c r="A20" s="26" t="s">
        <v>197</v>
      </c>
      <c r="B20" s="26" t="s">
        <v>198</v>
      </c>
      <c r="C20" s="26" t="s">
        <v>16</v>
      </c>
      <c r="D20" s="30">
        <v>10</v>
      </c>
      <c r="E20" s="28">
        <v>104.70529999999999</v>
      </c>
      <c r="F20" s="29">
        <v>2.0442009395522298</v>
      </c>
      <c r="G20" s="28">
        <v>4.0650000000000004</v>
      </c>
    </row>
    <row r="21" spans="1:9" x14ac:dyDescent="0.2">
      <c r="A21" s="26" t="s">
        <v>185</v>
      </c>
      <c r="B21" s="26" t="s">
        <v>186</v>
      </c>
      <c r="C21" s="26" t="s">
        <v>187</v>
      </c>
      <c r="D21" s="30">
        <v>5</v>
      </c>
      <c r="E21" s="28">
        <v>51.626100000000001</v>
      </c>
      <c r="F21" s="29">
        <v>1.0079157609540099</v>
      </c>
      <c r="G21" s="28">
        <v>5.7188999999999997</v>
      </c>
    </row>
    <row r="22" spans="1:9" ht="10.5" x14ac:dyDescent="0.25">
      <c r="A22" s="25" t="s">
        <v>17</v>
      </c>
      <c r="B22" s="25"/>
      <c r="C22" s="25"/>
      <c r="D22" s="31"/>
      <c r="E22" s="32">
        <f>SUM(E6:E21)</f>
        <v>4825.1887299999999</v>
      </c>
      <c r="F22" s="33">
        <f>SUM(F6:F21)</f>
        <v>94.20397377575766</v>
      </c>
      <c r="G22" s="32"/>
      <c r="H22" s="18"/>
      <c r="I22" s="18"/>
    </row>
    <row r="23" spans="1:9" x14ac:dyDescent="0.2">
      <c r="A23" s="26"/>
      <c r="B23" s="26"/>
      <c r="C23" s="26"/>
      <c r="D23" s="27"/>
      <c r="E23" s="28"/>
      <c r="F23" s="29"/>
      <c r="G23" s="28"/>
    </row>
    <row r="24" spans="1:9" ht="10.5" x14ac:dyDescent="0.25">
      <c r="A24" s="25" t="s">
        <v>62</v>
      </c>
      <c r="B24" s="25"/>
      <c r="C24" s="25"/>
      <c r="D24" s="31"/>
      <c r="E24" s="32">
        <f>E22</f>
        <v>4825.1887299999999</v>
      </c>
      <c r="F24" s="33">
        <f>F22</f>
        <v>94.20397377575766</v>
      </c>
      <c r="G24" s="32"/>
      <c r="H24" s="18"/>
      <c r="I24" s="18"/>
    </row>
    <row r="25" spans="1:9" ht="10.5" x14ac:dyDescent="0.25">
      <c r="A25" s="25"/>
      <c r="B25" s="25"/>
      <c r="C25" s="25"/>
      <c r="D25" s="31"/>
      <c r="E25" s="32"/>
      <c r="F25" s="33"/>
      <c r="G25" s="32"/>
      <c r="H25" s="18"/>
      <c r="I25" s="18"/>
    </row>
    <row r="26" spans="1:9" ht="10.5" x14ac:dyDescent="0.25">
      <c r="A26" s="25" t="s">
        <v>63</v>
      </c>
      <c r="B26" s="25"/>
      <c r="C26" s="25"/>
      <c r="D26" s="31"/>
      <c r="E26" s="32">
        <f>E28-(E22)</f>
        <v>296.87622819999979</v>
      </c>
      <c r="F26" s="33">
        <f>F28-(F22)</f>
        <v>5.7960262242423397</v>
      </c>
      <c r="G26" s="32"/>
      <c r="H26" s="18"/>
      <c r="I26" s="18"/>
    </row>
    <row r="27" spans="1:9" ht="10.5" x14ac:dyDescent="0.25">
      <c r="A27" s="25"/>
      <c r="B27" s="25"/>
      <c r="C27" s="25"/>
      <c r="D27" s="31"/>
      <c r="E27" s="32"/>
      <c r="F27" s="33"/>
      <c r="G27" s="32"/>
      <c r="H27" s="18"/>
      <c r="I27" s="18"/>
    </row>
    <row r="28" spans="1:9" ht="10.5" x14ac:dyDescent="0.25">
      <c r="A28" s="34" t="s">
        <v>64</v>
      </c>
      <c r="B28" s="34"/>
      <c r="C28" s="34"/>
      <c r="D28" s="35"/>
      <c r="E28" s="36">
        <v>5122.0649581999996</v>
      </c>
      <c r="F28" s="37">
        <v>100</v>
      </c>
      <c r="G28" s="36"/>
      <c r="H28" s="18"/>
      <c r="I28" s="18"/>
    </row>
    <row r="30" spans="1:9" ht="10.5" x14ac:dyDescent="0.25">
      <c r="A30" s="18" t="s">
        <v>66</v>
      </c>
    </row>
    <row r="32" spans="1:9" ht="10.5" x14ac:dyDescent="0.25">
      <c r="A32" s="18" t="s">
        <v>67</v>
      </c>
    </row>
    <row r="33" spans="1:5" ht="10.5" x14ac:dyDescent="0.25">
      <c r="A33" s="18" t="s">
        <v>68</v>
      </c>
    </row>
    <row r="34" spans="1:5" ht="10.5" x14ac:dyDescent="0.25">
      <c r="A34" s="18" t="s">
        <v>69</v>
      </c>
      <c r="B34" s="18"/>
      <c r="C34" s="38" t="s">
        <v>70</v>
      </c>
      <c r="D34" s="43" t="s">
        <v>71</v>
      </c>
    </row>
    <row r="35" spans="1:5" x14ac:dyDescent="0.2">
      <c r="A35" s="9" t="s">
        <v>98</v>
      </c>
      <c r="C35" s="39">
        <v>11.483499999999999</v>
      </c>
      <c r="D35" s="39">
        <v>11.9344</v>
      </c>
    </row>
    <row r="36" spans="1:5" x14ac:dyDescent="0.2">
      <c r="A36" s="9" t="s">
        <v>669</v>
      </c>
      <c r="C36" s="39">
        <v>10.676500000000001</v>
      </c>
      <c r="D36" s="39">
        <v>11.095800000000001</v>
      </c>
    </row>
    <row r="37" spans="1:5" x14ac:dyDescent="0.2">
      <c r="A37" s="9" t="s">
        <v>275</v>
      </c>
      <c r="C37" s="39">
        <v>10.472</v>
      </c>
      <c r="D37" s="39">
        <v>10.509</v>
      </c>
    </row>
    <row r="38" spans="1:5" x14ac:dyDescent="0.2">
      <c r="A38" s="9" t="s">
        <v>101</v>
      </c>
      <c r="C38" s="39">
        <v>11.5129</v>
      </c>
      <c r="D38" s="39">
        <v>11.9771</v>
      </c>
    </row>
    <row r="40" spans="1:5" ht="10.5" x14ac:dyDescent="0.25">
      <c r="A40" s="18" t="s">
        <v>90</v>
      </c>
    </row>
    <row r="41" spans="1:5" ht="10.5" x14ac:dyDescent="0.25">
      <c r="A41" s="68" t="s">
        <v>91</v>
      </c>
      <c r="B41" s="69"/>
      <c r="C41" s="40" t="s">
        <v>92</v>
      </c>
    </row>
    <row r="42" spans="1:5" x14ac:dyDescent="0.2">
      <c r="A42" s="64" t="s">
        <v>275</v>
      </c>
      <c r="B42" s="65"/>
      <c r="C42" s="41">
        <v>0.37</v>
      </c>
    </row>
    <row r="43" spans="1:5" x14ac:dyDescent="0.2">
      <c r="A43" s="9" t="s">
        <v>93</v>
      </c>
    </row>
    <row r="45" spans="1:5" ht="10.5" x14ac:dyDescent="0.25">
      <c r="A45" s="18" t="s">
        <v>94</v>
      </c>
      <c r="D45" s="42">
        <v>1.12246649257534</v>
      </c>
      <c r="E45" s="13" t="s">
        <v>95</v>
      </c>
    </row>
    <row r="47" spans="1:5" ht="10.5" x14ac:dyDescent="0.25">
      <c r="A47" s="18" t="s">
        <v>1506</v>
      </c>
      <c r="D47" s="43" t="s">
        <v>96</v>
      </c>
    </row>
    <row r="49" spans="1:1" ht="10.5" x14ac:dyDescent="0.25">
      <c r="A49" s="18" t="s">
        <v>1508</v>
      </c>
    </row>
    <row r="50" spans="1:1" x14ac:dyDescent="0.2">
      <c r="A50" s="47" t="s">
        <v>1509</v>
      </c>
    </row>
  </sheetData>
  <mergeCells count="3">
    <mergeCell ref="A1:G1"/>
    <mergeCell ref="A41:B41"/>
    <mergeCell ref="A42:B42"/>
  </mergeCells>
  <conditionalFormatting sqref="F2:F3 F5:F65536">
    <cfRule type="cellIs" dxfId="53" priority="1" stopIfTrue="1" operator="between">
      <formula>0.009</formula>
      <formula>-0.009</formula>
    </cfRule>
  </conditionalFormatting>
  <hyperlinks>
    <hyperlink ref="A50" r:id="rId1" xr:uid="{6A262609-6219-4FA7-83C3-6BFB1DDD6A56}"/>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2"/>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670</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243</v>
      </c>
      <c r="B7" s="26" t="s">
        <v>244</v>
      </c>
      <c r="C7" s="26" t="s">
        <v>16</v>
      </c>
      <c r="D7" s="30">
        <v>39</v>
      </c>
      <c r="E7" s="28">
        <v>480.84894000000003</v>
      </c>
      <c r="F7" s="29">
        <v>12.016077750485</v>
      </c>
      <c r="G7" s="28">
        <v>4.38</v>
      </c>
    </row>
    <row r="8" spans="1:7" x14ac:dyDescent="0.2">
      <c r="A8" s="26" t="s">
        <v>671</v>
      </c>
      <c r="B8" s="26" t="s">
        <v>672</v>
      </c>
      <c r="C8" s="26" t="s">
        <v>16</v>
      </c>
      <c r="D8" s="30">
        <v>39</v>
      </c>
      <c r="E8" s="28">
        <v>409.80536999999998</v>
      </c>
      <c r="F8" s="29">
        <v>10.240748765061801</v>
      </c>
      <c r="G8" s="28">
        <v>4.17</v>
      </c>
    </row>
    <row r="9" spans="1:7" x14ac:dyDescent="0.2">
      <c r="A9" s="26" t="s">
        <v>673</v>
      </c>
      <c r="B9" s="26" t="s">
        <v>674</v>
      </c>
      <c r="C9" s="26" t="s">
        <v>16</v>
      </c>
      <c r="D9" s="30">
        <v>39</v>
      </c>
      <c r="E9" s="28">
        <v>406.63310999999999</v>
      </c>
      <c r="F9" s="29">
        <v>10.1614762126366</v>
      </c>
      <c r="G9" s="28">
        <v>3.8149999999999999</v>
      </c>
    </row>
    <row r="10" spans="1:7" x14ac:dyDescent="0.2">
      <c r="A10" s="26" t="s">
        <v>214</v>
      </c>
      <c r="B10" s="26" t="s">
        <v>215</v>
      </c>
      <c r="C10" s="26" t="s">
        <v>16</v>
      </c>
      <c r="D10" s="30">
        <v>38</v>
      </c>
      <c r="E10" s="28">
        <v>394.86559999999997</v>
      </c>
      <c r="F10" s="29">
        <v>9.8674143912887207</v>
      </c>
      <c r="G10" s="28">
        <v>3.83</v>
      </c>
    </row>
    <row r="11" spans="1:7" x14ac:dyDescent="0.2">
      <c r="A11" s="26" t="s">
        <v>665</v>
      </c>
      <c r="B11" s="26" t="s">
        <v>666</v>
      </c>
      <c r="C11" s="26" t="s">
        <v>160</v>
      </c>
      <c r="D11" s="30">
        <v>37</v>
      </c>
      <c r="E11" s="28">
        <v>389.05833000000001</v>
      </c>
      <c r="F11" s="29">
        <v>9.7222947871193508</v>
      </c>
      <c r="G11" s="28">
        <v>4.0598999999999998</v>
      </c>
    </row>
    <row r="12" spans="1:7" x14ac:dyDescent="0.2">
      <c r="A12" s="26" t="s">
        <v>661</v>
      </c>
      <c r="B12" s="26" t="s">
        <v>662</v>
      </c>
      <c r="C12" s="26" t="s">
        <v>13</v>
      </c>
      <c r="D12" s="30">
        <v>29</v>
      </c>
      <c r="E12" s="28">
        <v>366.92308000000003</v>
      </c>
      <c r="F12" s="29">
        <v>9.1691504149462002</v>
      </c>
      <c r="G12" s="28">
        <v>4.9074</v>
      </c>
    </row>
    <row r="13" spans="1:7" x14ac:dyDescent="0.2">
      <c r="A13" s="26" t="s">
        <v>185</v>
      </c>
      <c r="B13" s="26" t="s">
        <v>186</v>
      </c>
      <c r="C13" s="26" t="s">
        <v>187</v>
      </c>
      <c r="D13" s="30">
        <v>34</v>
      </c>
      <c r="E13" s="28">
        <v>351.05748</v>
      </c>
      <c r="F13" s="29">
        <v>8.7726801988361398</v>
      </c>
      <c r="G13" s="28">
        <v>5.7188999999999997</v>
      </c>
    </row>
    <row r="14" spans="1:7" x14ac:dyDescent="0.2">
      <c r="A14" s="26" t="s">
        <v>255</v>
      </c>
      <c r="B14" s="26" t="s">
        <v>256</v>
      </c>
      <c r="C14" s="26" t="s">
        <v>16</v>
      </c>
      <c r="D14" s="30">
        <v>27</v>
      </c>
      <c r="E14" s="28">
        <v>342.87786</v>
      </c>
      <c r="F14" s="29">
        <v>8.5682772320968894</v>
      </c>
      <c r="G14" s="28">
        <v>4.165</v>
      </c>
    </row>
    <row r="15" spans="1:7" x14ac:dyDescent="0.2">
      <c r="A15" s="26" t="s">
        <v>667</v>
      </c>
      <c r="B15" s="26" t="s">
        <v>668</v>
      </c>
      <c r="C15" s="26" t="s">
        <v>16</v>
      </c>
      <c r="D15" s="30">
        <v>24</v>
      </c>
      <c r="E15" s="28">
        <v>300.27623999999997</v>
      </c>
      <c r="F15" s="29">
        <v>7.5036926284236101</v>
      </c>
      <c r="G15" s="28">
        <v>5.9550000000000001</v>
      </c>
    </row>
    <row r="16" spans="1:7" x14ac:dyDescent="0.2">
      <c r="A16" s="26" t="s">
        <v>231</v>
      </c>
      <c r="B16" s="26" t="s">
        <v>232</v>
      </c>
      <c r="C16" s="26" t="s">
        <v>16</v>
      </c>
      <c r="D16" s="30">
        <v>13</v>
      </c>
      <c r="E16" s="28">
        <v>136.26561000000001</v>
      </c>
      <c r="F16" s="29">
        <v>3.4051820192787998</v>
      </c>
      <c r="G16" s="28">
        <v>3.95</v>
      </c>
    </row>
    <row r="17" spans="1:9" x14ac:dyDescent="0.2">
      <c r="A17" s="26" t="s">
        <v>197</v>
      </c>
      <c r="B17" s="26" t="s">
        <v>198</v>
      </c>
      <c r="C17" s="26" t="s">
        <v>16</v>
      </c>
      <c r="D17" s="30">
        <v>12</v>
      </c>
      <c r="E17" s="28">
        <v>125.64636</v>
      </c>
      <c r="F17" s="29">
        <v>3.1398144099588401</v>
      </c>
      <c r="G17" s="28">
        <v>4.0650000000000004</v>
      </c>
    </row>
    <row r="18" spans="1:9" x14ac:dyDescent="0.2">
      <c r="A18" s="26" t="s">
        <v>659</v>
      </c>
      <c r="B18" s="26" t="s">
        <v>660</v>
      </c>
      <c r="C18" s="26" t="s">
        <v>16</v>
      </c>
      <c r="D18" s="30">
        <v>4</v>
      </c>
      <c r="E18" s="28">
        <v>51.558839999999996</v>
      </c>
      <c r="F18" s="29">
        <v>1.28841924901575</v>
      </c>
      <c r="G18" s="28">
        <v>4.5949</v>
      </c>
    </row>
    <row r="19" spans="1:9" x14ac:dyDescent="0.2">
      <c r="A19" s="26" t="s">
        <v>675</v>
      </c>
      <c r="B19" s="26" t="s">
        <v>676</v>
      </c>
      <c r="C19" s="26" t="s">
        <v>13</v>
      </c>
      <c r="D19" s="30">
        <v>1</v>
      </c>
      <c r="E19" s="28">
        <v>12.57156</v>
      </c>
      <c r="F19" s="29">
        <v>0.314154466899496</v>
      </c>
      <c r="G19" s="28">
        <v>5.4699</v>
      </c>
    </row>
    <row r="20" spans="1:9" x14ac:dyDescent="0.2">
      <c r="A20" s="26" t="s">
        <v>191</v>
      </c>
      <c r="B20" s="26" t="s">
        <v>192</v>
      </c>
      <c r="C20" s="26" t="s">
        <v>180</v>
      </c>
      <c r="D20" s="30">
        <v>1</v>
      </c>
      <c r="E20" s="28">
        <v>10.363899999999999</v>
      </c>
      <c r="F20" s="29">
        <v>0.25898659191855899</v>
      </c>
      <c r="G20" s="28">
        <v>5.8335999999999997</v>
      </c>
    </row>
    <row r="21" spans="1:9" ht="10.5" x14ac:dyDescent="0.25">
      <c r="A21" s="25" t="s">
        <v>17</v>
      </c>
      <c r="B21" s="25"/>
      <c r="C21" s="25"/>
      <c r="D21" s="31"/>
      <c r="E21" s="32">
        <f>SUM(E6:E20)</f>
        <v>3778.7522800000002</v>
      </c>
      <c r="F21" s="33">
        <f>SUM(F6:F20)</f>
        <v>94.428369117965744</v>
      </c>
      <c r="G21" s="32"/>
      <c r="H21" s="18"/>
      <c r="I21" s="18"/>
    </row>
    <row r="22" spans="1:9" x14ac:dyDescent="0.2">
      <c r="A22" s="26"/>
      <c r="B22" s="26"/>
      <c r="C22" s="26"/>
      <c r="D22" s="27"/>
      <c r="E22" s="28"/>
      <c r="F22" s="29"/>
      <c r="G22" s="28"/>
    </row>
    <row r="23" spans="1:9" ht="10.5" x14ac:dyDescent="0.25">
      <c r="A23" s="25" t="s">
        <v>62</v>
      </c>
      <c r="B23" s="25"/>
      <c r="C23" s="25"/>
      <c r="D23" s="31"/>
      <c r="E23" s="32">
        <f>E21</f>
        <v>3778.7522800000002</v>
      </c>
      <c r="F23" s="33">
        <f>F21</f>
        <v>94.428369117965744</v>
      </c>
      <c r="G23" s="32"/>
      <c r="H23" s="18"/>
      <c r="I23" s="18"/>
    </row>
    <row r="24" spans="1:9" ht="10.5" x14ac:dyDescent="0.25">
      <c r="A24" s="25"/>
      <c r="B24" s="25"/>
      <c r="C24" s="25"/>
      <c r="D24" s="31"/>
      <c r="E24" s="32"/>
      <c r="F24" s="33"/>
      <c r="G24" s="32"/>
      <c r="H24" s="18"/>
      <c r="I24" s="18"/>
    </row>
    <row r="25" spans="1:9" ht="10.5" x14ac:dyDescent="0.25">
      <c r="A25" s="25" t="s">
        <v>63</v>
      </c>
      <c r="B25" s="25"/>
      <c r="C25" s="25"/>
      <c r="D25" s="31"/>
      <c r="E25" s="32">
        <f>E27-(E21)</f>
        <v>222.96067479999965</v>
      </c>
      <c r="F25" s="33">
        <f>F27-(F21)</f>
        <v>5.5716308820342562</v>
      </c>
      <c r="G25" s="32"/>
      <c r="H25" s="18"/>
      <c r="I25" s="18"/>
    </row>
    <row r="26" spans="1:9" ht="10.5" x14ac:dyDescent="0.25">
      <c r="A26" s="25"/>
      <c r="B26" s="25"/>
      <c r="C26" s="25"/>
      <c r="D26" s="31"/>
      <c r="E26" s="32"/>
      <c r="F26" s="33"/>
      <c r="G26" s="32"/>
      <c r="H26" s="18"/>
      <c r="I26" s="18"/>
    </row>
    <row r="27" spans="1:9" ht="10.5" x14ac:dyDescent="0.25">
      <c r="A27" s="34" t="s">
        <v>64</v>
      </c>
      <c r="B27" s="34"/>
      <c r="C27" s="34"/>
      <c r="D27" s="35"/>
      <c r="E27" s="36">
        <v>4001.7129547999998</v>
      </c>
      <c r="F27" s="37">
        <v>100</v>
      </c>
      <c r="G27" s="36"/>
      <c r="H27" s="18"/>
      <c r="I27" s="18"/>
    </row>
    <row r="29" spans="1:9" ht="10.5" x14ac:dyDescent="0.25">
      <c r="A29" s="18" t="s">
        <v>66</v>
      </c>
    </row>
    <row r="31" spans="1:9" ht="10.5" x14ac:dyDescent="0.25">
      <c r="A31" s="18" t="s">
        <v>67</v>
      </c>
    </row>
    <row r="32" spans="1:9" ht="10.5" x14ac:dyDescent="0.25">
      <c r="A32" s="18" t="s">
        <v>68</v>
      </c>
    </row>
    <row r="33" spans="1:5" ht="10.5" x14ac:dyDescent="0.25">
      <c r="A33" s="18" t="s">
        <v>69</v>
      </c>
      <c r="B33" s="18"/>
      <c r="C33" s="38" t="s">
        <v>70</v>
      </c>
      <c r="D33" s="43" t="s">
        <v>71</v>
      </c>
    </row>
    <row r="34" spans="1:5" x14ac:dyDescent="0.2">
      <c r="A34" s="9" t="s">
        <v>98</v>
      </c>
      <c r="C34" s="39">
        <v>11.627700000000001</v>
      </c>
      <c r="D34" s="39">
        <v>12.067399999999999</v>
      </c>
    </row>
    <row r="35" spans="1:5" x14ac:dyDescent="0.2">
      <c r="A35" s="9" t="s">
        <v>669</v>
      </c>
      <c r="C35" s="39">
        <v>10.794</v>
      </c>
      <c r="D35" s="39">
        <v>11.2029</v>
      </c>
    </row>
    <row r="36" spans="1:5" x14ac:dyDescent="0.2">
      <c r="A36" s="9" t="s">
        <v>275</v>
      </c>
      <c r="C36" s="39">
        <v>10.6006</v>
      </c>
      <c r="D36" s="39">
        <v>10.5753</v>
      </c>
    </row>
    <row r="37" spans="1:5" x14ac:dyDescent="0.2">
      <c r="A37" s="9" t="s">
        <v>101</v>
      </c>
      <c r="C37" s="39">
        <v>11.659700000000001</v>
      </c>
      <c r="D37" s="39">
        <v>12.1128</v>
      </c>
    </row>
    <row r="38" spans="1:5" x14ac:dyDescent="0.2">
      <c r="A38" s="9" t="s">
        <v>332</v>
      </c>
      <c r="C38" s="39">
        <v>10.825200000000001</v>
      </c>
      <c r="D38" s="39">
        <v>11.2456</v>
      </c>
    </row>
    <row r="39" spans="1:5" x14ac:dyDescent="0.2">
      <c r="A39" s="9" t="s">
        <v>279</v>
      </c>
      <c r="C39" s="39">
        <v>10.6312</v>
      </c>
      <c r="D39" s="39">
        <v>10.618499999999999</v>
      </c>
    </row>
    <row r="41" spans="1:5" ht="10.5" x14ac:dyDescent="0.25">
      <c r="A41" s="18" t="s">
        <v>90</v>
      </c>
    </row>
    <row r="42" spans="1:5" ht="10.5" x14ac:dyDescent="0.25">
      <c r="A42" s="68" t="s">
        <v>91</v>
      </c>
      <c r="B42" s="69"/>
      <c r="C42" s="40" t="s">
        <v>92</v>
      </c>
    </row>
    <row r="43" spans="1:5" x14ac:dyDescent="0.2">
      <c r="A43" s="64" t="s">
        <v>275</v>
      </c>
      <c r="B43" s="65"/>
      <c r="C43" s="41">
        <v>0.42</v>
      </c>
    </row>
    <row r="44" spans="1:5" x14ac:dyDescent="0.2">
      <c r="A44" s="64" t="s">
        <v>279</v>
      </c>
      <c r="B44" s="65"/>
      <c r="C44" s="41">
        <v>0.42</v>
      </c>
    </row>
    <row r="45" spans="1:5" x14ac:dyDescent="0.2">
      <c r="A45" s="9" t="s">
        <v>93</v>
      </c>
    </row>
    <row r="47" spans="1:5" ht="10.5" x14ac:dyDescent="0.25">
      <c r="A47" s="18" t="s">
        <v>94</v>
      </c>
      <c r="D47" s="42">
        <v>1.0567727523835599</v>
      </c>
      <c r="E47" s="13" t="s">
        <v>95</v>
      </c>
    </row>
    <row r="49" spans="1:4" ht="10.5" x14ac:dyDescent="0.25">
      <c r="A49" s="18" t="s">
        <v>1506</v>
      </c>
      <c r="D49" s="43" t="s">
        <v>96</v>
      </c>
    </row>
    <row r="51" spans="1:4" ht="10.5" x14ac:dyDescent="0.25">
      <c r="A51" s="18" t="s">
        <v>1508</v>
      </c>
    </row>
    <row r="52" spans="1:4" x14ac:dyDescent="0.2">
      <c r="A52" s="47" t="s">
        <v>1509</v>
      </c>
    </row>
  </sheetData>
  <mergeCells count="4">
    <mergeCell ref="A1:G1"/>
    <mergeCell ref="A42:B42"/>
    <mergeCell ref="A43:B43"/>
    <mergeCell ref="A44:B44"/>
  </mergeCells>
  <conditionalFormatting sqref="F2:F3 F5:F65536">
    <cfRule type="cellIs" dxfId="52" priority="1" stopIfTrue="1" operator="between">
      <formula>0.009</formula>
      <formula>-0.009</formula>
    </cfRule>
  </conditionalFormatting>
  <hyperlinks>
    <hyperlink ref="A52" r:id="rId1" xr:uid="{34C73FDD-4E0E-422E-8B69-A74F30CCCD3E}"/>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677</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678</v>
      </c>
      <c r="B7" s="26" t="s">
        <v>679</v>
      </c>
      <c r="C7" s="26" t="s">
        <v>16</v>
      </c>
      <c r="D7" s="30">
        <v>23</v>
      </c>
      <c r="E7" s="28">
        <v>293.96897999999999</v>
      </c>
      <c r="F7" s="29">
        <v>12.004835985661799</v>
      </c>
      <c r="G7" s="28">
        <v>4.5949</v>
      </c>
    </row>
    <row r="8" spans="1:7" x14ac:dyDescent="0.2">
      <c r="A8" s="26" t="s">
        <v>680</v>
      </c>
      <c r="B8" s="26" t="s">
        <v>681</v>
      </c>
      <c r="C8" s="26" t="s">
        <v>16</v>
      </c>
      <c r="D8" s="30">
        <v>23</v>
      </c>
      <c r="E8" s="28">
        <v>291.13216</v>
      </c>
      <c r="F8" s="29">
        <v>11.8889885284885</v>
      </c>
      <c r="G8" s="28">
        <v>4.7649999999999997</v>
      </c>
    </row>
    <row r="9" spans="1:7" x14ac:dyDescent="0.2">
      <c r="A9" s="26" t="s">
        <v>665</v>
      </c>
      <c r="B9" s="26" t="s">
        <v>666</v>
      </c>
      <c r="C9" s="26" t="s">
        <v>160</v>
      </c>
      <c r="D9" s="30">
        <v>24</v>
      </c>
      <c r="E9" s="28">
        <v>252.36215999999999</v>
      </c>
      <c r="F9" s="29">
        <v>10.305734774422</v>
      </c>
      <c r="G9" s="28">
        <v>4.0598999999999998</v>
      </c>
    </row>
    <row r="10" spans="1:7" x14ac:dyDescent="0.2">
      <c r="A10" s="26" t="s">
        <v>673</v>
      </c>
      <c r="B10" s="26" t="s">
        <v>674</v>
      </c>
      <c r="C10" s="26" t="s">
        <v>16</v>
      </c>
      <c r="D10" s="30">
        <v>24</v>
      </c>
      <c r="E10" s="28">
        <v>250.23576</v>
      </c>
      <c r="F10" s="29">
        <v>10.2188987985992</v>
      </c>
      <c r="G10" s="28">
        <v>3.8149999999999999</v>
      </c>
    </row>
    <row r="11" spans="1:7" x14ac:dyDescent="0.2">
      <c r="A11" s="26" t="s">
        <v>671</v>
      </c>
      <c r="B11" s="26" t="s">
        <v>672</v>
      </c>
      <c r="C11" s="26" t="s">
        <v>16</v>
      </c>
      <c r="D11" s="30">
        <v>23</v>
      </c>
      <c r="E11" s="28">
        <v>241.68009000000001</v>
      </c>
      <c r="F11" s="29">
        <v>9.8695101825029106</v>
      </c>
      <c r="G11" s="28">
        <v>4.17</v>
      </c>
    </row>
    <row r="12" spans="1:7" x14ac:dyDescent="0.2">
      <c r="A12" s="26" t="s">
        <v>214</v>
      </c>
      <c r="B12" s="26" t="s">
        <v>215</v>
      </c>
      <c r="C12" s="26" t="s">
        <v>16</v>
      </c>
      <c r="D12" s="30">
        <v>23</v>
      </c>
      <c r="E12" s="28">
        <v>238.99760000000001</v>
      </c>
      <c r="F12" s="29">
        <v>9.7599651125326794</v>
      </c>
      <c r="G12" s="28">
        <v>3.83</v>
      </c>
    </row>
    <row r="13" spans="1:7" x14ac:dyDescent="0.2">
      <c r="A13" s="26" t="s">
        <v>675</v>
      </c>
      <c r="B13" s="26" t="s">
        <v>676</v>
      </c>
      <c r="C13" s="26" t="s">
        <v>13</v>
      </c>
      <c r="D13" s="30">
        <v>18</v>
      </c>
      <c r="E13" s="28">
        <v>226.28808000000001</v>
      </c>
      <c r="F13" s="29">
        <v>9.2409453742715506</v>
      </c>
      <c r="G13" s="28">
        <v>5.4699</v>
      </c>
    </row>
    <row r="14" spans="1:7" x14ac:dyDescent="0.2">
      <c r="A14" s="26" t="s">
        <v>185</v>
      </c>
      <c r="B14" s="26" t="s">
        <v>186</v>
      </c>
      <c r="C14" s="26" t="s">
        <v>187</v>
      </c>
      <c r="D14" s="30">
        <v>21</v>
      </c>
      <c r="E14" s="28">
        <v>216.82962000000001</v>
      </c>
      <c r="F14" s="29">
        <v>8.8546894469388704</v>
      </c>
      <c r="G14" s="28">
        <v>5.7188999999999997</v>
      </c>
    </row>
    <row r="15" spans="1:7" x14ac:dyDescent="0.2">
      <c r="A15" s="26" t="s">
        <v>667</v>
      </c>
      <c r="B15" s="26" t="s">
        <v>668</v>
      </c>
      <c r="C15" s="26" t="s">
        <v>16</v>
      </c>
      <c r="D15" s="30">
        <v>14</v>
      </c>
      <c r="E15" s="28">
        <v>175.16113999999999</v>
      </c>
      <c r="F15" s="29">
        <v>7.1530702210877903</v>
      </c>
      <c r="G15" s="28">
        <v>5.9550000000000001</v>
      </c>
    </row>
    <row r="16" spans="1:7" x14ac:dyDescent="0.2">
      <c r="A16" s="26" t="s">
        <v>197</v>
      </c>
      <c r="B16" s="26" t="s">
        <v>198</v>
      </c>
      <c r="C16" s="26" t="s">
        <v>16</v>
      </c>
      <c r="D16" s="30">
        <v>6</v>
      </c>
      <c r="E16" s="28">
        <v>62.823180000000001</v>
      </c>
      <c r="F16" s="29">
        <v>2.5655154907763098</v>
      </c>
      <c r="G16" s="28">
        <v>4.0650000000000004</v>
      </c>
    </row>
    <row r="17" spans="1:9" x14ac:dyDescent="0.2">
      <c r="A17" s="26" t="s">
        <v>231</v>
      </c>
      <c r="B17" s="26" t="s">
        <v>232</v>
      </c>
      <c r="C17" s="26" t="s">
        <v>16</v>
      </c>
      <c r="D17" s="30">
        <v>3</v>
      </c>
      <c r="E17" s="28">
        <v>31.445910000000001</v>
      </c>
      <c r="F17" s="29">
        <v>1.28415927411757</v>
      </c>
      <c r="G17" s="28">
        <v>3.95</v>
      </c>
    </row>
    <row r="18" spans="1:9" x14ac:dyDescent="0.2">
      <c r="A18" s="26" t="s">
        <v>201</v>
      </c>
      <c r="B18" s="26" t="s">
        <v>202</v>
      </c>
      <c r="C18" s="26" t="s">
        <v>16</v>
      </c>
      <c r="D18" s="30">
        <v>2</v>
      </c>
      <c r="E18" s="28">
        <v>20.859639999999999</v>
      </c>
      <c r="F18" s="29">
        <v>0.85184687486397803</v>
      </c>
      <c r="G18" s="28">
        <v>3.87</v>
      </c>
    </row>
    <row r="19" spans="1:9" x14ac:dyDescent="0.2">
      <c r="A19" s="26" t="s">
        <v>682</v>
      </c>
      <c r="B19" s="26" t="s">
        <v>683</v>
      </c>
      <c r="C19" s="26" t="s">
        <v>160</v>
      </c>
      <c r="D19" s="30">
        <v>1</v>
      </c>
      <c r="E19" s="28">
        <v>10.67238</v>
      </c>
      <c r="F19" s="29">
        <v>0.43582888057324198</v>
      </c>
      <c r="G19" s="28">
        <v>4.9649000000000001</v>
      </c>
    </row>
    <row r="20" spans="1:9" ht="10.5" x14ac:dyDescent="0.25">
      <c r="A20" s="25" t="s">
        <v>17</v>
      </c>
      <c r="B20" s="25"/>
      <c r="C20" s="25"/>
      <c r="D20" s="31"/>
      <c r="E20" s="32">
        <f>SUM(E6:E19)</f>
        <v>2312.4566999999997</v>
      </c>
      <c r="F20" s="33">
        <f>SUM(F6:F19)</f>
        <v>94.4339889448364</v>
      </c>
      <c r="G20" s="32"/>
      <c r="H20" s="18"/>
      <c r="I20" s="18"/>
    </row>
    <row r="21" spans="1:9" x14ac:dyDescent="0.2">
      <c r="A21" s="26"/>
      <c r="B21" s="26"/>
      <c r="C21" s="26"/>
      <c r="D21" s="27"/>
      <c r="E21" s="28"/>
      <c r="F21" s="29"/>
      <c r="G21" s="28"/>
    </row>
    <row r="22" spans="1:9" ht="10.5" x14ac:dyDescent="0.25">
      <c r="A22" s="25" t="s">
        <v>62</v>
      </c>
      <c r="B22" s="25"/>
      <c r="C22" s="25"/>
      <c r="D22" s="31"/>
      <c r="E22" s="32">
        <f>E20</f>
        <v>2312.4566999999997</v>
      </c>
      <c r="F22" s="33">
        <f>F20</f>
        <v>94.4339889448364</v>
      </c>
      <c r="G22" s="32"/>
      <c r="H22" s="18"/>
      <c r="I22" s="18"/>
    </row>
    <row r="23" spans="1:9" ht="10.5" x14ac:dyDescent="0.25">
      <c r="A23" s="25"/>
      <c r="B23" s="25"/>
      <c r="C23" s="25"/>
      <c r="D23" s="31"/>
      <c r="E23" s="32"/>
      <c r="F23" s="33"/>
      <c r="G23" s="32"/>
      <c r="H23" s="18"/>
      <c r="I23" s="18"/>
    </row>
    <row r="24" spans="1:9" ht="10.5" x14ac:dyDescent="0.25">
      <c r="A24" s="25" t="s">
        <v>63</v>
      </c>
      <c r="B24" s="25"/>
      <c r="C24" s="25"/>
      <c r="D24" s="31"/>
      <c r="E24" s="32">
        <f>E26-(E20)</f>
        <v>136.2979548000003</v>
      </c>
      <c r="F24" s="33">
        <f>F26-(F20)</f>
        <v>5.5660110551635995</v>
      </c>
      <c r="G24" s="32"/>
      <c r="H24" s="18"/>
      <c r="I24" s="18"/>
    </row>
    <row r="25" spans="1:9" ht="10.5" x14ac:dyDescent="0.25">
      <c r="A25" s="25"/>
      <c r="B25" s="25"/>
      <c r="C25" s="25"/>
      <c r="D25" s="31"/>
      <c r="E25" s="32"/>
      <c r="F25" s="33"/>
      <c r="G25" s="32"/>
      <c r="H25" s="18"/>
      <c r="I25" s="18"/>
    </row>
    <row r="26" spans="1:9" ht="10.5" x14ac:dyDescent="0.25">
      <c r="A26" s="34" t="s">
        <v>64</v>
      </c>
      <c r="B26" s="34"/>
      <c r="C26" s="34"/>
      <c r="D26" s="35"/>
      <c r="E26" s="36">
        <v>2448.7546548</v>
      </c>
      <c r="F26" s="37">
        <v>100</v>
      </c>
      <c r="G26" s="36"/>
      <c r="H26" s="18"/>
      <c r="I26" s="18"/>
    </row>
    <row r="28" spans="1:9" ht="10.5" x14ac:dyDescent="0.25">
      <c r="A28" s="18" t="s">
        <v>66</v>
      </c>
    </row>
    <row r="30" spans="1:9" ht="10.5" x14ac:dyDescent="0.25">
      <c r="A30" s="18" t="s">
        <v>67</v>
      </c>
    </row>
    <row r="31" spans="1:9" ht="10.5" x14ac:dyDescent="0.25">
      <c r="A31" s="18" t="s">
        <v>68</v>
      </c>
    </row>
    <row r="32" spans="1:9" ht="10.5" x14ac:dyDescent="0.25">
      <c r="A32" s="18" t="s">
        <v>69</v>
      </c>
      <c r="B32" s="18"/>
      <c r="C32" s="38" t="s">
        <v>70</v>
      </c>
      <c r="D32" s="43" t="s">
        <v>71</v>
      </c>
    </row>
    <row r="33" spans="1:5" x14ac:dyDescent="0.2">
      <c r="A33" s="9" t="s">
        <v>98</v>
      </c>
      <c r="C33" s="39">
        <v>11.667299999999999</v>
      </c>
      <c r="D33" s="39">
        <v>12.137499999999999</v>
      </c>
    </row>
    <row r="34" spans="1:5" x14ac:dyDescent="0.2">
      <c r="A34" s="9" t="s">
        <v>669</v>
      </c>
      <c r="C34" s="39">
        <v>10.884</v>
      </c>
      <c r="D34" s="39">
        <v>11.3226</v>
      </c>
    </row>
    <row r="35" spans="1:5" x14ac:dyDescent="0.2">
      <c r="A35" s="9" t="s">
        <v>275</v>
      </c>
      <c r="C35" s="39">
        <v>10.631500000000001</v>
      </c>
      <c r="D35" s="39">
        <v>10.646699999999999</v>
      </c>
    </row>
    <row r="36" spans="1:5" x14ac:dyDescent="0.2">
      <c r="A36" s="9" t="s">
        <v>101</v>
      </c>
      <c r="C36" s="39">
        <v>11.709199999999999</v>
      </c>
      <c r="D36" s="39">
        <v>12.1965</v>
      </c>
    </row>
    <row r="37" spans="1:5" x14ac:dyDescent="0.2">
      <c r="A37" s="9" t="s">
        <v>332</v>
      </c>
      <c r="C37" s="39">
        <v>10.925000000000001</v>
      </c>
      <c r="D37" s="39">
        <v>11.379799999999999</v>
      </c>
    </row>
    <row r="38" spans="1:5" x14ac:dyDescent="0.2">
      <c r="A38" s="9" t="s">
        <v>279</v>
      </c>
      <c r="C38" s="39">
        <v>10.6716</v>
      </c>
      <c r="D38" s="39">
        <v>10.7021</v>
      </c>
    </row>
    <row r="40" spans="1:5" ht="10.5" x14ac:dyDescent="0.25">
      <c r="A40" s="18" t="s">
        <v>90</v>
      </c>
    </row>
    <row r="41" spans="1:5" ht="10.5" x14ac:dyDescent="0.25">
      <c r="A41" s="68" t="s">
        <v>91</v>
      </c>
      <c r="B41" s="69"/>
      <c r="C41" s="40" t="s">
        <v>92</v>
      </c>
    </row>
    <row r="42" spans="1:5" x14ac:dyDescent="0.2">
      <c r="A42" s="64" t="s">
        <v>275</v>
      </c>
      <c r="B42" s="65"/>
      <c r="C42" s="41">
        <v>0.40500000000000003</v>
      </c>
    </row>
    <row r="43" spans="1:5" x14ac:dyDescent="0.2">
      <c r="A43" s="64" t="s">
        <v>279</v>
      </c>
      <c r="B43" s="65"/>
      <c r="C43" s="41">
        <v>0.40500000000000003</v>
      </c>
    </row>
    <row r="44" spans="1:5" x14ac:dyDescent="0.2">
      <c r="A44" s="9" t="s">
        <v>93</v>
      </c>
    </row>
    <row r="46" spans="1:5" ht="10.5" x14ac:dyDescent="0.25">
      <c r="A46" s="18" t="s">
        <v>94</v>
      </c>
      <c r="D46" s="42">
        <v>1.10165000416438</v>
      </c>
      <c r="E46" s="13" t="s">
        <v>95</v>
      </c>
    </row>
    <row r="48" spans="1:5" ht="10.5" x14ac:dyDescent="0.25">
      <c r="A48" s="18" t="s">
        <v>1506</v>
      </c>
      <c r="D48" s="43" t="s">
        <v>96</v>
      </c>
    </row>
    <row r="50" spans="1:1" ht="10.5" x14ac:dyDescent="0.25">
      <c r="A50" s="18" t="s">
        <v>1508</v>
      </c>
    </row>
    <row r="51" spans="1:1" x14ac:dyDescent="0.2">
      <c r="A51" s="47" t="s">
        <v>1509</v>
      </c>
    </row>
  </sheetData>
  <mergeCells count="4">
    <mergeCell ref="A1:G1"/>
    <mergeCell ref="A41:B41"/>
    <mergeCell ref="A42:B42"/>
    <mergeCell ref="A43:B43"/>
  </mergeCells>
  <conditionalFormatting sqref="F2:F3 F5:F65536">
    <cfRule type="cellIs" dxfId="51" priority="1" stopIfTrue="1" operator="between">
      <formula>0.009</formula>
      <formula>-0.009</formula>
    </cfRule>
  </conditionalFormatting>
  <hyperlinks>
    <hyperlink ref="A51" r:id="rId1" xr:uid="{7B73B9CE-D168-410D-A231-93D5C12A5E6F}"/>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0"/>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684</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678</v>
      </c>
      <c r="B7" s="26" t="s">
        <v>679</v>
      </c>
      <c r="C7" s="26" t="s">
        <v>16</v>
      </c>
      <c r="D7" s="30">
        <v>68</v>
      </c>
      <c r="E7" s="28">
        <v>869.12567999999999</v>
      </c>
      <c r="F7" s="29">
        <v>11.900542858718699</v>
      </c>
      <c r="G7" s="28">
        <v>4.5949</v>
      </c>
    </row>
    <row r="8" spans="1:7" x14ac:dyDescent="0.2">
      <c r="A8" s="26" t="s">
        <v>665</v>
      </c>
      <c r="B8" s="26" t="s">
        <v>666</v>
      </c>
      <c r="C8" s="26" t="s">
        <v>160</v>
      </c>
      <c r="D8" s="30">
        <v>71</v>
      </c>
      <c r="E8" s="28">
        <v>746.57138999999995</v>
      </c>
      <c r="F8" s="29">
        <v>10.2224626751199</v>
      </c>
      <c r="G8" s="28">
        <v>4.0598999999999998</v>
      </c>
    </row>
    <row r="9" spans="1:7" x14ac:dyDescent="0.2">
      <c r="A9" s="26" t="s">
        <v>673</v>
      </c>
      <c r="B9" s="26" t="s">
        <v>674</v>
      </c>
      <c r="C9" s="26" t="s">
        <v>16</v>
      </c>
      <c r="D9" s="30">
        <v>71</v>
      </c>
      <c r="E9" s="28">
        <v>740.28079000000002</v>
      </c>
      <c r="F9" s="29">
        <v>10.136328348831199</v>
      </c>
      <c r="G9" s="28">
        <v>3.8149999999999999</v>
      </c>
    </row>
    <row r="10" spans="1:7" x14ac:dyDescent="0.2">
      <c r="A10" s="26" t="s">
        <v>671</v>
      </c>
      <c r="B10" s="26" t="s">
        <v>672</v>
      </c>
      <c r="C10" s="26" t="s">
        <v>16</v>
      </c>
      <c r="D10" s="30">
        <v>70</v>
      </c>
      <c r="E10" s="28">
        <v>735.54809999999998</v>
      </c>
      <c r="F10" s="29">
        <v>10.0715257759949</v>
      </c>
      <c r="G10" s="28">
        <v>4.17</v>
      </c>
    </row>
    <row r="11" spans="1:7" x14ac:dyDescent="0.2">
      <c r="A11" s="26" t="s">
        <v>685</v>
      </c>
      <c r="B11" s="26" t="s">
        <v>686</v>
      </c>
      <c r="C11" s="26" t="s">
        <v>209</v>
      </c>
      <c r="D11" s="30">
        <v>70000</v>
      </c>
      <c r="E11" s="28">
        <v>734.69129999999996</v>
      </c>
      <c r="F11" s="29">
        <v>10.0597940030696</v>
      </c>
      <c r="G11" s="28">
        <v>4.9725000000000001</v>
      </c>
    </row>
    <row r="12" spans="1:7" x14ac:dyDescent="0.2">
      <c r="A12" s="26" t="s">
        <v>185</v>
      </c>
      <c r="B12" s="26" t="s">
        <v>186</v>
      </c>
      <c r="C12" s="26" t="s">
        <v>187</v>
      </c>
      <c r="D12" s="30">
        <v>70</v>
      </c>
      <c r="E12" s="28">
        <v>722.7654</v>
      </c>
      <c r="F12" s="29">
        <v>9.8964980755130796</v>
      </c>
      <c r="G12" s="28">
        <v>5.7188999999999997</v>
      </c>
    </row>
    <row r="13" spans="1:7" x14ac:dyDescent="0.2">
      <c r="A13" s="26" t="s">
        <v>214</v>
      </c>
      <c r="B13" s="26" t="s">
        <v>215</v>
      </c>
      <c r="C13" s="26" t="s">
        <v>16</v>
      </c>
      <c r="D13" s="30">
        <v>69</v>
      </c>
      <c r="E13" s="28">
        <v>716.99279999999999</v>
      </c>
      <c r="F13" s="29">
        <v>9.8174564877576191</v>
      </c>
      <c r="G13" s="28">
        <v>3.83</v>
      </c>
    </row>
    <row r="14" spans="1:7" x14ac:dyDescent="0.2">
      <c r="A14" s="26" t="s">
        <v>259</v>
      </c>
      <c r="B14" s="26" t="s">
        <v>260</v>
      </c>
      <c r="C14" s="26" t="s">
        <v>160</v>
      </c>
      <c r="D14" s="30">
        <v>47</v>
      </c>
      <c r="E14" s="28">
        <v>599.25094000000001</v>
      </c>
      <c r="F14" s="29">
        <v>8.2052707205677002</v>
      </c>
      <c r="G14" s="28">
        <v>5.7145999999999999</v>
      </c>
    </row>
    <row r="15" spans="1:7" x14ac:dyDescent="0.2">
      <c r="A15" s="26" t="s">
        <v>682</v>
      </c>
      <c r="B15" s="26" t="s">
        <v>683</v>
      </c>
      <c r="C15" s="26" t="s">
        <v>160</v>
      </c>
      <c r="D15" s="30">
        <v>31</v>
      </c>
      <c r="E15" s="28">
        <v>330.84377999999998</v>
      </c>
      <c r="F15" s="29">
        <v>4.5300934882404</v>
      </c>
      <c r="G15" s="28">
        <v>4.9649000000000001</v>
      </c>
    </row>
    <row r="16" spans="1:7" x14ac:dyDescent="0.2">
      <c r="A16" s="26" t="s">
        <v>675</v>
      </c>
      <c r="B16" s="26" t="s">
        <v>676</v>
      </c>
      <c r="C16" s="26" t="s">
        <v>13</v>
      </c>
      <c r="D16" s="30">
        <v>20</v>
      </c>
      <c r="E16" s="28">
        <v>251.43119999999999</v>
      </c>
      <c r="F16" s="29">
        <v>3.4427331287910898</v>
      </c>
      <c r="G16" s="28">
        <v>5.4699</v>
      </c>
    </row>
    <row r="17" spans="1:9" x14ac:dyDescent="0.2">
      <c r="A17" s="26" t="s">
        <v>197</v>
      </c>
      <c r="B17" s="26" t="s">
        <v>198</v>
      </c>
      <c r="C17" s="26" t="s">
        <v>16</v>
      </c>
      <c r="D17" s="30">
        <v>22</v>
      </c>
      <c r="E17" s="28">
        <v>230.35166000000001</v>
      </c>
      <c r="F17" s="29">
        <v>3.1541005696748101</v>
      </c>
      <c r="G17" s="28">
        <v>4.0650000000000004</v>
      </c>
    </row>
    <row r="18" spans="1:9" x14ac:dyDescent="0.2">
      <c r="A18" s="26" t="s">
        <v>320</v>
      </c>
      <c r="B18" s="26" t="s">
        <v>321</v>
      </c>
      <c r="C18" s="26" t="s">
        <v>322</v>
      </c>
      <c r="D18" s="30">
        <v>11</v>
      </c>
      <c r="E18" s="28">
        <v>117.50959</v>
      </c>
      <c r="F18" s="29">
        <v>1.6090053996626399</v>
      </c>
      <c r="G18" s="28">
        <v>3.8849999999999998</v>
      </c>
    </row>
    <row r="19" spans="1:9" x14ac:dyDescent="0.2">
      <c r="A19" s="26" t="s">
        <v>663</v>
      </c>
      <c r="B19" s="26" t="s">
        <v>664</v>
      </c>
      <c r="C19" s="26" t="s">
        <v>16</v>
      </c>
      <c r="D19" s="30">
        <v>2</v>
      </c>
      <c r="E19" s="28">
        <v>25.341660000000001</v>
      </c>
      <c r="F19" s="29">
        <v>0.34699183084899599</v>
      </c>
      <c r="G19" s="28">
        <v>4.7149999999999999</v>
      </c>
    </row>
    <row r="20" spans="1:9" x14ac:dyDescent="0.2">
      <c r="A20" s="26" t="s">
        <v>231</v>
      </c>
      <c r="B20" s="26" t="s">
        <v>232</v>
      </c>
      <c r="C20" s="26" t="s">
        <v>16</v>
      </c>
      <c r="D20" s="30">
        <v>1</v>
      </c>
      <c r="E20" s="28">
        <v>10.48197</v>
      </c>
      <c r="F20" s="29">
        <v>0.14352485043222299</v>
      </c>
      <c r="G20" s="28">
        <v>3.95</v>
      </c>
    </row>
    <row r="21" spans="1:9" ht="10.5" x14ac:dyDescent="0.25">
      <c r="A21" s="25" t="s">
        <v>17</v>
      </c>
      <c r="B21" s="25"/>
      <c r="C21" s="25"/>
      <c r="D21" s="31"/>
      <c r="E21" s="32">
        <f>SUM(E6:E20)</f>
        <v>6831.1862599999995</v>
      </c>
      <c r="F21" s="33">
        <f>SUM(F6:F20)</f>
        <v>93.536328213222845</v>
      </c>
      <c r="G21" s="32"/>
      <c r="H21" s="18"/>
      <c r="I21" s="18"/>
    </row>
    <row r="22" spans="1:9" x14ac:dyDescent="0.2">
      <c r="A22" s="26"/>
      <c r="B22" s="26"/>
      <c r="C22" s="26"/>
      <c r="D22" s="27"/>
      <c r="E22" s="28"/>
      <c r="F22" s="29"/>
      <c r="G22" s="28"/>
    </row>
    <row r="23" spans="1:9" ht="10.5" x14ac:dyDescent="0.25">
      <c r="A23" s="25" t="s">
        <v>62</v>
      </c>
      <c r="B23" s="25"/>
      <c r="C23" s="25"/>
      <c r="D23" s="31"/>
      <c r="E23" s="32">
        <f>E21</f>
        <v>6831.1862599999995</v>
      </c>
      <c r="F23" s="33">
        <f>F21</f>
        <v>93.536328213222845</v>
      </c>
      <c r="G23" s="32"/>
      <c r="H23" s="18"/>
      <c r="I23" s="18"/>
    </row>
    <row r="24" spans="1:9" ht="10.5" x14ac:dyDescent="0.25">
      <c r="A24" s="25"/>
      <c r="B24" s="25"/>
      <c r="C24" s="25"/>
      <c r="D24" s="31"/>
      <c r="E24" s="32"/>
      <c r="F24" s="33"/>
      <c r="G24" s="32"/>
      <c r="H24" s="18"/>
      <c r="I24" s="18"/>
    </row>
    <row r="25" spans="1:9" ht="10.5" x14ac:dyDescent="0.25">
      <c r="A25" s="25" t="s">
        <v>63</v>
      </c>
      <c r="B25" s="25"/>
      <c r="C25" s="25"/>
      <c r="D25" s="31"/>
      <c r="E25" s="32">
        <f>E27-(E21)</f>
        <v>472.05772070000057</v>
      </c>
      <c r="F25" s="33">
        <f>F27-(F21)</f>
        <v>6.4636717867771551</v>
      </c>
      <c r="G25" s="32"/>
      <c r="H25" s="18"/>
      <c r="I25" s="18"/>
    </row>
    <row r="26" spans="1:9" ht="10.5" x14ac:dyDescent="0.25">
      <c r="A26" s="25"/>
      <c r="B26" s="25"/>
      <c r="C26" s="25"/>
      <c r="D26" s="31"/>
      <c r="E26" s="32"/>
      <c r="F26" s="33"/>
      <c r="G26" s="32"/>
      <c r="H26" s="18"/>
      <c r="I26" s="18"/>
    </row>
    <row r="27" spans="1:9" ht="10.5" x14ac:dyDescent="0.25">
      <c r="A27" s="34" t="s">
        <v>64</v>
      </c>
      <c r="B27" s="34"/>
      <c r="C27" s="34"/>
      <c r="D27" s="35"/>
      <c r="E27" s="36">
        <v>7303.2439807000001</v>
      </c>
      <c r="F27" s="37">
        <v>100</v>
      </c>
      <c r="G27" s="36"/>
      <c r="H27" s="18"/>
      <c r="I27" s="18"/>
    </row>
    <row r="29" spans="1:9" ht="10.5" x14ac:dyDescent="0.25">
      <c r="A29" s="18" t="s">
        <v>66</v>
      </c>
    </row>
    <row r="31" spans="1:9" ht="10.5" x14ac:dyDescent="0.25">
      <c r="A31" s="18" t="s">
        <v>67</v>
      </c>
    </row>
    <row r="32" spans="1:9" ht="10.5" x14ac:dyDescent="0.25">
      <c r="A32" s="18" t="s">
        <v>68</v>
      </c>
    </row>
    <row r="33" spans="1:5" ht="10.5" x14ac:dyDescent="0.25">
      <c r="A33" s="18" t="s">
        <v>69</v>
      </c>
      <c r="B33" s="18"/>
      <c r="C33" s="38" t="s">
        <v>70</v>
      </c>
      <c r="D33" s="43" t="s">
        <v>71</v>
      </c>
    </row>
    <row r="34" spans="1:5" x14ac:dyDescent="0.2">
      <c r="A34" s="9" t="s">
        <v>98</v>
      </c>
      <c r="C34" s="39">
        <v>11.689500000000001</v>
      </c>
      <c r="D34" s="39">
        <v>12.162100000000001</v>
      </c>
    </row>
    <row r="35" spans="1:5" x14ac:dyDescent="0.2">
      <c r="A35" s="9" t="s">
        <v>669</v>
      </c>
      <c r="C35" s="39">
        <v>10.8758</v>
      </c>
      <c r="D35" s="39">
        <v>11.3156</v>
      </c>
    </row>
    <row r="36" spans="1:5" x14ac:dyDescent="0.2">
      <c r="A36" s="9" t="s">
        <v>275</v>
      </c>
      <c r="C36" s="39">
        <v>10.627000000000001</v>
      </c>
      <c r="D36" s="39">
        <v>10.648400000000001</v>
      </c>
    </row>
    <row r="37" spans="1:5" x14ac:dyDescent="0.2">
      <c r="A37" s="9" t="s">
        <v>101</v>
      </c>
      <c r="C37" s="39">
        <v>11.7325</v>
      </c>
      <c r="D37" s="39">
        <v>12.222300000000001</v>
      </c>
    </row>
    <row r="38" spans="1:5" x14ac:dyDescent="0.2">
      <c r="A38" s="9" t="s">
        <v>332</v>
      </c>
      <c r="C38" s="39">
        <v>10.917999999999999</v>
      </c>
      <c r="D38" s="39">
        <v>11.373799999999999</v>
      </c>
    </row>
    <row r="40" spans="1:5" ht="10.5" x14ac:dyDescent="0.25">
      <c r="A40" s="18" t="s">
        <v>90</v>
      </c>
    </row>
    <row r="41" spans="1:5" ht="10.5" x14ac:dyDescent="0.25">
      <c r="A41" s="68" t="s">
        <v>91</v>
      </c>
      <c r="B41" s="69"/>
      <c r="C41" s="40" t="s">
        <v>92</v>
      </c>
    </row>
    <row r="42" spans="1:5" x14ac:dyDescent="0.2">
      <c r="A42" s="64" t="s">
        <v>275</v>
      </c>
      <c r="B42" s="65"/>
      <c r="C42" s="41">
        <v>0.4</v>
      </c>
    </row>
    <row r="43" spans="1:5" x14ac:dyDescent="0.2">
      <c r="A43" s="9" t="s">
        <v>93</v>
      </c>
    </row>
    <row r="45" spans="1:5" ht="10.5" x14ac:dyDescent="0.25">
      <c r="A45" s="18" t="s">
        <v>94</v>
      </c>
      <c r="D45" s="42">
        <v>1.09245272328767</v>
      </c>
      <c r="E45" s="13" t="s">
        <v>95</v>
      </c>
    </row>
    <row r="47" spans="1:5" ht="10.5" x14ac:dyDescent="0.25">
      <c r="A47" s="18" t="s">
        <v>1506</v>
      </c>
      <c r="D47" s="43" t="s">
        <v>96</v>
      </c>
    </row>
    <row r="49" spans="1:1" ht="10.5" x14ac:dyDescent="0.25">
      <c r="A49" s="18" t="s">
        <v>1508</v>
      </c>
    </row>
    <row r="50" spans="1:1" x14ac:dyDescent="0.2">
      <c r="A50" s="47" t="s">
        <v>1509</v>
      </c>
    </row>
  </sheetData>
  <mergeCells count="3">
    <mergeCell ref="A1:G1"/>
    <mergeCell ref="A41:B41"/>
    <mergeCell ref="A42:B42"/>
  </mergeCells>
  <conditionalFormatting sqref="F2:F3 F5:F65536">
    <cfRule type="cellIs" dxfId="50" priority="1" stopIfTrue="1" operator="between">
      <formula>0.009</formula>
      <formula>-0.009</formula>
    </cfRule>
  </conditionalFormatting>
  <hyperlinks>
    <hyperlink ref="A50" r:id="rId1" xr:uid="{41FCCB2B-08EA-4916-B17F-075300AB21F7}"/>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687</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212</v>
      </c>
      <c r="B7" s="26" t="s">
        <v>213</v>
      </c>
      <c r="C7" s="26" t="s">
        <v>16</v>
      </c>
      <c r="D7" s="30">
        <v>37</v>
      </c>
      <c r="E7" s="28">
        <v>468.32787000000002</v>
      </c>
      <c r="F7" s="29">
        <v>12.0337499987229</v>
      </c>
      <c r="G7" s="28">
        <v>4.2008000000000001</v>
      </c>
    </row>
    <row r="8" spans="1:7" x14ac:dyDescent="0.2">
      <c r="A8" s="26" t="s">
        <v>323</v>
      </c>
      <c r="B8" s="26" t="s">
        <v>324</v>
      </c>
      <c r="C8" s="26" t="s">
        <v>209</v>
      </c>
      <c r="D8" s="30">
        <v>37</v>
      </c>
      <c r="E8" s="28">
        <v>387.49027000000001</v>
      </c>
      <c r="F8" s="29">
        <v>9.9566165817072392</v>
      </c>
      <c r="G8" s="28">
        <v>4.17</v>
      </c>
    </row>
    <row r="9" spans="1:7" x14ac:dyDescent="0.2">
      <c r="A9" s="26" t="s">
        <v>682</v>
      </c>
      <c r="B9" s="26" t="s">
        <v>683</v>
      </c>
      <c r="C9" s="26" t="s">
        <v>160</v>
      </c>
      <c r="D9" s="30">
        <v>36</v>
      </c>
      <c r="E9" s="28">
        <v>384.20567999999997</v>
      </c>
      <c r="F9" s="29">
        <v>9.8722185831249494</v>
      </c>
      <c r="G9" s="28">
        <v>4.9649000000000001</v>
      </c>
    </row>
    <row r="10" spans="1:7" x14ac:dyDescent="0.2">
      <c r="A10" s="26" t="s">
        <v>261</v>
      </c>
      <c r="B10" s="26" t="s">
        <v>262</v>
      </c>
      <c r="C10" s="26" t="s">
        <v>16</v>
      </c>
      <c r="D10" s="30">
        <v>37</v>
      </c>
      <c r="E10" s="28">
        <v>382.08197999999999</v>
      </c>
      <c r="F10" s="29">
        <v>9.8176498151541498</v>
      </c>
      <c r="G10" s="28">
        <v>4.5350000000000001</v>
      </c>
    </row>
    <row r="11" spans="1:7" x14ac:dyDescent="0.2">
      <c r="A11" s="26" t="s">
        <v>214</v>
      </c>
      <c r="B11" s="26" t="s">
        <v>215</v>
      </c>
      <c r="C11" s="26" t="s">
        <v>16</v>
      </c>
      <c r="D11" s="30">
        <v>36</v>
      </c>
      <c r="E11" s="28">
        <v>374.08319999999998</v>
      </c>
      <c r="F11" s="29">
        <v>9.6121200464158907</v>
      </c>
      <c r="G11" s="28">
        <v>3.83</v>
      </c>
    </row>
    <row r="12" spans="1:7" x14ac:dyDescent="0.2">
      <c r="A12" s="26" t="s">
        <v>185</v>
      </c>
      <c r="B12" s="26" t="s">
        <v>186</v>
      </c>
      <c r="C12" s="26" t="s">
        <v>187</v>
      </c>
      <c r="D12" s="30">
        <v>33</v>
      </c>
      <c r="E12" s="28">
        <v>340.73226</v>
      </c>
      <c r="F12" s="29">
        <v>8.7551629872888999</v>
      </c>
      <c r="G12" s="28">
        <v>5.7188999999999997</v>
      </c>
    </row>
    <row r="13" spans="1:7" x14ac:dyDescent="0.2">
      <c r="A13" s="26" t="s">
        <v>231</v>
      </c>
      <c r="B13" s="26" t="s">
        <v>232</v>
      </c>
      <c r="C13" s="26" t="s">
        <v>16</v>
      </c>
      <c r="D13" s="30">
        <v>27</v>
      </c>
      <c r="E13" s="28">
        <v>283.01319000000001</v>
      </c>
      <c r="F13" s="29">
        <v>7.2720634259948298</v>
      </c>
      <c r="G13" s="28">
        <v>3.95</v>
      </c>
    </row>
    <row r="14" spans="1:7" x14ac:dyDescent="0.2">
      <c r="A14" s="26" t="s">
        <v>688</v>
      </c>
      <c r="B14" s="26" t="s">
        <v>689</v>
      </c>
      <c r="C14" s="26" t="s">
        <v>16</v>
      </c>
      <c r="D14" s="30">
        <v>21</v>
      </c>
      <c r="E14" s="28">
        <v>266.38898999999998</v>
      </c>
      <c r="F14" s="29">
        <v>6.8449022862386801</v>
      </c>
      <c r="G14" s="28">
        <v>5.98</v>
      </c>
    </row>
    <row r="15" spans="1:7" x14ac:dyDescent="0.2">
      <c r="A15" s="26" t="s">
        <v>245</v>
      </c>
      <c r="B15" s="26" t="s">
        <v>246</v>
      </c>
      <c r="C15" s="26" t="s">
        <v>209</v>
      </c>
      <c r="D15" s="30">
        <v>20</v>
      </c>
      <c r="E15" s="28">
        <v>210.13480000000001</v>
      </c>
      <c r="F15" s="29">
        <v>5.3994430210434299</v>
      </c>
      <c r="G15" s="28">
        <v>3.855</v>
      </c>
    </row>
    <row r="16" spans="1:7" x14ac:dyDescent="0.2">
      <c r="A16" s="26" t="s">
        <v>259</v>
      </c>
      <c r="B16" s="26" t="s">
        <v>260</v>
      </c>
      <c r="C16" s="26" t="s">
        <v>160</v>
      </c>
      <c r="D16" s="30">
        <v>12</v>
      </c>
      <c r="E16" s="28">
        <v>153.00023999999999</v>
      </c>
      <c r="F16" s="29">
        <v>3.9313625257975802</v>
      </c>
      <c r="G16" s="28">
        <v>5.7145999999999999</v>
      </c>
    </row>
    <row r="17" spans="1:9" x14ac:dyDescent="0.2">
      <c r="A17" s="26" t="s">
        <v>197</v>
      </c>
      <c r="B17" s="26" t="s">
        <v>198</v>
      </c>
      <c r="C17" s="26" t="s">
        <v>16</v>
      </c>
      <c r="D17" s="30">
        <v>10</v>
      </c>
      <c r="E17" s="28">
        <v>104.70529999999999</v>
      </c>
      <c r="F17" s="29">
        <v>2.6904173004721699</v>
      </c>
      <c r="G17" s="28">
        <v>4.0650000000000004</v>
      </c>
    </row>
    <row r="18" spans="1:9" x14ac:dyDescent="0.2">
      <c r="A18" s="26" t="s">
        <v>255</v>
      </c>
      <c r="B18" s="26" t="s">
        <v>256</v>
      </c>
      <c r="C18" s="26" t="s">
        <v>16</v>
      </c>
      <c r="D18" s="30">
        <v>8</v>
      </c>
      <c r="E18" s="28">
        <v>101.59344</v>
      </c>
      <c r="F18" s="29">
        <v>2.6104576233531702</v>
      </c>
      <c r="G18" s="28">
        <v>4.165</v>
      </c>
    </row>
    <row r="19" spans="1:9" x14ac:dyDescent="0.2">
      <c r="A19" s="26" t="s">
        <v>659</v>
      </c>
      <c r="B19" s="26" t="s">
        <v>660</v>
      </c>
      <c r="C19" s="26" t="s">
        <v>16</v>
      </c>
      <c r="D19" s="30">
        <v>3</v>
      </c>
      <c r="E19" s="28">
        <v>38.669130000000003</v>
      </c>
      <c r="F19" s="29">
        <v>0.99360869360201698</v>
      </c>
      <c r="G19" s="28">
        <v>4.5949</v>
      </c>
    </row>
    <row r="20" spans="1:9" x14ac:dyDescent="0.2">
      <c r="A20" s="26" t="s">
        <v>675</v>
      </c>
      <c r="B20" s="26" t="s">
        <v>676</v>
      </c>
      <c r="C20" s="26" t="s">
        <v>13</v>
      </c>
      <c r="D20" s="30">
        <v>3</v>
      </c>
      <c r="E20" s="28">
        <v>37.714680000000001</v>
      </c>
      <c r="F20" s="29">
        <v>0.969083967609773</v>
      </c>
      <c r="G20" s="28">
        <v>5.4699</v>
      </c>
    </row>
    <row r="21" spans="1:9" x14ac:dyDescent="0.2">
      <c r="A21" s="26" t="s">
        <v>690</v>
      </c>
      <c r="B21" s="26" t="s">
        <v>691</v>
      </c>
      <c r="C21" s="26" t="s">
        <v>160</v>
      </c>
      <c r="D21" s="30">
        <v>3</v>
      </c>
      <c r="E21" s="28">
        <v>31.650690000000001</v>
      </c>
      <c r="F21" s="29">
        <v>0.81326889802026603</v>
      </c>
      <c r="G21" s="28">
        <v>5.4146999999999998</v>
      </c>
    </row>
    <row r="22" spans="1:9" x14ac:dyDescent="0.2">
      <c r="A22" s="26" t="s">
        <v>201</v>
      </c>
      <c r="B22" s="26" t="s">
        <v>202</v>
      </c>
      <c r="C22" s="26" t="s">
        <v>16</v>
      </c>
      <c r="D22" s="30">
        <v>3</v>
      </c>
      <c r="E22" s="28">
        <v>31.289459999999998</v>
      </c>
      <c r="F22" s="29">
        <v>0.80398704274217103</v>
      </c>
      <c r="G22" s="28">
        <v>3.87</v>
      </c>
    </row>
    <row r="23" spans="1:9" x14ac:dyDescent="0.2">
      <c r="A23" s="26" t="s">
        <v>663</v>
      </c>
      <c r="B23" s="26" t="s">
        <v>664</v>
      </c>
      <c r="C23" s="26" t="s">
        <v>16</v>
      </c>
      <c r="D23" s="30">
        <v>2</v>
      </c>
      <c r="E23" s="28">
        <v>25.341660000000001</v>
      </c>
      <c r="F23" s="29">
        <v>0.65115749142291202</v>
      </c>
      <c r="G23" s="28">
        <v>4.7149999999999999</v>
      </c>
    </row>
    <row r="24" spans="1:9" ht="10.5" x14ac:dyDescent="0.25">
      <c r="A24" s="25" t="s">
        <v>17</v>
      </c>
      <c r="B24" s="25"/>
      <c r="C24" s="25"/>
      <c r="D24" s="31"/>
      <c r="E24" s="32">
        <f>SUM(E6:E23)</f>
        <v>3620.4228400000002</v>
      </c>
      <c r="F24" s="33">
        <f>SUM(F6:F23)</f>
        <v>93.027270288711009</v>
      </c>
      <c r="G24" s="32"/>
      <c r="H24" s="18"/>
      <c r="I24" s="18"/>
    </row>
    <row r="25" spans="1:9" x14ac:dyDescent="0.2">
      <c r="A25" s="26"/>
      <c r="B25" s="26"/>
      <c r="C25" s="26"/>
      <c r="D25" s="27"/>
      <c r="E25" s="28"/>
      <c r="F25" s="29"/>
      <c r="G25" s="28"/>
    </row>
    <row r="26" spans="1:9" ht="10.5" x14ac:dyDescent="0.25">
      <c r="A26" s="25" t="s">
        <v>62</v>
      </c>
      <c r="B26" s="25"/>
      <c r="C26" s="25"/>
      <c r="D26" s="31"/>
      <c r="E26" s="32">
        <f>E24</f>
        <v>3620.4228400000002</v>
      </c>
      <c r="F26" s="33">
        <f>F24</f>
        <v>93.027270288711009</v>
      </c>
      <c r="G26" s="32"/>
      <c r="H26" s="18"/>
      <c r="I26" s="18"/>
    </row>
    <row r="27" spans="1:9" ht="10.5" x14ac:dyDescent="0.25">
      <c r="A27" s="25"/>
      <c r="B27" s="25"/>
      <c r="C27" s="25"/>
      <c r="D27" s="31"/>
      <c r="E27" s="32"/>
      <c r="F27" s="33"/>
      <c r="G27" s="32"/>
      <c r="H27" s="18"/>
      <c r="I27" s="18"/>
    </row>
    <row r="28" spans="1:9" ht="10.5" x14ac:dyDescent="0.25">
      <c r="A28" s="25" t="s">
        <v>63</v>
      </c>
      <c r="B28" s="25"/>
      <c r="C28" s="25"/>
      <c r="D28" s="31"/>
      <c r="E28" s="32">
        <f>E30-(E24)</f>
        <v>271.36376059999975</v>
      </c>
      <c r="F28" s="33">
        <f>F30-(F24)</f>
        <v>6.9727297112889914</v>
      </c>
      <c r="G28" s="32"/>
      <c r="H28" s="18"/>
      <c r="I28" s="18"/>
    </row>
    <row r="29" spans="1:9" ht="10.5" x14ac:dyDescent="0.25">
      <c r="A29" s="25"/>
      <c r="B29" s="25"/>
      <c r="C29" s="25"/>
      <c r="D29" s="31"/>
      <c r="E29" s="32"/>
      <c r="F29" s="33"/>
      <c r="G29" s="32"/>
      <c r="H29" s="18"/>
      <c r="I29" s="18"/>
    </row>
    <row r="30" spans="1:9" ht="10.5" x14ac:dyDescent="0.25">
      <c r="A30" s="34" t="s">
        <v>64</v>
      </c>
      <c r="B30" s="34"/>
      <c r="C30" s="34"/>
      <c r="D30" s="35"/>
      <c r="E30" s="36">
        <v>3891.7866005999999</v>
      </c>
      <c r="F30" s="37">
        <v>100</v>
      </c>
      <c r="G30" s="36"/>
      <c r="H30" s="18"/>
      <c r="I30" s="18"/>
    </row>
    <row r="32" spans="1:9" ht="10.5" x14ac:dyDescent="0.25">
      <c r="A32" s="18" t="s">
        <v>66</v>
      </c>
    </row>
    <row r="34" spans="1:4" ht="10.5" x14ac:dyDescent="0.25">
      <c r="A34" s="18" t="s">
        <v>67</v>
      </c>
    </row>
    <row r="35" spans="1:4" ht="10.5" x14ac:dyDescent="0.25">
      <c r="A35" s="18" t="s">
        <v>68</v>
      </c>
    </row>
    <row r="36" spans="1:4" ht="10.5" x14ac:dyDescent="0.25">
      <c r="A36" s="18" t="s">
        <v>69</v>
      </c>
      <c r="B36" s="18"/>
      <c r="C36" s="38" t="s">
        <v>70</v>
      </c>
      <c r="D36" s="43" t="s">
        <v>71</v>
      </c>
    </row>
    <row r="37" spans="1:4" x14ac:dyDescent="0.2">
      <c r="A37" s="9" t="s">
        <v>98</v>
      </c>
      <c r="C37" s="39">
        <v>11.8148</v>
      </c>
      <c r="D37" s="39">
        <v>12.2437</v>
      </c>
    </row>
    <row r="38" spans="1:4" x14ac:dyDescent="0.2">
      <c r="A38" s="9" t="s">
        <v>669</v>
      </c>
      <c r="C38" s="39">
        <v>10.962199999999999</v>
      </c>
      <c r="D38" s="39">
        <v>10.539199999999999</v>
      </c>
    </row>
    <row r="39" spans="1:4" x14ac:dyDescent="0.2">
      <c r="A39" s="9" t="s">
        <v>275</v>
      </c>
      <c r="C39" s="39">
        <v>10.530200000000001</v>
      </c>
      <c r="D39" s="39">
        <v>10.5238</v>
      </c>
    </row>
    <row r="40" spans="1:4" x14ac:dyDescent="0.2">
      <c r="A40" s="9" t="s">
        <v>101</v>
      </c>
      <c r="C40" s="39">
        <v>11.860099999999999</v>
      </c>
      <c r="D40" s="39">
        <v>12.305999999999999</v>
      </c>
    </row>
    <row r="41" spans="1:4" x14ac:dyDescent="0.2">
      <c r="A41" s="9" t="s">
        <v>332</v>
      </c>
      <c r="C41" s="39">
        <v>11.006600000000001</v>
      </c>
      <c r="D41" s="39">
        <v>10.5997</v>
      </c>
    </row>
    <row r="42" spans="1:4" x14ac:dyDescent="0.2">
      <c r="A42" s="9" t="s">
        <v>279</v>
      </c>
      <c r="C42" s="39">
        <v>10.575100000000001</v>
      </c>
      <c r="D42" s="39">
        <v>10.585800000000001</v>
      </c>
    </row>
    <row r="44" spans="1:4" ht="10.5" x14ac:dyDescent="0.25">
      <c r="A44" s="18" t="s">
        <v>90</v>
      </c>
    </row>
    <row r="45" spans="1:4" ht="10.5" x14ac:dyDescent="0.25">
      <c r="A45" s="68" t="s">
        <v>91</v>
      </c>
      <c r="B45" s="69"/>
      <c r="C45" s="40" t="s">
        <v>92</v>
      </c>
    </row>
    <row r="46" spans="1:4" x14ac:dyDescent="0.2">
      <c r="A46" s="64" t="s">
        <v>669</v>
      </c>
      <c r="B46" s="65"/>
      <c r="C46" s="41">
        <v>0.82</v>
      </c>
    </row>
    <row r="47" spans="1:4" x14ac:dyDescent="0.2">
      <c r="A47" s="64" t="s">
        <v>275</v>
      </c>
      <c r="B47" s="65"/>
      <c r="C47" s="41">
        <v>0.38500000000000001</v>
      </c>
    </row>
    <row r="48" spans="1:4" x14ac:dyDescent="0.2">
      <c r="A48" s="64" t="s">
        <v>332</v>
      </c>
      <c r="B48" s="65"/>
      <c r="C48" s="41">
        <v>0.82</v>
      </c>
    </row>
    <row r="49" spans="1:5" x14ac:dyDescent="0.2">
      <c r="A49" s="64" t="s">
        <v>279</v>
      </c>
      <c r="B49" s="65"/>
      <c r="C49" s="41">
        <v>0.38500000000000001</v>
      </c>
    </row>
    <row r="50" spans="1:5" x14ac:dyDescent="0.2">
      <c r="A50" s="9" t="s">
        <v>93</v>
      </c>
    </row>
    <row r="52" spans="1:5" ht="10.5" x14ac:dyDescent="0.25">
      <c r="A52" s="18" t="s">
        <v>94</v>
      </c>
      <c r="D52" s="42">
        <v>1.04978560164384</v>
      </c>
      <c r="E52" s="13" t="s">
        <v>95</v>
      </c>
    </row>
    <row r="54" spans="1:5" ht="10.5" x14ac:dyDescent="0.25">
      <c r="A54" s="18" t="s">
        <v>1506</v>
      </c>
      <c r="D54" s="43" t="s">
        <v>96</v>
      </c>
    </row>
    <row r="56" spans="1:5" ht="10.5" x14ac:dyDescent="0.25">
      <c r="A56" s="18" t="s">
        <v>1508</v>
      </c>
    </row>
    <row r="57" spans="1:5" x14ac:dyDescent="0.2">
      <c r="A57" s="47" t="s">
        <v>1509</v>
      </c>
    </row>
  </sheetData>
  <mergeCells count="6">
    <mergeCell ref="A49:B49"/>
    <mergeCell ref="A1:G1"/>
    <mergeCell ref="A45:B45"/>
    <mergeCell ref="A46:B46"/>
    <mergeCell ref="A47:B47"/>
    <mergeCell ref="A48:B48"/>
  </mergeCells>
  <conditionalFormatting sqref="F2:F3 F5:F65536">
    <cfRule type="cellIs" dxfId="49" priority="1" stopIfTrue="1" operator="between">
      <formula>0.009</formula>
      <formula>-0.009</formula>
    </cfRule>
  </conditionalFormatting>
  <hyperlinks>
    <hyperlink ref="A57" r:id="rId1" xr:uid="{9DACD73B-9524-4869-9BD4-29657DC31E05}"/>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3"/>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692</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212</v>
      </c>
      <c r="B7" s="26" t="s">
        <v>213</v>
      </c>
      <c r="C7" s="26" t="s">
        <v>16</v>
      </c>
      <c r="D7" s="30">
        <v>47</v>
      </c>
      <c r="E7" s="28">
        <v>594.90296999999998</v>
      </c>
      <c r="F7" s="29">
        <v>12.055614128213399</v>
      </c>
      <c r="G7" s="28">
        <v>4.2008000000000001</v>
      </c>
    </row>
    <row r="8" spans="1:7" x14ac:dyDescent="0.2">
      <c r="A8" s="26" t="s">
        <v>323</v>
      </c>
      <c r="B8" s="26" t="s">
        <v>324</v>
      </c>
      <c r="C8" s="26" t="s">
        <v>209</v>
      </c>
      <c r="D8" s="30">
        <v>47</v>
      </c>
      <c r="E8" s="28">
        <v>492.21737000000002</v>
      </c>
      <c r="F8" s="29">
        <v>9.9747067659185493</v>
      </c>
      <c r="G8" s="28">
        <v>4.17</v>
      </c>
    </row>
    <row r="9" spans="1:7" x14ac:dyDescent="0.2">
      <c r="A9" s="26" t="s">
        <v>259</v>
      </c>
      <c r="B9" s="26" t="s">
        <v>260</v>
      </c>
      <c r="C9" s="26" t="s">
        <v>160</v>
      </c>
      <c r="D9" s="30">
        <v>38</v>
      </c>
      <c r="E9" s="28">
        <v>484.50076000000001</v>
      </c>
      <c r="F9" s="29">
        <v>9.8183308908108593</v>
      </c>
      <c r="G9" s="28">
        <v>5.7145999999999999</v>
      </c>
    </row>
    <row r="10" spans="1:7" x14ac:dyDescent="0.2">
      <c r="A10" s="26" t="s">
        <v>265</v>
      </c>
      <c r="B10" s="26" t="s">
        <v>266</v>
      </c>
      <c r="C10" s="26" t="s">
        <v>16</v>
      </c>
      <c r="D10" s="30">
        <v>47</v>
      </c>
      <c r="E10" s="28">
        <v>482.30930000000001</v>
      </c>
      <c r="F10" s="29">
        <v>9.7739213022397795</v>
      </c>
      <c r="G10" s="28">
        <v>3.665</v>
      </c>
    </row>
    <row r="11" spans="1:7" x14ac:dyDescent="0.2">
      <c r="A11" s="26" t="s">
        <v>214</v>
      </c>
      <c r="B11" s="26" t="s">
        <v>215</v>
      </c>
      <c r="C11" s="26" t="s">
        <v>16</v>
      </c>
      <c r="D11" s="30">
        <v>46</v>
      </c>
      <c r="E11" s="28">
        <v>477.99520000000001</v>
      </c>
      <c r="F11" s="29">
        <v>9.6864967514587903</v>
      </c>
      <c r="G11" s="28">
        <v>3.83</v>
      </c>
    </row>
    <row r="12" spans="1:7" x14ac:dyDescent="0.2">
      <c r="A12" s="26" t="s">
        <v>201</v>
      </c>
      <c r="B12" s="26" t="s">
        <v>202</v>
      </c>
      <c r="C12" s="26" t="s">
        <v>16</v>
      </c>
      <c r="D12" s="30">
        <v>45</v>
      </c>
      <c r="E12" s="28">
        <v>469.34190000000001</v>
      </c>
      <c r="F12" s="29">
        <v>9.51113900238642</v>
      </c>
      <c r="G12" s="28">
        <v>3.87</v>
      </c>
    </row>
    <row r="13" spans="1:7" x14ac:dyDescent="0.2">
      <c r="A13" s="26" t="s">
        <v>693</v>
      </c>
      <c r="B13" s="26" t="s">
        <v>694</v>
      </c>
      <c r="C13" s="26" t="s">
        <v>16</v>
      </c>
      <c r="D13" s="30">
        <v>35</v>
      </c>
      <c r="E13" s="28">
        <v>372.61559999999997</v>
      </c>
      <c r="F13" s="29">
        <v>7.5509959073707602</v>
      </c>
      <c r="G13" s="28">
        <v>4.79</v>
      </c>
    </row>
    <row r="14" spans="1:7" x14ac:dyDescent="0.2">
      <c r="A14" s="26" t="s">
        <v>688</v>
      </c>
      <c r="B14" s="26" t="s">
        <v>689</v>
      </c>
      <c r="C14" s="26" t="s">
        <v>16</v>
      </c>
      <c r="D14" s="30">
        <v>29</v>
      </c>
      <c r="E14" s="28">
        <v>367.87051000000002</v>
      </c>
      <c r="F14" s="29">
        <v>7.4548374127449204</v>
      </c>
      <c r="G14" s="28">
        <v>5.98</v>
      </c>
    </row>
    <row r="15" spans="1:7" x14ac:dyDescent="0.2">
      <c r="A15" s="26" t="s">
        <v>231</v>
      </c>
      <c r="B15" s="26" t="s">
        <v>232</v>
      </c>
      <c r="C15" s="26" t="s">
        <v>16</v>
      </c>
      <c r="D15" s="30">
        <v>24</v>
      </c>
      <c r="E15" s="28">
        <v>251.56728000000001</v>
      </c>
      <c r="F15" s="29">
        <v>5.09797094299969</v>
      </c>
      <c r="G15" s="28">
        <v>3.95</v>
      </c>
    </row>
    <row r="16" spans="1:7" x14ac:dyDescent="0.2">
      <c r="A16" s="26" t="s">
        <v>320</v>
      </c>
      <c r="B16" s="26" t="s">
        <v>321</v>
      </c>
      <c r="C16" s="26" t="s">
        <v>322</v>
      </c>
      <c r="D16" s="30">
        <v>22</v>
      </c>
      <c r="E16" s="28">
        <v>235.01918000000001</v>
      </c>
      <c r="F16" s="29">
        <v>4.7626263267926303</v>
      </c>
      <c r="G16" s="28">
        <v>3.8849999999999998</v>
      </c>
    </row>
    <row r="17" spans="1:9" x14ac:dyDescent="0.2">
      <c r="A17" s="26" t="s">
        <v>261</v>
      </c>
      <c r="B17" s="26" t="s">
        <v>262</v>
      </c>
      <c r="C17" s="26" t="s">
        <v>16</v>
      </c>
      <c r="D17" s="30">
        <v>10</v>
      </c>
      <c r="E17" s="28">
        <v>103.2654</v>
      </c>
      <c r="F17" s="29">
        <v>2.0926569171365998</v>
      </c>
      <c r="G17" s="28">
        <v>4.5350000000000001</v>
      </c>
    </row>
    <row r="18" spans="1:9" x14ac:dyDescent="0.2">
      <c r="A18" s="26" t="s">
        <v>197</v>
      </c>
      <c r="B18" s="26" t="s">
        <v>198</v>
      </c>
      <c r="C18" s="26" t="s">
        <v>16</v>
      </c>
      <c r="D18" s="30">
        <v>8</v>
      </c>
      <c r="E18" s="28">
        <v>83.764240000000001</v>
      </c>
      <c r="F18" s="29">
        <v>1.6974690094135101</v>
      </c>
      <c r="G18" s="28">
        <v>4.0650000000000004</v>
      </c>
    </row>
    <row r="19" spans="1:9" x14ac:dyDescent="0.2">
      <c r="A19" s="26" t="s">
        <v>675</v>
      </c>
      <c r="B19" s="26" t="s">
        <v>676</v>
      </c>
      <c r="C19" s="26" t="s">
        <v>13</v>
      </c>
      <c r="D19" s="30">
        <v>5</v>
      </c>
      <c r="E19" s="28">
        <v>62.857799999999997</v>
      </c>
      <c r="F19" s="29">
        <v>1.27380332585734</v>
      </c>
      <c r="G19" s="28">
        <v>5.4699</v>
      </c>
    </row>
    <row r="20" spans="1:9" x14ac:dyDescent="0.2">
      <c r="A20" s="26" t="s">
        <v>185</v>
      </c>
      <c r="B20" s="26" t="s">
        <v>186</v>
      </c>
      <c r="C20" s="26" t="s">
        <v>187</v>
      </c>
      <c r="D20" s="30">
        <v>6</v>
      </c>
      <c r="E20" s="28">
        <v>61.951320000000003</v>
      </c>
      <c r="F20" s="29">
        <v>1.2554336527408301</v>
      </c>
      <c r="G20" s="28">
        <v>5.7188999999999997</v>
      </c>
    </row>
    <row r="21" spans="1:9" x14ac:dyDescent="0.2">
      <c r="A21" s="26" t="s">
        <v>682</v>
      </c>
      <c r="B21" s="26" t="s">
        <v>683</v>
      </c>
      <c r="C21" s="26" t="s">
        <v>160</v>
      </c>
      <c r="D21" s="30">
        <v>4</v>
      </c>
      <c r="E21" s="28">
        <v>42.689520000000002</v>
      </c>
      <c r="F21" s="29">
        <v>0.86509633737187097</v>
      </c>
      <c r="G21" s="28">
        <v>4.9649000000000001</v>
      </c>
    </row>
    <row r="22" spans="1:9" x14ac:dyDescent="0.2">
      <c r="A22" s="26" t="s">
        <v>663</v>
      </c>
      <c r="B22" s="26" t="s">
        <v>664</v>
      </c>
      <c r="C22" s="26" t="s">
        <v>16</v>
      </c>
      <c r="D22" s="30">
        <v>1</v>
      </c>
      <c r="E22" s="28">
        <v>12.67083</v>
      </c>
      <c r="F22" s="29">
        <v>0.25677235594266801</v>
      </c>
      <c r="G22" s="28">
        <v>4.7149999999999999</v>
      </c>
    </row>
    <row r="23" spans="1:9" x14ac:dyDescent="0.2">
      <c r="A23" s="26" t="s">
        <v>191</v>
      </c>
      <c r="B23" s="26" t="s">
        <v>192</v>
      </c>
      <c r="C23" s="26" t="s">
        <v>180</v>
      </c>
      <c r="D23" s="30">
        <v>1</v>
      </c>
      <c r="E23" s="28">
        <v>10.363899999999999</v>
      </c>
      <c r="F23" s="29">
        <v>0.21002278617535</v>
      </c>
      <c r="G23" s="28">
        <v>5.8335999999999997</v>
      </c>
    </row>
    <row r="24" spans="1:9" ht="10.5" x14ac:dyDescent="0.25">
      <c r="A24" s="25" t="s">
        <v>17</v>
      </c>
      <c r="B24" s="25"/>
      <c r="C24" s="25"/>
      <c r="D24" s="31"/>
      <c r="E24" s="32">
        <f>SUM(E6:E23)</f>
        <v>4605.903080000001</v>
      </c>
      <c r="F24" s="33">
        <f>SUM(F6:F23)</f>
        <v>93.337893815573963</v>
      </c>
      <c r="G24" s="32"/>
      <c r="H24" s="18"/>
      <c r="I24" s="18"/>
    </row>
    <row r="25" spans="1:9" x14ac:dyDescent="0.2">
      <c r="A25" s="26"/>
      <c r="B25" s="26"/>
      <c r="C25" s="26"/>
      <c r="D25" s="27"/>
      <c r="E25" s="28"/>
      <c r="F25" s="29"/>
      <c r="G25" s="28"/>
    </row>
    <row r="26" spans="1:9" ht="10.5" x14ac:dyDescent="0.25">
      <c r="A26" s="25" t="s">
        <v>62</v>
      </c>
      <c r="B26" s="25"/>
      <c r="C26" s="25"/>
      <c r="D26" s="31"/>
      <c r="E26" s="32">
        <f>E24</f>
        <v>4605.903080000001</v>
      </c>
      <c r="F26" s="33">
        <f>F24</f>
        <v>93.337893815573963</v>
      </c>
      <c r="G26" s="32"/>
      <c r="H26" s="18"/>
      <c r="I26" s="18"/>
    </row>
    <row r="27" spans="1:9" ht="10.5" x14ac:dyDescent="0.25">
      <c r="A27" s="25"/>
      <c r="B27" s="25"/>
      <c r="C27" s="25"/>
      <c r="D27" s="31"/>
      <c r="E27" s="32"/>
      <c r="F27" s="33"/>
      <c r="G27" s="32"/>
      <c r="H27" s="18"/>
      <c r="I27" s="18"/>
    </row>
    <row r="28" spans="1:9" ht="10.5" x14ac:dyDescent="0.25">
      <c r="A28" s="25" t="s">
        <v>63</v>
      </c>
      <c r="B28" s="25"/>
      <c r="C28" s="25"/>
      <c r="D28" s="31"/>
      <c r="E28" s="32">
        <f>E30-(E24)</f>
        <v>328.75195849999909</v>
      </c>
      <c r="F28" s="33">
        <f>F30-(F24)</f>
        <v>6.6621061844260367</v>
      </c>
      <c r="G28" s="32"/>
      <c r="H28" s="18"/>
      <c r="I28" s="18"/>
    </row>
    <row r="29" spans="1:9" ht="10.5" x14ac:dyDescent="0.25">
      <c r="A29" s="25"/>
      <c r="B29" s="25"/>
      <c r="C29" s="25"/>
      <c r="D29" s="31"/>
      <c r="E29" s="32"/>
      <c r="F29" s="33"/>
      <c r="G29" s="32"/>
      <c r="H29" s="18"/>
      <c r="I29" s="18"/>
    </row>
    <row r="30" spans="1:9" ht="10.5" x14ac:dyDescent="0.25">
      <c r="A30" s="34" t="s">
        <v>64</v>
      </c>
      <c r="B30" s="34"/>
      <c r="C30" s="34"/>
      <c r="D30" s="35"/>
      <c r="E30" s="36">
        <v>4934.6550385</v>
      </c>
      <c r="F30" s="37">
        <v>100</v>
      </c>
      <c r="G30" s="36"/>
      <c r="H30" s="18"/>
      <c r="I30" s="18"/>
    </row>
    <row r="32" spans="1:9" ht="10.5" x14ac:dyDescent="0.25">
      <c r="A32" s="18" t="s">
        <v>66</v>
      </c>
    </row>
    <row r="34" spans="1:5" ht="10.5" x14ac:dyDescent="0.25">
      <c r="A34" s="18" t="s">
        <v>67</v>
      </c>
    </row>
    <row r="35" spans="1:5" ht="10.5" x14ac:dyDescent="0.25">
      <c r="A35" s="18" t="s">
        <v>68</v>
      </c>
    </row>
    <row r="36" spans="1:5" ht="10.5" x14ac:dyDescent="0.25">
      <c r="A36" s="18" t="s">
        <v>69</v>
      </c>
      <c r="B36" s="18"/>
      <c r="C36" s="38" t="s">
        <v>70</v>
      </c>
      <c r="D36" s="43" t="s">
        <v>71</v>
      </c>
    </row>
    <row r="37" spans="1:5" x14ac:dyDescent="0.2">
      <c r="A37" s="9" t="s">
        <v>98</v>
      </c>
      <c r="C37" s="39">
        <v>11.9009</v>
      </c>
      <c r="D37" s="39">
        <v>12.333</v>
      </c>
    </row>
    <row r="38" spans="1:5" x14ac:dyDescent="0.2">
      <c r="A38" s="9" t="s">
        <v>669</v>
      </c>
      <c r="C38" s="39">
        <v>11.072800000000001</v>
      </c>
      <c r="D38" s="39">
        <v>10.631600000000001</v>
      </c>
    </row>
    <row r="39" spans="1:5" x14ac:dyDescent="0.2">
      <c r="A39" s="9" t="s">
        <v>275</v>
      </c>
      <c r="C39" s="39">
        <v>10.657500000000001</v>
      </c>
      <c r="D39" s="39">
        <v>10.6187</v>
      </c>
    </row>
    <row r="40" spans="1:5" x14ac:dyDescent="0.2">
      <c r="A40" s="9" t="s">
        <v>101</v>
      </c>
      <c r="C40" s="39">
        <v>11.9573</v>
      </c>
      <c r="D40" s="39">
        <v>12.4101</v>
      </c>
    </row>
    <row r="42" spans="1:5" ht="10.5" x14ac:dyDescent="0.25">
      <c r="A42" s="18" t="s">
        <v>90</v>
      </c>
    </row>
    <row r="43" spans="1:5" ht="10.5" x14ac:dyDescent="0.25">
      <c r="A43" s="68" t="s">
        <v>91</v>
      </c>
      <c r="B43" s="69"/>
      <c r="C43" s="40" t="s">
        <v>92</v>
      </c>
    </row>
    <row r="44" spans="1:5" x14ac:dyDescent="0.2">
      <c r="A44" s="64" t="s">
        <v>669</v>
      </c>
      <c r="B44" s="65"/>
      <c r="C44" s="41">
        <v>0.84</v>
      </c>
    </row>
    <row r="45" spans="1:5" x14ac:dyDescent="0.2">
      <c r="A45" s="64" t="s">
        <v>275</v>
      </c>
      <c r="B45" s="65"/>
      <c r="C45" s="41">
        <v>0.42</v>
      </c>
    </row>
    <row r="46" spans="1:5" x14ac:dyDescent="0.2">
      <c r="A46" s="9" t="s">
        <v>93</v>
      </c>
    </row>
    <row r="48" spans="1:5" ht="10.5" x14ac:dyDescent="0.25">
      <c r="A48" s="18" t="s">
        <v>94</v>
      </c>
      <c r="D48" s="42">
        <v>1.04786932446575</v>
      </c>
      <c r="E48" s="13" t="s">
        <v>95</v>
      </c>
    </row>
    <row r="50" spans="1:4" ht="10.5" x14ac:dyDescent="0.25">
      <c r="A50" s="18" t="s">
        <v>1506</v>
      </c>
      <c r="D50" s="43" t="s">
        <v>96</v>
      </c>
    </row>
    <row r="52" spans="1:4" ht="10.5" x14ac:dyDescent="0.25">
      <c r="A52" s="18" t="s">
        <v>1508</v>
      </c>
    </row>
    <row r="53" spans="1:4" x14ac:dyDescent="0.2">
      <c r="A53" s="47" t="s">
        <v>1509</v>
      </c>
    </row>
  </sheetData>
  <mergeCells count="4">
    <mergeCell ref="A1:G1"/>
    <mergeCell ref="A43:B43"/>
    <mergeCell ref="A44:B44"/>
    <mergeCell ref="A45:B45"/>
  </mergeCells>
  <conditionalFormatting sqref="F2:F3 F5:F65536">
    <cfRule type="cellIs" dxfId="48" priority="1" stopIfTrue="1" operator="between">
      <formula>0.009</formula>
      <formula>-0.009</formula>
    </cfRule>
  </conditionalFormatting>
  <hyperlinks>
    <hyperlink ref="A53" r:id="rId1" xr:uid="{D59709A0-D714-448D-9C23-5D3907469A0D}"/>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2"/>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695</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259</v>
      </c>
      <c r="B7" s="26" t="s">
        <v>260</v>
      </c>
      <c r="C7" s="26" t="s">
        <v>160</v>
      </c>
      <c r="D7" s="30">
        <v>26</v>
      </c>
      <c r="E7" s="28">
        <v>331.50051999999999</v>
      </c>
      <c r="F7" s="29">
        <v>11.9051002453332</v>
      </c>
      <c r="G7" s="28">
        <v>5.7145999999999999</v>
      </c>
    </row>
    <row r="8" spans="1:7" x14ac:dyDescent="0.2">
      <c r="A8" s="26" t="s">
        <v>265</v>
      </c>
      <c r="B8" s="26" t="s">
        <v>266</v>
      </c>
      <c r="C8" s="26" t="s">
        <v>16</v>
      </c>
      <c r="D8" s="30">
        <v>28</v>
      </c>
      <c r="E8" s="28">
        <v>287.33319999999998</v>
      </c>
      <c r="F8" s="29">
        <v>10.318929665064701</v>
      </c>
      <c r="G8" s="28">
        <v>3.665</v>
      </c>
    </row>
    <row r="9" spans="1:7" x14ac:dyDescent="0.2">
      <c r="A9" s="26" t="s">
        <v>323</v>
      </c>
      <c r="B9" s="26" t="s">
        <v>324</v>
      </c>
      <c r="C9" s="26" t="s">
        <v>209</v>
      </c>
      <c r="D9" s="30">
        <v>27</v>
      </c>
      <c r="E9" s="28">
        <v>282.76317</v>
      </c>
      <c r="F9" s="29">
        <v>10.1548072520013</v>
      </c>
      <c r="G9" s="28">
        <v>4.17</v>
      </c>
    </row>
    <row r="10" spans="1:7" x14ac:dyDescent="0.2">
      <c r="A10" s="26" t="s">
        <v>690</v>
      </c>
      <c r="B10" s="26" t="s">
        <v>691</v>
      </c>
      <c r="C10" s="26" t="s">
        <v>160</v>
      </c>
      <c r="D10" s="30">
        <v>26</v>
      </c>
      <c r="E10" s="28">
        <v>274.30597999999998</v>
      </c>
      <c r="F10" s="29">
        <v>9.8510861756547605</v>
      </c>
      <c r="G10" s="28">
        <v>5.4146999999999998</v>
      </c>
    </row>
    <row r="11" spans="1:7" x14ac:dyDescent="0.2">
      <c r="A11" s="26" t="s">
        <v>245</v>
      </c>
      <c r="B11" s="26" t="s">
        <v>246</v>
      </c>
      <c r="C11" s="26" t="s">
        <v>209</v>
      </c>
      <c r="D11" s="30">
        <v>26</v>
      </c>
      <c r="E11" s="28">
        <v>273.17523999999997</v>
      </c>
      <c r="F11" s="29">
        <v>9.8104781758500899</v>
      </c>
      <c r="G11" s="28">
        <v>3.855</v>
      </c>
    </row>
    <row r="12" spans="1:7" x14ac:dyDescent="0.2">
      <c r="A12" s="26" t="s">
        <v>231</v>
      </c>
      <c r="B12" s="26" t="s">
        <v>232</v>
      </c>
      <c r="C12" s="26" t="s">
        <v>16</v>
      </c>
      <c r="D12" s="30">
        <v>26</v>
      </c>
      <c r="E12" s="28">
        <v>272.53122000000002</v>
      </c>
      <c r="F12" s="29">
        <v>9.7873496369868693</v>
      </c>
      <c r="G12" s="28">
        <v>3.95</v>
      </c>
    </row>
    <row r="13" spans="1:7" x14ac:dyDescent="0.2">
      <c r="A13" s="26" t="s">
        <v>214</v>
      </c>
      <c r="B13" s="26" t="s">
        <v>215</v>
      </c>
      <c r="C13" s="26" t="s">
        <v>16</v>
      </c>
      <c r="D13" s="30">
        <v>26</v>
      </c>
      <c r="E13" s="28">
        <v>270.1712</v>
      </c>
      <c r="F13" s="29">
        <v>9.7025947935223904</v>
      </c>
      <c r="G13" s="28">
        <v>3.83</v>
      </c>
    </row>
    <row r="14" spans="1:7" x14ac:dyDescent="0.2">
      <c r="A14" s="26" t="s">
        <v>191</v>
      </c>
      <c r="B14" s="26" t="s">
        <v>192</v>
      </c>
      <c r="C14" s="26" t="s">
        <v>180</v>
      </c>
      <c r="D14" s="30">
        <v>24</v>
      </c>
      <c r="E14" s="28">
        <v>248.7336</v>
      </c>
      <c r="F14" s="29">
        <v>8.9327113042918</v>
      </c>
      <c r="G14" s="28">
        <v>5.8335999999999997</v>
      </c>
    </row>
    <row r="15" spans="1:7" x14ac:dyDescent="0.2">
      <c r="A15" s="26" t="s">
        <v>688</v>
      </c>
      <c r="B15" s="26" t="s">
        <v>689</v>
      </c>
      <c r="C15" s="26" t="s">
        <v>16</v>
      </c>
      <c r="D15" s="30">
        <v>10</v>
      </c>
      <c r="E15" s="28">
        <v>126.8519</v>
      </c>
      <c r="F15" s="29">
        <v>4.5556024642464603</v>
      </c>
      <c r="G15" s="28">
        <v>5.98</v>
      </c>
    </row>
    <row r="16" spans="1:7" x14ac:dyDescent="0.2">
      <c r="A16" s="26" t="s">
        <v>673</v>
      </c>
      <c r="B16" s="26" t="s">
        <v>674</v>
      </c>
      <c r="C16" s="26" t="s">
        <v>16</v>
      </c>
      <c r="D16" s="30">
        <v>12</v>
      </c>
      <c r="E16" s="28">
        <v>125.11788</v>
      </c>
      <c r="F16" s="29">
        <v>4.4933290116213698</v>
      </c>
      <c r="G16" s="28">
        <v>3.8149999999999999</v>
      </c>
    </row>
    <row r="17" spans="1:9" x14ac:dyDescent="0.2">
      <c r="A17" s="26" t="s">
        <v>663</v>
      </c>
      <c r="B17" s="26" t="s">
        <v>664</v>
      </c>
      <c r="C17" s="26" t="s">
        <v>16</v>
      </c>
      <c r="D17" s="30">
        <v>2</v>
      </c>
      <c r="E17" s="28">
        <v>25.341660000000001</v>
      </c>
      <c r="F17" s="29">
        <v>0.91008907824081398</v>
      </c>
      <c r="G17" s="28">
        <v>4.7149999999999999</v>
      </c>
    </row>
    <row r="18" spans="1:9" x14ac:dyDescent="0.2">
      <c r="A18" s="26" t="s">
        <v>682</v>
      </c>
      <c r="B18" s="26" t="s">
        <v>683</v>
      </c>
      <c r="C18" s="26" t="s">
        <v>160</v>
      </c>
      <c r="D18" s="30">
        <v>2</v>
      </c>
      <c r="E18" s="28">
        <v>21.344760000000001</v>
      </c>
      <c r="F18" s="29">
        <v>0.76654934813549702</v>
      </c>
      <c r="G18" s="28">
        <v>4.9649000000000001</v>
      </c>
    </row>
    <row r="19" spans="1:9" ht="10.5" x14ac:dyDescent="0.25">
      <c r="A19" s="25" t="s">
        <v>17</v>
      </c>
      <c r="B19" s="25"/>
      <c r="C19" s="25"/>
      <c r="D19" s="31"/>
      <c r="E19" s="32">
        <f>SUM(E6:E18)</f>
        <v>2539.1703299999999</v>
      </c>
      <c r="F19" s="33">
        <f>SUM(F6:F18)</f>
        <v>91.188627150949259</v>
      </c>
      <c r="G19" s="32"/>
      <c r="H19" s="18"/>
      <c r="I19" s="18"/>
    </row>
    <row r="20" spans="1:9" x14ac:dyDescent="0.2">
      <c r="A20" s="26"/>
      <c r="B20" s="26"/>
      <c r="C20" s="26"/>
      <c r="D20" s="27"/>
      <c r="E20" s="28"/>
      <c r="F20" s="29"/>
      <c r="G20" s="28"/>
    </row>
    <row r="21" spans="1:9" ht="10.5" x14ac:dyDescent="0.25">
      <c r="A21" s="25" t="s">
        <v>62</v>
      </c>
      <c r="B21" s="25"/>
      <c r="C21" s="25"/>
      <c r="D21" s="31"/>
      <c r="E21" s="32">
        <f>E19</f>
        <v>2539.1703299999999</v>
      </c>
      <c r="F21" s="33">
        <f>F19</f>
        <v>91.188627150949259</v>
      </c>
      <c r="G21" s="32"/>
      <c r="H21" s="18"/>
      <c r="I21" s="18"/>
    </row>
    <row r="22" spans="1:9" ht="10.5" x14ac:dyDescent="0.25">
      <c r="A22" s="25"/>
      <c r="B22" s="25"/>
      <c r="C22" s="25"/>
      <c r="D22" s="31"/>
      <c r="E22" s="32"/>
      <c r="F22" s="33"/>
      <c r="G22" s="32"/>
      <c r="H22" s="18"/>
      <c r="I22" s="18"/>
    </row>
    <row r="23" spans="1:9" ht="10.5" x14ac:dyDescent="0.25">
      <c r="A23" s="25" t="s">
        <v>63</v>
      </c>
      <c r="B23" s="25"/>
      <c r="C23" s="25"/>
      <c r="D23" s="31"/>
      <c r="E23" s="32">
        <f>E25-(E19)</f>
        <v>245.35490010000012</v>
      </c>
      <c r="F23" s="33">
        <f>F25-(F19)</f>
        <v>8.8113728490507413</v>
      </c>
      <c r="G23" s="32"/>
      <c r="H23" s="18"/>
      <c r="I23" s="18"/>
    </row>
    <row r="24" spans="1:9" ht="10.5" x14ac:dyDescent="0.25">
      <c r="A24" s="25"/>
      <c r="B24" s="25"/>
      <c r="C24" s="25"/>
      <c r="D24" s="31"/>
      <c r="E24" s="32"/>
      <c r="F24" s="33"/>
      <c r="G24" s="32"/>
      <c r="H24" s="18"/>
      <c r="I24" s="18"/>
    </row>
    <row r="25" spans="1:9" ht="10.5" x14ac:dyDescent="0.25">
      <c r="A25" s="34" t="s">
        <v>64</v>
      </c>
      <c r="B25" s="34"/>
      <c r="C25" s="34"/>
      <c r="D25" s="35"/>
      <c r="E25" s="36">
        <v>2784.5252301</v>
      </c>
      <c r="F25" s="37">
        <v>100</v>
      </c>
      <c r="G25" s="36"/>
      <c r="H25" s="18"/>
      <c r="I25" s="18"/>
    </row>
    <row r="27" spans="1:9" ht="10.5" x14ac:dyDescent="0.25">
      <c r="A27" s="18" t="s">
        <v>66</v>
      </c>
    </row>
    <row r="29" spans="1:9" ht="10.5" x14ac:dyDescent="0.25">
      <c r="A29" s="18" t="s">
        <v>67</v>
      </c>
    </row>
    <row r="30" spans="1:9" ht="10.5" x14ac:dyDescent="0.25">
      <c r="A30" s="18" t="s">
        <v>68</v>
      </c>
    </row>
    <row r="31" spans="1:9" ht="10.5" x14ac:dyDescent="0.25">
      <c r="A31" s="18" t="s">
        <v>69</v>
      </c>
      <c r="B31" s="18"/>
      <c r="C31" s="38" t="s">
        <v>70</v>
      </c>
      <c r="D31" s="43" t="s">
        <v>71</v>
      </c>
    </row>
    <row r="32" spans="1:9" x14ac:dyDescent="0.2">
      <c r="A32" s="9" t="s">
        <v>98</v>
      </c>
      <c r="C32" s="39">
        <v>12.0482</v>
      </c>
      <c r="D32" s="39">
        <v>12.476699999999999</v>
      </c>
    </row>
    <row r="33" spans="1:5" x14ac:dyDescent="0.2">
      <c r="A33" s="9" t="s">
        <v>669</v>
      </c>
      <c r="C33" s="39">
        <v>11.1967</v>
      </c>
      <c r="D33" s="39">
        <v>10.667199999999999</v>
      </c>
    </row>
    <row r="34" spans="1:5" x14ac:dyDescent="0.2">
      <c r="A34" s="9" t="s">
        <v>275</v>
      </c>
      <c r="C34" s="39">
        <v>10.682700000000001</v>
      </c>
      <c r="D34" s="39">
        <v>10.6495</v>
      </c>
    </row>
    <row r="35" spans="1:5" x14ac:dyDescent="0.2">
      <c r="A35" s="9" t="s">
        <v>101</v>
      </c>
      <c r="C35" s="39">
        <v>12.108499999999999</v>
      </c>
      <c r="D35" s="39">
        <v>12.558199999999999</v>
      </c>
    </row>
    <row r="36" spans="1:5" x14ac:dyDescent="0.2">
      <c r="A36" s="9" t="s">
        <v>332</v>
      </c>
      <c r="C36" s="39">
        <v>11.2531</v>
      </c>
      <c r="D36" s="39">
        <v>10.7403</v>
      </c>
    </row>
    <row r="37" spans="1:5" x14ac:dyDescent="0.2">
      <c r="A37" s="9" t="s">
        <v>279</v>
      </c>
      <c r="C37" s="39">
        <v>10.7399</v>
      </c>
      <c r="D37" s="39">
        <v>10.725300000000001</v>
      </c>
    </row>
    <row r="39" spans="1:5" ht="10.5" x14ac:dyDescent="0.25">
      <c r="A39" s="18" t="s">
        <v>90</v>
      </c>
    </row>
    <row r="40" spans="1:5" ht="10.5" x14ac:dyDescent="0.25">
      <c r="A40" s="68" t="s">
        <v>91</v>
      </c>
      <c r="B40" s="69"/>
      <c r="C40" s="40" t="s">
        <v>92</v>
      </c>
    </row>
    <row r="41" spans="1:5" x14ac:dyDescent="0.2">
      <c r="A41" s="64" t="s">
        <v>669</v>
      </c>
      <c r="B41" s="65"/>
      <c r="C41" s="41">
        <v>0.92</v>
      </c>
    </row>
    <row r="42" spans="1:5" x14ac:dyDescent="0.2">
      <c r="A42" s="64" t="s">
        <v>275</v>
      </c>
      <c r="B42" s="65"/>
      <c r="C42" s="41">
        <v>0.40500000000000003</v>
      </c>
    </row>
    <row r="43" spans="1:5" x14ac:dyDescent="0.2">
      <c r="A43" s="64" t="s">
        <v>332</v>
      </c>
      <c r="B43" s="65"/>
      <c r="C43" s="41">
        <v>0.92</v>
      </c>
    </row>
    <row r="44" spans="1:5" x14ac:dyDescent="0.2">
      <c r="A44" s="64" t="s">
        <v>279</v>
      </c>
      <c r="B44" s="65"/>
      <c r="C44" s="41">
        <v>0.40500000000000003</v>
      </c>
    </row>
    <row r="45" spans="1:5" x14ac:dyDescent="0.2">
      <c r="A45" s="9" t="s">
        <v>93</v>
      </c>
    </row>
    <row r="47" spans="1:5" ht="10.5" x14ac:dyDescent="0.25">
      <c r="A47" s="18" t="s">
        <v>94</v>
      </c>
      <c r="D47" s="42">
        <v>0.99396557208219205</v>
      </c>
      <c r="E47" s="13" t="s">
        <v>95</v>
      </c>
    </row>
    <row r="49" spans="1:4" ht="10.5" x14ac:dyDescent="0.25">
      <c r="A49" s="18" t="s">
        <v>1506</v>
      </c>
      <c r="D49" s="43" t="s">
        <v>96</v>
      </c>
    </row>
    <row r="51" spans="1:4" ht="10.5" x14ac:dyDescent="0.25">
      <c r="A51" s="18" t="s">
        <v>1508</v>
      </c>
    </row>
    <row r="52" spans="1:4" x14ac:dyDescent="0.2">
      <c r="A52" s="47" t="s">
        <v>1509</v>
      </c>
    </row>
  </sheetData>
  <mergeCells count="6">
    <mergeCell ref="A44:B44"/>
    <mergeCell ref="A1:G1"/>
    <mergeCell ref="A40:B40"/>
    <mergeCell ref="A41:B41"/>
    <mergeCell ref="A42:B42"/>
    <mergeCell ref="A43:B43"/>
  </mergeCells>
  <conditionalFormatting sqref="F2:F3 F5:F65536">
    <cfRule type="cellIs" dxfId="47" priority="1" stopIfTrue="1" operator="between">
      <formula>0.009</formula>
      <formula>-0.009</formula>
    </cfRule>
  </conditionalFormatting>
  <hyperlinks>
    <hyperlink ref="A52" r:id="rId1" xr:uid="{F68A4A9B-DC80-4081-9551-EB0E23D8CCDC}"/>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0"/>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696</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259</v>
      </c>
      <c r="B7" s="26" t="s">
        <v>260</v>
      </c>
      <c r="C7" s="26" t="s">
        <v>160</v>
      </c>
      <c r="D7" s="30">
        <v>50</v>
      </c>
      <c r="E7" s="28">
        <v>637.50099999999998</v>
      </c>
      <c r="F7" s="29">
        <v>11.965385382103999</v>
      </c>
      <c r="G7" s="28">
        <v>5.7145999999999999</v>
      </c>
    </row>
    <row r="8" spans="1:7" x14ac:dyDescent="0.2">
      <c r="A8" s="26" t="s">
        <v>231</v>
      </c>
      <c r="B8" s="26" t="s">
        <v>232</v>
      </c>
      <c r="C8" s="26" t="s">
        <v>16</v>
      </c>
      <c r="D8" s="30">
        <v>50</v>
      </c>
      <c r="E8" s="28">
        <v>524.09849999999994</v>
      </c>
      <c r="F8" s="29">
        <v>9.8369108921909696</v>
      </c>
      <c r="G8" s="28">
        <v>3.95</v>
      </c>
    </row>
    <row r="9" spans="1:7" x14ac:dyDescent="0.2">
      <c r="A9" s="26" t="s">
        <v>323</v>
      </c>
      <c r="B9" s="26" t="s">
        <v>324</v>
      </c>
      <c r="C9" s="26" t="s">
        <v>209</v>
      </c>
      <c r="D9" s="30">
        <v>50</v>
      </c>
      <c r="E9" s="28">
        <v>523.63549999999998</v>
      </c>
      <c r="F9" s="29">
        <v>9.8282207514195701</v>
      </c>
      <c r="G9" s="28">
        <v>4.17</v>
      </c>
    </row>
    <row r="10" spans="1:7" x14ac:dyDescent="0.2">
      <c r="A10" s="26" t="s">
        <v>697</v>
      </c>
      <c r="B10" s="26" t="s">
        <v>698</v>
      </c>
      <c r="C10" s="26" t="s">
        <v>16</v>
      </c>
      <c r="D10" s="30">
        <v>50</v>
      </c>
      <c r="E10" s="28">
        <v>521.79300000000001</v>
      </c>
      <c r="F10" s="29">
        <v>9.7936384957579694</v>
      </c>
      <c r="G10" s="28">
        <v>4.2</v>
      </c>
    </row>
    <row r="11" spans="1:7" x14ac:dyDescent="0.2">
      <c r="A11" s="26" t="s">
        <v>699</v>
      </c>
      <c r="B11" s="26" t="s">
        <v>700</v>
      </c>
      <c r="C11" s="26" t="s">
        <v>16</v>
      </c>
      <c r="D11" s="30">
        <v>50</v>
      </c>
      <c r="E11" s="28">
        <v>516.16549999999995</v>
      </c>
      <c r="F11" s="29">
        <v>9.6880148085201601</v>
      </c>
      <c r="G11" s="28">
        <v>3.8149000000000002</v>
      </c>
    </row>
    <row r="12" spans="1:7" x14ac:dyDescent="0.2">
      <c r="A12" s="26" t="s">
        <v>320</v>
      </c>
      <c r="B12" s="26" t="s">
        <v>321</v>
      </c>
      <c r="C12" s="26" t="s">
        <v>322</v>
      </c>
      <c r="D12" s="30">
        <v>48</v>
      </c>
      <c r="E12" s="28">
        <v>512.76912000000004</v>
      </c>
      <c r="F12" s="29">
        <v>9.6242674644311705</v>
      </c>
      <c r="G12" s="28">
        <v>3.8849999999999998</v>
      </c>
    </row>
    <row r="13" spans="1:7" x14ac:dyDescent="0.2">
      <c r="A13" s="26" t="s">
        <v>214</v>
      </c>
      <c r="B13" s="26" t="s">
        <v>215</v>
      </c>
      <c r="C13" s="26" t="s">
        <v>16</v>
      </c>
      <c r="D13" s="30">
        <v>49</v>
      </c>
      <c r="E13" s="28">
        <v>509.16879999999998</v>
      </c>
      <c r="F13" s="29">
        <v>9.5566923291782206</v>
      </c>
      <c r="G13" s="28">
        <v>3.83</v>
      </c>
    </row>
    <row r="14" spans="1:7" x14ac:dyDescent="0.2">
      <c r="A14" s="26" t="s">
        <v>245</v>
      </c>
      <c r="B14" s="26" t="s">
        <v>246</v>
      </c>
      <c r="C14" s="26" t="s">
        <v>209</v>
      </c>
      <c r="D14" s="30">
        <v>20</v>
      </c>
      <c r="E14" s="28">
        <v>210.13480000000001</v>
      </c>
      <c r="F14" s="29">
        <v>3.9440626198097699</v>
      </c>
      <c r="G14" s="28">
        <v>3.855</v>
      </c>
    </row>
    <row r="15" spans="1:7" x14ac:dyDescent="0.2">
      <c r="A15" s="26" t="s">
        <v>690</v>
      </c>
      <c r="B15" s="26" t="s">
        <v>691</v>
      </c>
      <c r="C15" s="26" t="s">
        <v>160</v>
      </c>
      <c r="D15" s="30">
        <v>15</v>
      </c>
      <c r="E15" s="28">
        <v>158.25344999999999</v>
      </c>
      <c r="F15" s="29">
        <v>2.9702910541278</v>
      </c>
      <c r="G15" s="28">
        <v>5.4146999999999998</v>
      </c>
    </row>
    <row r="16" spans="1:7" x14ac:dyDescent="0.2">
      <c r="A16" s="26" t="s">
        <v>682</v>
      </c>
      <c r="B16" s="26" t="s">
        <v>683</v>
      </c>
      <c r="C16" s="26" t="s">
        <v>160</v>
      </c>
      <c r="D16" s="30">
        <v>6</v>
      </c>
      <c r="E16" s="28">
        <v>64.034279999999995</v>
      </c>
      <c r="F16" s="29">
        <v>1.2018723701853899</v>
      </c>
      <c r="G16" s="28">
        <v>4.9649000000000001</v>
      </c>
    </row>
    <row r="17" spans="1:9" x14ac:dyDescent="0.2">
      <c r="A17" s="26" t="s">
        <v>673</v>
      </c>
      <c r="B17" s="26" t="s">
        <v>674</v>
      </c>
      <c r="C17" s="26" t="s">
        <v>16</v>
      </c>
      <c r="D17" s="30">
        <v>4</v>
      </c>
      <c r="E17" s="28">
        <v>41.705959999999997</v>
      </c>
      <c r="F17" s="29">
        <v>0.782787609949811</v>
      </c>
      <c r="G17" s="28">
        <v>3.8149999999999999</v>
      </c>
    </row>
    <row r="18" spans="1:9" x14ac:dyDescent="0.2">
      <c r="A18" s="26" t="s">
        <v>659</v>
      </c>
      <c r="B18" s="26" t="s">
        <v>660</v>
      </c>
      <c r="C18" s="26" t="s">
        <v>16</v>
      </c>
      <c r="D18" s="30">
        <v>3</v>
      </c>
      <c r="E18" s="28">
        <v>38.669130000000003</v>
      </c>
      <c r="F18" s="29">
        <v>0.72578873263050503</v>
      </c>
      <c r="G18" s="28">
        <v>4.5949</v>
      </c>
    </row>
    <row r="19" spans="1:9" x14ac:dyDescent="0.2">
      <c r="A19" s="26" t="s">
        <v>663</v>
      </c>
      <c r="B19" s="26" t="s">
        <v>664</v>
      </c>
      <c r="C19" s="26" t="s">
        <v>16</v>
      </c>
      <c r="D19" s="30">
        <v>3</v>
      </c>
      <c r="E19" s="28">
        <v>38.01249</v>
      </c>
      <c r="F19" s="29">
        <v>0.71346412348117905</v>
      </c>
      <c r="G19" s="28">
        <v>4.7149999999999999</v>
      </c>
    </row>
    <row r="20" spans="1:9" x14ac:dyDescent="0.2">
      <c r="A20" s="26" t="s">
        <v>675</v>
      </c>
      <c r="B20" s="26" t="s">
        <v>676</v>
      </c>
      <c r="C20" s="26" t="s">
        <v>13</v>
      </c>
      <c r="D20" s="30">
        <v>3</v>
      </c>
      <c r="E20" s="28">
        <v>37.714680000000001</v>
      </c>
      <c r="F20" s="29">
        <v>0.70787446727570702</v>
      </c>
      <c r="G20" s="28">
        <v>5.4699</v>
      </c>
    </row>
    <row r="21" spans="1:9" x14ac:dyDescent="0.2">
      <c r="A21" s="26" t="s">
        <v>239</v>
      </c>
      <c r="B21" s="26" t="s">
        <v>240</v>
      </c>
      <c r="C21" s="26" t="s">
        <v>209</v>
      </c>
      <c r="D21" s="30">
        <v>2</v>
      </c>
      <c r="E21" s="28">
        <v>20.688120000000001</v>
      </c>
      <c r="F21" s="29">
        <v>0.388299514245803</v>
      </c>
      <c r="G21" s="28">
        <v>3.75</v>
      </c>
    </row>
    <row r="22" spans="1:9" x14ac:dyDescent="0.2">
      <c r="A22" s="26" t="s">
        <v>185</v>
      </c>
      <c r="B22" s="26" t="s">
        <v>186</v>
      </c>
      <c r="C22" s="26" t="s">
        <v>187</v>
      </c>
      <c r="D22" s="30">
        <v>1</v>
      </c>
      <c r="E22" s="28">
        <v>10.32522</v>
      </c>
      <c r="F22" s="29">
        <v>0.19379614534723599</v>
      </c>
      <c r="G22" s="28">
        <v>5.7188999999999997</v>
      </c>
    </row>
    <row r="23" spans="1:9" ht="10.5" x14ac:dyDescent="0.25">
      <c r="A23" s="25" t="s">
        <v>17</v>
      </c>
      <c r="B23" s="25"/>
      <c r="C23" s="25"/>
      <c r="D23" s="31"/>
      <c r="E23" s="32">
        <f>SUM(E6:E22)</f>
        <v>4364.6695499999996</v>
      </c>
      <c r="F23" s="33">
        <f>SUM(F6:F22)</f>
        <v>81.921366760655232</v>
      </c>
      <c r="G23" s="32"/>
      <c r="H23" s="18"/>
      <c r="I23" s="18"/>
    </row>
    <row r="24" spans="1:9" x14ac:dyDescent="0.2">
      <c r="A24" s="26"/>
      <c r="B24" s="26"/>
      <c r="C24" s="26"/>
      <c r="D24" s="27"/>
      <c r="E24" s="28"/>
      <c r="F24" s="29"/>
      <c r="G24" s="28"/>
    </row>
    <row r="25" spans="1:9" ht="10.5" x14ac:dyDescent="0.25">
      <c r="A25" s="25" t="s">
        <v>269</v>
      </c>
      <c r="B25" s="26"/>
      <c r="C25" s="26"/>
      <c r="D25" s="27"/>
      <c r="E25" s="28"/>
      <c r="F25" s="29"/>
      <c r="G25" s="28"/>
    </row>
    <row r="26" spans="1:9" x14ac:dyDescent="0.2">
      <c r="A26" s="26" t="s">
        <v>701</v>
      </c>
      <c r="B26" s="26" t="s">
        <v>702</v>
      </c>
      <c r="C26" s="26" t="s">
        <v>16</v>
      </c>
      <c r="D26" s="30">
        <v>50</v>
      </c>
      <c r="E26" s="28">
        <v>519.93550000000005</v>
      </c>
      <c r="F26" s="29">
        <v>9.7587747020584104</v>
      </c>
      <c r="G26" s="28">
        <v>4.7899000000000003</v>
      </c>
    </row>
    <row r="27" spans="1:9" ht="10.5" x14ac:dyDescent="0.25">
      <c r="A27" s="25" t="s">
        <v>17</v>
      </c>
      <c r="B27" s="25"/>
      <c r="C27" s="25"/>
      <c r="D27" s="31"/>
      <c r="E27" s="32">
        <f>SUM(E25:E26)</f>
        <v>519.93550000000005</v>
      </c>
      <c r="F27" s="33">
        <f>SUM(F25:F26)</f>
        <v>9.7587747020584104</v>
      </c>
      <c r="G27" s="32"/>
      <c r="H27" s="18"/>
      <c r="I27" s="18"/>
    </row>
    <row r="28" spans="1:9" x14ac:dyDescent="0.2">
      <c r="A28" s="26"/>
      <c r="B28" s="26"/>
      <c r="C28" s="26"/>
      <c r="D28" s="27"/>
      <c r="E28" s="28"/>
      <c r="F28" s="29"/>
      <c r="G28" s="28"/>
    </row>
    <row r="29" spans="1:9" ht="10.5" x14ac:dyDescent="0.25">
      <c r="A29" s="25" t="s">
        <v>62</v>
      </c>
      <c r="B29" s="25"/>
      <c r="C29" s="25"/>
      <c r="D29" s="31"/>
      <c r="E29" s="32">
        <f>E23+E27</f>
        <v>4884.6050500000001</v>
      </c>
      <c r="F29" s="33">
        <f>F23+F27</f>
        <v>91.680141462713635</v>
      </c>
      <c r="G29" s="32"/>
      <c r="H29" s="18"/>
      <c r="I29" s="18"/>
    </row>
    <row r="30" spans="1:9" ht="10.5" x14ac:dyDescent="0.25">
      <c r="A30" s="25"/>
      <c r="B30" s="25"/>
      <c r="C30" s="25"/>
      <c r="D30" s="31"/>
      <c r="E30" s="32"/>
      <c r="F30" s="33"/>
      <c r="G30" s="32"/>
      <c r="H30" s="18"/>
      <c r="I30" s="18"/>
    </row>
    <row r="31" spans="1:9" ht="10.5" x14ac:dyDescent="0.25">
      <c r="A31" s="25" t="s">
        <v>63</v>
      </c>
      <c r="B31" s="25"/>
      <c r="C31" s="25"/>
      <c r="D31" s="31"/>
      <c r="E31" s="32">
        <f>E33-(E23+E27)</f>
        <v>443.27181849999943</v>
      </c>
      <c r="F31" s="33">
        <f>F33-(F23+F27)</f>
        <v>8.3198585372863647</v>
      </c>
      <c r="G31" s="32"/>
      <c r="H31" s="18"/>
      <c r="I31" s="18"/>
    </row>
    <row r="32" spans="1:9" ht="10.5" x14ac:dyDescent="0.25">
      <c r="A32" s="25"/>
      <c r="B32" s="25"/>
      <c r="C32" s="25"/>
      <c r="D32" s="31"/>
      <c r="E32" s="32"/>
      <c r="F32" s="33"/>
      <c r="G32" s="32"/>
      <c r="H32" s="18"/>
      <c r="I32" s="18"/>
    </row>
    <row r="33" spans="1:9" ht="10.5" x14ac:dyDescent="0.25">
      <c r="A33" s="34" t="s">
        <v>64</v>
      </c>
      <c r="B33" s="34"/>
      <c r="C33" s="34"/>
      <c r="D33" s="35"/>
      <c r="E33" s="36">
        <v>5327.8768684999995</v>
      </c>
      <c r="F33" s="37">
        <v>100</v>
      </c>
      <c r="G33" s="36"/>
      <c r="H33" s="18"/>
      <c r="I33" s="18"/>
    </row>
    <row r="35" spans="1:9" ht="10.5" x14ac:dyDescent="0.25">
      <c r="A35" s="18" t="s">
        <v>66</v>
      </c>
    </row>
    <row r="37" spans="1:9" ht="10.5" x14ac:dyDescent="0.25">
      <c r="A37" s="18" t="s">
        <v>67</v>
      </c>
    </row>
    <row r="38" spans="1:9" ht="10.5" x14ac:dyDescent="0.25">
      <c r="A38" s="18" t="s">
        <v>68</v>
      </c>
    </row>
    <row r="39" spans="1:9" ht="10.5" x14ac:dyDescent="0.25">
      <c r="A39" s="18" t="s">
        <v>69</v>
      </c>
      <c r="B39" s="18"/>
      <c r="C39" s="38" t="s">
        <v>70</v>
      </c>
      <c r="D39" s="43" t="s">
        <v>71</v>
      </c>
    </row>
    <row r="40" spans="1:9" x14ac:dyDescent="0.2">
      <c r="A40" s="9" t="s">
        <v>98</v>
      </c>
      <c r="C40" s="39">
        <v>11.992800000000001</v>
      </c>
      <c r="D40" s="39">
        <v>12.4687</v>
      </c>
    </row>
    <row r="41" spans="1:9" x14ac:dyDescent="0.2">
      <c r="A41" s="9" t="s">
        <v>669</v>
      </c>
      <c r="C41" s="39">
        <v>11.175700000000001</v>
      </c>
      <c r="D41" s="39">
        <v>10.7225</v>
      </c>
    </row>
    <row r="42" spans="1:9" x14ac:dyDescent="0.2">
      <c r="A42" s="9" t="s">
        <v>275</v>
      </c>
      <c r="C42" s="39">
        <v>10.712400000000001</v>
      </c>
      <c r="D42" s="39">
        <v>10.700799999999999</v>
      </c>
    </row>
    <row r="43" spans="1:9" x14ac:dyDescent="0.2">
      <c r="A43" s="9" t="s">
        <v>101</v>
      </c>
      <c r="C43" s="39">
        <v>12.1195</v>
      </c>
      <c r="D43" s="39">
        <v>12.6005</v>
      </c>
    </row>
    <row r="44" spans="1:9" x14ac:dyDescent="0.2">
      <c r="A44" s="9" t="s">
        <v>332</v>
      </c>
      <c r="C44" s="39">
        <v>11.192</v>
      </c>
      <c r="D44" s="39">
        <v>10.737299999999999</v>
      </c>
    </row>
    <row r="45" spans="1:9" x14ac:dyDescent="0.2">
      <c r="A45" s="9" t="s">
        <v>279</v>
      </c>
      <c r="C45" s="39">
        <v>10.7392</v>
      </c>
      <c r="D45" s="39">
        <v>10.7277</v>
      </c>
    </row>
    <row r="47" spans="1:9" ht="10.5" x14ac:dyDescent="0.25">
      <c r="A47" s="18" t="s">
        <v>90</v>
      </c>
    </row>
    <row r="48" spans="1:9" ht="10.5" x14ac:dyDescent="0.25">
      <c r="A48" s="68" t="s">
        <v>91</v>
      </c>
      <c r="B48" s="69"/>
      <c r="C48" s="40" t="s">
        <v>92</v>
      </c>
    </row>
    <row r="49" spans="1:5" x14ac:dyDescent="0.2">
      <c r="A49" s="64" t="s">
        <v>669</v>
      </c>
      <c r="B49" s="65"/>
      <c r="C49" s="41">
        <v>0.89</v>
      </c>
    </row>
    <row r="50" spans="1:5" x14ac:dyDescent="0.2">
      <c r="A50" s="64" t="s">
        <v>275</v>
      </c>
      <c r="B50" s="65"/>
      <c r="C50" s="41">
        <v>0.43</v>
      </c>
    </row>
    <row r="51" spans="1:5" x14ac:dyDescent="0.2">
      <c r="A51" s="64" t="s">
        <v>332</v>
      </c>
      <c r="B51" s="65"/>
      <c r="C51" s="41">
        <v>0.89</v>
      </c>
    </row>
    <row r="52" spans="1:5" x14ac:dyDescent="0.2">
      <c r="A52" s="64" t="s">
        <v>279</v>
      </c>
      <c r="B52" s="65"/>
      <c r="C52" s="41">
        <v>0.43</v>
      </c>
    </row>
    <row r="53" spans="1:5" x14ac:dyDescent="0.2">
      <c r="A53" s="9" t="s">
        <v>93</v>
      </c>
    </row>
    <row r="55" spans="1:5" ht="10.5" x14ac:dyDescent="0.25">
      <c r="A55" s="18" t="s">
        <v>94</v>
      </c>
      <c r="D55" s="42">
        <v>1.0165420626575301</v>
      </c>
      <c r="E55" s="13" t="s">
        <v>95</v>
      </c>
    </row>
    <row r="57" spans="1:5" ht="10.5" x14ac:dyDescent="0.25">
      <c r="A57" s="18" t="s">
        <v>1506</v>
      </c>
      <c r="D57" s="43" t="s">
        <v>96</v>
      </c>
    </row>
    <row r="59" spans="1:5" ht="10.5" x14ac:dyDescent="0.25">
      <c r="A59" s="18" t="s">
        <v>1508</v>
      </c>
    </row>
    <row r="60" spans="1:5" x14ac:dyDescent="0.2">
      <c r="A60" s="47" t="s">
        <v>1509</v>
      </c>
    </row>
  </sheetData>
  <mergeCells count="6">
    <mergeCell ref="A52:B52"/>
    <mergeCell ref="A1:G1"/>
    <mergeCell ref="A48:B48"/>
    <mergeCell ref="A49:B49"/>
    <mergeCell ref="A50:B50"/>
    <mergeCell ref="A51:B51"/>
  </mergeCells>
  <conditionalFormatting sqref="F2:F3 F5:F65536">
    <cfRule type="cellIs" dxfId="46" priority="1" stopIfTrue="1" operator="between">
      <formula>0.009</formula>
      <formula>-0.009</formula>
    </cfRule>
  </conditionalFormatting>
  <hyperlinks>
    <hyperlink ref="A60" r:id="rId1" xr:uid="{E3DFDCBF-41BB-4DAE-8DAF-08F402E96729}"/>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60"/>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703</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253</v>
      </c>
      <c r="B7" s="26" t="s">
        <v>254</v>
      </c>
      <c r="C7" s="26" t="s">
        <v>209</v>
      </c>
      <c r="D7" s="30">
        <v>31</v>
      </c>
      <c r="E7" s="28">
        <v>319.99936000000002</v>
      </c>
      <c r="F7" s="29">
        <v>9.8427548244781509</v>
      </c>
      <c r="G7" s="28">
        <v>3.5949</v>
      </c>
    </row>
    <row r="8" spans="1:7" x14ac:dyDescent="0.2">
      <c r="A8" s="26" t="s">
        <v>247</v>
      </c>
      <c r="B8" s="26" t="s">
        <v>248</v>
      </c>
      <c r="C8" s="26" t="s">
        <v>16</v>
      </c>
      <c r="D8" s="30">
        <v>31</v>
      </c>
      <c r="E8" s="28">
        <v>317.18301000000002</v>
      </c>
      <c r="F8" s="29">
        <v>9.7561276432552901</v>
      </c>
      <c r="G8" s="28">
        <v>3.59</v>
      </c>
    </row>
    <row r="9" spans="1:7" x14ac:dyDescent="0.2">
      <c r="A9" s="26" t="s">
        <v>704</v>
      </c>
      <c r="B9" s="26" t="s">
        <v>705</v>
      </c>
      <c r="C9" s="26" t="s">
        <v>16</v>
      </c>
      <c r="D9" s="30">
        <v>31</v>
      </c>
      <c r="E9" s="28">
        <v>316.11475000000002</v>
      </c>
      <c r="F9" s="29">
        <v>9.72326938607379</v>
      </c>
      <c r="G9" s="28">
        <v>3.5798999999999999</v>
      </c>
    </row>
    <row r="10" spans="1:7" x14ac:dyDescent="0.2">
      <c r="A10" s="26" t="s">
        <v>214</v>
      </c>
      <c r="B10" s="26" t="s">
        <v>215</v>
      </c>
      <c r="C10" s="26" t="s">
        <v>16</v>
      </c>
      <c r="D10" s="30">
        <v>30</v>
      </c>
      <c r="E10" s="28">
        <v>311.73599999999999</v>
      </c>
      <c r="F10" s="29">
        <v>9.5885848583057207</v>
      </c>
      <c r="G10" s="28">
        <v>3.83</v>
      </c>
    </row>
    <row r="11" spans="1:7" x14ac:dyDescent="0.2">
      <c r="A11" s="26" t="s">
        <v>646</v>
      </c>
      <c r="B11" s="26" t="s">
        <v>647</v>
      </c>
      <c r="C11" s="26" t="s">
        <v>209</v>
      </c>
      <c r="D11" s="30">
        <v>26</v>
      </c>
      <c r="E11" s="28">
        <v>267.84186</v>
      </c>
      <c r="F11" s="29">
        <v>8.23845947601958</v>
      </c>
      <c r="G11" s="28">
        <v>4.6524000000000001</v>
      </c>
    </row>
    <row r="12" spans="1:7" x14ac:dyDescent="0.2">
      <c r="A12" s="26" t="s">
        <v>589</v>
      </c>
      <c r="B12" s="26" t="s">
        <v>590</v>
      </c>
      <c r="C12" s="26" t="s">
        <v>16</v>
      </c>
      <c r="D12" s="30">
        <v>22</v>
      </c>
      <c r="E12" s="28">
        <v>224.92403999999999</v>
      </c>
      <c r="F12" s="29">
        <v>6.9183643987635399</v>
      </c>
      <c r="G12" s="28">
        <v>3.7401</v>
      </c>
    </row>
    <row r="13" spans="1:7" x14ac:dyDescent="0.2">
      <c r="A13" s="26" t="s">
        <v>237</v>
      </c>
      <c r="B13" s="26" t="s">
        <v>238</v>
      </c>
      <c r="C13" s="26" t="s">
        <v>209</v>
      </c>
      <c r="D13" s="30">
        <v>16</v>
      </c>
      <c r="E13" s="28">
        <v>202.22512</v>
      </c>
      <c r="F13" s="29">
        <v>6.2201758013224602</v>
      </c>
      <c r="G13" s="28">
        <v>5.0650000000000004</v>
      </c>
    </row>
    <row r="14" spans="1:7" x14ac:dyDescent="0.2">
      <c r="A14" s="26" t="s">
        <v>706</v>
      </c>
      <c r="B14" s="26" t="s">
        <v>707</v>
      </c>
      <c r="C14" s="26" t="s">
        <v>209</v>
      </c>
      <c r="D14" s="30">
        <v>19</v>
      </c>
      <c r="E14" s="28">
        <v>195.18643</v>
      </c>
      <c r="F14" s="29">
        <v>6.0036750559600103</v>
      </c>
      <c r="G14" s="28">
        <v>3.67</v>
      </c>
    </row>
    <row r="15" spans="1:7" x14ac:dyDescent="0.2">
      <c r="A15" s="26" t="s">
        <v>708</v>
      </c>
      <c r="B15" s="26" t="s">
        <v>709</v>
      </c>
      <c r="C15" s="26" t="s">
        <v>16</v>
      </c>
      <c r="D15" s="30">
        <v>19</v>
      </c>
      <c r="E15" s="28">
        <v>195.05627999999999</v>
      </c>
      <c r="F15" s="29">
        <v>5.9996718150147599</v>
      </c>
      <c r="G15" s="28">
        <v>3.61</v>
      </c>
    </row>
    <row r="16" spans="1:7" x14ac:dyDescent="0.2">
      <c r="A16" s="26" t="s">
        <v>710</v>
      </c>
      <c r="B16" s="26" t="s">
        <v>711</v>
      </c>
      <c r="C16" s="26" t="s">
        <v>16</v>
      </c>
      <c r="D16" s="30">
        <v>20</v>
      </c>
      <c r="E16" s="28">
        <v>194.89599999999999</v>
      </c>
      <c r="F16" s="29">
        <v>5.9947418153320502</v>
      </c>
      <c r="G16" s="28">
        <v>3.95</v>
      </c>
    </row>
    <row r="17" spans="1:9" x14ac:dyDescent="0.2">
      <c r="A17" s="26" t="s">
        <v>712</v>
      </c>
      <c r="B17" s="26" t="s">
        <v>713</v>
      </c>
      <c r="C17" s="26" t="s">
        <v>16</v>
      </c>
      <c r="D17" s="30">
        <v>16</v>
      </c>
      <c r="E17" s="28">
        <v>162.12672000000001</v>
      </c>
      <c r="F17" s="29">
        <v>4.9868023344072299</v>
      </c>
      <c r="G17" s="28">
        <v>3.5124</v>
      </c>
    </row>
    <row r="18" spans="1:9" x14ac:dyDescent="0.2">
      <c r="A18" s="26" t="s">
        <v>648</v>
      </c>
      <c r="B18" s="26" t="s">
        <v>649</v>
      </c>
      <c r="C18" s="26" t="s">
        <v>16</v>
      </c>
      <c r="D18" s="30">
        <v>1</v>
      </c>
      <c r="E18" s="28">
        <v>100.9057</v>
      </c>
      <c r="F18" s="29">
        <v>3.1037251621138999</v>
      </c>
      <c r="G18" s="28">
        <v>3.1598999999999999</v>
      </c>
    </row>
    <row r="19" spans="1:9" x14ac:dyDescent="0.2">
      <c r="A19" s="26" t="s">
        <v>714</v>
      </c>
      <c r="B19" s="26" t="s">
        <v>715</v>
      </c>
      <c r="C19" s="26" t="s">
        <v>13</v>
      </c>
      <c r="D19" s="30">
        <v>7</v>
      </c>
      <c r="E19" s="28">
        <v>87.670310000000001</v>
      </c>
      <c r="F19" s="29">
        <v>2.69662216423181</v>
      </c>
      <c r="G19" s="28">
        <v>4.7748999999999997</v>
      </c>
    </row>
    <row r="20" spans="1:9" ht="10.5" x14ac:dyDescent="0.25">
      <c r="A20" s="25" t="s">
        <v>17</v>
      </c>
      <c r="B20" s="25"/>
      <c r="C20" s="25"/>
      <c r="D20" s="31"/>
      <c r="E20" s="32">
        <f>SUM(E6:E19)</f>
        <v>2895.8655800000001</v>
      </c>
      <c r="F20" s="33">
        <f>SUM(F6:F19)</f>
        <v>89.072974735278294</v>
      </c>
      <c r="G20" s="32"/>
      <c r="H20" s="18"/>
      <c r="I20" s="18"/>
    </row>
    <row r="21" spans="1:9" x14ac:dyDescent="0.2">
      <c r="A21" s="26"/>
      <c r="B21" s="26"/>
      <c r="C21" s="26"/>
      <c r="D21" s="27"/>
      <c r="E21" s="28"/>
      <c r="F21" s="29"/>
      <c r="G21" s="28"/>
    </row>
    <row r="22" spans="1:9" ht="10.5" x14ac:dyDescent="0.25">
      <c r="A22" s="25" t="s">
        <v>269</v>
      </c>
      <c r="B22" s="26"/>
      <c r="C22" s="26"/>
      <c r="D22" s="27"/>
      <c r="E22" s="28"/>
      <c r="F22" s="29"/>
      <c r="G22" s="28"/>
    </row>
    <row r="23" spans="1:9" x14ac:dyDescent="0.2">
      <c r="A23" s="26" t="s">
        <v>593</v>
      </c>
      <c r="B23" s="26" t="s">
        <v>594</v>
      </c>
      <c r="C23" s="26" t="s">
        <v>16</v>
      </c>
      <c r="D23" s="30">
        <v>3</v>
      </c>
      <c r="E23" s="28">
        <v>30.72054</v>
      </c>
      <c r="F23" s="29">
        <v>0.94492296264459397</v>
      </c>
      <c r="G23" s="28">
        <v>4.3098999999999998</v>
      </c>
    </row>
    <row r="24" spans="1:9" ht="10.5" x14ac:dyDescent="0.25">
      <c r="A24" s="25" t="s">
        <v>17</v>
      </c>
      <c r="B24" s="25"/>
      <c r="C24" s="25"/>
      <c r="D24" s="31"/>
      <c r="E24" s="32">
        <f>SUM(E22:E23)</f>
        <v>30.72054</v>
      </c>
      <c r="F24" s="33">
        <f>SUM(F22:F23)</f>
        <v>0.94492296264459397</v>
      </c>
      <c r="G24" s="32"/>
      <c r="H24" s="18"/>
      <c r="I24" s="18"/>
    </row>
    <row r="25" spans="1:9" x14ac:dyDescent="0.2">
      <c r="A25" s="26"/>
      <c r="B25" s="26"/>
      <c r="C25" s="26"/>
      <c r="D25" s="27"/>
      <c r="E25" s="28"/>
      <c r="F25" s="29"/>
      <c r="G25" s="28"/>
    </row>
    <row r="26" spans="1:9" ht="10.5" x14ac:dyDescent="0.25">
      <c r="A26" s="25" t="s">
        <v>18</v>
      </c>
      <c r="B26" s="26"/>
      <c r="C26" s="26"/>
      <c r="D26" s="27"/>
      <c r="E26" s="28"/>
      <c r="F26" s="29"/>
      <c r="G26" s="28"/>
    </row>
    <row r="27" spans="1:9" ht="10.5" x14ac:dyDescent="0.25">
      <c r="A27" s="25" t="s">
        <v>105</v>
      </c>
      <c r="B27" s="26"/>
      <c r="C27" s="26"/>
      <c r="D27" s="27"/>
      <c r="E27" s="28"/>
      <c r="F27" s="29"/>
      <c r="G27" s="28"/>
    </row>
    <row r="28" spans="1:9" x14ac:dyDescent="0.2">
      <c r="A28" s="26" t="s">
        <v>115</v>
      </c>
      <c r="B28" s="26" t="s">
        <v>116</v>
      </c>
      <c r="C28" s="26" t="s">
        <v>25</v>
      </c>
      <c r="D28" s="30">
        <v>16</v>
      </c>
      <c r="E28" s="28">
        <v>15.916767999999999</v>
      </c>
      <c r="F28" s="29">
        <v>0.48957861985130002</v>
      </c>
      <c r="G28" s="28">
        <v>3.0299</v>
      </c>
    </row>
    <row r="29" spans="1:9" ht="10.5" x14ac:dyDescent="0.25">
      <c r="A29" s="25" t="s">
        <v>17</v>
      </c>
      <c r="B29" s="25"/>
      <c r="C29" s="25"/>
      <c r="D29" s="31"/>
      <c r="E29" s="32">
        <f>SUM(E27:E28)</f>
        <v>15.916767999999999</v>
      </c>
      <c r="F29" s="33">
        <f>SUM(F27:F28)</f>
        <v>0.48957861985130002</v>
      </c>
      <c r="G29" s="32"/>
      <c r="H29" s="18"/>
      <c r="I29" s="18"/>
    </row>
    <row r="30" spans="1:9" x14ac:dyDescent="0.2">
      <c r="A30" s="26"/>
      <c r="B30" s="26"/>
      <c r="C30" s="26"/>
      <c r="D30" s="27"/>
      <c r="E30" s="28"/>
      <c r="F30" s="29"/>
      <c r="G30" s="28"/>
    </row>
    <row r="31" spans="1:9" ht="10.5" x14ac:dyDescent="0.25">
      <c r="A31" s="25" t="s">
        <v>62</v>
      </c>
      <c r="B31" s="25"/>
      <c r="C31" s="25"/>
      <c r="D31" s="31"/>
      <c r="E31" s="32">
        <f>E20+E24+E29</f>
        <v>2942.502888</v>
      </c>
      <c r="F31" s="33">
        <f>F20+F24+F29</f>
        <v>90.507476317774191</v>
      </c>
      <c r="G31" s="32"/>
      <c r="H31" s="18"/>
      <c r="I31" s="18"/>
    </row>
    <row r="32" spans="1:9" ht="10.5" x14ac:dyDescent="0.25">
      <c r="A32" s="25"/>
      <c r="B32" s="25"/>
      <c r="C32" s="25"/>
      <c r="D32" s="31"/>
      <c r="E32" s="32"/>
      <c r="F32" s="33"/>
      <c r="G32" s="32"/>
      <c r="H32" s="18"/>
      <c r="I32" s="18"/>
    </row>
    <row r="33" spans="1:9" ht="10.5" x14ac:dyDescent="0.25">
      <c r="A33" s="25" t="s">
        <v>63</v>
      </c>
      <c r="B33" s="25"/>
      <c r="C33" s="25"/>
      <c r="D33" s="31"/>
      <c r="E33" s="32">
        <f>E35-(E20+E24+E29)</f>
        <v>308.61293990000013</v>
      </c>
      <c r="F33" s="33">
        <f>F35-(F20+F24+F29)</f>
        <v>9.4925236822258086</v>
      </c>
      <c r="G33" s="32"/>
      <c r="H33" s="18"/>
      <c r="I33" s="18"/>
    </row>
    <row r="34" spans="1:9" ht="10.5" x14ac:dyDescent="0.25">
      <c r="A34" s="25"/>
      <c r="B34" s="25"/>
      <c r="C34" s="25"/>
      <c r="D34" s="31"/>
      <c r="E34" s="32"/>
      <c r="F34" s="33"/>
      <c r="G34" s="32"/>
      <c r="H34" s="18"/>
      <c r="I34" s="18"/>
    </row>
    <row r="35" spans="1:9" ht="10.5" x14ac:dyDescent="0.25">
      <c r="A35" s="34" t="s">
        <v>64</v>
      </c>
      <c r="B35" s="34"/>
      <c r="C35" s="34"/>
      <c r="D35" s="35"/>
      <c r="E35" s="36">
        <v>3251.1158279000001</v>
      </c>
      <c r="F35" s="37">
        <v>100</v>
      </c>
      <c r="G35" s="36"/>
      <c r="H35" s="18"/>
      <c r="I35" s="18"/>
    </row>
    <row r="37" spans="1:9" ht="10.5" x14ac:dyDescent="0.25">
      <c r="A37" s="18" t="s">
        <v>66</v>
      </c>
    </row>
    <row r="39" spans="1:9" ht="10.5" x14ac:dyDescent="0.25">
      <c r="A39" s="18" t="s">
        <v>67</v>
      </c>
    </row>
    <row r="40" spans="1:9" ht="10.5" x14ac:dyDescent="0.25">
      <c r="A40" s="18" t="s">
        <v>68</v>
      </c>
    </row>
    <row r="41" spans="1:9" ht="10.5" x14ac:dyDescent="0.25">
      <c r="A41" s="18" t="s">
        <v>69</v>
      </c>
      <c r="B41" s="18"/>
      <c r="C41" s="38" t="s">
        <v>70</v>
      </c>
      <c r="D41" s="43" t="s">
        <v>71</v>
      </c>
    </row>
    <row r="42" spans="1:9" x14ac:dyDescent="0.2">
      <c r="A42" s="9" t="s">
        <v>98</v>
      </c>
      <c r="C42" s="39">
        <v>11.960599999999999</v>
      </c>
      <c r="D42" s="39">
        <v>12.3284</v>
      </c>
    </row>
    <row r="43" spans="1:9" x14ac:dyDescent="0.2">
      <c r="A43" s="9" t="s">
        <v>669</v>
      </c>
      <c r="C43" s="39">
        <v>11.174799999999999</v>
      </c>
      <c r="D43" s="39">
        <v>10.6098</v>
      </c>
    </row>
    <row r="44" spans="1:9" x14ac:dyDescent="0.2">
      <c r="A44" s="9" t="s">
        <v>275</v>
      </c>
      <c r="C44" s="39">
        <v>10.476599999999999</v>
      </c>
      <c r="D44" s="39">
        <v>10.3855</v>
      </c>
    </row>
    <row r="45" spans="1:9" x14ac:dyDescent="0.2">
      <c r="A45" s="9" t="s">
        <v>101</v>
      </c>
      <c r="C45" s="39">
        <v>12.080500000000001</v>
      </c>
      <c r="D45" s="39">
        <v>12.452</v>
      </c>
    </row>
    <row r="46" spans="1:9" x14ac:dyDescent="0.2">
      <c r="A46" s="9" t="s">
        <v>279</v>
      </c>
      <c r="C46" s="39">
        <v>10.593500000000001</v>
      </c>
      <c r="D46" s="39">
        <v>10.506</v>
      </c>
    </row>
    <row r="48" spans="1:9" ht="10.5" x14ac:dyDescent="0.25">
      <c r="A48" s="18" t="s">
        <v>90</v>
      </c>
    </row>
    <row r="49" spans="1:5" ht="10.5" x14ac:dyDescent="0.25">
      <c r="A49" s="68" t="s">
        <v>91</v>
      </c>
      <c r="B49" s="69"/>
      <c r="C49" s="40" t="s">
        <v>92</v>
      </c>
    </row>
    <row r="50" spans="1:5" x14ac:dyDescent="0.2">
      <c r="A50" s="64" t="s">
        <v>669</v>
      </c>
      <c r="B50" s="65"/>
      <c r="C50" s="41">
        <v>0.89500000000000002</v>
      </c>
    </row>
    <row r="51" spans="1:5" x14ac:dyDescent="0.2">
      <c r="A51" s="64" t="s">
        <v>275</v>
      </c>
      <c r="B51" s="65"/>
      <c r="C51" s="41">
        <v>0.41</v>
      </c>
    </row>
    <row r="52" spans="1:5" x14ac:dyDescent="0.2">
      <c r="A52" s="64" t="s">
        <v>279</v>
      </c>
      <c r="B52" s="65"/>
      <c r="C52" s="41">
        <v>0.41</v>
      </c>
    </row>
    <row r="53" spans="1:5" x14ac:dyDescent="0.2">
      <c r="A53" s="9" t="s">
        <v>93</v>
      </c>
    </row>
    <row r="55" spans="1:5" ht="10.5" x14ac:dyDescent="0.25">
      <c r="A55" s="18" t="s">
        <v>94</v>
      </c>
      <c r="D55" s="42">
        <v>0.49667640123287699</v>
      </c>
      <c r="E55" s="13" t="s">
        <v>95</v>
      </c>
    </row>
    <row r="57" spans="1:5" ht="10.5" x14ac:dyDescent="0.25">
      <c r="A57" s="18" t="s">
        <v>1506</v>
      </c>
      <c r="D57" s="43" t="s">
        <v>96</v>
      </c>
    </row>
    <row r="59" spans="1:5" ht="10.5" x14ac:dyDescent="0.25">
      <c r="A59" s="18" t="s">
        <v>1508</v>
      </c>
    </row>
    <row r="60" spans="1:5" x14ac:dyDescent="0.2">
      <c r="A60" s="47" t="s">
        <v>1509</v>
      </c>
    </row>
  </sheetData>
  <mergeCells count="5">
    <mergeCell ref="A1:G1"/>
    <mergeCell ref="A49:B49"/>
    <mergeCell ref="A50:B50"/>
    <mergeCell ref="A51:B51"/>
    <mergeCell ref="A52:B52"/>
  </mergeCells>
  <conditionalFormatting sqref="F2:F3 F5:F65536">
    <cfRule type="cellIs" dxfId="45" priority="1" stopIfTrue="1" operator="between">
      <formula>0.009</formula>
      <formula>-0.009</formula>
    </cfRule>
  </conditionalFormatting>
  <hyperlinks>
    <hyperlink ref="A60" r:id="rId1" xr:uid="{F7656684-9B3B-4D95-A0A3-B82DE704A887}"/>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6"/>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716</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247</v>
      </c>
      <c r="B7" s="26" t="s">
        <v>248</v>
      </c>
      <c r="C7" s="26" t="s">
        <v>16</v>
      </c>
      <c r="D7" s="30">
        <v>44</v>
      </c>
      <c r="E7" s="28">
        <v>450.19524000000001</v>
      </c>
      <c r="F7" s="29">
        <v>11.110389668244199</v>
      </c>
      <c r="G7" s="28">
        <v>3.59</v>
      </c>
    </row>
    <row r="8" spans="1:7" x14ac:dyDescent="0.2">
      <c r="A8" s="26" t="s">
        <v>706</v>
      </c>
      <c r="B8" s="26" t="s">
        <v>707</v>
      </c>
      <c r="C8" s="26" t="s">
        <v>209</v>
      </c>
      <c r="D8" s="30">
        <v>41</v>
      </c>
      <c r="E8" s="28">
        <v>421.19177000000002</v>
      </c>
      <c r="F8" s="29">
        <v>10.3946116572834</v>
      </c>
      <c r="G8" s="28">
        <v>3.67</v>
      </c>
    </row>
    <row r="9" spans="1:7" x14ac:dyDescent="0.2">
      <c r="A9" s="26" t="s">
        <v>708</v>
      </c>
      <c r="B9" s="26" t="s">
        <v>709</v>
      </c>
      <c r="C9" s="26" t="s">
        <v>16</v>
      </c>
      <c r="D9" s="30">
        <v>41</v>
      </c>
      <c r="E9" s="28">
        <v>420.91091999999998</v>
      </c>
      <c r="F9" s="29">
        <v>10.3876805468204</v>
      </c>
      <c r="G9" s="28">
        <v>3.61</v>
      </c>
    </row>
    <row r="10" spans="1:7" x14ac:dyDescent="0.2">
      <c r="A10" s="26" t="s">
        <v>214</v>
      </c>
      <c r="B10" s="26" t="s">
        <v>215</v>
      </c>
      <c r="C10" s="26" t="s">
        <v>16</v>
      </c>
      <c r="D10" s="30">
        <v>40</v>
      </c>
      <c r="E10" s="28">
        <v>415.64800000000002</v>
      </c>
      <c r="F10" s="29">
        <v>10.257796694666</v>
      </c>
      <c r="G10" s="28">
        <v>3.83</v>
      </c>
    </row>
    <row r="11" spans="1:7" x14ac:dyDescent="0.2">
      <c r="A11" s="26" t="s">
        <v>710</v>
      </c>
      <c r="B11" s="26" t="s">
        <v>711</v>
      </c>
      <c r="C11" s="26" t="s">
        <v>16</v>
      </c>
      <c r="D11" s="30">
        <v>33</v>
      </c>
      <c r="E11" s="28">
        <v>321.57839999999999</v>
      </c>
      <c r="F11" s="29">
        <v>7.9362485771517601</v>
      </c>
      <c r="G11" s="28">
        <v>3.95</v>
      </c>
    </row>
    <row r="12" spans="1:7" x14ac:dyDescent="0.2">
      <c r="A12" s="26" t="s">
        <v>589</v>
      </c>
      <c r="B12" s="26" t="s">
        <v>590</v>
      </c>
      <c r="C12" s="26" t="s">
        <v>16</v>
      </c>
      <c r="D12" s="30">
        <v>30</v>
      </c>
      <c r="E12" s="28">
        <v>306.71460000000002</v>
      </c>
      <c r="F12" s="29">
        <v>7.5694241523736396</v>
      </c>
      <c r="G12" s="28">
        <v>3.7401</v>
      </c>
    </row>
    <row r="13" spans="1:7" x14ac:dyDescent="0.2">
      <c r="A13" s="26" t="s">
        <v>717</v>
      </c>
      <c r="B13" s="26" t="s">
        <v>718</v>
      </c>
      <c r="C13" s="26" t="s">
        <v>16</v>
      </c>
      <c r="D13" s="30">
        <v>26</v>
      </c>
      <c r="E13" s="28">
        <v>264.48759999999999</v>
      </c>
      <c r="F13" s="29">
        <v>6.5273020177172496</v>
      </c>
      <c r="G13" s="28">
        <v>3.8001</v>
      </c>
    </row>
    <row r="14" spans="1:7" x14ac:dyDescent="0.2">
      <c r="A14" s="26" t="s">
        <v>528</v>
      </c>
      <c r="B14" s="26" t="s">
        <v>529</v>
      </c>
      <c r="C14" s="26" t="s">
        <v>222</v>
      </c>
      <c r="D14" s="30">
        <v>26000</v>
      </c>
      <c r="E14" s="28">
        <v>259.66642000000002</v>
      </c>
      <c r="F14" s="29">
        <v>6.40831988796229</v>
      </c>
      <c r="G14" s="28">
        <v>8.9686000000000003</v>
      </c>
    </row>
    <row r="15" spans="1:7" x14ac:dyDescent="0.2">
      <c r="A15" s="26" t="s">
        <v>648</v>
      </c>
      <c r="B15" s="26" t="s">
        <v>649</v>
      </c>
      <c r="C15" s="26" t="s">
        <v>16</v>
      </c>
      <c r="D15" s="30">
        <v>2</v>
      </c>
      <c r="E15" s="28">
        <v>201.81139999999999</v>
      </c>
      <c r="F15" s="29">
        <v>4.9805131069220003</v>
      </c>
      <c r="G15" s="28">
        <v>3.1598999999999999</v>
      </c>
    </row>
    <row r="16" spans="1:7" x14ac:dyDescent="0.2">
      <c r="A16" s="26" t="s">
        <v>257</v>
      </c>
      <c r="B16" s="26" t="s">
        <v>258</v>
      </c>
      <c r="C16" s="26" t="s">
        <v>209</v>
      </c>
      <c r="D16" s="30">
        <v>150</v>
      </c>
      <c r="E16" s="28">
        <v>153.81285</v>
      </c>
      <c r="F16" s="29">
        <v>3.7959546162309299</v>
      </c>
      <c r="G16" s="28">
        <v>3.49</v>
      </c>
    </row>
    <row r="17" spans="1:9" ht="10.5" x14ac:dyDescent="0.25">
      <c r="A17" s="25" t="s">
        <v>17</v>
      </c>
      <c r="B17" s="25"/>
      <c r="C17" s="25"/>
      <c r="D17" s="31"/>
      <c r="E17" s="32">
        <f>SUM(E6:E16)</f>
        <v>3216.0171999999993</v>
      </c>
      <c r="F17" s="33">
        <f>SUM(F6:F16)</f>
        <v>79.368240925371879</v>
      </c>
      <c r="G17" s="32"/>
      <c r="H17" s="18"/>
      <c r="I17" s="18"/>
    </row>
    <row r="18" spans="1:9" x14ac:dyDescent="0.2">
      <c r="A18" s="26"/>
      <c r="B18" s="26"/>
      <c r="C18" s="26"/>
      <c r="D18" s="27"/>
      <c r="E18" s="28"/>
      <c r="F18" s="29"/>
      <c r="G18" s="28"/>
    </row>
    <row r="19" spans="1:9" ht="10.5" x14ac:dyDescent="0.25">
      <c r="A19" s="25" t="s">
        <v>269</v>
      </c>
      <c r="B19" s="26"/>
      <c r="C19" s="26"/>
      <c r="D19" s="27"/>
      <c r="E19" s="28"/>
      <c r="F19" s="29"/>
      <c r="G19" s="28"/>
    </row>
    <row r="20" spans="1:9" x14ac:dyDescent="0.2">
      <c r="A20" s="26" t="s">
        <v>593</v>
      </c>
      <c r="B20" s="26" t="s">
        <v>594</v>
      </c>
      <c r="C20" s="26" t="s">
        <v>16</v>
      </c>
      <c r="D20" s="30">
        <v>34</v>
      </c>
      <c r="E20" s="28">
        <v>348.16611999999998</v>
      </c>
      <c r="F20" s="29">
        <v>8.5924081793505103</v>
      </c>
      <c r="G20" s="28">
        <v>4.3098999999999998</v>
      </c>
    </row>
    <row r="21" spans="1:9" x14ac:dyDescent="0.2">
      <c r="A21" s="26" t="s">
        <v>270</v>
      </c>
      <c r="B21" s="26" t="s">
        <v>271</v>
      </c>
      <c r="C21" s="26" t="s">
        <v>16</v>
      </c>
      <c r="D21" s="30">
        <v>7</v>
      </c>
      <c r="E21" s="28">
        <v>70.825299999999999</v>
      </c>
      <c r="F21" s="29">
        <v>1.7479009359812301</v>
      </c>
      <c r="G21" s="28">
        <v>3.5169999999999999</v>
      </c>
    </row>
    <row r="22" spans="1:9" ht="10.5" x14ac:dyDescent="0.25">
      <c r="A22" s="25" t="s">
        <v>17</v>
      </c>
      <c r="B22" s="25"/>
      <c r="C22" s="25"/>
      <c r="D22" s="31"/>
      <c r="E22" s="32">
        <f>SUM(E19:E21)</f>
        <v>418.99141999999995</v>
      </c>
      <c r="F22" s="33">
        <f>SUM(F19:F21)</f>
        <v>10.34030911533174</v>
      </c>
      <c r="G22" s="32"/>
      <c r="H22" s="18"/>
      <c r="I22" s="18"/>
    </row>
    <row r="23" spans="1:9" x14ac:dyDescent="0.2">
      <c r="A23" s="26"/>
      <c r="B23" s="26"/>
      <c r="C23" s="26"/>
      <c r="D23" s="27"/>
      <c r="E23" s="28"/>
      <c r="F23" s="29"/>
      <c r="G23" s="28"/>
    </row>
    <row r="24" spans="1:9" ht="10.5" x14ac:dyDescent="0.25">
      <c r="A24" s="25" t="s">
        <v>18</v>
      </c>
      <c r="B24" s="26"/>
      <c r="C24" s="26"/>
      <c r="D24" s="27"/>
      <c r="E24" s="28"/>
      <c r="F24" s="29"/>
      <c r="G24" s="28"/>
    </row>
    <row r="25" spans="1:9" ht="10.5" x14ac:dyDescent="0.25">
      <c r="A25" s="25" t="s">
        <v>105</v>
      </c>
      <c r="B25" s="26"/>
      <c r="C25" s="26"/>
      <c r="D25" s="27"/>
      <c r="E25" s="28"/>
      <c r="F25" s="29"/>
      <c r="G25" s="28"/>
    </row>
    <row r="26" spans="1:9" x14ac:dyDescent="0.2">
      <c r="A26" s="26" t="s">
        <v>115</v>
      </c>
      <c r="B26" s="26" t="s">
        <v>116</v>
      </c>
      <c r="C26" s="26" t="s">
        <v>25</v>
      </c>
      <c r="D26" s="30">
        <v>33</v>
      </c>
      <c r="E26" s="28">
        <v>32.828333999999998</v>
      </c>
      <c r="F26" s="29">
        <v>0.81017201092412605</v>
      </c>
      <c r="G26" s="28">
        <v>3.0299</v>
      </c>
    </row>
    <row r="27" spans="1:9" ht="10.5" x14ac:dyDescent="0.25">
      <c r="A27" s="25" t="s">
        <v>17</v>
      </c>
      <c r="B27" s="25"/>
      <c r="C27" s="25"/>
      <c r="D27" s="31"/>
      <c r="E27" s="32">
        <f>SUM(E25:E26)</f>
        <v>32.828333999999998</v>
      </c>
      <c r="F27" s="33">
        <f>SUM(F25:F26)</f>
        <v>0.81017201092412605</v>
      </c>
      <c r="G27" s="32"/>
      <c r="H27" s="18"/>
      <c r="I27" s="18"/>
    </row>
    <row r="28" spans="1:9" x14ac:dyDescent="0.2">
      <c r="A28" s="26"/>
      <c r="B28" s="26"/>
      <c r="C28" s="26"/>
      <c r="D28" s="27"/>
      <c r="E28" s="28"/>
      <c r="F28" s="29"/>
      <c r="G28" s="28"/>
    </row>
    <row r="29" spans="1:9" ht="10.5" x14ac:dyDescent="0.25">
      <c r="A29" s="25" t="s">
        <v>62</v>
      </c>
      <c r="B29" s="25"/>
      <c r="C29" s="25"/>
      <c r="D29" s="31"/>
      <c r="E29" s="32">
        <f>E17+E22+E27</f>
        <v>3667.836953999999</v>
      </c>
      <c r="F29" s="33">
        <f>F17+F22+F27</f>
        <v>90.518722051627734</v>
      </c>
      <c r="G29" s="32"/>
      <c r="H29" s="18"/>
      <c r="I29" s="18"/>
    </row>
    <row r="30" spans="1:9" ht="10.5" x14ac:dyDescent="0.25">
      <c r="A30" s="25"/>
      <c r="B30" s="25"/>
      <c r="C30" s="25"/>
      <c r="D30" s="31"/>
      <c r="E30" s="32"/>
      <c r="F30" s="33"/>
      <c r="G30" s="32"/>
      <c r="H30" s="18"/>
      <c r="I30" s="18"/>
    </row>
    <row r="31" spans="1:9" ht="10.5" x14ac:dyDescent="0.25">
      <c r="A31" s="25" t="s">
        <v>63</v>
      </c>
      <c r="B31" s="25"/>
      <c r="C31" s="25"/>
      <c r="D31" s="31"/>
      <c r="E31" s="32">
        <f>E33-(E17+E22+E27)</f>
        <v>384.18330310000101</v>
      </c>
      <c r="F31" s="33">
        <f>F33-(F17+F22+F27)</f>
        <v>9.4812779483722665</v>
      </c>
      <c r="G31" s="32"/>
      <c r="H31" s="18"/>
      <c r="I31" s="18"/>
    </row>
    <row r="32" spans="1:9" ht="10.5" x14ac:dyDescent="0.25">
      <c r="A32" s="25"/>
      <c r="B32" s="25"/>
      <c r="C32" s="25"/>
      <c r="D32" s="31"/>
      <c r="E32" s="32"/>
      <c r="F32" s="33"/>
      <c r="G32" s="32"/>
      <c r="H32" s="18"/>
      <c r="I32" s="18"/>
    </row>
    <row r="33" spans="1:9" ht="10.5" x14ac:dyDescent="0.25">
      <c r="A33" s="34" t="s">
        <v>64</v>
      </c>
      <c r="B33" s="34"/>
      <c r="C33" s="34"/>
      <c r="D33" s="35"/>
      <c r="E33" s="36">
        <v>4052.0202571</v>
      </c>
      <c r="F33" s="37">
        <v>100</v>
      </c>
      <c r="G33" s="36"/>
      <c r="H33" s="18"/>
      <c r="I33" s="18"/>
    </row>
    <row r="35" spans="1:9" ht="10.5" x14ac:dyDescent="0.25">
      <c r="A35" s="18" t="s">
        <v>66</v>
      </c>
    </row>
    <row r="37" spans="1:9" ht="10.5" x14ac:dyDescent="0.25">
      <c r="A37" s="18" t="s">
        <v>67</v>
      </c>
    </row>
    <row r="38" spans="1:9" ht="10.5" x14ac:dyDescent="0.25">
      <c r="A38" s="18" t="s">
        <v>68</v>
      </c>
    </row>
    <row r="39" spans="1:9" ht="10.5" x14ac:dyDescent="0.25">
      <c r="A39" s="18" t="s">
        <v>69</v>
      </c>
      <c r="B39" s="18"/>
      <c r="C39" s="38" t="s">
        <v>70</v>
      </c>
      <c r="D39" s="43" t="s">
        <v>71</v>
      </c>
    </row>
    <row r="40" spans="1:9" x14ac:dyDescent="0.2">
      <c r="A40" s="9" t="s">
        <v>98</v>
      </c>
      <c r="C40" s="39">
        <v>11.313499999999999</v>
      </c>
      <c r="D40" s="39">
        <v>11.712400000000001</v>
      </c>
    </row>
    <row r="41" spans="1:9" x14ac:dyDescent="0.2">
      <c r="A41" s="9" t="s">
        <v>669</v>
      </c>
      <c r="C41" s="39">
        <v>11.059900000000001</v>
      </c>
      <c r="D41" s="39">
        <v>10.5707</v>
      </c>
    </row>
    <row r="42" spans="1:9" x14ac:dyDescent="0.2">
      <c r="A42" s="9" t="s">
        <v>275</v>
      </c>
      <c r="C42" s="39">
        <v>10.382899999999999</v>
      </c>
      <c r="D42" s="39">
        <v>10.345599999999999</v>
      </c>
    </row>
    <row r="43" spans="1:9" x14ac:dyDescent="0.2">
      <c r="A43" s="9" t="s">
        <v>101</v>
      </c>
      <c r="C43" s="39">
        <v>11.426500000000001</v>
      </c>
      <c r="D43" s="39">
        <v>11.8293</v>
      </c>
    </row>
    <row r="45" spans="1:9" ht="10.5" x14ac:dyDescent="0.25">
      <c r="A45" s="18" t="s">
        <v>90</v>
      </c>
    </row>
    <row r="46" spans="1:9" ht="10.5" x14ac:dyDescent="0.25">
      <c r="A46" s="68" t="s">
        <v>91</v>
      </c>
      <c r="B46" s="69"/>
      <c r="C46" s="40" t="s">
        <v>92</v>
      </c>
    </row>
    <row r="47" spans="1:9" x14ac:dyDescent="0.2">
      <c r="A47" s="64" t="s">
        <v>669</v>
      </c>
      <c r="B47" s="65"/>
      <c r="C47" s="41">
        <v>0.86499999999999999</v>
      </c>
    </row>
    <row r="48" spans="1:9" x14ac:dyDescent="0.2">
      <c r="A48" s="64" t="s">
        <v>275</v>
      </c>
      <c r="B48" s="65"/>
      <c r="C48" s="41">
        <v>0.4</v>
      </c>
    </row>
    <row r="49" spans="1:5" x14ac:dyDescent="0.2">
      <c r="A49" s="9" t="s">
        <v>93</v>
      </c>
    </row>
    <row r="51" spans="1:5" ht="10.5" x14ac:dyDescent="0.25">
      <c r="A51" s="18" t="s">
        <v>94</v>
      </c>
      <c r="D51" s="42">
        <v>0.50673553254794501</v>
      </c>
      <c r="E51" s="13" t="s">
        <v>95</v>
      </c>
    </row>
    <row r="53" spans="1:5" ht="10.5" x14ac:dyDescent="0.25">
      <c r="A53" s="18" t="s">
        <v>1506</v>
      </c>
      <c r="D53" s="43" t="s">
        <v>96</v>
      </c>
    </row>
    <row r="55" spans="1:5" ht="10.5" x14ac:dyDescent="0.25">
      <c r="A55" s="18" t="s">
        <v>1508</v>
      </c>
    </row>
    <row r="56" spans="1:5" x14ac:dyDescent="0.2">
      <c r="A56" s="47" t="s">
        <v>1509</v>
      </c>
    </row>
  </sheetData>
  <mergeCells count="4">
    <mergeCell ref="A1:G1"/>
    <mergeCell ref="A46:B46"/>
    <mergeCell ref="A47:B47"/>
    <mergeCell ref="A48:B48"/>
  </mergeCells>
  <conditionalFormatting sqref="F2:F3 F5:F65536">
    <cfRule type="cellIs" dxfId="44" priority="1" stopIfTrue="1" operator="between">
      <formula>0.009</formula>
      <formula>-0.009</formula>
    </cfRule>
  </conditionalFormatting>
  <hyperlinks>
    <hyperlink ref="A56" r:id="rId1" xr:uid="{30FED113-19BD-42A9-B614-FA143FB6489B}"/>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9"/>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719</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720</v>
      </c>
      <c r="B7" s="26" t="s">
        <v>721</v>
      </c>
      <c r="C7" s="26" t="s">
        <v>16</v>
      </c>
      <c r="D7" s="30">
        <v>90</v>
      </c>
      <c r="E7" s="28">
        <v>1134.7551000000001</v>
      </c>
      <c r="F7" s="29">
        <v>11.865944289252599</v>
      </c>
      <c r="G7" s="28">
        <v>3.2650000000000001</v>
      </c>
    </row>
    <row r="8" spans="1:7" x14ac:dyDescent="0.2">
      <c r="A8" s="26" t="s">
        <v>214</v>
      </c>
      <c r="B8" s="26" t="s">
        <v>215</v>
      </c>
      <c r="C8" s="26" t="s">
        <v>16</v>
      </c>
      <c r="D8" s="30">
        <v>98</v>
      </c>
      <c r="E8" s="28">
        <v>1018.3376</v>
      </c>
      <c r="F8" s="29">
        <v>10.6485859629547</v>
      </c>
      <c r="G8" s="28">
        <v>3.83</v>
      </c>
    </row>
    <row r="9" spans="1:7" x14ac:dyDescent="0.2">
      <c r="A9" s="26" t="s">
        <v>247</v>
      </c>
      <c r="B9" s="26" t="s">
        <v>248</v>
      </c>
      <c r="C9" s="26" t="s">
        <v>16</v>
      </c>
      <c r="D9" s="30">
        <v>92</v>
      </c>
      <c r="E9" s="28">
        <v>941.31732</v>
      </c>
      <c r="F9" s="29">
        <v>9.8431977768847201</v>
      </c>
      <c r="G9" s="28">
        <v>3.59</v>
      </c>
    </row>
    <row r="10" spans="1:7" x14ac:dyDescent="0.2">
      <c r="A10" s="26" t="s">
        <v>706</v>
      </c>
      <c r="B10" s="26" t="s">
        <v>707</v>
      </c>
      <c r="C10" s="26" t="s">
        <v>209</v>
      </c>
      <c r="D10" s="30">
        <v>90</v>
      </c>
      <c r="E10" s="28">
        <v>924.56730000000005</v>
      </c>
      <c r="F10" s="29">
        <v>9.6680456192395408</v>
      </c>
      <c r="G10" s="28">
        <v>3.67</v>
      </c>
    </row>
    <row r="11" spans="1:7" x14ac:dyDescent="0.2">
      <c r="A11" s="26" t="s">
        <v>708</v>
      </c>
      <c r="B11" s="26" t="s">
        <v>709</v>
      </c>
      <c r="C11" s="26" t="s">
        <v>16</v>
      </c>
      <c r="D11" s="30">
        <v>90</v>
      </c>
      <c r="E11" s="28">
        <v>923.95079999999996</v>
      </c>
      <c r="F11" s="29">
        <v>9.6615989818511601</v>
      </c>
      <c r="G11" s="28">
        <v>3.61</v>
      </c>
    </row>
    <row r="12" spans="1:7" x14ac:dyDescent="0.2">
      <c r="A12" s="26" t="s">
        <v>722</v>
      </c>
      <c r="B12" s="26" t="s">
        <v>723</v>
      </c>
      <c r="C12" s="26" t="s">
        <v>16</v>
      </c>
      <c r="D12" s="30">
        <v>60</v>
      </c>
      <c r="E12" s="28">
        <v>749.4144</v>
      </c>
      <c r="F12" s="29">
        <v>7.8365010388265199</v>
      </c>
      <c r="G12" s="28">
        <v>4.3747999999999996</v>
      </c>
    </row>
    <row r="13" spans="1:7" x14ac:dyDescent="0.2">
      <c r="A13" s="26" t="s">
        <v>710</v>
      </c>
      <c r="B13" s="26" t="s">
        <v>711</v>
      </c>
      <c r="C13" s="26" t="s">
        <v>16</v>
      </c>
      <c r="D13" s="30">
        <v>75</v>
      </c>
      <c r="E13" s="28">
        <v>730.86</v>
      </c>
      <c r="F13" s="29">
        <v>7.6424807813097102</v>
      </c>
      <c r="G13" s="28">
        <v>3.95</v>
      </c>
    </row>
    <row r="14" spans="1:7" x14ac:dyDescent="0.2">
      <c r="A14" s="26" t="s">
        <v>714</v>
      </c>
      <c r="B14" s="26" t="s">
        <v>715</v>
      </c>
      <c r="C14" s="26" t="s">
        <v>13</v>
      </c>
      <c r="D14" s="30">
        <v>58</v>
      </c>
      <c r="E14" s="28">
        <v>726.41114000000005</v>
      </c>
      <c r="F14" s="29">
        <v>7.5959597963758902</v>
      </c>
      <c r="G14" s="28">
        <v>4.7748999999999997</v>
      </c>
    </row>
    <row r="15" spans="1:7" x14ac:dyDescent="0.2">
      <c r="A15" s="26" t="s">
        <v>589</v>
      </c>
      <c r="B15" s="26" t="s">
        <v>590</v>
      </c>
      <c r="C15" s="26" t="s">
        <v>16</v>
      </c>
      <c r="D15" s="30">
        <v>71</v>
      </c>
      <c r="E15" s="28">
        <v>725.89121999999998</v>
      </c>
      <c r="F15" s="29">
        <v>7.5905230798941803</v>
      </c>
      <c r="G15" s="28">
        <v>3.7401</v>
      </c>
    </row>
    <row r="16" spans="1:7" x14ac:dyDescent="0.2">
      <c r="A16" s="26" t="s">
        <v>257</v>
      </c>
      <c r="B16" s="26" t="s">
        <v>258</v>
      </c>
      <c r="C16" s="26" t="s">
        <v>209</v>
      </c>
      <c r="D16" s="30">
        <v>470</v>
      </c>
      <c r="E16" s="28">
        <v>481.94693000000001</v>
      </c>
      <c r="F16" s="29">
        <v>5.03963843983282</v>
      </c>
      <c r="G16" s="28">
        <v>3.49</v>
      </c>
    </row>
    <row r="17" spans="1:9" x14ac:dyDescent="0.2">
      <c r="A17" s="26" t="s">
        <v>648</v>
      </c>
      <c r="B17" s="26" t="s">
        <v>649</v>
      </c>
      <c r="C17" s="26" t="s">
        <v>16</v>
      </c>
      <c r="D17" s="30">
        <v>2</v>
      </c>
      <c r="E17" s="28">
        <v>201.81139999999999</v>
      </c>
      <c r="F17" s="29">
        <v>2.1103080561929901</v>
      </c>
      <c r="G17" s="28">
        <v>3.1598999999999999</v>
      </c>
    </row>
    <row r="18" spans="1:9" x14ac:dyDescent="0.2">
      <c r="A18" s="26" t="s">
        <v>724</v>
      </c>
      <c r="B18" s="26" t="s">
        <v>725</v>
      </c>
      <c r="C18" s="26" t="s">
        <v>13</v>
      </c>
      <c r="D18" s="30">
        <v>10</v>
      </c>
      <c r="E18" s="28">
        <v>125.4121</v>
      </c>
      <c r="F18" s="29">
        <v>1.31141335412212</v>
      </c>
      <c r="G18" s="28">
        <v>4.8746999999999998</v>
      </c>
    </row>
    <row r="19" spans="1:9" x14ac:dyDescent="0.2">
      <c r="A19" s="26" t="s">
        <v>223</v>
      </c>
      <c r="B19" s="26" t="s">
        <v>224</v>
      </c>
      <c r="C19" s="26" t="s">
        <v>16</v>
      </c>
      <c r="D19" s="30">
        <v>8</v>
      </c>
      <c r="E19" s="28">
        <v>82.017520000000005</v>
      </c>
      <c r="F19" s="29">
        <v>0.85764348894546905</v>
      </c>
      <c r="G19" s="28">
        <v>3.54</v>
      </c>
    </row>
    <row r="20" spans="1:9" x14ac:dyDescent="0.2">
      <c r="A20" s="26" t="s">
        <v>237</v>
      </c>
      <c r="B20" s="26" t="s">
        <v>238</v>
      </c>
      <c r="C20" s="26" t="s">
        <v>209</v>
      </c>
      <c r="D20" s="30">
        <v>6</v>
      </c>
      <c r="E20" s="28">
        <v>75.834419999999994</v>
      </c>
      <c r="F20" s="29">
        <v>0.79298784638886899</v>
      </c>
      <c r="G20" s="28">
        <v>5.0650000000000004</v>
      </c>
    </row>
    <row r="21" spans="1:9" x14ac:dyDescent="0.2">
      <c r="A21" s="26" t="s">
        <v>717</v>
      </c>
      <c r="B21" s="26" t="s">
        <v>718</v>
      </c>
      <c r="C21" s="26" t="s">
        <v>16</v>
      </c>
      <c r="D21" s="30">
        <v>4</v>
      </c>
      <c r="E21" s="28">
        <v>40.690399999999997</v>
      </c>
      <c r="F21" s="29">
        <v>0.42549270719947002</v>
      </c>
      <c r="G21" s="28">
        <v>3.8001</v>
      </c>
    </row>
    <row r="22" spans="1:9" x14ac:dyDescent="0.2">
      <c r="A22" s="26" t="s">
        <v>585</v>
      </c>
      <c r="B22" s="26" t="s">
        <v>586</v>
      </c>
      <c r="C22" s="26" t="s">
        <v>16</v>
      </c>
      <c r="D22" s="30">
        <v>1</v>
      </c>
      <c r="E22" s="28">
        <v>10.09206</v>
      </c>
      <c r="F22" s="29">
        <v>0.105530983490442</v>
      </c>
      <c r="G22" s="28">
        <v>4.6449999999999996</v>
      </c>
    </row>
    <row r="23" spans="1:9" ht="10.5" x14ac:dyDescent="0.25">
      <c r="A23" s="25" t="s">
        <v>17</v>
      </c>
      <c r="B23" s="25"/>
      <c r="C23" s="25"/>
      <c r="D23" s="31"/>
      <c r="E23" s="32">
        <f>SUM(E6:E22)</f>
        <v>8893.3097099999995</v>
      </c>
      <c r="F23" s="33">
        <f>SUM(F6:F22)</f>
        <v>92.995852202761199</v>
      </c>
      <c r="G23" s="32"/>
      <c r="H23" s="18"/>
      <c r="I23" s="18"/>
    </row>
    <row r="24" spans="1:9" x14ac:dyDescent="0.2">
      <c r="A24" s="26"/>
      <c r="B24" s="26"/>
      <c r="C24" s="26"/>
      <c r="D24" s="27"/>
      <c r="E24" s="28"/>
      <c r="F24" s="29"/>
      <c r="G24" s="28"/>
    </row>
    <row r="25" spans="1:9" ht="10.5" x14ac:dyDescent="0.25">
      <c r="A25" s="25" t="s">
        <v>18</v>
      </c>
      <c r="B25" s="26"/>
      <c r="C25" s="26"/>
      <c r="D25" s="27"/>
      <c r="E25" s="28"/>
      <c r="F25" s="29"/>
      <c r="G25" s="28"/>
    </row>
    <row r="26" spans="1:9" ht="10.5" x14ac:dyDescent="0.25">
      <c r="A26" s="25" t="s">
        <v>105</v>
      </c>
      <c r="B26" s="26"/>
      <c r="C26" s="26"/>
      <c r="D26" s="27"/>
      <c r="E26" s="28"/>
      <c r="F26" s="29"/>
      <c r="G26" s="28"/>
    </row>
    <row r="27" spans="1:9" x14ac:dyDescent="0.2">
      <c r="A27" s="26" t="s">
        <v>115</v>
      </c>
      <c r="B27" s="26" t="s">
        <v>116</v>
      </c>
      <c r="C27" s="26" t="s">
        <v>25</v>
      </c>
      <c r="D27" s="30">
        <v>48</v>
      </c>
      <c r="E27" s="28">
        <v>47.750304</v>
      </c>
      <c r="F27" s="29">
        <v>0.49931694253577502</v>
      </c>
      <c r="G27" s="28">
        <v>3.0299</v>
      </c>
    </row>
    <row r="28" spans="1:9" ht="10.5" x14ac:dyDescent="0.25">
      <c r="A28" s="25" t="s">
        <v>17</v>
      </c>
      <c r="B28" s="25"/>
      <c r="C28" s="25"/>
      <c r="D28" s="31"/>
      <c r="E28" s="32">
        <f>SUM(E26:E27)</f>
        <v>47.750304</v>
      </c>
      <c r="F28" s="33">
        <f>SUM(F26:F27)</f>
        <v>0.49931694253577502</v>
      </c>
      <c r="G28" s="32"/>
      <c r="H28" s="18"/>
      <c r="I28" s="18"/>
    </row>
    <row r="29" spans="1:9" x14ac:dyDescent="0.2">
      <c r="A29" s="26"/>
      <c r="B29" s="26"/>
      <c r="C29" s="26"/>
      <c r="D29" s="27"/>
      <c r="E29" s="28"/>
      <c r="F29" s="29"/>
      <c r="G29" s="28"/>
    </row>
    <row r="30" spans="1:9" ht="10.5" x14ac:dyDescent="0.25">
      <c r="A30" s="25" t="s">
        <v>62</v>
      </c>
      <c r="B30" s="25"/>
      <c r="C30" s="25"/>
      <c r="D30" s="31"/>
      <c r="E30" s="32">
        <f>E23+E28</f>
        <v>8941.0600139999988</v>
      </c>
      <c r="F30" s="33">
        <f>F23+F28</f>
        <v>93.49516914529697</v>
      </c>
      <c r="G30" s="32"/>
      <c r="H30" s="18"/>
      <c r="I30" s="18"/>
    </row>
    <row r="31" spans="1:9" ht="10.5" x14ac:dyDescent="0.25">
      <c r="A31" s="25"/>
      <c r="B31" s="25"/>
      <c r="C31" s="25"/>
      <c r="D31" s="31"/>
      <c r="E31" s="32"/>
      <c r="F31" s="33"/>
      <c r="G31" s="32"/>
      <c r="H31" s="18"/>
      <c r="I31" s="18"/>
    </row>
    <row r="32" spans="1:9" ht="10.5" x14ac:dyDescent="0.25">
      <c r="A32" s="25" t="s">
        <v>63</v>
      </c>
      <c r="B32" s="25"/>
      <c r="C32" s="25"/>
      <c r="D32" s="31"/>
      <c r="E32" s="32">
        <f>E34-(E23+E28)</f>
        <v>622.0651140000009</v>
      </c>
      <c r="F32" s="33">
        <f>F34-(F23+F28)</f>
        <v>6.5048308547030302</v>
      </c>
      <c r="G32" s="32"/>
      <c r="H32" s="18"/>
      <c r="I32" s="18"/>
    </row>
    <row r="33" spans="1:9" ht="10.5" x14ac:dyDescent="0.25">
      <c r="A33" s="25"/>
      <c r="B33" s="25"/>
      <c r="C33" s="25"/>
      <c r="D33" s="31"/>
      <c r="E33" s="32"/>
      <c r="F33" s="33"/>
      <c r="G33" s="32"/>
      <c r="H33" s="18"/>
      <c r="I33" s="18"/>
    </row>
    <row r="34" spans="1:9" ht="10.5" x14ac:dyDescent="0.25">
      <c r="A34" s="34" t="s">
        <v>64</v>
      </c>
      <c r="B34" s="34"/>
      <c r="C34" s="34"/>
      <c r="D34" s="35"/>
      <c r="E34" s="36">
        <v>9563.1251279999997</v>
      </c>
      <c r="F34" s="37">
        <v>100</v>
      </c>
      <c r="G34" s="36"/>
      <c r="H34" s="18"/>
      <c r="I34" s="18"/>
    </row>
    <row r="36" spans="1:9" ht="10.5" x14ac:dyDescent="0.25">
      <c r="A36" s="18" t="s">
        <v>66</v>
      </c>
    </row>
    <row r="38" spans="1:9" ht="10.5" x14ac:dyDescent="0.25">
      <c r="A38" s="18" t="s">
        <v>67</v>
      </c>
    </row>
    <row r="39" spans="1:9" ht="10.5" x14ac:dyDescent="0.25">
      <c r="A39" s="18" t="s">
        <v>68</v>
      </c>
    </row>
    <row r="40" spans="1:9" ht="10.5" x14ac:dyDescent="0.25">
      <c r="A40" s="18" t="s">
        <v>69</v>
      </c>
      <c r="B40" s="18"/>
      <c r="C40" s="38" t="s">
        <v>70</v>
      </c>
      <c r="D40" s="43" t="s">
        <v>71</v>
      </c>
    </row>
    <row r="41" spans="1:9" x14ac:dyDescent="0.2">
      <c r="A41" s="9" t="s">
        <v>98</v>
      </c>
      <c r="C41" s="39">
        <v>11.919600000000001</v>
      </c>
      <c r="D41" s="39">
        <v>12.284800000000001</v>
      </c>
    </row>
    <row r="42" spans="1:9" x14ac:dyDescent="0.2">
      <c r="A42" s="9" t="s">
        <v>669</v>
      </c>
      <c r="C42" s="39">
        <v>11.17</v>
      </c>
      <c r="D42" s="39">
        <v>10.621600000000001</v>
      </c>
    </row>
    <row r="43" spans="1:9" x14ac:dyDescent="0.2">
      <c r="A43" s="9" t="s">
        <v>275</v>
      </c>
      <c r="C43" s="39">
        <v>10.521699999999999</v>
      </c>
      <c r="D43" s="39">
        <v>10.414199999999999</v>
      </c>
    </row>
    <row r="44" spans="1:9" x14ac:dyDescent="0.2">
      <c r="A44" s="9" t="s">
        <v>101</v>
      </c>
      <c r="C44" s="39">
        <v>12.0273</v>
      </c>
      <c r="D44" s="39">
        <v>12.3957</v>
      </c>
    </row>
    <row r="45" spans="1:9" x14ac:dyDescent="0.2">
      <c r="A45" s="9" t="s">
        <v>279</v>
      </c>
      <c r="C45" s="39">
        <v>10.5304</v>
      </c>
      <c r="D45" s="39">
        <v>10.4222</v>
      </c>
    </row>
    <row r="47" spans="1:9" ht="10.5" x14ac:dyDescent="0.25">
      <c r="A47" s="18" t="s">
        <v>90</v>
      </c>
    </row>
    <row r="48" spans="1:9" ht="10.5" x14ac:dyDescent="0.25">
      <c r="A48" s="68" t="s">
        <v>91</v>
      </c>
      <c r="B48" s="69"/>
      <c r="C48" s="40" t="s">
        <v>92</v>
      </c>
    </row>
    <row r="49" spans="1:5" x14ac:dyDescent="0.2">
      <c r="A49" s="64" t="s">
        <v>669</v>
      </c>
      <c r="B49" s="65"/>
      <c r="C49" s="41">
        <v>0.875</v>
      </c>
    </row>
    <row r="50" spans="1:5" x14ac:dyDescent="0.2">
      <c r="A50" s="64" t="s">
        <v>275</v>
      </c>
      <c r="B50" s="65"/>
      <c r="C50" s="41">
        <v>0.42499999999999999</v>
      </c>
    </row>
    <row r="51" spans="1:5" x14ac:dyDescent="0.2">
      <c r="A51" s="64" t="s">
        <v>279</v>
      </c>
      <c r="B51" s="65"/>
      <c r="C51" s="41">
        <v>0.42499999999999999</v>
      </c>
    </row>
    <row r="52" spans="1:5" x14ac:dyDescent="0.2">
      <c r="A52" s="9" t="s">
        <v>93</v>
      </c>
    </row>
    <row r="54" spans="1:5" ht="10.5" x14ac:dyDescent="0.25">
      <c r="A54" s="18" t="s">
        <v>94</v>
      </c>
      <c r="D54" s="42">
        <v>0.50593897205479499</v>
      </c>
      <c r="E54" s="13" t="s">
        <v>95</v>
      </c>
    </row>
    <row r="56" spans="1:5" ht="10.5" x14ac:dyDescent="0.25">
      <c r="A56" s="18" t="s">
        <v>1506</v>
      </c>
      <c r="D56" s="43" t="s">
        <v>96</v>
      </c>
    </row>
    <row r="58" spans="1:5" ht="10.5" x14ac:dyDescent="0.25">
      <c r="A58" s="18" t="s">
        <v>1508</v>
      </c>
    </row>
    <row r="59" spans="1:5" x14ac:dyDescent="0.2">
      <c r="A59" s="47" t="s">
        <v>1509</v>
      </c>
    </row>
  </sheetData>
  <mergeCells count="5">
    <mergeCell ref="A1:G1"/>
    <mergeCell ref="A48:B48"/>
    <mergeCell ref="A49:B49"/>
    <mergeCell ref="A50:B50"/>
    <mergeCell ref="A51:B51"/>
  </mergeCells>
  <conditionalFormatting sqref="F2:F3 F5:F65536">
    <cfRule type="cellIs" dxfId="43" priority="1" stopIfTrue="1" operator="between">
      <formula>0.009</formula>
      <formula>-0.009</formula>
    </cfRule>
  </conditionalFormatting>
  <hyperlinks>
    <hyperlink ref="A59" r:id="rId1" xr:uid="{996A5D58-8B1A-4502-9481-17593545F3FA}"/>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6"/>
  <sheetViews>
    <sheetView workbookViewId="0">
      <selection sqref="A1:G1"/>
    </sheetView>
  </sheetViews>
  <sheetFormatPr defaultColWidth="9.1796875" defaultRowHeight="10" x14ac:dyDescent="0.2"/>
  <cols>
    <col min="1" max="1" width="38.7265625" style="9" bestFit="1" customWidth="1"/>
    <col min="2" max="2" width="51.72656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726</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724</v>
      </c>
      <c r="B7" s="26" t="s">
        <v>725</v>
      </c>
      <c r="C7" s="26" t="s">
        <v>13</v>
      </c>
      <c r="D7" s="30">
        <v>103</v>
      </c>
      <c r="E7" s="28">
        <v>1291.7446299999999</v>
      </c>
      <c r="F7" s="29">
        <v>11.0777933612704</v>
      </c>
      <c r="G7" s="28">
        <v>4.8746999999999998</v>
      </c>
    </row>
    <row r="8" spans="1:7" x14ac:dyDescent="0.2">
      <c r="A8" s="26" t="s">
        <v>589</v>
      </c>
      <c r="B8" s="26" t="s">
        <v>590</v>
      </c>
      <c r="C8" s="26" t="s">
        <v>16</v>
      </c>
      <c r="D8" s="30">
        <v>115</v>
      </c>
      <c r="E8" s="28">
        <v>1175.7393</v>
      </c>
      <c r="F8" s="29">
        <v>10.0829503832539</v>
      </c>
      <c r="G8" s="28">
        <v>3.7401</v>
      </c>
    </row>
    <row r="9" spans="1:7" x14ac:dyDescent="0.2">
      <c r="A9" s="26" t="s">
        <v>223</v>
      </c>
      <c r="B9" s="26" t="s">
        <v>224</v>
      </c>
      <c r="C9" s="26" t="s">
        <v>16</v>
      </c>
      <c r="D9" s="30">
        <v>112</v>
      </c>
      <c r="E9" s="28">
        <v>1148.2452800000001</v>
      </c>
      <c r="F9" s="29">
        <v>9.8471661073552106</v>
      </c>
      <c r="G9" s="28">
        <v>3.54</v>
      </c>
    </row>
    <row r="10" spans="1:7" x14ac:dyDescent="0.2">
      <c r="A10" s="26" t="s">
        <v>714</v>
      </c>
      <c r="B10" s="26" t="s">
        <v>715</v>
      </c>
      <c r="C10" s="26" t="s">
        <v>13</v>
      </c>
      <c r="D10" s="30">
        <v>85</v>
      </c>
      <c r="E10" s="28">
        <v>1064.5680500000001</v>
      </c>
      <c r="F10" s="29">
        <v>9.1295636947301197</v>
      </c>
      <c r="G10" s="28">
        <v>4.7748999999999997</v>
      </c>
    </row>
    <row r="11" spans="1:7" x14ac:dyDescent="0.2">
      <c r="A11" s="26" t="s">
        <v>727</v>
      </c>
      <c r="B11" s="26" t="s">
        <v>728</v>
      </c>
      <c r="C11" s="26" t="s">
        <v>16</v>
      </c>
      <c r="D11" s="30">
        <v>100</v>
      </c>
      <c r="E11" s="28">
        <v>1030.1389999999999</v>
      </c>
      <c r="F11" s="29">
        <v>8.8343057213914999</v>
      </c>
      <c r="G11" s="28">
        <v>3.5550000000000002</v>
      </c>
    </row>
    <row r="12" spans="1:7" x14ac:dyDescent="0.2">
      <c r="A12" s="26" t="s">
        <v>729</v>
      </c>
      <c r="B12" s="26" t="s">
        <v>730</v>
      </c>
      <c r="C12" s="26" t="s">
        <v>16</v>
      </c>
      <c r="D12" s="30">
        <v>70</v>
      </c>
      <c r="E12" s="28">
        <v>884.31700000000001</v>
      </c>
      <c r="F12" s="29">
        <v>7.5837597961282599</v>
      </c>
      <c r="G12" s="28">
        <v>5.29</v>
      </c>
    </row>
    <row r="13" spans="1:7" x14ac:dyDescent="0.2">
      <c r="A13" s="26" t="s">
        <v>731</v>
      </c>
      <c r="B13" s="26" t="s">
        <v>732</v>
      </c>
      <c r="C13" s="26" t="s">
        <v>16</v>
      </c>
      <c r="D13" s="30">
        <v>77</v>
      </c>
      <c r="E13" s="28">
        <v>789.80670999999995</v>
      </c>
      <c r="F13" s="29">
        <v>6.7732548102211396</v>
      </c>
      <c r="G13" s="28">
        <v>3.5125000000000002</v>
      </c>
    </row>
    <row r="14" spans="1:7" x14ac:dyDescent="0.2">
      <c r="A14" s="26" t="s">
        <v>239</v>
      </c>
      <c r="B14" s="26" t="s">
        <v>240</v>
      </c>
      <c r="C14" s="26" t="s">
        <v>209</v>
      </c>
      <c r="D14" s="30">
        <v>75</v>
      </c>
      <c r="E14" s="28">
        <v>775.80449999999996</v>
      </c>
      <c r="F14" s="29">
        <v>6.65317411828042</v>
      </c>
      <c r="G14" s="28">
        <v>3.75</v>
      </c>
    </row>
    <row r="15" spans="1:7" x14ac:dyDescent="0.2">
      <c r="A15" s="26" t="s">
        <v>733</v>
      </c>
      <c r="B15" s="26" t="s">
        <v>734</v>
      </c>
      <c r="C15" s="26" t="s">
        <v>209</v>
      </c>
      <c r="D15" s="30">
        <v>21</v>
      </c>
      <c r="E15" s="28">
        <v>533.82577500000002</v>
      </c>
      <c r="F15" s="29">
        <v>4.5780036464096101</v>
      </c>
      <c r="G15" s="28">
        <v>4.5399000000000003</v>
      </c>
    </row>
    <row r="16" spans="1:7" x14ac:dyDescent="0.2">
      <c r="A16" s="26" t="s">
        <v>735</v>
      </c>
      <c r="B16" s="26" t="s">
        <v>736</v>
      </c>
      <c r="C16" s="26" t="s">
        <v>16</v>
      </c>
      <c r="D16" s="30">
        <v>33</v>
      </c>
      <c r="E16" s="28">
        <v>334.54773</v>
      </c>
      <c r="F16" s="29">
        <v>2.8690273110886402</v>
      </c>
      <c r="G16" s="28">
        <v>3.4750000000000001</v>
      </c>
    </row>
    <row r="17" spans="1:9" x14ac:dyDescent="0.2">
      <c r="A17" s="26" t="s">
        <v>737</v>
      </c>
      <c r="B17" s="26" t="s">
        <v>738</v>
      </c>
      <c r="C17" s="26" t="s">
        <v>16</v>
      </c>
      <c r="D17" s="30">
        <v>32</v>
      </c>
      <c r="E17" s="28">
        <v>326.00992000000002</v>
      </c>
      <c r="F17" s="29">
        <v>2.7958084311790801</v>
      </c>
      <c r="G17" s="28">
        <v>3.4649999999999999</v>
      </c>
    </row>
    <row r="18" spans="1:9" x14ac:dyDescent="0.2">
      <c r="A18" s="26" t="s">
        <v>257</v>
      </c>
      <c r="B18" s="26" t="s">
        <v>258</v>
      </c>
      <c r="C18" s="26" t="s">
        <v>209</v>
      </c>
      <c r="D18" s="30">
        <v>310</v>
      </c>
      <c r="E18" s="28">
        <v>317.87988999999999</v>
      </c>
      <c r="F18" s="29">
        <v>2.7260866067028799</v>
      </c>
      <c r="G18" s="28">
        <v>3.49</v>
      </c>
    </row>
    <row r="19" spans="1:9" x14ac:dyDescent="0.2">
      <c r="A19" s="26" t="s">
        <v>739</v>
      </c>
      <c r="B19" s="26" t="s">
        <v>740</v>
      </c>
      <c r="C19" s="26" t="s">
        <v>160</v>
      </c>
      <c r="D19" s="30">
        <v>32</v>
      </c>
      <c r="E19" s="28">
        <v>314.49119999999999</v>
      </c>
      <c r="F19" s="29">
        <v>2.6970257484546099</v>
      </c>
      <c r="G19" s="28">
        <v>3.875</v>
      </c>
    </row>
    <row r="20" spans="1:9" x14ac:dyDescent="0.2">
      <c r="A20" s="26" t="s">
        <v>648</v>
      </c>
      <c r="B20" s="26" t="s">
        <v>649</v>
      </c>
      <c r="C20" s="26" t="s">
        <v>16</v>
      </c>
      <c r="D20" s="30">
        <v>2</v>
      </c>
      <c r="E20" s="28">
        <v>201.81139999999999</v>
      </c>
      <c r="F20" s="29">
        <v>1.73070197872523</v>
      </c>
      <c r="G20" s="28">
        <v>3.1598999999999999</v>
      </c>
    </row>
    <row r="21" spans="1:9" x14ac:dyDescent="0.2">
      <c r="A21" s="26" t="s">
        <v>741</v>
      </c>
      <c r="B21" s="26" t="s">
        <v>742</v>
      </c>
      <c r="C21" s="26" t="s">
        <v>160</v>
      </c>
      <c r="D21" s="30">
        <v>26</v>
      </c>
      <c r="E21" s="28">
        <v>131.99797000000001</v>
      </c>
      <c r="F21" s="29">
        <v>1.1319932762307501</v>
      </c>
      <c r="G21" s="28">
        <v>4.2549000000000001</v>
      </c>
    </row>
    <row r="22" spans="1:9" x14ac:dyDescent="0.2">
      <c r="A22" s="26" t="s">
        <v>585</v>
      </c>
      <c r="B22" s="26" t="s">
        <v>586</v>
      </c>
      <c r="C22" s="26" t="s">
        <v>16</v>
      </c>
      <c r="D22" s="30">
        <v>4</v>
      </c>
      <c r="E22" s="28">
        <v>40.36824</v>
      </c>
      <c r="F22" s="29">
        <v>0.34619150774265001</v>
      </c>
      <c r="G22" s="28">
        <v>4.6449999999999996</v>
      </c>
    </row>
    <row r="23" spans="1:9" x14ac:dyDescent="0.2">
      <c r="A23" s="26" t="s">
        <v>743</v>
      </c>
      <c r="B23" s="26" t="s">
        <v>744</v>
      </c>
      <c r="C23" s="26" t="s">
        <v>16</v>
      </c>
      <c r="D23" s="30">
        <v>2</v>
      </c>
      <c r="E23" s="28">
        <v>25.380479999999999</v>
      </c>
      <c r="F23" s="29">
        <v>0.217658898144486</v>
      </c>
      <c r="G23" s="28">
        <v>3.75</v>
      </c>
    </row>
    <row r="24" spans="1:9" x14ac:dyDescent="0.2">
      <c r="A24" s="26" t="s">
        <v>587</v>
      </c>
      <c r="B24" s="26" t="s">
        <v>588</v>
      </c>
      <c r="C24" s="26" t="s">
        <v>13</v>
      </c>
      <c r="D24" s="30">
        <v>2</v>
      </c>
      <c r="E24" s="28">
        <v>25.130279999999999</v>
      </c>
      <c r="F24" s="29">
        <v>0.21551322334575301</v>
      </c>
      <c r="G24" s="28">
        <v>3.875</v>
      </c>
    </row>
    <row r="25" spans="1:9" x14ac:dyDescent="0.2">
      <c r="A25" s="26" t="s">
        <v>14</v>
      </c>
      <c r="B25" s="26" t="s">
        <v>15</v>
      </c>
      <c r="C25" s="26" t="s">
        <v>16</v>
      </c>
      <c r="D25" s="30">
        <v>1</v>
      </c>
      <c r="E25" s="28">
        <v>10.033709999999999</v>
      </c>
      <c r="F25" s="29">
        <v>8.6047476757780406E-2</v>
      </c>
      <c r="G25" s="28">
        <v>3.2597999999999998</v>
      </c>
    </row>
    <row r="26" spans="1:9" ht="10.5" x14ac:dyDescent="0.25">
      <c r="A26" s="25" t="s">
        <v>17</v>
      </c>
      <c r="B26" s="25"/>
      <c r="C26" s="25"/>
      <c r="D26" s="31"/>
      <c r="E26" s="32">
        <f>SUM(E6:E25)</f>
        <v>10421.841065000001</v>
      </c>
      <c r="F26" s="33">
        <f>SUM(F6:F25)</f>
        <v>89.376026097412435</v>
      </c>
      <c r="G26" s="32"/>
      <c r="H26" s="18"/>
      <c r="I26" s="18"/>
    </row>
    <row r="27" spans="1:9" x14ac:dyDescent="0.2">
      <c r="A27" s="26"/>
      <c r="B27" s="26"/>
      <c r="C27" s="26"/>
      <c r="D27" s="27"/>
      <c r="E27" s="28"/>
      <c r="F27" s="29"/>
      <c r="G27" s="28"/>
    </row>
    <row r="28" spans="1:9" ht="10.5" x14ac:dyDescent="0.25">
      <c r="A28" s="25" t="s">
        <v>269</v>
      </c>
      <c r="B28" s="26"/>
      <c r="C28" s="26"/>
      <c r="D28" s="27"/>
      <c r="E28" s="28"/>
      <c r="F28" s="29"/>
      <c r="G28" s="28"/>
    </row>
    <row r="29" spans="1:9" x14ac:dyDescent="0.2">
      <c r="A29" s="26" t="s">
        <v>270</v>
      </c>
      <c r="B29" s="26" t="s">
        <v>271</v>
      </c>
      <c r="C29" s="26" t="s">
        <v>16</v>
      </c>
      <c r="D29" s="30">
        <v>29</v>
      </c>
      <c r="E29" s="28">
        <v>293.41910000000001</v>
      </c>
      <c r="F29" s="29">
        <v>2.5163148214906399</v>
      </c>
      <c r="G29" s="28">
        <v>3.5169999999999999</v>
      </c>
    </row>
    <row r="30" spans="1:9" ht="10.5" x14ac:dyDescent="0.25">
      <c r="A30" s="25" t="s">
        <v>17</v>
      </c>
      <c r="B30" s="25"/>
      <c r="C30" s="25"/>
      <c r="D30" s="31"/>
      <c r="E30" s="32">
        <f>SUM(E28:E29)</f>
        <v>293.41910000000001</v>
      </c>
      <c r="F30" s="33">
        <f>SUM(F28:F29)</f>
        <v>2.5163148214906399</v>
      </c>
      <c r="G30" s="32"/>
      <c r="H30" s="18"/>
      <c r="I30" s="18"/>
    </row>
    <row r="31" spans="1:9" x14ac:dyDescent="0.2">
      <c r="A31" s="26"/>
      <c r="B31" s="26"/>
      <c r="C31" s="26"/>
      <c r="D31" s="27"/>
      <c r="E31" s="28"/>
      <c r="F31" s="29"/>
      <c r="G31" s="28"/>
    </row>
    <row r="32" spans="1:9" ht="10.5" x14ac:dyDescent="0.25">
      <c r="A32" s="25" t="s">
        <v>18</v>
      </c>
      <c r="B32" s="26"/>
      <c r="C32" s="26"/>
      <c r="D32" s="27"/>
      <c r="E32" s="28"/>
      <c r="F32" s="29"/>
      <c r="G32" s="28"/>
    </row>
    <row r="33" spans="1:9" ht="10.5" x14ac:dyDescent="0.25">
      <c r="A33" s="25" t="s">
        <v>105</v>
      </c>
      <c r="B33" s="26"/>
      <c r="C33" s="26"/>
      <c r="D33" s="27"/>
      <c r="E33" s="28"/>
      <c r="F33" s="29"/>
      <c r="G33" s="28"/>
    </row>
    <row r="34" spans="1:9" x14ac:dyDescent="0.2">
      <c r="A34" s="26" t="s">
        <v>115</v>
      </c>
      <c r="B34" s="26" t="s">
        <v>116</v>
      </c>
      <c r="C34" s="26" t="s">
        <v>25</v>
      </c>
      <c r="D34" s="30">
        <v>16</v>
      </c>
      <c r="E34" s="28">
        <v>15.916767999999999</v>
      </c>
      <c r="F34" s="29">
        <v>0.13649963219377301</v>
      </c>
      <c r="G34" s="28">
        <v>3.0299</v>
      </c>
    </row>
    <row r="35" spans="1:9" ht="10.5" x14ac:dyDescent="0.25">
      <c r="A35" s="25" t="s">
        <v>17</v>
      </c>
      <c r="B35" s="25"/>
      <c r="C35" s="25"/>
      <c r="D35" s="31"/>
      <c r="E35" s="32">
        <f>SUM(E33:E34)</f>
        <v>15.916767999999999</v>
      </c>
      <c r="F35" s="33">
        <f>SUM(F33:F34)</f>
        <v>0.13649963219377301</v>
      </c>
      <c r="G35" s="32"/>
      <c r="H35" s="18"/>
      <c r="I35" s="18"/>
    </row>
    <row r="36" spans="1:9" x14ac:dyDescent="0.2">
      <c r="A36" s="26"/>
      <c r="B36" s="26"/>
      <c r="C36" s="26"/>
      <c r="D36" s="27"/>
      <c r="E36" s="28"/>
      <c r="F36" s="29"/>
      <c r="G36" s="28"/>
    </row>
    <row r="37" spans="1:9" ht="10.5" x14ac:dyDescent="0.25">
      <c r="A37" s="25" t="s">
        <v>62</v>
      </c>
      <c r="B37" s="25"/>
      <c r="C37" s="25"/>
      <c r="D37" s="31"/>
      <c r="E37" s="32">
        <f>E26+E30+E35</f>
        <v>10731.176932999999</v>
      </c>
      <c r="F37" s="33">
        <f>F26+F30+F35</f>
        <v>92.028840551096849</v>
      </c>
      <c r="G37" s="32"/>
      <c r="H37" s="18"/>
      <c r="I37" s="18"/>
    </row>
    <row r="38" spans="1:9" ht="10.5" x14ac:dyDescent="0.25">
      <c r="A38" s="25"/>
      <c r="B38" s="25"/>
      <c r="C38" s="25"/>
      <c r="D38" s="31"/>
      <c r="E38" s="32"/>
      <c r="F38" s="33"/>
      <c r="G38" s="32"/>
      <c r="H38" s="18"/>
      <c r="I38" s="18"/>
    </row>
    <row r="39" spans="1:9" ht="10.5" x14ac:dyDescent="0.25">
      <c r="A39" s="25" t="s">
        <v>63</v>
      </c>
      <c r="B39" s="25"/>
      <c r="C39" s="25"/>
      <c r="D39" s="31"/>
      <c r="E39" s="32">
        <f>E41-(E26+E30+E35)</f>
        <v>929.4903847000005</v>
      </c>
      <c r="F39" s="33">
        <f>F41-(F26+F30+F35)</f>
        <v>7.9711594489031512</v>
      </c>
      <c r="G39" s="32"/>
      <c r="H39" s="18"/>
      <c r="I39" s="18"/>
    </row>
    <row r="40" spans="1:9" ht="10.5" x14ac:dyDescent="0.25">
      <c r="A40" s="25"/>
      <c r="B40" s="25"/>
      <c r="C40" s="25"/>
      <c r="D40" s="31"/>
      <c r="E40" s="32"/>
      <c r="F40" s="33"/>
      <c r="G40" s="32"/>
      <c r="H40" s="18"/>
      <c r="I40" s="18"/>
    </row>
    <row r="41" spans="1:9" ht="10.5" x14ac:dyDescent="0.25">
      <c r="A41" s="34" t="s">
        <v>64</v>
      </c>
      <c r="B41" s="34"/>
      <c r="C41" s="34"/>
      <c r="D41" s="35"/>
      <c r="E41" s="36">
        <v>11660.667317699999</v>
      </c>
      <c r="F41" s="37">
        <v>100</v>
      </c>
      <c r="G41" s="36"/>
      <c r="H41" s="18"/>
      <c r="I41" s="18"/>
    </row>
    <row r="43" spans="1:9" ht="10.5" x14ac:dyDescent="0.25">
      <c r="A43" s="18" t="s">
        <v>66</v>
      </c>
    </row>
    <row r="45" spans="1:9" ht="10.5" x14ac:dyDescent="0.25">
      <c r="A45" s="18" t="s">
        <v>67</v>
      </c>
    </row>
    <row r="46" spans="1:9" ht="10.5" x14ac:dyDescent="0.25">
      <c r="A46" s="18" t="s">
        <v>68</v>
      </c>
    </row>
    <row r="47" spans="1:9" ht="10.5" x14ac:dyDescent="0.25">
      <c r="A47" s="18" t="s">
        <v>69</v>
      </c>
      <c r="B47" s="18"/>
      <c r="C47" s="38" t="s">
        <v>70</v>
      </c>
      <c r="D47" s="43" t="s">
        <v>71</v>
      </c>
    </row>
    <row r="48" spans="1:9" x14ac:dyDescent="0.2">
      <c r="A48" s="9" t="s">
        <v>98</v>
      </c>
      <c r="C48" s="39">
        <v>11.9207</v>
      </c>
      <c r="D48" s="39">
        <v>12.302300000000001</v>
      </c>
    </row>
    <row r="49" spans="1:5" x14ac:dyDescent="0.2">
      <c r="A49" s="9" t="s">
        <v>669</v>
      </c>
      <c r="C49" s="39">
        <v>11.1516</v>
      </c>
      <c r="D49" s="39">
        <v>10.6279</v>
      </c>
    </row>
    <row r="50" spans="1:5" x14ac:dyDescent="0.2">
      <c r="A50" s="9" t="s">
        <v>275</v>
      </c>
      <c r="C50" s="39">
        <v>10.4848</v>
      </c>
      <c r="D50" s="39">
        <v>10.4139</v>
      </c>
    </row>
    <row r="51" spans="1:5" x14ac:dyDescent="0.2">
      <c r="A51" s="9" t="s">
        <v>101</v>
      </c>
      <c r="C51" s="39">
        <v>12.0405</v>
      </c>
      <c r="D51" s="39">
        <v>12.426</v>
      </c>
    </row>
    <row r="52" spans="1:5" x14ac:dyDescent="0.2">
      <c r="A52" s="9" t="s">
        <v>332</v>
      </c>
      <c r="C52" s="39">
        <v>11.272399999999999</v>
      </c>
      <c r="D52" s="39">
        <v>10.7544</v>
      </c>
    </row>
    <row r="54" spans="1:5" ht="10.5" x14ac:dyDescent="0.25">
      <c r="A54" s="18" t="s">
        <v>90</v>
      </c>
    </row>
    <row r="55" spans="1:5" ht="10.5" x14ac:dyDescent="0.25">
      <c r="A55" s="68" t="s">
        <v>91</v>
      </c>
      <c r="B55" s="69"/>
      <c r="C55" s="40" t="s">
        <v>92</v>
      </c>
    </row>
    <row r="56" spans="1:5" x14ac:dyDescent="0.2">
      <c r="A56" s="64" t="s">
        <v>669</v>
      </c>
      <c r="B56" s="65"/>
      <c r="C56" s="41">
        <v>0.86</v>
      </c>
    </row>
    <row r="57" spans="1:5" x14ac:dyDescent="0.2">
      <c r="A57" s="64" t="s">
        <v>275</v>
      </c>
      <c r="B57" s="65"/>
      <c r="C57" s="41">
        <v>0.4</v>
      </c>
    </row>
    <row r="58" spans="1:5" x14ac:dyDescent="0.2">
      <c r="A58" s="64" t="s">
        <v>332</v>
      </c>
      <c r="B58" s="65"/>
      <c r="C58" s="41">
        <v>0.86</v>
      </c>
    </row>
    <row r="59" spans="1:5" x14ac:dyDescent="0.2">
      <c r="A59" s="9" t="s">
        <v>93</v>
      </c>
    </row>
    <row r="61" spans="1:5" ht="10.5" x14ac:dyDescent="0.25">
      <c r="A61" s="18" t="s">
        <v>94</v>
      </c>
      <c r="D61" s="42">
        <v>0.46193448802739701</v>
      </c>
      <c r="E61" s="13" t="s">
        <v>95</v>
      </c>
    </row>
    <row r="63" spans="1:5" ht="10.5" x14ac:dyDescent="0.25">
      <c r="A63" s="18" t="s">
        <v>1506</v>
      </c>
      <c r="D63" s="43" t="s">
        <v>96</v>
      </c>
    </row>
    <row r="65" spans="1:1" ht="10.5" x14ac:dyDescent="0.25">
      <c r="A65" s="18" t="s">
        <v>1508</v>
      </c>
    </row>
    <row r="66" spans="1:1" x14ac:dyDescent="0.2">
      <c r="A66" s="47" t="s">
        <v>1509</v>
      </c>
    </row>
  </sheetData>
  <mergeCells count="5">
    <mergeCell ref="A1:G1"/>
    <mergeCell ref="A55:B55"/>
    <mergeCell ref="A56:B56"/>
    <mergeCell ref="A57:B57"/>
    <mergeCell ref="A58:B58"/>
  </mergeCells>
  <conditionalFormatting sqref="F2:F3 F5:F65536">
    <cfRule type="cellIs" dxfId="42" priority="1" stopIfTrue="1" operator="between">
      <formula>0.009</formula>
      <formula>-0.009</formula>
    </cfRule>
  </conditionalFormatting>
  <hyperlinks>
    <hyperlink ref="A66" r:id="rId1" xr:uid="{BF3C5EBE-144C-43FC-8F70-51DB4C1A30B2}"/>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4"/>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745</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746</v>
      </c>
      <c r="B7" s="26" t="s">
        <v>747</v>
      </c>
      <c r="C7" s="26" t="s">
        <v>16</v>
      </c>
      <c r="D7" s="30">
        <v>99</v>
      </c>
      <c r="E7" s="28">
        <v>1251.01746</v>
      </c>
      <c r="F7" s="29">
        <v>10.0645379459366</v>
      </c>
      <c r="G7" s="28">
        <v>4.2499000000000002</v>
      </c>
    </row>
    <row r="8" spans="1:7" x14ac:dyDescent="0.2">
      <c r="A8" s="26" t="s">
        <v>748</v>
      </c>
      <c r="B8" s="26" t="s">
        <v>749</v>
      </c>
      <c r="C8" s="26" t="s">
        <v>16</v>
      </c>
      <c r="D8" s="30">
        <v>119</v>
      </c>
      <c r="E8" s="28">
        <v>1216.11574</v>
      </c>
      <c r="F8" s="29">
        <v>9.7837507494745797</v>
      </c>
      <c r="G8" s="28">
        <v>3.5950000000000002</v>
      </c>
    </row>
    <row r="9" spans="1:7" x14ac:dyDescent="0.2">
      <c r="A9" s="26" t="s">
        <v>704</v>
      </c>
      <c r="B9" s="26" t="s">
        <v>705</v>
      </c>
      <c r="C9" s="26" t="s">
        <v>16</v>
      </c>
      <c r="D9" s="30">
        <v>119</v>
      </c>
      <c r="E9" s="28">
        <v>1213.4727499999999</v>
      </c>
      <c r="F9" s="29">
        <v>9.7624876784174202</v>
      </c>
      <c r="G9" s="28">
        <v>3.5798999999999999</v>
      </c>
    </row>
    <row r="10" spans="1:7" x14ac:dyDescent="0.2">
      <c r="A10" s="26" t="s">
        <v>750</v>
      </c>
      <c r="B10" s="26" t="s">
        <v>751</v>
      </c>
      <c r="C10" s="26" t="s">
        <v>209</v>
      </c>
      <c r="D10" s="30">
        <v>100</v>
      </c>
      <c r="E10" s="28">
        <v>1022.1950000000001</v>
      </c>
      <c r="F10" s="29">
        <v>8.2236425106702207</v>
      </c>
      <c r="G10" s="28">
        <v>3.5249999999999999</v>
      </c>
    </row>
    <row r="11" spans="1:7" x14ac:dyDescent="0.2">
      <c r="A11" s="26" t="s">
        <v>752</v>
      </c>
      <c r="B11" s="26" t="s">
        <v>753</v>
      </c>
      <c r="C11" s="26" t="s">
        <v>209</v>
      </c>
      <c r="D11" s="30">
        <v>100</v>
      </c>
      <c r="E11" s="28">
        <v>1018.611</v>
      </c>
      <c r="F11" s="29">
        <v>8.1948089370778607</v>
      </c>
      <c r="G11" s="28">
        <v>4.59</v>
      </c>
    </row>
    <row r="12" spans="1:7" x14ac:dyDescent="0.2">
      <c r="A12" s="26" t="s">
        <v>754</v>
      </c>
      <c r="B12" s="26" t="s">
        <v>755</v>
      </c>
      <c r="C12" s="26" t="s">
        <v>16</v>
      </c>
      <c r="D12" s="30">
        <v>100</v>
      </c>
      <c r="E12" s="28">
        <v>1018.106</v>
      </c>
      <c r="F12" s="29">
        <v>8.1907461707095095</v>
      </c>
      <c r="G12" s="28">
        <v>3.5125000000000002</v>
      </c>
    </row>
    <row r="13" spans="1:7" x14ac:dyDescent="0.2">
      <c r="A13" s="26" t="s">
        <v>739</v>
      </c>
      <c r="B13" s="26" t="s">
        <v>740</v>
      </c>
      <c r="C13" s="26" t="s">
        <v>160</v>
      </c>
      <c r="D13" s="30">
        <v>96</v>
      </c>
      <c r="E13" s="28">
        <v>943.47360000000003</v>
      </c>
      <c r="F13" s="29">
        <v>7.59032239900906</v>
      </c>
      <c r="G13" s="28">
        <v>3.875</v>
      </c>
    </row>
    <row r="14" spans="1:7" x14ac:dyDescent="0.2">
      <c r="A14" s="26" t="s">
        <v>237</v>
      </c>
      <c r="B14" s="26" t="s">
        <v>238</v>
      </c>
      <c r="C14" s="26" t="s">
        <v>209</v>
      </c>
      <c r="D14" s="30">
        <v>74</v>
      </c>
      <c r="E14" s="28">
        <v>935.29118000000005</v>
      </c>
      <c r="F14" s="29">
        <v>7.5244941598255801</v>
      </c>
      <c r="G14" s="28">
        <v>5.0650000000000004</v>
      </c>
    </row>
    <row r="15" spans="1:7" x14ac:dyDescent="0.2">
      <c r="A15" s="26" t="s">
        <v>737</v>
      </c>
      <c r="B15" s="26" t="s">
        <v>738</v>
      </c>
      <c r="C15" s="26" t="s">
        <v>16</v>
      </c>
      <c r="D15" s="30">
        <v>67</v>
      </c>
      <c r="E15" s="28">
        <v>682.58326999999997</v>
      </c>
      <c r="F15" s="29">
        <v>5.49143832267257</v>
      </c>
      <c r="G15" s="28">
        <v>3.4649999999999999</v>
      </c>
    </row>
    <row r="16" spans="1:7" x14ac:dyDescent="0.2">
      <c r="A16" s="26" t="s">
        <v>648</v>
      </c>
      <c r="B16" s="26" t="s">
        <v>649</v>
      </c>
      <c r="C16" s="26" t="s">
        <v>16</v>
      </c>
      <c r="D16" s="30">
        <v>5</v>
      </c>
      <c r="E16" s="28">
        <v>504.52850000000001</v>
      </c>
      <c r="F16" s="29">
        <v>4.0589731122189798</v>
      </c>
      <c r="G16" s="28">
        <v>3.1598999999999999</v>
      </c>
    </row>
    <row r="17" spans="1:9" x14ac:dyDescent="0.2">
      <c r="A17" s="26" t="s">
        <v>267</v>
      </c>
      <c r="B17" s="26" t="s">
        <v>268</v>
      </c>
      <c r="C17" s="26" t="s">
        <v>16</v>
      </c>
      <c r="D17" s="30">
        <v>46</v>
      </c>
      <c r="E17" s="28">
        <v>471.51472000000001</v>
      </c>
      <c r="F17" s="29">
        <v>3.7933745477122902</v>
      </c>
      <c r="G17" s="28">
        <v>3.44</v>
      </c>
    </row>
    <row r="18" spans="1:9" x14ac:dyDescent="0.2">
      <c r="A18" s="26" t="s">
        <v>731</v>
      </c>
      <c r="B18" s="26" t="s">
        <v>732</v>
      </c>
      <c r="C18" s="26" t="s">
        <v>16</v>
      </c>
      <c r="D18" s="30">
        <v>23</v>
      </c>
      <c r="E18" s="28">
        <v>235.91629</v>
      </c>
      <c r="F18" s="29">
        <v>1.8979658787253</v>
      </c>
      <c r="G18" s="28">
        <v>3.5125000000000002</v>
      </c>
    </row>
    <row r="19" spans="1:9" x14ac:dyDescent="0.2">
      <c r="A19" s="26" t="s">
        <v>712</v>
      </c>
      <c r="B19" s="26" t="s">
        <v>713</v>
      </c>
      <c r="C19" s="26" t="s">
        <v>16</v>
      </c>
      <c r="D19" s="30">
        <v>20</v>
      </c>
      <c r="E19" s="28">
        <v>202.6584</v>
      </c>
      <c r="F19" s="29">
        <v>1.63040342927172</v>
      </c>
      <c r="G19" s="28">
        <v>3.5124</v>
      </c>
    </row>
    <row r="20" spans="1:9" x14ac:dyDescent="0.2">
      <c r="A20" s="26" t="s">
        <v>735</v>
      </c>
      <c r="B20" s="26" t="s">
        <v>736</v>
      </c>
      <c r="C20" s="26" t="s">
        <v>16</v>
      </c>
      <c r="D20" s="30">
        <v>17</v>
      </c>
      <c r="E20" s="28">
        <v>172.34277</v>
      </c>
      <c r="F20" s="29">
        <v>1.3865117025407701</v>
      </c>
      <c r="G20" s="28">
        <v>3.4750000000000001</v>
      </c>
    </row>
    <row r="21" spans="1:9" x14ac:dyDescent="0.2">
      <c r="A21" s="26" t="s">
        <v>587</v>
      </c>
      <c r="B21" s="26" t="s">
        <v>588</v>
      </c>
      <c r="C21" s="26" t="s">
        <v>13</v>
      </c>
      <c r="D21" s="30">
        <v>2</v>
      </c>
      <c r="E21" s="28">
        <v>25.130279999999999</v>
      </c>
      <c r="F21" s="29">
        <v>0.20217516120998999</v>
      </c>
      <c r="G21" s="28">
        <v>3.875</v>
      </c>
    </row>
    <row r="22" spans="1:9" x14ac:dyDescent="0.2">
      <c r="A22" s="26" t="s">
        <v>741</v>
      </c>
      <c r="B22" s="26" t="s">
        <v>742</v>
      </c>
      <c r="C22" s="26" t="s">
        <v>160</v>
      </c>
      <c r="D22" s="30">
        <v>4</v>
      </c>
      <c r="E22" s="28">
        <v>20.307379999999998</v>
      </c>
      <c r="F22" s="29">
        <v>0.16337453563002599</v>
      </c>
      <c r="G22" s="28">
        <v>4.2549000000000001</v>
      </c>
    </row>
    <row r="23" spans="1:9" x14ac:dyDescent="0.2">
      <c r="A23" s="26" t="s">
        <v>743</v>
      </c>
      <c r="B23" s="26" t="s">
        <v>744</v>
      </c>
      <c r="C23" s="26" t="s">
        <v>16</v>
      </c>
      <c r="D23" s="30">
        <v>1</v>
      </c>
      <c r="E23" s="28">
        <v>12.690239999999999</v>
      </c>
      <c r="F23" s="29">
        <v>0.102094020352876</v>
      </c>
      <c r="G23" s="28">
        <v>3.75</v>
      </c>
    </row>
    <row r="24" spans="1:9" ht="10.5" x14ac:dyDescent="0.25">
      <c r="A24" s="25" t="s">
        <v>17</v>
      </c>
      <c r="B24" s="25"/>
      <c r="C24" s="25"/>
      <c r="D24" s="31"/>
      <c r="E24" s="32">
        <f>SUM(E6:E23)</f>
        <v>10945.954579999996</v>
      </c>
      <c r="F24" s="33">
        <f>SUM(F6:F23)</f>
        <v>88.061101261455363</v>
      </c>
      <c r="G24" s="32"/>
      <c r="H24" s="18"/>
      <c r="I24" s="18"/>
    </row>
    <row r="25" spans="1:9" x14ac:dyDescent="0.2">
      <c r="A25" s="26"/>
      <c r="B25" s="26"/>
      <c r="C25" s="26"/>
      <c r="D25" s="27"/>
      <c r="E25" s="28"/>
      <c r="F25" s="29"/>
      <c r="G25" s="28"/>
    </row>
    <row r="26" spans="1:9" ht="10.5" x14ac:dyDescent="0.25">
      <c r="A26" s="25" t="s">
        <v>269</v>
      </c>
      <c r="B26" s="26"/>
      <c r="C26" s="26"/>
      <c r="D26" s="27"/>
      <c r="E26" s="28"/>
      <c r="F26" s="29"/>
      <c r="G26" s="28"/>
    </row>
    <row r="27" spans="1:9" x14ac:dyDescent="0.2">
      <c r="A27" s="26" t="s">
        <v>270</v>
      </c>
      <c r="B27" s="26" t="s">
        <v>271</v>
      </c>
      <c r="C27" s="26" t="s">
        <v>16</v>
      </c>
      <c r="D27" s="30">
        <v>37</v>
      </c>
      <c r="E27" s="28">
        <v>374.3623</v>
      </c>
      <c r="F27" s="29">
        <v>3.0117753703278498</v>
      </c>
      <c r="G27" s="28">
        <v>3.5169999999999999</v>
      </c>
    </row>
    <row r="28" spans="1:9" ht="10.5" x14ac:dyDescent="0.25">
      <c r="A28" s="25" t="s">
        <v>17</v>
      </c>
      <c r="B28" s="25"/>
      <c r="C28" s="25"/>
      <c r="D28" s="31"/>
      <c r="E28" s="32">
        <f>SUM(E26:E27)</f>
        <v>374.3623</v>
      </c>
      <c r="F28" s="33">
        <f>SUM(F26:F27)</f>
        <v>3.0117753703278498</v>
      </c>
      <c r="G28" s="32"/>
      <c r="H28" s="18"/>
      <c r="I28" s="18"/>
    </row>
    <row r="29" spans="1:9" x14ac:dyDescent="0.2">
      <c r="A29" s="26"/>
      <c r="B29" s="26"/>
      <c r="C29" s="26"/>
      <c r="D29" s="27"/>
      <c r="E29" s="28"/>
      <c r="F29" s="29"/>
      <c r="G29" s="28"/>
    </row>
    <row r="30" spans="1:9" ht="10.5" x14ac:dyDescent="0.25">
      <c r="A30" s="25" t="s">
        <v>18</v>
      </c>
      <c r="B30" s="26"/>
      <c r="C30" s="26"/>
      <c r="D30" s="27"/>
      <c r="E30" s="28"/>
      <c r="F30" s="29"/>
      <c r="G30" s="28"/>
    </row>
    <row r="31" spans="1:9" ht="10.5" x14ac:dyDescent="0.25">
      <c r="A31" s="25" t="s">
        <v>105</v>
      </c>
      <c r="B31" s="26"/>
      <c r="C31" s="26"/>
      <c r="D31" s="27"/>
      <c r="E31" s="28"/>
      <c r="F31" s="29"/>
      <c r="G31" s="28"/>
    </row>
    <row r="32" spans="1:9" x14ac:dyDescent="0.2">
      <c r="A32" s="26" t="s">
        <v>115</v>
      </c>
      <c r="B32" s="26" t="s">
        <v>116</v>
      </c>
      <c r="C32" s="26" t="s">
        <v>25</v>
      </c>
      <c r="D32" s="30">
        <v>112</v>
      </c>
      <c r="E32" s="28">
        <v>111.417376</v>
      </c>
      <c r="F32" s="29">
        <v>0.89636191695413103</v>
      </c>
      <c r="G32" s="28">
        <v>3.0299</v>
      </c>
    </row>
    <row r="33" spans="1:9" ht="10.5" x14ac:dyDescent="0.25">
      <c r="A33" s="25" t="s">
        <v>17</v>
      </c>
      <c r="B33" s="25"/>
      <c r="C33" s="25"/>
      <c r="D33" s="31"/>
      <c r="E33" s="32">
        <f>SUM(E31:E32)</f>
        <v>111.417376</v>
      </c>
      <c r="F33" s="33">
        <f>SUM(F31:F32)</f>
        <v>0.89636191695413103</v>
      </c>
      <c r="G33" s="32"/>
      <c r="H33" s="18"/>
      <c r="I33" s="18"/>
    </row>
    <row r="34" spans="1:9" x14ac:dyDescent="0.2">
      <c r="A34" s="26"/>
      <c r="B34" s="26"/>
      <c r="C34" s="26"/>
      <c r="D34" s="27"/>
      <c r="E34" s="28"/>
      <c r="F34" s="29"/>
      <c r="G34" s="28"/>
    </row>
    <row r="35" spans="1:9" ht="10.5" x14ac:dyDescent="0.25">
      <c r="A35" s="25" t="s">
        <v>62</v>
      </c>
      <c r="B35" s="25"/>
      <c r="C35" s="25"/>
      <c r="D35" s="31"/>
      <c r="E35" s="32">
        <f>E24+E28+E33</f>
        <v>11431.734255999996</v>
      </c>
      <c r="F35" s="33">
        <f>F24+F28+F33</f>
        <v>91.969238548737351</v>
      </c>
      <c r="G35" s="32"/>
      <c r="H35" s="18"/>
      <c r="I35" s="18"/>
    </row>
    <row r="36" spans="1:9" ht="10.5" x14ac:dyDescent="0.25">
      <c r="A36" s="25"/>
      <c r="B36" s="25"/>
      <c r="C36" s="25"/>
      <c r="D36" s="31"/>
      <c r="E36" s="32"/>
      <c r="F36" s="33"/>
      <c r="G36" s="32"/>
      <c r="H36" s="18"/>
      <c r="I36" s="18"/>
    </row>
    <row r="37" spans="1:9" ht="10.5" x14ac:dyDescent="0.25">
      <c r="A37" s="25" t="s">
        <v>63</v>
      </c>
      <c r="B37" s="25"/>
      <c r="C37" s="25"/>
      <c r="D37" s="31"/>
      <c r="E37" s="32">
        <f>E39-(E24+E28+E33)</f>
        <v>998.21997260000353</v>
      </c>
      <c r="F37" s="33">
        <f>F39-(F24+F28+F33)</f>
        <v>8.0307614512626486</v>
      </c>
      <c r="G37" s="32"/>
      <c r="H37" s="18"/>
      <c r="I37" s="18"/>
    </row>
    <row r="38" spans="1:9" ht="10.5" x14ac:dyDescent="0.25">
      <c r="A38" s="25"/>
      <c r="B38" s="25"/>
      <c r="C38" s="25"/>
      <c r="D38" s="31"/>
      <c r="E38" s="32"/>
      <c r="F38" s="33"/>
      <c r="G38" s="32"/>
      <c r="H38" s="18"/>
      <c r="I38" s="18"/>
    </row>
    <row r="39" spans="1:9" ht="10.5" x14ac:dyDescent="0.25">
      <c r="A39" s="34" t="s">
        <v>64</v>
      </c>
      <c r="B39" s="34"/>
      <c r="C39" s="34"/>
      <c r="D39" s="35"/>
      <c r="E39" s="36">
        <v>12429.9542286</v>
      </c>
      <c r="F39" s="37">
        <v>100</v>
      </c>
      <c r="G39" s="36"/>
      <c r="H39" s="18"/>
      <c r="I39" s="18"/>
    </row>
    <row r="41" spans="1:9" ht="10.5" x14ac:dyDescent="0.25">
      <c r="A41" s="18" t="s">
        <v>66</v>
      </c>
    </row>
    <row r="43" spans="1:9" ht="10.5" x14ac:dyDescent="0.25">
      <c r="A43" s="18" t="s">
        <v>67</v>
      </c>
    </row>
    <row r="44" spans="1:9" ht="10.5" x14ac:dyDescent="0.25">
      <c r="A44" s="18" t="s">
        <v>68</v>
      </c>
    </row>
    <row r="45" spans="1:9" ht="10.5" x14ac:dyDescent="0.25">
      <c r="A45" s="18" t="s">
        <v>69</v>
      </c>
      <c r="B45" s="18"/>
      <c r="C45" s="38" t="s">
        <v>70</v>
      </c>
      <c r="D45" s="43" t="s">
        <v>71</v>
      </c>
    </row>
    <row r="46" spans="1:9" x14ac:dyDescent="0.2">
      <c r="A46" s="9" t="s">
        <v>98</v>
      </c>
      <c r="C46" s="39">
        <v>11.992100000000001</v>
      </c>
      <c r="D46" s="39">
        <v>12.3277</v>
      </c>
    </row>
    <row r="47" spans="1:9" x14ac:dyDescent="0.2">
      <c r="A47" s="9" t="s">
        <v>669</v>
      </c>
      <c r="C47" s="39">
        <v>10.392899999999999</v>
      </c>
      <c r="D47" s="39">
        <v>10.683999999999999</v>
      </c>
    </row>
    <row r="48" spans="1:9" x14ac:dyDescent="0.2">
      <c r="A48" s="9" t="s">
        <v>275</v>
      </c>
      <c r="C48" s="39">
        <v>10.37</v>
      </c>
      <c r="D48" s="39">
        <v>10.2775</v>
      </c>
    </row>
    <row r="49" spans="1:5" x14ac:dyDescent="0.2">
      <c r="A49" s="9" t="s">
        <v>101</v>
      </c>
      <c r="C49" s="39">
        <v>12.112299999999999</v>
      </c>
      <c r="D49" s="39">
        <v>12.4513</v>
      </c>
    </row>
    <row r="50" spans="1:5" x14ac:dyDescent="0.2">
      <c r="A50" s="9" t="s">
        <v>332</v>
      </c>
      <c r="C50" s="39">
        <v>10.513400000000001</v>
      </c>
      <c r="D50" s="39">
        <v>10.8089</v>
      </c>
    </row>
    <row r="51" spans="1:5" x14ac:dyDescent="0.2">
      <c r="A51" s="9" t="s">
        <v>279</v>
      </c>
      <c r="C51" s="39">
        <v>10.4404</v>
      </c>
      <c r="D51" s="39">
        <v>10.348699999999999</v>
      </c>
    </row>
    <row r="53" spans="1:5" ht="10.5" x14ac:dyDescent="0.25">
      <c r="A53" s="18" t="s">
        <v>90</v>
      </c>
    </row>
    <row r="54" spans="1:5" ht="10.5" x14ac:dyDescent="0.25">
      <c r="A54" s="68" t="s">
        <v>91</v>
      </c>
      <c r="B54" s="69"/>
      <c r="C54" s="40" t="s">
        <v>92</v>
      </c>
    </row>
    <row r="55" spans="1:5" x14ac:dyDescent="0.2">
      <c r="A55" s="64" t="s">
        <v>275</v>
      </c>
      <c r="B55" s="65"/>
      <c r="C55" s="41">
        <v>0.38</v>
      </c>
    </row>
    <row r="56" spans="1:5" x14ac:dyDescent="0.2">
      <c r="A56" s="64" t="s">
        <v>279</v>
      </c>
      <c r="B56" s="65"/>
      <c r="C56" s="41">
        <v>0.38</v>
      </c>
    </row>
    <row r="57" spans="1:5" x14ac:dyDescent="0.2">
      <c r="A57" s="9" t="s">
        <v>93</v>
      </c>
    </row>
    <row r="59" spans="1:5" ht="10.5" x14ac:dyDescent="0.25">
      <c r="A59" s="18" t="s">
        <v>94</v>
      </c>
      <c r="D59" s="42">
        <v>0.37853003810958902</v>
      </c>
      <c r="E59" s="13" t="s">
        <v>95</v>
      </c>
    </row>
    <row r="61" spans="1:5" ht="10.5" x14ac:dyDescent="0.25">
      <c r="A61" s="18" t="s">
        <v>1506</v>
      </c>
      <c r="D61" s="43" t="s">
        <v>96</v>
      </c>
    </row>
    <row r="63" spans="1:5" ht="10.5" x14ac:dyDescent="0.25">
      <c r="A63" s="18" t="s">
        <v>1508</v>
      </c>
    </row>
    <row r="64" spans="1:5" x14ac:dyDescent="0.2">
      <c r="A64" s="47" t="s">
        <v>1509</v>
      </c>
    </row>
  </sheetData>
  <mergeCells count="4">
    <mergeCell ref="A1:G1"/>
    <mergeCell ref="A54:B54"/>
    <mergeCell ref="A55:B55"/>
    <mergeCell ref="A56:B56"/>
  </mergeCells>
  <conditionalFormatting sqref="F2:F3 F5:F65536">
    <cfRule type="cellIs" dxfId="41" priority="1" stopIfTrue="1" operator="between">
      <formula>0.009</formula>
      <formula>-0.009</formula>
    </cfRule>
  </conditionalFormatting>
  <hyperlinks>
    <hyperlink ref="A64" r:id="rId1" xr:uid="{F13C6637-E195-450B-B7AA-63CAAF98B49F}"/>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0"/>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15.2695312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756</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712</v>
      </c>
      <c r="B7" s="26" t="s">
        <v>713</v>
      </c>
      <c r="C7" s="26" t="s">
        <v>16</v>
      </c>
      <c r="D7" s="30">
        <v>105</v>
      </c>
      <c r="E7" s="28">
        <v>1063.9566</v>
      </c>
      <c r="F7" s="29">
        <v>10.0159930613871</v>
      </c>
      <c r="G7" s="28">
        <v>3.5124</v>
      </c>
    </row>
    <row r="8" spans="1:7" x14ac:dyDescent="0.2">
      <c r="A8" s="26" t="s">
        <v>757</v>
      </c>
      <c r="B8" s="26" t="s">
        <v>758</v>
      </c>
      <c r="C8" s="26" t="s">
        <v>209</v>
      </c>
      <c r="D8" s="30">
        <v>100</v>
      </c>
      <c r="E8" s="28">
        <v>1013.971</v>
      </c>
      <c r="F8" s="29">
        <v>9.5454330566187497</v>
      </c>
      <c r="G8" s="28">
        <v>3.5226999999999999</v>
      </c>
    </row>
    <row r="9" spans="1:7" x14ac:dyDescent="0.2">
      <c r="A9" s="26" t="s">
        <v>741</v>
      </c>
      <c r="B9" s="26" t="s">
        <v>742</v>
      </c>
      <c r="C9" s="26" t="s">
        <v>160</v>
      </c>
      <c r="D9" s="30">
        <v>170</v>
      </c>
      <c r="E9" s="28">
        <v>863.06365000000005</v>
      </c>
      <c r="F9" s="29">
        <v>8.12480464892589</v>
      </c>
      <c r="G9" s="28">
        <v>4.2549000000000001</v>
      </c>
    </row>
    <row r="10" spans="1:7" x14ac:dyDescent="0.2">
      <c r="A10" s="26" t="s">
        <v>237</v>
      </c>
      <c r="B10" s="26" t="s">
        <v>238</v>
      </c>
      <c r="C10" s="26" t="s">
        <v>209</v>
      </c>
      <c r="D10" s="30">
        <v>63</v>
      </c>
      <c r="E10" s="28">
        <v>796.26140999999996</v>
      </c>
      <c r="F10" s="29">
        <v>7.4959342868029299</v>
      </c>
      <c r="G10" s="28">
        <v>5.0650000000000004</v>
      </c>
    </row>
    <row r="11" spans="1:7" x14ac:dyDescent="0.2">
      <c r="A11" s="26" t="s">
        <v>759</v>
      </c>
      <c r="B11" s="26" t="s">
        <v>760</v>
      </c>
      <c r="C11" s="26" t="s">
        <v>160</v>
      </c>
      <c r="D11" s="30">
        <v>78</v>
      </c>
      <c r="E11" s="28">
        <v>789.13613999999995</v>
      </c>
      <c r="F11" s="29">
        <v>7.4288576270214097</v>
      </c>
      <c r="G11" s="28">
        <v>3.875</v>
      </c>
    </row>
    <row r="12" spans="1:7" x14ac:dyDescent="0.2">
      <c r="A12" s="26" t="s">
        <v>746</v>
      </c>
      <c r="B12" s="26" t="s">
        <v>747</v>
      </c>
      <c r="C12" s="26" t="s">
        <v>16</v>
      </c>
      <c r="D12" s="30">
        <v>50</v>
      </c>
      <c r="E12" s="28">
        <v>631.827</v>
      </c>
      <c r="F12" s="29">
        <v>5.9479633360956603</v>
      </c>
      <c r="G12" s="28">
        <v>4.2499000000000002</v>
      </c>
    </row>
    <row r="13" spans="1:7" x14ac:dyDescent="0.2">
      <c r="A13" s="26" t="s">
        <v>761</v>
      </c>
      <c r="B13" s="26" t="s">
        <v>762</v>
      </c>
      <c r="C13" s="26" t="s">
        <v>209</v>
      </c>
      <c r="D13" s="30">
        <v>52</v>
      </c>
      <c r="E13" s="28">
        <v>525.84636</v>
      </c>
      <c r="F13" s="29">
        <v>4.9502709914254401</v>
      </c>
      <c r="G13" s="28">
        <v>3.4750000000000001</v>
      </c>
    </row>
    <row r="14" spans="1:7" x14ac:dyDescent="0.2">
      <c r="A14" s="26" t="s">
        <v>763</v>
      </c>
      <c r="B14" s="26" t="s">
        <v>764</v>
      </c>
      <c r="C14" s="26" t="s">
        <v>209</v>
      </c>
      <c r="D14" s="30">
        <v>50</v>
      </c>
      <c r="E14" s="28">
        <v>511.565</v>
      </c>
      <c r="F14" s="29">
        <v>4.8158275351160604</v>
      </c>
      <c r="G14" s="28">
        <v>3.9750000000000001</v>
      </c>
    </row>
    <row r="15" spans="1:7" x14ac:dyDescent="0.2">
      <c r="A15" s="26" t="s">
        <v>735</v>
      </c>
      <c r="B15" s="26" t="s">
        <v>736</v>
      </c>
      <c r="C15" s="26" t="s">
        <v>16</v>
      </c>
      <c r="D15" s="30">
        <v>50</v>
      </c>
      <c r="E15" s="28">
        <v>506.89049999999997</v>
      </c>
      <c r="F15" s="29">
        <v>4.7718222067356999</v>
      </c>
      <c r="G15" s="28">
        <v>3.4750000000000001</v>
      </c>
    </row>
    <row r="16" spans="1:7" x14ac:dyDescent="0.2">
      <c r="A16" s="26" t="s">
        <v>743</v>
      </c>
      <c r="B16" s="26" t="s">
        <v>744</v>
      </c>
      <c r="C16" s="26" t="s">
        <v>16</v>
      </c>
      <c r="D16" s="30">
        <v>39</v>
      </c>
      <c r="E16" s="28">
        <v>494.91935999999998</v>
      </c>
      <c r="F16" s="29">
        <v>4.6591269565940197</v>
      </c>
      <c r="G16" s="28">
        <v>3.75</v>
      </c>
    </row>
    <row r="17" spans="1:9" x14ac:dyDescent="0.2">
      <c r="A17" s="26" t="s">
        <v>748</v>
      </c>
      <c r="B17" s="26" t="s">
        <v>749</v>
      </c>
      <c r="C17" s="26" t="s">
        <v>16</v>
      </c>
      <c r="D17" s="30">
        <v>31</v>
      </c>
      <c r="E17" s="28">
        <v>316.80326000000002</v>
      </c>
      <c r="F17" s="29">
        <v>2.98235778976774</v>
      </c>
      <c r="G17" s="28">
        <v>3.5950000000000002</v>
      </c>
    </row>
    <row r="18" spans="1:9" x14ac:dyDescent="0.2">
      <c r="A18" s="26" t="s">
        <v>263</v>
      </c>
      <c r="B18" s="26" t="s">
        <v>264</v>
      </c>
      <c r="C18" s="26" t="s">
        <v>16</v>
      </c>
      <c r="D18" s="30">
        <v>28</v>
      </c>
      <c r="E18" s="28">
        <v>282.51888000000002</v>
      </c>
      <c r="F18" s="29">
        <v>2.6596076774098099</v>
      </c>
      <c r="G18" s="28">
        <v>3.0741000000000001</v>
      </c>
    </row>
    <row r="19" spans="1:9" x14ac:dyDescent="0.2">
      <c r="A19" s="26" t="s">
        <v>765</v>
      </c>
      <c r="B19" s="26" t="s">
        <v>766</v>
      </c>
      <c r="C19" s="26" t="s">
        <v>16</v>
      </c>
      <c r="D19" s="30">
        <v>21</v>
      </c>
      <c r="E19" s="28">
        <v>264.66467999999998</v>
      </c>
      <c r="F19" s="29">
        <v>2.4915298222448401</v>
      </c>
      <c r="G19" s="28">
        <v>3.6848999999999998</v>
      </c>
    </row>
    <row r="20" spans="1:9" x14ac:dyDescent="0.2">
      <c r="A20" s="26" t="s">
        <v>767</v>
      </c>
      <c r="B20" s="26" t="s">
        <v>768</v>
      </c>
      <c r="C20" s="26" t="s">
        <v>16</v>
      </c>
      <c r="D20" s="30">
        <v>26</v>
      </c>
      <c r="E20" s="28">
        <v>264.01778000000002</v>
      </c>
      <c r="F20" s="29">
        <v>2.4854399630236901</v>
      </c>
      <c r="G20" s="28">
        <v>3.4750000000000001</v>
      </c>
    </row>
    <row r="21" spans="1:9" x14ac:dyDescent="0.2">
      <c r="A21" s="26" t="s">
        <v>648</v>
      </c>
      <c r="B21" s="26" t="s">
        <v>649</v>
      </c>
      <c r="C21" s="26" t="s">
        <v>16</v>
      </c>
      <c r="D21" s="30">
        <v>1</v>
      </c>
      <c r="E21" s="28">
        <v>100.9057</v>
      </c>
      <c r="F21" s="29">
        <v>0.94991730964816001</v>
      </c>
      <c r="G21" s="28">
        <v>3.1598999999999999</v>
      </c>
    </row>
    <row r="22" spans="1:9" x14ac:dyDescent="0.2">
      <c r="A22" s="26" t="s">
        <v>587</v>
      </c>
      <c r="B22" s="26" t="s">
        <v>588</v>
      </c>
      <c r="C22" s="26" t="s">
        <v>13</v>
      </c>
      <c r="D22" s="30">
        <v>6</v>
      </c>
      <c r="E22" s="28">
        <v>75.390839999999997</v>
      </c>
      <c r="F22" s="29">
        <v>0.70972268072977895</v>
      </c>
      <c r="G22" s="28">
        <v>3.875</v>
      </c>
    </row>
    <row r="23" spans="1:9" x14ac:dyDescent="0.2">
      <c r="A23" s="26" t="s">
        <v>267</v>
      </c>
      <c r="B23" s="26" t="s">
        <v>268</v>
      </c>
      <c r="C23" s="26" t="s">
        <v>16</v>
      </c>
      <c r="D23" s="30">
        <v>2</v>
      </c>
      <c r="E23" s="28">
        <v>20.500640000000001</v>
      </c>
      <c r="F23" s="29">
        <v>0.19299120659056401</v>
      </c>
      <c r="G23" s="28">
        <v>3.44</v>
      </c>
    </row>
    <row r="24" spans="1:9" x14ac:dyDescent="0.2">
      <c r="A24" s="26" t="s">
        <v>585</v>
      </c>
      <c r="B24" s="26" t="s">
        <v>586</v>
      </c>
      <c r="C24" s="26" t="s">
        <v>16</v>
      </c>
      <c r="D24" s="30">
        <v>1</v>
      </c>
      <c r="E24" s="28">
        <v>10.09206</v>
      </c>
      <c r="F24" s="29">
        <v>9.5005757692655707E-2</v>
      </c>
      <c r="G24" s="28">
        <v>4.6449999999999996</v>
      </c>
    </row>
    <row r="25" spans="1:9" x14ac:dyDescent="0.2">
      <c r="A25" s="26" t="s">
        <v>769</v>
      </c>
      <c r="B25" s="26" t="s">
        <v>770</v>
      </c>
      <c r="C25" s="26" t="s">
        <v>16</v>
      </c>
      <c r="D25" s="30">
        <v>1</v>
      </c>
      <c r="E25" s="28">
        <v>10.005509999999999</v>
      </c>
      <c r="F25" s="29">
        <v>9.41909836694831E-2</v>
      </c>
      <c r="G25" s="28">
        <v>3.1892</v>
      </c>
    </row>
    <row r="26" spans="1:9" ht="10.5" x14ac:dyDescent="0.25">
      <c r="A26" s="25" t="s">
        <v>17</v>
      </c>
      <c r="B26" s="25"/>
      <c r="C26" s="25"/>
      <c r="D26" s="31"/>
      <c r="E26" s="32">
        <f>SUM(E6:E25)</f>
        <v>8542.3363699999991</v>
      </c>
      <c r="F26" s="33">
        <f>SUM(F6:F25)</f>
        <v>80.41679689749968</v>
      </c>
      <c r="G26" s="32"/>
      <c r="H26" s="18"/>
      <c r="I26" s="18"/>
    </row>
    <row r="27" spans="1:9" x14ac:dyDescent="0.2">
      <c r="A27" s="26"/>
      <c r="B27" s="26"/>
      <c r="C27" s="26"/>
      <c r="D27" s="27"/>
      <c r="E27" s="28"/>
      <c r="F27" s="29"/>
      <c r="G27" s="28"/>
    </row>
    <row r="28" spans="1:9" ht="10.5" x14ac:dyDescent="0.25">
      <c r="A28" s="25" t="s">
        <v>269</v>
      </c>
      <c r="B28" s="26"/>
      <c r="C28" s="26"/>
      <c r="D28" s="27"/>
      <c r="E28" s="28"/>
      <c r="F28" s="29"/>
      <c r="G28" s="28"/>
    </row>
    <row r="29" spans="1:9" x14ac:dyDescent="0.2">
      <c r="A29" s="26" t="s">
        <v>771</v>
      </c>
      <c r="B29" s="26" t="s">
        <v>772</v>
      </c>
      <c r="C29" s="26" t="s">
        <v>160</v>
      </c>
      <c r="D29" s="30">
        <v>95</v>
      </c>
      <c r="E29" s="28">
        <v>955.73895000000005</v>
      </c>
      <c r="F29" s="29">
        <v>8.9972417029955398</v>
      </c>
      <c r="G29" s="28">
        <v>3.7349999999999999</v>
      </c>
    </row>
    <row r="30" spans="1:9" x14ac:dyDescent="0.2">
      <c r="A30" s="26" t="s">
        <v>270</v>
      </c>
      <c r="B30" s="26" t="s">
        <v>271</v>
      </c>
      <c r="C30" s="26" t="s">
        <v>16</v>
      </c>
      <c r="D30" s="30">
        <v>3</v>
      </c>
      <c r="E30" s="28">
        <v>30.3537</v>
      </c>
      <c r="F30" s="29">
        <v>0.28574703948208402</v>
      </c>
      <c r="G30" s="28">
        <v>3.5169999999999999</v>
      </c>
    </row>
    <row r="31" spans="1:9" ht="10.5" x14ac:dyDescent="0.25">
      <c r="A31" s="25" t="s">
        <v>17</v>
      </c>
      <c r="B31" s="25"/>
      <c r="C31" s="25"/>
      <c r="D31" s="31"/>
      <c r="E31" s="32">
        <f>SUM(E28:E30)</f>
        <v>986.09265000000005</v>
      </c>
      <c r="F31" s="33">
        <f>SUM(F28:F30)</f>
        <v>9.2829887424776238</v>
      </c>
      <c r="G31" s="32"/>
      <c r="H31" s="18"/>
      <c r="I31" s="18"/>
    </row>
    <row r="32" spans="1:9" x14ac:dyDescent="0.2">
      <c r="A32" s="26"/>
      <c r="B32" s="26"/>
      <c r="C32" s="26"/>
      <c r="D32" s="27"/>
      <c r="E32" s="28"/>
      <c r="F32" s="29"/>
      <c r="G32" s="28"/>
    </row>
    <row r="33" spans="1:9" ht="10.5" x14ac:dyDescent="0.25">
      <c r="A33" s="25" t="s">
        <v>18</v>
      </c>
      <c r="B33" s="26"/>
      <c r="C33" s="26"/>
      <c r="D33" s="27"/>
      <c r="E33" s="28"/>
      <c r="F33" s="29"/>
      <c r="G33" s="28"/>
    </row>
    <row r="34" spans="1:9" ht="10.5" x14ac:dyDescent="0.25">
      <c r="A34" s="25" t="s">
        <v>105</v>
      </c>
      <c r="B34" s="26"/>
      <c r="C34" s="26"/>
      <c r="D34" s="27"/>
      <c r="E34" s="28"/>
      <c r="F34" s="29"/>
      <c r="G34" s="28"/>
    </row>
    <row r="35" spans="1:9" x14ac:dyDescent="0.2">
      <c r="A35" s="26" t="s">
        <v>115</v>
      </c>
      <c r="B35" s="26" t="s">
        <v>116</v>
      </c>
      <c r="C35" s="26" t="s">
        <v>25</v>
      </c>
      <c r="D35" s="30">
        <v>91</v>
      </c>
      <c r="E35" s="28">
        <v>90.526617999999999</v>
      </c>
      <c r="F35" s="29">
        <v>0.85220955230583295</v>
      </c>
      <c r="G35" s="28">
        <v>3.0299</v>
      </c>
    </row>
    <row r="36" spans="1:9" ht="10.5" x14ac:dyDescent="0.25">
      <c r="A36" s="25" t="s">
        <v>17</v>
      </c>
      <c r="B36" s="25"/>
      <c r="C36" s="25"/>
      <c r="D36" s="31"/>
      <c r="E36" s="32">
        <f>SUM(E34:E35)</f>
        <v>90.526617999999999</v>
      </c>
      <c r="F36" s="33">
        <f>SUM(F34:F35)</f>
        <v>0.85220955230583295</v>
      </c>
      <c r="G36" s="32"/>
      <c r="H36" s="18"/>
      <c r="I36" s="18"/>
    </row>
    <row r="37" spans="1:9" x14ac:dyDescent="0.2">
      <c r="A37" s="26"/>
      <c r="B37" s="26"/>
      <c r="C37" s="26"/>
      <c r="D37" s="27"/>
      <c r="E37" s="28"/>
      <c r="F37" s="29"/>
      <c r="G37" s="28"/>
    </row>
    <row r="38" spans="1:9" ht="10.5" x14ac:dyDescent="0.25">
      <c r="A38" s="25" t="s">
        <v>62</v>
      </c>
      <c r="B38" s="25"/>
      <c r="C38" s="25"/>
      <c r="D38" s="31"/>
      <c r="E38" s="32">
        <f>E26+E31+E36</f>
        <v>9618.9556379999995</v>
      </c>
      <c r="F38" s="33">
        <f>F26+F31+F36</f>
        <v>90.551995192283144</v>
      </c>
      <c r="G38" s="32"/>
      <c r="H38" s="18"/>
      <c r="I38" s="18"/>
    </row>
    <row r="39" spans="1:9" ht="10.5" x14ac:dyDescent="0.25">
      <c r="A39" s="25"/>
      <c r="B39" s="25"/>
      <c r="C39" s="25"/>
      <c r="D39" s="31"/>
      <c r="E39" s="32"/>
      <c r="F39" s="33"/>
      <c r="G39" s="32"/>
      <c r="H39" s="18"/>
      <c r="I39" s="18"/>
    </row>
    <row r="40" spans="1:9" ht="10.5" x14ac:dyDescent="0.25">
      <c r="A40" s="25" t="s">
        <v>63</v>
      </c>
      <c r="B40" s="25"/>
      <c r="C40" s="25"/>
      <c r="D40" s="31"/>
      <c r="E40" s="32">
        <f>E42-(E26+E31+E36)</f>
        <v>1003.6216089999998</v>
      </c>
      <c r="F40" s="33">
        <f>F42-(F26+F31+F36)</f>
        <v>9.4480048077168561</v>
      </c>
      <c r="G40" s="32"/>
      <c r="H40" s="18"/>
      <c r="I40" s="18"/>
    </row>
    <row r="41" spans="1:9" ht="10.5" x14ac:dyDescent="0.25">
      <c r="A41" s="25"/>
      <c r="B41" s="25"/>
      <c r="C41" s="25"/>
      <c r="D41" s="31"/>
      <c r="E41" s="32"/>
      <c r="F41" s="33"/>
      <c r="G41" s="32"/>
      <c r="H41" s="18"/>
      <c r="I41" s="18"/>
    </row>
    <row r="42" spans="1:9" ht="10.5" x14ac:dyDescent="0.25">
      <c r="A42" s="34" t="s">
        <v>64</v>
      </c>
      <c r="B42" s="34"/>
      <c r="C42" s="34"/>
      <c r="D42" s="35"/>
      <c r="E42" s="36">
        <v>10622.577246999999</v>
      </c>
      <c r="F42" s="37">
        <v>100</v>
      </c>
      <c r="G42" s="36"/>
      <c r="H42" s="18"/>
      <c r="I42" s="18"/>
    </row>
    <row r="44" spans="1:9" ht="10.5" x14ac:dyDescent="0.25">
      <c r="A44" s="18" t="s">
        <v>66</v>
      </c>
    </row>
    <row r="46" spans="1:9" ht="10.5" x14ac:dyDescent="0.25">
      <c r="A46" s="18" t="s">
        <v>67</v>
      </c>
    </row>
    <row r="47" spans="1:9" ht="10.5" x14ac:dyDescent="0.25">
      <c r="A47" s="18" t="s">
        <v>68</v>
      </c>
    </row>
    <row r="48" spans="1:9" ht="10.5" x14ac:dyDescent="0.25">
      <c r="A48" s="18" t="s">
        <v>69</v>
      </c>
      <c r="B48" s="18"/>
      <c r="C48" s="38" t="s">
        <v>70</v>
      </c>
      <c r="D48" s="43" t="s">
        <v>71</v>
      </c>
    </row>
    <row r="49" spans="1:5" x14ac:dyDescent="0.2">
      <c r="A49" s="9" t="s">
        <v>98</v>
      </c>
      <c r="C49" s="39">
        <v>12.0686</v>
      </c>
      <c r="D49" s="39">
        <v>12.401400000000001</v>
      </c>
    </row>
    <row r="50" spans="1:5" x14ac:dyDescent="0.2">
      <c r="A50" s="9" t="s">
        <v>669</v>
      </c>
      <c r="C50" s="39">
        <v>10.369</v>
      </c>
      <c r="D50" s="39">
        <v>10.654999999999999</v>
      </c>
    </row>
    <row r="51" spans="1:5" x14ac:dyDescent="0.2">
      <c r="A51" s="9" t="s">
        <v>101</v>
      </c>
      <c r="C51" s="39">
        <v>12.1594</v>
      </c>
      <c r="D51" s="39">
        <v>12.4947</v>
      </c>
    </row>
    <row r="53" spans="1:5" ht="10.5" x14ac:dyDescent="0.25">
      <c r="A53" s="18" t="s">
        <v>90</v>
      </c>
      <c r="D53" s="43" t="s">
        <v>96</v>
      </c>
    </row>
    <row r="55" spans="1:5" ht="10.5" x14ac:dyDescent="0.25">
      <c r="A55" s="18" t="s">
        <v>94</v>
      </c>
      <c r="D55" s="42">
        <v>0.28215966852054802</v>
      </c>
      <c r="E55" s="13" t="s">
        <v>95</v>
      </c>
    </row>
    <row r="57" spans="1:5" ht="10.5" x14ac:dyDescent="0.25">
      <c r="A57" s="18" t="s">
        <v>1506</v>
      </c>
      <c r="D57" s="43" t="s">
        <v>96</v>
      </c>
    </row>
    <row r="59" spans="1:5" ht="10.5" x14ac:dyDescent="0.25">
      <c r="A59" s="18" t="s">
        <v>1508</v>
      </c>
    </row>
    <row r="60" spans="1:5" x14ac:dyDescent="0.2">
      <c r="A60" s="47" t="s">
        <v>1509</v>
      </c>
    </row>
  </sheetData>
  <mergeCells count="1">
    <mergeCell ref="A1:G1"/>
  </mergeCells>
  <conditionalFormatting sqref="F2:F3 F5:F65536">
    <cfRule type="cellIs" dxfId="40" priority="1" stopIfTrue="1" operator="between">
      <formula>0.009</formula>
      <formula>-0.009</formula>
    </cfRule>
  </conditionalFormatting>
  <hyperlinks>
    <hyperlink ref="A60" r:id="rId1" xr:uid="{CE7D6DE0-9032-4E6D-84E7-F4FDBF41C11B}"/>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773</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774</v>
      </c>
      <c r="B7" s="26" t="s">
        <v>775</v>
      </c>
      <c r="C7" s="26" t="s">
        <v>16</v>
      </c>
      <c r="D7" s="30">
        <v>173</v>
      </c>
      <c r="E7" s="28">
        <v>1750.42265</v>
      </c>
      <c r="F7" s="29">
        <v>9.2817519807342794</v>
      </c>
      <c r="G7" s="28">
        <v>3.4750999999999999</v>
      </c>
    </row>
    <row r="8" spans="1:7" x14ac:dyDescent="0.2">
      <c r="A8" s="26" t="s">
        <v>776</v>
      </c>
      <c r="B8" s="26" t="s">
        <v>777</v>
      </c>
      <c r="C8" s="26" t="s">
        <v>16</v>
      </c>
      <c r="D8" s="30">
        <v>161</v>
      </c>
      <c r="E8" s="28">
        <v>1624.0070000000001</v>
      </c>
      <c r="F8" s="29">
        <v>8.61142318341021</v>
      </c>
      <c r="G8" s="28">
        <v>3.13</v>
      </c>
    </row>
    <row r="9" spans="1:7" x14ac:dyDescent="0.2">
      <c r="A9" s="26" t="s">
        <v>741</v>
      </c>
      <c r="B9" s="26" t="s">
        <v>742</v>
      </c>
      <c r="C9" s="26" t="s">
        <v>160</v>
      </c>
      <c r="D9" s="30">
        <v>300</v>
      </c>
      <c r="E9" s="28">
        <v>1523.0535</v>
      </c>
      <c r="F9" s="29">
        <v>8.0761094129976403</v>
      </c>
      <c r="G9" s="28">
        <v>4.2549000000000001</v>
      </c>
    </row>
    <row r="10" spans="1:7" x14ac:dyDescent="0.2">
      <c r="A10" s="26" t="s">
        <v>761</v>
      </c>
      <c r="B10" s="26" t="s">
        <v>762</v>
      </c>
      <c r="C10" s="26" t="s">
        <v>209</v>
      </c>
      <c r="D10" s="30">
        <v>150</v>
      </c>
      <c r="E10" s="28">
        <v>1516.8644999999999</v>
      </c>
      <c r="F10" s="29">
        <v>8.0432917600675005</v>
      </c>
      <c r="G10" s="28">
        <v>3.4750000000000001</v>
      </c>
    </row>
    <row r="11" spans="1:7" x14ac:dyDescent="0.2">
      <c r="A11" s="26" t="s">
        <v>778</v>
      </c>
      <c r="B11" s="26" t="s">
        <v>779</v>
      </c>
      <c r="C11" s="26" t="s">
        <v>160</v>
      </c>
      <c r="D11" s="30">
        <v>149</v>
      </c>
      <c r="E11" s="28">
        <v>1505.29187</v>
      </c>
      <c r="F11" s="29">
        <v>7.98192699115023</v>
      </c>
      <c r="G11" s="28">
        <v>3.5251000000000001</v>
      </c>
    </row>
    <row r="12" spans="1:7" x14ac:dyDescent="0.2">
      <c r="A12" s="26" t="s">
        <v>780</v>
      </c>
      <c r="B12" s="26" t="s">
        <v>781</v>
      </c>
      <c r="C12" s="26" t="s">
        <v>16</v>
      </c>
      <c r="D12" s="30">
        <v>128</v>
      </c>
      <c r="E12" s="28">
        <v>1260.83584</v>
      </c>
      <c r="F12" s="29">
        <v>6.6856799158196303</v>
      </c>
      <c r="G12" s="28">
        <v>3.7999000000000001</v>
      </c>
    </row>
    <row r="13" spans="1:7" x14ac:dyDescent="0.2">
      <c r="A13" s="26" t="s">
        <v>765</v>
      </c>
      <c r="B13" s="26" t="s">
        <v>766</v>
      </c>
      <c r="C13" s="26" t="s">
        <v>16</v>
      </c>
      <c r="D13" s="30">
        <v>89</v>
      </c>
      <c r="E13" s="28">
        <v>1121.6741199999999</v>
      </c>
      <c r="F13" s="29">
        <v>5.9477640928883</v>
      </c>
      <c r="G13" s="28">
        <v>3.6848999999999998</v>
      </c>
    </row>
    <row r="14" spans="1:7" x14ac:dyDescent="0.2">
      <c r="A14" s="26" t="s">
        <v>743</v>
      </c>
      <c r="B14" s="26" t="s">
        <v>744</v>
      </c>
      <c r="C14" s="26" t="s">
        <v>16</v>
      </c>
      <c r="D14" s="30">
        <v>84</v>
      </c>
      <c r="E14" s="28">
        <v>1065.9801600000001</v>
      </c>
      <c r="F14" s="29">
        <v>5.6524425466634796</v>
      </c>
      <c r="G14" s="28">
        <v>3.75</v>
      </c>
    </row>
    <row r="15" spans="1:7" x14ac:dyDescent="0.2">
      <c r="A15" s="26" t="s">
        <v>737</v>
      </c>
      <c r="B15" s="26" t="s">
        <v>738</v>
      </c>
      <c r="C15" s="26" t="s">
        <v>16</v>
      </c>
      <c r="D15" s="30">
        <v>101</v>
      </c>
      <c r="E15" s="28">
        <v>1028.9688100000001</v>
      </c>
      <c r="F15" s="29">
        <v>5.4561869902284998</v>
      </c>
      <c r="G15" s="28">
        <v>3.4649999999999999</v>
      </c>
    </row>
    <row r="16" spans="1:7" x14ac:dyDescent="0.2">
      <c r="A16" s="26" t="s">
        <v>782</v>
      </c>
      <c r="B16" s="26" t="s">
        <v>783</v>
      </c>
      <c r="C16" s="26" t="s">
        <v>16</v>
      </c>
      <c r="D16" s="30">
        <v>50</v>
      </c>
      <c r="E16" s="28">
        <v>501.82499999999999</v>
      </c>
      <c r="F16" s="29">
        <v>2.6609660173969898</v>
      </c>
      <c r="G16" s="28">
        <v>3.0804999999999998</v>
      </c>
    </row>
    <row r="17" spans="1:9" x14ac:dyDescent="0.2">
      <c r="A17" s="26" t="s">
        <v>263</v>
      </c>
      <c r="B17" s="26" t="s">
        <v>264</v>
      </c>
      <c r="C17" s="26" t="s">
        <v>16</v>
      </c>
      <c r="D17" s="30">
        <v>29</v>
      </c>
      <c r="E17" s="28">
        <v>292.60883999999999</v>
      </c>
      <c r="F17" s="29">
        <v>1.55158108828765</v>
      </c>
      <c r="G17" s="28">
        <v>3.0741000000000001</v>
      </c>
    </row>
    <row r="18" spans="1:9" x14ac:dyDescent="0.2">
      <c r="A18" s="26" t="s">
        <v>585</v>
      </c>
      <c r="B18" s="26" t="s">
        <v>586</v>
      </c>
      <c r="C18" s="26" t="s">
        <v>16</v>
      </c>
      <c r="D18" s="30">
        <v>24</v>
      </c>
      <c r="E18" s="28">
        <v>242.20944</v>
      </c>
      <c r="F18" s="29">
        <v>1.28433435746078</v>
      </c>
      <c r="G18" s="28">
        <v>4.6449999999999996</v>
      </c>
    </row>
    <row r="19" spans="1:9" x14ac:dyDescent="0.2">
      <c r="A19" s="26" t="s">
        <v>759</v>
      </c>
      <c r="B19" s="26" t="s">
        <v>760</v>
      </c>
      <c r="C19" s="26" t="s">
        <v>160</v>
      </c>
      <c r="D19" s="30">
        <v>22</v>
      </c>
      <c r="E19" s="28">
        <v>222.57686000000001</v>
      </c>
      <c r="F19" s="29">
        <v>1.18023107800314</v>
      </c>
      <c r="G19" s="28">
        <v>3.875</v>
      </c>
    </row>
    <row r="20" spans="1:9" x14ac:dyDescent="0.2">
      <c r="A20" s="26" t="s">
        <v>720</v>
      </c>
      <c r="B20" s="26" t="s">
        <v>721</v>
      </c>
      <c r="C20" s="26" t="s">
        <v>16</v>
      </c>
      <c r="D20" s="30">
        <v>15</v>
      </c>
      <c r="E20" s="28">
        <v>189.12585000000001</v>
      </c>
      <c r="F20" s="29">
        <v>1.00285450079474</v>
      </c>
      <c r="G20" s="28">
        <v>3.2650000000000001</v>
      </c>
    </row>
    <row r="21" spans="1:9" x14ac:dyDescent="0.2">
      <c r="A21" s="26" t="s">
        <v>712</v>
      </c>
      <c r="B21" s="26" t="s">
        <v>713</v>
      </c>
      <c r="C21" s="26" t="s">
        <v>16</v>
      </c>
      <c r="D21" s="30">
        <v>9</v>
      </c>
      <c r="E21" s="28">
        <v>91.196280000000002</v>
      </c>
      <c r="F21" s="29">
        <v>0.48357535394414503</v>
      </c>
      <c r="G21" s="28">
        <v>3.5124</v>
      </c>
    </row>
    <row r="22" spans="1:9" ht="10.5" x14ac:dyDescent="0.25">
      <c r="A22" s="25" t="s">
        <v>17</v>
      </c>
      <c r="B22" s="25"/>
      <c r="C22" s="25"/>
      <c r="D22" s="31"/>
      <c r="E22" s="32">
        <f>SUM(E6:E21)</f>
        <v>13936.640720000001</v>
      </c>
      <c r="F22" s="33">
        <f>SUM(F6:F21)</f>
        <v>73.90011926984721</v>
      </c>
      <c r="G22" s="32"/>
      <c r="H22" s="18"/>
      <c r="I22" s="18"/>
    </row>
    <row r="23" spans="1:9" x14ac:dyDescent="0.2">
      <c r="A23" s="26"/>
      <c r="B23" s="26"/>
      <c r="C23" s="26"/>
      <c r="D23" s="27"/>
      <c r="E23" s="28"/>
      <c r="F23" s="29"/>
      <c r="G23" s="28"/>
    </row>
    <row r="24" spans="1:9" ht="10.5" x14ac:dyDescent="0.25">
      <c r="A24" s="25" t="s">
        <v>269</v>
      </c>
      <c r="B24" s="26"/>
      <c r="C24" s="26"/>
      <c r="D24" s="27"/>
      <c r="E24" s="28"/>
      <c r="F24" s="29"/>
      <c r="G24" s="28"/>
    </row>
    <row r="25" spans="1:9" x14ac:dyDescent="0.2">
      <c r="A25" s="26" t="s">
        <v>784</v>
      </c>
      <c r="B25" s="26" t="s">
        <v>785</v>
      </c>
      <c r="C25" s="26" t="s">
        <v>16</v>
      </c>
      <c r="D25" s="30">
        <v>150</v>
      </c>
      <c r="E25" s="28">
        <v>1514.2365</v>
      </c>
      <c r="F25" s="29">
        <v>8.0293565860651697</v>
      </c>
      <c r="G25" s="28">
        <v>3.7498999999999998</v>
      </c>
    </row>
    <row r="26" spans="1:9" x14ac:dyDescent="0.2">
      <c r="A26" s="26" t="s">
        <v>771</v>
      </c>
      <c r="B26" s="26" t="s">
        <v>772</v>
      </c>
      <c r="C26" s="26" t="s">
        <v>160</v>
      </c>
      <c r="D26" s="30">
        <v>150</v>
      </c>
      <c r="E26" s="28">
        <v>1509.0615</v>
      </c>
      <c r="F26" s="29">
        <v>8.0019157468482494</v>
      </c>
      <c r="G26" s="28">
        <v>3.7349999999999999</v>
      </c>
    </row>
    <row r="27" spans="1:9" x14ac:dyDescent="0.2">
      <c r="A27" s="26" t="s">
        <v>270</v>
      </c>
      <c r="B27" s="26" t="s">
        <v>271</v>
      </c>
      <c r="C27" s="26" t="s">
        <v>16</v>
      </c>
      <c r="D27" s="30">
        <v>2</v>
      </c>
      <c r="E27" s="28">
        <v>20.235800000000001</v>
      </c>
      <c r="F27" s="29">
        <v>0.107301900333467</v>
      </c>
      <c r="G27" s="28">
        <v>3.5169999999999999</v>
      </c>
    </row>
    <row r="28" spans="1:9" ht="10.5" x14ac:dyDescent="0.25">
      <c r="A28" s="25" t="s">
        <v>17</v>
      </c>
      <c r="B28" s="25"/>
      <c r="C28" s="25"/>
      <c r="D28" s="31"/>
      <c r="E28" s="32">
        <f>SUM(E24:E27)</f>
        <v>3043.5337999999997</v>
      </c>
      <c r="F28" s="33">
        <f>SUM(F24:F27)</f>
        <v>16.138574233246885</v>
      </c>
      <c r="G28" s="32"/>
      <c r="H28" s="18"/>
      <c r="I28" s="18"/>
    </row>
    <row r="29" spans="1:9" x14ac:dyDescent="0.2">
      <c r="A29" s="26"/>
      <c r="B29" s="26"/>
      <c r="C29" s="26"/>
      <c r="D29" s="27"/>
      <c r="E29" s="28"/>
      <c r="F29" s="29"/>
      <c r="G29" s="28"/>
    </row>
    <row r="30" spans="1:9" ht="10.5" x14ac:dyDescent="0.25">
      <c r="A30" s="25" t="s">
        <v>18</v>
      </c>
      <c r="B30" s="26"/>
      <c r="C30" s="26"/>
      <c r="D30" s="27"/>
      <c r="E30" s="28"/>
      <c r="F30" s="29"/>
      <c r="G30" s="28"/>
    </row>
    <row r="31" spans="1:9" ht="10.5" x14ac:dyDescent="0.25">
      <c r="A31" s="25" t="s">
        <v>105</v>
      </c>
      <c r="B31" s="26"/>
      <c r="C31" s="26"/>
      <c r="D31" s="27"/>
      <c r="E31" s="28"/>
      <c r="F31" s="29"/>
      <c r="G31" s="28"/>
    </row>
    <row r="32" spans="1:9" x14ac:dyDescent="0.2">
      <c r="A32" s="26" t="s">
        <v>115</v>
      </c>
      <c r="B32" s="26" t="s">
        <v>116</v>
      </c>
      <c r="C32" s="26" t="s">
        <v>25</v>
      </c>
      <c r="D32" s="30">
        <v>292</v>
      </c>
      <c r="E32" s="28">
        <v>290.48101600000001</v>
      </c>
      <c r="F32" s="29">
        <v>1.5402981363522199</v>
      </c>
      <c r="G32" s="28">
        <v>3.0299</v>
      </c>
    </row>
    <row r="33" spans="1:9" ht="10.5" x14ac:dyDescent="0.25">
      <c r="A33" s="25" t="s">
        <v>17</v>
      </c>
      <c r="B33" s="25"/>
      <c r="C33" s="25"/>
      <c r="D33" s="31"/>
      <c r="E33" s="32">
        <f>SUM(E31:E32)</f>
        <v>290.48101600000001</v>
      </c>
      <c r="F33" s="33">
        <f>SUM(F31:F32)</f>
        <v>1.5402981363522199</v>
      </c>
      <c r="G33" s="32"/>
      <c r="H33" s="18"/>
      <c r="I33" s="18"/>
    </row>
    <row r="34" spans="1:9" x14ac:dyDescent="0.2">
      <c r="A34" s="26"/>
      <c r="B34" s="26"/>
      <c r="C34" s="26"/>
      <c r="D34" s="27"/>
      <c r="E34" s="28"/>
      <c r="F34" s="29"/>
      <c r="G34" s="28"/>
    </row>
    <row r="35" spans="1:9" ht="10.5" x14ac:dyDescent="0.25">
      <c r="A35" s="25" t="s">
        <v>19</v>
      </c>
      <c r="B35" s="26"/>
      <c r="C35" s="26"/>
      <c r="D35" s="27"/>
      <c r="E35" s="28"/>
      <c r="F35" s="29"/>
      <c r="G35" s="28"/>
    </row>
    <row r="36" spans="1:9" x14ac:dyDescent="0.2">
      <c r="A36" s="26" t="s">
        <v>786</v>
      </c>
      <c r="B36" s="26" t="s">
        <v>787</v>
      </c>
      <c r="C36" s="26" t="s">
        <v>38</v>
      </c>
      <c r="D36" s="30">
        <v>33</v>
      </c>
      <c r="E36" s="28">
        <v>164.16345000000001</v>
      </c>
      <c r="F36" s="29">
        <v>0.87048943705205895</v>
      </c>
      <c r="G36" s="28">
        <v>3.1</v>
      </c>
    </row>
    <row r="37" spans="1:9" ht="10.5" x14ac:dyDescent="0.25">
      <c r="A37" s="25" t="s">
        <v>17</v>
      </c>
      <c r="B37" s="25"/>
      <c r="C37" s="25"/>
      <c r="D37" s="31"/>
      <c r="E37" s="32">
        <f>SUM(E35:E36)</f>
        <v>164.16345000000001</v>
      </c>
      <c r="F37" s="33">
        <f>SUM(F35:F36)</f>
        <v>0.87048943705205895</v>
      </c>
      <c r="G37" s="32"/>
      <c r="H37" s="18"/>
      <c r="I37" s="18"/>
    </row>
    <row r="38" spans="1:9" x14ac:dyDescent="0.2">
      <c r="A38" s="26"/>
      <c r="B38" s="26"/>
      <c r="C38" s="26"/>
      <c r="D38" s="27"/>
      <c r="E38" s="28"/>
      <c r="F38" s="29"/>
      <c r="G38" s="28"/>
    </row>
    <row r="39" spans="1:9" ht="10.5" x14ac:dyDescent="0.25">
      <c r="A39" s="25" t="s">
        <v>62</v>
      </c>
      <c r="B39" s="25"/>
      <c r="C39" s="25"/>
      <c r="D39" s="31"/>
      <c r="E39" s="32">
        <f>E22+E28+E33+E37</f>
        <v>17434.818986000002</v>
      </c>
      <c r="F39" s="33">
        <f>F22+F28+F33+F37</f>
        <v>92.449481076498373</v>
      </c>
      <c r="G39" s="32"/>
      <c r="H39" s="18"/>
      <c r="I39" s="18"/>
    </row>
    <row r="40" spans="1:9" ht="10.5" x14ac:dyDescent="0.25">
      <c r="A40" s="25"/>
      <c r="B40" s="25"/>
      <c r="C40" s="25"/>
      <c r="D40" s="31"/>
      <c r="E40" s="32"/>
      <c r="F40" s="33"/>
      <c r="G40" s="32"/>
      <c r="H40" s="18"/>
      <c r="I40" s="18"/>
    </row>
    <row r="41" spans="1:9" ht="10.5" x14ac:dyDescent="0.25">
      <c r="A41" s="25" t="s">
        <v>63</v>
      </c>
      <c r="B41" s="25"/>
      <c r="C41" s="25"/>
      <c r="D41" s="31"/>
      <c r="E41" s="32">
        <f>E43-(E22+E28+E33+E37)</f>
        <v>1423.9336894999979</v>
      </c>
      <c r="F41" s="33">
        <f>F43-(F22+F28+F33+F37)</f>
        <v>7.5505189235016275</v>
      </c>
      <c r="G41" s="32"/>
      <c r="H41" s="18"/>
      <c r="I41" s="18"/>
    </row>
    <row r="42" spans="1:9" ht="10.5" x14ac:dyDescent="0.25">
      <c r="A42" s="25"/>
      <c r="B42" s="25"/>
      <c r="C42" s="25"/>
      <c r="D42" s="31"/>
      <c r="E42" s="32"/>
      <c r="F42" s="33"/>
      <c r="G42" s="32"/>
      <c r="H42" s="18"/>
      <c r="I42" s="18"/>
    </row>
    <row r="43" spans="1:9" ht="10.5" x14ac:dyDescent="0.25">
      <c r="A43" s="34" t="s">
        <v>64</v>
      </c>
      <c r="B43" s="34"/>
      <c r="C43" s="34"/>
      <c r="D43" s="35"/>
      <c r="E43" s="36">
        <v>18858.7526755</v>
      </c>
      <c r="F43" s="37">
        <v>100</v>
      </c>
      <c r="G43" s="36"/>
      <c r="H43" s="18"/>
      <c r="I43" s="18"/>
    </row>
    <row r="45" spans="1:9" ht="10.5" x14ac:dyDescent="0.25">
      <c r="A45" s="18" t="s">
        <v>65</v>
      </c>
    </row>
    <row r="46" spans="1:9" ht="10.5" x14ac:dyDescent="0.25">
      <c r="A46" s="18" t="s">
        <v>66</v>
      </c>
    </row>
    <row r="48" spans="1:9" ht="10.5" x14ac:dyDescent="0.25">
      <c r="A48" s="18" t="s">
        <v>67</v>
      </c>
    </row>
    <row r="49" spans="1:5" ht="10.5" x14ac:dyDescent="0.25">
      <c r="A49" s="18" t="s">
        <v>68</v>
      </c>
    </row>
    <row r="50" spans="1:5" ht="10.5" x14ac:dyDescent="0.25">
      <c r="A50" s="18" t="s">
        <v>69</v>
      </c>
      <c r="B50" s="18"/>
      <c r="C50" s="38" t="s">
        <v>70</v>
      </c>
      <c r="D50" s="43" t="s">
        <v>71</v>
      </c>
    </row>
    <row r="51" spans="1:5" x14ac:dyDescent="0.2">
      <c r="A51" s="9" t="s">
        <v>98</v>
      </c>
      <c r="C51" s="39">
        <v>12.1121</v>
      </c>
      <c r="D51" s="39">
        <v>12.426399999999999</v>
      </c>
    </row>
    <row r="52" spans="1:5" x14ac:dyDescent="0.2">
      <c r="A52" s="9" t="s">
        <v>669</v>
      </c>
      <c r="C52" s="39">
        <v>10.3688</v>
      </c>
      <c r="D52" s="39">
        <v>10.637700000000001</v>
      </c>
    </row>
    <row r="53" spans="1:5" x14ac:dyDescent="0.2">
      <c r="A53" s="9" t="s">
        <v>275</v>
      </c>
      <c r="C53" s="39">
        <v>10.3469</v>
      </c>
      <c r="D53" s="39">
        <v>10.2277</v>
      </c>
    </row>
    <row r="54" spans="1:5" x14ac:dyDescent="0.2">
      <c r="A54" s="9" t="s">
        <v>101</v>
      </c>
      <c r="C54" s="39">
        <v>12.185</v>
      </c>
      <c r="D54" s="39">
        <v>12.501099999999999</v>
      </c>
    </row>
    <row r="55" spans="1:5" x14ac:dyDescent="0.2">
      <c r="A55" s="9" t="s">
        <v>332</v>
      </c>
      <c r="C55" s="39">
        <v>10.443</v>
      </c>
      <c r="D55" s="39">
        <v>10.7157</v>
      </c>
    </row>
    <row r="56" spans="1:5" x14ac:dyDescent="0.2">
      <c r="A56" s="9" t="s">
        <v>279</v>
      </c>
      <c r="C56" s="39">
        <v>10.4091</v>
      </c>
      <c r="D56" s="39">
        <v>10.292</v>
      </c>
    </row>
    <row r="58" spans="1:5" ht="10.5" x14ac:dyDescent="0.25">
      <c r="A58" s="18" t="s">
        <v>90</v>
      </c>
    </row>
    <row r="59" spans="1:5" ht="10.5" x14ac:dyDescent="0.25">
      <c r="A59" s="68" t="s">
        <v>91</v>
      </c>
      <c r="B59" s="69"/>
      <c r="C59" s="40" t="s">
        <v>92</v>
      </c>
    </row>
    <row r="60" spans="1:5" x14ac:dyDescent="0.2">
      <c r="A60" s="64" t="s">
        <v>275</v>
      </c>
      <c r="B60" s="65"/>
      <c r="C60" s="41">
        <v>0.38500000000000001</v>
      </c>
    </row>
    <row r="61" spans="1:5" x14ac:dyDescent="0.2">
      <c r="A61" s="64" t="s">
        <v>279</v>
      </c>
      <c r="B61" s="65"/>
      <c r="C61" s="41">
        <v>0.38500000000000001</v>
      </c>
    </row>
    <row r="62" spans="1:5" x14ac:dyDescent="0.2">
      <c r="A62" s="9" t="s">
        <v>93</v>
      </c>
    </row>
    <row r="64" spans="1:5" ht="10.5" x14ac:dyDescent="0.25">
      <c r="A64" s="18" t="s">
        <v>94</v>
      </c>
      <c r="D64" s="42">
        <v>0.25038531657534202</v>
      </c>
      <c r="E64" s="13" t="s">
        <v>95</v>
      </c>
    </row>
    <row r="66" spans="1:4" ht="10.5" x14ac:dyDescent="0.25">
      <c r="A66" s="18" t="s">
        <v>1506</v>
      </c>
      <c r="D66" s="43" t="s">
        <v>96</v>
      </c>
    </row>
    <row r="68" spans="1:4" ht="10.5" x14ac:dyDescent="0.25">
      <c r="A68" s="18" t="s">
        <v>1508</v>
      </c>
    </row>
    <row r="69" spans="1:4" x14ac:dyDescent="0.2">
      <c r="A69" s="47" t="s">
        <v>1509</v>
      </c>
    </row>
  </sheetData>
  <mergeCells count="4">
    <mergeCell ref="A1:G1"/>
    <mergeCell ref="A59:B59"/>
    <mergeCell ref="A60:B60"/>
    <mergeCell ref="A61:B61"/>
  </mergeCells>
  <conditionalFormatting sqref="F2:F3 F5:F65536">
    <cfRule type="cellIs" dxfId="39" priority="1" stopIfTrue="1" operator="between">
      <formula>0.009</formula>
      <formula>-0.009</formula>
    </cfRule>
  </conditionalFormatting>
  <hyperlinks>
    <hyperlink ref="A69" r:id="rId1" xr:uid="{18600BB4-FCA4-45D3-BF55-3F8D2EC7B55D}"/>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4"/>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788</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776</v>
      </c>
      <c r="B7" s="26" t="s">
        <v>777</v>
      </c>
      <c r="C7" s="26" t="s">
        <v>16</v>
      </c>
      <c r="D7" s="30">
        <v>61</v>
      </c>
      <c r="E7" s="28">
        <v>615.30700000000002</v>
      </c>
      <c r="F7" s="29">
        <v>10.5696100650487</v>
      </c>
      <c r="G7" s="28">
        <v>3.13</v>
      </c>
    </row>
    <row r="8" spans="1:7" x14ac:dyDescent="0.2">
      <c r="A8" s="26" t="s">
        <v>743</v>
      </c>
      <c r="B8" s="26" t="s">
        <v>744</v>
      </c>
      <c r="C8" s="26" t="s">
        <v>16</v>
      </c>
      <c r="D8" s="30">
        <v>45</v>
      </c>
      <c r="E8" s="28">
        <v>571.06079999999997</v>
      </c>
      <c r="F8" s="29">
        <v>9.8095584471406294</v>
      </c>
      <c r="G8" s="28">
        <v>3.75</v>
      </c>
    </row>
    <row r="9" spans="1:7" x14ac:dyDescent="0.2">
      <c r="A9" s="26" t="s">
        <v>765</v>
      </c>
      <c r="B9" s="26" t="s">
        <v>766</v>
      </c>
      <c r="C9" s="26" t="s">
        <v>16</v>
      </c>
      <c r="D9" s="30">
        <v>45</v>
      </c>
      <c r="E9" s="28">
        <v>567.1386</v>
      </c>
      <c r="F9" s="29">
        <v>9.7421837470362398</v>
      </c>
      <c r="G9" s="28">
        <v>3.6848999999999998</v>
      </c>
    </row>
    <row r="10" spans="1:7" x14ac:dyDescent="0.2">
      <c r="A10" s="26" t="s">
        <v>761</v>
      </c>
      <c r="B10" s="26" t="s">
        <v>762</v>
      </c>
      <c r="C10" s="26" t="s">
        <v>209</v>
      </c>
      <c r="D10" s="30">
        <v>46</v>
      </c>
      <c r="E10" s="28">
        <v>465.17178000000001</v>
      </c>
      <c r="F10" s="29">
        <v>7.9906198497085503</v>
      </c>
      <c r="G10" s="28">
        <v>3.4750000000000001</v>
      </c>
    </row>
    <row r="11" spans="1:7" x14ac:dyDescent="0.2">
      <c r="A11" s="26" t="s">
        <v>782</v>
      </c>
      <c r="B11" s="26" t="s">
        <v>783</v>
      </c>
      <c r="C11" s="26" t="s">
        <v>16</v>
      </c>
      <c r="D11" s="30">
        <v>46</v>
      </c>
      <c r="E11" s="28">
        <v>461.67899999999997</v>
      </c>
      <c r="F11" s="29">
        <v>7.9306216331386103</v>
      </c>
      <c r="G11" s="28">
        <v>3.0804999999999998</v>
      </c>
    </row>
    <row r="12" spans="1:7" x14ac:dyDescent="0.2">
      <c r="A12" s="26" t="s">
        <v>774</v>
      </c>
      <c r="B12" s="26" t="s">
        <v>775</v>
      </c>
      <c r="C12" s="26" t="s">
        <v>16</v>
      </c>
      <c r="D12" s="30">
        <v>45</v>
      </c>
      <c r="E12" s="28">
        <v>455.31225000000001</v>
      </c>
      <c r="F12" s="29">
        <v>7.8212549838372896</v>
      </c>
      <c r="G12" s="28">
        <v>3.4750999999999999</v>
      </c>
    </row>
    <row r="13" spans="1:7" x14ac:dyDescent="0.2">
      <c r="A13" s="26" t="s">
        <v>237</v>
      </c>
      <c r="B13" s="26" t="s">
        <v>238</v>
      </c>
      <c r="C13" s="26" t="s">
        <v>209</v>
      </c>
      <c r="D13" s="30">
        <v>34</v>
      </c>
      <c r="E13" s="28">
        <v>429.72838000000002</v>
      </c>
      <c r="F13" s="29">
        <v>7.3817808191440601</v>
      </c>
      <c r="G13" s="28">
        <v>5.0650000000000004</v>
      </c>
    </row>
    <row r="14" spans="1:7" x14ac:dyDescent="0.2">
      <c r="A14" s="26" t="s">
        <v>263</v>
      </c>
      <c r="B14" s="26" t="s">
        <v>264</v>
      </c>
      <c r="C14" s="26" t="s">
        <v>16</v>
      </c>
      <c r="D14" s="30">
        <v>38</v>
      </c>
      <c r="E14" s="28">
        <v>383.41847999999999</v>
      </c>
      <c r="F14" s="29">
        <v>6.5862794106578901</v>
      </c>
      <c r="G14" s="28">
        <v>3.0741000000000001</v>
      </c>
    </row>
    <row r="15" spans="1:7" x14ac:dyDescent="0.2">
      <c r="A15" s="26" t="s">
        <v>720</v>
      </c>
      <c r="B15" s="26" t="s">
        <v>721</v>
      </c>
      <c r="C15" s="26" t="s">
        <v>16</v>
      </c>
      <c r="D15" s="30">
        <v>28</v>
      </c>
      <c r="E15" s="28">
        <v>353.03492</v>
      </c>
      <c r="F15" s="29">
        <v>6.0643572131402097</v>
      </c>
      <c r="G15" s="28">
        <v>3.2650000000000001</v>
      </c>
    </row>
    <row r="16" spans="1:7" x14ac:dyDescent="0.2">
      <c r="A16" s="26" t="s">
        <v>587</v>
      </c>
      <c r="B16" s="26" t="s">
        <v>588</v>
      </c>
      <c r="C16" s="26" t="s">
        <v>13</v>
      </c>
      <c r="D16" s="30">
        <v>20</v>
      </c>
      <c r="E16" s="28">
        <v>251.30279999999999</v>
      </c>
      <c r="F16" s="29">
        <v>4.3168249414599904</v>
      </c>
      <c r="G16" s="28">
        <v>3.875</v>
      </c>
    </row>
    <row r="17" spans="1:9" x14ac:dyDescent="0.2">
      <c r="A17" s="26" t="s">
        <v>757</v>
      </c>
      <c r="B17" s="26" t="s">
        <v>758</v>
      </c>
      <c r="C17" s="26" t="s">
        <v>209</v>
      </c>
      <c r="D17" s="30">
        <v>20</v>
      </c>
      <c r="E17" s="28">
        <v>202.79419999999999</v>
      </c>
      <c r="F17" s="29">
        <v>3.4835547417037298</v>
      </c>
      <c r="G17" s="28">
        <v>3.5226999999999999</v>
      </c>
    </row>
    <row r="18" spans="1:9" x14ac:dyDescent="0.2">
      <c r="A18" s="26" t="s">
        <v>789</v>
      </c>
      <c r="B18" s="26" t="s">
        <v>790</v>
      </c>
      <c r="C18" s="26" t="s">
        <v>16</v>
      </c>
      <c r="D18" s="30">
        <v>17</v>
      </c>
      <c r="E18" s="28">
        <v>168.04109</v>
      </c>
      <c r="F18" s="29">
        <v>2.8865733628997501</v>
      </c>
      <c r="G18" s="28">
        <v>3.6999</v>
      </c>
    </row>
    <row r="19" spans="1:9" x14ac:dyDescent="0.2">
      <c r="A19" s="26" t="s">
        <v>585</v>
      </c>
      <c r="B19" s="26" t="s">
        <v>586</v>
      </c>
      <c r="C19" s="26" t="s">
        <v>16</v>
      </c>
      <c r="D19" s="30">
        <v>1</v>
      </c>
      <c r="E19" s="28">
        <v>10.09206</v>
      </c>
      <c r="F19" s="29">
        <v>0.17335921572983101</v>
      </c>
      <c r="G19" s="28">
        <v>4.6449999999999996</v>
      </c>
    </row>
    <row r="20" spans="1:9" ht="10.5" x14ac:dyDescent="0.25">
      <c r="A20" s="25" t="s">
        <v>17</v>
      </c>
      <c r="B20" s="25"/>
      <c r="C20" s="25"/>
      <c r="D20" s="31"/>
      <c r="E20" s="32">
        <f>SUM(E6:E19)</f>
        <v>4934.0813600000001</v>
      </c>
      <c r="F20" s="33">
        <f>SUM(F6:F19)</f>
        <v>84.756578430645476</v>
      </c>
      <c r="G20" s="32"/>
      <c r="H20" s="18"/>
      <c r="I20" s="18"/>
    </row>
    <row r="21" spans="1:9" x14ac:dyDescent="0.2">
      <c r="A21" s="26"/>
      <c r="B21" s="26"/>
      <c r="C21" s="26"/>
      <c r="D21" s="27"/>
      <c r="E21" s="28"/>
      <c r="F21" s="29"/>
      <c r="G21" s="28"/>
    </row>
    <row r="22" spans="1:9" ht="10.5" x14ac:dyDescent="0.25">
      <c r="A22" s="25" t="s">
        <v>269</v>
      </c>
      <c r="B22" s="26"/>
      <c r="C22" s="26"/>
      <c r="D22" s="27"/>
      <c r="E22" s="28"/>
      <c r="F22" s="29"/>
      <c r="G22" s="28"/>
    </row>
    <row r="23" spans="1:9" x14ac:dyDescent="0.2">
      <c r="A23" s="26" t="s">
        <v>771</v>
      </c>
      <c r="B23" s="26" t="s">
        <v>772</v>
      </c>
      <c r="C23" s="26" t="s">
        <v>160</v>
      </c>
      <c r="D23" s="30">
        <v>45</v>
      </c>
      <c r="E23" s="28">
        <v>452.71845000000002</v>
      </c>
      <c r="F23" s="29">
        <v>7.7766992505420003</v>
      </c>
      <c r="G23" s="28">
        <v>3.7349999999999999</v>
      </c>
    </row>
    <row r="24" spans="1:9" x14ac:dyDescent="0.2">
      <c r="A24" s="26" t="s">
        <v>270</v>
      </c>
      <c r="B24" s="26" t="s">
        <v>271</v>
      </c>
      <c r="C24" s="26" t="s">
        <v>16</v>
      </c>
      <c r="D24" s="30">
        <v>6</v>
      </c>
      <c r="E24" s="28">
        <v>60.7074</v>
      </c>
      <c r="F24" s="29">
        <v>1.04281853784036</v>
      </c>
      <c r="G24" s="28">
        <v>3.5169999999999999</v>
      </c>
    </row>
    <row r="25" spans="1:9" ht="10.5" x14ac:dyDescent="0.25">
      <c r="A25" s="25" t="s">
        <v>17</v>
      </c>
      <c r="B25" s="25"/>
      <c r="C25" s="25"/>
      <c r="D25" s="31"/>
      <c r="E25" s="32">
        <f>SUM(E22:E24)</f>
        <v>513.42584999999997</v>
      </c>
      <c r="F25" s="33">
        <f>SUM(F22:F24)</f>
        <v>8.8195177883823597</v>
      </c>
      <c r="G25" s="32"/>
      <c r="H25" s="18"/>
      <c r="I25" s="18"/>
    </row>
    <row r="26" spans="1:9" x14ac:dyDescent="0.2">
      <c r="A26" s="26"/>
      <c r="B26" s="26"/>
      <c r="C26" s="26"/>
      <c r="D26" s="27"/>
      <c r="E26" s="28"/>
      <c r="F26" s="29"/>
      <c r="G26" s="28"/>
    </row>
    <row r="27" spans="1:9" ht="10.5" x14ac:dyDescent="0.25">
      <c r="A27" s="25" t="s">
        <v>18</v>
      </c>
      <c r="B27" s="26"/>
      <c r="C27" s="26"/>
      <c r="D27" s="27"/>
      <c r="E27" s="28"/>
      <c r="F27" s="29"/>
      <c r="G27" s="28"/>
    </row>
    <row r="28" spans="1:9" ht="10.5" x14ac:dyDescent="0.25">
      <c r="A28" s="25" t="s">
        <v>105</v>
      </c>
      <c r="B28" s="26"/>
      <c r="C28" s="26"/>
      <c r="D28" s="27"/>
      <c r="E28" s="28"/>
      <c r="F28" s="29"/>
      <c r="G28" s="28"/>
    </row>
    <row r="29" spans="1:9" x14ac:dyDescent="0.2">
      <c r="A29" s="26" t="s">
        <v>115</v>
      </c>
      <c r="B29" s="26" t="s">
        <v>116</v>
      </c>
      <c r="C29" s="26" t="s">
        <v>25</v>
      </c>
      <c r="D29" s="30">
        <v>87</v>
      </c>
      <c r="E29" s="28">
        <v>86.547426000000002</v>
      </c>
      <c r="F29" s="29">
        <v>1.48669289469104</v>
      </c>
      <c r="G29" s="28">
        <v>3.0299</v>
      </c>
    </row>
    <row r="30" spans="1:9" ht="10.5" x14ac:dyDescent="0.25">
      <c r="A30" s="25" t="s">
        <v>17</v>
      </c>
      <c r="B30" s="25"/>
      <c r="C30" s="25"/>
      <c r="D30" s="31"/>
      <c r="E30" s="32">
        <f>SUM(E28:E29)</f>
        <v>86.547426000000002</v>
      </c>
      <c r="F30" s="33">
        <f>SUM(F28:F29)</f>
        <v>1.48669289469104</v>
      </c>
      <c r="G30" s="32"/>
      <c r="H30" s="18"/>
      <c r="I30" s="18"/>
    </row>
    <row r="31" spans="1:9" x14ac:dyDescent="0.2">
      <c r="A31" s="26"/>
      <c r="B31" s="26"/>
      <c r="C31" s="26"/>
      <c r="D31" s="27"/>
      <c r="E31" s="28"/>
      <c r="F31" s="29"/>
      <c r="G31" s="28"/>
    </row>
    <row r="32" spans="1:9" ht="10.5" x14ac:dyDescent="0.25">
      <c r="A32" s="25" t="s">
        <v>41</v>
      </c>
      <c r="B32" s="26"/>
      <c r="C32" s="26"/>
      <c r="D32" s="27"/>
      <c r="E32" s="28"/>
      <c r="F32" s="29"/>
      <c r="G32" s="28"/>
    </row>
    <row r="33" spans="1:9" x14ac:dyDescent="0.2">
      <c r="A33" s="26" t="s">
        <v>141</v>
      </c>
      <c r="B33" s="26" t="s">
        <v>142</v>
      </c>
      <c r="C33" s="26" t="s">
        <v>791</v>
      </c>
      <c r="D33" s="30">
        <v>40000</v>
      </c>
      <c r="E33" s="28">
        <v>39.728200000000001</v>
      </c>
      <c r="F33" s="29">
        <v>0.68244239474972301</v>
      </c>
      <c r="G33" s="28">
        <v>3.0085999999999999</v>
      </c>
    </row>
    <row r="34" spans="1:9" ht="10.5" x14ac:dyDescent="0.25">
      <c r="A34" s="25" t="s">
        <v>17</v>
      </c>
      <c r="B34" s="25"/>
      <c r="C34" s="25"/>
      <c r="D34" s="31"/>
      <c r="E34" s="32">
        <f>SUM(E32:E33)</f>
        <v>39.728200000000001</v>
      </c>
      <c r="F34" s="33">
        <f>SUM(F32:F33)</f>
        <v>0.68244239474972301</v>
      </c>
      <c r="G34" s="32"/>
      <c r="H34" s="18"/>
      <c r="I34" s="18"/>
    </row>
    <row r="35" spans="1:9" x14ac:dyDescent="0.2">
      <c r="A35" s="26"/>
      <c r="B35" s="26"/>
      <c r="C35" s="26"/>
      <c r="D35" s="27"/>
      <c r="E35" s="28"/>
      <c r="F35" s="29"/>
      <c r="G35" s="28"/>
    </row>
    <row r="36" spans="1:9" ht="10.5" x14ac:dyDescent="0.25">
      <c r="A36" s="25" t="s">
        <v>62</v>
      </c>
      <c r="B36" s="25"/>
      <c r="C36" s="25"/>
      <c r="D36" s="31"/>
      <c r="E36" s="32">
        <f>E20+E25+E30+E34</f>
        <v>5573.7828359999994</v>
      </c>
      <c r="F36" s="33">
        <f>F20+F25+F30+F34</f>
        <v>95.745231508468606</v>
      </c>
      <c r="G36" s="32"/>
      <c r="H36" s="18"/>
      <c r="I36" s="18"/>
    </row>
    <row r="37" spans="1:9" ht="10.5" x14ac:dyDescent="0.25">
      <c r="A37" s="25"/>
      <c r="B37" s="25"/>
      <c r="C37" s="25"/>
      <c r="D37" s="31"/>
      <c r="E37" s="32"/>
      <c r="F37" s="33"/>
      <c r="G37" s="32"/>
      <c r="H37" s="18"/>
      <c r="I37" s="18"/>
    </row>
    <row r="38" spans="1:9" ht="10.5" x14ac:dyDescent="0.25">
      <c r="A38" s="25" t="s">
        <v>63</v>
      </c>
      <c r="B38" s="25"/>
      <c r="C38" s="25"/>
      <c r="D38" s="31"/>
      <c r="E38" s="32">
        <f>E40-(E20+E25+E30+E34)</f>
        <v>247.69020050000017</v>
      </c>
      <c r="F38" s="33">
        <f>F40-(F20+F25+F30+F34)</f>
        <v>4.2547684915313937</v>
      </c>
      <c r="G38" s="32"/>
      <c r="H38" s="18"/>
      <c r="I38" s="18"/>
    </row>
    <row r="39" spans="1:9" ht="10.5" x14ac:dyDescent="0.25">
      <c r="A39" s="25"/>
      <c r="B39" s="25"/>
      <c r="C39" s="25"/>
      <c r="D39" s="31"/>
      <c r="E39" s="32"/>
      <c r="F39" s="33"/>
      <c r="G39" s="32"/>
      <c r="H39" s="18"/>
      <c r="I39" s="18"/>
    </row>
    <row r="40" spans="1:9" ht="10.5" x14ac:dyDescent="0.25">
      <c r="A40" s="34" t="s">
        <v>64</v>
      </c>
      <c r="B40" s="34"/>
      <c r="C40" s="34"/>
      <c r="D40" s="35"/>
      <c r="E40" s="36">
        <v>5821.4730364999996</v>
      </c>
      <c r="F40" s="37">
        <v>100</v>
      </c>
      <c r="G40" s="36"/>
      <c r="H40" s="18"/>
      <c r="I40" s="18"/>
    </row>
    <row r="42" spans="1:9" ht="10.5" x14ac:dyDescent="0.25">
      <c r="A42" s="18" t="s">
        <v>66</v>
      </c>
    </row>
    <row r="44" spans="1:9" ht="10.5" x14ac:dyDescent="0.25">
      <c r="A44" s="18" t="s">
        <v>67</v>
      </c>
    </row>
    <row r="45" spans="1:9" ht="10.5" x14ac:dyDescent="0.25">
      <c r="A45" s="18" t="s">
        <v>68</v>
      </c>
    </row>
    <row r="46" spans="1:9" ht="10.5" x14ac:dyDescent="0.25">
      <c r="A46" s="18" t="s">
        <v>69</v>
      </c>
      <c r="B46" s="18"/>
      <c r="C46" s="38" t="s">
        <v>70</v>
      </c>
      <c r="D46" s="43" t="s">
        <v>71</v>
      </c>
    </row>
    <row r="47" spans="1:9" x14ac:dyDescent="0.2">
      <c r="A47" s="9" t="s">
        <v>98</v>
      </c>
      <c r="C47" s="39">
        <v>12.0426</v>
      </c>
      <c r="D47" s="39">
        <v>12.3559</v>
      </c>
    </row>
    <row r="48" spans="1:9" x14ac:dyDescent="0.2">
      <c r="A48" s="9" t="s">
        <v>669</v>
      </c>
      <c r="C48" s="39">
        <v>10.470700000000001</v>
      </c>
      <c r="D48" s="39">
        <v>10.742900000000001</v>
      </c>
    </row>
    <row r="49" spans="1:5" x14ac:dyDescent="0.2">
      <c r="A49" s="9" t="s">
        <v>275</v>
      </c>
      <c r="C49" s="39">
        <v>10.2675</v>
      </c>
      <c r="D49" s="39">
        <v>10.172000000000001</v>
      </c>
    </row>
    <row r="50" spans="1:5" x14ac:dyDescent="0.2">
      <c r="A50" s="9" t="s">
        <v>101</v>
      </c>
      <c r="C50" s="39">
        <v>12.1151</v>
      </c>
      <c r="D50" s="39">
        <v>12.430199999999999</v>
      </c>
    </row>
    <row r="51" spans="1:5" x14ac:dyDescent="0.2">
      <c r="A51" s="9" t="s">
        <v>279</v>
      </c>
      <c r="C51" s="39">
        <v>10.3278</v>
      </c>
      <c r="D51" s="39">
        <v>10.2339</v>
      </c>
    </row>
    <row r="53" spans="1:5" ht="10.5" x14ac:dyDescent="0.25">
      <c r="A53" s="18" t="s">
        <v>90</v>
      </c>
    </row>
    <row r="54" spans="1:5" ht="10.5" x14ac:dyDescent="0.25">
      <c r="A54" s="68" t="s">
        <v>91</v>
      </c>
      <c r="B54" s="69"/>
      <c r="C54" s="40" t="s">
        <v>92</v>
      </c>
    </row>
    <row r="55" spans="1:5" x14ac:dyDescent="0.2">
      <c r="A55" s="64" t="s">
        <v>275</v>
      </c>
      <c r="B55" s="65"/>
      <c r="C55" s="41">
        <v>0.36</v>
      </c>
    </row>
    <row r="56" spans="1:5" x14ac:dyDescent="0.2">
      <c r="A56" s="64" t="s">
        <v>279</v>
      </c>
      <c r="B56" s="65"/>
      <c r="C56" s="41">
        <v>0.36</v>
      </c>
    </row>
    <row r="57" spans="1:5" x14ac:dyDescent="0.2">
      <c r="A57" s="9" t="s">
        <v>93</v>
      </c>
    </row>
    <row r="59" spans="1:5" ht="10.5" x14ac:dyDescent="0.25">
      <c r="A59" s="18" t="s">
        <v>94</v>
      </c>
      <c r="D59" s="42">
        <v>0.22243585991780801</v>
      </c>
      <c r="E59" s="13" t="s">
        <v>95</v>
      </c>
    </row>
    <row r="61" spans="1:5" ht="10.5" x14ac:dyDescent="0.25">
      <c r="A61" s="18" t="s">
        <v>1506</v>
      </c>
      <c r="D61" s="43" t="s">
        <v>96</v>
      </c>
    </row>
    <row r="63" spans="1:5" ht="10.5" x14ac:dyDescent="0.25">
      <c r="A63" s="18" t="s">
        <v>1508</v>
      </c>
    </row>
    <row r="64" spans="1:5" x14ac:dyDescent="0.2">
      <c r="A64" s="47" t="s">
        <v>1509</v>
      </c>
    </row>
  </sheetData>
  <mergeCells count="4">
    <mergeCell ref="A1:G1"/>
    <mergeCell ref="A54:B54"/>
    <mergeCell ref="A55:B55"/>
    <mergeCell ref="A56:B56"/>
  </mergeCells>
  <conditionalFormatting sqref="F2:F3 F5:F65536">
    <cfRule type="cellIs" dxfId="38" priority="1" stopIfTrue="1" operator="between">
      <formula>0.009</formula>
      <formula>-0.009</formula>
    </cfRule>
  </conditionalFormatting>
  <hyperlinks>
    <hyperlink ref="A64" r:id="rId1" xr:uid="{8AF1168E-6ADB-46FD-BC73-9195E33FDE8B}"/>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6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792</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776</v>
      </c>
      <c r="B7" s="26" t="s">
        <v>777</v>
      </c>
      <c r="C7" s="26" t="s">
        <v>16</v>
      </c>
      <c r="D7" s="30">
        <v>132</v>
      </c>
      <c r="E7" s="28">
        <v>1331.4839999999999</v>
      </c>
      <c r="F7" s="29">
        <v>10.463379242357499</v>
      </c>
      <c r="G7" s="28">
        <v>3.13</v>
      </c>
    </row>
    <row r="8" spans="1:7" x14ac:dyDescent="0.2">
      <c r="A8" s="26" t="s">
        <v>743</v>
      </c>
      <c r="B8" s="26" t="s">
        <v>744</v>
      </c>
      <c r="C8" s="26" t="s">
        <v>16</v>
      </c>
      <c r="D8" s="30">
        <v>100</v>
      </c>
      <c r="E8" s="28">
        <v>1269.0239999999999</v>
      </c>
      <c r="F8" s="29">
        <v>9.9725414497308993</v>
      </c>
      <c r="G8" s="28">
        <v>3.75</v>
      </c>
    </row>
    <row r="9" spans="1:7" x14ac:dyDescent="0.2">
      <c r="A9" s="26" t="s">
        <v>263</v>
      </c>
      <c r="B9" s="26" t="s">
        <v>264</v>
      </c>
      <c r="C9" s="26" t="s">
        <v>16</v>
      </c>
      <c r="D9" s="30">
        <v>110</v>
      </c>
      <c r="E9" s="28">
        <v>1109.8956000000001</v>
      </c>
      <c r="F9" s="29">
        <v>8.7220414081009903</v>
      </c>
      <c r="G9" s="28">
        <v>3.0741000000000001</v>
      </c>
    </row>
    <row r="10" spans="1:7" x14ac:dyDescent="0.2">
      <c r="A10" s="26" t="s">
        <v>765</v>
      </c>
      <c r="B10" s="26" t="s">
        <v>766</v>
      </c>
      <c r="C10" s="26" t="s">
        <v>16</v>
      </c>
      <c r="D10" s="30">
        <v>84</v>
      </c>
      <c r="E10" s="28">
        <v>1058.6587199999999</v>
      </c>
      <c r="F10" s="29">
        <v>8.3193997641644799</v>
      </c>
      <c r="G10" s="28">
        <v>3.6848999999999998</v>
      </c>
    </row>
    <row r="11" spans="1:7" x14ac:dyDescent="0.2">
      <c r="A11" s="26" t="s">
        <v>757</v>
      </c>
      <c r="B11" s="26" t="s">
        <v>758</v>
      </c>
      <c r="C11" s="26" t="s">
        <v>209</v>
      </c>
      <c r="D11" s="30">
        <v>101</v>
      </c>
      <c r="E11" s="28">
        <v>1024.1107099999999</v>
      </c>
      <c r="F11" s="29">
        <v>8.0479065049899301</v>
      </c>
      <c r="G11" s="28">
        <v>3.5226999999999999</v>
      </c>
    </row>
    <row r="12" spans="1:7" x14ac:dyDescent="0.2">
      <c r="A12" s="26" t="s">
        <v>720</v>
      </c>
      <c r="B12" s="26" t="s">
        <v>721</v>
      </c>
      <c r="C12" s="26" t="s">
        <v>16</v>
      </c>
      <c r="D12" s="30">
        <v>77</v>
      </c>
      <c r="E12" s="28">
        <v>970.84603000000004</v>
      </c>
      <c r="F12" s="29">
        <v>7.6293295284263296</v>
      </c>
      <c r="G12" s="28">
        <v>3.2650000000000001</v>
      </c>
    </row>
    <row r="13" spans="1:7" x14ac:dyDescent="0.2">
      <c r="A13" s="26" t="s">
        <v>237</v>
      </c>
      <c r="B13" s="26" t="s">
        <v>238</v>
      </c>
      <c r="C13" s="26" t="s">
        <v>209</v>
      </c>
      <c r="D13" s="30">
        <v>70</v>
      </c>
      <c r="E13" s="28">
        <v>884.73490000000004</v>
      </c>
      <c r="F13" s="29">
        <v>6.9526308897810596</v>
      </c>
      <c r="G13" s="28">
        <v>5.0650000000000004</v>
      </c>
    </row>
    <row r="14" spans="1:7" x14ac:dyDescent="0.2">
      <c r="A14" s="26" t="s">
        <v>793</v>
      </c>
      <c r="B14" s="26" t="s">
        <v>794</v>
      </c>
      <c r="C14" s="26" t="s">
        <v>16</v>
      </c>
      <c r="D14" s="30">
        <v>75</v>
      </c>
      <c r="E14" s="28">
        <v>758.05200000000002</v>
      </c>
      <c r="F14" s="29">
        <v>5.9571016710885001</v>
      </c>
      <c r="G14" s="28">
        <v>3.4750999999999999</v>
      </c>
    </row>
    <row r="15" spans="1:7" x14ac:dyDescent="0.2">
      <c r="A15" s="26" t="s">
        <v>795</v>
      </c>
      <c r="B15" s="26" t="s">
        <v>796</v>
      </c>
      <c r="C15" s="26" t="s">
        <v>209</v>
      </c>
      <c r="D15" s="30">
        <v>56</v>
      </c>
      <c r="E15" s="28">
        <v>562.68407999999999</v>
      </c>
      <c r="F15" s="29">
        <v>4.4218157504536499</v>
      </c>
      <c r="G15" s="28">
        <v>3.1252</v>
      </c>
    </row>
    <row r="16" spans="1:7" x14ac:dyDescent="0.2">
      <c r="A16" s="26" t="s">
        <v>774</v>
      </c>
      <c r="B16" s="26" t="s">
        <v>775</v>
      </c>
      <c r="C16" s="26" t="s">
        <v>16</v>
      </c>
      <c r="D16" s="30">
        <v>27</v>
      </c>
      <c r="E16" s="28">
        <v>273.18734999999998</v>
      </c>
      <c r="F16" s="29">
        <v>2.1468247814203201</v>
      </c>
      <c r="G16" s="28">
        <v>3.4750999999999999</v>
      </c>
    </row>
    <row r="17" spans="1:9" x14ac:dyDescent="0.2">
      <c r="A17" s="26" t="s">
        <v>587</v>
      </c>
      <c r="B17" s="26" t="s">
        <v>588</v>
      </c>
      <c r="C17" s="26" t="s">
        <v>13</v>
      </c>
      <c r="D17" s="30">
        <v>9</v>
      </c>
      <c r="E17" s="28">
        <v>113.08626</v>
      </c>
      <c r="F17" s="29">
        <v>0.88868091954529305</v>
      </c>
      <c r="G17" s="28">
        <v>3.875</v>
      </c>
    </row>
    <row r="18" spans="1:9" x14ac:dyDescent="0.2">
      <c r="A18" s="26" t="s">
        <v>767</v>
      </c>
      <c r="B18" s="26" t="s">
        <v>768</v>
      </c>
      <c r="C18" s="26" t="s">
        <v>16</v>
      </c>
      <c r="D18" s="30">
        <v>11</v>
      </c>
      <c r="E18" s="28">
        <v>111.69983000000001</v>
      </c>
      <c r="F18" s="29">
        <v>0.87778575078398402</v>
      </c>
      <c r="G18" s="28">
        <v>3.4750000000000001</v>
      </c>
    </row>
    <row r="19" spans="1:9" x14ac:dyDescent="0.2">
      <c r="A19" s="26" t="s">
        <v>797</v>
      </c>
      <c r="B19" s="26" t="s">
        <v>798</v>
      </c>
      <c r="C19" s="26" t="s">
        <v>16</v>
      </c>
      <c r="D19" s="30">
        <v>8</v>
      </c>
      <c r="E19" s="28">
        <v>80.905680000000004</v>
      </c>
      <c r="F19" s="29">
        <v>0.63579195296437596</v>
      </c>
      <c r="G19" s="28">
        <v>3.4750000000000001</v>
      </c>
    </row>
    <row r="20" spans="1:9" x14ac:dyDescent="0.2">
      <c r="A20" s="26" t="s">
        <v>782</v>
      </c>
      <c r="B20" s="26" t="s">
        <v>783</v>
      </c>
      <c r="C20" s="26" t="s">
        <v>16</v>
      </c>
      <c r="D20" s="30">
        <v>4</v>
      </c>
      <c r="E20" s="28">
        <v>40.146000000000001</v>
      </c>
      <c r="F20" s="29">
        <v>0.31548469456913097</v>
      </c>
      <c r="G20" s="28">
        <v>3.0804999999999998</v>
      </c>
    </row>
    <row r="21" spans="1:9" x14ac:dyDescent="0.2">
      <c r="A21" s="26" t="s">
        <v>799</v>
      </c>
      <c r="B21" s="26" t="s">
        <v>800</v>
      </c>
      <c r="C21" s="26" t="s">
        <v>16</v>
      </c>
      <c r="D21" s="30">
        <v>3</v>
      </c>
      <c r="E21" s="28">
        <v>37.991737499999999</v>
      </c>
      <c r="F21" s="29">
        <v>0.298555564722216</v>
      </c>
      <c r="G21" s="28">
        <v>3.09</v>
      </c>
    </row>
    <row r="22" spans="1:9" x14ac:dyDescent="0.2">
      <c r="A22" s="26" t="s">
        <v>761</v>
      </c>
      <c r="B22" s="26" t="s">
        <v>762</v>
      </c>
      <c r="C22" s="26" t="s">
        <v>209</v>
      </c>
      <c r="D22" s="30">
        <v>1</v>
      </c>
      <c r="E22" s="28">
        <v>10.11243</v>
      </c>
      <c r="F22" s="29">
        <v>7.9467864541964695E-2</v>
      </c>
      <c r="G22" s="28">
        <v>3.4750000000000001</v>
      </c>
    </row>
    <row r="23" spans="1:9" x14ac:dyDescent="0.2">
      <c r="A23" s="26" t="s">
        <v>585</v>
      </c>
      <c r="B23" s="26" t="s">
        <v>586</v>
      </c>
      <c r="C23" s="26" t="s">
        <v>16</v>
      </c>
      <c r="D23" s="30">
        <v>1</v>
      </c>
      <c r="E23" s="28">
        <v>10.09206</v>
      </c>
      <c r="F23" s="29">
        <v>7.9307788239758495E-2</v>
      </c>
      <c r="G23" s="28">
        <v>4.6449999999999996</v>
      </c>
    </row>
    <row r="24" spans="1:9" ht="10.5" x14ac:dyDescent="0.25">
      <c r="A24" s="25" t="s">
        <v>17</v>
      </c>
      <c r="B24" s="25"/>
      <c r="C24" s="25"/>
      <c r="D24" s="31"/>
      <c r="E24" s="32">
        <f>SUM(E6:E23)</f>
        <v>9646.7113875000014</v>
      </c>
      <c r="F24" s="33">
        <f>SUM(F6:F23)</f>
        <v>75.808045525880402</v>
      </c>
      <c r="G24" s="32"/>
      <c r="H24" s="18"/>
      <c r="I24" s="18"/>
    </row>
    <row r="25" spans="1:9" x14ac:dyDescent="0.2">
      <c r="A25" s="26"/>
      <c r="B25" s="26"/>
      <c r="C25" s="26"/>
      <c r="D25" s="27"/>
      <c r="E25" s="28"/>
      <c r="F25" s="29"/>
      <c r="G25" s="28"/>
    </row>
    <row r="26" spans="1:9" ht="10.5" x14ac:dyDescent="0.25">
      <c r="A26" s="25" t="s">
        <v>269</v>
      </c>
      <c r="B26" s="26"/>
      <c r="C26" s="26"/>
      <c r="D26" s="27"/>
      <c r="E26" s="28"/>
      <c r="F26" s="29"/>
      <c r="G26" s="28"/>
    </row>
    <row r="27" spans="1:9" x14ac:dyDescent="0.2">
      <c r="A27" s="26" t="s">
        <v>771</v>
      </c>
      <c r="B27" s="26" t="s">
        <v>772</v>
      </c>
      <c r="C27" s="26" t="s">
        <v>160</v>
      </c>
      <c r="D27" s="30">
        <v>100</v>
      </c>
      <c r="E27" s="28">
        <v>1006.0410000000001</v>
      </c>
      <c r="F27" s="29">
        <v>7.90590688011316</v>
      </c>
      <c r="G27" s="28">
        <v>3.7349999999999999</v>
      </c>
    </row>
    <row r="28" spans="1:9" x14ac:dyDescent="0.2">
      <c r="A28" s="26" t="s">
        <v>801</v>
      </c>
      <c r="B28" s="26" t="s">
        <v>802</v>
      </c>
      <c r="C28" s="26" t="s">
        <v>16</v>
      </c>
      <c r="D28" s="30">
        <v>72</v>
      </c>
      <c r="E28" s="28">
        <v>726.74928</v>
      </c>
      <c r="F28" s="29">
        <v>5.7111113094489099</v>
      </c>
      <c r="G28" s="28">
        <v>3.75</v>
      </c>
    </row>
    <row r="29" spans="1:9" ht="10.5" x14ac:dyDescent="0.25">
      <c r="A29" s="25" t="s">
        <v>17</v>
      </c>
      <c r="B29" s="25"/>
      <c r="C29" s="25"/>
      <c r="D29" s="31"/>
      <c r="E29" s="32">
        <f>SUM(E26:E28)</f>
        <v>1732.7902800000002</v>
      </c>
      <c r="F29" s="33">
        <f>SUM(F26:F28)</f>
        <v>13.617018189562071</v>
      </c>
      <c r="G29" s="32"/>
      <c r="H29" s="18"/>
      <c r="I29" s="18"/>
    </row>
    <row r="30" spans="1:9" x14ac:dyDescent="0.2">
      <c r="A30" s="26"/>
      <c r="B30" s="26"/>
      <c r="C30" s="26"/>
      <c r="D30" s="27"/>
      <c r="E30" s="28"/>
      <c r="F30" s="29"/>
      <c r="G30" s="28"/>
    </row>
    <row r="31" spans="1:9" ht="10.5" x14ac:dyDescent="0.25">
      <c r="A31" s="25" t="s">
        <v>18</v>
      </c>
      <c r="B31" s="26"/>
      <c r="C31" s="26"/>
      <c r="D31" s="27"/>
      <c r="E31" s="28"/>
      <c r="F31" s="29"/>
      <c r="G31" s="28"/>
    </row>
    <row r="32" spans="1:9" ht="10.5" x14ac:dyDescent="0.25">
      <c r="A32" s="25" t="s">
        <v>105</v>
      </c>
      <c r="B32" s="26"/>
      <c r="C32" s="26"/>
      <c r="D32" s="27"/>
      <c r="E32" s="28"/>
      <c r="F32" s="29"/>
      <c r="G32" s="28"/>
    </row>
    <row r="33" spans="1:9" x14ac:dyDescent="0.2">
      <c r="A33" s="26" t="s">
        <v>115</v>
      </c>
      <c r="B33" s="26" t="s">
        <v>116</v>
      </c>
      <c r="C33" s="26" t="s">
        <v>25</v>
      </c>
      <c r="D33" s="30">
        <v>117</v>
      </c>
      <c r="E33" s="28">
        <v>116.391366</v>
      </c>
      <c r="F33" s="29">
        <v>0.91465387717316604</v>
      </c>
      <c r="G33" s="28">
        <v>3.0299</v>
      </c>
    </row>
    <row r="34" spans="1:9" ht="10.5" x14ac:dyDescent="0.25">
      <c r="A34" s="25" t="s">
        <v>17</v>
      </c>
      <c r="B34" s="25"/>
      <c r="C34" s="25"/>
      <c r="D34" s="31"/>
      <c r="E34" s="32">
        <f>SUM(E32:E33)</f>
        <v>116.391366</v>
      </c>
      <c r="F34" s="33">
        <f>SUM(F32:F33)</f>
        <v>0.91465387717316604</v>
      </c>
      <c r="G34" s="32"/>
      <c r="H34" s="18"/>
      <c r="I34" s="18"/>
    </row>
    <row r="35" spans="1:9" x14ac:dyDescent="0.2">
      <c r="A35" s="26"/>
      <c r="B35" s="26"/>
      <c r="C35" s="26"/>
      <c r="D35" s="27"/>
      <c r="E35" s="28"/>
      <c r="F35" s="29"/>
      <c r="G35" s="28"/>
    </row>
    <row r="36" spans="1:9" ht="10.5" x14ac:dyDescent="0.25">
      <c r="A36" s="25" t="s">
        <v>41</v>
      </c>
      <c r="B36" s="26"/>
      <c r="C36" s="26"/>
      <c r="D36" s="27"/>
      <c r="E36" s="28"/>
      <c r="F36" s="29"/>
      <c r="G36" s="28"/>
    </row>
    <row r="37" spans="1:9" x14ac:dyDescent="0.2">
      <c r="A37" s="26" t="s">
        <v>141</v>
      </c>
      <c r="B37" s="26" t="s">
        <v>142</v>
      </c>
      <c r="C37" s="26" t="s">
        <v>44</v>
      </c>
      <c r="D37" s="30">
        <v>77000</v>
      </c>
      <c r="E37" s="28">
        <v>76.476785000000007</v>
      </c>
      <c r="F37" s="29">
        <v>0.60098777356035704</v>
      </c>
      <c r="G37" s="28">
        <v>3.0085999999999999</v>
      </c>
    </row>
    <row r="38" spans="1:9" ht="10.5" x14ac:dyDescent="0.25">
      <c r="A38" s="25" t="s">
        <v>17</v>
      </c>
      <c r="B38" s="25"/>
      <c r="C38" s="25"/>
      <c r="D38" s="31"/>
      <c r="E38" s="32">
        <f>SUM(E36:E37)</f>
        <v>76.476785000000007</v>
      </c>
      <c r="F38" s="33">
        <f>SUM(F36:F37)</f>
        <v>0.60098777356035704</v>
      </c>
      <c r="G38" s="32"/>
      <c r="H38" s="18"/>
      <c r="I38" s="18"/>
    </row>
    <row r="39" spans="1:9" x14ac:dyDescent="0.2">
      <c r="A39" s="26"/>
      <c r="B39" s="26"/>
      <c r="C39" s="26"/>
      <c r="D39" s="27"/>
      <c r="E39" s="28"/>
      <c r="F39" s="29"/>
      <c r="G39" s="28"/>
    </row>
    <row r="40" spans="1:9" ht="10.5" x14ac:dyDescent="0.25">
      <c r="A40" s="25" t="s">
        <v>62</v>
      </c>
      <c r="B40" s="25"/>
      <c r="C40" s="25"/>
      <c r="D40" s="31"/>
      <c r="E40" s="32">
        <f>E24+E29+E34+E38</f>
        <v>11572.369818500001</v>
      </c>
      <c r="F40" s="33">
        <f>F24+F29+F34+F38</f>
        <v>90.940705366176005</v>
      </c>
      <c r="G40" s="32"/>
      <c r="H40" s="18"/>
      <c r="I40" s="18"/>
    </row>
    <row r="41" spans="1:9" ht="10.5" x14ac:dyDescent="0.25">
      <c r="A41" s="25"/>
      <c r="B41" s="25"/>
      <c r="C41" s="25"/>
      <c r="D41" s="31"/>
      <c r="E41" s="32"/>
      <c r="F41" s="33"/>
      <c r="G41" s="32"/>
      <c r="H41" s="18"/>
      <c r="I41" s="18"/>
    </row>
    <row r="42" spans="1:9" ht="10.5" x14ac:dyDescent="0.25">
      <c r="A42" s="25" t="s">
        <v>63</v>
      </c>
      <c r="B42" s="25"/>
      <c r="C42" s="25"/>
      <c r="D42" s="31"/>
      <c r="E42" s="32">
        <f>E44-(E24+E29+E34+E38)</f>
        <v>1152.8116850999995</v>
      </c>
      <c r="F42" s="33">
        <f>F44-(F24+F29+F34+F38)</f>
        <v>9.0592946338239955</v>
      </c>
      <c r="G42" s="32"/>
      <c r="H42" s="18"/>
      <c r="I42" s="18"/>
    </row>
    <row r="43" spans="1:9" ht="10.5" x14ac:dyDescent="0.25">
      <c r="A43" s="25"/>
      <c r="B43" s="25"/>
      <c r="C43" s="25"/>
      <c r="D43" s="31"/>
      <c r="E43" s="32"/>
      <c r="F43" s="33"/>
      <c r="G43" s="32"/>
      <c r="H43" s="18"/>
      <c r="I43" s="18"/>
    </row>
    <row r="44" spans="1:9" ht="10.5" x14ac:dyDescent="0.25">
      <c r="A44" s="34" t="s">
        <v>64</v>
      </c>
      <c r="B44" s="34"/>
      <c r="C44" s="34"/>
      <c r="D44" s="35"/>
      <c r="E44" s="36">
        <v>12725.181503600001</v>
      </c>
      <c r="F44" s="37">
        <v>100</v>
      </c>
      <c r="G44" s="36"/>
      <c r="H44" s="18"/>
      <c r="I44" s="18"/>
    </row>
    <row r="46" spans="1:9" ht="10.5" x14ac:dyDescent="0.25">
      <c r="A46" s="18" t="s">
        <v>66</v>
      </c>
    </row>
    <row r="48" spans="1:9" ht="10.5" x14ac:dyDescent="0.25">
      <c r="A48" s="18" t="s">
        <v>67</v>
      </c>
    </row>
    <row r="49" spans="1:5" ht="10.5" x14ac:dyDescent="0.25">
      <c r="A49" s="18" t="s">
        <v>68</v>
      </c>
    </row>
    <row r="50" spans="1:5" ht="10.5" x14ac:dyDescent="0.25">
      <c r="A50" s="18" t="s">
        <v>69</v>
      </c>
      <c r="B50" s="18"/>
      <c r="C50" s="38" t="s">
        <v>70</v>
      </c>
      <c r="D50" s="43" t="s">
        <v>71</v>
      </c>
    </row>
    <row r="51" spans="1:5" x14ac:dyDescent="0.2">
      <c r="A51" s="9" t="s">
        <v>98</v>
      </c>
      <c r="C51" s="39">
        <v>12.0617</v>
      </c>
      <c r="D51" s="39">
        <v>12.3764</v>
      </c>
    </row>
    <row r="52" spans="1:5" x14ac:dyDescent="0.2">
      <c r="A52" s="9" t="s">
        <v>669</v>
      </c>
      <c r="C52" s="39">
        <v>10.4642</v>
      </c>
      <c r="D52" s="39">
        <v>10.7372</v>
      </c>
    </row>
    <row r="53" spans="1:5" x14ac:dyDescent="0.2">
      <c r="A53" s="9" t="s">
        <v>275</v>
      </c>
      <c r="C53" s="39">
        <v>10.2638</v>
      </c>
      <c r="D53" s="39">
        <v>10.1691</v>
      </c>
    </row>
    <row r="54" spans="1:5" x14ac:dyDescent="0.2">
      <c r="A54" s="9" t="s">
        <v>101</v>
      </c>
      <c r="C54" s="39">
        <v>12.1342</v>
      </c>
      <c r="D54" s="39">
        <v>12.450799999999999</v>
      </c>
    </row>
    <row r="55" spans="1:5" x14ac:dyDescent="0.2">
      <c r="A55" s="9" t="s">
        <v>332</v>
      </c>
      <c r="C55" s="39">
        <v>10.537000000000001</v>
      </c>
      <c r="D55" s="39">
        <v>10.8123</v>
      </c>
    </row>
    <row r="56" spans="1:5" x14ac:dyDescent="0.2">
      <c r="A56" s="9" t="s">
        <v>279</v>
      </c>
      <c r="C56" s="39">
        <v>10.3002</v>
      </c>
      <c r="D56" s="39">
        <v>10.2066</v>
      </c>
    </row>
    <row r="58" spans="1:5" ht="10.5" x14ac:dyDescent="0.25">
      <c r="A58" s="18" t="s">
        <v>90</v>
      </c>
    </row>
    <row r="59" spans="1:5" ht="10.5" x14ac:dyDescent="0.25">
      <c r="A59" s="68" t="s">
        <v>91</v>
      </c>
      <c r="B59" s="69"/>
      <c r="C59" s="40" t="s">
        <v>92</v>
      </c>
    </row>
    <row r="60" spans="1:5" x14ac:dyDescent="0.2">
      <c r="A60" s="64" t="s">
        <v>275</v>
      </c>
      <c r="B60" s="65"/>
      <c r="C60" s="41">
        <v>0.36</v>
      </c>
    </row>
    <row r="61" spans="1:5" x14ac:dyDescent="0.2">
      <c r="A61" s="64" t="s">
        <v>279</v>
      </c>
      <c r="B61" s="65"/>
      <c r="C61" s="41">
        <v>0.36</v>
      </c>
    </row>
    <row r="62" spans="1:5" x14ac:dyDescent="0.2">
      <c r="A62" s="9" t="s">
        <v>93</v>
      </c>
    </row>
    <row r="64" spans="1:5" ht="10.5" x14ac:dyDescent="0.25">
      <c r="A64" s="18" t="s">
        <v>94</v>
      </c>
      <c r="D64" s="42">
        <v>0.20868127723287699</v>
      </c>
      <c r="E64" s="13" t="s">
        <v>95</v>
      </c>
    </row>
    <row r="66" spans="1:4" ht="10.5" x14ac:dyDescent="0.25">
      <c r="A66" s="18" t="s">
        <v>1506</v>
      </c>
      <c r="D66" s="43" t="s">
        <v>96</v>
      </c>
    </row>
    <row r="68" spans="1:4" ht="10.5" x14ac:dyDescent="0.25">
      <c r="A68" s="18" t="s">
        <v>1508</v>
      </c>
    </row>
    <row r="69" spans="1:4" x14ac:dyDescent="0.2">
      <c r="A69" s="47" t="s">
        <v>1509</v>
      </c>
    </row>
  </sheetData>
  <mergeCells count="4">
    <mergeCell ref="A1:G1"/>
    <mergeCell ref="A59:B59"/>
    <mergeCell ref="A60:B60"/>
    <mergeCell ref="A61:B61"/>
  </mergeCells>
  <conditionalFormatting sqref="F2:F3 F5:F65536">
    <cfRule type="cellIs" dxfId="37" priority="1" stopIfTrue="1" operator="between">
      <formula>0.009</formula>
      <formula>-0.009</formula>
    </cfRule>
  </conditionalFormatting>
  <hyperlinks>
    <hyperlink ref="A69" r:id="rId1" xr:uid="{3AE93644-636E-44AC-97C4-63ECBE71BF6F}"/>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4"/>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803</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743</v>
      </c>
      <c r="B7" s="26" t="s">
        <v>744</v>
      </c>
      <c r="C7" s="26" t="s">
        <v>16</v>
      </c>
      <c r="D7" s="30">
        <v>61</v>
      </c>
      <c r="E7" s="28">
        <v>774.10464000000002</v>
      </c>
      <c r="F7" s="29">
        <v>10.018557015249201</v>
      </c>
      <c r="G7" s="28">
        <v>3.75</v>
      </c>
    </row>
    <row r="8" spans="1:7" x14ac:dyDescent="0.2">
      <c r="A8" s="26" t="s">
        <v>757</v>
      </c>
      <c r="B8" s="26" t="s">
        <v>758</v>
      </c>
      <c r="C8" s="26" t="s">
        <v>209</v>
      </c>
      <c r="D8" s="30">
        <v>61</v>
      </c>
      <c r="E8" s="28">
        <v>618.52230999999995</v>
      </c>
      <c r="F8" s="29">
        <v>8.0049914543060208</v>
      </c>
      <c r="G8" s="28">
        <v>3.5226999999999999</v>
      </c>
    </row>
    <row r="9" spans="1:7" x14ac:dyDescent="0.2">
      <c r="A9" s="26" t="s">
        <v>797</v>
      </c>
      <c r="B9" s="26" t="s">
        <v>798</v>
      </c>
      <c r="C9" s="26" t="s">
        <v>16</v>
      </c>
      <c r="D9" s="30">
        <v>61</v>
      </c>
      <c r="E9" s="28">
        <v>616.90580999999997</v>
      </c>
      <c r="F9" s="29">
        <v>7.9840705134172598</v>
      </c>
      <c r="G9" s="28">
        <v>3.4750000000000001</v>
      </c>
    </row>
    <row r="10" spans="1:7" x14ac:dyDescent="0.2">
      <c r="A10" s="26" t="s">
        <v>793</v>
      </c>
      <c r="B10" s="26" t="s">
        <v>794</v>
      </c>
      <c r="C10" s="26" t="s">
        <v>16</v>
      </c>
      <c r="D10" s="30">
        <v>61</v>
      </c>
      <c r="E10" s="28">
        <v>616.54895999999997</v>
      </c>
      <c r="F10" s="29">
        <v>7.9794521170323902</v>
      </c>
      <c r="G10" s="28">
        <v>3.4750999999999999</v>
      </c>
    </row>
    <row r="11" spans="1:7" x14ac:dyDescent="0.2">
      <c r="A11" s="26" t="s">
        <v>795</v>
      </c>
      <c r="B11" s="26" t="s">
        <v>796</v>
      </c>
      <c r="C11" s="26" t="s">
        <v>209</v>
      </c>
      <c r="D11" s="30">
        <v>61</v>
      </c>
      <c r="E11" s="28">
        <v>612.92372999999998</v>
      </c>
      <c r="F11" s="29">
        <v>7.9325339465788502</v>
      </c>
      <c r="G11" s="28">
        <v>3.1252</v>
      </c>
    </row>
    <row r="12" spans="1:7" x14ac:dyDescent="0.2">
      <c r="A12" s="26" t="s">
        <v>237</v>
      </c>
      <c r="B12" s="26" t="s">
        <v>238</v>
      </c>
      <c r="C12" s="26" t="s">
        <v>209</v>
      </c>
      <c r="D12" s="30">
        <v>40</v>
      </c>
      <c r="E12" s="28">
        <v>505.56279999999998</v>
      </c>
      <c r="F12" s="29">
        <v>6.5430556476047297</v>
      </c>
      <c r="G12" s="28">
        <v>5.0650000000000004</v>
      </c>
    </row>
    <row r="13" spans="1:7" x14ac:dyDescent="0.2">
      <c r="A13" s="26" t="s">
        <v>648</v>
      </c>
      <c r="B13" s="26" t="s">
        <v>649</v>
      </c>
      <c r="C13" s="26" t="s">
        <v>16</v>
      </c>
      <c r="D13" s="30">
        <v>5</v>
      </c>
      <c r="E13" s="28">
        <v>504.52850000000001</v>
      </c>
      <c r="F13" s="29">
        <v>6.5296696103877503</v>
      </c>
      <c r="G13" s="28">
        <v>3.1598999999999999</v>
      </c>
    </row>
    <row r="14" spans="1:7" x14ac:dyDescent="0.2">
      <c r="A14" s="26" t="s">
        <v>263</v>
      </c>
      <c r="B14" s="26" t="s">
        <v>264</v>
      </c>
      <c r="C14" s="26" t="s">
        <v>16</v>
      </c>
      <c r="D14" s="30">
        <v>38</v>
      </c>
      <c r="E14" s="28">
        <v>383.41847999999999</v>
      </c>
      <c r="F14" s="29">
        <v>4.9622489054970398</v>
      </c>
      <c r="G14" s="28">
        <v>3.0741000000000001</v>
      </c>
    </row>
    <row r="15" spans="1:7" x14ac:dyDescent="0.2">
      <c r="A15" s="26" t="s">
        <v>720</v>
      </c>
      <c r="B15" s="26" t="s">
        <v>721</v>
      </c>
      <c r="C15" s="26" t="s">
        <v>16</v>
      </c>
      <c r="D15" s="30">
        <v>30</v>
      </c>
      <c r="E15" s="28">
        <v>378.25170000000003</v>
      </c>
      <c r="F15" s="29">
        <v>4.8953798062299896</v>
      </c>
      <c r="G15" s="28">
        <v>3.2650000000000001</v>
      </c>
    </row>
    <row r="16" spans="1:7" x14ac:dyDescent="0.2">
      <c r="A16" s="26" t="s">
        <v>776</v>
      </c>
      <c r="B16" s="26" t="s">
        <v>777</v>
      </c>
      <c r="C16" s="26" t="s">
        <v>16</v>
      </c>
      <c r="D16" s="30">
        <v>21</v>
      </c>
      <c r="E16" s="28">
        <v>211.827</v>
      </c>
      <c r="F16" s="29">
        <v>2.74149096544518</v>
      </c>
      <c r="G16" s="28">
        <v>3.13</v>
      </c>
    </row>
    <row r="17" spans="1:9" x14ac:dyDescent="0.2">
      <c r="A17" s="26" t="s">
        <v>587</v>
      </c>
      <c r="B17" s="26" t="s">
        <v>588</v>
      </c>
      <c r="C17" s="26" t="s">
        <v>13</v>
      </c>
      <c r="D17" s="30">
        <v>10</v>
      </c>
      <c r="E17" s="28">
        <v>125.6514</v>
      </c>
      <c r="F17" s="29">
        <v>1.6261958007975299</v>
      </c>
      <c r="G17" s="28">
        <v>3.875</v>
      </c>
    </row>
    <row r="18" spans="1:9" x14ac:dyDescent="0.2">
      <c r="A18" s="26" t="s">
        <v>767</v>
      </c>
      <c r="B18" s="26" t="s">
        <v>768</v>
      </c>
      <c r="C18" s="26" t="s">
        <v>16</v>
      </c>
      <c r="D18" s="30">
        <v>10</v>
      </c>
      <c r="E18" s="28">
        <v>101.5453</v>
      </c>
      <c r="F18" s="29">
        <v>1.31421170357613</v>
      </c>
      <c r="G18" s="28">
        <v>3.4750000000000001</v>
      </c>
    </row>
    <row r="19" spans="1:9" x14ac:dyDescent="0.2">
      <c r="A19" s="26" t="s">
        <v>585</v>
      </c>
      <c r="B19" s="26" t="s">
        <v>586</v>
      </c>
      <c r="C19" s="26" t="s">
        <v>16</v>
      </c>
      <c r="D19" s="30">
        <v>2</v>
      </c>
      <c r="E19" s="28">
        <v>20.18412</v>
      </c>
      <c r="F19" s="29">
        <v>0.26122535194031599</v>
      </c>
      <c r="G19" s="28">
        <v>4.6449999999999996</v>
      </c>
    </row>
    <row r="20" spans="1:9" x14ac:dyDescent="0.2">
      <c r="A20" s="26" t="s">
        <v>765</v>
      </c>
      <c r="B20" s="26" t="s">
        <v>766</v>
      </c>
      <c r="C20" s="26" t="s">
        <v>16</v>
      </c>
      <c r="D20" s="30">
        <v>1</v>
      </c>
      <c r="E20" s="28">
        <v>12.60308</v>
      </c>
      <c r="F20" s="29">
        <v>0.16311060420429299</v>
      </c>
      <c r="G20" s="28">
        <v>3.6848999999999998</v>
      </c>
    </row>
    <row r="21" spans="1:9" x14ac:dyDescent="0.2">
      <c r="A21" s="26" t="s">
        <v>761</v>
      </c>
      <c r="B21" s="26" t="s">
        <v>762</v>
      </c>
      <c r="C21" s="26" t="s">
        <v>209</v>
      </c>
      <c r="D21" s="30">
        <v>1</v>
      </c>
      <c r="E21" s="28">
        <v>10.11243</v>
      </c>
      <c r="F21" s="29">
        <v>0.130876307003813</v>
      </c>
      <c r="G21" s="28">
        <v>3.4750000000000001</v>
      </c>
    </row>
    <row r="22" spans="1:9" ht="10.5" x14ac:dyDescent="0.25">
      <c r="A22" s="25" t="s">
        <v>17</v>
      </c>
      <c r="B22" s="25"/>
      <c r="C22" s="25"/>
      <c r="D22" s="31"/>
      <c r="E22" s="32">
        <f>SUM(E6:E21)</f>
        <v>5492.6902599999994</v>
      </c>
      <c r="F22" s="33">
        <f>SUM(F6:F21)</f>
        <v>71.087069749270498</v>
      </c>
      <c r="G22" s="32"/>
      <c r="H22" s="18"/>
      <c r="I22" s="18"/>
    </row>
    <row r="23" spans="1:9" x14ac:dyDescent="0.2">
      <c r="A23" s="26"/>
      <c r="B23" s="26"/>
      <c r="C23" s="26"/>
      <c r="D23" s="27"/>
      <c r="E23" s="28"/>
      <c r="F23" s="29"/>
      <c r="G23" s="28"/>
    </row>
    <row r="24" spans="1:9" ht="10.5" x14ac:dyDescent="0.25">
      <c r="A24" s="25" t="s">
        <v>269</v>
      </c>
      <c r="B24" s="26"/>
      <c r="C24" s="26"/>
      <c r="D24" s="27"/>
      <c r="E24" s="28"/>
      <c r="F24" s="29"/>
      <c r="G24" s="28"/>
    </row>
    <row r="25" spans="1:9" x14ac:dyDescent="0.2">
      <c r="A25" s="26" t="s">
        <v>801</v>
      </c>
      <c r="B25" s="26" t="s">
        <v>802</v>
      </c>
      <c r="C25" s="26" t="s">
        <v>16</v>
      </c>
      <c r="D25" s="30">
        <v>61</v>
      </c>
      <c r="E25" s="28">
        <v>615.71813999999995</v>
      </c>
      <c r="F25" s="29">
        <v>7.96869954288504</v>
      </c>
      <c r="G25" s="28">
        <v>3.75</v>
      </c>
    </row>
    <row r="26" spans="1:9" x14ac:dyDescent="0.2">
      <c r="A26" s="26" t="s">
        <v>771</v>
      </c>
      <c r="B26" s="26" t="s">
        <v>772</v>
      </c>
      <c r="C26" s="26" t="s">
        <v>160</v>
      </c>
      <c r="D26" s="30">
        <v>61</v>
      </c>
      <c r="E26" s="28">
        <v>613.68501000000003</v>
      </c>
      <c r="F26" s="29">
        <v>7.9423865255332604</v>
      </c>
      <c r="G26" s="28">
        <v>3.7349999999999999</v>
      </c>
    </row>
    <row r="27" spans="1:9" ht="10.5" x14ac:dyDescent="0.25">
      <c r="A27" s="25" t="s">
        <v>17</v>
      </c>
      <c r="B27" s="25"/>
      <c r="C27" s="25"/>
      <c r="D27" s="31"/>
      <c r="E27" s="32">
        <f>SUM(E24:E26)</f>
        <v>1229.4031500000001</v>
      </c>
      <c r="F27" s="33">
        <f>SUM(F24:F26)</f>
        <v>15.9110860684183</v>
      </c>
      <c r="G27" s="32"/>
      <c r="H27" s="18"/>
      <c r="I27" s="18"/>
    </row>
    <row r="28" spans="1:9" x14ac:dyDescent="0.2">
      <c r="A28" s="26"/>
      <c r="B28" s="26"/>
      <c r="C28" s="26"/>
      <c r="D28" s="27"/>
      <c r="E28" s="28"/>
      <c r="F28" s="29"/>
      <c r="G28" s="28"/>
    </row>
    <row r="29" spans="1:9" ht="10.5" x14ac:dyDescent="0.25">
      <c r="A29" s="25" t="s">
        <v>18</v>
      </c>
      <c r="B29" s="26"/>
      <c r="C29" s="26"/>
      <c r="D29" s="27"/>
      <c r="E29" s="28"/>
      <c r="F29" s="29"/>
      <c r="G29" s="28"/>
    </row>
    <row r="30" spans="1:9" ht="10.5" x14ac:dyDescent="0.25">
      <c r="A30" s="25" t="s">
        <v>105</v>
      </c>
      <c r="B30" s="26"/>
      <c r="C30" s="26"/>
      <c r="D30" s="27"/>
      <c r="E30" s="28"/>
      <c r="F30" s="29"/>
      <c r="G30" s="28"/>
    </row>
    <row r="31" spans="1:9" x14ac:dyDescent="0.2">
      <c r="A31" s="26" t="s">
        <v>115</v>
      </c>
      <c r="B31" s="26" t="s">
        <v>116</v>
      </c>
      <c r="C31" s="26" t="s">
        <v>25</v>
      </c>
      <c r="D31" s="30">
        <v>56</v>
      </c>
      <c r="E31" s="28">
        <v>55.708688000000002</v>
      </c>
      <c r="F31" s="29">
        <v>0.72098865984413796</v>
      </c>
      <c r="G31" s="28">
        <v>3.0299</v>
      </c>
    </row>
    <row r="32" spans="1:9" ht="10.5" x14ac:dyDescent="0.25">
      <c r="A32" s="25" t="s">
        <v>17</v>
      </c>
      <c r="B32" s="25"/>
      <c r="C32" s="25"/>
      <c r="D32" s="31"/>
      <c r="E32" s="32">
        <f>SUM(E30:E31)</f>
        <v>55.708688000000002</v>
      </c>
      <c r="F32" s="33">
        <f>SUM(F30:F31)</f>
        <v>0.72098865984413796</v>
      </c>
      <c r="G32" s="32"/>
      <c r="H32" s="18"/>
      <c r="I32" s="18"/>
    </row>
    <row r="33" spans="1:9" x14ac:dyDescent="0.2">
      <c r="A33" s="26"/>
      <c r="B33" s="26"/>
      <c r="C33" s="26"/>
      <c r="D33" s="27"/>
      <c r="E33" s="28"/>
      <c r="F33" s="29"/>
      <c r="G33" s="28"/>
    </row>
    <row r="34" spans="1:9" ht="10.5" x14ac:dyDescent="0.25">
      <c r="A34" s="25" t="s">
        <v>41</v>
      </c>
      <c r="B34" s="26"/>
      <c r="C34" s="26"/>
      <c r="D34" s="27"/>
      <c r="E34" s="28"/>
      <c r="F34" s="29"/>
      <c r="G34" s="28"/>
    </row>
    <row r="35" spans="1:9" x14ac:dyDescent="0.2">
      <c r="A35" s="26" t="s">
        <v>141</v>
      </c>
      <c r="B35" s="26" t="s">
        <v>142</v>
      </c>
      <c r="C35" s="26" t="s">
        <v>44</v>
      </c>
      <c r="D35" s="30">
        <v>120000</v>
      </c>
      <c r="E35" s="28">
        <v>119.1846</v>
      </c>
      <c r="F35" s="29">
        <v>1.5425016835445799</v>
      </c>
      <c r="G35" s="28">
        <v>3.0085999999999999</v>
      </c>
    </row>
    <row r="36" spans="1:9" ht="10.5" x14ac:dyDescent="0.25">
      <c r="A36" s="25" t="s">
        <v>17</v>
      </c>
      <c r="B36" s="25"/>
      <c r="C36" s="25"/>
      <c r="D36" s="31"/>
      <c r="E36" s="32">
        <f>SUM(E34:E35)</f>
        <v>119.1846</v>
      </c>
      <c r="F36" s="33">
        <f>SUM(F34:F35)</f>
        <v>1.5425016835445799</v>
      </c>
      <c r="G36" s="32"/>
      <c r="H36" s="18"/>
      <c r="I36" s="18"/>
    </row>
    <row r="37" spans="1:9" x14ac:dyDescent="0.2">
      <c r="A37" s="26"/>
      <c r="B37" s="26"/>
      <c r="C37" s="26"/>
      <c r="D37" s="27"/>
      <c r="E37" s="28"/>
      <c r="F37" s="29"/>
      <c r="G37" s="28"/>
    </row>
    <row r="38" spans="1:9" ht="10.5" x14ac:dyDescent="0.25">
      <c r="A38" s="25" t="s">
        <v>62</v>
      </c>
      <c r="B38" s="25"/>
      <c r="C38" s="25"/>
      <c r="D38" s="31"/>
      <c r="E38" s="32">
        <f>E22+E27+E32+E36</f>
        <v>6896.9866979999988</v>
      </c>
      <c r="F38" s="33">
        <f>F22+F27+F32+F36</f>
        <v>89.261646161077522</v>
      </c>
      <c r="G38" s="32"/>
      <c r="H38" s="18"/>
      <c r="I38" s="18"/>
    </row>
    <row r="39" spans="1:9" ht="10.5" x14ac:dyDescent="0.25">
      <c r="A39" s="25"/>
      <c r="B39" s="25"/>
      <c r="C39" s="25"/>
      <c r="D39" s="31"/>
      <c r="E39" s="32"/>
      <c r="F39" s="33"/>
      <c r="G39" s="32"/>
      <c r="H39" s="18"/>
      <c r="I39" s="18"/>
    </row>
    <row r="40" spans="1:9" ht="10.5" x14ac:dyDescent="0.25">
      <c r="A40" s="25" t="s">
        <v>63</v>
      </c>
      <c r="B40" s="25"/>
      <c r="C40" s="25"/>
      <c r="D40" s="31"/>
      <c r="E40" s="32">
        <f>E42-(E22+E27+E32+E36)</f>
        <v>829.72123830000146</v>
      </c>
      <c r="F40" s="33">
        <f>F42-(F22+F27+F32+F36)</f>
        <v>10.738353838922478</v>
      </c>
      <c r="G40" s="32"/>
      <c r="H40" s="18"/>
      <c r="I40" s="18"/>
    </row>
    <row r="41" spans="1:9" ht="10.5" x14ac:dyDescent="0.25">
      <c r="A41" s="25"/>
      <c r="B41" s="25"/>
      <c r="C41" s="25"/>
      <c r="D41" s="31"/>
      <c r="E41" s="32"/>
      <c r="F41" s="33"/>
      <c r="G41" s="32"/>
      <c r="H41" s="18"/>
      <c r="I41" s="18"/>
    </row>
    <row r="42" spans="1:9" ht="10.5" x14ac:dyDescent="0.25">
      <c r="A42" s="34" t="s">
        <v>64</v>
      </c>
      <c r="B42" s="34"/>
      <c r="C42" s="34"/>
      <c r="D42" s="35"/>
      <c r="E42" s="36">
        <v>7726.7079363000003</v>
      </c>
      <c r="F42" s="37">
        <v>100</v>
      </c>
      <c r="G42" s="36"/>
      <c r="H42" s="18"/>
      <c r="I42" s="18"/>
    </row>
    <row r="44" spans="1:9" ht="10.5" x14ac:dyDescent="0.25">
      <c r="A44" s="18" t="s">
        <v>66</v>
      </c>
    </row>
    <row r="46" spans="1:9" ht="10.5" x14ac:dyDescent="0.25">
      <c r="A46" s="18" t="s">
        <v>67</v>
      </c>
    </row>
    <row r="47" spans="1:9" ht="10.5" x14ac:dyDescent="0.25">
      <c r="A47" s="18" t="s">
        <v>68</v>
      </c>
    </row>
    <row r="48" spans="1:9" ht="10.5" x14ac:dyDescent="0.25">
      <c r="A48" s="18" t="s">
        <v>69</v>
      </c>
      <c r="B48" s="18"/>
      <c r="C48" s="38" t="s">
        <v>70</v>
      </c>
      <c r="D48" s="43" t="s">
        <v>71</v>
      </c>
    </row>
    <row r="49" spans="1:5" x14ac:dyDescent="0.2">
      <c r="A49" s="9" t="s">
        <v>98</v>
      </c>
      <c r="C49" s="39">
        <v>12.133800000000001</v>
      </c>
      <c r="D49" s="39">
        <v>12.4506</v>
      </c>
    </row>
    <row r="50" spans="1:5" x14ac:dyDescent="0.2">
      <c r="A50" s="9" t="s">
        <v>669</v>
      </c>
      <c r="C50" s="39">
        <v>10.473800000000001</v>
      </c>
      <c r="D50" s="39">
        <v>10.7479</v>
      </c>
    </row>
    <row r="51" spans="1:5" x14ac:dyDescent="0.2">
      <c r="A51" s="9" t="s">
        <v>275</v>
      </c>
      <c r="C51" s="39">
        <v>10.2713</v>
      </c>
      <c r="D51" s="39">
        <v>10.182600000000001</v>
      </c>
    </row>
    <row r="52" spans="1:5" x14ac:dyDescent="0.2">
      <c r="A52" s="9" t="s">
        <v>101</v>
      </c>
      <c r="C52" s="39">
        <v>12.194599999999999</v>
      </c>
      <c r="D52" s="39">
        <v>12.513</v>
      </c>
    </row>
    <row r="54" spans="1:5" ht="10.5" x14ac:dyDescent="0.25">
      <c r="A54" s="18" t="s">
        <v>90</v>
      </c>
    </row>
    <row r="55" spans="1:5" ht="10.5" x14ac:dyDescent="0.25">
      <c r="A55" s="68" t="s">
        <v>91</v>
      </c>
      <c r="B55" s="69"/>
      <c r="C55" s="40" t="s">
        <v>92</v>
      </c>
    </row>
    <row r="56" spans="1:5" x14ac:dyDescent="0.2">
      <c r="A56" s="64" t="s">
        <v>275</v>
      </c>
      <c r="B56" s="65"/>
      <c r="C56" s="41">
        <v>0.35499999999999998</v>
      </c>
    </row>
    <row r="57" spans="1:5" x14ac:dyDescent="0.2">
      <c r="A57" s="9" t="s">
        <v>93</v>
      </c>
    </row>
    <row r="59" spans="1:5" ht="10.5" x14ac:dyDescent="0.25">
      <c r="A59" s="18" t="s">
        <v>94</v>
      </c>
      <c r="D59" s="42">
        <v>0.202089333041096</v>
      </c>
      <c r="E59" s="13" t="s">
        <v>95</v>
      </c>
    </row>
    <row r="61" spans="1:5" ht="10.5" x14ac:dyDescent="0.25">
      <c r="A61" s="18" t="s">
        <v>1506</v>
      </c>
      <c r="D61" s="43" t="s">
        <v>96</v>
      </c>
    </row>
    <row r="63" spans="1:5" ht="10.5" x14ac:dyDescent="0.25">
      <c r="A63" s="18" t="s">
        <v>1508</v>
      </c>
    </row>
    <row r="64" spans="1:5" x14ac:dyDescent="0.2">
      <c r="A64" s="47" t="s">
        <v>1509</v>
      </c>
    </row>
  </sheetData>
  <mergeCells count="3">
    <mergeCell ref="A1:G1"/>
    <mergeCell ref="A55:B55"/>
    <mergeCell ref="A56:B56"/>
  </mergeCells>
  <conditionalFormatting sqref="F2:F3 F5:F65536">
    <cfRule type="cellIs" dxfId="36" priority="1" stopIfTrue="1" operator="between">
      <formula>0.009</formula>
      <formula>-0.009</formula>
    </cfRule>
  </conditionalFormatting>
  <hyperlinks>
    <hyperlink ref="A64" r:id="rId1" xr:uid="{6600DB48-D807-4961-9E17-F9ECCE95E905}"/>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5"/>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15.2695312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804</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743</v>
      </c>
      <c r="B7" s="26" t="s">
        <v>744</v>
      </c>
      <c r="C7" s="26" t="s">
        <v>16</v>
      </c>
      <c r="D7" s="30">
        <v>67</v>
      </c>
      <c r="E7" s="28">
        <v>850.24608000000001</v>
      </c>
      <c r="F7" s="29">
        <v>9.97330661718801</v>
      </c>
      <c r="G7" s="28">
        <v>3.75</v>
      </c>
    </row>
    <row r="8" spans="1:7" x14ac:dyDescent="0.2">
      <c r="A8" s="26" t="s">
        <v>789</v>
      </c>
      <c r="B8" s="26" t="s">
        <v>790</v>
      </c>
      <c r="C8" s="26" t="s">
        <v>16</v>
      </c>
      <c r="D8" s="30">
        <v>86</v>
      </c>
      <c r="E8" s="28">
        <v>850.09022000000004</v>
      </c>
      <c r="F8" s="29">
        <v>9.9714783940348308</v>
      </c>
      <c r="G8" s="28">
        <v>3.6999</v>
      </c>
    </row>
    <row r="9" spans="1:7" x14ac:dyDescent="0.2">
      <c r="A9" s="26" t="s">
        <v>263</v>
      </c>
      <c r="B9" s="26" t="s">
        <v>264</v>
      </c>
      <c r="C9" s="26" t="s">
        <v>16</v>
      </c>
      <c r="D9" s="30">
        <v>72</v>
      </c>
      <c r="E9" s="28">
        <v>726.47712000000001</v>
      </c>
      <c r="F9" s="29">
        <v>8.5215083474794593</v>
      </c>
      <c r="G9" s="28">
        <v>3.0741000000000001</v>
      </c>
    </row>
    <row r="10" spans="1:7" x14ac:dyDescent="0.2">
      <c r="A10" s="26" t="s">
        <v>757</v>
      </c>
      <c r="B10" s="26" t="s">
        <v>758</v>
      </c>
      <c r="C10" s="26" t="s">
        <v>209</v>
      </c>
      <c r="D10" s="30">
        <v>68</v>
      </c>
      <c r="E10" s="28">
        <v>689.50027999999998</v>
      </c>
      <c r="F10" s="29">
        <v>8.08777348914915</v>
      </c>
      <c r="G10" s="28">
        <v>3.5226999999999999</v>
      </c>
    </row>
    <row r="11" spans="1:7" x14ac:dyDescent="0.2">
      <c r="A11" s="26" t="s">
        <v>797</v>
      </c>
      <c r="B11" s="26" t="s">
        <v>798</v>
      </c>
      <c r="C11" s="26" t="s">
        <v>16</v>
      </c>
      <c r="D11" s="30">
        <v>68</v>
      </c>
      <c r="E11" s="28">
        <v>687.69827999999995</v>
      </c>
      <c r="F11" s="29">
        <v>8.0666361984906896</v>
      </c>
      <c r="G11" s="28">
        <v>3.4750000000000001</v>
      </c>
    </row>
    <row r="12" spans="1:7" x14ac:dyDescent="0.2">
      <c r="A12" s="26" t="s">
        <v>793</v>
      </c>
      <c r="B12" s="26" t="s">
        <v>794</v>
      </c>
      <c r="C12" s="26" t="s">
        <v>16</v>
      </c>
      <c r="D12" s="30">
        <v>68</v>
      </c>
      <c r="E12" s="28">
        <v>687.30047999999999</v>
      </c>
      <c r="F12" s="29">
        <v>8.0619700418736393</v>
      </c>
      <c r="G12" s="28">
        <v>3.4750999999999999</v>
      </c>
    </row>
    <row r="13" spans="1:7" x14ac:dyDescent="0.2">
      <c r="A13" s="26" t="s">
        <v>795</v>
      </c>
      <c r="B13" s="26" t="s">
        <v>796</v>
      </c>
      <c r="C13" s="26" t="s">
        <v>209</v>
      </c>
      <c r="D13" s="30">
        <v>68</v>
      </c>
      <c r="E13" s="28">
        <v>683.25923999999998</v>
      </c>
      <c r="F13" s="29">
        <v>8.0145666764460195</v>
      </c>
      <c r="G13" s="28">
        <v>3.1252</v>
      </c>
    </row>
    <row r="14" spans="1:7" x14ac:dyDescent="0.2">
      <c r="A14" s="26" t="s">
        <v>805</v>
      </c>
      <c r="B14" s="26" t="s">
        <v>806</v>
      </c>
      <c r="C14" s="26" t="s">
        <v>16</v>
      </c>
      <c r="D14" s="30">
        <v>50</v>
      </c>
      <c r="E14" s="28">
        <v>505.39</v>
      </c>
      <c r="F14" s="29">
        <v>5.9281772063690701</v>
      </c>
      <c r="G14" s="28">
        <v>3.2549999999999999</v>
      </c>
    </row>
    <row r="15" spans="1:7" x14ac:dyDescent="0.2">
      <c r="A15" s="26" t="s">
        <v>14</v>
      </c>
      <c r="B15" s="26" t="s">
        <v>15</v>
      </c>
      <c r="C15" s="26" t="s">
        <v>16</v>
      </c>
      <c r="D15" s="30">
        <v>16</v>
      </c>
      <c r="E15" s="28">
        <v>160.53935999999999</v>
      </c>
      <c r="F15" s="29">
        <v>1.8831116062388999</v>
      </c>
      <c r="G15" s="28">
        <v>3.2597999999999998</v>
      </c>
    </row>
    <row r="16" spans="1:7" x14ac:dyDescent="0.2">
      <c r="A16" s="26" t="s">
        <v>585</v>
      </c>
      <c r="B16" s="26" t="s">
        <v>586</v>
      </c>
      <c r="C16" s="26" t="s">
        <v>16</v>
      </c>
      <c r="D16" s="30">
        <v>7</v>
      </c>
      <c r="E16" s="28">
        <v>70.644419999999997</v>
      </c>
      <c r="F16" s="29">
        <v>0.82865240784574901</v>
      </c>
      <c r="G16" s="28">
        <v>4.6449999999999996</v>
      </c>
    </row>
    <row r="17" spans="1:9" x14ac:dyDescent="0.2">
      <c r="A17" s="26" t="s">
        <v>776</v>
      </c>
      <c r="B17" s="26" t="s">
        <v>777</v>
      </c>
      <c r="C17" s="26" t="s">
        <v>16</v>
      </c>
      <c r="D17" s="30">
        <v>6</v>
      </c>
      <c r="E17" s="28">
        <v>60.521999999999998</v>
      </c>
      <c r="F17" s="29">
        <v>0.70991737249227005</v>
      </c>
      <c r="G17" s="28">
        <v>3.13</v>
      </c>
    </row>
    <row r="18" spans="1:9" x14ac:dyDescent="0.2">
      <c r="A18" s="26" t="s">
        <v>765</v>
      </c>
      <c r="B18" s="26" t="s">
        <v>766</v>
      </c>
      <c r="C18" s="26" t="s">
        <v>16</v>
      </c>
      <c r="D18" s="30">
        <v>4</v>
      </c>
      <c r="E18" s="28">
        <v>50.412320000000001</v>
      </c>
      <c r="F18" s="29">
        <v>0.59133177614156096</v>
      </c>
      <c r="G18" s="28">
        <v>3.6848999999999998</v>
      </c>
    </row>
    <row r="19" spans="1:9" x14ac:dyDescent="0.2">
      <c r="A19" s="26" t="s">
        <v>587</v>
      </c>
      <c r="B19" s="26" t="s">
        <v>588</v>
      </c>
      <c r="C19" s="26" t="s">
        <v>13</v>
      </c>
      <c r="D19" s="30">
        <v>3</v>
      </c>
      <c r="E19" s="28">
        <v>37.695419999999999</v>
      </c>
      <c r="F19" s="29">
        <v>0.44216373420231603</v>
      </c>
      <c r="G19" s="28">
        <v>3.875</v>
      </c>
    </row>
    <row r="20" spans="1:9" x14ac:dyDescent="0.2">
      <c r="A20" s="26" t="s">
        <v>767</v>
      </c>
      <c r="B20" s="26" t="s">
        <v>768</v>
      </c>
      <c r="C20" s="26" t="s">
        <v>16</v>
      </c>
      <c r="D20" s="30">
        <v>3</v>
      </c>
      <c r="E20" s="28">
        <v>30.46359</v>
      </c>
      <c r="F20" s="29">
        <v>0.357335047907898</v>
      </c>
      <c r="G20" s="28">
        <v>3.4750000000000001</v>
      </c>
    </row>
    <row r="21" spans="1:9" ht="10.5" x14ac:dyDescent="0.25">
      <c r="A21" s="25" t="s">
        <v>17</v>
      </c>
      <c r="B21" s="25"/>
      <c r="C21" s="25"/>
      <c r="D21" s="31"/>
      <c r="E21" s="32">
        <f>SUM(E6:E20)</f>
        <v>6090.2388100000007</v>
      </c>
      <c r="F21" s="33">
        <f>SUM(F6:F20)</f>
        <v>71.437928915859558</v>
      </c>
      <c r="G21" s="32"/>
      <c r="H21" s="18"/>
      <c r="I21" s="18"/>
    </row>
    <row r="22" spans="1:9" x14ac:dyDescent="0.2">
      <c r="A22" s="26"/>
      <c r="B22" s="26"/>
      <c r="C22" s="26"/>
      <c r="D22" s="27"/>
      <c r="E22" s="28"/>
      <c r="F22" s="29"/>
      <c r="G22" s="28"/>
    </row>
    <row r="23" spans="1:9" ht="10.5" x14ac:dyDescent="0.25">
      <c r="A23" s="25" t="s">
        <v>269</v>
      </c>
      <c r="B23" s="26"/>
      <c r="C23" s="26"/>
      <c r="D23" s="27"/>
      <c r="E23" s="28"/>
      <c r="F23" s="29"/>
      <c r="G23" s="28"/>
    </row>
    <row r="24" spans="1:9" x14ac:dyDescent="0.2">
      <c r="A24" s="26" t="s">
        <v>801</v>
      </c>
      <c r="B24" s="26" t="s">
        <v>802</v>
      </c>
      <c r="C24" s="26" t="s">
        <v>16</v>
      </c>
      <c r="D24" s="30">
        <v>68</v>
      </c>
      <c r="E24" s="28">
        <v>686.37432000000001</v>
      </c>
      <c r="F24" s="29">
        <v>8.0511062721088003</v>
      </c>
      <c r="G24" s="28">
        <v>3.75</v>
      </c>
    </row>
    <row r="25" spans="1:9" x14ac:dyDescent="0.2">
      <c r="A25" s="26" t="s">
        <v>771</v>
      </c>
      <c r="B25" s="26" t="s">
        <v>772</v>
      </c>
      <c r="C25" s="26" t="s">
        <v>160</v>
      </c>
      <c r="D25" s="30">
        <v>67</v>
      </c>
      <c r="E25" s="28">
        <v>674.04746999999998</v>
      </c>
      <c r="F25" s="29">
        <v>7.9065134800149099</v>
      </c>
      <c r="G25" s="28">
        <v>3.7349999999999999</v>
      </c>
    </row>
    <row r="26" spans="1:9" x14ac:dyDescent="0.2">
      <c r="A26" s="26" t="s">
        <v>270</v>
      </c>
      <c r="B26" s="26" t="s">
        <v>271</v>
      </c>
      <c r="C26" s="26" t="s">
        <v>16</v>
      </c>
      <c r="D26" s="30">
        <v>12</v>
      </c>
      <c r="E26" s="28">
        <v>121.4148</v>
      </c>
      <c r="F26" s="29">
        <v>1.4241841941389</v>
      </c>
      <c r="G26" s="28">
        <v>3.5169999999999999</v>
      </c>
    </row>
    <row r="27" spans="1:9" ht="10.5" x14ac:dyDescent="0.25">
      <c r="A27" s="25" t="s">
        <v>17</v>
      </c>
      <c r="B27" s="25"/>
      <c r="C27" s="25"/>
      <c r="D27" s="31"/>
      <c r="E27" s="32">
        <f>SUM(E23:E26)</f>
        <v>1481.8365899999999</v>
      </c>
      <c r="F27" s="33">
        <f>SUM(F23:F26)</f>
        <v>17.381803946262611</v>
      </c>
      <c r="G27" s="32"/>
      <c r="H27" s="18"/>
      <c r="I27" s="18"/>
    </row>
    <row r="28" spans="1:9" x14ac:dyDescent="0.2">
      <c r="A28" s="26"/>
      <c r="B28" s="26"/>
      <c r="C28" s="26"/>
      <c r="D28" s="27"/>
      <c r="E28" s="28"/>
      <c r="F28" s="29"/>
      <c r="G28" s="28"/>
    </row>
    <row r="29" spans="1:9" ht="10.5" x14ac:dyDescent="0.25">
      <c r="A29" s="25" t="s">
        <v>18</v>
      </c>
      <c r="B29" s="26"/>
      <c r="C29" s="26"/>
      <c r="D29" s="27"/>
      <c r="E29" s="28"/>
      <c r="F29" s="29"/>
      <c r="G29" s="28"/>
    </row>
    <row r="30" spans="1:9" ht="10.5" x14ac:dyDescent="0.25">
      <c r="A30" s="25" t="s">
        <v>105</v>
      </c>
      <c r="B30" s="26"/>
      <c r="C30" s="26"/>
      <c r="D30" s="27"/>
      <c r="E30" s="28"/>
      <c r="F30" s="29"/>
      <c r="G30" s="28"/>
    </row>
    <row r="31" spans="1:9" x14ac:dyDescent="0.2">
      <c r="A31" s="26" t="s">
        <v>115</v>
      </c>
      <c r="B31" s="26" t="s">
        <v>116</v>
      </c>
      <c r="C31" s="26" t="s">
        <v>25</v>
      </c>
      <c r="D31" s="30">
        <v>36</v>
      </c>
      <c r="E31" s="28">
        <v>35.812728</v>
      </c>
      <c r="F31" s="29">
        <v>0.42007993396682802</v>
      </c>
      <c r="G31" s="28">
        <v>3.0299</v>
      </c>
    </row>
    <row r="32" spans="1:9" ht="10.5" x14ac:dyDescent="0.25">
      <c r="A32" s="25" t="s">
        <v>17</v>
      </c>
      <c r="B32" s="25"/>
      <c r="C32" s="25"/>
      <c r="D32" s="31"/>
      <c r="E32" s="32">
        <f>SUM(E30:E31)</f>
        <v>35.812728</v>
      </c>
      <c r="F32" s="33">
        <f>SUM(F30:F31)</f>
        <v>0.42007993396682802</v>
      </c>
      <c r="G32" s="32"/>
      <c r="H32" s="18"/>
      <c r="I32" s="18"/>
    </row>
    <row r="33" spans="1:9" x14ac:dyDescent="0.2">
      <c r="A33" s="26"/>
      <c r="B33" s="26"/>
      <c r="C33" s="26"/>
      <c r="D33" s="27"/>
      <c r="E33" s="28"/>
      <c r="F33" s="29"/>
      <c r="G33" s="28"/>
    </row>
    <row r="34" spans="1:9" ht="10.5" x14ac:dyDescent="0.25">
      <c r="A34" s="25" t="s">
        <v>19</v>
      </c>
      <c r="B34" s="26"/>
      <c r="C34" s="26"/>
      <c r="D34" s="27"/>
      <c r="E34" s="28"/>
      <c r="F34" s="29"/>
      <c r="G34" s="28"/>
    </row>
    <row r="35" spans="1:9" x14ac:dyDescent="0.2">
      <c r="A35" s="26" t="s">
        <v>786</v>
      </c>
      <c r="B35" s="26" t="s">
        <v>787</v>
      </c>
      <c r="C35" s="26" t="s">
        <v>38</v>
      </c>
      <c r="D35" s="30">
        <v>53</v>
      </c>
      <c r="E35" s="28">
        <v>263.65645000000001</v>
      </c>
      <c r="F35" s="29">
        <v>3.0926653815908201</v>
      </c>
      <c r="G35" s="28">
        <v>3.1</v>
      </c>
    </row>
    <row r="36" spans="1:9" ht="10.5" x14ac:dyDescent="0.25">
      <c r="A36" s="25" t="s">
        <v>17</v>
      </c>
      <c r="B36" s="25"/>
      <c r="C36" s="25"/>
      <c r="D36" s="31"/>
      <c r="E36" s="32">
        <f>SUM(E34:E35)</f>
        <v>263.65645000000001</v>
      </c>
      <c r="F36" s="33">
        <f>SUM(F34:F35)</f>
        <v>3.0926653815908201</v>
      </c>
      <c r="G36" s="32"/>
      <c r="H36" s="18"/>
      <c r="I36" s="18"/>
    </row>
    <row r="37" spans="1:9" x14ac:dyDescent="0.2">
      <c r="A37" s="26"/>
      <c r="B37" s="26"/>
      <c r="C37" s="26"/>
      <c r="D37" s="27"/>
      <c r="E37" s="28"/>
      <c r="F37" s="29"/>
      <c r="G37" s="28"/>
    </row>
    <row r="38" spans="1:9" ht="10.5" x14ac:dyDescent="0.25">
      <c r="A38" s="25" t="s">
        <v>41</v>
      </c>
      <c r="B38" s="26"/>
      <c r="C38" s="26"/>
      <c r="D38" s="27"/>
      <c r="E38" s="28"/>
      <c r="F38" s="29"/>
      <c r="G38" s="28"/>
    </row>
    <row r="39" spans="1:9" x14ac:dyDescent="0.2">
      <c r="A39" s="26" t="s">
        <v>141</v>
      </c>
      <c r="B39" s="26" t="s">
        <v>142</v>
      </c>
      <c r="C39" s="26" t="s">
        <v>44</v>
      </c>
      <c r="D39" s="30">
        <v>118000</v>
      </c>
      <c r="E39" s="28">
        <v>117.19819</v>
      </c>
      <c r="F39" s="29">
        <v>1.3747237550915401</v>
      </c>
      <c r="G39" s="28">
        <v>3.0085999999999999</v>
      </c>
    </row>
    <row r="40" spans="1:9" ht="10.5" x14ac:dyDescent="0.25">
      <c r="A40" s="25" t="s">
        <v>17</v>
      </c>
      <c r="B40" s="25"/>
      <c r="C40" s="25"/>
      <c r="D40" s="31"/>
      <c r="E40" s="32">
        <f>SUM(E38:E39)</f>
        <v>117.19819</v>
      </c>
      <c r="F40" s="33">
        <f>SUM(F38:F39)</f>
        <v>1.3747237550915401</v>
      </c>
      <c r="G40" s="32"/>
      <c r="H40" s="18"/>
      <c r="I40" s="18"/>
    </row>
    <row r="41" spans="1:9" x14ac:dyDescent="0.2">
      <c r="A41" s="26"/>
      <c r="B41" s="26"/>
      <c r="C41" s="26"/>
      <c r="D41" s="27"/>
      <c r="E41" s="28"/>
      <c r="F41" s="29"/>
      <c r="G41" s="28"/>
    </row>
    <row r="42" spans="1:9" ht="10.5" x14ac:dyDescent="0.25">
      <c r="A42" s="25" t="s">
        <v>62</v>
      </c>
      <c r="B42" s="25"/>
      <c r="C42" s="25"/>
      <c r="D42" s="31"/>
      <c r="E42" s="32">
        <f>E21+E27+E32+E36+E40</f>
        <v>7988.742768000001</v>
      </c>
      <c r="F42" s="33">
        <f>F21+F27+F32+F36+F40</f>
        <v>93.707201932771355</v>
      </c>
      <c r="G42" s="32"/>
      <c r="H42" s="18"/>
      <c r="I42" s="18"/>
    </row>
    <row r="43" spans="1:9" ht="10.5" x14ac:dyDescent="0.25">
      <c r="A43" s="25"/>
      <c r="B43" s="25"/>
      <c r="C43" s="25"/>
      <c r="D43" s="31"/>
      <c r="E43" s="32"/>
      <c r="F43" s="33"/>
      <c r="G43" s="32"/>
      <c r="H43" s="18"/>
      <c r="I43" s="18"/>
    </row>
    <row r="44" spans="1:9" ht="10.5" x14ac:dyDescent="0.25">
      <c r="A44" s="25" t="s">
        <v>63</v>
      </c>
      <c r="B44" s="25"/>
      <c r="C44" s="25"/>
      <c r="D44" s="31"/>
      <c r="E44" s="32">
        <f>E46-(E21+E27+E32+E36+E40)</f>
        <v>536.474721399999</v>
      </c>
      <c r="F44" s="33">
        <f>F46-(F21+F27+F32+F36+F40)</f>
        <v>6.2927980672286452</v>
      </c>
      <c r="G44" s="32"/>
      <c r="H44" s="18"/>
      <c r="I44" s="18"/>
    </row>
    <row r="45" spans="1:9" ht="10.5" x14ac:dyDescent="0.25">
      <c r="A45" s="25"/>
      <c r="B45" s="25"/>
      <c r="C45" s="25"/>
      <c r="D45" s="31"/>
      <c r="E45" s="32"/>
      <c r="F45" s="33"/>
      <c r="G45" s="32"/>
      <c r="H45" s="18"/>
      <c r="I45" s="18"/>
    </row>
    <row r="46" spans="1:9" ht="10.5" x14ac:dyDescent="0.25">
      <c r="A46" s="34" t="s">
        <v>64</v>
      </c>
      <c r="B46" s="34"/>
      <c r="C46" s="34"/>
      <c r="D46" s="35"/>
      <c r="E46" s="36">
        <v>8525.2174894</v>
      </c>
      <c r="F46" s="37">
        <v>100</v>
      </c>
      <c r="G46" s="36"/>
      <c r="H46" s="18"/>
      <c r="I46" s="18"/>
    </row>
    <row r="48" spans="1:9" ht="10.5" x14ac:dyDescent="0.25">
      <c r="A48" s="18" t="s">
        <v>65</v>
      </c>
    </row>
    <row r="49" spans="1:5" ht="10.5" x14ac:dyDescent="0.25">
      <c r="A49" s="18" t="s">
        <v>66</v>
      </c>
    </row>
    <row r="51" spans="1:5" ht="10.5" x14ac:dyDescent="0.25">
      <c r="A51" s="18" t="s">
        <v>67</v>
      </c>
    </row>
    <row r="52" spans="1:5" ht="10.5" x14ac:dyDescent="0.25">
      <c r="A52" s="18" t="s">
        <v>68</v>
      </c>
    </row>
    <row r="53" spans="1:5" ht="10.5" x14ac:dyDescent="0.25">
      <c r="A53" s="18" t="s">
        <v>69</v>
      </c>
      <c r="B53" s="18"/>
      <c r="C53" s="38" t="s">
        <v>70</v>
      </c>
      <c r="D53" s="43" t="s">
        <v>71</v>
      </c>
    </row>
    <row r="54" spans="1:5" x14ac:dyDescent="0.2">
      <c r="A54" s="9" t="s">
        <v>98</v>
      </c>
      <c r="C54" s="39">
        <v>12.148300000000001</v>
      </c>
      <c r="D54" s="39">
        <v>12.4636</v>
      </c>
    </row>
    <row r="55" spans="1:5" x14ac:dyDescent="0.2">
      <c r="A55" s="9" t="s">
        <v>669</v>
      </c>
      <c r="C55" s="39">
        <v>10.5579</v>
      </c>
      <c r="D55" s="39">
        <v>10.8324</v>
      </c>
    </row>
    <row r="56" spans="1:5" x14ac:dyDescent="0.2">
      <c r="A56" s="9" t="s">
        <v>101</v>
      </c>
      <c r="C56" s="39">
        <v>12.2128</v>
      </c>
      <c r="D56" s="39">
        <v>12.5299</v>
      </c>
    </row>
    <row r="58" spans="1:5" ht="10.5" x14ac:dyDescent="0.25">
      <c r="A58" s="18" t="s">
        <v>90</v>
      </c>
      <c r="D58" s="43" t="s">
        <v>96</v>
      </c>
    </row>
    <row r="60" spans="1:5" ht="10.5" x14ac:dyDescent="0.25">
      <c r="A60" s="18" t="s">
        <v>94</v>
      </c>
      <c r="D60" s="42">
        <v>0.214518691616438</v>
      </c>
      <c r="E60" s="13" t="s">
        <v>95</v>
      </c>
    </row>
    <row r="62" spans="1:5" ht="10.5" x14ac:dyDescent="0.25">
      <c r="A62" s="18" t="s">
        <v>1506</v>
      </c>
      <c r="D62" s="43" t="s">
        <v>96</v>
      </c>
    </row>
    <row r="64" spans="1:5" ht="10.5" x14ac:dyDescent="0.25">
      <c r="A64" s="18" t="s">
        <v>1508</v>
      </c>
    </row>
    <row r="65" spans="1:1" x14ac:dyDescent="0.2">
      <c r="A65" s="47" t="s">
        <v>1509</v>
      </c>
    </row>
  </sheetData>
  <mergeCells count="1">
    <mergeCell ref="A1:G1"/>
  </mergeCells>
  <conditionalFormatting sqref="F2:F3 F5:F65536">
    <cfRule type="cellIs" dxfId="35" priority="1" stopIfTrue="1" operator="between">
      <formula>0.009</formula>
      <formula>-0.009</formula>
    </cfRule>
  </conditionalFormatting>
  <hyperlinks>
    <hyperlink ref="A65" r:id="rId1" xr:uid="{6C2BEE2A-991F-488A-B84A-1722AF22D4CB}"/>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2"/>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807</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789</v>
      </c>
      <c r="B7" s="26" t="s">
        <v>790</v>
      </c>
      <c r="C7" s="26" t="s">
        <v>16</v>
      </c>
      <c r="D7" s="30">
        <v>107</v>
      </c>
      <c r="E7" s="28">
        <v>1057.67039</v>
      </c>
      <c r="F7" s="29">
        <v>9.9841627045657795</v>
      </c>
      <c r="G7" s="28">
        <v>3.6999</v>
      </c>
    </row>
    <row r="8" spans="1:7" x14ac:dyDescent="0.2">
      <c r="A8" s="26" t="s">
        <v>782</v>
      </c>
      <c r="B8" s="26" t="s">
        <v>783</v>
      </c>
      <c r="C8" s="26" t="s">
        <v>16</v>
      </c>
      <c r="D8" s="30">
        <v>83</v>
      </c>
      <c r="E8" s="28">
        <v>833.02949999999998</v>
      </c>
      <c r="F8" s="29">
        <v>7.8636049040789402</v>
      </c>
      <c r="G8" s="28">
        <v>3.0804999999999998</v>
      </c>
    </row>
    <row r="9" spans="1:7" x14ac:dyDescent="0.2">
      <c r="A9" s="26" t="s">
        <v>14</v>
      </c>
      <c r="B9" s="26" t="s">
        <v>15</v>
      </c>
      <c r="C9" s="26" t="s">
        <v>16</v>
      </c>
      <c r="D9" s="30">
        <v>83</v>
      </c>
      <c r="E9" s="28">
        <v>832.79792999999995</v>
      </c>
      <c r="F9" s="29">
        <v>7.8614189370902103</v>
      </c>
      <c r="G9" s="28">
        <v>3.2597999999999998</v>
      </c>
    </row>
    <row r="10" spans="1:7" x14ac:dyDescent="0.2">
      <c r="A10" s="26" t="s">
        <v>808</v>
      </c>
      <c r="B10" s="26" t="s">
        <v>809</v>
      </c>
      <c r="C10" s="26" t="s">
        <v>16</v>
      </c>
      <c r="D10" s="30">
        <v>80</v>
      </c>
      <c r="E10" s="28">
        <v>809.64160000000004</v>
      </c>
      <c r="F10" s="29">
        <v>7.6428285628615997</v>
      </c>
      <c r="G10" s="28">
        <v>3.6852</v>
      </c>
    </row>
    <row r="11" spans="1:7" x14ac:dyDescent="0.2">
      <c r="A11" s="26" t="s">
        <v>799</v>
      </c>
      <c r="B11" s="26" t="s">
        <v>800</v>
      </c>
      <c r="C11" s="26" t="s">
        <v>16</v>
      </c>
      <c r="D11" s="30">
        <v>62</v>
      </c>
      <c r="E11" s="28">
        <v>785.16257499999995</v>
      </c>
      <c r="F11" s="29">
        <v>7.4117522551953403</v>
      </c>
      <c r="G11" s="28">
        <v>3.09</v>
      </c>
    </row>
    <row r="12" spans="1:7" x14ac:dyDescent="0.2">
      <c r="A12" s="26" t="s">
        <v>795</v>
      </c>
      <c r="B12" s="26" t="s">
        <v>796</v>
      </c>
      <c r="C12" s="26" t="s">
        <v>209</v>
      </c>
      <c r="D12" s="30">
        <v>65</v>
      </c>
      <c r="E12" s="28">
        <v>653.11545000000001</v>
      </c>
      <c r="F12" s="29">
        <v>6.1652580797555503</v>
      </c>
      <c r="G12" s="28">
        <v>3.1252</v>
      </c>
    </row>
    <row r="13" spans="1:7" x14ac:dyDescent="0.2">
      <c r="A13" s="26" t="s">
        <v>648</v>
      </c>
      <c r="B13" s="26" t="s">
        <v>649</v>
      </c>
      <c r="C13" s="26" t="s">
        <v>16</v>
      </c>
      <c r="D13" s="30">
        <v>5</v>
      </c>
      <c r="E13" s="28">
        <v>504.52850000000001</v>
      </c>
      <c r="F13" s="29">
        <v>4.7626317997713103</v>
      </c>
      <c r="G13" s="28">
        <v>3.1598999999999999</v>
      </c>
    </row>
    <row r="14" spans="1:7" x14ac:dyDescent="0.2">
      <c r="A14" s="26" t="s">
        <v>776</v>
      </c>
      <c r="B14" s="26" t="s">
        <v>777</v>
      </c>
      <c r="C14" s="26" t="s">
        <v>16</v>
      </c>
      <c r="D14" s="30">
        <v>40</v>
      </c>
      <c r="E14" s="28">
        <v>403.48</v>
      </c>
      <c r="F14" s="29">
        <v>3.80875744100031</v>
      </c>
      <c r="G14" s="28">
        <v>3.13</v>
      </c>
    </row>
    <row r="15" spans="1:7" x14ac:dyDescent="0.2">
      <c r="A15" s="26" t="s">
        <v>797</v>
      </c>
      <c r="B15" s="26" t="s">
        <v>798</v>
      </c>
      <c r="C15" s="26" t="s">
        <v>16</v>
      </c>
      <c r="D15" s="30">
        <v>13</v>
      </c>
      <c r="E15" s="28">
        <v>131.47173000000001</v>
      </c>
      <c r="F15" s="29">
        <v>1.24106258034769</v>
      </c>
      <c r="G15" s="28">
        <v>3.4750000000000001</v>
      </c>
    </row>
    <row r="16" spans="1:7" x14ac:dyDescent="0.2">
      <c r="A16" s="26" t="s">
        <v>793</v>
      </c>
      <c r="B16" s="26" t="s">
        <v>794</v>
      </c>
      <c r="C16" s="26" t="s">
        <v>16</v>
      </c>
      <c r="D16" s="30">
        <v>8</v>
      </c>
      <c r="E16" s="28">
        <v>80.858879999999999</v>
      </c>
      <c r="F16" s="29">
        <v>0.763289037550687</v>
      </c>
      <c r="G16" s="28">
        <v>3.4750999999999999</v>
      </c>
    </row>
    <row r="17" spans="1:9" x14ac:dyDescent="0.2">
      <c r="A17" s="26" t="s">
        <v>587</v>
      </c>
      <c r="B17" s="26" t="s">
        <v>588</v>
      </c>
      <c r="C17" s="26" t="s">
        <v>13</v>
      </c>
      <c r="D17" s="30">
        <v>6</v>
      </c>
      <c r="E17" s="28">
        <v>75.390839999999997</v>
      </c>
      <c r="F17" s="29">
        <v>0.71167201059101803</v>
      </c>
      <c r="G17" s="28">
        <v>3.875</v>
      </c>
    </row>
    <row r="18" spans="1:9" x14ac:dyDescent="0.2">
      <c r="A18" s="26" t="s">
        <v>774</v>
      </c>
      <c r="B18" s="26" t="s">
        <v>775</v>
      </c>
      <c r="C18" s="26" t="s">
        <v>16</v>
      </c>
      <c r="D18" s="30">
        <v>5</v>
      </c>
      <c r="E18" s="28">
        <v>50.590249999999997</v>
      </c>
      <c r="F18" s="29">
        <v>0.47756020404869198</v>
      </c>
      <c r="G18" s="28">
        <v>3.4750999999999999</v>
      </c>
    </row>
    <row r="19" spans="1:9" x14ac:dyDescent="0.2">
      <c r="A19" s="26" t="s">
        <v>767</v>
      </c>
      <c r="B19" s="26" t="s">
        <v>768</v>
      </c>
      <c r="C19" s="26" t="s">
        <v>16</v>
      </c>
      <c r="D19" s="30">
        <v>3</v>
      </c>
      <c r="E19" s="28">
        <v>30.46359</v>
      </c>
      <c r="F19" s="29">
        <v>0.287569210598004</v>
      </c>
      <c r="G19" s="28">
        <v>3.4750000000000001</v>
      </c>
    </row>
    <row r="20" spans="1:9" x14ac:dyDescent="0.2">
      <c r="A20" s="26" t="s">
        <v>585</v>
      </c>
      <c r="B20" s="26" t="s">
        <v>586</v>
      </c>
      <c r="C20" s="26" t="s">
        <v>16</v>
      </c>
      <c r="D20" s="30">
        <v>3</v>
      </c>
      <c r="E20" s="28">
        <v>30.27618</v>
      </c>
      <c r="F20" s="29">
        <v>0.28580010374755799</v>
      </c>
      <c r="G20" s="28">
        <v>4.6449999999999996</v>
      </c>
    </row>
    <row r="21" spans="1:9" x14ac:dyDescent="0.2">
      <c r="A21" s="26" t="s">
        <v>743</v>
      </c>
      <c r="B21" s="26" t="s">
        <v>744</v>
      </c>
      <c r="C21" s="26" t="s">
        <v>16</v>
      </c>
      <c r="D21" s="30">
        <v>1</v>
      </c>
      <c r="E21" s="28">
        <v>12.690239999999999</v>
      </c>
      <c r="F21" s="29">
        <v>0.119792916694953</v>
      </c>
      <c r="G21" s="28">
        <v>3.75</v>
      </c>
    </row>
    <row r="22" spans="1:9" x14ac:dyDescent="0.2">
      <c r="A22" s="26" t="s">
        <v>263</v>
      </c>
      <c r="B22" s="26" t="s">
        <v>264</v>
      </c>
      <c r="C22" s="26" t="s">
        <v>16</v>
      </c>
      <c r="D22" s="30">
        <v>1</v>
      </c>
      <c r="E22" s="28">
        <v>10.08996</v>
      </c>
      <c r="F22" s="29">
        <v>9.5246877737175398E-2</v>
      </c>
      <c r="G22" s="28">
        <v>3.0741000000000001</v>
      </c>
    </row>
    <row r="23" spans="1:9" ht="10.5" x14ac:dyDescent="0.25">
      <c r="A23" s="25" t="s">
        <v>17</v>
      </c>
      <c r="B23" s="25"/>
      <c r="C23" s="25"/>
      <c r="D23" s="31"/>
      <c r="E23" s="32">
        <f>SUM(E6:E22)</f>
        <v>6301.2576150000014</v>
      </c>
      <c r="F23" s="33">
        <f>SUM(F6:F22)</f>
        <v>59.482407625634814</v>
      </c>
      <c r="G23" s="32"/>
      <c r="H23" s="18"/>
      <c r="I23" s="18"/>
    </row>
    <row r="24" spans="1:9" x14ac:dyDescent="0.2">
      <c r="A24" s="26"/>
      <c r="B24" s="26"/>
      <c r="C24" s="26"/>
      <c r="D24" s="27"/>
      <c r="E24" s="28"/>
      <c r="F24" s="29"/>
      <c r="G24" s="28"/>
    </row>
    <row r="25" spans="1:9" ht="10.5" x14ac:dyDescent="0.25">
      <c r="A25" s="25" t="s">
        <v>269</v>
      </c>
      <c r="B25" s="26"/>
      <c r="C25" s="26"/>
      <c r="D25" s="27"/>
      <c r="E25" s="28"/>
      <c r="F25" s="29"/>
      <c r="G25" s="28"/>
    </row>
    <row r="26" spans="1:9" x14ac:dyDescent="0.2">
      <c r="A26" s="26" t="s">
        <v>771</v>
      </c>
      <c r="B26" s="26" t="s">
        <v>772</v>
      </c>
      <c r="C26" s="26" t="s">
        <v>160</v>
      </c>
      <c r="D26" s="30">
        <v>82</v>
      </c>
      <c r="E26" s="28">
        <v>824.95362</v>
      </c>
      <c r="F26" s="29">
        <v>7.7873704735182496</v>
      </c>
      <c r="G26" s="28">
        <v>3.7349999999999999</v>
      </c>
    </row>
    <row r="27" spans="1:9" x14ac:dyDescent="0.2">
      <c r="A27" s="26" t="s">
        <v>801</v>
      </c>
      <c r="B27" s="26" t="s">
        <v>802</v>
      </c>
      <c r="C27" s="26" t="s">
        <v>16</v>
      </c>
      <c r="D27" s="30">
        <v>49</v>
      </c>
      <c r="E27" s="28">
        <v>494.59325999999999</v>
      </c>
      <c r="F27" s="29">
        <v>4.6688454428809401</v>
      </c>
      <c r="G27" s="28">
        <v>3.75</v>
      </c>
    </row>
    <row r="28" spans="1:9" x14ac:dyDescent="0.2">
      <c r="A28" s="26" t="s">
        <v>270</v>
      </c>
      <c r="B28" s="26" t="s">
        <v>271</v>
      </c>
      <c r="C28" s="26" t="s">
        <v>16</v>
      </c>
      <c r="D28" s="30">
        <v>27</v>
      </c>
      <c r="E28" s="28">
        <v>273.18329999999997</v>
      </c>
      <c r="F28" s="29">
        <v>2.57878687080406</v>
      </c>
      <c r="G28" s="28">
        <v>3.5169999999999999</v>
      </c>
    </row>
    <row r="29" spans="1:9" ht="10.5" x14ac:dyDescent="0.25">
      <c r="A29" s="25" t="s">
        <v>17</v>
      </c>
      <c r="B29" s="25"/>
      <c r="C29" s="25"/>
      <c r="D29" s="31"/>
      <c r="E29" s="32">
        <f>SUM(E25:E28)</f>
        <v>1592.7301799999998</v>
      </c>
      <c r="F29" s="33">
        <f>SUM(F25:F28)</f>
        <v>15.035002787203251</v>
      </c>
      <c r="G29" s="32"/>
      <c r="H29" s="18"/>
      <c r="I29" s="18"/>
    </row>
    <row r="30" spans="1:9" x14ac:dyDescent="0.2">
      <c r="A30" s="26"/>
      <c r="B30" s="26"/>
      <c r="C30" s="26"/>
      <c r="D30" s="27"/>
      <c r="E30" s="28"/>
      <c r="F30" s="29"/>
      <c r="G30" s="28"/>
    </row>
    <row r="31" spans="1:9" ht="10.5" x14ac:dyDescent="0.25">
      <c r="A31" s="25" t="s">
        <v>18</v>
      </c>
      <c r="B31" s="26"/>
      <c r="C31" s="26"/>
      <c r="D31" s="27"/>
      <c r="E31" s="28"/>
      <c r="F31" s="29"/>
      <c r="G31" s="28"/>
    </row>
    <row r="32" spans="1:9" ht="10.5" x14ac:dyDescent="0.25">
      <c r="A32" s="25" t="s">
        <v>105</v>
      </c>
      <c r="B32" s="26"/>
      <c r="C32" s="26"/>
      <c r="D32" s="27"/>
      <c r="E32" s="28"/>
      <c r="F32" s="29"/>
      <c r="G32" s="28"/>
    </row>
    <row r="33" spans="1:9" x14ac:dyDescent="0.2">
      <c r="A33" s="26" t="s">
        <v>115</v>
      </c>
      <c r="B33" s="26" t="s">
        <v>116</v>
      </c>
      <c r="C33" s="26" t="s">
        <v>25</v>
      </c>
      <c r="D33" s="30">
        <v>30</v>
      </c>
      <c r="E33" s="28">
        <v>29.84394</v>
      </c>
      <c r="F33" s="29">
        <v>0.28171985858968701</v>
      </c>
      <c r="G33" s="28">
        <v>3.0299</v>
      </c>
    </row>
    <row r="34" spans="1:9" ht="10.5" x14ac:dyDescent="0.25">
      <c r="A34" s="25" t="s">
        <v>17</v>
      </c>
      <c r="B34" s="25"/>
      <c r="C34" s="25"/>
      <c r="D34" s="31"/>
      <c r="E34" s="32">
        <f>SUM(E32:E33)</f>
        <v>29.84394</v>
      </c>
      <c r="F34" s="33">
        <f>SUM(F32:F33)</f>
        <v>0.28171985858968701</v>
      </c>
      <c r="G34" s="32"/>
      <c r="H34" s="18"/>
      <c r="I34" s="18"/>
    </row>
    <row r="35" spans="1:9" x14ac:dyDescent="0.2">
      <c r="A35" s="26"/>
      <c r="B35" s="26"/>
      <c r="C35" s="26"/>
      <c r="D35" s="27"/>
      <c r="E35" s="28"/>
      <c r="F35" s="29"/>
      <c r="G35" s="28"/>
    </row>
    <row r="36" spans="1:9" ht="10.5" x14ac:dyDescent="0.25">
      <c r="A36" s="25" t="s">
        <v>19</v>
      </c>
      <c r="B36" s="26"/>
      <c r="C36" s="26"/>
      <c r="D36" s="27"/>
      <c r="E36" s="28"/>
      <c r="F36" s="29"/>
      <c r="G36" s="28"/>
    </row>
    <row r="37" spans="1:9" x14ac:dyDescent="0.2">
      <c r="A37" s="26" t="s">
        <v>786</v>
      </c>
      <c r="B37" s="26" t="s">
        <v>787</v>
      </c>
      <c r="C37" s="26" t="s">
        <v>38</v>
      </c>
      <c r="D37" s="30">
        <v>37</v>
      </c>
      <c r="E37" s="28">
        <v>184.06205</v>
      </c>
      <c r="F37" s="29">
        <v>1.7375029804284501</v>
      </c>
      <c r="G37" s="28">
        <v>3.1</v>
      </c>
    </row>
    <row r="38" spans="1:9" ht="10.5" x14ac:dyDescent="0.25">
      <c r="A38" s="25" t="s">
        <v>17</v>
      </c>
      <c r="B38" s="25"/>
      <c r="C38" s="25"/>
      <c r="D38" s="31"/>
      <c r="E38" s="32">
        <f>SUM(E36:E37)</f>
        <v>184.06205</v>
      </c>
      <c r="F38" s="33">
        <f>SUM(F36:F37)</f>
        <v>1.7375029804284501</v>
      </c>
      <c r="G38" s="32"/>
      <c r="H38" s="18"/>
      <c r="I38" s="18"/>
    </row>
    <row r="39" spans="1:9" x14ac:dyDescent="0.2">
      <c r="A39" s="26"/>
      <c r="B39" s="26"/>
      <c r="C39" s="26"/>
      <c r="D39" s="27"/>
      <c r="E39" s="28"/>
      <c r="F39" s="29"/>
      <c r="G39" s="28"/>
    </row>
    <row r="40" spans="1:9" ht="10.5" x14ac:dyDescent="0.25">
      <c r="A40" s="25" t="s">
        <v>41</v>
      </c>
      <c r="B40" s="26"/>
      <c r="C40" s="26"/>
      <c r="D40" s="27"/>
      <c r="E40" s="28"/>
      <c r="F40" s="29"/>
      <c r="G40" s="28"/>
    </row>
    <row r="41" spans="1:9" x14ac:dyDescent="0.2">
      <c r="A41" s="26" t="s">
        <v>141</v>
      </c>
      <c r="B41" s="26" t="s">
        <v>142</v>
      </c>
      <c r="C41" s="26" t="s">
        <v>44</v>
      </c>
      <c r="D41" s="30">
        <v>170000</v>
      </c>
      <c r="E41" s="28">
        <v>168.84485000000001</v>
      </c>
      <c r="F41" s="29">
        <v>1.5938561485379199</v>
      </c>
      <c r="G41" s="28">
        <v>3.0085999999999999</v>
      </c>
    </row>
    <row r="42" spans="1:9" ht="10.5" x14ac:dyDescent="0.25">
      <c r="A42" s="25" t="s">
        <v>17</v>
      </c>
      <c r="B42" s="25"/>
      <c r="C42" s="25"/>
      <c r="D42" s="31"/>
      <c r="E42" s="32">
        <f>SUM(E40:E41)</f>
        <v>168.84485000000001</v>
      </c>
      <c r="F42" s="33">
        <f>SUM(F40:F41)</f>
        <v>1.5938561485379199</v>
      </c>
      <c r="G42" s="32"/>
      <c r="H42" s="18"/>
      <c r="I42" s="18"/>
    </row>
    <row r="43" spans="1:9" x14ac:dyDescent="0.2">
      <c r="A43" s="26"/>
      <c r="B43" s="26"/>
      <c r="C43" s="26"/>
      <c r="D43" s="27"/>
      <c r="E43" s="28"/>
      <c r="F43" s="29"/>
      <c r="G43" s="28"/>
    </row>
    <row r="44" spans="1:9" ht="10.5" x14ac:dyDescent="0.25">
      <c r="A44" s="25" t="s">
        <v>62</v>
      </c>
      <c r="B44" s="25"/>
      <c r="C44" s="25"/>
      <c r="D44" s="31"/>
      <c r="E44" s="32">
        <f>E23+E29+E34+E38+E42</f>
        <v>8276.7386349999997</v>
      </c>
      <c r="F44" s="33">
        <f>F23+F29+F34+F38+F42</f>
        <v>78.130489400394111</v>
      </c>
      <c r="G44" s="32"/>
      <c r="H44" s="18"/>
      <c r="I44" s="18"/>
    </row>
    <row r="45" spans="1:9" ht="10.5" x14ac:dyDescent="0.25">
      <c r="A45" s="25"/>
      <c r="B45" s="25"/>
      <c r="C45" s="25"/>
      <c r="D45" s="31"/>
      <c r="E45" s="32"/>
      <c r="F45" s="33"/>
      <c r="G45" s="32"/>
      <c r="H45" s="18"/>
      <c r="I45" s="18"/>
    </row>
    <row r="46" spans="1:9" ht="10.5" x14ac:dyDescent="0.25">
      <c r="A46" s="25" t="s">
        <v>63</v>
      </c>
      <c r="B46" s="25"/>
      <c r="C46" s="25"/>
      <c r="D46" s="31"/>
      <c r="E46" s="32">
        <f>E48-(E23+E29+E34+E38+E42)</f>
        <v>2316.7424740000006</v>
      </c>
      <c r="F46" s="33">
        <f>F48-(F23+F29+F34+F38+F42)</f>
        <v>21.869510599605889</v>
      </c>
      <c r="G46" s="32"/>
      <c r="H46" s="18"/>
      <c r="I46" s="18"/>
    </row>
    <row r="47" spans="1:9" ht="10.5" x14ac:dyDescent="0.25">
      <c r="A47" s="25"/>
      <c r="B47" s="25"/>
      <c r="C47" s="25"/>
      <c r="D47" s="31"/>
      <c r="E47" s="32"/>
      <c r="F47" s="33"/>
      <c r="G47" s="32"/>
      <c r="H47" s="18"/>
      <c r="I47" s="18"/>
    </row>
    <row r="48" spans="1:9" ht="10.5" x14ac:dyDescent="0.25">
      <c r="A48" s="34" t="s">
        <v>64</v>
      </c>
      <c r="B48" s="34"/>
      <c r="C48" s="34"/>
      <c r="D48" s="35"/>
      <c r="E48" s="36">
        <v>10593.481109</v>
      </c>
      <c r="F48" s="37">
        <v>100</v>
      </c>
      <c r="G48" s="36"/>
      <c r="H48" s="18"/>
      <c r="I48" s="18"/>
    </row>
    <row r="50" spans="1:4" ht="10.5" x14ac:dyDescent="0.25">
      <c r="A50" s="18" t="s">
        <v>65</v>
      </c>
    </row>
    <row r="51" spans="1:4" ht="10.5" x14ac:dyDescent="0.25">
      <c r="A51" s="18" t="s">
        <v>66</v>
      </c>
    </row>
    <row r="53" spans="1:4" ht="10.5" x14ac:dyDescent="0.25">
      <c r="A53" s="18" t="s">
        <v>67</v>
      </c>
    </row>
    <row r="54" spans="1:4" ht="10.5" x14ac:dyDescent="0.25">
      <c r="A54" s="18" t="s">
        <v>68</v>
      </c>
    </row>
    <row r="55" spans="1:4" ht="10.5" x14ac:dyDescent="0.25">
      <c r="A55" s="18" t="s">
        <v>69</v>
      </c>
      <c r="B55" s="18"/>
      <c r="C55" s="38" t="s">
        <v>70</v>
      </c>
      <c r="D55" s="43" t="s">
        <v>71</v>
      </c>
    </row>
    <row r="56" spans="1:4" x14ac:dyDescent="0.2">
      <c r="A56" s="9" t="s">
        <v>98</v>
      </c>
      <c r="C56" s="39">
        <v>12.1784</v>
      </c>
      <c r="D56" s="39">
        <v>12.470800000000001</v>
      </c>
    </row>
    <row r="57" spans="1:4" x14ac:dyDescent="0.2">
      <c r="A57" s="9" t="s">
        <v>669</v>
      </c>
      <c r="C57" s="39">
        <v>10.608599999999999</v>
      </c>
      <c r="D57" s="39">
        <v>10.863200000000001</v>
      </c>
    </row>
    <row r="58" spans="1:4" x14ac:dyDescent="0.2">
      <c r="A58" s="9" t="s">
        <v>275</v>
      </c>
      <c r="C58" s="39">
        <v>10.390599999999999</v>
      </c>
      <c r="D58" s="39">
        <v>10.2553</v>
      </c>
    </row>
    <row r="59" spans="1:4" x14ac:dyDescent="0.2">
      <c r="A59" s="9" t="s">
        <v>101</v>
      </c>
      <c r="C59" s="39">
        <v>12.2394</v>
      </c>
      <c r="D59" s="39">
        <v>12.533300000000001</v>
      </c>
    </row>
    <row r="60" spans="1:4" x14ac:dyDescent="0.2">
      <c r="A60" s="9" t="s">
        <v>332</v>
      </c>
      <c r="C60" s="39">
        <v>10.6698</v>
      </c>
      <c r="D60" s="39">
        <v>10.9259</v>
      </c>
    </row>
    <row r="62" spans="1:4" ht="10.5" x14ac:dyDescent="0.25">
      <c r="A62" s="18" t="s">
        <v>90</v>
      </c>
    </row>
    <row r="63" spans="1:4" ht="10.5" x14ac:dyDescent="0.25">
      <c r="A63" s="68" t="s">
        <v>91</v>
      </c>
      <c r="B63" s="69"/>
      <c r="C63" s="40" t="s">
        <v>92</v>
      </c>
    </row>
    <row r="64" spans="1:4" x14ac:dyDescent="0.2">
      <c r="A64" s="64" t="s">
        <v>275</v>
      </c>
      <c r="B64" s="65"/>
      <c r="C64" s="41">
        <v>0.38</v>
      </c>
    </row>
    <row r="65" spans="1:5" x14ac:dyDescent="0.2">
      <c r="A65" s="9" t="s">
        <v>93</v>
      </c>
    </row>
    <row r="67" spans="1:5" ht="10.5" x14ac:dyDescent="0.25">
      <c r="A67" s="18" t="s">
        <v>94</v>
      </c>
      <c r="D67" s="42">
        <v>0.15545472309589001</v>
      </c>
      <c r="E67" s="13" t="s">
        <v>95</v>
      </c>
    </row>
    <row r="69" spans="1:5" ht="10.5" x14ac:dyDescent="0.25">
      <c r="A69" s="18" t="s">
        <v>1506</v>
      </c>
      <c r="D69" s="43" t="s">
        <v>96</v>
      </c>
    </row>
    <row r="71" spans="1:5" ht="10.5" x14ac:dyDescent="0.25">
      <c r="A71" s="18" t="s">
        <v>1508</v>
      </c>
    </row>
    <row r="72" spans="1:5" x14ac:dyDescent="0.2">
      <c r="A72" s="47" t="s">
        <v>1509</v>
      </c>
    </row>
  </sheetData>
  <mergeCells count="3">
    <mergeCell ref="A1:G1"/>
    <mergeCell ref="A63:B63"/>
    <mergeCell ref="A64:B64"/>
  </mergeCells>
  <conditionalFormatting sqref="F2:F3 F5:F65536">
    <cfRule type="cellIs" dxfId="34" priority="1" stopIfTrue="1" operator="between">
      <formula>0.009</formula>
      <formula>-0.009</formula>
    </cfRule>
  </conditionalFormatting>
  <hyperlinks>
    <hyperlink ref="A72" r:id="rId1" xr:uid="{40EAF9E5-A92A-4E6F-BDA0-F6EE67366F72}"/>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810</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776</v>
      </c>
      <c r="B7" s="26" t="s">
        <v>777</v>
      </c>
      <c r="C7" s="26" t="s">
        <v>16</v>
      </c>
      <c r="D7" s="30">
        <v>113</v>
      </c>
      <c r="E7" s="28">
        <v>1139.8309999999999</v>
      </c>
      <c r="F7" s="29">
        <v>8.9464463464586093</v>
      </c>
      <c r="G7" s="28">
        <v>3.13</v>
      </c>
    </row>
    <row r="8" spans="1:7" x14ac:dyDescent="0.2">
      <c r="A8" s="26" t="s">
        <v>811</v>
      </c>
      <c r="B8" s="26" t="s">
        <v>812</v>
      </c>
      <c r="C8" s="26" t="s">
        <v>209</v>
      </c>
      <c r="D8" s="30">
        <v>100</v>
      </c>
      <c r="E8" s="28">
        <v>1006.768</v>
      </c>
      <c r="F8" s="29">
        <v>7.9020450359144796</v>
      </c>
      <c r="G8" s="28">
        <v>3.3351999999999999</v>
      </c>
    </row>
    <row r="9" spans="1:7" x14ac:dyDescent="0.2">
      <c r="A9" s="26" t="s">
        <v>325</v>
      </c>
      <c r="B9" s="26" t="s">
        <v>326</v>
      </c>
      <c r="C9" s="26" t="s">
        <v>16</v>
      </c>
      <c r="D9" s="30">
        <v>99</v>
      </c>
      <c r="E9" s="28">
        <v>1003.52538</v>
      </c>
      <c r="F9" s="29">
        <v>7.8765939595251302</v>
      </c>
      <c r="G9" s="28">
        <v>3.4399000000000002</v>
      </c>
    </row>
    <row r="10" spans="1:7" x14ac:dyDescent="0.2">
      <c r="A10" s="26" t="s">
        <v>767</v>
      </c>
      <c r="B10" s="26" t="s">
        <v>768</v>
      </c>
      <c r="C10" s="26" t="s">
        <v>16</v>
      </c>
      <c r="D10" s="30">
        <v>97</v>
      </c>
      <c r="E10" s="28">
        <v>984.98941000000002</v>
      </c>
      <c r="F10" s="29">
        <v>7.7311065485979196</v>
      </c>
      <c r="G10" s="28">
        <v>3.4750000000000001</v>
      </c>
    </row>
    <row r="11" spans="1:7" x14ac:dyDescent="0.2">
      <c r="A11" s="26" t="s">
        <v>782</v>
      </c>
      <c r="B11" s="26" t="s">
        <v>783</v>
      </c>
      <c r="C11" s="26" t="s">
        <v>16</v>
      </c>
      <c r="D11" s="30">
        <v>73</v>
      </c>
      <c r="E11" s="28">
        <v>732.66449999999998</v>
      </c>
      <c r="F11" s="29">
        <v>5.7506276274332997</v>
      </c>
      <c r="G11" s="28">
        <v>3.0804999999999998</v>
      </c>
    </row>
    <row r="12" spans="1:7" x14ac:dyDescent="0.2">
      <c r="A12" s="26" t="s">
        <v>648</v>
      </c>
      <c r="B12" s="26" t="s">
        <v>649</v>
      </c>
      <c r="C12" s="26" t="s">
        <v>16</v>
      </c>
      <c r="D12" s="30">
        <v>5</v>
      </c>
      <c r="E12" s="28">
        <v>504.52850000000001</v>
      </c>
      <c r="F12" s="29">
        <v>3.9600056109276198</v>
      </c>
      <c r="G12" s="28">
        <v>3.1598999999999999</v>
      </c>
    </row>
    <row r="13" spans="1:7" x14ac:dyDescent="0.2">
      <c r="A13" s="26" t="s">
        <v>813</v>
      </c>
      <c r="B13" s="26" t="s">
        <v>814</v>
      </c>
      <c r="C13" s="26" t="s">
        <v>209</v>
      </c>
      <c r="D13" s="30">
        <v>50</v>
      </c>
      <c r="E13" s="28">
        <v>503.04149999999998</v>
      </c>
      <c r="F13" s="29">
        <v>3.9483342616511199</v>
      </c>
      <c r="G13" s="28">
        <v>3.2198000000000002</v>
      </c>
    </row>
    <row r="14" spans="1:7" x14ac:dyDescent="0.2">
      <c r="A14" s="26" t="s">
        <v>769</v>
      </c>
      <c r="B14" s="26" t="s">
        <v>770</v>
      </c>
      <c r="C14" s="26" t="s">
        <v>16</v>
      </c>
      <c r="D14" s="30">
        <v>49</v>
      </c>
      <c r="E14" s="28">
        <v>490.26999000000001</v>
      </c>
      <c r="F14" s="29">
        <v>3.8480916564067802</v>
      </c>
      <c r="G14" s="28">
        <v>3.1892</v>
      </c>
    </row>
    <row r="15" spans="1:7" x14ac:dyDescent="0.2">
      <c r="A15" s="26" t="s">
        <v>587</v>
      </c>
      <c r="B15" s="26" t="s">
        <v>588</v>
      </c>
      <c r="C15" s="26" t="s">
        <v>13</v>
      </c>
      <c r="D15" s="30">
        <v>24</v>
      </c>
      <c r="E15" s="28">
        <v>301.56335999999999</v>
      </c>
      <c r="F15" s="29">
        <v>2.3669477495328501</v>
      </c>
      <c r="G15" s="28">
        <v>3.875</v>
      </c>
    </row>
    <row r="16" spans="1:7" x14ac:dyDescent="0.2">
      <c r="A16" s="26" t="s">
        <v>789</v>
      </c>
      <c r="B16" s="26" t="s">
        <v>790</v>
      </c>
      <c r="C16" s="26" t="s">
        <v>16</v>
      </c>
      <c r="D16" s="30">
        <v>18</v>
      </c>
      <c r="E16" s="28">
        <v>177.92586</v>
      </c>
      <c r="F16" s="29">
        <v>1.39652646764082</v>
      </c>
      <c r="G16" s="28">
        <v>3.6999</v>
      </c>
    </row>
    <row r="17" spans="1:9" x14ac:dyDescent="0.2">
      <c r="A17" s="26" t="s">
        <v>263</v>
      </c>
      <c r="B17" s="26" t="s">
        <v>264</v>
      </c>
      <c r="C17" s="26" t="s">
        <v>16</v>
      </c>
      <c r="D17" s="30">
        <v>9</v>
      </c>
      <c r="E17" s="28">
        <v>90.809640000000002</v>
      </c>
      <c r="F17" s="29">
        <v>0.71275791937683897</v>
      </c>
      <c r="G17" s="28">
        <v>3.0741000000000001</v>
      </c>
    </row>
    <row r="18" spans="1:9" x14ac:dyDescent="0.2">
      <c r="A18" s="26" t="s">
        <v>765</v>
      </c>
      <c r="B18" s="26" t="s">
        <v>766</v>
      </c>
      <c r="C18" s="26" t="s">
        <v>16</v>
      </c>
      <c r="D18" s="30">
        <v>6</v>
      </c>
      <c r="E18" s="28">
        <v>75.618480000000005</v>
      </c>
      <c r="F18" s="29">
        <v>0.59352366633365194</v>
      </c>
      <c r="G18" s="28">
        <v>3.6848999999999998</v>
      </c>
    </row>
    <row r="19" spans="1:9" x14ac:dyDescent="0.2">
      <c r="A19" s="26" t="s">
        <v>237</v>
      </c>
      <c r="B19" s="26" t="s">
        <v>238</v>
      </c>
      <c r="C19" s="26" t="s">
        <v>209</v>
      </c>
      <c r="D19" s="30">
        <v>3</v>
      </c>
      <c r="E19" s="28">
        <v>37.917209999999997</v>
      </c>
      <c r="F19" s="29">
        <v>0.29760928143944498</v>
      </c>
      <c r="G19" s="28">
        <v>5.0650000000000004</v>
      </c>
    </row>
    <row r="20" spans="1:9" x14ac:dyDescent="0.2">
      <c r="A20" s="26" t="s">
        <v>585</v>
      </c>
      <c r="B20" s="26" t="s">
        <v>586</v>
      </c>
      <c r="C20" s="26" t="s">
        <v>16</v>
      </c>
      <c r="D20" s="30">
        <v>3</v>
      </c>
      <c r="E20" s="28">
        <v>30.27618</v>
      </c>
      <c r="F20" s="29">
        <v>0.237635421343798</v>
      </c>
      <c r="G20" s="28">
        <v>4.6449999999999996</v>
      </c>
    </row>
    <row r="21" spans="1:9" ht="10.5" x14ac:dyDescent="0.25">
      <c r="A21" s="25" t="s">
        <v>17</v>
      </c>
      <c r="B21" s="25"/>
      <c r="C21" s="25"/>
      <c r="D21" s="31"/>
      <c r="E21" s="32">
        <f>SUM(E6:E20)</f>
        <v>7079.7290100000009</v>
      </c>
      <c r="F21" s="33">
        <f>SUM(F6:F20)</f>
        <v>55.56825155258236</v>
      </c>
      <c r="G21" s="32"/>
      <c r="H21" s="18"/>
      <c r="I21" s="18"/>
    </row>
    <row r="22" spans="1:9" x14ac:dyDescent="0.2">
      <c r="A22" s="26"/>
      <c r="B22" s="26"/>
      <c r="C22" s="26"/>
      <c r="D22" s="27"/>
      <c r="E22" s="28"/>
      <c r="F22" s="29"/>
      <c r="G22" s="28"/>
    </row>
    <row r="23" spans="1:9" ht="10.5" x14ac:dyDescent="0.25">
      <c r="A23" s="25" t="s">
        <v>269</v>
      </c>
      <c r="B23" s="26"/>
      <c r="C23" s="26"/>
      <c r="D23" s="27"/>
      <c r="E23" s="28"/>
      <c r="F23" s="29"/>
      <c r="G23" s="28"/>
    </row>
    <row r="24" spans="1:9" x14ac:dyDescent="0.2">
      <c r="A24" s="26" t="s">
        <v>815</v>
      </c>
      <c r="B24" s="26" t="s">
        <v>816</v>
      </c>
      <c r="C24" s="26" t="s">
        <v>16</v>
      </c>
      <c r="D24" s="30">
        <v>100</v>
      </c>
      <c r="E24" s="28">
        <v>1003.331</v>
      </c>
      <c r="F24" s="29">
        <v>7.8750682857710101</v>
      </c>
      <c r="G24" s="28">
        <v>3.7099000000000002</v>
      </c>
    </row>
    <row r="25" spans="1:9" x14ac:dyDescent="0.2">
      <c r="A25" s="26" t="s">
        <v>270</v>
      </c>
      <c r="B25" s="26" t="s">
        <v>271</v>
      </c>
      <c r="C25" s="26" t="s">
        <v>16</v>
      </c>
      <c r="D25" s="30">
        <v>56</v>
      </c>
      <c r="E25" s="28">
        <v>566.60239999999999</v>
      </c>
      <c r="F25" s="29">
        <v>4.4472189047101498</v>
      </c>
      <c r="G25" s="28">
        <v>3.5169999999999999</v>
      </c>
    </row>
    <row r="26" spans="1:9" ht="10.5" x14ac:dyDescent="0.25">
      <c r="A26" s="25" t="s">
        <v>17</v>
      </c>
      <c r="B26" s="25"/>
      <c r="C26" s="25"/>
      <c r="D26" s="31"/>
      <c r="E26" s="32">
        <f>SUM(E23:E25)</f>
        <v>1569.9333999999999</v>
      </c>
      <c r="F26" s="33">
        <f>SUM(F23:F25)</f>
        <v>12.322287190481159</v>
      </c>
      <c r="G26" s="32"/>
      <c r="H26" s="18"/>
      <c r="I26" s="18"/>
    </row>
    <row r="27" spans="1:9" x14ac:dyDescent="0.2">
      <c r="A27" s="26"/>
      <c r="B27" s="26"/>
      <c r="C27" s="26"/>
      <c r="D27" s="27"/>
      <c r="E27" s="28"/>
      <c r="F27" s="29"/>
      <c r="G27" s="28"/>
    </row>
    <row r="28" spans="1:9" ht="10.5" x14ac:dyDescent="0.25">
      <c r="A28" s="25" t="s">
        <v>18</v>
      </c>
      <c r="B28" s="26"/>
      <c r="C28" s="26"/>
      <c r="D28" s="27"/>
      <c r="E28" s="28"/>
      <c r="F28" s="29"/>
      <c r="G28" s="28"/>
    </row>
    <row r="29" spans="1:9" ht="10.5" x14ac:dyDescent="0.25">
      <c r="A29" s="25" t="s">
        <v>105</v>
      </c>
      <c r="B29" s="26"/>
      <c r="C29" s="26"/>
      <c r="D29" s="27"/>
      <c r="E29" s="28"/>
      <c r="F29" s="29"/>
      <c r="G29" s="28"/>
    </row>
    <row r="30" spans="1:9" x14ac:dyDescent="0.2">
      <c r="A30" s="26" t="s">
        <v>115</v>
      </c>
      <c r="B30" s="26" t="s">
        <v>116</v>
      </c>
      <c r="C30" s="26" t="s">
        <v>25</v>
      </c>
      <c r="D30" s="30">
        <v>222</v>
      </c>
      <c r="E30" s="28">
        <v>220.845156</v>
      </c>
      <c r="F30" s="29">
        <v>1.73339673954234</v>
      </c>
      <c r="G30" s="28">
        <v>3.0299</v>
      </c>
    </row>
    <row r="31" spans="1:9" ht="10.5" x14ac:dyDescent="0.25">
      <c r="A31" s="25" t="s">
        <v>17</v>
      </c>
      <c r="B31" s="25"/>
      <c r="C31" s="25"/>
      <c r="D31" s="31"/>
      <c r="E31" s="32">
        <f>SUM(E29:E30)</f>
        <v>220.845156</v>
      </c>
      <c r="F31" s="33">
        <f>SUM(F29:F30)</f>
        <v>1.73339673954234</v>
      </c>
      <c r="G31" s="32"/>
      <c r="H31" s="18"/>
      <c r="I31" s="18"/>
    </row>
    <row r="32" spans="1:9" x14ac:dyDescent="0.2">
      <c r="A32" s="26"/>
      <c r="B32" s="26"/>
      <c r="C32" s="26"/>
      <c r="D32" s="27"/>
      <c r="E32" s="28"/>
      <c r="F32" s="29"/>
      <c r="G32" s="28"/>
    </row>
    <row r="33" spans="1:9" ht="10.5" x14ac:dyDescent="0.25">
      <c r="A33" s="25" t="s">
        <v>19</v>
      </c>
      <c r="B33" s="26"/>
      <c r="C33" s="26"/>
      <c r="D33" s="27"/>
      <c r="E33" s="28"/>
      <c r="F33" s="29"/>
      <c r="G33" s="28"/>
    </row>
    <row r="34" spans="1:9" x14ac:dyDescent="0.2">
      <c r="A34" s="26" t="s">
        <v>786</v>
      </c>
      <c r="B34" s="26" t="s">
        <v>787</v>
      </c>
      <c r="C34" s="26" t="s">
        <v>38</v>
      </c>
      <c r="D34" s="30">
        <v>77</v>
      </c>
      <c r="E34" s="28">
        <v>383.04804999999999</v>
      </c>
      <c r="F34" s="29">
        <v>3.0065148495176901</v>
      </c>
      <c r="G34" s="28">
        <v>3.1</v>
      </c>
    </row>
    <row r="35" spans="1:9" ht="10.5" x14ac:dyDescent="0.25">
      <c r="A35" s="25" t="s">
        <v>17</v>
      </c>
      <c r="B35" s="25"/>
      <c r="C35" s="25"/>
      <c r="D35" s="31"/>
      <c r="E35" s="32">
        <f>SUM(E33:E34)</f>
        <v>383.04804999999999</v>
      </c>
      <c r="F35" s="33">
        <f>SUM(F33:F34)</f>
        <v>3.0065148495176901</v>
      </c>
      <c r="G35" s="32"/>
      <c r="H35" s="18"/>
      <c r="I35" s="18"/>
    </row>
    <row r="36" spans="1:9" x14ac:dyDescent="0.2">
      <c r="A36" s="26"/>
      <c r="B36" s="26"/>
      <c r="C36" s="26"/>
      <c r="D36" s="27"/>
      <c r="E36" s="28"/>
      <c r="F36" s="29"/>
      <c r="G36" s="28"/>
    </row>
    <row r="37" spans="1:9" ht="10.5" x14ac:dyDescent="0.25">
      <c r="A37" s="25" t="s">
        <v>41</v>
      </c>
      <c r="B37" s="26"/>
      <c r="C37" s="26"/>
      <c r="D37" s="27"/>
      <c r="E37" s="28"/>
      <c r="F37" s="29"/>
      <c r="G37" s="28"/>
    </row>
    <row r="38" spans="1:9" x14ac:dyDescent="0.2">
      <c r="A38" s="26" t="s">
        <v>141</v>
      </c>
      <c r="B38" s="26" t="s">
        <v>142</v>
      </c>
      <c r="C38" s="26" t="s">
        <v>44</v>
      </c>
      <c r="D38" s="30">
        <v>710000</v>
      </c>
      <c r="E38" s="28">
        <v>705.17555000000004</v>
      </c>
      <c r="F38" s="29">
        <v>5.5348689611963904</v>
      </c>
      <c r="G38" s="28">
        <v>3.0085999999999999</v>
      </c>
    </row>
    <row r="39" spans="1:9" ht="10.5" x14ac:dyDescent="0.25">
      <c r="A39" s="25" t="s">
        <v>17</v>
      </c>
      <c r="B39" s="25"/>
      <c r="C39" s="25"/>
      <c r="D39" s="31"/>
      <c r="E39" s="32">
        <f>SUM(E37:E38)</f>
        <v>705.17555000000004</v>
      </c>
      <c r="F39" s="33">
        <f>SUM(F37:F38)</f>
        <v>5.5348689611963904</v>
      </c>
      <c r="G39" s="32"/>
      <c r="H39" s="18"/>
      <c r="I39" s="18"/>
    </row>
    <row r="40" spans="1:9" x14ac:dyDescent="0.2">
      <c r="A40" s="26"/>
      <c r="B40" s="26"/>
      <c r="C40" s="26"/>
      <c r="D40" s="27"/>
      <c r="E40" s="28"/>
      <c r="F40" s="29"/>
      <c r="G40" s="28"/>
    </row>
    <row r="41" spans="1:9" ht="10.5" x14ac:dyDescent="0.25">
      <c r="A41" s="25" t="s">
        <v>62</v>
      </c>
      <c r="B41" s="25"/>
      <c r="C41" s="25"/>
      <c r="D41" s="31"/>
      <c r="E41" s="32">
        <f>E21+E26+E31+E35+E39</f>
        <v>9958.7311659999996</v>
      </c>
      <c r="F41" s="33">
        <f>F21+F26+F31+F35+F39</f>
        <v>78.165319293319939</v>
      </c>
      <c r="G41" s="32"/>
      <c r="H41" s="18"/>
      <c r="I41" s="18"/>
    </row>
    <row r="42" spans="1:9" ht="10.5" x14ac:dyDescent="0.25">
      <c r="A42" s="25"/>
      <c r="B42" s="25"/>
      <c r="C42" s="25"/>
      <c r="D42" s="31"/>
      <c r="E42" s="32"/>
      <c r="F42" s="33"/>
      <c r="G42" s="32"/>
      <c r="H42" s="18"/>
      <c r="I42" s="18"/>
    </row>
    <row r="43" spans="1:9" ht="10.5" x14ac:dyDescent="0.25">
      <c r="A43" s="25" t="s">
        <v>63</v>
      </c>
      <c r="B43" s="25"/>
      <c r="C43" s="25"/>
      <c r="D43" s="31"/>
      <c r="E43" s="32">
        <f>E45-(E21+E26+E31+E35+E39)</f>
        <v>2781.8694687000007</v>
      </c>
      <c r="F43" s="33">
        <f>F45-(F21+F26+F31+F35+F39)</f>
        <v>21.834680706680061</v>
      </c>
      <c r="G43" s="32"/>
      <c r="H43" s="18"/>
      <c r="I43" s="18"/>
    </row>
    <row r="44" spans="1:9" ht="10.5" x14ac:dyDescent="0.25">
      <c r="A44" s="25"/>
      <c r="B44" s="25"/>
      <c r="C44" s="25"/>
      <c r="D44" s="31"/>
      <c r="E44" s="32"/>
      <c r="F44" s="33"/>
      <c r="G44" s="32"/>
      <c r="H44" s="18"/>
      <c r="I44" s="18"/>
    </row>
    <row r="45" spans="1:9" ht="10.5" x14ac:dyDescent="0.25">
      <c r="A45" s="34" t="s">
        <v>64</v>
      </c>
      <c r="B45" s="34"/>
      <c r="C45" s="34"/>
      <c r="D45" s="35"/>
      <c r="E45" s="36">
        <v>12740.6006347</v>
      </c>
      <c r="F45" s="37">
        <v>100</v>
      </c>
      <c r="G45" s="36"/>
      <c r="H45" s="18"/>
      <c r="I45" s="18"/>
    </row>
    <row r="47" spans="1:9" ht="10.5" x14ac:dyDescent="0.25">
      <c r="A47" s="18" t="s">
        <v>65</v>
      </c>
    </row>
    <row r="48" spans="1:9" ht="10.5" x14ac:dyDescent="0.25">
      <c r="A48" s="18" t="s">
        <v>66</v>
      </c>
    </row>
    <row r="50" spans="1:5" ht="10.5" x14ac:dyDescent="0.25">
      <c r="A50" s="18" t="s">
        <v>67</v>
      </c>
    </row>
    <row r="51" spans="1:5" ht="10.5" x14ac:dyDescent="0.25">
      <c r="A51" s="18" t="s">
        <v>68</v>
      </c>
    </row>
    <row r="52" spans="1:5" ht="10.5" x14ac:dyDescent="0.25">
      <c r="A52" s="18" t="s">
        <v>69</v>
      </c>
      <c r="B52" s="18"/>
      <c r="C52" s="38" t="s">
        <v>70</v>
      </c>
      <c r="D52" s="43" t="s">
        <v>71</v>
      </c>
    </row>
    <row r="53" spans="1:5" x14ac:dyDescent="0.2">
      <c r="A53" s="9" t="s">
        <v>98</v>
      </c>
      <c r="C53" s="39">
        <v>12.1838</v>
      </c>
      <c r="D53" s="39">
        <v>12.4732</v>
      </c>
    </row>
    <row r="54" spans="1:5" x14ac:dyDescent="0.2">
      <c r="A54" s="9" t="s">
        <v>669</v>
      </c>
      <c r="C54" s="39">
        <v>10.6357</v>
      </c>
      <c r="D54" s="39">
        <v>10.1432</v>
      </c>
    </row>
    <row r="55" spans="1:5" x14ac:dyDescent="0.2">
      <c r="A55" s="9" t="s">
        <v>275</v>
      </c>
      <c r="C55" s="39">
        <v>10.235799999999999</v>
      </c>
      <c r="D55" s="39">
        <v>10.136900000000001</v>
      </c>
    </row>
    <row r="56" spans="1:5" x14ac:dyDescent="0.2">
      <c r="A56" s="9" t="s">
        <v>101</v>
      </c>
      <c r="C56" s="39">
        <v>12.244899999999999</v>
      </c>
      <c r="D56" s="39">
        <v>12.5357</v>
      </c>
    </row>
    <row r="58" spans="1:5" ht="10.5" x14ac:dyDescent="0.25">
      <c r="A58" s="18" t="s">
        <v>90</v>
      </c>
    </row>
    <row r="59" spans="1:5" ht="10.5" x14ac:dyDescent="0.25">
      <c r="A59" s="68" t="s">
        <v>91</v>
      </c>
      <c r="B59" s="69"/>
      <c r="C59" s="40" t="s">
        <v>92</v>
      </c>
    </row>
    <row r="60" spans="1:5" x14ac:dyDescent="0.2">
      <c r="A60" s="64" t="s">
        <v>669</v>
      </c>
      <c r="B60" s="65"/>
      <c r="C60" s="41">
        <v>0.745</v>
      </c>
    </row>
    <row r="61" spans="1:5" x14ac:dyDescent="0.2">
      <c r="A61" s="64" t="s">
        <v>275</v>
      </c>
      <c r="B61" s="65"/>
      <c r="C61" s="41">
        <v>0.34</v>
      </c>
    </row>
    <row r="62" spans="1:5" x14ac:dyDescent="0.2">
      <c r="A62" s="9" t="s">
        <v>93</v>
      </c>
    </row>
    <row r="64" spans="1:5" ht="10.5" x14ac:dyDescent="0.25">
      <c r="A64" s="18" t="s">
        <v>94</v>
      </c>
      <c r="D64" s="42">
        <v>0.151230977616438</v>
      </c>
      <c r="E64" s="13" t="s">
        <v>95</v>
      </c>
    </row>
    <row r="66" spans="1:4" ht="10.5" x14ac:dyDescent="0.25">
      <c r="A66" s="18" t="s">
        <v>1506</v>
      </c>
      <c r="D66" s="43" t="s">
        <v>96</v>
      </c>
    </row>
    <row r="68" spans="1:4" ht="10.5" x14ac:dyDescent="0.25">
      <c r="A68" s="18" t="s">
        <v>1508</v>
      </c>
    </row>
    <row r="69" spans="1:4" x14ac:dyDescent="0.2">
      <c r="A69" s="47" t="s">
        <v>1509</v>
      </c>
    </row>
  </sheetData>
  <mergeCells count="4">
    <mergeCell ref="A1:G1"/>
    <mergeCell ref="A59:B59"/>
    <mergeCell ref="A60:B60"/>
    <mergeCell ref="A61:B61"/>
  </mergeCells>
  <conditionalFormatting sqref="F2:F3 F5:F65536">
    <cfRule type="cellIs" dxfId="33" priority="1" stopIfTrue="1" operator="between">
      <formula>0.009</formula>
      <formula>-0.009</formula>
    </cfRule>
  </conditionalFormatting>
  <hyperlinks>
    <hyperlink ref="A69" r:id="rId1" xr:uid="{8EAFC236-4894-440D-B32F-987D4BA89F34}"/>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72"/>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817</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4</v>
      </c>
      <c r="D4" s="16" t="s">
        <v>5</v>
      </c>
      <c r="E4" s="15" t="s">
        <v>6</v>
      </c>
      <c r="F4" s="15" t="s">
        <v>7</v>
      </c>
      <c r="G4" s="15" t="s">
        <v>8</v>
      </c>
    </row>
    <row r="5" spans="1:7" ht="10.5" x14ac:dyDescent="0.25">
      <c r="A5" s="20" t="s">
        <v>9</v>
      </c>
      <c r="B5" s="21"/>
      <c r="C5" s="21"/>
      <c r="D5" s="22"/>
      <c r="E5" s="23"/>
      <c r="F5" s="24"/>
      <c r="G5" s="23"/>
    </row>
    <row r="6" spans="1:7" ht="10.5" x14ac:dyDescent="0.25">
      <c r="A6" s="25" t="s">
        <v>10</v>
      </c>
      <c r="B6" s="26"/>
      <c r="C6" s="26"/>
      <c r="D6" s="27"/>
      <c r="E6" s="28"/>
      <c r="F6" s="29"/>
      <c r="G6" s="28"/>
    </row>
    <row r="7" spans="1:7" x14ac:dyDescent="0.2">
      <c r="A7" s="26" t="s">
        <v>818</v>
      </c>
      <c r="B7" s="26" t="s">
        <v>819</v>
      </c>
      <c r="C7" s="26" t="s">
        <v>16</v>
      </c>
      <c r="D7" s="30">
        <v>150</v>
      </c>
      <c r="E7" s="28">
        <v>1511.1914999999999</v>
      </c>
      <c r="F7" s="29">
        <v>7.7762392016447404</v>
      </c>
      <c r="G7" s="28">
        <v>3.0352999999999999</v>
      </c>
    </row>
    <row r="8" spans="1:7" x14ac:dyDescent="0.2">
      <c r="A8" s="26" t="s">
        <v>811</v>
      </c>
      <c r="B8" s="26" t="s">
        <v>812</v>
      </c>
      <c r="C8" s="26" t="s">
        <v>209</v>
      </c>
      <c r="D8" s="30">
        <v>150</v>
      </c>
      <c r="E8" s="28">
        <v>1510.152</v>
      </c>
      <c r="F8" s="29">
        <v>7.77089017695124</v>
      </c>
      <c r="G8" s="28">
        <v>3.3351999999999999</v>
      </c>
    </row>
    <row r="9" spans="1:7" x14ac:dyDescent="0.2">
      <c r="A9" s="26" t="s">
        <v>648</v>
      </c>
      <c r="B9" s="26" t="s">
        <v>649</v>
      </c>
      <c r="C9" s="26" t="s">
        <v>16</v>
      </c>
      <c r="D9" s="30">
        <v>14</v>
      </c>
      <c r="E9" s="28">
        <v>1412.6797999999999</v>
      </c>
      <c r="F9" s="29">
        <v>7.2693209564318302</v>
      </c>
      <c r="G9" s="28">
        <v>3.1598999999999999</v>
      </c>
    </row>
    <row r="10" spans="1:7" x14ac:dyDescent="0.2">
      <c r="A10" s="26" t="s">
        <v>776</v>
      </c>
      <c r="B10" s="26" t="s">
        <v>777</v>
      </c>
      <c r="C10" s="26" t="s">
        <v>16</v>
      </c>
      <c r="D10" s="30">
        <v>116</v>
      </c>
      <c r="E10" s="28">
        <v>1170.0920000000001</v>
      </c>
      <c r="F10" s="29">
        <v>6.02102068462594</v>
      </c>
      <c r="G10" s="28">
        <v>3.13</v>
      </c>
    </row>
    <row r="11" spans="1:7" x14ac:dyDescent="0.2">
      <c r="A11" s="26" t="s">
        <v>820</v>
      </c>
      <c r="B11" s="26" t="s">
        <v>821</v>
      </c>
      <c r="C11" s="26" t="s">
        <v>16</v>
      </c>
      <c r="D11" s="30">
        <v>100</v>
      </c>
      <c r="E11" s="28">
        <v>1006.689</v>
      </c>
      <c r="F11" s="29">
        <v>5.1801869357156498</v>
      </c>
      <c r="G11" s="28">
        <v>4.76</v>
      </c>
    </row>
    <row r="12" spans="1:7" x14ac:dyDescent="0.2">
      <c r="A12" s="26" t="s">
        <v>822</v>
      </c>
      <c r="B12" s="26" t="s">
        <v>823</v>
      </c>
      <c r="C12" s="26" t="s">
        <v>16</v>
      </c>
      <c r="D12" s="30">
        <v>40</v>
      </c>
      <c r="E12" s="28">
        <v>1005.066</v>
      </c>
      <c r="F12" s="29">
        <v>5.1718353560354702</v>
      </c>
      <c r="G12" s="28">
        <v>4.8798000000000004</v>
      </c>
    </row>
    <row r="13" spans="1:7" x14ac:dyDescent="0.2">
      <c r="A13" s="26" t="s">
        <v>824</v>
      </c>
      <c r="B13" s="26" t="s">
        <v>825</v>
      </c>
      <c r="C13" s="26" t="s">
        <v>16</v>
      </c>
      <c r="D13" s="30">
        <v>100</v>
      </c>
      <c r="E13" s="28">
        <v>1004.995</v>
      </c>
      <c r="F13" s="29">
        <v>5.1714700065855004</v>
      </c>
      <c r="G13" s="28">
        <v>3.1046</v>
      </c>
    </row>
    <row r="14" spans="1:7" x14ac:dyDescent="0.2">
      <c r="A14" s="26" t="s">
        <v>826</v>
      </c>
      <c r="B14" s="26" t="s">
        <v>827</v>
      </c>
      <c r="C14" s="26" t="s">
        <v>160</v>
      </c>
      <c r="D14" s="30">
        <v>800</v>
      </c>
      <c r="E14" s="28">
        <v>804.86159999999995</v>
      </c>
      <c r="F14" s="29">
        <v>4.1416301810978302</v>
      </c>
      <c r="G14" s="28">
        <v>3.0951</v>
      </c>
    </row>
    <row r="15" spans="1:7" x14ac:dyDescent="0.2">
      <c r="A15" s="26" t="s">
        <v>828</v>
      </c>
      <c r="B15" s="26" t="s">
        <v>829</v>
      </c>
      <c r="C15" s="26" t="s">
        <v>16</v>
      </c>
      <c r="D15" s="30">
        <v>40</v>
      </c>
      <c r="E15" s="28">
        <v>507.45249999999999</v>
      </c>
      <c r="F15" s="29">
        <v>2.6112322782867898</v>
      </c>
      <c r="G15" s="28">
        <v>3.0901000000000001</v>
      </c>
    </row>
    <row r="16" spans="1:7" x14ac:dyDescent="0.2">
      <c r="A16" s="26" t="s">
        <v>830</v>
      </c>
      <c r="B16" s="26" t="s">
        <v>831</v>
      </c>
      <c r="C16" s="26" t="s">
        <v>16</v>
      </c>
      <c r="D16" s="30">
        <v>50</v>
      </c>
      <c r="E16" s="28">
        <v>506.01499999999999</v>
      </c>
      <c r="F16" s="29">
        <v>2.6038352383667198</v>
      </c>
      <c r="G16" s="28">
        <v>3.11</v>
      </c>
    </row>
    <row r="17" spans="1:9" x14ac:dyDescent="0.2">
      <c r="A17" s="26" t="s">
        <v>832</v>
      </c>
      <c r="B17" s="26" t="s">
        <v>833</v>
      </c>
      <c r="C17" s="26" t="s">
        <v>16</v>
      </c>
      <c r="D17" s="30">
        <v>50</v>
      </c>
      <c r="E17" s="28">
        <v>504.35700000000003</v>
      </c>
      <c r="F17" s="29">
        <v>2.5953035568449998</v>
      </c>
      <c r="G17" s="28">
        <v>3.0848</v>
      </c>
    </row>
    <row r="18" spans="1:9" x14ac:dyDescent="0.2">
      <c r="A18" s="26" t="s">
        <v>782</v>
      </c>
      <c r="B18" s="26" t="s">
        <v>783</v>
      </c>
      <c r="C18" s="26" t="s">
        <v>16</v>
      </c>
      <c r="D18" s="30">
        <v>44</v>
      </c>
      <c r="E18" s="28">
        <v>441.60599999999999</v>
      </c>
      <c r="F18" s="29">
        <v>2.2724015380456599</v>
      </c>
      <c r="G18" s="28">
        <v>3.0804999999999998</v>
      </c>
    </row>
    <row r="19" spans="1:9" x14ac:dyDescent="0.2">
      <c r="A19" s="26" t="s">
        <v>793</v>
      </c>
      <c r="B19" s="26" t="s">
        <v>794</v>
      </c>
      <c r="C19" s="26" t="s">
        <v>16</v>
      </c>
      <c r="D19" s="30">
        <v>38</v>
      </c>
      <c r="E19" s="28">
        <v>384.07968</v>
      </c>
      <c r="F19" s="29">
        <v>1.97638450465819</v>
      </c>
      <c r="G19" s="28">
        <v>3.4750999999999999</v>
      </c>
    </row>
    <row r="20" spans="1:9" x14ac:dyDescent="0.2">
      <c r="A20" s="26" t="s">
        <v>585</v>
      </c>
      <c r="B20" s="26" t="s">
        <v>586</v>
      </c>
      <c r="C20" s="26" t="s">
        <v>16</v>
      </c>
      <c r="D20" s="30">
        <v>25</v>
      </c>
      <c r="E20" s="28">
        <v>252.3015</v>
      </c>
      <c r="F20" s="29">
        <v>1.29828470775131</v>
      </c>
      <c r="G20" s="28">
        <v>4.6449999999999996</v>
      </c>
    </row>
    <row r="21" spans="1:9" x14ac:dyDescent="0.2">
      <c r="A21" s="26" t="s">
        <v>263</v>
      </c>
      <c r="B21" s="26" t="s">
        <v>264</v>
      </c>
      <c r="C21" s="26" t="s">
        <v>16</v>
      </c>
      <c r="D21" s="30">
        <v>20</v>
      </c>
      <c r="E21" s="28">
        <v>201.79920000000001</v>
      </c>
      <c r="F21" s="29">
        <v>1.0384116439912101</v>
      </c>
      <c r="G21" s="28">
        <v>3.0741000000000001</v>
      </c>
    </row>
    <row r="22" spans="1:9" x14ac:dyDescent="0.2">
      <c r="A22" s="26" t="s">
        <v>799</v>
      </c>
      <c r="B22" s="26" t="s">
        <v>800</v>
      </c>
      <c r="C22" s="26" t="s">
        <v>16</v>
      </c>
      <c r="D22" s="30">
        <v>15</v>
      </c>
      <c r="E22" s="28">
        <v>189.9586875</v>
      </c>
      <c r="F22" s="29">
        <v>0.97748312667883697</v>
      </c>
      <c r="G22" s="28">
        <v>3.09</v>
      </c>
    </row>
    <row r="23" spans="1:9" x14ac:dyDescent="0.2">
      <c r="A23" s="26" t="s">
        <v>720</v>
      </c>
      <c r="B23" s="26" t="s">
        <v>721</v>
      </c>
      <c r="C23" s="26" t="s">
        <v>16</v>
      </c>
      <c r="D23" s="30">
        <v>10</v>
      </c>
      <c r="E23" s="28">
        <v>126.0839</v>
      </c>
      <c r="F23" s="29">
        <v>0.64879835935833097</v>
      </c>
      <c r="G23" s="28">
        <v>3.2650000000000001</v>
      </c>
    </row>
    <row r="24" spans="1:9" x14ac:dyDescent="0.2">
      <c r="A24" s="26" t="s">
        <v>778</v>
      </c>
      <c r="B24" s="26" t="s">
        <v>779</v>
      </c>
      <c r="C24" s="26" t="s">
        <v>160</v>
      </c>
      <c r="D24" s="30">
        <v>1</v>
      </c>
      <c r="E24" s="28">
        <v>10.10263</v>
      </c>
      <c r="F24" s="29">
        <v>5.1985779066195198E-2</v>
      </c>
      <c r="G24" s="28">
        <v>3.5251000000000001</v>
      </c>
    </row>
    <row r="25" spans="1:9" ht="10.5" x14ac:dyDescent="0.25">
      <c r="A25" s="25" t="s">
        <v>17</v>
      </c>
      <c r="B25" s="25"/>
      <c r="C25" s="25"/>
      <c r="D25" s="31"/>
      <c r="E25" s="32">
        <f>SUM(E6:E24)</f>
        <v>12549.482997499998</v>
      </c>
      <c r="F25" s="33">
        <f>SUM(F6:F24)</f>
        <v>64.576714232136453</v>
      </c>
      <c r="G25" s="32"/>
      <c r="H25" s="18"/>
      <c r="I25" s="18"/>
    </row>
    <row r="26" spans="1:9" x14ac:dyDescent="0.2">
      <c r="A26" s="26"/>
      <c r="B26" s="26"/>
      <c r="C26" s="26"/>
      <c r="D26" s="27"/>
      <c r="E26" s="28"/>
      <c r="F26" s="29"/>
      <c r="G26" s="28"/>
    </row>
    <row r="27" spans="1:9" ht="10.5" x14ac:dyDescent="0.25">
      <c r="A27" s="25" t="s">
        <v>269</v>
      </c>
      <c r="B27" s="26"/>
      <c r="C27" s="26"/>
      <c r="D27" s="27"/>
      <c r="E27" s="28"/>
      <c r="F27" s="29"/>
      <c r="G27" s="28"/>
    </row>
    <row r="28" spans="1:9" x14ac:dyDescent="0.2">
      <c r="A28" s="26" t="s">
        <v>771</v>
      </c>
      <c r="B28" s="26" t="s">
        <v>772</v>
      </c>
      <c r="C28" s="26" t="s">
        <v>160</v>
      </c>
      <c r="D28" s="30">
        <v>150</v>
      </c>
      <c r="E28" s="28">
        <v>1509.0615</v>
      </c>
      <c r="F28" s="29">
        <v>7.7652787181457903</v>
      </c>
      <c r="G28" s="28">
        <v>3.7349999999999999</v>
      </c>
    </row>
    <row r="29" spans="1:9" x14ac:dyDescent="0.2">
      <c r="A29" s="26" t="s">
        <v>815</v>
      </c>
      <c r="B29" s="26" t="s">
        <v>816</v>
      </c>
      <c r="C29" s="26" t="s">
        <v>16</v>
      </c>
      <c r="D29" s="30">
        <v>150</v>
      </c>
      <c r="E29" s="28">
        <v>1504.9965</v>
      </c>
      <c r="F29" s="29">
        <v>7.7443611756935704</v>
      </c>
      <c r="G29" s="28">
        <v>3.7099000000000002</v>
      </c>
    </row>
    <row r="30" spans="1:9" ht="10.5" x14ac:dyDescent="0.25">
      <c r="A30" s="25" t="s">
        <v>17</v>
      </c>
      <c r="B30" s="25"/>
      <c r="C30" s="25"/>
      <c r="D30" s="31"/>
      <c r="E30" s="32">
        <f>SUM(E27:E29)</f>
        <v>3014.058</v>
      </c>
      <c r="F30" s="33">
        <f>SUM(F27:F29)</f>
        <v>15.50963989383936</v>
      </c>
      <c r="G30" s="32"/>
      <c r="H30" s="18"/>
      <c r="I30" s="18"/>
    </row>
    <row r="31" spans="1:9" x14ac:dyDescent="0.2">
      <c r="A31" s="26"/>
      <c r="B31" s="26"/>
      <c r="C31" s="26"/>
      <c r="D31" s="27"/>
      <c r="E31" s="28"/>
      <c r="F31" s="29"/>
      <c r="G31" s="28"/>
    </row>
    <row r="32" spans="1:9" ht="10.5" x14ac:dyDescent="0.25">
      <c r="A32" s="25" t="s">
        <v>18</v>
      </c>
      <c r="B32" s="26"/>
      <c r="C32" s="26"/>
      <c r="D32" s="27"/>
      <c r="E32" s="28"/>
      <c r="F32" s="29"/>
      <c r="G32" s="28"/>
    </row>
    <row r="33" spans="1:9" ht="10.5" x14ac:dyDescent="0.25">
      <c r="A33" s="25" t="s">
        <v>105</v>
      </c>
      <c r="B33" s="26"/>
      <c r="C33" s="26"/>
      <c r="D33" s="27"/>
      <c r="E33" s="28"/>
      <c r="F33" s="29"/>
      <c r="G33" s="28"/>
    </row>
    <row r="34" spans="1:9" x14ac:dyDescent="0.2">
      <c r="A34" s="26" t="s">
        <v>115</v>
      </c>
      <c r="B34" s="26" t="s">
        <v>116</v>
      </c>
      <c r="C34" s="26" t="s">
        <v>25</v>
      </c>
      <c r="D34" s="30">
        <v>322</v>
      </c>
      <c r="E34" s="28">
        <v>320.32495599999999</v>
      </c>
      <c r="F34" s="29">
        <v>1.64831755612199</v>
      </c>
      <c r="G34" s="28">
        <v>3.0299</v>
      </c>
    </row>
    <row r="35" spans="1:9" ht="10.5" x14ac:dyDescent="0.25">
      <c r="A35" s="25" t="s">
        <v>17</v>
      </c>
      <c r="B35" s="25"/>
      <c r="C35" s="25"/>
      <c r="D35" s="31"/>
      <c r="E35" s="32">
        <f>SUM(E33:E34)</f>
        <v>320.32495599999999</v>
      </c>
      <c r="F35" s="33">
        <f>SUM(F33:F34)</f>
        <v>1.64831755612199</v>
      </c>
      <c r="G35" s="32"/>
      <c r="H35" s="18"/>
      <c r="I35" s="18"/>
    </row>
    <row r="36" spans="1:9" x14ac:dyDescent="0.2">
      <c r="A36" s="26"/>
      <c r="B36" s="26"/>
      <c r="C36" s="26"/>
      <c r="D36" s="27"/>
      <c r="E36" s="28"/>
      <c r="F36" s="29"/>
      <c r="G36" s="28"/>
    </row>
    <row r="37" spans="1:9" ht="10.5" x14ac:dyDescent="0.25">
      <c r="A37" s="25" t="s">
        <v>41</v>
      </c>
      <c r="B37" s="26"/>
      <c r="C37" s="26"/>
      <c r="D37" s="27"/>
      <c r="E37" s="28"/>
      <c r="F37" s="29"/>
      <c r="G37" s="28"/>
    </row>
    <row r="38" spans="1:9" x14ac:dyDescent="0.2">
      <c r="A38" s="26" t="s">
        <v>141</v>
      </c>
      <c r="B38" s="26" t="s">
        <v>142</v>
      </c>
      <c r="C38" s="26" t="s">
        <v>44</v>
      </c>
      <c r="D38" s="30">
        <v>65000</v>
      </c>
      <c r="E38" s="28">
        <v>64.558324999999996</v>
      </c>
      <c r="F38" s="29">
        <v>0.332202091963541</v>
      </c>
      <c r="G38" s="28">
        <v>3.0085999999999999</v>
      </c>
    </row>
    <row r="39" spans="1:9" ht="10.5" x14ac:dyDescent="0.25">
      <c r="A39" s="25" t="s">
        <v>17</v>
      </c>
      <c r="B39" s="25"/>
      <c r="C39" s="25"/>
      <c r="D39" s="31"/>
      <c r="E39" s="32">
        <f>SUM(E37:E38)</f>
        <v>64.558324999999996</v>
      </c>
      <c r="F39" s="33">
        <f>SUM(F37:F38)</f>
        <v>0.332202091963541</v>
      </c>
      <c r="G39" s="32"/>
      <c r="H39" s="18"/>
      <c r="I39" s="18"/>
    </row>
    <row r="40" spans="1:9" x14ac:dyDescent="0.2">
      <c r="A40" s="26"/>
      <c r="B40" s="26"/>
      <c r="C40" s="26"/>
      <c r="D40" s="27"/>
      <c r="E40" s="28"/>
      <c r="F40" s="29"/>
      <c r="G40" s="28"/>
    </row>
    <row r="41" spans="1:9" ht="10.5" x14ac:dyDescent="0.25">
      <c r="A41" s="25" t="s">
        <v>62</v>
      </c>
      <c r="B41" s="25"/>
      <c r="C41" s="25"/>
      <c r="D41" s="31"/>
      <c r="E41" s="32">
        <f>E25+E30+E35+E39</f>
        <v>15948.424278499997</v>
      </c>
      <c r="F41" s="33">
        <f>F25+F30+F35+F39</f>
        <v>82.066873774061349</v>
      </c>
      <c r="G41" s="32"/>
      <c r="H41" s="18"/>
      <c r="I41" s="18"/>
    </row>
    <row r="42" spans="1:9" ht="10.5" x14ac:dyDescent="0.25">
      <c r="A42" s="25"/>
      <c r="B42" s="25"/>
      <c r="C42" s="25"/>
      <c r="D42" s="31"/>
      <c r="E42" s="32"/>
      <c r="F42" s="33"/>
      <c r="G42" s="32"/>
      <c r="H42" s="18"/>
      <c r="I42" s="18"/>
    </row>
    <row r="43" spans="1:9" ht="10.5" x14ac:dyDescent="0.25">
      <c r="A43" s="25" t="s">
        <v>63</v>
      </c>
      <c r="B43" s="25"/>
      <c r="C43" s="25"/>
      <c r="D43" s="31"/>
      <c r="E43" s="32">
        <f>E45-(E25+E30+E35+E39)</f>
        <v>3485.0249868000046</v>
      </c>
      <c r="F43" s="33">
        <f>F45-(F25+F30+F35+F39)</f>
        <v>17.933126225938651</v>
      </c>
      <c r="G43" s="32"/>
      <c r="H43" s="18"/>
      <c r="I43" s="18"/>
    </row>
    <row r="44" spans="1:9" ht="10.5" x14ac:dyDescent="0.25">
      <c r="A44" s="25"/>
      <c r="B44" s="25"/>
      <c r="C44" s="25"/>
      <c r="D44" s="31"/>
      <c r="E44" s="32"/>
      <c r="F44" s="33"/>
      <c r="G44" s="32"/>
      <c r="H44" s="18"/>
      <c r="I44" s="18"/>
    </row>
    <row r="45" spans="1:9" ht="10.5" x14ac:dyDescent="0.25">
      <c r="A45" s="34" t="s">
        <v>64</v>
      </c>
      <c r="B45" s="34"/>
      <c r="C45" s="34"/>
      <c r="D45" s="35"/>
      <c r="E45" s="36">
        <v>19433.449265300002</v>
      </c>
      <c r="F45" s="37">
        <v>100</v>
      </c>
      <c r="G45" s="36"/>
      <c r="H45" s="18"/>
      <c r="I45" s="18"/>
    </row>
    <row r="47" spans="1:9" ht="10.5" x14ac:dyDescent="0.25">
      <c r="A47" s="18" t="s">
        <v>66</v>
      </c>
    </row>
    <row r="49" spans="1:4" ht="10.5" x14ac:dyDescent="0.25">
      <c r="A49" s="18" t="s">
        <v>67</v>
      </c>
    </row>
    <row r="50" spans="1:4" ht="10.5" x14ac:dyDescent="0.25">
      <c r="A50" s="18" t="s">
        <v>68</v>
      </c>
    </row>
    <row r="51" spans="1:4" ht="10.5" x14ac:dyDescent="0.25">
      <c r="A51" s="18" t="s">
        <v>69</v>
      </c>
      <c r="B51" s="18"/>
      <c r="C51" s="38" t="s">
        <v>70</v>
      </c>
      <c r="D51" s="43" t="s">
        <v>71</v>
      </c>
    </row>
    <row r="52" spans="1:4" x14ac:dyDescent="0.2">
      <c r="A52" s="9" t="s">
        <v>98</v>
      </c>
      <c r="C52" s="39">
        <v>12.164400000000001</v>
      </c>
      <c r="D52" s="39">
        <v>12.454599999999999</v>
      </c>
    </row>
    <row r="53" spans="1:4" x14ac:dyDescent="0.2">
      <c r="A53" s="9" t="s">
        <v>669</v>
      </c>
      <c r="C53" s="39">
        <v>10.674799999999999</v>
      </c>
      <c r="D53" s="39">
        <v>10.1867</v>
      </c>
    </row>
    <row r="54" spans="1:4" x14ac:dyDescent="0.2">
      <c r="A54" s="9" t="s">
        <v>275</v>
      </c>
      <c r="C54" s="39">
        <v>10.309200000000001</v>
      </c>
      <c r="D54" s="39">
        <v>10.176500000000001</v>
      </c>
    </row>
    <row r="55" spans="1:4" x14ac:dyDescent="0.2">
      <c r="A55" s="9" t="s">
        <v>101</v>
      </c>
      <c r="C55" s="39">
        <v>12.2254</v>
      </c>
      <c r="D55" s="39">
        <v>12.516999999999999</v>
      </c>
    </row>
    <row r="56" spans="1:4" x14ac:dyDescent="0.2">
      <c r="A56" s="9" t="s">
        <v>332</v>
      </c>
      <c r="C56" s="39">
        <v>10.700799999999999</v>
      </c>
      <c r="D56" s="39">
        <v>10.2133</v>
      </c>
    </row>
    <row r="57" spans="1:4" x14ac:dyDescent="0.2">
      <c r="A57" s="9" t="s">
        <v>279</v>
      </c>
      <c r="C57" s="39">
        <v>10.333399999999999</v>
      </c>
      <c r="D57" s="39">
        <v>10.2014</v>
      </c>
    </row>
    <row r="59" spans="1:4" ht="10.5" x14ac:dyDescent="0.25">
      <c r="A59" s="18" t="s">
        <v>90</v>
      </c>
    </row>
    <row r="60" spans="1:4" ht="10.5" x14ac:dyDescent="0.25">
      <c r="A60" s="68" t="s">
        <v>91</v>
      </c>
      <c r="B60" s="69"/>
      <c r="C60" s="40" t="s">
        <v>92</v>
      </c>
    </row>
    <row r="61" spans="1:4" x14ac:dyDescent="0.2">
      <c r="A61" s="64" t="s">
        <v>669</v>
      </c>
      <c r="B61" s="65"/>
      <c r="C61" s="41">
        <v>0.74</v>
      </c>
    </row>
    <row r="62" spans="1:4" x14ac:dyDescent="0.2">
      <c r="A62" s="64" t="s">
        <v>275</v>
      </c>
      <c r="B62" s="65"/>
      <c r="C62" s="41">
        <v>0.375</v>
      </c>
    </row>
    <row r="63" spans="1:4" x14ac:dyDescent="0.2">
      <c r="A63" s="64" t="s">
        <v>332</v>
      </c>
      <c r="B63" s="65"/>
      <c r="C63" s="41">
        <v>0.74</v>
      </c>
    </row>
    <row r="64" spans="1:4" x14ac:dyDescent="0.2">
      <c r="A64" s="64" t="s">
        <v>279</v>
      </c>
      <c r="B64" s="65"/>
      <c r="C64" s="41">
        <v>0.375</v>
      </c>
    </row>
    <row r="65" spans="1:5" x14ac:dyDescent="0.2">
      <c r="A65" s="9" t="s">
        <v>93</v>
      </c>
    </row>
    <row r="67" spans="1:5" ht="10.5" x14ac:dyDescent="0.25">
      <c r="A67" s="18" t="s">
        <v>94</v>
      </c>
      <c r="D67" s="42">
        <v>0.128843847808219</v>
      </c>
      <c r="E67" s="13" t="s">
        <v>95</v>
      </c>
    </row>
    <row r="69" spans="1:5" ht="10.5" x14ac:dyDescent="0.25">
      <c r="A69" s="18" t="s">
        <v>1506</v>
      </c>
      <c r="D69" s="43" t="s">
        <v>96</v>
      </c>
    </row>
    <row r="71" spans="1:5" ht="10.5" x14ac:dyDescent="0.25">
      <c r="A71" s="18" t="s">
        <v>1508</v>
      </c>
    </row>
    <row r="72" spans="1:5" x14ac:dyDescent="0.2">
      <c r="A72" s="47" t="s">
        <v>1509</v>
      </c>
    </row>
  </sheetData>
  <mergeCells count="6">
    <mergeCell ref="A64:B64"/>
    <mergeCell ref="A1:G1"/>
    <mergeCell ref="A60:B60"/>
    <mergeCell ref="A61:B61"/>
    <mergeCell ref="A62:B62"/>
    <mergeCell ref="A63:B63"/>
  </mergeCells>
  <conditionalFormatting sqref="F2:F3 F5:F65536">
    <cfRule type="cellIs" dxfId="32" priority="1" stopIfTrue="1" operator="between">
      <formula>0.009</formula>
      <formula>-0.009</formula>
    </cfRule>
  </conditionalFormatting>
  <hyperlinks>
    <hyperlink ref="A72" r:id="rId1" xr:uid="{FEA884FC-8B13-4C1C-9B9E-5566ECB3A972}"/>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04"/>
  <sheetViews>
    <sheetView workbookViewId="0">
      <selection sqref="A1:G1"/>
    </sheetView>
  </sheetViews>
  <sheetFormatPr defaultColWidth="9.1796875" defaultRowHeight="10" x14ac:dyDescent="0.2"/>
  <cols>
    <col min="1" max="1" width="38.7265625" style="9" bestFit="1" customWidth="1"/>
    <col min="2" max="2" width="51.81640625" style="9" bestFit="1" customWidth="1"/>
    <col min="3" max="3" width="25.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66" t="s">
        <v>834</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835</v>
      </c>
      <c r="D4" s="16" t="s">
        <v>5</v>
      </c>
      <c r="E4" s="15" t="s">
        <v>6</v>
      </c>
      <c r="F4" s="15" t="s">
        <v>7</v>
      </c>
      <c r="G4" s="15" t="s">
        <v>8</v>
      </c>
    </row>
    <row r="5" spans="1:7" ht="10.5" x14ac:dyDescent="0.25">
      <c r="A5" s="20" t="s">
        <v>836</v>
      </c>
      <c r="B5" s="21"/>
      <c r="C5" s="21"/>
      <c r="D5" s="22"/>
      <c r="E5" s="23"/>
      <c r="F5" s="24"/>
      <c r="G5" s="23"/>
    </row>
    <row r="6" spans="1:7" ht="10.5" x14ac:dyDescent="0.25">
      <c r="A6" s="25" t="s">
        <v>10</v>
      </c>
      <c r="B6" s="26"/>
      <c r="C6" s="26"/>
      <c r="D6" s="27"/>
      <c r="E6" s="28"/>
      <c r="F6" s="29"/>
      <c r="G6" s="28"/>
    </row>
    <row r="7" spans="1:7" x14ac:dyDescent="0.2">
      <c r="A7" s="26" t="s">
        <v>837</v>
      </c>
      <c r="B7" s="26" t="s">
        <v>838</v>
      </c>
      <c r="C7" s="26" t="s">
        <v>839</v>
      </c>
      <c r="D7" s="30">
        <v>108000</v>
      </c>
      <c r="E7" s="28">
        <v>1551.204</v>
      </c>
      <c r="F7" s="29">
        <v>3.4543332830547899</v>
      </c>
      <c r="G7" s="28"/>
    </row>
    <row r="8" spans="1:7" x14ac:dyDescent="0.2">
      <c r="A8" s="26" t="s">
        <v>840</v>
      </c>
      <c r="B8" s="26" t="s">
        <v>841</v>
      </c>
      <c r="C8" s="26" t="s">
        <v>842</v>
      </c>
      <c r="D8" s="30">
        <v>109904</v>
      </c>
      <c r="E8" s="28">
        <v>1380.174432</v>
      </c>
      <c r="F8" s="29">
        <v>3.07347226855968</v>
      </c>
      <c r="G8" s="28"/>
    </row>
    <row r="9" spans="1:7" x14ac:dyDescent="0.2">
      <c r="A9" s="26" t="s">
        <v>843</v>
      </c>
      <c r="B9" s="26" t="s">
        <v>844</v>
      </c>
      <c r="C9" s="26" t="s">
        <v>839</v>
      </c>
      <c r="D9" s="30">
        <v>206475</v>
      </c>
      <c r="E9" s="28">
        <v>1281.0741379999999</v>
      </c>
      <c r="F9" s="29">
        <v>2.8527885648529301</v>
      </c>
      <c r="G9" s="28"/>
    </row>
    <row r="10" spans="1:7" x14ac:dyDescent="0.2">
      <c r="A10" s="26" t="s">
        <v>845</v>
      </c>
      <c r="B10" s="26" t="s">
        <v>846</v>
      </c>
      <c r="C10" s="26" t="s">
        <v>839</v>
      </c>
      <c r="D10" s="30">
        <v>146474</v>
      </c>
      <c r="E10" s="28">
        <v>783.70913700000006</v>
      </c>
      <c r="F10" s="29">
        <v>1.7452202006784701</v>
      </c>
      <c r="G10" s="28"/>
    </row>
    <row r="11" spans="1:7" x14ac:dyDescent="0.2">
      <c r="A11" s="26" t="s">
        <v>847</v>
      </c>
      <c r="B11" s="26" t="s">
        <v>848</v>
      </c>
      <c r="C11" s="26" t="s">
        <v>849</v>
      </c>
      <c r="D11" s="30">
        <v>145373</v>
      </c>
      <c r="E11" s="28">
        <v>740.96618100000001</v>
      </c>
      <c r="F11" s="29">
        <v>1.6500370941838101</v>
      </c>
      <c r="G11" s="28"/>
    </row>
    <row r="12" spans="1:7" x14ac:dyDescent="0.2">
      <c r="A12" s="26" t="s">
        <v>850</v>
      </c>
      <c r="B12" s="26" t="s">
        <v>851</v>
      </c>
      <c r="C12" s="26" t="s">
        <v>839</v>
      </c>
      <c r="D12" s="30">
        <v>33853</v>
      </c>
      <c r="E12" s="28">
        <v>675.57046800000001</v>
      </c>
      <c r="F12" s="29">
        <v>1.5044091896754399</v>
      </c>
      <c r="G12" s="28"/>
    </row>
    <row r="13" spans="1:7" x14ac:dyDescent="0.2">
      <c r="A13" s="26" t="s">
        <v>852</v>
      </c>
      <c r="B13" s="26" t="s">
        <v>853</v>
      </c>
      <c r="C13" s="26" t="s">
        <v>854</v>
      </c>
      <c r="D13" s="30">
        <v>40000</v>
      </c>
      <c r="E13" s="28">
        <v>658.52</v>
      </c>
      <c r="F13" s="29">
        <v>1.46643997408287</v>
      </c>
      <c r="G13" s="28"/>
    </row>
    <row r="14" spans="1:7" x14ac:dyDescent="0.2">
      <c r="A14" s="26" t="s">
        <v>855</v>
      </c>
      <c r="B14" s="26" t="s">
        <v>856</v>
      </c>
      <c r="C14" s="26" t="s">
        <v>857</v>
      </c>
      <c r="D14" s="30">
        <v>60000</v>
      </c>
      <c r="E14" s="28">
        <v>495.39</v>
      </c>
      <c r="F14" s="29">
        <v>1.10317028907385</v>
      </c>
      <c r="G14" s="28"/>
    </row>
    <row r="15" spans="1:7" x14ac:dyDescent="0.2">
      <c r="A15" s="26" t="s">
        <v>858</v>
      </c>
      <c r="B15" s="26" t="s">
        <v>859</v>
      </c>
      <c r="C15" s="26" t="s">
        <v>860</v>
      </c>
      <c r="D15" s="30">
        <v>74355</v>
      </c>
      <c r="E15" s="28">
        <v>478.58595750000001</v>
      </c>
      <c r="F15" s="29">
        <v>1.06574983161138</v>
      </c>
      <c r="G15" s="28"/>
    </row>
    <row r="16" spans="1:7" x14ac:dyDescent="0.2">
      <c r="A16" s="26" t="s">
        <v>861</v>
      </c>
      <c r="B16" s="26" t="s">
        <v>862</v>
      </c>
      <c r="C16" s="26" t="s">
        <v>863</v>
      </c>
      <c r="D16" s="30">
        <v>190244</v>
      </c>
      <c r="E16" s="28">
        <v>471.04414400000002</v>
      </c>
      <c r="F16" s="29">
        <v>1.0489551757262501</v>
      </c>
      <c r="G16" s="28"/>
    </row>
    <row r="17" spans="1:7" x14ac:dyDescent="0.2">
      <c r="A17" s="26" t="s">
        <v>864</v>
      </c>
      <c r="B17" s="26" t="s">
        <v>865</v>
      </c>
      <c r="C17" s="26" t="s">
        <v>866</v>
      </c>
      <c r="D17" s="30">
        <v>26468</v>
      </c>
      <c r="E17" s="28">
        <v>414.29037</v>
      </c>
      <c r="F17" s="29">
        <v>0.922571766150735</v>
      </c>
      <c r="G17" s="28"/>
    </row>
    <row r="18" spans="1:7" x14ac:dyDescent="0.2">
      <c r="A18" s="26" t="s">
        <v>867</v>
      </c>
      <c r="B18" s="26" t="s">
        <v>868</v>
      </c>
      <c r="C18" s="26" t="s">
        <v>863</v>
      </c>
      <c r="D18" s="30">
        <v>168573</v>
      </c>
      <c r="E18" s="28">
        <v>373.55776800000001</v>
      </c>
      <c r="F18" s="29">
        <v>0.83186546137455897</v>
      </c>
      <c r="G18" s="28"/>
    </row>
    <row r="19" spans="1:7" x14ac:dyDescent="0.2">
      <c r="A19" s="26" t="s">
        <v>869</v>
      </c>
      <c r="B19" s="26" t="s">
        <v>870</v>
      </c>
      <c r="C19" s="26" t="s">
        <v>871</v>
      </c>
      <c r="D19" s="30">
        <v>51526</v>
      </c>
      <c r="E19" s="28">
        <v>371.296356</v>
      </c>
      <c r="F19" s="29">
        <v>0.82682958553985197</v>
      </c>
      <c r="G19" s="28"/>
    </row>
    <row r="20" spans="1:7" x14ac:dyDescent="0.2">
      <c r="A20" s="26" t="s">
        <v>872</v>
      </c>
      <c r="B20" s="26" t="s">
        <v>873</v>
      </c>
      <c r="C20" s="26" t="s">
        <v>874</v>
      </c>
      <c r="D20" s="30">
        <v>72000</v>
      </c>
      <c r="E20" s="28">
        <v>343.26</v>
      </c>
      <c r="F20" s="29">
        <v>0.76439619981729601</v>
      </c>
      <c r="G20" s="28"/>
    </row>
    <row r="21" spans="1:7" x14ac:dyDescent="0.2">
      <c r="A21" s="26" t="s">
        <v>875</v>
      </c>
      <c r="B21" s="26" t="s">
        <v>876</v>
      </c>
      <c r="C21" s="26" t="s">
        <v>877</v>
      </c>
      <c r="D21" s="30">
        <v>156244</v>
      </c>
      <c r="E21" s="28">
        <v>340.45567599999998</v>
      </c>
      <c r="F21" s="29">
        <v>0.75815132826611997</v>
      </c>
      <c r="G21" s="28"/>
    </row>
    <row r="22" spans="1:7" x14ac:dyDescent="0.2">
      <c r="A22" s="26" t="s">
        <v>878</v>
      </c>
      <c r="B22" s="26" t="s">
        <v>879</v>
      </c>
      <c r="C22" s="26" t="s">
        <v>880</v>
      </c>
      <c r="D22" s="30">
        <v>129936</v>
      </c>
      <c r="E22" s="28">
        <v>312.56104800000003</v>
      </c>
      <c r="F22" s="29">
        <v>0.69603355270672795</v>
      </c>
      <c r="G22" s="28"/>
    </row>
    <row r="23" spans="1:7" x14ac:dyDescent="0.2">
      <c r="A23" s="26" t="s">
        <v>881</v>
      </c>
      <c r="B23" s="26" t="s">
        <v>882</v>
      </c>
      <c r="C23" s="26" t="s">
        <v>883</v>
      </c>
      <c r="D23" s="30">
        <v>130625</v>
      </c>
      <c r="E23" s="28">
        <v>247.99156249999999</v>
      </c>
      <c r="F23" s="29">
        <v>0.55224555136559295</v>
      </c>
      <c r="G23" s="28"/>
    </row>
    <row r="24" spans="1:7" x14ac:dyDescent="0.2">
      <c r="A24" s="26" t="s">
        <v>884</v>
      </c>
      <c r="B24" s="26" t="s">
        <v>885</v>
      </c>
      <c r="C24" s="26" t="s">
        <v>839</v>
      </c>
      <c r="D24" s="30">
        <v>88509</v>
      </c>
      <c r="E24" s="28">
        <v>243.35549549999999</v>
      </c>
      <c r="F24" s="29">
        <v>0.54192162199165395</v>
      </c>
      <c r="G24" s="28"/>
    </row>
    <row r="25" spans="1:7" x14ac:dyDescent="0.2">
      <c r="A25" s="26" t="s">
        <v>886</v>
      </c>
      <c r="B25" s="26" t="s">
        <v>887</v>
      </c>
      <c r="C25" s="26" t="s">
        <v>883</v>
      </c>
      <c r="D25" s="30">
        <v>217407</v>
      </c>
      <c r="E25" s="28">
        <v>215.9938545</v>
      </c>
      <c r="F25" s="29">
        <v>0.48099074044074402</v>
      </c>
      <c r="G25" s="28"/>
    </row>
    <row r="26" spans="1:7" x14ac:dyDescent="0.2">
      <c r="A26" s="26" t="s">
        <v>888</v>
      </c>
      <c r="B26" s="26" t="s">
        <v>889</v>
      </c>
      <c r="C26" s="26" t="s">
        <v>874</v>
      </c>
      <c r="D26" s="30">
        <v>7072</v>
      </c>
      <c r="E26" s="28">
        <v>198.20694399999999</v>
      </c>
      <c r="F26" s="29">
        <v>0.44138156141408702</v>
      </c>
      <c r="G26" s="28"/>
    </row>
    <row r="27" spans="1:7" x14ac:dyDescent="0.2">
      <c r="A27" s="26" t="s">
        <v>890</v>
      </c>
      <c r="B27" s="26" t="s">
        <v>891</v>
      </c>
      <c r="C27" s="26" t="s">
        <v>892</v>
      </c>
      <c r="D27" s="30">
        <v>32100</v>
      </c>
      <c r="E27" s="28">
        <v>184.43055000000001</v>
      </c>
      <c r="F27" s="29">
        <v>0.41070329065493699</v>
      </c>
      <c r="G27" s="28"/>
    </row>
    <row r="28" spans="1:7" x14ac:dyDescent="0.2">
      <c r="A28" s="26" t="s">
        <v>893</v>
      </c>
      <c r="B28" s="26" t="s">
        <v>894</v>
      </c>
      <c r="C28" s="26" t="s">
        <v>866</v>
      </c>
      <c r="D28" s="30">
        <v>15000</v>
      </c>
      <c r="E28" s="28">
        <v>177.95249999999999</v>
      </c>
      <c r="F28" s="29">
        <v>0.39627750028546099</v>
      </c>
      <c r="G28" s="28"/>
    </row>
    <row r="29" spans="1:7" x14ac:dyDescent="0.2">
      <c r="A29" s="26" t="s">
        <v>895</v>
      </c>
      <c r="B29" s="26" t="s">
        <v>896</v>
      </c>
      <c r="C29" s="26" t="s">
        <v>871</v>
      </c>
      <c r="D29" s="30">
        <v>4923</v>
      </c>
      <c r="E29" s="28">
        <v>169.55058149999999</v>
      </c>
      <c r="F29" s="29">
        <v>0.37756750036535802</v>
      </c>
      <c r="G29" s="28"/>
    </row>
    <row r="30" spans="1:7" x14ac:dyDescent="0.2">
      <c r="A30" s="26" t="s">
        <v>897</v>
      </c>
      <c r="B30" s="26" t="s">
        <v>898</v>
      </c>
      <c r="C30" s="26" t="s">
        <v>866</v>
      </c>
      <c r="D30" s="30">
        <v>27182</v>
      </c>
      <c r="E30" s="28">
        <v>165.19860499999999</v>
      </c>
      <c r="F30" s="29">
        <v>0.36787620426824702</v>
      </c>
      <c r="G30" s="28"/>
    </row>
    <row r="31" spans="1:7" x14ac:dyDescent="0.2">
      <c r="A31" s="26" t="s">
        <v>899</v>
      </c>
      <c r="B31" s="26" t="s">
        <v>900</v>
      </c>
      <c r="C31" s="26" t="s">
        <v>877</v>
      </c>
      <c r="D31" s="30">
        <v>43000</v>
      </c>
      <c r="E31" s="28">
        <v>163.87299999999999</v>
      </c>
      <c r="F31" s="29">
        <v>0.36492425115847998</v>
      </c>
      <c r="G31" s="28"/>
    </row>
    <row r="32" spans="1:7" x14ac:dyDescent="0.2">
      <c r="A32" s="26" t="s">
        <v>901</v>
      </c>
      <c r="B32" s="26" t="s">
        <v>902</v>
      </c>
      <c r="C32" s="26" t="s">
        <v>839</v>
      </c>
      <c r="D32" s="30">
        <v>301582</v>
      </c>
      <c r="E32" s="28">
        <v>137.97376499999999</v>
      </c>
      <c r="F32" s="29">
        <v>0.30724996108047697</v>
      </c>
      <c r="G32" s="28"/>
    </row>
    <row r="33" spans="1:9" x14ac:dyDescent="0.2">
      <c r="A33" s="26" t="s">
        <v>903</v>
      </c>
      <c r="B33" s="26" t="s">
        <v>904</v>
      </c>
      <c r="C33" s="26" t="s">
        <v>871</v>
      </c>
      <c r="D33" s="30">
        <v>74940</v>
      </c>
      <c r="E33" s="28">
        <v>137.77718999999999</v>
      </c>
      <c r="F33" s="29">
        <v>0.30681221365001898</v>
      </c>
      <c r="G33" s="28"/>
    </row>
    <row r="34" spans="1:9" x14ac:dyDescent="0.2">
      <c r="A34" s="26" t="s">
        <v>905</v>
      </c>
      <c r="B34" s="26" t="s">
        <v>906</v>
      </c>
      <c r="C34" s="26" t="s">
        <v>871</v>
      </c>
      <c r="D34" s="30">
        <v>23121</v>
      </c>
      <c r="E34" s="28">
        <v>112.13685</v>
      </c>
      <c r="F34" s="29">
        <v>0.249714449686774</v>
      </c>
      <c r="G34" s="28"/>
    </row>
    <row r="35" spans="1:9" x14ac:dyDescent="0.2">
      <c r="A35" s="26" t="s">
        <v>907</v>
      </c>
      <c r="B35" s="26" t="s">
        <v>908</v>
      </c>
      <c r="C35" s="26" t="s">
        <v>909</v>
      </c>
      <c r="D35" s="30">
        <v>65910</v>
      </c>
      <c r="E35" s="28">
        <v>109.14696000000001</v>
      </c>
      <c r="F35" s="29">
        <v>0.24305634634274401</v>
      </c>
      <c r="G35" s="28"/>
    </row>
    <row r="36" spans="1:9" x14ac:dyDescent="0.2">
      <c r="A36" s="26" t="s">
        <v>910</v>
      </c>
      <c r="B36" s="26" t="s">
        <v>911</v>
      </c>
      <c r="C36" s="26" t="s">
        <v>912</v>
      </c>
      <c r="D36" s="30">
        <v>153047</v>
      </c>
      <c r="E36" s="28">
        <v>65.274545500000002</v>
      </c>
      <c r="F36" s="29">
        <v>0.14535807995397401</v>
      </c>
      <c r="G36" s="28"/>
    </row>
    <row r="37" spans="1:9" x14ac:dyDescent="0.2">
      <c r="A37" s="26" t="s">
        <v>913</v>
      </c>
      <c r="B37" s="26" t="s">
        <v>914</v>
      </c>
      <c r="C37" s="26" t="s">
        <v>909</v>
      </c>
      <c r="D37" s="30">
        <v>7703</v>
      </c>
      <c r="E37" s="28">
        <v>7.9764565000000003</v>
      </c>
      <c r="F37" s="29">
        <v>1.7762550360100101E-2</v>
      </c>
      <c r="G37" s="28"/>
    </row>
    <row r="38" spans="1:9" x14ac:dyDescent="0.2">
      <c r="A38" s="26" t="s">
        <v>915</v>
      </c>
      <c r="B38" s="26" t="s">
        <v>916</v>
      </c>
      <c r="C38" s="26" t="s">
        <v>917</v>
      </c>
      <c r="D38" s="30">
        <v>984</v>
      </c>
      <c r="E38" s="28">
        <v>1.3328279999999999</v>
      </c>
      <c r="F38" s="29">
        <v>2.9680378086875399E-3</v>
      </c>
      <c r="G38" s="28"/>
    </row>
    <row r="39" spans="1:9" ht="10.5" x14ac:dyDescent="0.25">
      <c r="A39" s="25" t="s">
        <v>17</v>
      </c>
      <c r="B39" s="25"/>
      <c r="C39" s="25"/>
      <c r="D39" s="31"/>
      <c r="E39" s="32">
        <f>SUM(E7:E38)</f>
        <v>13009.831363500001</v>
      </c>
      <c r="F39" s="33">
        <f>SUM(F7:F38)</f>
        <v>28.971233626182102</v>
      </c>
      <c r="G39" s="32"/>
      <c r="H39" s="18"/>
      <c r="I39" s="18"/>
    </row>
    <row r="40" spans="1:9" x14ac:dyDescent="0.2">
      <c r="A40" s="26"/>
      <c r="B40" s="26"/>
      <c r="C40" s="26"/>
      <c r="D40" s="27"/>
      <c r="E40" s="28"/>
      <c r="F40" s="29"/>
      <c r="G40" s="28"/>
    </row>
    <row r="41" spans="1:9" ht="10.5" x14ac:dyDescent="0.25">
      <c r="A41" s="25" t="s">
        <v>9</v>
      </c>
      <c r="B41" s="26"/>
      <c r="C41" s="26"/>
      <c r="D41" s="27"/>
      <c r="E41" s="28"/>
      <c r="F41" s="29"/>
      <c r="G41" s="28"/>
    </row>
    <row r="42" spans="1:9" ht="10.5" x14ac:dyDescent="0.25">
      <c r="A42" s="25" t="s">
        <v>10</v>
      </c>
      <c r="B42" s="26"/>
      <c r="C42" s="26"/>
      <c r="D42" s="27"/>
      <c r="E42" s="28"/>
      <c r="F42" s="29"/>
      <c r="G42" s="28"/>
    </row>
    <row r="43" spans="1:9" x14ac:dyDescent="0.2">
      <c r="A43" s="26" t="s">
        <v>918</v>
      </c>
      <c r="B43" s="26" t="s">
        <v>919</v>
      </c>
      <c r="C43" s="26" t="s">
        <v>16</v>
      </c>
      <c r="D43" s="30">
        <v>200</v>
      </c>
      <c r="E43" s="28">
        <v>2093.3180000000002</v>
      </c>
      <c r="F43" s="29">
        <v>4.6615519553957396</v>
      </c>
      <c r="G43" s="28">
        <v>4.76</v>
      </c>
    </row>
    <row r="44" spans="1:9" x14ac:dyDescent="0.2">
      <c r="A44" s="26" t="s">
        <v>920</v>
      </c>
      <c r="B44" s="26" t="s">
        <v>921</v>
      </c>
      <c r="C44" s="26" t="s">
        <v>16</v>
      </c>
      <c r="D44" s="30">
        <v>150</v>
      </c>
      <c r="E44" s="28">
        <v>1688.463</v>
      </c>
      <c r="F44" s="29">
        <v>3.7599915537263602</v>
      </c>
      <c r="G44" s="28">
        <v>5.1699000000000002</v>
      </c>
    </row>
    <row r="45" spans="1:9" x14ac:dyDescent="0.2">
      <c r="A45" s="26" t="s">
        <v>316</v>
      </c>
      <c r="B45" s="26" t="s">
        <v>317</v>
      </c>
      <c r="C45" s="26" t="s">
        <v>16</v>
      </c>
      <c r="D45" s="30">
        <v>65</v>
      </c>
      <c r="E45" s="28">
        <v>726.52970000000005</v>
      </c>
      <c r="F45" s="29">
        <v>1.6178888939416201</v>
      </c>
      <c r="G45" s="28">
        <v>6.8902999999999999</v>
      </c>
    </row>
    <row r="46" spans="1:9" x14ac:dyDescent="0.2">
      <c r="A46" s="26" t="s">
        <v>357</v>
      </c>
      <c r="B46" s="26" t="s">
        <v>358</v>
      </c>
      <c r="C46" s="26" t="s">
        <v>351</v>
      </c>
      <c r="D46" s="30">
        <v>60</v>
      </c>
      <c r="E46" s="28">
        <v>588.81479999999999</v>
      </c>
      <c r="F46" s="29">
        <v>1.31121539216973</v>
      </c>
      <c r="G46" s="28">
        <v>11.0334</v>
      </c>
    </row>
    <row r="47" spans="1:9" x14ac:dyDescent="0.2">
      <c r="A47" s="26" t="s">
        <v>241</v>
      </c>
      <c r="B47" s="26" t="s">
        <v>242</v>
      </c>
      <c r="C47" s="26" t="s">
        <v>16</v>
      </c>
      <c r="D47" s="30">
        <v>45</v>
      </c>
      <c r="E47" s="28">
        <v>500.34555</v>
      </c>
      <c r="F47" s="29">
        <v>1.1142056663039499</v>
      </c>
      <c r="G47" s="28">
        <v>5.8296999999999999</v>
      </c>
    </row>
    <row r="48" spans="1:9" x14ac:dyDescent="0.2">
      <c r="A48" s="26" t="s">
        <v>166</v>
      </c>
      <c r="B48" s="26" t="s">
        <v>167</v>
      </c>
      <c r="C48" s="26" t="s">
        <v>168</v>
      </c>
      <c r="D48" s="30">
        <v>50</v>
      </c>
      <c r="E48" s="28">
        <v>498.05500000000001</v>
      </c>
      <c r="F48" s="29">
        <v>1.1091049038629699</v>
      </c>
      <c r="G48" s="28">
        <v>10.6899</v>
      </c>
    </row>
    <row r="49" spans="1:9" x14ac:dyDescent="0.2">
      <c r="A49" s="26" t="s">
        <v>249</v>
      </c>
      <c r="B49" s="26" t="s">
        <v>250</v>
      </c>
      <c r="C49" s="26" t="s">
        <v>16</v>
      </c>
      <c r="D49" s="30">
        <v>30</v>
      </c>
      <c r="E49" s="28">
        <v>336.0231</v>
      </c>
      <c r="F49" s="29">
        <v>0.74828054737175098</v>
      </c>
      <c r="G49" s="28">
        <v>6.8902999999999999</v>
      </c>
    </row>
    <row r="50" spans="1:9" x14ac:dyDescent="0.2">
      <c r="A50" s="26" t="s">
        <v>251</v>
      </c>
      <c r="B50" s="26" t="s">
        <v>252</v>
      </c>
      <c r="C50" s="26" t="s">
        <v>16</v>
      </c>
      <c r="D50" s="30">
        <v>5</v>
      </c>
      <c r="E50" s="28">
        <v>56.286450000000002</v>
      </c>
      <c r="F50" s="29">
        <v>0.125342738685563</v>
      </c>
      <c r="G50" s="28">
        <v>6.8223000000000003</v>
      </c>
    </row>
    <row r="51" spans="1:9" ht="10.5" x14ac:dyDescent="0.25">
      <c r="A51" s="25" t="s">
        <v>17</v>
      </c>
      <c r="B51" s="25"/>
      <c r="C51" s="25"/>
      <c r="D51" s="31"/>
      <c r="E51" s="32">
        <f>SUM(E42:E50)</f>
        <v>6487.8356000000003</v>
      </c>
      <c r="F51" s="33">
        <f>SUM(F42:F50)</f>
        <v>14.447581651457682</v>
      </c>
      <c r="G51" s="32"/>
      <c r="H51" s="18"/>
      <c r="I51" s="18"/>
    </row>
    <row r="52" spans="1:9" x14ac:dyDescent="0.2">
      <c r="A52" s="26"/>
      <c r="B52" s="26"/>
      <c r="C52" s="26"/>
      <c r="D52" s="27"/>
      <c r="E52" s="28"/>
      <c r="F52" s="29"/>
      <c r="G52" s="28"/>
    </row>
    <row r="53" spans="1:9" ht="10.5" x14ac:dyDescent="0.25">
      <c r="A53" s="25" t="s">
        <v>269</v>
      </c>
      <c r="B53" s="26"/>
      <c r="C53" s="26"/>
      <c r="D53" s="27"/>
      <c r="E53" s="28"/>
      <c r="F53" s="29"/>
      <c r="G53" s="28"/>
    </row>
    <row r="54" spans="1:9" x14ac:dyDescent="0.2">
      <c r="A54" s="26" t="s">
        <v>543</v>
      </c>
      <c r="B54" s="26" t="s">
        <v>544</v>
      </c>
      <c r="C54" s="26" t="s">
        <v>375</v>
      </c>
      <c r="D54" s="30">
        <v>14</v>
      </c>
      <c r="E54" s="28">
        <v>1967.5726</v>
      </c>
      <c r="F54" s="29">
        <v>4.3815330021110404</v>
      </c>
      <c r="G54" s="28">
        <v>10.19</v>
      </c>
    </row>
    <row r="55" spans="1:9" ht="10.5" x14ac:dyDescent="0.25">
      <c r="A55" s="25" t="s">
        <v>17</v>
      </c>
      <c r="B55" s="25"/>
      <c r="C55" s="25"/>
      <c r="D55" s="31"/>
      <c r="E55" s="32">
        <f>SUM(E53:E54)</f>
        <v>1967.5726</v>
      </c>
      <c r="F55" s="33">
        <f>SUM(F53:F54)</f>
        <v>4.3815330021110404</v>
      </c>
      <c r="G55" s="32"/>
      <c r="H55" s="18"/>
      <c r="I55" s="18"/>
    </row>
    <row r="56" spans="1:9" x14ac:dyDescent="0.2">
      <c r="A56" s="26"/>
      <c r="B56" s="26"/>
      <c r="C56" s="26"/>
      <c r="D56" s="27"/>
      <c r="E56" s="28"/>
      <c r="F56" s="29"/>
      <c r="G56" s="28"/>
    </row>
    <row r="57" spans="1:9" ht="10.5" x14ac:dyDescent="0.25">
      <c r="A57" s="25" t="s">
        <v>18</v>
      </c>
      <c r="B57" s="26"/>
      <c r="C57" s="26"/>
      <c r="D57" s="27"/>
      <c r="E57" s="28"/>
      <c r="F57" s="29"/>
      <c r="G57" s="28"/>
    </row>
    <row r="58" spans="1:9" ht="10.5" x14ac:dyDescent="0.25">
      <c r="A58" s="25" t="s">
        <v>105</v>
      </c>
      <c r="B58" s="26"/>
      <c r="C58" s="26"/>
      <c r="D58" s="27"/>
      <c r="E58" s="28"/>
      <c r="F58" s="29"/>
      <c r="G58" s="28"/>
    </row>
    <row r="59" spans="1:9" x14ac:dyDescent="0.2">
      <c r="A59" s="26" t="s">
        <v>106</v>
      </c>
      <c r="B59" s="26" t="s">
        <v>107</v>
      </c>
      <c r="C59" s="26" t="s">
        <v>108</v>
      </c>
      <c r="D59" s="30">
        <v>2000</v>
      </c>
      <c r="E59" s="28">
        <v>1993.318</v>
      </c>
      <c r="F59" s="29">
        <v>4.4388647212824504</v>
      </c>
      <c r="G59" s="28">
        <v>2.9847000000000001</v>
      </c>
    </row>
    <row r="60" spans="1:9" x14ac:dyDescent="0.2">
      <c r="A60" s="26" t="s">
        <v>111</v>
      </c>
      <c r="B60" s="26" t="s">
        <v>112</v>
      </c>
      <c r="C60" s="26" t="s">
        <v>25</v>
      </c>
      <c r="D60" s="30">
        <v>500</v>
      </c>
      <c r="E60" s="28">
        <v>497.24349999999998</v>
      </c>
      <c r="F60" s="29">
        <v>1.1072977969581399</v>
      </c>
      <c r="G60" s="28">
        <v>3.02</v>
      </c>
    </row>
    <row r="61" spans="1:9" ht="10.5" x14ac:dyDescent="0.25">
      <c r="A61" s="25" t="s">
        <v>17</v>
      </c>
      <c r="B61" s="25"/>
      <c r="C61" s="25"/>
      <c r="D61" s="31"/>
      <c r="E61" s="32">
        <f>SUM(E58:E60)</f>
        <v>2490.5614999999998</v>
      </c>
      <c r="F61" s="33">
        <f>SUM(F58:F60)</f>
        <v>5.5461625182405907</v>
      </c>
      <c r="G61" s="32"/>
      <c r="H61" s="18"/>
      <c r="I61" s="18"/>
    </row>
    <row r="62" spans="1:9" x14ac:dyDescent="0.2">
      <c r="A62" s="26"/>
      <c r="B62" s="26"/>
      <c r="C62" s="26"/>
      <c r="D62" s="27"/>
      <c r="E62" s="28"/>
      <c r="F62" s="29"/>
      <c r="G62" s="28"/>
    </row>
    <row r="63" spans="1:9" ht="10.5" x14ac:dyDescent="0.25">
      <c r="A63" s="25" t="s">
        <v>41</v>
      </c>
      <c r="B63" s="26"/>
      <c r="C63" s="26"/>
      <c r="D63" s="27"/>
      <c r="E63" s="28"/>
      <c r="F63" s="29"/>
      <c r="G63" s="28"/>
    </row>
    <row r="64" spans="1:9" x14ac:dyDescent="0.2">
      <c r="A64" s="26" t="s">
        <v>42</v>
      </c>
      <c r="B64" s="26" t="s">
        <v>43</v>
      </c>
      <c r="C64" s="26" t="s">
        <v>44</v>
      </c>
      <c r="D64" s="30">
        <v>6500000</v>
      </c>
      <c r="E64" s="28">
        <v>6493.1750000000002</v>
      </c>
      <c r="F64" s="29">
        <v>14.459471813635901</v>
      </c>
      <c r="G64" s="28">
        <v>2.9512</v>
      </c>
    </row>
    <row r="65" spans="1:9" ht="10.5" x14ac:dyDescent="0.25">
      <c r="A65" s="25" t="s">
        <v>17</v>
      </c>
      <c r="B65" s="25"/>
      <c r="C65" s="25"/>
      <c r="D65" s="31"/>
      <c r="E65" s="32">
        <f>SUM(E63:E64)</f>
        <v>6493.1750000000002</v>
      </c>
      <c r="F65" s="33">
        <f>SUM(F63:F64)</f>
        <v>14.459471813635901</v>
      </c>
      <c r="G65" s="32"/>
      <c r="H65" s="18"/>
      <c r="I65" s="18"/>
    </row>
    <row r="66" spans="1:9" x14ac:dyDescent="0.2">
      <c r="A66" s="26"/>
      <c r="B66" s="26"/>
      <c r="C66" s="26"/>
      <c r="D66" s="27"/>
      <c r="E66" s="28"/>
      <c r="F66" s="29"/>
      <c r="G66" s="28"/>
    </row>
    <row r="67" spans="1:9" ht="10.5" x14ac:dyDescent="0.25">
      <c r="A67" s="25" t="s">
        <v>49</v>
      </c>
      <c r="B67" s="26"/>
      <c r="C67" s="26"/>
      <c r="D67" s="27"/>
      <c r="E67" s="28"/>
      <c r="F67" s="29"/>
      <c r="G67" s="28"/>
    </row>
    <row r="68" spans="1:9" x14ac:dyDescent="0.2">
      <c r="A68" s="26" t="s">
        <v>173</v>
      </c>
      <c r="B68" s="26" t="s">
        <v>174</v>
      </c>
      <c r="C68" s="26" t="s">
        <v>44</v>
      </c>
      <c r="D68" s="30">
        <v>3385000</v>
      </c>
      <c r="E68" s="28">
        <v>3354.815955</v>
      </c>
      <c r="F68" s="29">
        <v>7.4707468597810198</v>
      </c>
      <c r="G68" s="28">
        <v>5.8921999999999999</v>
      </c>
    </row>
    <row r="69" spans="1:9" x14ac:dyDescent="0.2">
      <c r="A69" s="26" t="s">
        <v>338</v>
      </c>
      <c r="B69" s="26" t="s">
        <v>339</v>
      </c>
      <c r="C69" s="26" t="s">
        <v>44</v>
      </c>
      <c r="D69" s="30">
        <v>2600000</v>
      </c>
      <c r="E69" s="28">
        <v>2839.7642000000001</v>
      </c>
      <c r="F69" s="29">
        <v>6.3237923523195301</v>
      </c>
      <c r="G69" s="28">
        <v>5.2419000000000002</v>
      </c>
    </row>
    <row r="70" spans="1:9" x14ac:dyDescent="0.2">
      <c r="A70" s="26" t="s">
        <v>334</v>
      </c>
      <c r="B70" s="26" t="s">
        <v>335</v>
      </c>
      <c r="C70" s="26" t="s">
        <v>44</v>
      </c>
      <c r="D70" s="30">
        <v>2600000</v>
      </c>
      <c r="E70" s="28">
        <v>2771.8209999999999</v>
      </c>
      <c r="F70" s="29">
        <v>6.1724915194714702</v>
      </c>
      <c r="G70" s="28">
        <v>5.5431999999999997</v>
      </c>
    </row>
    <row r="71" spans="1:9" x14ac:dyDescent="0.2">
      <c r="A71" s="26" t="s">
        <v>329</v>
      </c>
      <c r="B71" s="26" t="s">
        <v>330</v>
      </c>
      <c r="C71" s="26" t="s">
        <v>44</v>
      </c>
      <c r="D71" s="30">
        <v>2125000</v>
      </c>
      <c r="E71" s="28">
        <v>2299.9278749999999</v>
      </c>
      <c r="F71" s="29">
        <v>5.12164577143818</v>
      </c>
      <c r="G71" s="28">
        <v>5.7289000000000003</v>
      </c>
    </row>
    <row r="72" spans="1:9" x14ac:dyDescent="0.2">
      <c r="A72" s="26" t="s">
        <v>922</v>
      </c>
      <c r="B72" s="26" t="s">
        <v>923</v>
      </c>
      <c r="C72" s="26" t="s">
        <v>44</v>
      </c>
      <c r="D72" s="30">
        <v>900000</v>
      </c>
      <c r="E72" s="28">
        <v>944.26110000000006</v>
      </c>
      <c r="F72" s="29">
        <v>2.1027489263977701</v>
      </c>
      <c r="G72" s="28">
        <v>4.7618</v>
      </c>
    </row>
    <row r="73" spans="1:9" x14ac:dyDescent="0.2">
      <c r="A73" s="26" t="s">
        <v>272</v>
      </c>
      <c r="B73" s="26" t="s">
        <v>273</v>
      </c>
      <c r="C73" s="26" t="s">
        <v>44</v>
      </c>
      <c r="D73" s="30">
        <v>400000</v>
      </c>
      <c r="E73" s="28">
        <v>433.14359999999999</v>
      </c>
      <c r="F73" s="29">
        <v>0.964555502578753</v>
      </c>
      <c r="G73" s="28">
        <v>4.4074</v>
      </c>
    </row>
    <row r="74" spans="1:9" x14ac:dyDescent="0.2">
      <c r="A74" s="26" t="s">
        <v>171</v>
      </c>
      <c r="B74" s="26" t="s">
        <v>172</v>
      </c>
      <c r="C74" s="26" t="s">
        <v>44</v>
      </c>
      <c r="D74" s="30">
        <v>100000</v>
      </c>
      <c r="E74" s="28">
        <v>100.6902</v>
      </c>
      <c r="F74" s="29">
        <v>0.22422422140314499</v>
      </c>
      <c r="G74" s="28">
        <v>5.0444000000000004</v>
      </c>
    </row>
    <row r="75" spans="1:9" ht="10.5" x14ac:dyDescent="0.25">
      <c r="A75" s="25" t="s">
        <v>17</v>
      </c>
      <c r="B75" s="25"/>
      <c r="C75" s="25"/>
      <c r="D75" s="31"/>
      <c r="E75" s="32">
        <f>SUM(E68:E74)</f>
        <v>12744.423929999997</v>
      </c>
      <c r="F75" s="33">
        <f>SUM(F68:F74)</f>
        <v>28.380205153389866</v>
      </c>
      <c r="G75" s="32"/>
      <c r="H75" s="18"/>
      <c r="I75" s="18"/>
    </row>
    <row r="76" spans="1:9" x14ac:dyDescent="0.2">
      <c r="A76" s="26"/>
      <c r="B76" s="26"/>
      <c r="C76" s="26"/>
      <c r="D76" s="27"/>
      <c r="E76" s="28"/>
      <c r="F76" s="29"/>
      <c r="G76" s="28"/>
    </row>
    <row r="77" spans="1:9" ht="10.5" x14ac:dyDescent="0.25">
      <c r="A77" s="25" t="s">
        <v>62</v>
      </c>
      <c r="B77" s="25"/>
      <c r="C77" s="25"/>
      <c r="D77" s="31"/>
      <c r="E77" s="32">
        <f>E39+E51+E55+E61+E65+E75</f>
        <v>43193.399993499996</v>
      </c>
      <c r="F77" s="33">
        <f>F39+F51+F55+F61+F65+F75</f>
        <v>96.186187765017181</v>
      </c>
      <c r="G77" s="32"/>
      <c r="H77" s="18"/>
      <c r="I77" s="18"/>
    </row>
    <row r="78" spans="1:9" ht="10.5" x14ac:dyDescent="0.25">
      <c r="A78" s="25"/>
      <c r="B78" s="25"/>
      <c r="C78" s="25"/>
      <c r="D78" s="31"/>
      <c r="E78" s="32"/>
      <c r="F78" s="33"/>
      <c r="G78" s="32"/>
      <c r="H78" s="18"/>
      <c r="I78" s="18"/>
    </row>
    <row r="79" spans="1:9" ht="10.5" x14ac:dyDescent="0.25">
      <c r="A79" s="25" t="s">
        <v>63</v>
      </c>
      <c r="B79" s="25"/>
      <c r="C79" s="25"/>
      <c r="D79" s="31"/>
      <c r="E79" s="32">
        <f>E81-(E39+E51+E55+E61+E65+E75)</f>
        <v>1712.6317322000032</v>
      </c>
      <c r="F79" s="33">
        <f>F81-(F39+F51+F55+F61+F65+F75)</f>
        <v>3.8138122349828194</v>
      </c>
      <c r="G79" s="32"/>
      <c r="H79" s="18"/>
      <c r="I79" s="18"/>
    </row>
    <row r="80" spans="1:9" ht="10.5" x14ac:dyDescent="0.25">
      <c r="A80" s="25"/>
      <c r="B80" s="25"/>
      <c r="C80" s="25"/>
      <c r="D80" s="31"/>
      <c r="E80" s="32"/>
      <c r="F80" s="33"/>
      <c r="G80" s="32"/>
      <c r="H80" s="18"/>
      <c r="I80" s="18"/>
    </row>
    <row r="81" spans="1:9" ht="10.5" x14ac:dyDescent="0.25">
      <c r="A81" s="34" t="s">
        <v>64</v>
      </c>
      <c r="B81" s="34"/>
      <c r="C81" s="34"/>
      <c r="D81" s="35"/>
      <c r="E81" s="36">
        <v>44906.031725699999</v>
      </c>
      <c r="F81" s="37">
        <v>100</v>
      </c>
      <c r="G81" s="36"/>
      <c r="H81" s="18"/>
      <c r="I81" s="18"/>
    </row>
    <row r="82" spans="1:9" ht="10.5" x14ac:dyDescent="0.25">
      <c r="F82" s="19" t="s">
        <v>924</v>
      </c>
    </row>
    <row r="83" spans="1:9" ht="10.5" x14ac:dyDescent="0.25">
      <c r="A83" s="18" t="s">
        <v>66</v>
      </c>
    </row>
    <row r="85" spans="1:9" ht="10.5" x14ac:dyDescent="0.25">
      <c r="A85" s="18" t="s">
        <v>67</v>
      </c>
    </row>
    <row r="86" spans="1:9" ht="10.5" x14ac:dyDescent="0.25">
      <c r="A86" s="18" t="s">
        <v>68</v>
      </c>
    </row>
    <row r="87" spans="1:9" ht="10.5" x14ac:dyDescent="0.25">
      <c r="A87" s="18" t="s">
        <v>69</v>
      </c>
      <c r="B87" s="18"/>
      <c r="C87" s="38" t="s">
        <v>70</v>
      </c>
      <c r="D87" s="43" t="s">
        <v>71</v>
      </c>
    </row>
    <row r="88" spans="1:9" x14ac:dyDescent="0.2">
      <c r="A88" s="9" t="s">
        <v>98</v>
      </c>
      <c r="C88" s="39">
        <v>131.0299</v>
      </c>
      <c r="D88" s="39">
        <v>145.5668</v>
      </c>
    </row>
    <row r="89" spans="1:9" x14ac:dyDescent="0.2">
      <c r="A89" s="9" t="s">
        <v>331</v>
      </c>
      <c r="C89" s="39">
        <v>16.163499999999999</v>
      </c>
      <c r="D89" s="39">
        <v>16.703299999999999</v>
      </c>
    </row>
    <row r="90" spans="1:9" x14ac:dyDescent="0.2">
      <c r="A90" s="9" t="s">
        <v>101</v>
      </c>
      <c r="C90" s="39">
        <v>138.13399999999999</v>
      </c>
      <c r="D90" s="39">
        <v>154.0438</v>
      </c>
    </row>
    <row r="91" spans="1:9" x14ac:dyDescent="0.2">
      <c r="A91" s="9" t="s">
        <v>332</v>
      </c>
      <c r="C91" s="39">
        <v>17.267499999999998</v>
      </c>
      <c r="D91" s="39">
        <v>17.999199999999998</v>
      </c>
    </row>
    <row r="93" spans="1:9" ht="10.5" x14ac:dyDescent="0.25">
      <c r="A93" s="18" t="s">
        <v>90</v>
      </c>
    </row>
    <row r="94" spans="1:9" ht="10.5" x14ac:dyDescent="0.25">
      <c r="A94" s="68" t="s">
        <v>91</v>
      </c>
      <c r="B94" s="69"/>
      <c r="C94" s="40" t="s">
        <v>92</v>
      </c>
    </row>
    <row r="95" spans="1:9" x14ac:dyDescent="0.2">
      <c r="A95" s="64" t="s">
        <v>331</v>
      </c>
      <c r="B95" s="65"/>
      <c r="C95" s="41">
        <v>1.25</v>
      </c>
    </row>
    <row r="96" spans="1:9" x14ac:dyDescent="0.2">
      <c r="A96" s="64" t="s">
        <v>332</v>
      </c>
      <c r="B96" s="65"/>
      <c r="C96" s="41">
        <v>1.25</v>
      </c>
    </row>
    <row r="97" spans="1:5" x14ac:dyDescent="0.2">
      <c r="A97" s="9" t="s">
        <v>93</v>
      </c>
    </row>
    <row r="99" spans="1:5" ht="10.5" x14ac:dyDescent="0.25">
      <c r="A99" s="18" t="s">
        <v>94</v>
      </c>
      <c r="D99" s="42">
        <v>3.5788830398087201</v>
      </c>
      <c r="E99" s="13" t="s">
        <v>95</v>
      </c>
    </row>
    <row r="101" spans="1:5" ht="10.5" x14ac:dyDescent="0.25">
      <c r="A101" s="18" t="s">
        <v>1506</v>
      </c>
      <c r="D101" s="43" t="s">
        <v>96</v>
      </c>
    </row>
    <row r="103" spans="1:5" ht="10.5" x14ac:dyDescent="0.25">
      <c r="A103" s="18" t="s">
        <v>1508</v>
      </c>
    </row>
    <row r="104" spans="1:5" x14ac:dyDescent="0.2">
      <c r="A104" s="47" t="s">
        <v>1509</v>
      </c>
    </row>
  </sheetData>
  <mergeCells count="4">
    <mergeCell ref="A1:G1"/>
    <mergeCell ref="A94:B94"/>
    <mergeCell ref="A95:B95"/>
    <mergeCell ref="A96:B96"/>
  </mergeCells>
  <conditionalFormatting sqref="F2:F3 F5:F81 F83:F65536">
    <cfRule type="cellIs" dxfId="31" priority="2" stopIfTrue="1" operator="between">
      <formula>0.009</formula>
      <formula>-0.009</formula>
    </cfRule>
  </conditionalFormatting>
  <conditionalFormatting sqref="F82">
    <cfRule type="cellIs" dxfId="30" priority="1" stopIfTrue="1" operator="between">
      <formula>0.009</formula>
      <formula>-0.009</formula>
    </cfRule>
  </conditionalFormatting>
  <hyperlinks>
    <hyperlink ref="A104" r:id="rId1" xr:uid="{F4A4B027-AC1C-44F0-9135-4A9C8F6E9DAF}"/>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98"/>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5.179687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66" t="s">
        <v>925</v>
      </c>
      <c r="B1" s="67"/>
      <c r="C1" s="67"/>
      <c r="D1" s="67"/>
      <c r="E1" s="67"/>
      <c r="F1" s="67"/>
      <c r="G1" s="67"/>
    </row>
    <row r="2" spans="1:7" s="1" customFormat="1" ht="11.5" x14ac:dyDescent="0.25">
      <c r="A2" s="44" t="s">
        <v>345</v>
      </c>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835</v>
      </c>
      <c r="D4" s="16" t="s">
        <v>5</v>
      </c>
      <c r="E4" s="15" t="s">
        <v>6</v>
      </c>
      <c r="F4" s="15" t="s">
        <v>7</v>
      </c>
      <c r="G4" s="15" t="s">
        <v>8</v>
      </c>
    </row>
    <row r="5" spans="1:7" ht="10.5" x14ac:dyDescent="0.25">
      <c r="A5" s="20" t="s">
        <v>836</v>
      </c>
      <c r="B5" s="21"/>
      <c r="C5" s="21"/>
      <c r="D5" s="22"/>
      <c r="E5" s="23"/>
      <c r="F5" s="24"/>
      <c r="G5" s="23"/>
    </row>
    <row r="6" spans="1:7" ht="10.5" x14ac:dyDescent="0.25">
      <c r="A6" s="25" t="s">
        <v>10</v>
      </c>
      <c r="B6" s="26"/>
      <c r="C6" s="26"/>
      <c r="D6" s="27"/>
      <c r="E6" s="28"/>
      <c r="F6" s="29"/>
      <c r="G6" s="28"/>
    </row>
    <row r="7" spans="1:7" x14ac:dyDescent="0.2">
      <c r="A7" s="26" t="s">
        <v>840</v>
      </c>
      <c r="B7" s="26" t="s">
        <v>841</v>
      </c>
      <c r="C7" s="26" t="s">
        <v>842</v>
      </c>
      <c r="D7" s="30">
        <v>38838</v>
      </c>
      <c r="E7" s="28">
        <v>487.72760399999999</v>
      </c>
      <c r="F7" s="29">
        <v>2.5225434792423198</v>
      </c>
      <c r="G7" s="28"/>
    </row>
    <row r="8" spans="1:7" x14ac:dyDescent="0.2">
      <c r="A8" s="26" t="s">
        <v>843</v>
      </c>
      <c r="B8" s="26" t="s">
        <v>844</v>
      </c>
      <c r="C8" s="26" t="s">
        <v>839</v>
      </c>
      <c r="D8" s="30">
        <v>75488</v>
      </c>
      <c r="E8" s="28">
        <v>468.365296</v>
      </c>
      <c r="F8" s="29">
        <v>2.42240097472154</v>
      </c>
      <c r="G8" s="28"/>
    </row>
    <row r="9" spans="1:7" x14ac:dyDescent="0.2">
      <c r="A9" s="26" t="s">
        <v>837</v>
      </c>
      <c r="B9" s="26" t="s">
        <v>838</v>
      </c>
      <c r="C9" s="26" t="s">
        <v>839</v>
      </c>
      <c r="D9" s="30">
        <v>19986</v>
      </c>
      <c r="E9" s="28">
        <v>287.05891800000001</v>
      </c>
      <c r="F9" s="29">
        <v>1.4846783241722299</v>
      </c>
      <c r="G9" s="28"/>
    </row>
    <row r="10" spans="1:7" x14ac:dyDescent="0.2">
      <c r="A10" s="26" t="s">
        <v>845</v>
      </c>
      <c r="B10" s="26" t="s">
        <v>846</v>
      </c>
      <c r="C10" s="26" t="s">
        <v>839</v>
      </c>
      <c r="D10" s="30">
        <v>48374</v>
      </c>
      <c r="E10" s="28">
        <v>258.825087</v>
      </c>
      <c r="F10" s="29">
        <v>1.33865200600001</v>
      </c>
      <c r="G10" s="28"/>
    </row>
    <row r="11" spans="1:7" x14ac:dyDescent="0.2">
      <c r="A11" s="26" t="s">
        <v>867</v>
      </c>
      <c r="B11" s="26" t="s">
        <v>868</v>
      </c>
      <c r="C11" s="26" t="s">
        <v>863</v>
      </c>
      <c r="D11" s="30">
        <v>105586</v>
      </c>
      <c r="E11" s="28">
        <v>233.978576</v>
      </c>
      <c r="F11" s="29">
        <v>1.21014502015187</v>
      </c>
      <c r="G11" s="28"/>
    </row>
    <row r="12" spans="1:7" x14ac:dyDescent="0.2">
      <c r="A12" s="26" t="s">
        <v>926</v>
      </c>
      <c r="B12" s="26" t="s">
        <v>927</v>
      </c>
      <c r="C12" s="26" t="s">
        <v>874</v>
      </c>
      <c r="D12" s="30">
        <v>4300</v>
      </c>
      <c r="E12" s="28">
        <v>223.8193</v>
      </c>
      <c r="F12" s="29">
        <v>1.1576009049173701</v>
      </c>
      <c r="G12" s="28"/>
    </row>
    <row r="13" spans="1:7" x14ac:dyDescent="0.2">
      <c r="A13" s="26" t="s">
        <v>881</v>
      </c>
      <c r="B13" s="26" t="s">
        <v>882</v>
      </c>
      <c r="C13" s="26" t="s">
        <v>883</v>
      </c>
      <c r="D13" s="30">
        <v>113926</v>
      </c>
      <c r="E13" s="28">
        <v>216.288511</v>
      </c>
      <c r="F13" s="29">
        <v>1.1186514123528699</v>
      </c>
      <c r="G13" s="28"/>
    </row>
    <row r="14" spans="1:7" x14ac:dyDescent="0.2">
      <c r="A14" s="26" t="s">
        <v>897</v>
      </c>
      <c r="B14" s="26" t="s">
        <v>898</v>
      </c>
      <c r="C14" s="26" t="s">
        <v>866</v>
      </c>
      <c r="D14" s="30">
        <v>33697</v>
      </c>
      <c r="E14" s="28">
        <v>204.79351750000001</v>
      </c>
      <c r="F14" s="29">
        <v>1.0591989215372</v>
      </c>
      <c r="G14" s="28"/>
    </row>
    <row r="15" spans="1:7" x14ac:dyDescent="0.2">
      <c r="A15" s="26" t="s">
        <v>855</v>
      </c>
      <c r="B15" s="26" t="s">
        <v>856</v>
      </c>
      <c r="C15" s="26" t="s">
        <v>857</v>
      </c>
      <c r="D15" s="30">
        <v>24500</v>
      </c>
      <c r="E15" s="28">
        <v>202.28424999999999</v>
      </c>
      <c r="F15" s="29">
        <v>1.0462209061083301</v>
      </c>
      <c r="G15" s="28"/>
    </row>
    <row r="16" spans="1:7" x14ac:dyDescent="0.2">
      <c r="A16" s="26" t="s">
        <v>847</v>
      </c>
      <c r="B16" s="26" t="s">
        <v>848</v>
      </c>
      <c r="C16" s="26" t="s">
        <v>849</v>
      </c>
      <c r="D16" s="30">
        <v>38903</v>
      </c>
      <c r="E16" s="28">
        <v>198.288591</v>
      </c>
      <c r="F16" s="29">
        <v>1.02555522413121</v>
      </c>
      <c r="G16" s="28"/>
    </row>
    <row r="17" spans="1:7" x14ac:dyDescent="0.2">
      <c r="A17" s="26" t="s">
        <v>872</v>
      </c>
      <c r="B17" s="26" t="s">
        <v>873</v>
      </c>
      <c r="C17" s="26" t="s">
        <v>874</v>
      </c>
      <c r="D17" s="30">
        <v>35000</v>
      </c>
      <c r="E17" s="28">
        <v>166.86250000000001</v>
      </c>
      <c r="F17" s="29">
        <v>0.86301843047840299</v>
      </c>
      <c r="G17" s="28"/>
    </row>
    <row r="18" spans="1:7" x14ac:dyDescent="0.2">
      <c r="A18" s="26" t="s">
        <v>864</v>
      </c>
      <c r="B18" s="26" t="s">
        <v>865</v>
      </c>
      <c r="C18" s="26" t="s">
        <v>866</v>
      </c>
      <c r="D18" s="30">
        <v>9526</v>
      </c>
      <c r="E18" s="28">
        <v>149.105715</v>
      </c>
      <c r="F18" s="29">
        <v>0.77117974460804595</v>
      </c>
      <c r="G18" s="28"/>
    </row>
    <row r="19" spans="1:7" x14ac:dyDescent="0.2">
      <c r="A19" s="26" t="s">
        <v>869</v>
      </c>
      <c r="B19" s="26" t="s">
        <v>870</v>
      </c>
      <c r="C19" s="26" t="s">
        <v>871</v>
      </c>
      <c r="D19" s="30">
        <v>17341</v>
      </c>
      <c r="E19" s="28">
        <v>124.95924599999999</v>
      </c>
      <c r="F19" s="29">
        <v>0.64629339939581798</v>
      </c>
      <c r="G19" s="28"/>
    </row>
    <row r="20" spans="1:7" x14ac:dyDescent="0.2">
      <c r="A20" s="26" t="s">
        <v>905</v>
      </c>
      <c r="B20" s="26" t="s">
        <v>906</v>
      </c>
      <c r="C20" s="26" t="s">
        <v>871</v>
      </c>
      <c r="D20" s="30">
        <v>25761</v>
      </c>
      <c r="E20" s="28">
        <v>124.94085</v>
      </c>
      <c r="F20" s="29">
        <v>0.64619825466859004</v>
      </c>
      <c r="G20" s="28"/>
    </row>
    <row r="21" spans="1:7" x14ac:dyDescent="0.2">
      <c r="A21" s="26" t="s">
        <v>852</v>
      </c>
      <c r="B21" s="26" t="s">
        <v>853</v>
      </c>
      <c r="C21" s="26" t="s">
        <v>854</v>
      </c>
      <c r="D21" s="30">
        <v>7500</v>
      </c>
      <c r="E21" s="28">
        <v>123.4725</v>
      </c>
      <c r="F21" s="29">
        <v>0.63860389936171802</v>
      </c>
      <c r="G21" s="28"/>
    </row>
    <row r="22" spans="1:7" x14ac:dyDescent="0.2">
      <c r="A22" s="26" t="s">
        <v>893</v>
      </c>
      <c r="B22" s="26" t="s">
        <v>894</v>
      </c>
      <c r="C22" s="26" t="s">
        <v>866</v>
      </c>
      <c r="D22" s="30">
        <v>10000</v>
      </c>
      <c r="E22" s="28">
        <v>118.63500000000001</v>
      </c>
      <c r="F22" s="29">
        <v>0.61358418757842803</v>
      </c>
      <c r="G22" s="28"/>
    </row>
    <row r="23" spans="1:7" x14ac:dyDescent="0.2">
      <c r="A23" s="26" t="s">
        <v>890</v>
      </c>
      <c r="B23" s="26" t="s">
        <v>891</v>
      </c>
      <c r="C23" s="26" t="s">
        <v>892</v>
      </c>
      <c r="D23" s="30">
        <v>20015</v>
      </c>
      <c r="E23" s="28">
        <v>114.9961825</v>
      </c>
      <c r="F23" s="29">
        <v>0.59476410177336403</v>
      </c>
      <c r="G23" s="28"/>
    </row>
    <row r="24" spans="1:7" x14ac:dyDescent="0.2">
      <c r="A24" s="26" t="s">
        <v>899</v>
      </c>
      <c r="B24" s="26" t="s">
        <v>900</v>
      </c>
      <c r="C24" s="26" t="s">
        <v>877</v>
      </c>
      <c r="D24" s="30">
        <v>30000</v>
      </c>
      <c r="E24" s="28">
        <v>114.33</v>
      </c>
      <c r="F24" s="29">
        <v>0.59131858360384004</v>
      </c>
      <c r="G24" s="28"/>
    </row>
    <row r="25" spans="1:7" x14ac:dyDescent="0.2">
      <c r="A25" s="26" t="s">
        <v>850</v>
      </c>
      <c r="B25" s="26" t="s">
        <v>851</v>
      </c>
      <c r="C25" s="26" t="s">
        <v>839</v>
      </c>
      <c r="D25" s="30">
        <v>5409</v>
      </c>
      <c r="E25" s="28">
        <v>107.942004</v>
      </c>
      <c r="F25" s="29">
        <v>0.55827965465442198</v>
      </c>
      <c r="G25" s="28"/>
    </row>
    <row r="26" spans="1:7" x14ac:dyDescent="0.2">
      <c r="A26" s="26" t="s">
        <v>878</v>
      </c>
      <c r="B26" s="26" t="s">
        <v>879</v>
      </c>
      <c r="C26" s="26" t="s">
        <v>880</v>
      </c>
      <c r="D26" s="30">
        <v>41457</v>
      </c>
      <c r="E26" s="28">
        <v>99.724813499999996</v>
      </c>
      <c r="F26" s="29">
        <v>0.51578007057620201</v>
      </c>
      <c r="G26" s="28"/>
    </row>
    <row r="27" spans="1:7" x14ac:dyDescent="0.2">
      <c r="A27" s="26" t="s">
        <v>884</v>
      </c>
      <c r="B27" s="26" t="s">
        <v>885</v>
      </c>
      <c r="C27" s="26" t="s">
        <v>839</v>
      </c>
      <c r="D27" s="30">
        <v>29755</v>
      </c>
      <c r="E27" s="28">
        <v>81.811372500000004</v>
      </c>
      <c r="F27" s="29">
        <v>0.42313115463470802</v>
      </c>
      <c r="G27" s="28"/>
    </row>
    <row r="28" spans="1:7" x14ac:dyDescent="0.2">
      <c r="A28" s="26" t="s">
        <v>903</v>
      </c>
      <c r="B28" s="26" t="s">
        <v>904</v>
      </c>
      <c r="C28" s="26" t="s">
        <v>871</v>
      </c>
      <c r="D28" s="30">
        <v>40000</v>
      </c>
      <c r="E28" s="28">
        <v>73.540000000000006</v>
      </c>
      <c r="F28" s="29">
        <v>0.38035133944044802</v>
      </c>
      <c r="G28" s="28"/>
    </row>
    <row r="29" spans="1:7" x14ac:dyDescent="0.2">
      <c r="A29" s="26" t="s">
        <v>907</v>
      </c>
      <c r="B29" s="26" t="s">
        <v>908</v>
      </c>
      <c r="C29" s="26" t="s">
        <v>909</v>
      </c>
      <c r="D29" s="30">
        <v>35367</v>
      </c>
      <c r="E29" s="28">
        <v>58.567751999999999</v>
      </c>
      <c r="F29" s="29">
        <v>0.30291437205896099</v>
      </c>
      <c r="G29" s="28"/>
    </row>
    <row r="30" spans="1:7" x14ac:dyDescent="0.2">
      <c r="A30" s="26" t="s">
        <v>910</v>
      </c>
      <c r="B30" s="26" t="s">
        <v>911</v>
      </c>
      <c r="C30" s="26" t="s">
        <v>912</v>
      </c>
      <c r="D30" s="30">
        <v>97694</v>
      </c>
      <c r="E30" s="28">
        <v>41.666491000000001</v>
      </c>
      <c r="F30" s="29">
        <v>0.215500484928384</v>
      </c>
      <c r="G30" s="28"/>
    </row>
    <row r="31" spans="1:7" x14ac:dyDescent="0.2">
      <c r="A31" s="26" t="s">
        <v>901</v>
      </c>
      <c r="B31" s="26" t="s">
        <v>902</v>
      </c>
      <c r="C31" s="26" t="s">
        <v>839</v>
      </c>
      <c r="D31" s="30">
        <v>77000</v>
      </c>
      <c r="E31" s="28">
        <v>35.227499999999999</v>
      </c>
      <c r="F31" s="29">
        <v>0.182197808133511</v>
      </c>
      <c r="G31" s="28"/>
    </row>
    <row r="32" spans="1:7" x14ac:dyDescent="0.2">
      <c r="A32" s="26" t="s">
        <v>928</v>
      </c>
      <c r="B32" s="26" t="s">
        <v>929</v>
      </c>
      <c r="C32" s="26" t="s">
        <v>930</v>
      </c>
      <c r="D32" s="30">
        <v>3254</v>
      </c>
      <c r="E32" s="28">
        <v>30.192239000000001</v>
      </c>
      <c r="F32" s="29">
        <v>0.15615526984438599</v>
      </c>
      <c r="G32" s="28"/>
    </row>
    <row r="33" spans="1:9" x14ac:dyDescent="0.2">
      <c r="A33" s="26" t="s">
        <v>913</v>
      </c>
      <c r="B33" s="26" t="s">
        <v>914</v>
      </c>
      <c r="C33" s="26" t="s">
        <v>909</v>
      </c>
      <c r="D33" s="30">
        <v>4133</v>
      </c>
      <c r="E33" s="28">
        <v>4.2797215</v>
      </c>
      <c r="F33" s="29">
        <v>2.21348627271836E-2</v>
      </c>
      <c r="G33" s="28"/>
    </row>
    <row r="34" spans="1:9" x14ac:dyDescent="0.2">
      <c r="A34" s="26" t="s">
        <v>915</v>
      </c>
      <c r="B34" s="26" t="s">
        <v>916</v>
      </c>
      <c r="C34" s="26" t="s">
        <v>917</v>
      </c>
      <c r="D34" s="30">
        <v>581</v>
      </c>
      <c r="E34" s="28">
        <v>0.78696449999999996</v>
      </c>
      <c r="F34" s="29">
        <v>4.0702067129056597E-3</v>
      </c>
      <c r="G34" s="28"/>
    </row>
    <row r="35" spans="1:9" ht="10.5" x14ac:dyDescent="0.25">
      <c r="A35" s="25" t="s">
        <v>17</v>
      </c>
      <c r="B35" s="25"/>
      <c r="C35" s="25"/>
      <c r="D35" s="31"/>
      <c r="E35" s="32">
        <f>SUM(E7:E34)</f>
        <v>4352.4705020000001</v>
      </c>
      <c r="F35" s="33">
        <f>SUM(F7:F34)</f>
        <v>22.511122998514278</v>
      </c>
      <c r="G35" s="32"/>
      <c r="H35" s="18"/>
      <c r="I35" s="18"/>
    </row>
    <row r="36" spans="1:9" x14ac:dyDescent="0.2">
      <c r="A36" s="26"/>
      <c r="B36" s="26"/>
      <c r="C36" s="26"/>
      <c r="D36" s="27"/>
      <c r="E36" s="28"/>
      <c r="F36" s="29"/>
      <c r="G36" s="28"/>
    </row>
    <row r="37" spans="1:9" ht="10.5" x14ac:dyDescent="0.25">
      <c r="A37" s="25" t="s">
        <v>9</v>
      </c>
      <c r="B37" s="26"/>
      <c r="C37" s="26"/>
      <c r="D37" s="27"/>
      <c r="E37" s="28"/>
      <c r="F37" s="29"/>
      <c r="G37" s="28"/>
    </row>
    <row r="38" spans="1:9" ht="10.5" x14ac:dyDescent="0.25">
      <c r="A38" s="25" t="s">
        <v>10</v>
      </c>
      <c r="B38" s="26"/>
      <c r="C38" s="26"/>
      <c r="D38" s="27"/>
      <c r="E38" s="28"/>
      <c r="F38" s="29"/>
      <c r="G38" s="28"/>
    </row>
    <row r="39" spans="1:9" x14ac:dyDescent="0.2">
      <c r="A39" s="26" t="s">
        <v>918</v>
      </c>
      <c r="B39" s="26" t="s">
        <v>919</v>
      </c>
      <c r="C39" s="26" t="s">
        <v>16</v>
      </c>
      <c r="D39" s="30">
        <v>200</v>
      </c>
      <c r="E39" s="28">
        <v>2093.3180000000002</v>
      </c>
      <c r="F39" s="29">
        <v>10.8267107040359</v>
      </c>
      <c r="G39" s="28">
        <v>4.76</v>
      </c>
    </row>
    <row r="40" spans="1:9" x14ac:dyDescent="0.2">
      <c r="A40" s="26" t="s">
        <v>251</v>
      </c>
      <c r="B40" s="26" t="s">
        <v>252</v>
      </c>
      <c r="C40" s="26" t="s">
        <v>16</v>
      </c>
      <c r="D40" s="30">
        <v>65</v>
      </c>
      <c r="E40" s="28">
        <v>731.72384999999997</v>
      </c>
      <c r="F40" s="29">
        <v>3.7845002236608898</v>
      </c>
      <c r="G40" s="28">
        <v>6.8223000000000003</v>
      </c>
    </row>
    <row r="41" spans="1:9" x14ac:dyDescent="0.2">
      <c r="A41" s="26" t="s">
        <v>357</v>
      </c>
      <c r="B41" s="26" t="s">
        <v>358</v>
      </c>
      <c r="C41" s="26" t="s">
        <v>351</v>
      </c>
      <c r="D41" s="30">
        <v>60</v>
      </c>
      <c r="E41" s="28">
        <v>588.81479999999999</v>
      </c>
      <c r="F41" s="29">
        <v>3.04536983767147</v>
      </c>
      <c r="G41" s="28">
        <v>11.0334</v>
      </c>
    </row>
    <row r="42" spans="1:9" x14ac:dyDescent="0.2">
      <c r="A42" s="26" t="s">
        <v>241</v>
      </c>
      <c r="B42" s="26" t="s">
        <v>242</v>
      </c>
      <c r="C42" s="26" t="s">
        <v>16</v>
      </c>
      <c r="D42" s="30">
        <v>50</v>
      </c>
      <c r="E42" s="28">
        <v>555.93949999999995</v>
      </c>
      <c r="F42" s="29">
        <v>2.8753376866039302</v>
      </c>
      <c r="G42" s="28">
        <v>5.8296999999999999</v>
      </c>
    </row>
    <row r="43" spans="1:9" x14ac:dyDescent="0.2">
      <c r="A43" s="26" t="s">
        <v>316</v>
      </c>
      <c r="B43" s="26" t="s">
        <v>317</v>
      </c>
      <c r="C43" s="26" t="s">
        <v>16</v>
      </c>
      <c r="D43" s="30">
        <v>35</v>
      </c>
      <c r="E43" s="28">
        <v>391.20830000000001</v>
      </c>
      <c r="F43" s="29">
        <v>2.0233424110038198</v>
      </c>
      <c r="G43" s="28">
        <v>6.8902999999999999</v>
      </c>
    </row>
    <row r="44" spans="1:9" x14ac:dyDescent="0.2">
      <c r="A44" s="26" t="s">
        <v>249</v>
      </c>
      <c r="B44" s="26" t="s">
        <v>250</v>
      </c>
      <c r="C44" s="26" t="s">
        <v>16</v>
      </c>
      <c r="D44" s="30">
        <v>30</v>
      </c>
      <c r="E44" s="28">
        <v>336.0231</v>
      </c>
      <c r="F44" s="29">
        <v>1.7379227110134801</v>
      </c>
      <c r="G44" s="28">
        <v>6.8902999999999999</v>
      </c>
    </row>
    <row r="45" spans="1:9" ht="10.5" x14ac:dyDescent="0.25">
      <c r="A45" s="25" t="s">
        <v>17</v>
      </c>
      <c r="B45" s="25"/>
      <c r="C45" s="25"/>
      <c r="D45" s="31"/>
      <c r="E45" s="32">
        <f>SUM(E38:E44)</f>
        <v>4697.0275500000007</v>
      </c>
      <c r="F45" s="33">
        <f>SUM(F38:F44)</f>
        <v>24.293183573989491</v>
      </c>
      <c r="G45" s="32"/>
      <c r="H45" s="18"/>
      <c r="I45" s="18"/>
    </row>
    <row r="46" spans="1:9" x14ac:dyDescent="0.2">
      <c r="A46" s="26"/>
      <c r="B46" s="26"/>
      <c r="C46" s="26"/>
      <c r="D46" s="27"/>
      <c r="E46" s="28"/>
      <c r="F46" s="29"/>
      <c r="G46" s="28"/>
    </row>
    <row r="47" spans="1:9" ht="10.5" x14ac:dyDescent="0.25">
      <c r="A47" s="25" t="s">
        <v>18</v>
      </c>
      <c r="B47" s="26"/>
      <c r="C47" s="26"/>
      <c r="D47" s="27"/>
      <c r="E47" s="28"/>
      <c r="F47" s="29"/>
      <c r="G47" s="28"/>
    </row>
    <row r="48" spans="1:9" ht="10.5" x14ac:dyDescent="0.25">
      <c r="A48" s="25" t="s">
        <v>105</v>
      </c>
      <c r="B48" s="26"/>
      <c r="C48" s="26"/>
      <c r="D48" s="27"/>
      <c r="E48" s="28"/>
      <c r="F48" s="29"/>
      <c r="G48" s="28"/>
    </row>
    <row r="49" spans="1:9" x14ac:dyDescent="0.2">
      <c r="A49" s="26" t="s">
        <v>111</v>
      </c>
      <c r="B49" s="26" t="s">
        <v>112</v>
      </c>
      <c r="C49" s="26" t="s">
        <v>25</v>
      </c>
      <c r="D49" s="30">
        <v>2000</v>
      </c>
      <c r="E49" s="28">
        <v>1988.9739999999999</v>
      </c>
      <c r="F49" s="29">
        <v>10.2870400463996</v>
      </c>
      <c r="G49" s="28">
        <v>3.02</v>
      </c>
    </row>
    <row r="50" spans="1:9" ht="10.5" x14ac:dyDescent="0.25">
      <c r="A50" s="25" t="s">
        <v>17</v>
      </c>
      <c r="B50" s="25"/>
      <c r="C50" s="25"/>
      <c r="D50" s="31"/>
      <c r="E50" s="32">
        <f>SUM(E48:E49)</f>
        <v>1988.9739999999999</v>
      </c>
      <c r="F50" s="33">
        <f>SUM(F48:F49)</f>
        <v>10.2870400463996</v>
      </c>
      <c r="G50" s="32"/>
      <c r="H50" s="18"/>
      <c r="I50" s="18"/>
    </row>
    <row r="51" spans="1:9" x14ac:dyDescent="0.2">
      <c r="A51" s="26"/>
      <c r="B51" s="26"/>
      <c r="C51" s="26"/>
      <c r="D51" s="27"/>
      <c r="E51" s="28"/>
      <c r="F51" s="29"/>
      <c r="G51" s="28"/>
    </row>
    <row r="52" spans="1:9" ht="10.5" x14ac:dyDescent="0.25">
      <c r="A52" s="25" t="s">
        <v>41</v>
      </c>
      <c r="B52" s="26"/>
      <c r="C52" s="26"/>
      <c r="D52" s="27"/>
      <c r="E52" s="28"/>
      <c r="F52" s="29"/>
      <c r="G52" s="28"/>
    </row>
    <row r="53" spans="1:9" x14ac:dyDescent="0.2">
      <c r="A53" s="26" t="s">
        <v>42</v>
      </c>
      <c r="B53" s="26" t="s">
        <v>43</v>
      </c>
      <c r="C53" s="26" t="s">
        <v>791</v>
      </c>
      <c r="D53" s="30">
        <v>2000000</v>
      </c>
      <c r="E53" s="28">
        <v>1997.9</v>
      </c>
      <c r="F53" s="29">
        <v>10.333205616916899</v>
      </c>
      <c r="G53" s="28">
        <v>2.9512</v>
      </c>
    </row>
    <row r="54" spans="1:9" ht="10.5" x14ac:dyDescent="0.25">
      <c r="A54" s="25" t="s">
        <v>17</v>
      </c>
      <c r="B54" s="25"/>
      <c r="C54" s="25"/>
      <c r="D54" s="31"/>
      <c r="E54" s="32">
        <f>SUM(E52:E53)</f>
        <v>1997.9</v>
      </c>
      <c r="F54" s="33">
        <f>SUM(F52:F53)</f>
        <v>10.333205616916899</v>
      </c>
      <c r="G54" s="32"/>
      <c r="H54" s="18"/>
      <c r="I54" s="18"/>
    </row>
    <row r="55" spans="1:9" x14ac:dyDescent="0.2">
      <c r="A55" s="26"/>
      <c r="B55" s="26"/>
      <c r="C55" s="26"/>
      <c r="D55" s="27"/>
      <c r="E55" s="28"/>
      <c r="F55" s="29"/>
      <c r="G55" s="28"/>
    </row>
    <row r="56" spans="1:9" ht="10.5" x14ac:dyDescent="0.25">
      <c r="A56" s="25" t="s">
        <v>49</v>
      </c>
      <c r="B56" s="26"/>
      <c r="C56" s="26"/>
      <c r="D56" s="27"/>
      <c r="E56" s="28"/>
      <c r="F56" s="29"/>
      <c r="G56" s="28"/>
    </row>
    <row r="57" spans="1:9" x14ac:dyDescent="0.2">
      <c r="A57" s="26" t="s">
        <v>173</v>
      </c>
      <c r="B57" s="26" t="s">
        <v>174</v>
      </c>
      <c r="C57" s="26" t="s">
        <v>44</v>
      </c>
      <c r="D57" s="30">
        <v>2180000</v>
      </c>
      <c r="E57" s="28">
        <v>2160.5609399999998</v>
      </c>
      <c r="F57" s="29">
        <v>11.1744934385602</v>
      </c>
      <c r="G57" s="28">
        <v>5.8921999999999999</v>
      </c>
    </row>
    <row r="58" spans="1:9" x14ac:dyDescent="0.2">
      <c r="A58" s="26" t="s">
        <v>329</v>
      </c>
      <c r="B58" s="26" t="s">
        <v>330</v>
      </c>
      <c r="C58" s="26" t="s">
        <v>44</v>
      </c>
      <c r="D58" s="30">
        <v>925000</v>
      </c>
      <c r="E58" s="28">
        <v>1001.145075</v>
      </c>
      <c r="F58" s="29">
        <v>5.1779558097696201</v>
      </c>
      <c r="G58" s="28">
        <v>5.7289000000000003</v>
      </c>
    </row>
    <row r="59" spans="1:9" x14ac:dyDescent="0.2">
      <c r="A59" s="26" t="s">
        <v>922</v>
      </c>
      <c r="B59" s="26" t="s">
        <v>923</v>
      </c>
      <c r="C59" s="26" t="s">
        <v>44</v>
      </c>
      <c r="D59" s="30">
        <v>800000</v>
      </c>
      <c r="E59" s="28">
        <v>839.34320000000002</v>
      </c>
      <c r="F59" s="29">
        <v>4.3411111010366099</v>
      </c>
      <c r="G59" s="28">
        <v>4.7618</v>
      </c>
    </row>
    <row r="60" spans="1:9" x14ac:dyDescent="0.2">
      <c r="A60" s="26" t="s">
        <v>334</v>
      </c>
      <c r="B60" s="26" t="s">
        <v>335</v>
      </c>
      <c r="C60" s="26" t="s">
        <v>44</v>
      </c>
      <c r="D60" s="30">
        <v>700000</v>
      </c>
      <c r="E60" s="28">
        <v>746.2595</v>
      </c>
      <c r="F60" s="29">
        <v>3.8596790915849799</v>
      </c>
      <c r="G60" s="28">
        <v>5.5431999999999997</v>
      </c>
    </row>
    <row r="61" spans="1:9" x14ac:dyDescent="0.2">
      <c r="A61" s="26" t="s">
        <v>272</v>
      </c>
      <c r="B61" s="26" t="s">
        <v>273</v>
      </c>
      <c r="C61" s="26" t="s">
        <v>44</v>
      </c>
      <c r="D61" s="30">
        <v>200000</v>
      </c>
      <c r="E61" s="28">
        <v>216.5718</v>
      </c>
      <c r="F61" s="29">
        <v>1.12011659253507</v>
      </c>
      <c r="G61" s="28">
        <v>4.4074</v>
      </c>
    </row>
    <row r="62" spans="1:9" x14ac:dyDescent="0.2">
      <c r="A62" s="26" t="s">
        <v>171</v>
      </c>
      <c r="B62" s="26" t="s">
        <v>172</v>
      </c>
      <c r="C62" s="26" t="s">
        <v>44</v>
      </c>
      <c r="D62" s="30">
        <v>100000</v>
      </c>
      <c r="E62" s="28">
        <v>100.6902</v>
      </c>
      <c r="F62" s="29">
        <v>0.52077308184017701</v>
      </c>
      <c r="G62" s="28">
        <v>5.0444000000000004</v>
      </c>
    </row>
    <row r="63" spans="1:9" ht="10.5" x14ac:dyDescent="0.25">
      <c r="A63" s="25" t="s">
        <v>17</v>
      </c>
      <c r="B63" s="25"/>
      <c r="C63" s="25"/>
      <c r="D63" s="31"/>
      <c r="E63" s="32">
        <f>SUM(E57:E62)</f>
        <v>5064.5707149999998</v>
      </c>
      <c r="F63" s="33">
        <f>SUM(F57:F62)</f>
        <v>26.194129115326653</v>
      </c>
      <c r="G63" s="32"/>
      <c r="H63" s="18"/>
      <c r="I63" s="18"/>
    </row>
    <row r="64" spans="1:9" x14ac:dyDescent="0.2">
      <c r="A64" s="26"/>
      <c r="B64" s="26"/>
      <c r="C64" s="26"/>
      <c r="D64" s="27"/>
      <c r="E64" s="28"/>
      <c r="F64" s="29"/>
      <c r="G64" s="28"/>
    </row>
    <row r="65" spans="1:9" ht="10.5" x14ac:dyDescent="0.25">
      <c r="A65" s="25" t="s">
        <v>62</v>
      </c>
      <c r="B65" s="25"/>
      <c r="C65" s="25"/>
      <c r="D65" s="31"/>
      <c r="E65" s="32">
        <f>E35+E45+E50+E54+E63</f>
        <v>18100.942767</v>
      </c>
      <c r="F65" s="33">
        <f>F35+F45+F50+F54+F63</f>
        <v>93.618681351146932</v>
      </c>
      <c r="G65" s="32"/>
      <c r="H65" s="18"/>
      <c r="I65" s="18"/>
    </row>
    <row r="66" spans="1:9" ht="10.5" x14ac:dyDescent="0.25">
      <c r="A66" s="25"/>
      <c r="B66" s="25"/>
      <c r="C66" s="25"/>
      <c r="D66" s="31"/>
      <c r="E66" s="32"/>
      <c r="F66" s="33"/>
      <c r="G66" s="32"/>
      <c r="H66" s="18"/>
      <c r="I66" s="18"/>
    </row>
    <row r="67" spans="1:9" ht="10.5" x14ac:dyDescent="0.25">
      <c r="A67" s="25" t="s">
        <v>63</v>
      </c>
      <c r="B67" s="25"/>
      <c r="C67" s="25"/>
      <c r="D67" s="31"/>
      <c r="E67" s="32">
        <f>E69-(E35+E45+E50+E54+E63)</f>
        <v>1233.8123329000009</v>
      </c>
      <c r="F67" s="33">
        <f>F69-(F35+F45+F50+F54+F63)</f>
        <v>6.3813186488530675</v>
      </c>
      <c r="G67" s="32"/>
      <c r="H67" s="18"/>
      <c r="I67" s="18"/>
    </row>
    <row r="68" spans="1:9" ht="10.5" x14ac:dyDescent="0.25">
      <c r="A68" s="25"/>
      <c r="B68" s="25"/>
      <c r="C68" s="25"/>
      <c r="D68" s="31"/>
      <c r="E68" s="32"/>
      <c r="F68" s="33"/>
      <c r="G68" s="32"/>
      <c r="H68" s="18"/>
      <c r="I68" s="18"/>
    </row>
    <row r="69" spans="1:9" ht="10.5" x14ac:dyDescent="0.25">
      <c r="A69" s="34" t="s">
        <v>64</v>
      </c>
      <c r="B69" s="34"/>
      <c r="C69" s="34"/>
      <c r="D69" s="35"/>
      <c r="E69" s="36">
        <v>19334.755099900001</v>
      </c>
      <c r="F69" s="37">
        <v>100</v>
      </c>
      <c r="G69" s="36"/>
      <c r="H69" s="18"/>
      <c r="I69" s="18"/>
    </row>
    <row r="70" spans="1:9" ht="10.5" x14ac:dyDescent="0.25">
      <c r="F70" s="19" t="s">
        <v>924</v>
      </c>
    </row>
    <row r="71" spans="1:9" ht="10.5" x14ac:dyDescent="0.25">
      <c r="A71" s="18" t="s">
        <v>66</v>
      </c>
    </row>
    <row r="73" spans="1:9" ht="10.5" x14ac:dyDescent="0.25">
      <c r="A73" s="18" t="s">
        <v>67</v>
      </c>
    </row>
    <row r="74" spans="1:9" ht="10.5" x14ac:dyDescent="0.25">
      <c r="A74" s="18" t="s">
        <v>68</v>
      </c>
    </row>
    <row r="75" spans="1:9" ht="10.5" x14ac:dyDescent="0.25">
      <c r="A75" s="18" t="s">
        <v>69</v>
      </c>
      <c r="B75" s="18"/>
      <c r="C75" s="38" t="s">
        <v>70</v>
      </c>
      <c r="D75" s="43" t="s">
        <v>71</v>
      </c>
    </row>
    <row r="76" spans="1:9" x14ac:dyDescent="0.2">
      <c r="A76" s="9" t="s">
        <v>98</v>
      </c>
      <c r="C76" s="39">
        <v>57.738900000000001</v>
      </c>
      <c r="D76" s="39">
        <v>62.896299999999997</v>
      </c>
    </row>
    <row r="77" spans="1:9" x14ac:dyDescent="0.2">
      <c r="A77" s="9" t="s">
        <v>274</v>
      </c>
      <c r="C77" s="39">
        <v>12.560700000000001</v>
      </c>
      <c r="D77" s="39">
        <v>13.158899999999999</v>
      </c>
    </row>
    <row r="78" spans="1:9" x14ac:dyDescent="0.2">
      <c r="A78" s="9" t="s">
        <v>275</v>
      </c>
      <c r="C78" s="39">
        <v>11.943099999999999</v>
      </c>
      <c r="D78" s="39">
        <v>12.4689</v>
      </c>
    </row>
    <row r="79" spans="1:9" x14ac:dyDescent="0.2">
      <c r="A79" s="9" t="s">
        <v>101</v>
      </c>
      <c r="C79" s="39">
        <v>61.071399999999997</v>
      </c>
      <c r="D79" s="39">
        <v>66.802099999999996</v>
      </c>
    </row>
    <row r="80" spans="1:9" x14ac:dyDescent="0.2">
      <c r="A80" s="9" t="s">
        <v>278</v>
      </c>
      <c r="C80" s="39">
        <v>13.4998</v>
      </c>
      <c r="D80" s="39">
        <v>14.235799999999999</v>
      </c>
    </row>
    <row r="81" spans="1:7" x14ac:dyDescent="0.2">
      <c r="A81" s="9" t="s">
        <v>279</v>
      </c>
      <c r="C81" s="39">
        <v>12.8491</v>
      </c>
      <c r="D81" s="39">
        <v>13.508100000000001</v>
      </c>
    </row>
    <row r="83" spans="1:7" ht="10.5" x14ac:dyDescent="0.25">
      <c r="A83" s="18" t="s">
        <v>90</v>
      </c>
    </row>
    <row r="84" spans="1:7" ht="10.5" x14ac:dyDescent="0.25">
      <c r="A84" s="68" t="s">
        <v>91</v>
      </c>
      <c r="B84" s="69"/>
      <c r="C84" s="40" t="s">
        <v>92</v>
      </c>
    </row>
    <row r="85" spans="1:7" x14ac:dyDescent="0.2">
      <c r="A85" s="64" t="s">
        <v>274</v>
      </c>
      <c r="B85" s="65"/>
      <c r="C85" s="41">
        <v>0.5</v>
      </c>
    </row>
    <row r="86" spans="1:7" x14ac:dyDescent="0.2">
      <c r="A86" s="64" t="s">
        <v>275</v>
      </c>
      <c r="B86" s="65"/>
      <c r="C86" s="41">
        <v>0.52</v>
      </c>
    </row>
    <row r="87" spans="1:7" x14ac:dyDescent="0.2">
      <c r="A87" s="64" t="s">
        <v>278</v>
      </c>
      <c r="B87" s="65"/>
      <c r="C87" s="41">
        <v>0.5</v>
      </c>
    </row>
    <row r="88" spans="1:7" x14ac:dyDescent="0.2">
      <c r="A88" s="64" t="s">
        <v>279</v>
      </c>
      <c r="B88" s="65"/>
      <c r="C88" s="41">
        <v>0.52</v>
      </c>
    </row>
    <row r="89" spans="1:7" x14ac:dyDescent="0.2">
      <c r="A89" s="9" t="s">
        <v>93</v>
      </c>
    </row>
    <row r="91" spans="1:7" ht="10.5" x14ac:dyDescent="0.25">
      <c r="A91" s="18" t="s">
        <v>94</v>
      </c>
      <c r="D91" s="42">
        <v>3.8753898155108</v>
      </c>
      <c r="E91" s="13" t="s">
        <v>95</v>
      </c>
    </row>
    <row r="93" spans="1:7" ht="10.5" x14ac:dyDescent="0.25">
      <c r="A93" s="18" t="s">
        <v>1506</v>
      </c>
      <c r="D93" s="43" t="s">
        <v>96</v>
      </c>
    </row>
    <row r="95" spans="1:7" ht="25" customHeight="1" x14ac:dyDescent="0.2">
      <c r="A95" s="70" t="s">
        <v>931</v>
      </c>
      <c r="B95" s="70"/>
      <c r="C95" s="70"/>
      <c r="D95" s="70"/>
      <c r="E95" s="70"/>
      <c r="F95" s="70"/>
      <c r="G95" s="70"/>
    </row>
    <row r="97" spans="1:1" ht="10.5" x14ac:dyDescent="0.25">
      <c r="A97" s="18" t="s">
        <v>1511</v>
      </c>
    </row>
    <row r="98" spans="1:1" x14ac:dyDescent="0.2">
      <c r="A98" s="47" t="s">
        <v>1509</v>
      </c>
    </row>
  </sheetData>
  <mergeCells count="7">
    <mergeCell ref="A88:B88"/>
    <mergeCell ref="A95:G95"/>
    <mergeCell ref="A1:G1"/>
    <mergeCell ref="A84:B84"/>
    <mergeCell ref="A85:B85"/>
    <mergeCell ref="A86:B86"/>
    <mergeCell ref="A87:B87"/>
  </mergeCells>
  <conditionalFormatting sqref="F2:F3 F5:F69 F71:F94 F96:F65528">
    <cfRule type="cellIs" dxfId="29" priority="2" stopIfTrue="1" operator="between">
      <formula>0.009</formula>
      <formula>-0.009</formula>
    </cfRule>
  </conditionalFormatting>
  <conditionalFormatting sqref="F70">
    <cfRule type="cellIs" dxfId="28" priority="1" stopIfTrue="1" operator="between">
      <formula>0.009</formula>
      <formula>-0.009</formula>
    </cfRule>
  </conditionalFormatting>
  <hyperlinks>
    <hyperlink ref="A98" r:id="rId1" xr:uid="{BEE675F9-5B46-4C44-815A-29E8875D34A2}"/>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89"/>
  <sheetViews>
    <sheetView workbookViewId="0">
      <selection sqref="A1:H1"/>
    </sheetView>
  </sheetViews>
  <sheetFormatPr defaultColWidth="9.1796875" defaultRowHeight="10" x14ac:dyDescent="0.2"/>
  <cols>
    <col min="1" max="1" width="40.54296875" style="9" bestFit="1" customWidth="1"/>
    <col min="2" max="2" width="51" style="9" bestFit="1" customWidth="1"/>
    <col min="3" max="3" width="35.7265625" style="9" bestFit="1" customWidth="1"/>
    <col min="4" max="4" width="15.26953125" style="10" bestFit="1" customWidth="1"/>
    <col min="5" max="5" width="23" style="13" bestFit="1" customWidth="1"/>
    <col min="6" max="6" width="13.54296875" style="14" bestFit="1" customWidth="1"/>
    <col min="7" max="7" width="13.54296875" style="14" customWidth="1"/>
    <col min="8" max="8" width="14.26953125" style="13" customWidth="1"/>
    <col min="9" max="16384" width="9.1796875" style="9"/>
  </cols>
  <sheetData>
    <row r="1" spans="1:8" s="1" customFormat="1" ht="14" x14ac:dyDescent="0.25">
      <c r="A1" s="66" t="s">
        <v>932</v>
      </c>
      <c r="B1" s="67"/>
      <c r="C1" s="67"/>
      <c r="D1" s="67"/>
      <c r="E1" s="67"/>
      <c r="F1" s="67"/>
      <c r="G1" s="67"/>
      <c r="H1" s="67"/>
    </row>
    <row r="2" spans="1:8" s="1" customFormat="1" ht="11.5" x14ac:dyDescent="0.25">
      <c r="D2" s="6"/>
      <c r="E2" s="7"/>
      <c r="F2" s="12"/>
      <c r="G2" s="12"/>
      <c r="H2" s="13"/>
    </row>
    <row r="3" spans="1:8" s="1" customFormat="1" ht="11.5" x14ac:dyDescent="0.25">
      <c r="A3" s="11" t="s">
        <v>1</v>
      </c>
      <c r="B3" s="2"/>
      <c r="C3" s="3"/>
      <c r="D3" s="4"/>
      <c r="E3" s="5"/>
      <c r="F3" s="12"/>
      <c r="G3" s="12"/>
      <c r="H3" s="13"/>
    </row>
    <row r="4" spans="1:8" s="1" customFormat="1" ht="45" customHeight="1" x14ac:dyDescent="0.25">
      <c r="A4" s="8" t="s">
        <v>2</v>
      </c>
      <c r="B4" s="8" t="s">
        <v>3</v>
      </c>
      <c r="C4" s="17" t="s">
        <v>835</v>
      </c>
      <c r="D4" s="16" t="s">
        <v>5</v>
      </c>
      <c r="E4" s="15" t="s">
        <v>6</v>
      </c>
      <c r="F4" s="57" t="s">
        <v>933</v>
      </c>
      <c r="G4" s="57" t="s">
        <v>934</v>
      </c>
      <c r="H4" s="15" t="s">
        <v>8</v>
      </c>
    </row>
    <row r="5" spans="1:8" ht="10.5" x14ac:dyDescent="0.25">
      <c r="A5" s="20" t="s">
        <v>836</v>
      </c>
      <c r="B5" s="21"/>
      <c r="C5" s="21"/>
      <c r="D5" s="22"/>
      <c r="E5" s="23"/>
      <c r="F5" s="24"/>
      <c r="G5" s="24"/>
      <c r="H5" s="23"/>
    </row>
    <row r="6" spans="1:8" ht="10.5" x14ac:dyDescent="0.25">
      <c r="A6" s="25" t="s">
        <v>10</v>
      </c>
      <c r="B6" s="26"/>
      <c r="C6" s="26"/>
      <c r="D6" s="27"/>
      <c r="E6" s="28"/>
      <c r="F6" s="29"/>
      <c r="G6" s="29"/>
      <c r="H6" s="28"/>
    </row>
    <row r="7" spans="1:8" x14ac:dyDescent="0.2">
      <c r="A7" s="26" t="s">
        <v>935</v>
      </c>
      <c r="B7" s="26" t="s">
        <v>936</v>
      </c>
      <c r="C7" s="26" t="s">
        <v>937</v>
      </c>
      <c r="D7" s="30">
        <v>64500</v>
      </c>
      <c r="E7" s="28">
        <v>1650.32925</v>
      </c>
      <c r="F7" s="29">
        <v>12.558425944784201</v>
      </c>
      <c r="G7" s="29">
        <v>-10.0656</v>
      </c>
      <c r="H7" s="28"/>
    </row>
    <row r="8" spans="1:8" x14ac:dyDescent="0.2">
      <c r="A8" s="26" t="s">
        <v>843</v>
      </c>
      <c r="B8" s="26" t="s">
        <v>844</v>
      </c>
      <c r="C8" s="26" t="s">
        <v>839</v>
      </c>
      <c r="D8" s="30">
        <v>158500</v>
      </c>
      <c r="E8" s="28">
        <v>983.41324999999995</v>
      </c>
      <c r="F8" s="29">
        <v>7.4834294267307602</v>
      </c>
      <c r="G8" s="29">
        <v>-3.9857999999999998</v>
      </c>
      <c r="H8" s="28"/>
    </row>
    <row r="9" spans="1:8" x14ac:dyDescent="0.2">
      <c r="A9" s="26" t="s">
        <v>875</v>
      </c>
      <c r="B9" s="26" t="s">
        <v>876</v>
      </c>
      <c r="C9" s="26" t="s">
        <v>877</v>
      </c>
      <c r="D9" s="30">
        <v>329400</v>
      </c>
      <c r="E9" s="28">
        <v>717.76260000000002</v>
      </c>
      <c r="F9" s="29">
        <v>5.4619212851227896</v>
      </c>
      <c r="G9" s="29">
        <v>-5.4718999999999998</v>
      </c>
      <c r="H9" s="28"/>
    </row>
    <row r="10" spans="1:8" x14ac:dyDescent="0.2">
      <c r="A10" s="26" t="s">
        <v>938</v>
      </c>
      <c r="B10" s="26" t="s">
        <v>939</v>
      </c>
      <c r="C10" s="26" t="s">
        <v>912</v>
      </c>
      <c r="D10" s="30">
        <v>123000</v>
      </c>
      <c r="E10" s="28">
        <v>591.32249999999999</v>
      </c>
      <c r="F10" s="29">
        <v>4.4997565338762699</v>
      </c>
      <c r="G10" s="29">
        <v>-4.5189000000000004</v>
      </c>
      <c r="H10" s="28"/>
    </row>
    <row r="11" spans="1:8" x14ac:dyDescent="0.2">
      <c r="A11" s="26" t="s">
        <v>845</v>
      </c>
      <c r="B11" s="26" t="s">
        <v>846</v>
      </c>
      <c r="C11" s="26" t="s">
        <v>839</v>
      </c>
      <c r="D11" s="30">
        <v>108061</v>
      </c>
      <c r="E11" s="28">
        <v>578.18038049999996</v>
      </c>
      <c r="F11" s="29">
        <v>4.3997496204084001</v>
      </c>
      <c r="G11" s="29">
        <v>-2.2444000000000002</v>
      </c>
      <c r="H11" s="28"/>
    </row>
    <row r="12" spans="1:8" x14ac:dyDescent="0.2">
      <c r="A12" s="26" t="s">
        <v>840</v>
      </c>
      <c r="B12" s="26" t="s">
        <v>841</v>
      </c>
      <c r="C12" s="26" t="s">
        <v>842</v>
      </c>
      <c r="D12" s="30">
        <v>42745</v>
      </c>
      <c r="E12" s="28">
        <v>536.79170999999997</v>
      </c>
      <c r="F12" s="29">
        <v>4.0847963749106704</v>
      </c>
      <c r="G12" s="29"/>
      <c r="H12" s="28"/>
    </row>
    <row r="13" spans="1:8" x14ac:dyDescent="0.2">
      <c r="A13" s="26" t="s">
        <v>940</v>
      </c>
      <c r="B13" s="26" t="s">
        <v>941</v>
      </c>
      <c r="C13" s="26" t="s">
        <v>871</v>
      </c>
      <c r="D13" s="30">
        <v>4600</v>
      </c>
      <c r="E13" s="28">
        <v>351.88159999999999</v>
      </c>
      <c r="F13" s="29">
        <v>2.67769538407694</v>
      </c>
      <c r="G13" s="29">
        <v>-2.6875</v>
      </c>
      <c r="H13" s="28"/>
    </row>
    <row r="14" spans="1:8" x14ac:dyDescent="0.2">
      <c r="A14" s="26" t="s">
        <v>942</v>
      </c>
      <c r="B14" s="26" t="s">
        <v>943</v>
      </c>
      <c r="C14" s="26" t="s">
        <v>883</v>
      </c>
      <c r="D14" s="30">
        <v>447938</v>
      </c>
      <c r="E14" s="28">
        <v>338.86509699999999</v>
      </c>
      <c r="F14" s="29">
        <v>2.57864436805359</v>
      </c>
      <c r="G14" s="29"/>
      <c r="H14" s="28"/>
    </row>
    <row r="15" spans="1:8" x14ac:dyDescent="0.2">
      <c r="A15" s="26" t="s">
        <v>944</v>
      </c>
      <c r="B15" s="26" t="s">
        <v>945</v>
      </c>
      <c r="C15" s="26" t="s">
        <v>842</v>
      </c>
      <c r="D15" s="30">
        <v>27733</v>
      </c>
      <c r="E15" s="28">
        <v>269.89755600000001</v>
      </c>
      <c r="F15" s="29">
        <v>2.0538256046205499</v>
      </c>
      <c r="G15" s="29"/>
      <c r="H15" s="28"/>
    </row>
    <row r="16" spans="1:8" x14ac:dyDescent="0.2">
      <c r="A16" s="26" t="s">
        <v>837</v>
      </c>
      <c r="B16" s="26" t="s">
        <v>838</v>
      </c>
      <c r="C16" s="26" t="s">
        <v>839</v>
      </c>
      <c r="D16" s="30">
        <v>18378</v>
      </c>
      <c r="E16" s="28">
        <v>263.96321399999999</v>
      </c>
      <c r="F16" s="29">
        <v>2.0086673463287501</v>
      </c>
      <c r="G16" s="29"/>
      <c r="H16" s="28"/>
    </row>
    <row r="17" spans="1:8" x14ac:dyDescent="0.2">
      <c r="A17" s="26" t="s">
        <v>884</v>
      </c>
      <c r="B17" s="26" t="s">
        <v>885</v>
      </c>
      <c r="C17" s="26" t="s">
        <v>839</v>
      </c>
      <c r="D17" s="30">
        <v>87218</v>
      </c>
      <c r="E17" s="28">
        <v>239.805891</v>
      </c>
      <c r="F17" s="29">
        <v>1.82483860311297</v>
      </c>
      <c r="G17" s="29"/>
      <c r="H17" s="28"/>
    </row>
    <row r="18" spans="1:8" x14ac:dyDescent="0.2">
      <c r="A18" s="26" t="s">
        <v>946</v>
      </c>
      <c r="B18" s="26" t="s">
        <v>947</v>
      </c>
      <c r="C18" s="26" t="s">
        <v>866</v>
      </c>
      <c r="D18" s="30">
        <v>41250</v>
      </c>
      <c r="E18" s="28">
        <v>220.27500000000001</v>
      </c>
      <c r="F18" s="29">
        <v>1.67621538246827</v>
      </c>
      <c r="G18" s="29">
        <v>-1.6819999999999999</v>
      </c>
      <c r="H18" s="28"/>
    </row>
    <row r="19" spans="1:8" x14ac:dyDescent="0.2">
      <c r="A19" s="26" t="s">
        <v>893</v>
      </c>
      <c r="B19" s="26" t="s">
        <v>894</v>
      </c>
      <c r="C19" s="26" t="s">
        <v>866</v>
      </c>
      <c r="D19" s="30">
        <v>18456</v>
      </c>
      <c r="E19" s="28">
        <v>218.95275599999999</v>
      </c>
      <c r="F19" s="29">
        <v>1.6661535700421</v>
      </c>
      <c r="G19" s="29"/>
      <c r="H19" s="28"/>
    </row>
    <row r="20" spans="1:8" x14ac:dyDescent="0.2">
      <c r="A20" s="26" t="s">
        <v>948</v>
      </c>
      <c r="B20" s="26" t="s">
        <v>949</v>
      </c>
      <c r="C20" s="26" t="s">
        <v>950</v>
      </c>
      <c r="D20" s="30">
        <v>16100</v>
      </c>
      <c r="E20" s="28">
        <v>207.30359999999999</v>
      </c>
      <c r="F20" s="29">
        <v>1.57750758443332</v>
      </c>
      <c r="G20" s="29">
        <v>-1.5838000000000001</v>
      </c>
      <c r="H20" s="28"/>
    </row>
    <row r="21" spans="1:8" x14ac:dyDescent="0.2">
      <c r="A21" s="26" t="s">
        <v>881</v>
      </c>
      <c r="B21" s="26" t="s">
        <v>882</v>
      </c>
      <c r="C21" s="26" t="s">
        <v>883</v>
      </c>
      <c r="D21" s="30">
        <v>105523</v>
      </c>
      <c r="E21" s="28">
        <v>200.33541550000001</v>
      </c>
      <c r="F21" s="29">
        <v>1.52448214783463</v>
      </c>
      <c r="G21" s="29"/>
      <c r="H21" s="28"/>
    </row>
    <row r="22" spans="1:8" x14ac:dyDescent="0.2">
      <c r="A22" s="26" t="s">
        <v>847</v>
      </c>
      <c r="B22" s="26" t="s">
        <v>848</v>
      </c>
      <c r="C22" s="26" t="s">
        <v>849</v>
      </c>
      <c r="D22" s="30">
        <v>38951</v>
      </c>
      <c r="E22" s="28">
        <v>198.53324699999999</v>
      </c>
      <c r="F22" s="29">
        <v>1.51076827852808</v>
      </c>
      <c r="G22" s="29"/>
      <c r="H22" s="28"/>
    </row>
    <row r="23" spans="1:8" x14ac:dyDescent="0.2">
      <c r="A23" s="26" t="s">
        <v>951</v>
      </c>
      <c r="B23" s="26" t="s">
        <v>952</v>
      </c>
      <c r="C23" s="26" t="s">
        <v>937</v>
      </c>
      <c r="D23" s="30">
        <v>34811</v>
      </c>
      <c r="E23" s="28">
        <v>186.65658199999999</v>
      </c>
      <c r="F23" s="29">
        <v>1.42039102933765</v>
      </c>
      <c r="G23" s="29"/>
      <c r="H23" s="28"/>
    </row>
    <row r="24" spans="1:8" x14ac:dyDescent="0.2">
      <c r="A24" s="26" t="s">
        <v>886</v>
      </c>
      <c r="B24" s="26" t="s">
        <v>887</v>
      </c>
      <c r="C24" s="26" t="s">
        <v>883</v>
      </c>
      <c r="D24" s="30">
        <v>180349</v>
      </c>
      <c r="E24" s="28">
        <v>179.17673149999999</v>
      </c>
      <c r="F24" s="29">
        <v>1.3634719941922</v>
      </c>
      <c r="G24" s="29"/>
      <c r="H24" s="28"/>
    </row>
    <row r="25" spans="1:8" x14ac:dyDescent="0.2">
      <c r="A25" s="26" t="s">
        <v>864</v>
      </c>
      <c r="B25" s="26" t="s">
        <v>865</v>
      </c>
      <c r="C25" s="26" t="s">
        <v>866</v>
      </c>
      <c r="D25" s="30">
        <v>10287</v>
      </c>
      <c r="E25" s="28">
        <v>161.0172675</v>
      </c>
      <c r="F25" s="29">
        <v>1.22528485132906</v>
      </c>
      <c r="G25" s="29"/>
      <c r="H25" s="28"/>
    </row>
    <row r="26" spans="1:8" x14ac:dyDescent="0.2">
      <c r="A26" s="26" t="s">
        <v>953</v>
      </c>
      <c r="B26" s="26" t="s">
        <v>954</v>
      </c>
      <c r="C26" s="26" t="s">
        <v>955</v>
      </c>
      <c r="D26" s="30">
        <v>122059</v>
      </c>
      <c r="E26" s="28">
        <v>146.592859</v>
      </c>
      <c r="F26" s="29">
        <v>1.1155201689515499</v>
      </c>
      <c r="G26" s="29"/>
      <c r="H26" s="28"/>
    </row>
    <row r="27" spans="1:8" x14ac:dyDescent="0.2">
      <c r="A27" s="26" t="s">
        <v>926</v>
      </c>
      <c r="B27" s="26" t="s">
        <v>927</v>
      </c>
      <c r="C27" s="26" t="s">
        <v>874</v>
      </c>
      <c r="D27" s="30">
        <v>2392</v>
      </c>
      <c r="E27" s="28">
        <v>124.50599200000001</v>
      </c>
      <c r="F27" s="29">
        <v>0.94744686868628702</v>
      </c>
      <c r="G27" s="29"/>
      <c r="H27" s="28"/>
    </row>
    <row r="28" spans="1:8" x14ac:dyDescent="0.2">
      <c r="A28" s="26" t="s">
        <v>956</v>
      </c>
      <c r="B28" s="26" t="s">
        <v>957</v>
      </c>
      <c r="C28" s="26" t="s">
        <v>892</v>
      </c>
      <c r="D28" s="30">
        <v>64953</v>
      </c>
      <c r="E28" s="28">
        <v>111.71916</v>
      </c>
      <c r="F28" s="29">
        <v>0.85014356830522897</v>
      </c>
      <c r="G28" s="29"/>
      <c r="H28" s="28"/>
    </row>
    <row r="29" spans="1:8" x14ac:dyDescent="0.2">
      <c r="A29" s="26" t="s">
        <v>958</v>
      </c>
      <c r="B29" s="26" t="s">
        <v>959</v>
      </c>
      <c r="C29" s="26" t="s">
        <v>877</v>
      </c>
      <c r="D29" s="30">
        <v>121901</v>
      </c>
      <c r="E29" s="28">
        <v>110.8689595</v>
      </c>
      <c r="F29" s="29">
        <v>0.84367384111747601</v>
      </c>
      <c r="G29" s="29"/>
      <c r="H29" s="28"/>
    </row>
    <row r="30" spans="1:8" x14ac:dyDescent="0.2">
      <c r="A30" s="26" t="s">
        <v>850</v>
      </c>
      <c r="B30" s="26" t="s">
        <v>851</v>
      </c>
      <c r="C30" s="26" t="s">
        <v>839</v>
      </c>
      <c r="D30" s="30">
        <v>5528</v>
      </c>
      <c r="E30" s="28">
        <v>110.316768</v>
      </c>
      <c r="F30" s="29">
        <v>0.83947185774955801</v>
      </c>
      <c r="G30" s="29"/>
      <c r="H30" s="28"/>
    </row>
    <row r="31" spans="1:8" x14ac:dyDescent="0.2">
      <c r="A31" s="26" t="s">
        <v>861</v>
      </c>
      <c r="B31" s="26" t="s">
        <v>862</v>
      </c>
      <c r="C31" s="26" t="s">
        <v>863</v>
      </c>
      <c r="D31" s="30">
        <v>43156</v>
      </c>
      <c r="E31" s="28">
        <v>106.85425600000001</v>
      </c>
      <c r="F31" s="29">
        <v>0.81312335757304699</v>
      </c>
      <c r="G31" s="29"/>
      <c r="H31" s="28"/>
    </row>
    <row r="32" spans="1:8" x14ac:dyDescent="0.2">
      <c r="A32" s="26" t="s">
        <v>960</v>
      </c>
      <c r="B32" s="26" t="s">
        <v>961</v>
      </c>
      <c r="C32" s="26" t="s">
        <v>962</v>
      </c>
      <c r="D32" s="30">
        <v>76471</v>
      </c>
      <c r="E32" s="28">
        <v>105.224096</v>
      </c>
      <c r="F32" s="29">
        <v>0.80071841253668496</v>
      </c>
      <c r="G32" s="29"/>
      <c r="H32" s="28"/>
    </row>
    <row r="33" spans="1:10" x14ac:dyDescent="0.2">
      <c r="A33" s="26" t="s">
        <v>867</v>
      </c>
      <c r="B33" s="26" t="s">
        <v>868</v>
      </c>
      <c r="C33" s="26" t="s">
        <v>863</v>
      </c>
      <c r="D33" s="30">
        <v>42933</v>
      </c>
      <c r="E33" s="28">
        <v>95.139527999999999</v>
      </c>
      <c r="F33" s="29">
        <v>0.72397839207522896</v>
      </c>
      <c r="G33" s="29"/>
      <c r="H33" s="28"/>
    </row>
    <row r="34" spans="1:10" x14ac:dyDescent="0.2">
      <c r="A34" s="26" t="s">
        <v>963</v>
      </c>
      <c r="B34" s="26" t="s">
        <v>964</v>
      </c>
      <c r="C34" s="26" t="s">
        <v>937</v>
      </c>
      <c r="D34" s="30">
        <v>21957</v>
      </c>
      <c r="E34" s="28">
        <v>80.011308</v>
      </c>
      <c r="F34" s="29">
        <v>0.60885795138352905</v>
      </c>
      <c r="G34" s="29"/>
      <c r="H34" s="28"/>
    </row>
    <row r="35" spans="1:10" x14ac:dyDescent="0.2">
      <c r="A35" s="26" t="s">
        <v>965</v>
      </c>
      <c r="B35" s="26" t="s">
        <v>966</v>
      </c>
      <c r="C35" s="26" t="s">
        <v>866</v>
      </c>
      <c r="D35" s="30">
        <v>402</v>
      </c>
      <c r="E35" s="28">
        <v>73.928804999999997</v>
      </c>
      <c r="F35" s="29">
        <v>0.56257223992054195</v>
      </c>
      <c r="G35" s="29"/>
      <c r="H35" s="28"/>
    </row>
    <row r="36" spans="1:10" x14ac:dyDescent="0.2">
      <c r="A36" s="26" t="s">
        <v>967</v>
      </c>
      <c r="B36" s="26" t="s">
        <v>968</v>
      </c>
      <c r="C36" s="26" t="s">
        <v>863</v>
      </c>
      <c r="D36" s="30">
        <v>47372</v>
      </c>
      <c r="E36" s="28">
        <v>58.38599</v>
      </c>
      <c r="F36" s="29">
        <v>0.44429687689769098</v>
      </c>
      <c r="G36" s="29"/>
      <c r="H36" s="28"/>
    </row>
    <row r="37" spans="1:10" x14ac:dyDescent="0.2">
      <c r="A37" s="26" t="s">
        <v>969</v>
      </c>
      <c r="B37" s="26" t="s">
        <v>970</v>
      </c>
      <c r="C37" s="26" t="s">
        <v>839</v>
      </c>
      <c r="D37" s="30">
        <v>10000</v>
      </c>
      <c r="E37" s="28">
        <v>6.67</v>
      </c>
      <c r="F37" s="29">
        <v>5.0756357285499397E-2</v>
      </c>
      <c r="G37" s="29">
        <v>-5.0999999999999997E-2</v>
      </c>
      <c r="H37" s="28"/>
    </row>
    <row r="38" spans="1:10" ht="10.5" x14ac:dyDescent="0.25">
      <c r="A38" s="25" t="s">
        <v>17</v>
      </c>
      <c r="B38" s="25"/>
      <c r="C38" s="25"/>
      <c r="D38" s="31"/>
      <c r="E38" s="32">
        <f>SUM(E7:E37)</f>
        <v>9224.6813695000001</v>
      </c>
      <c r="F38" s="33">
        <f>SUM(F7:F37)</f>
        <v>70.196585222673519</v>
      </c>
      <c r="G38" s="33">
        <f>SUM(G5:G37)</f>
        <v>-32.290900000000001</v>
      </c>
      <c r="H38" s="32"/>
      <c r="I38" s="18"/>
      <c r="J38" s="18"/>
    </row>
    <row r="39" spans="1:10" x14ac:dyDescent="0.2">
      <c r="A39" s="26"/>
      <c r="B39" s="26"/>
      <c r="C39" s="26"/>
      <c r="D39" s="27"/>
      <c r="E39" s="28"/>
      <c r="F39" s="29"/>
      <c r="G39" s="29"/>
      <c r="H39" s="28"/>
    </row>
    <row r="40" spans="1:10" ht="10.5" x14ac:dyDescent="0.25">
      <c r="A40" s="25" t="s">
        <v>971</v>
      </c>
      <c r="B40" s="26"/>
      <c r="C40" s="26"/>
      <c r="D40" s="27"/>
      <c r="E40" s="28"/>
      <c r="F40" s="29"/>
      <c r="G40" s="29"/>
      <c r="H40" s="28"/>
    </row>
    <row r="41" spans="1:10" x14ac:dyDescent="0.2">
      <c r="A41" s="26" t="s">
        <v>972</v>
      </c>
      <c r="B41" s="26" t="s">
        <v>973</v>
      </c>
      <c r="C41" s="26" t="s">
        <v>1138</v>
      </c>
      <c r="D41" s="30">
        <v>44600</v>
      </c>
      <c r="E41" s="28">
        <v>153.52212</v>
      </c>
      <c r="F41" s="29">
        <v>1.1682494113863999</v>
      </c>
      <c r="G41" s="29"/>
      <c r="H41" s="28"/>
    </row>
    <row r="42" spans="1:10" ht="10.5" x14ac:dyDescent="0.25">
      <c r="A42" s="25" t="s">
        <v>17</v>
      </c>
      <c r="B42" s="25"/>
      <c r="C42" s="25"/>
      <c r="D42" s="31"/>
      <c r="E42" s="32">
        <f>SUM(E40:E41)</f>
        <v>153.52212</v>
      </c>
      <c r="F42" s="33">
        <f>SUM(F40:F41)</f>
        <v>1.1682494113863999</v>
      </c>
      <c r="G42" s="33"/>
      <c r="H42" s="32"/>
      <c r="I42" s="18"/>
      <c r="J42" s="18"/>
    </row>
    <row r="43" spans="1:10" x14ac:dyDescent="0.2">
      <c r="A43" s="26"/>
      <c r="B43" s="26"/>
      <c r="C43" s="26"/>
      <c r="D43" s="27"/>
      <c r="E43" s="28"/>
      <c r="F43" s="29"/>
      <c r="G43" s="29"/>
      <c r="H43" s="28"/>
    </row>
    <row r="44" spans="1:10" ht="10.5" x14ac:dyDescent="0.25">
      <c r="A44" s="25" t="s">
        <v>9</v>
      </c>
      <c r="B44" s="26"/>
      <c r="C44" s="26"/>
      <c r="D44" s="27"/>
      <c r="E44" s="28"/>
      <c r="F44" s="29"/>
      <c r="G44" s="29"/>
      <c r="H44" s="28"/>
    </row>
    <row r="45" spans="1:10" ht="10.5" x14ac:dyDescent="0.25">
      <c r="A45" s="25" t="s">
        <v>10</v>
      </c>
      <c r="B45" s="26"/>
      <c r="C45" s="26"/>
      <c r="D45" s="27"/>
      <c r="E45" s="28"/>
      <c r="F45" s="29"/>
      <c r="G45" s="29"/>
      <c r="H45" s="28"/>
    </row>
    <row r="46" spans="1:10" x14ac:dyDescent="0.2">
      <c r="A46" s="26" t="s">
        <v>918</v>
      </c>
      <c r="B46" s="26" t="s">
        <v>919</v>
      </c>
      <c r="C46" s="26" t="s">
        <v>16</v>
      </c>
      <c r="D46" s="30">
        <v>50</v>
      </c>
      <c r="E46" s="28">
        <v>523.32950000000005</v>
      </c>
      <c r="F46" s="29">
        <v>3.9823536851636798</v>
      </c>
      <c r="G46" s="29"/>
      <c r="H46" s="28">
        <v>4.76</v>
      </c>
    </row>
    <row r="47" spans="1:10" ht="10.5" x14ac:dyDescent="0.25">
      <c r="A47" s="25" t="s">
        <v>17</v>
      </c>
      <c r="B47" s="25"/>
      <c r="C47" s="25"/>
      <c r="D47" s="31"/>
      <c r="E47" s="32">
        <f>SUM(E45:E46)</f>
        <v>523.32950000000005</v>
      </c>
      <c r="F47" s="33">
        <f>SUM(F45:F46)</f>
        <v>3.9823536851636798</v>
      </c>
      <c r="G47" s="33"/>
      <c r="H47" s="32"/>
      <c r="I47" s="18"/>
      <c r="J47" s="18"/>
    </row>
    <row r="48" spans="1:10" x14ac:dyDescent="0.2">
      <c r="A48" s="26"/>
      <c r="B48" s="26"/>
      <c r="C48" s="26"/>
      <c r="D48" s="27"/>
      <c r="E48" s="28"/>
      <c r="F48" s="29"/>
      <c r="G48" s="29"/>
      <c r="H48" s="28"/>
    </row>
    <row r="49" spans="1:10" ht="10.5" x14ac:dyDescent="0.25">
      <c r="A49" s="25" t="s">
        <v>18</v>
      </c>
      <c r="B49" s="26"/>
      <c r="C49" s="26"/>
      <c r="D49" s="27"/>
      <c r="E49" s="28"/>
      <c r="F49" s="29"/>
      <c r="G49" s="29"/>
      <c r="H49" s="28"/>
    </row>
    <row r="50" spans="1:10" ht="10.5" x14ac:dyDescent="0.25">
      <c r="A50" s="25" t="s">
        <v>105</v>
      </c>
      <c r="B50" s="26"/>
      <c r="C50" s="26"/>
      <c r="D50" s="27"/>
      <c r="E50" s="28"/>
      <c r="F50" s="29"/>
      <c r="G50" s="29"/>
      <c r="H50" s="28"/>
    </row>
    <row r="51" spans="1:10" x14ac:dyDescent="0.2">
      <c r="A51" s="26" t="s">
        <v>106</v>
      </c>
      <c r="B51" s="26" t="s">
        <v>107</v>
      </c>
      <c r="C51" s="26" t="s">
        <v>108</v>
      </c>
      <c r="D51" s="30">
        <v>500</v>
      </c>
      <c r="E51" s="28">
        <v>498.3295</v>
      </c>
      <c r="F51" s="29">
        <v>3.7921124659526702</v>
      </c>
      <c r="G51" s="29"/>
      <c r="H51" s="28">
        <v>2.9847000000000001</v>
      </c>
    </row>
    <row r="52" spans="1:10" ht="10.5" x14ac:dyDescent="0.25">
      <c r="A52" s="25" t="s">
        <v>17</v>
      </c>
      <c r="B52" s="25"/>
      <c r="C52" s="25"/>
      <c r="D52" s="31"/>
      <c r="E52" s="32">
        <f>SUM(E50:E51)</f>
        <v>498.3295</v>
      </c>
      <c r="F52" s="33">
        <f>SUM(F50:F51)</f>
        <v>3.7921124659526702</v>
      </c>
      <c r="G52" s="33"/>
      <c r="H52" s="32"/>
      <c r="I52" s="18"/>
      <c r="J52" s="18"/>
    </row>
    <row r="53" spans="1:10" x14ac:dyDescent="0.2">
      <c r="A53" s="26"/>
      <c r="B53" s="26"/>
      <c r="C53" s="26"/>
      <c r="D53" s="27"/>
      <c r="E53" s="28"/>
      <c r="F53" s="29"/>
      <c r="G53" s="29"/>
      <c r="H53" s="28"/>
    </row>
    <row r="54" spans="1:10" ht="10.5" x14ac:dyDescent="0.25">
      <c r="A54" s="25" t="s">
        <v>62</v>
      </c>
      <c r="B54" s="25"/>
      <c r="C54" s="25"/>
      <c r="D54" s="31"/>
      <c r="E54" s="32">
        <f>E38+E42+E47+E52</f>
        <v>10399.862489499999</v>
      </c>
      <c r="F54" s="33">
        <f>F38+F42+F47+F52</f>
        <v>79.13930078517626</v>
      </c>
      <c r="G54" s="33"/>
      <c r="H54" s="32"/>
      <c r="I54" s="18"/>
      <c r="J54" s="18"/>
    </row>
    <row r="55" spans="1:10" ht="10.5" x14ac:dyDescent="0.25">
      <c r="A55" s="25"/>
      <c r="B55" s="25"/>
      <c r="C55" s="25"/>
      <c r="D55" s="31"/>
      <c r="E55" s="32"/>
      <c r="F55" s="33"/>
      <c r="G55" s="33"/>
      <c r="H55" s="32"/>
      <c r="I55" s="18"/>
      <c r="J55" s="18"/>
    </row>
    <row r="56" spans="1:10" ht="10.5" x14ac:dyDescent="0.25">
      <c r="A56" s="25" t="s">
        <v>974</v>
      </c>
      <c r="B56" s="25"/>
      <c r="C56" s="25"/>
      <c r="D56" s="31"/>
      <c r="E56" s="32">
        <v>1785.55214</v>
      </c>
      <c r="F56" s="32">
        <v>13.587424643137647</v>
      </c>
      <c r="G56" s="33"/>
      <c r="H56" s="32"/>
      <c r="I56" s="18"/>
      <c r="J56" s="18"/>
    </row>
    <row r="57" spans="1:10" ht="10.5" x14ac:dyDescent="0.25">
      <c r="A57" s="25" t="s">
        <v>63</v>
      </c>
      <c r="B57" s="25"/>
      <c r="C57" s="25"/>
      <c r="D57" s="31"/>
      <c r="E57" s="32">
        <f>E59-(E38+E42+E47+E52+E56)</f>
        <v>955.79635710000002</v>
      </c>
      <c r="F57" s="33">
        <f>F59-(F38+F42+F47+F52+F56)</f>
        <v>7.2732745716860876</v>
      </c>
      <c r="G57" s="33"/>
      <c r="H57" s="32"/>
      <c r="I57" s="18"/>
      <c r="J57" s="18"/>
    </row>
    <row r="58" spans="1:10" ht="10.5" x14ac:dyDescent="0.25">
      <c r="A58" s="25"/>
      <c r="B58" s="25"/>
      <c r="C58" s="25"/>
      <c r="D58" s="31"/>
      <c r="E58" s="32"/>
      <c r="F58" s="33"/>
      <c r="G58" s="33"/>
      <c r="H58" s="32"/>
      <c r="I58" s="18"/>
      <c r="J58" s="18"/>
    </row>
    <row r="59" spans="1:10" ht="10.5" x14ac:dyDescent="0.25">
      <c r="A59" s="34" t="s">
        <v>64</v>
      </c>
      <c r="B59" s="34"/>
      <c r="C59" s="34"/>
      <c r="D59" s="35"/>
      <c r="E59" s="36">
        <v>13141.210986599999</v>
      </c>
      <c r="F59" s="37">
        <v>100</v>
      </c>
      <c r="G59" s="37"/>
      <c r="H59" s="36"/>
      <c r="I59" s="18"/>
      <c r="J59" s="18"/>
    </row>
    <row r="61" spans="1:10" ht="10.5" x14ac:dyDescent="0.25">
      <c r="A61" s="18" t="s">
        <v>66</v>
      </c>
    </row>
    <row r="64" spans="1:10" ht="10.5" x14ac:dyDescent="0.25">
      <c r="A64" s="18" t="s">
        <v>67</v>
      </c>
    </row>
    <row r="65" spans="1:4" ht="10.5" x14ac:dyDescent="0.25">
      <c r="A65" s="18" t="s">
        <v>68</v>
      </c>
    </row>
    <row r="66" spans="1:4" ht="10.5" x14ac:dyDescent="0.25">
      <c r="A66" s="18" t="s">
        <v>69</v>
      </c>
      <c r="B66" s="18"/>
      <c r="C66" s="38" t="s">
        <v>70</v>
      </c>
      <c r="D66" s="43" t="s">
        <v>71</v>
      </c>
    </row>
    <row r="67" spans="1:4" x14ac:dyDescent="0.2">
      <c r="A67" s="9" t="s">
        <v>98</v>
      </c>
      <c r="C67" s="39">
        <v>9.8048000000000002</v>
      </c>
      <c r="D67" s="39">
        <v>11.276300000000001</v>
      </c>
    </row>
    <row r="68" spans="1:4" x14ac:dyDescent="0.2">
      <c r="A68" s="9" t="s">
        <v>331</v>
      </c>
      <c r="C68" s="39">
        <v>9.8048000000000002</v>
      </c>
      <c r="D68" s="39">
        <v>11.276300000000001</v>
      </c>
    </row>
    <row r="69" spans="1:4" x14ac:dyDescent="0.2">
      <c r="A69" s="9" t="s">
        <v>274</v>
      </c>
      <c r="C69" s="39">
        <v>9.7457999999999991</v>
      </c>
      <c r="D69" s="39">
        <v>11.208299999999999</v>
      </c>
    </row>
    <row r="70" spans="1:4" x14ac:dyDescent="0.2">
      <c r="A70" s="9" t="s">
        <v>275</v>
      </c>
      <c r="C70" s="39">
        <v>9.8048000000000002</v>
      </c>
      <c r="D70" s="39">
        <v>11.276300000000001</v>
      </c>
    </row>
    <row r="71" spans="1:4" x14ac:dyDescent="0.2">
      <c r="A71" s="9" t="s">
        <v>101</v>
      </c>
      <c r="C71" s="39">
        <v>10.1427</v>
      </c>
      <c r="D71" s="39">
        <v>11.7379</v>
      </c>
    </row>
    <row r="72" spans="1:4" x14ac:dyDescent="0.2">
      <c r="A72" s="9" t="s">
        <v>332</v>
      </c>
      <c r="C72" s="39">
        <v>10.1427</v>
      </c>
      <c r="D72" s="39">
        <v>11.7379</v>
      </c>
    </row>
    <row r="73" spans="1:4" x14ac:dyDescent="0.2">
      <c r="A73" s="9" t="s">
        <v>278</v>
      </c>
      <c r="C73" s="39">
        <v>10.083500000000001</v>
      </c>
      <c r="D73" s="39">
        <v>11.6678</v>
      </c>
    </row>
    <row r="74" spans="1:4" x14ac:dyDescent="0.2">
      <c r="A74" s="9" t="s">
        <v>279</v>
      </c>
      <c r="C74" s="39">
        <v>10.1427</v>
      </c>
      <c r="D74" s="39">
        <v>11.7379</v>
      </c>
    </row>
    <row r="76" spans="1:4" ht="10.5" x14ac:dyDescent="0.25">
      <c r="A76" s="18" t="s">
        <v>90</v>
      </c>
      <c r="D76" s="43" t="s">
        <v>96</v>
      </c>
    </row>
    <row r="78" spans="1:4" ht="10.5" x14ac:dyDescent="0.25">
      <c r="A78" s="49" t="s">
        <v>975</v>
      </c>
      <c r="B78" s="54"/>
      <c r="C78" s="54"/>
      <c r="D78" s="58" t="s">
        <v>976</v>
      </c>
    </row>
    <row r="80" spans="1:4" ht="10.5" x14ac:dyDescent="0.25">
      <c r="A80" s="18" t="s">
        <v>977</v>
      </c>
      <c r="D80" s="42">
        <f>-G38</f>
        <v>32.290900000000001</v>
      </c>
    </row>
    <row r="82" spans="1:5" ht="10.5" x14ac:dyDescent="0.25">
      <c r="A82" s="18" t="s">
        <v>978</v>
      </c>
      <c r="D82" s="59">
        <v>1.8407</v>
      </c>
    </row>
    <row r="84" spans="1:5" ht="10.5" x14ac:dyDescent="0.25">
      <c r="A84" s="18" t="s">
        <v>979</v>
      </c>
      <c r="D84" s="42">
        <v>0.63127293559841302</v>
      </c>
      <c r="E84" s="13" t="s">
        <v>95</v>
      </c>
    </row>
    <row r="86" spans="1:5" ht="10.5" x14ac:dyDescent="0.25">
      <c r="A86" s="18" t="s">
        <v>980</v>
      </c>
      <c r="D86" s="43" t="s">
        <v>96</v>
      </c>
    </row>
    <row r="88" spans="1:5" ht="10.5" x14ac:dyDescent="0.25">
      <c r="A88" s="18" t="s">
        <v>1512</v>
      </c>
    </row>
    <row r="89" spans="1:5" x14ac:dyDescent="0.2">
      <c r="A89" s="47" t="s">
        <v>1509</v>
      </c>
    </row>
  </sheetData>
  <mergeCells count="1">
    <mergeCell ref="A1:H1"/>
  </mergeCells>
  <conditionalFormatting sqref="F2:G3 F5:G37 F57:G65543 G56 F39:G55 F38">
    <cfRule type="cellIs" dxfId="27" priority="2" stopIfTrue="1" operator="between">
      <formula>0.009</formula>
      <formula>-0.009</formula>
    </cfRule>
  </conditionalFormatting>
  <conditionalFormatting sqref="G38">
    <cfRule type="cellIs" dxfId="26" priority="1" stopIfTrue="1" operator="between">
      <formula>0.009</formula>
      <formula>-0.009</formula>
    </cfRule>
  </conditionalFormatting>
  <hyperlinks>
    <hyperlink ref="A89" r:id="rId1" xr:uid="{D71A64FA-8CB5-47C4-A283-9F8AB5189E38}"/>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10"/>
  <sheetViews>
    <sheetView workbookViewId="0">
      <selection sqref="A1:G1"/>
    </sheetView>
  </sheetViews>
  <sheetFormatPr defaultColWidth="9.1796875" defaultRowHeight="10" x14ac:dyDescent="0.2"/>
  <cols>
    <col min="1" max="1" width="40.453125" style="9" bestFit="1" customWidth="1"/>
    <col min="2" max="2" width="51.81640625" style="9" bestFit="1" customWidth="1"/>
    <col min="3" max="3" width="35.726562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66" t="s">
        <v>981</v>
      </c>
      <c r="B1" s="67"/>
      <c r="C1" s="67"/>
      <c r="D1" s="67"/>
      <c r="E1" s="67"/>
      <c r="F1" s="67"/>
      <c r="G1" s="67"/>
    </row>
    <row r="2" spans="1:7" s="1" customFormat="1" ht="11.5" x14ac:dyDescent="0.25">
      <c r="D2" s="6"/>
      <c r="E2" s="7"/>
      <c r="F2" s="12"/>
      <c r="G2" s="13"/>
    </row>
    <row r="3" spans="1:7" s="1" customFormat="1" ht="11.5" x14ac:dyDescent="0.25">
      <c r="A3" s="11" t="s">
        <v>1</v>
      </c>
      <c r="B3" s="2"/>
      <c r="C3" s="3"/>
      <c r="D3" s="4"/>
      <c r="E3" s="5"/>
      <c r="F3" s="12"/>
      <c r="G3" s="13"/>
    </row>
    <row r="4" spans="1:7" s="1" customFormat="1" ht="17.5" customHeight="1" x14ac:dyDescent="0.25">
      <c r="A4" s="8" t="s">
        <v>2</v>
      </c>
      <c r="B4" s="8" t="s">
        <v>3</v>
      </c>
      <c r="C4" s="17" t="s">
        <v>835</v>
      </c>
      <c r="D4" s="16" t="s">
        <v>5</v>
      </c>
      <c r="E4" s="15" t="s">
        <v>6</v>
      </c>
      <c r="F4" s="15" t="s">
        <v>7</v>
      </c>
      <c r="G4" s="15" t="s">
        <v>8</v>
      </c>
    </row>
    <row r="5" spans="1:7" ht="10.5" x14ac:dyDescent="0.25">
      <c r="A5" s="20" t="s">
        <v>836</v>
      </c>
      <c r="B5" s="21"/>
      <c r="C5" s="21"/>
      <c r="D5" s="22"/>
      <c r="E5" s="23"/>
      <c r="F5" s="24"/>
      <c r="G5" s="23"/>
    </row>
    <row r="6" spans="1:7" ht="10.5" x14ac:dyDescent="0.25">
      <c r="A6" s="25" t="s">
        <v>10</v>
      </c>
      <c r="B6" s="26"/>
      <c r="C6" s="26"/>
      <c r="D6" s="27"/>
      <c r="E6" s="28"/>
      <c r="F6" s="29"/>
      <c r="G6" s="28"/>
    </row>
    <row r="7" spans="1:7" x14ac:dyDescent="0.2">
      <c r="A7" s="26" t="s">
        <v>843</v>
      </c>
      <c r="B7" s="26" t="s">
        <v>844</v>
      </c>
      <c r="C7" s="26" t="s">
        <v>839</v>
      </c>
      <c r="D7" s="30">
        <v>1986935</v>
      </c>
      <c r="E7" s="28">
        <v>12327.93821</v>
      </c>
      <c r="F7" s="29">
        <v>9.0892277775599002</v>
      </c>
      <c r="G7" s="28"/>
    </row>
    <row r="8" spans="1:7" x14ac:dyDescent="0.2">
      <c r="A8" s="26" t="s">
        <v>840</v>
      </c>
      <c r="B8" s="26" t="s">
        <v>841</v>
      </c>
      <c r="C8" s="26" t="s">
        <v>842</v>
      </c>
      <c r="D8" s="30">
        <v>953784</v>
      </c>
      <c r="E8" s="28">
        <v>11977.61947</v>
      </c>
      <c r="F8" s="29">
        <v>8.8309423474767996</v>
      </c>
      <c r="G8" s="28"/>
    </row>
    <row r="9" spans="1:7" x14ac:dyDescent="0.2">
      <c r="A9" s="26" t="s">
        <v>837</v>
      </c>
      <c r="B9" s="26" t="s">
        <v>838</v>
      </c>
      <c r="C9" s="26" t="s">
        <v>839</v>
      </c>
      <c r="D9" s="30">
        <v>533868</v>
      </c>
      <c r="E9" s="28">
        <v>7667.9460840000002</v>
      </c>
      <c r="F9" s="29">
        <v>5.6534764659178496</v>
      </c>
      <c r="G9" s="28"/>
    </row>
    <row r="10" spans="1:7" x14ac:dyDescent="0.2">
      <c r="A10" s="26" t="s">
        <v>845</v>
      </c>
      <c r="B10" s="26" t="s">
        <v>846</v>
      </c>
      <c r="C10" s="26" t="s">
        <v>839</v>
      </c>
      <c r="D10" s="30">
        <v>1281302</v>
      </c>
      <c r="E10" s="28">
        <v>6855.6063510000004</v>
      </c>
      <c r="F10" s="29">
        <v>5.0545489940061401</v>
      </c>
      <c r="G10" s="28"/>
    </row>
    <row r="11" spans="1:7" x14ac:dyDescent="0.2">
      <c r="A11" s="26" t="s">
        <v>847</v>
      </c>
      <c r="B11" s="26" t="s">
        <v>848</v>
      </c>
      <c r="C11" s="26" t="s">
        <v>849</v>
      </c>
      <c r="D11" s="30">
        <v>1146271</v>
      </c>
      <c r="E11" s="28">
        <v>5842.5432870000004</v>
      </c>
      <c r="F11" s="29">
        <v>4.30763083260105</v>
      </c>
      <c r="G11" s="28"/>
    </row>
    <row r="12" spans="1:7" x14ac:dyDescent="0.2">
      <c r="A12" s="26" t="s">
        <v>881</v>
      </c>
      <c r="B12" s="26" t="s">
        <v>882</v>
      </c>
      <c r="C12" s="26" t="s">
        <v>883</v>
      </c>
      <c r="D12" s="30">
        <v>2508769</v>
      </c>
      <c r="E12" s="28">
        <v>4762.8979470000004</v>
      </c>
      <c r="F12" s="29">
        <v>3.51162242899946</v>
      </c>
      <c r="G12" s="28"/>
    </row>
    <row r="13" spans="1:7" x14ac:dyDescent="0.2">
      <c r="A13" s="26" t="s">
        <v>944</v>
      </c>
      <c r="B13" s="26" t="s">
        <v>945</v>
      </c>
      <c r="C13" s="26" t="s">
        <v>842</v>
      </c>
      <c r="D13" s="30">
        <v>429717</v>
      </c>
      <c r="E13" s="28">
        <v>4182.0058440000003</v>
      </c>
      <c r="F13" s="29">
        <v>3.0833382708204402</v>
      </c>
      <c r="G13" s="28"/>
    </row>
    <row r="14" spans="1:7" x14ac:dyDescent="0.2">
      <c r="A14" s="26" t="s">
        <v>869</v>
      </c>
      <c r="B14" s="26" t="s">
        <v>870</v>
      </c>
      <c r="C14" s="26" t="s">
        <v>871</v>
      </c>
      <c r="D14" s="30">
        <v>571320</v>
      </c>
      <c r="E14" s="28">
        <v>4116.93192</v>
      </c>
      <c r="F14" s="29">
        <v>3.0353601168469102</v>
      </c>
      <c r="G14" s="28"/>
    </row>
    <row r="15" spans="1:7" x14ac:dyDescent="0.2">
      <c r="A15" s="26" t="s">
        <v>926</v>
      </c>
      <c r="B15" s="26" t="s">
        <v>927</v>
      </c>
      <c r="C15" s="26" t="s">
        <v>874</v>
      </c>
      <c r="D15" s="30">
        <v>71688</v>
      </c>
      <c r="E15" s="28">
        <v>3731.432088</v>
      </c>
      <c r="F15" s="29">
        <v>2.7511361272736301</v>
      </c>
      <c r="G15" s="28"/>
    </row>
    <row r="16" spans="1:7" x14ac:dyDescent="0.2">
      <c r="A16" s="26" t="s">
        <v>861</v>
      </c>
      <c r="B16" s="26" t="s">
        <v>862</v>
      </c>
      <c r="C16" s="26" t="s">
        <v>863</v>
      </c>
      <c r="D16" s="30">
        <v>1379354</v>
      </c>
      <c r="E16" s="28">
        <v>3415.2805039999998</v>
      </c>
      <c r="F16" s="29">
        <v>2.51804169491498</v>
      </c>
      <c r="G16" s="28"/>
    </row>
    <row r="17" spans="1:7" x14ac:dyDescent="0.2">
      <c r="A17" s="26" t="s">
        <v>867</v>
      </c>
      <c r="B17" s="26" t="s">
        <v>868</v>
      </c>
      <c r="C17" s="26" t="s">
        <v>863</v>
      </c>
      <c r="D17" s="30">
        <v>1266102</v>
      </c>
      <c r="E17" s="28">
        <v>2805.6820320000002</v>
      </c>
      <c r="F17" s="29">
        <v>2.06859270592135</v>
      </c>
      <c r="G17" s="28"/>
    </row>
    <row r="18" spans="1:7" x14ac:dyDescent="0.2">
      <c r="A18" s="26" t="s">
        <v>982</v>
      </c>
      <c r="B18" s="26" t="s">
        <v>983</v>
      </c>
      <c r="C18" s="26" t="s">
        <v>842</v>
      </c>
      <c r="D18" s="30">
        <v>93552</v>
      </c>
      <c r="E18" s="28">
        <v>2678.1598800000002</v>
      </c>
      <c r="F18" s="29">
        <v>1.9745722893303299</v>
      </c>
      <c r="G18" s="28"/>
    </row>
    <row r="19" spans="1:7" x14ac:dyDescent="0.2">
      <c r="A19" s="26" t="s">
        <v>948</v>
      </c>
      <c r="B19" s="26" t="s">
        <v>949</v>
      </c>
      <c r="C19" s="26" t="s">
        <v>950</v>
      </c>
      <c r="D19" s="30">
        <v>205227</v>
      </c>
      <c r="E19" s="28">
        <v>2642.5028520000001</v>
      </c>
      <c r="F19" s="29">
        <v>1.9482828284454601</v>
      </c>
      <c r="G19" s="28"/>
    </row>
    <row r="20" spans="1:7" x14ac:dyDescent="0.2">
      <c r="A20" s="26" t="s">
        <v>878</v>
      </c>
      <c r="B20" s="26" t="s">
        <v>879</v>
      </c>
      <c r="C20" s="26" t="s">
        <v>880</v>
      </c>
      <c r="D20" s="30">
        <v>1044188</v>
      </c>
      <c r="E20" s="28">
        <v>2511.794234</v>
      </c>
      <c r="F20" s="29">
        <v>1.8519130721038599</v>
      </c>
      <c r="G20" s="28"/>
    </row>
    <row r="21" spans="1:7" x14ac:dyDescent="0.2">
      <c r="A21" s="26" t="s">
        <v>886</v>
      </c>
      <c r="B21" s="26" t="s">
        <v>887</v>
      </c>
      <c r="C21" s="26" t="s">
        <v>883</v>
      </c>
      <c r="D21" s="30">
        <v>2468370</v>
      </c>
      <c r="E21" s="28">
        <v>2452.3255949999998</v>
      </c>
      <c r="F21" s="29">
        <v>1.8080676215277001</v>
      </c>
      <c r="G21" s="28"/>
    </row>
    <row r="22" spans="1:7" x14ac:dyDescent="0.2">
      <c r="A22" s="26" t="s">
        <v>958</v>
      </c>
      <c r="B22" s="26" t="s">
        <v>959</v>
      </c>
      <c r="C22" s="26" t="s">
        <v>877</v>
      </c>
      <c r="D22" s="30">
        <v>2568360</v>
      </c>
      <c r="E22" s="28">
        <v>2335.9234200000001</v>
      </c>
      <c r="F22" s="29">
        <v>1.72224581869613</v>
      </c>
      <c r="G22" s="28"/>
    </row>
    <row r="23" spans="1:7" x14ac:dyDescent="0.2">
      <c r="A23" s="26" t="s">
        <v>855</v>
      </c>
      <c r="B23" s="26" t="s">
        <v>856</v>
      </c>
      <c r="C23" s="26" t="s">
        <v>857</v>
      </c>
      <c r="D23" s="30">
        <v>274626</v>
      </c>
      <c r="E23" s="28">
        <v>2267.4495689999999</v>
      </c>
      <c r="F23" s="29">
        <v>1.67176094296558</v>
      </c>
      <c r="G23" s="28"/>
    </row>
    <row r="24" spans="1:7" x14ac:dyDescent="0.2">
      <c r="A24" s="26" t="s">
        <v>903</v>
      </c>
      <c r="B24" s="26" t="s">
        <v>904</v>
      </c>
      <c r="C24" s="26" t="s">
        <v>871</v>
      </c>
      <c r="D24" s="30">
        <v>1081483</v>
      </c>
      <c r="E24" s="28">
        <v>1988.3064959999999</v>
      </c>
      <c r="F24" s="29">
        <v>1.4659524022505599</v>
      </c>
      <c r="G24" s="28"/>
    </row>
    <row r="25" spans="1:7" x14ac:dyDescent="0.2">
      <c r="A25" s="26" t="s">
        <v>953</v>
      </c>
      <c r="B25" s="26" t="s">
        <v>954</v>
      </c>
      <c r="C25" s="26" t="s">
        <v>955</v>
      </c>
      <c r="D25" s="30">
        <v>1583382</v>
      </c>
      <c r="E25" s="28">
        <v>1901.6417819999999</v>
      </c>
      <c r="F25" s="29">
        <v>1.4020556408939799</v>
      </c>
      <c r="G25" s="28"/>
    </row>
    <row r="26" spans="1:7" x14ac:dyDescent="0.2">
      <c r="A26" s="26" t="s">
        <v>951</v>
      </c>
      <c r="B26" s="26" t="s">
        <v>952</v>
      </c>
      <c r="C26" s="26" t="s">
        <v>937</v>
      </c>
      <c r="D26" s="30">
        <v>345421</v>
      </c>
      <c r="E26" s="28">
        <v>1852.1474020000001</v>
      </c>
      <c r="F26" s="29">
        <v>1.3655640811647001</v>
      </c>
      <c r="G26" s="28"/>
    </row>
    <row r="27" spans="1:7" x14ac:dyDescent="0.2">
      <c r="A27" s="26" t="s">
        <v>884</v>
      </c>
      <c r="B27" s="26" t="s">
        <v>885</v>
      </c>
      <c r="C27" s="26" t="s">
        <v>839</v>
      </c>
      <c r="D27" s="30">
        <v>615662</v>
      </c>
      <c r="E27" s="28">
        <v>1692.762669</v>
      </c>
      <c r="F27" s="29">
        <v>1.2480517998874101</v>
      </c>
      <c r="G27" s="28"/>
    </row>
    <row r="28" spans="1:7" x14ac:dyDescent="0.2">
      <c r="A28" s="26" t="s">
        <v>872</v>
      </c>
      <c r="B28" s="26" t="s">
        <v>873</v>
      </c>
      <c r="C28" s="26" t="s">
        <v>874</v>
      </c>
      <c r="D28" s="30">
        <v>349001</v>
      </c>
      <c r="E28" s="28">
        <v>1663.8622680000001</v>
      </c>
      <c r="F28" s="29">
        <v>1.22674391181422</v>
      </c>
      <c r="G28" s="28"/>
    </row>
    <row r="29" spans="1:7" x14ac:dyDescent="0.2">
      <c r="A29" s="26" t="s">
        <v>852</v>
      </c>
      <c r="B29" s="26" t="s">
        <v>853</v>
      </c>
      <c r="C29" s="26" t="s">
        <v>854</v>
      </c>
      <c r="D29" s="30">
        <v>99000</v>
      </c>
      <c r="E29" s="28">
        <v>1629.837</v>
      </c>
      <c r="F29" s="29">
        <v>1.20165752625839</v>
      </c>
      <c r="G29" s="28"/>
    </row>
    <row r="30" spans="1:7" x14ac:dyDescent="0.2">
      <c r="A30" s="26" t="s">
        <v>984</v>
      </c>
      <c r="B30" s="26" t="s">
        <v>985</v>
      </c>
      <c r="C30" s="26" t="s">
        <v>883</v>
      </c>
      <c r="D30" s="30">
        <v>6797235</v>
      </c>
      <c r="E30" s="28">
        <v>1539.5737280000001</v>
      </c>
      <c r="F30" s="29">
        <v>1.13510759510361</v>
      </c>
      <c r="G30" s="28"/>
    </row>
    <row r="31" spans="1:7" x14ac:dyDescent="0.2">
      <c r="A31" s="26" t="s">
        <v>893</v>
      </c>
      <c r="B31" s="26" t="s">
        <v>894</v>
      </c>
      <c r="C31" s="26" t="s">
        <v>866</v>
      </c>
      <c r="D31" s="30">
        <v>128251</v>
      </c>
      <c r="E31" s="28">
        <v>1521.5057389999999</v>
      </c>
      <c r="F31" s="29">
        <v>1.12178630287243</v>
      </c>
      <c r="G31" s="28"/>
    </row>
    <row r="32" spans="1:7" x14ac:dyDescent="0.2">
      <c r="A32" s="26" t="s">
        <v>858</v>
      </c>
      <c r="B32" s="26" t="s">
        <v>859</v>
      </c>
      <c r="C32" s="26" t="s">
        <v>860</v>
      </c>
      <c r="D32" s="30">
        <v>235077</v>
      </c>
      <c r="E32" s="28">
        <v>1513.0731109999999</v>
      </c>
      <c r="F32" s="29">
        <v>1.11556903642042</v>
      </c>
      <c r="G32" s="28"/>
    </row>
    <row r="33" spans="1:9" x14ac:dyDescent="0.2">
      <c r="A33" s="26" t="s">
        <v>960</v>
      </c>
      <c r="B33" s="26" t="s">
        <v>961</v>
      </c>
      <c r="C33" s="26" t="s">
        <v>962</v>
      </c>
      <c r="D33" s="30">
        <v>921918</v>
      </c>
      <c r="E33" s="28">
        <v>1268.559168</v>
      </c>
      <c r="F33" s="29">
        <v>0.93529210082436598</v>
      </c>
      <c r="G33" s="28"/>
    </row>
    <row r="34" spans="1:9" x14ac:dyDescent="0.2">
      <c r="A34" s="26" t="s">
        <v>963</v>
      </c>
      <c r="B34" s="26" t="s">
        <v>964</v>
      </c>
      <c r="C34" s="26" t="s">
        <v>937</v>
      </c>
      <c r="D34" s="30">
        <v>336933</v>
      </c>
      <c r="E34" s="28">
        <v>1227.783852</v>
      </c>
      <c r="F34" s="29">
        <v>0.90522899306760096</v>
      </c>
      <c r="G34" s="28"/>
    </row>
    <row r="35" spans="1:9" x14ac:dyDescent="0.2">
      <c r="A35" s="26" t="s">
        <v>986</v>
      </c>
      <c r="B35" s="26" t="s">
        <v>987</v>
      </c>
      <c r="C35" s="26" t="s">
        <v>857</v>
      </c>
      <c r="D35" s="30">
        <v>72561</v>
      </c>
      <c r="E35" s="28">
        <v>1137.1397119999999</v>
      </c>
      <c r="F35" s="29">
        <v>0.83839825291246906</v>
      </c>
      <c r="G35" s="28"/>
    </row>
    <row r="36" spans="1:9" x14ac:dyDescent="0.2">
      <c r="A36" s="26" t="s">
        <v>907</v>
      </c>
      <c r="B36" s="26" t="s">
        <v>908</v>
      </c>
      <c r="C36" s="26" t="s">
        <v>909</v>
      </c>
      <c r="D36" s="30">
        <v>649104</v>
      </c>
      <c r="E36" s="28">
        <v>1074.9162240000001</v>
      </c>
      <c r="F36" s="29">
        <v>0.79252168816074897</v>
      </c>
      <c r="G36" s="28"/>
    </row>
    <row r="37" spans="1:9" x14ac:dyDescent="0.2">
      <c r="A37" s="26" t="s">
        <v>875</v>
      </c>
      <c r="B37" s="26" t="s">
        <v>876</v>
      </c>
      <c r="C37" s="26" t="s">
        <v>877</v>
      </c>
      <c r="D37" s="30">
        <v>362218</v>
      </c>
      <c r="E37" s="28">
        <v>789.27302199999997</v>
      </c>
      <c r="F37" s="29">
        <v>0.58192068725829904</v>
      </c>
      <c r="G37" s="28"/>
    </row>
    <row r="38" spans="1:9" x14ac:dyDescent="0.2">
      <c r="A38" s="26" t="s">
        <v>956</v>
      </c>
      <c r="B38" s="26" t="s">
        <v>957</v>
      </c>
      <c r="C38" s="26" t="s">
        <v>892</v>
      </c>
      <c r="D38" s="30">
        <v>377910</v>
      </c>
      <c r="E38" s="28">
        <v>650.00519999999995</v>
      </c>
      <c r="F38" s="29">
        <v>0.47924034163360602</v>
      </c>
      <c r="G38" s="28"/>
    </row>
    <row r="39" spans="1:9" x14ac:dyDescent="0.2">
      <c r="A39" s="26" t="s">
        <v>910</v>
      </c>
      <c r="B39" s="26" t="s">
        <v>911</v>
      </c>
      <c r="C39" s="26" t="s">
        <v>912</v>
      </c>
      <c r="D39" s="30">
        <v>1265151</v>
      </c>
      <c r="E39" s="28">
        <v>539.58690149999995</v>
      </c>
      <c r="F39" s="29">
        <v>0.39783037276606198</v>
      </c>
      <c r="G39" s="28"/>
    </row>
    <row r="40" spans="1:9" x14ac:dyDescent="0.2">
      <c r="A40" s="26" t="s">
        <v>913</v>
      </c>
      <c r="B40" s="26" t="s">
        <v>914</v>
      </c>
      <c r="C40" s="26" t="s">
        <v>909</v>
      </c>
      <c r="D40" s="30">
        <v>75869</v>
      </c>
      <c r="E40" s="28">
        <v>78.562349499999996</v>
      </c>
      <c r="F40" s="29">
        <v>5.7922993868231701E-2</v>
      </c>
      <c r="G40" s="28"/>
    </row>
    <row r="41" spans="1:9" ht="10.5" x14ac:dyDescent="0.25">
      <c r="A41" s="25" t="s">
        <v>17</v>
      </c>
      <c r="B41" s="25"/>
      <c r="C41" s="25"/>
      <c r="D41" s="31"/>
      <c r="E41" s="32">
        <f>SUM(E7:E40)</f>
        <v>104642.57591100005</v>
      </c>
      <c r="F41" s="33">
        <f>SUM(F7:F40)</f>
        <v>77.151604062564672</v>
      </c>
      <c r="G41" s="32"/>
      <c r="H41" s="18"/>
      <c r="I41" s="18"/>
    </row>
    <row r="42" spans="1:9" x14ac:dyDescent="0.2">
      <c r="A42" s="26"/>
      <c r="B42" s="26"/>
      <c r="C42" s="26"/>
      <c r="D42" s="27"/>
      <c r="E42" s="28"/>
      <c r="F42" s="29"/>
      <c r="G42" s="28"/>
    </row>
    <row r="43" spans="1:9" ht="10.5" x14ac:dyDescent="0.25">
      <c r="A43" s="25" t="s">
        <v>988</v>
      </c>
      <c r="B43" s="26"/>
      <c r="C43" s="26"/>
      <c r="D43" s="27"/>
      <c r="E43" s="28"/>
      <c r="F43" s="29"/>
      <c r="G43" s="28"/>
    </row>
    <row r="44" spans="1:9" x14ac:dyDescent="0.2">
      <c r="A44" s="26" t="s">
        <v>989</v>
      </c>
      <c r="B44" s="26" t="s">
        <v>990</v>
      </c>
      <c r="C44" s="26" t="s">
        <v>991</v>
      </c>
      <c r="D44" s="30">
        <v>270000</v>
      </c>
      <c r="E44" s="28">
        <v>2.7E-2</v>
      </c>
      <c r="F44" s="29">
        <v>1.9906747244648701E-5</v>
      </c>
      <c r="G44" s="28"/>
    </row>
    <row r="45" spans="1:9" x14ac:dyDescent="0.2">
      <c r="A45" s="26"/>
      <c r="B45" s="26" t="s">
        <v>992</v>
      </c>
      <c r="C45" s="26" t="s">
        <v>937</v>
      </c>
      <c r="D45" s="30">
        <v>27500</v>
      </c>
      <c r="E45" s="28">
        <v>2.7499999999999998E-3</v>
      </c>
      <c r="F45" s="29">
        <v>2.0275390712142202E-6</v>
      </c>
      <c r="G45" s="28"/>
    </row>
    <row r="46" spans="1:9" ht="10.5" x14ac:dyDescent="0.25">
      <c r="A46" s="25" t="s">
        <v>17</v>
      </c>
      <c r="B46" s="25"/>
      <c r="C46" s="25"/>
      <c r="D46" s="31"/>
      <c r="E46" s="32">
        <f>SUM(E43:E45)</f>
        <v>2.9749999999999999E-2</v>
      </c>
      <c r="F46" s="33">
        <f>SUM(F43:F45)</f>
        <v>2.1934286315862922E-5</v>
      </c>
      <c r="G46" s="32"/>
      <c r="H46" s="18"/>
      <c r="I46" s="18"/>
    </row>
    <row r="47" spans="1:9" x14ac:dyDescent="0.2">
      <c r="A47" s="26"/>
      <c r="B47" s="26"/>
      <c r="C47" s="26"/>
      <c r="D47" s="27"/>
      <c r="E47" s="28"/>
      <c r="F47" s="29"/>
      <c r="G47" s="28"/>
    </row>
    <row r="48" spans="1:9" ht="10.5" x14ac:dyDescent="0.25">
      <c r="A48" s="25" t="s">
        <v>993</v>
      </c>
      <c r="B48" s="26"/>
      <c r="C48" s="26"/>
      <c r="D48" s="27"/>
      <c r="E48" s="28"/>
      <c r="F48" s="29"/>
      <c r="G48" s="28"/>
    </row>
    <row r="49" spans="1:9" x14ac:dyDescent="0.2">
      <c r="A49" s="26" t="s">
        <v>972</v>
      </c>
      <c r="B49" s="26" t="s">
        <v>973</v>
      </c>
      <c r="C49" s="26" t="s">
        <v>1138</v>
      </c>
      <c r="D49" s="30">
        <v>644200</v>
      </c>
      <c r="E49" s="28">
        <v>2217.46524</v>
      </c>
      <c r="F49" s="29">
        <v>1.63490815023979</v>
      </c>
      <c r="G49" s="28"/>
    </row>
    <row r="50" spans="1:9" ht="10.5" x14ac:dyDescent="0.25">
      <c r="A50" s="25" t="s">
        <v>17</v>
      </c>
      <c r="B50" s="25"/>
      <c r="C50" s="25"/>
      <c r="D50" s="31"/>
      <c r="E50" s="32">
        <f>SUM(E48:E49)</f>
        <v>2217.46524</v>
      </c>
      <c r="F50" s="33">
        <f>SUM(F48:F49)</f>
        <v>1.63490815023979</v>
      </c>
      <c r="G50" s="32"/>
      <c r="H50" s="18"/>
      <c r="I50" s="18"/>
    </row>
    <row r="51" spans="1:9" x14ac:dyDescent="0.2">
      <c r="A51" s="26"/>
      <c r="B51" s="26"/>
      <c r="C51" s="26"/>
      <c r="D51" s="27"/>
      <c r="E51" s="28"/>
      <c r="F51" s="29"/>
      <c r="G51" s="28"/>
    </row>
    <row r="52" spans="1:9" ht="10.5" x14ac:dyDescent="0.25">
      <c r="A52" s="25" t="s">
        <v>9</v>
      </c>
      <c r="B52" s="26"/>
      <c r="C52" s="26"/>
      <c r="D52" s="27"/>
      <c r="E52" s="28"/>
      <c r="F52" s="29"/>
      <c r="G52" s="28"/>
    </row>
    <row r="53" spans="1:9" ht="10.5" x14ac:dyDescent="0.25">
      <c r="A53" s="25" t="s">
        <v>10</v>
      </c>
      <c r="B53" s="26"/>
      <c r="C53" s="26"/>
      <c r="D53" s="27"/>
      <c r="E53" s="28"/>
      <c r="F53" s="29"/>
      <c r="G53" s="28"/>
    </row>
    <row r="54" spans="1:9" x14ac:dyDescent="0.2">
      <c r="A54" s="26" t="s">
        <v>166</v>
      </c>
      <c r="B54" s="26" t="s">
        <v>167</v>
      </c>
      <c r="C54" s="26" t="s">
        <v>168</v>
      </c>
      <c r="D54" s="30">
        <v>450</v>
      </c>
      <c r="E54" s="28">
        <v>4482.4949999999999</v>
      </c>
      <c r="F54" s="29">
        <v>3.3048849996445102</v>
      </c>
      <c r="G54" s="28">
        <v>10.6899</v>
      </c>
    </row>
    <row r="55" spans="1:9" x14ac:dyDescent="0.2">
      <c r="A55" s="26" t="s">
        <v>373</v>
      </c>
      <c r="B55" s="26" t="s">
        <v>374</v>
      </c>
      <c r="C55" s="26" t="s">
        <v>375</v>
      </c>
      <c r="D55" s="30">
        <v>350</v>
      </c>
      <c r="E55" s="28">
        <v>3744.1284999999998</v>
      </c>
      <c r="F55" s="29">
        <v>2.7604970259624402</v>
      </c>
      <c r="G55" s="28">
        <v>6.2958999999999996</v>
      </c>
    </row>
    <row r="56" spans="1:9" x14ac:dyDescent="0.2">
      <c r="A56" s="26" t="s">
        <v>470</v>
      </c>
      <c r="B56" s="26" t="s">
        <v>471</v>
      </c>
      <c r="C56" s="26" t="s">
        <v>168</v>
      </c>
      <c r="D56" s="30">
        <v>139</v>
      </c>
      <c r="E56" s="28">
        <v>1390.57546</v>
      </c>
      <c r="F56" s="29">
        <v>1.0252531187715199</v>
      </c>
      <c r="G56" s="28">
        <v>10.2499</v>
      </c>
    </row>
    <row r="57" spans="1:9" x14ac:dyDescent="0.2">
      <c r="A57" s="26" t="s">
        <v>357</v>
      </c>
      <c r="B57" s="26" t="s">
        <v>358</v>
      </c>
      <c r="C57" s="26" t="s">
        <v>351</v>
      </c>
      <c r="D57" s="30">
        <v>80</v>
      </c>
      <c r="E57" s="28">
        <v>785.08640000000003</v>
      </c>
      <c r="F57" s="29">
        <v>0.57883394555597001</v>
      </c>
      <c r="G57" s="28">
        <v>11.0334</v>
      </c>
    </row>
    <row r="58" spans="1:9" x14ac:dyDescent="0.2">
      <c r="A58" s="26" t="s">
        <v>251</v>
      </c>
      <c r="B58" s="26" t="s">
        <v>252</v>
      </c>
      <c r="C58" s="26" t="s">
        <v>16</v>
      </c>
      <c r="D58" s="30">
        <v>60</v>
      </c>
      <c r="E58" s="28">
        <v>675.43740000000003</v>
      </c>
      <c r="F58" s="29">
        <v>0.49799117042158197</v>
      </c>
      <c r="G58" s="28">
        <v>6.8223000000000003</v>
      </c>
    </row>
    <row r="59" spans="1:9" x14ac:dyDescent="0.2">
      <c r="A59" s="26" t="s">
        <v>918</v>
      </c>
      <c r="B59" s="26" t="s">
        <v>919</v>
      </c>
      <c r="C59" s="26" t="s">
        <v>16</v>
      </c>
      <c r="D59" s="30">
        <v>50</v>
      </c>
      <c r="E59" s="28">
        <v>523.32950000000005</v>
      </c>
      <c r="F59" s="29">
        <v>0.38584400304327399</v>
      </c>
      <c r="G59" s="28">
        <v>4.76</v>
      </c>
    </row>
    <row r="60" spans="1:9" x14ac:dyDescent="0.2">
      <c r="A60" s="26" t="s">
        <v>249</v>
      </c>
      <c r="B60" s="26" t="s">
        <v>250</v>
      </c>
      <c r="C60" s="26" t="s">
        <v>16</v>
      </c>
      <c r="D60" s="30">
        <v>30</v>
      </c>
      <c r="E60" s="28">
        <v>336.0231</v>
      </c>
      <c r="F60" s="29">
        <v>0.24774544148382699</v>
      </c>
      <c r="G60" s="28">
        <v>6.8902999999999999</v>
      </c>
    </row>
    <row r="61" spans="1:9" ht="10.5" x14ac:dyDescent="0.25">
      <c r="A61" s="25" t="s">
        <v>17</v>
      </c>
      <c r="B61" s="25"/>
      <c r="C61" s="25"/>
      <c r="D61" s="31"/>
      <c r="E61" s="32">
        <f>SUM(E53:E60)</f>
        <v>11937.075360000001</v>
      </c>
      <c r="F61" s="33">
        <f>SUM(F53:F60)</f>
        <v>8.8010497048831251</v>
      </c>
      <c r="G61" s="32"/>
      <c r="H61" s="18"/>
      <c r="I61" s="18"/>
    </row>
    <row r="62" spans="1:9" x14ac:dyDescent="0.2">
      <c r="A62" s="26"/>
      <c r="B62" s="26"/>
      <c r="C62" s="26"/>
      <c r="D62" s="27"/>
      <c r="E62" s="28"/>
      <c r="F62" s="29"/>
      <c r="G62" s="28"/>
    </row>
    <row r="63" spans="1:9" ht="10.5" x14ac:dyDescent="0.25">
      <c r="A63" s="25" t="s">
        <v>269</v>
      </c>
      <c r="B63" s="26"/>
      <c r="C63" s="26"/>
      <c r="D63" s="27"/>
      <c r="E63" s="28"/>
      <c r="F63" s="29"/>
      <c r="G63" s="28"/>
    </row>
    <row r="64" spans="1:9" x14ac:dyDescent="0.2">
      <c r="A64" s="26" t="s">
        <v>543</v>
      </c>
      <c r="B64" s="26" t="s">
        <v>544</v>
      </c>
      <c r="C64" s="26" t="s">
        <v>375</v>
      </c>
      <c r="D64" s="30">
        <v>14</v>
      </c>
      <c r="E64" s="28">
        <v>1967.5726</v>
      </c>
      <c r="F64" s="29">
        <v>1.4506655716183801</v>
      </c>
      <c r="G64" s="28">
        <v>10.19</v>
      </c>
    </row>
    <row r="65" spans="1:9" ht="10.5" x14ac:dyDescent="0.25">
      <c r="A65" s="25" t="s">
        <v>17</v>
      </c>
      <c r="B65" s="25"/>
      <c r="C65" s="25"/>
      <c r="D65" s="31"/>
      <c r="E65" s="32">
        <f>SUM(E63:E64)</f>
        <v>1967.5726</v>
      </c>
      <c r="F65" s="33">
        <f>SUM(F63:F64)</f>
        <v>1.4506655716183801</v>
      </c>
      <c r="G65" s="32"/>
      <c r="H65" s="18"/>
      <c r="I65" s="18"/>
    </row>
    <row r="66" spans="1:9" x14ac:dyDescent="0.2">
      <c r="A66" s="26"/>
      <c r="B66" s="26"/>
      <c r="C66" s="26"/>
      <c r="D66" s="27"/>
      <c r="E66" s="28"/>
      <c r="F66" s="29"/>
      <c r="G66" s="28"/>
    </row>
    <row r="67" spans="1:9" ht="10.5" x14ac:dyDescent="0.25">
      <c r="A67" s="25" t="s">
        <v>18</v>
      </c>
      <c r="B67" s="26"/>
      <c r="C67" s="26"/>
      <c r="D67" s="27"/>
      <c r="E67" s="28"/>
      <c r="F67" s="29"/>
      <c r="G67" s="28"/>
    </row>
    <row r="68" spans="1:9" ht="10.5" x14ac:dyDescent="0.25">
      <c r="A68" s="25" t="s">
        <v>105</v>
      </c>
      <c r="B68" s="26"/>
      <c r="C68" s="26"/>
      <c r="D68" s="27"/>
      <c r="E68" s="28"/>
      <c r="F68" s="29"/>
      <c r="G68" s="28"/>
    </row>
    <row r="69" spans="1:9" x14ac:dyDescent="0.2">
      <c r="A69" s="26" t="s">
        <v>994</v>
      </c>
      <c r="B69" s="26" t="s">
        <v>995</v>
      </c>
      <c r="C69" s="26" t="s">
        <v>25</v>
      </c>
      <c r="D69" s="30">
        <v>2500</v>
      </c>
      <c r="E69" s="28">
        <v>2490.16</v>
      </c>
      <c r="F69" s="29">
        <v>1.8359624340272001</v>
      </c>
      <c r="G69" s="28">
        <v>3.0051999999999999</v>
      </c>
    </row>
    <row r="70" spans="1:9" ht="10.5" x14ac:dyDescent="0.25">
      <c r="A70" s="25" t="s">
        <v>17</v>
      </c>
      <c r="B70" s="25"/>
      <c r="C70" s="25"/>
      <c r="D70" s="31"/>
      <c r="E70" s="32">
        <f>SUM(E68:E69)</f>
        <v>2490.16</v>
      </c>
      <c r="F70" s="33">
        <f>SUM(F68:F69)</f>
        <v>1.8359624340272001</v>
      </c>
      <c r="G70" s="32"/>
      <c r="H70" s="18"/>
      <c r="I70" s="18"/>
    </row>
    <row r="71" spans="1:9" x14ac:dyDescent="0.2">
      <c r="A71" s="26"/>
      <c r="B71" s="26"/>
      <c r="C71" s="26"/>
      <c r="D71" s="27"/>
      <c r="E71" s="28"/>
      <c r="F71" s="29"/>
      <c r="G71" s="28"/>
    </row>
    <row r="72" spans="1:9" ht="10.5" x14ac:dyDescent="0.25">
      <c r="A72" s="25" t="s">
        <v>41</v>
      </c>
      <c r="B72" s="26"/>
      <c r="C72" s="26"/>
      <c r="D72" s="27"/>
      <c r="E72" s="28"/>
      <c r="F72" s="29"/>
      <c r="G72" s="28"/>
    </row>
    <row r="73" spans="1:9" x14ac:dyDescent="0.2">
      <c r="A73" s="26" t="s">
        <v>42</v>
      </c>
      <c r="B73" s="26" t="s">
        <v>43</v>
      </c>
      <c r="C73" s="26" t="s">
        <v>44</v>
      </c>
      <c r="D73" s="30">
        <v>6000000</v>
      </c>
      <c r="E73" s="28">
        <v>5993.7</v>
      </c>
      <c r="F73" s="29">
        <v>4.4190767022315196</v>
      </c>
      <c r="G73" s="28">
        <v>2.9512</v>
      </c>
    </row>
    <row r="74" spans="1:9" ht="10.5" x14ac:dyDescent="0.25">
      <c r="A74" s="25" t="s">
        <v>17</v>
      </c>
      <c r="B74" s="25"/>
      <c r="C74" s="25"/>
      <c r="D74" s="31"/>
      <c r="E74" s="32">
        <f>SUM(E72:E73)</f>
        <v>5993.7</v>
      </c>
      <c r="F74" s="33">
        <f>SUM(F72:F73)</f>
        <v>4.4190767022315196</v>
      </c>
      <c r="G74" s="32"/>
      <c r="H74" s="18"/>
      <c r="I74" s="18"/>
    </row>
    <row r="75" spans="1:9" x14ac:dyDescent="0.2">
      <c r="A75" s="26"/>
      <c r="B75" s="26"/>
      <c r="C75" s="26"/>
      <c r="D75" s="27"/>
      <c r="E75" s="28"/>
      <c r="F75" s="29"/>
      <c r="G75" s="28"/>
    </row>
    <row r="76" spans="1:9" ht="10.5" x14ac:dyDescent="0.25">
      <c r="A76" s="25" t="s">
        <v>49</v>
      </c>
      <c r="B76" s="26"/>
      <c r="C76" s="26"/>
      <c r="D76" s="27"/>
      <c r="E76" s="28"/>
      <c r="F76" s="29"/>
      <c r="G76" s="28"/>
    </row>
    <row r="77" spans="1:9" x14ac:dyDescent="0.2">
      <c r="A77" s="26" t="s">
        <v>338</v>
      </c>
      <c r="B77" s="26" t="s">
        <v>339</v>
      </c>
      <c r="C77" s="26" t="s">
        <v>44</v>
      </c>
      <c r="D77" s="30">
        <v>2000000</v>
      </c>
      <c r="E77" s="28">
        <v>2184.4340000000002</v>
      </c>
      <c r="F77" s="29">
        <v>1.61055464854137</v>
      </c>
      <c r="G77" s="28">
        <v>5.2419000000000002</v>
      </c>
    </row>
    <row r="78" spans="1:9" x14ac:dyDescent="0.2">
      <c r="A78" s="26" t="s">
        <v>996</v>
      </c>
      <c r="B78" s="26" t="s">
        <v>997</v>
      </c>
      <c r="C78" s="26" t="s">
        <v>44</v>
      </c>
      <c r="D78" s="30">
        <v>1500000</v>
      </c>
      <c r="E78" s="28">
        <v>1497.9960000000001</v>
      </c>
      <c r="F78" s="29">
        <v>1.1044528794627699</v>
      </c>
      <c r="G78" s="28">
        <v>5.8672000000000004</v>
      </c>
    </row>
    <row r="79" spans="1:9" x14ac:dyDescent="0.2">
      <c r="A79" s="26" t="s">
        <v>173</v>
      </c>
      <c r="B79" s="26" t="s">
        <v>174</v>
      </c>
      <c r="C79" s="26" t="s">
        <v>44</v>
      </c>
      <c r="D79" s="30">
        <v>795000</v>
      </c>
      <c r="E79" s="28">
        <v>787.91098499999998</v>
      </c>
      <c r="F79" s="29">
        <v>0.58091647517323097</v>
      </c>
      <c r="G79" s="28">
        <v>5.8921999999999999</v>
      </c>
    </row>
    <row r="80" spans="1:9" x14ac:dyDescent="0.2">
      <c r="A80" s="26" t="s">
        <v>922</v>
      </c>
      <c r="B80" s="26" t="s">
        <v>923</v>
      </c>
      <c r="C80" s="26" t="s">
        <v>44</v>
      </c>
      <c r="D80" s="30">
        <v>300000</v>
      </c>
      <c r="E80" s="28">
        <v>314.75369999999998</v>
      </c>
      <c r="F80" s="29">
        <v>0.232063790748815</v>
      </c>
      <c r="G80" s="28">
        <v>4.7618</v>
      </c>
    </row>
    <row r="81" spans="1:9" x14ac:dyDescent="0.2">
      <c r="A81" s="26" t="s">
        <v>272</v>
      </c>
      <c r="B81" s="26" t="s">
        <v>273</v>
      </c>
      <c r="C81" s="26" t="s">
        <v>44</v>
      </c>
      <c r="D81" s="30">
        <v>100000</v>
      </c>
      <c r="E81" s="28">
        <v>108.2859</v>
      </c>
      <c r="F81" s="29">
        <v>7.9837779313307697E-2</v>
      </c>
      <c r="G81" s="28">
        <v>4.4074</v>
      </c>
    </row>
    <row r="82" spans="1:9" x14ac:dyDescent="0.2">
      <c r="A82" s="26" t="s">
        <v>171</v>
      </c>
      <c r="B82" s="26" t="s">
        <v>172</v>
      </c>
      <c r="C82" s="26" t="s">
        <v>44</v>
      </c>
      <c r="D82" s="30">
        <v>100000</v>
      </c>
      <c r="E82" s="28">
        <v>100.6902</v>
      </c>
      <c r="F82" s="29">
        <v>7.42375689412271E-2</v>
      </c>
      <c r="G82" s="28">
        <v>5.0444000000000004</v>
      </c>
    </row>
    <row r="83" spans="1:9" ht="10.5" x14ac:dyDescent="0.25">
      <c r="A83" s="25" t="s">
        <v>17</v>
      </c>
      <c r="B83" s="25"/>
      <c r="C83" s="25"/>
      <c r="D83" s="31"/>
      <c r="E83" s="32">
        <f>SUM(E77:E82)</f>
        <v>4994.0707850000008</v>
      </c>
      <c r="F83" s="33">
        <f>SUM(F77:F82)</f>
        <v>3.6820631421807204</v>
      </c>
      <c r="G83" s="32"/>
      <c r="H83" s="18"/>
      <c r="I83" s="18"/>
    </row>
    <row r="84" spans="1:9" x14ac:dyDescent="0.2">
      <c r="A84" s="26"/>
      <c r="B84" s="26"/>
      <c r="C84" s="26"/>
      <c r="D84" s="27"/>
      <c r="E84" s="28"/>
      <c r="F84" s="29"/>
      <c r="G84" s="28"/>
    </row>
    <row r="85" spans="1:9" ht="10.5" x14ac:dyDescent="0.25">
      <c r="A85" s="25" t="s">
        <v>62</v>
      </c>
      <c r="B85" s="25"/>
      <c r="C85" s="25"/>
      <c r="D85" s="31"/>
      <c r="E85" s="32">
        <f>E41+E46+E50+E61+E65+E70+E74+E83</f>
        <v>134242.64964600006</v>
      </c>
      <c r="F85" s="33">
        <f>F41+F46+F50+F61+F65+F70+F74+F83</f>
        <v>98.975351702031716</v>
      </c>
      <c r="G85" s="32"/>
      <c r="H85" s="18"/>
      <c r="I85" s="18"/>
    </row>
    <row r="86" spans="1:9" ht="10.5" x14ac:dyDescent="0.25">
      <c r="A86" s="25"/>
      <c r="B86" s="25"/>
      <c r="C86" s="25"/>
      <c r="D86" s="31"/>
      <c r="E86" s="32"/>
      <c r="F86" s="33"/>
      <c r="G86" s="32"/>
      <c r="H86" s="18"/>
      <c r="I86" s="18"/>
    </row>
    <row r="87" spans="1:9" ht="10.5" x14ac:dyDescent="0.25">
      <c r="A87" s="25" t="s">
        <v>63</v>
      </c>
      <c r="B87" s="25"/>
      <c r="C87" s="25"/>
      <c r="D87" s="31"/>
      <c r="E87" s="32">
        <f>E89-(E41+E46+E50+E61+E65+E70+E74+E83)</f>
        <v>1389.755126999924</v>
      </c>
      <c r="F87" s="33">
        <f>F89-(F41+F46+F50+F61+F65+F70+F74+F83)</f>
        <v>1.0246482979682838</v>
      </c>
      <c r="G87" s="32"/>
      <c r="H87" s="18"/>
      <c r="I87" s="18"/>
    </row>
    <row r="88" spans="1:9" ht="10.5" x14ac:dyDescent="0.25">
      <c r="A88" s="25"/>
      <c r="B88" s="25"/>
      <c r="C88" s="25"/>
      <c r="D88" s="31"/>
      <c r="E88" s="32"/>
      <c r="F88" s="33"/>
      <c r="G88" s="32"/>
      <c r="H88" s="18"/>
      <c r="I88" s="18"/>
    </row>
    <row r="89" spans="1:9" ht="10.5" x14ac:dyDescent="0.25">
      <c r="A89" s="34" t="s">
        <v>64</v>
      </c>
      <c r="B89" s="34"/>
      <c r="C89" s="34"/>
      <c r="D89" s="35"/>
      <c r="E89" s="36">
        <v>135632.40477299999</v>
      </c>
      <c r="F89" s="37">
        <v>100</v>
      </c>
      <c r="G89" s="36"/>
      <c r="H89" s="18"/>
      <c r="I89" s="18"/>
    </row>
    <row r="90" spans="1:9" ht="10.5" x14ac:dyDescent="0.25">
      <c r="F90" s="19" t="s">
        <v>924</v>
      </c>
    </row>
    <row r="91" spans="1:9" ht="10.5" x14ac:dyDescent="0.25">
      <c r="A91" s="18" t="s">
        <v>66</v>
      </c>
    </row>
    <row r="92" spans="1:9" ht="10.5" x14ac:dyDescent="0.25">
      <c r="A92" s="18"/>
    </row>
    <row r="93" spans="1:9" ht="10.5" x14ac:dyDescent="0.25">
      <c r="A93" s="18" t="s">
        <v>67</v>
      </c>
    </row>
    <row r="94" spans="1:9" ht="10.5" x14ac:dyDescent="0.25">
      <c r="A94" s="18" t="s">
        <v>68</v>
      </c>
    </row>
    <row r="95" spans="1:9" ht="10.5" x14ac:dyDescent="0.25">
      <c r="A95" s="18" t="s">
        <v>69</v>
      </c>
      <c r="B95" s="18"/>
      <c r="C95" s="38" t="s">
        <v>70</v>
      </c>
      <c r="D95" s="43" t="s">
        <v>71</v>
      </c>
    </row>
    <row r="96" spans="1:9" x14ac:dyDescent="0.2">
      <c r="A96" s="9" t="s">
        <v>98</v>
      </c>
      <c r="C96" s="39">
        <v>110.4723</v>
      </c>
      <c r="D96" s="39">
        <v>141.55090000000001</v>
      </c>
    </row>
    <row r="97" spans="1:5" x14ac:dyDescent="0.2">
      <c r="A97" s="9" t="s">
        <v>331</v>
      </c>
      <c r="C97" s="39">
        <v>17.590199999999999</v>
      </c>
      <c r="D97" s="39">
        <v>22.5398</v>
      </c>
    </row>
    <row r="98" spans="1:5" x14ac:dyDescent="0.2">
      <c r="A98" s="9" t="s">
        <v>101</v>
      </c>
      <c r="C98" s="39">
        <v>119.8188</v>
      </c>
      <c r="D98" s="39">
        <v>154.30000000000001</v>
      </c>
    </row>
    <row r="99" spans="1:5" x14ac:dyDescent="0.2">
      <c r="A99" s="9" t="s">
        <v>332</v>
      </c>
      <c r="C99" s="39">
        <v>19.633400000000002</v>
      </c>
      <c r="D99" s="39">
        <v>25.282599999999999</v>
      </c>
    </row>
    <row r="101" spans="1:5" ht="10.5" x14ac:dyDescent="0.25">
      <c r="A101" s="18" t="s">
        <v>90</v>
      </c>
      <c r="D101" s="43" t="s">
        <v>96</v>
      </c>
    </row>
    <row r="103" spans="1:5" ht="10.5" x14ac:dyDescent="0.25">
      <c r="A103" s="18" t="s">
        <v>998</v>
      </c>
      <c r="D103" s="59">
        <v>0.40129999999999999</v>
      </c>
    </row>
    <row r="105" spans="1:5" ht="10.5" x14ac:dyDescent="0.25">
      <c r="A105" s="18" t="s">
        <v>999</v>
      </c>
      <c r="D105" s="42">
        <v>2.2184804923562198</v>
      </c>
      <c r="E105" s="13" t="s">
        <v>95</v>
      </c>
    </row>
    <row r="107" spans="1:5" ht="10.5" x14ac:dyDescent="0.25">
      <c r="A107" s="18" t="s">
        <v>1000</v>
      </c>
      <c r="D107" s="43" t="s">
        <v>96</v>
      </c>
    </row>
    <row r="109" spans="1:5" ht="10.5" x14ac:dyDescent="0.25">
      <c r="A109" s="18" t="s">
        <v>1511</v>
      </c>
    </row>
    <row r="110" spans="1:5" x14ac:dyDescent="0.2">
      <c r="A110" s="47" t="s">
        <v>1509</v>
      </c>
    </row>
  </sheetData>
  <mergeCells count="1">
    <mergeCell ref="A1:G1"/>
  </mergeCells>
  <conditionalFormatting sqref="F2:F3 F5:F89 F91:F65537">
    <cfRule type="cellIs" dxfId="25" priority="2" stopIfTrue="1" operator="between">
      <formula>0.009</formula>
      <formula>-0.009</formula>
    </cfRule>
  </conditionalFormatting>
  <conditionalFormatting sqref="F90">
    <cfRule type="cellIs" dxfId="24" priority="1" stopIfTrue="1" operator="between">
      <formula>0.009</formula>
      <formula>-0.009</formula>
    </cfRule>
  </conditionalFormatting>
  <hyperlinks>
    <hyperlink ref="A110" r:id="rId1" xr:uid="{161F0F58-8730-4D08-BEE4-9DC9BCBE0F14}"/>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2"/>
  <sheetViews>
    <sheetView workbookViewId="0">
      <selection sqref="A1:F1"/>
    </sheetView>
  </sheetViews>
  <sheetFormatPr defaultColWidth="9.1796875" defaultRowHeight="10" x14ac:dyDescent="0.2"/>
  <cols>
    <col min="1" max="1" width="38.7265625" style="9" bestFit="1" customWidth="1"/>
    <col min="2" max="2" width="25.81640625" style="9" bestFit="1" customWidth="1"/>
    <col min="3" max="3" width="18.81640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66" t="s">
        <v>1001</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845</v>
      </c>
      <c r="B7" s="26" t="s">
        <v>846</v>
      </c>
      <c r="C7" s="26" t="s">
        <v>839</v>
      </c>
      <c r="D7" s="30">
        <v>800000</v>
      </c>
      <c r="E7" s="28">
        <v>4280.3999999999996</v>
      </c>
      <c r="F7" s="29">
        <v>9.2003123558387099</v>
      </c>
    </row>
    <row r="8" spans="1:6" x14ac:dyDescent="0.2">
      <c r="A8" s="26" t="s">
        <v>884</v>
      </c>
      <c r="B8" s="26" t="s">
        <v>885</v>
      </c>
      <c r="C8" s="26" t="s">
        <v>839</v>
      </c>
      <c r="D8" s="30">
        <v>1400000</v>
      </c>
      <c r="E8" s="28">
        <v>3849.3</v>
      </c>
      <c r="F8" s="29">
        <v>8.2737039415311493</v>
      </c>
    </row>
    <row r="9" spans="1:6" x14ac:dyDescent="0.2">
      <c r="A9" s="26" t="s">
        <v>847</v>
      </c>
      <c r="B9" s="26" t="s">
        <v>848</v>
      </c>
      <c r="C9" s="26" t="s">
        <v>849</v>
      </c>
      <c r="D9" s="30">
        <v>500000</v>
      </c>
      <c r="E9" s="28">
        <v>2548.5</v>
      </c>
      <c r="F9" s="29">
        <v>5.4777581625210203</v>
      </c>
    </row>
    <row r="10" spans="1:6" x14ac:dyDescent="0.2">
      <c r="A10" s="26" t="s">
        <v>843</v>
      </c>
      <c r="B10" s="26" t="s">
        <v>844</v>
      </c>
      <c r="C10" s="26" t="s">
        <v>839</v>
      </c>
      <c r="D10" s="30">
        <v>385000</v>
      </c>
      <c r="E10" s="28">
        <v>2388.7325000000001</v>
      </c>
      <c r="F10" s="29">
        <v>5.1343531292737801</v>
      </c>
    </row>
    <row r="11" spans="1:6" x14ac:dyDescent="0.2">
      <c r="A11" s="26" t="s">
        <v>840</v>
      </c>
      <c r="B11" s="26" t="s">
        <v>841</v>
      </c>
      <c r="C11" s="26" t="s">
        <v>842</v>
      </c>
      <c r="D11" s="30">
        <v>180000</v>
      </c>
      <c r="E11" s="28">
        <v>2260.44</v>
      </c>
      <c r="F11" s="29">
        <v>4.8586006124736203</v>
      </c>
    </row>
    <row r="12" spans="1:6" x14ac:dyDescent="0.2">
      <c r="A12" s="26" t="s">
        <v>1003</v>
      </c>
      <c r="B12" s="26" t="s">
        <v>1004</v>
      </c>
      <c r="C12" s="26" t="s">
        <v>871</v>
      </c>
      <c r="D12" s="30">
        <v>3000000</v>
      </c>
      <c r="E12" s="28">
        <v>2256</v>
      </c>
      <c r="F12" s="29">
        <v>4.8490572551098303</v>
      </c>
    </row>
    <row r="13" spans="1:6" x14ac:dyDescent="0.2">
      <c r="A13" s="26" t="s">
        <v>837</v>
      </c>
      <c r="B13" s="26" t="s">
        <v>838</v>
      </c>
      <c r="C13" s="26" t="s">
        <v>839</v>
      </c>
      <c r="D13" s="30">
        <v>150000</v>
      </c>
      <c r="E13" s="28">
        <v>2154.4499999999998</v>
      </c>
      <c r="F13" s="29">
        <v>4.6307851964855402</v>
      </c>
    </row>
    <row r="14" spans="1:6" x14ac:dyDescent="0.2">
      <c r="A14" s="26" t="s">
        <v>928</v>
      </c>
      <c r="B14" s="26" t="s">
        <v>929</v>
      </c>
      <c r="C14" s="26" t="s">
        <v>930</v>
      </c>
      <c r="D14" s="30">
        <v>210000</v>
      </c>
      <c r="E14" s="28">
        <v>1948.4849999999999</v>
      </c>
      <c r="F14" s="29">
        <v>4.1880830344515498</v>
      </c>
    </row>
    <row r="15" spans="1:6" x14ac:dyDescent="0.2">
      <c r="A15" s="26" t="s">
        <v>869</v>
      </c>
      <c r="B15" s="26" t="s">
        <v>870</v>
      </c>
      <c r="C15" s="26" t="s">
        <v>871</v>
      </c>
      <c r="D15" s="30">
        <v>250000</v>
      </c>
      <c r="E15" s="28">
        <v>1801.5</v>
      </c>
      <c r="F15" s="29">
        <v>3.8721527682093799</v>
      </c>
    </row>
    <row r="16" spans="1:6" x14ac:dyDescent="0.2">
      <c r="A16" s="26" t="s">
        <v>1005</v>
      </c>
      <c r="B16" s="26" t="s">
        <v>1006</v>
      </c>
      <c r="C16" s="26" t="s">
        <v>866</v>
      </c>
      <c r="D16" s="30">
        <v>800000</v>
      </c>
      <c r="E16" s="28">
        <v>1672</v>
      </c>
      <c r="F16" s="29">
        <v>3.5938048450991298</v>
      </c>
    </row>
    <row r="17" spans="1:6" x14ac:dyDescent="0.2">
      <c r="A17" s="26" t="s">
        <v>886</v>
      </c>
      <c r="B17" s="26" t="s">
        <v>887</v>
      </c>
      <c r="C17" s="26" t="s">
        <v>883</v>
      </c>
      <c r="D17" s="30">
        <v>1375676</v>
      </c>
      <c r="E17" s="28">
        <v>1366.7341060000001</v>
      </c>
      <c r="F17" s="29">
        <v>2.93766486369918</v>
      </c>
    </row>
    <row r="18" spans="1:6" x14ac:dyDescent="0.2">
      <c r="A18" s="26" t="s">
        <v>1007</v>
      </c>
      <c r="B18" s="26" t="s">
        <v>1008</v>
      </c>
      <c r="C18" s="26" t="s">
        <v>1009</v>
      </c>
      <c r="D18" s="30">
        <v>1100000</v>
      </c>
      <c r="E18" s="28">
        <v>1319.45</v>
      </c>
      <c r="F18" s="29">
        <v>2.8360321787476401</v>
      </c>
    </row>
    <row r="19" spans="1:6" x14ac:dyDescent="0.2">
      <c r="A19" s="26" t="s">
        <v>1010</v>
      </c>
      <c r="B19" s="26" t="s">
        <v>1011</v>
      </c>
      <c r="C19" s="26" t="s">
        <v>842</v>
      </c>
      <c r="D19" s="30">
        <v>130000</v>
      </c>
      <c r="E19" s="28">
        <v>1229.9949999999999</v>
      </c>
      <c r="F19" s="29">
        <v>2.6437571713204</v>
      </c>
    </row>
    <row r="20" spans="1:6" x14ac:dyDescent="0.2">
      <c r="A20" s="26" t="s">
        <v>1012</v>
      </c>
      <c r="B20" s="26" t="s">
        <v>1013</v>
      </c>
      <c r="C20" s="26" t="s">
        <v>1014</v>
      </c>
      <c r="D20" s="30">
        <v>1300000</v>
      </c>
      <c r="E20" s="28">
        <v>1209.6500000000001</v>
      </c>
      <c r="F20" s="29">
        <v>2.6000275304271301</v>
      </c>
    </row>
    <row r="21" spans="1:6" x14ac:dyDescent="0.2">
      <c r="A21" s="26" t="s">
        <v>1015</v>
      </c>
      <c r="B21" s="26" t="s">
        <v>1016</v>
      </c>
      <c r="C21" s="26" t="s">
        <v>1017</v>
      </c>
      <c r="D21" s="30">
        <v>250000</v>
      </c>
      <c r="E21" s="28">
        <v>1193.5</v>
      </c>
      <c r="F21" s="29">
        <v>2.5653146427187901</v>
      </c>
    </row>
    <row r="22" spans="1:6" x14ac:dyDescent="0.2">
      <c r="A22" s="26" t="s">
        <v>915</v>
      </c>
      <c r="B22" s="26" t="s">
        <v>916</v>
      </c>
      <c r="C22" s="26" t="s">
        <v>917</v>
      </c>
      <c r="D22" s="30">
        <v>800000</v>
      </c>
      <c r="E22" s="28">
        <v>1083.5999999999999</v>
      </c>
      <c r="F22" s="29">
        <v>2.3290950539171198</v>
      </c>
    </row>
    <row r="23" spans="1:6" x14ac:dyDescent="0.2">
      <c r="A23" s="26" t="s">
        <v>969</v>
      </c>
      <c r="B23" s="26" t="s">
        <v>970</v>
      </c>
      <c r="C23" s="26" t="s">
        <v>839</v>
      </c>
      <c r="D23" s="30">
        <v>1600000</v>
      </c>
      <c r="E23" s="28">
        <v>1067.2</v>
      </c>
      <c r="F23" s="29">
        <v>2.2938448150058601</v>
      </c>
    </row>
    <row r="24" spans="1:6" x14ac:dyDescent="0.2">
      <c r="A24" s="26" t="s">
        <v>1018</v>
      </c>
      <c r="B24" s="26" t="s">
        <v>1019</v>
      </c>
      <c r="C24" s="26" t="s">
        <v>892</v>
      </c>
      <c r="D24" s="30">
        <v>300000</v>
      </c>
      <c r="E24" s="28">
        <v>1033.95</v>
      </c>
      <c r="F24" s="29">
        <v>2.22237710501809</v>
      </c>
    </row>
    <row r="25" spans="1:6" x14ac:dyDescent="0.2">
      <c r="A25" s="26" t="s">
        <v>958</v>
      </c>
      <c r="B25" s="26" t="s">
        <v>959</v>
      </c>
      <c r="C25" s="26" t="s">
        <v>877</v>
      </c>
      <c r="D25" s="30">
        <v>1100000</v>
      </c>
      <c r="E25" s="28">
        <v>1000.45</v>
      </c>
      <c r="F25" s="29">
        <v>2.1503720438274101</v>
      </c>
    </row>
    <row r="26" spans="1:6" x14ac:dyDescent="0.2">
      <c r="A26" s="26" t="s">
        <v>967</v>
      </c>
      <c r="B26" s="26" t="s">
        <v>968</v>
      </c>
      <c r="C26" s="26" t="s">
        <v>863</v>
      </c>
      <c r="D26" s="30">
        <v>800000</v>
      </c>
      <c r="E26" s="28">
        <v>986</v>
      </c>
      <c r="F26" s="29">
        <v>2.1193131442988902</v>
      </c>
    </row>
    <row r="27" spans="1:6" x14ac:dyDescent="0.2">
      <c r="A27" s="26" t="s">
        <v>944</v>
      </c>
      <c r="B27" s="26" t="s">
        <v>945</v>
      </c>
      <c r="C27" s="26" t="s">
        <v>842</v>
      </c>
      <c r="D27" s="30">
        <v>100000</v>
      </c>
      <c r="E27" s="28">
        <v>973.2</v>
      </c>
      <c r="F27" s="29">
        <v>2.0918007627096098</v>
      </c>
    </row>
    <row r="28" spans="1:6" x14ac:dyDescent="0.2">
      <c r="A28" s="26" t="s">
        <v>881</v>
      </c>
      <c r="B28" s="26" t="s">
        <v>882</v>
      </c>
      <c r="C28" s="26" t="s">
        <v>883</v>
      </c>
      <c r="D28" s="30">
        <v>500000</v>
      </c>
      <c r="E28" s="28">
        <v>949.25</v>
      </c>
      <c r="F28" s="29">
        <v>2.0403225174703099</v>
      </c>
    </row>
    <row r="29" spans="1:6" x14ac:dyDescent="0.2">
      <c r="A29" s="26" t="s">
        <v>899</v>
      </c>
      <c r="B29" s="26" t="s">
        <v>900</v>
      </c>
      <c r="C29" s="26" t="s">
        <v>877</v>
      </c>
      <c r="D29" s="30">
        <v>200000</v>
      </c>
      <c r="E29" s="28">
        <v>762.2</v>
      </c>
      <c r="F29" s="29">
        <v>1.6382763474488999</v>
      </c>
    </row>
    <row r="30" spans="1:6" x14ac:dyDescent="0.2">
      <c r="A30" s="26" t="s">
        <v>963</v>
      </c>
      <c r="B30" s="26" t="s">
        <v>964</v>
      </c>
      <c r="C30" s="26" t="s">
        <v>937</v>
      </c>
      <c r="D30" s="30">
        <v>200000</v>
      </c>
      <c r="E30" s="28">
        <v>728.8</v>
      </c>
      <c r="F30" s="29">
        <v>1.56648622673938</v>
      </c>
    </row>
    <row r="31" spans="1:6" x14ac:dyDescent="0.2">
      <c r="A31" s="26" t="s">
        <v>867</v>
      </c>
      <c r="B31" s="26" t="s">
        <v>868</v>
      </c>
      <c r="C31" s="26" t="s">
        <v>863</v>
      </c>
      <c r="D31" s="30">
        <v>300000</v>
      </c>
      <c r="E31" s="28">
        <v>664.8</v>
      </c>
      <c r="F31" s="29">
        <v>1.4289243187930001</v>
      </c>
    </row>
    <row r="32" spans="1:6" x14ac:dyDescent="0.2">
      <c r="A32" s="26" t="s">
        <v>1020</v>
      </c>
      <c r="B32" s="26" t="s">
        <v>1021</v>
      </c>
      <c r="C32" s="26" t="s">
        <v>1022</v>
      </c>
      <c r="D32" s="30">
        <v>160000</v>
      </c>
      <c r="E32" s="28">
        <v>638.88</v>
      </c>
      <c r="F32" s="29">
        <v>1.37321174607472</v>
      </c>
    </row>
    <row r="33" spans="1:9" x14ac:dyDescent="0.2">
      <c r="A33" s="26" t="s">
        <v>1023</v>
      </c>
      <c r="B33" s="26" t="s">
        <v>1024</v>
      </c>
      <c r="C33" s="26" t="s">
        <v>854</v>
      </c>
      <c r="D33" s="30">
        <v>22219</v>
      </c>
      <c r="E33" s="28">
        <v>590.70322450000003</v>
      </c>
      <c r="F33" s="29">
        <v>1.26966035300465</v>
      </c>
    </row>
    <row r="34" spans="1:9" x14ac:dyDescent="0.2">
      <c r="A34" s="26" t="s">
        <v>1025</v>
      </c>
      <c r="B34" s="26" t="s">
        <v>1026</v>
      </c>
      <c r="C34" s="26" t="s">
        <v>937</v>
      </c>
      <c r="D34" s="30">
        <v>800000</v>
      </c>
      <c r="E34" s="28">
        <v>544.79999999999995</v>
      </c>
      <c r="F34" s="29">
        <v>1.1709957413935499</v>
      </c>
    </row>
    <row r="35" spans="1:9" x14ac:dyDescent="0.2">
      <c r="A35" s="26" t="s">
        <v>1027</v>
      </c>
      <c r="B35" s="26" t="s">
        <v>1028</v>
      </c>
      <c r="C35" s="26" t="s">
        <v>1029</v>
      </c>
      <c r="D35" s="30">
        <v>130000</v>
      </c>
      <c r="E35" s="28">
        <v>534.16999999999996</v>
      </c>
      <c r="F35" s="29">
        <v>1.14814756824558</v>
      </c>
    </row>
    <row r="36" spans="1:9" x14ac:dyDescent="0.2">
      <c r="A36" s="26" t="s">
        <v>1030</v>
      </c>
      <c r="B36" s="26" t="s">
        <v>1031</v>
      </c>
      <c r="C36" s="26" t="s">
        <v>930</v>
      </c>
      <c r="D36" s="30">
        <v>30000</v>
      </c>
      <c r="E36" s="28">
        <v>485.29500000000002</v>
      </c>
      <c r="F36" s="29">
        <v>1.0430954080755901</v>
      </c>
    </row>
    <row r="37" spans="1:9" x14ac:dyDescent="0.2">
      <c r="A37" s="26" t="s">
        <v>1032</v>
      </c>
      <c r="B37" s="26" t="s">
        <v>1033</v>
      </c>
      <c r="C37" s="26" t="s">
        <v>854</v>
      </c>
      <c r="D37" s="30">
        <v>3500</v>
      </c>
      <c r="E37" s="28">
        <v>447.48899999999998</v>
      </c>
      <c r="F37" s="29">
        <v>0.96183500976588898</v>
      </c>
    </row>
    <row r="38" spans="1:9" x14ac:dyDescent="0.2">
      <c r="A38" s="26" t="s">
        <v>960</v>
      </c>
      <c r="B38" s="26" t="s">
        <v>961</v>
      </c>
      <c r="C38" s="26" t="s">
        <v>962</v>
      </c>
      <c r="D38" s="30">
        <v>300000</v>
      </c>
      <c r="E38" s="28">
        <v>412.8</v>
      </c>
      <c r="F38" s="29">
        <v>0.88727430625414005</v>
      </c>
    </row>
    <row r="39" spans="1:9" x14ac:dyDescent="0.2">
      <c r="A39" s="26" t="s">
        <v>1034</v>
      </c>
      <c r="B39" s="26" t="s">
        <v>1035</v>
      </c>
      <c r="C39" s="26" t="s">
        <v>877</v>
      </c>
      <c r="D39" s="30">
        <v>56246</v>
      </c>
      <c r="E39" s="28">
        <v>404.46498600000001</v>
      </c>
      <c r="F39" s="29">
        <v>0.869358987057268</v>
      </c>
    </row>
    <row r="40" spans="1:9" ht="10.5" x14ac:dyDescent="0.25">
      <c r="A40" s="25" t="s">
        <v>17</v>
      </c>
      <c r="B40" s="25"/>
      <c r="C40" s="25"/>
      <c r="D40" s="31"/>
      <c r="E40" s="32">
        <f>SUM(E7:E39)</f>
        <v>44787.188816499998</v>
      </c>
      <c r="F40" s="33">
        <f>SUM(F7:F39)</f>
        <v>96.265799143006817</v>
      </c>
      <c r="G40" s="18"/>
      <c r="H40" s="18"/>
      <c r="I40" s="18"/>
    </row>
    <row r="41" spans="1:9" x14ac:dyDescent="0.2">
      <c r="A41" s="26"/>
      <c r="B41" s="26"/>
      <c r="C41" s="26"/>
      <c r="D41" s="27"/>
      <c r="E41" s="28"/>
      <c r="F41" s="29"/>
    </row>
    <row r="42" spans="1:9" ht="10.5" x14ac:dyDescent="0.25">
      <c r="A42" s="25" t="s">
        <v>62</v>
      </c>
      <c r="B42" s="25"/>
      <c r="C42" s="25"/>
      <c r="D42" s="31"/>
      <c r="E42" s="32">
        <f>E40</f>
        <v>44787.188816499998</v>
      </c>
      <c r="F42" s="33">
        <f>F40</f>
        <v>96.265799143006817</v>
      </c>
      <c r="G42" s="18"/>
      <c r="H42" s="18"/>
      <c r="I42" s="18"/>
    </row>
    <row r="43" spans="1:9" ht="10.5" x14ac:dyDescent="0.25">
      <c r="A43" s="25"/>
      <c r="B43" s="25"/>
      <c r="C43" s="25"/>
      <c r="D43" s="31"/>
      <c r="E43" s="32"/>
      <c r="F43" s="33"/>
      <c r="G43" s="18"/>
      <c r="H43" s="18"/>
      <c r="I43" s="18"/>
    </row>
    <row r="44" spans="1:9" ht="10.5" x14ac:dyDescent="0.25">
      <c r="A44" s="25" t="s">
        <v>63</v>
      </c>
      <c r="B44" s="25"/>
      <c r="C44" s="25"/>
      <c r="D44" s="31"/>
      <c r="E44" s="32">
        <f>E46-(E40)</f>
        <v>1737.3185529000039</v>
      </c>
      <c r="F44" s="33">
        <f>F46-(F40)</f>
        <v>3.7342008569931835</v>
      </c>
      <c r="G44" s="18"/>
      <c r="H44" s="18"/>
      <c r="I44" s="18"/>
    </row>
    <row r="45" spans="1:9" ht="10.5" x14ac:dyDescent="0.25">
      <c r="A45" s="25"/>
      <c r="B45" s="25"/>
      <c r="C45" s="25"/>
      <c r="D45" s="31"/>
      <c r="E45" s="32"/>
      <c r="F45" s="33"/>
      <c r="G45" s="18"/>
      <c r="H45" s="18"/>
      <c r="I45" s="18"/>
    </row>
    <row r="46" spans="1:9" ht="10.5" x14ac:dyDescent="0.25">
      <c r="A46" s="34" t="s">
        <v>64</v>
      </c>
      <c r="B46" s="34"/>
      <c r="C46" s="34"/>
      <c r="D46" s="35"/>
      <c r="E46" s="36">
        <v>46524.507369400002</v>
      </c>
      <c r="F46" s="37">
        <v>100</v>
      </c>
      <c r="G46" s="18"/>
      <c r="H46" s="18"/>
      <c r="I46" s="18"/>
    </row>
    <row r="49" spans="1:4" ht="10.5" x14ac:dyDescent="0.25">
      <c r="A49" s="18" t="s">
        <v>67</v>
      </c>
    </row>
    <row r="50" spans="1:4" ht="10.5" x14ac:dyDescent="0.25">
      <c r="A50" s="18" t="s">
        <v>68</v>
      </c>
    </row>
    <row r="51" spans="1:4" ht="10.5" x14ac:dyDescent="0.25">
      <c r="A51" s="18" t="s">
        <v>69</v>
      </c>
      <c r="B51" s="18"/>
      <c r="C51" s="38" t="s">
        <v>70</v>
      </c>
      <c r="D51" s="43" t="s">
        <v>71</v>
      </c>
    </row>
    <row r="52" spans="1:4" x14ac:dyDescent="0.2">
      <c r="A52" s="9" t="s">
        <v>98</v>
      </c>
      <c r="C52" s="39">
        <v>193.62870000000001</v>
      </c>
      <c r="D52" s="39">
        <v>270.4153</v>
      </c>
    </row>
    <row r="53" spans="1:4" x14ac:dyDescent="0.2">
      <c r="A53" s="9" t="s">
        <v>331</v>
      </c>
      <c r="C53" s="39">
        <v>42.346800000000002</v>
      </c>
      <c r="D53" s="39">
        <v>59.1402</v>
      </c>
    </row>
    <row r="54" spans="1:4" x14ac:dyDescent="0.2">
      <c r="A54" s="9" t="s">
        <v>101</v>
      </c>
      <c r="C54" s="39">
        <v>204.53319999999999</v>
      </c>
      <c r="D54" s="39">
        <v>287.01769999999999</v>
      </c>
    </row>
    <row r="55" spans="1:4" x14ac:dyDescent="0.2">
      <c r="A55" s="9" t="s">
        <v>332</v>
      </c>
      <c r="C55" s="39">
        <v>45.557000000000002</v>
      </c>
      <c r="D55" s="39">
        <v>63.921700000000001</v>
      </c>
    </row>
    <row r="57" spans="1:4" ht="10.5" x14ac:dyDescent="0.25">
      <c r="A57" s="18" t="s">
        <v>90</v>
      </c>
      <c r="D57" s="43" t="s">
        <v>96</v>
      </c>
    </row>
    <row r="59" spans="1:4" ht="10.5" x14ac:dyDescent="0.25">
      <c r="A59" s="18" t="s">
        <v>998</v>
      </c>
      <c r="D59" s="59">
        <v>0.1862</v>
      </c>
    </row>
    <row r="61" spans="1:4" ht="10.5" x14ac:dyDescent="0.25">
      <c r="A61" s="18" t="s">
        <v>1516</v>
      </c>
    </row>
    <row r="62" spans="1:4" x14ac:dyDescent="0.2">
      <c r="A62" s="47" t="s">
        <v>1509</v>
      </c>
    </row>
  </sheetData>
  <mergeCells count="1">
    <mergeCell ref="A1:F1"/>
  </mergeCells>
  <conditionalFormatting sqref="F2:F3 F5:F65536">
    <cfRule type="cellIs" dxfId="23" priority="1" stopIfTrue="1" operator="between">
      <formula>0.009</formula>
      <formula>-0.009</formula>
    </cfRule>
  </conditionalFormatting>
  <hyperlinks>
    <hyperlink ref="A62" r:id="rId1" xr:uid="{75F13C76-CE6C-4D32-B62C-2B99BD5AC3EE}"/>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8"/>
  <sheetViews>
    <sheetView workbookViewId="0">
      <selection sqref="A1:F1"/>
    </sheetView>
  </sheetViews>
  <sheetFormatPr defaultColWidth="9.1796875" defaultRowHeight="10" x14ac:dyDescent="0.2"/>
  <cols>
    <col min="1" max="1" width="40.54296875" style="9" bestFit="1" customWidth="1"/>
    <col min="2" max="2" width="26.54296875" style="9" bestFit="1" customWidth="1"/>
    <col min="3" max="3" width="21.179687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66" t="s">
        <v>1036</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840</v>
      </c>
      <c r="B7" s="26" t="s">
        <v>841</v>
      </c>
      <c r="C7" s="26" t="s">
        <v>842</v>
      </c>
      <c r="D7" s="30">
        <v>775444</v>
      </c>
      <c r="E7" s="28">
        <v>9738.0257519999996</v>
      </c>
      <c r="F7" s="29">
        <v>10.3761236930417</v>
      </c>
    </row>
    <row r="8" spans="1:6" x14ac:dyDescent="0.2">
      <c r="A8" s="26" t="s">
        <v>942</v>
      </c>
      <c r="B8" s="26" t="s">
        <v>943</v>
      </c>
      <c r="C8" s="26" t="s">
        <v>883</v>
      </c>
      <c r="D8" s="30">
        <v>7297866</v>
      </c>
      <c r="E8" s="28">
        <v>5520.8356290000002</v>
      </c>
      <c r="F8" s="29">
        <v>5.8825962093692601</v>
      </c>
    </row>
    <row r="9" spans="1:6" x14ac:dyDescent="0.2">
      <c r="A9" s="26" t="s">
        <v>881</v>
      </c>
      <c r="B9" s="26" t="s">
        <v>882</v>
      </c>
      <c r="C9" s="26" t="s">
        <v>883</v>
      </c>
      <c r="D9" s="30">
        <v>2509054</v>
      </c>
      <c r="E9" s="28">
        <v>4763.4390190000004</v>
      </c>
      <c r="F9" s="29">
        <v>5.0755701128900697</v>
      </c>
    </row>
    <row r="10" spans="1:6" x14ac:dyDescent="0.2">
      <c r="A10" s="26" t="s">
        <v>984</v>
      </c>
      <c r="B10" s="26" t="s">
        <v>985</v>
      </c>
      <c r="C10" s="26" t="s">
        <v>883</v>
      </c>
      <c r="D10" s="30">
        <v>14497327</v>
      </c>
      <c r="E10" s="28">
        <v>3283.6445659999999</v>
      </c>
      <c r="F10" s="29">
        <v>3.4988100307500698</v>
      </c>
    </row>
    <row r="11" spans="1:6" x14ac:dyDescent="0.2">
      <c r="A11" s="26" t="s">
        <v>886</v>
      </c>
      <c r="B11" s="26" t="s">
        <v>887</v>
      </c>
      <c r="C11" s="26" t="s">
        <v>883</v>
      </c>
      <c r="D11" s="30">
        <v>3291938</v>
      </c>
      <c r="E11" s="28">
        <v>3270.540403</v>
      </c>
      <c r="F11" s="29">
        <v>3.4848471988943599</v>
      </c>
    </row>
    <row r="12" spans="1:6" x14ac:dyDescent="0.2">
      <c r="A12" s="26" t="s">
        <v>1037</v>
      </c>
      <c r="B12" s="26" t="s">
        <v>1038</v>
      </c>
      <c r="C12" s="26" t="s">
        <v>892</v>
      </c>
      <c r="D12" s="30">
        <v>419757</v>
      </c>
      <c r="E12" s="28">
        <v>2711.840099</v>
      </c>
      <c r="F12" s="29">
        <v>2.8895372655176299</v>
      </c>
    </row>
    <row r="13" spans="1:6" x14ac:dyDescent="0.2">
      <c r="A13" s="26" t="s">
        <v>1039</v>
      </c>
      <c r="B13" s="26" t="s">
        <v>1040</v>
      </c>
      <c r="C13" s="26" t="s">
        <v>866</v>
      </c>
      <c r="D13" s="30">
        <v>401912</v>
      </c>
      <c r="E13" s="28">
        <v>2370.8788880000002</v>
      </c>
      <c r="F13" s="29">
        <v>2.5262340878546801</v>
      </c>
    </row>
    <row r="14" spans="1:6" x14ac:dyDescent="0.2">
      <c r="A14" s="26" t="s">
        <v>1041</v>
      </c>
      <c r="B14" s="26" t="s">
        <v>1042</v>
      </c>
      <c r="C14" s="26" t="s">
        <v>937</v>
      </c>
      <c r="D14" s="30">
        <v>234585</v>
      </c>
      <c r="E14" s="28">
        <v>2346.436463</v>
      </c>
      <c r="F14" s="29">
        <v>2.50019003830944</v>
      </c>
    </row>
    <row r="15" spans="1:6" x14ac:dyDescent="0.2">
      <c r="A15" s="26" t="s">
        <v>1043</v>
      </c>
      <c r="B15" s="26" t="s">
        <v>1044</v>
      </c>
      <c r="C15" s="26" t="s">
        <v>1022</v>
      </c>
      <c r="D15" s="30">
        <v>1517846</v>
      </c>
      <c r="E15" s="28">
        <v>2006.592412</v>
      </c>
      <c r="F15" s="29">
        <v>2.1380772241390602</v>
      </c>
    </row>
    <row r="16" spans="1:6" x14ac:dyDescent="0.2">
      <c r="A16" s="26" t="s">
        <v>861</v>
      </c>
      <c r="B16" s="26" t="s">
        <v>862</v>
      </c>
      <c r="C16" s="26" t="s">
        <v>863</v>
      </c>
      <c r="D16" s="30">
        <v>803388</v>
      </c>
      <c r="E16" s="28">
        <v>1989.188688</v>
      </c>
      <c r="F16" s="29">
        <v>2.1195330964541998</v>
      </c>
    </row>
    <row r="17" spans="1:6" x14ac:dyDescent="0.2">
      <c r="A17" s="26" t="s">
        <v>915</v>
      </c>
      <c r="B17" s="26" t="s">
        <v>916</v>
      </c>
      <c r="C17" s="26" t="s">
        <v>917</v>
      </c>
      <c r="D17" s="30">
        <v>1247000</v>
      </c>
      <c r="E17" s="28">
        <v>1689.0615</v>
      </c>
      <c r="F17" s="29">
        <v>1.7997396490305</v>
      </c>
    </row>
    <row r="18" spans="1:6" x14ac:dyDescent="0.2">
      <c r="A18" s="26" t="s">
        <v>1015</v>
      </c>
      <c r="B18" s="26" t="s">
        <v>1016</v>
      </c>
      <c r="C18" s="26" t="s">
        <v>1017</v>
      </c>
      <c r="D18" s="30">
        <v>334134</v>
      </c>
      <c r="E18" s="28">
        <v>1595.155716</v>
      </c>
      <c r="F18" s="29">
        <v>1.69968055542255</v>
      </c>
    </row>
    <row r="19" spans="1:6" x14ac:dyDescent="0.2">
      <c r="A19" s="26" t="s">
        <v>1045</v>
      </c>
      <c r="B19" s="26" t="s">
        <v>1046</v>
      </c>
      <c r="C19" s="26" t="s">
        <v>962</v>
      </c>
      <c r="D19" s="30">
        <v>178656</v>
      </c>
      <c r="E19" s="28">
        <v>1563.150672</v>
      </c>
      <c r="F19" s="29">
        <v>1.6655783355473299</v>
      </c>
    </row>
    <row r="20" spans="1:6" x14ac:dyDescent="0.2">
      <c r="A20" s="26" t="s">
        <v>1047</v>
      </c>
      <c r="B20" s="26" t="s">
        <v>1048</v>
      </c>
      <c r="C20" s="26" t="s">
        <v>1049</v>
      </c>
      <c r="D20" s="30">
        <v>136944</v>
      </c>
      <c r="E20" s="28">
        <v>1485.9793440000001</v>
      </c>
      <c r="F20" s="29">
        <v>1.5833502468898499</v>
      </c>
    </row>
    <row r="21" spans="1:6" x14ac:dyDescent="0.2">
      <c r="A21" s="26" t="s">
        <v>982</v>
      </c>
      <c r="B21" s="26" t="s">
        <v>983</v>
      </c>
      <c r="C21" s="26" t="s">
        <v>842</v>
      </c>
      <c r="D21" s="30">
        <v>51823</v>
      </c>
      <c r="E21" s="28">
        <v>1483.5629329999999</v>
      </c>
      <c r="F21" s="29">
        <v>1.5807754971338099</v>
      </c>
    </row>
    <row r="22" spans="1:6" x14ac:dyDescent="0.2">
      <c r="A22" s="26" t="s">
        <v>1050</v>
      </c>
      <c r="B22" s="26" t="s">
        <v>1051</v>
      </c>
      <c r="C22" s="26" t="s">
        <v>930</v>
      </c>
      <c r="D22" s="30">
        <v>76875</v>
      </c>
      <c r="E22" s="28">
        <v>1473.54</v>
      </c>
      <c r="F22" s="29">
        <v>1.57009579724149</v>
      </c>
    </row>
    <row r="23" spans="1:6" x14ac:dyDescent="0.2">
      <c r="A23" s="26" t="s">
        <v>1052</v>
      </c>
      <c r="B23" s="26" t="s">
        <v>1053</v>
      </c>
      <c r="C23" s="26" t="s">
        <v>880</v>
      </c>
      <c r="D23" s="30">
        <v>3209748</v>
      </c>
      <c r="E23" s="28">
        <v>1383.401388</v>
      </c>
      <c r="F23" s="29">
        <v>1.4740507249188</v>
      </c>
    </row>
    <row r="24" spans="1:6" x14ac:dyDescent="0.2">
      <c r="A24" s="26" t="s">
        <v>867</v>
      </c>
      <c r="B24" s="26" t="s">
        <v>868</v>
      </c>
      <c r="C24" s="26" t="s">
        <v>863</v>
      </c>
      <c r="D24" s="30">
        <v>624255</v>
      </c>
      <c r="E24" s="28">
        <v>1383.34908</v>
      </c>
      <c r="F24" s="29">
        <v>1.47399498936295</v>
      </c>
    </row>
    <row r="25" spans="1:6" x14ac:dyDescent="0.2">
      <c r="A25" s="26" t="s">
        <v>1023</v>
      </c>
      <c r="B25" s="26" t="s">
        <v>1024</v>
      </c>
      <c r="C25" s="26" t="s">
        <v>854</v>
      </c>
      <c r="D25" s="30">
        <v>46395</v>
      </c>
      <c r="E25" s="28">
        <v>1233.4342730000001</v>
      </c>
      <c r="F25" s="29">
        <v>1.3142568021301899</v>
      </c>
    </row>
    <row r="26" spans="1:6" x14ac:dyDescent="0.2">
      <c r="A26" s="26" t="s">
        <v>944</v>
      </c>
      <c r="B26" s="26" t="s">
        <v>945</v>
      </c>
      <c r="C26" s="26" t="s">
        <v>842</v>
      </c>
      <c r="D26" s="30">
        <v>121952</v>
      </c>
      <c r="E26" s="28">
        <v>1186.8368640000001</v>
      </c>
      <c r="F26" s="29">
        <v>1.26460603185368</v>
      </c>
    </row>
    <row r="27" spans="1:6" x14ac:dyDescent="0.2">
      <c r="A27" s="26" t="s">
        <v>1054</v>
      </c>
      <c r="B27" s="26" t="s">
        <v>1055</v>
      </c>
      <c r="C27" s="26" t="s">
        <v>871</v>
      </c>
      <c r="D27" s="30">
        <v>1239545</v>
      </c>
      <c r="E27" s="28">
        <v>1183.1457029999999</v>
      </c>
      <c r="F27" s="29">
        <v>1.2606730022969399</v>
      </c>
    </row>
    <row r="28" spans="1:6" x14ac:dyDescent="0.2">
      <c r="A28" s="26" t="s">
        <v>869</v>
      </c>
      <c r="B28" s="26" t="s">
        <v>870</v>
      </c>
      <c r="C28" s="26" t="s">
        <v>871</v>
      </c>
      <c r="D28" s="30">
        <v>155566</v>
      </c>
      <c r="E28" s="28">
        <v>1121.0085959999999</v>
      </c>
      <c r="F28" s="29">
        <v>1.1944642732814701</v>
      </c>
    </row>
    <row r="29" spans="1:6" x14ac:dyDescent="0.2">
      <c r="A29" s="26" t="s">
        <v>928</v>
      </c>
      <c r="B29" s="26" t="s">
        <v>929</v>
      </c>
      <c r="C29" s="26" t="s">
        <v>930</v>
      </c>
      <c r="D29" s="30">
        <v>114691</v>
      </c>
      <c r="E29" s="28">
        <v>1064.1604440000001</v>
      </c>
      <c r="F29" s="29">
        <v>1.13389106553948</v>
      </c>
    </row>
    <row r="30" spans="1:6" x14ac:dyDescent="0.2">
      <c r="A30" s="26" t="s">
        <v>926</v>
      </c>
      <c r="B30" s="26" t="s">
        <v>927</v>
      </c>
      <c r="C30" s="26" t="s">
        <v>874</v>
      </c>
      <c r="D30" s="30">
        <v>20000</v>
      </c>
      <c r="E30" s="28">
        <v>1041.02</v>
      </c>
      <c r="F30" s="29">
        <v>1.10923431114482</v>
      </c>
    </row>
    <row r="31" spans="1:6" x14ac:dyDescent="0.2">
      <c r="A31" s="26" t="s">
        <v>1025</v>
      </c>
      <c r="B31" s="26" t="s">
        <v>1026</v>
      </c>
      <c r="C31" s="26" t="s">
        <v>937</v>
      </c>
      <c r="D31" s="30">
        <v>1505501</v>
      </c>
      <c r="E31" s="28">
        <v>1025.246181</v>
      </c>
      <c r="F31" s="29">
        <v>1.0924268902954699</v>
      </c>
    </row>
    <row r="32" spans="1:6" x14ac:dyDescent="0.2">
      <c r="A32" s="26" t="s">
        <v>969</v>
      </c>
      <c r="B32" s="26" t="s">
        <v>970</v>
      </c>
      <c r="C32" s="26" t="s">
        <v>839</v>
      </c>
      <c r="D32" s="30">
        <v>1505600</v>
      </c>
      <c r="E32" s="28">
        <v>1004.2352</v>
      </c>
      <c r="F32" s="29">
        <v>1.0700391349824001</v>
      </c>
    </row>
    <row r="33" spans="1:9" x14ac:dyDescent="0.2">
      <c r="A33" s="26" t="s">
        <v>864</v>
      </c>
      <c r="B33" s="26" t="s">
        <v>865</v>
      </c>
      <c r="C33" s="26" t="s">
        <v>866</v>
      </c>
      <c r="D33" s="30">
        <v>64045</v>
      </c>
      <c r="E33" s="28">
        <v>1002.464363</v>
      </c>
      <c r="F33" s="29">
        <v>1.06815226137782</v>
      </c>
    </row>
    <row r="34" spans="1:9" x14ac:dyDescent="0.2">
      <c r="A34" s="26" t="s">
        <v>1007</v>
      </c>
      <c r="B34" s="26" t="s">
        <v>1008</v>
      </c>
      <c r="C34" s="26" t="s">
        <v>1009</v>
      </c>
      <c r="D34" s="30">
        <v>821499</v>
      </c>
      <c r="E34" s="28">
        <v>985.38805049999996</v>
      </c>
      <c r="F34" s="29">
        <v>1.0499569992955999</v>
      </c>
    </row>
    <row r="35" spans="1:9" x14ac:dyDescent="0.2">
      <c r="A35" s="26" t="s">
        <v>1056</v>
      </c>
      <c r="B35" s="26" t="s">
        <v>1057</v>
      </c>
      <c r="C35" s="26" t="s">
        <v>866</v>
      </c>
      <c r="D35" s="30">
        <v>38206</v>
      </c>
      <c r="E35" s="28">
        <v>915.18652399999996</v>
      </c>
      <c r="F35" s="29">
        <v>0.97515541826109198</v>
      </c>
    </row>
    <row r="36" spans="1:9" x14ac:dyDescent="0.2">
      <c r="A36" s="26" t="s">
        <v>958</v>
      </c>
      <c r="B36" s="26" t="s">
        <v>959</v>
      </c>
      <c r="C36" s="26" t="s">
        <v>877</v>
      </c>
      <c r="D36" s="30">
        <v>972460</v>
      </c>
      <c r="E36" s="28">
        <v>884.45236999999997</v>
      </c>
      <c r="F36" s="29">
        <v>0.942407365254609</v>
      </c>
    </row>
    <row r="37" spans="1:9" x14ac:dyDescent="0.2">
      <c r="A37" s="26" t="s">
        <v>1003</v>
      </c>
      <c r="B37" s="26" t="s">
        <v>1004</v>
      </c>
      <c r="C37" s="26" t="s">
        <v>871</v>
      </c>
      <c r="D37" s="30">
        <v>1158906</v>
      </c>
      <c r="E37" s="28">
        <v>871.49731199999997</v>
      </c>
      <c r="F37" s="29">
        <v>0.92860340871537705</v>
      </c>
    </row>
    <row r="38" spans="1:9" x14ac:dyDescent="0.2">
      <c r="A38" s="26" t="s">
        <v>1058</v>
      </c>
      <c r="B38" s="26" t="s">
        <v>1059</v>
      </c>
      <c r="C38" s="26" t="s">
        <v>917</v>
      </c>
      <c r="D38" s="30">
        <v>709254</v>
      </c>
      <c r="E38" s="28">
        <v>811.74120300000004</v>
      </c>
      <c r="F38" s="29">
        <v>0.86493169596892605</v>
      </c>
    </row>
    <row r="39" spans="1:9" x14ac:dyDescent="0.2">
      <c r="A39" s="26" t="s">
        <v>967</v>
      </c>
      <c r="B39" s="26" t="s">
        <v>968</v>
      </c>
      <c r="C39" s="26" t="s">
        <v>863</v>
      </c>
      <c r="D39" s="30">
        <v>621258</v>
      </c>
      <c r="E39" s="28">
        <v>765.70048499999996</v>
      </c>
      <c r="F39" s="29">
        <v>0.81587409465930405</v>
      </c>
    </row>
    <row r="40" spans="1:9" x14ac:dyDescent="0.2">
      <c r="A40" s="26" t="s">
        <v>1060</v>
      </c>
      <c r="B40" s="26" t="s">
        <v>1061</v>
      </c>
      <c r="C40" s="26" t="s">
        <v>930</v>
      </c>
      <c r="D40" s="30">
        <v>70800</v>
      </c>
      <c r="E40" s="28">
        <v>764.46299999999997</v>
      </c>
      <c r="F40" s="29">
        <v>0.81455552170054502</v>
      </c>
    </row>
    <row r="41" spans="1:9" x14ac:dyDescent="0.2">
      <c r="A41" s="26" t="s">
        <v>875</v>
      </c>
      <c r="B41" s="26" t="s">
        <v>876</v>
      </c>
      <c r="C41" s="26" t="s">
        <v>877</v>
      </c>
      <c r="D41" s="30">
        <v>339633</v>
      </c>
      <c r="E41" s="28">
        <v>740.06030699999997</v>
      </c>
      <c r="F41" s="29">
        <v>0.78855380765092697</v>
      </c>
    </row>
    <row r="42" spans="1:9" x14ac:dyDescent="0.2">
      <c r="A42" s="26" t="s">
        <v>1012</v>
      </c>
      <c r="B42" s="26" t="s">
        <v>1013</v>
      </c>
      <c r="C42" s="26" t="s">
        <v>1014</v>
      </c>
      <c r="D42" s="30">
        <v>753071</v>
      </c>
      <c r="E42" s="28">
        <v>700.73256549999996</v>
      </c>
      <c r="F42" s="29">
        <v>0.74664906014210497</v>
      </c>
    </row>
    <row r="43" spans="1:9" x14ac:dyDescent="0.2">
      <c r="A43" s="26" t="s">
        <v>1062</v>
      </c>
      <c r="B43" s="26" t="s">
        <v>1063</v>
      </c>
      <c r="C43" s="26" t="s">
        <v>883</v>
      </c>
      <c r="D43" s="30">
        <v>100000</v>
      </c>
      <c r="E43" s="28">
        <v>614.29999999999995</v>
      </c>
      <c r="F43" s="29">
        <v>0.65455287826964204</v>
      </c>
    </row>
    <row r="44" spans="1:9" x14ac:dyDescent="0.2">
      <c r="A44" s="26" t="s">
        <v>1064</v>
      </c>
      <c r="B44" s="26" t="s">
        <v>1065</v>
      </c>
      <c r="C44" s="26" t="s">
        <v>842</v>
      </c>
      <c r="D44" s="30">
        <v>119545</v>
      </c>
      <c r="E44" s="28">
        <v>613.32562250000001</v>
      </c>
      <c r="F44" s="29">
        <v>0.65351465330277503</v>
      </c>
    </row>
    <row r="45" spans="1:9" x14ac:dyDescent="0.2">
      <c r="A45" s="26" t="s">
        <v>960</v>
      </c>
      <c r="B45" s="26" t="s">
        <v>961</v>
      </c>
      <c r="C45" s="26" t="s">
        <v>962</v>
      </c>
      <c r="D45" s="30">
        <v>439349</v>
      </c>
      <c r="E45" s="28">
        <v>604.54422399999999</v>
      </c>
      <c r="F45" s="29">
        <v>0.644157841218439</v>
      </c>
    </row>
    <row r="46" spans="1:9" ht="10.5" x14ac:dyDescent="0.25">
      <c r="A46" s="25" t="s">
        <v>17</v>
      </c>
      <c r="B46" s="25"/>
      <c r="C46" s="25"/>
      <c r="D46" s="31"/>
      <c r="E46" s="32">
        <f>SUM(E7:E45)</f>
        <v>69191.565839500006</v>
      </c>
      <c r="F46" s="33">
        <f>SUM(F7:F45)</f>
        <v>73.725441270109357</v>
      </c>
      <c r="G46" s="18"/>
      <c r="H46" s="18"/>
      <c r="I46" s="18"/>
    </row>
    <row r="47" spans="1:9" x14ac:dyDescent="0.2">
      <c r="A47" s="26"/>
      <c r="B47" s="26"/>
      <c r="C47" s="26"/>
      <c r="D47" s="27"/>
      <c r="E47" s="28"/>
      <c r="F47" s="29"/>
    </row>
    <row r="48" spans="1:9" ht="10.5" x14ac:dyDescent="0.25">
      <c r="A48" s="25" t="s">
        <v>971</v>
      </c>
      <c r="B48" s="26"/>
      <c r="C48" s="26"/>
      <c r="D48" s="27"/>
      <c r="E48" s="28"/>
      <c r="F48" s="29"/>
    </row>
    <row r="49" spans="1:9" x14ac:dyDescent="0.2">
      <c r="A49" s="26" t="s">
        <v>972</v>
      </c>
      <c r="B49" s="26" t="s">
        <v>973</v>
      </c>
      <c r="C49" s="26" t="s">
        <v>1138</v>
      </c>
      <c r="D49" s="30">
        <v>933400</v>
      </c>
      <c r="E49" s="28">
        <v>3212.9494800000002</v>
      </c>
      <c r="F49" s="29">
        <v>3.4234825490297101</v>
      </c>
    </row>
    <row r="50" spans="1:9" ht="10.5" x14ac:dyDescent="0.25">
      <c r="A50" s="25" t="s">
        <v>17</v>
      </c>
      <c r="B50" s="25"/>
      <c r="C50" s="25"/>
      <c r="D50" s="31"/>
      <c r="E50" s="32">
        <f>SUM(E48:E49)</f>
        <v>3212.9494800000002</v>
      </c>
      <c r="F50" s="33">
        <f>SUM(F48:F49)</f>
        <v>3.4234825490297101</v>
      </c>
      <c r="G50" s="18"/>
      <c r="H50" s="18"/>
      <c r="I50" s="18"/>
    </row>
    <row r="51" spans="1:9" x14ac:dyDescent="0.2">
      <c r="A51" s="26"/>
      <c r="B51" s="26"/>
      <c r="C51" s="26"/>
      <c r="D51" s="27"/>
      <c r="E51" s="28"/>
      <c r="F51" s="29"/>
    </row>
    <row r="52" spans="1:9" ht="10.5" x14ac:dyDescent="0.25">
      <c r="A52" s="25" t="s">
        <v>1066</v>
      </c>
      <c r="B52" s="26"/>
      <c r="C52" s="26"/>
      <c r="D52" s="27"/>
      <c r="E52" s="28"/>
      <c r="F52" s="29"/>
    </row>
    <row r="53" spans="1:9" x14ac:dyDescent="0.2">
      <c r="A53" s="26" t="s">
        <v>1067</v>
      </c>
      <c r="B53" s="26" t="s">
        <v>1068</v>
      </c>
      <c r="C53" s="26" t="s">
        <v>1009</v>
      </c>
      <c r="D53" s="30">
        <v>4075983</v>
      </c>
      <c r="E53" s="28">
        <v>7780.2587679999997</v>
      </c>
      <c r="F53" s="29">
        <v>8.2900712522822992</v>
      </c>
    </row>
    <row r="54" spans="1:9" x14ac:dyDescent="0.2">
      <c r="A54" s="26" t="s">
        <v>1069</v>
      </c>
      <c r="B54" s="26" t="s">
        <v>1070</v>
      </c>
      <c r="C54" s="26" t="s">
        <v>866</v>
      </c>
      <c r="D54" s="30">
        <v>86900</v>
      </c>
      <c r="E54" s="28">
        <v>3867.118399</v>
      </c>
      <c r="F54" s="29">
        <v>4.1205168137309798</v>
      </c>
    </row>
    <row r="55" spans="1:9" x14ac:dyDescent="0.2">
      <c r="A55" s="26" t="s">
        <v>1071</v>
      </c>
      <c r="B55" s="26" t="s">
        <v>1072</v>
      </c>
      <c r="C55" s="26" t="s">
        <v>1022</v>
      </c>
      <c r="D55" s="30">
        <v>2562198</v>
      </c>
      <c r="E55" s="28">
        <v>2232.5363689999999</v>
      </c>
      <c r="F55" s="29">
        <v>2.3788264791968201</v>
      </c>
    </row>
    <row r="56" spans="1:9" x14ac:dyDescent="0.2">
      <c r="A56" s="26" t="s">
        <v>1073</v>
      </c>
      <c r="B56" s="26" t="s">
        <v>1074</v>
      </c>
      <c r="C56" s="26" t="s">
        <v>1075</v>
      </c>
      <c r="D56" s="30">
        <v>187038</v>
      </c>
      <c r="E56" s="28">
        <v>1795.501293</v>
      </c>
      <c r="F56" s="29">
        <v>1.91315406034513</v>
      </c>
    </row>
    <row r="57" spans="1:9" x14ac:dyDescent="0.2">
      <c r="A57" s="26" t="s">
        <v>1076</v>
      </c>
      <c r="B57" s="26" t="s">
        <v>1077</v>
      </c>
      <c r="C57" s="26" t="s">
        <v>857</v>
      </c>
      <c r="D57" s="30">
        <v>3297307</v>
      </c>
      <c r="E57" s="28">
        <v>1202.837612</v>
      </c>
      <c r="F57" s="29">
        <v>1.28165525154742</v>
      </c>
    </row>
    <row r="58" spans="1:9" x14ac:dyDescent="0.2">
      <c r="A58" s="26" t="s">
        <v>1078</v>
      </c>
      <c r="B58" s="26" t="s">
        <v>1079</v>
      </c>
      <c r="C58" s="26" t="s">
        <v>842</v>
      </c>
      <c r="D58" s="30">
        <v>633055</v>
      </c>
      <c r="E58" s="28">
        <v>1115.885669</v>
      </c>
      <c r="F58" s="29">
        <v>1.18900565922806</v>
      </c>
    </row>
    <row r="59" spans="1:9" x14ac:dyDescent="0.2">
      <c r="A59" s="26" t="s">
        <v>1080</v>
      </c>
      <c r="B59" s="26" t="s">
        <v>1081</v>
      </c>
      <c r="C59" s="26" t="s">
        <v>1082</v>
      </c>
      <c r="D59" s="30">
        <v>500000</v>
      </c>
      <c r="E59" s="28">
        <v>634.12391249999996</v>
      </c>
      <c r="F59" s="29">
        <v>0.67567578073658097</v>
      </c>
    </row>
    <row r="60" spans="1:9" x14ac:dyDescent="0.2">
      <c r="A60" s="26" t="s">
        <v>1083</v>
      </c>
      <c r="B60" s="26" t="s">
        <v>1084</v>
      </c>
      <c r="C60" s="26" t="s">
        <v>854</v>
      </c>
      <c r="D60" s="30">
        <v>200000</v>
      </c>
      <c r="E60" s="28">
        <v>590.03947459999995</v>
      </c>
      <c r="F60" s="29">
        <v>0.628702647553536</v>
      </c>
    </row>
    <row r="61" spans="1:9" x14ac:dyDescent="0.2">
      <c r="A61" s="26" t="s">
        <v>1085</v>
      </c>
      <c r="B61" s="26" t="s">
        <v>1086</v>
      </c>
      <c r="C61" s="26" t="s">
        <v>937</v>
      </c>
      <c r="D61" s="30">
        <v>25000</v>
      </c>
      <c r="E61" s="28">
        <v>219.58105950000001</v>
      </c>
      <c r="F61" s="29">
        <v>0.233969419679672</v>
      </c>
    </row>
    <row r="62" spans="1:9" ht="10.5" x14ac:dyDescent="0.25">
      <c r="A62" s="25" t="s">
        <v>17</v>
      </c>
      <c r="B62" s="25"/>
      <c r="C62" s="25"/>
      <c r="D62" s="31"/>
      <c r="E62" s="32">
        <f>SUM(E52:E61)</f>
        <v>19437.882556599994</v>
      </c>
      <c r="F62" s="33">
        <f>SUM(F52:F61)</f>
        <v>20.711577364300492</v>
      </c>
      <c r="G62" s="18"/>
      <c r="H62" s="18"/>
      <c r="I62" s="18"/>
    </row>
    <row r="63" spans="1:9" x14ac:dyDescent="0.2">
      <c r="A63" s="26"/>
      <c r="B63" s="26"/>
      <c r="C63" s="26"/>
      <c r="D63" s="27"/>
      <c r="E63" s="28"/>
      <c r="F63" s="29"/>
    </row>
    <row r="64" spans="1:9" ht="10.5" x14ac:dyDescent="0.25">
      <c r="A64" s="25" t="s">
        <v>62</v>
      </c>
      <c r="B64" s="25"/>
      <c r="C64" s="25"/>
      <c r="D64" s="31"/>
      <c r="E64" s="32">
        <f>E46+E50+E62</f>
        <v>91842.397876100003</v>
      </c>
      <c r="F64" s="33">
        <f>F46+F50+F62</f>
        <v>97.860501183439567</v>
      </c>
      <c r="G64" s="18"/>
      <c r="H64" s="18"/>
      <c r="I64" s="18"/>
    </row>
    <row r="65" spans="1:9" ht="10.5" x14ac:dyDescent="0.25">
      <c r="A65" s="25"/>
      <c r="B65" s="25"/>
      <c r="C65" s="25"/>
      <c r="D65" s="31"/>
      <c r="E65" s="32"/>
      <c r="F65" s="33"/>
      <c r="G65" s="18"/>
      <c r="H65" s="18"/>
      <c r="I65" s="18"/>
    </row>
    <row r="66" spans="1:9" ht="10.5" x14ac:dyDescent="0.25">
      <c r="A66" s="25" t="s">
        <v>63</v>
      </c>
      <c r="B66" s="25"/>
      <c r="C66" s="25"/>
      <c r="D66" s="31"/>
      <c r="E66" s="32">
        <f>E68-(E46+E50+E62)</f>
        <v>2007.9265810999932</v>
      </c>
      <c r="F66" s="33">
        <f>F68-(F46+F50+F62)</f>
        <v>2.1394988165604332</v>
      </c>
      <c r="G66" s="18"/>
      <c r="H66" s="18"/>
      <c r="I66" s="18"/>
    </row>
    <row r="67" spans="1:9" ht="10.5" x14ac:dyDescent="0.25">
      <c r="A67" s="25"/>
      <c r="B67" s="25"/>
      <c r="C67" s="25"/>
      <c r="D67" s="31"/>
      <c r="E67" s="32"/>
      <c r="F67" s="33"/>
      <c r="G67" s="18"/>
      <c r="H67" s="18"/>
      <c r="I67" s="18"/>
    </row>
    <row r="68" spans="1:9" ht="10.5" x14ac:dyDescent="0.25">
      <c r="A68" s="34" t="s">
        <v>64</v>
      </c>
      <c r="B68" s="34"/>
      <c r="C68" s="34"/>
      <c r="D68" s="35"/>
      <c r="E68" s="36">
        <v>93850.324457199997</v>
      </c>
      <c r="F68" s="37">
        <v>100</v>
      </c>
      <c r="G68" s="18"/>
      <c r="H68" s="18"/>
      <c r="I68" s="18"/>
    </row>
    <row r="71" spans="1:9" ht="10.5" x14ac:dyDescent="0.25">
      <c r="A71" s="18" t="s">
        <v>67</v>
      </c>
    </row>
    <row r="72" spans="1:9" ht="10.5" x14ac:dyDescent="0.25">
      <c r="A72" s="18" t="s">
        <v>68</v>
      </c>
    </row>
    <row r="73" spans="1:9" ht="10.5" x14ac:dyDescent="0.25">
      <c r="A73" s="18" t="s">
        <v>69</v>
      </c>
      <c r="B73" s="18"/>
      <c r="C73" s="38" t="s">
        <v>70</v>
      </c>
      <c r="D73" s="43" t="s">
        <v>71</v>
      </c>
    </row>
    <row r="74" spans="1:9" x14ac:dyDescent="0.2">
      <c r="A74" s="9" t="s">
        <v>98</v>
      </c>
      <c r="C74" s="39">
        <v>40.838500000000003</v>
      </c>
      <c r="D74" s="39">
        <v>56.966200000000001</v>
      </c>
    </row>
    <row r="75" spans="1:9" x14ac:dyDescent="0.2">
      <c r="A75" s="9" t="s">
        <v>331</v>
      </c>
      <c r="C75" s="39">
        <v>11.8405</v>
      </c>
      <c r="D75" s="39">
        <v>15.642799999999999</v>
      </c>
    </row>
    <row r="76" spans="1:9" x14ac:dyDescent="0.2">
      <c r="A76" s="9" t="s">
        <v>101</v>
      </c>
      <c r="C76" s="39">
        <v>42.908299999999997</v>
      </c>
      <c r="D76" s="39">
        <v>60.162300000000002</v>
      </c>
    </row>
    <row r="77" spans="1:9" x14ac:dyDescent="0.2">
      <c r="A77" s="9" t="s">
        <v>332</v>
      </c>
      <c r="C77" s="39">
        <v>12.6501</v>
      </c>
      <c r="D77" s="39">
        <v>16.858699999999999</v>
      </c>
    </row>
    <row r="79" spans="1:9" ht="10.5" x14ac:dyDescent="0.25">
      <c r="A79" s="18" t="s">
        <v>90</v>
      </c>
    </row>
    <row r="80" spans="1:9" ht="10.5" x14ac:dyDescent="0.25">
      <c r="A80" s="77" t="s">
        <v>91</v>
      </c>
      <c r="B80" s="78"/>
      <c r="C80" s="40" t="s">
        <v>92</v>
      </c>
    </row>
    <row r="81" spans="1:4" x14ac:dyDescent="0.2">
      <c r="A81" s="79" t="s">
        <v>331</v>
      </c>
      <c r="B81" s="80"/>
      <c r="C81" s="41">
        <v>0.7</v>
      </c>
    </row>
    <row r="82" spans="1:4" x14ac:dyDescent="0.2">
      <c r="A82" s="79" t="s">
        <v>332</v>
      </c>
      <c r="B82" s="80"/>
      <c r="C82" s="41">
        <v>0.7</v>
      </c>
    </row>
    <row r="83" spans="1:4" x14ac:dyDescent="0.2">
      <c r="A83" s="9" t="s">
        <v>93</v>
      </c>
    </row>
    <row r="85" spans="1:4" ht="10.5" x14ac:dyDescent="0.25">
      <c r="A85" s="18" t="s">
        <v>998</v>
      </c>
      <c r="D85" s="59">
        <v>3.5700000000000003E-2</v>
      </c>
    </row>
    <row r="87" spans="1:4" ht="10.5" x14ac:dyDescent="0.25">
      <c r="A87" s="18" t="s">
        <v>1516</v>
      </c>
    </row>
    <row r="88" spans="1:4" x14ac:dyDescent="0.2">
      <c r="A88" s="47" t="s">
        <v>1509</v>
      </c>
    </row>
  </sheetData>
  <mergeCells count="4">
    <mergeCell ref="A1:F1"/>
    <mergeCell ref="A80:B80"/>
    <mergeCell ref="A81:B81"/>
    <mergeCell ref="A82:B82"/>
  </mergeCells>
  <conditionalFormatting sqref="F2:F3 F5:F65536">
    <cfRule type="cellIs" dxfId="22" priority="1" stopIfTrue="1" operator="between">
      <formula>0.009</formula>
      <formula>-0.009</formula>
    </cfRule>
  </conditionalFormatting>
  <hyperlinks>
    <hyperlink ref="A88" r:id="rId1" xr:uid="{1DE68A7D-5C87-4244-8439-D959D12910CB}"/>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70"/>
  <sheetViews>
    <sheetView workbookViewId="0">
      <selection sqref="A1:F1"/>
    </sheetView>
  </sheetViews>
  <sheetFormatPr defaultColWidth="9.1796875" defaultRowHeight="10" x14ac:dyDescent="0.2"/>
  <cols>
    <col min="1" max="1" width="38.7265625" style="9" bestFit="1" customWidth="1"/>
    <col min="2" max="2" width="33.1796875" style="9" bestFit="1" customWidth="1"/>
    <col min="3" max="3" width="26.81640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66" t="s">
        <v>1087</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840</v>
      </c>
      <c r="B7" s="26" t="s">
        <v>841</v>
      </c>
      <c r="C7" s="26" t="s">
        <v>842</v>
      </c>
      <c r="D7" s="30">
        <v>945647</v>
      </c>
      <c r="E7" s="28">
        <v>11875.435030000001</v>
      </c>
      <c r="F7" s="29">
        <v>25.168059709410301</v>
      </c>
    </row>
    <row r="8" spans="1:6" x14ac:dyDescent="0.2">
      <c r="A8" s="26" t="s">
        <v>982</v>
      </c>
      <c r="B8" s="26" t="s">
        <v>983</v>
      </c>
      <c r="C8" s="26" t="s">
        <v>842</v>
      </c>
      <c r="D8" s="30">
        <v>170000</v>
      </c>
      <c r="E8" s="28">
        <v>4866.6750000000002</v>
      </c>
      <c r="F8" s="29">
        <v>10.3141288447009</v>
      </c>
    </row>
    <row r="9" spans="1:6" x14ac:dyDescent="0.2">
      <c r="A9" s="26" t="s">
        <v>1010</v>
      </c>
      <c r="B9" s="26" t="s">
        <v>1011</v>
      </c>
      <c r="C9" s="26" t="s">
        <v>842</v>
      </c>
      <c r="D9" s="30">
        <v>450000</v>
      </c>
      <c r="E9" s="28">
        <v>4257.6750000000002</v>
      </c>
      <c r="F9" s="29">
        <v>9.0234520548139905</v>
      </c>
    </row>
    <row r="10" spans="1:6" x14ac:dyDescent="0.2">
      <c r="A10" s="26" t="s">
        <v>847</v>
      </c>
      <c r="B10" s="26" t="s">
        <v>848</v>
      </c>
      <c r="C10" s="26" t="s">
        <v>849</v>
      </c>
      <c r="D10" s="30">
        <v>600000</v>
      </c>
      <c r="E10" s="28">
        <v>3058.2</v>
      </c>
      <c r="F10" s="29">
        <v>6.4813592099049702</v>
      </c>
    </row>
    <row r="11" spans="1:6" x14ac:dyDescent="0.2">
      <c r="A11" s="26" t="s">
        <v>1088</v>
      </c>
      <c r="B11" s="26" t="s">
        <v>1089</v>
      </c>
      <c r="C11" s="26" t="s">
        <v>842</v>
      </c>
      <c r="D11" s="30">
        <v>46300</v>
      </c>
      <c r="E11" s="28">
        <v>2202.9077000000002</v>
      </c>
      <c r="F11" s="29">
        <v>4.6687058105962898</v>
      </c>
    </row>
    <row r="12" spans="1:6" x14ac:dyDescent="0.2">
      <c r="A12" s="26" t="s">
        <v>944</v>
      </c>
      <c r="B12" s="26" t="s">
        <v>945</v>
      </c>
      <c r="C12" s="26" t="s">
        <v>842</v>
      </c>
      <c r="D12" s="30">
        <v>220000</v>
      </c>
      <c r="E12" s="28">
        <v>2141.04</v>
      </c>
      <c r="F12" s="29">
        <v>4.5375872483078101</v>
      </c>
    </row>
    <row r="13" spans="1:6" x14ac:dyDescent="0.2">
      <c r="A13" s="26" t="s">
        <v>1090</v>
      </c>
      <c r="B13" s="26" t="s">
        <v>1091</v>
      </c>
      <c r="C13" s="26" t="s">
        <v>842</v>
      </c>
      <c r="D13" s="30">
        <v>31000</v>
      </c>
      <c r="E13" s="28">
        <v>1134.4449999999999</v>
      </c>
      <c r="F13" s="29">
        <v>2.4042723003337398</v>
      </c>
    </row>
    <row r="14" spans="1:6" x14ac:dyDescent="0.2">
      <c r="A14" s="26" t="s">
        <v>1064</v>
      </c>
      <c r="B14" s="26" t="s">
        <v>1065</v>
      </c>
      <c r="C14" s="26" t="s">
        <v>842</v>
      </c>
      <c r="D14" s="30">
        <v>215000</v>
      </c>
      <c r="E14" s="28">
        <v>1103.0574999999999</v>
      </c>
      <c r="F14" s="29">
        <v>2.3377515815446199</v>
      </c>
    </row>
    <row r="15" spans="1:6" x14ac:dyDescent="0.2">
      <c r="A15" s="26" t="s">
        <v>1092</v>
      </c>
      <c r="B15" s="26" t="s">
        <v>1093</v>
      </c>
      <c r="C15" s="26" t="s">
        <v>842</v>
      </c>
      <c r="D15" s="30">
        <v>11000</v>
      </c>
      <c r="E15" s="28">
        <v>704.79200000000003</v>
      </c>
      <c r="F15" s="29">
        <v>1.49369240738583</v>
      </c>
    </row>
    <row r="16" spans="1:6" x14ac:dyDescent="0.2">
      <c r="A16" s="26" t="s">
        <v>1094</v>
      </c>
      <c r="B16" s="26" t="s">
        <v>1095</v>
      </c>
      <c r="C16" s="26" t="s">
        <v>842</v>
      </c>
      <c r="D16" s="30">
        <v>201960</v>
      </c>
      <c r="E16" s="28">
        <v>695.2473</v>
      </c>
      <c r="F16" s="29">
        <v>1.4734639627939801</v>
      </c>
    </row>
    <row r="17" spans="1:9" x14ac:dyDescent="0.2">
      <c r="A17" s="26" t="s">
        <v>1096</v>
      </c>
      <c r="B17" s="26" t="s">
        <v>1097</v>
      </c>
      <c r="C17" s="26" t="s">
        <v>842</v>
      </c>
      <c r="D17" s="30">
        <v>80000</v>
      </c>
      <c r="E17" s="28">
        <v>506.4</v>
      </c>
      <c r="F17" s="29">
        <v>1.0732327198665499</v>
      </c>
    </row>
    <row r="18" spans="1:9" x14ac:dyDescent="0.2">
      <c r="A18" s="26" t="s">
        <v>1098</v>
      </c>
      <c r="B18" s="26" t="s">
        <v>1099</v>
      </c>
      <c r="C18" s="26" t="s">
        <v>842</v>
      </c>
      <c r="D18" s="30">
        <v>10000</v>
      </c>
      <c r="E18" s="28">
        <v>36.89</v>
      </c>
      <c r="F18" s="29">
        <v>7.8182375663264095E-2</v>
      </c>
    </row>
    <row r="19" spans="1:9" ht="10.5" x14ac:dyDescent="0.25">
      <c r="A19" s="25" t="s">
        <v>17</v>
      </c>
      <c r="B19" s="25"/>
      <c r="C19" s="25"/>
      <c r="D19" s="31"/>
      <c r="E19" s="32">
        <f>SUM(E7:E18)</f>
        <v>32582.76453</v>
      </c>
      <c r="F19" s="33">
        <f>SUM(F7:F18)</f>
        <v>69.053888225322254</v>
      </c>
      <c r="G19" s="18"/>
      <c r="H19" s="18"/>
      <c r="I19" s="18"/>
    </row>
    <row r="20" spans="1:9" x14ac:dyDescent="0.2">
      <c r="A20" s="26"/>
      <c r="B20" s="26"/>
      <c r="C20" s="26"/>
      <c r="D20" s="27"/>
      <c r="E20" s="28"/>
      <c r="F20" s="29"/>
    </row>
    <row r="21" spans="1:9" ht="10.5" x14ac:dyDescent="0.25">
      <c r="A21" s="25" t="s">
        <v>988</v>
      </c>
      <c r="B21" s="26"/>
      <c r="C21" s="26"/>
      <c r="D21" s="27"/>
      <c r="E21" s="28"/>
      <c r="F21" s="29"/>
    </row>
    <row r="22" spans="1:9" x14ac:dyDescent="0.2">
      <c r="A22" s="26"/>
      <c r="B22" s="26" t="s">
        <v>1100</v>
      </c>
      <c r="C22" s="26" t="s">
        <v>842</v>
      </c>
      <c r="D22" s="30">
        <v>970000</v>
      </c>
      <c r="E22" s="28">
        <v>9.7000000000000003E-2</v>
      </c>
      <c r="F22" s="29">
        <v>2.0557577769955601E-4</v>
      </c>
    </row>
    <row r="23" spans="1:9" ht="10.5" x14ac:dyDescent="0.25">
      <c r="A23" s="25" t="s">
        <v>17</v>
      </c>
      <c r="B23" s="25"/>
      <c r="C23" s="25"/>
      <c r="D23" s="31"/>
      <c r="E23" s="32">
        <f>SUM(E21:E22)</f>
        <v>9.7000000000000003E-2</v>
      </c>
      <c r="F23" s="33">
        <f>SUM(F21:F22)</f>
        <v>2.0557577769955601E-4</v>
      </c>
      <c r="G23" s="18"/>
      <c r="H23" s="18"/>
      <c r="I23" s="18"/>
    </row>
    <row r="24" spans="1:9" x14ac:dyDescent="0.2">
      <c r="A24" s="26"/>
      <c r="B24" s="26"/>
      <c r="C24" s="26"/>
      <c r="D24" s="27"/>
      <c r="E24" s="28"/>
      <c r="F24" s="29"/>
    </row>
    <row r="25" spans="1:9" ht="10.5" x14ac:dyDescent="0.25">
      <c r="A25" s="25" t="s">
        <v>1066</v>
      </c>
      <c r="B25" s="26"/>
      <c r="C25" s="26"/>
      <c r="D25" s="27"/>
      <c r="E25" s="28"/>
      <c r="F25" s="29"/>
    </row>
    <row r="26" spans="1:9" x14ac:dyDescent="0.2">
      <c r="A26" s="26" t="s">
        <v>1101</v>
      </c>
      <c r="B26" s="26" t="s">
        <v>1102</v>
      </c>
      <c r="C26" s="26" t="s">
        <v>842</v>
      </c>
      <c r="D26" s="30">
        <v>60135</v>
      </c>
      <c r="E26" s="28">
        <v>1297.600972</v>
      </c>
      <c r="F26" s="29">
        <v>2.75005493775876</v>
      </c>
    </row>
    <row r="27" spans="1:9" x14ac:dyDescent="0.2">
      <c r="A27" s="26" t="s">
        <v>1103</v>
      </c>
      <c r="B27" s="26" t="s">
        <v>1104</v>
      </c>
      <c r="C27" s="26" t="s">
        <v>1082</v>
      </c>
      <c r="D27" s="30">
        <v>88000</v>
      </c>
      <c r="E27" s="28">
        <v>1213.355458</v>
      </c>
      <c r="F27" s="29">
        <v>2.57151022581805</v>
      </c>
    </row>
    <row r="28" spans="1:9" x14ac:dyDescent="0.2">
      <c r="A28" s="26" t="s">
        <v>1105</v>
      </c>
      <c r="B28" s="26" t="s">
        <v>1106</v>
      </c>
      <c r="C28" s="26" t="s">
        <v>1082</v>
      </c>
      <c r="D28" s="30">
        <v>17000</v>
      </c>
      <c r="E28" s="28">
        <v>925.15211220000003</v>
      </c>
      <c r="F28" s="29">
        <v>1.96070994799899</v>
      </c>
    </row>
    <row r="29" spans="1:9" x14ac:dyDescent="0.2">
      <c r="A29" s="26" t="s">
        <v>1107</v>
      </c>
      <c r="B29" s="26" t="s">
        <v>1108</v>
      </c>
      <c r="C29" s="26" t="s">
        <v>842</v>
      </c>
      <c r="D29" s="30">
        <v>22500</v>
      </c>
      <c r="E29" s="28">
        <v>890.28976160000002</v>
      </c>
      <c r="F29" s="29">
        <v>1.88682484658631</v>
      </c>
    </row>
    <row r="30" spans="1:9" x14ac:dyDescent="0.2">
      <c r="A30" s="26" t="s">
        <v>1109</v>
      </c>
      <c r="B30" s="26" t="s">
        <v>1110</v>
      </c>
      <c r="C30" s="26" t="s">
        <v>1111</v>
      </c>
      <c r="D30" s="30">
        <v>6000</v>
      </c>
      <c r="E30" s="28">
        <v>667.90639480000004</v>
      </c>
      <c r="F30" s="29">
        <v>1.41551934578883</v>
      </c>
    </row>
    <row r="31" spans="1:9" x14ac:dyDescent="0.2">
      <c r="A31" s="26" t="s">
        <v>1112</v>
      </c>
      <c r="B31" s="26" t="s">
        <v>1113</v>
      </c>
      <c r="C31" s="26" t="s">
        <v>909</v>
      </c>
      <c r="D31" s="30">
        <v>23400</v>
      </c>
      <c r="E31" s="28">
        <v>513.0529841</v>
      </c>
      <c r="F31" s="29">
        <v>1.0873326413137701</v>
      </c>
    </row>
    <row r="32" spans="1:9" x14ac:dyDescent="0.2">
      <c r="A32" s="26" t="s">
        <v>1114</v>
      </c>
      <c r="B32" s="26" t="s">
        <v>1115</v>
      </c>
      <c r="C32" s="26" t="s">
        <v>1082</v>
      </c>
      <c r="D32" s="30">
        <v>22000</v>
      </c>
      <c r="E32" s="28">
        <v>427.53609760000001</v>
      </c>
      <c r="F32" s="29">
        <v>0.906093461430446</v>
      </c>
    </row>
    <row r="33" spans="1:9" x14ac:dyDescent="0.2">
      <c r="A33" s="26" t="s">
        <v>1116</v>
      </c>
      <c r="B33" s="26" t="s">
        <v>1117</v>
      </c>
      <c r="C33" s="26" t="s">
        <v>1082</v>
      </c>
      <c r="D33" s="30">
        <v>1000</v>
      </c>
      <c r="E33" s="28">
        <v>381.5814618</v>
      </c>
      <c r="F33" s="29">
        <v>0.80870005943575696</v>
      </c>
    </row>
    <row r="34" spans="1:9" x14ac:dyDescent="0.2">
      <c r="A34" s="26" t="s">
        <v>1118</v>
      </c>
      <c r="B34" s="26" t="s">
        <v>1119</v>
      </c>
      <c r="C34" s="26" t="s">
        <v>1082</v>
      </c>
      <c r="D34" s="30">
        <v>23000</v>
      </c>
      <c r="E34" s="28">
        <v>367.9140122</v>
      </c>
      <c r="F34" s="29">
        <v>0.77973411530493697</v>
      </c>
    </row>
    <row r="35" spans="1:9" x14ac:dyDescent="0.2">
      <c r="A35" s="26" t="s">
        <v>1120</v>
      </c>
      <c r="B35" s="26" t="s">
        <v>1121</v>
      </c>
      <c r="C35" s="26" t="s">
        <v>1122</v>
      </c>
      <c r="D35" s="30">
        <v>2173</v>
      </c>
      <c r="E35" s="28">
        <v>353.34479169999997</v>
      </c>
      <c r="F35" s="29">
        <v>0.74885701391561998</v>
      </c>
    </row>
    <row r="36" spans="1:9" x14ac:dyDescent="0.2">
      <c r="A36" s="26" t="s">
        <v>1123</v>
      </c>
      <c r="B36" s="26" t="s">
        <v>1124</v>
      </c>
      <c r="C36" s="26" t="s">
        <v>842</v>
      </c>
      <c r="D36" s="30">
        <v>267</v>
      </c>
      <c r="E36" s="28">
        <v>341.94352199999997</v>
      </c>
      <c r="F36" s="29">
        <v>0.72469387076778602</v>
      </c>
    </row>
    <row r="37" spans="1:9" x14ac:dyDescent="0.2">
      <c r="A37" s="26" t="s">
        <v>1125</v>
      </c>
      <c r="B37" s="26" t="s">
        <v>1126</v>
      </c>
      <c r="C37" s="26" t="s">
        <v>1082</v>
      </c>
      <c r="D37" s="30">
        <v>8982</v>
      </c>
      <c r="E37" s="28">
        <v>326.9845057</v>
      </c>
      <c r="F37" s="29">
        <v>0.69299066036064305</v>
      </c>
    </row>
    <row r="38" spans="1:9" x14ac:dyDescent="0.2">
      <c r="A38" s="26" t="s">
        <v>1127</v>
      </c>
      <c r="B38" s="26" t="s">
        <v>1128</v>
      </c>
      <c r="C38" s="26" t="s">
        <v>842</v>
      </c>
      <c r="D38" s="30">
        <v>1100</v>
      </c>
      <c r="E38" s="28">
        <v>178.77917199999999</v>
      </c>
      <c r="F38" s="29">
        <v>0.37889347752971803</v>
      </c>
    </row>
    <row r="39" spans="1:9" ht="10.5" x14ac:dyDescent="0.25">
      <c r="A39" s="25" t="s">
        <v>17</v>
      </c>
      <c r="B39" s="25"/>
      <c r="C39" s="25"/>
      <c r="D39" s="31"/>
      <c r="E39" s="32">
        <f>SUM(E25:E38)</f>
        <v>7885.4412457000008</v>
      </c>
      <c r="F39" s="33">
        <f>SUM(F25:F38)</f>
        <v>16.711914604009618</v>
      </c>
      <c r="G39" s="18"/>
      <c r="H39" s="18"/>
      <c r="I39" s="18"/>
    </row>
    <row r="40" spans="1:9" x14ac:dyDescent="0.2">
      <c r="A40" s="26"/>
      <c r="B40" s="26"/>
      <c r="C40" s="26"/>
      <c r="D40" s="27"/>
      <c r="E40" s="28"/>
      <c r="F40" s="29"/>
    </row>
    <row r="41" spans="1:9" ht="10.5" x14ac:dyDescent="0.25">
      <c r="A41" s="25" t="s">
        <v>1129</v>
      </c>
      <c r="B41" s="26"/>
      <c r="C41" s="26"/>
      <c r="D41" s="27"/>
      <c r="E41" s="28"/>
      <c r="F41" s="29"/>
    </row>
    <row r="42" spans="1:9" x14ac:dyDescent="0.2">
      <c r="A42" s="26" t="s">
        <v>1130</v>
      </c>
      <c r="B42" s="26" t="s">
        <v>1131</v>
      </c>
      <c r="C42" s="26" t="s">
        <v>1132</v>
      </c>
      <c r="D42" s="30">
        <v>91868.481</v>
      </c>
      <c r="E42" s="28">
        <v>3681.411646</v>
      </c>
      <c r="F42" s="29">
        <v>7.8021552799861098</v>
      </c>
    </row>
    <row r="43" spans="1:9" ht="10.5" x14ac:dyDescent="0.25">
      <c r="A43" s="25" t="s">
        <v>17</v>
      </c>
      <c r="B43" s="25"/>
      <c r="C43" s="25"/>
      <c r="D43" s="31"/>
      <c r="E43" s="32">
        <f>SUM(E42:E42)</f>
        <v>3681.411646</v>
      </c>
      <c r="F43" s="33">
        <f>SUM(F42:F42)</f>
        <v>7.8021552799861098</v>
      </c>
      <c r="G43" s="18"/>
      <c r="H43" s="18"/>
      <c r="I43" s="18"/>
    </row>
    <row r="44" spans="1:9" x14ac:dyDescent="0.2">
      <c r="A44" s="26"/>
      <c r="B44" s="26"/>
      <c r="C44" s="26"/>
      <c r="D44" s="27"/>
      <c r="E44" s="28"/>
      <c r="F44" s="29"/>
    </row>
    <row r="45" spans="1:9" ht="10.5" x14ac:dyDescent="0.25">
      <c r="A45" s="25" t="s">
        <v>62</v>
      </c>
      <c r="B45" s="25"/>
      <c r="C45" s="25"/>
      <c r="D45" s="31"/>
      <c r="E45" s="32">
        <f>E19+E23+E39+E43</f>
        <v>44149.714421700002</v>
      </c>
      <c r="F45" s="33">
        <f>F19+F23+F39+F43</f>
        <v>93.568163685095683</v>
      </c>
      <c r="G45" s="18"/>
      <c r="H45" s="18"/>
      <c r="I45" s="18"/>
    </row>
    <row r="46" spans="1:9" ht="10.5" x14ac:dyDescent="0.25">
      <c r="A46" s="25"/>
      <c r="B46" s="25"/>
      <c r="C46" s="25"/>
      <c r="D46" s="31"/>
      <c r="E46" s="32"/>
      <c r="F46" s="33"/>
      <c r="G46" s="18"/>
      <c r="H46" s="18"/>
      <c r="I46" s="18"/>
    </row>
    <row r="47" spans="1:9" ht="10.5" x14ac:dyDescent="0.25">
      <c r="A47" s="25" t="s">
        <v>63</v>
      </c>
      <c r="B47" s="25"/>
      <c r="C47" s="25"/>
      <c r="D47" s="31"/>
      <c r="E47" s="32">
        <f>E49-(E19+E23+E39+E43)</f>
        <v>3034.832846199999</v>
      </c>
      <c r="F47" s="33">
        <f>F49-(F19+F23+F39+F43)</f>
        <v>6.4318363149043165</v>
      </c>
      <c r="G47" s="18"/>
      <c r="H47" s="18"/>
      <c r="I47" s="18"/>
    </row>
    <row r="48" spans="1:9" ht="10.5" x14ac:dyDescent="0.25">
      <c r="A48" s="25"/>
      <c r="B48" s="25"/>
      <c r="C48" s="25"/>
      <c r="D48" s="31"/>
      <c r="E48" s="32"/>
      <c r="F48" s="33"/>
      <c r="G48" s="18"/>
      <c r="H48" s="18"/>
      <c r="I48" s="18"/>
    </row>
    <row r="49" spans="1:9" ht="10.5" x14ac:dyDescent="0.25">
      <c r="A49" s="34" t="s">
        <v>64</v>
      </c>
      <c r="B49" s="34"/>
      <c r="C49" s="34"/>
      <c r="D49" s="35"/>
      <c r="E49" s="36">
        <v>47184.547267900001</v>
      </c>
      <c r="F49" s="37">
        <v>100</v>
      </c>
      <c r="G49" s="18"/>
      <c r="H49" s="18"/>
      <c r="I49" s="18"/>
    </row>
    <row r="50" spans="1:9" ht="10.5" x14ac:dyDescent="0.25">
      <c r="F50" s="19" t="s">
        <v>924</v>
      </c>
    </row>
    <row r="51" spans="1:9" ht="10.5" x14ac:dyDescent="0.25">
      <c r="A51" s="18" t="s">
        <v>66</v>
      </c>
    </row>
    <row r="53" spans="1:9" ht="10.5" x14ac:dyDescent="0.25">
      <c r="A53" s="18" t="s">
        <v>67</v>
      </c>
    </row>
    <row r="54" spans="1:9" ht="10.5" x14ac:dyDescent="0.25">
      <c r="A54" s="18" t="s">
        <v>68</v>
      </c>
    </row>
    <row r="55" spans="1:9" ht="10.5" x14ac:dyDescent="0.25">
      <c r="A55" s="18" t="s">
        <v>69</v>
      </c>
      <c r="B55" s="18"/>
      <c r="C55" s="38" t="s">
        <v>70</v>
      </c>
      <c r="D55" s="43" t="s">
        <v>71</v>
      </c>
    </row>
    <row r="56" spans="1:9" x14ac:dyDescent="0.2">
      <c r="A56" s="9" t="s">
        <v>98</v>
      </c>
      <c r="C56" s="39">
        <v>172.39189999999999</v>
      </c>
      <c r="D56" s="39">
        <v>260.39569999999998</v>
      </c>
    </row>
    <row r="57" spans="1:9" x14ac:dyDescent="0.2">
      <c r="A57" s="9" t="s">
        <v>331</v>
      </c>
      <c r="C57" s="39">
        <v>25.1554</v>
      </c>
      <c r="D57" s="39">
        <v>35.084400000000002</v>
      </c>
    </row>
    <row r="58" spans="1:9" x14ac:dyDescent="0.2">
      <c r="A58" s="9" t="s">
        <v>101</v>
      </c>
      <c r="C58" s="39">
        <v>180.4727</v>
      </c>
      <c r="D58" s="39">
        <v>273.88690000000003</v>
      </c>
    </row>
    <row r="59" spans="1:9" x14ac:dyDescent="0.2">
      <c r="A59" s="9" t="s">
        <v>332</v>
      </c>
      <c r="C59" s="39">
        <v>26.554300000000001</v>
      </c>
      <c r="D59" s="39">
        <v>37.373199999999997</v>
      </c>
    </row>
    <row r="61" spans="1:9" ht="10.5" x14ac:dyDescent="0.25">
      <c r="A61" s="18" t="s">
        <v>90</v>
      </c>
    </row>
    <row r="62" spans="1:9" ht="10.5" x14ac:dyDescent="0.25">
      <c r="A62" s="77" t="s">
        <v>91</v>
      </c>
      <c r="B62" s="78"/>
      <c r="C62" s="40" t="s">
        <v>92</v>
      </c>
    </row>
    <row r="63" spans="1:9" x14ac:dyDescent="0.2">
      <c r="A63" s="79" t="s">
        <v>331</v>
      </c>
      <c r="B63" s="80"/>
      <c r="C63" s="41">
        <v>2.5</v>
      </c>
    </row>
    <row r="64" spans="1:9" x14ac:dyDescent="0.2">
      <c r="A64" s="79" t="s">
        <v>332</v>
      </c>
      <c r="B64" s="80"/>
      <c r="C64" s="41">
        <v>2.5</v>
      </c>
    </row>
    <row r="65" spans="1:4" x14ac:dyDescent="0.2">
      <c r="A65" s="9" t="s">
        <v>93</v>
      </c>
    </row>
    <row r="67" spans="1:4" ht="10.5" x14ac:dyDescent="0.25">
      <c r="A67" s="18" t="s">
        <v>998</v>
      </c>
      <c r="D67" s="59">
        <v>7.2499999999999995E-2</v>
      </c>
    </row>
    <row r="69" spans="1:4" ht="10.5" x14ac:dyDescent="0.25">
      <c r="A69" s="18" t="s">
        <v>1516</v>
      </c>
    </row>
    <row r="70" spans="1:4" x14ac:dyDescent="0.2">
      <c r="A70" s="47" t="s">
        <v>1509</v>
      </c>
    </row>
  </sheetData>
  <mergeCells count="4">
    <mergeCell ref="A1:F1"/>
    <mergeCell ref="A62:B62"/>
    <mergeCell ref="A63:B63"/>
    <mergeCell ref="A64:B64"/>
  </mergeCells>
  <conditionalFormatting sqref="F2:F3 F5:F49 F51:F65537">
    <cfRule type="cellIs" dxfId="21" priority="2" stopIfTrue="1" operator="between">
      <formula>0.009</formula>
      <formula>-0.009</formula>
    </cfRule>
  </conditionalFormatting>
  <conditionalFormatting sqref="F50">
    <cfRule type="cellIs" dxfId="20" priority="1" stopIfTrue="1" operator="between">
      <formula>0.009</formula>
      <formula>-0.009</formula>
    </cfRule>
  </conditionalFormatting>
  <hyperlinks>
    <hyperlink ref="A70" r:id="rId1" xr:uid="{B4B32E6D-2CC3-4B74-9107-5E0505C4102F}"/>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89"/>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66" t="s">
        <v>1133</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1134</v>
      </c>
      <c r="B7" s="26" t="s">
        <v>1135</v>
      </c>
      <c r="C7" s="26" t="s">
        <v>1017</v>
      </c>
      <c r="D7" s="30">
        <v>4342967</v>
      </c>
      <c r="E7" s="28">
        <v>40904.234689999997</v>
      </c>
      <c r="F7" s="29">
        <v>6.5800809368682396</v>
      </c>
    </row>
    <row r="8" spans="1:6" x14ac:dyDescent="0.2">
      <c r="A8" s="26" t="s">
        <v>840</v>
      </c>
      <c r="B8" s="26" t="s">
        <v>841</v>
      </c>
      <c r="C8" s="26" t="s">
        <v>842</v>
      </c>
      <c r="D8" s="30">
        <v>1982437</v>
      </c>
      <c r="E8" s="28">
        <v>24895.44385</v>
      </c>
      <c r="F8" s="29">
        <v>4.0048184921134098</v>
      </c>
    </row>
    <row r="9" spans="1:6" x14ac:dyDescent="0.2">
      <c r="A9" s="26" t="s">
        <v>837</v>
      </c>
      <c r="B9" s="26" t="s">
        <v>838</v>
      </c>
      <c r="C9" s="26" t="s">
        <v>839</v>
      </c>
      <c r="D9" s="30">
        <v>1649964</v>
      </c>
      <c r="E9" s="28">
        <v>23698.432929999999</v>
      </c>
      <c r="F9" s="29">
        <v>3.81226070938974</v>
      </c>
    </row>
    <row r="10" spans="1:6" x14ac:dyDescent="0.2">
      <c r="A10" s="26" t="s">
        <v>1136</v>
      </c>
      <c r="B10" s="26" t="s">
        <v>1137</v>
      </c>
      <c r="C10" s="26" t="s">
        <v>1138</v>
      </c>
      <c r="D10" s="30">
        <v>7737595</v>
      </c>
      <c r="E10" s="28">
        <v>19274.349149999998</v>
      </c>
      <c r="F10" s="29">
        <v>3.1005781766517999</v>
      </c>
    </row>
    <row r="11" spans="1:6" x14ac:dyDescent="0.2">
      <c r="A11" s="26" t="s">
        <v>1047</v>
      </c>
      <c r="B11" s="26" t="s">
        <v>1048</v>
      </c>
      <c r="C11" s="26" t="s">
        <v>1049</v>
      </c>
      <c r="D11" s="30">
        <v>1459507</v>
      </c>
      <c r="E11" s="28">
        <v>15837.11046</v>
      </c>
      <c r="F11" s="29">
        <v>2.54764499134851</v>
      </c>
    </row>
    <row r="12" spans="1:6" x14ac:dyDescent="0.2">
      <c r="A12" s="26" t="s">
        <v>1064</v>
      </c>
      <c r="B12" s="26" t="s">
        <v>1065</v>
      </c>
      <c r="C12" s="26" t="s">
        <v>842</v>
      </c>
      <c r="D12" s="30">
        <v>3066552</v>
      </c>
      <c r="E12" s="28">
        <v>15732.945040000001</v>
      </c>
      <c r="F12" s="29">
        <v>2.5308883670132198</v>
      </c>
    </row>
    <row r="13" spans="1:6" x14ac:dyDescent="0.2">
      <c r="A13" s="26" t="s">
        <v>1139</v>
      </c>
      <c r="B13" s="26" t="s">
        <v>1140</v>
      </c>
      <c r="C13" s="26" t="s">
        <v>866</v>
      </c>
      <c r="D13" s="30">
        <v>10263765</v>
      </c>
      <c r="E13" s="28">
        <v>15021.02008</v>
      </c>
      <c r="F13" s="29">
        <v>2.4163641889353502</v>
      </c>
    </row>
    <row r="14" spans="1:6" x14ac:dyDescent="0.2">
      <c r="A14" s="26" t="s">
        <v>1141</v>
      </c>
      <c r="B14" s="26" t="s">
        <v>1142</v>
      </c>
      <c r="C14" s="26" t="s">
        <v>991</v>
      </c>
      <c r="D14" s="30">
        <v>2672305</v>
      </c>
      <c r="E14" s="28">
        <v>14672.2906</v>
      </c>
      <c r="F14" s="29">
        <v>2.3602656401943101</v>
      </c>
    </row>
    <row r="15" spans="1:6" x14ac:dyDescent="0.2">
      <c r="A15" s="26" t="s">
        <v>1143</v>
      </c>
      <c r="B15" s="26" t="s">
        <v>1144</v>
      </c>
      <c r="C15" s="26" t="s">
        <v>866</v>
      </c>
      <c r="D15" s="30">
        <v>5467185</v>
      </c>
      <c r="E15" s="28">
        <v>14635.65425</v>
      </c>
      <c r="F15" s="29">
        <v>2.3543721147425201</v>
      </c>
    </row>
    <row r="16" spans="1:6" x14ac:dyDescent="0.2">
      <c r="A16" s="26" t="s">
        <v>1145</v>
      </c>
      <c r="B16" s="26" t="s">
        <v>1146</v>
      </c>
      <c r="C16" s="26" t="s">
        <v>874</v>
      </c>
      <c r="D16" s="30">
        <v>1436587</v>
      </c>
      <c r="E16" s="28">
        <v>14611.526379999999</v>
      </c>
      <c r="F16" s="29">
        <v>2.35049077241605</v>
      </c>
    </row>
    <row r="17" spans="1:6" x14ac:dyDescent="0.2">
      <c r="A17" s="26" t="s">
        <v>843</v>
      </c>
      <c r="B17" s="26" t="s">
        <v>844</v>
      </c>
      <c r="C17" s="26" t="s">
        <v>839</v>
      </c>
      <c r="D17" s="30">
        <v>2299441</v>
      </c>
      <c r="E17" s="28">
        <v>14266.88168</v>
      </c>
      <c r="F17" s="29">
        <v>2.2950493239291299</v>
      </c>
    </row>
    <row r="18" spans="1:6" x14ac:dyDescent="0.2">
      <c r="A18" s="26" t="s">
        <v>1018</v>
      </c>
      <c r="B18" s="26" t="s">
        <v>1019</v>
      </c>
      <c r="C18" s="26" t="s">
        <v>892</v>
      </c>
      <c r="D18" s="30">
        <v>4112021</v>
      </c>
      <c r="E18" s="28">
        <v>14172.080379999999</v>
      </c>
      <c r="F18" s="29">
        <v>2.2797990636162799</v>
      </c>
    </row>
    <row r="19" spans="1:6" x14ac:dyDescent="0.2">
      <c r="A19" s="26" t="s">
        <v>855</v>
      </c>
      <c r="B19" s="26" t="s">
        <v>856</v>
      </c>
      <c r="C19" s="26" t="s">
        <v>857</v>
      </c>
      <c r="D19" s="30">
        <v>1711210</v>
      </c>
      <c r="E19" s="28">
        <v>14128.605369999999</v>
      </c>
      <c r="F19" s="29">
        <v>2.2728054335753001</v>
      </c>
    </row>
    <row r="20" spans="1:6" x14ac:dyDescent="0.2">
      <c r="A20" s="26" t="s">
        <v>1045</v>
      </c>
      <c r="B20" s="26" t="s">
        <v>1046</v>
      </c>
      <c r="C20" s="26" t="s">
        <v>962</v>
      </c>
      <c r="D20" s="30">
        <v>1605512</v>
      </c>
      <c r="E20" s="28">
        <v>14047.427240000001</v>
      </c>
      <c r="F20" s="29">
        <v>2.2597466715729801</v>
      </c>
    </row>
    <row r="21" spans="1:6" x14ac:dyDescent="0.2">
      <c r="A21" s="26" t="s">
        <v>875</v>
      </c>
      <c r="B21" s="26" t="s">
        <v>876</v>
      </c>
      <c r="C21" s="26" t="s">
        <v>877</v>
      </c>
      <c r="D21" s="30">
        <v>6289744</v>
      </c>
      <c r="E21" s="28">
        <v>13705.35218</v>
      </c>
      <c r="F21" s="29">
        <v>2.20471858955794</v>
      </c>
    </row>
    <row r="22" spans="1:6" x14ac:dyDescent="0.2">
      <c r="A22" s="26" t="s">
        <v>1147</v>
      </c>
      <c r="B22" s="26" t="s">
        <v>1148</v>
      </c>
      <c r="C22" s="26" t="s">
        <v>857</v>
      </c>
      <c r="D22" s="30">
        <v>1708713</v>
      </c>
      <c r="E22" s="28">
        <v>13688.49984</v>
      </c>
      <c r="F22" s="29">
        <v>2.2020076291398798</v>
      </c>
    </row>
    <row r="23" spans="1:6" x14ac:dyDescent="0.2">
      <c r="A23" s="26" t="s">
        <v>1149</v>
      </c>
      <c r="B23" s="26" t="s">
        <v>1150</v>
      </c>
      <c r="C23" s="26" t="s">
        <v>1151</v>
      </c>
      <c r="D23" s="30">
        <v>2460139</v>
      </c>
      <c r="E23" s="28">
        <v>13452.04005</v>
      </c>
      <c r="F23" s="29">
        <v>2.1639694023326399</v>
      </c>
    </row>
    <row r="24" spans="1:6" x14ac:dyDescent="0.2">
      <c r="A24" s="26" t="s">
        <v>1152</v>
      </c>
      <c r="B24" s="26" t="s">
        <v>1153</v>
      </c>
      <c r="C24" s="26" t="s">
        <v>1017</v>
      </c>
      <c r="D24" s="30">
        <v>185642</v>
      </c>
      <c r="E24" s="28">
        <v>11936.96624</v>
      </c>
      <c r="F24" s="29">
        <v>1.92024626777986</v>
      </c>
    </row>
    <row r="25" spans="1:6" x14ac:dyDescent="0.2">
      <c r="A25" s="26" t="s">
        <v>1154</v>
      </c>
      <c r="B25" s="26" t="s">
        <v>1155</v>
      </c>
      <c r="C25" s="26" t="s">
        <v>839</v>
      </c>
      <c r="D25" s="30">
        <v>9949095</v>
      </c>
      <c r="E25" s="28">
        <v>11864.29579</v>
      </c>
      <c r="F25" s="29">
        <v>1.90855609813501</v>
      </c>
    </row>
    <row r="26" spans="1:6" x14ac:dyDescent="0.2">
      <c r="A26" s="26" t="s">
        <v>1156</v>
      </c>
      <c r="B26" s="26" t="s">
        <v>1157</v>
      </c>
      <c r="C26" s="26" t="s">
        <v>1138</v>
      </c>
      <c r="D26" s="30">
        <v>2829248</v>
      </c>
      <c r="E26" s="28">
        <v>11731.47683</v>
      </c>
      <c r="F26" s="29">
        <v>1.8871901072205199</v>
      </c>
    </row>
    <row r="27" spans="1:6" x14ac:dyDescent="0.2">
      <c r="A27" s="26" t="s">
        <v>1025</v>
      </c>
      <c r="B27" s="26" t="s">
        <v>1026</v>
      </c>
      <c r="C27" s="26" t="s">
        <v>937</v>
      </c>
      <c r="D27" s="30">
        <v>16272603</v>
      </c>
      <c r="E27" s="28">
        <v>11081.64264</v>
      </c>
      <c r="F27" s="29">
        <v>1.78265419307495</v>
      </c>
    </row>
    <row r="28" spans="1:6" x14ac:dyDescent="0.2">
      <c r="A28" s="26" t="s">
        <v>1158</v>
      </c>
      <c r="B28" s="26" t="s">
        <v>1159</v>
      </c>
      <c r="C28" s="26" t="s">
        <v>874</v>
      </c>
      <c r="D28" s="30">
        <v>1875900</v>
      </c>
      <c r="E28" s="28">
        <v>10879.28205</v>
      </c>
      <c r="F28" s="29">
        <v>1.7501013517683299</v>
      </c>
    </row>
    <row r="29" spans="1:6" x14ac:dyDescent="0.2">
      <c r="A29" s="26" t="s">
        <v>1092</v>
      </c>
      <c r="B29" s="26" t="s">
        <v>1093</v>
      </c>
      <c r="C29" s="26" t="s">
        <v>842</v>
      </c>
      <c r="D29" s="30">
        <v>167000</v>
      </c>
      <c r="E29" s="28">
        <v>10700.023999999999</v>
      </c>
      <c r="F29" s="29">
        <v>1.72126491254573</v>
      </c>
    </row>
    <row r="30" spans="1:6" x14ac:dyDescent="0.2">
      <c r="A30" s="26" t="s">
        <v>1160</v>
      </c>
      <c r="B30" s="26" t="s">
        <v>1161</v>
      </c>
      <c r="C30" s="26" t="s">
        <v>991</v>
      </c>
      <c r="D30" s="30">
        <v>398284</v>
      </c>
      <c r="E30" s="28">
        <v>10460.13269</v>
      </c>
      <c r="F30" s="29">
        <v>1.68267467249322</v>
      </c>
    </row>
    <row r="31" spans="1:6" x14ac:dyDescent="0.2">
      <c r="A31" s="26" t="s">
        <v>1162</v>
      </c>
      <c r="B31" s="26" t="s">
        <v>1163</v>
      </c>
      <c r="C31" s="26" t="s">
        <v>857</v>
      </c>
      <c r="D31" s="30">
        <v>162407</v>
      </c>
      <c r="E31" s="28">
        <v>10037.72704</v>
      </c>
      <c r="F31" s="29">
        <v>1.6147241684377001</v>
      </c>
    </row>
    <row r="32" spans="1:6" x14ac:dyDescent="0.2">
      <c r="A32" s="26" t="s">
        <v>1164</v>
      </c>
      <c r="B32" s="26" t="s">
        <v>1165</v>
      </c>
      <c r="C32" s="26" t="s">
        <v>892</v>
      </c>
      <c r="D32" s="30">
        <v>2367883</v>
      </c>
      <c r="E32" s="28">
        <v>9601.7655649999997</v>
      </c>
      <c r="F32" s="29">
        <v>1.54459299956003</v>
      </c>
    </row>
    <row r="33" spans="1:6" x14ac:dyDescent="0.2">
      <c r="A33" s="26" t="s">
        <v>1034</v>
      </c>
      <c r="B33" s="26" t="s">
        <v>1035</v>
      </c>
      <c r="C33" s="26" t="s">
        <v>877</v>
      </c>
      <c r="D33" s="30">
        <v>1325143</v>
      </c>
      <c r="E33" s="28">
        <v>9529.1033129999996</v>
      </c>
      <c r="F33" s="29">
        <v>1.53290414869071</v>
      </c>
    </row>
    <row r="34" spans="1:6" x14ac:dyDescent="0.2">
      <c r="A34" s="26" t="s">
        <v>850</v>
      </c>
      <c r="B34" s="26" t="s">
        <v>851</v>
      </c>
      <c r="C34" s="26" t="s">
        <v>839</v>
      </c>
      <c r="D34" s="30">
        <v>476773</v>
      </c>
      <c r="E34" s="28">
        <v>9514.4819879999995</v>
      </c>
      <c r="F34" s="29">
        <v>1.5305520816581999</v>
      </c>
    </row>
    <row r="35" spans="1:6" x14ac:dyDescent="0.2">
      <c r="A35" s="26" t="s">
        <v>1166</v>
      </c>
      <c r="B35" s="26" t="s">
        <v>1167</v>
      </c>
      <c r="C35" s="26" t="s">
        <v>955</v>
      </c>
      <c r="D35" s="30">
        <v>23086857</v>
      </c>
      <c r="E35" s="28">
        <v>9292.4599429999998</v>
      </c>
      <c r="F35" s="29">
        <v>1.49483639019151</v>
      </c>
    </row>
    <row r="36" spans="1:6" x14ac:dyDescent="0.2">
      <c r="A36" s="26" t="s">
        <v>1168</v>
      </c>
      <c r="B36" s="26" t="s">
        <v>1169</v>
      </c>
      <c r="C36" s="26" t="s">
        <v>1138</v>
      </c>
      <c r="D36" s="30">
        <v>2805627</v>
      </c>
      <c r="E36" s="28">
        <v>9101.4539879999993</v>
      </c>
      <c r="F36" s="29">
        <v>1.4641101181356</v>
      </c>
    </row>
    <row r="37" spans="1:6" x14ac:dyDescent="0.2">
      <c r="A37" s="26" t="s">
        <v>1170</v>
      </c>
      <c r="B37" s="26" t="s">
        <v>1171</v>
      </c>
      <c r="C37" s="26" t="s">
        <v>937</v>
      </c>
      <c r="D37" s="30">
        <v>2303836</v>
      </c>
      <c r="E37" s="28">
        <v>8930.8202540000002</v>
      </c>
      <c r="F37" s="29">
        <v>1.4366610339811301</v>
      </c>
    </row>
    <row r="38" spans="1:6" x14ac:dyDescent="0.2">
      <c r="A38" s="26" t="s">
        <v>1172</v>
      </c>
      <c r="B38" s="26" t="s">
        <v>1173</v>
      </c>
      <c r="C38" s="26" t="s">
        <v>912</v>
      </c>
      <c r="D38" s="30">
        <v>10610017</v>
      </c>
      <c r="E38" s="28">
        <v>8917.7192890000006</v>
      </c>
      <c r="F38" s="29">
        <v>1.4345535404488701</v>
      </c>
    </row>
    <row r="39" spans="1:6" x14ac:dyDescent="0.2">
      <c r="A39" s="26" t="s">
        <v>901</v>
      </c>
      <c r="B39" s="26" t="s">
        <v>902</v>
      </c>
      <c r="C39" s="26" t="s">
        <v>839</v>
      </c>
      <c r="D39" s="30">
        <v>19398917</v>
      </c>
      <c r="E39" s="28">
        <v>8875.0045279999995</v>
      </c>
      <c r="F39" s="29">
        <v>1.4276822082577401</v>
      </c>
    </row>
    <row r="40" spans="1:6" x14ac:dyDescent="0.2">
      <c r="A40" s="26" t="s">
        <v>1174</v>
      </c>
      <c r="B40" s="26" t="s">
        <v>1175</v>
      </c>
      <c r="C40" s="26" t="s">
        <v>1138</v>
      </c>
      <c r="D40" s="30">
        <v>3270913</v>
      </c>
      <c r="E40" s="28">
        <v>8685.9094719999994</v>
      </c>
      <c r="F40" s="29">
        <v>1.3972633339609499</v>
      </c>
    </row>
    <row r="41" spans="1:6" x14ac:dyDescent="0.2">
      <c r="A41" s="26" t="s">
        <v>1176</v>
      </c>
      <c r="B41" s="26" t="s">
        <v>1177</v>
      </c>
      <c r="C41" s="26" t="s">
        <v>854</v>
      </c>
      <c r="D41" s="30">
        <v>1000416</v>
      </c>
      <c r="E41" s="28">
        <v>8011.8315359999997</v>
      </c>
      <c r="F41" s="29">
        <v>1.28882743703604</v>
      </c>
    </row>
    <row r="42" spans="1:6" x14ac:dyDescent="0.2">
      <c r="A42" s="26" t="s">
        <v>1178</v>
      </c>
      <c r="B42" s="26" t="s">
        <v>1179</v>
      </c>
      <c r="C42" s="26" t="s">
        <v>1017</v>
      </c>
      <c r="D42" s="30">
        <v>3836227</v>
      </c>
      <c r="E42" s="28">
        <v>7877.692145</v>
      </c>
      <c r="F42" s="29">
        <v>1.26724903430362</v>
      </c>
    </row>
    <row r="43" spans="1:6" x14ac:dyDescent="0.2">
      <c r="A43" s="26" t="s">
        <v>1180</v>
      </c>
      <c r="B43" s="26" t="s">
        <v>1181</v>
      </c>
      <c r="C43" s="26" t="s">
        <v>937</v>
      </c>
      <c r="D43" s="30">
        <v>454140</v>
      </c>
      <c r="E43" s="28">
        <v>7859.80098</v>
      </c>
      <c r="F43" s="29">
        <v>1.26437096276294</v>
      </c>
    </row>
    <row r="44" spans="1:6" x14ac:dyDescent="0.2">
      <c r="A44" s="26" t="s">
        <v>1182</v>
      </c>
      <c r="B44" s="26" t="s">
        <v>1183</v>
      </c>
      <c r="C44" s="26" t="s">
        <v>839</v>
      </c>
      <c r="D44" s="30">
        <v>4308453</v>
      </c>
      <c r="E44" s="28">
        <v>7759.5238529999997</v>
      </c>
      <c r="F44" s="29">
        <v>1.24823983069856</v>
      </c>
    </row>
    <row r="45" spans="1:6" x14ac:dyDescent="0.2">
      <c r="A45" s="26" t="s">
        <v>1184</v>
      </c>
      <c r="B45" s="26" t="s">
        <v>1185</v>
      </c>
      <c r="C45" s="26" t="s">
        <v>1186</v>
      </c>
      <c r="D45" s="30">
        <v>393330</v>
      </c>
      <c r="E45" s="28">
        <v>7714.3812900000003</v>
      </c>
      <c r="F45" s="29">
        <v>1.24097794887902</v>
      </c>
    </row>
    <row r="46" spans="1:6" x14ac:dyDescent="0.2">
      <c r="A46" s="26" t="s">
        <v>1187</v>
      </c>
      <c r="B46" s="26" t="s">
        <v>1188</v>
      </c>
      <c r="C46" s="26" t="s">
        <v>857</v>
      </c>
      <c r="D46" s="30">
        <v>1946602</v>
      </c>
      <c r="E46" s="28">
        <v>7095.3642900000004</v>
      </c>
      <c r="F46" s="29">
        <v>1.14139945799252</v>
      </c>
    </row>
    <row r="47" spans="1:6" x14ac:dyDescent="0.2">
      <c r="A47" s="26" t="s">
        <v>1189</v>
      </c>
      <c r="B47" s="26" t="s">
        <v>1190</v>
      </c>
      <c r="C47" s="26" t="s">
        <v>842</v>
      </c>
      <c r="D47" s="30">
        <v>4950639</v>
      </c>
      <c r="E47" s="28">
        <v>7029.9073799999996</v>
      </c>
      <c r="F47" s="29">
        <v>1.1308696982025701</v>
      </c>
    </row>
    <row r="48" spans="1:6" x14ac:dyDescent="0.2">
      <c r="A48" s="26" t="s">
        <v>1037</v>
      </c>
      <c r="B48" s="26" t="s">
        <v>1038</v>
      </c>
      <c r="C48" s="26" t="s">
        <v>892</v>
      </c>
      <c r="D48" s="30">
        <v>1041126</v>
      </c>
      <c r="E48" s="28">
        <v>6726.1945230000001</v>
      </c>
      <c r="F48" s="29">
        <v>1.08201277187763</v>
      </c>
    </row>
    <row r="49" spans="1:6" x14ac:dyDescent="0.2">
      <c r="A49" s="26" t="s">
        <v>1191</v>
      </c>
      <c r="B49" s="26" t="s">
        <v>1192</v>
      </c>
      <c r="C49" s="26" t="s">
        <v>892</v>
      </c>
      <c r="D49" s="30">
        <v>1349476</v>
      </c>
      <c r="E49" s="28">
        <v>6466.0142539999997</v>
      </c>
      <c r="F49" s="29">
        <v>1.04015873790851</v>
      </c>
    </row>
    <row r="50" spans="1:6" x14ac:dyDescent="0.2">
      <c r="A50" s="26" t="s">
        <v>1193</v>
      </c>
      <c r="B50" s="26" t="s">
        <v>1194</v>
      </c>
      <c r="C50" s="26" t="s">
        <v>1186</v>
      </c>
      <c r="D50" s="30">
        <v>1409260</v>
      </c>
      <c r="E50" s="28">
        <v>6315.5986899999998</v>
      </c>
      <c r="F50" s="29">
        <v>1.0159620601614301</v>
      </c>
    </row>
    <row r="51" spans="1:6" x14ac:dyDescent="0.2">
      <c r="A51" s="26" t="s">
        <v>1195</v>
      </c>
      <c r="B51" s="26" t="s">
        <v>1196</v>
      </c>
      <c r="C51" s="26" t="s">
        <v>1138</v>
      </c>
      <c r="D51" s="30">
        <v>2063782</v>
      </c>
      <c r="E51" s="28">
        <v>6200.6330189999999</v>
      </c>
      <c r="F51" s="29">
        <v>0.99746804784523602</v>
      </c>
    </row>
    <row r="52" spans="1:6" x14ac:dyDescent="0.2">
      <c r="A52" s="26" t="s">
        <v>1197</v>
      </c>
      <c r="B52" s="26" t="s">
        <v>1198</v>
      </c>
      <c r="C52" s="26" t="s">
        <v>912</v>
      </c>
      <c r="D52" s="30">
        <v>2713308</v>
      </c>
      <c r="E52" s="28">
        <v>6190.4122020000004</v>
      </c>
      <c r="F52" s="29">
        <v>0.99582387081538604</v>
      </c>
    </row>
    <row r="53" spans="1:6" x14ac:dyDescent="0.2">
      <c r="A53" s="26" t="s">
        <v>1199</v>
      </c>
      <c r="B53" s="26" t="s">
        <v>1200</v>
      </c>
      <c r="C53" s="26" t="s">
        <v>950</v>
      </c>
      <c r="D53" s="30">
        <v>6313159</v>
      </c>
      <c r="E53" s="28">
        <v>5849.1418139999996</v>
      </c>
      <c r="F53" s="29">
        <v>0.94092523277912798</v>
      </c>
    </row>
    <row r="54" spans="1:6" x14ac:dyDescent="0.2">
      <c r="A54" s="26" t="s">
        <v>1201</v>
      </c>
      <c r="B54" s="26" t="s">
        <v>1202</v>
      </c>
      <c r="C54" s="26" t="s">
        <v>930</v>
      </c>
      <c r="D54" s="30">
        <v>1675137</v>
      </c>
      <c r="E54" s="28">
        <v>5693.7906629999998</v>
      </c>
      <c r="F54" s="29">
        <v>0.91593458926843196</v>
      </c>
    </row>
    <row r="55" spans="1:6" x14ac:dyDescent="0.2">
      <c r="A55" s="26" t="s">
        <v>1203</v>
      </c>
      <c r="B55" s="26" t="s">
        <v>1204</v>
      </c>
      <c r="C55" s="26" t="s">
        <v>912</v>
      </c>
      <c r="D55" s="30">
        <v>24421468</v>
      </c>
      <c r="E55" s="28">
        <v>5677.9913100000003</v>
      </c>
      <c r="F55" s="29">
        <v>0.91339301815047702</v>
      </c>
    </row>
    <row r="56" spans="1:6" x14ac:dyDescent="0.2">
      <c r="A56" s="26" t="s">
        <v>1205</v>
      </c>
      <c r="B56" s="26" t="s">
        <v>1206</v>
      </c>
      <c r="C56" s="26" t="s">
        <v>937</v>
      </c>
      <c r="D56" s="30">
        <v>1054022</v>
      </c>
      <c r="E56" s="28">
        <v>5543.1016980000004</v>
      </c>
      <c r="F56" s="29">
        <v>0.89169393072763503</v>
      </c>
    </row>
    <row r="57" spans="1:6" x14ac:dyDescent="0.2">
      <c r="A57" s="26" t="s">
        <v>960</v>
      </c>
      <c r="B57" s="26" t="s">
        <v>961</v>
      </c>
      <c r="C57" s="26" t="s">
        <v>962</v>
      </c>
      <c r="D57" s="30">
        <v>3933544</v>
      </c>
      <c r="E57" s="28">
        <v>5412.556544</v>
      </c>
      <c r="F57" s="29">
        <v>0.87069371679511698</v>
      </c>
    </row>
    <row r="58" spans="1:6" x14ac:dyDescent="0.2">
      <c r="A58" s="26" t="s">
        <v>1207</v>
      </c>
      <c r="B58" s="26" t="s">
        <v>1208</v>
      </c>
      <c r="C58" s="26" t="s">
        <v>839</v>
      </c>
      <c r="D58" s="30">
        <v>13370612</v>
      </c>
      <c r="E58" s="28">
        <v>5040.7207239999998</v>
      </c>
      <c r="F58" s="29">
        <v>0.81087815468108204</v>
      </c>
    </row>
    <row r="59" spans="1:6" x14ac:dyDescent="0.2">
      <c r="A59" s="26" t="s">
        <v>1209</v>
      </c>
      <c r="B59" s="26" t="s">
        <v>1210</v>
      </c>
      <c r="C59" s="26" t="s">
        <v>892</v>
      </c>
      <c r="D59" s="30">
        <v>1196703</v>
      </c>
      <c r="E59" s="28">
        <v>4987.2597530000003</v>
      </c>
      <c r="F59" s="29">
        <v>0.80227812784255104</v>
      </c>
    </row>
    <row r="60" spans="1:6" x14ac:dyDescent="0.2">
      <c r="A60" s="26" t="s">
        <v>1211</v>
      </c>
      <c r="B60" s="26" t="s">
        <v>1212</v>
      </c>
      <c r="C60" s="26" t="s">
        <v>950</v>
      </c>
      <c r="D60" s="30">
        <v>2017424</v>
      </c>
      <c r="E60" s="28">
        <v>4341.4964479999999</v>
      </c>
      <c r="F60" s="29">
        <v>0.69839707872471102</v>
      </c>
    </row>
    <row r="61" spans="1:6" x14ac:dyDescent="0.2">
      <c r="A61" s="26" t="s">
        <v>1213</v>
      </c>
      <c r="B61" s="26" t="s">
        <v>1214</v>
      </c>
      <c r="C61" s="26" t="s">
        <v>909</v>
      </c>
      <c r="D61" s="30">
        <v>988899</v>
      </c>
      <c r="E61" s="28">
        <v>3453.7297579999999</v>
      </c>
      <c r="F61" s="29">
        <v>0.55558602951362002</v>
      </c>
    </row>
    <row r="62" spans="1:6" x14ac:dyDescent="0.2">
      <c r="A62" s="26" t="s">
        <v>1215</v>
      </c>
      <c r="B62" s="26" t="s">
        <v>1216</v>
      </c>
      <c r="C62" s="26" t="s">
        <v>866</v>
      </c>
      <c r="D62" s="30">
        <v>497102</v>
      </c>
      <c r="E62" s="28">
        <v>2556.844137</v>
      </c>
      <c r="F62" s="29">
        <v>0.41130805873578902</v>
      </c>
    </row>
    <row r="63" spans="1:6" x14ac:dyDescent="0.2">
      <c r="A63" s="26" t="s">
        <v>1217</v>
      </c>
      <c r="B63" s="26" t="s">
        <v>1218</v>
      </c>
      <c r="C63" s="26" t="s">
        <v>860</v>
      </c>
      <c r="D63" s="30">
        <v>8258046</v>
      </c>
      <c r="E63" s="28">
        <v>1891.0925339999999</v>
      </c>
      <c r="F63" s="29">
        <v>0.304211581689105</v>
      </c>
    </row>
    <row r="64" spans="1:6" x14ac:dyDescent="0.2">
      <c r="A64" s="26" t="s">
        <v>1219</v>
      </c>
      <c r="B64" s="26" t="s">
        <v>1220</v>
      </c>
      <c r="C64" s="26" t="s">
        <v>912</v>
      </c>
      <c r="D64" s="30">
        <v>11046869</v>
      </c>
      <c r="E64" s="28">
        <v>1773.022475</v>
      </c>
      <c r="F64" s="29">
        <v>0.285218180386556</v>
      </c>
    </row>
    <row r="65" spans="1:9" x14ac:dyDescent="0.2">
      <c r="A65" s="26" t="s">
        <v>1221</v>
      </c>
      <c r="B65" s="26" t="s">
        <v>1222</v>
      </c>
      <c r="C65" s="26" t="s">
        <v>912</v>
      </c>
      <c r="D65" s="30">
        <v>544092</v>
      </c>
      <c r="E65" s="28">
        <v>1535.971716</v>
      </c>
      <c r="F65" s="29">
        <v>0.24708488704450099</v>
      </c>
    </row>
    <row r="66" spans="1:9" x14ac:dyDescent="0.2">
      <c r="A66" s="26" t="s">
        <v>1223</v>
      </c>
      <c r="B66" s="26" t="s">
        <v>1224</v>
      </c>
      <c r="C66" s="26" t="s">
        <v>930</v>
      </c>
      <c r="D66" s="30">
        <v>3300861</v>
      </c>
      <c r="E66" s="28">
        <v>1148.6996280000001</v>
      </c>
      <c r="F66" s="29">
        <v>0.18478616166942499</v>
      </c>
    </row>
    <row r="67" spans="1:9" ht="10.5" x14ac:dyDescent="0.25">
      <c r="A67" s="25" t="s">
        <v>17</v>
      </c>
      <c r="B67" s="25"/>
      <c r="C67" s="25"/>
      <c r="D67" s="31"/>
      <c r="E67" s="32">
        <f>SUM(E7:E66)</f>
        <v>608036.93315399997</v>
      </c>
      <c r="F67" s="33">
        <f>SUM(F7:F66)</f>
        <v>97.812176736228892</v>
      </c>
      <c r="G67" s="18"/>
      <c r="H67" s="18"/>
      <c r="I67" s="18"/>
    </row>
    <row r="68" spans="1:9" x14ac:dyDescent="0.2">
      <c r="A68" s="26"/>
      <c r="B68" s="26"/>
      <c r="C68" s="26"/>
      <c r="D68" s="27"/>
      <c r="E68" s="28"/>
      <c r="F68" s="29"/>
    </row>
    <row r="69" spans="1:9" ht="10.5" x14ac:dyDescent="0.25">
      <c r="A69" s="25" t="s">
        <v>62</v>
      </c>
      <c r="B69" s="25"/>
      <c r="C69" s="25"/>
      <c r="D69" s="31"/>
      <c r="E69" s="32">
        <f>E67</f>
        <v>608036.93315399997</v>
      </c>
      <c r="F69" s="33">
        <f>F67</f>
        <v>97.812176736228892</v>
      </c>
      <c r="G69" s="18"/>
      <c r="H69" s="18"/>
      <c r="I69" s="18"/>
    </row>
    <row r="70" spans="1:9" ht="10.5" x14ac:dyDescent="0.25">
      <c r="A70" s="25"/>
      <c r="B70" s="25"/>
      <c r="C70" s="25"/>
      <c r="D70" s="31"/>
      <c r="E70" s="32"/>
      <c r="F70" s="33"/>
      <c r="G70" s="18"/>
      <c r="H70" s="18"/>
      <c r="I70" s="18"/>
    </row>
    <row r="71" spans="1:9" ht="10.5" x14ac:dyDescent="0.25">
      <c r="A71" s="25" t="s">
        <v>63</v>
      </c>
      <c r="B71" s="25"/>
      <c r="C71" s="25"/>
      <c r="D71" s="31"/>
      <c r="E71" s="32">
        <f>E73-(E67)</f>
        <v>13600.32454010006</v>
      </c>
      <c r="F71" s="33">
        <f>F73-(F67)</f>
        <v>2.1878232637711079</v>
      </c>
      <c r="G71" s="18"/>
      <c r="H71" s="18"/>
      <c r="I71" s="18"/>
    </row>
    <row r="72" spans="1:9" ht="10.5" x14ac:dyDescent="0.25">
      <c r="A72" s="25"/>
      <c r="B72" s="25"/>
      <c r="C72" s="25"/>
      <c r="D72" s="31"/>
      <c r="E72" s="32"/>
      <c r="F72" s="33"/>
      <c r="G72" s="18"/>
      <c r="H72" s="18"/>
      <c r="I72" s="18"/>
    </row>
    <row r="73" spans="1:9" ht="10.5" x14ac:dyDescent="0.25">
      <c r="A73" s="34" t="s">
        <v>64</v>
      </c>
      <c r="B73" s="34"/>
      <c r="C73" s="34"/>
      <c r="D73" s="35"/>
      <c r="E73" s="36">
        <v>621637.25769410003</v>
      </c>
      <c r="F73" s="37">
        <v>100</v>
      </c>
      <c r="G73" s="18"/>
      <c r="H73" s="18"/>
      <c r="I73" s="18"/>
    </row>
    <row r="76" spans="1:9" ht="10.5" x14ac:dyDescent="0.25">
      <c r="A76" s="18" t="s">
        <v>67</v>
      </c>
    </row>
    <row r="77" spans="1:9" ht="10.5" x14ac:dyDescent="0.25">
      <c r="A77" s="18" t="s">
        <v>68</v>
      </c>
    </row>
    <row r="78" spans="1:9" ht="10.5" x14ac:dyDescent="0.25">
      <c r="A78" s="18" t="s">
        <v>69</v>
      </c>
      <c r="B78" s="18"/>
      <c r="C78" s="38" t="s">
        <v>70</v>
      </c>
      <c r="D78" s="43" t="s">
        <v>71</v>
      </c>
    </row>
    <row r="79" spans="1:9" x14ac:dyDescent="0.2">
      <c r="A79" s="9" t="s">
        <v>98</v>
      </c>
      <c r="C79" s="39">
        <v>39.385300000000001</v>
      </c>
      <c r="D79" s="39">
        <v>59.166400000000003</v>
      </c>
    </row>
    <row r="80" spans="1:9" x14ac:dyDescent="0.2">
      <c r="A80" s="9" t="s">
        <v>331</v>
      </c>
      <c r="C80" s="39">
        <v>16.595300000000002</v>
      </c>
      <c r="D80" s="39">
        <v>24.930299999999999</v>
      </c>
    </row>
    <row r="81" spans="1:4" x14ac:dyDescent="0.2">
      <c r="A81" s="9" t="s">
        <v>101</v>
      </c>
      <c r="C81" s="39">
        <v>42.730899999999998</v>
      </c>
      <c r="D81" s="39">
        <v>64.459699999999998</v>
      </c>
    </row>
    <row r="82" spans="1:4" x14ac:dyDescent="0.2">
      <c r="A82" s="9" t="s">
        <v>332</v>
      </c>
      <c r="C82" s="39">
        <v>18.5504</v>
      </c>
      <c r="D82" s="39">
        <v>27.9833</v>
      </c>
    </row>
    <row r="84" spans="1:4" ht="10.5" x14ac:dyDescent="0.25">
      <c r="A84" s="18" t="s">
        <v>90</v>
      </c>
      <c r="D84" s="43" t="s">
        <v>96</v>
      </c>
    </row>
    <row r="86" spans="1:4" ht="10.5" x14ac:dyDescent="0.25">
      <c r="A86" s="18" t="s">
        <v>998</v>
      </c>
      <c r="D86" s="59">
        <v>7.9799999999999996E-2</v>
      </c>
    </row>
    <row r="88" spans="1:4" ht="10.5" x14ac:dyDescent="0.25">
      <c r="A88" s="18" t="s">
        <v>1516</v>
      </c>
    </row>
    <row r="89" spans="1:4" x14ac:dyDescent="0.2">
      <c r="A89" s="47" t="s">
        <v>1509</v>
      </c>
    </row>
  </sheetData>
  <mergeCells count="1">
    <mergeCell ref="A1:F1"/>
  </mergeCells>
  <conditionalFormatting sqref="F2:F3 F5:F65536">
    <cfRule type="cellIs" dxfId="19" priority="1" stopIfTrue="1" operator="between">
      <formula>0.009</formula>
      <formula>-0.009</formula>
    </cfRule>
  </conditionalFormatting>
  <hyperlinks>
    <hyperlink ref="A89" r:id="rId1" xr:uid="{27E45E6F-41E6-4EDA-B2B7-D6AE33E3D77E}"/>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5"/>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66" t="s">
        <v>1225</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837</v>
      </c>
      <c r="B7" s="26" t="s">
        <v>838</v>
      </c>
      <c r="C7" s="26" t="s">
        <v>839</v>
      </c>
      <c r="D7" s="30">
        <v>1988423</v>
      </c>
      <c r="E7" s="28">
        <v>28559.719550000002</v>
      </c>
      <c r="F7" s="29">
        <v>4.0423103564442702</v>
      </c>
    </row>
    <row r="8" spans="1:6" x14ac:dyDescent="0.2">
      <c r="A8" s="26" t="s">
        <v>1226</v>
      </c>
      <c r="B8" s="26" t="s">
        <v>1227</v>
      </c>
      <c r="C8" s="26" t="s">
        <v>857</v>
      </c>
      <c r="D8" s="30">
        <v>7341052</v>
      </c>
      <c r="E8" s="28">
        <v>27936.373390000001</v>
      </c>
      <c r="F8" s="29">
        <v>3.9540826470017301</v>
      </c>
    </row>
    <row r="9" spans="1:6" x14ac:dyDescent="0.2">
      <c r="A9" s="26" t="s">
        <v>845</v>
      </c>
      <c r="B9" s="26" t="s">
        <v>846</v>
      </c>
      <c r="C9" s="26" t="s">
        <v>839</v>
      </c>
      <c r="D9" s="30">
        <v>5159409</v>
      </c>
      <c r="E9" s="28">
        <v>27605.417850000002</v>
      </c>
      <c r="F9" s="29">
        <v>3.9072395747326798</v>
      </c>
    </row>
    <row r="10" spans="1:6" x14ac:dyDescent="0.2">
      <c r="A10" s="26" t="s">
        <v>897</v>
      </c>
      <c r="B10" s="26" t="s">
        <v>898</v>
      </c>
      <c r="C10" s="26" t="s">
        <v>866</v>
      </c>
      <c r="D10" s="30">
        <v>4252164</v>
      </c>
      <c r="E10" s="28">
        <v>25842.526709999998</v>
      </c>
      <c r="F10" s="29">
        <v>3.6577219595463699</v>
      </c>
    </row>
    <row r="11" spans="1:6" x14ac:dyDescent="0.2">
      <c r="A11" s="26" t="s">
        <v>850</v>
      </c>
      <c r="B11" s="26" t="s">
        <v>851</v>
      </c>
      <c r="C11" s="26" t="s">
        <v>839</v>
      </c>
      <c r="D11" s="30">
        <v>1254035</v>
      </c>
      <c r="E11" s="28">
        <v>25025.52246</v>
      </c>
      <c r="F11" s="29">
        <v>3.54208410339543</v>
      </c>
    </row>
    <row r="12" spans="1:6" x14ac:dyDescent="0.2">
      <c r="A12" s="26" t="s">
        <v>1228</v>
      </c>
      <c r="B12" s="26" t="s">
        <v>1229</v>
      </c>
      <c r="C12" s="26" t="s">
        <v>930</v>
      </c>
      <c r="D12" s="30">
        <v>2877389</v>
      </c>
      <c r="E12" s="28">
        <v>22915.526000000002</v>
      </c>
      <c r="F12" s="29">
        <v>3.2434375943711999</v>
      </c>
    </row>
    <row r="13" spans="1:6" x14ac:dyDescent="0.2">
      <c r="A13" s="26" t="s">
        <v>1088</v>
      </c>
      <c r="B13" s="26" t="s">
        <v>1089</v>
      </c>
      <c r="C13" s="26" t="s">
        <v>842</v>
      </c>
      <c r="D13" s="30">
        <v>478016</v>
      </c>
      <c r="E13" s="28">
        <v>22743.523260000002</v>
      </c>
      <c r="F13" s="29">
        <v>3.21909252137349</v>
      </c>
    </row>
    <row r="14" spans="1:6" x14ac:dyDescent="0.2">
      <c r="A14" s="26" t="s">
        <v>855</v>
      </c>
      <c r="B14" s="26" t="s">
        <v>856</v>
      </c>
      <c r="C14" s="26" t="s">
        <v>857</v>
      </c>
      <c r="D14" s="30">
        <v>2622087</v>
      </c>
      <c r="E14" s="28">
        <v>21649.261320000001</v>
      </c>
      <c r="F14" s="29">
        <v>3.0642119258206901</v>
      </c>
    </row>
    <row r="15" spans="1:6" x14ac:dyDescent="0.2">
      <c r="A15" s="26" t="s">
        <v>1182</v>
      </c>
      <c r="B15" s="26" t="s">
        <v>1183</v>
      </c>
      <c r="C15" s="26" t="s">
        <v>839</v>
      </c>
      <c r="D15" s="30">
        <v>11788196</v>
      </c>
      <c r="E15" s="28">
        <v>21230.541000000001</v>
      </c>
      <c r="F15" s="29">
        <v>3.0049467259987401</v>
      </c>
    </row>
    <row r="16" spans="1:6" x14ac:dyDescent="0.2">
      <c r="A16" s="26" t="s">
        <v>1230</v>
      </c>
      <c r="B16" s="26" t="s">
        <v>1231</v>
      </c>
      <c r="C16" s="26" t="s">
        <v>1017</v>
      </c>
      <c r="D16" s="30">
        <v>1464796</v>
      </c>
      <c r="E16" s="28">
        <v>18087.301009999999</v>
      </c>
      <c r="F16" s="29">
        <v>2.5600560980595501</v>
      </c>
    </row>
    <row r="17" spans="1:6" x14ac:dyDescent="0.2">
      <c r="A17" s="26" t="s">
        <v>852</v>
      </c>
      <c r="B17" s="26" t="s">
        <v>853</v>
      </c>
      <c r="C17" s="26" t="s">
        <v>854</v>
      </c>
      <c r="D17" s="30">
        <v>1086879</v>
      </c>
      <c r="E17" s="28">
        <v>17893.288980000001</v>
      </c>
      <c r="F17" s="29">
        <v>2.5325958550844399</v>
      </c>
    </row>
    <row r="18" spans="1:6" x14ac:dyDescent="0.2">
      <c r="A18" s="26" t="s">
        <v>1039</v>
      </c>
      <c r="B18" s="26" t="s">
        <v>1040</v>
      </c>
      <c r="C18" s="26" t="s">
        <v>866</v>
      </c>
      <c r="D18" s="30">
        <v>2996137</v>
      </c>
      <c r="E18" s="28">
        <v>17674.212159999999</v>
      </c>
      <c r="F18" s="29">
        <v>2.5015879701228099</v>
      </c>
    </row>
    <row r="19" spans="1:6" x14ac:dyDescent="0.2">
      <c r="A19" s="26" t="s">
        <v>1054</v>
      </c>
      <c r="B19" s="26" t="s">
        <v>1055</v>
      </c>
      <c r="C19" s="26" t="s">
        <v>871</v>
      </c>
      <c r="D19" s="30">
        <v>18234302</v>
      </c>
      <c r="E19" s="28">
        <v>17404.64126</v>
      </c>
      <c r="F19" s="29">
        <v>2.4634332102709799</v>
      </c>
    </row>
    <row r="20" spans="1:6" x14ac:dyDescent="0.2">
      <c r="A20" s="26" t="s">
        <v>951</v>
      </c>
      <c r="B20" s="26" t="s">
        <v>952</v>
      </c>
      <c r="C20" s="26" t="s">
        <v>937</v>
      </c>
      <c r="D20" s="30">
        <v>3071672</v>
      </c>
      <c r="E20" s="28">
        <v>16470.305260000001</v>
      </c>
      <c r="F20" s="29">
        <v>2.3311883511228899</v>
      </c>
    </row>
    <row r="21" spans="1:6" x14ac:dyDescent="0.2">
      <c r="A21" s="26" t="s">
        <v>969</v>
      </c>
      <c r="B21" s="26" t="s">
        <v>970</v>
      </c>
      <c r="C21" s="26" t="s">
        <v>839</v>
      </c>
      <c r="D21" s="30">
        <v>23869927</v>
      </c>
      <c r="E21" s="28">
        <v>15921.241309999999</v>
      </c>
      <c r="F21" s="29">
        <v>2.2534744615467099</v>
      </c>
    </row>
    <row r="22" spans="1:6" x14ac:dyDescent="0.2">
      <c r="A22" s="26" t="s">
        <v>899</v>
      </c>
      <c r="B22" s="26" t="s">
        <v>900</v>
      </c>
      <c r="C22" s="26" t="s">
        <v>877</v>
      </c>
      <c r="D22" s="30">
        <v>4050170</v>
      </c>
      <c r="E22" s="28">
        <v>15435.19787</v>
      </c>
      <c r="F22" s="29">
        <v>2.18468042357466</v>
      </c>
    </row>
    <row r="23" spans="1:6" x14ac:dyDescent="0.2">
      <c r="A23" s="26" t="s">
        <v>1232</v>
      </c>
      <c r="B23" s="26" t="s">
        <v>1233</v>
      </c>
      <c r="C23" s="26" t="s">
        <v>1138</v>
      </c>
      <c r="D23" s="30">
        <v>2606125</v>
      </c>
      <c r="E23" s="28">
        <v>15204.133250000001</v>
      </c>
      <c r="F23" s="29">
        <v>2.1519757989792199</v>
      </c>
    </row>
    <row r="24" spans="1:6" x14ac:dyDescent="0.2">
      <c r="A24" s="26" t="s">
        <v>953</v>
      </c>
      <c r="B24" s="26" t="s">
        <v>954</v>
      </c>
      <c r="C24" s="26" t="s">
        <v>955</v>
      </c>
      <c r="D24" s="30">
        <v>12640848</v>
      </c>
      <c r="E24" s="28">
        <v>15181.658450000001</v>
      </c>
      <c r="F24" s="29">
        <v>2.1487947412436901</v>
      </c>
    </row>
    <row r="25" spans="1:6" x14ac:dyDescent="0.2">
      <c r="A25" s="26" t="s">
        <v>1234</v>
      </c>
      <c r="B25" s="26" t="s">
        <v>1235</v>
      </c>
      <c r="C25" s="26" t="s">
        <v>909</v>
      </c>
      <c r="D25" s="30">
        <v>2131049</v>
      </c>
      <c r="E25" s="28">
        <v>14653.092919999999</v>
      </c>
      <c r="F25" s="29">
        <v>2.0739821748164302</v>
      </c>
    </row>
    <row r="26" spans="1:6" x14ac:dyDescent="0.2">
      <c r="A26" s="26" t="s">
        <v>1018</v>
      </c>
      <c r="B26" s="26" t="s">
        <v>1019</v>
      </c>
      <c r="C26" s="26" t="s">
        <v>892</v>
      </c>
      <c r="D26" s="30">
        <v>4145052</v>
      </c>
      <c r="E26" s="28">
        <v>14285.92172</v>
      </c>
      <c r="F26" s="29">
        <v>2.0220131790512701</v>
      </c>
    </row>
    <row r="27" spans="1:6" x14ac:dyDescent="0.2">
      <c r="A27" s="26" t="s">
        <v>1236</v>
      </c>
      <c r="B27" s="26" t="s">
        <v>1237</v>
      </c>
      <c r="C27" s="26" t="s">
        <v>866</v>
      </c>
      <c r="D27" s="30">
        <v>3366673</v>
      </c>
      <c r="E27" s="28">
        <v>14266.27684</v>
      </c>
      <c r="F27" s="29">
        <v>2.0192326649871801</v>
      </c>
    </row>
    <row r="28" spans="1:6" x14ac:dyDescent="0.2">
      <c r="A28" s="26" t="s">
        <v>1007</v>
      </c>
      <c r="B28" s="26" t="s">
        <v>1008</v>
      </c>
      <c r="C28" s="26" t="s">
        <v>1009</v>
      </c>
      <c r="D28" s="30">
        <v>11687252</v>
      </c>
      <c r="E28" s="28">
        <v>14018.858770000001</v>
      </c>
      <c r="F28" s="29">
        <v>1.9842133916017599</v>
      </c>
    </row>
    <row r="29" spans="1:6" x14ac:dyDescent="0.2">
      <c r="A29" s="26" t="s">
        <v>1238</v>
      </c>
      <c r="B29" s="26" t="s">
        <v>1239</v>
      </c>
      <c r="C29" s="26" t="s">
        <v>892</v>
      </c>
      <c r="D29" s="30">
        <v>783689</v>
      </c>
      <c r="E29" s="28">
        <v>13364.640359999999</v>
      </c>
      <c r="F29" s="29">
        <v>1.89161605886221</v>
      </c>
    </row>
    <row r="30" spans="1:6" x14ac:dyDescent="0.2">
      <c r="A30" s="26" t="s">
        <v>1240</v>
      </c>
      <c r="B30" s="26" t="s">
        <v>1241</v>
      </c>
      <c r="C30" s="26" t="s">
        <v>854</v>
      </c>
      <c r="D30" s="30">
        <v>7460107</v>
      </c>
      <c r="E30" s="28">
        <v>13278.990460000001</v>
      </c>
      <c r="F30" s="29">
        <v>1.87949326902906</v>
      </c>
    </row>
    <row r="31" spans="1:6" x14ac:dyDescent="0.2">
      <c r="A31" s="26" t="s">
        <v>867</v>
      </c>
      <c r="B31" s="26" t="s">
        <v>868</v>
      </c>
      <c r="C31" s="26" t="s">
        <v>863</v>
      </c>
      <c r="D31" s="30">
        <v>5901482</v>
      </c>
      <c r="E31" s="28">
        <v>13077.68411</v>
      </c>
      <c r="F31" s="29">
        <v>1.8510005962631999</v>
      </c>
    </row>
    <row r="32" spans="1:6" x14ac:dyDescent="0.2">
      <c r="A32" s="26" t="s">
        <v>1242</v>
      </c>
      <c r="B32" s="26" t="s">
        <v>1243</v>
      </c>
      <c r="C32" s="26" t="s">
        <v>1186</v>
      </c>
      <c r="D32" s="30">
        <v>537865</v>
      </c>
      <c r="E32" s="28">
        <v>12977.60672</v>
      </c>
      <c r="F32" s="29">
        <v>1.8368357558369901</v>
      </c>
    </row>
    <row r="33" spans="1:6" x14ac:dyDescent="0.2">
      <c r="A33" s="26" t="s">
        <v>1244</v>
      </c>
      <c r="B33" s="26" t="s">
        <v>1245</v>
      </c>
      <c r="C33" s="26" t="s">
        <v>937</v>
      </c>
      <c r="D33" s="30">
        <v>709058</v>
      </c>
      <c r="E33" s="28">
        <v>12793.178970000001</v>
      </c>
      <c r="F33" s="29">
        <v>1.8107320609972899</v>
      </c>
    </row>
    <row r="34" spans="1:6" x14ac:dyDescent="0.2">
      <c r="A34" s="26" t="s">
        <v>1246</v>
      </c>
      <c r="B34" s="26" t="s">
        <v>1247</v>
      </c>
      <c r="C34" s="26" t="s">
        <v>1248</v>
      </c>
      <c r="D34" s="30">
        <v>531704</v>
      </c>
      <c r="E34" s="28">
        <v>11671.16865</v>
      </c>
      <c r="F34" s="29">
        <v>1.65192399116898</v>
      </c>
    </row>
    <row r="35" spans="1:6" x14ac:dyDescent="0.2">
      <c r="A35" s="26" t="s">
        <v>1050</v>
      </c>
      <c r="B35" s="26" t="s">
        <v>1051</v>
      </c>
      <c r="C35" s="26" t="s">
        <v>930</v>
      </c>
      <c r="D35" s="30">
        <v>607739</v>
      </c>
      <c r="E35" s="28">
        <v>11649.141149999999</v>
      </c>
      <c r="F35" s="29">
        <v>1.64880624376881</v>
      </c>
    </row>
    <row r="36" spans="1:6" x14ac:dyDescent="0.2">
      <c r="A36" s="26" t="s">
        <v>1249</v>
      </c>
      <c r="B36" s="26" t="s">
        <v>1250</v>
      </c>
      <c r="C36" s="26" t="s">
        <v>892</v>
      </c>
      <c r="D36" s="30">
        <v>254692</v>
      </c>
      <c r="E36" s="28">
        <v>11553.465850000001</v>
      </c>
      <c r="F36" s="29">
        <v>1.6352644701751</v>
      </c>
    </row>
    <row r="37" spans="1:6" x14ac:dyDescent="0.2">
      <c r="A37" s="26" t="s">
        <v>1251</v>
      </c>
      <c r="B37" s="26" t="s">
        <v>1252</v>
      </c>
      <c r="C37" s="26" t="s">
        <v>1253</v>
      </c>
      <c r="D37" s="30">
        <v>1386228</v>
      </c>
      <c r="E37" s="28">
        <v>11292.21329</v>
      </c>
      <c r="F37" s="29">
        <v>1.5982870787449499</v>
      </c>
    </row>
    <row r="38" spans="1:6" x14ac:dyDescent="0.2">
      <c r="A38" s="26" t="s">
        <v>1254</v>
      </c>
      <c r="B38" s="26" t="s">
        <v>1255</v>
      </c>
      <c r="C38" s="26" t="s">
        <v>842</v>
      </c>
      <c r="D38" s="30">
        <v>714369</v>
      </c>
      <c r="E38" s="28">
        <v>11000.92542</v>
      </c>
      <c r="F38" s="29">
        <v>1.5570585235574199</v>
      </c>
    </row>
    <row r="39" spans="1:6" x14ac:dyDescent="0.2">
      <c r="A39" s="26" t="s">
        <v>1256</v>
      </c>
      <c r="B39" s="26" t="s">
        <v>1257</v>
      </c>
      <c r="C39" s="26" t="s">
        <v>839</v>
      </c>
      <c r="D39" s="30">
        <v>4734341</v>
      </c>
      <c r="E39" s="28">
        <v>10938.694879999999</v>
      </c>
      <c r="F39" s="29">
        <v>1.5482504834123301</v>
      </c>
    </row>
    <row r="40" spans="1:6" x14ac:dyDescent="0.2">
      <c r="A40" s="26" t="s">
        <v>861</v>
      </c>
      <c r="B40" s="26" t="s">
        <v>862</v>
      </c>
      <c r="C40" s="26" t="s">
        <v>863</v>
      </c>
      <c r="D40" s="30">
        <v>4335064</v>
      </c>
      <c r="E40" s="28">
        <v>10733.61846</v>
      </c>
      <c r="F40" s="29">
        <v>1.5192241992089</v>
      </c>
    </row>
    <row r="41" spans="1:6" x14ac:dyDescent="0.2">
      <c r="A41" s="26" t="s">
        <v>1258</v>
      </c>
      <c r="B41" s="26" t="s">
        <v>1259</v>
      </c>
      <c r="C41" s="26" t="s">
        <v>854</v>
      </c>
      <c r="D41" s="30">
        <v>1950821</v>
      </c>
      <c r="E41" s="28">
        <v>10148.170840000001</v>
      </c>
      <c r="F41" s="29">
        <v>1.43636060619152</v>
      </c>
    </row>
    <row r="42" spans="1:6" x14ac:dyDescent="0.2">
      <c r="A42" s="26" t="s">
        <v>1260</v>
      </c>
      <c r="B42" s="26" t="s">
        <v>1261</v>
      </c>
      <c r="C42" s="26" t="s">
        <v>1186</v>
      </c>
      <c r="D42" s="30">
        <v>391950</v>
      </c>
      <c r="E42" s="28">
        <v>9170.6501250000001</v>
      </c>
      <c r="F42" s="29">
        <v>1.2980034313962501</v>
      </c>
    </row>
    <row r="43" spans="1:6" x14ac:dyDescent="0.2">
      <c r="A43" s="26" t="s">
        <v>1032</v>
      </c>
      <c r="B43" s="26" t="s">
        <v>1033</v>
      </c>
      <c r="C43" s="26" t="s">
        <v>854</v>
      </c>
      <c r="D43" s="30">
        <v>68736</v>
      </c>
      <c r="E43" s="28">
        <v>8788.1725439999991</v>
      </c>
      <c r="F43" s="29">
        <v>1.2438679878013901</v>
      </c>
    </row>
    <row r="44" spans="1:6" x14ac:dyDescent="0.2">
      <c r="A44" s="26" t="s">
        <v>905</v>
      </c>
      <c r="B44" s="26" t="s">
        <v>906</v>
      </c>
      <c r="C44" s="26" t="s">
        <v>871</v>
      </c>
      <c r="D44" s="30">
        <v>1763341</v>
      </c>
      <c r="E44" s="28">
        <v>8552.2038499999999</v>
      </c>
      <c r="F44" s="29">
        <v>1.21046924612667</v>
      </c>
    </row>
    <row r="45" spans="1:6" x14ac:dyDescent="0.2">
      <c r="A45" s="26" t="s">
        <v>1262</v>
      </c>
      <c r="B45" s="26" t="s">
        <v>1263</v>
      </c>
      <c r="C45" s="26" t="s">
        <v>892</v>
      </c>
      <c r="D45" s="30">
        <v>408622</v>
      </c>
      <c r="E45" s="28">
        <v>8067.6284569999998</v>
      </c>
      <c r="F45" s="29">
        <v>1.1418829938641899</v>
      </c>
    </row>
    <row r="46" spans="1:6" x14ac:dyDescent="0.2">
      <c r="A46" s="26" t="s">
        <v>1025</v>
      </c>
      <c r="B46" s="26" t="s">
        <v>1026</v>
      </c>
      <c r="C46" s="26" t="s">
        <v>937</v>
      </c>
      <c r="D46" s="30">
        <v>11253507</v>
      </c>
      <c r="E46" s="28">
        <v>7663.6382670000003</v>
      </c>
      <c r="F46" s="29">
        <v>1.0847026799581001</v>
      </c>
    </row>
    <row r="47" spans="1:6" x14ac:dyDescent="0.2">
      <c r="A47" s="26" t="s">
        <v>1264</v>
      </c>
      <c r="B47" s="26" t="s">
        <v>1265</v>
      </c>
      <c r="C47" s="26" t="s">
        <v>892</v>
      </c>
      <c r="D47" s="30">
        <v>3000000</v>
      </c>
      <c r="E47" s="28">
        <v>7561.5</v>
      </c>
      <c r="F47" s="29">
        <v>1.0702461453356</v>
      </c>
    </row>
    <row r="48" spans="1:6" x14ac:dyDescent="0.2">
      <c r="A48" s="26" t="s">
        <v>1266</v>
      </c>
      <c r="B48" s="26" t="s">
        <v>1267</v>
      </c>
      <c r="C48" s="26" t="s">
        <v>1138</v>
      </c>
      <c r="D48" s="30">
        <v>1043720</v>
      </c>
      <c r="E48" s="28">
        <v>7343.6139199999998</v>
      </c>
      <c r="F48" s="29">
        <v>1.0394067963648601</v>
      </c>
    </row>
    <row r="49" spans="1:9" x14ac:dyDescent="0.2">
      <c r="A49" s="26" t="s">
        <v>1268</v>
      </c>
      <c r="B49" s="26" t="s">
        <v>1269</v>
      </c>
      <c r="C49" s="26" t="s">
        <v>1138</v>
      </c>
      <c r="D49" s="30">
        <v>821062</v>
      </c>
      <c r="E49" s="28">
        <v>6359.5357210000002</v>
      </c>
      <c r="F49" s="29">
        <v>0.90012148271167403</v>
      </c>
    </row>
    <row r="50" spans="1:9" x14ac:dyDescent="0.2">
      <c r="A50" s="26" t="s">
        <v>1062</v>
      </c>
      <c r="B50" s="26" t="s">
        <v>1063</v>
      </c>
      <c r="C50" s="26" t="s">
        <v>883</v>
      </c>
      <c r="D50" s="30">
        <v>1029004</v>
      </c>
      <c r="E50" s="28">
        <v>6321.1715720000002</v>
      </c>
      <c r="F50" s="29">
        <v>0.89469146451603498</v>
      </c>
    </row>
    <row r="51" spans="1:9" x14ac:dyDescent="0.2">
      <c r="A51" s="26" t="s">
        <v>901</v>
      </c>
      <c r="B51" s="26" t="s">
        <v>902</v>
      </c>
      <c r="C51" s="26" t="s">
        <v>839</v>
      </c>
      <c r="D51" s="30">
        <v>12530441</v>
      </c>
      <c r="E51" s="28">
        <v>5732.6767579999996</v>
      </c>
      <c r="F51" s="29">
        <v>0.81139657511135399</v>
      </c>
    </row>
    <row r="52" spans="1:9" x14ac:dyDescent="0.2">
      <c r="A52" s="26" t="s">
        <v>907</v>
      </c>
      <c r="B52" s="26" t="s">
        <v>908</v>
      </c>
      <c r="C52" s="26" t="s">
        <v>909</v>
      </c>
      <c r="D52" s="30">
        <v>3318223</v>
      </c>
      <c r="E52" s="28">
        <v>5494.977288</v>
      </c>
      <c r="F52" s="29">
        <v>0.77775286136198996</v>
      </c>
    </row>
    <row r="53" spans="1:9" x14ac:dyDescent="0.2">
      <c r="A53" s="26" t="s">
        <v>1015</v>
      </c>
      <c r="B53" s="26" t="s">
        <v>1016</v>
      </c>
      <c r="C53" s="26" t="s">
        <v>1017</v>
      </c>
      <c r="D53" s="30">
        <v>1128001</v>
      </c>
      <c r="E53" s="28">
        <v>5385.0767740000001</v>
      </c>
      <c r="F53" s="29">
        <v>0.76219766709115699</v>
      </c>
    </row>
    <row r="54" spans="1:9" x14ac:dyDescent="0.2">
      <c r="A54" s="26" t="s">
        <v>1270</v>
      </c>
      <c r="B54" s="26" t="s">
        <v>1271</v>
      </c>
      <c r="C54" s="26" t="s">
        <v>892</v>
      </c>
      <c r="D54" s="30">
        <v>816550</v>
      </c>
      <c r="E54" s="28">
        <v>4289.3371500000003</v>
      </c>
      <c r="F54" s="29">
        <v>0.60710792181872697</v>
      </c>
    </row>
    <row r="55" spans="1:9" x14ac:dyDescent="0.2">
      <c r="A55" s="26" t="s">
        <v>1272</v>
      </c>
      <c r="B55" s="26" t="s">
        <v>1273</v>
      </c>
      <c r="C55" s="26" t="s">
        <v>874</v>
      </c>
      <c r="D55" s="30">
        <v>193912</v>
      </c>
      <c r="E55" s="28">
        <v>4244.3458559999999</v>
      </c>
      <c r="F55" s="29">
        <v>0.60073990502613805</v>
      </c>
    </row>
    <row r="56" spans="1:9" x14ac:dyDescent="0.2">
      <c r="A56" s="26" t="s">
        <v>1152</v>
      </c>
      <c r="B56" s="26" t="s">
        <v>1153</v>
      </c>
      <c r="C56" s="26" t="s">
        <v>1017</v>
      </c>
      <c r="D56" s="30">
        <v>29890</v>
      </c>
      <c r="E56" s="28">
        <v>1921.9568899999999</v>
      </c>
      <c r="F56" s="29">
        <v>0.27203160127272402</v>
      </c>
    </row>
    <row r="57" spans="1:9" x14ac:dyDescent="0.2">
      <c r="A57" s="26" t="s">
        <v>913</v>
      </c>
      <c r="B57" s="26" t="s">
        <v>914</v>
      </c>
      <c r="C57" s="26" t="s">
        <v>909</v>
      </c>
      <c r="D57" s="30">
        <v>387844</v>
      </c>
      <c r="E57" s="28">
        <v>401.61246199999999</v>
      </c>
      <c r="F57" s="29">
        <v>5.6843772978144698E-2</v>
      </c>
    </row>
    <row r="58" spans="1:9" ht="10.5" x14ac:dyDescent="0.25">
      <c r="A58" s="25" t="s">
        <v>17</v>
      </c>
      <c r="B58" s="25"/>
      <c r="C58" s="25"/>
      <c r="D58" s="31"/>
      <c r="E58" s="32">
        <f>SUM(E7:E57)</f>
        <v>681782.13813400024</v>
      </c>
      <c r="F58" s="33">
        <f>SUM(F7:F57)</f>
        <v>96.498671599097946</v>
      </c>
      <c r="G58" s="18"/>
      <c r="H58" s="18"/>
      <c r="I58" s="18"/>
    </row>
    <row r="59" spans="1:9" x14ac:dyDescent="0.2">
      <c r="A59" s="26"/>
      <c r="B59" s="26"/>
      <c r="C59" s="26"/>
      <c r="D59" s="27"/>
      <c r="E59" s="28"/>
      <c r="F59" s="29"/>
    </row>
    <row r="60" spans="1:9" ht="10.5" x14ac:dyDescent="0.25">
      <c r="A60" s="25" t="s">
        <v>988</v>
      </c>
      <c r="B60" s="26"/>
      <c r="C60" s="26"/>
      <c r="D60" s="27"/>
      <c r="E60" s="28"/>
      <c r="F60" s="29"/>
    </row>
    <row r="61" spans="1:9" x14ac:dyDescent="0.2">
      <c r="A61" s="26"/>
      <c r="B61" s="26" t="s">
        <v>992</v>
      </c>
      <c r="C61" s="26" t="s">
        <v>937</v>
      </c>
      <c r="D61" s="30">
        <v>8100</v>
      </c>
      <c r="E61" s="28">
        <v>8.0999999999999996E-4</v>
      </c>
      <c r="F61" s="29">
        <v>1.1464648253942199E-7</v>
      </c>
    </row>
    <row r="62" spans="1:9" ht="10.5" x14ac:dyDescent="0.25">
      <c r="A62" s="25" t="s">
        <v>17</v>
      </c>
      <c r="B62" s="25"/>
      <c r="C62" s="25"/>
      <c r="D62" s="31"/>
      <c r="E62" s="32">
        <f>SUM(E60:E61)</f>
        <v>8.0999999999999996E-4</v>
      </c>
      <c r="F62" s="33">
        <f>SUM(F60:F61)</f>
        <v>1.1464648253942199E-7</v>
      </c>
      <c r="G62" s="18"/>
      <c r="H62" s="18"/>
      <c r="I62" s="18"/>
    </row>
    <row r="63" spans="1:9" x14ac:dyDescent="0.2">
      <c r="A63" s="26"/>
      <c r="B63" s="26"/>
      <c r="C63" s="26"/>
      <c r="D63" s="27"/>
      <c r="E63" s="28"/>
      <c r="F63" s="29"/>
    </row>
    <row r="64" spans="1:9" ht="10.5" x14ac:dyDescent="0.25">
      <c r="A64" s="25" t="s">
        <v>62</v>
      </c>
      <c r="B64" s="25"/>
      <c r="C64" s="25"/>
      <c r="D64" s="31"/>
      <c r="E64" s="32">
        <f>E58+E62</f>
        <v>681782.13894400024</v>
      </c>
      <c r="F64" s="33">
        <f>F58+F62</f>
        <v>96.498671713744429</v>
      </c>
      <c r="G64" s="18"/>
      <c r="H64" s="18"/>
      <c r="I64" s="18"/>
    </row>
    <row r="65" spans="1:9" ht="10.5" x14ac:dyDescent="0.25">
      <c r="A65" s="25"/>
      <c r="B65" s="25"/>
      <c r="C65" s="25"/>
      <c r="D65" s="31"/>
      <c r="E65" s="32"/>
      <c r="F65" s="33"/>
      <c r="G65" s="18"/>
      <c r="H65" s="18"/>
      <c r="I65" s="18"/>
    </row>
    <row r="66" spans="1:9" ht="10.5" x14ac:dyDescent="0.25">
      <c r="A66" s="25" t="s">
        <v>63</v>
      </c>
      <c r="B66" s="25"/>
      <c r="C66" s="25"/>
      <c r="D66" s="31"/>
      <c r="E66" s="32">
        <f>E68-(E58+E62)</f>
        <v>24737.574577499763</v>
      </c>
      <c r="F66" s="33">
        <f>F68-(F58+F62)</f>
        <v>3.5013282862555712</v>
      </c>
      <c r="G66" s="18"/>
      <c r="H66" s="18"/>
      <c r="I66" s="18"/>
    </row>
    <row r="67" spans="1:9" ht="10.5" x14ac:dyDescent="0.25">
      <c r="A67" s="25"/>
      <c r="B67" s="25"/>
      <c r="C67" s="25"/>
      <c r="D67" s="31"/>
      <c r="E67" s="32"/>
      <c r="F67" s="33"/>
      <c r="G67" s="18"/>
      <c r="H67" s="18"/>
      <c r="I67" s="18"/>
    </row>
    <row r="68" spans="1:9" ht="10.5" x14ac:dyDescent="0.25">
      <c r="A68" s="34" t="s">
        <v>64</v>
      </c>
      <c r="B68" s="34"/>
      <c r="C68" s="34"/>
      <c r="D68" s="35"/>
      <c r="E68" s="36">
        <v>706519.7135215</v>
      </c>
      <c r="F68" s="37">
        <v>100</v>
      </c>
      <c r="G68" s="18"/>
      <c r="H68" s="18"/>
      <c r="I68" s="18"/>
    </row>
    <row r="69" spans="1:9" ht="10.5" x14ac:dyDescent="0.25">
      <c r="F69" s="19" t="s">
        <v>924</v>
      </c>
    </row>
    <row r="70" spans="1:9" ht="10.5" x14ac:dyDescent="0.25">
      <c r="A70" s="18" t="s">
        <v>66</v>
      </c>
    </row>
    <row r="72" spans="1:9" ht="10.5" x14ac:dyDescent="0.25">
      <c r="A72" s="18" t="s">
        <v>67</v>
      </c>
    </row>
    <row r="73" spans="1:9" ht="10.5" x14ac:dyDescent="0.25">
      <c r="A73" s="18" t="s">
        <v>68</v>
      </c>
    </row>
    <row r="74" spans="1:9" ht="10.5" x14ac:dyDescent="0.25">
      <c r="A74" s="18" t="s">
        <v>69</v>
      </c>
      <c r="B74" s="18"/>
      <c r="C74" s="38" t="s">
        <v>70</v>
      </c>
      <c r="D74" s="43" t="s">
        <v>71</v>
      </c>
    </row>
    <row r="75" spans="1:9" x14ac:dyDescent="0.2">
      <c r="A75" s="9" t="s">
        <v>98</v>
      </c>
      <c r="C75" s="39">
        <v>827.22659999999996</v>
      </c>
      <c r="D75" s="39">
        <v>1130.7201</v>
      </c>
    </row>
    <row r="76" spans="1:9" x14ac:dyDescent="0.2">
      <c r="A76" s="9" t="s">
        <v>331</v>
      </c>
      <c r="C76" s="39">
        <v>43.424399999999999</v>
      </c>
      <c r="D76" s="39">
        <v>59.355699999999999</v>
      </c>
    </row>
    <row r="77" spans="1:9" x14ac:dyDescent="0.2">
      <c r="A77" s="9" t="s">
        <v>101</v>
      </c>
      <c r="C77" s="39">
        <v>892.35599999999999</v>
      </c>
      <c r="D77" s="39">
        <v>1224.7280000000001</v>
      </c>
    </row>
    <row r="78" spans="1:9" x14ac:dyDescent="0.2">
      <c r="A78" s="9" t="s">
        <v>332</v>
      </c>
      <c r="C78" s="39">
        <v>48.660899999999998</v>
      </c>
      <c r="D78" s="39">
        <v>66.785200000000003</v>
      </c>
    </row>
    <row r="80" spans="1:9" ht="10.5" x14ac:dyDescent="0.25">
      <c r="A80" s="18" t="s">
        <v>90</v>
      </c>
      <c r="D80" s="43" t="s">
        <v>96</v>
      </c>
    </row>
    <row r="82" spans="1:4" ht="10.5" x14ac:dyDescent="0.25">
      <c r="A82" s="18" t="s">
        <v>998</v>
      </c>
      <c r="D82" s="59">
        <v>9.0999999999999998E-2</v>
      </c>
    </row>
    <row r="84" spans="1:4" ht="10.5" x14ac:dyDescent="0.25">
      <c r="A84" s="18" t="s">
        <v>1516</v>
      </c>
    </row>
    <row r="85" spans="1:4" x14ac:dyDescent="0.2">
      <c r="A85" s="47" t="s">
        <v>1509</v>
      </c>
    </row>
  </sheetData>
  <mergeCells count="1">
    <mergeCell ref="A1:F1"/>
  </mergeCells>
  <conditionalFormatting sqref="F2:F3 F5:F65537">
    <cfRule type="cellIs" dxfId="18" priority="1" stopIfTrue="1" operator="between">
      <formula>0.009</formula>
      <formula>-0.009</formula>
    </cfRule>
  </conditionalFormatting>
  <hyperlinks>
    <hyperlink ref="A85" r:id="rId1" xr:uid="{A6D78DA8-AAC8-4E8E-87FC-6788FC2C7A38}"/>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76"/>
  <sheetViews>
    <sheetView workbookViewId="0">
      <selection sqref="A1:F1"/>
    </sheetView>
  </sheetViews>
  <sheetFormatPr defaultColWidth="9.1796875" defaultRowHeight="10" x14ac:dyDescent="0.2"/>
  <cols>
    <col min="1" max="1" width="38.7265625" style="9" bestFit="1" customWidth="1"/>
    <col min="2" max="2" width="35.1796875" style="9" bestFit="1" customWidth="1"/>
    <col min="3" max="3" width="21.179687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66" t="s">
        <v>1274</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837</v>
      </c>
      <c r="B7" s="26" t="s">
        <v>838</v>
      </c>
      <c r="C7" s="26" t="s">
        <v>839</v>
      </c>
      <c r="D7" s="30">
        <v>395485</v>
      </c>
      <c r="E7" s="28">
        <v>5680.3510550000001</v>
      </c>
      <c r="F7" s="29">
        <v>9.3078760643897596</v>
      </c>
    </row>
    <row r="8" spans="1:6" x14ac:dyDescent="0.2">
      <c r="A8" s="26" t="s">
        <v>840</v>
      </c>
      <c r="B8" s="26" t="s">
        <v>841</v>
      </c>
      <c r="C8" s="26" t="s">
        <v>842</v>
      </c>
      <c r="D8" s="30">
        <v>405492</v>
      </c>
      <c r="E8" s="28">
        <v>5092.1685360000001</v>
      </c>
      <c r="F8" s="29">
        <v>8.3440747188244107</v>
      </c>
    </row>
    <row r="9" spans="1:6" x14ac:dyDescent="0.2">
      <c r="A9" s="26" t="s">
        <v>1088</v>
      </c>
      <c r="B9" s="26" t="s">
        <v>1089</v>
      </c>
      <c r="C9" s="26" t="s">
        <v>842</v>
      </c>
      <c r="D9" s="30">
        <v>95845</v>
      </c>
      <c r="E9" s="28">
        <v>4560.2092549999998</v>
      </c>
      <c r="F9" s="29">
        <v>7.4724012939061497</v>
      </c>
    </row>
    <row r="10" spans="1:6" x14ac:dyDescent="0.2">
      <c r="A10" s="26" t="s">
        <v>850</v>
      </c>
      <c r="B10" s="26" t="s">
        <v>851</v>
      </c>
      <c r="C10" s="26" t="s">
        <v>839</v>
      </c>
      <c r="D10" s="30">
        <v>169031</v>
      </c>
      <c r="E10" s="28">
        <v>3373.182636</v>
      </c>
      <c r="F10" s="29">
        <v>5.5273284369991398</v>
      </c>
    </row>
    <row r="11" spans="1:6" x14ac:dyDescent="0.2">
      <c r="A11" s="26" t="s">
        <v>845</v>
      </c>
      <c r="B11" s="26" t="s">
        <v>846</v>
      </c>
      <c r="C11" s="26" t="s">
        <v>839</v>
      </c>
      <c r="D11" s="30">
        <v>583651</v>
      </c>
      <c r="E11" s="28">
        <v>3122.8246760000002</v>
      </c>
      <c r="F11" s="29">
        <v>5.1170895554845499</v>
      </c>
    </row>
    <row r="12" spans="1:6" x14ac:dyDescent="0.2">
      <c r="A12" s="26" t="s">
        <v>843</v>
      </c>
      <c r="B12" s="26" t="s">
        <v>844</v>
      </c>
      <c r="C12" s="26" t="s">
        <v>839</v>
      </c>
      <c r="D12" s="30">
        <v>458037</v>
      </c>
      <c r="E12" s="28">
        <v>2841.8905669999999</v>
      </c>
      <c r="F12" s="29">
        <v>4.6567483118689701</v>
      </c>
    </row>
    <row r="13" spans="1:6" x14ac:dyDescent="0.2">
      <c r="A13" s="26" t="s">
        <v>1010</v>
      </c>
      <c r="B13" s="26" t="s">
        <v>1011</v>
      </c>
      <c r="C13" s="26" t="s">
        <v>842</v>
      </c>
      <c r="D13" s="30">
        <v>229692</v>
      </c>
      <c r="E13" s="28">
        <v>2173.2308579999999</v>
      </c>
      <c r="F13" s="29">
        <v>3.5610762943543901</v>
      </c>
    </row>
    <row r="14" spans="1:6" x14ac:dyDescent="0.2">
      <c r="A14" s="26" t="s">
        <v>1275</v>
      </c>
      <c r="B14" s="26" t="s">
        <v>1276</v>
      </c>
      <c r="C14" s="26" t="s">
        <v>866</v>
      </c>
      <c r="D14" s="30">
        <v>73037</v>
      </c>
      <c r="E14" s="28">
        <v>2019.1078649999999</v>
      </c>
      <c r="F14" s="29">
        <v>3.3085289247241101</v>
      </c>
    </row>
    <row r="15" spans="1:6" x14ac:dyDescent="0.2">
      <c r="A15" s="26" t="s">
        <v>899</v>
      </c>
      <c r="B15" s="26" t="s">
        <v>900</v>
      </c>
      <c r="C15" s="26" t="s">
        <v>877</v>
      </c>
      <c r="D15" s="30">
        <v>523765</v>
      </c>
      <c r="E15" s="28">
        <v>1996.068415</v>
      </c>
      <c r="F15" s="29">
        <v>3.27077626769371</v>
      </c>
    </row>
    <row r="16" spans="1:6" x14ac:dyDescent="0.2">
      <c r="A16" s="26" t="s">
        <v>869</v>
      </c>
      <c r="B16" s="26" t="s">
        <v>870</v>
      </c>
      <c r="C16" s="26" t="s">
        <v>871</v>
      </c>
      <c r="D16" s="30">
        <v>274264</v>
      </c>
      <c r="E16" s="28">
        <v>1976.3463839999999</v>
      </c>
      <c r="F16" s="29">
        <v>3.23845956428777</v>
      </c>
    </row>
    <row r="17" spans="1:6" x14ac:dyDescent="0.2">
      <c r="A17" s="26" t="s">
        <v>1195</v>
      </c>
      <c r="B17" s="26" t="s">
        <v>1196</v>
      </c>
      <c r="C17" s="26" t="s">
        <v>1138</v>
      </c>
      <c r="D17" s="30">
        <v>575743</v>
      </c>
      <c r="E17" s="28">
        <v>1729.8198440000001</v>
      </c>
      <c r="F17" s="29">
        <v>2.8344988832163001</v>
      </c>
    </row>
    <row r="18" spans="1:6" x14ac:dyDescent="0.2">
      <c r="A18" s="26" t="s">
        <v>872</v>
      </c>
      <c r="B18" s="26" t="s">
        <v>873</v>
      </c>
      <c r="C18" s="26" t="s">
        <v>874</v>
      </c>
      <c r="D18" s="30">
        <v>354144</v>
      </c>
      <c r="E18" s="28">
        <v>1688.3815199999999</v>
      </c>
      <c r="F18" s="29">
        <v>2.7665976601451501</v>
      </c>
    </row>
    <row r="19" spans="1:6" x14ac:dyDescent="0.2">
      <c r="A19" s="26" t="s">
        <v>926</v>
      </c>
      <c r="B19" s="26" t="s">
        <v>927</v>
      </c>
      <c r="C19" s="26" t="s">
        <v>874</v>
      </c>
      <c r="D19" s="30">
        <v>29191</v>
      </c>
      <c r="E19" s="28">
        <v>1519.4207409999999</v>
      </c>
      <c r="F19" s="29">
        <v>2.4897369563880298</v>
      </c>
    </row>
    <row r="20" spans="1:6" x14ac:dyDescent="0.2">
      <c r="A20" s="26" t="s">
        <v>948</v>
      </c>
      <c r="B20" s="26" t="s">
        <v>949</v>
      </c>
      <c r="C20" s="26" t="s">
        <v>950</v>
      </c>
      <c r="D20" s="30">
        <v>116490</v>
      </c>
      <c r="E20" s="28">
        <v>1499.92524</v>
      </c>
      <c r="F20" s="29">
        <v>2.4577914471467599</v>
      </c>
    </row>
    <row r="21" spans="1:6" x14ac:dyDescent="0.2">
      <c r="A21" s="26" t="s">
        <v>1032</v>
      </c>
      <c r="B21" s="26" t="s">
        <v>1033</v>
      </c>
      <c r="C21" s="26" t="s">
        <v>854</v>
      </c>
      <c r="D21" s="30">
        <v>11497</v>
      </c>
      <c r="E21" s="28">
        <v>1469.9374379999999</v>
      </c>
      <c r="F21" s="29">
        <v>2.4086531559114399</v>
      </c>
    </row>
    <row r="22" spans="1:6" x14ac:dyDescent="0.2">
      <c r="A22" s="26" t="s">
        <v>1092</v>
      </c>
      <c r="B22" s="26" t="s">
        <v>1093</v>
      </c>
      <c r="C22" s="26" t="s">
        <v>842</v>
      </c>
      <c r="D22" s="30">
        <v>20384</v>
      </c>
      <c r="E22" s="28">
        <v>1306.0436480000001</v>
      </c>
      <c r="F22" s="29">
        <v>2.1400952674512999</v>
      </c>
    </row>
    <row r="23" spans="1:6" x14ac:dyDescent="0.2">
      <c r="A23" s="26" t="s">
        <v>847</v>
      </c>
      <c r="B23" s="26" t="s">
        <v>848</v>
      </c>
      <c r="C23" s="26" t="s">
        <v>849</v>
      </c>
      <c r="D23" s="30">
        <v>242272</v>
      </c>
      <c r="E23" s="28">
        <v>1234.8603840000001</v>
      </c>
      <c r="F23" s="29">
        <v>2.0234537090765699</v>
      </c>
    </row>
    <row r="24" spans="1:6" x14ac:dyDescent="0.2">
      <c r="A24" s="26" t="s">
        <v>1180</v>
      </c>
      <c r="B24" s="26" t="s">
        <v>1181</v>
      </c>
      <c r="C24" s="26" t="s">
        <v>937</v>
      </c>
      <c r="D24" s="30">
        <v>71018</v>
      </c>
      <c r="E24" s="28">
        <v>1229.108526</v>
      </c>
      <c r="F24" s="29">
        <v>2.0140286610671101</v>
      </c>
    </row>
    <row r="25" spans="1:6" x14ac:dyDescent="0.2">
      <c r="A25" s="26" t="s">
        <v>928</v>
      </c>
      <c r="B25" s="26" t="s">
        <v>929</v>
      </c>
      <c r="C25" s="26" t="s">
        <v>930</v>
      </c>
      <c r="D25" s="30">
        <v>130392</v>
      </c>
      <c r="E25" s="28">
        <v>1209.8421719999999</v>
      </c>
      <c r="F25" s="29">
        <v>1.98245863423104</v>
      </c>
    </row>
    <row r="26" spans="1:6" x14ac:dyDescent="0.2">
      <c r="A26" s="26" t="s">
        <v>875</v>
      </c>
      <c r="B26" s="26" t="s">
        <v>876</v>
      </c>
      <c r="C26" s="26" t="s">
        <v>877</v>
      </c>
      <c r="D26" s="30">
        <v>551423</v>
      </c>
      <c r="E26" s="28">
        <v>1201.5507170000001</v>
      </c>
      <c r="F26" s="29">
        <v>1.96887217895984</v>
      </c>
    </row>
    <row r="27" spans="1:6" x14ac:dyDescent="0.2">
      <c r="A27" s="26" t="s">
        <v>1199</v>
      </c>
      <c r="B27" s="26" t="s">
        <v>1200</v>
      </c>
      <c r="C27" s="26" t="s">
        <v>950</v>
      </c>
      <c r="D27" s="30">
        <v>1262673</v>
      </c>
      <c r="E27" s="28">
        <v>1169.8665350000001</v>
      </c>
      <c r="F27" s="29">
        <v>1.9169541836806601</v>
      </c>
    </row>
    <row r="28" spans="1:6" x14ac:dyDescent="0.2">
      <c r="A28" s="26" t="s">
        <v>1050</v>
      </c>
      <c r="B28" s="26" t="s">
        <v>1051</v>
      </c>
      <c r="C28" s="26" t="s">
        <v>930</v>
      </c>
      <c r="D28" s="30">
        <v>60992</v>
      </c>
      <c r="E28" s="28">
        <v>1169.094656</v>
      </c>
      <c r="F28" s="29">
        <v>1.915689375573</v>
      </c>
    </row>
    <row r="29" spans="1:6" x14ac:dyDescent="0.2">
      <c r="A29" s="26" t="s">
        <v>1096</v>
      </c>
      <c r="B29" s="26" t="s">
        <v>1097</v>
      </c>
      <c r="C29" s="26" t="s">
        <v>842</v>
      </c>
      <c r="D29" s="30">
        <v>183588</v>
      </c>
      <c r="E29" s="28">
        <v>1162.11204</v>
      </c>
      <c r="F29" s="29">
        <v>1.9042475960590399</v>
      </c>
    </row>
    <row r="30" spans="1:6" x14ac:dyDescent="0.2">
      <c r="A30" s="26" t="s">
        <v>858</v>
      </c>
      <c r="B30" s="26" t="s">
        <v>859</v>
      </c>
      <c r="C30" s="26" t="s">
        <v>860</v>
      </c>
      <c r="D30" s="30">
        <v>151376</v>
      </c>
      <c r="E30" s="28">
        <v>974.33162400000003</v>
      </c>
      <c r="F30" s="29">
        <v>1.5965488600964</v>
      </c>
    </row>
    <row r="31" spans="1:6" x14ac:dyDescent="0.2">
      <c r="A31" s="26" t="s">
        <v>1240</v>
      </c>
      <c r="B31" s="26" t="s">
        <v>1241</v>
      </c>
      <c r="C31" s="26" t="s">
        <v>854</v>
      </c>
      <c r="D31" s="30">
        <v>522693</v>
      </c>
      <c r="E31" s="28">
        <v>930.39354000000003</v>
      </c>
      <c r="F31" s="29">
        <v>1.52455150704218</v>
      </c>
    </row>
    <row r="32" spans="1:6" x14ac:dyDescent="0.2">
      <c r="A32" s="26" t="s">
        <v>903</v>
      </c>
      <c r="B32" s="26" t="s">
        <v>904</v>
      </c>
      <c r="C32" s="26" t="s">
        <v>871</v>
      </c>
      <c r="D32" s="30">
        <v>484457</v>
      </c>
      <c r="E32" s="28">
        <v>890.6741945</v>
      </c>
      <c r="F32" s="29">
        <v>1.4594670181271401</v>
      </c>
    </row>
    <row r="33" spans="1:9" x14ac:dyDescent="0.2">
      <c r="A33" s="26" t="s">
        <v>1025</v>
      </c>
      <c r="B33" s="26" t="s">
        <v>1026</v>
      </c>
      <c r="C33" s="26" t="s">
        <v>937</v>
      </c>
      <c r="D33" s="30">
        <v>1247117</v>
      </c>
      <c r="E33" s="28">
        <v>849.28667700000005</v>
      </c>
      <c r="F33" s="29">
        <v>1.3916490470593701</v>
      </c>
    </row>
    <row r="34" spans="1:9" x14ac:dyDescent="0.2">
      <c r="A34" s="26" t="s">
        <v>1277</v>
      </c>
      <c r="B34" s="26" t="s">
        <v>1278</v>
      </c>
      <c r="C34" s="26" t="s">
        <v>912</v>
      </c>
      <c r="D34" s="30">
        <v>583460</v>
      </c>
      <c r="E34" s="28">
        <v>780.66948000000002</v>
      </c>
      <c r="F34" s="29">
        <v>1.2792122699345401</v>
      </c>
    </row>
    <row r="35" spans="1:9" x14ac:dyDescent="0.2">
      <c r="A35" s="26" t="s">
        <v>1279</v>
      </c>
      <c r="B35" s="26" t="s">
        <v>1280</v>
      </c>
      <c r="C35" s="26" t="s">
        <v>874</v>
      </c>
      <c r="D35" s="30">
        <v>139673</v>
      </c>
      <c r="E35" s="28">
        <v>707.30407200000002</v>
      </c>
      <c r="F35" s="29">
        <v>1.15899503010808</v>
      </c>
    </row>
    <row r="36" spans="1:9" x14ac:dyDescent="0.2">
      <c r="A36" s="26" t="s">
        <v>1039</v>
      </c>
      <c r="B36" s="26" t="s">
        <v>1040</v>
      </c>
      <c r="C36" s="26" t="s">
        <v>866</v>
      </c>
      <c r="D36" s="30">
        <v>106104</v>
      </c>
      <c r="E36" s="28">
        <v>625.90749600000004</v>
      </c>
      <c r="F36" s="29">
        <v>1.02561784370923</v>
      </c>
    </row>
    <row r="37" spans="1:9" x14ac:dyDescent="0.2">
      <c r="A37" s="26" t="s">
        <v>1062</v>
      </c>
      <c r="B37" s="26" t="s">
        <v>1063</v>
      </c>
      <c r="C37" s="26" t="s">
        <v>883</v>
      </c>
      <c r="D37" s="30">
        <v>96374</v>
      </c>
      <c r="E37" s="28">
        <v>592.02548200000001</v>
      </c>
      <c r="F37" s="29">
        <v>0.97009846047562898</v>
      </c>
    </row>
    <row r="38" spans="1:9" x14ac:dyDescent="0.2">
      <c r="A38" s="26" t="s">
        <v>907</v>
      </c>
      <c r="B38" s="26" t="s">
        <v>908</v>
      </c>
      <c r="C38" s="26" t="s">
        <v>909</v>
      </c>
      <c r="D38" s="30">
        <v>226247</v>
      </c>
      <c r="E38" s="28">
        <v>374.665032</v>
      </c>
      <c r="F38" s="29">
        <v>0.61392960571459398</v>
      </c>
    </row>
    <row r="39" spans="1:9" x14ac:dyDescent="0.2">
      <c r="A39" s="26" t="s">
        <v>1281</v>
      </c>
      <c r="B39" s="26" t="s">
        <v>1282</v>
      </c>
      <c r="C39" s="26" t="s">
        <v>937</v>
      </c>
      <c r="D39" s="30">
        <v>12795</v>
      </c>
      <c r="E39" s="28">
        <v>182.9493075</v>
      </c>
      <c r="F39" s="29">
        <v>0.29978243664659099</v>
      </c>
    </row>
    <row r="40" spans="1:9" x14ac:dyDescent="0.2">
      <c r="A40" s="26" t="s">
        <v>913</v>
      </c>
      <c r="B40" s="26" t="s">
        <v>914</v>
      </c>
      <c r="C40" s="26" t="s">
        <v>909</v>
      </c>
      <c r="D40" s="30">
        <v>26444</v>
      </c>
      <c r="E40" s="28">
        <v>27.382762</v>
      </c>
      <c r="F40" s="29">
        <v>4.4869648465183001E-2</v>
      </c>
    </row>
    <row r="41" spans="1:9" x14ac:dyDescent="0.2">
      <c r="A41" s="26" t="s">
        <v>1283</v>
      </c>
      <c r="B41" s="26" t="s">
        <v>1284</v>
      </c>
      <c r="C41" s="26" t="s">
        <v>842</v>
      </c>
      <c r="D41" s="30">
        <v>176709</v>
      </c>
      <c r="E41" s="28">
        <v>27.301540500000002</v>
      </c>
      <c r="F41" s="29">
        <v>4.4736558159945899E-2</v>
      </c>
    </row>
    <row r="42" spans="1:9" ht="10.5" x14ac:dyDescent="0.25">
      <c r="A42" s="25" t="s">
        <v>17</v>
      </c>
      <c r="B42" s="25"/>
      <c r="C42" s="25"/>
      <c r="D42" s="31"/>
      <c r="E42" s="32">
        <f>SUM(E7:E41)</f>
        <v>57388.234915499968</v>
      </c>
      <c r="F42" s="33">
        <f>SUM(F7:F41)</f>
        <v>94.036895426978063</v>
      </c>
      <c r="G42" s="18"/>
      <c r="H42" s="18"/>
      <c r="I42" s="18"/>
    </row>
    <row r="43" spans="1:9" x14ac:dyDescent="0.2">
      <c r="A43" s="26"/>
      <c r="B43" s="26"/>
      <c r="C43" s="26"/>
      <c r="D43" s="27"/>
      <c r="E43" s="28"/>
      <c r="F43" s="29"/>
    </row>
    <row r="44" spans="1:9" ht="10.5" x14ac:dyDescent="0.25">
      <c r="A44" s="25" t="s">
        <v>988</v>
      </c>
      <c r="B44" s="26"/>
      <c r="C44" s="26"/>
      <c r="D44" s="27"/>
      <c r="E44" s="28"/>
      <c r="F44" s="29"/>
    </row>
    <row r="45" spans="1:9" x14ac:dyDescent="0.2">
      <c r="A45" s="26"/>
      <c r="B45" s="26" t="s">
        <v>1100</v>
      </c>
      <c r="C45" s="26" t="s">
        <v>842</v>
      </c>
      <c r="D45" s="30">
        <v>489000</v>
      </c>
      <c r="E45" s="28">
        <v>4.8899999999999999E-2</v>
      </c>
      <c r="F45" s="29">
        <v>8.0127994756242995E-5</v>
      </c>
    </row>
    <row r="46" spans="1:9" x14ac:dyDescent="0.2">
      <c r="A46" s="26"/>
      <c r="B46" s="26" t="s">
        <v>992</v>
      </c>
      <c r="C46" s="26" t="s">
        <v>937</v>
      </c>
      <c r="D46" s="30">
        <v>98000</v>
      </c>
      <c r="E46" s="28">
        <v>9.7999999999999997E-3</v>
      </c>
      <c r="F46" s="29">
        <v>1.6058371137242999E-5</v>
      </c>
    </row>
    <row r="47" spans="1:9" x14ac:dyDescent="0.2">
      <c r="A47" s="26" t="s">
        <v>1285</v>
      </c>
      <c r="B47" s="26" t="s">
        <v>1286</v>
      </c>
      <c r="C47" s="26" t="s">
        <v>937</v>
      </c>
      <c r="D47" s="30">
        <v>44170</v>
      </c>
      <c r="E47" s="28">
        <v>4.4169999999999999E-3</v>
      </c>
      <c r="F47" s="29">
        <v>7.2377372768573696E-6</v>
      </c>
    </row>
    <row r="48" spans="1:9" x14ac:dyDescent="0.2">
      <c r="A48" s="26"/>
      <c r="B48" s="26" t="s">
        <v>1287</v>
      </c>
      <c r="C48" s="26" t="s">
        <v>842</v>
      </c>
      <c r="D48" s="30">
        <v>23815</v>
      </c>
      <c r="E48" s="28">
        <v>2.3814999999999999E-3</v>
      </c>
      <c r="F48" s="29">
        <v>3.9023480472800098E-6</v>
      </c>
    </row>
    <row r="49" spans="1:9" ht="10.5" x14ac:dyDescent="0.25">
      <c r="A49" s="25" t="s">
        <v>17</v>
      </c>
      <c r="B49" s="25"/>
      <c r="C49" s="25"/>
      <c r="D49" s="31"/>
      <c r="E49" s="32">
        <f>SUM(E44:E48)</f>
        <v>6.5498500000000001E-2</v>
      </c>
      <c r="F49" s="33">
        <f>SUM(F44:F48)</f>
        <v>1.0732645121762337E-4</v>
      </c>
      <c r="G49" s="18"/>
      <c r="H49" s="18"/>
      <c r="I49" s="18"/>
    </row>
    <row r="50" spans="1:9" x14ac:dyDescent="0.2">
      <c r="A50" s="26"/>
      <c r="B50" s="26"/>
      <c r="C50" s="26"/>
      <c r="D50" s="27"/>
      <c r="E50" s="28"/>
      <c r="F50" s="29"/>
    </row>
    <row r="51" spans="1:9" ht="10.5" x14ac:dyDescent="0.25">
      <c r="A51" s="25" t="s">
        <v>62</v>
      </c>
      <c r="B51" s="25"/>
      <c r="C51" s="25"/>
      <c r="D51" s="31"/>
      <c r="E51" s="32">
        <f>E42+E49</f>
        <v>57388.300413999968</v>
      </c>
      <c r="F51" s="33">
        <f>F42+F49</f>
        <v>94.037002753429277</v>
      </c>
      <c r="G51" s="18"/>
      <c r="H51" s="18"/>
      <c r="I51" s="18"/>
    </row>
    <row r="52" spans="1:9" ht="10.5" x14ac:dyDescent="0.25">
      <c r="A52" s="25"/>
      <c r="B52" s="25"/>
      <c r="C52" s="25"/>
      <c r="D52" s="31"/>
      <c r="E52" s="32"/>
      <c r="F52" s="33"/>
      <c r="G52" s="18"/>
      <c r="H52" s="18"/>
      <c r="I52" s="18"/>
    </row>
    <row r="53" spans="1:9" ht="10.5" x14ac:dyDescent="0.25">
      <c r="A53" s="25" t="s">
        <v>63</v>
      </c>
      <c r="B53" s="25"/>
      <c r="C53" s="25"/>
      <c r="D53" s="31"/>
      <c r="E53" s="32">
        <f>E55-(E42+E49)</f>
        <v>3639.0598098000337</v>
      </c>
      <c r="F53" s="33">
        <f>F55-(F42+F49)</f>
        <v>5.9629972465707226</v>
      </c>
      <c r="G53" s="18"/>
      <c r="H53" s="18"/>
      <c r="I53" s="18"/>
    </row>
    <row r="54" spans="1:9" ht="10.5" x14ac:dyDescent="0.25">
      <c r="A54" s="25"/>
      <c r="B54" s="25"/>
      <c r="C54" s="25"/>
      <c r="D54" s="31"/>
      <c r="E54" s="32"/>
      <c r="F54" s="33"/>
      <c r="G54" s="18"/>
      <c r="H54" s="18"/>
      <c r="I54" s="18"/>
    </row>
    <row r="55" spans="1:9" ht="10.5" x14ac:dyDescent="0.25">
      <c r="A55" s="34" t="s">
        <v>64</v>
      </c>
      <c r="B55" s="34"/>
      <c r="C55" s="34"/>
      <c r="D55" s="35"/>
      <c r="E55" s="36">
        <v>61027.360223800002</v>
      </c>
      <c r="F55" s="37">
        <v>100</v>
      </c>
      <c r="G55" s="18"/>
      <c r="H55" s="18"/>
      <c r="I55" s="18"/>
    </row>
    <row r="56" spans="1:9" ht="10.5" x14ac:dyDescent="0.25">
      <c r="F56" s="19" t="s">
        <v>924</v>
      </c>
    </row>
    <row r="57" spans="1:9" ht="10.5" x14ac:dyDescent="0.25">
      <c r="A57" s="18" t="s">
        <v>66</v>
      </c>
    </row>
    <row r="58" spans="1:9" ht="10.5" x14ac:dyDescent="0.25">
      <c r="A58" s="18"/>
    </row>
    <row r="59" spans="1:9" ht="10.5" x14ac:dyDescent="0.25">
      <c r="A59" s="18" t="s">
        <v>67</v>
      </c>
    </row>
    <row r="60" spans="1:9" ht="10.5" x14ac:dyDescent="0.25">
      <c r="A60" s="18" t="s">
        <v>68</v>
      </c>
    </row>
    <row r="61" spans="1:9" ht="10.5" x14ac:dyDescent="0.25">
      <c r="A61" s="18" t="s">
        <v>69</v>
      </c>
      <c r="B61" s="18"/>
      <c r="C61" s="38" t="s">
        <v>70</v>
      </c>
      <c r="D61" s="43" t="s">
        <v>71</v>
      </c>
    </row>
    <row r="62" spans="1:9" x14ac:dyDescent="0.2">
      <c r="A62" s="9" t="s">
        <v>98</v>
      </c>
      <c r="C62" s="39">
        <v>64.116600000000005</v>
      </c>
      <c r="D62" s="39">
        <v>93.620500000000007</v>
      </c>
    </row>
    <row r="63" spans="1:9" x14ac:dyDescent="0.2">
      <c r="A63" s="9" t="s">
        <v>331</v>
      </c>
      <c r="C63" s="39">
        <v>14.976000000000001</v>
      </c>
      <c r="D63" s="39">
        <v>20.6462</v>
      </c>
    </row>
    <row r="64" spans="1:9" x14ac:dyDescent="0.2">
      <c r="A64" s="9" t="s">
        <v>101</v>
      </c>
      <c r="C64" s="39">
        <v>67.465199999999996</v>
      </c>
      <c r="D64" s="39">
        <v>98.984700000000004</v>
      </c>
    </row>
    <row r="65" spans="1:4" x14ac:dyDescent="0.2">
      <c r="A65" s="9" t="s">
        <v>332</v>
      </c>
      <c r="C65" s="39">
        <v>15.992599999999999</v>
      </c>
      <c r="D65" s="39">
        <v>22.239599999999999</v>
      </c>
    </row>
    <row r="67" spans="1:4" ht="10.5" x14ac:dyDescent="0.25">
      <c r="A67" s="18" t="s">
        <v>90</v>
      </c>
    </row>
    <row r="68" spans="1:4" ht="10.5" x14ac:dyDescent="0.25">
      <c r="A68" s="77" t="s">
        <v>91</v>
      </c>
      <c r="B68" s="78"/>
      <c r="C68" s="40" t="s">
        <v>92</v>
      </c>
    </row>
    <row r="69" spans="1:4" x14ac:dyDescent="0.2">
      <c r="A69" s="79" t="s">
        <v>331</v>
      </c>
      <c r="B69" s="80"/>
      <c r="C69" s="41">
        <v>1</v>
      </c>
    </row>
    <row r="70" spans="1:4" x14ac:dyDescent="0.2">
      <c r="A70" s="79" t="s">
        <v>332</v>
      </c>
      <c r="B70" s="80"/>
      <c r="C70" s="41">
        <v>1</v>
      </c>
    </row>
    <row r="71" spans="1:4" x14ac:dyDescent="0.2">
      <c r="A71" s="9" t="s">
        <v>93</v>
      </c>
    </row>
    <row r="73" spans="1:4" ht="10.5" x14ac:dyDescent="0.25">
      <c r="A73" s="18" t="s">
        <v>998</v>
      </c>
      <c r="D73" s="59">
        <v>0.23930000000000001</v>
      </c>
    </row>
    <row r="75" spans="1:4" ht="10.5" x14ac:dyDescent="0.25">
      <c r="A75" s="18" t="s">
        <v>1516</v>
      </c>
    </row>
    <row r="76" spans="1:4" x14ac:dyDescent="0.2">
      <c r="A76" s="47" t="s">
        <v>1509</v>
      </c>
    </row>
  </sheetData>
  <mergeCells count="4">
    <mergeCell ref="A1:F1"/>
    <mergeCell ref="A68:B68"/>
    <mergeCell ref="A69:B69"/>
    <mergeCell ref="A70:B70"/>
  </mergeCells>
  <conditionalFormatting sqref="F2:F3 F5:F65537">
    <cfRule type="cellIs" dxfId="17" priority="1" stopIfTrue="1" operator="between">
      <formula>0.009</formula>
      <formula>-0.009</formula>
    </cfRule>
  </conditionalFormatting>
  <hyperlinks>
    <hyperlink ref="A76" r:id="rId1" xr:uid="{29C8801E-14A0-4EA4-BABD-64B827BB03F5}"/>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60"/>
  <sheetViews>
    <sheetView workbookViewId="0">
      <selection sqref="A1:F1"/>
    </sheetView>
  </sheetViews>
  <sheetFormatPr defaultColWidth="9.1796875" defaultRowHeight="10" x14ac:dyDescent="0.2"/>
  <cols>
    <col min="1" max="1" width="38.7265625" style="9" bestFit="1" customWidth="1"/>
    <col min="2" max="2" width="24.1796875" style="9" bestFit="1" customWidth="1"/>
    <col min="3" max="3" width="21.179687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66" t="s">
        <v>1288</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845</v>
      </c>
      <c r="B7" s="26" t="s">
        <v>846</v>
      </c>
      <c r="C7" s="26" t="s">
        <v>839</v>
      </c>
      <c r="D7" s="30">
        <v>14500000</v>
      </c>
      <c r="E7" s="28">
        <v>77582.25</v>
      </c>
      <c r="F7" s="29">
        <v>10.3914793259656</v>
      </c>
    </row>
    <row r="8" spans="1:6" x14ac:dyDescent="0.2">
      <c r="A8" s="26" t="s">
        <v>884</v>
      </c>
      <c r="B8" s="26" t="s">
        <v>885</v>
      </c>
      <c r="C8" s="26" t="s">
        <v>839</v>
      </c>
      <c r="D8" s="30">
        <v>28000000</v>
      </c>
      <c r="E8" s="28">
        <v>76986</v>
      </c>
      <c r="F8" s="29">
        <v>10.3116167343534</v>
      </c>
    </row>
    <row r="9" spans="1:6" x14ac:dyDescent="0.2">
      <c r="A9" s="26" t="s">
        <v>843</v>
      </c>
      <c r="B9" s="26" t="s">
        <v>844</v>
      </c>
      <c r="C9" s="26" t="s">
        <v>839</v>
      </c>
      <c r="D9" s="30">
        <v>11000000</v>
      </c>
      <c r="E9" s="28">
        <v>68249.5</v>
      </c>
      <c r="F9" s="29">
        <v>9.1414372263950696</v>
      </c>
    </row>
    <row r="10" spans="1:6" x14ac:dyDescent="0.2">
      <c r="A10" s="26" t="s">
        <v>847</v>
      </c>
      <c r="B10" s="26" t="s">
        <v>848</v>
      </c>
      <c r="C10" s="26" t="s">
        <v>849</v>
      </c>
      <c r="D10" s="30">
        <v>10000000</v>
      </c>
      <c r="E10" s="28">
        <v>50970</v>
      </c>
      <c r="F10" s="29">
        <v>6.8269958817186502</v>
      </c>
    </row>
    <row r="11" spans="1:6" x14ac:dyDescent="0.2">
      <c r="A11" s="26" t="s">
        <v>837</v>
      </c>
      <c r="B11" s="26" t="s">
        <v>838</v>
      </c>
      <c r="C11" s="26" t="s">
        <v>839</v>
      </c>
      <c r="D11" s="30">
        <v>2400000</v>
      </c>
      <c r="E11" s="28">
        <v>34471.199999999997</v>
      </c>
      <c r="F11" s="29">
        <v>4.6171226297410204</v>
      </c>
    </row>
    <row r="12" spans="1:6" x14ac:dyDescent="0.2">
      <c r="A12" s="26" t="s">
        <v>899</v>
      </c>
      <c r="B12" s="26" t="s">
        <v>900</v>
      </c>
      <c r="C12" s="26" t="s">
        <v>877</v>
      </c>
      <c r="D12" s="30">
        <v>8700000</v>
      </c>
      <c r="E12" s="28">
        <v>33155.699999999997</v>
      </c>
      <c r="F12" s="29">
        <v>4.4409226477437498</v>
      </c>
    </row>
    <row r="13" spans="1:6" x14ac:dyDescent="0.2">
      <c r="A13" s="26" t="s">
        <v>948</v>
      </c>
      <c r="B13" s="26" t="s">
        <v>949</v>
      </c>
      <c r="C13" s="26" t="s">
        <v>950</v>
      </c>
      <c r="D13" s="30">
        <v>2500000</v>
      </c>
      <c r="E13" s="28">
        <v>32190</v>
      </c>
      <c r="F13" s="29">
        <v>4.3115753861589798</v>
      </c>
    </row>
    <row r="14" spans="1:6" x14ac:dyDescent="0.2">
      <c r="A14" s="26" t="s">
        <v>886</v>
      </c>
      <c r="B14" s="26" t="s">
        <v>887</v>
      </c>
      <c r="C14" s="26" t="s">
        <v>883</v>
      </c>
      <c r="D14" s="30">
        <v>31504954</v>
      </c>
      <c r="E14" s="28">
        <v>31300.1718</v>
      </c>
      <c r="F14" s="29">
        <v>4.19239050374114</v>
      </c>
    </row>
    <row r="15" spans="1:6" x14ac:dyDescent="0.2">
      <c r="A15" s="26" t="s">
        <v>1289</v>
      </c>
      <c r="B15" s="26" t="s">
        <v>1290</v>
      </c>
      <c r="C15" s="26" t="s">
        <v>874</v>
      </c>
      <c r="D15" s="30">
        <v>3000000</v>
      </c>
      <c r="E15" s="28">
        <v>29305.5</v>
      </c>
      <c r="F15" s="29">
        <v>3.9252212637179902</v>
      </c>
    </row>
    <row r="16" spans="1:6" x14ac:dyDescent="0.2">
      <c r="A16" s="26" t="s">
        <v>958</v>
      </c>
      <c r="B16" s="26" t="s">
        <v>959</v>
      </c>
      <c r="C16" s="26" t="s">
        <v>877</v>
      </c>
      <c r="D16" s="30">
        <v>31000000</v>
      </c>
      <c r="E16" s="28">
        <v>28194.5</v>
      </c>
      <c r="F16" s="29">
        <v>3.77641230894872</v>
      </c>
    </row>
    <row r="17" spans="1:6" x14ac:dyDescent="0.2">
      <c r="A17" s="26" t="s">
        <v>969</v>
      </c>
      <c r="B17" s="26" t="s">
        <v>970</v>
      </c>
      <c r="C17" s="26" t="s">
        <v>839</v>
      </c>
      <c r="D17" s="30">
        <v>40000000</v>
      </c>
      <c r="E17" s="28">
        <v>26680</v>
      </c>
      <c r="F17" s="29">
        <v>3.5735579777173498</v>
      </c>
    </row>
    <row r="18" spans="1:6" x14ac:dyDescent="0.2">
      <c r="A18" s="26" t="s">
        <v>1291</v>
      </c>
      <c r="B18" s="26" t="s">
        <v>1292</v>
      </c>
      <c r="C18" s="26" t="s">
        <v>930</v>
      </c>
      <c r="D18" s="30">
        <v>500000</v>
      </c>
      <c r="E18" s="28">
        <v>26440.75</v>
      </c>
      <c r="F18" s="29">
        <v>3.5415124849823898</v>
      </c>
    </row>
    <row r="19" spans="1:6" x14ac:dyDescent="0.2">
      <c r="A19" s="26" t="s">
        <v>1293</v>
      </c>
      <c r="B19" s="26" t="s">
        <v>1294</v>
      </c>
      <c r="C19" s="26" t="s">
        <v>1022</v>
      </c>
      <c r="D19" s="30">
        <v>1500000</v>
      </c>
      <c r="E19" s="28">
        <v>25849.5</v>
      </c>
      <c r="F19" s="29">
        <v>3.4623196006373602</v>
      </c>
    </row>
    <row r="20" spans="1:6" x14ac:dyDescent="0.2">
      <c r="A20" s="26" t="s">
        <v>967</v>
      </c>
      <c r="B20" s="26" t="s">
        <v>968</v>
      </c>
      <c r="C20" s="26" t="s">
        <v>863</v>
      </c>
      <c r="D20" s="30">
        <v>20000000</v>
      </c>
      <c r="E20" s="28">
        <v>24650</v>
      </c>
      <c r="F20" s="29">
        <v>3.30165682723886</v>
      </c>
    </row>
    <row r="21" spans="1:6" x14ac:dyDescent="0.2">
      <c r="A21" s="26" t="s">
        <v>1030</v>
      </c>
      <c r="B21" s="26" t="s">
        <v>1031</v>
      </c>
      <c r="C21" s="26" t="s">
        <v>930</v>
      </c>
      <c r="D21" s="30">
        <v>1500000</v>
      </c>
      <c r="E21" s="28">
        <v>24264.75</v>
      </c>
      <c r="F21" s="29">
        <v>3.2500558823019898</v>
      </c>
    </row>
    <row r="22" spans="1:6" x14ac:dyDescent="0.2">
      <c r="A22" s="26" t="s">
        <v>1156</v>
      </c>
      <c r="B22" s="26" t="s">
        <v>1157</v>
      </c>
      <c r="C22" s="26" t="s">
        <v>1138</v>
      </c>
      <c r="D22" s="30">
        <v>4800000</v>
      </c>
      <c r="E22" s="28">
        <v>19903.2</v>
      </c>
      <c r="F22" s="29">
        <v>2.6658635360608698</v>
      </c>
    </row>
    <row r="23" spans="1:6" x14ac:dyDescent="0.2">
      <c r="A23" s="26" t="s">
        <v>1295</v>
      </c>
      <c r="B23" s="26" t="s">
        <v>1296</v>
      </c>
      <c r="C23" s="26" t="s">
        <v>892</v>
      </c>
      <c r="D23" s="30">
        <v>4000000</v>
      </c>
      <c r="E23" s="28">
        <v>19070</v>
      </c>
      <c r="F23" s="29">
        <v>2.5542635170565902</v>
      </c>
    </row>
    <row r="24" spans="1:6" x14ac:dyDescent="0.2">
      <c r="A24" s="26" t="s">
        <v>1201</v>
      </c>
      <c r="B24" s="26" t="s">
        <v>1202</v>
      </c>
      <c r="C24" s="26" t="s">
        <v>930</v>
      </c>
      <c r="D24" s="30">
        <v>4500000</v>
      </c>
      <c r="E24" s="28">
        <v>15295.5</v>
      </c>
      <c r="F24" s="29">
        <v>2.0487015010560601</v>
      </c>
    </row>
    <row r="25" spans="1:6" x14ac:dyDescent="0.2">
      <c r="A25" s="26" t="s">
        <v>1297</v>
      </c>
      <c r="B25" s="26" t="s">
        <v>1298</v>
      </c>
      <c r="C25" s="26" t="s">
        <v>930</v>
      </c>
      <c r="D25" s="30">
        <v>16960000</v>
      </c>
      <c r="E25" s="28">
        <v>14746.72</v>
      </c>
      <c r="F25" s="29">
        <v>1.97519711023853</v>
      </c>
    </row>
    <row r="26" spans="1:6" x14ac:dyDescent="0.2">
      <c r="A26" s="26" t="s">
        <v>1242</v>
      </c>
      <c r="B26" s="26" t="s">
        <v>1243</v>
      </c>
      <c r="C26" s="26" t="s">
        <v>1186</v>
      </c>
      <c r="D26" s="30">
        <v>450000</v>
      </c>
      <c r="E26" s="28">
        <v>10857.6</v>
      </c>
      <c r="F26" s="29">
        <v>1.4542827248449799</v>
      </c>
    </row>
    <row r="27" spans="1:6" x14ac:dyDescent="0.2">
      <c r="A27" s="26" t="s">
        <v>1299</v>
      </c>
      <c r="B27" s="26" t="s">
        <v>1300</v>
      </c>
      <c r="C27" s="26" t="s">
        <v>1138</v>
      </c>
      <c r="D27" s="30">
        <v>3200000</v>
      </c>
      <c r="E27" s="28">
        <v>10563.2</v>
      </c>
      <c r="F27" s="29">
        <v>1.4148503609529199</v>
      </c>
    </row>
    <row r="28" spans="1:6" x14ac:dyDescent="0.2">
      <c r="A28" s="26" t="s">
        <v>1301</v>
      </c>
      <c r="B28" s="26" t="s">
        <v>1302</v>
      </c>
      <c r="C28" s="26" t="s">
        <v>1138</v>
      </c>
      <c r="D28" s="30">
        <v>15000000</v>
      </c>
      <c r="E28" s="28">
        <v>9990</v>
      </c>
      <c r="F28" s="29">
        <v>1.3380751198424401</v>
      </c>
    </row>
    <row r="29" spans="1:6" x14ac:dyDescent="0.2">
      <c r="A29" s="26" t="s">
        <v>1303</v>
      </c>
      <c r="B29" s="26" t="s">
        <v>1304</v>
      </c>
      <c r="C29" s="26" t="s">
        <v>866</v>
      </c>
      <c r="D29" s="30">
        <v>1000000</v>
      </c>
      <c r="E29" s="28">
        <v>5782.5</v>
      </c>
      <c r="F29" s="29">
        <v>0.77451645450339601</v>
      </c>
    </row>
    <row r="30" spans="1:6" x14ac:dyDescent="0.2">
      <c r="A30" s="26" t="s">
        <v>872</v>
      </c>
      <c r="B30" s="26" t="s">
        <v>873</v>
      </c>
      <c r="C30" s="26" t="s">
        <v>874</v>
      </c>
      <c r="D30" s="30">
        <v>1200000</v>
      </c>
      <c r="E30" s="28">
        <v>5721</v>
      </c>
      <c r="F30" s="29">
        <v>0.76627905511697803</v>
      </c>
    </row>
    <row r="31" spans="1:6" x14ac:dyDescent="0.2">
      <c r="A31" s="26" t="s">
        <v>1305</v>
      </c>
      <c r="B31" s="26" t="s">
        <v>1306</v>
      </c>
      <c r="C31" s="26" t="s">
        <v>1307</v>
      </c>
      <c r="D31" s="30">
        <v>300000</v>
      </c>
      <c r="E31" s="28">
        <v>2538.75</v>
      </c>
      <c r="F31" s="29">
        <v>0.34004386491491501</v>
      </c>
    </row>
    <row r="32" spans="1:6" x14ac:dyDescent="0.2">
      <c r="A32" s="26" t="s">
        <v>840</v>
      </c>
      <c r="B32" s="26" t="s">
        <v>841</v>
      </c>
      <c r="C32" s="26" t="s">
        <v>842</v>
      </c>
      <c r="D32" s="30">
        <v>200000</v>
      </c>
      <c r="E32" s="28">
        <v>2511.6</v>
      </c>
      <c r="F32" s="29">
        <v>0.33640735445408199</v>
      </c>
    </row>
    <row r="33" spans="1:9" x14ac:dyDescent="0.2">
      <c r="A33" s="26" t="s">
        <v>1308</v>
      </c>
      <c r="B33" s="26" t="s">
        <v>1309</v>
      </c>
      <c r="C33" s="26" t="s">
        <v>1022</v>
      </c>
      <c r="D33" s="30">
        <v>2500000</v>
      </c>
      <c r="E33" s="28">
        <v>2373.75</v>
      </c>
      <c r="F33" s="29">
        <v>0.31794352509769702</v>
      </c>
    </row>
    <row r="34" spans="1:9" ht="10.5" x14ac:dyDescent="0.25">
      <c r="A34" s="25" t="s">
        <v>17</v>
      </c>
      <c r="B34" s="25"/>
      <c r="C34" s="25"/>
      <c r="D34" s="31"/>
      <c r="E34" s="32">
        <f>SUM(E7:E33)</f>
        <v>709643.64179999987</v>
      </c>
      <c r="F34" s="33">
        <f>SUM(F7:F33)</f>
        <v>95.050700805501748</v>
      </c>
      <c r="G34" s="18"/>
      <c r="H34" s="18"/>
      <c r="I34" s="18"/>
    </row>
    <row r="35" spans="1:9" x14ac:dyDescent="0.2">
      <c r="A35" s="26"/>
      <c r="B35" s="26"/>
      <c r="C35" s="26"/>
      <c r="D35" s="27"/>
      <c r="E35" s="28"/>
      <c r="F35" s="29"/>
    </row>
    <row r="36" spans="1:9" ht="10.5" x14ac:dyDescent="0.25">
      <c r="A36" s="25" t="s">
        <v>62</v>
      </c>
      <c r="B36" s="25"/>
      <c r="C36" s="25"/>
      <c r="D36" s="31"/>
      <c r="E36" s="32">
        <f>E34</f>
        <v>709643.64179999987</v>
      </c>
      <c r="F36" s="33">
        <f>F34</f>
        <v>95.050700805501748</v>
      </c>
      <c r="G36" s="18"/>
      <c r="H36" s="18"/>
      <c r="I36" s="18"/>
    </row>
    <row r="37" spans="1:9" ht="10.5" x14ac:dyDescent="0.25">
      <c r="A37" s="25"/>
      <c r="B37" s="25"/>
      <c r="C37" s="25"/>
      <c r="D37" s="31"/>
      <c r="E37" s="32"/>
      <c r="F37" s="33"/>
      <c r="G37" s="18"/>
      <c r="H37" s="18"/>
      <c r="I37" s="18"/>
    </row>
    <row r="38" spans="1:9" ht="10.5" x14ac:dyDescent="0.25">
      <c r="A38" s="25" t="s">
        <v>63</v>
      </c>
      <c r="B38" s="25"/>
      <c r="C38" s="25"/>
      <c r="D38" s="31"/>
      <c r="E38" s="32">
        <f>E40-(E34)</f>
        <v>36951.213141800137</v>
      </c>
      <c r="F38" s="33">
        <f>F40-(F34)</f>
        <v>4.9492991944982521</v>
      </c>
      <c r="G38" s="18"/>
      <c r="H38" s="18"/>
      <c r="I38" s="18"/>
    </row>
    <row r="39" spans="1:9" ht="10.5" x14ac:dyDescent="0.25">
      <c r="A39" s="25"/>
      <c r="B39" s="25"/>
      <c r="C39" s="25"/>
      <c r="D39" s="31"/>
      <c r="E39" s="32"/>
      <c r="F39" s="33"/>
      <c r="G39" s="18"/>
      <c r="H39" s="18"/>
      <c r="I39" s="18"/>
    </row>
    <row r="40" spans="1:9" ht="10.5" x14ac:dyDescent="0.25">
      <c r="A40" s="34" t="s">
        <v>64</v>
      </c>
      <c r="B40" s="34"/>
      <c r="C40" s="34"/>
      <c r="D40" s="35"/>
      <c r="E40" s="36">
        <v>746594.8549418</v>
      </c>
      <c r="F40" s="37">
        <v>100</v>
      </c>
      <c r="G40" s="18"/>
      <c r="H40" s="18"/>
      <c r="I40" s="18"/>
    </row>
    <row r="43" spans="1:9" ht="10.5" x14ac:dyDescent="0.25">
      <c r="A43" s="18" t="s">
        <v>67</v>
      </c>
    </row>
    <row r="44" spans="1:9" ht="10.5" x14ac:dyDescent="0.25">
      <c r="A44" s="18" t="s">
        <v>68</v>
      </c>
    </row>
    <row r="45" spans="1:9" ht="10.5" x14ac:dyDescent="0.25">
      <c r="A45" s="18" t="s">
        <v>69</v>
      </c>
      <c r="B45" s="18"/>
      <c r="C45" s="38" t="s">
        <v>70</v>
      </c>
      <c r="D45" s="43" t="s">
        <v>71</v>
      </c>
    </row>
    <row r="46" spans="1:9" x14ac:dyDescent="0.2">
      <c r="A46" s="9" t="s">
        <v>98</v>
      </c>
      <c r="C46" s="39">
        <v>35.601199999999999</v>
      </c>
      <c r="D46" s="39">
        <v>46.779800000000002</v>
      </c>
    </row>
    <row r="47" spans="1:9" x14ac:dyDescent="0.2">
      <c r="A47" s="9" t="s">
        <v>331</v>
      </c>
      <c r="C47" s="39">
        <v>19.301300000000001</v>
      </c>
      <c r="D47" s="39">
        <v>23.5077</v>
      </c>
    </row>
    <row r="48" spans="1:9" x14ac:dyDescent="0.2">
      <c r="A48" s="9" t="s">
        <v>101</v>
      </c>
      <c r="C48" s="39">
        <v>38.494799999999998</v>
      </c>
      <c r="D48" s="39">
        <v>50.786900000000003</v>
      </c>
    </row>
    <row r="49" spans="1:4" x14ac:dyDescent="0.2">
      <c r="A49" s="9" t="s">
        <v>332</v>
      </c>
      <c r="C49" s="39">
        <v>21.395499999999998</v>
      </c>
      <c r="D49" s="39">
        <v>26.367799999999999</v>
      </c>
    </row>
    <row r="51" spans="1:4" ht="10.5" x14ac:dyDescent="0.25">
      <c r="A51" s="18" t="s">
        <v>90</v>
      </c>
    </row>
    <row r="52" spans="1:4" ht="10.5" x14ac:dyDescent="0.25">
      <c r="A52" s="77" t="s">
        <v>91</v>
      </c>
      <c r="B52" s="78"/>
      <c r="C52" s="40" t="s">
        <v>92</v>
      </c>
    </row>
    <row r="53" spans="1:4" x14ac:dyDescent="0.2">
      <c r="A53" s="79" t="s">
        <v>331</v>
      </c>
      <c r="B53" s="80"/>
      <c r="C53" s="41">
        <v>1.5</v>
      </c>
    </row>
    <row r="54" spans="1:4" x14ac:dyDescent="0.2">
      <c r="A54" s="79" t="s">
        <v>332</v>
      </c>
      <c r="B54" s="80"/>
      <c r="C54" s="41">
        <v>1.5</v>
      </c>
    </row>
    <row r="55" spans="1:4" x14ac:dyDescent="0.2">
      <c r="A55" s="9" t="s">
        <v>93</v>
      </c>
    </row>
    <row r="57" spans="1:4" ht="10.5" x14ac:dyDescent="0.25">
      <c r="A57" s="18" t="s">
        <v>998</v>
      </c>
      <c r="D57" s="59">
        <v>9.5500000000000002E-2</v>
      </c>
    </row>
    <row r="59" spans="1:4" ht="10.5" x14ac:dyDescent="0.25">
      <c r="A59" s="18" t="s">
        <v>1516</v>
      </c>
    </row>
    <row r="60" spans="1:4" x14ac:dyDescent="0.2">
      <c r="A60" s="47" t="s">
        <v>1509</v>
      </c>
    </row>
  </sheetData>
  <mergeCells count="4">
    <mergeCell ref="A1:F1"/>
    <mergeCell ref="A52:B52"/>
    <mergeCell ref="A53:B53"/>
    <mergeCell ref="A54:B54"/>
  </mergeCells>
  <conditionalFormatting sqref="F2:F3 F5:F65536">
    <cfRule type="cellIs" dxfId="16" priority="1" stopIfTrue="1" operator="between">
      <formula>0.009</formula>
      <formula>-0.009</formula>
    </cfRule>
  </conditionalFormatting>
  <hyperlinks>
    <hyperlink ref="A60" r:id="rId1" xr:uid="{4A39EC55-6A89-4247-8A2E-7F42F125F259}"/>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3"/>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18.81640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66" t="s">
        <v>1310</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837</v>
      </c>
      <c r="B7" s="26" t="s">
        <v>838</v>
      </c>
      <c r="C7" s="26" t="s">
        <v>839</v>
      </c>
      <c r="D7" s="30">
        <v>5500000</v>
      </c>
      <c r="E7" s="28">
        <v>78996.5</v>
      </c>
      <c r="F7" s="29">
        <v>8.7451000203566593</v>
      </c>
    </row>
    <row r="8" spans="1:6" x14ac:dyDescent="0.2">
      <c r="A8" s="26" t="s">
        <v>840</v>
      </c>
      <c r="B8" s="26" t="s">
        <v>841</v>
      </c>
      <c r="C8" s="26" t="s">
        <v>842</v>
      </c>
      <c r="D8" s="30">
        <v>5400000</v>
      </c>
      <c r="E8" s="28">
        <v>67813.2</v>
      </c>
      <c r="F8" s="29">
        <v>7.5070821707347903</v>
      </c>
    </row>
    <row r="9" spans="1:6" x14ac:dyDescent="0.2">
      <c r="A9" s="26" t="s">
        <v>845</v>
      </c>
      <c r="B9" s="26" t="s">
        <v>846</v>
      </c>
      <c r="C9" s="26" t="s">
        <v>839</v>
      </c>
      <c r="D9" s="30">
        <v>12500000</v>
      </c>
      <c r="E9" s="28">
        <v>66881.25</v>
      </c>
      <c r="F9" s="29">
        <v>7.4039130940798499</v>
      </c>
    </row>
    <row r="10" spans="1:6" x14ac:dyDescent="0.2">
      <c r="A10" s="26" t="s">
        <v>847</v>
      </c>
      <c r="B10" s="26" t="s">
        <v>848</v>
      </c>
      <c r="C10" s="26" t="s">
        <v>849</v>
      </c>
      <c r="D10" s="30">
        <v>11800000</v>
      </c>
      <c r="E10" s="28">
        <v>60144.6</v>
      </c>
      <c r="F10" s="29">
        <v>6.6581499520148801</v>
      </c>
    </row>
    <row r="11" spans="1:6" x14ac:dyDescent="0.2">
      <c r="A11" s="26" t="s">
        <v>843</v>
      </c>
      <c r="B11" s="26" t="s">
        <v>844</v>
      </c>
      <c r="C11" s="26" t="s">
        <v>839</v>
      </c>
      <c r="D11" s="30">
        <v>8800000</v>
      </c>
      <c r="E11" s="28">
        <v>54599.6</v>
      </c>
      <c r="F11" s="29">
        <v>6.0443052929112797</v>
      </c>
    </row>
    <row r="12" spans="1:6" x14ac:dyDescent="0.2">
      <c r="A12" s="26" t="s">
        <v>948</v>
      </c>
      <c r="B12" s="26" t="s">
        <v>949</v>
      </c>
      <c r="C12" s="26" t="s">
        <v>950</v>
      </c>
      <c r="D12" s="30">
        <v>3100000</v>
      </c>
      <c r="E12" s="28">
        <v>39915.599999999999</v>
      </c>
      <c r="F12" s="29">
        <v>4.4187516456114899</v>
      </c>
    </row>
    <row r="13" spans="1:6" x14ac:dyDescent="0.2">
      <c r="A13" s="26" t="s">
        <v>884</v>
      </c>
      <c r="B13" s="26" t="s">
        <v>885</v>
      </c>
      <c r="C13" s="26" t="s">
        <v>839</v>
      </c>
      <c r="D13" s="30">
        <v>14000000</v>
      </c>
      <c r="E13" s="28">
        <v>38493</v>
      </c>
      <c r="F13" s="29">
        <v>4.2612664495716803</v>
      </c>
    </row>
    <row r="14" spans="1:6" x14ac:dyDescent="0.2">
      <c r="A14" s="26" t="s">
        <v>869</v>
      </c>
      <c r="B14" s="26" t="s">
        <v>870</v>
      </c>
      <c r="C14" s="26" t="s">
        <v>871</v>
      </c>
      <c r="D14" s="30">
        <v>4700000</v>
      </c>
      <c r="E14" s="28">
        <v>33868.199999999997</v>
      </c>
      <c r="F14" s="29">
        <v>3.7492901142385202</v>
      </c>
    </row>
    <row r="15" spans="1:6" x14ac:dyDescent="0.2">
      <c r="A15" s="26" t="s">
        <v>903</v>
      </c>
      <c r="B15" s="26" t="s">
        <v>904</v>
      </c>
      <c r="C15" s="26" t="s">
        <v>871</v>
      </c>
      <c r="D15" s="30">
        <v>16500000</v>
      </c>
      <c r="E15" s="28">
        <v>30335.25</v>
      </c>
      <c r="F15" s="29">
        <v>3.3581841650266102</v>
      </c>
    </row>
    <row r="16" spans="1:6" x14ac:dyDescent="0.2">
      <c r="A16" s="26" t="s">
        <v>855</v>
      </c>
      <c r="B16" s="26" t="s">
        <v>856</v>
      </c>
      <c r="C16" s="26" t="s">
        <v>857</v>
      </c>
      <c r="D16" s="30">
        <v>2800000</v>
      </c>
      <c r="E16" s="28">
        <v>23118.2</v>
      </c>
      <c r="F16" s="29">
        <v>2.5592396029015099</v>
      </c>
    </row>
    <row r="17" spans="1:6" x14ac:dyDescent="0.2">
      <c r="A17" s="26" t="s">
        <v>893</v>
      </c>
      <c r="B17" s="26" t="s">
        <v>894</v>
      </c>
      <c r="C17" s="26" t="s">
        <v>866</v>
      </c>
      <c r="D17" s="30">
        <v>1920000</v>
      </c>
      <c r="E17" s="28">
        <v>22777.919999999998</v>
      </c>
      <c r="F17" s="29">
        <v>2.5215697993668398</v>
      </c>
    </row>
    <row r="18" spans="1:6" x14ac:dyDescent="0.2">
      <c r="A18" s="26" t="s">
        <v>1010</v>
      </c>
      <c r="B18" s="26" t="s">
        <v>1011</v>
      </c>
      <c r="C18" s="26" t="s">
        <v>842</v>
      </c>
      <c r="D18" s="30">
        <v>2200000</v>
      </c>
      <c r="E18" s="28">
        <v>20815.3</v>
      </c>
      <c r="F18" s="29">
        <v>2.3043031077798402</v>
      </c>
    </row>
    <row r="19" spans="1:6" x14ac:dyDescent="0.2">
      <c r="A19" s="26" t="s">
        <v>886</v>
      </c>
      <c r="B19" s="26" t="s">
        <v>887</v>
      </c>
      <c r="C19" s="26" t="s">
        <v>883</v>
      </c>
      <c r="D19" s="30">
        <v>20700000</v>
      </c>
      <c r="E19" s="28">
        <v>20565.45</v>
      </c>
      <c r="F19" s="29">
        <v>2.2766441198488998</v>
      </c>
    </row>
    <row r="20" spans="1:6" x14ac:dyDescent="0.2">
      <c r="A20" s="26" t="s">
        <v>944</v>
      </c>
      <c r="B20" s="26" t="s">
        <v>945</v>
      </c>
      <c r="C20" s="26" t="s">
        <v>842</v>
      </c>
      <c r="D20" s="30">
        <v>2000000</v>
      </c>
      <c r="E20" s="28">
        <v>19464</v>
      </c>
      <c r="F20" s="29">
        <v>2.1547109909454498</v>
      </c>
    </row>
    <row r="21" spans="1:6" x14ac:dyDescent="0.2">
      <c r="A21" s="26" t="s">
        <v>1311</v>
      </c>
      <c r="B21" s="26" t="s">
        <v>1312</v>
      </c>
      <c r="C21" s="26" t="s">
        <v>866</v>
      </c>
      <c r="D21" s="30">
        <v>4800000</v>
      </c>
      <c r="E21" s="28">
        <v>19327.2</v>
      </c>
      <c r="F21" s="29">
        <v>2.13956690629885</v>
      </c>
    </row>
    <row r="22" spans="1:6" x14ac:dyDescent="0.2">
      <c r="A22" s="26" t="s">
        <v>1303</v>
      </c>
      <c r="B22" s="26" t="s">
        <v>1304</v>
      </c>
      <c r="C22" s="26" t="s">
        <v>866</v>
      </c>
      <c r="D22" s="30">
        <v>3300000</v>
      </c>
      <c r="E22" s="28">
        <v>19082.25</v>
      </c>
      <c r="F22" s="29">
        <v>2.1124503599963398</v>
      </c>
    </row>
    <row r="23" spans="1:6" x14ac:dyDescent="0.2">
      <c r="A23" s="26" t="s">
        <v>907</v>
      </c>
      <c r="B23" s="26" t="s">
        <v>908</v>
      </c>
      <c r="C23" s="26" t="s">
        <v>909</v>
      </c>
      <c r="D23" s="30">
        <v>11500000</v>
      </c>
      <c r="E23" s="28">
        <v>19044</v>
      </c>
      <c r="F23" s="29">
        <v>2.10821599422344</v>
      </c>
    </row>
    <row r="24" spans="1:6" x14ac:dyDescent="0.2">
      <c r="A24" s="26" t="s">
        <v>875</v>
      </c>
      <c r="B24" s="26" t="s">
        <v>876</v>
      </c>
      <c r="C24" s="26" t="s">
        <v>877</v>
      </c>
      <c r="D24" s="30">
        <v>8500000</v>
      </c>
      <c r="E24" s="28">
        <v>18521.5</v>
      </c>
      <c r="F24" s="29">
        <v>2.0503740042538099</v>
      </c>
    </row>
    <row r="25" spans="1:6" x14ac:dyDescent="0.2">
      <c r="A25" s="26" t="s">
        <v>1313</v>
      </c>
      <c r="B25" s="26" t="s">
        <v>1314</v>
      </c>
      <c r="C25" s="26" t="s">
        <v>937</v>
      </c>
      <c r="D25" s="30">
        <v>3700000</v>
      </c>
      <c r="E25" s="28">
        <v>18457.45</v>
      </c>
      <c r="F25" s="29">
        <v>2.0432835172537001</v>
      </c>
    </row>
    <row r="26" spans="1:6" x14ac:dyDescent="0.2">
      <c r="A26" s="26" t="s">
        <v>1315</v>
      </c>
      <c r="B26" s="26" t="s">
        <v>1316</v>
      </c>
      <c r="C26" s="26" t="s">
        <v>874</v>
      </c>
      <c r="D26" s="30">
        <v>3000000</v>
      </c>
      <c r="E26" s="28">
        <v>17770.5</v>
      </c>
      <c r="F26" s="29">
        <v>1.9672365220199399</v>
      </c>
    </row>
    <row r="27" spans="1:6" x14ac:dyDescent="0.2">
      <c r="A27" s="26" t="s">
        <v>928</v>
      </c>
      <c r="B27" s="26" t="s">
        <v>929</v>
      </c>
      <c r="C27" s="26" t="s">
        <v>930</v>
      </c>
      <c r="D27" s="30">
        <v>1600000</v>
      </c>
      <c r="E27" s="28">
        <v>14845.6</v>
      </c>
      <c r="F27" s="29">
        <v>1.6434431508004399</v>
      </c>
    </row>
    <row r="28" spans="1:6" x14ac:dyDescent="0.2">
      <c r="A28" s="26" t="s">
        <v>967</v>
      </c>
      <c r="B28" s="26" t="s">
        <v>968</v>
      </c>
      <c r="C28" s="26" t="s">
        <v>863</v>
      </c>
      <c r="D28" s="30">
        <v>12000000</v>
      </c>
      <c r="E28" s="28">
        <v>14790</v>
      </c>
      <c r="F28" s="29">
        <v>1.63728809885343</v>
      </c>
    </row>
    <row r="29" spans="1:6" x14ac:dyDescent="0.2">
      <c r="A29" s="26" t="s">
        <v>1139</v>
      </c>
      <c r="B29" s="26" t="s">
        <v>1140</v>
      </c>
      <c r="C29" s="26" t="s">
        <v>866</v>
      </c>
      <c r="D29" s="30">
        <v>9200000</v>
      </c>
      <c r="E29" s="28">
        <v>13464.2</v>
      </c>
      <c r="F29" s="29">
        <v>1.4905188925343</v>
      </c>
    </row>
    <row r="30" spans="1:6" x14ac:dyDescent="0.2">
      <c r="A30" s="26" t="s">
        <v>1291</v>
      </c>
      <c r="B30" s="26" t="s">
        <v>1292</v>
      </c>
      <c r="C30" s="26" t="s">
        <v>930</v>
      </c>
      <c r="D30" s="30">
        <v>230000</v>
      </c>
      <c r="E30" s="28">
        <v>12162.745000000001</v>
      </c>
      <c r="F30" s="29">
        <v>1.34644473548946</v>
      </c>
    </row>
    <row r="31" spans="1:6" x14ac:dyDescent="0.2">
      <c r="A31" s="26" t="s">
        <v>1289</v>
      </c>
      <c r="B31" s="26" t="s">
        <v>1290</v>
      </c>
      <c r="C31" s="26" t="s">
        <v>874</v>
      </c>
      <c r="D31" s="30">
        <v>1100000</v>
      </c>
      <c r="E31" s="28">
        <v>10745.35</v>
      </c>
      <c r="F31" s="29">
        <v>1.18953574530187</v>
      </c>
    </row>
    <row r="32" spans="1:6" x14ac:dyDescent="0.2">
      <c r="A32" s="26" t="s">
        <v>1317</v>
      </c>
      <c r="B32" s="26" t="s">
        <v>1318</v>
      </c>
      <c r="C32" s="26" t="s">
        <v>937</v>
      </c>
      <c r="D32" s="30">
        <v>12000000</v>
      </c>
      <c r="E32" s="28">
        <v>10200</v>
      </c>
      <c r="F32" s="29">
        <v>1.12916420610581</v>
      </c>
    </row>
    <row r="33" spans="1:6" x14ac:dyDescent="0.2">
      <c r="A33" s="26" t="s">
        <v>1030</v>
      </c>
      <c r="B33" s="26" t="s">
        <v>1031</v>
      </c>
      <c r="C33" s="26" t="s">
        <v>930</v>
      </c>
      <c r="D33" s="30">
        <v>600000</v>
      </c>
      <c r="E33" s="28">
        <v>9705.9</v>
      </c>
      <c r="F33" s="29">
        <v>1.0744661635335699</v>
      </c>
    </row>
    <row r="34" spans="1:6" x14ac:dyDescent="0.2">
      <c r="A34" s="26" t="s">
        <v>905</v>
      </c>
      <c r="B34" s="26" t="s">
        <v>906</v>
      </c>
      <c r="C34" s="26" t="s">
        <v>871</v>
      </c>
      <c r="D34" s="30">
        <v>2000000</v>
      </c>
      <c r="E34" s="28">
        <v>9700</v>
      </c>
      <c r="F34" s="29">
        <v>1.0738130195319999</v>
      </c>
    </row>
    <row r="35" spans="1:6" x14ac:dyDescent="0.2">
      <c r="A35" s="26" t="s">
        <v>1238</v>
      </c>
      <c r="B35" s="26" t="s">
        <v>1239</v>
      </c>
      <c r="C35" s="26" t="s">
        <v>892</v>
      </c>
      <c r="D35" s="30">
        <v>540000</v>
      </c>
      <c r="E35" s="28">
        <v>9208.89</v>
      </c>
      <c r="F35" s="29">
        <v>1.01944597705547</v>
      </c>
    </row>
    <row r="36" spans="1:6" x14ac:dyDescent="0.2">
      <c r="A36" s="26" t="s">
        <v>872</v>
      </c>
      <c r="B36" s="26" t="s">
        <v>873</v>
      </c>
      <c r="C36" s="26" t="s">
        <v>874</v>
      </c>
      <c r="D36" s="30">
        <v>1532000</v>
      </c>
      <c r="E36" s="28">
        <v>7303.81</v>
      </c>
      <c r="F36" s="29">
        <v>0.80854910001938296</v>
      </c>
    </row>
    <row r="37" spans="1:6" x14ac:dyDescent="0.2">
      <c r="A37" s="26" t="s">
        <v>1034</v>
      </c>
      <c r="B37" s="26" t="s">
        <v>1035</v>
      </c>
      <c r="C37" s="26" t="s">
        <v>877</v>
      </c>
      <c r="D37" s="30">
        <v>1000000</v>
      </c>
      <c r="E37" s="28">
        <v>7191</v>
      </c>
      <c r="F37" s="29">
        <v>0.79606076530459902</v>
      </c>
    </row>
    <row r="38" spans="1:6" x14ac:dyDescent="0.2">
      <c r="A38" s="26" t="s">
        <v>1201</v>
      </c>
      <c r="B38" s="26" t="s">
        <v>1202</v>
      </c>
      <c r="C38" s="26" t="s">
        <v>930</v>
      </c>
      <c r="D38" s="30">
        <v>2100000</v>
      </c>
      <c r="E38" s="28">
        <v>7137.9</v>
      </c>
      <c r="F38" s="29">
        <v>0.79018246929045999</v>
      </c>
    </row>
    <row r="39" spans="1:6" x14ac:dyDescent="0.2">
      <c r="A39" s="26" t="s">
        <v>890</v>
      </c>
      <c r="B39" s="26" t="s">
        <v>891</v>
      </c>
      <c r="C39" s="26" t="s">
        <v>892</v>
      </c>
      <c r="D39" s="30">
        <v>1200000</v>
      </c>
      <c r="E39" s="28">
        <v>6894.6</v>
      </c>
      <c r="F39" s="29">
        <v>0.76324858190364198</v>
      </c>
    </row>
    <row r="40" spans="1:6" x14ac:dyDescent="0.2">
      <c r="A40" s="26" t="s">
        <v>1007</v>
      </c>
      <c r="B40" s="26" t="s">
        <v>1008</v>
      </c>
      <c r="C40" s="26" t="s">
        <v>1009</v>
      </c>
      <c r="D40" s="30">
        <v>5500000</v>
      </c>
      <c r="E40" s="28">
        <v>6597.25</v>
      </c>
      <c r="F40" s="29">
        <v>0.73033123124819499</v>
      </c>
    </row>
    <row r="41" spans="1:6" x14ac:dyDescent="0.2">
      <c r="A41" s="26" t="s">
        <v>1027</v>
      </c>
      <c r="B41" s="26" t="s">
        <v>1028</v>
      </c>
      <c r="C41" s="26" t="s">
        <v>1029</v>
      </c>
      <c r="D41" s="30">
        <v>1600000</v>
      </c>
      <c r="E41" s="28">
        <v>6574.4</v>
      </c>
      <c r="F41" s="29">
        <v>0.72780168202177098</v>
      </c>
    </row>
    <row r="42" spans="1:6" x14ac:dyDescent="0.2">
      <c r="A42" s="26" t="s">
        <v>1037</v>
      </c>
      <c r="B42" s="26" t="s">
        <v>1038</v>
      </c>
      <c r="C42" s="26" t="s">
        <v>892</v>
      </c>
      <c r="D42" s="30">
        <v>1000000</v>
      </c>
      <c r="E42" s="28">
        <v>6460.5</v>
      </c>
      <c r="F42" s="29">
        <v>0.71519268172025596</v>
      </c>
    </row>
    <row r="43" spans="1:6" x14ac:dyDescent="0.2">
      <c r="A43" s="26" t="s">
        <v>958</v>
      </c>
      <c r="B43" s="26" t="s">
        <v>959</v>
      </c>
      <c r="C43" s="26" t="s">
        <v>877</v>
      </c>
      <c r="D43" s="30">
        <v>7000000</v>
      </c>
      <c r="E43" s="28">
        <v>6366.5</v>
      </c>
      <c r="F43" s="29">
        <v>0.70478665864437895</v>
      </c>
    </row>
    <row r="44" spans="1:6" x14ac:dyDescent="0.2">
      <c r="A44" s="26" t="s">
        <v>1319</v>
      </c>
      <c r="B44" s="26" t="s">
        <v>1320</v>
      </c>
      <c r="C44" s="26" t="s">
        <v>1022</v>
      </c>
      <c r="D44" s="30">
        <v>6000000</v>
      </c>
      <c r="E44" s="28">
        <v>5805</v>
      </c>
      <c r="F44" s="29">
        <v>0.642627276121986</v>
      </c>
    </row>
    <row r="45" spans="1:6" x14ac:dyDescent="0.2">
      <c r="A45" s="26" t="s">
        <v>1003</v>
      </c>
      <c r="B45" s="26" t="s">
        <v>1004</v>
      </c>
      <c r="C45" s="26" t="s">
        <v>871</v>
      </c>
      <c r="D45" s="30">
        <v>7000000</v>
      </c>
      <c r="E45" s="28">
        <v>5264</v>
      </c>
      <c r="F45" s="29">
        <v>0.58273729224911797</v>
      </c>
    </row>
    <row r="46" spans="1:6" x14ac:dyDescent="0.2">
      <c r="A46" s="26" t="s">
        <v>1321</v>
      </c>
      <c r="B46" s="26" t="s">
        <v>1322</v>
      </c>
      <c r="C46" s="26" t="s">
        <v>857</v>
      </c>
      <c r="D46" s="30">
        <v>326000</v>
      </c>
      <c r="E46" s="28">
        <v>5149.6589999999997</v>
      </c>
      <c r="F46" s="29">
        <v>0.57007947220104505</v>
      </c>
    </row>
    <row r="47" spans="1:6" x14ac:dyDescent="0.2">
      <c r="A47" s="26" t="s">
        <v>1184</v>
      </c>
      <c r="B47" s="26" t="s">
        <v>1185</v>
      </c>
      <c r="C47" s="26" t="s">
        <v>1186</v>
      </c>
      <c r="D47" s="30">
        <v>230000</v>
      </c>
      <c r="E47" s="28">
        <v>4510.99</v>
      </c>
      <c r="F47" s="29">
        <v>0.49937729824522198</v>
      </c>
    </row>
    <row r="48" spans="1:6" x14ac:dyDescent="0.2">
      <c r="A48" s="26" t="s">
        <v>1323</v>
      </c>
      <c r="B48" s="26" t="s">
        <v>1324</v>
      </c>
      <c r="C48" s="26" t="s">
        <v>909</v>
      </c>
      <c r="D48" s="30">
        <v>2600000</v>
      </c>
      <c r="E48" s="28">
        <v>4009.2</v>
      </c>
      <c r="F48" s="29">
        <v>0.443827954423474</v>
      </c>
    </row>
    <row r="49" spans="1:9" x14ac:dyDescent="0.2">
      <c r="A49" s="26" t="s">
        <v>1020</v>
      </c>
      <c r="B49" s="26" t="s">
        <v>1021</v>
      </c>
      <c r="C49" s="26" t="s">
        <v>1022</v>
      </c>
      <c r="D49" s="30">
        <v>1000000</v>
      </c>
      <c r="E49" s="28">
        <v>3993</v>
      </c>
      <c r="F49" s="29">
        <v>0.442034575978482</v>
      </c>
    </row>
    <row r="50" spans="1:9" x14ac:dyDescent="0.2">
      <c r="A50" s="26" t="s">
        <v>901</v>
      </c>
      <c r="B50" s="26" t="s">
        <v>902</v>
      </c>
      <c r="C50" s="26" t="s">
        <v>839</v>
      </c>
      <c r="D50" s="30">
        <v>7000000</v>
      </c>
      <c r="E50" s="28">
        <v>3202.5</v>
      </c>
      <c r="F50" s="29">
        <v>0.35452435000528099</v>
      </c>
    </row>
    <row r="51" spans="1:9" x14ac:dyDescent="0.2">
      <c r="A51" s="26" t="s">
        <v>910</v>
      </c>
      <c r="B51" s="26" t="s">
        <v>911</v>
      </c>
      <c r="C51" s="26" t="s">
        <v>912</v>
      </c>
      <c r="D51" s="30">
        <v>7000000</v>
      </c>
      <c r="E51" s="28">
        <v>2985.5</v>
      </c>
      <c r="F51" s="29">
        <v>0.33050193503224601</v>
      </c>
    </row>
    <row r="52" spans="1:9" x14ac:dyDescent="0.2">
      <c r="A52" s="26" t="s">
        <v>1096</v>
      </c>
      <c r="B52" s="26" t="s">
        <v>1097</v>
      </c>
      <c r="C52" s="26" t="s">
        <v>842</v>
      </c>
      <c r="D52" s="30">
        <v>400000</v>
      </c>
      <c r="E52" s="28">
        <v>2532</v>
      </c>
      <c r="F52" s="29">
        <v>0.28029840880979601</v>
      </c>
    </row>
    <row r="53" spans="1:9" x14ac:dyDescent="0.2">
      <c r="A53" s="26" t="s">
        <v>913</v>
      </c>
      <c r="B53" s="26" t="s">
        <v>914</v>
      </c>
      <c r="C53" s="26" t="s">
        <v>909</v>
      </c>
      <c r="D53" s="30">
        <v>1344155</v>
      </c>
      <c r="E53" s="28">
        <v>1391.8725030000001</v>
      </c>
      <c r="F53" s="29">
        <v>0.15408358920102999</v>
      </c>
    </row>
    <row r="54" spans="1:9" ht="10.5" x14ac:dyDescent="0.25">
      <c r="A54" s="25" t="s">
        <v>17</v>
      </c>
      <c r="B54" s="25"/>
      <c r="C54" s="25"/>
      <c r="D54" s="31"/>
      <c r="E54" s="32">
        <f>SUM(E7:E53)</f>
        <v>888183.33650299977</v>
      </c>
      <c r="F54" s="33">
        <f>SUM(F7:F53)</f>
        <v>98.324003141061084</v>
      </c>
      <c r="G54" s="18"/>
      <c r="H54" s="18"/>
      <c r="I54" s="18"/>
    </row>
    <row r="55" spans="1:9" x14ac:dyDescent="0.2">
      <c r="A55" s="26"/>
      <c r="B55" s="26"/>
      <c r="C55" s="26"/>
      <c r="D55" s="27"/>
      <c r="E55" s="28"/>
      <c r="F55" s="29"/>
    </row>
    <row r="56" spans="1:9" ht="10.5" x14ac:dyDescent="0.25">
      <c r="A56" s="25" t="s">
        <v>988</v>
      </c>
      <c r="B56" s="26"/>
      <c r="C56" s="26"/>
      <c r="D56" s="27"/>
      <c r="E56" s="28"/>
      <c r="F56" s="29"/>
    </row>
    <row r="57" spans="1:9" x14ac:dyDescent="0.2">
      <c r="A57" s="26"/>
      <c r="B57" s="26" t="s">
        <v>992</v>
      </c>
      <c r="C57" s="26" t="s">
        <v>937</v>
      </c>
      <c r="D57" s="30">
        <v>73500</v>
      </c>
      <c r="E57" s="28">
        <v>7.3499999999999998E-3</v>
      </c>
      <c r="F57" s="29">
        <v>8.1366244263507202E-7</v>
      </c>
    </row>
    <row r="58" spans="1:9" x14ac:dyDescent="0.2">
      <c r="A58" s="26"/>
      <c r="B58" s="26" t="s">
        <v>1325</v>
      </c>
      <c r="C58" s="26" t="s">
        <v>842</v>
      </c>
      <c r="D58" s="30">
        <v>45000</v>
      </c>
      <c r="E58" s="28">
        <v>4.4999999999999997E-3</v>
      </c>
      <c r="F58" s="29">
        <v>4.9816067916433004E-7</v>
      </c>
    </row>
    <row r="59" spans="1:9" x14ac:dyDescent="0.2">
      <c r="A59" s="26" t="s">
        <v>1285</v>
      </c>
      <c r="B59" s="26" t="s">
        <v>1286</v>
      </c>
      <c r="C59" s="26" t="s">
        <v>937</v>
      </c>
      <c r="D59" s="30">
        <v>38000</v>
      </c>
      <c r="E59" s="28">
        <v>3.8E-3</v>
      </c>
      <c r="F59" s="29">
        <v>4.2066901796099001E-7</v>
      </c>
    </row>
    <row r="60" spans="1:9" ht="10.5" x14ac:dyDescent="0.25">
      <c r="A60" s="25" t="s">
        <v>17</v>
      </c>
      <c r="B60" s="25"/>
      <c r="C60" s="25"/>
      <c r="D60" s="31"/>
      <c r="E60" s="32">
        <f>SUM(E56:E59)</f>
        <v>1.5650000000000001E-2</v>
      </c>
      <c r="F60" s="33">
        <f>SUM(F56:F59)</f>
        <v>1.732492139760392E-6</v>
      </c>
      <c r="G60" s="18"/>
      <c r="H60" s="18"/>
      <c r="I60" s="18"/>
    </row>
    <row r="61" spans="1:9" x14ac:dyDescent="0.2">
      <c r="A61" s="26"/>
      <c r="B61" s="26"/>
      <c r="C61" s="26"/>
      <c r="D61" s="27"/>
      <c r="E61" s="28"/>
      <c r="F61" s="29"/>
    </row>
    <row r="62" spans="1:9" ht="10.5" x14ac:dyDescent="0.25">
      <c r="A62" s="25" t="s">
        <v>62</v>
      </c>
      <c r="B62" s="25"/>
      <c r="C62" s="25"/>
      <c r="D62" s="31"/>
      <c r="E62" s="32">
        <f>E54+E60</f>
        <v>888183.35215299972</v>
      </c>
      <c r="F62" s="33">
        <f>F54+F60</f>
        <v>98.324004873553221</v>
      </c>
      <c r="G62" s="18"/>
      <c r="H62" s="18"/>
      <c r="I62" s="18"/>
    </row>
    <row r="63" spans="1:9" ht="10.5" x14ac:dyDescent="0.25">
      <c r="A63" s="25"/>
      <c r="B63" s="25"/>
      <c r="C63" s="25"/>
      <c r="D63" s="31"/>
      <c r="E63" s="32"/>
      <c r="F63" s="33"/>
      <c r="G63" s="18"/>
      <c r="H63" s="18"/>
      <c r="I63" s="18"/>
    </row>
    <row r="64" spans="1:9" ht="10.5" x14ac:dyDescent="0.25">
      <c r="A64" s="25" t="s">
        <v>63</v>
      </c>
      <c r="B64" s="25"/>
      <c r="C64" s="25"/>
      <c r="D64" s="31"/>
      <c r="E64" s="32">
        <f>E66-(E54+E60)</f>
        <v>15139.649483500281</v>
      </c>
      <c r="F64" s="33">
        <f>F66-(F54+F60)</f>
        <v>1.6759951264467787</v>
      </c>
      <c r="G64" s="18"/>
      <c r="H64" s="18"/>
      <c r="I64" s="18"/>
    </row>
    <row r="65" spans="1:9" ht="10.5" x14ac:dyDescent="0.25">
      <c r="A65" s="25"/>
      <c r="B65" s="25"/>
      <c r="C65" s="25"/>
      <c r="D65" s="31"/>
      <c r="E65" s="32"/>
      <c r="F65" s="33"/>
      <c r="G65" s="18"/>
      <c r="H65" s="18"/>
      <c r="I65" s="18"/>
    </row>
    <row r="66" spans="1:9" ht="10.5" x14ac:dyDescent="0.25">
      <c r="A66" s="34" t="s">
        <v>64</v>
      </c>
      <c r="B66" s="34"/>
      <c r="C66" s="34"/>
      <c r="D66" s="35"/>
      <c r="E66" s="36">
        <v>903323.0016365</v>
      </c>
      <c r="F66" s="37">
        <v>100</v>
      </c>
      <c r="G66" s="18"/>
      <c r="H66" s="18"/>
      <c r="I66" s="18"/>
    </row>
    <row r="67" spans="1:9" ht="10.5" x14ac:dyDescent="0.25">
      <c r="F67" s="19" t="s">
        <v>924</v>
      </c>
    </row>
    <row r="68" spans="1:9" ht="10.5" x14ac:dyDescent="0.25">
      <c r="A68" s="18" t="s">
        <v>66</v>
      </c>
    </row>
    <row r="70" spans="1:9" ht="10.5" x14ac:dyDescent="0.25">
      <c r="A70" s="18" t="s">
        <v>67</v>
      </c>
    </row>
    <row r="71" spans="1:9" ht="10.5" x14ac:dyDescent="0.25">
      <c r="A71" s="18" t="s">
        <v>68</v>
      </c>
    </row>
    <row r="72" spans="1:9" ht="10.5" x14ac:dyDescent="0.25">
      <c r="A72" s="18" t="s">
        <v>69</v>
      </c>
      <c r="B72" s="18"/>
      <c r="C72" s="38" t="s">
        <v>70</v>
      </c>
      <c r="D72" s="43" t="s">
        <v>71</v>
      </c>
    </row>
    <row r="73" spans="1:9" x14ac:dyDescent="0.2">
      <c r="A73" s="9" t="s">
        <v>98</v>
      </c>
      <c r="C73" s="39">
        <v>509.3467</v>
      </c>
      <c r="D73" s="39">
        <v>685.11630000000002</v>
      </c>
    </row>
    <row r="74" spans="1:9" x14ac:dyDescent="0.2">
      <c r="A74" s="9" t="s">
        <v>331</v>
      </c>
      <c r="C74" s="39">
        <v>28.743400000000001</v>
      </c>
      <c r="D74" s="39">
        <v>38.662100000000002</v>
      </c>
    </row>
    <row r="75" spans="1:9" x14ac:dyDescent="0.2">
      <c r="A75" s="9" t="s">
        <v>101</v>
      </c>
      <c r="C75" s="39">
        <v>545.83939999999996</v>
      </c>
      <c r="D75" s="39">
        <v>736.947</v>
      </c>
    </row>
    <row r="76" spans="1:9" x14ac:dyDescent="0.2">
      <c r="A76" s="9" t="s">
        <v>332</v>
      </c>
      <c r="C76" s="39">
        <v>31.538699999999999</v>
      </c>
      <c r="D76" s="39">
        <v>42.5809</v>
      </c>
    </row>
    <row r="78" spans="1:9" ht="10.5" x14ac:dyDescent="0.25">
      <c r="A78" s="18" t="s">
        <v>90</v>
      </c>
      <c r="D78" s="43" t="s">
        <v>96</v>
      </c>
    </row>
    <row r="80" spans="1:9" ht="10.5" x14ac:dyDescent="0.25">
      <c r="A80" s="18" t="s">
        <v>998</v>
      </c>
      <c r="D80" s="59">
        <v>8.1100000000000005E-2</v>
      </c>
    </row>
    <row r="82" spans="1:1" ht="10.5" x14ac:dyDescent="0.25">
      <c r="A82" s="18" t="s">
        <v>1516</v>
      </c>
    </row>
    <row r="83" spans="1:1" x14ac:dyDescent="0.2">
      <c r="A83" s="47" t="s">
        <v>1509</v>
      </c>
    </row>
  </sheetData>
  <mergeCells count="1">
    <mergeCell ref="A1:F1"/>
  </mergeCells>
  <conditionalFormatting sqref="F2:F3 F5:F65537">
    <cfRule type="cellIs" dxfId="15" priority="1" stopIfTrue="1" operator="between">
      <formula>0.009</formula>
      <formula>-0.009</formula>
    </cfRule>
  </conditionalFormatting>
  <hyperlinks>
    <hyperlink ref="A83" r:id="rId1" xr:uid="{1354EFA4-1C4A-456B-BD51-623DB6D111D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81"/>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66" t="s">
        <v>1326</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840</v>
      </c>
      <c r="B7" s="26" t="s">
        <v>841</v>
      </c>
      <c r="C7" s="26" t="s">
        <v>842</v>
      </c>
      <c r="D7" s="30">
        <v>1729339</v>
      </c>
      <c r="E7" s="28">
        <v>21717.03916</v>
      </c>
      <c r="F7" s="29">
        <v>9.1118735417579106</v>
      </c>
    </row>
    <row r="8" spans="1:6" x14ac:dyDescent="0.2">
      <c r="A8" s="26" t="s">
        <v>843</v>
      </c>
      <c r="B8" s="26" t="s">
        <v>844</v>
      </c>
      <c r="C8" s="26" t="s">
        <v>839</v>
      </c>
      <c r="D8" s="30">
        <v>3444468</v>
      </c>
      <c r="E8" s="28">
        <v>21371.201710000001</v>
      </c>
      <c r="F8" s="29">
        <v>8.9667696402920001</v>
      </c>
    </row>
    <row r="9" spans="1:6" x14ac:dyDescent="0.2">
      <c r="A9" s="26" t="s">
        <v>837</v>
      </c>
      <c r="B9" s="26" t="s">
        <v>838</v>
      </c>
      <c r="C9" s="26" t="s">
        <v>839</v>
      </c>
      <c r="D9" s="30">
        <v>1188046</v>
      </c>
      <c r="E9" s="28">
        <v>17063.904699999999</v>
      </c>
      <c r="F9" s="29">
        <v>7.1595460416809598</v>
      </c>
    </row>
    <row r="10" spans="1:6" x14ac:dyDescent="0.2">
      <c r="A10" s="26" t="s">
        <v>845</v>
      </c>
      <c r="B10" s="26" t="s">
        <v>846</v>
      </c>
      <c r="C10" s="26" t="s">
        <v>839</v>
      </c>
      <c r="D10" s="30">
        <v>2485871</v>
      </c>
      <c r="E10" s="28">
        <v>13300.65279</v>
      </c>
      <c r="F10" s="29">
        <v>5.5805888340678198</v>
      </c>
    </row>
    <row r="11" spans="1:6" x14ac:dyDescent="0.2">
      <c r="A11" s="26" t="s">
        <v>942</v>
      </c>
      <c r="B11" s="26" t="s">
        <v>943</v>
      </c>
      <c r="C11" s="26" t="s">
        <v>883</v>
      </c>
      <c r="D11" s="30">
        <v>14377483</v>
      </c>
      <c r="E11" s="28">
        <v>10876.56589</v>
      </c>
      <c r="F11" s="29">
        <v>4.5635085072194297</v>
      </c>
    </row>
    <row r="12" spans="1:6" x14ac:dyDescent="0.2">
      <c r="A12" s="26" t="s">
        <v>847</v>
      </c>
      <c r="B12" s="26" t="s">
        <v>848</v>
      </c>
      <c r="C12" s="26" t="s">
        <v>849</v>
      </c>
      <c r="D12" s="30">
        <v>1583873</v>
      </c>
      <c r="E12" s="28">
        <v>8073.0006810000004</v>
      </c>
      <c r="F12" s="29">
        <v>3.3872094978437901</v>
      </c>
    </row>
    <row r="13" spans="1:6" x14ac:dyDescent="0.2">
      <c r="A13" s="26" t="s">
        <v>951</v>
      </c>
      <c r="B13" s="26" t="s">
        <v>952</v>
      </c>
      <c r="C13" s="26" t="s">
        <v>937</v>
      </c>
      <c r="D13" s="30">
        <v>1190390</v>
      </c>
      <c r="E13" s="28">
        <v>6382.8711800000001</v>
      </c>
      <c r="F13" s="29">
        <v>2.67807754993665</v>
      </c>
    </row>
    <row r="14" spans="1:6" x14ac:dyDescent="0.2">
      <c r="A14" s="26" t="s">
        <v>1242</v>
      </c>
      <c r="B14" s="26" t="s">
        <v>1243</v>
      </c>
      <c r="C14" s="26" t="s">
        <v>1186</v>
      </c>
      <c r="D14" s="30">
        <v>257232</v>
      </c>
      <c r="E14" s="28">
        <v>6206.4936960000005</v>
      </c>
      <c r="F14" s="29">
        <v>2.6040743988633901</v>
      </c>
    </row>
    <row r="15" spans="1:6" x14ac:dyDescent="0.2">
      <c r="A15" s="26" t="s">
        <v>1007</v>
      </c>
      <c r="B15" s="26" t="s">
        <v>1008</v>
      </c>
      <c r="C15" s="26" t="s">
        <v>1009</v>
      </c>
      <c r="D15" s="30">
        <v>5044411</v>
      </c>
      <c r="E15" s="28">
        <v>6050.7709949999999</v>
      </c>
      <c r="F15" s="29">
        <v>2.53873742780398</v>
      </c>
    </row>
    <row r="16" spans="1:6" x14ac:dyDescent="0.2">
      <c r="A16" s="26" t="s">
        <v>969</v>
      </c>
      <c r="B16" s="26" t="s">
        <v>970</v>
      </c>
      <c r="C16" s="26" t="s">
        <v>839</v>
      </c>
      <c r="D16" s="30">
        <v>8330054</v>
      </c>
      <c r="E16" s="28">
        <v>5556.1460180000004</v>
      </c>
      <c r="F16" s="29">
        <v>2.3312063639322398</v>
      </c>
    </row>
    <row r="17" spans="1:6" x14ac:dyDescent="0.2">
      <c r="A17" s="26" t="s">
        <v>953</v>
      </c>
      <c r="B17" s="26" t="s">
        <v>954</v>
      </c>
      <c r="C17" s="26" t="s">
        <v>955</v>
      </c>
      <c r="D17" s="30">
        <v>4517530</v>
      </c>
      <c r="E17" s="28">
        <v>5425.5535300000001</v>
      </c>
      <c r="F17" s="29">
        <v>2.27641334047299</v>
      </c>
    </row>
    <row r="18" spans="1:6" x14ac:dyDescent="0.2">
      <c r="A18" s="26" t="s">
        <v>948</v>
      </c>
      <c r="B18" s="26" t="s">
        <v>949</v>
      </c>
      <c r="C18" s="26" t="s">
        <v>950</v>
      </c>
      <c r="D18" s="30">
        <v>399838</v>
      </c>
      <c r="E18" s="28">
        <v>5148.3140880000001</v>
      </c>
      <c r="F18" s="29">
        <v>2.16009128028421</v>
      </c>
    </row>
    <row r="19" spans="1:6" x14ac:dyDescent="0.2">
      <c r="A19" s="26" t="s">
        <v>1182</v>
      </c>
      <c r="B19" s="26" t="s">
        <v>1183</v>
      </c>
      <c r="C19" s="26" t="s">
        <v>839</v>
      </c>
      <c r="D19" s="30">
        <v>2836879</v>
      </c>
      <c r="E19" s="28">
        <v>5109.2190790000004</v>
      </c>
      <c r="F19" s="29">
        <v>2.1436880875884898</v>
      </c>
    </row>
    <row r="20" spans="1:6" x14ac:dyDescent="0.2">
      <c r="A20" s="26" t="s">
        <v>872</v>
      </c>
      <c r="B20" s="26" t="s">
        <v>873</v>
      </c>
      <c r="C20" s="26" t="s">
        <v>874</v>
      </c>
      <c r="D20" s="30">
        <v>1052564</v>
      </c>
      <c r="E20" s="28">
        <v>5018.0988699999998</v>
      </c>
      <c r="F20" s="29">
        <v>2.1054565489616301</v>
      </c>
    </row>
    <row r="21" spans="1:6" x14ac:dyDescent="0.2">
      <c r="A21" s="26" t="s">
        <v>1054</v>
      </c>
      <c r="B21" s="26" t="s">
        <v>1055</v>
      </c>
      <c r="C21" s="26" t="s">
        <v>871</v>
      </c>
      <c r="D21" s="30">
        <v>4919680</v>
      </c>
      <c r="E21" s="28">
        <v>4695.8345600000002</v>
      </c>
      <c r="F21" s="29">
        <v>1.9702432900036499</v>
      </c>
    </row>
    <row r="22" spans="1:6" x14ac:dyDescent="0.2">
      <c r="A22" s="26" t="s">
        <v>852</v>
      </c>
      <c r="B22" s="26" t="s">
        <v>853</v>
      </c>
      <c r="C22" s="26" t="s">
        <v>854</v>
      </c>
      <c r="D22" s="30">
        <v>282387</v>
      </c>
      <c r="E22" s="28">
        <v>4648.9371810000002</v>
      </c>
      <c r="F22" s="29">
        <v>1.95056643701556</v>
      </c>
    </row>
    <row r="23" spans="1:6" x14ac:dyDescent="0.2">
      <c r="A23" s="26" t="s">
        <v>867</v>
      </c>
      <c r="B23" s="26" t="s">
        <v>868</v>
      </c>
      <c r="C23" s="26" t="s">
        <v>863</v>
      </c>
      <c r="D23" s="30">
        <v>1965841</v>
      </c>
      <c r="E23" s="28">
        <v>4356.303656</v>
      </c>
      <c r="F23" s="29">
        <v>1.82778544213712</v>
      </c>
    </row>
    <row r="24" spans="1:6" x14ac:dyDescent="0.2">
      <c r="A24" s="26" t="s">
        <v>1327</v>
      </c>
      <c r="B24" s="26" t="s">
        <v>1328</v>
      </c>
      <c r="C24" s="26" t="s">
        <v>839</v>
      </c>
      <c r="D24" s="30">
        <v>480528</v>
      </c>
      <c r="E24" s="28">
        <v>4300.4853359999997</v>
      </c>
      <c r="F24" s="29">
        <v>1.80436560716762</v>
      </c>
    </row>
    <row r="25" spans="1:6" x14ac:dyDescent="0.2">
      <c r="A25" s="26" t="s">
        <v>956</v>
      </c>
      <c r="B25" s="26" t="s">
        <v>957</v>
      </c>
      <c r="C25" s="26" t="s">
        <v>892</v>
      </c>
      <c r="D25" s="30">
        <v>2493349</v>
      </c>
      <c r="E25" s="28">
        <v>4288.5602799999997</v>
      </c>
      <c r="F25" s="29">
        <v>1.79936218098922</v>
      </c>
    </row>
    <row r="26" spans="1:6" x14ac:dyDescent="0.2">
      <c r="A26" s="26" t="s">
        <v>1251</v>
      </c>
      <c r="B26" s="26" t="s">
        <v>1252</v>
      </c>
      <c r="C26" s="26" t="s">
        <v>1253</v>
      </c>
      <c r="D26" s="30">
        <v>511291</v>
      </c>
      <c r="E26" s="28">
        <v>4164.9764859999996</v>
      </c>
      <c r="F26" s="29">
        <v>1.7475098131575699</v>
      </c>
    </row>
    <row r="27" spans="1:6" x14ac:dyDescent="0.2">
      <c r="A27" s="26" t="s">
        <v>984</v>
      </c>
      <c r="B27" s="26" t="s">
        <v>985</v>
      </c>
      <c r="C27" s="26" t="s">
        <v>883</v>
      </c>
      <c r="D27" s="30">
        <v>18217899</v>
      </c>
      <c r="E27" s="28">
        <v>4126.3541240000004</v>
      </c>
      <c r="F27" s="29">
        <v>1.73130493016983</v>
      </c>
    </row>
    <row r="28" spans="1:6" x14ac:dyDescent="0.2">
      <c r="A28" s="26" t="s">
        <v>1039</v>
      </c>
      <c r="B28" s="26" t="s">
        <v>1040</v>
      </c>
      <c r="C28" s="26" t="s">
        <v>866</v>
      </c>
      <c r="D28" s="30">
        <v>641207</v>
      </c>
      <c r="E28" s="28">
        <v>3782.4800930000001</v>
      </c>
      <c r="F28" s="29">
        <v>1.58702482542435</v>
      </c>
    </row>
    <row r="29" spans="1:6" x14ac:dyDescent="0.2">
      <c r="A29" s="26" t="s">
        <v>1045</v>
      </c>
      <c r="B29" s="26" t="s">
        <v>1046</v>
      </c>
      <c r="C29" s="26" t="s">
        <v>962</v>
      </c>
      <c r="D29" s="30">
        <v>417110</v>
      </c>
      <c r="E29" s="28">
        <v>3649.5039449999999</v>
      </c>
      <c r="F29" s="29">
        <v>1.5312316836558399</v>
      </c>
    </row>
    <row r="30" spans="1:6" x14ac:dyDescent="0.2">
      <c r="A30" s="26" t="s">
        <v>958</v>
      </c>
      <c r="B30" s="26" t="s">
        <v>959</v>
      </c>
      <c r="C30" s="26" t="s">
        <v>877</v>
      </c>
      <c r="D30" s="30">
        <v>3938381</v>
      </c>
      <c r="E30" s="28">
        <v>3581.9575199999999</v>
      </c>
      <c r="F30" s="29">
        <v>1.5028910577416299</v>
      </c>
    </row>
    <row r="31" spans="1:6" x14ac:dyDescent="0.2">
      <c r="A31" s="26" t="s">
        <v>963</v>
      </c>
      <c r="B31" s="26" t="s">
        <v>964</v>
      </c>
      <c r="C31" s="26" t="s">
        <v>937</v>
      </c>
      <c r="D31" s="30">
        <v>974352</v>
      </c>
      <c r="E31" s="28">
        <v>3550.5386880000001</v>
      </c>
      <c r="F31" s="29">
        <v>1.4897085782192301</v>
      </c>
    </row>
    <row r="32" spans="1:6" x14ac:dyDescent="0.2">
      <c r="A32" s="26" t="s">
        <v>869</v>
      </c>
      <c r="B32" s="26" t="s">
        <v>870</v>
      </c>
      <c r="C32" s="26" t="s">
        <v>871</v>
      </c>
      <c r="D32" s="30">
        <v>486570</v>
      </c>
      <c r="E32" s="28">
        <v>3506.2234199999998</v>
      </c>
      <c r="F32" s="29">
        <v>1.4711151081329099</v>
      </c>
    </row>
    <row r="33" spans="1:6" x14ac:dyDescent="0.2">
      <c r="A33" s="26" t="s">
        <v>926</v>
      </c>
      <c r="B33" s="26" t="s">
        <v>927</v>
      </c>
      <c r="C33" s="26" t="s">
        <v>874</v>
      </c>
      <c r="D33" s="30">
        <v>67295</v>
      </c>
      <c r="E33" s="28">
        <v>3502.7720450000002</v>
      </c>
      <c r="F33" s="29">
        <v>1.4696670059163199</v>
      </c>
    </row>
    <row r="34" spans="1:6" x14ac:dyDescent="0.2">
      <c r="A34" s="26" t="s">
        <v>1015</v>
      </c>
      <c r="B34" s="26" t="s">
        <v>1016</v>
      </c>
      <c r="C34" s="26" t="s">
        <v>1017</v>
      </c>
      <c r="D34" s="30">
        <v>651059</v>
      </c>
      <c r="E34" s="28">
        <v>3108.1556660000001</v>
      </c>
      <c r="F34" s="29">
        <v>1.3040968047271499</v>
      </c>
    </row>
    <row r="35" spans="1:6" x14ac:dyDescent="0.2">
      <c r="A35" s="26" t="s">
        <v>855</v>
      </c>
      <c r="B35" s="26" t="s">
        <v>856</v>
      </c>
      <c r="C35" s="26" t="s">
        <v>857</v>
      </c>
      <c r="D35" s="30">
        <v>373797</v>
      </c>
      <c r="E35" s="28">
        <v>3086.2549309999999</v>
      </c>
      <c r="F35" s="29">
        <v>1.29490785745301</v>
      </c>
    </row>
    <row r="36" spans="1:6" x14ac:dyDescent="0.2">
      <c r="A36" s="26" t="s">
        <v>1289</v>
      </c>
      <c r="B36" s="26" t="s">
        <v>1290</v>
      </c>
      <c r="C36" s="26" t="s">
        <v>874</v>
      </c>
      <c r="D36" s="30">
        <v>311893</v>
      </c>
      <c r="E36" s="28">
        <v>3046.7267710000001</v>
      </c>
      <c r="F36" s="29">
        <v>1.2783229264868401</v>
      </c>
    </row>
    <row r="37" spans="1:6" x14ac:dyDescent="0.2">
      <c r="A37" s="26" t="s">
        <v>893</v>
      </c>
      <c r="B37" s="26" t="s">
        <v>894</v>
      </c>
      <c r="C37" s="26" t="s">
        <v>866</v>
      </c>
      <c r="D37" s="30">
        <v>247050</v>
      </c>
      <c r="E37" s="28">
        <v>2930.8776750000002</v>
      </c>
      <c r="F37" s="29">
        <v>1.2297158256338201</v>
      </c>
    </row>
    <row r="38" spans="1:6" x14ac:dyDescent="0.2">
      <c r="A38" s="26" t="s">
        <v>944</v>
      </c>
      <c r="B38" s="26" t="s">
        <v>945</v>
      </c>
      <c r="C38" s="26" t="s">
        <v>842</v>
      </c>
      <c r="D38" s="30">
        <v>283932</v>
      </c>
      <c r="E38" s="28">
        <v>2763.226224</v>
      </c>
      <c r="F38" s="29">
        <v>1.1593738784950101</v>
      </c>
    </row>
    <row r="39" spans="1:6" x14ac:dyDescent="0.2">
      <c r="A39" s="26" t="s">
        <v>1003</v>
      </c>
      <c r="B39" s="26" t="s">
        <v>1004</v>
      </c>
      <c r="C39" s="26" t="s">
        <v>871</v>
      </c>
      <c r="D39" s="30">
        <v>3415915</v>
      </c>
      <c r="E39" s="28">
        <v>2568.7680799999998</v>
      </c>
      <c r="F39" s="29">
        <v>1.07778457876411</v>
      </c>
    </row>
    <row r="40" spans="1:6" x14ac:dyDescent="0.2">
      <c r="A40" s="26" t="s">
        <v>861</v>
      </c>
      <c r="B40" s="26" t="s">
        <v>862</v>
      </c>
      <c r="C40" s="26" t="s">
        <v>863</v>
      </c>
      <c r="D40" s="30">
        <v>1032307</v>
      </c>
      <c r="E40" s="28">
        <v>2555.9921319999999</v>
      </c>
      <c r="F40" s="29">
        <v>1.07242414165782</v>
      </c>
    </row>
    <row r="41" spans="1:6" x14ac:dyDescent="0.2">
      <c r="A41" s="26" t="s">
        <v>875</v>
      </c>
      <c r="B41" s="26" t="s">
        <v>876</v>
      </c>
      <c r="C41" s="26" t="s">
        <v>877</v>
      </c>
      <c r="D41" s="30">
        <v>1025067</v>
      </c>
      <c r="E41" s="28">
        <v>2233.620993</v>
      </c>
      <c r="F41" s="29">
        <v>0.93716606018367299</v>
      </c>
    </row>
    <row r="42" spans="1:6" x14ac:dyDescent="0.2">
      <c r="A42" s="26" t="s">
        <v>1064</v>
      </c>
      <c r="B42" s="26" t="s">
        <v>1065</v>
      </c>
      <c r="C42" s="26" t="s">
        <v>842</v>
      </c>
      <c r="D42" s="30">
        <v>415509</v>
      </c>
      <c r="E42" s="28">
        <v>2131.7689249999999</v>
      </c>
      <c r="F42" s="29">
        <v>0.89443172808871996</v>
      </c>
    </row>
    <row r="43" spans="1:6" x14ac:dyDescent="0.2">
      <c r="A43" s="26" t="s">
        <v>1166</v>
      </c>
      <c r="B43" s="26" t="s">
        <v>1167</v>
      </c>
      <c r="C43" s="26" t="s">
        <v>955</v>
      </c>
      <c r="D43" s="30">
        <v>5150797</v>
      </c>
      <c r="E43" s="28">
        <v>2073.1957929999999</v>
      </c>
      <c r="F43" s="29">
        <v>0.86985604961816099</v>
      </c>
    </row>
    <row r="44" spans="1:6" x14ac:dyDescent="0.2">
      <c r="A44" s="26" t="s">
        <v>897</v>
      </c>
      <c r="B44" s="26" t="s">
        <v>898</v>
      </c>
      <c r="C44" s="26" t="s">
        <v>866</v>
      </c>
      <c r="D44" s="30">
        <v>312320</v>
      </c>
      <c r="E44" s="28">
        <v>1898.1248000000001</v>
      </c>
      <c r="F44" s="29">
        <v>0.79640106630790497</v>
      </c>
    </row>
    <row r="45" spans="1:6" x14ac:dyDescent="0.2">
      <c r="A45" s="26" t="s">
        <v>886</v>
      </c>
      <c r="B45" s="26" t="s">
        <v>887</v>
      </c>
      <c r="C45" s="26" t="s">
        <v>883</v>
      </c>
      <c r="D45" s="30">
        <v>1859467</v>
      </c>
      <c r="E45" s="28">
        <v>1847.380465</v>
      </c>
      <c r="F45" s="29">
        <v>0.77511013617354996</v>
      </c>
    </row>
    <row r="46" spans="1:6" x14ac:dyDescent="0.2">
      <c r="A46" s="26" t="s">
        <v>1027</v>
      </c>
      <c r="B46" s="26" t="s">
        <v>1028</v>
      </c>
      <c r="C46" s="26" t="s">
        <v>1029</v>
      </c>
      <c r="D46" s="30">
        <v>397199</v>
      </c>
      <c r="E46" s="28">
        <v>1632.0906910000001</v>
      </c>
      <c r="F46" s="29">
        <v>0.68478045628169704</v>
      </c>
    </row>
    <row r="47" spans="1:6" x14ac:dyDescent="0.2">
      <c r="A47" s="26" t="s">
        <v>1238</v>
      </c>
      <c r="B47" s="26" t="s">
        <v>1239</v>
      </c>
      <c r="C47" s="26" t="s">
        <v>892</v>
      </c>
      <c r="D47" s="30">
        <v>90000</v>
      </c>
      <c r="E47" s="28">
        <v>1534.8150000000001</v>
      </c>
      <c r="F47" s="29">
        <v>0.64396624636344602</v>
      </c>
    </row>
    <row r="48" spans="1:6" x14ac:dyDescent="0.2">
      <c r="A48" s="26" t="s">
        <v>907</v>
      </c>
      <c r="B48" s="26" t="s">
        <v>908</v>
      </c>
      <c r="C48" s="26" t="s">
        <v>909</v>
      </c>
      <c r="D48" s="30">
        <v>805716</v>
      </c>
      <c r="E48" s="28">
        <v>1334.2656959999999</v>
      </c>
      <c r="F48" s="29">
        <v>0.55982126308684199</v>
      </c>
    </row>
    <row r="49" spans="1:9" x14ac:dyDescent="0.2">
      <c r="A49" s="26" t="s">
        <v>1052</v>
      </c>
      <c r="B49" s="26" t="s">
        <v>1053</v>
      </c>
      <c r="C49" s="26" t="s">
        <v>880</v>
      </c>
      <c r="D49" s="30">
        <v>3050843</v>
      </c>
      <c r="E49" s="28">
        <v>1314.913333</v>
      </c>
      <c r="F49" s="29">
        <v>0.55170154275613603</v>
      </c>
    </row>
    <row r="50" spans="1:9" x14ac:dyDescent="0.2">
      <c r="A50" s="26" t="s">
        <v>1062</v>
      </c>
      <c r="B50" s="26" t="s">
        <v>1063</v>
      </c>
      <c r="C50" s="26" t="s">
        <v>883</v>
      </c>
      <c r="D50" s="30">
        <v>210784</v>
      </c>
      <c r="E50" s="28">
        <v>1294.8461119999999</v>
      </c>
      <c r="F50" s="29">
        <v>0.54328188763006802</v>
      </c>
    </row>
    <row r="51" spans="1:9" x14ac:dyDescent="0.2">
      <c r="A51" s="26" t="s">
        <v>1018</v>
      </c>
      <c r="B51" s="26" t="s">
        <v>1019</v>
      </c>
      <c r="C51" s="26" t="s">
        <v>892</v>
      </c>
      <c r="D51" s="30">
        <v>360275</v>
      </c>
      <c r="E51" s="28">
        <v>1241.687788</v>
      </c>
      <c r="F51" s="29">
        <v>0.52097811397053795</v>
      </c>
    </row>
    <row r="52" spans="1:9" x14ac:dyDescent="0.2">
      <c r="A52" s="26" t="s">
        <v>1023</v>
      </c>
      <c r="B52" s="26" t="s">
        <v>1024</v>
      </c>
      <c r="C52" s="26" t="s">
        <v>854</v>
      </c>
      <c r="D52" s="30">
        <v>42129</v>
      </c>
      <c r="E52" s="28">
        <v>1120.02053</v>
      </c>
      <c r="F52" s="29">
        <v>0.46992987203936498</v>
      </c>
    </row>
    <row r="53" spans="1:9" x14ac:dyDescent="0.2">
      <c r="A53" s="26" t="s">
        <v>960</v>
      </c>
      <c r="B53" s="26" t="s">
        <v>961</v>
      </c>
      <c r="C53" s="26" t="s">
        <v>962</v>
      </c>
      <c r="D53" s="30">
        <v>656332</v>
      </c>
      <c r="E53" s="28">
        <v>903.11283200000003</v>
      </c>
      <c r="F53" s="29">
        <v>0.37892135564592599</v>
      </c>
    </row>
    <row r="54" spans="1:9" x14ac:dyDescent="0.2">
      <c r="A54" s="26" t="s">
        <v>1268</v>
      </c>
      <c r="B54" s="26" t="s">
        <v>1269</v>
      </c>
      <c r="C54" s="26" t="s">
        <v>1138</v>
      </c>
      <c r="D54" s="30">
        <v>105014</v>
      </c>
      <c r="E54" s="28">
        <v>813.38593700000001</v>
      </c>
      <c r="F54" s="29">
        <v>0.341274413329753</v>
      </c>
    </row>
    <row r="55" spans="1:9" x14ac:dyDescent="0.2">
      <c r="A55" s="26" t="s">
        <v>1025</v>
      </c>
      <c r="B55" s="26" t="s">
        <v>1026</v>
      </c>
      <c r="C55" s="26" t="s">
        <v>937</v>
      </c>
      <c r="D55" s="30">
        <v>1113029</v>
      </c>
      <c r="E55" s="28">
        <v>757.97274900000002</v>
      </c>
      <c r="F55" s="29">
        <v>0.31802456062737999</v>
      </c>
    </row>
    <row r="56" spans="1:9" x14ac:dyDescent="0.2">
      <c r="A56" s="26" t="s">
        <v>1329</v>
      </c>
      <c r="B56" s="26" t="s">
        <v>1330</v>
      </c>
      <c r="C56" s="26" t="s">
        <v>892</v>
      </c>
      <c r="D56" s="30">
        <v>724550</v>
      </c>
      <c r="E56" s="28">
        <v>729.98412499999995</v>
      </c>
      <c r="F56" s="29">
        <v>0.30628130222936001</v>
      </c>
    </row>
    <row r="57" spans="1:9" x14ac:dyDescent="0.2">
      <c r="A57" s="26" t="s">
        <v>910</v>
      </c>
      <c r="B57" s="26" t="s">
        <v>911</v>
      </c>
      <c r="C57" s="26" t="s">
        <v>912</v>
      </c>
      <c r="D57" s="30">
        <v>1656994</v>
      </c>
      <c r="E57" s="28">
        <v>706.70794100000001</v>
      </c>
      <c r="F57" s="29">
        <v>0.29651525430817999</v>
      </c>
    </row>
    <row r="58" spans="1:9" x14ac:dyDescent="0.2">
      <c r="A58" s="26" t="s">
        <v>913</v>
      </c>
      <c r="B58" s="26" t="s">
        <v>914</v>
      </c>
      <c r="C58" s="26" t="s">
        <v>909</v>
      </c>
      <c r="D58" s="30">
        <v>94174</v>
      </c>
      <c r="E58" s="28">
        <v>97.517177000000004</v>
      </c>
      <c r="F58" s="29">
        <v>4.09155308155379E-2</v>
      </c>
    </row>
    <row r="59" spans="1:9" ht="10.5" x14ac:dyDescent="0.25">
      <c r="A59" s="25" t="s">
        <v>17</v>
      </c>
      <c r="B59" s="25"/>
      <c r="C59" s="25"/>
      <c r="D59" s="31"/>
      <c r="E59" s="32">
        <f>SUM(E7:E58)</f>
        <v>233180.17208700001</v>
      </c>
      <c r="F59" s="33">
        <f>SUM(F7:F58)</f>
        <v>97.835999873110367</v>
      </c>
      <c r="G59" s="18"/>
      <c r="H59" s="18"/>
      <c r="I59" s="18"/>
    </row>
    <row r="60" spans="1:9" x14ac:dyDescent="0.2">
      <c r="A60" s="26"/>
      <c r="B60" s="26"/>
      <c r="C60" s="26"/>
      <c r="D60" s="27"/>
      <c r="E60" s="28"/>
      <c r="F60" s="29"/>
    </row>
    <row r="61" spans="1:9" ht="10.5" x14ac:dyDescent="0.25">
      <c r="A61" s="25" t="s">
        <v>62</v>
      </c>
      <c r="B61" s="25"/>
      <c r="C61" s="25"/>
      <c r="D61" s="31"/>
      <c r="E61" s="32">
        <f>E59</f>
        <v>233180.17208700001</v>
      </c>
      <c r="F61" s="33">
        <f>F59</f>
        <v>97.835999873110367</v>
      </c>
      <c r="G61" s="18"/>
      <c r="H61" s="18"/>
      <c r="I61" s="18"/>
    </row>
    <row r="62" spans="1:9" ht="10.5" x14ac:dyDescent="0.25">
      <c r="A62" s="25"/>
      <c r="B62" s="25"/>
      <c r="C62" s="25"/>
      <c r="D62" s="31"/>
      <c r="E62" s="32"/>
      <c r="F62" s="33"/>
      <c r="G62" s="18"/>
      <c r="H62" s="18"/>
      <c r="I62" s="18"/>
    </row>
    <row r="63" spans="1:9" ht="10.5" x14ac:dyDescent="0.25">
      <c r="A63" s="25" t="s">
        <v>63</v>
      </c>
      <c r="B63" s="25"/>
      <c r="C63" s="25"/>
      <c r="D63" s="31"/>
      <c r="E63" s="32">
        <f>E65-(E59)</f>
        <v>5157.6303470999992</v>
      </c>
      <c r="F63" s="33">
        <f>F65-(F59)</f>
        <v>2.1640001268896327</v>
      </c>
      <c r="G63" s="18"/>
      <c r="H63" s="18"/>
      <c r="I63" s="18"/>
    </row>
    <row r="64" spans="1:9" ht="10.5" x14ac:dyDescent="0.25">
      <c r="A64" s="25"/>
      <c r="B64" s="25"/>
      <c r="C64" s="25"/>
      <c r="D64" s="31"/>
      <c r="E64" s="32"/>
      <c r="F64" s="33"/>
      <c r="G64" s="18"/>
      <c r="H64" s="18"/>
      <c r="I64" s="18"/>
    </row>
    <row r="65" spans="1:9" ht="10.5" x14ac:dyDescent="0.25">
      <c r="A65" s="34" t="s">
        <v>64</v>
      </c>
      <c r="B65" s="34"/>
      <c r="C65" s="34"/>
      <c r="D65" s="35"/>
      <c r="E65" s="36">
        <v>238337.80243410001</v>
      </c>
      <c r="F65" s="37">
        <v>100</v>
      </c>
      <c r="G65" s="18"/>
      <c r="H65" s="18"/>
      <c r="I65" s="18"/>
    </row>
    <row r="68" spans="1:9" ht="10.5" x14ac:dyDescent="0.25">
      <c r="A68" s="18" t="s">
        <v>67</v>
      </c>
    </row>
    <row r="69" spans="1:9" ht="10.5" x14ac:dyDescent="0.25">
      <c r="A69" s="18" t="s">
        <v>68</v>
      </c>
    </row>
    <row r="70" spans="1:9" ht="10.5" x14ac:dyDescent="0.25">
      <c r="A70" s="18" t="s">
        <v>69</v>
      </c>
      <c r="B70" s="18"/>
      <c r="C70" s="38" t="s">
        <v>70</v>
      </c>
      <c r="D70" s="43" t="s">
        <v>71</v>
      </c>
    </row>
    <row r="71" spans="1:9" x14ac:dyDescent="0.2">
      <c r="A71" s="9" t="s">
        <v>98</v>
      </c>
      <c r="C71" s="39">
        <v>63.786900000000003</v>
      </c>
      <c r="D71" s="39">
        <v>89.385300000000001</v>
      </c>
    </row>
    <row r="72" spans="1:9" x14ac:dyDescent="0.2">
      <c r="A72" s="9" t="s">
        <v>331</v>
      </c>
      <c r="C72" s="39">
        <v>11.182</v>
      </c>
      <c r="D72" s="39">
        <v>15.669499999999999</v>
      </c>
    </row>
    <row r="73" spans="1:9" x14ac:dyDescent="0.2">
      <c r="A73" s="9" t="s">
        <v>101</v>
      </c>
      <c r="C73" s="39">
        <v>67.460700000000003</v>
      </c>
      <c r="D73" s="39">
        <v>94.964600000000004</v>
      </c>
    </row>
    <row r="74" spans="1:9" x14ac:dyDescent="0.2">
      <c r="A74" s="9" t="s">
        <v>332</v>
      </c>
      <c r="C74" s="39">
        <v>12.121700000000001</v>
      </c>
      <c r="D74" s="39">
        <v>17.063300000000002</v>
      </c>
    </row>
    <row r="76" spans="1:9" ht="10.5" x14ac:dyDescent="0.25">
      <c r="A76" s="18" t="s">
        <v>90</v>
      </c>
      <c r="D76" s="43" t="s">
        <v>96</v>
      </c>
    </row>
    <row r="78" spans="1:9" ht="10.5" x14ac:dyDescent="0.25">
      <c r="A78" s="18" t="s">
        <v>998</v>
      </c>
      <c r="D78" s="59">
        <v>5.3699999999999998E-2</v>
      </c>
    </row>
    <row r="80" spans="1:9" ht="10.5" x14ac:dyDescent="0.25">
      <c r="A80" s="18" t="s">
        <v>1516</v>
      </c>
    </row>
    <row r="81" spans="1:1" x14ac:dyDescent="0.2">
      <c r="A81" s="47" t="s">
        <v>1509</v>
      </c>
    </row>
  </sheetData>
  <mergeCells count="1">
    <mergeCell ref="A1:F1"/>
  </mergeCells>
  <conditionalFormatting sqref="F2:F3 F5:F65536">
    <cfRule type="cellIs" dxfId="14" priority="1" stopIfTrue="1" operator="between">
      <formula>0.009</formula>
      <formula>-0.009</formula>
    </cfRule>
  </conditionalFormatting>
  <hyperlinks>
    <hyperlink ref="A81" r:id="rId1" xr:uid="{C28F5584-D30F-4070-8744-098D43C446C8}"/>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3"/>
  <sheetViews>
    <sheetView workbookViewId="0">
      <selection sqref="A1:F1"/>
    </sheetView>
  </sheetViews>
  <sheetFormatPr defaultColWidth="9.1796875" defaultRowHeight="10" x14ac:dyDescent="0.2"/>
  <cols>
    <col min="1" max="1" width="38.7265625" style="9" bestFit="1" customWidth="1"/>
    <col min="2" max="2" width="24.1796875" style="9" bestFit="1" customWidth="1"/>
    <col min="3" max="3" width="18.81640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66" t="s">
        <v>1331</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845</v>
      </c>
      <c r="B7" s="26" t="s">
        <v>846</v>
      </c>
      <c r="C7" s="26" t="s">
        <v>839</v>
      </c>
      <c r="D7" s="30">
        <v>10500000</v>
      </c>
      <c r="E7" s="28">
        <v>56180.25</v>
      </c>
      <c r="F7" s="29">
        <v>9.9793778354499896</v>
      </c>
    </row>
    <row r="8" spans="1:6" x14ac:dyDescent="0.2">
      <c r="A8" s="26" t="s">
        <v>843</v>
      </c>
      <c r="B8" s="26" t="s">
        <v>844</v>
      </c>
      <c r="C8" s="26" t="s">
        <v>839</v>
      </c>
      <c r="D8" s="30">
        <v>8200000</v>
      </c>
      <c r="E8" s="28">
        <v>50876.9</v>
      </c>
      <c r="F8" s="29">
        <v>9.0373362204049599</v>
      </c>
    </row>
    <row r="9" spans="1:6" x14ac:dyDescent="0.2">
      <c r="A9" s="26" t="s">
        <v>884</v>
      </c>
      <c r="B9" s="26" t="s">
        <v>885</v>
      </c>
      <c r="C9" s="26" t="s">
        <v>839</v>
      </c>
      <c r="D9" s="30">
        <v>18500000</v>
      </c>
      <c r="E9" s="28">
        <v>50865.75</v>
      </c>
      <c r="F9" s="29">
        <v>9.0353556300219395</v>
      </c>
    </row>
    <row r="10" spans="1:6" x14ac:dyDescent="0.2">
      <c r="A10" s="26" t="s">
        <v>847</v>
      </c>
      <c r="B10" s="26" t="s">
        <v>848</v>
      </c>
      <c r="C10" s="26" t="s">
        <v>849</v>
      </c>
      <c r="D10" s="30">
        <v>7200000</v>
      </c>
      <c r="E10" s="28">
        <v>36698.400000000001</v>
      </c>
      <c r="F10" s="29">
        <v>6.5187890683376803</v>
      </c>
    </row>
    <row r="11" spans="1:6" x14ac:dyDescent="0.2">
      <c r="A11" s="26" t="s">
        <v>837</v>
      </c>
      <c r="B11" s="26" t="s">
        <v>838</v>
      </c>
      <c r="C11" s="26" t="s">
        <v>839</v>
      </c>
      <c r="D11" s="30">
        <v>2300000</v>
      </c>
      <c r="E11" s="28">
        <v>33034.9</v>
      </c>
      <c r="F11" s="29">
        <v>5.8680363447351498</v>
      </c>
    </row>
    <row r="12" spans="1:6" x14ac:dyDescent="0.2">
      <c r="A12" s="26" t="s">
        <v>948</v>
      </c>
      <c r="B12" s="26" t="s">
        <v>949</v>
      </c>
      <c r="C12" s="26" t="s">
        <v>950</v>
      </c>
      <c r="D12" s="30">
        <v>2289114</v>
      </c>
      <c r="E12" s="28">
        <v>29474.631860000001</v>
      </c>
      <c r="F12" s="29">
        <v>5.2356208434767</v>
      </c>
    </row>
    <row r="13" spans="1:6" x14ac:dyDescent="0.2">
      <c r="A13" s="26" t="s">
        <v>840</v>
      </c>
      <c r="B13" s="26" t="s">
        <v>841</v>
      </c>
      <c r="C13" s="26" t="s">
        <v>842</v>
      </c>
      <c r="D13" s="30">
        <v>2200000</v>
      </c>
      <c r="E13" s="28">
        <v>27627.599999999999</v>
      </c>
      <c r="F13" s="29">
        <v>4.9075299431148496</v>
      </c>
    </row>
    <row r="14" spans="1:6" x14ac:dyDescent="0.2">
      <c r="A14" s="26" t="s">
        <v>886</v>
      </c>
      <c r="B14" s="26" t="s">
        <v>887</v>
      </c>
      <c r="C14" s="26" t="s">
        <v>883</v>
      </c>
      <c r="D14" s="30">
        <v>23503715</v>
      </c>
      <c r="E14" s="28">
        <v>23350.940849999999</v>
      </c>
      <c r="F14" s="29">
        <v>4.1478608862615198</v>
      </c>
    </row>
    <row r="15" spans="1:6" x14ac:dyDescent="0.2">
      <c r="A15" s="26" t="s">
        <v>1291</v>
      </c>
      <c r="B15" s="26" t="s">
        <v>1292</v>
      </c>
      <c r="C15" s="26" t="s">
        <v>930</v>
      </c>
      <c r="D15" s="30">
        <v>425000</v>
      </c>
      <c r="E15" s="28">
        <v>22474.637500000001</v>
      </c>
      <c r="F15" s="29">
        <v>3.9922018739196301</v>
      </c>
    </row>
    <row r="16" spans="1:6" x14ac:dyDescent="0.2">
      <c r="A16" s="26" t="s">
        <v>1289</v>
      </c>
      <c r="B16" s="26" t="s">
        <v>1290</v>
      </c>
      <c r="C16" s="26" t="s">
        <v>874</v>
      </c>
      <c r="D16" s="30">
        <v>2232000</v>
      </c>
      <c r="E16" s="28">
        <v>21803.292000000001</v>
      </c>
      <c r="F16" s="29">
        <v>3.8729498164327198</v>
      </c>
    </row>
    <row r="17" spans="1:9" x14ac:dyDescent="0.2">
      <c r="A17" s="26" t="s">
        <v>1293</v>
      </c>
      <c r="B17" s="26" t="s">
        <v>1294</v>
      </c>
      <c r="C17" s="26" t="s">
        <v>1022</v>
      </c>
      <c r="D17" s="30">
        <v>1250000</v>
      </c>
      <c r="E17" s="28">
        <v>21541.25</v>
      </c>
      <c r="F17" s="29">
        <v>3.8264029226976901</v>
      </c>
    </row>
    <row r="18" spans="1:9" x14ac:dyDescent="0.2">
      <c r="A18" s="26" t="s">
        <v>1030</v>
      </c>
      <c r="B18" s="26" t="s">
        <v>1031</v>
      </c>
      <c r="C18" s="26" t="s">
        <v>930</v>
      </c>
      <c r="D18" s="30">
        <v>1250000</v>
      </c>
      <c r="E18" s="28">
        <v>20220.625</v>
      </c>
      <c r="F18" s="29">
        <v>3.5918184227365701</v>
      </c>
    </row>
    <row r="19" spans="1:9" x14ac:dyDescent="0.2">
      <c r="A19" s="26" t="s">
        <v>958</v>
      </c>
      <c r="B19" s="26" t="s">
        <v>959</v>
      </c>
      <c r="C19" s="26" t="s">
        <v>877</v>
      </c>
      <c r="D19" s="30">
        <v>22000000</v>
      </c>
      <c r="E19" s="28">
        <v>20009</v>
      </c>
      <c r="F19" s="29">
        <v>3.55422717252983</v>
      </c>
    </row>
    <row r="20" spans="1:9" x14ac:dyDescent="0.2">
      <c r="A20" s="26" t="s">
        <v>967</v>
      </c>
      <c r="B20" s="26" t="s">
        <v>968</v>
      </c>
      <c r="C20" s="26" t="s">
        <v>863</v>
      </c>
      <c r="D20" s="30">
        <v>15500000</v>
      </c>
      <c r="E20" s="28">
        <v>19103.75</v>
      </c>
      <c r="F20" s="29">
        <v>3.39342632551435</v>
      </c>
    </row>
    <row r="21" spans="1:9" x14ac:dyDescent="0.2">
      <c r="A21" s="26" t="s">
        <v>899</v>
      </c>
      <c r="B21" s="26" t="s">
        <v>900</v>
      </c>
      <c r="C21" s="26" t="s">
        <v>877</v>
      </c>
      <c r="D21" s="30">
        <v>4700000</v>
      </c>
      <c r="E21" s="28">
        <v>17911.7</v>
      </c>
      <c r="F21" s="29">
        <v>3.18168078595644</v>
      </c>
    </row>
    <row r="22" spans="1:9" x14ac:dyDescent="0.2">
      <c r="A22" s="26" t="s">
        <v>969</v>
      </c>
      <c r="B22" s="26" t="s">
        <v>970</v>
      </c>
      <c r="C22" s="26" t="s">
        <v>839</v>
      </c>
      <c r="D22" s="30">
        <v>20000000</v>
      </c>
      <c r="E22" s="28">
        <v>13340</v>
      </c>
      <c r="F22" s="29">
        <v>2.3696032026362102</v>
      </c>
    </row>
    <row r="23" spans="1:9" x14ac:dyDescent="0.2">
      <c r="A23" s="26" t="s">
        <v>1303</v>
      </c>
      <c r="B23" s="26" t="s">
        <v>1304</v>
      </c>
      <c r="C23" s="26" t="s">
        <v>866</v>
      </c>
      <c r="D23" s="30">
        <v>2000000</v>
      </c>
      <c r="E23" s="28">
        <v>11565</v>
      </c>
      <c r="F23" s="29">
        <v>2.0543074241744899</v>
      </c>
    </row>
    <row r="24" spans="1:9" x14ac:dyDescent="0.2">
      <c r="A24" s="26" t="s">
        <v>1242</v>
      </c>
      <c r="B24" s="26" t="s">
        <v>1243</v>
      </c>
      <c r="C24" s="26" t="s">
        <v>1186</v>
      </c>
      <c r="D24" s="30">
        <v>400000</v>
      </c>
      <c r="E24" s="28">
        <v>9651.2000000000007</v>
      </c>
      <c r="F24" s="29">
        <v>1.7143564039942001</v>
      </c>
    </row>
    <row r="25" spans="1:9" x14ac:dyDescent="0.2">
      <c r="A25" s="26" t="s">
        <v>928</v>
      </c>
      <c r="B25" s="26" t="s">
        <v>929</v>
      </c>
      <c r="C25" s="26" t="s">
        <v>930</v>
      </c>
      <c r="D25" s="30">
        <v>1000000</v>
      </c>
      <c r="E25" s="28">
        <v>9278.5</v>
      </c>
      <c r="F25" s="29">
        <v>1.6481531720884599</v>
      </c>
    </row>
    <row r="26" spans="1:9" x14ac:dyDescent="0.2">
      <c r="A26" s="26" t="s">
        <v>895</v>
      </c>
      <c r="B26" s="26" t="s">
        <v>896</v>
      </c>
      <c r="C26" s="26" t="s">
        <v>871</v>
      </c>
      <c r="D26" s="30">
        <v>250000</v>
      </c>
      <c r="E26" s="28">
        <v>8610.125</v>
      </c>
      <c r="F26" s="29">
        <v>1.5294287687479799</v>
      </c>
    </row>
    <row r="27" spans="1:9" x14ac:dyDescent="0.2">
      <c r="A27" s="26" t="s">
        <v>1332</v>
      </c>
      <c r="B27" s="26" t="s">
        <v>1333</v>
      </c>
      <c r="C27" s="26" t="s">
        <v>930</v>
      </c>
      <c r="D27" s="30">
        <v>3000000</v>
      </c>
      <c r="E27" s="28">
        <v>7465.5</v>
      </c>
      <c r="F27" s="29">
        <v>1.3261073994963</v>
      </c>
    </row>
    <row r="28" spans="1:9" x14ac:dyDescent="0.2">
      <c r="A28" s="26" t="s">
        <v>926</v>
      </c>
      <c r="B28" s="26" t="s">
        <v>927</v>
      </c>
      <c r="C28" s="26" t="s">
        <v>874</v>
      </c>
      <c r="D28" s="30">
        <v>125000</v>
      </c>
      <c r="E28" s="28">
        <v>6506.375</v>
      </c>
      <c r="F28" s="29">
        <v>1.15573665948667</v>
      </c>
    </row>
    <row r="29" spans="1:9" x14ac:dyDescent="0.2">
      <c r="A29" s="26" t="s">
        <v>878</v>
      </c>
      <c r="B29" s="26" t="s">
        <v>879</v>
      </c>
      <c r="C29" s="26" t="s">
        <v>880</v>
      </c>
      <c r="D29" s="30">
        <v>2500000</v>
      </c>
      <c r="E29" s="28">
        <v>6013.75</v>
      </c>
      <c r="F29" s="29">
        <v>1.0682309789995099</v>
      </c>
    </row>
    <row r="30" spans="1:9" x14ac:dyDescent="0.2">
      <c r="A30" s="26" t="s">
        <v>872</v>
      </c>
      <c r="B30" s="26" t="s">
        <v>873</v>
      </c>
      <c r="C30" s="26" t="s">
        <v>874</v>
      </c>
      <c r="D30" s="30">
        <v>620727</v>
      </c>
      <c r="E30" s="28">
        <v>2959.3159730000002</v>
      </c>
      <c r="F30" s="29">
        <v>0.52566751178660298</v>
      </c>
    </row>
    <row r="31" spans="1:9" ht="10.5" x14ac:dyDescent="0.25">
      <c r="A31" s="25" t="s">
        <v>17</v>
      </c>
      <c r="B31" s="25"/>
      <c r="C31" s="25"/>
      <c r="D31" s="31"/>
      <c r="E31" s="32">
        <f>SUM(E7:E30)</f>
        <v>526563.39318300004</v>
      </c>
      <c r="F31" s="33">
        <f>SUM(F7:F30)</f>
        <v>93.534205613000466</v>
      </c>
      <c r="G31" s="18"/>
      <c r="H31" s="18"/>
      <c r="I31" s="18"/>
    </row>
    <row r="32" spans="1:9" x14ac:dyDescent="0.2">
      <c r="A32" s="26"/>
      <c r="B32" s="26"/>
      <c r="C32" s="26"/>
      <c r="D32" s="27"/>
      <c r="E32" s="28"/>
      <c r="F32" s="29"/>
    </row>
    <row r="33" spans="1:9" ht="10.5" x14ac:dyDescent="0.25">
      <c r="A33" s="25" t="s">
        <v>62</v>
      </c>
      <c r="B33" s="25"/>
      <c r="C33" s="25"/>
      <c r="D33" s="31"/>
      <c r="E33" s="32">
        <f>E31</f>
        <v>526563.39318300004</v>
      </c>
      <c r="F33" s="33">
        <f>F31</f>
        <v>93.534205613000466</v>
      </c>
      <c r="G33" s="18"/>
      <c r="H33" s="18"/>
      <c r="I33" s="18"/>
    </row>
    <row r="34" spans="1:9" ht="10.5" x14ac:dyDescent="0.25">
      <c r="A34" s="25"/>
      <c r="B34" s="25"/>
      <c r="C34" s="25"/>
      <c r="D34" s="31"/>
      <c r="E34" s="32"/>
      <c r="F34" s="33"/>
      <c r="G34" s="18"/>
      <c r="H34" s="18"/>
      <c r="I34" s="18"/>
    </row>
    <row r="35" spans="1:9" ht="10.5" x14ac:dyDescent="0.25">
      <c r="A35" s="25" t="s">
        <v>63</v>
      </c>
      <c r="B35" s="25"/>
      <c r="C35" s="25"/>
      <c r="D35" s="31"/>
      <c r="E35" s="32">
        <f>E37-(E31)</f>
        <v>36400.059312299942</v>
      </c>
      <c r="F35" s="33">
        <f>F37-(F31)</f>
        <v>6.4657943869995336</v>
      </c>
      <c r="G35" s="18"/>
      <c r="H35" s="18"/>
      <c r="I35" s="18"/>
    </row>
    <row r="36" spans="1:9" ht="10.5" x14ac:dyDescent="0.25">
      <c r="A36" s="25"/>
      <c r="B36" s="25"/>
      <c r="C36" s="25"/>
      <c r="D36" s="31"/>
      <c r="E36" s="32"/>
      <c r="F36" s="33"/>
      <c r="G36" s="18"/>
      <c r="H36" s="18"/>
      <c r="I36" s="18"/>
    </row>
    <row r="37" spans="1:9" ht="10.5" x14ac:dyDescent="0.25">
      <c r="A37" s="34" t="s">
        <v>64</v>
      </c>
      <c r="B37" s="34"/>
      <c r="C37" s="34"/>
      <c r="D37" s="35"/>
      <c r="E37" s="36">
        <v>562963.45249529998</v>
      </c>
      <c r="F37" s="37">
        <v>100</v>
      </c>
      <c r="G37" s="18"/>
      <c r="H37" s="18"/>
      <c r="I37" s="18"/>
    </row>
    <row r="40" spans="1:9" ht="10.5" x14ac:dyDescent="0.25">
      <c r="A40" s="18" t="s">
        <v>67</v>
      </c>
    </row>
    <row r="41" spans="1:9" ht="10.5" x14ac:dyDescent="0.25">
      <c r="A41" s="18" t="s">
        <v>68</v>
      </c>
    </row>
    <row r="42" spans="1:9" ht="10.5" x14ac:dyDescent="0.25">
      <c r="A42" s="18" t="s">
        <v>69</v>
      </c>
      <c r="B42" s="18"/>
      <c r="C42" s="38" t="s">
        <v>70</v>
      </c>
      <c r="D42" s="43" t="s">
        <v>71</v>
      </c>
    </row>
    <row r="43" spans="1:9" x14ac:dyDescent="0.2">
      <c r="A43" s="9" t="s">
        <v>98</v>
      </c>
      <c r="C43" s="39">
        <v>407.38119999999998</v>
      </c>
      <c r="D43" s="39">
        <v>534.83879999999999</v>
      </c>
    </row>
    <row r="44" spans="1:9" x14ac:dyDescent="0.2">
      <c r="A44" s="9" t="s">
        <v>331</v>
      </c>
      <c r="C44" s="39">
        <v>30.0061</v>
      </c>
      <c r="D44" s="39">
        <v>39.394100000000002</v>
      </c>
    </row>
    <row r="45" spans="1:9" x14ac:dyDescent="0.2">
      <c r="A45" s="9" t="s">
        <v>101</v>
      </c>
      <c r="C45" s="39">
        <v>433.46429999999998</v>
      </c>
      <c r="D45" s="39">
        <v>571.14980000000003</v>
      </c>
    </row>
    <row r="46" spans="1:9" x14ac:dyDescent="0.2">
      <c r="A46" s="9" t="s">
        <v>332</v>
      </c>
      <c r="C46" s="39">
        <v>32.820500000000003</v>
      </c>
      <c r="D46" s="39">
        <v>43.245199999999997</v>
      </c>
    </row>
    <row r="48" spans="1:9" ht="10.5" x14ac:dyDescent="0.25">
      <c r="A48" s="18" t="s">
        <v>90</v>
      </c>
      <c r="D48" s="43" t="s">
        <v>96</v>
      </c>
    </row>
    <row r="50" spans="1:4" ht="10.5" x14ac:dyDescent="0.25">
      <c r="A50" s="18" t="s">
        <v>998</v>
      </c>
      <c r="D50" s="59">
        <v>0.127</v>
      </c>
    </row>
    <row r="52" spans="1:4" ht="10.5" x14ac:dyDescent="0.25">
      <c r="A52" s="18" t="s">
        <v>1516</v>
      </c>
    </row>
    <row r="53" spans="1:4" x14ac:dyDescent="0.2">
      <c r="A53" s="47" t="s">
        <v>1509</v>
      </c>
    </row>
  </sheetData>
  <mergeCells count="1">
    <mergeCell ref="A1:F1"/>
  </mergeCells>
  <conditionalFormatting sqref="F2:F3 F5:F65536">
    <cfRule type="cellIs" dxfId="13" priority="1" stopIfTrue="1" operator="between">
      <formula>0.009</formula>
      <formula>-0.009</formula>
    </cfRule>
  </conditionalFormatting>
  <hyperlinks>
    <hyperlink ref="A53" r:id="rId1" xr:uid="{CA27950D-BBCE-4A8C-AC11-936A4983EE27}"/>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57"/>
  <sheetViews>
    <sheetView workbookViewId="0">
      <selection sqref="A1:F1"/>
    </sheetView>
  </sheetViews>
  <sheetFormatPr defaultColWidth="9.1796875" defaultRowHeight="10" x14ac:dyDescent="0.2"/>
  <cols>
    <col min="1" max="1" width="38.7265625" style="9" bestFit="1" customWidth="1"/>
    <col min="2" max="2" width="24.7265625" style="9" bestFit="1" customWidth="1"/>
    <col min="3" max="3" width="18.81640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66" t="s">
        <v>1334</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845</v>
      </c>
      <c r="B7" s="26" t="s">
        <v>846</v>
      </c>
      <c r="C7" s="26" t="s">
        <v>839</v>
      </c>
      <c r="D7" s="30">
        <v>1700000</v>
      </c>
      <c r="E7" s="28">
        <v>9095.85</v>
      </c>
      <c r="F7" s="29">
        <v>9.7196555986873605</v>
      </c>
    </row>
    <row r="8" spans="1:6" x14ac:dyDescent="0.2">
      <c r="A8" s="26" t="s">
        <v>884</v>
      </c>
      <c r="B8" s="26" t="s">
        <v>885</v>
      </c>
      <c r="C8" s="26" t="s">
        <v>839</v>
      </c>
      <c r="D8" s="30">
        <v>3200000</v>
      </c>
      <c r="E8" s="28">
        <v>8798.4</v>
      </c>
      <c r="F8" s="29">
        <v>9.4018060785403108</v>
      </c>
    </row>
    <row r="9" spans="1:6" x14ac:dyDescent="0.2">
      <c r="A9" s="26" t="s">
        <v>843</v>
      </c>
      <c r="B9" s="26" t="s">
        <v>844</v>
      </c>
      <c r="C9" s="26" t="s">
        <v>839</v>
      </c>
      <c r="D9" s="30">
        <v>1275000</v>
      </c>
      <c r="E9" s="28">
        <v>7910.7375000000002</v>
      </c>
      <c r="F9" s="29">
        <v>8.4532664931392905</v>
      </c>
    </row>
    <row r="10" spans="1:6" x14ac:dyDescent="0.2">
      <c r="A10" s="26" t="s">
        <v>847</v>
      </c>
      <c r="B10" s="26" t="s">
        <v>848</v>
      </c>
      <c r="C10" s="26" t="s">
        <v>849</v>
      </c>
      <c r="D10" s="30">
        <v>1175000</v>
      </c>
      <c r="E10" s="28">
        <v>5988.9750000000004</v>
      </c>
      <c r="F10" s="29">
        <v>6.3997069420833199</v>
      </c>
    </row>
    <row r="11" spans="1:6" x14ac:dyDescent="0.2">
      <c r="A11" s="26" t="s">
        <v>886</v>
      </c>
      <c r="B11" s="26" t="s">
        <v>887</v>
      </c>
      <c r="C11" s="26" t="s">
        <v>883</v>
      </c>
      <c r="D11" s="30">
        <v>4688274</v>
      </c>
      <c r="E11" s="28">
        <v>4657.8002189999997</v>
      </c>
      <c r="F11" s="29">
        <v>4.9772384083038501</v>
      </c>
    </row>
    <row r="12" spans="1:6" x14ac:dyDescent="0.2">
      <c r="A12" s="26" t="s">
        <v>958</v>
      </c>
      <c r="B12" s="26" t="s">
        <v>959</v>
      </c>
      <c r="C12" s="26" t="s">
        <v>877</v>
      </c>
      <c r="D12" s="30">
        <v>5000000</v>
      </c>
      <c r="E12" s="28">
        <v>4547.5</v>
      </c>
      <c r="F12" s="29">
        <v>4.8593736522733701</v>
      </c>
    </row>
    <row r="13" spans="1:6" x14ac:dyDescent="0.2">
      <c r="A13" s="26" t="s">
        <v>1291</v>
      </c>
      <c r="B13" s="26" t="s">
        <v>1292</v>
      </c>
      <c r="C13" s="26" t="s">
        <v>930</v>
      </c>
      <c r="D13" s="30">
        <v>75000</v>
      </c>
      <c r="E13" s="28">
        <v>3966.1125000000002</v>
      </c>
      <c r="F13" s="29">
        <v>4.2381138173616399</v>
      </c>
    </row>
    <row r="14" spans="1:6" x14ac:dyDescent="0.2">
      <c r="A14" s="26" t="s">
        <v>899</v>
      </c>
      <c r="B14" s="26" t="s">
        <v>900</v>
      </c>
      <c r="C14" s="26" t="s">
        <v>877</v>
      </c>
      <c r="D14" s="30">
        <v>1000000</v>
      </c>
      <c r="E14" s="28">
        <v>3811</v>
      </c>
      <c r="F14" s="29">
        <v>4.0723634939667601</v>
      </c>
    </row>
    <row r="15" spans="1:6" x14ac:dyDescent="0.2">
      <c r="A15" s="26" t="s">
        <v>967</v>
      </c>
      <c r="B15" s="26" t="s">
        <v>968</v>
      </c>
      <c r="C15" s="26" t="s">
        <v>863</v>
      </c>
      <c r="D15" s="30">
        <v>3000000</v>
      </c>
      <c r="E15" s="28">
        <v>3697.5</v>
      </c>
      <c r="F15" s="29">
        <v>3.95107951166153</v>
      </c>
    </row>
    <row r="16" spans="1:6" x14ac:dyDescent="0.2">
      <c r="A16" s="26" t="s">
        <v>1295</v>
      </c>
      <c r="B16" s="26" t="s">
        <v>1296</v>
      </c>
      <c r="C16" s="26" t="s">
        <v>892</v>
      </c>
      <c r="D16" s="30">
        <v>775000</v>
      </c>
      <c r="E16" s="28">
        <v>3694.8125</v>
      </c>
      <c r="F16" s="29">
        <v>3.94820769930518</v>
      </c>
    </row>
    <row r="17" spans="1:6" x14ac:dyDescent="0.2">
      <c r="A17" s="26" t="s">
        <v>1293</v>
      </c>
      <c r="B17" s="26" t="s">
        <v>1294</v>
      </c>
      <c r="C17" s="26" t="s">
        <v>1022</v>
      </c>
      <c r="D17" s="30">
        <v>200000</v>
      </c>
      <c r="E17" s="28">
        <v>3446.6</v>
      </c>
      <c r="F17" s="29">
        <v>3.6829724529797501</v>
      </c>
    </row>
    <row r="18" spans="1:6" x14ac:dyDescent="0.2">
      <c r="A18" s="26" t="s">
        <v>1030</v>
      </c>
      <c r="B18" s="26" t="s">
        <v>1031</v>
      </c>
      <c r="C18" s="26" t="s">
        <v>930</v>
      </c>
      <c r="D18" s="30">
        <v>200000</v>
      </c>
      <c r="E18" s="28">
        <v>3235.3</v>
      </c>
      <c r="F18" s="29">
        <v>3.45718121543706</v>
      </c>
    </row>
    <row r="19" spans="1:6" x14ac:dyDescent="0.2">
      <c r="A19" s="26" t="s">
        <v>948</v>
      </c>
      <c r="B19" s="26" t="s">
        <v>949</v>
      </c>
      <c r="C19" s="26" t="s">
        <v>950</v>
      </c>
      <c r="D19" s="30">
        <v>250000</v>
      </c>
      <c r="E19" s="28">
        <v>3219</v>
      </c>
      <c r="F19" s="29">
        <v>3.4397633395641498</v>
      </c>
    </row>
    <row r="20" spans="1:6" x14ac:dyDescent="0.2">
      <c r="A20" s="26" t="s">
        <v>1156</v>
      </c>
      <c r="B20" s="26" t="s">
        <v>1157</v>
      </c>
      <c r="C20" s="26" t="s">
        <v>1138</v>
      </c>
      <c r="D20" s="30">
        <v>700000</v>
      </c>
      <c r="E20" s="28">
        <v>2902.55</v>
      </c>
      <c r="F20" s="29">
        <v>3.1016107739210699</v>
      </c>
    </row>
    <row r="21" spans="1:6" x14ac:dyDescent="0.2">
      <c r="A21" s="26" t="s">
        <v>1201</v>
      </c>
      <c r="B21" s="26" t="s">
        <v>1202</v>
      </c>
      <c r="C21" s="26" t="s">
        <v>930</v>
      </c>
      <c r="D21" s="30">
        <v>825000</v>
      </c>
      <c r="E21" s="28">
        <v>2804.1750000000002</v>
      </c>
      <c r="F21" s="29">
        <v>2.99648908441202</v>
      </c>
    </row>
    <row r="22" spans="1:6" x14ac:dyDescent="0.2">
      <c r="A22" s="26" t="s">
        <v>1319</v>
      </c>
      <c r="B22" s="26" t="s">
        <v>1320</v>
      </c>
      <c r="C22" s="26" t="s">
        <v>1022</v>
      </c>
      <c r="D22" s="30">
        <v>2300000</v>
      </c>
      <c r="E22" s="28">
        <v>2225.25</v>
      </c>
      <c r="F22" s="29">
        <v>2.3778606310547201</v>
      </c>
    </row>
    <row r="23" spans="1:6" x14ac:dyDescent="0.2">
      <c r="A23" s="26" t="s">
        <v>1335</v>
      </c>
      <c r="B23" s="26" t="s">
        <v>1336</v>
      </c>
      <c r="C23" s="26" t="s">
        <v>1138</v>
      </c>
      <c r="D23" s="30">
        <v>2233265</v>
      </c>
      <c r="E23" s="28">
        <v>1880.40913</v>
      </c>
      <c r="F23" s="29">
        <v>2.0093701114494298</v>
      </c>
    </row>
    <row r="24" spans="1:6" x14ac:dyDescent="0.2">
      <c r="A24" s="26" t="s">
        <v>1012</v>
      </c>
      <c r="B24" s="26" t="s">
        <v>1013</v>
      </c>
      <c r="C24" s="26" t="s">
        <v>1014</v>
      </c>
      <c r="D24" s="30">
        <v>2000000</v>
      </c>
      <c r="E24" s="28">
        <v>1861</v>
      </c>
      <c r="F24" s="29">
        <v>1.9886298772689901</v>
      </c>
    </row>
    <row r="25" spans="1:6" x14ac:dyDescent="0.2">
      <c r="A25" s="26" t="s">
        <v>1299</v>
      </c>
      <c r="B25" s="26" t="s">
        <v>1300</v>
      </c>
      <c r="C25" s="26" t="s">
        <v>1138</v>
      </c>
      <c r="D25" s="30">
        <v>550000</v>
      </c>
      <c r="E25" s="28">
        <v>1815.55</v>
      </c>
      <c r="F25" s="29">
        <v>1.94006285527981</v>
      </c>
    </row>
    <row r="26" spans="1:6" x14ac:dyDescent="0.2">
      <c r="A26" s="26" t="s">
        <v>1018</v>
      </c>
      <c r="B26" s="26" t="s">
        <v>1019</v>
      </c>
      <c r="C26" s="26" t="s">
        <v>892</v>
      </c>
      <c r="D26" s="30">
        <v>525000</v>
      </c>
      <c r="E26" s="28">
        <v>1809.4124999999999</v>
      </c>
      <c r="F26" s="29">
        <v>1.9335044372939201</v>
      </c>
    </row>
    <row r="27" spans="1:6" x14ac:dyDescent="0.2">
      <c r="A27" s="26" t="s">
        <v>1337</v>
      </c>
      <c r="B27" s="26" t="s">
        <v>1338</v>
      </c>
      <c r="C27" s="26" t="s">
        <v>1022</v>
      </c>
      <c r="D27" s="30">
        <v>1400000</v>
      </c>
      <c r="E27" s="28">
        <v>1707.3</v>
      </c>
      <c r="F27" s="29">
        <v>1.82438892501953</v>
      </c>
    </row>
    <row r="28" spans="1:6" x14ac:dyDescent="0.2">
      <c r="A28" s="26" t="s">
        <v>1329</v>
      </c>
      <c r="B28" s="26" t="s">
        <v>1330</v>
      </c>
      <c r="C28" s="26" t="s">
        <v>892</v>
      </c>
      <c r="D28" s="30">
        <v>1400000</v>
      </c>
      <c r="E28" s="28">
        <v>1410.5</v>
      </c>
      <c r="F28" s="29">
        <v>1.5072339827447101</v>
      </c>
    </row>
    <row r="29" spans="1:6" x14ac:dyDescent="0.2">
      <c r="A29" s="26" t="s">
        <v>1301</v>
      </c>
      <c r="B29" s="26" t="s">
        <v>1302</v>
      </c>
      <c r="C29" s="26" t="s">
        <v>1138</v>
      </c>
      <c r="D29" s="30">
        <v>2100000</v>
      </c>
      <c r="E29" s="28">
        <v>1398.6</v>
      </c>
      <c r="F29" s="29">
        <v>1.4945178647761499</v>
      </c>
    </row>
    <row r="30" spans="1:6" x14ac:dyDescent="0.2">
      <c r="A30" s="26" t="s">
        <v>1209</v>
      </c>
      <c r="B30" s="26" t="s">
        <v>1210</v>
      </c>
      <c r="C30" s="26" t="s">
        <v>892</v>
      </c>
      <c r="D30" s="30">
        <v>250000</v>
      </c>
      <c r="E30" s="28">
        <v>1041.875</v>
      </c>
      <c r="F30" s="29">
        <v>1.1133281855882</v>
      </c>
    </row>
    <row r="31" spans="1:6" x14ac:dyDescent="0.2">
      <c r="A31" s="26" t="s">
        <v>1020</v>
      </c>
      <c r="B31" s="26" t="s">
        <v>1021</v>
      </c>
      <c r="C31" s="26" t="s">
        <v>1022</v>
      </c>
      <c r="D31" s="30">
        <v>200000</v>
      </c>
      <c r="E31" s="28">
        <v>798.6</v>
      </c>
      <c r="F31" s="29">
        <v>0.85336905963837595</v>
      </c>
    </row>
    <row r="32" spans="1:6" x14ac:dyDescent="0.2">
      <c r="A32" s="26" t="s">
        <v>1339</v>
      </c>
      <c r="B32" s="26" t="s">
        <v>1340</v>
      </c>
      <c r="C32" s="26" t="s">
        <v>937</v>
      </c>
      <c r="D32" s="30">
        <v>600000</v>
      </c>
      <c r="E32" s="28">
        <v>773.1</v>
      </c>
      <c r="F32" s="29">
        <v>0.826120235420021</v>
      </c>
    </row>
    <row r="33" spans="1:9" x14ac:dyDescent="0.2">
      <c r="A33" s="26" t="s">
        <v>1308</v>
      </c>
      <c r="B33" s="26" t="s">
        <v>1309</v>
      </c>
      <c r="C33" s="26" t="s">
        <v>1022</v>
      </c>
      <c r="D33" s="30">
        <v>800000</v>
      </c>
      <c r="E33" s="28">
        <v>759.6</v>
      </c>
      <c r="F33" s="29">
        <v>0.81169438730442101</v>
      </c>
    </row>
    <row r="34" spans="1:9" x14ac:dyDescent="0.2">
      <c r="A34" s="26" t="s">
        <v>1341</v>
      </c>
      <c r="B34" s="26" t="s">
        <v>1342</v>
      </c>
      <c r="C34" s="26" t="s">
        <v>912</v>
      </c>
      <c r="D34" s="30">
        <v>291808</v>
      </c>
      <c r="E34" s="28">
        <v>167.64369600000001</v>
      </c>
      <c r="F34" s="29">
        <v>0.17914092563213299</v>
      </c>
    </row>
    <row r="35" spans="1:9" ht="10.5" x14ac:dyDescent="0.25">
      <c r="A35" s="25" t="s">
        <v>17</v>
      </c>
      <c r="B35" s="25"/>
      <c r="C35" s="25"/>
      <c r="D35" s="31"/>
      <c r="E35" s="32">
        <f>SUM(E7:E34)</f>
        <v>89425.153045000043</v>
      </c>
      <c r="F35" s="33">
        <f>SUM(F7:F34)</f>
        <v>95.558050040107076</v>
      </c>
      <c r="G35" s="18"/>
      <c r="H35" s="18"/>
      <c r="I35" s="18"/>
    </row>
    <row r="36" spans="1:9" x14ac:dyDescent="0.2">
      <c r="A36" s="26"/>
      <c r="B36" s="26"/>
      <c r="C36" s="26"/>
      <c r="D36" s="27"/>
      <c r="E36" s="28"/>
      <c r="F36" s="29"/>
    </row>
    <row r="37" spans="1:9" ht="10.5" x14ac:dyDescent="0.25">
      <c r="A37" s="25" t="s">
        <v>62</v>
      </c>
      <c r="B37" s="25"/>
      <c r="C37" s="25"/>
      <c r="D37" s="31"/>
      <c r="E37" s="32">
        <f>E35</f>
        <v>89425.153045000043</v>
      </c>
      <c r="F37" s="33">
        <f>F35</f>
        <v>95.558050040107076</v>
      </c>
      <c r="G37" s="18"/>
      <c r="H37" s="18"/>
      <c r="I37" s="18"/>
    </row>
    <row r="38" spans="1:9" ht="10.5" x14ac:dyDescent="0.25">
      <c r="A38" s="25"/>
      <c r="B38" s="25"/>
      <c r="C38" s="25"/>
      <c r="D38" s="31"/>
      <c r="E38" s="32"/>
      <c r="F38" s="33"/>
      <c r="G38" s="18"/>
      <c r="H38" s="18"/>
      <c r="I38" s="18"/>
    </row>
    <row r="39" spans="1:9" ht="10.5" x14ac:dyDescent="0.25">
      <c r="A39" s="25" t="s">
        <v>63</v>
      </c>
      <c r="B39" s="25"/>
      <c r="C39" s="25"/>
      <c r="D39" s="31"/>
      <c r="E39" s="32">
        <f>E41-(E35)</f>
        <v>4156.866478699958</v>
      </c>
      <c r="F39" s="33">
        <f>F41-(F35)</f>
        <v>4.4419499598929235</v>
      </c>
      <c r="G39" s="18"/>
      <c r="H39" s="18"/>
      <c r="I39" s="18"/>
    </row>
    <row r="40" spans="1:9" ht="10.5" x14ac:dyDescent="0.25">
      <c r="A40" s="25"/>
      <c r="B40" s="25"/>
      <c r="C40" s="25"/>
      <c r="D40" s="31"/>
      <c r="E40" s="32"/>
      <c r="F40" s="33"/>
      <c r="G40" s="18"/>
      <c r="H40" s="18"/>
      <c r="I40" s="18"/>
    </row>
    <row r="41" spans="1:9" ht="10.5" x14ac:dyDescent="0.25">
      <c r="A41" s="34" t="s">
        <v>64</v>
      </c>
      <c r="B41" s="34"/>
      <c r="C41" s="34"/>
      <c r="D41" s="35"/>
      <c r="E41" s="36">
        <v>93582.019523700001</v>
      </c>
      <c r="F41" s="37">
        <v>100</v>
      </c>
      <c r="G41" s="18"/>
      <c r="H41" s="18"/>
      <c r="I41" s="18"/>
    </row>
    <row r="44" spans="1:9" ht="10.5" x14ac:dyDescent="0.25">
      <c r="A44" s="18" t="s">
        <v>67</v>
      </c>
    </row>
    <row r="45" spans="1:9" ht="10.5" x14ac:dyDescent="0.25">
      <c r="A45" s="18" t="s">
        <v>68</v>
      </c>
    </row>
    <row r="46" spans="1:9" ht="10.5" x14ac:dyDescent="0.25">
      <c r="A46" s="18" t="s">
        <v>69</v>
      </c>
      <c r="B46" s="18"/>
      <c r="C46" s="38" t="s">
        <v>70</v>
      </c>
      <c r="D46" s="43" t="s">
        <v>71</v>
      </c>
    </row>
    <row r="47" spans="1:9" x14ac:dyDescent="0.2">
      <c r="A47" s="9" t="s">
        <v>98</v>
      </c>
      <c r="C47" s="39">
        <v>33.198700000000002</v>
      </c>
      <c r="D47" s="39">
        <v>44.0959</v>
      </c>
    </row>
    <row r="48" spans="1:9" x14ac:dyDescent="0.2">
      <c r="A48" s="9" t="s">
        <v>331</v>
      </c>
      <c r="C48" s="39">
        <v>15.8668</v>
      </c>
      <c r="D48" s="39">
        <v>21.075299999999999</v>
      </c>
    </row>
    <row r="49" spans="1:4" x14ac:dyDescent="0.2">
      <c r="A49" s="9" t="s">
        <v>101</v>
      </c>
      <c r="C49" s="39">
        <v>36.236800000000002</v>
      </c>
      <c r="D49" s="39">
        <v>48.383000000000003</v>
      </c>
    </row>
    <row r="50" spans="1:4" x14ac:dyDescent="0.2">
      <c r="A50" s="9" t="s">
        <v>332</v>
      </c>
      <c r="C50" s="39">
        <v>17.885300000000001</v>
      </c>
      <c r="D50" s="39">
        <v>23.879799999999999</v>
      </c>
    </row>
    <row r="52" spans="1:4" ht="10.5" x14ac:dyDescent="0.25">
      <c r="A52" s="18" t="s">
        <v>90</v>
      </c>
      <c r="D52" s="43" t="s">
        <v>96</v>
      </c>
    </row>
    <row r="54" spans="1:4" ht="10.5" x14ac:dyDescent="0.25">
      <c r="A54" s="18" t="s">
        <v>998</v>
      </c>
      <c r="D54" s="59">
        <v>5.3499999999999999E-2</v>
      </c>
    </row>
    <row r="56" spans="1:4" ht="10.5" x14ac:dyDescent="0.25">
      <c r="A56" s="18" t="s">
        <v>1516</v>
      </c>
    </row>
    <row r="57" spans="1:4" x14ac:dyDescent="0.2">
      <c r="A57" s="47" t="s">
        <v>1509</v>
      </c>
    </row>
  </sheetData>
  <mergeCells count="1">
    <mergeCell ref="A1:F1"/>
  </mergeCells>
  <conditionalFormatting sqref="F2:F3 F5:F65536">
    <cfRule type="cellIs" dxfId="12" priority="1" stopIfTrue="1" operator="between">
      <formula>0.009</formula>
      <formula>-0.009</formula>
    </cfRule>
  </conditionalFormatting>
  <hyperlinks>
    <hyperlink ref="A57" r:id="rId1" xr:uid="{C995BE54-0117-4E74-A471-DD4BDACA9511}"/>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92"/>
  <sheetViews>
    <sheetView workbookViewId="0">
      <selection sqref="A1:F1"/>
    </sheetView>
  </sheetViews>
  <sheetFormatPr defaultColWidth="9.1796875" defaultRowHeight="10" x14ac:dyDescent="0.2"/>
  <cols>
    <col min="1" max="1" width="38.7265625" style="9" bestFit="1" customWidth="1"/>
    <col min="2" max="2" width="39.54296875" style="9" bestFit="1" customWidth="1"/>
    <col min="3" max="3" width="35.7265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66" t="s">
        <v>1343</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837</v>
      </c>
      <c r="B7" s="26" t="s">
        <v>838</v>
      </c>
      <c r="C7" s="26" t="s">
        <v>839</v>
      </c>
      <c r="D7" s="30">
        <v>30253</v>
      </c>
      <c r="E7" s="28">
        <v>434.52383900000001</v>
      </c>
      <c r="F7" s="29">
        <v>1.86450065652054</v>
      </c>
    </row>
    <row r="8" spans="1:6" x14ac:dyDescent="0.2">
      <c r="A8" s="26" t="s">
        <v>850</v>
      </c>
      <c r="B8" s="26" t="s">
        <v>851</v>
      </c>
      <c r="C8" s="26" t="s">
        <v>839</v>
      </c>
      <c r="D8" s="30">
        <v>19241</v>
      </c>
      <c r="E8" s="28">
        <v>383.97339599999998</v>
      </c>
      <c r="F8" s="29">
        <v>1.6475934912478301</v>
      </c>
    </row>
    <row r="9" spans="1:6" x14ac:dyDescent="0.2">
      <c r="A9" s="26" t="s">
        <v>948</v>
      </c>
      <c r="B9" s="26" t="s">
        <v>949</v>
      </c>
      <c r="C9" s="26" t="s">
        <v>950</v>
      </c>
      <c r="D9" s="30">
        <v>27717</v>
      </c>
      <c r="E9" s="28">
        <v>356.88409200000001</v>
      </c>
      <c r="F9" s="29">
        <v>1.5313558523442401</v>
      </c>
    </row>
    <row r="10" spans="1:6" x14ac:dyDescent="0.2">
      <c r="A10" s="26" t="s">
        <v>845</v>
      </c>
      <c r="B10" s="26" t="s">
        <v>846</v>
      </c>
      <c r="C10" s="26" t="s">
        <v>839</v>
      </c>
      <c r="D10" s="30">
        <v>64814</v>
      </c>
      <c r="E10" s="28">
        <v>346.787307</v>
      </c>
      <c r="F10" s="29">
        <v>1.48803150377784</v>
      </c>
    </row>
    <row r="11" spans="1:6" x14ac:dyDescent="0.2">
      <c r="A11" s="26" t="s">
        <v>953</v>
      </c>
      <c r="B11" s="26" t="s">
        <v>954</v>
      </c>
      <c r="C11" s="26" t="s">
        <v>955</v>
      </c>
      <c r="D11" s="30">
        <v>235400</v>
      </c>
      <c r="E11" s="28">
        <v>282.71539999999999</v>
      </c>
      <c r="F11" s="29">
        <v>1.2131050165661199</v>
      </c>
    </row>
    <row r="12" spans="1:6" x14ac:dyDescent="0.2">
      <c r="A12" s="26" t="s">
        <v>1344</v>
      </c>
      <c r="B12" s="26" t="s">
        <v>1345</v>
      </c>
      <c r="C12" s="26" t="s">
        <v>1138</v>
      </c>
      <c r="D12" s="30">
        <v>19090</v>
      </c>
      <c r="E12" s="28">
        <v>273.39743499999997</v>
      </c>
      <c r="F12" s="29">
        <v>1.1731225108883701</v>
      </c>
    </row>
    <row r="13" spans="1:6" x14ac:dyDescent="0.2">
      <c r="A13" s="26" t="s">
        <v>1039</v>
      </c>
      <c r="B13" s="26" t="s">
        <v>1040</v>
      </c>
      <c r="C13" s="26" t="s">
        <v>866</v>
      </c>
      <c r="D13" s="30">
        <v>40295</v>
      </c>
      <c r="E13" s="28">
        <v>237.70020500000001</v>
      </c>
      <c r="F13" s="29">
        <v>1.01994907643621</v>
      </c>
    </row>
    <row r="14" spans="1:6" x14ac:dyDescent="0.2">
      <c r="A14" s="26" t="s">
        <v>1234</v>
      </c>
      <c r="B14" s="26" t="s">
        <v>1235</v>
      </c>
      <c r="C14" s="26" t="s">
        <v>909</v>
      </c>
      <c r="D14" s="30">
        <v>31095</v>
      </c>
      <c r="E14" s="28">
        <v>213.80922000000001</v>
      </c>
      <c r="F14" s="29">
        <v>0.91743512157487095</v>
      </c>
    </row>
    <row r="15" spans="1:6" x14ac:dyDescent="0.2">
      <c r="A15" s="26" t="s">
        <v>878</v>
      </c>
      <c r="B15" s="26" t="s">
        <v>879</v>
      </c>
      <c r="C15" s="26" t="s">
        <v>880</v>
      </c>
      <c r="D15" s="30">
        <v>83344</v>
      </c>
      <c r="E15" s="28">
        <v>200.483992</v>
      </c>
      <c r="F15" s="29">
        <v>0.86025782973407605</v>
      </c>
    </row>
    <row r="16" spans="1:6" x14ac:dyDescent="0.2">
      <c r="A16" s="26" t="s">
        <v>1346</v>
      </c>
      <c r="B16" s="26" t="s">
        <v>1347</v>
      </c>
      <c r="C16" s="26" t="s">
        <v>937</v>
      </c>
      <c r="D16" s="30">
        <v>32972</v>
      </c>
      <c r="E16" s="28">
        <v>198.21117799999999</v>
      </c>
      <c r="F16" s="29">
        <v>0.85050540002871899</v>
      </c>
    </row>
    <row r="17" spans="1:9" x14ac:dyDescent="0.2">
      <c r="A17" s="26" t="s">
        <v>1193</v>
      </c>
      <c r="B17" s="26" t="s">
        <v>1194</v>
      </c>
      <c r="C17" s="26" t="s">
        <v>1186</v>
      </c>
      <c r="D17" s="30">
        <v>36747</v>
      </c>
      <c r="E17" s="28">
        <v>164.6816805</v>
      </c>
      <c r="F17" s="29">
        <v>0.70663350051354901</v>
      </c>
    </row>
    <row r="18" spans="1:9" x14ac:dyDescent="0.2">
      <c r="A18" s="26" t="s">
        <v>1232</v>
      </c>
      <c r="B18" s="26" t="s">
        <v>1233</v>
      </c>
      <c r="C18" s="26" t="s">
        <v>1138</v>
      </c>
      <c r="D18" s="30">
        <v>27579</v>
      </c>
      <c r="E18" s="28">
        <v>160.89588599999999</v>
      </c>
      <c r="F18" s="29">
        <v>0.69038901471745096</v>
      </c>
    </row>
    <row r="19" spans="1:9" x14ac:dyDescent="0.2">
      <c r="A19" s="26" t="s">
        <v>1303</v>
      </c>
      <c r="B19" s="26" t="s">
        <v>1304</v>
      </c>
      <c r="C19" s="26" t="s">
        <v>866</v>
      </c>
      <c r="D19" s="30">
        <v>19055</v>
      </c>
      <c r="E19" s="28">
        <v>110.1855375</v>
      </c>
      <c r="F19" s="29">
        <v>0.47279571008259103</v>
      </c>
    </row>
    <row r="20" spans="1:9" ht="10.5" x14ac:dyDescent="0.25">
      <c r="A20" s="25" t="s">
        <v>17</v>
      </c>
      <c r="B20" s="25"/>
      <c r="C20" s="25"/>
      <c r="D20" s="31"/>
      <c r="E20" s="32">
        <f>SUM(E7:E19)</f>
        <v>3364.2491679999998</v>
      </c>
      <c r="F20" s="33">
        <f>SUM(F7:F19)</f>
        <v>14.435674684432408</v>
      </c>
      <c r="G20" s="18"/>
      <c r="H20" s="18"/>
      <c r="I20" s="18"/>
    </row>
    <row r="21" spans="1:9" x14ac:dyDescent="0.2">
      <c r="A21" s="26"/>
      <c r="B21" s="26"/>
      <c r="C21" s="26"/>
      <c r="D21" s="27"/>
      <c r="E21" s="28"/>
      <c r="F21" s="29"/>
    </row>
    <row r="22" spans="1:9" ht="10.5" x14ac:dyDescent="0.25">
      <c r="A22" s="25" t="s">
        <v>1066</v>
      </c>
      <c r="B22" s="26"/>
      <c r="C22" s="26"/>
      <c r="D22" s="27"/>
      <c r="E22" s="28"/>
      <c r="F22" s="29"/>
    </row>
    <row r="23" spans="1:9" x14ac:dyDescent="0.2">
      <c r="A23" s="26" t="s">
        <v>1105</v>
      </c>
      <c r="B23" s="26" t="s">
        <v>1106</v>
      </c>
      <c r="C23" s="26" t="s">
        <v>1082</v>
      </c>
      <c r="D23" s="30">
        <v>43675</v>
      </c>
      <c r="E23" s="28">
        <v>2376.8246180000001</v>
      </c>
      <c r="F23" s="29">
        <v>10.1987294204477</v>
      </c>
    </row>
    <row r="24" spans="1:9" x14ac:dyDescent="0.2">
      <c r="A24" s="26" t="s">
        <v>1103</v>
      </c>
      <c r="B24" s="26" t="s">
        <v>1104</v>
      </c>
      <c r="C24" s="26" t="s">
        <v>1082</v>
      </c>
      <c r="D24" s="30">
        <v>150714</v>
      </c>
      <c r="E24" s="28">
        <v>2078.0642549999998</v>
      </c>
      <c r="F24" s="29">
        <v>8.9167769866347193</v>
      </c>
    </row>
    <row r="25" spans="1:9" x14ac:dyDescent="0.2">
      <c r="A25" s="26" t="s">
        <v>1348</v>
      </c>
      <c r="B25" s="26" t="s">
        <v>1349</v>
      </c>
      <c r="C25" s="26" t="s">
        <v>842</v>
      </c>
      <c r="D25" s="30">
        <v>38500</v>
      </c>
      <c r="E25" s="28">
        <v>2046.8050679999999</v>
      </c>
      <c r="F25" s="29">
        <v>8.7826467745434105</v>
      </c>
    </row>
    <row r="26" spans="1:9" x14ac:dyDescent="0.2">
      <c r="A26" s="26" t="s">
        <v>1112</v>
      </c>
      <c r="B26" s="26" t="s">
        <v>1113</v>
      </c>
      <c r="C26" s="26" t="s">
        <v>909</v>
      </c>
      <c r="D26" s="30">
        <v>80104</v>
      </c>
      <c r="E26" s="28">
        <v>1756.307532</v>
      </c>
      <c r="F26" s="29">
        <v>7.5361493491407101</v>
      </c>
    </row>
    <row r="27" spans="1:9" x14ac:dyDescent="0.2">
      <c r="A27" s="26" t="s">
        <v>1350</v>
      </c>
      <c r="B27" s="26" t="s">
        <v>1351</v>
      </c>
      <c r="C27" s="26" t="s">
        <v>937</v>
      </c>
      <c r="D27" s="30">
        <v>110724</v>
      </c>
      <c r="E27" s="28">
        <v>991.52124040000001</v>
      </c>
      <c r="F27" s="29">
        <v>4.2545237746550004</v>
      </c>
    </row>
    <row r="28" spans="1:9" x14ac:dyDescent="0.2">
      <c r="A28" s="26" t="s">
        <v>1352</v>
      </c>
      <c r="B28" s="26" t="s">
        <v>1353</v>
      </c>
      <c r="C28" s="26" t="s">
        <v>937</v>
      </c>
      <c r="D28" s="30">
        <v>78810</v>
      </c>
      <c r="E28" s="28">
        <v>705.73488090000001</v>
      </c>
      <c r="F28" s="29">
        <v>3.02824156160393</v>
      </c>
    </row>
    <row r="29" spans="1:9" x14ac:dyDescent="0.2">
      <c r="A29" s="26" t="s">
        <v>1354</v>
      </c>
      <c r="B29" s="26" t="s">
        <v>1355</v>
      </c>
      <c r="C29" s="26" t="s">
        <v>909</v>
      </c>
      <c r="D29" s="30">
        <v>24800</v>
      </c>
      <c r="E29" s="28">
        <v>688.68571299999996</v>
      </c>
      <c r="F29" s="29">
        <v>2.9550851961998301</v>
      </c>
    </row>
    <row r="30" spans="1:9" x14ac:dyDescent="0.2">
      <c r="A30" s="26" t="s">
        <v>1356</v>
      </c>
      <c r="B30" s="26" t="s">
        <v>1357</v>
      </c>
      <c r="C30" s="26" t="s">
        <v>912</v>
      </c>
      <c r="D30" s="30">
        <v>2886</v>
      </c>
      <c r="E30" s="28">
        <v>567.15452530000005</v>
      </c>
      <c r="F30" s="29">
        <v>2.43360637520844</v>
      </c>
    </row>
    <row r="31" spans="1:9" x14ac:dyDescent="0.2">
      <c r="A31" s="26" t="s">
        <v>1358</v>
      </c>
      <c r="B31" s="26" t="s">
        <v>1359</v>
      </c>
      <c r="C31" s="26" t="s">
        <v>866</v>
      </c>
      <c r="D31" s="30">
        <v>119000</v>
      </c>
      <c r="E31" s="28">
        <v>524.96393039999998</v>
      </c>
      <c r="F31" s="29">
        <v>2.25257052670108</v>
      </c>
    </row>
    <row r="32" spans="1:9" x14ac:dyDescent="0.2">
      <c r="A32" s="26" t="s">
        <v>1360</v>
      </c>
      <c r="B32" s="26" t="s">
        <v>1361</v>
      </c>
      <c r="C32" s="26" t="s">
        <v>842</v>
      </c>
      <c r="D32" s="30">
        <v>14800</v>
      </c>
      <c r="E32" s="28">
        <v>477.11653919999998</v>
      </c>
      <c r="F32" s="29">
        <v>2.0472619008026598</v>
      </c>
    </row>
    <row r="33" spans="1:6" x14ac:dyDescent="0.2">
      <c r="A33" s="26" t="s">
        <v>1362</v>
      </c>
      <c r="B33" s="26" t="s">
        <v>1363</v>
      </c>
      <c r="C33" s="26" t="s">
        <v>1364</v>
      </c>
      <c r="D33" s="30">
        <v>3560</v>
      </c>
      <c r="E33" s="28">
        <v>467.1172262</v>
      </c>
      <c r="F33" s="29">
        <v>2.0043557953605302</v>
      </c>
    </row>
    <row r="34" spans="1:6" x14ac:dyDescent="0.2">
      <c r="A34" s="26" t="s">
        <v>1365</v>
      </c>
      <c r="B34" s="26" t="s">
        <v>1366</v>
      </c>
      <c r="C34" s="26" t="s">
        <v>930</v>
      </c>
      <c r="D34" s="30">
        <v>662300</v>
      </c>
      <c r="E34" s="28">
        <v>427.98172820000002</v>
      </c>
      <c r="F34" s="29">
        <v>1.83642907842323</v>
      </c>
    </row>
    <row r="35" spans="1:6" x14ac:dyDescent="0.2">
      <c r="A35" s="26" t="s">
        <v>1367</v>
      </c>
      <c r="B35" s="26" t="s">
        <v>1368</v>
      </c>
      <c r="C35" s="26" t="s">
        <v>909</v>
      </c>
      <c r="D35" s="30">
        <v>36521</v>
      </c>
      <c r="E35" s="28">
        <v>380.7452007</v>
      </c>
      <c r="F35" s="29">
        <v>1.6337416108306899</v>
      </c>
    </row>
    <row r="36" spans="1:6" x14ac:dyDescent="0.2">
      <c r="A36" s="26" t="s">
        <v>1369</v>
      </c>
      <c r="B36" s="26" t="s">
        <v>1370</v>
      </c>
      <c r="C36" s="26" t="s">
        <v>839</v>
      </c>
      <c r="D36" s="30">
        <v>211929</v>
      </c>
      <c r="E36" s="28">
        <v>373.09818610000002</v>
      </c>
      <c r="F36" s="29">
        <v>1.6009289951294801</v>
      </c>
    </row>
    <row r="37" spans="1:6" x14ac:dyDescent="0.2">
      <c r="A37" s="26" t="s">
        <v>1371</v>
      </c>
      <c r="B37" s="26" t="s">
        <v>1372</v>
      </c>
      <c r="C37" s="26" t="s">
        <v>866</v>
      </c>
      <c r="D37" s="30">
        <v>1600</v>
      </c>
      <c r="E37" s="28">
        <v>357.07706150000001</v>
      </c>
      <c r="F37" s="29">
        <v>1.5321838662002101</v>
      </c>
    </row>
    <row r="38" spans="1:6" x14ac:dyDescent="0.2">
      <c r="A38" s="26" t="s">
        <v>1373</v>
      </c>
      <c r="B38" s="26" t="s">
        <v>1374</v>
      </c>
      <c r="C38" s="26" t="s">
        <v>839</v>
      </c>
      <c r="D38" s="30">
        <v>77000</v>
      </c>
      <c r="E38" s="28">
        <v>355.65052600000001</v>
      </c>
      <c r="F38" s="29">
        <v>1.5260627374206599</v>
      </c>
    </row>
    <row r="39" spans="1:6" x14ac:dyDescent="0.2">
      <c r="A39" s="26" t="s">
        <v>1375</v>
      </c>
      <c r="B39" s="26" t="s">
        <v>1376</v>
      </c>
      <c r="C39" s="26" t="s">
        <v>857</v>
      </c>
      <c r="D39" s="30">
        <v>27400</v>
      </c>
      <c r="E39" s="28">
        <v>301.2788559</v>
      </c>
      <c r="F39" s="29">
        <v>1.29275904841968</v>
      </c>
    </row>
    <row r="40" spans="1:6" x14ac:dyDescent="0.2">
      <c r="A40" s="26" t="s">
        <v>1377</v>
      </c>
      <c r="B40" s="26" t="s">
        <v>1378</v>
      </c>
      <c r="C40" s="26" t="s">
        <v>866</v>
      </c>
      <c r="D40" s="30">
        <v>119600</v>
      </c>
      <c r="E40" s="28">
        <v>288.60762110000002</v>
      </c>
      <c r="F40" s="29">
        <v>1.2383879794861601</v>
      </c>
    </row>
    <row r="41" spans="1:6" x14ac:dyDescent="0.2">
      <c r="A41" s="26" t="s">
        <v>1379</v>
      </c>
      <c r="B41" s="26" t="s">
        <v>1380</v>
      </c>
      <c r="C41" s="26" t="s">
        <v>1151</v>
      </c>
      <c r="D41" s="30">
        <v>53000</v>
      </c>
      <c r="E41" s="28">
        <v>262.03422069999999</v>
      </c>
      <c r="F41" s="29">
        <v>1.12436403408927</v>
      </c>
    </row>
    <row r="42" spans="1:6" x14ac:dyDescent="0.2">
      <c r="A42" s="26" t="s">
        <v>1114</v>
      </c>
      <c r="B42" s="26" t="s">
        <v>1115</v>
      </c>
      <c r="C42" s="26" t="s">
        <v>1082</v>
      </c>
      <c r="D42" s="30">
        <v>13000</v>
      </c>
      <c r="E42" s="28">
        <v>252.63496670000001</v>
      </c>
      <c r="F42" s="29">
        <v>1.0840327250082</v>
      </c>
    </row>
    <row r="43" spans="1:6" x14ac:dyDescent="0.2">
      <c r="A43" s="26" t="s">
        <v>1381</v>
      </c>
      <c r="B43" s="26" t="s">
        <v>1382</v>
      </c>
      <c r="C43" s="26" t="s">
        <v>1138</v>
      </c>
      <c r="D43" s="30">
        <v>82000</v>
      </c>
      <c r="E43" s="28">
        <v>247.34348800000001</v>
      </c>
      <c r="F43" s="29">
        <v>1.0613274908539101</v>
      </c>
    </row>
    <row r="44" spans="1:6" x14ac:dyDescent="0.2">
      <c r="A44" s="26" t="s">
        <v>1383</v>
      </c>
      <c r="B44" s="26" t="s">
        <v>1384</v>
      </c>
      <c r="C44" s="26" t="s">
        <v>937</v>
      </c>
      <c r="D44" s="30">
        <v>15480</v>
      </c>
      <c r="E44" s="28">
        <v>246.89549199999999</v>
      </c>
      <c r="F44" s="29">
        <v>1.05940518242996</v>
      </c>
    </row>
    <row r="45" spans="1:6" x14ac:dyDescent="0.2">
      <c r="A45" s="26" t="s">
        <v>1385</v>
      </c>
      <c r="B45" s="26" t="s">
        <v>1386</v>
      </c>
      <c r="C45" s="26" t="s">
        <v>1186</v>
      </c>
      <c r="D45" s="30">
        <v>112000</v>
      </c>
      <c r="E45" s="28">
        <v>241.76317760000001</v>
      </c>
      <c r="F45" s="29">
        <v>1.0373829072188001</v>
      </c>
    </row>
    <row r="46" spans="1:6" x14ac:dyDescent="0.2">
      <c r="A46" s="26" t="s">
        <v>1387</v>
      </c>
      <c r="B46" s="26" t="s">
        <v>1388</v>
      </c>
      <c r="C46" s="26" t="s">
        <v>930</v>
      </c>
      <c r="D46" s="30">
        <v>305600</v>
      </c>
      <c r="E46" s="28">
        <v>230.06258650000001</v>
      </c>
      <c r="F46" s="29">
        <v>0.98717677851056596</v>
      </c>
    </row>
    <row r="47" spans="1:6" x14ac:dyDescent="0.2">
      <c r="A47" s="26" t="s">
        <v>1389</v>
      </c>
      <c r="B47" s="26" t="s">
        <v>1390</v>
      </c>
      <c r="C47" s="26" t="s">
        <v>930</v>
      </c>
      <c r="D47" s="30">
        <v>258000</v>
      </c>
      <c r="E47" s="28">
        <v>210.6077014</v>
      </c>
      <c r="F47" s="29">
        <v>0.90369770835192798</v>
      </c>
    </row>
    <row r="48" spans="1:6" x14ac:dyDescent="0.2">
      <c r="A48" s="26" t="s">
        <v>1391</v>
      </c>
      <c r="B48" s="26" t="s">
        <v>1392</v>
      </c>
      <c r="C48" s="26" t="s">
        <v>909</v>
      </c>
      <c r="D48" s="30">
        <v>2265900</v>
      </c>
      <c r="E48" s="28">
        <v>202.10587559999999</v>
      </c>
      <c r="F48" s="29">
        <v>0.86721717871699699</v>
      </c>
    </row>
    <row r="49" spans="1:6" x14ac:dyDescent="0.2">
      <c r="A49" s="26" t="s">
        <v>1393</v>
      </c>
      <c r="B49" s="26" t="s">
        <v>1394</v>
      </c>
      <c r="C49" s="26" t="s">
        <v>866</v>
      </c>
      <c r="D49" s="30">
        <v>4500</v>
      </c>
      <c r="E49" s="28">
        <v>187.82401179999999</v>
      </c>
      <c r="F49" s="29">
        <v>0.80593505322367798</v>
      </c>
    </row>
    <row r="50" spans="1:6" x14ac:dyDescent="0.2">
      <c r="A50" s="26" t="s">
        <v>1395</v>
      </c>
      <c r="B50" s="26" t="s">
        <v>1396</v>
      </c>
      <c r="C50" s="26" t="s">
        <v>1022</v>
      </c>
      <c r="D50" s="30">
        <v>7538</v>
      </c>
      <c r="E50" s="28">
        <v>183.14631410000001</v>
      </c>
      <c r="F50" s="29">
        <v>0.78586349523338195</v>
      </c>
    </row>
    <row r="51" spans="1:6" x14ac:dyDescent="0.2">
      <c r="A51" s="26" t="s">
        <v>1397</v>
      </c>
      <c r="B51" s="26" t="s">
        <v>1398</v>
      </c>
      <c r="C51" s="26" t="s">
        <v>930</v>
      </c>
      <c r="D51" s="30">
        <v>17512</v>
      </c>
      <c r="E51" s="28">
        <v>161.20714889999999</v>
      </c>
      <c r="F51" s="29">
        <v>0.69172461435390797</v>
      </c>
    </row>
    <row r="52" spans="1:6" x14ac:dyDescent="0.2">
      <c r="A52" s="26" t="s">
        <v>1399</v>
      </c>
      <c r="B52" s="26" t="s">
        <v>1400</v>
      </c>
      <c r="C52" s="26" t="s">
        <v>1014</v>
      </c>
      <c r="D52" s="30">
        <v>238000</v>
      </c>
      <c r="E52" s="28">
        <v>161.0786761</v>
      </c>
      <c r="F52" s="29">
        <v>0.69117334973170397</v>
      </c>
    </row>
    <row r="53" spans="1:6" x14ac:dyDescent="0.2">
      <c r="A53" s="26" t="s">
        <v>1401</v>
      </c>
      <c r="B53" s="26" t="s">
        <v>1402</v>
      </c>
      <c r="C53" s="26" t="s">
        <v>1082</v>
      </c>
      <c r="D53" s="30">
        <v>1942</v>
      </c>
      <c r="E53" s="28">
        <v>154.6132753</v>
      </c>
      <c r="F53" s="29">
        <v>0.66343092698221595</v>
      </c>
    </row>
    <row r="54" spans="1:6" x14ac:dyDescent="0.2">
      <c r="A54" s="26" t="s">
        <v>1403</v>
      </c>
      <c r="B54" s="26" t="s">
        <v>1404</v>
      </c>
      <c r="C54" s="26" t="s">
        <v>1405</v>
      </c>
      <c r="D54" s="30">
        <v>33150</v>
      </c>
      <c r="E54" s="28">
        <v>143.6685617</v>
      </c>
      <c r="F54" s="29">
        <v>0.61646819706711597</v>
      </c>
    </row>
    <row r="55" spans="1:6" x14ac:dyDescent="0.2">
      <c r="A55" s="26" t="s">
        <v>1101</v>
      </c>
      <c r="B55" s="26" t="s">
        <v>1102</v>
      </c>
      <c r="C55" s="26" t="s">
        <v>842</v>
      </c>
      <c r="D55" s="30">
        <v>6700</v>
      </c>
      <c r="E55" s="28">
        <v>139.3349604</v>
      </c>
      <c r="F55" s="29">
        <v>0.59787312415340998</v>
      </c>
    </row>
    <row r="56" spans="1:6" x14ac:dyDescent="0.2">
      <c r="A56" s="26" t="s">
        <v>1406</v>
      </c>
      <c r="B56" s="26" t="s">
        <v>1407</v>
      </c>
      <c r="C56" s="26" t="s">
        <v>955</v>
      </c>
      <c r="D56" s="30">
        <v>217546</v>
      </c>
      <c r="E56" s="28">
        <v>136.42221119999999</v>
      </c>
      <c r="F56" s="29">
        <v>0.58537479308789797</v>
      </c>
    </row>
    <row r="57" spans="1:6" x14ac:dyDescent="0.2">
      <c r="A57" s="26" t="s">
        <v>1408</v>
      </c>
      <c r="B57" s="26" t="s">
        <v>1409</v>
      </c>
      <c r="C57" s="26" t="s">
        <v>866</v>
      </c>
      <c r="D57" s="30">
        <v>101700</v>
      </c>
      <c r="E57" s="28">
        <v>131.71775980000001</v>
      </c>
      <c r="F57" s="29">
        <v>0.56518843750368997</v>
      </c>
    </row>
    <row r="58" spans="1:6" x14ac:dyDescent="0.2">
      <c r="A58" s="26" t="s">
        <v>1410</v>
      </c>
      <c r="B58" s="26" t="s">
        <v>1411</v>
      </c>
      <c r="C58" s="26" t="s">
        <v>842</v>
      </c>
      <c r="D58" s="30">
        <v>900</v>
      </c>
      <c r="E58" s="28">
        <v>129.3920669</v>
      </c>
      <c r="F58" s="29">
        <v>0.55520910944450996</v>
      </c>
    </row>
    <row r="59" spans="1:6" x14ac:dyDescent="0.2">
      <c r="A59" s="26" t="s">
        <v>1412</v>
      </c>
      <c r="B59" s="26" t="s">
        <v>1413</v>
      </c>
      <c r="C59" s="26" t="s">
        <v>857</v>
      </c>
      <c r="D59" s="30">
        <v>1000</v>
      </c>
      <c r="E59" s="28">
        <v>83.119011299999997</v>
      </c>
      <c r="F59" s="29">
        <v>0.35665580856241202</v>
      </c>
    </row>
    <row r="60" spans="1:6" x14ac:dyDescent="0.2">
      <c r="A60" s="26" t="s">
        <v>1414</v>
      </c>
      <c r="B60" s="26" t="s">
        <v>1415</v>
      </c>
      <c r="C60" s="26" t="s">
        <v>1009</v>
      </c>
      <c r="D60" s="30">
        <v>6415</v>
      </c>
      <c r="E60" s="28">
        <v>66.065399799999994</v>
      </c>
      <c r="F60" s="29">
        <v>0.28348037609138399</v>
      </c>
    </row>
    <row r="61" spans="1:6" x14ac:dyDescent="0.2">
      <c r="A61" s="26" t="s">
        <v>1416</v>
      </c>
      <c r="B61" s="26" t="s">
        <v>1417</v>
      </c>
      <c r="C61" s="26" t="s">
        <v>1009</v>
      </c>
      <c r="D61" s="30">
        <v>31200</v>
      </c>
      <c r="E61" s="28">
        <v>65.860032000000004</v>
      </c>
      <c r="F61" s="29">
        <v>0.282599162303875</v>
      </c>
    </row>
    <row r="62" spans="1:6" x14ac:dyDescent="0.2">
      <c r="A62" s="26" t="s">
        <v>1418</v>
      </c>
      <c r="B62" s="26" t="s">
        <v>1419</v>
      </c>
      <c r="C62" s="26" t="s">
        <v>866</v>
      </c>
      <c r="D62" s="30">
        <v>16000</v>
      </c>
      <c r="E62" s="28">
        <v>43.285110400000001</v>
      </c>
      <c r="F62" s="29">
        <v>0.18573231089943501</v>
      </c>
    </row>
    <row r="63" spans="1:6" x14ac:dyDescent="0.2">
      <c r="A63" s="60" t="s">
        <v>1420</v>
      </c>
      <c r="B63" s="60" t="s">
        <v>1421</v>
      </c>
      <c r="C63" s="60" t="s">
        <v>991</v>
      </c>
      <c r="D63" s="61">
        <v>646</v>
      </c>
      <c r="E63" s="62">
        <v>2.1891124</v>
      </c>
      <c r="F63" s="62">
        <v>9.3932740638362506E-3</v>
      </c>
    </row>
    <row r="64" spans="1:6" x14ac:dyDescent="0.2">
      <c r="A64" s="26" t="s">
        <v>1422</v>
      </c>
      <c r="B64" s="26" t="s">
        <v>1423</v>
      </c>
      <c r="C64" s="26" t="s">
        <v>955</v>
      </c>
      <c r="D64" s="30">
        <v>8388</v>
      </c>
      <c r="E64" s="28">
        <v>1.5729173000000001</v>
      </c>
      <c r="F64" s="28">
        <v>6.7492392252902801E-3</v>
      </c>
    </row>
    <row r="65" spans="1:9" x14ac:dyDescent="0.2">
      <c r="A65" s="26" t="s">
        <v>1424</v>
      </c>
      <c r="B65" s="26" t="s">
        <v>1425</v>
      </c>
      <c r="C65" s="26" t="s">
        <v>955</v>
      </c>
      <c r="D65" s="30">
        <v>8195</v>
      </c>
      <c r="E65" s="28">
        <v>7.58384E-2</v>
      </c>
      <c r="F65" s="29">
        <v>3.2541539473388302E-4</v>
      </c>
    </row>
    <row r="66" spans="1:9" ht="10.5" x14ac:dyDescent="0.25">
      <c r="A66" s="25" t="s">
        <v>17</v>
      </c>
      <c r="B66" s="25"/>
      <c r="C66" s="25"/>
      <c r="D66" s="31"/>
      <c r="E66" s="32">
        <f>SUM(E22:E65)</f>
        <v>18848.754624199999</v>
      </c>
      <c r="F66" s="33">
        <f>SUM(F22:F65)</f>
        <v>80.878221669710229</v>
      </c>
      <c r="G66" s="18"/>
      <c r="H66" s="18"/>
      <c r="I66" s="18"/>
    </row>
    <row r="67" spans="1:9" x14ac:dyDescent="0.2">
      <c r="A67" s="26"/>
      <c r="B67" s="26"/>
      <c r="C67" s="26"/>
      <c r="D67" s="27"/>
      <c r="E67" s="28"/>
      <c r="F67" s="29"/>
    </row>
    <row r="68" spans="1:9" ht="10.5" x14ac:dyDescent="0.25">
      <c r="A68" s="25" t="s">
        <v>62</v>
      </c>
      <c r="B68" s="25"/>
      <c r="C68" s="25"/>
      <c r="D68" s="31"/>
      <c r="E68" s="32">
        <f>E20+E66</f>
        <v>22213.003792199997</v>
      </c>
      <c r="F68" s="33">
        <f>F20+F66</f>
        <v>95.313896354142642</v>
      </c>
      <c r="G68" s="18"/>
      <c r="H68" s="18"/>
      <c r="I68" s="18"/>
    </row>
    <row r="69" spans="1:9" ht="10.5" x14ac:dyDescent="0.25">
      <c r="A69" s="25"/>
      <c r="B69" s="25"/>
      <c r="C69" s="25"/>
      <c r="D69" s="31"/>
      <c r="E69" s="32"/>
      <c r="F69" s="33"/>
      <c r="G69" s="18"/>
      <c r="H69" s="18"/>
      <c r="I69" s="18"/>
    </row>
    <row r="70" spans="1:9" ht="10.5" x14ac:dyDescent="0.25">
      <c r="A70" s="25" t="s">
        <v>63</v>
      </c>
      <c r="B70" s="25"/>
      <c r="C70" s="25"/>
      <c r="D70" s="31"/>
      <c r="E70" s="32">
        <f>E72-(E20+E66)</f>
        <v>1092.1013833000034</v>
      </c>
      <c r="F70" s="33">
        <f>F72-(F20+F66)</f>
        <v>4.6861036458573579</v>
      </c>
      <c r="G70" s="18"/>
      <c r="H70" s="18"/>
      <c r="I70" s="18"/>
    </row>
    <row r="71" spans="1:9" ht="10.5" x14ac:dyDescent="0.25">
      <c r="A71" s="25"/>
      <c r="B71" s="25"/>
      <c r="C71" s="25"/>
      <c r="D71" s="31"/>
      <c r="E71" s="32"/>
      <c r="F71" s="33"/>
      <c r="G71" s="18"/>
      <c r="H71" s="18"/>
      <c r="I71" s="18"/>
    </row>
    <row r="72" spans="1:9" ht="10.5" x14ac:dyDescent="0.25">
      <c r="A72" s="34" t="s">
        <v>64</v>
      </c>
      <c r="B72" s="34"/>
      <c r="C72" s="34"/>
      <c r="D72" s="35"/>
      <c r="E72" s="36">
        <v>23305.105175500001</v>
      </c>
      <c r="F72" s="37">
        <v>100</v>
      </c>
      <c r="G72" s="18"/>
      <c r="H72" s="18"/>
      <c r="I72" s="18"/>
    </row>
    <row r="73" spans="1:9" ht="10.5" x14ac:dyDescent="0.25">
      <c r="F73" s="19" t="s">
        <v>924</v>
      </c>
    </row>
    <row r="74" spans="1:9" ht="10.5" x14ac:dyDescent="0.25">
      <c r="A74" s="18"/>
    </row>
    <row r="75" spans="1:9" ht="10.5" x14ac:dyDescent="0.25">
      <c r="A75" s="18" t="s">
        <v>67</v>
      </c>
    </row>
    <row r="76" spans="1:9" ht="10.5" x14ac:dyDescent="0.25">
      <c r="A76" s="18" t="s">
        <v>68</v>
      </c>
    </row>
    <row r="77" spans="1:9" ht="10.5" x14ac:dyDescent="0.25">
      <c r="A77" s="18" t="s">
        <v>69</v>
      </c>
      <c r="B77" s="18"/>
      <c r="C77" s="38" t="s">
        <v>70</v>
      </c>
      <c r="D77" s="43" t="s">
        <v>71</v>
      </c>
    </row>
    <row r="78" spans="1:9" x14ac:dyDescent="0.2">
      <c r="A78" s="9" t="s">
        <v>98</v>
      </c>
      <c r="C78" s="39">
        <v>24.051500000000001</v>
      </c>
      <c r="D78" s="39">
        <v>30.995000000000001</v>
      </c>
    </row>
    <row r="79" spans="1:9" x14ac:dyDescent="0.2">
      <c r="A79" s="9" t="s">
        <v>331</v>
      </c>
      <c r="C79" s="39">
        <v>13.244899999999999</v>
      </c>
      <c r="D79" s="39">
        <v>16.3065</v>
      </c>
    </row>
    <row r="80" spans="1:9" x14ac:dyDescent="0.2">
      <c r="A80" s="9" t="s">
        <v>101</v>
      </c>
      <c r="C80" s="39">
        <v>25.2149</v>
      </c>
      <c r="D80" s="39">
        <v>32.593200000000003</v>
      </c>
    </row>
    <row r="81" spans="1:4" x14ac:dyDescent="0.2">
      <c r="A81" s="9" t="s">
        <v>332</v>
      </c>
      <c r="C81" s="39">
        <v>13.989699999999999</v>
      </c>
      <c r="D81" s="39">
        <v>17.318300000000001</v>
      </c>
    </row>
    <row r="83" spans="1:4" ht="10.5" x14ac:dyDescent="0.25">
      <c r="A83" s="18" t="s">
        <v>90</v>
      </c>
    </row>
    <row r="84" spans="1:4" ht="10.5" x14ac:dyDescent="0.25">
      <c r="A84" s="77" t="s">
        <v>91</v>
      </c>
      <c r="B84" s="78"/>
      <c r="C84" s="40" t="s">
        <v>92</v>
      </c>
    </row>
    <row r="85" spans="1:4" x14ac:dyDescent="0.2">
      <c r="A85" s="79" t="s">
        <v>331</v>
      </c>
      <c r="B85" s="80"/>
      <c r="C85" s="41">
        <v>0.75</v>
      </c>
    </row>
    <row r="86" spans="1:4" x14ac:dyDescent="0.2">
      <c r="A86" s="79" t="s">
        <v>332</v>
      </c>
      <c r="B86" s="80"/>
      <c r="C86" s="41">
        <v>0.75</v>
      </c>
    </row>
    <row r="87" spans="1:4" x14ac:dyDescent="0.2">
      <c r="A87" s="9" t="s">
        <v>93</v>
      </c>
    </row>
    <row r="89" spans="1:4" ht="10.5" x14ac:dyDescent="0.25">
      <c r="A89" s="18" t="s">
        <v>998</v>
      </c>
      <c r="D89" s="59">
        <v>0.24173702156259136</v>
      </c>
    </row>
    <row r="91" spans="1:4" ht="10.5" x14ac:dyDescent="0.25">
      <c r="A91" s="18" t="s">
        <v>1516</v>
      </c>
    </row>
    <row r="92" spans="1:4" x14ac:dyDescent="0.2">
      <c r="A92" s="47" t="s">
        <v>1509</v>
      </c>
    </row>
  </sheetData>
  <mergeCells count="4">
    <mergeCell ref="A1:F1"/>
    <mergeCell ref="A84:B84"/>
    <mergeCell ref="A85:B85"/>
    <mergeCell ref="A86:B86"/>
  </mergeCells>
  <conditionalFormatting sqref="F2:F3 F5:F63 F65:F65536">
    <cfRule type="cellIs" dxfId="11" priority="1" stopIfTrue="1" operator="between">
      <formula>0.009</formula>
      <formula>-0.009</formula>
    </cfRule>
  </conditionalFormatting>
  <hyperlinks>
    <hyperlink ref="A92" r:id="rId1" xr:uid="{5D0F25DA-5F74-4999-8982-14C8E22572BA}"/>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80"/>
  <sheetViews>
    <sheetView workbookViewId="0">
      <selection sqref="A1:F1"/>
    </sheetView>
  </sheetViews>
  <sheetFormatPr defaultColWidth="9.1796875" defaultRowHeight="10" x14ac:dyDescent="0.2"/>
  <cols>
    <col min="1" max="1" width="38.7265625" style="9" bestFit="1" customWidth="1"/>
    <col min="2" max="2" width="33.453125" style="9" bestFit="1" customWidth="1"/>
    <col min="3" max="3" width="18.81640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66" t="s">
        <v>1426</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1427</v>
      </c>
      <c r="B7" s="26" t="s">
        <v>1428</v>
      </c>
      <c r="C7" s="26" t="s">
        <v>877</v>
      </c>
      <c r="D7" s="30">
        <v>204591</v>
      </c>
      <c r="E7" s="28">
        <v>4061.7451230000001</v>
      </c>
      <c r="F7" s="29">
        <v>10.6927468477224</v>
      </c>
    </row>
    <row r="8" spans="1:6" x14ac:dyDescent="0.2">
      <c r="A8" s="26" t="s">
        <v>837</v>
      </c>
      <c r="B8" s="26" t="s">
        <v>838</v>
      </c>
      <c r="C8" s="26" t="s">
        <v>839</v>
      </c>
      <c r="D8" s="30">
        <v>275912</v>
      </c>
      <c r="E8" s="28">
        <v>3962.9240559999998</v>
      </c>
      <c r="F8" s="29">
        <v>10.432595454502399</v>
      </c>
    </row>
    <row r="9" spans="1:6" x14ac:dyDescent="0.2">
      <c r="A9" s="26" t="s">
        <v>935</v>
      </c>
      <c r="B9" s="26" t="s">
        <v>936</v>
      </c>
      <c r="C9" s="26" t="s">
        <v>937</v>
      </c>
      <c r="D9" s="30">
        <v>113362</v>
      </c>
      <c r="E9" s="28">
        <v>2900.5368130000002</v>
      </c>
      <c r="F9" s="29">
        <v>7.6358079900890203</v>
      </c>
    </row>
    <row r="10" spans="1:6" x14ac:dyDescent="0.2">
      <c r="A10" s="26" t="s">
        <v>840</v>
      </c>
      <c r="B10" s="26" t="s">
        <v>841</v>
      </c>
      <c r="C10" s="26" t="s">
        <v>842</v>
      </c>
      <c r="D10" s="30">
        <v>229504</v>
      </c>
      <c r="E10" s="28">
        <v>2882.1112320000002</v>
      </c>
      <c r="F10" s="29">
        <v>7.5873017280787396</v>
      </c>
    </row>
    <row r="11" spans="1:6" x14ac:dyDescent="0.2">
      <c r="A11" s="26" t="s">
        <v>845</v>
      </c>
      <c r="B11" s="26" t="s">
        <v>846</v>
      </c>
      <c r="C11" s="26" t="s">
        <v>839</v>
      </c>
      <c r="D11" s="30">
        <v>437516</v>
      </c>
      <c r="E11" s="28">
        <v>2340.9293579999999</v>
      </c>
      <c r="F11" s="29">
        <v>6.1626134224314599</v>
      </c>
    </row>
    <row r="12" spans="1:6" x14ac:dyDescent="0.2">
      <c r="A12" s="26" t="s">
        <v>982</v>
      </c>
      <c r="B12" s="26" t="s">
        <v>983</v>
      </c>
      <c r="C12" s="26" t="s">
        <v>842</v>
      </c>
      <c r="D12" s="30">
        <v>65545</v>
      </c>
      <c r="E12" s="28">
        <v>1876.389488</v>
      </c>
      <c r="F12" s="29">
        <v>4.9396890192096503</v>
      </c>
    </row>
    <row r="13" spans="1:6" x14ac:dyDescent="0.2">
      <c r="A13" s="26" t="s">
        <v>850</v>
      </c>
      <c r="B13" s="26" t="s">
        <v>851</v>
      </c>
      <c r="C13" s="26" t="s">
        <v>839</v>
      </c>
      <c r="D13" s="30">
        <v>92983</v>
      </c>
      <c r="E13" s="28">
        <v>1855.5687479999999</v>
      </c>
      <c r="F13" s="29">
        <v>4.8848773815365698</v>
      </c>
    </row>
    <row r="14" spans="1:6" x14ac:dyDescent="0.2">
      <c r="A14" s="26" t="s">
        <v>1056</v>
      </c>
      <c r="B14" s="26" t="s">
        <v>1057</v>
      </c>
      <c r="C14" s="26" t="s">
        <v>866</v>
      </c>
      <c r="D14" s="30">
        <v>56511</v>
      </c>
      <c r="E14" s="28">
        <v>1353.6644940000001</v>
      </c>
      <c r="F14" s="29">
        <v>3.5635893717529599</v>
      </c>
    </row>
    <row r="15" spans="1:6" x14ac:dyDescent="0.2">
      <c r="A15" s="26" t="s">
        <v>1005</v>
      </c>
      <c r="B15" s="26" t="s">
        <v>1006</v>
      </c>
      <c r="C15" s="26" t="s">
        <v>866</v>
      </c>
      <c r="D15" s="30">
        <v>549326</v>
      </c>
      <c r="E15" s="28">
        <v>1148.0913399999999</v>
      </c>
      <c r="F15" s="29">
        <v>3.0224077791506399</v>
      </c>
    </row>
    <row r="16" spans="1:6" x14ac:dyDescent="0.2">
      <c r="A16" s="26" t="s">
        <v>948</v>
      </c>
      <c r="B16" s="26" t="s">
        <v>949</v>
      </c>
      <c r="C16" s="26" t="s">
        <v>950</v>
      </c>
      <c r="D16" s="30">
        <v>76708</v>
      </c>
      <c r="E16" s="28">
        <v>987.69220800000005</v>
      </c>
      <c r="F16" s="29">
        <v>2.6001490550966699</v>
      </c>
    </row>
    <row r="17" spans="1:6" x14ac:dyDescent="0.2">
      <c r="A17" s="26" t="s">
        <v>843</v>
      </c>
      <c r="B17" s="26" t="s">
        <v>844</v>
      </c>
      <c r="C17" s="26" t="s">
        <v>839</v>
      </c>
      <c r="D17" s="30">
        <v>154646</v>
      </c>
      <c r="E17" s="28">
        <v>959.50110700000005</v>
      </c>
      <c r="F17" s="29">
        <v>2.5259345740735699</v>
      </c>
    </row>
    <row r="18" spans="1:6" x14ac:dyDescent="0.2">
      <c r="A18" s="26" t="s">
        <v>1429</v>
      </c>
      <c r="B18" s="26" t="s">
        <v>1430</v>
      </c>
      <c r="C18" s="26" t="s">
        <v>937</v>
      </c>
      <c r="D18" s="30">
        <v>16527</v>
      </c>
      <c r="E18" s="28">
        <v>875.13770399999999</v>
      </c>
      <c r="F18" s="29">
        <v>2.3038437032350001</v>
      </c>
    </row>
    <row r="19" spans="1:6" x14ac:dyDescent="0.2">
      <c r="A19" s="26" t="s">
        <v>1275</v>
      </c>
      <c r="B19" s="26" t="s">
        <v>1276</v>
      </c>
      <c r="C19" s="26" t="s">
        <v>866</v>
      </c>
      <c r="D19" s="30">
        <v>28157</v>
      </c>
      <c r="E19" s="28">
        <v>778.40026499999999</v>
      </c>
      <c r="F19" s="29">
        <v>2.04917756476494</v>
      </c>
    </row>
    <row r="20" spans="1:6" x14ac:dyDescent="0.2">
      <c r="A20" s="26" t="s">
        <v>847</v>
      </c>
      <c r="B20" s="26" t="s">
        <v>848</v>
      </c>
      <c r="C20" s="26" t="s">
        <v>849</v>
      </c>
      <c r="D20" s="30">
        <v>149133</v>
      </c>
      <c r="E20" s="28">
        <v>760.13090099999999</v>
      </c>
      <c r="F20" s="29">
        <v>2.0010825518074098</v>
      </c>
    </row>
    <row r="21" spans="1:6" x14ac:dyDescent="0.2">
      <c r="A21" s="26" t="s">
        <v>884</v>
      </c>
      <c r="B21" s="26" t="s">
        <v>885</v>
      </c>
      <c r="C21" s="26" t="s">
        <v>839</v>
      </c>
      <c r="D21" s="30">
        <v>237466</v>
      </c>
      <c r="E21" s="28">
        <v>652.91276700000003</v>
      </c>
      <c r="F21" s="29">
        <v>1.71882546042684</v>
      </c>
    </row>
    <row r="22" spans="1:6" x14ac:dyDescent="0.2">
      <c r="A22" s="26" t="s">
        <v>1010</v>
      </c>
      <c r="B22" s="26" t="s">
        <v>1011</v>
      </c>
      <c r="C22" s="26" t="s">
        <v>842</v>
      </c>
      <c r="D22" s="30">
        <v>68602</v>
      </c>
      <c r="E22" s="28">
        <v>649.07782299999997</v>
      </c>
      <c r="F22" s="29">
        <v>1.7087297788600699</v>
      </c>
    </row>
    <row r="23" spans="1:6" x14ac:dyDescent="0.2">
      <c r="A23" s="26" t="s">
        <v>940</v>
      </c>
      <c r="B23" s="26" t="s">
        <v>941</v>
      </c>
      <c r="C23" s="26" t="s">
        <v>871</v>
      </c>
      <c r="D23" s="30">
        <v>8398</v>
      </c>
      <c r="E23" s="28">
        <v>642.413408</v>
      </c>
      <c r="F23" s="29">
        <v>1.6911853736044</v>
      </c>
    </row>
    <row r="24" spans="1:6" x14ac:dyDescent="0.2">
      <c r="A24" s="26" t="s">
        <v>869</v>
      </c>
      <c r="B24" s="26" t="s">
        <v>870</v>
      </c>
      <c r="C24" s="26" t="s">
        <v>871</v>
      </c>
      <c r="D24" s="30">
        <v>58902</v>
      </c>
      <c r="E24" s="28">
        <v>424.447812</v>
      </c>
      <c r="F24" s="29">
        <v>1.1173800586565401</v>
      </c>
    </row>
    <row r="25" spans="1:6" x14ac:dyDescent="0.2">
      <c r="A25" s="26" t="s">
        <v>965</v>
      </c>
      <c r="B25" s="26" t="s">
        <v>966</v>
      </c>
      <c r="C25" s="26" t="s">
        <v>866</v>
      </c>
      <c r="D25" s="30">
        <v>2241</v>
      </c>
      <c r="E25" s="28">
        <v>412.12550249999998</v>
      </c>
      <c r="F25" s="29">
        <v>1.0849409636191201</v>
      </c>
    </row>
    <row r="26" spans="1:6" x14ac:dyDescent="0.2">
      <c r="A26" s="26" t="s">
        <v>986</v>
      </c>
      <c r="B26" s="26" t="s">
        <v>987</v>
      </c>
      <c r="C26" s="26" t="s">
        <v>857</v>
      </c>
      <c r="D26" s="30">
        <v>25864</v>
      </c>
      <c r="E26" s="28">
        <v>405.327676</v>
      </c>
      <c r="F26" s="29">
        <v>1.0670453459281799</v>
      </c>
    </row>
    <row r="27" spans="1:6" x14ac:dyDescent="0.2">
      <c r="A27" s="26" t="s">
        <v>1315</v>
      </c>
      <c r="B27" s="26" t="s">
        <v>1316</v>
      </c>
      <c r="C27" s="26" t="s">
        <v>874</v>
      </c>
      <c r="D27" s="30">
        <v>67027</v>
      </c>
      <c r="E27" s="28">
        <v>397.03443449999997</v>
      </c>
      <c r="F27" s="29">
        <v>1.04521297358055</v>
      </c>
    </row>
    <row r="28" spans="1:6" x14ac:dyDescent="0.2">
      <c r="A28" s="26" t="s">
        <v>1291</v>
      </c>
      <c r="B28" s="26" t="s">
        <v>1292</v>
      </c>
      <c r="C28" s="26" t="s">
        <v>930</v>
      </c>
      <c r="D28" s="30">
        <v>7327</v>
      </c>
      <c r="E28" s="28">
        <v>387.46275050000003</v>
      </c>
      <c r="F28" s="29">
        <v>1.0200150375163599</v>
      </c>
    </row>
    <row r="29" spans="1:6" x14ac:dyDescent="0.2">
      <c r="A29" s="26" t="s">
        <v>926</v>
      </c>
      <c r="B29" s="26" t="s">
        <v>927</v>
      </c>
      <c r="C29" s="26" t="s">
        <v>874</v>
      </c>
      <c r="D29" s="30">
        <v>7308</v>
      </c>
      <c r="E29" s="28">
        <v>380.38870800000001</v>
      </c>
      <c r="F29" s="29">
        <v>1.0013922674133799</v>
      </c>
    </row>
    <row r="30" spans="1:6" x14ac:dyDescent="0.2">
      <c r="A30" s="26" t="s">
        <v>944</v>
      </c>
      <c r="B30" s="26" t="s">
        <v>945</v>
      </c>
      <c r="C30" s="26" t="s">
        <v>842</v>
      </c>
      <c r="D30" s="30">
        <v>38892</v>
      </c>
      <c r="E30" s="28">
        <v>378.49694399999998</v>
      </c>
      <c r="F30" s="29">
        <v>0.99641210422364501</v>
      </c>
    </row>
    <row r="31" spans="1:6" x14ac:dyDescent="0.2">
      <c r="A31" s="26" t="s">
        <v>1431</v>
      </c>
      <c r="B31" s="26" t="s">
        <v>1432</v>
      </c>
      <c r="C31" s="26" t="s">
        <v>842</v>
      </c>
      <c r="D31" s="30">
        <v>90979</v>
      </c>
      <c r="E31" s="28">
        <v>351.40638749999999</v>
      </c>
      <c r="F31" s="29">
        <v>0.925094861549277</v>
      </c>
    </row>
    <row r="32" spans="1:6" x14ac:dyDescent="0.2">
      <c r="A32" s="26" t="s">
        <v>1433</v>
      </c>
      <c r="B32" s="26" t="s">
        <v>1434</v>
      </c>
      <c r="C32" s="26" t="s">
        <v>937</v>
      </c>
      <c r="D32" s="30">
        <v>3800</v>
      </c>
      <c r="E32" s="28">
        <v>338.44130000000001</v>
      </c>
      <c r="F32" s="29">
        <v>0.890963621331606</v>
      </c>
    </row>
    <row r="33" spans="1:6" x14ac:dyDescent="0.2">
      <c r="A33" s="26" t="s">
        <v>1327</v>
      </c>
      <c r="B33" s="26" t="s">
        <v>1328</v>
      </c>
      <c r="C33" s="26" t="s">
        <v>839</v>
      </c>
      <c r="D33" s="30">
        <v>36090</v>
      </c>
      <c r="E33" s="28">
        <v>322.98745500000001</v>
      </c>
      <c r="F33" s="29">
        <v>0.850280602726319</v>
      </c>
    </row>
    <row r="34" spans="1:6" x14ac:dyDescent="0.2">
      <c r="A34" s="26" t="s">
        <v>1435</v>
      </c>
      <c r="B34" s="26" t="s">
        <v>1436</v>
      </c>
      <c r="C34" s="26" t="s">
        <v>937</v>
      </c>
      <c r="D34" s="30">
        <v>47558</v>
      </c>
      <c r="E34" s="28">
        <v>321.72987000000001</v>
      </c>
      <c r="F34" s="29">
        <v>0.846969947419971</v>
      </c>
    </row>
    <row r="35" spans="1:6" x14ac:dyDescent="0.2">
      <c r="A35" s="26" t="s">
        <v>858</v>
      </c>
      <c r="B35" s="26" t="s">
        <v>859</v>
      </c>
      <c r="C35" s="26" t="s">
        <v>860</v>
      </c>
      <c r="D35" s="30">
        <v>47220</v>
      </c>
      <c r="E35" s="28">
        <v>303.93153000000001</v>
      </c>
      <c r="F35" s="29">
        <v>0.80011492866164802</v>
      </c>
    </row>
    <row r="36" spans="1:6" x14ac:dyDescent="0.2">
      <c r="A36" s="26" t="s">
        <v>1437</v>
      </c>
      <c r="B36" s="26" t="s">
        <v>1438</v>
      </c>
      <c r="C36" s="26" t="s">
        <v>874</v>
      </c>
      <c r="D36" s="30">
        <v>7906</v>
      </c>
      <c r="E36" s="28">
        <v>303.74061399999999</v>
      </c>
      <c r="F36" s="29">
        <v>0.79961233275881305</v>
      </c>
    </row>
    <row r="37" spans="1:6" x14ac:dyDescent="0.2">
      <c r="A37" s="26" t="s">
        <v>881</v>
      </c>
      <c r="B37" s="26" t="s">
        <v>882</v>
      </c>
      <c r="C37" s="26" t="s">
        <v>883</v>
      </c>
      <c r="D37" s="30">
        <v>158729</v>
      </c>
      <c r="E37" s="28">
        <v>301.34700650000002</v>
      </c>
      <c r="F37" s="29">
        <v>0.79331104149723697</v>
      </c>
    </row>
    <row r="38" spans="1:6" x14ac:dyDescent="0.2">
      <c r="A38" s="26" t="s">
        <v>886</v>
      </c>
      <c r="B38" s="26" t="s">
        <v>887</v>
      </c>
      <c r="C38" s="26" t="s">
        <v>883</v>
      </c>
      <c r="D38" s="30">
        <v>297973</v>
      </c>
      <c r="E38" s="28">
        <v>296.03617550000001</v>
      </c>
      <c r="F38" s="29">
        <v>0.77933001370884303</v>
      </c>
    </row>
    <row r="39" spans="1:6" x14ac:dyDescent="0.2">
      <c r="A39" s="26" t="s">
        <v>895</v>
      </c>
      <c r="B39" s="26" t="s">
        <v>896</v>
      </c>
      <c r="C39" s="26" t="s">
        <v>871</v>
      </c>
      <c r="D39" s="30">
        <v>8023</v>
      </c>
      <c r="E39" s="28">
        <v>276.31613149999998</v>
      </c>
      <c r="F39" s="29">
        <v>0.72741601321582305</v>
      </c>
    </row>
    <row r="40" spans="1:6" x14ac:dyDescent="0.2">
      <c r="A40" s="26" t="s">
        <v>1439</v>
      </c>
      <c r="B40" s="26" t="s">
        <v>1440</v>
      </c>
      <c r="C40" s="26" t="s">
        <v>866</v>
      </c>
      <c r="D40" s="30">
        <v>7346</v>
      </c>
      <c r="E40" s="28">
        <v>262.71867099999997</v>
      </c>
      <c r="F40" s="29">
        <v>0.691620019499945</v>
      </c>
    </row>
    <row r="41" spans="1:6" x14ac:dyDescent="0.2">
      <c r="A41" s="26" t="s">
        <v>1441</v>
      </c>
      <c r="B41" s="26" t="s">
        <v>1442</v>
      </c>
      <c r="C41" s="26" t="s">
        <v>874</v>
      </c>
      <c r="D41" s="30">
        <v>30814</v>
      </c>
      <c r="E41" s="28">
        <v>252.65939299999999</v>
      </c>
      <c r="F41" s="29">
        <v>0.66513846788416597</v>
      </c>
    </row>
    <row r="42" spans="1:6" x14ac:dyDescent="0.2">
      <c r="A42" s="26" t="s">
        <v>1443</v>
      </c>
      <c r="B42" s="26" t="s">
        <v>1444</v>
      </c>
      <c r="C42" s="26" t="s">
        <v>871</v>
      </c>
      <c r="D42" s="30">
        <v>8110</v>
      </c>
      <c r="E42" s="28">
        <v>252.221</v>
      </c>
      <c r="F42" s="29">
        <v>0.66398437642178698</v>
      </c>
    </row>
    <row r="43" spans="1:6" x14ac:dyDescent="0.2">
      <c r="A43" s="26" t="s">
        <v>1445</v>
      </c>
      <c r="B43" s="26" t="s">
        <v>1446</v>
      </c>
      <c r="C43" s="26" t="s">
        <v>860</v>
      </c>
      <c r="D43" s="30">
        <v>61678</v>
      </c>
      <c r="E43" s="28">
        <v>238.817216</v>
      </c>
      <c r="F43" s="29">
        <v>0.62869824576283195</v>
      </c>
    </row>
    <row r="44" spans="1:6" x14ac:dyDescent="0.2">
      <c r="A44" s="26" t="s">
        <v>928</v>
      </c>
      <c r="B44" s="26" t="s">
        <v>929</v>
      </c>
      <c r="C44" s="26" t="s">
        <v>930</v>
      </c>
      <c r="D44" s="30">
        <v>24227</v>
      </c>
      <c r="E44" s="28">
        <v>224.79021950000001</v>
      </c>
      <c r="F44" s="29">
        <v>0.59177147707932398</v>
      </c>
    </row>
    <row r="45" spans="1:6" x14ac:dyDescent="0.2">
      <c r="A45" s="26" t="s">
        <v>1447</v>
      </c>
      <c r="B45" s="26" t="s">
        <v>1448</v>
      </c>
      <c r="C45" s="26" t="s">
        <v>1022</v>
      </c>
      <c r="D45" s="30">
        <v>45933</v>
      </c>
      <c r="E45" s="28">
        <v>222.20088749999999</v>
      </c>
      <c r="F45" s="29">
        <v>0.58495493129856402</v>
      </c>
    </row>
    <row r="46" spans="1:6" x14ac:dyDescent="0.2">
      <c r="A46" s="26" t="s">
        <v>878</v>
      </c>
      <c r="B46" s="26" t="s">
        <v>879</v>
      </c>
      <c r="C46" s="26" t="s">
        <v>880</v>
      </c>
      <c r="D46" s="30">
        <v>90690</v>
      </c>
      <c r="E46" s="28">
        <v>218.15479500000001</v>
      </c>
      <c r="F46" s="29">
        <v>0.57430339076245696</v>
      </c>
    </row>
    <row r="47" spans="1:6" x14ac:dyDescent="0.2">
      <c r="A47" s="26" t="s">
        <v>1449</v>
      </c>
      <c r="B47" s="26" t="s">
        <v>1450</v>
      </c>
      <c r="C47" s="26" t="s">
        <v>937</v>
      </c>
      <c r="D47" s="30">
        <v>23408</v>
      </c>
      <c r="E47" s="28">
        <v>211.66684000000001</v>
      </c>
      <c r="F47" s="29">
        <v>0.55722352526780194</v>
      </c>
    </row>
    <row r="48" spans="1:6" x14ac:dyDescent="0.2">
      <c r="A48" s="26" t="s">
        <v>1451</v>
      </c>
      <c r="B48" s="26" t="s">
        <v>1452</v>
      </c>
      <c r="C48" s="26" t="s">
        <v>871</v>
      </c>
      <c r="D48" s="30">
        <v>8296</v>
      </c>
      <c r="E48" s="28">
        <v>209.96346399999999</v>
      </c>
      <c r="F48" s="29">
        <v>0.55273930289467699</v>
      </c>
    </row>
    <row r="49" spans="1:9" x14ac:dyDescent="0.2">
      <c r="A49" s="26" t="s">
        <v>903</v>
      </c>
      <c r="B49" s="26" t="s">
        <v>904</v>
      </c>
      <c r="C49" s="26" t="s">
        <v>871</v>
      </c>
      <c r="D49" s="30">
        <v>111219</v>
      </c>
      <c r="E49" s="28">
        <v>204.47613150000001</v>
      </c>
      <c r="F49" s="29">
        <v>0.53829362609444398</v>
      </c>
    </row>
    <row r="50" spans="1:9" x14ac:dyDescent="0.2">
      <c r="A50" s="26" t="s">
        <v>1453</v>
      </c>
      <c r="B50" s="26" t="s">
        <v>1454</v>
      </c>
      <c r="C50" s="26" t="s">
        <v>930</v>
      </c>
      <c r="D50" s="30">
        <v>841</v>
      </c>
      <c r="E50" s="28">
        <v>201.95101199999999</v>
      </c>
      <c r="F50" s="29">
        <v>0.53164612292619895</v>
      </c>
    </row>
    <row r="51" spans="1:9" x14ac:dyDescent="0.2">
      <c r="A51" s="26" t="s">
        <v>1012</v>
      </c>
      <c r="B51" s="26" t="s">
        <v>1013</v>
      </c>
      <c r="C51" s="26" t="s">
        <v>1014</v>
      </c>
      <c r="D51" s="30">
        <v>210784</v>
      </c>
      <c r="E51" s="28">
        <v>196.134512</v>
      </c>
      <c r="F51" s="29">
        <v>0.51633389624619497</v>
      </c>
    </row>
    <row r="52" spans="1:9" x14ac:dyDescent="0.2">
      <c r="A52" s="26" t="s">
        <v>899</v>
      </c>
      <c r="B52" s="26" t="s">
        <v>900</v>
      </c>
      <c r="C52" s="26" t="s">
        <v>877</v>
      </c>
      <c r="D52" s="30">
        <v>47078</v>
      </c>
      <c r="E52" s="28">
        <v>179.41425799999999</v>
      </c>
      <c r="F52" s="29">
        <v>0.47231699271395999</v>
      </c>
    </row>
    <row r="53" spans="1:9" x14ac:dyDescent="0.2">
      <c r="A53" s="26" t="s">
        <v>915</v>
      </c>
      <c r="B53" s="26" t="s">
        <v>916</v>
      </c>
      <c r="C53" s="26" t="s">
        <v>917</v>
      </c>
      <c r="D53" s="30">
        <v>129456</v>
      </c>
      <c r="E53" s="28">
        <v>175.348152</v>
      </c>
      <c r="F53" s="29">
        <v>0.46161276563978698</v>
      </c>
    </row>
    <row r="54" spans="1:9" x14ac:dyDescent="0.2">
      <c r="A54" s="26" t="s">
        <v>1455</v>
      </c>
      <c r="B54" s="26" t="s">
        <v>1456</v>
      </c>
      <c r="C54" s="26" t="s">
        <v>1248</v>
      </c>
      <c r="D54" s="30">
        <v>32142</v>
      </c>
      <c r="E54" s="28">
        <v>149.894217</v>
      </c>
      <c r="F54" s="29">
        <v>0.39460401078410201</v>
      </c>
    </row>
    <row r="55" spans="1:9" x14ac:dyDescent="0.2">
      <c r="A55" s="26" t="s">
        <v>967</v>
      </c>
      <c r="B55" s="26" t="s">
        <v>968</v>
      </c>
      <c r="C55" s="26" t="s">
        <v>863</v>
      </c>
      <c r="D55" s="30">
        <v>112478</v>
      </c>
      <c r="E55" s="28">
        <v>138.62913499999999</v>
      </c>
      <c r="F55" s="29">
        <v>0.36494811993000897</v>
      </c>
    </row>
    <row r="56" spans="1:9" x14ac:dyDescent="0.2">
      <c r="A56" s="26" t="s">
        <v>958</v>
      </c>
      <c r="B56" s="26" t="s">
        <v>959</v>
      </c>
      <c r="C56" s="26" t="s">
        <v>877</v>
      </c>
      <c r="D56" s="30">
        <v>151450</v>
      </c>
      <c r="E56" s="28">
        <v>137.743775</v>
      </c>
      <c r="F56" s="29">
        <v>0.36261736552213297</v>
      </c>
    </row>
    <row r="57" spans="1:9" x14ac:dyDescent="0.2">
      <c r="A57" s="26" t="s">
        <v>1457</v>
      </c>
      <c r="B57" s="26" t="s">
        <v>1458</v>
      </c>
      <c r="C57" s="26" t="s">
        <v>839</v>
      </c>
      <c r="D57" s="30">
        <v>92088</v>
      </c>
      <c r="E57" s="28">
        <v>0</v>
      </c>
      <c r="F57" s="28">
        <v>0</v>
      </c>
    </row>
    <row r="58" spans="1:9" ht="10.5" x14ac:dyDescent="0.25">
      <c r="A58" s="25" t="s">
        <v>17</v>
      </c>
      <c r="B58" s="25"/>
      <c r="C58" s="25"/>
      <c r="D58" s="31"/>
      <c r="E58" s="32">
        <f>SUM(E7:E57)</f>
        <v>37765.230811000009</v>
      </c>
      <c r="F58" s="33">
        <f>SUM(F7:F57)</f>
        <v>99.41885580687844</v>
      </c>
      <c r="G58" s="18"/>
      <c r="H58" s="18"/>
      <c r="I58" s="18"/>
    </row>
    <row r="59" spans="1:9" x14ac:dyDescent="0.2">
      <c r="A59" s="26"/>
      <c r="B59" s="26"/>
      <c r="C59" s="26"/>
      <c r="D59" s="27"/>
      <c r="E59" s="28"/>
      <c r="F59" s="29"/>
    </row>
    <row r="60" spans="1:9" ht="10.5" x14ac:dyDescent="0.25">
      <c r="A60" s="25" t="s">
        <v>62</v>
      </c>
      <c r="B60" s="25"/>
      <c r="C60" s="25"/>
      <c r="D60" s="31"/>
      <c r="E60" s="32">
        <f>E58</f>
        <v>37765.230811000009</v>
      </c>
      <c r="F60" s="33">
        <f>F58</f>
        <v>99.41885580687844</v>
      </c>
      <c r="G60" s="18"/>
      <c r="H60" s="18"/>
      <c r="I60" s="18"/>
    </row>
    <row r="61" spans="1:9" ht="10.5" x14ac:dyDescent="0.25">
      <c r="A61" s="25"/>
      <c r="B61" s="25"/>
      <c r="C61" s="25"/>
      <c r="D61" s="31"/>
      <c r="E61" s="32"/>
      <c r="F61" s="33"/>
      <c r="G61" s="18"/>
      <c r="H61" s="18"/>
      <c r="I61" s="18"/>
    </row>
    <row r="62" spans="1:9" ht="10.5" x14ac:dyDescent="0.25">
      <c r="A62" s="25" t="s">
        <v>63</v>
      </c>
      <c r="B62" s="25"/>
      <c r="C62" s="25"/>
      <c r="D62" s="31"/>
      <c r="E62" s="32">
        <f>E64-(E58)</f>
        <v>220.75334109998948</v>
      </c>
      <c r="F62" s="33">
        <f>F64-(F58)</f>
        <v>0.58114419312155974</v>
      </c>
      <c r="G62" s="18"/>
      <c r="H62" s="18"/>
      <c r="I62" s="18"/>
    </row>
    <row r="63" spans="1:9" ht="10.5" x14ac:dyDescent="0.25">
      <c r="A63" s="25"/>
      <c r="B63" s="25"/>
      <c r="C63" s="25"/>
      <c r="D63" s="31"/>
      <c r="E63" s="32"/>
      <c r="F63" s="33"/>
      <c r="G63" s="18"/>
      <c r="H63" s="18"/>
      <c r="I63" s="18"/>
    </row>
    <row r="64" spans="1:9" ht="10.5" x14ac:dyDescent="0.25">
      <c r="A64" s="34" t="s">
        <v>64</v>
      </c>
      <c r="B64" s="34"/>
      <c r="C64" s="34"/>
      <c r="D64" s="35"/>
      <c r="E64" s="36">
        <v>37985.984152099998</v>
      </c>
      <c r="F64" s="37">
        <v>100</v>
      </c>
      <c r="G64" s="18"/>
      <c r="H64" s="18"/>
      <c r="I64" s="18"/>
    </row>
    <row r="65" spans="1:6" ht="10.5" x14ac:dyDescent="0.25">
      <c r="F65" s="19"/>
    </row>
    <row r="67" spans="1:6" ht="10.5" x14ac:dyDescent="0.25">
      <c r="A67" s="18" t="s">
        <v>67</v>
      </c>
    </row>
    <row r="68" spans="1:6" ht="10.5" x14ac:dyDescent="0.25">
      <c r="A68" s="18" t="s">
        <v>68</v>
      </c>
    </row>
    <row r="69" spans="1:6" ht="10.5" x14ac:dyDescent="0.25">
      <c r="A69" s="18" t="s">
        <v>69</v>
      </c>
      <c r="B69" s="18"/>
      <c r="C69" s="38" t="s">
        <v>70</v>
      </c>
      <c r="D69" s="43" t="s">
        <v>71</v>
      </c>
    </row>
    <row r="70" spans="1:6" x14ac:dyDescent="0.2">
      <c r="A70" s="9" t="s">
        <v>98</v>
      </c>
      <c r="C70" s="39">
        <v>81.268600000000006</v>
      </c>
      <c r="D70" s="39">
        <v>110.4085</v>
      </c>
    </row>
    <row r="71" spans="1:6" x14ac:dyDescent="0.2">
      <c r="A71" s="9" t="s">
        <v>331</v>
      </c>
      <c r="C71" s="39">
        <v>81.268600000000006</v>
      </c>
      <c r="D71" s="39">
        <v>110.4085</v>
      </c>
    </row>
    <row r="72" spans="1:6" x14ac:dyDescent="0.2">
      <c r="A72" s="9" t="s">
        <v>101</v>
      </c>
      <c r="C72" s="39">
        <v>83.714399999999998</v>
      </c>
      <c r="D72" s="39">
        <v>113.96720000000001</v>
      </c>
    </row>
    <row r="73" spans="1:6" x14ac:dyDescent="0.2">
      <c r="A73" s="9" t="s">
        <v>332</v>
      </c>
      <c r="C73" s="39">
        <v>83.714399999999998</v>
      </c>
      <c r="D73" s="39">
        <v>113.96720000000001</v>
      </c>
    </row>
    <row r="75" spans="1:6" ht="10.5" x14ac:dyDescent="0.25">
      <c r="A75" s="18" t="s">
        <v>90</v>
      </c>
      <c r="D75" s="43" t="s">
        <v>96</v>
      </c>
    </row>
    <row r="77" spans="1:6" ht="10.5" x14ac:dyDescent="0.25">
      <c r="A77" s="18" t="s">
        <v>998</v>
      </c>
      <c r="D77" s="59">
        <v>3.0200000000000001E-2</v>
      </c>
    </row>
    <row r="79" spans="1:6" ht="10.5" x14ac:dyDescent="0.25">
      <c r="A79" s="18" t="s">
        <v>1516</v>
      </c>
    </row>
    <row r="80" spans="1:6" x14ac:dyDescent="0.2">
      <c r="A80" s="47" t="s">
        <v>1509</v>
      </c>
    </row>
  </sheetData>
  <mergeCells count="1">
    <mergeCell ref="A1:F1"/>
  </mergeCells>
  <conditionalFormatting sqref="F2:F3 F5:F56 F58:F65536">
    <cfRule type="cellIs" dxfId="10" priority="1" stopIfTrue="1" operator="between">
      <formula>0.009</formula>
      <formula>-0.009</formula>
    </cfRule>
  </conditionalFormatting>
  <hyperlinks>
    <hyperlink ref="A80" r:id="rId1" xr:uid="{AAB7E08E-555E-4BDC-913C-BFC9067A6DCC}"/>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88"/>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66" t="s">
        <v>1459</v>
      </c>
      <c r="B1" s="67"/>
      <c r="C1" s="67"/>
      <c r="D1" s="67"/>
      <c r="E1" s="67"/>
      <c r="F1" s="67"/>
    </row>
    <row r="2" spans="1:6" s="1" customFormat="1" ht="11.5" x14ac:dyDescent="0.25">
      <c r="D2" s="6"/>
      <c r="E2" s="7"/>
      <c r="F2" s="12"/>
    </row>
    <row r="3" spans="1:6" s="1" customFormat="1" ht="11.5" x14ac:dyDescent="0.25">
      <c r="A3" s="11" t="s">
        <v>1</v>
      </c>
      <c r="B3" s="2"/>
      <c r="C3" s="3"/>
      <c r="D3" s="4"/>
      <c r="E3" s="5"/>
      <c r="F3" s="12"/>
    </row>
    <row r="4" spans="1:6" s="1" customFormat="1" ht="17.5" customHeight="1" x14ac:dyDescent="0.25">
      <c r="A4" s="8" t="s">
        <v>2</v>
      </c>
      <c r="B4" s="8" t="s">
        <v>3</v>
      </c>
      <c r="C4" s="17" t="s">
        <v>1002</v>
      </c>
      <c r="D4" s="16" t="s">
        <v>5</v>
      </c>
      <c r="E4" s="15" t="s">
        <v>6</v>
      </c>
      <c r="F4" s="15" t="s">
        <v>7</v>
      </c>
    </row>
    <row r="5" spans="1:6" ht="10.5" x14ac:dyDescent="0.25">
      <c r="A5" s="20" t="s">
        <v>836</v>
      </c>
      <c r="B5" s="21"/>
      <c r="C5" s="21"/>
      <c r="D5" s="22"/>
      <c r="E5" s="23"/>
      <c r="F5" s="24"/>
    </row>
    <row r="6" spans="1:6" ht="10.5" x14ac:dyDescent="0.25">
      <c r="A6" s="25" t="s">
        <v>10</v>
      </c>
      <c r="B6" s="26"/>
      <c r="C6" s="26"/>
      <c r="D6" s="27"/>
      <c r="E6" s="28"/>
      <c r="F6" s="29"/>
    </row>
    <row r="7" spans="1:6" x14ac:dyDescent="0.2">
      <c r="A7" s="26" t="s">
        <v>843</v>
      </c>
      <c r="B7" s="26" t="s">
        <v>844</v>
      </c>
      <c r="C7" s="26" t="s">
        <v>839</v>
      </c>
      <c r="D7" s="30">
        <v>6829842</v>
      </c>
      <c r="E7" s="28">
        <v>42375.754690000002</v>
      </c>
      <c r="F7" s="29">
        <v>10.084395540259001</v>
      </c>
    </row>
    <row r="8" spans="1:6" x14ac:dyDescent="0.2">
      <c r="A8" s="26" t="s">
        <v>840</v>
      </c>
      <c r="B8" s="26" t="s">
        <v>841</v>
      </c>
      <c r="C8" s="26" t="s">
        <v>842</v>
      </c>
      <c r="D8" s="30">
        <v>3370979</v>
      </c>
      <c r="E8" s="28">
        <v>42332.754280000001</v>
      </c>
      <c r="F8" s="29">
        <v>10.0741624919981</v>
      </c>
    </row>
    <row r="9" spans="1:6" x14ac:dyDescent="0.2">
      <c r="A9" s="26" t="s">
        <v>837</v>
      </c>
      <c r="B9" s="26" t="s">
        <v>838</v>
      </c>
      <c r="C9" s="26" t="s">
        <v>839</v>
      </c>
      <c r="D9" s="30">
        <v>2630104</v>
      </c>
      <c r="E9" s="28">
        <v>37776.183749999997</v>
      </c>
      <c r="F9" s="29">
        <v>8.9898098977433207</v>
      </c>
    </row>
    <row r="10" spans="1:6" x14ac:dyDescent="0.2">
      <c r="A10" s="26" t="s">
        <v>845</v>
      </c>
      <c r="B10" s="26" t="s">
        <v>846</v>
      </c>
      <c r="C10" s="26" t="s">
        <v>839</v>
      </c>
      <c r="D10" s="30">
        <v>4383052</v>
      </c>
      <c r="E10" s="28">
        <v>23451.51973</v>
      </c>
      <c r="F10" s="29">
        <v>5.58088941914035</v>
      </c>
    </row>
    <row r="11" spans="1:6" x14ac:dyDescent="0.2">
      <c r="A11" s="26" t="s">
        <v>942</v>
      </c>
      <c r="B11" s="26" t="s">
        <v>943</v>
      </c>
      <c r="C11" s="26" t="s">
        <v>883</v>
      </c>
      <c r="D11" s="30">
        <v>20624428</v>
      </c>
      <c r="E11" s="28">
        <v>15602.379779999999</v>
      </c>
      <c r="F11" s="29">
        <v>3.7129856499756699</v>
      </c>
    </row>
    <row r="12" spans="1:6" x14ac:dyDescent="0.2">
      <c r="A12" s="26" t="s">
        <v>847</v>
      </c>
      <c r="B12" s="26" t="s">
        <v>848</v>
      </c>
      <c r="C12" s="26" t="s">
        <v>849</v>
      </c>
      <c r="D12" s="30">
        <v>3044619</v>
      </c>
      <c r="E12" s="28">
        <v>15518.42304</v>
      </c>
      <c r="F12" s="29">
        <v>3.6930059946132099</v>
      </c>
    </row>
    <row r="13" spans="1:6" x14ac:dyDescent="0.2">
      <c r="A13" s="26" t="s">
        <v>881</v>
      </c>
      <c r="B13" s="26" t="s">
        <v>882</v>
      </c>
      <c r="C13" s="26" t="s">
        <v>883</v>
      </c>
      <c r="D13" s="30">
        <v>8119223</v>
      </c>
      <c r="E13" s="28">
        <v>15414.344870000001</v>
      </c>
      <c r="F13" s="29">
        <v>3.6682379299246999</v>
      </c>
    </row>
    <row r="14" spans="1:6" x14ac:dyDescent="0.2">
      <c r="A14" s="26" t="s">
        <v>869</v>
      </c>
      <c r="B14" s="26" t="s">
        <v>870</v>
      </c>
      <c r="C14" s="26" t="s">
        <v>871</v>
      </c>
      <c r="D14" s="30">
        <v>1679699</v>
      </c>
      <c r="E14" s="28">
        <v>12103.91099</v>
      </c>
      <c r="F14" s="29">
        <v>2.8804354494730098</v>
      </c>
    </row>
    <row r="15" spans="1:6" x14ac:dyDescent="0.2">
      <c r="A15" s="26" t="s">
        <v>893</v>
      </c>
      <c r="B15" s="26" t="s">
        <v>894</v>
      </c>
      <c r="C15" s="26" t="s">
        <v>866</v>
      </c>
      <c r="D15" s="30">
        <v>871834</v>
      </c>
      <c r="E15" s="28">
        <v>10343.00266</v>
      </c>
      <c r="F15" s="29">
        <v>2.46138223756531</v>
      </c>
    </row>
    <row r="16" spans="1:6" x14ac:dyDescent="0.2">
      <c r="A16" s="26" t="s">
        <v>861</v>
      </c>
      <c r="B16" s="26" t="s">
        <v>862</v>
      </c>
      <c r="C16" s="26" t="s">
        <v>863</v>
      </c>
      <c r="D16" s="30">
        <v>4078627</v>
      </c>
      <c r="E16" s="28">
        <v>10098.68045</v>
      </c>
      <c r="F16" s="29">
        <v>2.4032395136673101</v>
      </c>
    </row>
    <row r="17" spans="1:6" x14ac:dyDescent="0.2">
      <c r="A17" s="26" t="s">
        <v>948</v>
      </c>
      <c r="B17" s="26" t="s">
        <v>949</v>
      </c>
      <c r="C17" s="26" t="s">
        <v>950</v>
      </c>
      <c r="D17" s="30">
        <v>757133</v>
      </c>
      <c r="E17" s="28">
        <v>9748.8445080000001</v>
      </c>
      <c r="F17" s="29">
        <v>2.31998709635615</v>
      </c>
    </row>
    <row r="18" spans="1:6" x14ac:dyDescent="0.2">
      <c r="A18" s="26" t="s">
        <v>878</v>
      </c>
      <c r="B18" s="26" t="s">
        <v>879</v>
      </c>
      <c r="C18" s="26" t="s">
        <v>880</v>
      </c>
      <c r="D18" s="30">
        <v>4049242</v>
      </c>
      <c r="E18" s="28">
        <v>9740.4516309999999</v>
      </c>
      <c r="F18" s="29">
        <v>2.3179897964376499</v>
      </c>
    </row>
    <row r="19" spans="1:6" x14ac:dyDescent="0.2">
      <c r="A19" s="26" t="s">
        <v>850</v>
      </c>
      <c r="B19" s="26" t="s">
        <v>851</v>
      </c>
      <c r="C19" s="26" t="s">
        <v>839</v>
      </c>
      <c r="D19" s="30">
        <v>474652</v>
      </c>
      <c r="E19" s="28">
        <v>9472.1553120000008</v>
      </c>
      <c r="F19" s="29">
        <v>2.2541418196267502</v>
      </c>
    </row>
    <row r="20" spans="1:6" x14ac:dyDescent="0.2">
      <c r="A20" s="26" t="s">
        <v>926</v>
      </c>
      <c r="B20" s="26" t="s">
        <v>927</v>
      </c>
      <c r="C20" s="26" t="s">
        <v>874</v>
      </c>
      <c r="D20" s="30">
        <v>177107</v>
      </c>
      <c r="E20" s="28">
        <v>9218.5964569999996</v>
      </c>
      <c r="F20" s="29">
        <v>2.1938009996163301</v>
      </c>
    </row>
    <row r="21" spans="1:6" x14ac:dyDescent="0.2">
      <c r="A21" s="26" t="s">
        <v>867</v>
      </c>
      <c r="B21" s="26" t="s">
        <v>868</v>
      </c>
      <c r="C21" s="26" t="s">
        <v>863</v>
      </c>
      <c r="D21" s="30">
        <v>3795176</v>
      </c>
      <c r="E21" s="28">
        <v>8410.1100160000005</v>
      </c>
      <c r="F21" s="29">
        <v>2.0014009557793702</v>
      </c>
    </row>
    <row r="22" spans="1:6" x14ac:dyDescent="0.2">
      <c r="A22" s="26" t="s">
        <v>928</v>
      </c>
      <c r="B22" s="26" t="s">
        <v>929</v>
      </c>
      <c r="C22" s="26" t="s">
        <v>930</v>
      </c>
      <c r="D22" s="30">
        <v>881440</v>
      </c>
      <c r="E22" s="28">
        <v>8178.4410399999997</v>
      </c>
      <c r="F22" s="29">
        <v>1.94626939280234</v>
      </c>
    </row>
    <row r="23" spans="1:6" x14ac:dyDescent="0.2">
      <c r="A23" s="26" t="s">
        <v>953</v>
      </c>
      <c r="B23" s="26" t="s">
        <v>954</v>
      </c>
      <c r="C23" s="26" t="s">
        <v>955</v>
      </c>
      <c r="D23" s="30">
        <v>6223868</v>
      </c>
      <c r="E23" s="28">
        <v>7474.865468</v>
      </c>
      <c r="F23" s="29">
        <v>1.77883557569592</v>
      </c>
    </row>
    <row r="24" spans="1:6" x14ac:dyDescent="0.2">
      <c r="A24" s="26" t="s">
        <v>944</v>
      </c>
      <c r="B24" s="26" t="s">
        <v>945</v>
      </c>
      <c r="C24" s="26" t="s">
        <v>842</v>
      </c>
      <c r="D24" s="30">
        <v>705548</v>
      </c>
      <c r="E24" s="28">
        <v>6866.3931359999997</v>
      </c>
      <c r="F24" s="29">
        <v>1.6340340089490799</v>
      </c>
    </row>
    <row r="25" spans="1:6" x14ac:dyDescent="0.2">
      <c r="A25" s="26" t="s">
        <v>852</v>
      </c>
      <c r="B25" s="26" t="s">
        <v>853</v>
      </c>
      <c r="C25" s="26" t="s">
        <v>854</v>
      </c>
      <c r="D25" s="30">
        <v>402972</v>
      </c>
      <c r="E25" s="28">
        <v>6634.1280360000001</v>
      </c>
      <c r="F25" s="29">
        <v>1.57876058300699</v>
      </c>
    </row>
    <row r="26" spans="1:6" x14ac:dyDescent="0.2">
      <c r="A26" s="26" t="s">
        <v>858</v>
      </c>
      <c r="B26" s="26" t="s">
        <v>859</v>
      </c>
      <c r="C26" s="26" t="s">
        <v>860</v>
      </c>
      <c r="D26" s="30">
        <v>960704</v>
      </c>
      <c r="E26" s="28">
        <v>6183.5712960000001</v>
      </c>
      <c r="F26" s="29">
        <v>1.4715390736149301</v>
      </c>
    </row>
    <row r="27" spans="1:6" x14ac:dyDescent="0.2">
      <c r="A27" s="26" t="s">
        <v>951</v>
      </c>
      <c r="B27" s="26" t="s">
        <v>952</v>
      </c>
      <c r="C27" s="26" t="s">
        <v>937</v>
      </c>
      <c r="D27" s="30">
        <v>1115794</v>
      </c>
      <c r="E27" s="28">
        <v>5982.887428</v>
      </c>
      <c r="F27" s="29">
        <v>1.4237812102266301</v>
      </c>
    </row>
    <row r="28" spans="1:6" x14ac:dyDescent="0.2">
      <c r="A28" s="26" t="s">
        <v>875</v>
      </c>
      <c r="B28" s="26" t="s">
        <v>876</v>
      </c>
      <c r="C28" s="26" t="s">
        <v>877</v>
      </c>
      <c r="D28" s="30">
        <v>2520962</v>
      </c>
      <c r="E28" s="28">
        <v>5493.1761980000001</v>
      </c>
      <c r="F28" s="29">
        <v>1.3072418876834899</v>
      </c>
    </row>
    <row r="29" spans="1:6" x14ac:dyDescent="0.2">
      <c r="A29" s="26" t="s">
        <v>958</v>
      </c>
      <c r="B29" s="26" t="s">
        <v>959</v>
      </c>
      <c r="C29" s="26" t="s">
        <v>877</v>
      </c>
      <c r="D29" s="30">
        <v>5948967</v>
      </c>
      <c r="E29" s="28">
        <v>5410.5854870000003</v>
      </c>
      <c r="F29" s="29">
        <v>1.2875873138884499</v>
      </c>
    </row>
    <row r="30" spans="1:6" x14ac:dyDescent="0.2">
      <c r="A30" s="26" t="s">
        <v>884</v>
      </c>
      <c r="B30" s="26" t="s">
        <v>885</v>
      </c>
      <c r="C30" s="26" t="s">
        <v>839</v>
      </c>
      <c r="D30" s="30">
        <v>1935519</v>
      </c>
      <c r="E30" s="28">
        <v>5321.7094909999996</v>
      </c>
      <c r="F30" s="29">
        <v>1.2664369956403101</v>
      </c>
    </row>
    <row r="31" spans="1:6" x14ac:dyDescent="0.2">
      <c r="A31" s="26" t="s">
        <v>1182</v>
      </c>
      <c r="B31" s="26" t="s">
        <v>1183</v>
      </c>
      <c r="C31" s="26" t="s">
        <v>839</v>
      </c>
      <c r="D31" s="30">
        <v>2914508</v>
      </c>
      <c r="E31" s="28">
        <v>5249.0289080000002</v>
      </c>
      <c r="F31" s="29">
        <v>1.249140790477</v>
      </c>
    </row>
    <row r="32" spans="1:6" x14ac:dyDescent="0.2">
      <c r="A32" s="26" t="s">
        <v>1303</v>
      </c>
      <c r="B32" s="26" t="s">
        <v>1304</v>
      </c>
      <c r="C32" s="26" t="s">
        <v>866</v>
      </c>
      <c r="D32" s="30">
        <v>896279</v>
      </c>
      <c r="E32" s="28">
        <v>5182.7333179999996</v>
      </c>
      <c r="F32" s="29">
        <v>1.2333640578376399</v>
      </c>
    </row>
    <row r="33" spans="1:6" x14ac:dyDescent="0.2">
      <c r="A33" s="26" t="s">
        <v>1289</v>
      </c>
      <c r="B33" s="26" t="s">
        <v>1290</v>
      </c>
      <c r="C33" s="26" t="s">
        <v>874</v>
      </c>
      <c r="D33" s="30">
        <v>503898</v>
      </c>
      <c r="E33" s="28">
        <v>4922.3276130000004</v>
      </c>
      <c r="F33" s="29">
        <v>1.17139385460774</v>
      </c>
    </row>
    <row r="34" spans="1:6" x14ac:dyDescent="0.2">
      <c r="A34" s="26" t="s">
        <v>1007</v>
      </c>
      <c r="B34" s="26" t="s">
        <v>1008</v>
      </c>
      <c r="C34" s="26" t="s">
        <v>1009</v>
      </c>
      <c r="D34" s="30">
        <v>3970503</v>
      </c>
      <c r="E34" s="28">
        <v>4762.6183490000003</v>
      </c>
      <c r="F34" s="29">
        <v>1.1333869470871101</v>
      </c>
    </row>
    <row r="35" spans="1:6" x14ac:dyDescent="0.2">
      <c r="A35" s="26" t="s">
        <v>895</v>
      </c>
      <c r="B35" s="26" t="s">
        <v>896</v>
      </c>
      <c r="C35" s="26" t="s">
        <v>871</v>
      </c>
      <c r="D35" s="30">
        <v>137369</v>
      </c>
      <c r="E35" s="28">
        <v>4731.0570449999996</v>
      </c>
      <c r="F35" s="29">
        <v>1.12587612691103</v>
      </c>
    </row>
    <row r="36" spans="1:6" x14ac:dyDescent="0.2">
      <c r="A36" s="26" t="s">
        <v>956</v>
      </c>
      <c r="B36" s="26" t="s">
        <v>957</v>
      </c>
      <c r="C36" s="26" t="s">
        <v>892</v>
      </c>
      <c r="D36" s="30">
        <v>2627584</v>
      </c>
      <c r="E36" s="28">
        <v>4519.4444800000001</v>
      </c>
      <c r="F36" s="29">
        <v>1.07551750032467</v>
      </c>
    </row>
    <row r="37" spans="1:6" x14ac:dyDescent="0.2">
      <c r="A37" s="26" t="s">
        <v>872</v>
      </c>
      <c r="B37" s="26" t="s">
        <v>873</v>
      </c>
      <c r="C37" s="26" t="s">
        <v>874</v>
      </c>
      <c r="D37" s="30">
        <v>920735</v>
      </c>
      <c r="E37" s="28">
        <v>4389.6041130000003</v>
      </c>
      <c r="F37" s="29">
        <v>1.0446186614131501</v>
      </c>
    </row>
    <row r="38" spans="1:6" x14ac:dyDescent="0.2">
      <c r="A38" s="26" t="s">
        <v>963</v>
      </c>
      <c r="B38" s="26" t="s">
        <v>964</v>
      </c>
      <c r="C38" s="26" t="s">
        <v>937</v>
      </c>
      <c r="D38" s="30">
        <v>1158898</v>
      </c>
      <c r="E38" s="28">
        <v>4223.0243119999996</v>
      </c>
      <c r="F38" s="29">
        <v>1.0049767337450599</v>
      </c>
    </row>
    <row r="39" spans="1:6" x14ac:dyDescent="0.2">
      <c r="A39" s="26" t="s">
        <v>903</v>
      </c>
      <c r="B39" s="26" t="s">
        <v>904</v>
      </c>
      <c r="C39" s="26" t="s">
        <v>871</v>
      </c>
      <c r="D39" s="30">
        <v>2246634</v>
      </c>
      <c r="E39" s="28">
        <v>4130.4366090000003</v>
      </c>
      <c r="F39" s="29">
        <v>0.98294311980599602</v>
      </c>
    </row>
    <row r="40" spans="1:6" x14ac:dyDescent="0.2">
      <c r="A40" s="26" t="s">
        <v>886</v>
      </c>
      <c r="B40" s="26" t="s">
        <v>887</v>
      </c>
      <c r="C40" s="26" t="s">
        <v>883</v>
      </c>
      <c r="D40" s="30">
        <v>3977486</v>
      </c>
      <c r="E40" s="28">
        <v>3951.632341</v>
      </c>
      <c r="F40" s="29">
        <v>0.94039206729992697</v>
      </c>
    </row>
    <row r="41" spans="1:6" x14ac:dyDescent="0.2">
      <c r="A41" s="26" t="s">
        <v>897</v>
      </c>
      <c r="B41" s="26" t="s">
        <v>898</v>
      </c>
      <c r="C41" s="26" t="s">
        <v>866</v>
      </c>
      <c r="D41" s="30">
        <v>607174</v>
      </c>
      <c r="E41" s="28">
        <v>3690.0999849999998</v>
      </c>
      <c r="F41" s="29">
        <v>0.87815374862516304</v>
      </c>
    </row>
    <row r="42" spans="1:6" x14ac:dyDescent="0.2">
      <c r="A42" s="26" t="s">
        <v>967</v>
      </c>
      <c r="B42" s="26" t="s">
        <v>968</v>
      </c>
      <c r="C42" s="26" t="s">
        <v>863</v>
      </c>
      <c r="D42" s="30">
        <v>2792178</v>
      </c>
      <c r="E42" s="28">
        <v>3441.3593850000002</v>
      </c>
      <c r="F42" s="29">
        <v>0.81895955572708901</v>
      </c>
    </row>
    <row r="43" spans="1:6" x14ac:dyDescent="0.2">
      <c r="A43" s="26" t="s">
        <v>1018</v>
      </c>
      <c r="B43" s="26" t="s">
        <v>1019</v>
      </c>
      <c r="C43" s="26" t="s">
        <v>892</v>
      </c>
      <c r="D43" s="30">
        <v>990217</v>
      </c>
      <c r="E43" s="28">
        <v>3412.7828909999998</v>
      </c>
      <c r="F43" s="29">
        <v>0.81215904749406698</v>
      </c>
    </row>
    <row r="44" spans="1:6" x14ac:dyDescent="0.2">
      <c r="A44" s="26" t="s">
        <v>986</v>
      </c>
      <c r="B44" s="26" t="s">
        <v>987</v>
      </c>
      <c r="C44" s="26" t="s">
        <v>857</v>
      </c>
      <c r="D44" s="30">
        <v>199808</v>
      </c>
      <c r="E44" s="28">
        <v>3131.291072</v>
      </c>
      <c r="F44" s="29">
        <v>0.74517086368685603</v>
      </c>
    </row>
    <row r="45" spans="1:6" x14ac:dyDescent="0.2">
      <c r="A45" s="26" t="s">
        <v>1327</v>
      </c>
      <c r="B45" s="26" t="s">
        <v>1328</v>
      </c>
      <c r="C45" s="26" t="s">
        <v>839</v>
      </c>
      <c r="D45" s="30">
        <v>305270</v>
      </c>
      <c r="E45" s="28">
        <v>2732.0138649999999</v>
      </c>
      <c r="F45" s="29">
        <v>0.65015263179804395</v>
      </c>
    </row>
    <row r="46" spans="1:6" x14ac:dyDescent="0.2">
      <c r="A46" s="26" t="s">
        <v>1166</v>
      </c>
      <c r="B46" s="26" t="s">
        <v>1167</v>
      </c>
      <c r="C46" s="26" t="s">
        <v>955</v>
      </c>
      <c r="D46" s="30">
        <v>6320734</v>
      </c>
      <c r="E46" s="28">
        <v>2544.0954350000002</v>
      </c>
      <c r="F46" s="29">
        <v>0.60543263114465895</v>
      </c>
    </row>
    <row r="47" spans="1:6" x14ac:dyDescent="0.2">
      <c r="A47" s="26" t="s">
        <v>855</v>
      </c>
      <c r="B47" s="26" t="s">
        <v>856</v>
      </c>
      <c r="C47" s="26" t="s">
        <v>857</v>
      </c>
      <c r="D47" s="30">
        <v>300000</v>
      </c>
      <c r="E47" s="28">
        <v>2476.9499999999998</v>
      </c>
      <c r="F47" s="29">
        <v>0.58945365613368295</v>
      </c>
    </row>
    <row r="48" spans="1:6" x14ac:dyDescent="0.2">
      <c r="A48" s="26" t="s">
        <v>1064</v>
      </c>
      <c r="B48" s="26" t="s">
        <v>1065</v>
      </c>
      <c r="C48" s="26" t="s">
        <v>842</v>
      </c>
      <c r="D48" s="30">
        <v>481063</v>
      </c>
      <c r="E48" s="28">
        <v>2468.0937220000001</v>
      </c>
      <c r="F48" s="29">
        <v>0.587346078085343</v>
      </c>
    </row>
    <row r="49" spans="1:9" x14ac:dyDescent="0.2">
      <c r="A49" s="26" t="s">
        <v>969</v>
      </c>
      <c r="B49" s="26" t="s">
        <v>970</v>
      </c>
      <c r="C49" s="26" t="s">
        <v>839</v>
      </c>
      <c r="D49" s="30">
        <v>3293517</v>
      </c>
      <c r="E49" s="28">
        <v>2196.7758389999999</v>
      </c>
      <c r="F49" s="29">
        <v>0.52277904277627296</v>
      </c>
    </row>
    <row r="50" spans="1:9" x14ac:dyDescent="0.2">
      <c r="A50" s="26" t="s">
        <v>1460</v>
      </c>
      <c r="B50" s="26" t="s">
        <v>1461</v>
      </c>
      <c r="C50" s="26" t="s">
        <v>1138</v>
      </c>
      <c r="D50" s="30">
        <v>771008</v>
      </c>
      <c r="E50" s="28">
        <v>2051.6522880000002</v>
      </c>
      <c r="F50" s="29">
        <v>0.48824317902122999</v>
      </c>
    </row>
    <row r="51" spans="1:9" x14ac:dyDescent="0.2">
      <c r="A51" s="26" t="s">
        <v>907</v>
      </c>
      <c r="B51" s="26" t="s">
        <v>908</v>
      </c>
      <c r="C51" s="26" t="s">
        <v>909</v>
      </c>
      <c r="D51" s="30">
        <v>1075124</v>
      </c>
      <c r="E51" s="28">
        <v>1780.405344</v>
      </c>
      <c r="F51" s="29">
        <v>0.42369302546306797</v>
      </c>
    </row>
    <row r="52" spans="1:9" x14ac:dyDescent="0.2">
      <c r="A52" s="26" t="s">
        <v>960</v>
      </c>
      <c r="B52" s="26" t="s">
        <v>961</v>
      </c>
      <c r="C52" s="26" t="s">
        <v>962</v>
      </c>
      <c r="D52" s="30">
        <v>1278633</v>
      </c>
      <c r="E52" s="28">
        <v>1759.3990080000001</v>
      </c>
      <c r="F52" s="29">
        <v>0.41869403010297901</v>
      </c>
    </row>
    <row r="53" spans="1:9" x14ac:dyDescent="0.2">
      <c r="A53" s="26" t="s">
        <v>1003</v>
      </c>
      <c r="B53" s="26" t="s">
        <v>1004</v>
      </c>
      <c r="C53" s="26" t="s">
        <v>871</v>
      </c>
      <c r="D53" s="30">
        <v>1791828</v>
      </c>
      <c r="E53" s="28">
        <v>1347.4546560000001</v>
      </c>
      <c r="F53" s="29">
        <v>0.32066132681465298</v>
      </c>
    </row>
    <row r="54" spans="1:9" x14ac:dyDescent="0.2">
      <c r="A54" s="26" t="s">
        <v>910</v>
      </c>
      <c r="B54" s="26" t="s">
        <v>911</v>
      </c>
      <c r="C54" s="26" t="s">
        <v>912</v>
      </c>
      <c r="D54" s="30">
        <v>3057159</v>
      </c>
      <c r="E54" s="28">
        <v>1303.878314</v>
      </c>
      <c r="F54" s="29">
        <v>0.31029122079199101</v>
      </c>
    </row>
    <row r="55" spans="1:9" x14ac:dyDescent="0.2">
      <c r="A55" s="26" t="s">
        <v>905</v>
      </c>
      <c r="B55" s="26" t="s">
        <v>906</v>
      </c>
      <c r="C55" s="26" t="s">
        <v>871</v>
      </c>
      <c r="D55" s="30">
        <v>265282</v>
      </c>
      <c r="E55" s="28">
        <v>1286.6177</v>
      </c>
      <c r="F55" s="29">
        <v>0.30618361586277898</v>
      </c>
    </row>
    <row r="56" spans="1:9" x14ac:dyDescent="0.2">
      <c r="A56" s="26" t="s">
        <v>1025</v>
      </c>
      <c r="B56" s="26" t="s">
        <v>1026</v>
      </c>
      <c r="C56" s="26" t="s">
        <v>937</v>
      </c>
      <c r="D56" s="30">
        <v>1695647</v>
      </c>
      <c r="E56" s="28">
        <v>1154.7356070000001</v>
      </c>
      <c r="F56" s="29">
        <v>0.27479889598655499</v>
      </c>
    </row>
    <row r="57" spans="1:9" x14ac:dyDescent="0.2">
      <c r="A57" s="26" t="s">
        <v>1319</v>
      </c>
      <c r="B57" s="26" t="s">
        <v>1320</v>
      </c>
      <c r="C57" s="26" t="s">
        <v>1022</v>
      </c>
      <c r="D57" s="30">
        <v>606347</v>
      </c>
      <c r="E57" s="28">
        <v>586.64072250000004</v>
      </c>
      <c r="F57" s="29">
        <v>0.13960617643251999</v>
      </c>
    </row>
    <row r="58" spans="1:9" x14ac:dyDescent="0.2">
      <c r="A58" s="26" t="s">
        <v>913</v>
      </c>
      <c r="B58" s="26" t="s">
        <v>914</v>
      </c>
      <c r="C58" s="26" t="s">
        <v>909</v>
      </c>
      <c r="D58" s="30">
        <v>125663</v>
      </c>
      <c r="E58" s="28">
        <v>130.12403649999999</v>
      </c>
      <c r="F58" s="29">
        <v>3.0966345330264201E-2</v>
      </c>
    </row>
    <row r="59" spans="1:9" ht="10.5" x14ac:dyDescent="0.25">
      <c r="A59" s="25" t="s">
        <v>17</v>
      </c>
      <c r="B59" s="25"/>
      <c r="C59" s="25"/>
      <c r="D59" s="31"/>
      <c r="E59" s="32">
        <f>SUM(E7:E58)</f>
        <v>412709.146702</v>
      </c>
      <c r="F59" s="33">
        <f>SUM(F7:F58)</f>
        <v>98.214705764470935</v>
      </c>
      <c r="G59" s="18"/>
      <c r="H59" s="18"/>
      <c r="I59" s="18"/>
    </row>
    <row r="60" spans="1:9" x14ac:dyDescent="0.2">
      <c r="A60" s="26"/>
      <c r="B60" s="26"/>
      <c r="C60" s="26"/>
      <c r="D60" s="27"/>
      <c r="E60" s="28"/>
      <c r="F60" s="29"/>
    </row>
    <row r="61" spans="1:9" ht="10.5" x14ac:dyDescent="0.25">
      <c r="A61" s="25" t="s">
        <v>988</v>
      </c>
      <c r="B61" s="26"/>
      <c r="C61" s="26"/>
      <c r="D61" s="27"/>
      <c r="E61" s="28"/>
      <c r="F61" s="29"/>
    </row>
    <row r="62" spans="1:9" x14ac:dyDescent="0.2">
      <c r="A62" s="26" t="s">
        <v>989</v>
      </c>
      <c r="B62" s="26" t="s">
        <v>990</v>
      </c>
      <c r="C62" s="26" t="s">
        <v>991</v>
      </c>
      <c r="D62" s="30">
        <v>30000</v>
      </c>
      <c r="E62" s="28">
        <v>3.0000000000000001E-3</v>
      </c>
      <c r="F62" s="29">
        <v>7.1392679238621997E-7</v>
      </c>
    </row>
    <row r="63" spans="1:9" x14ac:dyDescent="0.2">
      <c r="A63" s="26" t="s">
        <v>1285</v>
      </c>
      <c r="B63" s="26" t="s">
        <v>1286</v>
      </c>
      <c r="C63" s="26" t="s">
        <v>937</v>
      </c>
      <c r="D63" s="30">
        <v>3500</v>
      </c>
      <c r="E63" s="28">
        <v>3.5E-4</v>
      </c>
      <c r="F63" s="29">
        <v>8.3291459111725696E-8</v>
      </c>
    </row>
    <row r="64" spans="1:9" x14ac:dyDescent="0.2">
      <c r="A64" s="26"/>
      <c r="B64" s="26" t="s">
        <v>992</v>
      </c>
      <c r="C64" s="26" t="s">
        <v>937</v>
      </c>
      <c r="D64" s="30">
        <v>2900</v>
      </c>
      <c r="E64" s="28">
        <v>2.9E-4</v>
      </c>
      <c r="F64" s="29">
        <v>6.9012923264001306E-8</v>
      </c>
    </row>
    <row r="65" spans="1:9" ht="10.5" x14ac:dyDescent="0.25">
      <c r="A65" s="25" t="s">
        <v>17</v>
      </c>
      <c r="B65" s="25"/>
      <c r="C65" s="25"/>
      <c r="D65" s="31"/>
      <c r="E65" s="32">
        <f>SUM(E61:E64)</f>
        <v>3.64E-3</v>
      </c>
      <c r="F65" s="33">
        <f>SUM(F61:F64)</f>
        <v>8.6623117476194697E-7</v>
      </c>
      <c r="G65" s="18"/>
      <c r="H65" s="18"/>
      <c r="I65" s="18"/>
    </row>
    <row r="66" spans="1:9" x14ac:dyDescent="0.2">
      <c r="A66" s="26"/>
      <c r="B66" s="26"/>
      <c r="C66" s="26"/>
      <c r="D66" s="27"/>
      <c r="E66" s="28"/>
      <c r="F66" s="29"/>
    </row>
    <row r="67" spans="1:9" ht="10.5" x14ac:dyDescent="0.25">
      <c r="A67" s="25" t="s">
        <v>62</v>
      </c>
      <c r="B67" s="25"/>
      <c r="C67" s="25"/>
      <c r="D67" s="31"/>
      <c r="E67" s="32">
        <f>E59+E65</f>
        <v>412709.15034200001</v>
      </c>
      <c r="F67" s="33">
        <f>F59+F65</f>
        <v>98.214706630702111</v>
      </c>
      <c r="G67" s="18"/>
      <c r="H67" s="18"/>
      <c r="I67" s="18"/>
    </row>
    <row r="68" spans="1:9" ht="10.5" x14ac:dyDescent="0.25">
      <c r="A68" s="25"/>
      <c r="B68" s="25"/>
      <c r="C68" s="25"/>
      <c r="D68" s="31"/>
      <c r="E68" s="32"/>
      <c r="F68" s="33"/>
      <c r="G68" s="18"/>
      <c r="H68" s="18"/>
      <c r="I68" s="18"/>
    </row>
    <row r="69" spans="1:9" ht="10.5" x14ac:dyDescent="0.25">
      <c r="A69" s="25" t="s">
        <v>63</v>
      </c>
      <c r="B69" s="25"/>
      <c r="C69" s="25"/>
      <c r="D69" s="31"/>
      <c r="E69" s="32">
        <f>E71-(E59+E65)</f>
        <v>7502.0018369000172</v>
      </c>
      <c r="F69" s="33">
        <f>F71-(F59+F65)</f>
        <v>1.7852933692978894</v>
      </c>
      <c r="G69" s="18"/>
      <c r="H69" s="18"/>
      <c r="I69" s="18"/>
    </row>
    <row r="70" spans="1:9" ht="10.5" x14ac:dyDescent="0.25">
      <c r="A70" s="25"/>
      <c r="B70" s="25"/>
      <c r="C70" s="25"/>
      <c r="D70" s="31"/>
      <c r="E70" s="32"/>
      <c r="F70" s="33"/>
      <c r="G70" s="18"/>
      <c r="H70" s="18"/>
      <c r="I70" s="18"/>
    </row>
    <row r="71" spans="1:9" ht="10.5" x14ac:dyDescent="0.25">
      <c r="A71" s="34" t="s">
        <v>64</v>
      </c>
      <c r="B71" s="34"/>
      <c r="C71" s="34"/>
      <c r="D71" s="35"/>
      <c r="E71" s="36">
        <v>420211.15217890003</v>
      </c>
      <c r="F71" s="37">
        <v>100</v>
      </c>
      <c r="G71" s="18"/>
      <c r="H71" s="18"/>
      <c r="I71" s="18"/>
    </row>
    <row r="72" spans="1:9" ht="10.5" x14ac:dyDescent="0.25">
      <c r="F72" s="19" t="s">
        <v>924</v>
      </c>
    </row>
    <row r="73" spans="1:9" ht="10.5" x14ac:dyDescent="0.25">
      <c r="A73" s="18" t="s">
        <v>66</v>
      </c>
    </row>
    <row r="75" spans="1:9" ht="10.5" x14ac:dyDescent="0.25">
      <c r="A75" s="18" t="s">
        <v>67</v>
      </c>
    </row>
    <row r="76" spans="1:9" ht="10.5" x14ac:dyDescent="0.25">
      <c r="A76" s="18" t="s">
        <v>68</v>
      </c>
    </row>
    <row r="77" spans="1:9" ht="10.5" x14ac:dyDescent="0.25">
      <c r="A77" s="18" t="s">
        <v>69</v>
      </c>
      <c r="B77" s="18"/>
      <c r="C77" s="38" t="s">
        <v>70</v>
      </c>
      <c r="D77" s="43" t="s">
        <v>71</v>
      </c>
    </row>
    <row r="78" spans="1:9" x14ac:dyDescent="0.2">
      <c r="A78" s="9" t="s">
        <v>98</v>
      </c>
      <c r="C78" s="39">
        <v>465.61939999999998</v>
      </c>
      <c r="D78" s="39">
        <v>633.01170000000002</v>
      </c>
    </row>
    <row r="79" spans="1:9" x14ac:dyDescent="0.2">
      <c r="A79" s="9" t="s">
        <v>331</v>
      </c>
      <c r="C79" s="39">
        <v>30.965</v>
      </c>
      <c r="D79" s="39">
        <v>42.097099999999998</v>
      </c>
    </row>
    <row r="80" spans="1:9" x14ac:dyDescent="0.2">
      <c r="A80" s="9" t="s">
        <v>101</v>
      </c>
      <c r="C80" s="39">
        <v>497.80630000000002</v>
      </c>
      <c r="D80" s="39">
        <v>679.84180000000003</v>
      </c>
    </row>
    <row r="81" spans="1:4" x14ac:dyDescent="0.2">
      <c r="A81" s="9" t="s">
        <v>332</v>
      </c>
      <c r="C81" s="39">
        <v>33.927599999999998</v>
      </c>
      <c r="D81" s="39">
        <v>46.333799999999997</v>
      </c>
    </row>
    <row r="83" spans="1:4" ht="10.5" x14ac:dyDescent="0.25">
      <c r="A83" s="18" t="s">
        <v>90</v>
      </c>
      <c r="D83" s="43" t="s">
        <v>96</v>
      </c>
    </row>
    <row r="85" spans="1:4" ht="10.5" x14ac:dyDescent="0.25">
      <c r="A85" s="18" t="s">
        <v>998</v>
      </c>
      <c r="D85" s="59">
        <v>5.8400000000000001E-2</v>
      </c>
    </row>
    <row r="87" spans="1:4" ht="10.5" x14ac:dyDescent="0.25">
      <c r="A87" s="18" t="s">
        <v>1516</v>
      </c>
    </row>
    <row r="88" spans="1:4" x14ac:dyDescent="0.2">
      <c r="A88" s="47" t="s">
        <v>1509</v>
      </c>
    </row>
  </sheetData>
  <mergeCells count="1">
    <mergeCell ref="A1:F1"/>
  </mergeCells>
  <conditionalFormatting sqref="F2:F3 F5:F65537">
    <cfRule type="cellIs" dxfId="9" priority="1" stopIfTrue="1" operator="between">
      <formula>0.009</formula>
      <formula>-0.009</formula>
    </cfRule>
  </conditionalFormatting>
  <hyperlinks>
    <hyperlink ref="A88" r:id="rId1" xr:uid="{B6BA9DE3-DF3C-4DB4-9598-D8C5B3DE1911}"/>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29"/>
  <sheetViews>
    <sheetView workbookViewId="0">
      <selection sqref="A1:E1"/>
    </sheetView>
  </sheetViews>
  <sheetFormatPr defaultColWidth="9.1796875" defaultRowHeight="10" x14ac:dyDescent="0.2"/>
  <cols>
    <col min="1" max="1" width="36.81640625" style="9" bestFit="1" customWidth="1"/>
    <col min="2" max="2" width="33.54296875" style="9" bestFit="1" customWidth="1"/>
    <col min="3" max="3" width="18.81640625" style="9" bestFit="1" customWidth="1"/>
    <col min="4" max="4" width="23" style="10" bestFit="1" customWidth="1"/>
    <col min="5" max="5" width="13.54296875" style="13" customWidth="1"/>
    <col min="6" max="6" width="13.54296875" style="14" bestFit="1" customWidth="1"/>
    <col min="7" max="16384" width="9.1796875" style="9"/>
  </cols>
  <sheetData>
    <row r="1" spans="1:9" s="1" customFormat="1" ht="15" customHeight="1" x14ac:dyDescent="0.25">
      <c r="A1" s="66" t="s">
        <v>1462</v>
      </c>
      <c r="B1" s="67"/>
      <c r="C1" s="67"/>
      <c r="D1" s="67"/>
      <c r="E1" s="67"/>
    </row>
    <row r="2" spans="1:9" s="1" customFormat="1" ht="11.5" x14ac:dyDescent="0.25">
      <c r="D2" s="6"/>
      <c r="E2" s="7"/>
      <c r="F2" s="12"/>
    </row>
    <row r="3" spans="1:9" s="1" customFormat="1" ht="11.5" x14ac:dyDescent="0.25">
      <c r="A3" s="11" t="s">
        <v>1</v>
      </c>
      <c r="B3" s="2"/>
      <c r="C3" s="3"/>
      <c r="D3" s="4"/>
      <c r="E3" s="5"/>
      <c r="F3" s="12"/>
    </row>
    <row r="4" spans="1:9" s="1" customFormat="1" ht="17.5" customHeight="1" x14ac:dyDescent="0.25">
      <c r="A4" s="8" t="s">
        <v>2</v>
      </c>
      <c r="B4" s="8" t="s">
        <v>3</v>
      </c>
      <c r="C4" s="16" t="s">
        <v>5</v>
      </c>
      <c r="D4" s="15" t="s">
        <v>6</v>
      </c>
      <c r="E4" s="15" t="s">
        <v>7</v>
      </c>
    </row>
    <row r="5" spans="1:9" ht="10.5" x14ac:dyDescent="0.25">
      <c r="A5" s="20" t="s">
        <v>1129</v>
      </c>
      <c r="B5" s="21"/>
      <c r="C5" s="22"/>
      <c r="D5" s="23"/>
      <c r="E5" s="24"/>
    </row>
    <row r="6" spans="1:9" x14ac:dyDescent="0.2">
      <c r="A6" s="26" t="s">
        <v>1463</v>
      </c>
      <c r="B6" s="26" t="s">
        <v>1464</v>
      </c>
      <c r="C6" s="30">
        <v>5070258.3669999996</v>
      </c>
      <c r="D6" s="28">
        <v>271793.96730999998</v>
      </c>
      <c r="E6" s="29">
        <v>99.807512520636607</v>
      </c>
    </row>
    <row r="7" spans="1:9" ht="10.5" x14ac:dyDescent="0.25">
      <c r="A7" s="25" t="s">
        <v>17</v>
      </c>
      <c r="B7" s="25"/>
      <c r="C7" s="31"/>
      <c r="D7" s="32">
        <f>SUM(D6:D6)</f>
        <v>271793.96730999998</v>
      </c>
      <c r="E7" s="33">
        <f>SUM(E6:E6)</f>
        <v>99.807512520636607</v>
      </c>
      <c r="G7" s="18"/>
      <c r="H7" s="18"/>
      <c r="I7" s="18"/>
    </row>
    <row r="8" spans="1:9" x14ac:dyDescent="0.2">
      <c r="A8" s="26"/>
      <c r="B8" s="26"/>
      <c r="C8" s="27"/>
      <c r="D8" s="28"/>
      <c r="E8" s="29"/>
    </row>
    <row r="9" spans="1:9" ht="10.5" x14ac:dyDescent="0.25">
      <c r="A9" s="25" t="s">
        <v>62</v>
      </c>
      <c r="B9" s="25"/>
      <c r="C9" s="31"/>
      <c r="D9" s="32">
        <f>D7</f>
        <v>271793.96730999998</v>
      </c>
      <c r="E9" s="33">
        <f>E7</f>
        <v>99.807512520636607</v>
      </c>
      <c r="G9" s="18"/>
      <c r="H9" s="18"/>
      <c r="I9" s="18"/>
    </row>
    <row r="10" spans="1:9" ht="10.5" x14ac:dyDescent="0.25">
      <c r="A10" s="25"/>
      <c r="B10" s="25"/>
      <c r="C10" s="31"/>
      <c r="D10" s="32"/>
      <c r="E10" s="33"/>
      <c r="G10" s="18"/>
      <c r="H10" s="18"/>
      <c r="I10" s="18"/>
    </row>
    <row r="11" spans="1:9" ht="10.5" x14ac:dyDescent="0.25">
      <c r="A11" s="25" t="s">
        <v>63</v>
      </c>
      <c r="B11" s="25"/>
      <c r="C11" s="31"/>
      <c r="D11" s="32">
        <f>D13-(D7)</f>
        <v>524.17833439999959</v>
      </c>
      <c r="E11" s="33">
        <f>E13-(E7)</f>
        <v>0.19248747936339328</v>
      </c>
      <c r="G11" s="18"/>
      <c r="H11" s="18"/>
      <c r="I11" s="18"/>
    </row>
    <row r="12" spans="1:9" ht="10.5" x14ac:dyDescent="0.25">
      <c r="A12" s="25"/>
      <c r="B12" s="25"/>
      <c r="C12" s="31"/>
      <c r="D12" s="32"/>
      <c r="E12" s="33"/>
      <c r="G12" s="18"/>
      <c r="H12" s="18"/>
      <c r="I12" s="18"/>
    </row>
    <row r="13" spans="1:9" ht="10.5" x14ac:dyDescent="0.25">
      <c r="A13" s="34" t="s">
        <v>64</v>
      </c>
      <c r="B13" s="34"/>
      <c r="C13" s="35"/>
      <c r="D13" s="36">
        <v>272318.14564439998</v>
      </c>
      <c r="E13" s="37">
        <v>100</v>
      </c>
      <c r="G13" s="18"/>
      <c r="H13" s="18"/>
      <c r="I13" s="18"/>
    </row>
    <row r="14" spans="1:9" x14ac:dyDescent="0.2">
      <c r="C14" s="10"/>
      <c r="D14" s="13"/>
      <c r="E14" s="14"/>
    </row>
    <row r="16" spans="1:9" ht="10.5" x14ac:dyDescent="0.25">
      <c r="A16" s="18" t="s">
        <v>67</v>
      </c>
    </row>
    <row r="17" spans="1:4" ht="10.5" x14ac:dyDescent="0.25">
      <c r="A17" s="18" t="s">
        <v>68</v>
      </c>
    </row>
    <row r="18" spans="1:4" ht="10.5" x14ac:dyDescent="0.25">
      <c r="A18" s="18" t="s">
        <v>69</v>
      </c>
      <c r="B18" s="18"/>
      <c r="C18" s="38" t="s">
        <v>70</v>
      </c>
      <c r="D18" s="43" t="s">
        <v>71</v>
      </c>
    </row>
    <row r="19" spans="1:4" x14ac:dyDescent="0.2">
      <c r="A19" s="9" t="s">
        <v>98</v>
      </c>
      <c r="C19" s="39">
        <v>42.167000000000002</v>
      </c>
      <c r="D19" s="39">
        <v>50.258499999999998</v>
      </c>
    </row>
    <row r="20" spans="1:4" x14ac:dyDescent="0.2">
      <c r="A20" s="9" t="s">
        <v>331</v>
      </c>
      <c r="C20" s="39">
        <v>42.167000000000002</v>
      </c>
      <c r="D20" s="39">
        <v>50.258499999999998</v>
      </c>
    </row>
    <row r="21" spans="1:4" x14ac:dyDescent="0.2">
      <c r="A21" s="9" t="s">
        <v>101</v>
      </c>
      <c r="C21" s="39">
        <v>45.338799999999999</v>
      </c>
      <c r="D21" s="39">
        <v>54.301000000000002</v>
      </c>
    </row>
    <row r="22" spans="1:4" x14ac:dyDescent="0.2">
      <c r="A22" s="9" t="s">
        <v>332</v>
      </c>
      <c r="C22" s="39">
        <v>45.338799999999999</v>
      </c>
      <c r="D22" s="39">
        <v>54.301000000000002</v>
      </c>
    </row>
    <row r="24" spans="1:4" ht="10.5" x14ac:dyDescent="0.25">
      <c r="A24" s="18" t="s">
        <v>90</v>
      </c>
      <c r="D24" s="43" t="s">
        <v>96</v>
      </c>
    </row>
    <row r="26" spans="1:4" ht="10.5" x14ac:dyDescent="0.25">
      <c r="A26" s="18" t="s">
        <v>998</v>
      </c>
      <c r="D26" s="59">
        <v>2.3E-2</v>
      </c>
    </row>
    <row r="28" spans="1:4" ht="10.5" x14ac:dyDescent="0.25">
      <c r="A28" s="18" t="s">
        <v>1516</v>
      </c>
    </row>
    <row r="29" spans="1:4" x14ac:dyDescent="0.2">
      <c r="A29" s="47" t="s">
        <v>1509</v>
      </c>
    </row>
  </sheetData>
  <mergeCells count="1">
    <mergeCell ref="A1:E1"/>
  </mergeCells>
  <conditionalFormatting sqref="F2:F3 F15:F65536 E5:E14">
    <cfRule type="cellIs" dxfId="8" priority="1" stopIfTrue="1" operator="between">
      <formula>0.009</formula>
      <formula>-0.009</formula>
    </cfRule>
  </conditionalFormatting>
  <hyperlinks>
    <hyperlink ref="A29" r:id="rId1" xr:uid="{0CB537B6-04F4-4FAF-8909-0968F514AE66}"/>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31"/>
  <sheetViews>
    <sheetView workbookViewId="0">
      <selection sqref="A1:E1"/>
    </sheetView>
  </sheetViews>
  <sheetFormatPr defaultColWidth="9.1796875" defaultRowHeight="10" x14ac:dyDescent="0.2"/>
  <cols>
    <col min="1" max="1" width="36.81640625" style="9" bestFit="1" customWidth="1"/>
    <col min="2" max="2" width="39.26953125" style="9" bestFit="1" customWidth="1"/>
    <col min="3" max="3" width="18.81640625" style="9" bestFit="1" customWidth="1"/>
    <col min="4" max="4" width="23" style="10" bestFit="1" customWidth="1"/>
    <col min="5" max="5" width="13.54296875" style="13" customWidth="1"/>
    <col min="6" max="16384" width="9.1796875" style="9"/>
  </cols>
  <sheetData>
    <row r="1" spans="1:8" s="1" customFormat="1" ht="15" customHeight="1" x14ac:dyDescent="0.25">
      <c r="A1" s="66" t="s">
        <v>1465</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1129</v>
      </c>
      <c r="B5" s="21"/>
      <c r="C5" s="22"/>
      <c r="D5" s="23"/>
      <c r="E5" s="24"/>
    </row>
    <row r="6" spans="1:8" x14ac:dyDescent="0.2">
      <c r="A6" s="26" t="s">
        <v>1466</v>
      </c>
      <c r="B6" s="26" t="s">
        <v>1467</v>
      </c>
      <c r="C6" s="30">
        <v>83283.237999999998</v>
      </c>
      <c r="D6" s="28">
        <v>2019.9226180000001</v>
      </c>
      <c r="E6" s="29">
        <v>98.786096465159304</v>
      </c>
    </row>
    <row r="7" spans="1:8" ht="10.5" x14ac:dyDescent="0.25">
      <c r="A7" s="25" t="s">
        <v>17</v>
      </c>
      <c r="B7" s="25"/>
      <c r="C7" s="31"/>
      <c r="D7" s="32">
        <f>SUM(D6:D6)</f>
        <v>2019.9226180000001</v>
      </c>
      <c r="E7" s="33">
        <f>SUM(E6:E6)</f>
        <v>98.786096465159304</v>
      </c>
      <c r="F7" s="18"/>
      <c r="G7" s="18"/>
      <c r="H7" s="18"/>
    </row>
    <row r="8" spans="1:8" x14ac:dyDescent="0.2">
      <c r="A8" s="26"/>
      <c r="B8" s="26"/>
      <c r="C8" s="27"/>
      <c r="D8" s="28"/>
      <c r="E8" s="29"/>
    </row>
    <row r="9" spans="1:8" ht="10.5" x14ac:dyDescent="0.25">
      <c r="A9" s="25" t="s">
        <v>62</v>
      </c>
      <c r="B9" s="25"/>
      <c r="C9" s="31"/>
      <c r="D9" s="32">
        <f>D7</f>
        <v>2019.9226180000001</v>
      </c>
      <c r="E9" s="33">
        <f>E7</f>
        <v>98.786096465159304</v>
      </c>
      <c r="F9" s="18"/>
      <c r="G9" s="18"/>
      <c r="H9" s="18"/>
    </row>
    <row r="10" spans="1:8" ht="10.5" x14ac:dyDescent="0.25">
      <c r="A10" s="25"/>
      <c r="B10" s="25"/>
      <c r="C10" s="31"/>
      <c r="D10" s="32"/>
      <c r="E10" s="33"/>
      <c r="F10" s="18"/>
      <c r="G10" s="18"/>
      <c r="H10" s="18"/>
    </row>
    <row r="11" spans="1:8" ht="10.5" x14ac:dyDescent="0.25">
      <c r="A11" s="25" t="s">
        <v>63</v>
      </c>
      <c r="B11" s="25"/>
      <c r="C11" s="31"/>
      <c r="D11" s="32">
        <f>D13-(D7)</f>
        <v>24.821217700000034</v>
      </c>
      <c r="E11" s="33">
        <f>E13-(E7)</f>
        <v>1.2139035348406964</v>
      </c>
      <c r="F11" s="18"/>
      <c r="G11" s="18"/>
      <c r="H11" s="18"/>
    </row>
    <row r="12" spans="1:8" ht="10.5" x14ac:dyDescent="0.25">
      <c r="A12" s="25"/>
      <c r="B12" s="25"/>
      <c r="C12" s="31"/>
      <c r="D12" s="32"/>
      <c r="E12" s="33"/>
      <c r="F12" s="18"/>
      <c r="G12" s="18"/>
      <c r="H12" s="18"/>
    </row>
    <row r="13" spans="1:8" ht="10.5" x14ac:dyDescent="0.25">
      <c r="A13" s="34" t="s">
        <v>64</v>
      </c>
      <c r="B13" s="34"/>
      <c r="C13" s="35"/>
      <c r="D13" s="36">
        <v>2044.7438357000001</v>
      </c>
      <c r="E13" s="37">
        <v>100</v>
      </c>
      <c r="F13" s="18"/>
      <c r="G13" s="18"/>
      <c r="H13" s="18"/>
    </row>
    <row r="14" spans="1:8" x14ac:dyDescent="0.2">
      <c r="C14" s="10"/>
      <c r="D14" s="13"/>
      <c r="E14" s="14"/>
    </row>
    <row r="16" spans="1:8" ht="10.5" x14ac:dyDescent="0.25">
      <c r="A16" s="18" t="s">
        <v>67</v>
      </c>
    </row>
    <row r="17" spans="1:4" ht="10.5" x14ac:dyDescent="0.25">
      <c r="A17" s="18" t="s">
        <v>68</v>
      </c>
    </row>
    <row r="18" spans="1:4" ht="10.5" x14ac:dyDescent="0.25">
      <c r="A18" s="18" t="s">
        <v>69</v>
      </c>
      <c r="B18" s="18"/>
      <c r="C18" s="38" t="s">
        <v>70</v>
      </c>
      <c r="D18" s="43" t="s">
        <v>71</v>
      </c>
    </row>
    <row r="19" spans="1:4" x14ac:dyDescent="0.2">
      <c r="A19" s="9" t="s">
        <v>98</v>
      </c>
      <c r="C19" s="39">
        <v>7.88</v>
      </c>
      <c r="D19" s="39">
        <v>9.1533999999999995</v>
      </c>
    </row>
    <row r="20" spans="1:4" x14ac:dyDescent="0.2">
      <c r="A20" s="9" t="s">
        <v>331</v>
      </c>
      <c r="C20" s="39">
        <v>7.88</v>
      </c>
      <c r="D20" s="39">
        <v>9.1533999999999995</v>
      </c>
    </row>
    <row r="21" spans="1:4" x14ac:dyDescent="0.2">
      <c r="A21" s="9" t="s">
        <v>101</v>
      </c>
      <c r="C21" s="39">
        <v>8.4954999999999998</v>
      </c>
      <c r="D21" s="39">
        <v>9.9121000000000006</v>
      </c>
    </row>
    <row r="22" spans="1:4" x14ac:dyDescent="0.2">
      <c r="A22" s="9" t="s">
        <v>332</v>
      </c>
      <c r="C22" s="39">
        <v>8.4954999999999998</v>
      </c>
      <c r="D22" s="39">
        <v>9.9121000000000006</v>
      </c>
    </row>
    <row r="24" spans="1:4" ht="10.5" x14ac:dyDescent="0.25">
      <c r="A24" s="18" t="s">
        <v>90</v>
      </c>
      <c r="D24" s="43" t="s">
        <v>96</v>
      </c>
    </row>
    <row r="26" spans="1:4" ht="10.5" x14ac:dyDescent="0.25">
      <c r="A26" s="18" t="s">
        <v>998</v>
      </c>
      <c r="D26" s="59">
        <v>0.13600000000000001</v>
      </c>
    </row>
    <row r="27" spans="1:4" ht="10.5" x14ac:dyDescent="0.25">
      <c r="A27" s="18"/>
      <c r="D27" s="59"/>
    </row>
    <row r="28" spans="1:4" ht="10.5" x14ac:dyDescent="0.25">
      <c r="A28" s="18" t="s">
        <v>1516</v>
      </c>
      <c r="D28" s="59"/>
    </row>
    <row r="29" spans="1:4" x14ac:dyDescent="0.2">
      <c r="A29" s="47" t="s">
        <v>1509</v>
      </c>
      <c r="D29" s="59"/>
    </row>
    <row r="31" spans="1:4" ht="10.5" x14ac:dyDescent="0.25">
      <c r="A31" s="18" t="s">
        <v>1468</v>
      </c>
    </row>
  </sheetData>
  <mergeCells count="1">
    <mergeCell ref="A1:E1"/>
  </mergeCells>
  <conditionalFormatting sqref="E5:E14">
    <cfRule type="cellIs" dxfId="7" priority="1" stopIfTrue="1" operator="between">
      <formula>0.009</formula>
      <formula>-0.009</formula>
    </cfRule>
  </conditionalFormatting>
  <hyperlinks>
    <hyperlink ref="A29" r:id="rId1" xr:uid="{4D59DB78-631B-4B4E-A84C-CC034940552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4"/>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15.26953125" style="9" bestFit="1" customWidth="1"/>
    <col min="4" max="4" width="23" style="10" bestFit="1" customWidth="1"/>
    <col min="5" max="5" width="13.54296875" style="13" customWidth="1"/>
    <col min="6" max="16384" width="9.1796875" style="9"/>
  </cols>
  <sheetData>
    <row r="1" spans="1:8" s="1" customFormat="1" ht="14" x14ac:dyDescent="0.25">
      <c r="A1" s="66" t="s">
        <v>1469</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1470</v>
      </c>
      <c r="B5" s="21"/>
      <c r="C5" s="22"/>
      <c r="D5" s="23"/>
      <c r="E5" s="24"/>
    </row>
    <row r="6" spans="1:8" x14ac:dyDescent="0.2">
      <c r="A6" s="26" t="s">
        <v>1471</v>
      </c>
      <c r="B6" s="26" t="s">
        <v>1472</v>
      </c>
      <c r="C6" s="30">
        <v>176526.70600000001</v>
      </c>
      <c r="D6" s="28">
        <v>1008.231928</v>
      </c>
      <c r="E6" s="29">
        <v>38.8849809066501</v>
      </c>
    </row>
    <row r="7" spans="1:8" ht="20" x14ac:dyDescent="0.2">
      <c r="A7" s="26" t="s">
        <v>1473</v>
      </c>
      <c r="B7" s="48" t="s">
        <v>1474</v>
      </c>
      <c r="C7" s="30">
        <v>27213.78</v>
      </c>
      <c r="D7" s="28">
        <v>558.05837269999995</v>
      </c>
      <c r="E7" s="29">
        <v>21.522914088112199</v>
      </c>
    </row>
    <row r="8" spans="1:8" x14ac:dyDescent="0.2">
      <c r="A8" s="26" t="s">
        <v>1475</v>
      </c>
      <c r="B8" s="26" t="s">
        <v>1476</v>
      </c>
      <c r="C8" s="30">
        <v>649427</v>
      </c>
      <c r="D8" s="28">
        <v>284.12431249999997</v>
      </c>
      <c r="E8" s="29">
        <v>10.957963301750899</v>
      </c>
    </row>
    <row r="9" spans="1:8" ht="20" x14ac:dyDescent="0.2">
      <c r="A9" s="26" t="s">
        <v>1477</v>
      </c>
      <c r="B9" s="48" t="s">
        <v>1478</v>
      </c>
      <c r="C9" s="30">
        <v>23973.544999999998</v>
      </c>
      <c r="D9" s="28">
        <v>0</v>
      </c>
      <c r="E9" s="28">
        <v>0</v>
      </c>
    </row>
    <row r="10" spans="1:8" ht="20" x14ac:dyDescent="0.2">
      <c r="A10" s="26" t="s">
        <v>1479</v>
      </c>
      <c r="B10" s="48" t="s">
        <v>1480</v>
      </c>
      <c r="C10" s="30">
        <v>22876.138999999999</v>
      </c>
      <c r="D10" s="28">
        <v>0</v>
      </c>
      <c r="E10" s="28">
        <v>0</v>
      </c>
    </row>
    <row r="11" spans="1:8" ht="10.5" x14ac:dyDescent="0.25">
      <c r="A11" s="25" t="s">
        <v>17</v>
      </c>
      <c r="B11" s="25"/>
      <c r="C11" s="31"/>
      <c r="D11" s="32">
        <f>SUM(D6:D10)</f>
        <v>1850.4146132000001</v>
      </c>
      <c r="E11" s="33">
        <f>SUM(E6:E10)</f>
        <v>71.365858296513196</v>
      </c>
      <c r="F11" s="18"/>
      <c r="G11" s="18"/>
      <c r="H11" s="18"/>
    </row>
    <row r="12" spans="1:8" x14ac:dyDescent="0.2">
      <c r="A12" s="26"/>
      <c r="B12" s="26"/>
      <c r="C12" s="27"/>
      <c r="D12" s="28"/>
      <c r="E12" s="29"/>
    </row>
    <row r="13" spans="1:8" ht="10.5" x14ac:dyDescent="0.25">
      <c r="A13" s="25" t="s">
        <v>62</v>
      </c>
      <c r="B13" s="25"/>
      <c r="C13" s="31"/>
      <c r="D13" s="32">
        <f>D11</f>
        <v>1850.4146132000001</v>
      </c>
      <c r="E13" s="33">
        <f>E11</f>
        <v>71.365858296513196</v>
      </c>
      <c r="F13" s="18"/>
      <c r="G13" s="18"/>
      <c r="H13" s="18"/>
    </row>
    <row r="14" spans="1:8" ht="10.5" x14ac:dyDescent="0.25">
      <c r="A14" s="25"/>
      <c r="B14" s="25"/>
      <c r="C14" s="31"/>
      <c r="D14" s="32"/>
      <c r="E14" s="33"/>
      <c r="F14" s="18"/>
      <c r="G14" s="18"/>
      <c r="H14" s="18"/>
    </row>
    <row r="15" spans="1:8" ht="10.5" x14ac:dyDescent="0.25">
      <c r="A15" s="25" t="s">
        <v>63</v>
      </c>
      <c r="B15" s="25"/>
      <c r="C15" s="31"/>
      <c r="D15" s="32">
        <f>D17-(D11)</f>
        <v>742.44233179999992</v>
      </c>
      <c r="E15" s="33">
        <f>E17-(E11)</f>
        <v>28.634141703486804</v>
      </c>
      <c r="F15" s="18"/>
      <c r="G15" s="18"/>
      <c r="H15" s="18"/>
    </row>
    <row r="16" spans="1:8" ht="10.5" x14ac:dyDescent="0.25">
      <c r="A16" s="25"/>
      <c r="B16" s="25"/>
      <c r="C16" s="31"/>
      <c r="D16" s="32"/>
      <c r="E16" s="33"/>
      <c r="F16" s="18"/>
      <c r="G16" s="18"/>
      <c r="H16" s="18"/>
    </row>
    <row r="17" spans="1:8" ht="10.5" x14ac:dyDescent="0.25">
      <c r="A17" s="34" t="s">
        <v>64</v>
      </c>
      <c r="B17" s="34"/>
      <c r="C17" s="35"/>
      <c r="D17" s="36">
        <v>2592.856945</v>
      </c>
      <c r="E17" s="37">
        <v>100</v>
      </c>
      <c r="F17" s="18"/>
      <c r="G17" s="18"/>
      <c r="H17" s="18"/>
    </row>
    <row r="18" spans="1:8" ht="10.5" x14ac:dyDescent="0.25">
      <c r="C18" s="10"/>
      <c r="D18" s="13"/>
      <c r="E18" s="19"/>
    </row>
    <row r="19" spans="1:8" ht="10.5" x14ac:dyDescent="0.25">
      <c r="A19" s="18" t="s">
        <v>1481</v>
      </c>
    </row>
    <row r="21" spans="1:8" ht="10.5" x14ac:dyDescent="0.25">
      <c r="A21" s="18" t="s">
        <v>67</v>
      </c>
    </row>
    <row r="22" spans="1:8" ht="10.5" x14ac:dyDescent="0.25">
      <c r="A22" s="18" t="s">
        <v>68</v>
      </c>
    </row>
    <row r="23" spans="1:8" ht="10.5" x14ac:dyDescent="0.25">
      <c r="A23" s="18" t="s">
        <v>69</v>
      </c>
      <c r="B23" s="18"/>
      <c r="C23" s="38" t="s">
        <v>70</v>
      </c>
      <c r="D23" s="43" t="s">
        <v>71</v>
      </c>
    </row>
    <row r="24" spans="1:8" x14ac:dyDescent="0.2">
      <c r="A24" s="9" t="s">
        <v>98</v>
      </c>
      <c r="C24" s="39">
        <v>10.1351</v>
      </c>
      <c r="D24" s="39">
        <v>11.307499999999999</v>
      </c>
    </row>
    <row r="25" spans="1:8" x14ac:dyDescent="0.2">
      <c r="A25" s="9" t="s">
        <v>331</v>
      </c>
      <c r="C25" s="39">
        <v>10.1351</v>
      </c>
      <c r="D25" s="39">
        <v>11.307499999999999</v>
      </c>
    </row>
    <row r="26" spans="1:8" x14ac:dyDescent="0.2">
      <c r="A26" s="9" t="s">
        <v>101</v>
      </c>
      <c r="C26" s="39">
        <v>10.9094</v>
      </c>
      <c r="D26" s="39">
        <v>12.2127</v>
      </c>
    </row>
    <row r="27" spans="1:8" x14ac:dyDescent="0.2">
      <c r="A27" s="9" t="s">
        <v>332</v>
      </c>
      <c r="C27" s="39">
        <v>10.9094</v>
      </c>
      <c r="D27" s="39">
        <v>12.2127</v>
      </c>
    </row>
    <row r="29" spans="1:8" ht="10.5" x14ac:dyDescent="0.25">
      <c r="A29" s="18" t="s">
        <v>90</v>
      </c>
      <c r="D29" s="43" t="s">
        <v>96</v>
      </c>
    </row>
    <row r="31" spans="1:8" ht="10.5" x14ac:dyDescent="0.25">
      <c r="A31" s="18" t="s">
        <v>998</v>
      </c>
      <c r="D31" s="59">
        <v>0.41560000000000002</v>
      </c>
    </row>
    <row r="33" spans="1:1" ht="10.5" x14ac:dyDescent="0.25">
      <c r="A33" s="18" t="s">
        <v>1516</v>
      </c>
    </row>
    <row r="34" spans="1:1" x14ac:dyDescent="0.2">
      <c r="A34" s="47" t="s">
        <v>1509</v>
      </c>
    </row>
  </sheetData>
  <mergeCells count="1">
    <mergeCell ref="A1:E1"/>
  </mergeCells>
  <conditionalFormatting sqref="E5:E8 E11:E18">
    <cfRule type="cellIs" dxfId="6" priority="1" stopIfTrue="1" operator="between">
      <formula>0.009</formula>
      <formula>-0.009</formula>
    </cfRule>
  </conditionalFormatting>
  <hyperlinks>
    <hyperlink ref="A34" r:id="rId1" xr:uid="{820F37D6-F802-47D3-A5F9-E893542764BB}"/>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36"/>
  <sheetViews>
    <sheetView workbookViewId="0">
      <selection sqref="A1:E1"/>
    </sheetView>
  </sheetViews>
  <sheetFormatPr defaultColWidth="9.1796875" defaultRowHeight="10" x14ac:dyDescent="0.2"/>
  <cols>
    <col min="1" max="1" width="36.81640625" style="9" bestFit="1" customWidth="1"/>
    <col min="2" max="2" width="34.453125" style="9" bestFit="1" customWidth="1"/>
    <col min="3" max="3" width="21.1796875" style="9" bestFit="1" customWidth="1"/>
    <col min="4" max="4" width="23" style="10" bestFit="1" customWidth="1"/>
    <col min="5" max="5" width="13.54296875" style="13" bestFit="1" customWidth="1"/>
    <col min="6" max="16384" width="9.1796875" style="9"/>
  </cols>
  <sheetData>
    <row r="1" spans="1:8" s="1" customFormat="1" ht="14" x14ac:dyDescent="0.25">
      <c r="A1" s="66" t="s">
        <v>1482</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1470</v>
      </c>
      <c r="B5" s="21"/>
      <c r="C5" s="22"/>
      <c r="D5" s="23"/>
      <c r="E5" s="24"/>
    </row>
    <row r="6" spans="1:8" x14ac:dyDescent="0.2">
      <c r="A6" s="26" t="s">
        <v>1483</v>
      </c>
      <c r="B6" s="26" t="s">
        <v>1484</v>
      </c>
      <c r="C6" s="30">
        <v>4166169.6140000001</v>
      </c>
      <c r="D6" s="28">
        <v>1649.9864789999999</v>
      </c>
      <c r="E6" s="29">
        <v>79.005424581467295</v>
      </c>
    </row>
    <row r="7" spans="1:8" x14ac:dyDescent="0.2">
      <c r="A7" s="26" t="s">
        <v>1485</v>
      </c>
      <c r="B7" s="26" t="s">
        <v>1486</v>
      </c>
      <c r="C7" s="30">
        <v>71599.554999999993</v>
      </c>
      <c r="D7" s="28">
        <v>205.50339600000001</v>
      </c>
      <c r="E7" s="29">
        <v>9.8400097579911101</v>
      </c>
    </row>
    <row r="8" spans="1:8" x14ac:dyDescent="0.2">
      <c r="A8" s="26" t="s">
        <v>1471</v>
      </c>
      <c r="B8" s="26" t="s">
        <v>1472</v>
      </c>
      <c r="C8" s="30">
        <v>35951.563000000002</v>
      </c>
      <c r="D8" s="28">
        <v>205.33728020000001</v>
      </c>
      <c r="E8" s="29">
        <v>9.8320557235334203</v>
      </c>
    </row>
    <row r="9" spans="1:8" ht="10.5" x14ac:dyDescent="0.25">
      <c r="A9" s="25" t="s">
        <v>17</v>
      </c>
      <c r="B9" s="25"/>
      <c r="C9" s="31"/>
      <c r="D9" s="32">
        <f>SUM(D6:D8)</f>
        <v>2060.8271552000001</v>
      </c>
      <c r="E9" s="33">
        <f>SUM(E6:E8)</f>
        <v>98.677490062991822</v>
      </c>
      <c r="F9" s="18"/>
      <c r="G9" s="18"/>
      <c r="H9" s="18"/>
    </row>
    <row r="10" spans="1:8" x14ac:dyDescent="0.2">
      <c r="A10" s="26"/>
      <c r="B10" s="26"/>
      <c r="C10" s="27"/>
      <c r="D10" s="28"/>
      <c r="E10" s="29"/>
    </row>
    <row r="11" spans="1:8" ht="10.5" x14ac:dyDescent="0.25">
      <c r="A11" s="25" t="s">
        <v>62</v>
      </c>
      <c r="B11" s="25"/>
      <c r="C11" s="31"/>
      <c r="D11" s="32">
        <f>D9</f>
        <v>2060.8271552000001</v>
      </c>
      <c r="E11" s="33">
        <f>E9</f>
        <v>98.677490062991822</v>
      </c>
      <c r="F11" s="18"/>
      <c r="G11" s="18"/>
      <c r="H11" s="18"/>
    </row>
    <row r="12" spans="1:8" ht="10.5" x14ac:dyDescent="0.25">
      <c r="A12" s="25"/>
      <c r="B12" s="25"/>
      <c r="C12" s="31"/>
      <c r="D12" s="32"/>
      <c r="E12" s="33"/>
      <c r="F12" s="18"/>
      <c r="G12" s="18"/>
      <c r="H12" s="18"/>
    </row>
    <row r="13" spans="1:8" ht="10.5" x14ac:dyDescent="0.25">
      <c r="A13" s="25" t="s">
        <v>63</v>
      </c>
      <c r="B13" s="25"/>
      <c r="C13" s="31"/>
      <c r="D13" s="32">
        <f>D15-(D9)</f>
        <v>27.619920099999945</v>
      </c>
      <c r="E13" s="33">
        <f>E15-(E9)</f>
        <v>1.3225099370081779</v>
      </c>
      <c r="F13" s="18"/>
      <c r="G13" s="18"/>
      <c r="H13" s="18"/>
    </row>
    <row r="14" spans="1:8" ht="10.5" x14ac:dyDescent="0.25">
      <c r="A14" s="25"/>
      <c r="B14" s="25"/>
      <c r="C14" s="31"/>
      <c r="D14" s="32"/>
      <c r="E14" s="33"/>
      <c r="F14" s="18"/>
      <c r="G14" s="18"/>
      <c r="H14" s="18"/>
    </row>
    <row r="15" spans="1:8" ht="10.5" x14ac:dyDescent="0.25">
      <c r="A15" s="34" t="s">
        <v>64</v>
      </c>
      <c r="B15" s="34"/>
      <c r="C15" s="35"/>
      <c r="D15" s="36">
        <v>2088.4470753000001</v>
      </c>
      <c r="E15" s="37">
        <v>100</v>
      </c>
      <c r="F15" s="18"/>
      <c r="G15" s="18"/>
      <c r="H15" s="18"/>
    </row>
    <row r="16" spans="1:8" x14ac:dyDescent="0.2">
      <c r="C16" s="10"/>
      <c r="D16" s="13"/>
      <c r="E16" s="14"/>
    </row>
    <row r="17" spans="1:4" ht="10.5" x14ac:dyDescent="0.25">
      <c r="A17" s="18"/>
    </row>
    <row r="19" spans="1:4" ht="10.5" x14ac:dyDescent="0.25">
      <c r="A19" s="18" t="s">
        <v>67</v>
      </c>
    </row>
    <row r="20" spans="1:4" ht="10.5" x14ac:dyDescent="0.25">
      <c r="A20" s="18" t="s">
        <v>68</v>
      </c>
    </row>
    <row r="21" spans="1:4" ht="10.5" x14ac:dyDescent="0.25">
      <c r="A21" s="18" t="s">
        <v>69</v>
      </c>
      <c r="B21" s="18"/>
      <c r="C21" s="38" t="s">
        <v>70</v>
      </c>
      <c r="D21" s="43" t="s">
        <v>71</v>
      </c>
    </row>
    <row r="22" spans="1:4" x14ac:dyDescent="0.2">
      <c r="A22" s="9" t="s">
        <v>340</v>
      </c>
      <c r="C22" s="39">
        <v>39.4236</v>
      </c>
      <c r="D22" s="39">
        <v>42.452500000000001</v>
      </c>
    </row>
    <row r="23" spans="1:4" x14ac:dyDescent="0.2">
      <c r="A23" s="9" t="s">
        <v>1487</v>
      </c>
      <c r="C23" s="39">
        <v>13.503500000000001</v>
      </c>
      <c r="D23" s="39">
        <v>13.992900000000001</v>
      </c>
    </row>
    <row r="24" spans="1:4" x14ac:dyDescent="0.2">
      <c r="A24" s="9" t="s">
        <v>342</v>
      </c>
      <c r="C24" s="39">
        <v>40.685299999999998</v>
      </c>
      <c r="D24" s="39">
        <v>43.959200000000003</v>
      </c>
    </row>
    <row r="25" spans="1:4" x14ac:dyDescent="0.2">
      <c r="A25" s="9" t="s">
        <v>1488</v>
      </c>
      <c r="C25" s="39">
        <v>13.9815</v>
      </c>
      <c r="D25" s="39">
        <v>14.541</v>
      </c>
    </row>
    <row r="27" spans="1:4" ht="10.5" x14ac:dyDescent="0.25">
      <c r="A27" s="18" t="s">
        <v>90</v>
      </c>
    </row>
    <row r="28" spans="1:4" ht="10.5" x14ac:dyDescent="0.25">
      <c r="A28" s="77" t="s">
        <v>91</v>
      </c>
      <c r="B28" s="78"/>
      <c r="C28" s="40" t="s">
        <v>92</v>
      </c>
    </row>
    <row r="29" spans="1:4" x14ac:dyDescent="0.2">
      <c r="A29" s="79" t="s">
        <v>1487</v>
      </c>
      <c r="B29" s="80"/>
      <c r="C29" s="41">
        <v>0.53</v>
      </c>
    </row>
    <row r="30" spans="1:4" x14ac:dyDescent="0.2">
      <c r="A30" s="79" t="s">
        <v>1488</v>
      </c>
      <c r="B30" s="80"/>
      <c r="C30" s="41">
        <v>0.53</v>
      </c>
    </row>
    <row r="31" spans="1:4" x14ac:dyDescent="0.2">
      <c r="A31" s="9" t="s">
        <v>93</v>
      </c>
    </row>
    <row r="33" spans="1:4" ht="10.5" x14ac:dyDescent="0.25">
      <c r="A33" s="18" t="s">
        <v>998</v>
      </c>
      <c r="D33" s="59">
        <v>3.7999999999999999E-2</v>
      </c>
    </row>
    <row r="35" spans="1:4" ht="10.5" x14ac:dyDescent="0.25">
      <c r="A35" s="18" t="s">
        <v>1516</v>
      </c>
    </row>
    <row r="36" spans="1:4" x14ac:dyDescent="0.2">
      <c r="A36" s="47" t="s">
        <v>1509</v>
      </c>
    </row>
  </sheetData>
  <mergeCells count="4">
    <mergeCell ref="A1:E1"/>
    <mergeCell ref="A28:B28"/>
    <mergeCell ref="A29:B29"/>
    <mergeCell ref="A30:B30"/>
  </mergeCells>
  <conditionalFormatting sqref="E5:E16">
    <cfRule type="cellIs" dxfId="5" priority="1" stopIfTrue="1" operator="between">
      <formula>0.009</formula>
      <formula>-0.009</formula>
    </cfRule>
  </conditionalFormatting>
  <hyperlinks>
    <hyperlink ref="A36" r:id="rId1" xr:uid="{36B74F45-A4BD-4B8B-B401-627EB8A9CF31}"/>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5"/>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15.26953125" style="9" bestFit="1" customWidth="1"/>
    <col min="4" max="4" width="23" style="10" bestFit="1" customWidth="1"/>
    <col min="5" max="5" width="13.54296875" style="13" bestFit="1" customWidth="1"/>
    <col min="6" max="16384" width="9.1796875" style="9"/>
  </cols>
  <sheetData>
    <row r="1" spans="1:8" s="1" customFormat="1" ht="14" x14ac:dyDescent="0.25">
      <c r="A1" s="66" t="s">
        <v>1489</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1470</v>
      </c>
      <c r="B5" s="21"/>
      <c r="C5" s="22"/>
      <c r="D5" s="23"/>
      <c r="E5" s="24"/>
    </row>
    <row r="6" spans="1:8" x14ac:dyDescent="0.2">
      <c r="A6" s="26" t="s">
        <v>1490</v>
      </c>
      <c r="B6" s="26" t="s">
        <v>1491</v>
      </c>
      <c r="C6" s="30">
        <v>1306356.835</v>
      </c>
      <c r="D6" s="28">
        <v>1060.0079820000001</v>
      </c>
      <c r="E6" s="29">
        <v>68.657511649200003</v>
      </c>
    </row>
    <row r="7" spans="1:8" ht="20" x14ac:dyDescent="0.2">
      <c r="A7" s="26" t="s">
        <v>1492</v>
      </c>
      <c r="B7" s="48" t="s">
        <v>1493</v>
      </c>
      <c r="C7" s="30">
        <v>427573.21600000001</v>
      </c>
      <c r="D7" s="28">
        <v>155.42115369999999</v>
      </c>
      <c r="E7" s="29">
        <v>10.0667446395605</v>
      </c>
    </row>
    <row r="8" spans="1:8" x14ac:dyDescent="0.2">
      <c r="A8" s="26" t="s">
        <v>1485</v>
      </c>
      <c r="B8" s="26" t="s">
        <v>1486</v>
      </c>
      <c r="C8" s="30">
        <v>52442.010999999999</v>
      </c>
      <c r="D8" s="28">
        <v>150.51785380000001</v>
      </c>
      <c r="E8" s="29">
        <v>9.7491542291858799</v>
      </c>
    </row>
    <row r="9" spans="1:8" x14ac:dyDescent="0.2">
      <c r="A9" s="26" t="s">
        <v>1471</v>
      </c>
      <c r="B9" s="26" t="s">
        <v>1472</v>
      </c>
      <c r="C9" s="30">
        <v>26186.598999999998</v>
      </c>
      <c r="D9" s="28">
        <v>149.56470780000001</v>
      </c>
      <c r="E9" s="29">
        <v>9.6874182482219293</v>
      </c>
    </row>
    <row r="10" spans="1:8" ht="20" x14ac:dyDescent="0.2">
      <c r="A10" s="26" t="s">
        <v>1494</v>
      </c>
      <c r="B10" s="48" t="s">
        <v>1495</v>
      </c>
      <c r="C10" s="30">
        <v>489502.28</v>
      </c>
      <c r="D10" s="28">
        <v>0</v>
      </c>
      <c r="E10" s="28">
        <v>0</v>
      </c>
    </row>
    <row r="11" spans="1:8" ht="20" x14ac:dyDescent="0.2">
      <c r="A11" s="26" t="s">
        <v>1496</v>
      </c>
      <c r="B11" s="48" t="s">
        <v>1497</v>
      </c>
      <c r="C11" s="30">
        <v>371180.549</v>
      </c>
      <c r="D11" s="28">
        <v>0</v>
      </c>
      <c r="E11" s="28">
        <v>0</v>
      </c>
    </row>
    <row r="12" spans="1:8" ht="10.5" x14ac:dyDescent="0.25">
      <c r="A12" s="25" t="s">
        <v>17</v>
      </c>
      <c r="B12" s="25"/>
      <c r="C12" s="31"/>
      <c r="D12" s="32">
        <f>SUM(D6:D11)</f>
        <v>1515.5116973000002</v>
      </c>
      <c r="E12" s="33">
        <f>SUM(E6:E11)</f>
        <v>98.160828766168308</v>
      </c>
      <c r="F12" s="18"/>
      <c r="G12" s="18"/>
      <c r="H12" s="18"/>
    </row>
    <row r="13" spans="1:8" x14ac:dyDescent="0.2">
      <c r="A13" s="26"/>
      <c r="B13" s="26"/>
      <c r="C13" s="27"/>
      <c r="D13" s="28"/>
      <c r="E13" s="29"/>
    </row>
    <row r="14" spans="1:8" ht="10.5" x14ac:dyDescent="0.25">
      <c r="A14" s="25" t="s">
        <v>62</v>
      </c>
      <c r="B14" s="25"/>
      <c r="C14" s="31"/>
      <c r="D14" s="32">
        <f>D12</f>
        <v>1515.5116973000002</v>
      </c>
      <c r="E14" s="33">
        <f>E12</f>
        <v>98.160828766168308</v>
      </c>
      <c r="F14" s="18"/>
      <c r="G14" s="18"/>
      <c r="H14" s="18"/>
    </row>
    <row r="15" spans="1:8" ht="10.5" x14ac:dyDescent="0.25">
      <c r="A15" s="25"/>
      <c r="B15" s="25"/>
      <c r="C15" s="31"/>
      <c r="D15" s="32"/>
      <c r="E15" s="33"/>
      <c r="F15" s="18"/>
      <c r="G15" s="18"/>
      <c r="H15" s="18"/>
    </row>
    <row r="16" spans="1:8" ht="10.5" x14ac:dyDescent="0.25">
      <c r="A16" s="25" t="s">
        <v>63</v>
      </c>
      <c r="B16" s="25"/>
      <c r="C16" s="31"/>
      <c r="D16" s="32">
        <f>D18-(D12)</f>
        <v>28.395089499999813</v>
      </c>
      <c r="E16" s="33">
        <f>E18-(E12)</f>
        <v>1.8391712338316921</v>
      </c>
      <c r="F16" s="18"/>
      <c r="G16" s="18"/>
      <c r="H16" s="18"/>
    </row>
    <row r="17" spans="1:8" ht="10.5" x14ac:dyDescent="0.25">
      <c r="A17" s="25"/>
      <c r="B17" s="25"/>
      <c r="C17" s="31"/>
      <c r="D17" s="32"/>
      <c r="E17" s="33"/>
      <c r="F17" s="18"/>
      <c r="G17" s="18"/>
      <c r="H17" s="18"/>
    </row>
    <row r="18" spans="1:8" ht="10.5" x14ac:dyDescent="0.25">
      <c r="A18" s="34" t="s">
        <v>64</v>
      </c>
      <c r="B18" s="34"/>
      <c r="C18" s="35"/>
      <c r="D18" s="36">
        <v>1543.9067868</v>
      </c>
      <c r="E18" s="37">
        <v>100</v>
      </c>
      <c r="F18" s="18"/>
      <c r="G18" s="18"/>
      <c r="H18" s="18"/>
    </row>
    <row r="19" spans="1:8" ht="10.5" x14ac:dyDescent="0.25">
      <c r="C19" s="10"/>
      <c r="D19" s="13"/>
      <c r="E19" s="19"/>
    </row>
    <row r="20" spans="1:8" ht="10.5" x14ac:dyDescent="0.25">
      <c r="A20" s="18" t="s">
        <v>1481</v>
      </c>
    </row>
    <row r="22" spans="1:8" ht="10.5" x14ac:dyDescent="0.25">
      <c r="A22" s="18" t="s">
        <v>67</v>
      </c>
    </row>
    <row r="23" spans="1:8" ht="10.5" x14ac:dyDescent="0.25">
      <c r="A23" s="18" t="s">
        <v>68</v>
      </c>
    </row>
    <row r="24" spans="1:8" ht="10.5" x14ac:dyDescent="0.25">
      <c r="A24" s="18" t="s">
        <v>69</v>
      </c>
      <c r="B24" s="18"/>
      <c r="C24" s="38" t="s">
        <v>70</v>
      </c>
      <c r="D24" s="43" t="s">
        <v>71</v>
      </c>
    </row>
    <row r="25" spans="1:8" x14ac:dyDescent="0.2">
      <c r="A25" s="9" t="s">
        <v>340</v>
      </c>
      <c r="C25" s="39">
        <v>26.987200000000001</v>
      </c>
      <c r="D25" s="39">
        <v>29.811199999999999</v>
      </c>
    </row>
    <row r="26" spans="1:8" x14ac:dyDescent="0.2">
      <c r="A26" s="9" t="s">
        <v>1487</v>
      </c>
      <c r="C26" s="39">
        <v>9.2403999999999993</v>
      </c>
      <c r="D26" s="39">
        <v>10.2073</v>
      </c>
    </row>
    <row r="27" spans="1:8" x14ac:dyDescent="0.2">
      <c r="A27" s="9" t="s">
        <v>342</v>
      </c>
      <c r="C27" s="39">
        <v>28.382100000000001</v>
      </c>
      <c r="D27" s="39">
        <v>31.454799999999999</v>
      </c>
    </row>
    <row r="28" spans="1:8" x14ac:dyDescent="0.2">
      <c r="A28" s="9" t="s">
        <v>1488</v>
      </c>
      <c r="C28" s="39">
        <v>9.7352000000000007</v>
      </c>
      <c r="D28" s="39">
        <v>10.788</v>
      </c>
    </row>
    <row r="30" spans="1:8" ht="10.5" x14ac:dyDescent="0.25">
      <c r="A30" s="18" t="s">
        <v>90</v>
      </c>
      <c r="D30" s="43" t="s">
        <v>96</v>
      </c>
    </row>
    <row r="32" spans="1:8" ht="10.5" x14ac:dyDescent="0.25">
      <c r="A32" s="18" t="s">
        <v>998</v>
      </c>
      <c r="D32" s="59">
        <v>1.67E-2</v>
      </c>
    </row>
    <row r="34" spans="1:1" ht="10.5" x14ac:dyDescent="0.25">
      <c r="A34" s="18" t="s">
        <v>1516</v>
      </c>
    </row>
    <row r="35" spans="1:1" x14ac:dyDescent="0.2">
      <c r="A35" s="47" t="s">
        <v>1509</v>
      </c>
    </row>
  </sheetData>
  <mergeCells count="1">
    <mergeCell ref="A1:E1"/>
  </mergeCells>
  <conditionalFormatting sqref="E5:E9 E12:E19">
    <cfRule type="cellIs" dxfId="4" priority="1" stopIfTrue="1" operator="between">
      <formula>0.009</formula>
      <formula>-0.009</formula>
    </cfRule>
  </conditionalFormatting>
  <hyperlinks>
    <hyperlink ref="A35" r:id="rId1" xr:uid="{01361443-1AA7-46B3-B00A-3735CB385B6D}"/>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40"/>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23" style="13" bestFit="1" customWidth="1"/>
    <col min="6" max="16384" width="9.1796875" style="9"/>
  </cols>
  <sheetData>
    <row r="1" spans="1:8" s="1" customFormat="1" ht="14" x14ac:dyDescent="0.25">
      <c r="A1" s="66" t="s">
        <v>1498</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1470</v>
      </c>
      <c r="B5" s="21"/>
      <c r="C5" s="22"/>
      <c r="D5" s="23"/>
      <c r="E5" s="24"/>
    </row>
    <row r="6" spans="1:8" x14ac:dyDescent="0.2">
      <c r="A6" s="26" t="s">
        <v>1490</v>
      </c>
      <c r="B6" s="26" t="s">
        <v>1491</v>
      </c>
      <c r="C6" s="30">
        <v>1017464.596</v>
      </c>
      <c r="D6" s="28">
        <v>825.59417489999998</v>
      </c>
      <c r="E6" s="29">
        <v>51.427270353767099</v>
      </c>
    </row>
    <row r="7" spans="1:8" x14ac:dyDescent="0.2">
      <c r="A7" s="26" t="s">
        <v>1471</v>
      </c>
      <c r="B7" s="26" t="s">
        <v>1472</v>
      </c>
      <c r="C7" s="30">
        <v>41133.432000000001</v>
      </c>
      <c r="D7" s="28">
        <v>234.9335146</v>
      </c>
      <c r="E7" s="29">
        <v>14.634295805149399</v>
      </c>
    </row>
    <row r="8" spans="1:8" ht="20" x14ac:dyDescent="0.2">
      <c r="A8" s="26" t="s">
        <v>1492</v>
      </c>
      <c r="B8" s="48" t="s">
        <v>1493</v>
      </c>
      <c r="C8" s="30">
        <v>556579.71499999997</v>
      </c>
      <c r="D8" s="28">
        <v>202.3145001</v>
      </c>
      <c r="E8" s="29">
        <v>12.6024175187406</v>
      </c>
    </row>
    <row r="9" spans="1:8" x14ac:dyDescent="0.2">
      <c r="A9" s="26" t="s">
        <v>1485</v>
      </c>
      <c r="B9" s="26" t="s">
        <v>1486</v>
      </c>
      <c r="C9" s="30">
        <v>54683.902000000002</v>
      </c>
      <c r="D9" s="28">
        <v>156.9524778</v>
      </c>
      <c r="E9" s="29">
        <v>9.7767616995261601</v>
      </c>
    </row>
    <row r="10" spans="1:8" x14ac:dyDescent="0.2">
      <c r="A10" s="26" t="s">
        <v>1499</v>
      </c>
      <c r="B10" s="26" t="s">
        <v>1500</v>
      </c>
      <c r="C10" s="30">
        <v>12764.285</v>
      </c>
      <c r="D10" s="28">
        <v>156.32777239999999</v>
      </c>
      <c r="E10" s="29">
        <v>9.7378480365256301</v>
      </c>
    </row>
    <row r="11" spans="1:8" ht="20" x14ac:dyDescent="0.2">
      <c r="A11" s="26" t="s">
        <v>1494</v>
      </c>
      <c r="B11" s="48" t="s">
        <v>1495</v>
      </c>
      <c r="C11" s="30">
        <v>631308.71</v>
      </c>
      <c r="D11" s="28">
        <v>0</v>
      </c>
      <c r="E11" s="28">
        <v>0</v>
      </c>
    </row>
    <row r="12" spans="1:8" ht="20" x14ac:dyDescent="0.2">
      <c r="A12" s="26" t="s">
        <v>1496</v>
      </c>
      <c r="B12" s="48" t="s">
        <v>1497</v>
      </c>
      <c r="C12" s="30">
        <v>584729.58299999998</v>
      </c>
      <c r="D12" s="28">
        <v>0</v>
      </c>
      <c r="E12" s="28">
        <v>0</v>
      </c>
    </row>
    <row r="13" spans="1:8" ht="10.5" x14ac:dyDescent="0.25">
      <c r="A13" s="25" t="s">
        <v>17</v>
      </c>
      <c r="B13" s="25"/>
      <c r="C13" s="31"/>
      <c r="D13" s="32">
        <f>SUM(D6:D12)</f>
        <v>1576.1224397999999</v>
      </c>
      <c r="E13" s="33">
        <f>SUM(E6:E12)</f>
        <v>98.178593413708882</v>
      </c>
      <c r="F13" s="18"/>
      <c r="G13" s="18"/>
      <c r="H13" s="18"/>
    </row>
    <row r="14" spans="1:8" x14ac:dyDescent="0.2">
      <c r="A14" s="26"/>
      <c r="B14" s="26"/>
      <c r="C14" s="27"/>
      <c r="D14" s="28"/>
      <c r="E14" s="29"/>
    </row>
    <row r="15" spans="1:8" ht="10.5" x14ac:dyDescent="0.25">
      <c r="A15" s="25" t="s">
        <v>62</v>
      </c>
      <c r="B15" s="25"/>
      <c r="C15" s="31"/>
      <c r="D15" s="32">
        <f>D13</f>
        <v>1576.1224397999999</v>
      </c>
      <c r="E15" s="33">
        <f>E13</f>
        <v>98.178593413708882</v>
      </c>
      <c r="F15" s="18"/>
      <c r="G15" s="18"/>
      <c r="H15" s="18"/>
    </row>
    <row r="16" spans="1:8" ht="10.5" x14ac:dyDescent="0.25">
      <c r="A16" s="25"/>
      <c r="B16" s="25"/>
      <c r="C16" s="31"/>
      <c r="D16" s="32"/>
      <c r="E16" s="33"/>
      <c r="F16" s="18"/>
      <c r="G16" s="18"/>
      <c r="H16" s="18"/>
    </row>
    <row r="17" spans="1:8" ht="10.5" x14ac:dyDescent="0.25">
      <c r="A17" s="25" t="s">
        <v>63</v>
      </c>
      <c r="B17" s="25"/>
      <c r="C17" s="31"/>
      <c r="D17" s="32">
        <f>D19-(D13)</f>
        <v>29.240180499999951</v>
      </c>
      <c r="E17" s="33">
        <f>E19-(E13)</f>
        <v>1.8214065862911184</v>
      </c>
      <c r="F17" s="18"/>
      <c r="G17" s="18"/>
      <c r="H17" s="18"/>
    </row>
    <row r="18" spans="1:8" ht="10.5" x14ac:dyDescent="0.25">
      <c r="A18" s="25"/>
      <c r="B18" s="25"/>
      <c r="C18" s="31"/>
      <c r="D18" s="32"/>
      <c r="E18" s="33"/>
      <c r="F18" s="18"/>
      <c r="G18" s="18"/>
      <c r="H18" s="18"/>
    </row>
    <row r="19" spans="1:8" ht="10.5" x14ac:dyDescent="0.25">
      <c r="A19" s="34" t="s">
        <v>64</v>
      </c>
      <c r="B19" s="34"/>
      <c r="C19" s="35"/>
      <c r="D19" s="36">
        <v>1605.3626202999999</v>
      </c>
      <c r="E19" s="37">
        <v>100</v>
      </c>
      <c r="F19" s="18"/>
      <c r="G19" s="18"/>
      <c r="H19" s="18"/>
    </row>
    <row r="20" spans="1:8" ht="10.5" x14ac:dyDescent="0.25">
      <c r="C20" s="10"/>
      <c r="D20" s="13"/>
      <c r="E20" s="19"/>
    </row>
    <row r="21" spans="1:8" ht="10.5" x14ac:dyDescent="0.25">
      <c r="A21" s="18" t="s">
        <v>1481</v>
      </c>
    </row>
    <row r="23" spans="1:8" ht="10.5" x14ac:dyDescent="0.25">
      <c r="A23" s="18" t="s">
        <v>67</v>
      </c>
    </row>
    <row r="24" spans="1:8" ht="10.5" x14ac:dyDescent="0.25">
      <c r="A24" s="18" t="s">
        <v>68</v>
      </c>
    </row>
    <row r="25" spans="1:8" ht="10.5" x14ac:dyDescent="0.25">
      <c r="A25" s="18" t="s">
        <v>69</v>
      </c>
      <c r="B25" s="18"/>
      <c r="C25" s="38" t="s">
        <v>70</v>
      </c>
      <c r="D25" s="43" t="s">
        <v>71</v>
      </c>
    </row>
    <row r="26" spans="1:8" x14ac:dyDescent="0.2">
      <c r="A26" s="9" t="s">
        <v>340</v>
      </c>
      <c r="C26" s="39">
        <v>39.255000000000003</v>
      </c>
      <c r="D26" s="39">
        <v>45.055799999999998</v>
      </c>
    </row>
    <row r="27" spans="1:8" x14ac:dyDescent="0.2">
      <c r="A27" s="9" t="s">
        <v>1487</v>
      </c>
      <c r="C27" s="39">
        <v>11.212400000000001</v>
      </c>
      <c r="D27" s="39">
        <v>11.791</v>
      </c>
    </row>
    <row r="28" spans="1:8" x14ac:dyDescent="0.2">
      <c r="A28" s="9" t="s">
        <v>342</v>
      </c>
      <c r="C28" s="39">
        <v>41.256100000000004</v>
      </c>
      <c r="D28" s="39">
        <v>47.494</v>
      </c>
    </row>
    <row r="29" spans="1:8" x14ac:dyDescent="0.2">
      <c r="A29" s="9" t="s">
        <v>1488</v>
      </c>
      <c r="C29" s="39">
        <v>11.734999999999999</v>
      </c>
      <c r="D29" s="39">
        <v>12.422499999999999</v>
      </c>
    </row>
    <row r="31" spans="1:8" ht="10.5" x14ac:dyDescent="0.25">
      <c r="A31" s="18" t="s">
        <v>90</v>
      </c>
    </row>
    <row r="32" spans="1:8" ht="10.5" x14ac:dyDescent="0.25">
      <c r="A32" s="77" t="s">
        <v>91</v>
      </c>
      <c r="B32" s="78"/>
      <c r="C32" s="40" t="s">
        <v>92</v>
      </c>
    </row>
    <row r="33" spans="1:4" x14ac:dyDescent="0.2">
      <c r="A33" s="79" t="s">
        <v>1487</v>
      </c>
      <c r="B33" s="80"/>
      <c r="C33" s="41">
        <v>1</v>
      </c>
    </row>
    <row r="34" spans="1:4" x14ac:dyDescent="0.2">
      <c r="A34" s="79" t="s">
        <v>1488</v>
      </c>
      <c r="B34" s="80"/>
      <c r="C34" s="41">
        <v>1</v>
      </c>
    </row>
    <row r="35" spans="1:4" x14ac:dyDescent="0.2">
      <c r="A35" s="9" t="s">
        <v>93</v>
      </c>
    </row>
    <row r="37" spans="1:4" ht="10.5" x14ac:dyDescent="0.25">
      <c r="A37" s="18" t="s">
        <v>998</v>
      </c>
      <c r="D37" s="59">
        <v>3.95E-2</v>
      </c>
    </row>
    <row r="39" spans="1:4" ht="10.5" x14ac:dyDescent="0.25">
      <c r="A39" s="18" t="s">
        <v>1516</v>
      </c>
    </row>
    <row r="40" spans="1:4" x14ac:dyDescent="0.2">
      <c r="A40" s="47" t="s">
        <v>1509</v>
      </c>
    </row>
  </sheetData>
  <mergeCells count="4">
    <mergeCell ref="A1:E1"/>
    <mergeCell ref="A32:B32"/>
    <mergeCell ref="A33:B33"/>
    <mergeCell ref="A34:B34"/>
  </mergeCells>
  <conditionalFormatting sqref="E5:E10 E13:E20">
    <cfRule type="cellIs" dxfId="3" priority="1" stopIfTrue="1" operator="between">
      <formula>0.009</formula>
      <formula>-0.009</formula>
    </cfRule>
  </conditionalFormatting>
  <hyperlinks>
    <hyperlink ref="A40" r:id="rId1" xr:uid="{1A9DD8E9-BC4C-4C2E-A6AE-68879076C2FA}"/>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40"/>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13.54296875" style="13" bestFit="1" customWidth="1"/>
    <col min="6" max="16384" width="9.1796875" style="9"/>
  </cols>
  <sheetData>
    <row r="1" spans="1:8" s="1" customFormat="1" ht="14" x14ac:dyDescent="0.25">
      <c r="A1" s="66" t="s">
        <v>1501</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1470</v>
      </c>
      <c r="B5" s="21"/>
      <c r="C5" s="22"/>
      <c r="D5" s="23"/>
      <c r="E5" s="24"/>
    </row>
    <row r="6" spans="1:8" x14ac:dyDescent="0.2">
      <c r="A6" s="26" t="s">
        <v>1471</v>
      </c>
      <c r="B6" s="26" t="s">
        <v>1472</v>
      </c>
      <c r="C6" s="30">
        <v>31381.004000000001</v>
      </c>
      <c r="D6" s="28">
        <v>179.23254159999999</v>
      </c>
      <c r="E6" s="29">
        <v>34.825543105469499</v>
      </c>
    </row>
    <row r="7" spans="1:8" x14ac:dyDescent="0.2">
      <c r="A7" s="26" t="s">
        <v>1490</v>
      </c>
      <c r="B7" s="26" t="s">
        <v>1491</v>
      </c>
      <c r="C7" s="30">
        <v>205847.63099999999</v>
      </c>
      <c r="D7" s="28">
        <v>167.02950229999999</v>
      </c>
      <c r="E7" s="29">
        <v>32.4544476148508</v>
      </c>
    </row>
    <row r="8" spans="1:8" ht="20" x14ac:dyDescent="0.2">
      <c r="A8" s="26" t="s">
        <v>1492</v>
      </c>
      <c r="B8" s="48" t="s">
        <v>1493</v>
      </c>
      <c r="C8" s="30">
        <v>165948.399</v>
      </c>
      <c r="D8" s="28">
        <v>60.321579200000002</v>
      </c>
      <c r="E8" s="29">
        <v>11.720705056495101</v>
      </c>
    </row>
    <row r="9" spans="1:8" x14ac:dyDescent="0.2">
      <c r="A9" s="26" t="s">
        <v>1485</v>
      </c>
      <c r="B9" s="26" t="s">
        <v>1486</v>
      </c>
      <c r="C9" s="30">
        <v>17484.691999999999</v>
      </c>
      <c r="D9" s="28">
        <v>50.184160800000001</v>
      </c>
      <c r="E9" s="29">
        <v>9.7509673162622406</v>
      </c>
    </row>
    <row r="10" spans="1:8" x14ac:dyDescent="0.2">
      <c r="A10" s="26" t="s">
        <v>1499</v>
      </c>
      <c r="B10" s="26" t="s">
        <v>1500</v>
      </c>
      <c r="C10" s="30">
        <v>4072.7420000000002</v>
      </c>
      <c r="D10" s="28">
        <v>49.880011600000003</v>
      </c>
      <c r="E10" s="29">
        <v>9.6918700062506904</v>
      </c>
    </row>
    <row r="11" spans="1:8" ht="20" x14ac:dyDescent="0.2">
      <c r="A11" s="26" t="s">
        <v>1494</v>
      </c>
      <c r="B11" s="48" t="s">
        <v>1495</v>
      </c>
      <c r="C11" s="30">
        <v>196087.27</v>
      </c>
      <c r="D11" s="28">
        <v>0</v>
      </c>
      <c r="E11" s="28">
        <v>0</v>
      </c>
    </row>
    <row r="12" spans="1:8" ht="20" x14ac:dyDescent="0.2">
      <c r="A12" s="26" t="s">
        <v>1496</v>
      </c>
      <c r="B12" s="48" t="s">
        <v>1497</v>
      </c>
      <c r="C12" s="30">
        <v>177292.25099999999</v>
      </c>
      <c r="D12" s="28">
        <v>0</v>
      </c>
      <c r="E12" s="28">
        <v>0</v>
      </c>
    </row>
    <row r="13" spans="1:8" ht="10.5" x14ac:dyDescent="0.25">
      <c r="A13" s="25" t="s">
        <v>17</v>
      </c>
      <c r="B13" s="25"/>
      <c r="C13" s="31"/>
      <c r="D13" s="32">
        <f>SUM(D6:D12)</f>
        <v>506.64779549999992</v>
      </c>
      <c r="E13" s="33">
        <f>SUM(E6:E12)</f>
        <v>98.443533099328334</v>
      </c>
      <c r="F13" s="18"/>
      <c r="G13" s="18"/>
      <c r="H13" s="18"/>
    </row>
    <row r="14" spans="1:8" x14ac:dyDescent="0.2">
      <c r="A14" s="26"/>
      <c r="B14" s="26"/>
      <c r="C14" s="27"/>
      <c r="D14" s="28"/>
      <c r="E14" s="29"/>
    </row>
    <row r="15" spans="1:8" ht="10.5" x14ac:dyDescent="0.25">
      <c r="A15" s="25" t="s">
        <v>62</v>
      </c>
      <c r="B15" s="25"/>
      <c r="C15" s="31"/>
      <c r="D15" s="32">
        <f>D13</f>
        <v>506.64779549999992</v>
      </c>
      <c r="E15" s="33">
        <f>E13</f>
        <v>98.443533099328334</v>
      </c>
      <c r="F15" s="18"/>
      <c r="G15" s="18"/>
      <c r="H15" s="18"/>
    </row>
    <row r="16" spans="1:8" ht="10.5" x14ac:dyDescent="0.25">
      <c r="A16" s="25"/>
      <c r="B16" s="25"/>
      <c r="C16" s="31"/>
      <c r="D16" s="32"/>
      <c r="E16" s="33"/>
      <c r="F16" s="18"/>
      <c r="G16" s="18"/>
      <c r="H16" s="18"/>
    </row>
    <row r="17" spans="1:8" ht="10.5" x14ac:dyDescent="0.25">
      <c r="A17" s="25" t="s">
        <v>63</v>
      </c>
      <c r="B17" s="25"/>
      <c r="C17" s="31"/>
      <c r="D17" s="32">
        <f>D19-(D13)</f>
        <v>8.0104858000000831</v>
      </c>
      <c r="E17" s="33">
        <f>E19-(E13)</f>
        <v>1.5564669006716656</v>
      </c>
      <c r="F17" s="18"/>
      <c r="G17" s="18"/>
      <c r="H17" s="18"/>
    </row>
    <row r="18" spans="1:8" ht="10.5" x14ac:dyDescent="0.25">
      <c r="A18" s="25"/>
      <c r="B18" s="25"/>
      <c r="C18" s="31"/>
      <c r="D18" s="32"/>
      <c r="E18" s="33"/>
      <c r="F18" s="18"/>
      <c r="G18" s="18"/>
      <c r="H18" s="18"/>
    </row>
    <row r="19" spans="1:8" ht="10.5" x14ac:dyDescent="0.25">
      <c r="A19" s="34" t="s">
        <v>64</v>
      </c>
      <c r="B19" s="34"/>
      <c r="C19" s="35"/>
      <c r="D19" s="36">
        <v>514.6582813</v>
      </c>
      <c r="E19" s="37">
        <v>100</v>
      </c>
      <c r="F19" s="18"/>
      <c r="G19" s="18"/>
      <c r="H19" s="18"/>
    </row>
    <row r="20" spans="1:8" ht="10.5" x14ac:dyDescent="0.25">
      <c r="C20" s="10"/>
      <c r="D20" s="13"/>
      <c r="E20" s="19"/>
    </row>
    <row r="21" spans="1:8" ht="10.5" x14ac:dyDescent="0.25">
      <c r="A21" s="18" t="s">
        <v>1481</v>
      </c>
    </row>
    <row r="23" spans="1:8" ht="10.5" x14ac:dyDescent="0.25">
      <c r="A23" s="18" t="s">
        <v>67</v>
      </c>
    </row>
    <row r="24" spans="1:8" ht="10.5" x14ac:dyDescent="0.25">
      <c r="A24" s="18" t="s">
        <v>68</v>
      </c>
    </row>
    <row r="25" spans="1:8" ht="10.5" x14ac:dyDescent="0.25">
      <c r="A25" s="18" t="s">
        <v>69</v>
      </c>
      <c r="B25" s="18"/>
      <c r="C25" s="38" t="s">
        <v>70</v>
      </c>
      <c r="D25" s="43" t="s">
        <v>71</v>
      </c>
    </row>
    <row r="26" spans="1:8" x14ac:dyDescent="0.2">
      <c r="A26" s="9" t="s">
        <v>340</v>
      </c>
      <c r="C26" s="39">
        <v>49.496400000000001</v>
      </c>
      <c r="D26" s="39">
        <v>59.432200000000002</v>
      </c>
    </row>
    <row r="27" spans="1:8" x14ac:dyDescent="0.2">
      <c r="A27" s="9" t="s">
        <v>1487</v>
      </c>
      <c r="C27" s="39">
        <v>17.464500000000001</v>
      </c>
      <c r="D27" s="39">
        <v>19.293900000000001</v>
      </c>
    </row>
    <row r="28" spans="1:8" x14ac:dyDescent="0.2">
      <c r="A28" s="9" t="s">
        <v>342</v>
      </c>
      <c r="C28" s="39">
        <v>51.688099999999999</v>
      </c>
      <c r="D28" s="39">
        <v>62.2851</v>
      </c>
    </row>
    <row r="29" spans="1:8" x14ac:dyDescent="0.2">
      <c r="A29" s="9" t="s">
        <v>1488</v>
      </c>
      <c r="C29" s="39">
        <v>18.448399999999999</v>
      </c>
      <c r="D29" s="39">
        <v>20.546800000000001</v>
      </c>
    </row>
    <row r="31" spans="1:8" ht="10.5" x14ac:dyDescent="0.25">
      <c r="A31" s="18" t="s">
        <v>90</v>
      </c>
    </row>
    <row r="32" spans="1:8" ht="10.5" x14ac:dyDescent="0.25">
      <c r="A32" s="77" t="s">
        <v>91</v>
      </c>
      <c r="B32" s="78"/>
      <c r="C32" s="40" t="s">
        <v>92</v>
      </c>
    </row>
    <row r="33" spans="1:4" x14ac:dyDescent="0.2">
      <c r="A33" s="79" t="s">
        <v>1487</v>
      </c>
      <c r="B33" s="80"/>
      <c r="C33" s="41">
        <v>1.5</v>
      </c>
    </row>
    <row r="34" spans="1:4" x14ac:dyDescent="0.2">
      <c r="A34" s="79" t="s">
        <v>1488</v>
      </c>
      <c r="B34" s="80"/>
      <c r="C34" s="41">
        <v>1.5</v>
      </c>
    </row>
    <row r="35" spans="1:4" x14ac:dyDescent="0.2">
      <c r="A35" s="9" t="s">
        <v>93</v>
      </c>
    </row>
    <row r="37" spans="1:4" ht="10.5" x14ac:dyDescent="0.25">
      <c r="A37" s="18" t="s">
        <v>998</v>
      </c>
      <c r="D37" s="59">
        <v>0.10059999999999999</v>
      </c>
    </row>
    <row r="39" spans="1:4" ht="10.5" x14ac:dyDescent="0.25">
      <c r="A39" s="18" t="s">
        <v>1516</v>
      </c>
    </row>
    <row r="40" spans="1:4" x14ac:dyDescent="0.2">
      <c r="A40" s="47" t="s">
        <v>1509</v>
      </c>
    </row>
  </sheetData>
  <mergeCells count="4">
    <mergeCell ref="A1:E1"/>
    <mergeCell ref="A32:B32"/>
    <mergeCell ref="A33:B33"/>
    <mergeCell ref="A34:B34"/>
  </mergeCells>
  <conditionalFormatting sqref="E5:E10 E13:E20">
    <cfRule type="cellIs" dxfId="2" priority="1" stopIfTrue="1" operator="between">
      <formula>0.009</formula>
      <formula>-0.009</formula>
    </cfRule>
  </conditionalFormatting>
  <hyperlinks>
    <hyperlink ref="A40" r:id="rId1" xr:uid="{DE0CB571-AB19-4DDE-A5D1-FCFC754D4004}"/>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40"/>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14.7265625" style="13" bestFit="1" customWidth="1"/>
    <col min="6" max="16384" width="9.1796875" style="9"/>
  </cols>
  <sheetData>
    <row r="1" spans="1:8" s="1" customFormat="1" ht="14" x14ac:dyDescent="0.25">
      <c r="A1" s="66" t="s">
        <v>1502</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1470</v>
      </c>
      <c r="B5" s="21"/>
      <c r="C5" s="22"/>
      <c r="D5" s="23"/>
      <c r="E5" s="24"/>
    </row>
    <row r="6" spans="1:8" x14ac:dyDescent="0.2">
      <c r="A6" s="26" t="s">
        <v>1471</v>
      </c>
      <c r="B6" s="26" t="s">
        <v>1472</v>
      </c>
      <c r="C6" s="30">
        <v>103476.534</v>
      </c>
      <c r="D6" s="28">
        <v>591.00601700000004</v>
      </c>
      <c r="E6" s="29">
        <v>49.769912726422703</v>
      </c>
    </row>
    <row r="7" spans="1:8" x14ac:dyDescent="0.2">
      <c r="A7" s="26" t="s">
        <v>1490</v>
      </c>
      <c r="B7" s="26" t="s">
        <v>1491</v>
      </c>
      <c r="C7" s="30">
        <v>221922.74799999999</v>
      </c>
      <c r="D7" s="28">
        <v>180.07322199999999</v>
      </c>
      <c r="E7" s="29">
        <v>15.1643609125992</v>
      </c>
    </row>
    <row r="8" spans="1:8" x14ac:dyDescent="0.2">
      <c r="A8" s="26" t="s">
        <v>1499</v>
      </c>
      <c r="B8" s="26" t="s">
        <v>1500</v>
      </c>
      <c r="C8" s="30">
        <v>14376.614</v>
      </c>
      <c r="D8" s="28">
        <v>176.07441710000001</v>
      </c>
      <c r="E8" s="29">
        <v>14.8276127828708</v>
      </c>
    </row>
    <row r="9" spans="1:8" x14ac:dyDescent="0.2">
      <c r="A9" s="26" t="s">
        <v>1485</v>
      </c>
      <c r="B9" s="26" t="s">
        <v>1486</v>
      </c>
      <c r="C9" s="30">
        <v>61128.652000000002</v>
      </c>
      <c r="D9" s="28">
        <v>175.450051</v>
      </c>
      <c r="E9" s="29">
        <v>14.7750335443986</v>
      </c>
    </row>
    <row r="10" spans="1:8" ht="20" x14ac:dyDescent="0.2">
      <c r="A10" s="26" t="s">
        <v>1492</v>
      </c>
      <c r="B10" s="48" t="s">
        <v>1493</v>
      </c>
      <c r="C10" s="30">
        <v>127811.183</v>
      </c>
      <c r="D10" s="28">
        <v>46.4588538</v>
      </c>
      <c r="E10" s="29">
        <v>3.9124019595144501</v>
      </c>
    </row>
    <row r="11" spans="1:8" ht="20" x14ac:dyDescent="0.2">
      <c r="A11" s="26" t="s">
        <v>1494</v>
      </c>
      <c r="B11" s="48" t="s">
        <v>1495</v>
      </c>
      <c r="C11" s="30">
        <v>167004.62</v>
      </c>
      <c r="D11" s="28">
        <v>0</v>
      </c>
      <c r="E11" s="28">
        <v>0</v>
      </c>
    </row>
    <row r="12" spans="1:8" ht="20" x14ac:dyDescent="0.2">
      <c r="A12" s="26" t="s">
        <v>1496</v>
      </c>
      <c r="B12" s="48" t="s">
        <v>1497</v>
      </c>
      <c r="C12" s="30">
        <v>147479.853</v>
      </c>
      <c r="D12" s="28">
        <v>0</v>
      </c>
      <c r="E12" s="28">
        <v>0</v>
      </c>
    </row>
    <row r="13" spans="1:8" ht="10.5" x14ac:dyDescent="0.25">
      <c r="A13" s="25" t="s">
        <v>17</v>
      </c>
      <c r="B13" s="25"/>
      <c r="C13" s="31"/>
      <c r="D13" s="32">
        <f>SUM(D6:D12)</f>
        <v>1169.0625609000001</v>
      </c>
      <c r="E13" s="33">
        <f>SUM(E6:E12)</f>
        <v>98.449321925805762</v>
      </c>
      <c r="F13" s="18"/>
      <c r="G13" s="18"/>
      <c r="H13" s="18"/>
    </row>
    <row r="14" spans="1:8" x14ac:dyDescent="0.2">
      <c r="A14" s="26"/>
      <c r="B14" s="26"/>
      <c r="C14" s="27"/>
      <c r="D14" s="28"/>
      <c r="E14" s="29"/>
    </row>
    <row r="15" spans="1:8" ht="10.5" x14ac:dyDescent="0.25">
      <c r="A15" s="25" t="s">
        <v>62</v>
      </c>
      <c r="B15" s="25"/>
      <c r="C15" s="31"/>
      <c r="D15" s="32">
        <f>D13</f>
        <v>1169.0625609000001</v>
      </c>
      <c r="E15" s="33">
        <f>E13</f>
        <v>98.449321925805762</v>
      </c>
      <c r="F15" s="18"/>
      <c r="G15" s="18"/>
      <c r="H15" s="18"/>
    </row>
    <row r="16" spans="1:8" ht="10.5" x14ac:dyDescent="0.25">
      <c r="A16" s="25"/>
      <c r="B16" s="25"/>
      <c r="C16" s="31"/>
      <c r="D16" s="32"/>
      <c r="E16" s="33"/>
      <c r="F16" s="18"/>
      <c r="G16" s="18"/>
      <c r="H16" s="18"/>
    </row>
    <row r="17" spans="1:8" ht="10.5" x14ac:dyDescent="0.25">
      <c r="A17" s="25" t="s">
        <v>63</v>
      </c>
      <c r="B17" s="25"/>
      <c r="C17" s="31"/>
      <c r="D17" s="32">
        <f>D19-(D13)</f>
        <v>18.413937699999906</v>
      </c>
      <c r="E17" s="33">
        <f>E19-(E13)</f>
        <v>1.5506780741942379</v>
      </c>
      <c r="F17" s="18"/>
      <c r="G17" s="18"/>
      <c r="H17" s="18"/>
    </row>
    <row r="18" spans="1:8" ht="10.5" x14ac:dyDescent="0.25">
      <c r="A18" s="25"/>
      <c r="B18" s="25"/>
      <c r="C18" s="31"/>
      <c r="D18" s="32"/>
      <c r="E18" s="33"/>
      <c r="F18" s="18"/>
      <c r="G18" s="18"/>
      <c r="H18" s="18"/>
    </row>
    <row r="19" spans="1:8" ht="10.5" x14ac:dyDescent="0.25">
      <c r="A19" s="34" t="s">
        <v>64</v>
      </c>
      <c r="B19" s="34"/>
      <c r="C19" s="35"/>
      <c r="D19" s="36">
        <v>1187.4764986</v>
      </c>
      <c r="E19" s="37">
        <v>100</v>
      </c>
      <c r="F19" s="18"/>
      <c r="G19" s="18"/>
      <c r="H19" s="18"/>
    </row>
    <row r="20" spans="1:8" ht="10.5" x14ac:dyDescent="0.25">
      <c r="C20" s="10"/>
      <c r="D20" s="13"/>
      <c r="E20" s="19"/>
    </row>
    <row r="21" spans="1:8" ht="10.5" x14ac:dyDescent="0.25">
      <c r="A21" s="18" t="s">
        <v>1481</v>
      </c>
    </row>
    <row r="23" spans="1:8" ht="10.5" x14ac:dyDescent="0.25">
      <c r="A23" s="18" t="s">
        <v>67</v>
      </c>
    </row>
    <row r="24" spans="1:8" ht="10.5" x14ac:dyDescent="0.25">
      <c r="A24" s="18" t="s">
        <v>68</v>
      </c>
    </row>
    <row r="25" spans="1:8" ht="10.5" x14ac:dyDescent="0.25">
      <c r="A25" s="18" t="s">
        <v>69</v>
      </c>
      <c r="B25" s="18"/>
      <c r="C25" s="38" t="s">
        <v>70</v>
      </c>
      <c r="D25" s="43" t="s">
        <v>71</v>
      </c>
    </row>
    <row r="26" spans="1:8" x14ac:dyDescent="0.2">
      <c r="A26" s="9" t="s">
        <v>98</v>
      </c>
      <c r="C26" s="39">
        <v>70.1708</v>
      </c>
      <c r="D26" s="39">
        <v>89.255099999999999</v>
      </c>
    </row>
    <row r="27" spans="1:8" x14ac:dyDescent="0.2">
      <c r="A27" s="9" t="s">
        <v>331</v>
      </c>
      <c r="C27" s="39">
        <v>22.942499999999999</v>
      </c>
      <c r="D27" s="39">
        <v>26.848600000000001</v>
      </c>
    </row>
    <row r="28" spans="1:8" x14ac:dyDescent="0.2">
      <c r="A28" s="9" t="s">
        <v>101</v>
      </c>
      <c r="C28" s="39">
        <v>72.608400000000003</v>
      </c>
      <c r="D28" s="39">
        <v>92.723600000000005</v>
      </c>
    </row>
    <row r="29" spans="1:8" x14ac:dyDescent="0.2">
      <c r="A29" s="9" t="s">
        <v>332</v>
      </c>
      <c r="C29" s="39">
        <v>23.9466</v>
      </c>
      <c r="D29" s="39">
        <v>28.24</v>
      </c>
    </row>
    <row r="31" spans="1:8" ht="10.5" x14ac:dyDescent="0.25">
      <c r="A31" s="18" t="s">
        <v>90</v>
      </c>
    </row>
    <row r="32" spans="1:8" ht="10.5" x14ac:dyDescent="0.25">
      <c r="A32" s="77" t="s">
        <v>91</v>
      </c>
      <c r="B32" s="78"/>
      <c r="C32" s="40" t="s">
        <v>92</v>
      </c>
    </row>
    <row r="33" spans="1:4" x14ac:dyDescent="0.2">
      <c r="A33" s="79" t="s">
        <v>331</v>
      </c>
      <c r="B33" s="80"/>
      <c r="C33" s="41">
        <v>2</v>
      </c>
    </row>
    <row r="34" spans="1:4" x14ac:dyDescent="0.2">
      <c r="A34" s="79" t="s">
        <v>332</v>
      </c>
      <c r="B34" s="80"/>
      <c r="C34" s="41">
        <v>2</v>
      </c>
    </row>
    <row r="35" spans="1:4" x14ac:dyDescent="0.2">
      <c r="A35" s="9" t="s">
        <v>93</v>
      </c>
    </row>
    <row r="37" spans="1:4" ht="10.5" x14ac:dyDescent="0.25">
      <c r="A37" s="18" t="s">
        <v>998</v>
      </c>
      <c r="D37" s="59">
        <v>7.1400000000000005E-2</v>
      </c>
    </row>
    <row r="39" spans="1:4" ht="10.5" x14ac:dyDescent="0.25">
      <c r="A39" s="18" t="s">
        <v>1516</v>
      </c>
    </row>
    <row r="40" spans="1:4" x14ac:dyDescent="0.2">
      <c r="A40" s="47" t="s">
        <v>1509</v>
      </c>
    </row>
  </sheetData>
  <mergeCells count="4">
    <mergeCell ref="A1:E1"/>
    <mergeCell ref="A32:B32"/>
    <mergeCell ref="A33:B33"/>
    <mergeCell ref="A34:B34"/>
  </mergeCells>
  <conditionalFormatting sqref="E5:E10 E13:E20">
    <cfRule type="cellIs" dxfId="1" priority="1" stopIfTrue="1" operator="between">
      <formula>0.009</formula>
      <formula>-0.009</formula>
    </cfRule>
  </conditionalFormatting>
  <hyperlinks>
    <hyperlink ref="A40" r:id="rId1" xr:uid="{59533D04-E5C9-416B-A031-13DFA161CB8E}"/>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37"/>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13.54296875" style="13" bestFit="1" customWidth="1"/>
    <col min="6" max="16384" width="9.1796875" style="9"/>
  </cols>
  <sheetData>
    <row r="1" spans="1:8" s="1" customFormat="1" ht="14" x14ac:dyDescent="0.25">
      <c r="A1" s="66" t="s">
        <v>1503</v>
      </c>
      <c r="B1" s="67"/>
      <c r="C1" s="67"/>
      <c r="D1" s="67"/>
      <c r="E1" s="67"/>
    </row>
    <row r="2" spans="1:8" s="1" customFormat="1" ht="11.5" x14ac:dyDescent="0.25">
      <c r="D2" s="6"/>
      <c r="E2" s="7"/>
    </row>
    <row r="3" spans="1:8" s="1" customFormat="1" ht="11.5" x14ac:dyDescent="0.25">
      <c r="A3" s="11" t="s">
        <v>1</v>
      </c>
      <c r="B3" s="2"/>
      <c r="C3" s="3"/>
      <c r="D3" s="4"/>
      <c r="E3" s="5"/>
    </row>
    <row r="4" spans="1:8" s="1" customFormat="1" ht="17.5" customHeight="1" x14ac:dyDescent="0.25">
      <c r="A4" s="8" t="s">
        <v>2</v>
      </c>
      <c r="B4" s="8" t="s">
        <v>3</v>
      </c>
      <c r="C4" s="16" t="s">
        <v>5</v>
      </c>
      <c r="D4" s="15" t="s">
        <v>6</v>
      </c>
      <c r="E4" s="15" t="s">
        <v>7</v>
      </c>
    </row>
    <row r="5" spans="1:8" ht="10.5" x14ac:dyDescent="0.25">
      <c r="A5" s="20" t="s">
        <v>1470</v>
      </c>
      <c r="B5" s="21"/>
      <c r="C5" s="22"/>
      <c r="D5" s="23"/>
      <c r="E5" s="24"/>
    </row>
    <row r="6" spans="1:8" x14ac:dyDescent="0.2">
      <c r="A6" s="26" t="s">
        <v>1504</v>
      </c>
      <c r="B6" s="26" t="s">
        <v>1505</v>
      </c>
      <c r="C6" s="30">
        <v>5219283.1500000004</v>
      </c>
      <c r="D6" s="28">
        <v>38463.350599999998</v>
      </c>
      <c r="E6" s="29">
        <v>49.466422074230998</v>
      </c>
    </row>
    <row r="7" spans="1:8" ht="20" x14ac:dyDescent="0.2">
      <c r="A7" s="26" t="s">
        <v>1473</v>
      </c>
      <c r="B7" s="48" t="s">
        <v>1474</v>
      </c>
      <c r="C7" s="30">
        <v>674821.91899999999</v>
      </c>
      <c r="D7" s="28">
        <v>13838.210709999999</v>
      </c>
      <c r="E7" s="29">
        <v>17.796857555436301</v>
      </c>
    </row>
    <row r="8" spans="1:8" ht="20" x14ac:dyDescent="0.2">
      <c r="A8" s="26" t="s">
        <v>1477</v>
      </c>
      <c r="B8" s="48" t="s">
        <v>1478</v>
      </c>
      <c r="C8" s="30">
        <v>1370528.45</v>
      </c>
      <c r="D8" s="28">
        <v>0</v>
      </c>
      <c r="E8" s="28">
        <v>0</v>
      </c>
    </row>
    <row r="9" spans="1:8" ht="20" x14ac:dyDescent="0.2">
      <c r="A9" s="26" t="s">
        <v>1479</v>
      </c>
      <c r="B9" s="48" t="s">
        <v>1480</v>
      </c>
      <c r="C9" s="30">
        <v>1235134.5419999999</v>
      </c>
      <c r="D9" s="28">
        <v>0</v>
      </c>
      <c r="E9" s="28">
        <v>0</v>
      </c>
    </row>
    <row r="10" spans="1:8" ht="10.5" x14ac:dyDescent="0.25">
      <c r="A10" s="25" t="s">
        <v>17</v>
      </c>
      <c r="B10" s="25"/>
      <c r="C10" s="31"/>
      <c r="D10" s="32">
        <f>SUM(D6:D9)</f>
        <v>52301.561309999997</v>
      </c>
      <c r="E10" s="33">
        <f>SUM(E6:E9)</f>
        <v>67.263279629667295</v>
      </c>
      <c r="F10" s="18"/>
      <c r="G10" s="18"/>
      <c r="H10" s="18"/>
    </row>
    <row r="11" spans="1:8" x14ac:dyDescent="0.2">
      <c r="A11" s="26"/>
      <c r="B11" s="26"/>
      <c r="C11" s="27"/>
      <c r="D11" s="28"/>
      <c r="E11" s="29"/>
    </row>
    <row r="12" spans="1:8" ht="10.5" x14ac:dyDescent="0.25">
      <c r="A12" s="25" t="s">
        <v>62</v>
      </c>
      <c r="B12" s="25"/>
      <c r="C12" s="31"/>
      <c r="D12" s="32">
        <f>D10</f>
        <v>52301.561309999997</v>
      </c>
      <c r="E12" s="33">
        <f>E10</f>
        <v>67.263279629667295</v>
      </c>
      <c r="F12" s="18"/>
      <c r="G12" s="18"/>
      <c r="H12" s="18"/>
    </row>
    <row r="13" spans="1:8" ht="10.5" x14ac:dyDescent="0.25">
      <c r="A13" s="25"/>
      <c r="B13" s="25"/>
      <c r="C13" s="31"/>
      <c r="D13" s="32"/>
      <c r="E13" s="33"/>
      <c r="F13" s="18"/>
      <c r="G13" s="18"/>
      <c r="H13" s="18"/>
    </row>
    <row r="14" spans="1:8" ht="10.5" x14ac:dyDescent="0.25">
      <c r="A14" s="25" t="s">
        <v>63</v>
      </c>
      <c r="B14" s="25"/>
      <c r="C14" s="31"/>
      <c r="D14" s="32">
        <f>D16-(D10)</f>
        <v>25454.922759700006</v>
      </c>
      <c r="E14" s="33">
        <f>E16-(E10)</f>
        <v>32.736720370332705</v>
      </c>
      <c r="F14" s="18"/>
      <c r="G14" s="18"/>
      <c r="H14" s="18"/>
    </row>
    <row r="15" spans="1:8" ht="10.5" x14ac:dyDescent="0.25">
      <c r="A15" s="25"/>
      <c r="B15" s="25"/>
      <c r="C15" s="31"/>
      <c r="D15" s="32"/>
      <c r="E15" s="33"/>
      <c r="F15" s="18"/>
      <c r="G15" s="18"/>
      <c r="H15" s="18"/>
    </row>
    <row r="16" spans="1:8" ht="10.5" x14ac:dyDescent="0.25">
      <c r="A16" s="34" t="s">
        <v>64</v>
      </c>
      <c r="B16" s="34"/>
      <c r="C16" s="35"/>
      <c r="D16" s="36">
        <v>77756.484069700004</v>
      </c>
      <c r="E16" s="37">
        <v>100</v>
      </c>
      <c r="F16" s="18"/>
      <c r="G16" s="18"/>
      <c r="H16" s="18"/>
    </row>
    <row r="17" spans="1:5" ht="10.5" x14ac:dyDescent="0.25">
      <c r="C17" s="10"/>
      <c r="D17" s="13"/>
      <c r="E17" s="19"/>
    </row>
    <row r="18" spans="1:5" ht="10.5" x14ac:dyDescent="0.25">
      <c r="A18" s="18" t="s">
        <v>1481</v>
      </c>
    </row>
    <row r="20" spans="1:5" ht="10.5" x14ac:dyDescent="0.25">
      <c r="A20" s="18" t="s">
        <v>67</v>
      </c>
    </row>
    <row r="21" spans="1:5" ht="10.5" x14ac:dyDescent="0.25">
      <c r="A21" s="18" t="s">
        <v>68</v>
      </c>
    </row>
    <row r="22" spans="1:5" ht="10.5" x14ac:dyDescent="0.25">
      <c r="A22" s="18" t="s">
        <v>69</v>
      </c>
      <c r="B22" s="18"/>
      <c r="C22" s="38" t="s">
        <v>70</v>
      </c>
      <c r="D22" s="43" t="s">
        <v>71</v>
      </c>
    </row>
    <row r="23" spans="1:5" x14ac:dyDescent="0.2">
      <c r="A23" s="9" t="s">
        <v>98</v>
      </c>
      <c r="C23" s="39">
        <v>67.2196</v>
      </c>
      <c r="D23" s="39">
        <v>79.5428</v>
      </c>
    </row>
    <row r="24" spans="1:5" x14ac:dyDescent="0.2">
      <c r="A24" s="9" t="s">
        <v>331</v>
      </c>
      <c r="C24" s="39">
        <v>27.058399999999999</v>
      </c>
      <c r="D24" s="39">
        <v>30.330400000000001</v>
      </c>
    </row>
    <row r="25" spans="1:5" x14ac:dyDescent="0.2">
      <c r="A25" s="9" t="s">
        <v>101</v>
      </c>
      <c r="C25" s="39">
        <v>72.396100000000004</v>
      </c>
      <c r="D25" s="39">
        <v>86.106399999999994</v>
      </c>
    </row>
    <row r="26" spans="1:5" x14ac:dyDescent="0.2">
      <c r="A26" s="9" t="s">
        <v>332</v>
      </c>
      <c r="C26" s="39">
        <v>29.915600000000001</v>
      </c>
      <c r="D26" s="39">
        <v>33.886299999999999</v>
      </c>
    </row>
    <row r="28" spans="1:5" ht="10.5" x14ac:dyDescent="0.25">
      <c r="A28" s="18" t="s">
        <v>90</v>
      </c>
    </row>
    <row r="29" spans="1:5" ht="10.5" x14ac:dyDescent="0.25">
      <c r="A29" s="77" t="s">
        <v>91</v>
      </c>
      <c r="B29" s="78"/>
      <c r="C29" s="40" t="s">
        <v>92</v>
      </c>
    </row>
    <row r="30" spans="1:5" x14ac:dyDescent="0.2">
      <c r="A30" s="79" t="s">
        <v>331</v>
      </c>
      <c r="B30" s="80"/>
      <c r="C30" s="41">
        <v>1.5</v>
      </c>
    </row>
    <row r="31" spans="1:5" x14ac:dyDescent="0.2">
      <c r="A31" s="79" t="s">
        <v>332</v>
      </c>
      <c r="B31" s="80"/>
      <c r="C31" s="41">
        <v>1.5</v>
      </c>
    </row>
    <row r="32" spans="1:5" x14ac:dyDescent="0.2">
      <c r="A32" s="9" t="s">
        <v>93</v>
      </c>
    </row>
    <row r="34" spans="1:4" ht="10.5" x14ac:dyDescent="0.25">
      <c r="A34" s="18" t="s">
        <v>998</v>
      </c>
      <c r="D34" s="59">
        <v>1.5100000000000001E-2</v>
      </c>
    </row>
    <row r="36" spans="1:4" ht="10.5" x14ac:dyDescent="0.25">
      <c r="A36" s="18" t="s">
        <v>1516</v>
      </c>
    </row>
    <row r="37" spans="1:4" x14ac:dyDescent="0.2">
      <c r="A37" s="47" t="s">
        <v>1509</v>
      </c>
    </row>
  </sheetData>
  <mergeCells count="4">
    <mergeCell ref="A1:E1"/>
    <mergeCell ref="A29:B29"/>
    <mergeCell ref="A30:B30"/>
    <mergeCell ref="A31:B31"/>
  </mergeCells>
  <conditionalFormatting sqref="E5:E7 E10:E17">
    <cfRule type="cellIs" dxfId="0" priority="1" stopIfTrue="1" operator="between">
      <formula>0.009</formula>
      <formula>-0.009</formula>
    </cfRule>
  </conditionalFormatting>
  <hyperlinks>
    <hyperlink ref="A37" r:id="rId1" xr:uid="{D4DD2B53-5B88-4616-84FE-9443FF435C45}"/>
  </hyperlinks>
  <pageMargins left="0.7" right="0.7" top="0.75" bottom="0.75" header="0.3" footer="0.3"/>
  <pageSetup paperSize="9" orientation="portrait" r:id="rId2"/>
  <headerFooter>
    <oddFooter>&amp;LPUBLIC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FILF</vt:lpstr>
      <vt:lpstr>FIONF</vt:lpstr>
      <vt:lpstr>FISF</vt:lpstr>
      <vt:lpstr>FIFRF</vt:lpstr>
      <vt:lpstr>FICDF</vt:lpstr>
      <vt:lpstr>FBPF</vt:lpstr>
      <vt:lpstr>FIGSF</vt:lpstr>
      <vt:lpstr>FIDA</vt:lpstr>
      <vt:lpstr>FILDF</vt:lpstr>
      <vt:lpstr>FIUBF</vt:lpstr>
      <vt:lpstr>FISTIP</vt:lpstr>
      <vt:lpstr>FIIOF</vt:lpstr>
      <vt:lpstr>FICRF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December 2020</dc:title>
  <dc:subject/>
  <dc:creator/>
  <cp:keywords>Monthly ISIN, Monthly SEBI Portfolio, ISIN Report, SEBI Portfolio, ISIN Level Portfolio, Monthly portfolio, Debt portfolio, Equity portfolio, Fixed income portfolio, ISIN portfolio, portfolio disclosure</cp:keywords>
  <dc:description>PUBLIC</dc:description>
  <cp:lastModifiedBy/>
  <cp:revision/>
  <dcterms:created xsi:type="dcterms:W3CDTF">2006-09-16T00:00:00Z</dcterms:created>
  <dcterms:modified xsi:type="dcterms:W3CDTF">2021-01-08T14:20:29Z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CLAPUBLIC</vt:lpwstr>
  </property>
</Properties>
</file>