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ogte\OneDrive - Franklin Templeton\Monthly ISIN\"/>
    </mc:Choice>
  </mc:AlternateContent>
  <xr:revisionPtr revIDLastSave="0" documentId="13_ncr:1_{FCCFBCB8-EB30-4EFD-A885-9FA749AB1373}" xr6:coauthVersionLast="45" xr6:coauthVersionMax="45" xr10:uidLastSave="{00000000-0000-0000-0000-000000000000}"/>
  <bookViews>
    <workbookView xWindow="-120" yWindow="-120" windowWidth="29040" windowHeight="15840" tabRatio="853" xr2:uid="{2BFD97E1-3836-46E9-9B53-43EE09ADFA81}"/>
  </bookViews>
  <sheets>
    <sheet name="FIIOF" sheetId="26" r:id="rId1"/>
    <sheet name="FIUBF" sheetId="27" r:id="rId2"/>
    <sheet name="FBPF" sheetId="28" r:id="rId3"/>
    <sheet name="FISTIP" sheetId="29" r:id="rId4"/>
    <sheet name="FISF" sheetId="30" r:id="rId5"/>
    <sheet name="FIONF" sheetId="31" r:id="rId6"/>
    <sheet name="FILF" sheetId="32" r:id="rId7"/>
    <sheet name="FILDF" sheetId="33" r:id="rId8"/>
    <sheet name="FIGSF" sheetId="34" r:id="rId9"/>
    <sheet name="FIFRF" sheetId="35" r:id="rId10"/>
    <sheet name="FIDA" sheetId="36" r:id="rId11"/>
    <sheet name="FICRF" sheetId="37" r:id="rId12"/>
    <sheet name="FICDF" sheetId="38" r:id="rId13"/>
    <sheet name="FMPS6C" sheetId="39" r:id="rId14"/>
    <sheet name="FMPS5F" sheetId="40" r:id="rId15"/>
    <sheet name="FMPS5E" sheetId="41" r:id="rId16"/>
    <sheet name="FMPS5D" sheetId="42" r:id="rId17"/>
    <sheet name="FMPS5C" sheetId="43" r:id="rId18"/>
    <sheet name="FMPS5B" sheetId="44" r:id="rId19"/>
    <sheet name="FMPS5A" sheetId="45" r:id="rId20"/>
    <sheet name="FMPS4F" sheetId="46" r:id="rId21"/>
    <sheet name="FMPS4E" sheetId="47" r:id="rId22"/>
    <sheet name="FMPS4D" sheetId="48" r:id="rId23"/>
    <sheet name="FMPS4C" sheetId="49" r:id="rId24"/>
    <sheet name="FMPS4B" sheetId="50" r:id="rId25"/>
    <sheet name="FMPS4A" sheetId="51" r:id="rId26"/>
    <sheet name="FMPS3F" sheetId="52" r:id="rId27"/>
    <sheet name="FMPS3E" sheetId="53" r:id="rId28"/>
    <sheet name="FMPS3D" sheetId="54" r:id="rId29"/>
    <sheet name="FMPS3C" sheetId="55" r:id="rId30"/>
    <sheet name="FMPS3B" sheetId="56" r:id="rId31"/>
    <sheet name="FMPS3A" sheetId="57" r:id="rId32"/>
    <sheet name="FMPS2C" sheetId="58" r:id="rId33"/>
    <sheet name="FMPS2B" sheetId="59" r:id="rId34"/>
    <sheet name="FMPS2A" sheetId="60" r:id="rId35"/>
    <sheet name="FMPS1B" sheetId="61" r:id="rId36"/>
    <sheet name="FMPS1A" sheetId="62" r:id="rId37"/>
    <sheet name="FIESF" sheetId="63" r:id="rId38"/>
    <sheet name="FIPP" sheetId="64" r:id="rId39"/>
    <sheet name="FIDHY" sheetId="65" r:id="rId40"/>
    <sheet name="FIEHF" sheetId="66" r:id="rId41"/>
    <sheet name="TIVF" sheetId="25" r:id="rId42"/>
    <sheet name="FITX" sheetId="23" r:id="rId43"/>
    <sheet name="FITF" sheetId="22" r:id="rId44"/>
    <sheet name="FISMF" sheetId="21" r:id="rId45"/>
    <sheet name="FIPF" sheetId="20" r:id="rId46"/>
    <sheet name="FIOF" sheetId="19" r:id="rId47"/>
    <sheet name="FIIF-NSE" sheetId="17" r:id="rId48"/>
    <sheet name="FIFEF" sheetId="11" r:id="rId49"/>
    <sheet name="TIEIF" sheetId="9" r:id="rId50"/>
    <sheet name="FIEF" sheetId="8" r:id="rId51"/>
    <sheet name="FIEAF" sheetId="7" r:id="rId52"/>
    <sheet name="FIBF" sheetId="6" r:id="rId53"/>
    <sheet name="FBIF" sheetId="3" r:id="rId54"/>
    <sheet name="FAEF" sheetId="2" r:id="rId55"/>
    <sheet name="FEGF" sheetId="4" r:id="rId56"/>
    <sheet name="FIUS" sheetId="24" r:id="rId57"/>
    <sheet name="FIMAS" sheetId="18" r:id="rId58"/>
    <sheet name="FF" sheetId="5" r:id="rId59"/>
    <sheet name="FIFOF-50's+" sheetId="16" r:id="rId60"/>
    <sheet name="FIFOF-50's" sheetId="15" r:id="rId61"/>
    <sheet name="FIFOF-40's" sheetId="14" r:id="rId62"/>
    <sheet name="FIFOF-30's" sheetId="13" r:id="rId63"/>
    <sheet name="FIFOF-20's" sheetId="12" r:id="rId64"/>
  </sheets>
  <definedNames>
    <definedName name="_xlnm._FilterDatabase" localSheetId="53" hidden="1">FBIF!$A$7:$G$44</definedName>
    <definedName name="_xlnm._FilterDatabase" localSheetId="52" hidden="1">FIBF!$A$7:$G$38</definedName>
    <definedName name="_xlnm._FilterDatabase" localSheetId="51" hidden="1">FIEAF!$A$7:$H$62</definedName>
    <definedName name="_xlnm._FilterDatabase" localSheetId="50" hidden="1">FIEF!$A$7:$G$61</definedName>
    <definedName name="_xlnm._FilterDatabase" localSheetId="37" hidden="1">FIESF!$A$9:$G$50</definedName>
    <definedName name="_xlnm._FilterDatabase" localSheetId="47" hidden="1">'FIIF-NSE'!$A$7:$G$58</definedName>
    <definedName name="_xlnm._FilterDatabase" localSheetId="46" hidden="1">FIOF!$A$7:$G$41</definedName>
    <definedName name="_xlnm._FilterDatabase" localSheetId="45" hidden="1">FIPF!$A$7:$G$70</definedName>
    <definedName name="_xlnm._FilterDatabase" localSheetId="44" hidden="1">FISMF!$A$7:$G$7</definedName>
    <definedName name="_xlnm._FilterDatabase" localSheetId="42" hidden="1">FITX!$A$7:$G$7</definedName>
    <definedName name="_xlnm._FilterDatabase" localSheetId="41" hidden="1">TIVF!$A$7:$G$7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5" i="66" l="1"/>
  <c r="E78" i="66"/>
  <c r="E73" i="66"/>
  <c r="E54" i="66"/>
  <c r="F50" i="66"/>
  <c r="E50" i="66"/>
  <c r="E45" i="66"/>
  <c r="E87" i="66" s="1"/>
  <c r="E91" i="66" s="1"/>
  <c r="F67" i="65"/>
  <c r="F61" i="65"/>
  <c r="E61" i="65"/>
  <c r="F54" i="65"/>
  <c r="E54" i="65"/>
  <c r="F34" i="65"/>
  <c r="E34" i="65"/>
  <c r="F78" i="64"/>
  <c r="F72" i="64"/>
  <c r="E72" i="64"/>
  <c r="F65" i="64"/>
  <c r="E65" i="64"/>
  <c r="F61" i="64"/>
  <c r="E61" i="64"/>
  <c r="F40" i="64"/>
  <c r="E40" i="64"/>
  <c r="F70" i="63"/>
  <c r="E70" i="63"/>
  <c r="E63" i="63"/>
  <c r="E55" i="63"/>
  <c r="G50" i="63"/>
  <c r="E50" i="63"/>
  <c r="E72" i="63" s="1"/>
  <c r="E77" i="63" s="1"/>
  <c r="F35" i="62"/>
  <c r="F29" i="62"/>
  <c r="E29" i="62"/>
  <c r="F23" i="62"/>
  <c r="E23" i="62"/>
  <c r="F19" i="62"/>
  <c r="E19" i="62"/>
  <c r="F40" i="61"/>
  <c r="F34" i="61"/>
  <c r="E34" i="61"/>
  <c r="F28" i="61"/>
  <c r="E28" i="61"/>
  <c r="F23" i="61"/>
  <c r="E23" i="61"/>
  <c r="F19" i="61"/>
  <c r="E19" i="61"/>
  <c r="F40" i="60"/>
  <c r="F34" i="60"/>
  <c r="E34" i="60"/>
  <c r="F29" i="60"/>
  <c r="E29" i="60"/>
  <c r="F36" i="59"/>
  <c r="F30" i="59"/>
  <c r="E30" i="59"/>
  <c r="F25" i="59"/>
  <c r="E25" i="59"/>
  <c r="F39" i="58"/>
  <c r="F33" i="58"/>
  <c r="E33" i="58"/>
  <c r="F27" i="58"/>
  <c r="E27" i="58"/>
  <c r="F35" i="57"/>
  <c r="F29" i="57"/>
  <c r="E29" i="57"/>
  <c r="F23" i="57"/>
  <c r="E23" i="57"/>
  <c r="F36" i="56"/>
  <c r="F30" i="56"/>
  <c r="E30" i="56"/>
  <c r="F25" i="56"/>
  <c r="E25" i="56"/>
  <c r="F37" i="55"/>
  <c r="F31" i="55"/>
  <c r="E31" i="55"/>
  <c r="F26" i="55"/>
  <c r="E26" i="55"/>
  <c r="F32" i="54"/>
  <c r="F26" i="54"/>
  <c r="E26" i="54"/>
  <c r="F21" i="54"/>
  <c r="E21" i="54"/>
  <c r="F35" i="53"/>
  <c r="F29" i="53"/>
  <c r="E29" i="53"/>
  <c r="F23" i="53"/>
  <c r="E23" i="53"/>
  <c r="F38" i="52"/>
  <c r="F32" i="52"/>
  <c r="E32" i="52"/>
  <c r="F27" i="52"/>
  <c r="E27" i="52"/>
  <c r="F35" i="51"/>
  <c r="F29" i="51"/>
  <c r="E29" i="51"/>
  <c r="F25" i="51"/>
  <c r="E25" i="51"/>
  <c r="F37" i="50"/>
  <c r="F31" i="50"/>
  <c r="E31" i="50"/>
  <c r="F27" i="50"/>
  <c r="E27" i="50"/>
  <c r="F30" i="49"/>
  <c r="F24" i="49"/>
  <c r="E24" i="49"/>
  <c r="F29" i="48"/>
  <c r="F23" i="48"/>
  <c r="E23" i="48"/>
  <c r="F18" i="48"/>
  <c r="E18" i="48"/>
  <c r="F31" i="47"/>
  <c r="F25" i="47"/>
  <c r="E25" i="47"/>
  <c r="F21" i="47"/>
  <c r="E21" i="47"/>
  <c r="F34" i="46"/>
  <c r="F28" i="46"/>
  <c r="E28" i="46"/>
  <c r="F24" i="46"/>
  <c r="E24" i="46"/>
  <c r="F26" i="45"/>
  <c r="F20" i="45"/>
  <c r="E20" i="45"/>
  <c r="F30" i="44"/>
  <c r="F24" i="44"/>
  <c r="E24" i="44"/>
  <c r="F30" i="43"/>
  <c r="F24" i="43"/>
  <c r="E24" i="43"/>
  <c r="F27" i="42"/>
  <c r="F21" i="42"/>
  <c r="E21" i="42"/>
  <c r="F26" i="41"/>
  <c r="F20" i="41"/>
  <c r="E20" i="41"/>
  <c r="F27" i="40"/>
  <c r="F21" i="40"/>
  <c r="E21" i="40"/>
  <c r="F28" i="39"/>
  <c r="F22" i="39"/>
  <c r="E22" i="39"/>
  <c r="F78" i="38"/>
  <c r="E78" i="38"/>
  <c r="F74" i="38"/>
  <c r="E74" i="38"/>
  <c r="F68" i="38"/>
  <c r="F80" i="38" s="1"/>
  <c r="F84" i="38" s="1"/>
  <c r="E68" i="38"/>
  <c r="E80" i="38" s="1"/>
  <c r="E84" i="38" s="1"/>
  <c r="F111" i="37"/>
  <c r="E111" i="37"/>
  <c r="F78" i="37"/>
  <c r="F113" i="37" s="1"/>
  <c r="F117" i="37" s="1"/>
  <c r="E78" i="37"/>
  <c r="E113" i="37" s="1"/>
  <c r="E117" i="37" s="1"/>
  <c r="E99" i="36"/>
  <c r="F91" i="36"/>
  <c r="F87" i="36"/>
  <c r="E62" i="36"/>
  <c r="E101" i="36" s="1"/>
  <c r="E105" i="36" s="1"/>
  <c r="F95" i="36" s="1"/>
  <c r="F57" i="36"/>
  <c r="F53" i="36"/>
  <c r="F49" i="36"/>
  <c r="F25" i="36"/>
  <c r="F21" i="36"/>
  <c r="F17" i="36"/>
  <c r="F39" i="35"/>
  <c r="F33" i="35"/>
  <c r="E33" i="35"/>
  <c r="F28" i="35"/>
  <c r="E28" i="35"/>
  <c r="F23" i="35"/>
  <c r="E23" i="35"/>
  <c r="F16" i="34"/>
  <c r="F10" i="34"/>
  <c r="E10" i="34"/>
  <c r="F98" i="33"/>
  <c r="F100" i="33" s="1"/>
  <c r="F104" i="33" s="1"/>
  <c r="E98" i="33"/>
  <c r="F84" i="33"/>
  <c r="E84" i="33"/>
  <c r="F77" i="33"/>
  <c r="E77" i="33"/>
  <c r="F52" i="33"/>
  <c r="E52" i="33"/>
  <c r="F80" i="32"/>
  <c r="F74" i="32"/>
  <c r="E74" i="32"/>
  <c r="F65" i="32"/>
  <c r="E65" i="32"/>
  <c r="F10" i="32"/>
  <c r="E10" i="32"/>
  <c r="F7" i="31"/>
  <c r="F71" i="30"/>
  <c r="E71" i="30"/>
  <c r="F66" i="30"/>
  <c r="E66" i="30"/>
  <c r="E73" i="30" s="1"/>
  <c r="F29" i="30"/>
  <c r="E29" i="30"/>
  <c r="E156" i="29"/>
  <c r="F140" i="29" s="1"/>
  <c r="E152" i="29"/>
  <c r="E150" i="29"/>
  <c r="F148" i="29"/>
  <c r="F144" i="29"/>
  <c r="F136" i="29"/>
  <c r="F132" i="29"/>
  <c r="F116" i="29"/>
  <c r="F112" i="29"/>
  <c r="F104" i="29"/>
  <c r="F100" i="29"/>
  <c r="E95" i="29"/>
  <c r="F93" i="29"/>
  <c r="F77" i="29"/>
  <c r="F73" i="29"/>
  <c r="F65" i="29"/>
  <c r="F61" i="29"/>
  <c r="F45" i="29"/>
  <c r="F41" i="29"/>
  <c r="F33" i="29"/>
  <c r="F29" i="29"/>
  <c r="F13" i="29"/>
  <c r="F9" i="29"/>
  <c r="E68" i="28"/>
  <c r="F46" i="28" s="1"/>
  <c r="E64" i="28"/>
  <c r="E62" i="28"/>
  <c r="E56" i="28"/>
  <c r="E138" i="27"/>
  <c r="E128" i="27"/>
  <c r="E123" i="27"/>
  <c r="E91" i="27"/>
  <c r="E140" i="27" s="1"/>
  <c r="E144" i="27" s="1"/>
  <c r="F122" i="27" s="1"/>
  <c r="E71" i="26"/>
  <c r="E75" i="26" s="1"/>
  <c r="F69" i="26"/>
  <c r="E69" i="26"/>
  <c r="F44" i="26"/>
  <c r="F71" i="26" s="1"/>
  <c r="F75" i="26" s="1"/>
  <c r="E44" i="26"/>
  <c r="F16" i="27" l="1"/>
  <c r="F27" i="27"/>
  <c r="F32" i="27"/>
  <c r="F48" i="27"/>
  <c r="F64" i="27"/>
  <c r="F75" i="27"/>
  <c r="F9" i="28"/>
  <c r="F14" i="28"/>
  <c r="F30" i="28"/>
  <c r="F21" i="29"/>
  <c r="F53" i="29"/>
  <c r="F85" i="29"/>
  <c r="F124" i="29"/>
  <c r="F33" i="36"/>
  <c r="F67" i="36"/>
  <c r="E100" i="33"/>
  <c r="E104" i="33" s="1"/>
  <c r="F9" i="36"/>
  <c r="F41" i="36"/>
  <c r="F75" i="36"/>
  <c r="F61" i="28"/>
  <c r="F55" i="28"/>
  <c r="F51" i="28"/>
  <c r="F47" i="28"/>
  <c r="F43" i="28"/>
  <c r="F39" i="28"/>
  <c r="F35" i="28"/>
  <c r="F31" i="28"/>
  <c r="F27" i="28"/>
  <c r="F23" i="28"/>
  <c r="F19" i="28"/>
  <c r="F15" i="28"/>
  <c r="F11" i="28"/>
  <c r="F66" i="28"/>
  <c r="F52" i="28"/>
  <c r="F48" i="28"/>
  <c r="F44" i="28"/>
  <c r="F40" i="28"/>
  <c r="F36" i="28"/>
  <c r="F32" i="28"/>
  <c r="F28" i="28"/>
  <c r="F24" i="28"/>
  <c r="F20" i="28"/>
  <c r="F16" i="28"/>
  <c r="F12" i="28"/>
  <c r="F8" i="28"/>
  <c r="F12" i="27"/>
  <c r="F28" i="27"/>
  <c r="F44" i="27"/>
  <c r="F87" i="27"/>
  <c r="F131" i="27"/>
  <c r="F42" i="28"/>
  <c r="F8" i="27"/>
  <c r="F24" i="27"/>
  <c r="F40" i="27"/>
  <c r="F56" i="27"/>
  <c r="F72" i="27"/>
  <c r="F101" i="27"/>
  <c r="F106" i="27"/>
  <c r="F81" i="29"/>
  <c r="F101" i="29"/>
  <c r="F120" i="29"/>
  <c r="F29" i="36"/>
  <c r="F61" i="36"/>
  <c r="F136" i="27"/>
  <c r="F132" i="27"/>
  <c r="F119" i="27"/>
  <c r="F115" i="27"/>
  <c r="F111" i="27"/>
  <c r="F107" i="27"/>
  <c r="F103" i="27"/>
  <c r="F99" i="27"/>
  <c r="F95" i="27"/>
  <c r="F89" i="27"/>
  <c r="F85" i="27"/>
  <c r="F81" i="27"/>
  <c r="F77" i="27"/>
  <c r="F73" i="27"/>
  <c r="F69" i="27"/>
  <c r="F65" i="27"/>
  <c r="F61" i="27"/>
  <c r="F57" i="27"/>
  <c r="F53" i="27"/>
  <c r="F49" i="27"/>
  <c r="F45" i="27"/>
  <c r="F41" i="27"/>
  <c r="F37" i="27"/>
  <c r="F33" i="27"/>
  <c r="F29" i="27"/>
  <c r="F25" i="27"/>
  <c r="F21" i="27"/>
  <c r="F17" i="27"/>
  <c r="F13" i="27"/>
  <c r="F9" i="27"/>
  <c r="F137" i="27"/>
  <c r="F133" i="27"/>
  <c r="F127" i="27"/>
  <c r="F128" i="27" s="1"/>
  <c r="F120" i="27"/>
  <c r="F116" i="27"/>
  <c r="F112" i="27"/>
  <c r="F108" i="27"/>
  <c r="F104" i="27"/>
  <c r="F100" i="27"/>
  <c r="F96" i="27"/>
  <c r="F90" i="27"/>
  <c r="F86" i="27"/>
  <c r="F82" i="27"/>
  <c r="F78" i="27"/>
  <c r="F74" i="27"/>
  <c r="F70" i="27"/>
  <c r="F66" i="27"/>
  <c r="F62" i="27"/>
  <c r="F58" i="27"/>
  <c r="F54" i="27"/>
  <c r="F50" i="27"/>
  <c r="F46" i="27"/>
  <c r="F42" i="27"/>
  <c r="F38" i="27"/>
  <c r="F34" i="27"/>
  <c r="F30" i="27"/>
  <c r="F26" i="27"/>
  <c r="F22" i="27"/>
  <c r="F18" i="27"/>
  <c r="F14" i="27"/>
  <c r="F10" i="27"/>
  <c r="F23" i="27"/>
  <c r="F39" i="27"/>
  <c r="F60" i="27"/>
  <c r="F76" i="27"/>
  <c r="F105" i="27"/>
  <c r="F121" i="27"/>
  <c r="F10" i="28"/>
  <c r="F26" i="28"/>
  <c r="F53" i="28"/>
  <c r="F19" i="27"/>
  <c r="F51" i="27"/>
  <c r="F67" i="27"/>
  <c r="F83" i="27"/>
  <c r="F117" i="27"/>
  <c r="F17" i="28"/>
  <c r="F22" i="28"/>
  <c r="F33" i="28"/>
  <c r="F38" i="28"/>
  <c r="F49" i="28"/>
  <c r="F54" i="28"/>
  <c r="F37" i="29"/>
  <c r="F69" i="29"/>
  <c r="F108" i="29"/>
  <c r="F97" i="36"/>
  <c r="F93" i="36"/>
  <c r="F89" i="36"/>
  <c r="F85" i="36"/>
  <c r="F81" i="36"/>
  <c r="F77" i="36"/>
  <c r="F73" i="36"/>
  <c r="F69" i="36"/>
  <c r="F65" i="36"/>
  <c r="F59" i="36"/>
  <c r="F55" i="36"/>
  <c r="F51" i="36"/>
  <c r="F47" i="36"/>
  <c r="F43" i="36"/>
  <c r="F39" i="36"/>
  <c r="F35" i="36"/>
  <c r="F31" i="36"/>
  <c r="F27" i="36"/>
  <c r="F23" i="36"/>
  <c r="F19" i="36"/>
  <c r="F15" i="36"/>
  <c r="F11" i="36"/>
  <c r="F96" i="36"/>
  <c r="F92" i="36"/>
  <c r="F88" i="36"/>
  <c r="F84" i="36"/>
  <c r="F80" i="36"/>
  <c r="F76" i="36"/>
  <c r="F72" i="36"/>
  <c r="F68" i="36"/>
  <c r="F58" i="36"/>
  <c r="F54" i="36"/>
  <c r="F50" i="36"/>
  <c r="F46" i="36"/>
  <c r="F42" i="36"/>
  <c r="F38" i="36"/>
  <c r="F34" i="36"/>
  <c r="F30" i="36"/>
  <c r="F26" i="36"/>
  <c r="F22" i="36"/>
  <c r="F18" i="36"/>
  <c r="F14" i="36"/>
  <c r="F10" i="36"/>
  <c r="F98" i="36"/>
  <c r="F94" i="36"/>
  <c r="F90" i="36"/>
  <c r="F86" i="36"/>
  <c r="F82" i="36"/>
  <c r="F78" i="36"/>
  <c r="F74" i="36"/>
  <c r="F70" i="36"/>
  <c r="F66" i="36"/>
  <c r="F60" i="36"/>
  <c r="F56" i="36"/>
  <c r="F52" i="36"/>
  <c r="F48" i="36"/>
  <c r="F44" i="36"/>
  <c r="F40" i="36"/>
  <c r="F36" i="36"/>
  <c r="F32" i="36"/>
  <c r="F28" i="36"/>
  <c r="F24" i="36"/>
  <c r="F20" i="36"/>
  <c r="F16" i="36"/>
  <c r="F12" i="36"/>
  <c r="F8" i="36"/>
  <c r="F83" i="36"/>
  <c r="F46" i="63"/>
  <c r="F38" i="63"/>
  <c r="F30" i="63"/>
  <c r="F22" i="63"/>
  <c r="F14" i="63"/>
  <c r="F75" i="63"/>
  <c r="F62" i="63"/>
  <c r="F54" i="63"/>
  <c r="F55" i="63" s="1"/>
  <c r="F45" i="63"/>
  <c r="F37" i="63"/>
  <c r="F29" i="63"/>
  <c r="F21" i="63"/>
  <c r="F13" i="63"/>
  <c r="F74" i="63"/>
  <c r="F44" i="63"/>
  <c r="F36" i="63"/>
  <c r="F28" i="63"/>
  <c r="F20" i="63"/>
  <c r="F12" i="63"/>
  <c r="F61" i="63"/>
  <c r="F43" i="63"/>
  <c r="F35" i="63"/>
  <c r="F27" i="63"/>
  <c r="F19" i="63"/>
  <c r="F11" i="63"/>
  <c r="F42" i="63"/>
  <c r="F34" i="63"/>
  <c r="F26" i="63"/>
  <c r="F18" i="63"/>
  <c r="F10" i="63"/>
  <c r="F60" i="63"/>
  <c r="F49" i="63"/>
  <c r="F41" i="63"/>
  <c r="F33" i="63"/>
  <c r="F25" i="63"/>
  <c r="F17" i="63"/>
  <c r="F9" i="63"/>
  <c r="F48" i="63"/>
  <c r="F40" i="63"/>
  <c r="F32" i="63"/>
  <c r="F24" i="63"/>
  <c r="F16" i="63"/>
  <c r="F47" i="63"/>
  <c r="F39" i="63"/>
  <c r="F31" i="63"/>
  <c r="F23" i="63"/>
  <c r="F15" i="63"/>
  <c r="F55" i="27"/>
  <c r="F71" i="27"/>
  <c r="F94" i="27"/>
  <c r="F123" i="27" s="1"/>
  <c r="F110" i="27"/>
  <c r="F21" i="28"/>
  <c r="F37" i="28"/>
  <c r="F60" i="28"/>
  <c r="F146" i="29"/>
  <c r="F142" i="29"/>
  <c r="F138" i="29"/>
  <c r="F134" i="29"/>
  <c r="F130" i="29"/>
  <c r="F126" i="29"/>
  <c r="F122" i="29"/>
  <c r="F118" i="29"/>
  <c r="F114" i="29"/>
  <c r="F110" i="29"/>
  <c r="F106" i="29"/>
  <c r="F102" i="29"/>
  <c r="F98" i="29"/>
  <c r="F149" i="29"/>
  <c r="F145" i="29"/>
  <c r="F141" i="29"/>
  <c r="F137" i="29"/>
  <c r="F133" i="29"/>
  <c r="F129" i="29"/>
  <c r="F125" i="29"/>
  <c r="F121" i="29"/>
  <c r="F117" i="29"/>
  <c r="F113" i="29"/>
  <c r="F109" i="29"/>
  <c r="F105" i="29"/>
  <c r="F91" i="29"/>
  <c r="F87" i="29"/>
  <c r="F83" i="29"/>
  <c r="F79" i="29"/>
  <c r="F75" i="29"/>
  <c r="F71" i="29"/>
  <c r="F67" i="29"/>
  <c r="F63" i="29"/>
  <c r="F59" i="29"/>
  <c r="F55" i="29"/>
  <c r="F51" i="29"/>
  <c r="F47" i="29"/>
  <c r="F43" i="29"/>
  <c r="F39" i="29"/>
  <c r="F35" i="29"/>
  <c r="F31" i="29"/>
  <c r="F27" i="29"/>
  <c r="F23" i="29"/>
  <c r="F19" i="29"/>
  <c r="F15" i="29"/>
  <c r="F11" i="29"/>
  <c r="F90" i="29"/>
  <c r="F86" i="29"/>
  <c r="F82" i="29"/>
  <c r="F78" i="29"/>
  <c r="F74" i="29"/>
  <c r="F70" i="29"/>
  <c r="F66" i="29"/>
  <c r="F62" i="29"/>
  <c r="F58" i="29"/>
  <c r="F54" i="29"/>
  <c r="F50" i="29"/>
  <c r="F46" i="29"/>
  <c r="F42" i="29"/>
  <c r="F38" i="29"/>
  <c r="F34" i="29"/>
  <c r="F30" i="29"/>
  <c r="F26" i="29"/>
  <c r="F22" i="29"/>
  <c r="F18" i="29"/>
  <c r="F14" i="29"/>
  <c r="F10" i="29"/>
  <c r="F147" i="29"/>
  <c r="F143" i="29"/>
  <c r="F139" i="29"/>
  <c r="F135" i="29"/>
  <c r="F131" i="29"/>
  <c r="F127" i="29"/>
  <c r="F123" i="29"/>
  <c r="F119" i="29"/>
  <c r="F115" i="29"/>
  <c r="F111" i="29"/>
  <c r="F107" i="29"/>
  <c r="F103" i="29"/>
  <c r="F99" i="29"/>
  <c r="F92" i="29"/>
  <c r="F88" i="29"/>
  <c r="F84" i="29"/>
  <c r="F80" i="29"/>
  <c r="F76" i="29"/>
  <c r="F72" i="29"/>
  <c r="F68" i="29"/>
  <c r="F64" i="29"/>
  <c r="F60" i="29"/>
  <c r="F56" i="29"/>
  <c r="F52" i="29"/>
  <c r="F48" i="29"/>
  <c r="F44" i="29"/>
  <c r="F40" i="29"/>
  <c r="F36" i="29"/>
  <c r="F32" i="29"/>
  <c r="F28" i="29"/>
  <c r="F24" i="29"/>
  <c r="F20" i="29"/>
  <c r="F16" i="29"/>
  <c r="F12" i="29"/>
  <c r="F8" i="29"/>
  <c r="F35" i="27"/>
  <c r="F88" i="27"/>
  <c r="F17" i="29"/>
  <c r="F49" i="29"/>
  <c r="F73" i="30"/>
  <c r="F77" i="30" s="1"/>
  <c r="F15" i="27"/>
  <c r="F20" i="27"/>
  <c r="F31" i="27"/>
  <c r="F36" i="27"/>
  <c r="F47" i="27"/>
  <c r="F52" i="27"/>
  <c r="F63" i="27"/>
  <c r="F68" i="27"/>
  <c r="F79" i="27"/>
  <c r="F84" i="27"/>
  <c r="F97" i="27"/>
  <c r="F102" i="27"/>
  <c r="F113" i="27"/>
  <c r="F118" i="27"/>
  <c r="F134" i="27"/>
  <c r="F13" i="28"/>
  <c r="F18" i="28"/>
  <c r="F29" i="28"/>
  <c r="F34" i="28"/>
  <c r="F45" i="28"/>
  <c r="F50" i="28"/>
  <c r="F25" i="29"/>
  <c r="F57" i="29"/>
  <c r="F89" i="29"/>
  <c r="F128" i="29"/>
  <c r="F37" i="36"/>
  <c r="F71" i="36"/>
  <c r="F38" i="66"/>
  <c r="F30" i="66"/>
  <c r="F22" i="66"/>
  <c r="F14" i="66"/>
  <c r="F83" i="66"/>
  <c r="F77" i="66"/>
  <c r="F71" i="66"/>
  <c r="F67" i="66"/>
  <c r="F63" i="66"/>
  <c r="F59" i="66"/>
  <c r="F37" i="66"/>
  <c r="F29" i="66"/>
  <c r="F21" i="66"/>
  <c r="F13" i="66"/>
  <c r="F89" i="66"/>
  <c r="F44" i="66"/>
  <c r="F36" i="66"/>
  <c r="F28" i="66"/>
  <c r="F20" i="66"/>
  <c r="F12" i="66"/>
  <c r="F82" i="66"/>
  <c r="F76" i="66"/>
  <c r="F78" i="66" s="1"/>
  <c r="F70" i="66"/>
  <c r="F66" i="66"/>
  <c r="F62" i="66"/>
  <c r="F43" i="66"/>
  <c r="F35" i="66"/>
  <c r="F27" i="66"/>
  <c r="F19" i="66"/>
  <c r="F11" i="66"/>
  <c r="F42" i="66"/>
  <c r="F34" i="66"/>
  <c r="F26" i="66"/>
  <c r="F18" i="66"/>
  <c r="F10" i="66"/>
  <c r="F81" i="66"/>
  <c r="F69" i="66"/>
  <c r="F65" i="66"/>
  <c r="F61" i="66"/>
  <c r="F53" i="66"/>
  <c r="F54" i="66" s="1"/>
  <c r="F41" i="66"/>
  <c r="F33" i="66"/>
  <c r="F25" i="66"/>
  <c r="F17" i="66"/>
  <c r="F9" i="66"/>
  <c r="F40" i="66"/>
  <c r="F32" i="66"/>
  <c r="F24" i="66"/>
  <c r="F16" i="66"/>
  <c r="F8" i="66"/>
  <c r="F84" i="66"/>
  <c r="F72" i="66"/>
  <c r="F68" i="66"/>
  <c r="F64" i="66"/>
  <c r="F60" i="66"/>
  <c r="F39" i="66"/>
  <c r="F31" i="66"/>
  <c r="F23" i="66"/>
  <c r="F15" i="66"/>
  <c r="F11" i="27"/>
  <c r="F43" i="27"/>
  <c r="F59" i="27"/>
  <c r="F80" i="27"/>
  <c r="F98" i="27"/>
  <c r="F109" i="27"/>
  <c r="F114" i="27"/>
  <c r="F135" i="27"/>
  <c r="F25" i="28"/>
  <c r="F41" i="28"/>
  <c r="F59" i="28"/>
  <c r="F62" i="28" s="1"/>
  <c r="F13" i="36"/>
  <c r="F45" i="36"/>
  <c r="F79" i="36"/>
  <c r="F85" i="66" l="1"/>
  <c r="F63" i="63"/>
  <c r="F62" i="36"/>
  <c r="F56" i="28"/>
  <c r="F64" i="28" s="1"/>
  <c r="F68" i="28" s="1"/>
  <c r="F45" i="66"/>
  <c r="F73" i="66"/>
  <c r="F99" i="36"/>
  <c r="F91" i="27"/>
  <c r="F140" i="27" s="1"/>
  <c r="F144" i="27" s="1"/>
  <c r="F50" i="63"/>
  <c r="F72" i="63" s="1"/>
  <c r="F77" i="63" s="1"/>
  <c r="F95" i="29"/>
  <c r="F138" i="27"/>
  <c r="F150" i="29"/>
  <c r="F87" i="66" l="1"/>
  <c r="F91" i="66" s="1"/>
  <c r="F101" i="36"/>
  <c r="F105" i="36" s="1"/>
  <c r="F152" i="29"/>
  <c r="F156" i="29" s="1"/>
  <c r="E57" i="2" l="1"/>
  <c r="E54" i="9"/>
  <c r="E75" i="9"/>
  <c r="F48" i="19" l="1"/>
  <c r="E48" i="19"/>
  <c r="E78" i="20"/>
  <c r="E70" i="20"/>
  <c r="E81" i="20" s="1"/>
  <c r="E85" i="20" s="1"/>
  <c r="E34" i="22"/>
  <c r="E38" i="22"/>
  <c r="E24" i="22"/>
  <c r="E20" i="22"/>
  <c r="E40" i="22" s="1"/>
  <c r="E44" i="22" s="1"/>
  <c r="F27" i="22" s="1"/>
  <c r="E40" i="11"/>
  <c r="E38" i="6"/>
  <c r="E42" i="6"/>
  <c r="F83" i="20" l="1"/>
  <c r="F11" i="20"/>
  <c r="F15" i="20"/>
  <c r="F19" i="20"/>
  <c r="F23" i="20"/>
  <c r="F27" i="20"/>
  <c r="F31" i="20"/>
  <c r="F35" i="20"/>
  <c r="F39" i="20"/>
  <c r="F43" i="20"/>
  <c r="F47" i="20"/>
  <c r="F51" i="20"/>
  <c r="F55" i="20"/>
  <c r="F59" i="20"/>
  <c r="F63" i="20"/>
  <c r="F67" i="20"/>
  <c r="F77" i="20"/>
  <c r="F78" i="20" s="1"/>
  <c r="F12" i="20"/>
  <c r="F16" i="20"/>
  <c r="F20" i="20"/>
  <c r="F24" i="20"/>
  <c r="F28" i="20"/>
  <c r="F32" i="20"/>
  <c r="F36" i="20"/>
  <c r="F40" i="20"/>
  <c r="F44" i="20"/>
  <c r="F48" i="20"/>
  <c r="F52" i="20"/>
  <c r="F56" i="20"/>
  <c r="F60" i="20"/>
  <c r="F64" i="20"/>
  <c r="F68" i="20"/>
  <c r="F14" i="20"/>
  <c r="F18" i="20"/>
  <c r="F22" i="20"/>
  <c r="F26" i="20"/>
  <c r="F30" i="20"/>
  <c r="F34" i="20"/>
  <c r="F38" i="20"/>
  <c r="F42" i="20"/>
  <c r="F46" i="20"/>
  <c r="F50" i="20"/>
  <c r="F58" i="20"/>
  <c r="F66" i="20"/>
  <c r="F9" i="20"/>
  <c r="F13" i="20"/>
  <c r="F17" i="20"/>
  <c r="F21" i="20"/>
  <c r="F25" i="20"/>
  <c r="F29" i="20"/>
  <c r="F33" i="20"/>
  <c r="F37" i="20"/>
  <c r="F41" i="20"/>
  <c r="F45" i="20"/>
  <c r="F49" i="20"/>
  <c r="F53" i="20"/>
  <c r="F57" i="20"/>
  <c r="F61" i="20"/>
  <c r="F65" i="20"/>
  <c r="F69" i="20"/>
  <c r="F54" i="20"/>
  <c r="F62" i="20"/>
  <c r="F8" i="20"/>
  <c r="F10" i="20"/>
  <c r="E44" i="6"/>
  <c r="E48" i="6" s="1"/>
  <c r="F11" i="6" s="1"/>
  <c r="F37" i="22"/>
  <c r="F38" i="22" s="1"/>
  <c r="F29" i="22"/>
  <c r="F30" i="22"/>
  <c r="F15" i="22"/>
  <c r="F16" i="22"/>
  <c r="F42" i="22"/>
  <c r="F14" i="22"/>
  <c r="F28" i="22"/>
  <c r="F34" i="22" s="1"/>
  <c r="F13" i="22"/>
  <c r="F33" i="22"/>
  <c r="F8" i="22"/>
  <c r="F12" i="22"/>
  <c r="F19" i="22"/>
  <c r="F11" i="22"/>
  <c r="F31" i="22"/>
  <c r="F18" i="22"/>
  <c r="F10" i="22"/>
  <c r="F32" i="22"/>
  <c r="F17" i="22"/>
  <c r="F9" i="22"/>
  <c r="F28" i="6"/>
  <c r="F16" i="6"/>
  <c r="F22" i="6"/>
  <c r="F34" i="6" l="1"/>
  <c r="F70" i="20"/>
  <c r="F81" i="20" s="1"/>
  <c r="F85" i="20" s="1"/>
  <c r="F30" i="6"/>
  <c r="F24" i="6"/>
  <c r="F33" i="6"/>
  <c r="F10" i="6"/>
  <c r="F8" i="6"/>
  <c r="F32" i="6"/>
  <c r="F27" i="6"/>
  <c r="F20" i="6"/>
  <c r="F23" i="6"/>
  <c r="F17" i="6"/>
  <c r="F26" i="6"/>
  <c r="F13" i="6"/>
  <c r="F21" i="6"/>
  <c r="F36" i="6"/>
  <c r="F29" i="6"/>
  <c r="F15" i="6"/>
  <c r="F9" i="6"/>
  <c r="F35" i="6"/>
  <c r="F25" i="6"/>
  <c r="F37" i="6"/>
  <c r="F31" i="6"/>
  <c r="F19" i="6"/>
  <c r="F12" i="6"/>
  <c r="F46" i="6"/>
  <c r="F14" i="6"/>
  <c r="F41" i="6"/>
  <c r="F42" i="6" s="1"/>
  <c r="F18" i="6"/>
  <c r="F20" i="22"/>
  <c r="F38" i="6" l="1"/>
  <c r="F44" i="6" s="1"/>
  <c r="F48" i="6" s="1"/>
  <c r="F40" i="22"/>
  <c r="E7" i="24" l="1"/>
  <c r="D7" i="24"/>
  <c r="E9" i="18"/>
  <c r="D9" i="18"/>
  <c r="E7" i="4"/>
  <c r="D7" i="4"/>
  <c r="F56" i="25" l="1"/>
  <c r="F50" i="25"/>
  <c r="E50" i="25"/>
  <c r="F69" i="23"/>
  <c r="F57" i="23"/>
  <c r="E57" i="23"/>
  <c r="F44" i="22"/>
  <c r="F87" i="21"/>
  <c r="F81" i="21"/>
  <c r="E81" i="21"/>
  <c r="E41" i="19"/>
  <c r="E50" i="19" s="1"/>
  <c r="E54" i="19" s="1"/>
  <c r="F64" i="17"/>
  <c r="F58" i="17"/>
  <c r="E58" i="17"/>
  <c r="E10" i="15"/>
  <c r="D10" i="15"/>
  <c r="E36" i="11"/>
  <c r="E42" i="11" s="1"/>
  <c r="E46" i="11" s="1"/>
  <c r="E50" i="9"/>
  <c r="E77" i="9" s="1"/>
  <c r="E81" i="9" s="1"/>
  <c r="F73" i="8"/>
  <c r="F61" i="8"/>
  <c r="F67" i="8"/>
  <c r="E67" i="8"/>
  <c r="E61" i="8"/>
  <c r="F68" i="7"/>
  <c r="F62" i="7"/>
  <c r="E62" i="7"/>
  <c r="F50" i="3"/>
  <c r="F44" i="3"/>
  <c r="E44" i="3"/>
  <c r="E20" i="2"/>
  <c r="E59" i="2" s="1"/>
  <c r="E63" i="2" s="1"/>
  <c r="F61" i="9" l="1"/>
  <c r="F19" i="9"/>
  <c r="F41" i="9"/>
  <c r="F48" i="9"/>
  <c r="F74" i="9"/>
  <c r="F23" i="9"/>
  <c r="F64" i="9"/>
  <c r="F34" i="9"/>
  <c r="F62" i="9"/>
  <c r="F46" i="9"/>
  <c r="F14" i="9"/>
  <c r="F18" i="9"/>
  <c r="F29" i="9"/>
  <c r="F67" i="9"/>
  <c r="F20" i="9"/>
  <c r="F27" i="9"/>
  <c r="F43" i="9"/>
  <c r="F10" i="9"/>
  <c r="F69" i="9"/>
  <c r="F53" i="9"/>
  <c r="F54" i="9" s="1"/>
  <c r="F31" i="9"/>
  <c r="F71" i="9"/>
  <c r="F9" i="9"/>
  <c r="F22" i="9"/>
  <c r="F57" i="9"/>
  <c r="F60" i="9"/>
  <c r="F42" i="9"/>
  <c r="F8" i="9"/>
  <c r="F25" i="9"/>
  <c r="F40" i="9"/>
  <c r="F47" i="9"/>
  <c r="F15" i="9"/>
  <c r="F35" i="9"/>
  <c r="F59" i="9"/>
  <c r="F32" i="9"/>
  <c r="F38" i="9"/>
  <c r="F63" i="9"/>
  <c r="F49" i="9"/>
  <c r="F21" i="9"/>
  <c r="F44" i="9"/>
  <c r="F12" i="9"/>
  <c r="F68" i="9"/>
  <c r="F70" i="9"/>
  <c r="F72" i="9"/>
  <c r="F37" i="9"/>
  <c r="F28" i="9"/>
  <c r="F79" i="9"/>
  <c r="F73" i="9"/>
  <c r="F26" i="9"/>
  <c r="F17" i="9"/>
  <c r="F24" i="9"/>
  <c r="F39" i="9"/>
  <c r="F58" i="9"/>
  <c r="F11" i="9"/>
  <c r="F33" i="9"/>
  <c r="F16" i="9"/>
  <c r="F30" i="9"/>
  <c r="F66" i="9"/>
  <c r="F45" i="9"/>
  <c r="F13" i="9"/>
  <c r="F36" i="9"/>
  <c r="F65" i="9"/>
  <c r="F15" i="11"/>
  <c r="F25" i="11"/>
  <c r="F27" i="11"/>
  <c r="F21" i="11"/>
  <c r="F30" i="11"/>
  <c r="F32" i="11"/>
  <c r="F34" i="11"/>
  <c r="F20" i="11"/>
  <c r="F8" i="11"/>
  <c r="F16" i="11"/>
  <c r="F35" i="11"/>
  <c r="F11" i="11"/>
  <c r="F18" i="11"/>
  <c r="F23" i="11"/>
  <c r="F10" i="11"/>
  <c r="F12" i="11"/>
  <c r="F29" i="11"/>
  <c r="F39" i="11"/>
  <c r="F40" i="11" s="1"/>
  <c r="F17" i="11"/>
  <c r="F19" i="11"/>
  <c r="F31" i="11"/>
  <c r="F14" i="11"/>
  <c r="F33" i="11"/>
  <c r="F44" i="11"/>
  <c r="F13" i="11"/>
  <c r="F24" i="11"/>
  <c r="F26" i="11"/>
  <c r="F9" i="11"/>
  <c r="F22" i="11"/>
  <c r="F28" i="11"/>
  <c r="F10" i="19"/>
  <c r="F14" i="19"/>
  <c r="F18" i="19"/>
  <c r="F22" i="19"/>
  <c r="F26" i="19"/>
  <c r="F30" i="19"/>
  <c r="F34" i="19"/>
  <c r="F38" i="19"/>
  <c r="F11" i="19"/>
  <c r="F15" i="19"/>
  <c r="F19" i="19"/>
  <c r="F23" i="19"/>
  <c r="F27" i="19"/>
  <c r="F31" i="19"/>
  <c r="F35" i="19"/>
  <c r="F39" i="19"/>
  <c r="F12" i="19"/>
  <c r="F16" i="19"/>
  <c r="F20" i="19"/>
  <c r="F24" i="19"/>
  <c r="F28" i="19"/>
  <c r="F32" i="19"/>
  <c r="F36" i="19"/>
  <c r="F40" i="19"/>
  <c r="F9" i="19"/>
  <c r="F13" i="19"/>
  <c r="F17" i="19"/>
  <c r="F21" i="19"/>
  <c r="F25" i="19"/>
  <c r="F29" i="19"/>
  <c r="F33" i="19"/>
  <c r="F37" i="19"/>
  <c r="F8" i="19"/>
  <c r="F47" i="2"/>
  <c r="F54" i="2"/>
  <c r="F31" i="2"/>
  <c r="F49" i="2"/>
  <c r="F42" i="2"/>
  <c r="F15" i="2"/>
  <c r="F37" i="2"/>
  <c r="F23" i="2"/>
  <c r="F13" i="2"/>
  <c r="F50" i="2"/>
  <c r="F9" i="2"/>
  <c r="F8" i="2"/>
  <c r="F29" i="2"/>
  <c r="F33" i="2"/>
  <c r="F26" i="2"/>
  <c r="F19" i="2"/>
  <c r="F43" i="2"/>
  <c r="F12" i="2"/>
  <c r="F52" i="2"/>
  <c r="F17" i="2"/>
  <c r="F39" i="2"/>
  <c r="F25" i="2"/>
  <c r="F24" i="2"/>
  <c r="F55" i="2"/>
  <c r="F44" i="2"/>
  <c r="F16" i="2"/>
  <c r="F61" i="2"/>
  <c r="F40" i="2"/>
  <c r="F53" i="2"/>
  <c r="F34" i="2"/>
  <c r="F46" i="2"/>
  <c r="F45" i="2"/>
  <c r="F51" i="2"/>
  <c r="F10" i="2"/>
  <c r="F27" i="2"/>
  <c r="F35" i="2"/>
  <c r="F18" i="2"/>
  <c r="F30" i="2"/>
  <c r="F11" i="2"/>
  <c r="F48" i="2"/>
  <c r="F32" i="2"/>
  <c r="F36" i="2"/>
  <c r="F41" i="2"/>
  <c r="F14" i="2"/>
  <c r="F28" i="2"/>
  <c r="F38" i="2"/>
  <c r="F36" i="11" l="1"/>
  <c r="F42" i="11" s="1"/>
  <c r="F46" i="11" s="1"/>
  <c r="F50" i="9"/>
  <c r="F75" i="9"/>
  <c r="F41" i="19"/>
  <c r="F50" i="19" s="1"/>
  <c r="F54" i="19" s="1"/>
  <c r="F57" i="2"/>
  <c r="F20" i="2"/>
  <c r="F77" i="9" l="1"/>
  <c r="F81" i="9" s="1"/>
  <c r="F59" i="2"/>
  <c r="F63" i="2" s="1"/>
</calcChain>
</file>

<file path=xl/sharedStrings.xml><?xml version="1.0" encoding="utf-8"?>
<sst xmlns="http://schemas.openxmlformats.org/spreadsheetml/2006/main" count="8938" uniqueCount="1990">
  <si>
    <t>Franklin Asian Equity Fund As of Date -  29Nov2019</t>
  </si>
  <si>
    <t>ISIN Number</t>
  </si>
  <si>
    <t>Instrument Name</t>
  </si>
  <si>
    <t>Industry Classification</t>
  </si>
  <si>
    <t>Quantity</t>
  </si>
  <si>
    <t xml:space="preserve">Market Value(Rs. in Lakhs) </t>
  </si>
  <si>
    <t>% to Net Assets</t>
  </si>
  <si>
    <t>Equity &amp; Equity Related</t>
  </si>
  <si>
    <t>(a) Listed / awaiting listing on Stock Exchanges</t>
  </si>
  <si>
    <t>INE040A01034</t>
  </si>
  <si>
    <t>HDFC Bank Ltd.</t>
  </si>
  <si>
    <t>Banks</t>
  </si>
  <si>
    <t>INE849A01020</t>
  </si>
  <si>
    <t>Trent Ltd.</t>
  </si>
  <si>
    <t>Retailing</t>
  </si>
  <si>
    <t>INE053A01029</t>
  </si>
  <si>
    <t>Indian Hotels Co. Ltd.</t>
  </si>
  <si>
    <t>Hotels/ Resorts And Other Recreational Activities</t>
  </si>
  <si>
    <t>INE093I01010</t>
  </si>
  <si>
    <t>Oberoi Realty Ltd.</t>
  </si>
  <si>
    <t>Construction</t>
  </si>
  <si>
    <t>INE237A01028</t>
  </si>
  <si>
    <t>Kotak Mahindra Bank Ltd.</t>
  </si>
  <si>
    <t>INE338I01027</t>
  </si>
  <si>
    <t>Motilal Oswal Financial Services Ltd.</t>
  </si>
  <si>
    <t>Finance</t>
  </si>
  <si>
    <t>INE038A01020</t>
  </si>
  <si>
    <t>Hindalco Industries Ltd.</t>
  </si>
  <si>
    <t>Non - Ferrous Metals</t>
  </si>
  <si>
    <t>INE410P01011</t>
  </si>
  <si>
    <t>Narayana Hrudayalaya Ltd., Reg S</t>
  </si>
  <si>
    <t>Healthcare Services</t>
  </si>
  <si>
    <t>INE192A01025</t>
  </si>
  <si>
    <t>Tata Global Beverages Ltd.</t>
  </si>
  <si>
    <t>Consumer Non Durables</t>
  </si>
  <si>
    <t>INE155A01022</t>
  </si>
  <si>
    <t>Tata Motors Ltd.</t>
  </si>
  <si>
    <t>Auto</t>
  </si>
  <si>
    <t>INE298A01020</t>
  </si>
  <si>
    <t>Cummins India Ltd.</t>
  </si>
  <si>
    <t>Industrial Products</t>
  </si>
  <si>
    <t>INE669E01016</t>
  </si>
  <si>
    <t>Vodafone Idea Ltd.</t>
  </si>
  <si>
    <t>Telecom - Services</t>
  </si>
  <si>
    <t>Total</t>
  </si>
  <si>
    <t>Foreign Equity Securities</t>
  </si>
  <si>
    <t>CNE1000002M1</t>
  </si>
  <si>
    <t>China Merchants Bank Co. Ltd., H</t>
  </si>
  <si>
    <t>CNE1000003X6</t>
  </si>
  <si>
    <t>Ping An Insurance (Group) Co. of China Ltd.,</t>
  </si>
  <si>
    <t>HK0000069689</t>
  </si>
  <si>
    <t>AIA Group Ltd.</t>
  </si>
  <si>
    <t>HK0669013440</t>
  </si>
  <si>
    <t>Techtronic Industries Co. Ltd.</t>
  </si>
  <si>
    <t>HK0883013259</t>
  </si>
  <si>
    <t>CNOOC Ltd.</t>
  </si>
  <si>
    <t>Oil</t>
  </si>
  <si>
    <t>ID1000061302</t>
  </si>
  <si>
    <t>Indocement Tunggal Prakarsa Tbk PT</t>
  </si>
  <si>
    <t>Cement</t>
  </si>
  <si>
    <t>ID1000106800</t>
  </si>
  <si>
    <t>Semen Indonesia (Persero) Tbk PT</t>
  </si>
  <si>
    <t>ID1000109507</t>
  </si>
  <si>
    <t>Bank Central Asia Tbk PT</t>
  </si>
  <si>
    <t>ID1000125503</t>
  </si>
  <si>
    <t>ACE Hardware Indonesia Tbk PT</t>
  </si>
  <si>
    <t>KYG2108Y1052</t>
  </si>
  <si>
    <t>China Resources Land Ltd.</t>
  </si>
  <si>
    <t>KYG210961051</t>
  </si>
  <si>
    <t>China Mengniu Dairy Co. Ltd.</t>
  </si>
  <si>
    <t>KYG2121R1039</t>
  </si>
  <si>
    <t>China Literature Ltd.</t>
  </si>
  <si>
    <t>Media &amp; Entertainment</t>
  </si>
  <si>
    <t>KYG4387E1070</t>
  </si>
  <si>
    <t>Health &amp; Happiness H&amp;H International Holdings Ltd.</t>
  </si>
  <si>
    <t>KYG8586D1097</t>
  </si>
  <si>
    <t>Sunny Optical Technology Group Co. Ltd.</t>
  </si>
  <si>
    <t>Hardware</t>
  </si>
  <si>
    <t>KYG875721634</t>
  </si>
  <si>
    <t>Tencent Holdings Ltd.</t>
  </si>
  <si>
    <t>Software</t>
  </si>
  <si>
    <t>LU0633102719</t>
  </si>
  <si>
    <t>Samsonite International SA</t>
  </si>
  <si>
    <t>SG1L01001701</t>
  </si>
  <si>
    <t>DBS Group Holdings Ltd.</t>
  </si>
  <si>
    <t>TH0003010Z12</t>
  </si>
  <si>
    <t>The Siam Cement PCL, fgn.</t>
  </si>
  <si>
    <t>TH0128B10Z17</t>
  </si>
  <si>
    <t>Minor International PCL, fgn.</t>
  </si>
  <si>
    <t>TH0737010Y16</t>
  </si>
  <si>
    <t>CP ALL PCL, fgn.</t>
  </si>
  <si>
    <t>TW0002330008</t>
  </si>
  <si>
    <t>Taiwan Semiconductor Manufacturing Co. Ltd.</t>
  </si>
  <si>
    <t>TW0003008009</t>
  </si>
  <si>
    <t>Largan Precision Co. Ltd.</t>
  </si>
  <si>
    <t>Consumer Durables</t>
  </si>
  <si>
    <t>TW0006414006</t>
  </si>
  <si>
    <t>Ennoconn Corp.</t>
  </si>
  <si>
    <t>US01609W1027</t>
  </si>
  <si>
    <t>Alibaba Group Holding Ltd., ADR</t>
  </si>
  <si>
    <t>US6475811070</t>
  </si>
  <si>
    <t>New Oriental Education &amp; Technology Group Inc., ADR</t>
  </si>
  <si>
    <t>Diversified Consumer Service</t>
  </si>
  <si>
    <t>Call, Cash &amp; Other Assets</t>
  </si>
  <si>
    <t>Net Asset</t>
  </si>
  <si>
    <t>Note</t>
  </si>
  <si>
    <t>a) NAV at the beginning and at the end of the Half-year ended 29Nov2019</t>
  </si>
  <si>
    <t>NAV as on 31-May-2019</t>
  </si>
  <si>
    <t>NAV as on 29-Nov-2019</t>
  </si>
  <si>
    <t>b) Dividends declared during the Half - year ended 29-Nov-2019</t>
  </si>
  <si>
    <t>Nil</t>
  </si>
  <si>
    <t>Franklin Build India Fund As of Date -  29Nov2019</t>
  </si>
  <si>
    <t>INE062A01020</t>
  </si>
  <si>
    <t>State Bank of India</t>
  </si>
  <si>
    <t>INE090A01021</t>
  </si>
  <si>
    <t>ICICI Bank Ltd.</t>
  </si>
  <si>
    <t>INE242A01010</t>
  </si>
  <si>
    <t>Indian Oil Corp. Ltd.</t>
  </si>
  <si>
    <t>Petroleum Products</t>
  </si>
  <si>
    <t>INE397D01024</t>
  </si>
  <si>
    <t>Bharti Airtel Ltd.</t>
  </si>
  <si>
    <t>INE238A01034</t>
  </si>
  <si>
    <t>Axis Bank Ltd.</t>
  </si>
  <si>
    <t>INE733E01010</t>
  </si>
  <si>
    <t>NTPC Ltd.</t>
  </si>
  <si>
    <t>Power</t>
  </si>
  <si>
    <t>INE012A01025</t>
  </si>
  <si>
    <t>ACC Ltd.</t>
  </si>
  <si>
    <t>INE029A01011</t>
  </si>
  <si>
    <t>Bharat Petroleum Corp. Ltd.</t>
  </si>
  <si>
    <t>INE481G01011</t>
  </si>
  <si>
    <t>UltraTech Cement Ltd.</t>
  </si>
  <si>
    <t>INE878B01027</t>
  </si>
  <si>
    <t>KEI Industries Ltd.</t>
  </si>
  <si>
    <t>INE347G01014</t>
  </si>
  <si>
    <t>Petronet LNG Ltd.</t>
  </si>
  <si>
    <t>Gas</t>
  </si>
  <si>
    <t>INE129A01019</t>
  </si>
  <si>
    <t>GAIL India Ltd.</t>
  </si>
  <si>
    <t>INE213A01029</t>
  </si>
  <si>
    <t>Oil &amp; Natural Gas Corp. Ltd.</t>
  </si>
  <si>
    <t>INE671H01015</t>
  </si>
  <si>
    <t>Sobha Ltd.</t>
  </si>
  <si>
    <t>INE285B01017</t>
  </si>
  <si>
    <t>SpiceJet Ltd.</t>
  </si>
  <si>
    <t>Transportation</t>
  </si>
  <si>
    <t>INE786A01032</t>
  </si>
  <si>
    <t>JK Lakshmi Cement Ltd.</t>
  </si>
  <si>
    <t>INE774D01024</t>
  </si>
  <si>
    <t>Mahindra &amp; Mahindra Financial Services Ltd.</t>
  </si>
  <si>
    <t>INE235A01022</t>
  </si>
  <si>
    <t>Finolex Cables Ltd.</t>
  </si>
  <si>
    <t>INE517F01014</t>
  </si>
  <si>
    <t>Gujarat Pipavav Port Ltd.</t>
  </si>
  <si>
    <t>IN9155A01020</t>
  </si>
  <si>
    <t>INE139A01034</t>
  </si>
  <si>
    <t>National Aluminium Co. Ltd.</t>
  </si>
  <si>
    <t>INE349A01021</t>
  </si>
  <si>
    <t>NRB Bearings Ltd.</t>
  </si>
  <si>
    <t>INE513A01014</t>
  </si>
  <si>
    <t>Schaeffler India Ltd.</t>
  </si>
  <si>
    <t>INE852F01015</t>
  </si>
  <si>
    <t>Gateway Distriparks Ltd.</t>
  </si>
  <si>
    <t>INE686A01026</t>
  </si>
  <si>
    <t>ITD Cementation India Ltd.</t>
  </si>
  <si>
    <t>INE323I01011</t>
  </si>
  <si>
    <t>Puravankara Projects Ltd.</t>
  </si>
  <si>
    <t>INE355A01028</t>
  </si>
  <si>
    <t>Somany Ceramics Ltd.</t>
  </si>
  <si>
    <t>INE111A01025</t>
  </si>
  <si>
    <t>Container Corp. of India Ltd.</t>
  </si>
  <si>
    <t>INE227C01017</t>
  </si>
  <si>
    <t>M.M. Forgings Ltd.</t>
  </si>
  <si>
    <t>INE470Y01017</t>
  </si>
  <si>
    <t>The New India Assurance Co. Ltd., Reg S</t>
  </si>
  <si>
    <t>INE160A01022</t>
  </si>
  <si>
    <t>Punjab National Bank Ltd.</t>
  </si>
  <si>
    <t>INE704P01017</t>
  </si>
  <si>
    <t>Cochin Shipyard Ltd., Reg S</t>
  </si>
  <si>
    <t>Industrial Capital Goods</t>
  </si>
  <si>
    <t>INE871K01015</t>
  </si>
  <si>
    <t>Hindustan Media Ventures Ltd.</t>
  </si>
  <si>
    <r>
      <t>Franklin India Feeder - Franklin European Growth F</t>
    </r>
    <r>
      <rPr>
        <b/>
        <sz val="8"/>
        <color theme="1"/>
        <rFont val="Arial"/>
        <family val="2"/>
      </rPr>
      <t>und As of Date -  29Nov2019</t>
    </r>
  </si>
  <si>
    <t>INF090I01FK3</t>
  </si>
  <si>
    <t>INF090I01GK1</t>
  </si>
  <si>
    <t>INE089A01023</t>
  </si>
  <si>
    <t>Dr Reddy's Laboratories Ltd.</t>
  </si>
  <si>
    <t>Pharmaceuticals</t>
  </si>
  <si>
    <t>INE123W01016</t>
  </si>
  <si>
    <t>SBI Life Insurance Co. Ltd.</t>
  </si>
  <si>
    <t>INE860A01027</t>
  </si>
  <si>
    <t>HCL Technologies Ltd.</t>
  </si>
  <si>
    <t>INE047A01021</t>
  </si>
  <si>
    <t>Grasim Industries Ltd.</t>
  </si>
  <si>
    <t>INE009A01021</t>
  </si>
  <si>
    <t>Infosys Ltd.</t>
  </si>
  <si>
    <t>INE646L01027</t>
  </si>
  <si>
    <t>InterGlobe Aviation Ltd., Reg S</t>
  </si>
  <si>
    <t>INE079A01024</t>
  </si>
  <si>
    <t>Ambuja Cements Ltd.</t>
  </si>
  <si>
    <t>INE326A01037</t>
  </si>
  <si>
    <t>Lupin Ltd.</t>
  </si>
  <si>
    <t>INE010B01027</t>
  </si>
  <si>
    <t>Cadila Healthcare Ltd.</t>
  </si>
  <si>
    <t>INE018A01030</t>
  </si>
  <si>
    <t>Larsen &amp; Toubro Ltd.</t>
  </si>
  <si>
    <t>Construction Project</t>
  </si>
  <si>
    <t>INE101A01026</t>
  </si>
  <si>
    <t>Mahindra &amp; Mahindra Ltd.</t>
  </si>
  <si>
    <t>INE686F01025</t>
  </si>
  <si>
    <t>United Breweries Ltd.</t>
  </si>
  <si>
    <r>
      <t>Franklin India BlueChip Fund As of Date -  29Nov20</t>
    </r>
    <r>
      <rPr>
        <b/>
        <sz val="8"/>
        <color theme="1"/>
        <rFont val="Arial"/>
        <family val="2"/>
      </rPr>
      <t>19</t>
    </r>
  </si>
  <si>
    <t>INE149A01033</t>
  </si>
  <si>
    <t>Cholamandalam Financial Holdings Ltd.</t>
  </si>
  <si>
    <t>INE752E01010</t>
  </si>
  <si>
    <t>Power Grid Corp. of India Ltd.</t>
  </si>
  <si>
    <t>INE245A01021</t>
  </si>
  <si>
    <t>Tata Power Co. Ltd.</t>
  </si>
  <si>
    <t>INE169A01031</t>
  </si>
  <si>
    <t>Coromandel International Ltd.</t>
  </si>
  <si>
    <t>Fertilisers</t>
  </si>
  <si>
    <t>INE531A01024</t>
  </si>
  <si>
    <t>Kansai Nerolac Paints Ltd.</t>
  </si>
  <si>
    <t>INE246F01010</t>
  </si>
  <si>
    <t>Gujarat State Petronet Ltd.</t>
  </si>
  <si>
    <t>INE092A01019</t>
  </si>
  <si>
    <t>Tata Chemicals Ltd.</t>
  </si>
  <si>
    <t>Chemicals</t>
  </si>
  <si>
    <t>INE572E01012</t>
  </si>
  <si>
    <t>PNB Housing Finance Ltd.</t>
  </si>
  <si>
    <t>INE171A01029</t>
  </si>
  <si>
    <t>Federal Bank Ltd.</t>
  </si>
  <si>
    <t>INE486A01013</t>
  </si>
  <si>
    <t>CESC Ltd.</t>
  </si>
  <si>
    <t>INE259A01022</t>
  </si>
  <si>
    <t>Colgate-Palmolive India Ltd.</t>
  </si>
  <si>
    <t>INE437A01024</t>
  </si>
  <si>
    <t>Apollo Hospitals Enterprise Ltd.</t>
  </si>
  <si>
    <t>INE536H01010</t>
  </si>
  <si>
    <t>Mahindra CIE Automotive Ltd.</t>
  </si>
  <si>
    <t>INE239A01016</t>
  </si>
  <si>
    <t>Nestle India Ltd.</t>
  </si>
  <si>
    <t>INE094A01015</t>
  </si>
  <si>
    <t>Hindustan Petroleum Corp. Ltd.</t>
  </si>
  <si>
    <t>INE787D01026</t>
  </si>
  <si>
    <t>Balkrishna Industries Ltd.</t>
  </si>
  <si>
    <t>Auto Ancillaries</t>
  </si>
  <si>
    <t>INE970X01018</t>
  </si>
  <si>
    <t>Lemon Tree Hotels Ltd., Reg S</t>
  </si>
  <si>
    <t>INE208A01029</t>
  </si>
  <si>
    <t>Ashok Leyland Ltd.</t>
  </si>
  <si>
    <t>INE438A01022</t>
  </si>
  <si>
    <t>Apollo Tyres Ltd.</t>
  </si>
  <si>
    <t>INE930H01023</t>
  </si>
  <si>
    <t>KPR Mill Ltd.</t>
  </si>
  <si>
    <t>Textile Products</t>
  </si>
  <si>
    <t>INE152A01029</t>
  </si>
  <si>
    <t>Thermax Ltd.</t>
  </si>
  <si>
    <t>INE669C01036</t>
  </si>
  <si>
    <t>Tech Mahindra Ltd.</t>
  </si>
  <si>
    <t>INE647O01011</t>
  </si>
  <si>
    <t>Aditya Birla Fashion and Retail Ltd.</t>
  </si>
  <si>
    <t>INE263A01024</t>
  </si>
  <si>
    <t>Bharat Electronics Ltd.</t>
  </si>
  <si>
    <t>INE055A01016</t>
  </si>
  <si>
    <t>Century Textiles &amp; Industries Ltd.</t>
  </si>
  <si>
    <t>Paper</t>
  </si>
  <si>
    <t>INE081A01012</t>
  </si>
  <si>
    <t>Tata Steel Ltd.</t>
  </si>
  <si>
    <t>Ferrous Metals</t>
  </si>
  <si>
    <t>INE988K01017</t>
  </si>
  <si>
    <t>Equitas Holdings Ltd.</t>
  </si>
  <si>
    <t>INE136B01020</t>
  </si>
  <si>
    <t>Cyient Ltd.</t>
  </si>
  <si>
    <t>INE199G01027</t>
  </si>
  <si>
    <t>Jagran Prakashan Ltd.</t>
  </si>
  <si>
    <t>INE105A01035</t>
  </si>
  <si>
    <t>Sundaram-Clayton Ltd.</t>
  </si>
  <si>
    <t>INE049A01027</t>
  </si>
  <si>
    <t>Himatsingka Seide Ltd.</t>
  </si>
  <si>
    <t>INE836F01026</t>
  </si>
  <si>
    <t>Dish TV India Ltd.</t>
  </si>
  <si>
    <t>INE020801028</t>
  </si>
  <si>
    <t>Spencers Retail Ltd.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</si>
  <si>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29Nov2019</t>
    </r>
  </si>
  <si>
    <t>Franklin India Equity Fund As of Date -  29Nov2019</t>
  </si>
  <si>
    <t>INE226A01021</t>
  </si>
  <si>
    <t>Voltas Ltd.</t>
  </si>
  <si>
    <t>INE001A01036</t>
  </si>
  <si>
    <t>Housing Development Finance Corp. Ltd.</t>
  </si>
  <si>
    <t>INE016A01026</t>
  </si>
  <si>
    <t>Dabur India Ltd.</t>
  </si>
  <si>
    <t>INE196A01026</t>
  </si>
  <si>
    <t>Marico Ltd.</t>
  </si>
  <si>
    <t>INE494B01023</t>
  </si>
  <si>
    <t>TVS Motor Co. Ltd.</t>
  </si>
  <si>
    <t>INE044A01036</t>
  </si>
  <si>
    <t>Sun Pharmaceutical Industries Ltd.</t>
  </si>
  <si>
    <t>INE668F01031</t>
  </si>
  <si>
    <t>Jyothy Labs Ltd.</t>
  </si>
  <si>
    <t>INE674K01013</t>
  </si>
  <si>
    <t>Aditya Birla Capital Ltd.</t>
  </si>
  <si>
    <t>INE465A01025</t>
  </si>
  <si>
    <t>Bharat Forge Ltd.</t>
  </si>
  <si>
    <t>INE797F01012</t>
  </si>
  <si>
    <t>Jubilant Foodworks Ltd.</t>
  </si>
  <si>
    <t>INE854D01024</t>
  </si>
  <si>
    <t>United Spirits Ltd.</t>
  </si>
  <si>
    <t>INE183A01016</t>
  </si>
  <si>
    <t>Finolex Industries Ltd.</t>
  </si>
  <si>
    <t>INE528G01027</t>
  </si>
  <si>
    <t>Yes Bank Ltd.</t>
  </si>
  <si>
    <t>INE299U01018</t>
  </si>
  <si>
    <t>Crompton Greaves Consumer Electricals Ltd.</t>
  </si>
  <si>
    <t>INE955V01021</t>
  </si>
  <si>
    <t>Arvind Fashions Ltd.</t>
  </si>
  <si>
    <t>INE036D01028</t>
  </si>
  <si>
    <t>Karur Vysya Bank Ltd.</t>
  </si>
  <si>
    <t>INE067A01029</t>
  </si>
  <si>
    <t>CG Power and Industrial Solutions Ltd.</t>
  </si>
  <si>
    <t>INE034A01011</t>
  </si>
  <si>
    <t>Arvind Ltd.</t>
  </si>
  <si>
    <t>INE323A01026</t>
  </si>
  <si>
    <t>Bosch Ltd.</t>
  </si>
  <si>
    <t>(b)Unlisted</t>
  </si>
  <si>
    <t/>
  </si>
  <si>
    <t>Numero Uno International Ltd.</t>
  </si>
  <si>
    <t>Quantum Information Systems</t>
  </si>
  <si>
    <t>INE696201123</t>
  </si>
  <si>
    <t>Quantum Information Services</t>
  </si>
  <si>
    <t>INE522F01014</t>
  </si>
  <si>
    <t>Coal India Ltd.</t>
  </si>
  <si>
    <t>Minerals/mining</t>
  </si>
  <si>
    <t>INE672A01018</t>
  </si>
  <si>
    <t>Tata Investment Corp. Ltd.</t>
  </si>
  <si>
    <t>INE891D01026</t>
  </si>
  <si>
    <t>Redington India Ltd.</t>
  </si>
  <si>
    <t>INE823G01014</t>
  </si>
  <si>
    <t>JK Cement Ltd.</t>
  </si>
  <si>
    <t>INE376G01013</t>
  </si>
  <si>
    <t>Biocon Ltd.</t>
  </si>
  <si>
    <t>INE00R701025</t>
  </si>
  <si>
    <t>Dalmia Bharat Ltd.</t>
  </si>
  <si>
    <t>INE825A01012</t>
  </si>
  <si>
    <t>Vardhman Textiles Ltd.</t>
  </si>
  <si>
    <t>Textiles - Cotton</t>
  </si>
  <si>
    <t>INE917I01010</t>
  </si>
  <si>
    <t>Bajaj Auto Ltd.</t>
  </si>
  <si>
    <t>INE584A01023</t>
  </si>
  <si>
    <t>NMDC Ltd.</t>
  </si>
  <si>
    <t>BMG2442N1048</t>
  </si>
  <si>
    <t>COSCO SHIPPING Ports Ltd.</t>
  </si>
  <si>
    <t>BMG4977W1038</t>
  </si>
  <si>
    <t>I.T Ltd.</t>
  </si>
  <si>
    <t>BMG570071099</t>
  </si>
  <si>
    <t>Luye Pharma Group Ltd.</t>
  </si>
  <si>
    <t>CNE1000004J3</t>
  </si>
  <si>
    <t>TravelSky Technology Ltd., H</t>
  </si>
  <si>
    <t>HK0165000859</t>
  </si>
  <si>
    <t>China Everbright Ltd.</t>
  </si>
  <si>
    <t>KYG982771092</t>
  </si>
  <si>
    <t>Xtep International Holdings Ltd.</t>
  </si>
  <si>
    <t>KYG9829N1025</t>
  </si>
  <si>
    <t>Xinyi Solar Holdings Ltd.</t>
  </si>
  <si>
    <t>TH0999010Z11</t>
  </si>
  <si>
    <t>TISCO Financial Group PCL, fgn.</t>
  </si>
  <si>
    <t>TW0001565000</t>
  </si>
  <si>
    <t>St. Shine Optical Co. Ltd.</t>
  </si>
  <si>
    <t>TW0003034005</t>
  </si>
  <si>
    <t>Novatek Microelectronics Corp. Ltd.</t>
  </si>
  <si>
    <t>Semiconductors</t>
  </si>
  <si>
    <t>TW0004126008</t>
  </si>
  <si>
    <t>Pacific Hospital Supply Co. Ltd.</t>
  </si>
  <si>
    <t>TW0004915004</t>
  </si>
  <si>
    <t>Primax Electronics Ltd.</t>
  </si>
  <si>
    <r>
      <t>Templeton India Equity Income Fund As of Date -  2</t>
    </r>
    <r>
      <rPr>
        <b/>
        <sz val="8"/>
        <color theme="1"/>
        <rFont val="Arial"/>
        <family val="2"/>
      </rPr>
      <t>9Nov2019</t>
    </r>
  </si>
  <si>
    <t>INE002A01018</t>
  </si>
  <si>
    <t>Reliance Industries Ltd.</t>
  </si>
  <si>
    <t>INE030A01027</t>
  </si>
  <si>
    <t>Hindustan Unilever Ltd.</t>
  </si>
  <si>
    <t>INE296A01024</t>
  </si>
  <si>
    <t>Bajaj Finance Ltd.</t>
  </si>
  <si>
    <t>INE280A01028</t>
  </si>
  <si>
    <t>Titan Co. Ltd.</t>
  </si>
  <si>
    <t>INE021A01026</t>
  </si>
  <si>
    <t>Asian Paints Ltd.</t>
  </si>
  <si>
    <t>INE358A01014</t>
  </si>
  <si>
    <t>Abbott India Ltd.</t>
  </si>
  <si>
    <t>INE987B01026</t>
  </si>
  <si>
    <t>Natco Pharma Ltd.</t>
  </si>
  <si>
    <t>INE876N01018</t>
  </si>
  <si>
    <t>Orient Cement Ltd.</t>
  </si>
  <si>
    <t>INE373A01013</t>
  </si>
  <si>
    <t>BASF India Ltd.</t>
  </si>
  <si>
    <t>INE901L01018</t>
  </si>
  <si>
    <t>Alembic Pharmaceuticals Ltd.</t>
  </si>
  <si>
    <r>
      <t>Franklin India Focused Equity Fund As of Date -  2</t>
    </r>
    <r>
      <rPr>
        <b/>
        <sz val="8"/>
        <color theme="1"/>
        <rFont val="Arial"/>
        <family val="2"/>
      </rPr>
      <t>9Nov2019</t>
    </r>
  </si>
  <si>
    <t>INF090I01FN7</t>
  </si>
  <si>
    <t>INF090I01FH9</t>
  </si>
  <si>
    <t>INF090I01GY2</t>
  </si>
  <si>
    <t>INF090I01FW8</t>
  </si>
  <si>
    <t>INF090I01HB8</t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</si>
  <si>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29Nov2019</t>
    </r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</si>
  <si>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29Nov2019</t>
    </r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</si>
  <si>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29Nov2019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</si>
  <si>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29Nov2019</t>
    </r>
  </si>
  <si>
    <t>INF090I01GV8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</si>
  <si>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29Nov2019</t>
    </r>
  </si>
  <si>
    <t>INE467B01029</t>
  </si>
  <si>
    <t>Tata Consultancy Services Ltd.</t>
  </si>
  <si>
    <t>INE154A01025</t>
  </si>
  <si>
    <t>ITC Ltd.</t>
  </si>
  <si>
    <t>INE585B01010</t>
  </si>
  <si>
    <t>Maruti Suzuki India Ltd.</t>
  </si>
  <si>
    <t>INE095A01012</t>
  </si>
  <si>
    <t>IndusInd Bank Ltd.</t>
  </si>
  <si>
    <t>INE918I01018</t>
  </si>
  <si>
    <t>Bajaj Finserv Ltd.</t>
  </si>
  <si>
    <t>INE216A01030</t>
  </si>
  <si>
    <t>Britannia Industries Ltd.</t>
  </si>
  <si>
    <t>INE075A01022</t>
  </si>
  <si>
    <t>Wipro Ltd.</t>
  </si>
  <si>
    <t>INE066A01013</t>
  </si>
  <si>
    <t>Eicher Motors Ltd.</t>
  </si>
  <si>
    <t>INE158A01026</t>
  </si>
  <si>
    <t>Hero Motocorp Ltd.</t>
  </si>
  <si>
    <t>INE628A01036</t>
  </si>
  <si>
    <t>UPL Ltd.</t>
  </si>
  <si>
    <t>Pesticides</t>
  </si>
  <si>
    <t>INE742F01042</t>
  </si>
  <si>
    <t>Adani Ports And Special Economic Zone Ltd.</t>
  </si>
  <si>
    <t>INE019A01038</t>
  </si>
  <si>
    <t>JSW Steel Ltd.</t>
  </si>
  <si>
    <t>INE205A01025</t>
  </si>
  <si>
    <t>Vedanta Ltd.</t>
  </si>
  <si>
    <t>INE059A01026</t>
  </si>
  <si>
    <t>Cipla Ltd.</t>
  </si>
  <si>
    <t>INE121J01017</t>
  </si>
  <si>
    <t>Bharti Infratel Ltd.</t>
  </si>
  <si>
    <t>Telecom -  Equipment &amp; Accessories</t>
  </si>
  <si>
    <t>INE256A01028</t>
  </si>
  <si>
    <t>Zee Entertainment Enterprises Ltd.</t>
  </si>
  <si>
    <r>
      <t>Franklin India Index Fund - NSE Nifty Plan As of D</t>
    </r>
    <r>
      <rPr>
        <b/>
        <sz val="8"/>
        <color theme="1"/>
        <rFont val="Arial"/>
        <family val="2"/>
      </rPr>
      <t>ate -  29Nov2019</t>
    </r>
  </si>
  <si>
    <r>
      <t>Franklin India Multi-Asset Solution Fund As of Dat</t>
    </r>
    <r>
      <rPr>
        <b/>
        <sz val="8"/>
        <color theme="1"/>
        <rFont val="Arial"/>
        <family val="2"/>
      </rPr>
      <t>e -  29Nov2019</t>
    </r>
  </si>
  <si>
    <t>INE663F01024</t>
  </si>
  <si>
    <t>Info Edge India Ltd.</t>
  </si>
  <si>
    <t>INE342J01019</t>
  </si>
  <si>
    <t>Wabco India Ltd.</t>
  </si>
  <si>
    <t>INE442H01029</t>
  </si>
  <si>
    <t>Ashoka Buildcon Ltd.</t>
  </si>
  <si>
    <t>INE612J01015</t>
  </si>
  <si>
    <t>Repco Home Finance Ltd.</t>
  </si>
  <si>
    <t>INE264A01014</t>
  </si>
  <si>
    <t>GlaxoSmithKline Consumer Healthcare Ltd.</t>
  </si>
  <si>
    <t>INE813H01021</t>
  </si>
  <si>
    <t>Torrent Power Ltd.</t>
  </si>
  <si>
    <t>INE202Z01029</t>
  </si>
  <si>
    <t>Sundaram Finance Holdings Ltd.</t>
  </si>
  <si>
    <t>INE029L01018</t>
  </si>
  <si>
    <t>Kalyani Investment Co. Ltd.</t>
  </si>
  <si>
    <t>INE425Y01011</t>
  </si>
  <si>
    <t>CESC Ventures Ltd.</t>
  </si>
  <si>
    <t>Brillio Technologies Pvt. Ltd.</t>
  </si>
  <si>
    <t>Chennai Interactive Business Services Pvt Ltd.</t>
  </si>
  <si>
    <r>
      <t>Franklin India Opportunities Fund As of Date -  29</t>
    </r>
    <r>
      <rPr>
        <b/>
        <sz val="8"/>
        <color theme="1"/>
        <rFont val="Arial"/>
        <family val="2"/>
      </rPr>
      <t>Nov2019</t>
    </r>
  </si>
  <si>
    <t>Franklin India Prima Fund As of Date -  29Nov2019</t>
  </si>
  <si>
    <t>INE331A01037</t>
  </si>
  <si>
    <t>Ramco Cements Ltd.</t>
  </si>
  <si>
    <t>INE491A01021</t>
  </si>
  <si>
    <t>City Union Bank Ltd.</t>
  </si>
  <si>
    <t>INE976G01028</t>
  </si>
  <si>
    <t>RBL Bank Ltd., Reg S</t>
  </si>
  <si>
    <t>INE640A01023</t>
  </si>
  <si>
    <t>SKF India Ltd.</t>
  </si>
  <si>
    <t>INE660A01013</t>
  </si>
  <si>
    <t>Sundaram Finance Ltd.</t>
  </si>
  <si>
    <t>INE603J01030</t>
  </si>
  <si>
    <t>PI Industries Ltd.</t>
  </si>
  <si>
    <t>INE548C01032</t>
  </si>
  <si>
    <t>Emami Ltd.</t>
  </si>
  <si>
    <t>INE769A01020</t>
  </si>
  <si>
    <t>Aarti Industries Ltd.</t>
  </si>
  <si>
    <t>INE115A01026</t>
  </si>
  <si>
    <t>LIC Housing Finance Ltd.</t>
  </si>
  <si>
    <t>INE212H01026</t>
  </si>
  <si>
    <t>AIA Engineering Ltd.</t>
  </si>
  <si>
    <t>INE217B01036</t>
  </si>
  <si>
    <t>Kajaria Ceramics Ltd.</t>
  </si>
  <si>
    <t>INE191H01014</t>
  </si>
  <si>
    <t>PVR Ltd.</t>
  </si>
  <si>
    <t>INE058A01010</t>
  </si>
  <si>
    <t>Sanofi India Ltd.</t>
  </si>
  <si>
    <t>INE462A01022</t>
  </si>
  <si>
    <t>Bayer Cropscience Ltd.</t>
  </si>
  <si>
    <t>INE685A01028</t>
  </si>
  <si>
    <t>Torrent Pharmaceuticals Ltd.</t>
  </si>
  <si>
    <t>INE211B01039</t>
  </si>
  <si>
    <t>The Phoenix Mills Ltd.</t>
  </si>
  <si>
    <t>INE387A01021</t>
  </si>
  <si>
    <t>Sundaram Fasteners Ltd.</t>
  </si>
  <si>
    <t>INE093A01033</t>
  </si>
  <si>
    <t>Hexaware Technologies Ltd.</t>
  </si>
  <si>
    <t>INE294Z01018</t>
  </si>
  <si>
    <t>The Anup Engineering Ltd.</t>
  </si>
  <si>
    <t>INE09EO01013</t>
  </si>
  <si>
    <t>INE791I01019</t>
  </si>
  <si>
    <t>Brigade Enterprises Ltd.</t>
  </si>
  <si>
    <t>INE288B01029</t>
  </si>
  <si>
    <t>Deepak Nitrite Ltd.</t>
  </si>
  <si>
    <t>INE317F01035</t>
  </si>
  <si>
    <t>Nesco Ltd.</t>
  </si>
  <si>
    <t>Commercial Services</t>
  </si>
  <si>
    <t>INE572A01028</t>
  </si>
  <si>
    <t>J.B. Chemicals &amp; Pharmaceuticals Ltd.</t>
  </si>
  <si>
    <t>INE100A01010</t>
  </si>
  <si>
    <t>Atul Ltd.</t>
  </si>
  <si>
    <t>INE503A01015</t>
  </si>
  <si>
    <t>DCB Bank Ltd.</t>
  </si>
  <si>
    <t>INE600L01024</t>
  </si>
  <si>
    <t>Dr Lal PathLabs Ltd.</t>
  </si>
  <si>
    <t>INE635Q01029</t>
  </si>
  <si>
    <t>Gulf Oil Lubricants India Ltd.</t>
  </si>
  <si>
    <t>INE406M01024</t>
  </si>
  <si>
    <t>Eris Lifesciences Ltd., Reg S</t>
  </si>
  <si>
    <t>INE060A01024</t>
  </si>
  <si>
    <t>Navneet Education Ltd.</t>
  </si>
  <si>
    <t>INE739E01017</t>
  </si>
  <si>
    <t>Cera Sanitaryware Ltd.</t>
  </si>
  <si>
    <t>INE985S01024</t>
  </si>
  <si>
    <t>TeamLease Services Ltd.</t>
  </si>
  <si>
    <t>INE472A01039</t>
  </si>
  <si>
    <t>Blue Star Ltd.</t>
  </si>
  <si>
    <t>INE120A01034</t>
  </si>
  <si>
    <t>Carborundum Universal Ltd.</t>
  </si>
  <si>
    <t>INE758C01029</t>
  </si>
  <si>
    <t>Ahluwalia Contracts India Ltd.</t>
  </si>
  <si>
    <t>INE421D01022</t>
  </si>
  <si>
    <t>CCL Products India Ltd.</t>
  </si>
  <si>
    <t>INE054A01027</t>
  </si>
  <si>
    <t>VIP Industries Ltd.</t>
  </si>
  <si>
    <t>INE613A01020</t>
  </si>
  <si>
    <t>Rallis India Ltd.</t>
  </si>
  <si>
    <t>INE539A01019</t>
  </si>
  <si>
    <t>GHCL Ltd.</t>
  </si>
  <si>
    <t>INE738I01010</t>
  </si>
  <si>
    <t>eClerx Services Ltd.</t>
  </si>
  <si>
    <t>INE455K01017</t>
  </si>
  <si>
    <t>Polycab India Ltd.</t>
  </si>
  <si>
    <t>INE038F01029</t>
  </si>
  <si>
    <t>TV Today Network Ltd.</t>
  </si>
  <si>
    <t>INE634I01029</t>
  </si>
  <si>
    <t>KNR Constructions Ltd.</t>
  </si>
  <si>
    <t>INE019C01026</t>
  </si>
  <si>
    <t>Himadri Speciality Chemicals Ltd.</t>
  </si>
  <si>
    <t>INE919I01024</t>
  </si>
  <si>
    <t>Music Broadcast Ltd.</t>
  </si>
  <si>
    <t>INE285K01026</t>
  </si>
  <si>
    <t>Techno Electric &amp; Engineering Co. Ltd.</t>
  </si>
  <si>
    <t>INE131A01031</t>
  </si>
  <si>
    <t>Gujarat Mineral Development Corp. Ltd.</t>
  </si>
  <si>
    <t>INE752H01013</t>
  </si>
  <si>
    <t>Care Ratings Ltd.</t>
  </si>
  <si>
    <t>INE399G01015</t>
  </si>
  <si>
    <t>Ramkrishna Forgings Ltd.</t>
  </si>
  <si>
    <t>INE269B01029</t>
  </si>
  <si>
    <t>Lakshmi Machine Works Ltd.</t>
  </si>
  <si>
    <t>INE974X01010</t>
  </si>
  <si>
    <t>Tube Investments of India Ltd.</t>
  </si>
  <si>
    <t>INE312H01016</t>
  </si>
  <si>
    <t>Inox Leisure Ltd.</t>
  </si>
  <si>
    <t>INE999B01013</t>
  </si>
  <si>
    <t>Sanghi Industries Ltd.</t>
  </si>
  <si>
    <t>INE075I01017</t>
  </si>
  <si>
    <t>Healthcare Global Enterprises Ltd.</t>
  </si>
  <si>
    <t>INE274V01019</t>
  </si>
  <si>
    <t>Shankara Building Products Ltd.</t>
  </si>
  <si>
    <t>INE932A01024</t>
  </si>
  <si>
    <t>Pennar Industries Ltd.</t>
  </si>
  <si>
    <t>INE213C01025</t>
  </si>
  <si>
    <t>Banco Products India Ltd.</t>
  </si>
  <si>
    <t>INE501G01024</t>
  </si>
  <si>
    <t>HT Media Ltd.</t>
  </si>
  <si>
    <t>INE152M01016</t>
  </si>
  <si>
    <t>Triveni Turbine Ltd.</t>
  </si>
  <si>
    <t>INE834I01025</t>
  </si>
  <si>
    <t>Khadim India Ltd.</t>
  </si>
  <si>
    <t>INE429I01024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</si>
  <si>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29Nov2019</t>
    </r>
  </si>
  <si>
    <t>INE214T01019</t>
  </si>
  <si>
    <t>Larsen &amp; Toubro Infotech Ltd., Reg S</t>
  </si>
  <si>
    <t>US90184L1026</t>
  </si>
  <si>
    <t>Twitter Inc.</t>
  </si>
  <si>
    <r>
      <t>Franklin India Technology Fund As of Date -  29Nov</t>
    </r>
    <r>
      <rPr>
        <b/>
        <sz val="8"/>
        <color theme="1"/>
        <rFont val="Arial"/>
        <family val="2"/>
      </rPr>
      <t>2019</t>
    </r>
  </si>
  <si>
    <t>Franklin India Taxshield As of Date -  29Nov2019</t>
  </si>
  <si>
    <t>INE671B01018</t>
  </si>
  <si>
    <t>Globsyn Technologies Ltd.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</si>
  <si>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29Nov2019</t>
    </r>
  </si>
  <si>
    <t>Templeton India Value Fund As of Date -  29Nov2019</t>
  </si>
  <si>
    <t>INE257A01026</t>
  </si>
  <si>
    <t>Bharat Heavy Electricals Ltd.</t>
  </si>
  <si>
    <t>Franklin India Equity Fund</t>
  </si>
  <si>
    <t>Franklin India Short Term Income Plan</t>
  </si>
  <si>
    <t>Mutual Fund Units</t>
  </si>
  <si>
    <t>Foreign Mutual Fund Units</t>
  </si>
  <si>
    <t>Franklin European Growth Fund, Class I (Acc)</t>
  </si>
  <si>
    <t>Franklin India Dynamic Accrual Fund</t>
  </si>
  <si>
    <t>Franklin India Corporate Debt Fund</t>
  </si>
  <si>
    <t>Franklin India Bluechip Fund</t>
  </si>
  <si>
    <t>Templeton India Value Fund</t>
  </si>
  <si>
    <t>Franklin India Savings Fund</t>
  </si>
  <si>
    <t>Franklin India Prima Fund</t>
  </si>
  <si>
    <t>Mutual Fund Units / ETF</t>
  </si>
  <si>
    <t>Nippon India ETF Gold Bees</t>
  </si>
  <si>
    <t>Franklin U.S. Opportunities Fund, Class I (Acc)</t>
  </si>
  <si>
    <t>Consolidated Construction Consortium Ltd.#</t>
  </si>
  <si>
    <r>
      <t>Franklin India Dynamic Asset Allocation Fund of Funds As o</t>
    </r>
    <r>
      <rPr>
        <b/>
        <sz val="8"/>
        <color theme="1"/>
        <rFont val="Arial"/>
        <family val="2"/>
      </rPr>
      <t>f Date -  29Nov2019</t>
    </r>
    <r>
      <rPr>
        <b/>
        <sz val="8"/>
        <rFont val="Arial"/>
        <family val="2"/>
      </rPr>
      <t xml:space="preserve"> ***</t>
    </r>
  </si>
  <si>
    <t>*** Effective October 21, 2019, scheme name of Franklin India Dynamic PE Ratio Fund of Funds was changed to Franklin India Dynamic Asset Allocation Fund of Funds</t>
  </si>
  <si>
    <t>INF732E01102</t>
  </si>
  <si>
    <t>LU0195949390</t>
  </si>
  <si>
    <t>LU0195948665</t>
  </si>
  <si>
    <t>US1924461023</t>
  </si>
  <si>
    <t>Cognizant Technology Solutions Corp., A</t>
  </si>
  <si>
    <t>Services</t>
  </si>
  <si>
    <t>Tata Motors Ltd., DVR</t>
  </si>
  <si>
    <t>0.00*</t>
  </si>
  <si>
    <t>* Less than 0.01%</t>
  </si>
  <si>
    <t>Foreign Mutual Fund units</t>
  </si>
  <si>
    <t>LU0626261944</t>
  </si>
  <si>
    <t>Franklin Technology Fund, Class J</t>
  </si>
  <si>
    <t>NVIDIA Corp.</t>
  </si>
  <si>
    <t>QUALCOMM Inc.</t>
  </si>
  <si>
    <t>Samsung Electronics Co. Ltd.</t>
  </si>
  <si>
    <t>US67066G1040</t>
  </si>
  <si>
    <t>US7475251036</t>
  </si>
  <si>
    <t>KR7005930003</t>
  </si>
  <si>
    <t>Telecom - Equipment &amp; Accessories</t>
  </si>
  <si>
    <t>MU0295S00016</t>
  </si>
  <si>
    <t>MakeMyTrip Ltd.</t>
  </si>
  <si>
    <t xml:space="preserve">(b) Units of Real Eastate Investment Trusts (REITs) </t>
  </si>
  <si>
    <t>INE041025011</t>
  </si>
  <si>
    <t>Embassy Office Parks REIT</t>
  </si>
  <si>
    <t>Aramex PJSC</t>
  </si>
  <si>
    <t>Fanhua Inc., ADR</t>
  </si>
  <si>
    <t>Mahle-Metal Leve SA</t>
  </si>
  <si>
    <t>Medy-tox Inc.</t>
  </si>
  <si>
    <t>Stock Spirits Group PLC</t>
  </si>
  <si>
    <t>AEA002301017</t>
  </si>
  <si>
    <t>US30712A1034</t>
  </si>
  <si>
    <t>BRLEVEACNOR2</t>
  </si>
  <si>
    <t>KR7086900008</t>
  </si>
  <si>
    <t>GB00BF5SDZ96</t>
  </si>
  <si>
    <t>BDO Unibank Inc.</t>
  </si>
  <si>
    <t>Kweichow Moutai Co. Ltd., A</t>
  </si>
  <si>
    <t>Minor International PCL, wts., 9/30/21</t>
  </si>
  <si>
    <t>Samsung SDI Co. Ltd.</t>
  </si>
  <si>
    <t>Shinhan Financial Group Co. Ltd.</t>
  </si>
  <si>
    <t>SM Prime Holdings Inc.</t>
  </si>
  <si>
    <t>Trip.com Group Ltd., ADR</t>
  </si>
  <si>
    <t>PHY077751022</t>
  </si>
  <si>
    <t>CNE0000018R8</t>
  </si>
  <si>
    <t>TH0128051909</t>
  </si>
  <si>
    <t>KR7006400006</t>
  </si>
  <si>
    <t>KR7055550008</t>
  </si>
  <si>
    <t>PHY8076N1120</t>
  </si>
  <si>
    <t>US89677Q1076</t>
  </si>
  <si>
    <t xml:space="preserve">Cement </t>
  </si>
  <si>
    <t>Growth Plan</t>
  </si>
  <si>
    <t>Dividend Plan</t>
  </si>
  <si>
    <t>Direct Growth Plan</t>
  </si>
  <si>
    <t>Direct Dividend Plan</t>
  </si>
  <si>
    <t>Plan Name</t>
  </si>
  <si>
    <t xml:space="preserve">Dividend per unit </t>
  </si>
  <si>
    <t>Individual/HUF</t>
  </si>
  <si>
    <t>Others</t>
  </si>
  <si>
    <t>c) Portfolio Turnover Ratio during the Half - year  29-Nov-2019</t>
  </si>
  <si>
    <t># Suspended Security</t>
  </si>
  <si>
    <t>Aarti Surfactants Ltd. ##</t>
  </si>
  <si>
    <t>## Awaiting Listing</t>
  </si>
  <si>
    <r>
      <t>Franklin India Income Opportunities Fund As of -29</t>
    </r>
    <r>
      <rPr>
        <b/>
        <sz val="8"/>
        <color theme="1"/>
        <rFont val="Arial"/>
        <family val="2"/>
      </rPr>
      <t>Nov2019</t>
    </r>
  </si>
  <si>
    <t>Rating</t>
  </si>
  <si>
    <t>Debt Instruments</t>
  </si>
  <si>
    <t>INE641O08035</t>
  </si>
  <si>
    <t>CARE AA</t>
  </si>
  <si>
    <t>INE295J08022</t>
  </si>
  <si>
    <t>CARE AA(CE)</t>
  </si>
  <si>
    <t>INE134E08JX9</t>
  </si>
  <si>
    <t>CRISIL AAA</t>
  </si>
  <si>
    <t>INE721A08DF1</t>
  </si>
  <si>
    <t>CRISIL AA+</t>
  </si>
  <si>
    <t>INE503A08044</t>
  </si>
  <si>
    <t>CRISIL AA-</t>
  </si>
  <si>
    <t>INE01E708057</t>
  </si>
  <si>
    <t>CRISIL A+(CE)</t>
  </si>
  <si>
    <t>INE669E08318</t>
  </si>
  <si>
    <t>CARE BBB-</t>
  </si>
  <si>
    <t>INE146O08134</t>
  </si>
  <si>
    <t>CARE AA-</t>
  </si>
  <si>
    <t>INE265J07357</t>
  </si>
  <si>
    <t>ICRA AA-</t>
  </si>
  <si>
    <t>INE540P07350</t>
  </si>
  <si>
    <t>INE721A08DC8</t>
  </si>
  <si>
    <t>INE245A08042</t>
  </si>
  <si>
    <t>INE615S07065</t>
  </si>
  <si>
    <t>IND A+</t>
  </si>
  <si>
    <t>INE128S07408</t>
  </si>
  <si>
    <t>ICRA A</t>
  </si>
  <si>
    <t>INE540P07301</t>
  </si>
  <si>
    <t>INE038A07258</t>
  </si>
  <si>
    <t>CARE AA+</t>
  </si>
  <si>
    <t>INE922K07039</t>
  </si>
  <si>
    <t>INE607M08048</t>
  </si>
  <si>
    <t>INE852O07089</t>
  </si>
  <si>
    <t>ICRA A+</t>
  </si>
  <si>
    <t>INE459T07041</t>
  </si>
  <si>
    <t>BWR A</t>
  </si>
  <si>
    <t>INE540P07343</t>
  </si>
  <si>
    <t>INE941D08065</t>
  </si>
  <si>
    <t>INE038A07266</t>
  </si>
  <si>
    <t>INE540P07293</t>
  </si>
  <si>
    <t>INE01XX07026</t>
  </si>
  <si>
    <t>INE146O08092</t>
  </si>
  <si>
    <t>INE852O07063</t>
  </si>
  <si>
    <t>INE516Y07105</t>
  </si>
  <si>
    <t>INE540P07210</t>
  </si>
  <si>
    <t>INE459T07025</t>
  </si>
  <si>
    <t>INE146O08118</t>
  </si>
  <si>
    <t>INE134E08JZ4</t>
  </si>
  <si>
    <t>INE205A07048</t>
  </si>
  <si>
    <t>CRISIL AA</t>
  </si>
  <si>
    <t>INE459T07058</t>
  </si>
  <si>
    <t>INE245A08034</t>
  </si>
  <si>
    <t>INE090A08UB4</t>
  </si>
  <si>
    <t>(b) Privately Placed / Unlisted</t>
  </si>
  <si>
    <t>INE971Z07059</t>
  </si>
  <si>
    <t>BWR AA- (SO)</t>
  </si>
  <si>
    <t>INE764L07181</t>
  </si>
  <si>
    <t>CARE A(CE)</t>
  </si>
  <si>
    <t>INE00U207051</t>
  </si>
  <si>
    <t>BWR AA- (CE)</t>
  </si>
  <si>
    <t>INE003S07098</t>
  </si>
  <si>
    <t>CARE A+</t>
  </si>
  <si>
    <t>INE660N07062</t>
  </si>
  <si>
    <t>INE964Q07012</t>
  </si>
  <si>
    <t>CARE A+(CE)</t>
  </si>
  <si>
    <t>INE946S07148</t>
  </si>
  <si>
    <t>BWR A+ (SO)</t>
  </si>
  <si>
    <t>INE082T07033</t>
  </si>
  <si>
    <t>ICRA BB(CE)</t>
  </si>
  <si>
    <t>INE713G08046</t>
  </si>
  <si>
    <t>CRISIL BBB-</t>
  </si>
  <si>
    <t>INE080T07078</t>
  </si>
  <si>
    <t>INE575P08016</t>
  </si>
  <si>
    <t>INE598K07029</t>
  </si>
  <si>
    <t>INE598K07011</t>
  </si>
  <si>
    <t>INE00MX08011</t>
  </si>
  <si>
    <t>ICRA A-</t>
  </si>
  <si>
    <t>INE209W07028</t>
  </si>
  <si>
    <t>INE333T07063</t>
  </si>
  <si>
    <t>BWR D</t>
  </si>
  <si>
    <t>INE139S07017</t>
  </si>
  <si>
    <t>CARE A+(SO)</t>
  </si>
  <si>
    <t>INE659X07014</t>
  </si>
  <si>
    <t>INE01EA07016</t>
  </si>
  <si>
    <t>IND A</t>
  </si>
  <si>
    <t>INE125X07016</t>
  </si>
  <si>
    <t>ICRA A+(CE)</t>
  </si>
  <si>
    <t>INE003S07189</t>
  </si>
  <si>
    <t>INE918T07046</t>
  </si>
  <si>
    <t xml:space="preserve"> $$ Indicates securties below investment grade or default</t>
  </si>
  <si>
    <t>a) NAV at the beginning and at the end of the Half-year ended 29-Nov-2019</t>
  </si>
  <si>
    <t>c) Average Maturity as on 29-Nov-2019</t>
  </si>
  <si>
    <t>(In Years)</t>
  </si>
  <si>
    <t xml:space="preserve">Refer below link for rationale of devation under Valuation policy </t>
  </si>
  <si>
    <t>https://www.franklintempletonindia.com/investor/reports</t>
  </si>
  <si>
    <r>
      <t>Franklin India Ultra Short Bond Fund As of -29Nov2</t>
    </r>
    <r>
      <rPr>
        <b/>
        <sz val="8"/>
        <color theme="1"/>
        <rFont val="Arial"/>
        <family val="2"/>
      </rPr>
      <t>019</t>
    </r>
  </si>
  <si>
    <t>INE205A07030</t>
  </si>
  <si>
    <t>INE003S07213</t>
  </si>
  <si>
    <t>INE397D08037</t>
  </si>
  <si>
    <t>INE651J07739</t>
  </si>
  <si>
    <t>ICRA AA</t>
  </si>
  <si>
    <t>INE896L07561</t>
  </si>
  <si>
    <t>INE397D08029</t>
  </si>
  <si>
    <t>INE548V07039</t>
  </si>
  <si>
    <t>INE657N07597</t>
  </si>
  <si>
    <t>INE657N07605</t>
  </si>
  <si>
    <t>INE403D08025</t>
  </si>
  <si>
    <t>INE721A07MA5</t>
  </si>
  <si>
    <t>IND AA+</t>
  </si>
  <si>
    <t>INE540P07285</t>
  </si>
  <si>
    <t>INE371K08128</t>
  </si>
  <si>
    <t>INE540P07194</t>
  </si>
  <si>
    <t>INE658R08149</t>
  </si>
  <si>
    <t>INE572E09361</t>
  </si>
  <si>
    <t>INE271C07137</t>
  </si>
  <si>
    <t>INE572E09494</t>
  </si>
  <si>
    <t>INE658R07257</t>
  </si>
  <si>
    <t>INE721A07OI4</t>
  </si>
  <si>
    <t>INE134E08GS5</t>
  </si>
  <si>
    <t>INE081A08165</t>
  </si>
  <si>
    <t>INE252T07040</t>
  </si>
  <si>
    <t>INE245A08091</t>
  </si>
  <si>
    <t>INE945W07019</t>
  </si>
  <si>
    <t>CARE A</t>
  </si>
  <si>
    <t>INE146O08043</t>
  </si>
  <si>
    <t>IND AA-</t>
  </si>
  <si>
    <t>INE623B07115</t>
  </si>
  <si>
    <t>INE623B07107</t>
  </si>
  <si>
    <t>INE245A08158</t>
  </si>
  <si>
    <t>IND AA</t>
  </si>
  <si>
    <t>INE850M07111</t>
  </si>
  <si>
    <t>INE905O07028</t>
  </si>
  <si>
    <t>CRISIL AA(CE)</t>
  </si>
  <si>
    <t>INE694L07107</t>
  </si>
  <si>
    <t>INE572E09452</t>
  </si>
  <si>
    <t>INE572E09429</t>
  </si>
  <si>
    <t>INE657N07183</t>
  </si>
  <si>
    <t>INE850M08077</t>
  </si>
  <si>
    <t>INE540P07277</t>
  </si>
  <si>
    <t>INE850M08051</t>
  </si>
  <si>
    <t>INE850M08069</t>
  </si>
  <si>
    <t>INE949L08152</t>
  </si>
  <si>
    <t>INE155A08316</t>
  </si>
  <si>
    <t>INE694L07123</t>
  </si>
  <si>
    <t>INE572E09460</t>
  </si>
  <si>
    <t>INE572E09411</t>
  </si>
  <si>
    <t>INE572E09478</t>
  </si>
  <si>
    <t>INE155A08357</t>
  </si>
  <si>
    <t>INE155A08068</t>
  </si>
  <si>
    <t>INE945W07027</t>
  </si>
  <si>
    <t>INE721A07NR7</t>
  </si>
  <si>
    <t>INE572E09569</t>
  </si>
  <si>
    <t>INE721A07NI6</t>
  </si>
  <si>
    <t>INE029A07075</t>
  </si>
  <si>
    <t>INE110L08011</t>
  </si>
  <si>
    <t>INE146O08050</t>
  </si>
  <si>
    <t>INE459T07066</t>
  </si>
  <si>
    <t>INE459T07074</t>
  </si>
  <si>
    <t>INE252T07057</t>
  </si>
  <si>
    <t>INE146O07052</t>
  </si>
  <si>
    <t>INE721A07NV9</t>
  </si>
  <si>
    <t>INE146O08084</t>
  </si>
  <si>
    <t>INE155A08043</t>
  </si>
  <si>
    <t>INE091A07174</t>
  </si>
  <si>
    <t>INE572E09601</t>
  </si>
  <si>
    <t>INE721A07LX9</t>
  </si>
  <si>
    <t>INE155A08340</t>
  </si>
  <si>
    <t>INE434A09149</t>
  </si>
  <si>
    <t>INE01HV07015</t>
  </si>
  <si>
    <t>INE721A07MW9</t>
  </si>
  <si>
    <t>INE804I08601</t>
  </si>
  <si>
    <t>INE016P07112</t>
  </si>
  <si>
    <t>INE514E08FK7</t>
  </si>
  <si>
    <t>INE090A08TW2</t>
  </si>
  <si>
    <t>INE616U07036</t>
  </si>
  <si>
    <t>INE219X07033</t>
  </si>
  <si>
    <t>INE572E09270</t>
  </si>
  <si>
    <t>INE756I07CA5</t>
  </si>
  <si>
    <t>INE752E07MI5</t>
  </si>
  <si>
    <t>INE896L07660</t>
  </si>
  <si>
    <t>INE680R07012</t>
  </si>
  <si>
    <t>ICRA A-(CE)</t>
  </si>
  <si>
    <t>INE081T08090</t>
  </si>
  <si>
    <t>INE157D08027</t>
  </si>
  <si>
    <t>INE081T08108</t>
  </si>
  <si>
    <t>INE316W07013</t>
  </si>
  <si>
    <t>INE157D08019</t>
  </si>
  <si>
    <t>INE918T07038</t>
  </si>
  <si>
    <t>INE081T07027</t>
  </si>
  <si>
    <t>INE918T07020</t>
  </si>
  <si>
    <t>INE423Y07013</t>
  </si>
  <si>
    <t>INE582L07138</t>
  </si>
  <si>
    <t>INE137K07018</t>
  </si>
  <si>
    <t>ICRA AA+</t>
  </si>
  <si>
    <t>INE157D08068</t>
  </si>
  <si>
    <t>INE157D08050</t>
  </si>
  <si>
    <t>INE587B08037</t>
  </si>
  <si>
    <t>INE157D08035</t>
  </si>
  <si>
    <t>INE582L07104</t>
  </si>
  <si>
    <t>INE157D08043</t>
  </si>
  <si>
    <t>INE003S07155</t>
  </si>
  <si>
    <t>INE931Q08035</t>
  </si>
  <si>
    <t>INE960S07073</t>
  </si>
  <si>
    <t>INE960S07081</t>
  </si>
  <si>
    <t>INE971Z07026</t>
  </si>
  <si>
    <t>INE922K07013</t>
  </si>
  <si>
    <t>INE321N07244</t>
  </si>
  <si>
    <t>Money Market Instruments</t>
  </si>
  <si>
    <t>Certificate of Deposit</t>
  </si>
  <si>
    <t>INE238A160K7</t>
  </si>
  <si>
    <t>CRISIL A1+</t>
  </si>
  <si>
    <t>Commercial Paper</t>
  </si>
  <si>
    <t>INE351E14014</t>
  </si>
  <si>
    <t>ICRA A1</t>
  </si>
  <si>
    <t>INE371K14AB7</t>
  </si>
  <si>
    <t>ICRA A1+</t>
  </si>
  <si>
    <t>INE371K14928</t>
  </si>
  <si>
    <t>INE371K14894</t>
  </si>
  <si>
    <t>INE371K14AD3</t>
  </si>
  <si>
    <t>INE001A14UV7</t>
  </si>
  <si>
    <t>INE001A14UT1</t>
  </si>
  <si>
    <t>Super Institutional Plan Growth Option</t>
  </si>
  <si>
    <t>Super Institutional Plan Daily Dividend Option</t>
  </si>
  <si>
    <t>Super Institutional Plan Weekly Dividend Option</t>
  </si>
  <si>
    <t>Direct Super Institutional Plan Growth Option</t>
  </si>
  <si>
    <t>Direct Super Institutional Plan Daily Dividend Option</t>
  </si>
  <si>
    <t>Direct Super Institutional Plan Weekly Dividend Option</t>
  </si>
  <si>
    <t>Retail Plan Growth Option</t>
  </si>
  <si>
    <t>Retail Plan Daily Dividend Option</t>
  </si>
  <si>
    <t>Retail Plan Weekly Dividend Option</t>
  </si>
  <si>
    <t>Institutional Plan Growth Option</t>
  </si>
  <si>
    <t>Institutional Plan Daily Dividend Option</t>
  </si>
  <si>
    <t>Super Institutional Plan Daily Dividend Reinvestment Option</t>
  </si>
  <si>
    <t>Direct Super Institutional Plan Daily Dividend Reinvestment Option</t>
  </si>
  <si>
    <t>Institutional Plan Daily Dividend Reinvestment Option</t>
  </si>
  <si>
    <r>
      <t>Franklin India Banking &amp; PSU Debt Fund As of -29No</t>
    </r>
    <r>
      <rPr>
        <b/>
        <sz val="8"/>
        <color theme="1"/>
        <rFont val="Arial"/>
        <family val="2"/>
      </rPr>
      <t>v2019</t>
    </r>
  </si>
  <si>
    <t>INE134E08JY7</t>
  </si>
  <si>
    <t>INE053F07934</t>
  </si>
  <si>
    <t>CARE AAA</t>
  </si>
  <si>
    <t>INE020B08CD3</t>
  </si>
  <si>
    <t>INE029A08040</t>
  </si>
  <si>
    <t>INE752E07MQ8</t>
  </si>
  <si>
    <t>INE906B07HH5</t>
  </si>
  <si>
    <t>INE163N08065</t>
  </si>
  <si>
    <t>CARE AAA(CE)</t>
  </si>
  <si>
    <t>INE752E07KN9</t>
  </si>
  <si>
    <t>ICRA AAA</t>
  </si>
  <si>
    <t>INE906B07FT4</t>
  </si>
  <si>
    <t>INE556F08JL5</t>
  </si>
  <si>
    <t>INE031A08731</t>
  </si>
  <si>
    <t>INE261F08AT4</t>
  </si>
  <si>
    <t>INE094A08036</t>
  </si>
  <si>
    <t>INE062A08140</t>
  </si>
  <si>
    <t>INE028A08174</t>
  </si>
  <si>
    <t>INE434A08067</t>
  </si>
  <si>
    <t>INE906B07FE6</t>
  </si>
  <si>
    <t>INE261F08BN5</t>
  </si>
  <si>
    <t>INE031A08699</t>
  </si>
  <si>
    <t>INE134E08JW1</t>
  </si>
  <si>
    <t>INE667A08088</t>
  </si>
  <si>
    <t>INE434A08083</t>
  </si>
  <si>
    <t>INE020B08BS3</t>
  </si>
  <si>
    <t>INE733E07JO9</t>
  </si>
  <si>
    <t>INE514E08EQ7</t>
  </si>
  <si>
    <t>INE261F08BI5</t>
  </si>
  <si>
    <t>INE020B08906</t>
  </si>
  <si>
    <t>INE976G08064</t>
  </si>
  <si>
    <t>INE134E08FQ1</t>
  </si>
  <si>
    <t>INE028A08083</t>
  </si>
  <si>
    <t>INE705A08094</t>
  </si>
  <si>
    <t>INE020B08BQ7</t>
  </si>
  <si>
    <t>INE514E08EP9</t>
  </si>
  <si>
    <t>INE556F08JI1</t>
  </si>
  <si>
    <t>INE020B08930</t>
  </si>
  <si>
    <t>INE163N08073</t>
  </si>
  <si>
    <t>INE514E08FL5</t>
  </si>
  <si>
    <t>INE861G08035</t>
  </si>
  <si>
    <t>CRISIL AAA(CE)</t>
  </si>
  <si>
    <t>INE053F07942</t>
  </si>
  <si>
    <t>INE020B08BP9</t>
  </si>
  <si>
    <t>INE134E08IW3</t>
  </si>
  <si>
    <t>INE020B08BM6</t>
  </si>
  <si>
    <t>INE053F07AK6</t>
  </si>
  <si>
    <t>INE752E07NN3</t>
  </si>
  <si>
    <t>Government Securities</t>
  </si>
  <si>
    <t>IN0020190065</t>
  </si>
  <si>
    <t>SOVEREIGN</t>
  </si>
  <si>
    <t>IN0020190016</t>
  </si>
  <si>
    <t>IN0020190362</t>
  </si>
  <si>
    <t>Dividend Option</t>
  </si>
  <si>
    <t>Direct Dividend Option</t>
  </si>
  <si>
    <r>
      <t>Franklin India Short Term Income Plan As of -29Nov</t>
    </r>
    <r>
      <rPr>
        <b/>
        <sz val="8"/>
        <color theme="1"/>
        <rFont val="Arial"/>
        <family val="2"/>
      </rPr>
      <t>2019</t>
    </r>
  </si>
  <si>
    <t>INE528G08352</t>
  </si>
  <si>
    <t>CARE BBB+</t>
  </si>
  <si>
    <t>INE140A07401</t>
  </si>
  <si>
    <t>INE140A07435</t>
  </si>
  <si>
    <t>INE01E708024</t>
  </si>
  <si>
    <t>INE01E708016</t>
  </si>
  <si>
    <t>INE081A08181</t>
  </si>
  <si>
    <t>INE852O07097</t>
  </si>
  <si>
    <t>INE572E09403</t>
  </si>
  <si>
    <t>INE128S07374</t>
  </si>
  <si>
    <t>INE124N07309</t>
  </si>
  <si>
    <t>CRISIL A</t>
  </si>
  <si>
    <t>INE657N07381</t>
  </si>
  <si>
    <t>INE540P07319</t>
  </si>
  <si>
    <t>INE540P07327</t>
  </si>
  <si>
    <t>INE265J07365</t>
  </si>
  <si>
    <t>INE128S07390</t>
  </si>
  <si>
    <t>INE540P07335</t>
  </si>
  <si>
    <t>INE572E09619</t>
  </si>
  <si>
    <t>INE016P07146</t>
  </si>
  <si>
    <t>INE038A07274</t>
  </si>
  <si>
    <t>INE852O07055</t>
  </si>
  <si>
    <t>INE295J08014</t>
  </si>
  <si>
    <t>INE271C07178</t>
  </si>
  <si>
    <t>INE146O08159</t>
  </si>
  <si>
    <t>INE128S07358</t>
  </si>
  <si>
    <t>INE124N07200</t>
  </si>
  <si>
    <t>INE124N07168</t>
  </si>
  <si>
    <t>INE459T07082</t>
  </si>
  <si>
    <t>INE459T07090</t>
  </si>
  <si>
    <t>INE459T07033</t>
  </si>
  <si>
    <t>INE01E708032</t>
  </si>
  <si>
    <t>INE146O08068</t>
  </si>
  <si>
    <t>INE540P07202</t>
  </si>
  <si>
    <t>INE608A08025</t>
  </si>
  <si>
    <t>INE155A08365</t>
  </si>
  <si>
    <t>INE852O07048</t>
  </si>
  <si>
    <t>INE657N07407</t>
  </si>
  <si>
    <t>INE128S07333</t>
  </si>
  <si>
    <t>INE265J07316</t>
  </si>
  <si>
    <t>INE936D07075</t>
  </si>
  <si>
    <t>INE503A08028</t>
  </si>
  <si>
    <t>INE155A08225</t>
  </si>
  <si>
    <t>INE146O08027</t>
  </si>
  <si>
    <t>INE128S07317</t>
  </si>
  <si>
    <t>INE261F08477</t>
  </si>
  <si>
    <t>INE020B08823</t>
  </si>
  <si>
    <t>INE535H07AU7</t>
  </si>
  <si>
    <t>INE774D07RY7</t>
  </si>
  <si>
    <t>IND AAA</t>
  </si>
  <si>
    <t>INE261F08AL1</t>
  </si>
  <si>
    <t>INE110L07070</t>
  </si>
  <si>
    <t>INE001A07QF2</t>
  </si>
  <si>
    <t>INE660N07047</t>
  </si>
  <si>
    <t>INE209W07010</t>
  </si>
  <si>
    <t>INE498F07063</t>
  </si>
  <si>
    <t>BWR BB-(CE)</t>
  </si>
  <si>
    <t>INE720G08082</t>
  </si>
  <si>
    <t>ICRA BBB+</t>
  </si>
  <si>
    <t>INE316W07039</t>
  </si>
  <si>
    <t>INE971Z07109</t>
  </si>
  <si>
    <t>INE082T07025</t>
  </si>
  <si>
    <t>INE971Z07042</t>
  </si>
  <si>
    <t>INE003S07122</t>
  </si>
  <si>
    <t>INE03VJ07017</t>
  </si>
  <si>
    <t>INE507R07033</t>
  </si>
  <si>
    <t>BWR A-(CE)</t>
  </si>
  <si>
    <t>INE971Z07034</t>
  </si>
  <si>
    <t>INE428K07011</t>
  </si>
  <si>
    <t>INE946S07122</t>
  </si>
  <si>
    <t>INE498F07071</t>
  </si>
  <si>
    <t>INE082T07017</t>
  </si>
  <si>
    <t>INE285T07099</t>
  </si>
  <si>
    <t>INE971Z07083</t>
  </si>
  <si>
    <t>INE971Z07091</t>
  </si>
  <si>
    <t>INE080T07060</t>
  </si>
  <si>
    <t>INE333T07055</t>
  </si>
  <si>
    <t>INE971Z07075</t>
  </si>
  <si>
    <t>INE946S07114</t>
  </si>
  <si>
    <t>INE445K07106</t>
  </si>
  <si>
    <t>CARE C</t>
  </si>
  <si>
    <t>INE080T07052</t>
  </si>
  <si>
    <t>INE946S07098</t>
  </si>
  <si>
    <t>INE080T07045</t>
  </si>
  <si>
    <t>INE321N07152</t>
  </si>
  <si>
    <t>INE895D08634</t>
  </si>
  <si>
    <t>INE333T07048</t>
  </si>
  <si>
    <t>INE895D08766</t>
  </si>
  <si>
    <t>* Less Than 0.01 %</t>
  </si>
  <si>
    <t>Retail Plan Monthly Dividend Option</t>
  </si>
  <si>
    <t>Retail Plan Quarterly Dividend Option</t>
  </si>
  <si>
    <t>Direct Retail Plan Growth Option</t>
  </si>
  <si>
    <t>Direct Retail Plan Weekly Dividend Option</t>
  </si>
  <si>
    <t>Direct Retail Plan Monthly Dividend Option</t>
  </si>
  <si>
    <t>Direct Retail Plan Quarterly Dividend Option</t>
  </si>
  <si>
    <t>Franklin India Savings Fund As of -29Nov2019</t>
  </si>
  <si>
    <t>INE090A162V7</t>
  </si>
  <si>
    <t>INE261F16454</t>
  </si>
  <si>
    <t>INE261F16371</t>
  </si>
  <si>
    <t>IND A1+</t>
  </si>
  <si>
    <t>INE556F16630</t>
  </si>
  <si>
    <t>INE238A165R1</t>
  </si>
  <si>
    <t>INE090A163T9</t>
  </si>
  <si>
    <t>INE028A16BO0</t>
  </si>
  <si>
    <t>INE040A16CE4</t>
  </si>
  <si>
    <t>INE028A16BF8</t>
  </si>
  <si>
    <t>INE261F16389</t>
  </si>
  <si>
    <t>INE095A16A17</t>
  </si>
  <si>
    <t>INE480Q16416</t>
  </si>
  <si>
    <t>INE556F16648</t>
  </si>
  <si>
    <t>INE238A160Q4</t>
  </si>
  <si>
    <t>INE090A166V8</t>
  </si>
  <si>
    <t>INE556F16531</t>
  </si>
  <si>
    <t>INE238A162K3</t>
  </si>
  <si>
    <t>INE238A162L1</t>
  </si>
  <si>
    <t>INE261F16405</t>
  </si>
  <si>
    <t>INE556F16663</t>
  </si>
  <si>
    <t>INE480Q16465</t>
  </si>
  <si>
    <t>INE742O14DF6</t>
  </si>
  <si>
    <t>INE691I14JI8</t>
  </si>
  <si>
    <t>INE110L14LZ3</t>
  </si>
  <si>
    <t>CARE A1+</t>
  </si>
  <si>
    <t>INE002A14DS7</t>
  </si>
  <si>
    <t>INE018A14HC8</t>
  </si>
  <si>
    <t>INE957N14CX7</t>
  </si>
  <si>
    <t>INE115A14BV5</t>
  </si>
  <si>
    <t>INE691I14JK4</t>
  </si>
  <si>
    <t>INE257A14136</t>
  </si>
  <si>
    <t>INE860H14M78</t>
  </si>
  <si>
    <t>INE134E14AL1</t>
  </si>
  <si>
    <t>INE001A14VO0</t>
  </si>
  <si>
    <t>INE535H14HW4</t>
  </si>
  <si>
    <t>INE020B14607</t>
  </si>
  <si>
    <t>INE020B14623</t>
  </si>
  <si>
    <t>INE001A14UX3</t>
  </si>
  <si>
    <t>INE667F14EX4</t>
  </si>
  <si>
    <t>INE790I14BE4</t>
  </si>
  <si>
    <t>INE001A14VS1</t>
  </si>
  <si>
    <t>INE477A14AC1</t>
  </si>
  <si>
    <t>INE027E14HK4</t>
  </si>
  <si>
    <t>INE691I14IJ8</t>
  </si>
  <si>
    <t>INE498L14AA8</t>
  </si>
  <si>
    <t>INE121A14QU3</t>
  </si>
  <si>
    <t>INE115A14BT9</t>
  </si>
  <si>
    <t>INE020B14631</t>
  </si>
  <si>
    <t>INE001A14VQ5</t>
  </si>
  <si>
    <t>INE742O14BU9</t>
  </si>
  <si>
    <t>INE002A14DL2</t>
  </si>
  <si>
    <t>INE001A14VH4</t>
  </si>
  <si>
    <t>INE523H14P25</t>
  </si>
  <si>
    <t>INE975F14RH6</t>
  </si>
  <si>
    <t>INE523H14Q24</t>
  </si>
  <si>
    <t>IN2720140028</t>
  </si>
  <si>
    <t>IN2220090095</t>
  </si>
  <si>
    <t>Direct Retail Plan Daily Dividend Option</t>
  </si>
  <si>
    <t>Institutional Plan Dividend Option</t>
  </si>
  <si>
    <t>Franklin India overnight Fund As of -29Nov2019</t>
  </si>
  <si>
    <t>Direct Weekly Dividend Option</t>
  </si>
  <si>
    <t>Daily Dividend Option</t>
  </si>
  <si>
    <t>Direct Daily Dividend Option</t>
  </si>
  <si>
    <t>Weekly Dividend Option</t>
  </si>
  <si>
    <t>Franklin India Liquid Fund As of -29Nov2019</t>
  </si>
  <si>
    <t>INE261F16322</t>
  </si>
  <si>
    <t>INE095A16ZK6</t>
  </si>
  <si>
    <t>INE238A169H4</t>
  </si>
  <si>
    <t>INE110L14LM1</t>
  </si>
  <si>
    <t>INE607M14400</t>
  </si>
  <si>
    <t>INE691I14IZ4</t>
  </si>
  <si>
    <t>INE476M14CN1</t>
  </si>
  <si>
    <t>INE110L14MB2</t>
  </si>
  <si>
    <t>INE742F14LG5</t>
  </si>
  <si>
    <t>INE523H14S63</t>
  </si>
  <si>
    <t>INE725H14962</t>
  </si>
  <si>
    <t>INE242A14NU4</t>
  </si>
  <si>
    <t>INE476M14CM3</t>
  </si>
  <si>
    <t>INE245A14CI5</t>
  </si>
  <si>
    <t>INE742O14DK6</t>
  </si>
  <si>
    <t>INE742O14DI0</t>
  </si>
  <si>
    <t>INE742O14DA7</t>
  </si>
  <si>
    <t>INE146O14AM2</t>
  </si>
  <si>
    <t>INE742F14KW4</t>
  </si>
  <si>
    <t>INE857Q14550</t>
  </si>
  <si>
    <t>INE146O14AK6</t>
  </si>
  <si>
    <t>INE523H14S22</t>
  </si>
  <si>
    <t>INE476M14BW4</t>
  </si>
  <si>
    <t>INE742F14LK7</t>
  </si>
  <si>
    <t>INE015M14323</t>
  </si>
  <si>
    <t>INE146O14AO8</t>
  </si>
  <si>
    <t>INE742O14DO8</t>
  </si>
  <si>
    <t>INE601U14DG9</t>
  </si>
  <si>
    <t>INE601U14DI5</t>
  </si>
  <si>
    <t>INE582L14FF7</t>
  </si>
  <si>
    <t>INE754R14094</t>
  </si>
  <si>
    <t>INE371K14AE1</t>
  </si>
  <si>
    <t>INE582L14FA8</t>
  </si>
  <si>
    <t>INE582L14FB6</t>
  </si>
  <si>
    <t>INE178A14EW5</t>
  </si>
  <si>
    <t>INE09OL14136</t>
  </si>
  <si>
    <t>INE582L14FG5</t>
  </si>
  <si>
    <t>INE371K14902</t>
  </si>
  <si>
    <t>INE012I14LG7</t>
  </si>
  <si>
    <t>INE012I14LK9</t>
  </si>
  <si>
    <t>INE027E14HI8</t>
  </si>
  <si>
    <t>INE371K14993</t>
  </si>
  <si>
    <t>INE371K14AA9</t>
  </si>
  <si>
    <t>INE012I14LJ1</t>
  </si>
  <si>
    <t>INE245A14CL9</t>
  </si>
  <si>
    <t>INE001A14UO2</t>
  </si>
  <si>
    <t>INE523H14S14</t>
  </si>
  <si>
    <t>INE901W14AW2</t>
  </si>
  <si>
    <t>IN002019U033</t>
  </si>
  <si>
    <t>IN0020020171</t>
  </si>
  <si>
    <t>IN1520090060</t>
  </si>
  <si>
    <t>IN2120090039</t>
  </si>
  <si>
    <t>IN2220090061</t>
  </si>
  <si>
    <t>IN2920090148</t>
  </si>
  <si>
    <t>Direct Super Institutional Growth Option</t>
  </si>
  <si>
    <t>Direct Super Institutional Daily Dividend Reinvestment Option</t>
  </si>
  <si>
    <t>Direct Super Institutional Weekly Dividend Option</t>
  </si>
  <si>
    <t>Institutional Plan Weekly Dividend Option</t>
  </si>
  <si>
    <t>Regular Plan Growth Option</t>
  </si>
  <si>
    <t>Regular Plan Daily Dividend Reinvestment Option</t>
  </si>
  <si>
    <t>Regular Plan Weekly Dividend Option</t>
  </si>
  <si>
    <t>Unclaimed Dividend Plan - Growth</t>
  </si>
  <si>
    <t>Unclaimed Redemption Plan - Growth</t>
  </si>
  <si>
    <t>Unclaimed Redemption Investor Education Plan - Growth</t>
  </si>
  <si>
    <t>NA****</t>
  </si>
  <si>
    <t>Unclaimed Dividend Investor Education Plan - Growth</t>
  </si>
  <si>
    <t>Direct Super Institutional Plan Daily Divdend Reinvestment Option</t>
  </si>
  <si>
    <t>Regular Plan Daily Divdend Reinvestment Option</t>
  </si>
  <si>
    <t>****Plan was launched on Sepetmber 06, 2019</t>
  </si>
  <si>
    <t>Franklin India Low Duration Fund As of -29Nov2019</t>
  </si>
  <si>
    <t>INE516Y07071</t>
  </si>
  <si>
    <t>INE265J07324</t>
  </si>
  <si>
    <t>INE516Y07097</t>
  </si>
  <si>
    <t>INE764L07173</t>
  </si>
  <si>
    <t>INE721A07MS7</t>
  </si>
  <si>
    <t>INE721A08DE4</t>
  </si>
  <si>
    <t>INE548V07047</t>
  </si>
  <si>
    <t>INE945W07035</t>
  </si>
  <si>
    <t>INE721A07NQ9</t>
  </si>
  <si>
    <t>INE516Y07089</t>
  </si>
  <si>
    <t>INE721A08DA2</t>
  </si>
  <si>
    <t>INE002A08526</t>
  </si>
  <si>
    <t>INE476S08045</t>
  </si>
  <si>
    <t>INE918T07053</t>
  </si>
  <si>
    <t>INE840S07085</t>
  </si>
  <si>
    <t>INE238A166Q1</t>
  </si>
  <si>
    <t>INE371K14AG6</t>
  </si>
  <si>
    <t>INE725H14905</t>
  </si>
  <si>
    <t>Monthly Dividend Plan</t>
  </si>
  <si>
    <t>Quarterly Dividend Plan</t>
  </si>
  <si>
    <t>Direct Monthly Dividend Plan</t>
  </si>
  <si>
    <t>Direct Quarterly Dividend Plan</t>
  </si>
  <si>
    <r>
      <t>Franklin India Government Securities Fund As of -2</t>
    </r>
    <r>
      <rPr>
        <b/>
        <sz val="8"/>
        <color theme="1"/>
        <rFont val="Arial"/>
        <family val="2"/>
      </rPr>
      <t>9Nov2019</t>
    </r>
  </si>
  <si>
    <t>IN0020180454</t>
  </si>
  <si>
    <t>Growth Option</t>
  </si>
  <si>
    <t>Quarterly Dividend Option</t>
  </si>
  <si>
    <t>Direct Growth Option</t>
  </si>
  <si>
    <t>Direct Quarterly Dividend Option</t>
  </si>
  <si>
    <t>Franklin India Floating Rate Fund As of -29Nov2019</t>
  </si>
  <si>
    <t>INE155A08373</t>
  </si>
  <si>
    <t>INE081A08207</t>
  </si>
  <si>
    <t>BWR AA</t>
  </si>
  <si>
    <t>IN0020092071</t>
  </si>
  <si>
    <t>GOI FRB 2020 (21-Dec-2020)</t>
  </si>
  <si>
    <t>IN0020180041</t>
  </si>
  <si>
    <r>
      <t>Franklin India Dynamic Accrual Fund As of -29Nov20</t>
    </r>
    <r>
      <rPr>
        <b/>
        <sz val="8"/>
        <color theme="1"/>
        <rFont val="Arial"/>
        <family val="2"/>
      </rPr>
      <t>19</t>
    </r>
  </si>
  <si>
    <t>INE922K07047</t>
  </si>
  <si>
    <t>INE265J07373</t>
  </si>
  <si>
    <t>INE01E708040</t>
  </si>
  <si>
    <t>INE124N07143</t>
  </si>
  <si>
    <t>INE146O08100</t>
  </si>
  <si>
    <t>INE245A08166</t>
  </si>
  <si>
    <t>INE658R08024</t>
  </si>
  <si>
    <t>INE540P07228</t>
  </si>
  <si>
    <t>INE205A07139</t>
  </si>
  <si>
    <t>INE658R08032</t>
  </si>
  <si>
    <t>INE134E08HV7</t>
  </si>
  <si>
    <t>INE316W07021</t>
  </si>
  <si>
    <t>INE575P08024</t>
  </si>
  <si>
    <t>INE458O07036</t>
  </si>
  <si>
    <t>INE840S07093</t>
  </si>
  <si>
    <t>INE080T07037</t>
  </si>
  <si>
    <t>Franklin India Credit Risk Fund As of -29Nov2019</t>
  </si>
  <si>
    <t>INE016P07120</t>
  </si>
  <si>
    <t>INE016P07138</t>
  </si>
  <si>
    <t>INE128S07341</t>
  </si>
  <si>
    <t>INE128S07325</t>
  </si>
  <si>
    <t>INE852O07071</t>
  </si>
  <si>
    <t>INE027E07709</t>
  </si>
  <si>
    <t>INE001A07OO9</t>
  </si>
  <si>
    <t>INE660N07054</t>
  </si>
  <si>
    <t>INE946S07130</t>
  </si>
  <si>
    <t>INE946S07080</t>
  </si>
  <si>
    <t>INE285T07081</t>
  </si>
  <si>
    <r>
      <t>Franklin India Corporate Debt Fund As of -29Nov201</t>
    </r>
    <r>
      <rPr>
        <b/>
        <sz val="8"/>
        <color theme="1"/>
        <rFont val="Arial"/>
        <family val="2"/>
      </rPr>
      <t>9</t>
    </r>
  </si>
  <si>
    <t>INE047A08141</t>
  </si>
  <si>
    <t>INE110L08037</t>
  </si>
  <si>
    <t>INE438A07144</t>
  </si>
  <si>
    <t>INE115A07LX4</t>
  </si>
  <si>
    <t>INE115A07OM1</t>
  </si>
  <si>
    <t>INE115A07NM3</t>
  </si>
  <si>
    <t>INE941D07125</t>
  </si>
  <si>
    <t>INE295J08055</t>
  </si>
  <si>
    <t>INE261F08AI7</t>
  </si>
  <si>
    <t>INE667A08104</t>
  </si>
  <si>
    <t>INE535H07AG6</t>
  </si>
  <si>
    <t>INE916DA7MX1</t>
  </si>
  <si>
    <t>INE115A07NW2</t>
  </si>
  <si>
    <t>INE134E08IH4</t>
  </si>
  <si>
    <t>INE134E08KC1</t>
  </si>
  <si>
    <t>INE752E07MZ9</t>
  </si>
  <si>
    <t>INE756I07CD9</t>
  </si>
  <si>
    <t>INE134E08GT3</t>
  </si>
  <si>
    <t>INE848E07815</t>
  </si>
  <si>
    <t>INE296A07ON7</t>
  </si>
  <si>
    <t>INE860H07GE0</t>
  </si>
  <si>
    <t>INE053F09HR2</t>
  </si>
  <si>
    <t>INE801J08019</t>
  </si>
  <si>
    <t>Half Yearly Dividend Plan</t>
  </si>
  <si>
    <t>Annual Dividend Plan</t>
  </si>
  <si>
    <t>Direct Half Yearly Dividend Plan</t>
  </si>
  <si>
    <t>Direct Annual Dividend Plan</t>
  </si>
  <si>
    <r>
      <t>Franklin India Fixed Maturity Plans-Series 6 – Pla</t>
    </r>
    <r>
      <rPr>
        <b/>
        <sz val="8"/>
        <color theme="1"/>
        <rFont val="Arial"/>
        <family val="2"/>
      </rPr>
      <t>n C As of -29Nov2019</t>
    </r>
  </si>
  <si>
    <t>INE891K07416</t>
  </si>
  <si>
    <t>INE377Y07052</t>
  </si>
  <si>
    <t>INE774D07SQ1</t>
  </si>
  <si>
    <t>INE296A07QQ5</t>
  </si>
  <si>
    <t>INE031A08657</t>
  </si>
  <si>
    <t>INE535H07AT9</t>
  </si>
  <si>
    <t>(In years)</t>
  </si>
  <si>
    <r>
      <t>Franklin India Fixed Maturity Plans-Series 5 – Pla</t>
    </r>
    <r>
      <rPr>
        <b/>
        <sz val="8"/>
        <color theme="1"/>
        <rFont val="Arial"/>
        <family val="2"/>
      </rPr>
      <t>n F As of -29Nov2019</t>
    </r>
  </si>
  <si>
    <t>INE020B08BF0</t>
  </si>
  <si>
    <t>INE831R07235</t>
  </si>
  <si>
    <r>
      <t>Franklin India Fixed Maturity Plans-Series 5 – Pla</t>
    </r>
    <r>
      <rPr>
        <b/>
        <sz val="8"/>
        <color theme="1"/>
        <rFont val="Arial"/>
        <family val="2"/>
      </rPr>
      <t>n E As of -29Nov2019</t>
    </r>
  </si>
  <si>
    <t>INE377Y07086</t>
  </si>
  <si>
    <t>INE756I07CI8</t>
  </si>
  <si>
    <t>INE906B07FG1</t>
  </si>
  <si>
    <t>INE306N07KG9</t>
  </si>
  <si>
    <r>
      <t>Franklin India Fixed Maturity Plans – Series 5 – P</t>
    </r>
    <r>
      <rPr>
        <b/>
        <sz val="8"/>
        <color theme="1"/>
        <rFont val="Arial"/>
        <family val="2"/>
      </rPr>
      <t>lan D As of -29Nov2019</t>
    </r>
  </si>
  <si>
    <t>INE774D07SS7</t>
  </si>
  <si>
    <r>
      <t>Franklin India Fixed Maturity Plans - Series 5 -Pl</t>
    </r>
    <r>
      <rPr>
        <b/>
        <sz val="8"/>
        <color theme="1"/>
        <rFont val="Arial"/>
        <family val="2"/>
      </rPr>
      <t>an C As of -29Nov2019</t>
    </r>
  </si>
  <si>
    <t>INE535H07AQ5</t>
  </si>
  <si>
    <t>INE476M07BR8</t>
  </si>
  <si>
    <r>
      <t>Franklin India Fixed Maturity Plans – Series 5 - P</t>
    </r>
    <r>
      <rPr>
        <b/>
        <sz val="8"/>
        <color theme="1"/>
        <rFont val="Arial"/>
        <family val="2"/>
      </rPr>
      <t>lan B As of -29Nov2019</t>
    </r>
  </si>
  <si>
    <t>INE033L07GA4</t>
  </si>
  <si>
    <r>
      <t>Franklin India Fixed Maturity Plans – Series 5 – P</t>
    </r>
    <r>
      <rPr>
        <b/>
        <sz val="8"/>
        <color theme="1"/>
        <rFont val="Arial"/>
        <family val="2"/>
      </rPr>
      <t>lan A As of -29Nov2019</t>
    </r>
  </si>
  <si>
    <r>
      <t>Franklin India Fixed Maturity Plans – Series 4 – P</t>
    </r>
    <r>
      <rPr>
        <b/>
        <sz val="8"/>
        <color theme="1"/>
        <rFont val="Arial"/>
        <family val="2"/>
      </rPr>
      <t>lan F As of -29Nov2019</t>
    </r>
  </si>
  <si>
    <t>INE115A07LM7</t>
  </si>
  <si>
    <t>INE134E08IN2</t>
  </si>
  <si>
    <t>INE895D08790</t>
  </si>
  <si>
    <r>
      <t>Franklin India Fixed Maturity Plans-Series 4 – Pla</t>
    </r>
    <r>
      <rPr>
        <b/>
        <sz val="8"/>
        <color theme="1"/>
        <rFont val="Arial"/>
        <family val="2"/>
      </rPr>
      <t>n E As of -29Nov2019</t>
    </r>
  </si>
  <si>
    <t>INE481G08057</t>
  </si>
  <si>
    <t>INE556F08JH3</t>
  </si>
  <si>
    <t>INE261F08AM9</t>
  </si>
  <si>
    <t>INE660A07PT8</t>
  </si>
  <si>
    <t>INE020B08AO4</t>
  </si>
  <si>
    <t>INE860H07FW4</t>
  </si>
  <si>
    <r>
      <t>Franklin India Fixed Maturity Plans – Series 4 – P</t>
    </r>
    <r>
      <rPr>
        <b/>
        <sz val="8"/>
        <color theme="1"/>
        <rFont val="Arial"/>
        <family val="2"/>
      </rPr>
      <t>lan D As of -29Nov2019</t>
    </r>
  </si>
  <si>
    <t>INE377Y07045</t>
  </si>
  <si>
    <t>Growth</t>
  </si>
  <si>
    <t>Dividend</t>
  </si>
  <si>
    <t>Quarterly Dividend</t>
  </si>
  <si>
    <t>Direct Growth</t>
  </si>
  <si>
    <r>
      <t>Franklin India Fixed Maturity Plans – Series 4 – P</t>
    </r>
    <r>
      <rPr>
        <b/>
        <sz val="8"/>
        <color theme="1"/>
        <rFont val="Arial"/>
        <family val="2"/>
      </rPr>
      <t>lan C As of -29Nov2019</t>
    </r>
  </si>
  <si>
    <t>INE115A07MX2</t>
  </si>
  <si>
    <t>INE891K07440</t>
  </si>
  <si>
    <t>INE831R07201</t>
  </si>
  <si>
    <t>Direct Quarterly Dividend</t>
  </si>
  <si>
    <r>
      <t>Franklin India Fixed Maturity Plans – Series 4 – P</t>
    </r>
    <r>
      <rPr>
        <b/>
        <sz val="8"/>
        <color theme="1"/>
        <rFont val="Arial"/>
        <family val="2"/>
      </rPr>
      <t>lan B As of -29Nov2019</t>
    </r>
  </si>
  <si>
    <t>INE020B07IW2</t>
  </si>
  <si>
    <t>INE134E08DN3</t>
  </si>
  <si>
    <t>INE535H07AK8</t>
  </si>
  <si>
    <t>INE027E07642</t>
  </si>
  <si>
    <t>INE134E08ID3</t>
  </si>
  <si>
    <t>INE752E07MN5</t>
  </si>
  <si>
    <t>INE660A07PN1</t>
  </si>
  <si>
    <t>INE071G08940</t>
  </si>
  <si>
    <t>INE377Y07029</t>
  </si>
  <si>
    <t>INE115A07MT0</t>
  </si>
  <si>
    <r>
      <t>Franklin India Fixed Maturity Plans – Series 4 – P</t>
    </r>
    <r>
      <rPr>
        <b/>
        <sz val="8"/>
        <color theme="1"/>
        <rFont val="Arial"/>
        <family val="2"/>
      </rPr>
      <t>lan A As of -29Nov2019</t>
    </r>
  </si>
  <si>
    <t>INE110L07112</t>
  </si>
  <si>
    <t>INE891K07390</t>
  </si>
  <si>
    <t>INE556F08JF7</t>
  </si>
  <si>
    <t>INE020B08AW7</t>
  </si>
  <si>
    <t>INE476M07BM9</t>
  </si>
  <si>
    <r>
      <t>Franklin India Fixed Maturity Plans - Series 3 - P</t>
    </r>
    <r>
      <rPr>
        <b/>
        <sz val="8"/>
        <color theme="1"/>
        <rFont val="Arial"/>
        <family val="2"/>
      </rPr>
      <t>lan F As of -29Nov2019</t>
    </r>
  </si>
  <si>
    <t>INE031A08566</t>
  </si>
  <si>
    <t>INE774D07SB3</t>
  </si>
  <si>
    <t>INE556F08JD2</t>
  </si>
  <si>
    <t>INE883A07174</t>
  </si>
  <si>
    <t>INE134E08DM5</t>
  </si>
  <si>
    <t>INE756I07BW1</t>
  </si>
  <si>
    <t>INE115A07IO9</t>
  </si>
  <si>
    <t>INE244N07065</t>
  </si>
  <si>
    <r>
      <t>Franklin India Fixed Maturity Plans - Series 3 - P</t>
    </r>
    <r>
      <rPr>
        <b/>
        <sz val="8"/>
        <color theme="1"/>
        <rFont val="Arial"/>
        <family val="2"/>
      </rPr>
      <t>lan E As of -29Nov2019</t>
    </r>
  </si>
  <si>
    <t>INE134E08JM2</t>
  </si>
  <si>
    <t>INE020B08AS5</t>
  </si>
  <si>
    <t>INE031A08590</t>
  </si>
  <si>
    <t>INE916DA7PO3</t>
  </si>
  <si>
    <t>INE261F08956</t>
  </si>
  <si>
    <t>INE895D08899</t>
  </si>
  <si>
    <r>
      <t>Franklin India Fixed Maturity Plans - Series 3 - P</t>
    </r>
    <r>
      <rPr>
        <b/>
        <sz val="8"/>
        <color theme="1"/>
        <rFont val="Arial"/>
        <family val="2"/>
      </rPr>
      <t>lan D As of -29Nov2019</t>
    </r>
  </si>
  <si>
    <t>INE916DA7PI5</t>
  </si>
  <si>
    <r>
      <t>Franklin India Fixed Maturity Plans - Series 3 - P</t>
    </r>
    <r>
      <rPr>
        <b/>
        <sz val="8"/>
        <color theme="1"/>
        <rFont val="Arial"/>
        <family val="2"/>
      </rPr>
      <t>lan C As of -29Nov2019</t>
    </r>
  </si>
  <si>
    <t>INE134E08JK6</t>
  </si>
  <si>
    <t>INE556F08JA8</t>
  </si>
  <si>
    <t>INE020B08AR7</t>
  </si>
  <si>
    <t>INE752E07GX6</t>
  </si>
  <si>
    <t>INE895D08881</t>
  </si>
  <si>
    <r>
      <t>Franklin India Fixed Maturity Plans - Series 3 - P</t>
    </r>
    <r>
      <rPr>
        <b/>
        <sz val="8"/>
        <color theme="1"/>
        <rFont val="Arial"/>
        <family val="2"/>
      </rPr>
      <t>lan B As of -29Nov2019</t>
    </r>
  </si>
  <si>
    <t>INE296A07QB7</t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</si>
  <si>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-29Nov2019</t>
    </r>
  </si>
  <si>
    <t>INE115A07AL2</t>
  </si>
  <si>
    <t>INE031A08541</t>
  </si>
  <si>
    <r>
      <t>Franklin India Fixed Maturity Plans – Series 2 – P</t>
    </r>
    <r>
      <rPr>
        <b/>
        <sz val="8"/>
        <color theme="1"/>
        <rFont val="Arial"/>
        <family val="2"/>
      </rPr>
      <t>lan C As of -29Nov2019</t>
    </r>
  </si>
  <si>
    <t>INE756I07BU5</t>
  </si>
  <si>
    <r>
      <t>Franklin India Fixed Maturity Plans – Series 2 – P</t>
    </r>
    <r>
      <rPr>
        <b/>
        <sz val="8"/>
        <color theme="1"/>
        <rFont val="Arial"/>
        <family val="2"/>
      </rPr>
      <t>lan B As of -29Nov2019</t>
    </r>
  </si>
  <si>
    <t>INE477A07274</t>
  </si>
  <si>
    <t>INE115A07JB4</t>
  </si>
  <si>
    <t>INE895D08725</t>
  </si>
  <si>
    <t xml:space="preserve">Dividend Plan </t>
  </si>
  <si>
    <r>
      <t>Franklin India Fixed Maturity Plans - Series 2 - P</t>
    </r>
    <r>
      <rPr>
        <b/>
        <sz val="8"/>
        <color theme="1"/>
        <rFont val="Arial"/>
        <family val="2"/>
      </rPr>
      <t>lan A As of -29Nov2019</t>
    </r>
  </si>
  <si>
    <t>INE733E07JZ5</t>
  </si>
  <si>
    <t>INE134E07505</t>
  </si>
  <si>
    <t>INE537P07117</t>
  </si>
  <si>
    <t>INE235P07167</t>
  </si>
  <si>
    <t>INE848E07419</t>
  </si>
  <si>
    <t>INE752E07ER3</t>
  </si>
  <si>
    <t>INE514E08951</t>
  </si>
  <si>
    <t>INE514E08928</t>
  </si>
  <si>
    <t>INE115A07LK1</t>
  </si>
  <si>
    <r>
      <t>Franklin India Fixed Maturity Plans - Series 1 - P</t>
    </r>
    <r>
      <rPr>
        <b/>
        <sz val="8"/>
        <color theme="1"/>
        <rFont val="Arial"/>
        <family val="2"/>
      </rPr>
      <t>lan B As of -29Nov2019</t>
    </r>
  </si>
  <si>
    <t>INE733E07CF2</t>
  </si>
  <si>
    <t>INE134E08GX5</t>
  </si>
  <si>
    <t>INE053F07959</t>
  </si>
  <si>
    <t>Quarterly Direct Dividend Plan</t>
  </si>
  <si>
    <r>
      <t>Franklin India Fixed Maturity Plans – Series 1 – P</t>
    </r>
    <r>
      <rPr>
        <b/>
        <sz val="8"/>
        <color theme="1"/>
        <rFont val="Arial"/>
        <family val="2"/>
      </rPr>
      <t>lan A As of -29Nov2019</t>
    </r>
  </si>
  <si>
    <r>
      <t>Franklin India Equity Savings Fund As of Date -  2</t>
    </r>
    <r>
      <rPr>
        <b/>
        <sz val="8"/>
        <color theme="1"/>
        <rFont val="Arial"/>
        <family val="2"/>
      </rPr>
      <t>9Nov2019</t>
    </r>
  </si>
  <si>
    <t>% of Assets Derivatives</t>
  </si>
  <si>
    <t>INE562A01011</t>
  </si>
  <si>
    <t>Indian Bank</t>
  </si>
  <si>
    <t xml:space="preserve">(b) Real Eastate Investment Trusts (REITs) </t>
  </si>
  <si>
    <t>CARE AA(SO)</t>
  </si>
  <si>
    <t>INE523H07866</t>
  </si>
  <si>
    <t>7.26% GOI 2029 (14-Jan-2029)</t>
  </si>
  <si>
    <t>7.57% GOI 2033 (17-Jun-2033)</t>
  </si>
  <si>
    <t>7.27% GOI 2026 (08-Apr-2026)</t>
  </si>
  <si>
    <t>6.45% GOI 2029 (07-Oct-2029)</t>
  </si>
  <si>
    <t>Margin on Derivatives</t>
  </si>
  <si>
    <t>Call,cash and other current asset</t>
  </si>
  <si>
    <t>d) Portfolio Turnover Ratio during the Half - year 29-Nov-2019</t>
  </si>
  <si>
    <t xml:space="preserve">e) Total No. of Instances of deviation from valuation price provided by the valuation agencies </t>
  </si>
  <si>
    <t>Franklin India Pension Plan As of -29Nov2019</t>
  </si>
  <si>
    <t>Industry/Rating</t>
  </si>
  <si>
    <t>INE062A08124</t>
  </si>
  <si>
    <t>INE053F07AC3</t>
  </si>
  <si>
    <t>Franklin India Debt Hybrid Fund As of -29Nov2019</t>
  </si>
  <si>
    <t>INE528G09061</t>
  </si>
  <si>
    <t>Franklin India Equity Hybrid Fund As of -29Nov2019</t>
  </si>
  <si>
    <t>(b) Unlisted</t>
  </si>
  <si>
    <t xml:space="preserve">(c) Real Eastate Investment Trusts (REITs) </t>
  </si>
  <si>
    <t>INE265J07282</t>
  </si>
  <si>
    <t>9.55% Piramal Capital &amp; Housing Finance Ltd (08-Mar-2027) **</t>
  </si>
  <si>
    <t>9.90% Coastal Gujarat Power Ltd (25-Aug-2028) **</t>
  </si>
  <si>
    <t>9.10% Power Finance Corp Ltd (23-Mar-2029) **</t>
  </si>
  <si>
    <t>9.90% Shriram Transport Finance Co Ltd (21-Jun-2024) **</t>
  </si>
  <si>
    <t>9.85% DCB Bank Ltd (12-Jan-2028) **</t>
  </si>
  <si>
    <t>10.32% Andhra Pradesh Capital Region Development Authority (16-Aug-2028) **</t>
  </si>
  <si>
    <t>10.90% Vodafone Idea Ltd (02-Sep-2023) **</t>
  </si>
  <si>
    <t>10.15% Hinduja Leyland Finance Ltd (27-Mar-2025) **</t>
  </si>
  <si>
    <t>12.40% Jm Financial Asset Reconstruction Co Ltd (02-Feb-2022) **</t>
  </si>
  <si>
    <t>10.15% Uttar Pradesh Power Corp Ltd (20-Jan-2028) **</t>
  </si>
  <si>
    <t>10.25% Shriram Transport Finance Co Ltd (26-Apr-2024) **</t>
  </si>
  <si>
    <t>10.75% The Tata Power Co Ltd (21-Aug-2022) **</t>
  </si>
  <si>
    <t>12.30% Sterlite Power Grid Ventures Ltd (28-Mar-2022) **</t>
  </si>
  <si>
    <t>12.64% Five-Star Business Finance Ltd (28-Jun-2022) **</t>
  </si>
  <si>
    <t>10.15% Uttar Pradesh Power Corp Ltd (20-Jan-2023) **</t>
  </si>
  <si>
    <t>9.55% Hindalco Industries Ltd (25-Apr-2022) **</t>
  </si>
  <si>
    <t>0.00% India Shelter Finance Corp Ltd (02-May-2025) **</t>
  </si>
  <si>
    <t>8.45% Tata Power Renewable Energy Ltd (25-May-2022) **</t>
  </si>
  <si>
    <t>10.00% Aptus Value Housing Finance India Ltd (20-Jul-2025) **</t>
  </si>
  <si>
    <t>9.95% Vastu Housing Finance Corp Ltd (27-Feb-2025) **</t>
  </si>
  <si>
    <t>10.15% Uttar Pradesh Power Corp Ltd (20-Jan-2027) **</t>
  </si>
  <si>
    <t>10.25% Sikka Ports &amp; Terminals Limited (22-Aug-2021) **</t>
  </si>
  <si>
    <t>9.55% Hindalco Industries Ltd (27-Jun-2022) **</t>
  </si>
  <si>
    <t>10.15% Uttar Pradesh Power Corp Ltd (20-Jan-2022) **</t>
  </si>
  <si>
    <t>8.9508% Pipeline Infrastructure Pvt Ltd (22-Mar-2024) **</t>
  </si>
  <si>
    <t>11.10% Hinduja Leyland Finance Ltd (08-Apr-2022) **</t>
  </si>
  <si>
    <t>10.00% Aptus Value Housing Finance India Ltd (26-Feb-2025) **</t>
  </si>
  <si>
    <t>9.50% Piramal Capital &amp; Housing Finance Ltd (15-Apr-2022) **</t>
  </si>
  <si>
    <t>9.75% Uttar Pradesh Power Corp Ltd (20-Oct-2022) **</t>
  </si>
  <si>
    <t>9.20% Hinduja Leyland Finance Ltd (13-Sep-2024) **</t>
  </si>
  <si>
    <t>8.98% Power Finance Corp Ltd (28-Mar-2029) **</t>
  </si>
  <si>
    <t>8.68% Vedanta Ltd (20-Apr-2020) **</t>
  </si>
  <si>
    <t>11.40% Tata Power Co Ltd (02-Jun-2021) **</t>
  </si>
  <si>
    <t>9.15% ICICI Bank Ltd (20-Jun-2023) **</t>
  </si>
  <si>
    <t>11.5% Rivaaz Trade Ventures Pvt Ltd (30-Mar-2023) **</t>
  </si>
  <si>
    <t>0.00% Sadbhav Infrastructure Project Ltd (06-Jun-2023) **</t>
  </si>
  <si>
    <t>0.00% Adani Rail Infra Private Limited (28-Apr-2023) **</t>
  </si>
  <si>
    <t>12.68% Renew Power Ltd., Series III, (23-Mar-2020) **</t>
  </si>
  <si>
    <t>11.50% S D Corporation Private Ltd (03-Jun-2022) **</t>
  </si>
  <si>
    <t>9.60% Renew Wind Energy (Rajasthan One) Pvt Ltd (31-Mar-2023) **</t>
  </si>
  <si>
    <t>12.80% Nufuture Digital (India) Ltd (30-Sep-2023) **</t>
  </si>
  <si>
    <t>0.00% Diligent Media Corp Ltd. Series C (30-Jun-2020) **$$</t>
  </si>
  <si>
    <t>8.25% Vodafone Idea Ltd (10-Jul-2020) **</t>
  </si>
  <si>
    <t>13.40% Future Ideas Company Ltd (30-Sep-2023) **</t>
  </si>
  <si>
    <t>10.25% Star Health &amp; Allied Insurance Co Ltd (06-Sep-2024) **</t>
  </si>
  <si>
    <t>9.00% Pune Solapur Expressways Pvt Ltd Series B (31-Mar-2029) **</t>
  </si>
  <si>
    <t>9.00% Pune Solapur Expressways Pvt Ltd Series A (31-Mar-2029) **</t>
  </si>
  <si>
    <t>11.7% Svatantra Microfin Private Limited (30-Nov-2023) **</t>
  </si>
  <si>
    <t>9.95% Narmada Wind Energy Pvt Ltd (31-Mar-2023) **</t>
  </si>
  <si>
    <t>12.41% Renew Solar Power Private Limited (01-Nov-2022) **</t>
  </si>
  <si>
    <t>9.95% Molagavalli Renewable Pvt Ltd (31-Mar-2023) **</t>
  </si>
  <si>
    <t>11.90% Rishanth Wholesale Trading Private Ltd (20-Oct-2023) **</t>
  </si>
  <si>
    <t>9.75% TRPL Roadways Pvt Ltd (25-Mar-2022) **</t>
  </si>
  <si>
    <t>9.45% Renew Power Limited (31-Jul-2025) **</t>
  </si>
  <si>
    <t>11.84% Hero Wind Energy Pvt Ltd (10-Jun-2022) **</t>
  </si>
  <si>
    <t>9.45% Vedanta Ltd (17-Aug-2020) **</t>
  </si>
  <si>
    <t>9.60% Renew Power Limited (26-Feb-2021) **</t>
  </si>
  <si>
    <t>8.35% Bharti Airtel Ltd (20-Apr-2021) **</t>
  </si>
  <si>
    <t>JM Financial Credit Solutions Ltd (1Y SBI MCLR + 160 Bps) (23-Jul-2024) **</t>
  </si>
  <si>
    <t>Indostar Capital Finance Ltd (1Y SBI MCLR + 200 Bps) (02-May-2023) **</t>
  </si>
  <si>
    <t>8.25% Bharti Airtel Ltd (20-Apr-2020) **</t>
  </si>
  <si>
    <t>8.5666% Nuvoco Vistas Corp Ltd (14-Sep-2020) **</t>
  </si>
  <si>
    <t>Edelweiss Rural &amp; Corporate Services Ltd (1Y SBI MCLR + 225 Bps) (29-Nov-2021) **</t>
  </si>
  <si>
    <t>Edelweiss Rural &amp; Corporate Services Ltd (1Y SBI MCLR + 160 Bps) (29-Nov-2021) - Series II **</t>
  </si>
  <si>
    <t>0.00% Bharti Telecom Ltd (19-Feb-2021) **</t>
  </si>
  <si>
    <t>Shriram Transport Finance Co Ltd ( One Year CD Rate + 150 Bps) (30-Mar-2020) **</t>
  </si>
  <si>
    <t>10.15% Uttar Pradesh Power Corp Ltd (20-Jan-2021) **</t>
  </si>
  <si>
    <t>0.00% Tata Realty &amp; Infrastructure Ltd (04-Jun-2021) **</t>
  </si>
  <si>
    <t>9.75% Uttar Pradesh Power Corp Ltd (20-Oct-2020) **</t>
  </si>
  <si>
    <t>Motilal Oswal Home Finance Ltd (SBI MCLR + 215 Bps) (28-Sep-2023) **</t>
  </si>
  <si>
    <t>8.47% Pnb Housing Finance Ltd (01-Jul-2021) **</t>
  </si>
  <si>
    <t>12.25% DLF Ltd, Series IV (11-Aug-2020) **</t>
  </si>
  <si>
    <t>0.00% Pnb Housing Finance Ltd (03-Aug-2020) **</t>
  </si>
  <si>
    <t>Motilal Oswal Home Finance Ltd (SBI MCLR + 200 Bps) (24-Aug-2023) **</t>
  </si>
  <si>
    <t>Shriram Transport Finance Co Ltd ( 3M INCDFIX Rate + 222 Bps) (11-Mar-2021) **</t>
  </si>
  <si>
    <t>8.52% Power Finance Corp Ltd (09-Dec-2019) **</t>
  </si>
  <si>
    <t>11.80% Tata Steel Ltd (18-Mar-2021) **</t>
  </si>
  <si>
    <t>9.70% Xander Finance Pvt Ltd (15-Mar-2021) **</t>
  </si>
  <si>
    <t>7.99% The Tata Power Co Ltd (16-Nov-2020) **</t>
  </si>
  <si>
    <t>10.75% Incred Financial Services Private Limited (22-Jun-2020) **</t>
  </si>
  <si>
    <t>12.40% Hinduja Leyland Finance Ltd (03-Apr-2020) **</t>
  </si>
  <si>
    <t>10.25% Future Enterprise Ltd, Series C (06-Apr-2020) **</t>
  </si>
  <si>
    <t>10.25% Future Enterprise Ltd, Series B (06-Apr-2020) **</t>
  </si>
  <si>
    <t>8.84% The Tata Power Co Ltd (21-Nov-2022) **</t>
  </si>
  <si>
    <t>9.60% Northern ARC Capital Ltd (27-Dec-2019) **</t>
  </si>
  <si>
    <t>8.25% Vizag General Cargo Berth Pvt Ltd (30-Sep-2020) **</t>
  </si>
  <si>
    <t>7.85% Talwandi Sabo Power Ltd (04-Aug-2020) **</t>
  </si>
  <si>
    <t>7.63% Pnb Housing Finance Ltd (15-Dec-2020) **</t>
  </si>
  <si>
    <t>7.80% Pnb Housing Finance Ltd (07-May-2021) **</t>
  </si>
  <si>
    <t>9.00% Edelweiss Rural &amp; Corporate Services Ltd (17-Apr-2020) **</t>
  </si>
  <si>
    <t>Northern Arc Capital Ltd (6M SBI MCLR + 305 Bps) Series C (16-Jul-2021) **</t>
  </si>
  <si>
    <t>10.15% Uttar Pradesh Power Corp Ltd (20-Jan-2020) **</t>
  </si>
  <si>
    <t>Northern Arc Capital Ltd (6M SBI MCLR + 305 Bps) Series A (16-Jul-2021) **</t>
  </si>
  <si>
    <t>Northern Arc Capital Ltd (6M SBI MCLR + 305 Bps) Series B (16-Jul-2021) **</t>
  </si>
  <si>
    <t>11.75% AU Small Finance Bank Ltd (04-May-2021) **</t>
  </si>
  <si>
    <t>7.50% Tata Motors Ltd (20-Oct-2021) **</t>
  </si>
  <si>
    <t>9.23% Talwandi Sabo Power Ltd (30-Jul-2021) **</t>
  </si>
  <si>
    <t>7.63% Pnb Housing Finance Ltd (14-Jul-2020) **</t>
  </si>
  <si>
    <t>7.46% Pnb Housing Finance Ltd (30-Apr-2020) **</t>
  </si>
  <si>
    <t>7.50% Pnb Housing Finance Ltd (15-Sep-2020) **</t>
  </si>
  <si>
    <t>7.28% Tata Motors Ltd (29-Jul-2020) **</t>
  </si>
  <si>
    <t>9.70% Tata Motors Ltd (18-Jun-2020) **</t>
  </si>
  <si>
    <t>0.00% Incred Financial Services Private Limited (22-Jun-2020) **</t>
  </si>
  <si>
    <t>8.45% Shriram Transport Finance Co Ltd (27-Mar-2020) **</t>
  </si>
  <si>
    <t>7.58% Pnb Housing Finance Ltd (15-Mar-2021) **</t>
  </si>
  <si>
    <t>8.55% Shriram Transport Finance Co Ltd (21-May-2021) **</t>
  </si>
  <si>
    <t>7.35% Bharat Petroleum Corp Ltd (10-Mar-2022) **</t>
  </si>
  <si>
    <t>8.95% Reliance Jio Infocomm Limited (15-Sep-2020) **</t>
  </si>
  <si>
    <t>12.40% Hinduja Leyland Finance Ltd (26-Apr-2020) **</t>
  </si>
  <si>
    <t>Vastu Housing Finance Corp Ltd (6M SBI MCLR + 350 Bps) (25-Aug-2023) **</t>
  </si>
  <si>
    <t>9.70% Xander Finance Pvt Ltd (30-Apr-2021) **</t>
  </si>
  <si>
    <t>10.65% Hinduja Leyland Finance Ltd (16-Feb-2020) **</t>
  </si>
  <si>
    <t>9.10% Shriram Transport Finance Co Ltd (12-Jul-2021) **</t>
  </si>
  <si>
    <t>11.30% Hinduja Leyland Finance Ltd (21-Jul-2021) **</t>
  </si>
  <si>
    <t>9.90% Tata Motors Ltd (07-May-2020) **</t>
  </si>
  <si>
    <t>7.90% Nirma Limited (28-Feb-2020) **</t>
  </si>
  <si>
    <t>8.75% Pnb Housing Finance Ltd (30-Aug-2021) **</t>
  </si>
  <si>
    <t>8.10% Shriram Transport Finance Co Ltd (27-Mar-2020) **</t>
  </si>
  <si>
    <t>7.50% Tata Motors Ltd (22-Jun-2022) **</t>
  </si>
  <si>
    <t>9.55% Andhra Bank (26-Dec-2019) **</t>
  </si>
  <si>
    <t>11.00% Vivriti Capital Pvt Ltd (19-Mar-2021) **</t>
  </si>
  <si>
    <t>7.6414% Shriram Transport Finance Co Ltd (10-Nov-2020) **</t>
  </si>
  <si>
    <t>12.00% Ecl Finance Ltd (24-Apr-2020) **</t>
  </si>
  <si>
    <t>11.45% Vistaar Financial Services Private Ltd (06-Jan-2020) **</t>
  </si>
  <si>
    <t>7.09% Export-Import Bank Of India (02-Mar-2020) **</t>
  </si>
  <si>
    <t>9.20% ICICI Bank Ltd (17-Mar-2022) **</t>
  </si>
  <si>
    <t>8.70% Edelweiss Rural &amp; Corporate Services Ltd (30-Jun-2027) **</t>
  </si>
  <si>
    <t>9.10% India Grid Trust (03-Jun-2022) **</t>
  </si>
  <si>
    <t>8.59% Pnb Housing Finance Ltd (17-Jun-2020) **</t>
  </si>
  <si>
    <t>HDB Financial (91DTB + 205 Bps) (12Jul2021) **</t>
  </si>
  <si>
    <t>8.15% Power Grid Corp Of India Ltd (09-Mar-2020) **</t>
  </si>
  <si>
    <t>Indostar Capital Finance Ltd (SBI MCLR + 225 Bps) (02-Nov-2021) **</t>
  </si>
  <si>
    <t>10.90% Piramal Realty Private Limited (13-Mar-2020) **</t>
  </si>
  <si>
    <t>10.90% Aasan Corporate Solutions Pvt Ltd (13-Dec-2019) **</t>
  </si>
  <si>
    <t>9.00% Clix Capital Services Pvt Ltd (27-Jun-2023) **</t>
  </si>
  <si>
    <t>10.90% Aasan Corporate Solutions Pvt Ltd (20-Dec-2019) **</t>
  </si>
  <si>
    <t>0.00% Hero Solar Energy Private Limited (21-Jun-2022) **</t>
  </si>
  <si>
    <t>10.75% Clix Capital Services Pvt Ltd (25-May-2023) **</t>
  </si>
  <si>
    <t>0.00% Hero Wind Energy Pvt Ltd (21-Jun-2022) **</t>
  </si>
  <si>
    <t>10.90% Aasan Corporate Solutions Pvt Ltd (13-Mar-2020) **</t>
  </si>
  <si>
    <t>0.00% Hero Wind Energy Pvt Ltd (08-Feb-2022) **</t>
  </si>
  <si>
    <t>9.40% Small Business Fincredit India Pvt Ltd (28-Sep-2020) **</t>
  </si>
  <si>
    <t>8.19% Tata Housing Development Co Ltd (23-Apr-2020) **</t>
  </si>
  <si>
    <t>4.00% Hpcl-Mittal Energy Ltd (03-Sep-2020) **</t>
  </si>
  <si>
    <t>11.50% Clix Capital Services Pvt Ltd (06-Jul-2021) **</t>
  </si>
  <si>
    <t>11.50% Clix Capital Services Pvt Ltd (06-May-2021) **</t>
  </si>
  <si>
    <t>11.50% Clix Finance India Private Limited (06-Jan-2022) **</t>
  </si>
  <si>
    <t>11.50% Clix Capital Services Pvt Ltd (06-Sep-2021) **</t>
  </si>
  <si>
    <t>8.25% Tata Housing Development Co Ltd (27-Feb-2020) **</t>
  </si>
  <si>
    <t>11.50% Clix Capital Services Pvt Ltd (12-Nov-2021) **</t>
  </si>
  <si>
    <t>11.96% Renew Power Limited (28-Sep-2022) **</t>
  </si>
  <si>
    <t>8.40% Promont Hillside Pvt Ltd (26-Jun-2020) **</t>
  </si>
  <si>
    <t>0.00% JSW Logistics Infrastructure Pvt Ltd (13-Dec-2019) **</t>
  </si>
  <si>
    <t>0.00% JSW Logistics Infrastructure Pvt Ltd (13-Mar-2020) **</t>
  </si>
  <si>
    <t>11.5% Rivaaz Trade Ventures Pvt Ltd (30-Mar-2020) **</t>
  </si>
  <si>
    <t>9.99% India Shelter Finance Corp Ltd (10-Feb-2022) **</t>
  </si>
  <si>
    <t>0.00% KKR India Financial Services Pvt Ltd (10-Mar-2021) **</t>
  </si>
  <si>
    <t>Axis Bank Ltd (07-Feb-2020) **</t>
  </si>
  <si>
    <t>Dlf Home Developers Ltd (27-Dec-2019) **</t>
  </si>
  <si>
    <t>Tata Realty &amp; Infrastructure Ltd (21-Sep-2020) **</t>
  </si>
  <si>
    <t>Tata Realty &amp; Infrastructure Ltd (10-Mar-2020) **</t>
  </si>
  <si>
    <t>Tata Realty &amp; Infrastructure Ltd (17-Mar-2020) **</t>
  </si>
  <si>
    <t>Tata Realty &amp; Infrastructure Ltd (15-Sep-2020) **</t>
  </si>
  <si>
    <t>Housing Development Finance Corp Ltd (02-Mar-2020) **</t>
  </si>
  <si>
    <t>Housing Development Finance Corp Ltd (13-Feb-2020) **</t>
  </si>
  <si>
    <t>9.25% Power Finance Corp Ltd (25-Sep-2024) **</t>
  </si>
  <si>
    <t>7.24% Indian Railway Finance Corp Ltd (08-Nov-2021)</t>
  </si>
  <si>
    <t>7.09% Rec Ltd (13-Dec-2022) **</t>
  </si>
  <si>
    <t>7.69% Bharat Petroleum Corp Ltd (16-Jan-2023) **</t>
  </si>
  <si>
    <t>8.40% Power Grid Corp Of India Ltd (27-May-2024) **</t>
  </si>
  <si>
    <t>7.70% National Highways Authority Of India (13-Sep-2029) **</t>
  </si>
  <si>
    <t>8.60% Ongc Petro Additions Ltd (11-Mar-2022) **</t>
  </si>
  <si>
    <t>8.80% Power Grid Corp Of India Ltd (13-Mar-2023) **</t>
  </si>
  <si>
    <t>7.27% National Highways Authority Of India (06-Jun-2022) **</t>
  </si>
  <si>
    <t>7.89% Small Industries Development Bank Of India (15-Nov-2022) **</t>
  </si>
  <si>
    <t>7.34% Housing &amp; Urban Development Corp Ltd (16-Sep-2022) **</t>
  </si>
  <si>
    <t>8.50% National Bank For Agriculture And Rural Development (31-Jan-2023) **</t>
  </si>
  <si>
    <t>7.00% Hindustan Petroleum Corp Ltd (14-Aug-2024) **</t>
  </si>
  <si>
    <t>8.39% State Bank Of India (25-Oct-2021) **</t>
  </si>
  <si>
    <t>8.70% Bank Of Baroda (20-Feb-2049)</t>
  </si>
  <si>
    <t>10.99% Andhra Bank (05-Aug-2021) **</t>
  </si>
  <si>
    <t>7.17% National Highways Authority Of India (23-Dec-2021)</t>
  </si>
  <si>
    <t>7.18% National Bank For Agriculture And Rural Development (08-Aug-2022) **</t>
  </si>
  <si>
    <t>8.41% Housing &amp; Urban Development Corp Ltd (15-Mar-2029) **</t>
  </si>
  <si>
    <t>8.18% Power Finance Corp Ltd (19-Mar-2022) **</t>
  </si>
  <si>
    <t>9.95% Syndicate Bank (24-Oct-2021) **</t>
  </si>
  <si>
    <t>9.20% Andhra Bank (31-Oct-2022) **</t>
  </si>
  <si>
    <t>8.80% Rec Ltd (14-May-2029) **</t>
  </si>
  <si>
    <t>9.17% Ntpc Ltd (21-Sep-2024) **</t>
  </si>
  <si>
    <t>8.02% Export-Import Bank Of India (29-Oct-2025) **</t>
  </si>
  <si>
    <t>7.90% National Bank For Agriculture And Rural Development (18-Apr-2022) **</t>
  </si>
  <si>
    <t>8.27% Rec Ltd (06-Feb-2025) **</t>
  </si>
  <si>
    <t>10.20% RBL Bank Ltd (15-Apr-2023) **</t>
  </si>
  <si>
    <t>8.94% Power Finance Corp Ltd (25-Mar-2028) **</t>
  </si>
  <si>
    <t>8.50% Bank Of Baroda (02-Dec-2021) **</t>
  </si>
  <si>
    <t>10.49% Bank Of Baroda (17-Jan-2022) **</t>
  </si>
  <si>
    <t>8.85% Rec Ltd (16-Apr-2029) **</t>
  </si>
  <si>
    <t>8.25% Export-Import Bank Of India (28-Sep-2025) **</t>
  </si>
  <si>
    <t>8.81% Small Industries Development Bank Of India (25-Jan-2022) **</t>
  </si>
  <si>
    <t>8.30% Rec Ltd (10-Apr-2025) **</t>
  </si>
  <si>
    <t>8.85% Ongc Petro Additions Ltd (19-Apr-2022) **</t>
  </si>
  <si>
    <t>8.60% Export-Import Bank Of India (31-Mar-2022) **</t>
  </si>
  <si>
    <t>9.95% Food Corporation Of India (07-Mar-2022) **</t>
  </si>
  <si>
    <t>6.70% Indian Railway Finance Corp Ltd (24-Nov-2021) **</t>
  </si>
  <si>
    <t>8.97% Rec Ltd (28-Mar-2029)</t>
  </si>
  <si>
    <t>7.50% Power Finance Corp Ltd (17-Sep-2020)</t>
  </si>
  <si>
    <t>8.35% Rec Ltd (13-Mar-2022) **</t>
  </si>
  <si>
    <t>7.65% Indian Railway Finance Corp Ltd (15-Mar-2021)</t>
  </si>
  <si>
    <t>8.13% Power Grid Corp Of India Ltd (23-Apr-2021) **</t>
  </si>
  <si>
    <t>9.50% Yes Bank Ltd (23-12-2021) **</t>
  </si>
  <si>
    <t>9.10% Piramal Enterprises Ltd (15-May-2020) **</t>
  </si>
  <si>
    <t>9.10% Piramal Enterprises Ltd (29-May-2020) **</t>
  </si>
  <si>
    <t>10.32% Andhra Pradesh Capital Region Development Authority (16-Aug-2025) **</t>
  </si>
  <si>
    <t>10.32% Andhra Pradesh Capital Region Development Authority (16-Aug-2024) **</t>
  </si>
  <si>
    <t>2.00% Tata Steel Ltd (23-Apr-2022) **</t>
  </si>
  <si>
    <t>10.00% Aptus Value Housing Finance India Ltd (20-Aug-2025) **</t>
  </si>
  <si>
    <t>7.91% Pnb Housing Finance Ltd (29-Mar-2022) **</t>
  </si>
  <si>
    <t>12.64% Five-Star Business Finance Ltd (16-Apr-2022) **</t>
  </si>
  <si>
    <t>12.00% Ess Kay Fincorp Limited (01-Aug-2023) **</t>
  </si>
  <si>
    <t>10.15% Uttar Pradesh Power Corp Ltd (19-Jan-2024) **</t>
  </si>
  <si>
    <t>10.15% Uttar Pradesh Power Corp Ltd (20-Jan-2025) **</t>
  </si>
  <si>
    <t>12.40% Jm Financial Asset Reconstruction Co Ltd (02-Aug-2021) **</t>
  </si>
  <si>
    <t>12.64% Five-Star Business Finance Ltd (28-May-2022) **</t>
  </si>
  <si>
    <t>10.15% Uttar Pradesh Power Corp Ltd (20-Jan-2026) **</t>
  </si>
  <si>
    <t>9.00% Pnb Housing Finance Ltd (30-Aug-2022) **</t>
  </si>
  <si>
    <t>10.5% Vistaar Financial Services Private Ltd (24-Aug-2025) **</t>
  </si>
  <si>
    <t>9.60% Hindalco Industries Ltd (02-Aug-2022) **</t>
  </si>
  <si>
    <t>10.00% Aptus Value Housing Finance India Ltd (24-Jan-2025) **</t>
  </si>
  <si>
    <t>9.70% Coastal Gujarat Power Ltd (25-Aug-2023) **</t>
  </si>
  <si>
    <t>12.25% DLF Ltd., Tranche II Series IV, (11-Aug-2020) **</t>
  </si>
  <si>
    <t>11.60% Hinduja Leyland Finance Ltd (29-Sep-2024) **</t>
  </si>
  <si>
    <t>12.64% Five-Star Business Finance Ltd (29-Mar-2022) **</t>
  </si>
  <si>
    <t>10.9007% Ess Kay Fincorp Limited (11-Jun-2021) **</t>
  </si>
  <si>
    <t>10.4% Vastu Housing Finance Corp Ltd (27-Nov-2025) **</t>
  </si>
  <si>
    <t>10.40% Vastu Housing Finance Corp Ltd (27-Nov-2025) **</t>
  </si>
  <si>
    <t>10.32% Andhra Pradesh Capital Region Development Authority (16-Aug-2026) **</t>
  </si>
  <si>
    <t>11.50% Hinduja Leyland Finance Ltd (31-May-2021) **</t>
  </si>
  <si>
    <t>9.75% Uttar Pradesh Power Corp Ltd (20-Oct-2021) **</t>
  </si>
  <si>
    <t>10.90% Punjab &amp; Sindh Bank Ltd (07-May-2022) **</t>
  </si>
  <si>
    <t>7.40% Tata Motors Ltd (29-Jun-2021) **</t>
  </si>
  <si>
    <t>10.00% Aptus Value Housing Finance India Ltd (26-Dec-2024) **</t>
  </si>
  <si>
    <t>8.45% Edelweiss Rural &amp; Corporate Services Ltd (11-Aug-2020) **</t>
  </si>
  <si>
    <t>10.21% Five-Star Business Finance Ltd (28-Mar-2023) **</t>
  </si>
  <si>
    <t>11.50% Jm Financial Asset Reconstruction Co Ltd (29-May-2022) **</t>
  </si>
  <si>
    <t>9.75% Jamnagar Utilities &amp; Power Pvt Ltd (02-Aug-2024) **</t>
  </si>
  <si>
    <t>9.85% DCB Bank Ltd (18-Nov-2026) **</t>
  </si>
  <si>
    <t>9.73% Tata Motors Ltd (01-Oct-2020) **</t>
  </si>
  <si>
    <t>12.00% Hinduja Leyland Finance Ltd (28-Mar-2021) **</t>
  </si>
  <si>
    <t>8.15% National Bank For Agriculture And Rural Development (04-Mar-2020) **</t>
  </si>
  <si>
    <t>8.87% Rec Ltd (08-Mar-2020) **</t>
  </si>
  <si>
    <t>9.30% Fullerton India Credit Co Ltd (15-Mar-2021) **</t>
  </si>
  <si>
    <t>0.00% Mahindra &amp; Mahindra Financial Services Ltd (07-Apr-2021) **</t>
  </si>
  <si>
    <t>8.39% National Bank For Agriculture And Rural Development (19-Jul-2021)</t>
  </si>
  <si>
    <t>8.32% Reliance Jio Infocomm Limited (08-Jul-2021) **</t>
  </si>
  <si>
    <t>7.78% Housing Development Finance Corp Ltd (24-Mar-2020) **</t>
  </si>
  <si>
    <t>9.60% Narmada Wind Energy Pvt Ltd (31-Mar-2023) **</t>
  </si>
  <si>
    <t>0.00% Essel Infraprojects Ltd, Series I (22-May-2020) **$$</t>
  </si>
  <si>
    <t>Jindal Power Ltd (Sbi+100 Bps) (22-Dec-2020) **</t>
  </si>
  <si>
    <t>11.84% Hero Solar Energy Private Limited (10-Dec-2021) **</t>
  </si>
  <si>
    <t>12.25% Rivaaz Trade Ventures Pvt Ltd (30-Sep-2023) **</t>
  </si>
  <si>
    <t>0.00% Diligent Media Corp Ltd. Series B (30-Jun-2020) **$$</t>
  </si>
  <si>
    <t>11.5% Rivaaz Trade Ventures Pvt Ltd (30-Mar-2022) **</t>
  </si>
  <si>
    <t>13.01% Renew Power Ltd., Series VI, (23-Mar-2020) **</t>
  </si>
  <si>
    <t>11.25% Aadarshini Real Estate Developers Pvt Ltd (29-Jul-2020) **</t>
  </si>
  <si>
    <t>14.00% Opj Trading Private Ltd (16-Oct-2020) **</t>
  </si>
  <si>
    <t>11.5% Rivaaz Trade Ventures Pvt Ltd (30-Mar-2021) **</t>
  </si>
  <si>
    <t>12.80% Nufuture Digital (India) Ltd (30-Sep-2021) **</t>
  </si>
  <si>
    <t>0.00% Essel Infraprojects Ltd, Series II (22-May-2020) **$$</t>
  </si>
  <si>
    <t>0.00% Diligent Media Corp Ltd. Series A (30-Jun-2020) **$$</t>
  </si>
  <si>
    <t>11.9% Rivaaz Trade Ventures Pvt Ltd (07-Aug-2020) **</t>
  </si>
  <si>
    <t>12.25% Rivaaz Trade Ventures Pvt Ltd (30-Sep-2021) **</t>
  </si>
  <si>
    <t>12.25% Rivaaz Trade Ventures Pvt Ltd (30-Sep-2022) **</t>
  </si>
  <si>
    <t>13.40% Future Ideas Company Ltd (31-Oct-2022) **</t>
  </si>
  <si>
    <t>12.25% Rivaaz Trade Ventures Pvt Ltd (30-Sep-2020) **</t>
  </si>
  <si>
    <t>12.80% Nufuture Digital (India) Ltd (30-Sep-2020) **</t>
  </si>
  <si>
    <t>9.50% Reliance Broadcast Network Ltd (20-Jul-2020) **$$</t>
  </si>
  <si>
    <t>13.40% Future Ideas Company Ltd (31-Oct-2021) **</t>
  </si>
  <si>
    <t>12.15% Nufuture Digital (India) Ltd (02-Jun-2020) **</t>
  </si>
  <si>
    <t>13.40% Future Ideas Company Ltd (31-Oct-2020) **</t>
  </si>
  <si>
    <t>0.00% KKR India Financial Services Pvt Ltd (14-Apr-2020) **</t>
  </si>
  <si>
    <t>8.01% Tata Sons Pvt Ltd (02-Sep-2021) **</t>
  </si>
  <si>
    <t>7.90% Tata Sons Pvt Ltd (06-Mar-2020) **</t>
  </si>
  <si>
    <t>Icici Bank Ltd (17-Jul-2020) **</t>
  </si>
  <si>
    <t>National Bank For Agriculture And Rural Development (05-Aug-2020)</t>
  </si>
  <si>
    <t>National Bank For Agriculture And Rural Development (13-Mar-2020)</t>
  </si>
  <si>
    <t>Small Industries Development Bank Of India (15-May-2020) **</t>
  </si>
  <si>
    <t>Axis Bank Ltd (28-Oct-2020) **</t>
  </si>
  <si>
    <t>Icici Bank Ltd (05-Mar-2020) **</t>
  </si>
  <si>
    <t>Bank Of Baroda (01-Jun-2020) **</t>
  </si>
  <si>
    <t>Hdfc Bank Ltd (06-Mar-2020) **</t>
  </si>
  <si>
    <t>Bank Of Baroda (17-Mar-2020) **</t>
  </si>
  <si>
    <t>National Bank For Agriculture And Rural Development (18-Mar-2020) **</t>
  </si>
  <si>
    <t>Indusind Bank Ltd (20-Mar-2020) **</t>
  </si>
  <si>
    <t>Cooperatieve Rabobank Ua (16-Mar-2020) **</t>
  </si>
  <si>
    <t>Small Industries Development Bank Of India (04-Jun-2020) **</t>
  </si>
  <si>
    <t>Axis Bank Ltd (07-Aug-2020) **</t>
  </si>
  <si>
    <t>Icici Bank Ltd (14-Sep-2020) **</t>
  </si>
  <si>
    <t>Small Industries Development Bank Of India (28-Jan-2020)</t>
  </si>
  <si>
    <t>Axis Bank Ltd (12-Feb-2020) **</t>
  </si>
  <si>
    <t>Axis Bank Ltd (04-Mar-2020)</t>
  </si>
  <si>
    <t>National Bank For Agriculture And Rural Development (15-May-2020) **</t>
  </si>
  <si>
    <t>Small Industries Development Bank Of India (24-Jun-2020) **</t>
  </si>
  <si>
    <t>(MIBOR+110) Cooperatieve Rabobank (27-Nov-2020) **</t>
  </si>
  <si>
    <t>Reliance Retail Ltd (23-Jan-2020) **</t>
  </si>
  <si>
    <t>L&amp;T Infrastructure Finance Co Ltd (16-Mar-2020) **</t>
  </si>
  <si>
    <t>Reliance Jio Infocomm Limited (31-Jan-2020) **</t>
  </si>
  <si>
    <t>Reliance Industries Ltd (09-Mar-2020) **</t>
  </si>
  <si>
    <t>Larsen &amp; Toubro Ltd (28-Feb-2020)</t>
  </si>
  <si>
    <t>Hero Fincorp Ltd (30-Oct-2020) **</t>
  </si>
  <si>
    <t>Lic Housing Finance Ltd (28-May-2020) **</t>
  </si>
  <si>
    <t>L&amp;T Infrastructure Finance Co Ltd (17-Nov-2020) **</t>
  </si>
  <si>
    <t>Bharat Heavy Electricals Ltd (10-Jan-2020) **</t>
  </si>
  <si>
    <t>Aditya Birla Finance Ltd (13-Mar-2020) **</t>
  </si>
  <si>
    <t>Power Finance Corp Ltd (06-Mar-2020) **</t>
  </si>
  <si>
    <t>Housing Development Finance Corp Ltd (10-Jul-2020) **</t>
  </si>
  <si>
    <t>Fullerton India Credit Co Ltd (15-Jul-2020) **</t>
  </si>
  <si>
    <t>Rec Ltd (04-Mar-2020) **</t>
  </si>
  <si>
    <t>Rec Ltd (07-Feb-2020)</t>
  </si>
  <si>
    <t>Housing Development Finance Corp Ltd (28-Feb-2020)</t>
  </si>
  <si>
    <t>Sundaram Home Finance Limited (28-Feb-2020) **</t>
  </si>
  <si>
    <t>Hsbc Investdirect Financial Services India Ltd (27-Feb-2020) **</t>
  </si>
  <si>
    <t>Housing Development Finance Corp Ltd (13-Aug-2020) **</t>
  </si>
  <si>
    <t>Can Fin Homes Ltd (26-Dec-2019) **</t>
  </si>
  <si>
    <t>L&amp;T Finance Ltd (10-Jan-2020) **</t>
  </si>
  <si>
    <t>L&amp;T Infrastructure Finance Co Ltd (20-Feb-2020) **</t>
  </si>
  <si>
    <t>L&amp;T Finance Holdings Ltd (13-Feb-2020) **</t>
  </si>
  <si>
    <t>Cholamandalam Investment And Finance Co Ltd (04-Mar-2020) **</t>
  </si>
  <si>
    <t>Lic Housing Finance Ltd (24-Mar-2020) **</t>
  </si>
  <si>
    <t>Rec Ltd (19-Jun-2020) **</t>
  </si>
  <si>
    <t>Housing Development Finance Corp Ltd (05-Aug-2020) **</t>
  </si>
  <si>
    <t>Reliance Retail Ltd (10-Dec-2019) **</t>
  </si>
  <si>
    <t>Reliance Industries Ltd (03-Mar-2020)</t>
  </si>
  <si>
    <t>Housing Development Finance Corp Ltd (20-May-2020) **</t>
  </si>
  <si>
    <t>Jm Financial Products Ltd (07-Jan-2020) **</t>
  </si>
  <si>
    <t>Kotak Mahindra Investments Ltd (21-Feb-2020) **</t>
  </si>
  <si>
    <t>Jm Financial Products Ltd (13-Mar-2020) **</t>
  </si>
  <si>
    <t>National Bank For Agriculture And Rural Development (10-Dec-2019) **</t>
  </si>
  <si>
    <t>Indusind Bank Ltd (27-Dec-2019) **</t>
  </si>
  <si>
    <t>Axis Bank Ltd (10-Dec-2019) **</t>
  </si>
  <si>
    <t>Reliance Jio Infocomm Limited (13-Dec-2019) **</t>
  </si>
  <si>
    <t>Tata Power Renewable Energy Ltd (13-Dec-2019) **</t>
  </si>
  <si>
    <t>L&amp;T Infrastructure Finance Co Ltd (02-Dec-2019) **</t>
  </si>
  <si>
    <t>L&amp;T Housing Finance Limited (19-Dec-2019) **</t>
  </si>
  <si>
    <t>Reliance Jio Infocomm Limited (10-Feb-2020) **</t>
  </si>
  <si>
    <t>Adani Ports And Special Economic Zone Ltd (12-Feb-2020) **</t>
  </si>
  <si>
    <t>Jm Financial Products Ltd (04-Dec-2019) **</t>
  </si>
  <si>
    <t>Tata Projects Ltd (06-Dec-2019) **</t>
  </si>
  <si>
    <t>Indian Oil Corp Ltd (16-Dec-2019) **</t>
  </si>
  <si>
    <t>L&amp;T Housing Finance Limited (17-Dec-2019) **</t>
  </si>
  <si>
    <t>The Tata Power Co Ltd (15-Jan-2020) **</t>
  </si>
  <si>
    <t>Reliance Retail Ltd (24-Jan-2020) **</t>
  </si>
  <si>
    <t>Reliance Retail Ltd (03-Feb-2020) **</t>
  </si>
  <si>
    <t>Reliance Retail Ltd (04-Dec-2019)</t>
  </si>
  <si>
    <t>Hinduja Leyland Finance Ltd (16-Dec-2019) **</t>
  </si>
  <si>
    <t>Adani Ports And Special Economic Zone Ltd (23-Dec-2019) **</t>
  </si>
  <si>
    <t>Tata Cleantech Capital Ltd (27-Dec-2019) **</t>
  </si>
  <si>
    <t>Hinduja Leyland Finance Ltd (20-Dec-2019) **</t>
  </si>
  <si>
    <t>Jm Financial Products Ltd (24-Dec-2019) **</t>
  </si>
  <si>
    <t>L&amp;T Housing Finance Limited (14-Jan-2020) **</t>
  </si>
  <si>
    <t>Adani Ports And Special Economic Zone Ltd (14-Feb-2020) **</t>
  </si>
  <si>
    <t>Fiat India Automobiles Private Limited (30-Dec-2019) **</t>
  </si>
  <si>
    <t>Hinduja Leyland Finance Ltd (23-Dec-2019) **</t>
  </si>
  <si>
    <t>Reliance Retail Ltd (14-Jan-2020) **</t>
  </si>
  <si>
    <t>Tata Motors Finance Ltd (17-Jan-2020) **</t>
  </si>
  <si>
    <t>Tata Motors Finance Ltd (20-Feb-2020) **</t>
  </si>
  <si>
    <t>Tata Housing Development Co Ltd (13-Feb-2020) **</t>
  </si>
  <si>
    <t>Hero Future Energies Pvt Ltd (24-Feb-2020) **</t>
  </si>
  <si>
    <t>Tata Realty &amp; Infrastructure Ltd (27-Jan-2020) **</t>
  </si>
  <si>
    <t>Tata Housing Development Co Ltd (03-Dec-2019) **</t>
  </si>
  <si>
    <t>Tata Housing Development Co Ltd (05-Dec-2019) **</t>
  </si>
  <si>
    <t>Chennai Petroleum Corp Ltd (18-Dec-2019) **</t>
  </si>
  <si>
    <t>Birla Group Holdings Pvt Ltd (12-Dec-2019) **</t>
  </si>
  <si>
    <t>Tata Housing Development Co Ltd (17-Feb-2020) **</t>
  </si>
  <si>
    <t>Tata Realty &amp; Infrastructure Ltd (25-Feb-2020) **</t>
  </si>
  <si>
    <t>Jm Financial Services Ltd (13-Dec-2019) **</t>
  </si>
  <si>
    <t>Jm Financial Services Ltd (04-Feb-2020) **</t>
  </si>
  <si>
    <t>L&amp;T Finance Ltd (05-Dec-2019) **</t>
  </si>
  <si>
    <t>Tata Realty &amp; Infrastructure Ltd (05-Dec-2019) **</t>
  </si>
  <si>
    <t>Tata Realty &amp; Infrastructure Ltd (12-Dec-2019) **</t>
  </si>
  <si>
    <t>Jm Financial Services Ltd (27-Dec-2019) **</t>
  </si>
  <si>
    <t>The Tata Power Co Ltd (27-Jan-2020) **</t>
  </si>
  <si>
    <t>Housing Development Finance Corp Ltd (13-Dec-2019) **</t>
  </si>
  <si>
    <t>Jm Financial Products Ltd (09-Dec-2019) **</t>
  </si>
  <si>
    <t>Jm Financial Capital Ltd (27-Dec-2019) **</t>
  </si>
  <si>
    <t>9.50% Piramal Capital &amp; Housing Finance Ltd (06-May-2022) **</t>
  </si>
  <si>
    <t>11.50% Jm Financial Asset Reconstruction Co Ltd (29-Mar-2022) **</t>
  </si>
  <si>
    <t>9.50% Piramal Capital &amp; Housing Finance Ltd (29-Apr-2022) **</t>
  </si>
  <si>
    <t>0.00% Sadbhav Infrastructure Project Ltd (23-Apr-2023) **</t>
  </si>
  <si>
    <t>7.80% Shriram Transport Finance Co Ltd (17-Jul-2020) **</t>
  </si>
  <si>
    <t>10.25% Shriram Transport Finance Co Ltd (27-Dec-2024) **</t>
  </si>
  <si>
    <t>8.66% Nuvoco Vistas Corp Ltd (14-Sep-2021) **</t>
  </si>
  <si>
    <t>10.25% Incred Financial Services Private Limited (26-Apr-2021) **</t>
  </si>
  <si>
    <t>0.00% Shriram Transport Finance Co Ltd (31-May-2021) **</t>
  </si>
  <si>
    <t>9.50% Piramal Capital &amp; Housing Finance Ltd (21-Apr-2022) **</t>
  </si>
  <si>
    <t>9.00% Shriram Transport Finance Co Ltd (28-Mar-2028) **</t>
  </si>
  <si>
    <t>7.07% Reliance Industries Ltd (24-Dec-2020) **</t>
  </si>
  <si>
    <t>10.75% Greenko Clean Energy Projects Private Limited (04-Dec-2020) **</t>
  </si>
  <si>
    <t>11.84% Hero Wind Energy Pvt Ltd (10-Dec-2021) **</t>
  </si>
  <si>
    <t>11.90% Rivaaz Trade Ventures Pvt Ltd (30-Nov-2019) **</t>
  </si>
  <si>
    <t>Axis Bank Ltd (20-Aug-2020) **</t>
  </si>
  <si>
    <t>Tata Realty &amp; Infrastructure Ltd (30-Oct-2020) **</t>
  </si>
  <si>
    <t>Tata Projects Ltd (22-Jun-2020) **</t>
  </si>
  <si>
    <t>9.31% Tata Motors Ltd (29-Sep-2023) **</t>
  </si>
  <si>
    <t>9.15% Tata Steel Ltd (24-Jan-2021) **</t>
  </si>
  <si>
    <t>11.25% India Shelter Finance Corp Ltd (01-Oct-2026) **</t>
  </si>
  <si>
    <t>12.50% Jm Financial Asset Reconstruction Co Ltd (02-Aug-2022) **</t>
  </si>
  <si>
    <t>10.32% Andhra Pradesh Capital Region Development Authority (16-Aug-2027) **</t>
  </si>
  <si>
    <t>10.9007% Esskay Fincorp Ltd (11-Jun-2021) **</t>
  </si>
  <si>
    <t>9.40% Hinduja Leyland Finance Ltd (28-Aug-2024) **</t>
  </si>
  <si>
    <t>8.84% The Tata Power Co Ltd (21-Feb-2023) **</t>
  </si>
  <si>
    <t>11.00% Motilal Oswal Home Finance Ltd (03-May-2021) **</t>
  </si>
  <si>
    <t>9.75% Uttar Pradesh Power Corp Ltd (20-Oct-2023) **</t>
  </si>
  <si>
    <t>8.50% Vedanta Ltd (05-Apr-2021) **</t>
  </si>
  <si>
    <t>11.00% Motilal Oswal Home Finance Ltd (16-May-2021) **</t>
  </si>
  <si>
    <t>8.36% Power Finance Corp Ltd (04-Sep-2020) **</t>
  </si>
  <si>
    <t>11.84% Hero Solar Energy Private Limited (10-Jun-2022) **</t>
  </si>
  <si>
    <t>10.20% Star Health &amp; Allied Insurance Co Ltd (31-Oct-2024) **</t>
  </si>
  <si>
    <t>9.41% Renew Wind Energy Delhi Pvt Ltd (30-Sep-2030) **</t>
  </si>
  <si>
    <t>11.90% Rivaaz Trade Ventures Pvt Ltd (11-May-2020) **</t>
  </si>
  <si>
    <t>12.75% Future Ideas Company Ltd (30-Jun-2020) **</t>
  </si>
  <si>
    <t>10.50% Vistaar Financial Services Private Ltd (22-Jun-2023) **</t>
  </si>
  <si>
    <t>10.5% Vistaar Financial Services Private Ltd (23-Jul-2024) **</t>
  </si>
  <si>
    <t>10.00% Aptus Value Housing Finance India Ltd (20-Jun-2025) **</t>
  </si>
  <si>
    <t>8.9492% L&amp;T Finance Ltd (16-Aug-2021) **</t>
  </si>
  <si>
    <t>8.75% Housing Development Finance Corp Ltd (04-Mar-2021) **</t>
  </si>
  <si>
    <t>12.80% Nufuture Digital (India) Ltd (30-Sep-2022) **</t>
  </si>
  <si>
    <t>12.15% Nufuture Digital (India) Ltd (30-Nov-2019) **</t>
  </si>
  <si>
    <t>11.90% Rivaaz Trade Ventures Pvt Ltd (29-Feb-2020) **</t>
  </si>
  <si>
    <t>7.85% Grasim Industries Ltd (15-Apr-2024) **</t>
  </si>
  <si>
    <t>9.25% Reliance Jio Infocomm Limited (17-Jun-2024) **</t>
  </si>
  <si>
    <t>7.80% Apollo Tyres Ltd (29-Apr-2022) **</t>
  </si>
  <si>
    <t>7.67% Lic Housing Finance Ltd (29-Jul-2021) **</t>
  </si>
  <si>
    <t>7.79% Lic Housing Finance Ltd (18-Oct-2024) **</t>
  </si>
  <si>
    <t>0.00% Lic Housing Finance Ltd (25-Feb-2022)</t>
  </si>
  <si>
    <t>10.40% Sikka Ports &amp; Terminals Limited (18-Jul-2021) **</t>
  </si>
  <si>
    <t>9.15% Coastal Gujarat Power Ltd (14-Jun-2022) **</t>
  </si>
  <si>
    <t>8.60% National Bank For Agriculture And Rural Development (31-Jan-2022) **</t>
  </si>
  <si>
    <t>9.80% Syndicate Bank (25-Jul-2022) **</t>
  </si>
  <si>
    <t>0.00% Fullerton India Credit Co Ltd (08-Apr-2021) **</t>
  </si>
  <si>
    <t>7.8526% Kotak Mahindra Prime Ltd (07-Apr-2020) **</t>
  </si>
  <si>
    <t>0.00% Lic Housing Finance Ltd (04-May-2022) **</t>
  </si>
  <si>
    <t>7.50% Power Finance Corp Ltd (16-Aug-2021) **</t>
  </si>
  <si>
    <t>8.85% Power Finance Corp Ltd (25-May-2029) **</t>
  </si>
  <si>
    <t>8.40% Power Grid Corp Of India Ltd (14-Sep-2021) **</t>
  </si>
  <si>
    <t>0.00% Hdb Financial Services Ltd (29-Oct-2021) **</t>
  </si>
  <si>
    <t>8.55% Power Finance Corp Ltd (09-Dec-2021) **</t>
  </si>
  <si>
    <t>8.50% NHPC Ltd (14-Jul-2021) **</t>
  </si>
  <si>
    <t>7.8535% Bajaj Finance Ltd (07-Apr-2020) **</t>
  </si>
  <si>
    <t>0.00% Aditya Birla Finance Ltd (08-Apr-2022) **</t>
  </si>
  <si>
    <t>9.57% Indian Railway Finance Corp Ltd (31-May-2021) **</t>
  </si>
  <si>
    <t>7.48% Bennett Coleman And Co Ltd (26-Apr-2021) **</t>
  </si>
  <si>
    <t>0.00% Axis Finance Ltd (19-Apr-2022) **</t>
  </si>
  <si>
    <t>0.00% Bajaj Housing Finance Ltd (05-Apr-2022) **</t>
  </si>
  <si>
    <t>0.00% Mahindra &amp; Mahindra Financial Services Ltd (29-Mar-2022) **</t>
  </si>
  <si>
    <t>0.00% Bajaj Finance Ltd (05-Apr-2022) **</t>
  </si>
  <si>
    <t>8.23% Housing &amp; Urban Development Corp Ltd (15-Apr-2022) **</t>
  </si>
  <si>
    <t>0.00% Fullerton India Credit Co Ltd (13-Apr-2022) **</t>
  </si>
  <si>
    <t>8.45% Rec Ltd (22-Mar-2022) **</t>
  </si>
  <si>
    <t>0.00% Aditya Birla Housing Finance Ltd (13-Apr-2022) **</t>
  </si>
  <si>
    <t>0.00% Bajaj Housing Finance Ltd (05-May-2022) **</t>
  </si>
  <si>
    <t>0.00% Hdb Financial Services Ltd (05-Apr-2022) **</t>
  </si>
  <si>
    <t>7.60% National Highways Authority Of India (18-Mar-2022) **</t>
  </si>
  <si>
    <t>9.4756% Tata Capital Financial Services Ltd (08-Apr-2022) **</t>
  </si>
  <si>
    <t>9.05% Mahindra &amp; Mahindra Financial Services Ltd (18-Apr-2022) **</t>
  </si>
  <si>
    <t>0.00% Fullerton India Credit Co Ltd (19-Apr-2022) **</t>
  </si>
  <si>
    <t>9.3772% L&amp;T Housing Finance Limited (11-Mar-2022) **</t>
  </si>
  <si>
    <t>9.1791% Tata Capital Housing Finance Ltd (13-Apr-2022) **</t>
  </si>
  <si>
    <t>7.95% Lic Housing Finance Ltd (24-Mar-2022) **</t>
  </si>
  <si>
    <t>7.27% Power Finance Corp Ltd (22-Dec-2021) **</t>
  </si>
  <si>
    <t>8.25% Tata Sons Pvt Ltd (23-Mar-2022) **</t>
  </si>
  <si>
    <t>8.36% Ultratech Cement Ltd (07-Jun-2021) **</t>
  </si>
  <si>
    <t>8.40% Small Industries Development Bank Of India (10-Aug-2021) **</t>
  </si>
  <si>
    <t>8.37% National Bank For Agriculture And Rural Development (03-Aug-2021)</t>
  </si>
  <si>
    <t>0.00% Sundaram Finance Ltd (31-Aug-2021) **</t>
  </si>
  <si>
    <t>7.18% Rec Ltd (21-May-2021) **</t>
  </si>
  <si>
    <t>0.00% Aditya Birla Finance Ltd (26-Jul-2021) **</t>
  </si>
  <si>
    <t>8.1352% Bajaj Housing Finance Ltd (04-Jun-2021) **</t>
  </si>
  <si>
    <t>0.00% LIC Housing Finance Ltd (25-Mar-2021) **</t>
  </si>
  <si>
    <t>0.00% Axis Finance Ltd (31-Aug-2021) **</t>
  </si>
  <si>
    <t>0.00% Aditya Birla Housing Finance Ltd (26-Jul-2021) **</t>
  </si>
  <si>
    <t>9.40% Rec Ltd (17-Jul-2021) **</t>
  </si>
  <si>
    <t>9.70% Power Finance Corp Ltd (09-Jun-2021) **</t>
  </si>
  <si>
    <t>0.00% Fullerton India Credit Co Ltd (15-Jul-2021) **</t>
  </si>
  <si>
    <t>8.25% L&amp;T Finance Ltd (21-Jun-2021) **</t>
  </si>
  <si>
    <t>8.05% Power Finance Corp Ltd (27-Apr-2021) **</t>
  </si>
  <si>
    <t>8.40% Power Grid Corp Of India Ltd (27-May-2021) **</t>
  </si>
  <si>
    <t>0.00% Sundaram Finance Ltd (15-Jun-2021) **</t>
  </si>
  <si>
    <t>8.22% ICICI Home Finance Company Ltd (27-May-2021) **</t>
  </si>
  <si>
    <t>0.00% Bajaj Housing Finance Ltd (06-Apr-2021) **</t>
  </si>
  <si>
    <t>7.88% LIC Housing Finance Ltd (28-Jan-2021) **</t>
  </si>
  <si>
    <t>8.70% Reliance Jio Infocomm Limited (15-Jun-2021) **</t>
  </si>
  <si>
    <t>0.00% Axis Finance Ltd (14-Jun-2021) **</t>
  </si>
  <si>
    <t>8.50% Small Industries Development Bank Of India (21-Jun-2021) **</t>
  </si>
  <si>
    <t>7.73% Rec Ltd (15-Jun-2021) **</t>
  </si>
  <si>
    <t>8.80% L&amp;T Housing Finance Limited (23-Jun-2021) **</t>
  </si>
  <si>
    <t>7.73% Housing &amp; Urban Development Corp Ltd (15-Apr-2021) **</t>
  </si>
  <si>
    <t>8.10% Mahindra &amp; Mahindra Financial Services Ltd (19-Apr-2021) **</t>
  </si>
  <si>
    <t>7.65% Small Industries Development Bank Of India (15-Apr-2021) **</t>
  </si>
  <si>
    <t>10.09% MRF Ltd (27-May-2021) **</t>
  </si>
  <si>
    <t>9.18% Power Finance Corp Ltd (15-Apr-2021) **</t>
  </si>
  <si>
    <t>0.00% HDB Financial Services Limited (06-Apr-2021) **</t>
  </si>
  <si>
    <t>8.50% Lic Housing Finance Ltd (05-Jan-2021) **</t>
  </si>
  <si>
    <t>8.19% Mahindra Vehicle Manufactures Ltd (23-Feb-2021) **</t>
  </si>
  <si>
    <t>7.75% Power Finance Corp Ltd (15-Apr-2021) **</t>
  </si>
  <si>
    <t>7.70% Rec Ltd (15-Mar-2021) **</t>
  </si>
  <si>
    <t>7.68% Housing &amp; Urban Development Corp Ltd (05-Apr-2021) **</t>
  </si>
  <si>
    <t>0.00% Kotak Mahindra Prime Ltd (27-May-2021) **</t>
  </si>
  <si>
    <t>7.40% National Bank For Agriculture And Rural Development (01-Feb-2021) **</t>
  </si>
  <si>
    <t>8.25% Tata Sons Pvt Ltd (24-Mar-2021) **</t>
  </si>
  <si>
    <t>0.00% Kotak Mahindra Prime Ltd (26-Apr-2021) **</t>
  </si>
  <si>
    <t>7.73% Power Finance Corp Ltd (05-Apr-2021) **</t>
  </si>
  <si>
    <t>7.52% Small Industries Development Bank Of India (10-Feb-2021) **</t>
  </si>
  <si>
    <t>7.60% Rec Ltd (17-Apr-2021) **</t>
  </si>
  <si>
    <t>8.84% Power Grid Corp Of India Ltd (29-Mar-2021) **</t>
  </si>
  <si>
    <t>8.25% Tata Sons Pvt Ltd (23-Mar-2021) **</t>
  </si>
  <si>
    <t>7.50% Bajaj Finance Ltd (10-Aug-2020) **</t>
  </si>
  <si>
    <t>9.60% LIC Housing Finance Ltd (07-Mar-2021) **</t>
  </si>
  <si>
    <t>7.14% Housing &amp; Urban Development Corp Ltd (22-Dec-2020) **</t>
  </si>
  <si>
    <t>7.94% HDB Financial Services Limited (15-Apr-2021) **</t>
  </si>
  <si>
    <t>7.64% Can Fin Homes Ltd (28-Feb-2021) **</t>
  </si>
  <si>
    <t>8.75% Lic Housing Finance Ltd (12-Feb-2021)</t>
  </si>
  <si>
    <t>7.85% Tata Sons Pvt Ltd (31-Jan-2021) **</t>
  </si>
  <si>
    <t>8.33% NTPC Ltd (24-Feb-2021) **</t>
  </si>
  <si>
    <t>9.7% Power Finance Corp Ltd (30-Jan-2021) **</t>
  </si>
  <si>
    <t>8.62% India Infradebt Ltd (08-Mar-2021) **</t>
  </si>
  <si>
    <t>8.70% L&amp;T Infrastructure Debt Fund Ltd (24-Feb-2021) **</t>
  </si>
  <si>
    <t>8.78% NHPC Ltd (11-Feb-2021) **</t>
  </si>
  <si>
    <t>9.47% Power Grid Corp Of India Ltd (31-Mar-2021) **</t>
  </si>
  <si>
    <t>9.15% Export-Import Bank Of India (18-Mar-2021) **</t>
  </si>
  <si>
    <t>9.15% Export-Import Bank Of India (25-Feb-2021) **</t>
  </si>
  <si>
    <t>7.80% LIC Housing Finance Ltd (19-Mar-2020) **</t>
  </si>
  <si>
    <t>8.78% NTPC Ltd (09-Mar-2020) **</t>
  </si>
  <si>
    <t>8.36% Power Finance Corp Ltd (26-Feb-2020) **</t>
  </si>
  <si>
    <t>6.73% Indian Railway Finance Corp Ltd (23-Mar-2020) **</t>
  </si>
  <si>
    <t>8.80% JM Financial Products Ltd (28-Sep-2020) **</t>
  </si>
  <si>
    <t>9.00% State Bank Of India (06-Sep-2021) **</t>
  </si>
  <si>
    <t>7.33% Indian Railway Finance Corp Ltd (27-Aug-2027) **</t>
  </si>
  <si>
    <t>10.25% Yes Bank Ltd (05-Mar-2020) **</t>
  </si>
  <si>
    <t>10.25% Jm Financial Asset Reconstruction Co Ltd (31-Aug-2021) **</t>
  </si>
  <si>
    <t>8.08% Odisha SDL (11-Mar-2020)</t>
  </si>
  <si>
    <t>8.53% Maharashtra SDL (10-Mar-2020)</t>
  </si>
  <si>
    <t>42 DCMB (17-Dec-2019)</t>
  </si>
  <si>
    <t>6.35% GOI 2020 (02-Jan-2020)</t>
  </si>
  <si>
    <t>8.33% Gujarat SDL (06-Jan-2020)</t>
  </si>
  <si>
    <t>8.32% Madhya Pradesh SDL (06-Jan-2020)</t>
  </si>
  <si>
    <t>8.30% Maharashtra SDL (06-Jan-2020)</t>
  </si>
  <si>
    <t>8.30% Rajasthan SDL (06-Jan-2020)</t>
  </si>
  <si>
    <t>GOI FRB 2031 (07-Dec-2031)</t>
  </si>
  <si>
    <t>** Non - Traded Scrips</t>
  </si>
  <si>
    <t>^^ Securities are fair  Valued</t>
  </si>
  <si>
    <t>11.49% Reliance Big Pvt Ltd Series 3 (14-Jan-2021) **$$ ^^</t>
  </si>
  <si>
    <t>11.49% Reliance Infrastructure Consulting &amp; Engineers Pvt Ltd (15-Jan-2021) **$$ ^^</t>
  </si>
  <si>
    <t>11.49% Reliance Big Pvt Ltd  Series 1 (14-Jan-2021) **$$ ^^</t>
  </si>
  <si>
    <t>11.49% Reliance Big Pvt Ltd Series 2 (14-Jan-2021) **$$ ^^</t>
  </si>
  <si>
    <t xml:space="preserve">d) During the month additional instances of fair valuation/deviation from valuation price provided by the valuation agencies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</si>
</sst>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(* #,##0_);_(* \(#,##0\);_(* &quot;-&quot;??_);_(@_)"/>
    <numFmt numFmtId="167" formatCode="#,##0.000"/>
    <numFmt numFmtId="168" formatCode="_(* #,##0.0000_);_(* \(#,##0.0000\);_(* &quot;-&quot;??_);_(@_)"/>
    <numFmt numFmtId="169" formatCode="_ * #,##0.0000_ ;_ * \-#,##0.0000_ ;_ * &quot;-&quot;??_ ;_ @_ "/>
  </numFmts>
  <fonts count="10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6" fillId="0" borderId="0"/>
    <xf numFmtId="9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</cellStyleXfs>
  <cellXfs count="99">
    <xf numFmtId="0" fontId="0" fillId="0" borderId="0" xfId="0"/>
    <xf numFmtId="2" fontId="2" fillId="0" borderId="0" xfId="0" applyNumberFormat="1" applyFont="1"/>
    <xf numFmtId="0" fontId="2" fillId="0" borderId="0" xfId="0" applyFont="1"/>
    <xf numFmtId="2" fontId="3" fillId="0" borderId="1" xfId="0" applyNumberFormat="1" applyFont="1" applyBorder="1"/>
    <xf numFmtId="0" fontId="3" fillId="0" borderId="0" xfId="0" applyFont="1"/>
    <xf numFmtId="2" fontId="2" fillId="0" borderId="3" xfId="0" applyNumberFormat="1" applyFont="1" applyBorder="1"/>
    <xf numFmtId="2" fontId="3" fillId="0" borderId="2" xfId="0" applyNumberFormat="1" applyFont="1" applyBorder="1"/>
    <xf numFmtId="2" fontId="2" fillId="0" borderId="2" xfId="0" applyNumberFormat="1" applyFont="1" applyBorder="1"/>
    <xf numFmtId="2" fontId="3" fillId="0" borderId="3" xfId="0" applyNumberFormat="1" applyFont="1" applyBorder="1"/>
    <xf numFmtId="2" fontId="3" fillId="0" borderId="0" xfId="0" applyNumberFormat="1" applyFont="1"/>
    <xf numFmtId="165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3" fontId="2" fillId="0" borderId="2" xfId="1" applyNumberFormat="1" applyFont="1" applyBorder="1"/>
    <xf numFmtId="4" fontId="2" fillId="0" borderId="2" xfId="0" applyNumberFormat="1" applyFont="1" applyBorder="1"/>
    <xf numFmtId="2" fontId="2" fillId="0" borderId="2" xfId="0" applyNumberFormat="1" applyFont="1" applyBorder="1" applyAlignment="1">
      <alignment wrapText="1"/>
    </xf>
    <xf numFmtId="166" fontId="2" fillId="0" borderId="2" xfId="1" applyNumberFormat="1" applyFont="1" applyBorder="1"/>
    <xf numFmtId="4" fontId="3" fillId="0" borderId="2" xfId="0" applyNumberFormat="1" applyFont="1" applyBorder="1"/>
    <xf numFmtId="4" fontId="2" fillId="0" borderId="2" xfId="1" applyNumberFormat="1" applyFont="1" applyBorder="1"/>
    <xf numFmtId="4" fontId="3" fillId="0" borderId="2" xfId="2" applyNumberFormat="1" applyFont="1" applyBorder="1"/>
    <xf numFmtId="16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/>
    <xf numFmtId="3" fontId="2" fillId="0" borderId="2" xfId="2" applyNumberFormat="1" applyFont="1" applyBorder="1"/>
    <xf numFmtId="4" fontId="2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/>
    <xf numFmtId="2" fontId="2" fillId="0" borderId="2" xfId="0" applyNumberFormat="1" applyFont="1" applyFill="1" applyBorder="1"/>
    <xf numFmtId="0" fontId="3" fillId="0" borderId="2" xfId="0" applyFont="1" applyBorder="1"/>
    <xf numFmtId="4" fontId="2" fillId="0" borderId="2" xfId="2" applyNumberFormat="1" applyFont="1" applyBorder="1"/>
    <xf numFmtId="166" fontId="2" fillId="0" borderId="2" xfId="2" applyNumberFormat="1" applyFont="1" applyBorder="1"/>
    <xf numFmtId="4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4" xfId="3" applyFont="1" applyBorder="1"/>
    <xf numFmtId="0" fontId="2" fillId="0" borderId="5" xfId="3" applyFont="1" applyBorder="1"/>
    <xf numFmtId="0" fontId="3" fillId="0" borderId="6" xfId="3" applyFont="1" applyBorder="1" applyAlignment="1">
      <alignment horizontal="center"/>
    </xf>
    <xf numFmtId="0" fontId="7" fillId="0" borderId="4" xfId="4" applyFont="1" applyBorder="1" applyAlignment="1">
      <alignment vertical="center"/>
    </xf>
    <xf numFmtId="0" fontId="7" fillId="0" borderId="5" xfId="4" applyFont="1" applyBorder="1" applyAlignment="1">
      <alignment vertical="center"/>
    </xf>
    <xf numFmtId="168" fontId="7" fillId="0" borderId="3" xfId="4" applyNumberFormat="1" applyFont="1" applyBorder="1"/>
    <xf numFmtId="10" fontId="2" fillId="0" borderId="0" xfId="0" applyNumberFormat="1" applyFont="1"/>
    <xf numFmtId="167" fontId="2" fillId="0" borderId="2" xfId="0" applyNumberFormat="1" applyFont="1" applyFill="1" applyBorder="1"/>
    <xf numFmtId="0" fontId="8" fillId="0" borderId="0" xfId="0" applyFont="1" applyAlignment="1">
      <alignment horizontal="left"/>
    </xf>
    <xf numFmtId="0" fontId="7" fillId="0" borderId="5" xfId="4" applyFont="1" applyBorder="1" applyAlignment="1">
      <alignment horizontal="left"/>
    </xf>
    <xf numFmtId="2" fontId="3" fillId="0" borderId="0" xfId="0" applyNumberFormat="1" applyFont="1" applyBorder="1"/>
    <xf numFmtId="2" fontId="2" fillId="0" borderId="0" xfId="0" applyNumberFormat="1" applyFont="1" applyBorder="1"/>
    <xf numFmtId="0" fontId="3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3" fillId="0" borderId="3" xfId="0" applyFont="1" applyBorder="1"/>
    <xf numFmtId="0" fontId="3" fillId="0" borderId="0" xfId="0" quotePrefix="1" applyFont="1"/>
    <xf numFmtId="0" fontId="7" fillId="0" borderId="4" xfId="4" applyFont="1" applyBorder="1"/>
    <xf numFmtId="0" fontId="7" fillId="0" borderId="5" xfId="4" applyFont="1" applyBorder="1"/>
    <xf numFmtId="0" fontId="3" fillId="0" borderId="0" xfId="0" applyFont="1" applyAlignment="1">
      <alignment horizontal="right"/>
    </xf>
    <xf numFmtId="0" fontId="9" fillId="0" borderId="0" xfId="6"/>
    <xf numFmtId="168" fontId="7" fillId="0" borderId="6" xfId="4" applyNumberFormat="1" applyFont="1" applyBorder="1"/>
    <xf numFmtId="2" fontId="3" fillId="0" borderId="0" xfId="0" applyNumberFormat="1" applyFont="1" applyAlignment="1">
      <alignment horizontal="right"/>
    </xf>
    <xf numFmtId="2" fontId="2" fillId="0" borderId="2" xfId="0" quotePrefix="1" applyNumberFormat="1" applyFont="1" applyBorder="1" applyAlignment="1">
      <alignment horizontal="right"/>
    </xf>
    <xf numFmtId="0" fontId="3" fillId="0" borderId="7" xfId="3" applyFont="1" applyBorder="1"/>
    <xf numFmtId="0" fontId="2" fillId="0" borderId="8" xfId="3" applyFont="1" applyBorder="1"/>
    <xf numFmtId="0" fontId="7" fillId="0" borderId="0" xfId="4" applyFont="1" applyAlignment="1">
      <alignment vertical="center"/>
    </xf>
    <xf numFmtId="168" fontId="7" fillId="0" borderId="0" xfId="4" applyNumberFormat="1" applyFont="1"/>
    <xf numFmtId="0" fontId="3" fillId="0" borderId="6" xfId="3" applyFont="1" applyBorder="1"/>
    <xf numFmtId="0" fontId="2" fillId="0" borderId="6" xfId="3" applyFont="1" applyBorder="1"/>
    <xf numFmtId="0" fontId="3" fillId="0" borderId="6" xfId="3" applyFont="1" applyBorder="1" applyAlignment="1">
      <alignment horizontal="right"/>
    </xf>
    <xf numFmtId="168" fontId="7" fillId="0" borderId="6" xfId="4" applyNumberFormat="1" applyFont="1" applyBorder="1" applyAlignment="1">
      <alignment horizontal="right"/>
    </xf>
    <xf numFmtId="165" fontId="2" fillId="0" borderId="0" xfId="0" applyNumberFormat="1" applyFont="1" applyAlignment="1">
      <alignment horizontal="right"/>
    </xf>
    <xf numFmtId="2" fontId="3" fillId="0" borderId="4" xfId="3" applyNumberFormat="1" applyFont="1" applyBorder="1"/>
    <xf numFmtId="2" fontId="3" fillId="0" borderId="5" xfId="3" applyNumberFormat="1" applyFont="1" applyBorder="1"/>
    <xf numFmtId="0" fontId="2" fillId="0" borderId="11" xfId="0" applyFont="1" applyBorder="1"/>
    <xf numFmtId="168" fontId="2" fillId="0" borderId="3" xfId="1" applyNumberFormat="1" applyFont="1" applyBorder="1" applyAlignment="1">
      <alignment horizontal="center"/>
    </xf>
    <xf numFmtId="169" fontId="2" fillId="0" borderId="3" xfId="1" applyNumberFormat="1" applyFont="1" applyBorder="1" applyAlignment="1">
      <alignment horizontal="center"/>
    </xf>
    <xf numFmtId="0" fontId="7" fillId="0" borderId="0" xfId="4" applyFont="1" applyAlignment="1">
      <alignment horizontal="left"/>
    </xf>
    <xf numFmtId="165" fontId="2" fillId="0" borderId="0" xfId="3" applyNumberFormat="1" applyFont="1" applyAlignment="1">
      <alignment horizontal="center"/>
    </xf>
    <xf numFmtId="0" fontId="2" fillId="0" borderId="12" xfId="0" applyFont="1" applyBorder="1"/>
    <xf numFmtId="168" fontId="3" fillId="0" borderId="3" xfId="1" applyNumberFormat="1" applyFont="1" applyBorder="1" applyAlignment="1">
      <alignment horizontal="center"/>
    </xf>
    <xf numFmtId="0" fontId="2" fillId="0" borderId="13" xfId="0" applyFont="1" applyBorder="1"/>
    <xf numFmtId="4" fontId="2" fillId="0" borderId="13" xfId="0" applyNumberFormat="1" applyFont="1" applyBorder="1"/>
    <xf numFmtId="0" fontId="2" fillId="0" borderId="2" xfId="0" applyFont="1" applyBorder="1" applyAlignment="1">
      <alignment horizontal="left"/>
    </xf>
    <xf numFmtId="166" fontId="2" fillId="0" borderId="2" xfId="1" applyNumberFormat="1" applyFont="1" applyBorder="1" applyAlignment="1">
      <alignment horizontal="right"/>
    </xf>
    <xf numFmtId="4" fontId="3" fillId="0" borderId="2" xfId="7" applyNumberFormat="1" applyFont="1" applyBorder="1" applyAlignment="1">
      <alignment horizontal="right"/>
    </xf>
    <xf numFmtId="43" fontId="3" fillId="0" borderId="2" xfId="7" applyFont="1" applyBorder="1" applyAlignment="1">
      <alignment horizontal="right"/>
    </xf>
    <xf numFmtId="4" fontId="2" fillId="0" borderId="2" xfId="7" applyNumberFormat="1" applyFont="1" applyBorder="1" applyAlignment="1">
      <alignment horizontal="right"/>
    </xf>
    <xf numFmtId="0" fontId="2" fillId="0" borderId="10" xfId="0" applyFont="1" applyBorder="1"/>
    <xf numFmtId="43" fontId="2" fillId="0" borderId="2" xfId="7" applyFont="1" applyBorder="1" applyAlignment="1">
      <alignment horizontal="right"/>
    </xf>
    <xf numFmtId="4" fontId="2" fillId="0" borderId="2" xfId="7" applyNumberFormat="1" applyFont="1" applyBorder="1"/>
    <xf numFmtId="43" fontId="2" fillId="0" borderId="2" xfId="7" applyFont="1" applyBorder="1"/>
    <xf numFmtId="4" fontId="3" fillId="0" borderId="2" xfId="7" applyNumberFormat="1" applyFont="1" applyBorder="1"/>
    <xf numFmtId="4" fontId="2" fillId="0" borderId="2" xfId="1" applyNumberFormat="1" applyFont="1" applyBorder="1" applyAlignment="1">
      <alignment horizontal="right"/>
    </xf>
    <xf numFmtId="10" fontId="2" fillId="0" borderId="0" xfId="5" applyNumberFormat="1" applyFont="1"/>
    <xf numFmtId="0" fontId="1" fillId="2" borderId="0" xfId="0" applyFont="1" applyFill="1" applyAlignment="1">
      <alignment horizontal="center"/>
    </xf>
    <xf numFmtId="2" fontId="3" fillId="0" borderId="4" xfId="3" applyNumberFormat="1" applyFont="1" applyBorder="1" applyAlignment="1">
      <alignment horizontal="center"/>
    </xf>
    <xf numFmtId="2" fontId="3" fillId="0" borderId="5" xfId="3" applyNumberFormat="1" applyFont="1" applyBorder="1" applyAlignment="1">
      <alignment horizontal="center"/>
    </xf>
    <xf numFmtId="0" fontId="3" fillId="0" borderId="4" xfId="3" applyFont="1" applyBorder="1" applyAlignment="1">
      <alignment horizontal="left"/>
    </xf>
    <xf numFmtId="0" fontId="3" fillId="0" borderId="5" xfId="3" applyFont="1" applyBorder="1" applyAlignment="1">
      <alignment horizontal="left"/>
    </xf>
    <xf numFmtId="0" fontId="7" fillId="0" borderId="4" xfId="4" applyFont="1" applyBorder="1" applyAlignment="1">
      <alignment horizontal="left"/>
    </xf>
    <xf numFmtId="0" fontId="7" fillId="0" borderId="5" xfId="4" applyFont="1" applyBorder="1" applyAlignment="1">
      <alignment horizontal="left"/>
    </xf>
    <xf numFmtId="2" fontId="3" fillId="0" borderId="6" xfId="3" applyNumberFormat="1" applyFont="1" applyBorder="1" applyAlignment="1">
      <alignment horizontal="center"/>
    </xf>
    <xf numFmtId="0" fontId="7" fillId="0" borderId="6" xfId="4" applyFont="1" applyBorder="1" applyAlignment="1">
      <alignment horizontal="left"/>
    </xf>
    <xf numFmtId="0" fontId="7" fillId="0" borderId="9" xfId="4" applyFont="1" applyBorder="1" applyAlignment="1">
      <alignment horizontal="left"/>
    </xf>
    <xf numFmtId="0" fontId="7" fillId="0" borderId="10" xfId="4" applyFont="1" applyBorder="1" applyAlignment="1">
      <alignment horizontal="left"/>
    </xf>
    <xf numFmtId="2" fontId="1" fillId="2" borderId="0" xfId="0" applyNumberFormat="1" applyFont="1" applyFill="1" applyAlignment="1">
      <alignment horizontal="center"/>
    </xf>
  </cellXfs>
  <cellStyles count="8">
    <cellStyle name="Comma" xfId="1" builtinId="3"/>
    <cellStyle name="Comma 2" xfId="2" xr:uid="{F398A38D-5AFA-435F-9C93-D56FC7F1CD4C}"/>
    <cellStyle name="Comma 3" xfId="7" xr:uid="{833570ED-81E2-47A6-B2F1-E1075426AB53}"/>
    <cellStyle name="Hyperlink 2" xfId="6" xr:uid="{8334F935-F077-4EA2-8608-04CDCAC13653}"/>
    <cellStyle name="Normal" xfId="0" builtinId="0"/>
    <cellStyle name="Normal 2" xfId="4" xr:uid="{86AE586B-77D0-47BD-A1A3-69836FD2DE37}"/>
    <cellStyle name="Normal 3" xfId="3" xr:uid="{A8B52F27-3F30-4152-9562-C85A36C936F9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nklintempletonindia.com/investor/reports" TargetMode="External"/><Relationship Id="rId1" Type="http://schemas.openxmlformats.org/officeDocument/2006/relationships/hyperlink" Target="https://www.franklintempletonindia.com/investor/report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nklintempletonindia.com/investor/reports" TargetMode="External"/><Relationship Id="rId1" Type="http://schemas.openxmlformats.org/officeDocument/2006/relationships/hyperlink" Target="https://www.franklintempletonindia.com/investor/reports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nklintempletonindia.com/investor/reports" TargetMode="External"/><Relationship Id="rId1" Type="http://schemas.openxmlformats.org/officeDocument/2006/relationships/hyperlink" Target="https://www.franklintempletonindia.com/investor/reports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nklintempletonindia.com/investor/reports" TargetMode="External"/><Relationship Id="rId1" Type="http://schemas.openxmlformats.org/officeDocument/2006/relationships/hyperlink" Target="https://www.franklintempletonindia.com/investor/reports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nklintempletonindia.com/investor/reports" TargetMode="External"/><Relationship Id="rId1" Type="http://schemas.openxmlformats.org/officeDocument/2006/relationships/hyperlink" Target="https://www.franklintempletonindia.com/investor/reports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A648-E687-4D76-B1DF-9928D1E8F9CD}">
  <sheetPr codeName="Sheet24"/>
  <dimension ref="A1:F104"/>
  <sheetViews>
    <sheetView showGridLines="0" tabSelected="1" zoomScale="115" zoomScaleNormal="115" workbookViewId="0">
      <selection sqref="A1:F1"/>
    </sheetView>
  </sheetViews>
  <sheetFormatPr defaultColWidth="8.7109375" defaultRowHeight="11.25" x14ac:dyDescent="0.2"/>
  <cols>
    <col min="1" max="1" width="59.85546875" style="2" bestFit="1" customWidth="1"/>
    <col min="2" max="2" width="58" style="2" bestFit="1" customWidth="1"/>
    <col min="3" max="3" width="11.7109375" style="2" bestFit="1" customWidth="1"/>
    <col min="4" max="4" width="7.8554687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x14ac:dyDescent="0.2">
      <c r="A1" s="87" t="s">
        <v>678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681</v>
      </c>
      <c r="B8" s="45" t="s">
        <v>1435</v>
      </c>
      <c r="C8" s="45" t="s">
        <v>682</v>
      </c>
      <c r="D8" s="14">
        <v>2797</v>
      </c>
      <c r="E8" s="7">
        <v>23177.116740000001</v>
      </c>
      <c r="F8" s="7">
        <v>7.1807879454932202</v>
      </c>
    </row>
    <row r="9" spans="1:6" x14ac:dyDescent="0.2">
      <c r="A9" s="45" t="s">
        <v>683</v>
      </c>
      <c r="B9" s="45" t="s">
        <v>1436</v>
      </c>
      <c r="C9" s="45" t="s">
        <v>684</v>
      </c>
      <c r="D9" s="14">
        <v>1910</v>
      </c>
      <c r="E9" s="7">
        <v>19385.487700000001</v>
      </c>
      <c r="F9" s="7">
        <v>6.0060566616306001</v>
      </c>
    </row>
    <row r="10" spans="1:6" x14ac:dyDescent="0.2">
      <c r="A10" s="45" t="s">
        <v>685</v>
      </c>
      <c r="B10" s="45" t="s">
        <v>1437</v>
      </c>
      <c r="C10" s="45" t="s">
        <v>686</v>
      </c>
      <c r="D10" s="14">
        <v>1490</v>
      </c>
      <c r="E10" s="7">
        <v>15862.286700000001</v>
      </c>
      <c r="F10" s="7">
        <v>4.9144903743241697</v>
      </c>
    </row>
    <row r="11" spans="1:6" x14ac:dyDescent="0.2">
      <c r="A11" s="45" t="s">
        <v>687</v>
      </c>
      <c r="B11" s="45" t="s">
        <v>1438</v>
      </c>
      <c r="C11" s="45" t="s">
        <v>688</v>
      </c>
      <c r="D11" s="14">
        <v>1550</v>
      </c>
      <c r="E11" s="7">
        <v>14181.244500000001</v>
      </c>
      <c r="F11" s="7">
        <v>4.39366598960713</v>
      </c>
    </row>
    <row r="12" spans="1:6" x14ac:dyDescent="0.2">
      <c r="A12" s="45" t="s">
        <v>689</v>
      </c>
      <c r="B12" s="45" t="s">
        <v>1439</v>
      </c>
      <c r="C12" s="45" t="s">
        <v>690</v>
      </c>
      <c r="D12" s="14">
        <v>12100</v>
      </c>
      <c r="E12" s="7">
        <v>11745.9419</v>
      </c>
      <c r="F12" s="7">
        <v>3.6391549022324101</v>
      </c>
    </row>
    <row r="13" spans="1:6" x14ac:dyDescent="0.2">
      <c r="A13" s="45" t="s">
        <v>691</v>
      </c>
      <c r="B13" s="45" t="s">
        <v>1440</v>
      </c>
      <c r="C13" s="45" t="s">
        <v>692</v>
      </c>
      <c r="D13" s="14">
        <v>5858</v>
      </c>
      <c r="E13" s="7">
        <v>11332.699344000001</v>
      </c>
      <c r="F13" s="7">
        <v>3.5111231371954599</v>
      </c>
    </row>
    <row r="14" spans="1:6" x14ac:dyDescent="0.2">
      <c r="A14" s="45" t="s">
        <v>693</v>
      </c>
      <c r="B14" s="45" t="s">
        <v>1441</v>
      </c>
      <c r="C14" s="45" t="s">
        <v>694</v>
      </c>
      <c r="D14" s="14">
        <v>1450</v>
      </c>
      <c r="E14" s="7">
        <v>10905.16</v>
      </c>
      <c r="F14" s="7">
        <v>3.3786619082143399</v>
      </c>
    </row>
    <row r="15" spans="1:6" x14ac:dyDescent="0.2">
      <c r="A15" s="45" t="s">
        <v>695</v>
      </c>
      <c r="B15" s="45" t="s">
        <v>1442</v>
      </c>
      <c r="C15" s="45" t="s">
        <v>696</v>
      </c>
      <c r="D15" s="14">
        <v>1000</v>
      </c>
      <c r="E15" s="7">
        <v>9285.2800000000007</v>
      </c>
      <c r="F15" s="7">
        <v>2.8767869378445101</v>
      </c>
    </row>
    <row r="16" spans="1:6" x14ac:dyDescent="0.2">
      <c r="A16" s="45" t="s">
        <v>697</v>
      </c>
      <c r="B16" s="45" t="s">
        <v>1443</v>
      </c>
      <c r="C16" s="45" t="s">
        <v>698</v>
      </c>
      <c r="D16" s="14">
        <v>700</v>
      </c>
      <c r="E16" s="7">
        <v>6975.3879999999999</v>
      </c>
      <c r="F16" s="7">
        <v>2.1611308527903699</v>
      </c>
    </row>
    <row r="17" spans="1:6" x14ac:dyDescent="0.2">
      <c r="A17" s="45" t="s">
        <v>699</v>
      </c>
      <c r="B17" s="45" t="s">
        <v>1444</v>
      </c>
      <c r="C17" s="45" t="s">
        <v>692</v>
      </c>
      <c r="D17" s="14">
        <v>646</v>
      </c>
      <c r="E17" s="7">
        <v>6204.7266399999999</v>
      </c>
      <c r="F17" s="7">
        <v>1.9223627667499401</v>
      </c>
    </row>
    <row r="18" spans="1:6" x14ac:dyDescent="0.2">
      <c r="A18" s="45" t="s">
        <v>700</v>
      </c>
      <c r="B18" s="45" t="s">
        <v>1445</v>
      </c>
      <c r="C18" s="45" t="s">
        <v>688</v>
      </c>
      <c r="D18" s="14">
        <v>620</v>
      </c>
      <c r="E18" s="7">
        <v>5806.0457999999999</v>
      </c>
      <c r="F18" s="7">
        <v>1.79884254626322</v>
      </c>
    </row>
    <row r="19" spans="1:6" x14ac:dyDescent="0.2">
      <c r="A19" s="45" t="s">
        <v>701</v>
      </c>
      <c r="B19" s="45" t="s">
        <v>1446</v>
      </c>
      <c r="C19" s="45" t="s">
        <v>690</v>
      </c>
      <c r="D19" s="14">
        <v>554</v>
      </c>
      <c r="E19" s="7">
        <v>5751.1792599999999</v>
      </c>
      <c r="F19" s="7">
        <v>1.7818436678667999</v>
      </c>
    </row>
    <row r="20" spans="1:6" x14ac:dyDescent="0.2">
      <c r="A20" s="45" t="s">
        <v>702</v>
      </c>
      <c r="B20" s="45" t="s">
        <v>1447</v>
      </c>
      <c r="C20" s="45" t="s">
        <v>703</v>
      </c>
      <c r="D20" s="14">
        <v>550</v>
      </c>
      <c r="E20" s="7">
        <v>5527.1369999999997</v>
      </c>
      <c r="F20" s="7">
        <v>1.7124303763889801</v>
      </c>
    </row>
    <row r="21" spans="1:6" x14ac:dyDescent="0.2">
      <c r="A21" s="45" t="s">
        <v>704</v>
      </c>
      <c r="B21" s="45" t="s">
        <v>1448</v>
      </c>
      <c r="C21" s="45" t="s">
        <v>705</v>
      </c>
      <c r="D21" s="14">
        <v>500</v>
      </c>
      <c r="E21" s="7">
        <v>5000.3599999999997</v>
      </c>
      <c r="F21" s="7">
        <v>1.54922310716749</v>
      </c>
    </row>
    <row r="22" spans="1:6" x14ac:dyDescent="0.2">
      <c r="A22" s="45" t="s">
        <v>706</v>
      </c>
      <c r="B22" s="45" t="s">
        <v>1449</v>
      </c>
      <c r="C22" s="45" t="s">
        <v>692</v>
      </c>
      <c r="D22" s="14">
        <v>501</v>
      </c>
      <c r="E22" s="7">
        <v>4996.02711</v>
      </c>
      <c r="F22" s="7">
        <v>1.5478806811604</v>
      </c>
    </row>
    <row r="23" spans="1:6" x14ac:dyDescent="0.2">
      <c r="A23" s="45" t="s">
        <v>707</v>
      </c>
      <c r="B23" s="45" t="s">
        <v>1450</v>
      </c>
      <c r="C23" s="45" t="s">
        <v>708</v>
      </c>
      <c r="D23" s="14">
        <v>440</v>
      </c>
      <c r="E23" s="7">
        <v>4537.3635999999997</v>
      </c>
      <c r="F23" s="7">
        <v>1.40577649104078</v>
      </c>
    </row>
    <row r="24" spans="1:6" x14ac:dyDescent="0.2">
      <c r="A24" s="45" t="s">
        <v>709</v>
      </c>
      <c r="B24" s="45" t="s">
        <v>1451</v>
      </c>
      <c r="C24" s="45" t="s">
        <v>705</v>
      </c>
      <c r="D24" s="14">
        <v>400</v>
      </c>
      <c r="E24" s="7">
        <v>4413.2960000000003</v>
      </c>
      <c r="F24" s="7">
        <v>1.3673375800882099</v>
      </c>
    </row>
    <row r="25" spans="1:6" x14ac:dyDescent="0.2">
      <c r="A25" s="45" t="s">
        <v>710</v>
      </c>
      <c r="B25" s="45" t="s">
        <v>1452</v>
      </c>
      <c r="C25" s="45" t="s">
        <v>684</v>
      </c>
      <c r="D25" s="14">
        <v>400</v>
      </c>
      <c r="E25" s="7">
        <v>3964.2280000000001</v>
      </c>
      <c r="F25" s="7">
        <v>1.22820629308297</v>
      </c>
    </row>
    <row r="26" spans="1:6" x14ac:dyDescent="0.2">
      <c r="A26" s="45" t="s">
        <v>711</v>
      </c>
      <c r="B26" s="45" t="s">
        <v>1453</v>
      </c>
      <c r="C26" s="45" t="s">
        <v>712</v>
      </c>
      <c r="D26" s="14">
        <v>4000</v>
      </c>
      <c r="E26" s="7">
        <v>3876.5520000000001</v>
      </c>
      <c r="F26" s="7">
        <v>1.20104231186082</v>
      </c>
    </row>
    <row r="27" spans="1:6" x14ac:dyDescent="0.2">
      <c r="A27" s="45" t="s">
        <v>713</v>
      </c>
      <c r="B27" s="45" t="s">
        <v>1454</v>
      </c>
      <c r="C27" s="45" t="s">
        <v>714</v>
      </c>
      <c r="D27" s="14">
        <v>400</v>
      </c>
      <c r="E27" s="7">
        <v>3773.4279999999999</v>
      </c>
      <c r="F27" s="7">
        <v>1.1690921955284901</v>
      </c>
    </row>
    <row r="28" spans="1:6" x14ac:dyDescent="0.2">
      <c r="A28" s="45" t="s">
        <v>715</v>
      </c>
      <c r="B28" s="45" t="s">
        <v>1455</v>
      </c>
      <c r="C28" s="45" t="s">
        <v>692</v>
      </c>
      <c r="D28" s="14">
        <v>350</v>
      </c>
      <c r="E28" s="7">
        <v>3375.0430000000001</v>
      </c>
      <c r="F28" s="7">
        <v>1.04566363287521</v>
      </c>
    </row>
    <row r="29" spans="1:6" x14ac:dyDescent="0.2">
      <c r="A29" s="45" t="s">
        <v>716</v>
      </c>
      <c r="B29" s="45" t="s">
        <v>1456</v>
      </c>
      <c r="C29" s="45" t="s">
        <v>686</v>
      </c>
      <c r="D29" s="14">
        <v>300</v>
      </c>
      <c r="E29" s="7">
        <v>3119.5590000000002</v>
      </c>
      <c r="F29" s="7">
        <v>0.96650898874727298</v>
      </c>
    </row>
    <row r="30" spans="1:6" x14ac:dyDescent="0.2">
      <c r="A30" s="45" t="s">
        <v>717</v>
      </c>
      <c r="B30" s="45" t="s">
        <v>1457</v>
      </c>
      <c r="C30" s="45" t="s">
        <v>708</v>
      </c>
      <c r="D30" s="14">
        <v>283</v>
      </c>
      <c r="E30" s="7">
        <v>2924.2050399999998</v>
      </c>
      <c r="F30" s="7">
        <v>0.90598397276668896</v>
      </c>
    </row>
    <row r="31" spans="1:6" x14ac:dyDescent="0.2">
      <c r="A31" s="45" t="s">
        <v>718</v>
      </c>
      <c r="B31" s="45" t="s">
        <v>1458</v>
      </c>
      <c r="C31" s="45" t="s">
        <v>692</v>
      </c>
      <c r="D31" s="14">
        <v>240</v>
      </c>
      <c r="E31" s="7">
        <v>2396.6496000000002</v>
      </c>
      <c r="F31" s="7">
        <v>0.74253552546291202</v>
      </c>
    </row>
    <row r="32" spans="1:6" x14ac:dyDescent="0.2">
      <c r="A32" s="45" t="s">
        <v>719</v>
      </c>
      <c r="B32" s="45" t="s">
        <v>1459</v>
      </c>
      <c r="C32" s="45" t="s">
        <v>686</v>
      </c>
      <c r="D32" s="14">
        <v>200</v>
      </c>
      <c r="E32" s="7">
        <v>2025.6420000000001</v>
      </c>
      <c r="F32" s="7">
        <v>0.62758909223515402</v>
      </c>
    </row>
    <row r="33" spans="1:6" x14ac:dyDescent="0.2">
      <c r="A33" s="45" t="s">
        <v>720</v>
      </c>
      <c r="B33" s="45" t="s">
        <v>1460</v>
      </c>
      <c r="C33" s="45" t="s">
        <v>696</v>
      </c>
      <c r="D33" s="14">
        <v>200</v>
      </c>
      <c r="E33" s="7">
        <v>1983.88</v>
      </c>
      <c r="F33" s="7">
        <v>0.61465029274841099</v>
      </c>
    </row>
    <row r="34" spans="1:6" x14ac:dyDescent="0.2">
      <c r="A34" s="45" t="s">
        <v>721</v>
      </c>
      <c r="B34" s="45" t="s">
        <v>1461</v>
      </c>
      <c r="C34" s="45" t="s">
        <v>712</v>
      </c>
      <c r="D34" s="14">
        <v>2000</v>
      </c>
      <c r="E34" s="7">
        <v>1944.348</v>
      </c>
      <c r="F34" s="7">
        <v>0.60240239702239395</v>
      </c>
    </row>
    <row r="35" spans="1:6" x14ac:dyDescent="0.2">
      <c r="A35" s="45" t="s">
        <v>722</v>
      </c>
      <c r="B35" s="45" t="s">
        <v>1462</v>
      </c>
      <c r="C35" s="45" t="s">
        <v>682</v>
      </c>
      <c r="D35" s="14">
        <v>250</v>
      </c>
      <c r="E35" s="7">
        <v>1902.35</v>
      </c>
      <c r="F35" s="7">
        <v>0.58939047946949397</v>
      </c>
    </row>
    <row r="36" spans="1:6" x14ac:dyDescent="0.2">
      <c r="A36" s="45" t="s">
        <v>723</v>
      </c>
      <c r="B36" s="45" t="s">
        <v>1463</v>
      </c>
      <c r="C36" s="45" t="s">
        <v>692</v>
      </c>
      <c r="D36" s="14">
        <v>150</v>
      </c>
      <c r="E36" s="7">
        <v>1483.7805000000001</v>
      </c>
      <c r="F36" s="7">
        <v>0.45970830831470799</v>
      </c>
    </row>
    <row r="37" spans="1:6" x14ac:dyDescent="0.2">
      <c r="A37" s="45" t="s">
        <v>724</v>
      </c>
      <c r="B37" s="45" t="s">
        <v>1454</v>
      </c>
      <c r="C37" s="45" t="s">
        <v>714</v>
      </c>
      <c r="D37" s="14">
        <v>150</v>
      </c>
      <c r="E37" s="7">
        <v>1415.0355</v>
      </c>
      <c r="F37" s="7">
        <v>0.43840957332318198</v>
      </c>
    </row>
    <row r="38" spans="1:6" x14ac:dyDescent="0.2">
      <c r="A38" s="45" t="s">
        <v>725</v>
      </c>
      <c r="B38" s="45" t="s">
        <v>1464</v>
      </c>
      <c r="C38" s="45" t="s">
        <v>696</v>
      </c>
      <c r="D38" s="14">
        <v>150</v>
      </c>
      <c r="E38" s="7">
        <v>1354.9079999999999</v>
      </c>
      <c r="F38" s="7">
        <v>0.41978073212450601</v>
      </c>
    </row>
    <row r="39" spans="1:6" x14ac:dyDescent="0.2">
      <c r="A39" s="45" t="s">
        <v>726</v>
      </c>
      <c r="B39" s="45" t="s">
        <v>1465</v>
      </c>
      <c r="C39" s="45" t="s">
        <v>686</v>
      </c>
      <c r="D39" s="14">
        <v>100</v>
      </c>
      <c r="E39" s="7">
        <v>1056.981</v>
      </c>
      <c r="F39" s="7">
        <v>0.327476299513836</v>
      </c>
    </row>
    <row r="40" spans="1:6" x14ac:dyDescent="0.2">
      <c r="A40" s="45" t="s">
        <v>727</v>
      </c>
      <c r="B40" s="45" t="s">
        <v>1466</v>
      </c>
      <c r="C40" s="45" t="s">
        <v>728</v>
      </c>
      <c r="D40" s="14">
        <v>50</v>
      </c>
      <c r="E40" s="7">
        <v>501.65300000000002</v>
      </c>
      <c r="F40" s="7">
        <v>0.155423293398854</v>
      </c>
    </row>
    <row r="41" spans="1:6" x14ac:dyDescent="0.2">
      <c r="A41" s="45" t="s">
        <v>729</v>
      </c>
      <c r="B41" s="45" t="s">
        <v>1454</v>
      </c>
      <c r="C41" s="45" t="s">
        <v>714</v>
      </c>
      <c r="D41" s="14">
        <v>40</v>
      </c>
      <c r="E41" s="7">
        <v>377.34280000000001</v>
      </c>
      <c r="F41" s="7">
        <v>0.116909219552849</v>
      </c>
    </row>
    <row r="42" spans="1:6" x14ac:dyDescent="0.2">
      <c r="A42" s="45" t="s">
        <v>730</v>
      </c>
      <c r="B42" s="45" t="s">
        <v>1467</v>
      </c>
      <c r="C42" s="45" t="s">
        <v>682</v>
      </c>
      <c r="D42" s="14">
        <v>30</v>
      </c>
      <c r="E42" s="7">
        <v>310.33859999999999</v>
      </c>
      <c r="F42" s="7">
        <v>9.6149823245928204E-2</v>
      </c>
    </row>
    <row r="43" spans="1:6" x14ac:dyDescent="0.2">
      <c r="A43" s="45" t="s">
        <v>731</v>
      </c>
      <c r="B43" s="45" t="s">
        <v>1468</v>
      </c>
      <c r="C43" s="45" t="s">
        <v>708</v>
      </c>
      <c r="D43" s="14">
        <v>25</v>
      </c>
      <c r="E43" s="7">
        <v>256.01875000000001</v>
      </c>
      <c r="F43" s="7">
        <v>7.9320321610471506E-2</v>
      </c>
    </row>
    <row r="44" spans="1:6" x14ac:dyDescent="0.2">
      <c r="A44" s="26" t="s">
        <v>44</v>
      </c>
      <c r="B44" s="45"/>
      <c r="C44" s="45"/>
      <c r="D44" s="14"/>
      <c r="E44" s="6">
        <f>SUM(E8:E43)</f>
        <v>203128.68308399999</v>
      </c>
      <c r="F44" s="6">
        <f>SUM(F8:F43)</f>
        <v>62.933798678942203</v>
      </c>
    </row>
    <row r="45" spans="1:6" x14ac:dyDescent="0.2">
      <c r="A45" s="45"/>
      <c r="B45" s="45"/>
      <c r="C45" s="45"/>
      <c r="D45" s="14"/>
      <c r="E45" s="7"/>
      <c r="F45" s="7"/>
    </row>
    <row r="46" spans="1:6" x14ac:dyDescent="0.2">
      <c r="A46" s="26" t="s">
        <v>732</v>
      </c>
      <c r="B46" s="45"/>
      <c r="C46" s="45"/>
      <c r="D46" s="14"/>
      <c r="E46" s="7"/>
      <c r="F46" s="7"/>
    </row>
    <row r="47" spans="1:6" x14ac:dyDescent="0.2">
      <c r="A47" s="45" t="s">
        <v>733</v>
      </c>
      <c r="B47" s="45" t="s">
        <v>1469</v>
      </c>
      <c r="C47" s="45" t="s">
        <v>734</v>
      </c>
      <c r="D47" s="14">
        <v>1400</v>
      </c>
      <c r="E47" s="7">
        <v>13727.994000000001</v>
      </c>
      <c r="F47" s="7">
        <v>4.2532388707726403</v>
      </c>
    </row>
    <row r="48" spans="1:6" x14ac:dyDescent="0.2">
      <c r="A48" s="45" t="s">
        <v>735</v>
      </c>
      <c r="B48" s="45" t="s">
        <v>1470</v>
      </c>
      <c r="C48" s="45" t="s">
        <v>736</v>
      </c>
      <c r="D48" s="14">
        <v>1000</v>
      </c>
      <c r="E48" s="7">
        <v>11611.35</v>
      </c>
      <c r="F48" s="7">
        <v>3.59745532829821</v>
      </c>
    </row>
    <row r="49" spans="1:6" x14ac:dyDescent="0.2">
      <c r="A49" s="45" t="s">
        <v>737</v>
      </c>
      <c r="B49" s="45" t="s">
        <v>1471</v>
      </c>
      <c r="C49" s="45" t="s">
        <v>738</v>
      </c>
      <c r="D49" s="14">
        <v>100</v>
      </c>
      <c r="E49" s="7">
        <v>11523.63</v>
      </c>
      <c r="F49" s="7">
        <v>3.57027771489423</v>
      </c>
    </row>
    <row r="50" spans="1:6" x14ac:dyDescent="0.2">
      <c r="A50" s="45" t="s">
        <v>739</v>
      </c>
      <c r="B50" s="45" t="s">
        <v>1472</v>
      </c>
      <c r="C50" s="45" t="s">
        <v>740</v>
      </c>
      <c r="D50" s="14">
        <v>1000</v>
      </c>
      <c r="E50" s="7">
        <v>10059.879999999999</v>
      </c>
      <c r="F50" s="7">
        <v>3.1167753024446498</v>
      </c>
    </row>
    <row r="51" spans="1:6" x14ac:dyDescent="0.2">
      <c r="A51" s="45" t="s">
        <v>741</v>
      </c>
      <c r="B51" s="45" t="s">
        <v>1473</v>
      </c>
      <c r="C51" s="45" t="s">
        <v>684</v>
      </c>
      <c r="D51" s="14">
        <v>1000</v>
      </c>
      <c r="E51" s="7">
        <v>10000.540000000001</v>
      </c>
      <c r="F51" s="7">
        <v>3.0983904463184202</v>
      </c>
    </row>
    <row r="52" spans="1:6" x14ac:dyDescent="0.2">
      <c r="A52" s="45" t="s">
        <v>742</v>
      </c>
      <c r="B52" s="45" t="s">
        <v>1474</v>
      </c>
      <c r="C52" s="45" t="s">
        <v>743</v>
      </c>
      <c r="D52" s="14">
        <v>770</v>
      </c>
      <c r="E52" s="7">
        <v>6913.3756999999996</v>
      </c>
      <c r="F52" s="7">
        <v>2.14191805849384</v>
      </c>
    </row>
    <row r="53" spans="1:6" x14ac:dyDescent="0.2">
      <c r="A53" s="45" t="s">
        <v>744</v>
      </c>
      <c r="B53" s="45" t="s">
        <v>1475</v>
      </c>
      <c r="C53" s="45" t="s">
        <v>745</v>
      </c>
      <c r="D53" s="14">
        <v>688</v>
      </c>
      <c r="E53" s="7">
        <v>6812.4315200000001</v>
      </c>
      <c r="F53" s="7">
        <v>2.1106432990384998</v>
      </c>
    </row>
    <row r="54" spans="1:6" x14ac:dyDescent="0.2">
      <c r="A54" s="45" t="s">
        <v>746</v>
      </c>
      <c r="B54" s="45" t="s">
        <v>1476</v>
      </c>
      <c r="C54" s="45" t="s">
        <v>747</v>
      </c>
      <c r="D54" s="14">
        <v>44</v>
      </c>
      <c r="E54" s="7">
        <v>5443.8252000000002</v>
      </c>
      <c r="F54" s="7">
        <v>1.68661852171058</v>
      </c>
    </row>
    <row r="55" spans="1:6" x14ac:dyDescent="0.2">
      <c r="A55" s="45" t="s">
        <v>748</v>
      </c>
      <c r="B55" s="45" t="s">
        <v>1477</v>
      </c>
      <c r="C55" s="45" t="s">
        <v>749</v>
      </c>
      <c r="D55" s="14">
        <v>470</v>
      </c>
      <c r="E55" s="7">
        <v>4184.6684999999998</v>
      </c>
      <c r="F55" s="7">
        <v>1.2965036789422999</v>
      </c>
    </row>
    <row r="56" spans="1:6" x14ac:dyDescent="0.2">
      <c r="A56" s="45" t="s">
        <v>750</v>
      </c>
      <c r="B56" s="45" t="s">
        <v>1478</v>
      </c>
      <c r="C56" s="45" t="s">
        <v>745</v>
      </c>
      <c r="D56" s="14">
        <v>400</v>
      </c>
      <c r="E56" s="7">
        <v>4012.52</v>
      </c>
      <c r="F56" s="7">
        <v>1.24316823228162</v>
      </c>
    </row>
    <row r="57" spans="1:6" x14ac:dyDescent="0.2">
      <c r="A57" s="45" t="s">
        <v>751</v>
      </c>
      <c r="B57" s="45" t="s">
        <v>1479</v>
      </c>
      <c r="C57" s="45" t="s">
        <v>703</v>
      </c>
      <c r="D57" s="14">
        <v>370</v>
      </c>
      <c r="E57" s="7">
        <v>3575.2952</v>
      </c>
      <c r="F57" s="7">
        <v>1.1077062329082299</v>
      </c>
    </row>
    <row r="58" spans="1:6" x14ac:dyDescent="0.2">
      <c r="A58" s="45" t="s">
        <v>752</v>
      </c>
      <c r="B58" s="45" t="s">
        <v>1480</v>
      </c>
      <c r="C58" s="45" t="s">
        <v>705</v>
      </c>
      <c r="D58" s="14">
        <v>3559</v>
      </c>
      <c r="E58" s="7">
        <v>3438.1256830000002</v>
      </c>
      <c r="F58" s="7">
        <v>1.06520805570991</v>
      </c>
    </row>
    <row r="59" spans="1:6" x14ac:dyDescent="0.2">
      <c r="A59" s="45" t="s">
        <v>753</v>
      </c>
      <c r="B59" s="45" t="s">
        <v>1481</v>
      </c>
      <c r="C59" s="45" t="s">
        <v>705</v>
      </c>
      <c r="D59" s="14">
        <v>3473</v>
      </c>
      <c r="E59" s="7">
        <v>3355.0465009999998</v>
      </c>
      <c r="F59" s="7">
        <v>1.0394682712786001</v>
      </c>
    </row>
    <row r="60" spans="1:6" x14ac:dyDescent="0.2">
      <c r="A60" s="45" t="s">
        <v>754</v>
      </c>
      <c r="B60" s="45" t="s">
        <v>1482</v>
      </c>
      <c r="C60" s="45" t="s">
        <v>755</v>
      </c>
      <c r="D60" s="14">
        <v>300</v>
      </c>
      <c r="E60" s="7">
        <v>2963.6460000000002</v>
      </c>
      <c r="F60" s="7">
        <v>0.91820366226921901</v>
      </c>
    </row>
    <row r="61" spans="1:6" x14ac:dyDescent="0.2">
      <c r="A61" s="45" t="s">
        <v>756</v>
      </c>
      <c r="B61" s="45" t="s">
        <v>1483</v>
      </c>
      <c r="C61" s="45" t="s">
        <v>743</v>
      </c>
      <c r="D61" s="14">
        <v>250</v>
      </c>
      <c r="E61" s="7">
        <v>2326.2950000000001</v>
      </c>
      <c r="F61" s="7">
        <v>0.72073810047440601</v>
      </c>
    </row>
    <row r="62" spans="1:6" x14ac:dyDescent="0.2">
      <c r="A62" s="45" t="s">
        <v>757</v>
      </c>
      <c r="B62" s="45" t="s">
        <v>1985</v>
      </c>
      <c r="C62" s="45" t="s">
        <v>758</v>
      </c>
      <c r="D62" s="14">
        <v>607</v>
      </c>
      <c r="E62" s="7">
        <v>1988.4105999999999</v>
      </c>
      <c r="F62" s="7">
        <v>0.61605397372524695</v>
      </c>
    </row>
    <row r="63" spans="1:6" x14ac:dyDescent="0.2">
      <c r="A63" s="45" t="s">
        <v>759</v>
      </c>
      <c r="B63" s="45" t="s">
        <v>1484</v>
      </c>
      <c r="C63" s="45" t="s">
        <v>760</v>
      </c>
      <c r="D63" s="14">
        <v>100</v>
      </c>
      <c r="E63" s="7">
        <v>1027.2539999999999</v>
      </c>
      <c r="F63" s="7">
        <v>0.31826621157881302</v>
      </c>
    </row>
    <row r="64" spans="1:6" x14ac:dyDescent="0.2">
      <c r="A64" s="45" t="s">
        <v>761</v>
      </c>
      <c r="B64" s="45" t="s">
        <v>1485</v>
      </c>
      <c r="C64" s="45" t="s">
        <v>743</v>
      </c>
      <c r="D64" s="14">
        <v>110</v>
      </c>
      <c r="E64" s="7">
        <v>1025.0867000000001</v>
      </c>
      <c r="F64" s="7">
        <v>0.31759473367718899</v>
      </c>
    </row>
    <row r="65" spans="1:6" x14ac:dyDescent="0.2">
      <c r="A65" s="45" t="s">
        <v>762</v>
      </c>
      <c r="B65" s="45" t="s">
        <v>1486</v>
      </c>
      <c r="C65" s="45" t="s">
        <v>763</v>
      </c>
      <c r="D65" s="14">
        <v>10</v>
      </c>
      <c r="E65" s="7">
        <v>1011.5119999999999</v>
      </c>
      <c r="F65" s="7">
        <v>0.31338898870825399</v>
      </c>
    </row>
    <row r="66" spans="1:6" x14ac:dyDescent="0.2">
      <c r="A66" s="45" t="s">
        <v>764</v>
      </c>
      <c r="B66" s="45" t="s">
        <v>1487</v>
      </c>
      <c r="C66" s="45" t="s">
        <v>765</v>
      </c>
      <c r="D66" s="14">
        <v>100</v>
      </c>
      <c r="E66" s="7">
        <v>1004.27</v>
      </c>
      <c r="F66" s="7">
        <v>0.31114525550862299</v>
      </c>
    </row>
    <row r="67" spans="1:6" x14ac:dyDescent="0.2">
      <c r="A67" s="45" t="s">
        <v>766</v>
      </c>
      <c r="B67" s="45" t="s">
        <v>1488</v>
      </c>
      <c r="C67" s="45" t="s">
        <v>740</v>
      </c>
      <c r="D67" s="14">
        <v>50</v>
      </c>
      <c r="E67" s="7">
        <v>477.36750000000001</v>
      </c>
      <c r="F67" s="7">
        <v>0.147899103586697</v>
      </c>
    </row>
    <row r="68" spans="1:6" x14ac:dyDescent="0.2">
      <c r="A68" s="45" t="s">
        <v>767</v>
      </c>
      <c r="B68" s="45" t="s">
        <v>1489</v>
      </c>
      <c r="C68" s="45" t="s">
        <v>712</v>
      </c>
      <c r="D68" s="14">
        <v>40</v>
      </c>
      <c r="E68" s="7">
        <v>404.11880000000002</v>
      </c>
      <c r="F68" s="7">
        <v>0.12520502183858701</v>
      </c>
    </row>
    <row r="69" spans="1:6" x14ac:dyDescent="0.2">
      <c r="A69" s="26" t="s">
        <v>44</v>
      </c>
      <c r="B69" s="45"/>
      <c r="C69" s="45"/>
      <c r="D69" s="45"/>
      <c r="E69" s="6">
        <f>SUM(E47:E68)</f>
        <v>106886.64290400001</v>
      </c>
      <c r="F69" s="6">
        <f>SUM(F47:F68)</f>
        <v>33.115867064458762</v>
      </c>
    </row>
    <row r="70" spans="1:6" x14ac:dyDescent="0.2">
      <c r="A70" s="45"/>
      <c r="B70" s="45"/>
      <c r="C70" s="45"/>
      <c r="D70" s="45"/>
      <c r="E70" s="7"/>
      <c r="F70" s="7"/>
    </row>
    <row r="71" spans="1:6" x14ac:dyDescent="0.2">
      <c r="A71" s="26" t="s">
        <v>44</v>
      </c>
      <c r="B71" s="45"/>
      <c r="C71" s="45"/>
      <c r="D71" s="45"/>
      <c r="E71" s="6">
        <f>E44+E69</f>
        <v>310015.32598800003</v>
      </c>
      <c r="F71" s="6">
        <f>F44+F69</f>
        <v>96.049665743400965</v>
      </c>
    </row>
    <row r="72" spans="1:6" x14ac:dyDescent="0.2">
      <c r="A72" s="45"/>
      <c r="B72" s="45"/>
      <c r="C72" s="45"/>
      <c r="D72" s="45"/>
      <c r="E72" s="7"/>
      <c r="F72" s="7"/>
    </row>
    <row r="73" spans="1:6" x14ac:dyDescent="0.2">
      <c r="A73" s="26" t="s">
        <v>103</v>
      </c>
      <c r="B73" s="45"/>
      <c r="C73" s="45"/>
      <c r="D73" s="45"/>
      <c r="E73" s="6">
        <v>12750.317947400001</v>
      </c>
      <c r="F73" s="6">
        <v>3.95</v>
      </c>
    </row>
    <row r="74" spans="1:6" x14ac:dyDescent="0.2">
      <c r="A74" s="45"/>
      <c r="B74" s="45"/>
      <c r="C74" s="45"/>
      <c r="D74" s="45"/>
      <c r="E74" s="7"/>
      <c r="F74" s="7"/>
    </row>
    <row r="75" spans="1:6" x14ac:dyDescent="0.2">
      <c r="A75" s="46" t="s">
        <v>104</v>
      </c>
      <c r="B75" s="44"/>
      <c r="C75" s="44"/>
      <c r="D75" s="44"/>
      <c r="E75" s="8">
        <f>E71+E73</f>
        <v>322765.6439354</v>
      </c>
      <c r="F75" s="8">
        <f>F71+F73</f>
        <v>99.999665743400968</v>
      </c>
    </row>
    <row r="76" spans="1:6" x14ac:dyDescent="0.2">
      <c r="A76" s="4" t="s">
        <v>1983</v>
      </c>
    </row>
    <row r="77" spans="1:6" x14ac:dyDescent="0.2">
      <c r="A77" s="47" t="s">
        <v>768</v>
      </c>
    </row>
    <row r="78" spans="1:6" x14ac:dyDescent="0.2">
      <c r="A78" s="47" t="s">
        <v>1984</v>
      </c>
    </row>
    <row r="79" spans="1:6" x14ac:dyDescent="0.2">
      <c r="A79" s="47"/>
    </row>
    <row r="80" spans="1:6" x14ac:dyDescent="0.2">
      <c r="A80" s="4" t="s">
        <v>105</v>
      </c>
    </row>
    <row r="81" spans="1:5" x14ac:dyDescent="0.2">
      <c r="A81" s="4" t="s">
        <v>769</v>
      </c>
    </row>
    <row r="82" spans="1:5" x14ac:dyDescent="0.2">
      <c r="A82" s="4" t="s">
        <v>107</v>
      </c>
    </row>
    <row r="83" spans="1:5" x14ac:dyDescent="0.2">
      <c r="A83" s="2" t="s">
        <v>666</v>
      </c>
      <c r="D83" s="10">
        <v>22.371600000000001</v>
      </c>
      <c r="E83" s="2"/>
    </row>
    <row r="84" spans="1:5" x14ac:dyDescent="0.2">
      <c r="A84" s="2" t="s">
        <v>667</v>
      </c>
      <c r="D84" s="10">
        <v>11.021699999999999</v>
      </c>
      <c r="E84" s="2"/>
    </row>
    <row r="85" spans="1:5" x14ac:dyDescent="0.2">
      <c r="A85" s="2" t="s">
        <v>668</v>
      </c>
      <c r="D85" s="10">
        <v>23.525500000000001</v>
      </c>
      <c r="E85" s="2"/>
    </row>
    <row r="86" spans="1:5" x14ac:dyDescent="0.2">
      <c r="A86" s="2" t="s">
        <v>669</v>
      </c>
      <c r="D86" s="10">
        <v>11.695399999999999</v>
      </c>
      <c r="E86" s="2"/>
    </row>
    <row r="87" spans="1:5" x14ac:dyDescent="0.2">
      <c r="D87" s="10"/>
      <c r="E87" s="2"/>
    </row>
    <row r="88" spans="1:5" x14ac:dyDescent="0.2">
      <c r="A88" s="4" t="s">
        <v>108</v>
      </c>
      <c r="E88" s="2"/>
    </row>
    <row r="89" spans="1:5" x14ac:dyDescent="0.2">
      <c r="A89" s="2" t="s">
        <v>666</v>
      </c>
      <c r="D89" s="10">
        <v>22.992799999999999</v>
      </c>
      <c r="E89" s="2"/>
    </row>
    <row r="90" spans="1:5" x14ac:dyDescent="0.2">
      <c r="A90" s="2" t="s">
        <v>667</v>
      </c>
      <c r="D90" s="10">
        <v>10.8804</v>
      </c>
      <c r="E90" s="2"/>
    </row>
    <row r="91" spans="1:5" x14ac:dyDescent="0.2">
      <c r="A91" s="2" t="s">
        <v>668</v>
      </c>
      <c r="D91" s="10">
        <v>24.279499999999999</v>
      </c>
      <c r="E91" s="2"/>
    </row>
    <row r="92" spans="1:5" x14ac:dyDescent="0.2">
      <c r="A92" s="2" t="s">
        <v>669</v>
      </c>
      <c r="D92" s="10">
        <v>11.622400000000001</v>
      </c>
      <c r="E92" s="2"/>
    </row>
    <row r="94" spans="1:5" x14ac:dyDescent="0.2">
      <c r="A94" s="4" t="s">
        <v>109</v>
      </c>
      <c r="D94" s="30" t="s">
        <v>325</v>
      </c>
    </row>
    <row r="95" spans="1:5" x14ac:dyDescent="0.2">
      <c r="A95" s="31" t="s">
        <v>670</v>
      </c>
      <c r="B95" s="32"/>
      <c r="C95" s="88" t="s">
        <v>671</v>
      </c>
      <c r="D95" s="89"/>
    </row>
    <row r="96" spans="1:5" x14ac:dyDescent="0.2">
      <c r="A96" s="48"/>
      <c r="B96" s="49"/>
      <c r="C96" s="33" t="s">
        <v>672</v>
      </c>
      <c r="D96" s="33" t="s">
        <v>673</v>
      </c>
    </row>
    <row r="97" spans="1:5" x14ac:dyDescent="0.2">
      <c r="A97" s="34" t="s">
        <v>667</v>
      </c>
      <c r="B97" s="35"/>
      <c r="C97" s="36">
        <v>0.31694198800000001</v>
      </c>
      <c r="D97" s="36">
        <v>0.29348986040000002</v>
      </c>
    </row>
    <row r="98" spans="1:5" x14ac:dyDescent="0.2">
      <c r="A98" s="34" t="s">
        <v>669</v>
      </c>
      <c r="B98" s="35"/>
      <c r="C98" s="36">
        <v>0.31694198800000001</v>
      </c>
      <c r="D98" s="36">
        <v>0.29348986040000002</v>
      </c>
    </row>
    <row r="99" spans="1:5" x14ac:dyDescent="0.2">
      <c r="A99" s="4"/>
      <c r="D99" s="30"/>
    </row>
    <row r="100" spans="1:5" x14ac:dyDescent="0.2">
      <c r="A100" s="4" t="s">
        <v>770</v>
      </c>
      <c r="D100" s="29">
        <v>4.1344324821971163</v>
      </c>
      <c r="E100" s="1" t="s">
        <v>771</v>
      </c>
    </row>
    <row r="102" spans="1:5" x14ac:dyDescent="0.2">
      <c r="A102" s="4" t="s">
        <v>1989</v>
      </c>
      <c r="D102" s="50">
        <v>1</v>
      </c>
    </row>
    <row r="103" spans="1:5" x14ac:dyDescent="0.2">
      <c r="A103" s="4" t="s">
        <v>772</v>
      </c>
    </row>
    <row r="104" spans="1:5" ht="15" x14ac:dyDescent="0.25">
      <c r="A104" s="51" t="s">
        <v>773</v>
      </c>
    </row>
  </sheetData>
  <mergeCells count="2">
    <mergeCell ref="A1:F1"/>
    <mergeCell ref="C95:D95"/>
  </mergeCells>
  <hyperlinks>
    <hyperlink ref="A103" r:id="rId1" display="https://www.franklintempletonindia.com/investor/reports" xr:uid="{8B9A36E5-BE30-42DE-9606-D3D904536490}"/>
    <hyperlink ref="A104" r:id="rId2" xr:uid="{34F02513-4BE4-4A94-A2F8-DA112FEA41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BD69-06A6-493B-8F95-D98F481E28D0}">
  <sheetPr codeName="Sheet25"/>
  <dimension ref="A1:F190"/>
  <sheetViews>
    <sheetView showGridLines="0" workbookViewId="0">
      <selection sqref="A1:F1"/>
    </sheetView>
  </sheetViews>
  <sheetFormatPr defaultColWidth="8.7109375" defaultRowHeight="11.25" x14ac:dyDescent="0.2"/>
  <cols>
    <col min="1" max="1" width="59.85546875" style="2" bestFit="1" customWidth="1"/>
    <col min="2" max="2" width="69.140625" style="2" bestFit="1" customWidth="1"/>
    <col min="3" max="3" width="11.7109375" style="2" bestFit="1" customWidth="1"/>
    <col min="4" max="4" width="9.140625" style="2" bestFit="1" customWidth="1"/>
    <col min="5" max="5" width="23" style="1" bestFit="1" customWidth="1"/>
    <col min="6" max="6" width="15.5703125" style="1" bestFit="1" customWidth="1"/>
    <col min="7" max="16384" width="8.7109375" style="2"/>
  </cols>
  <sheetData>
    <row r="1" spans="1:6" ht="15" customHeight="1" x14ac:dyDescent="0.2">
      <c r="A1" s="87" t="s">
        <v>774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775</v>
      </c>
      <c r="B8" s="45" t="s">
        <v>1490</v>
      </c>
      <c r="C8" s="45" t="s">
        <v>728</v>
      </c>
      <c r="D8" s="14">
        <v>7900</v>
      </c>
      <c r="E8" s="7">
        <v>79519.504000000001</v>
      </c>
      <c r="F8" s="7">
        <f>E8/$E$144*100</f>
        <v>4.7103181423708902</v>
      </c>
    </row>
    <row r="9" spans="1:6" x14ac:dyDescent="0.2">
      <c r="A9" s="45" t="s">
        <v>776</v>
      </c>
      <c r="B9" s="45" t="s">
        <v>1491</v>
      </c>
      <c r="C9" s="45" t="s">
        <v>740</v>
      </c>
      <c r="D9" s="14">
        <v>6740</v>
      </c>
      <c r="E9" s="7">
        <v>67400</v>
      </c>
      <c r="F9" s="7">
        <f t="shared" ref="F9:F72" si="0">E9/$E$144*100</f>
        <v>3.9924223218972541</v>
      </c>
    </row>
    <row r="10" spans="1:6" x14ac:dyDescent="0.2">
      <c r="A10" s="45" t="s">
        <v>777</v>
      </c>
      <c r="B10" s="45" t="s">
        <v>1492</v>
      </c>
      <c r="C10" s="45" t="s">
        <v>728</v>
      </c>
      <c r="D10" s="14">
        <v>5500</v>
      </c>
      <c r="E10" s="7">
        <v>54567.974999999999</v>
      </c>
      <c r="F10" s="7">
        <f t="shared" si="0"/>
        <v>3.2323204963016514</v>
      </c>
    </row>
    <row r="11" spans="1:6" x14ac:dyDescent="0.2">
      <c r="A11" s="45" t="s">
        <v>778</v>
      </c>
      <c r="B11" s="45" t="s">
        <v>1493</v>
      </c>
      <c r="C11" s="45" t="s">
        <v>779</v>
      </c>
      <c r="D11" s="14">
        <v>5400</v>
      </c>
      <c r="E11" s="7">
        <v>54077.004000000001</v>
      </c>
      <c r="F11" s="7">
        <f t="shared" si="0"/>
        <v>3.2032379506072268</v>
      </c>
    </row>
    <row r="12" spans="1:6" x14ac:dyDescent="0.2">
      <c r="A12" s="45" t="s">
        <v>780</v>
      </c>
      <c r="B12" s="45" t="s">
        <v>1494</v>
      </c>
      <c r="C12" s="45" t="s">
        <v>696</v>
      </c>
      <c r="D12" s="14">
        <v>4400</v>
      </c>
      <c r="E12" s="7">
        <v>44008.315999999999</v>
      </c>
      <c r="F12" s="7">
        <f t="shared" si="0"/>
        <v>2.6068217084200009</v>
      </c>
    </row>
    <row r="13" spans="1:6" x14ac:dyDescent="0.2">
      <c r="A13" s="45" t="s">
        <v>781</v>
      </c>
      <c r="B13" s="45" t="s">
        <v>1495</v>
      </c>
      <c r="C13" s="45" t="s">
        <v>728</v>
      </c>
      <c r="D13" s="14">
        <v>4000</v>
      </c>
      <c r="E13" s="7">
        <v>39923.760000000002</v>
      </c>
      <c r="F13" s="7">
        <f t="shared" si="0"/>
        <v>2.3648740444817316</v>
      </c>
    </row>
    <row r="14" spans="1:6" x14ac:dyDescent="0.2">
      <c r="A14" s="45" t="s">
        <v>782</v>
      </c>
      <c r="B14" s="45" t="s">
        <v>1496</v>
      </c>
      <c r="C14" s="45" t="s">
        <v>728</v>
      </c>
      <c r="D14" s="14">
        <v>3750</v>
      </c>
      <c r="E14" s="7">
        <v>37797.112500000003</v>
      </c>
      <c r="F14" s="7">
        <f t="shared" si="0"/>
        <v>2.2389026060572959</v>
      </c>
    </row>
    <row r="15" spans="1:6" x14ac:dyDescent="0.2">
      <c r="A15" s="45" t="s">
        <v>783</v>
      </c>
      <c r="B15" s="45" t="s">
        <v>1497</v>
      </c>
      <c r="C15" s="45" t="s">
        <v>698</v>
      </c>
      <c r="D15" s="14">
        <v>7500</v>
      </c>
      <c r="E15" s="7">
        <v>37185.9</v>
      </c>
      <c r="F15" s="7">
        <f t="shared" si="0"/>
        <v>2.2026975848640817</v>
      </c>
    </row>
    <row r="16" spans="1:6" x14ac:dyDescent="0.2">
      <c r="A16" s="45" t="s">
        <v>784</v>
      </c>
      <c r="B16" s="45" t="s">
        <v>1498</v>
      </c>
      <c r="C16" s="45" t="s">
        <v>690</v>
      </c>
      <c r="D16" s="14">
        <v>3650</v>
      </c>
      <c r="E16" s="7">
        <v>36416.341999999997</v>
      </c>
      <c r="F16" s="7">
        <f t="shared" si="0"/>
        <v>2.1571130071608975</v>
      </c>
    </row>
    <row r="17" spans="1:6" x14ac:dyDescent="0.2">
      <c r="A17" s="45" t="s">
        <v>785</v>
      </c>
      <c r="B17" s="45" t="s">
        <v>1499</v>
      </c>
      <c r="C17" s="45" t="s">
        <v>688</v>
      </c>
      <c r="D17" s="14">
        <v>2400</v>
      </c>
      <c r="E17" s="7">
        <v>27395.4</v>
      </c>
      <c r="F17" s="7">
        <f t="shared" si="0"/>
        <v>1.6227597400193479</v>
      </c>
    </row>
    <row r="18" spans="1:6" x14ac:dyDescent="0.2">
      <c r="A18" s="45" t="s">
        <v>786</v>
      </c>
      <c r="B18" s="45" t="s">
        <v>1500</v>
      </c>
      <c r="C18" s="45" t="s">
        <v>787</v>
      </c>
      <c r="D18" s="14">
        <v>2500</v>
      </c>
      <c r="E18" s="7">
        <v>24998.875</v>
      </c>
      <c r="F18" s="7">
        <f t="shared" si="0"/>
        <v>1.4808021746634898</v>
      </c>
    </row>
    <row r="19" spans="1:6" x14ac:dyDescent="0.2">
      <c r="A19" s="45" t="s">
        <v>788</v>
      </c>
      <c r="B19" s="45" t="s">
        <v>1501</v>
      </c>
      <c r="C19" s="45" t="s">
        <v>692</v>
      </c>
      <c r="D19" s="14">
        <v>2244</v>
      </c>
      <c r="E19" s="7">
        <v>22460.57748</v>
      </c>
      <c r="F19" s="7">
        <f t="shared" si="0"/>
        <v>1.3304467491669847</v>
      </c>
    </row>
    <row r="20" spans="1:6" x14ac:dyDescent="0.2">
      <c r="A20" s="45" t="s">
        <v>789</v>
      </c>
      <c r="B20" s="45" t="s">
        <v>1502</v>
      </c>
      <c r="C20" s="45" t="s">
        <v>779</v>
      </c>
      <c r="D20" s="14">
        <v>2000</v>
      </c>
      <c r="E20" s="7">
        <v>21048.76</v>
      </c>
      <c r="F20" s="7">
        <f t="shared" si="0"/>
        <v>1.2468180900928492</v>
      </c>
    </row>
    <row r="21" spans="1:6" x14ac:dyDescent="0.2">
      <c r="A21" s="45" t="s">
        <v>790</v>
      </c>
      <c r="B21" s="45" t="s">
        <v>1503</v>
      </c>
      <c r="C21" s="45" t="s">
        <v>692</v>
      </c>
      <c r="D21" s="14">
        <v>2030</v>
      </c>
      <c r="E21" s="7">
        <v>20300.466899999999</v>
      </c>
      <c r="F21" s="7">
        <f t="shared" si="0"/>
        <v>1.2024931334791744</v>
      </c>
    </row>
    <row r="22" spans="1:6" x14ac:dyDescent="0.2">
      <c r="A22" s="45" t="s">
        <v>791</v>
      </c>
      <c r="B22" s="45" t="s">
        <v>1504</v>
      </c>
      <c r="C22" s="45" t="s">
        <v>690</v>
      </c>
      <c r="D22" s="14">
        <v>2000</v>
      </c>
      <c r="E22" s="7">
        <v>19860.72</v>
      </c>
      <c r="F22" s="7">
        <f t="shared" si="0"/>
        <v>1.1764448346728671</v>
      </c>
    </row>
    <row r="23" spans="1:6" x14ac:dyDescent="0.2">
      <c r="A23" s="45" t="s">
        <v>792</v>
      </c>
      <c r="B23" s="45" t="s">
        <v>1505</v>
      </c>
      <c r="C23" s="45" t="s">
        <v>708</v>
      </c>
      <c r="D23" s="14">
        <v>2000</v>
      </c>
      <c r="E23" s="7">
        <v>19439.88</v>
      </c>
      <c r="F23" s="7">
        <f t="shared" si="0"/>
        <v>1.1515164814095546</v>
      </c>
    </row>
    <row r="24" spans="1:6" x14ac:dyDescent="0.2">
      <c r="A24" s="45" t="s">
        <v>793</v>
      </c>
      <c r="B24" s="45" t="s">
        <v>1506</v>
      </c>
      <c r="C24" s="45" t="s">
        <v>712</v>
      </c>
      <c r="D24" s="14">
        <v>37</v>
      </c>
      <c r="E24" s="7">
        <v>18817.756000000001</v>
      </c>
      <c r="F24" s="7">
        <f t="shared" si="0"/>
        <v>1.1146651202138871</v>
      </c>
    </row>
    <row r="25" spans="1:6" x14ac:dyDescent="0.2">
      <c r="A25" s="45" t="s">
        <v>794</v>
      </c>
      <c r="B25" s="45" t="s">
        <v>1507</v>
      </c>
      <c r="C25" s="45" t="s">
        <v>708</v>
      </c>
      <c r="D25" s="14">
        <v>2000</v>
      </c>
      <c r="E25" s="7">
        <v>18714.060000000001</v>
      </c>
      <c r="F25" s="7">
        <f t="shared" si="0"/>
        <v>1.1085227133134203</v>
      </c>
    </row>
    <row r="26" spans="1:6" x14ac:dyDescent="0.2">
      <c r="A26" s="45" t="s">
        <v>795</v>
      </c>
      <c r="B26" s="45" t="s">
        <v>1508</v>
      </c>
      <c r="C26" s="45" t="s">
        <v>690</v>
      </c>
      <c r="D26" s="14">
        <v>1500</v>
      </c>
      <c r="E26" s="7">
        <v>14924.325000000001</v>
      </c>
      <c r="F26" s="7">
        <f t="shared" si="0"/>
        <v>0.8840386983568137</v>
      </c>
    </row>
    <row r="27" spans="1:6" x14ac:dyDescent="0.2">
      <c r="A27" s="45" t="s">
        <v>796</v>
      </c>
      <c r="B27" s="45" t="s">
        <v>1509</v>
      </c>
      <c r="C27" s="45" t="s">
        <v>688</v>
      </c>
      <c r="D27" s="14">
        <v>1425</v>
      </c>
      <c r="E27" s="7">
        <v>14255.101500000001</v>
      </c>
      <c r="F27" s="7">
        <f t="shared" si="0"/>
        <v>0.84439740993339807</v>
      </c>
    </row>
    <row r="28" spans="1:6" x14ac:dyDescent="0.2">
      <c r="A28" s="45" t="s">
        <v>797</v>
      </c>
      <c r="B28" s="45" t="s">
        <v>1510</v>
      </c>
      <c r="C28" s="45" t="s">
        <v>686</v>
      </c>
      <c r="D28" s="14">
        <v>1350</v>
      </c>
      <c r="E28" s="7">
        <v>13509.139499999999</v>
      </c>
      <c r="F28" s="7">
        <f t="shared" si="0"/>
        <v>0.80021053545139331</v>
      </c>
    </row>
    <row r="29" spans="1:6" x14ac:dyDescent="0.2">
      <c r="A29" s="45" t="s">
        <v>798</v>
      </c>
      <c r="B29" s="45" t="s">
        <v>1511</v>
      </c>
      <c r="C29" s="45" t="s">
        <v>696</v>
      </c>
      <c r="D29" s="14">
        <v>1230</v>
      </c>
      <c r="E29" s="7">
        <v>12746.034900000001</v>
      </c>
      <c r="F29" s="7">
        <f t="shared" si="0"/>
        <v>0.75500822330031803</v>
      </c>
    </row>
    <row r="30" spans="1:6" x14ac:dyDescent="0.2">
      <c r="A30" s="45" t="s">
        <v>799</v>
      </c>
      <c r="B30" s="45" t="s">
        <v>1512</v>
      </c>
      <c r="C30" s="45" t="s">
        <v>712</v>
      </c>
      <c r="D30" s="14">
        <v>1600</v>
      </c>
      <c r="E30" s="7">
        <v>11885.12</v>
      </c>
      <c r="F30" s="7">
        <f t="shared" si="0"/>
        <v>0.70401214223186193</v>
      </c>
    </row>
    <row r="31" spans="1:6" x14ac:dyDescent="0.2">
      <c r="A31" s="45" t="s">
        <v>800</v>
      </c>
      <c r="B31" s="45" t="s">
        <v>1513</v>
      </c>
      <c r="C31" s="45" t="s">
        <v>682</v>
      </c>
      <c r="D31" s="14">
        <v>1100</v>
      </c>
      <c r="E31" s="7">
        <v>10969.101000000001</v>
      </c>
      <c r="F31" s="7">
        <f t="shared" si="0"/>
        <v>0.64975198343539309</v>
      </c>
    </row>
    <row r="32" spans="1:6" x14ac:dyDescent="0.2">
      <c r="A32" s="45" t="s">
        <v>801</v>
      </c>
      <c r="B32" s="45" t="s">
        <v>1514</v>
      </c>
      <c r="C32" s="45" t="s">
        <v>802</v>
      </c>
      <c r="D32" s="14">
        <v>1070</v>
      </c>
      <c r="E32" s="7">
        <v>10752.0983</v>
      </c>
      <c r="F32" s="7">
        <f t="shared" si="0"/>
        <v>0.63689788219812338</v>
      </c>
    </row>
    <row r="33" spans="1:6" x14ac:dyDescent="0.2">
      <c r="A33" s="45" t="s">
        <v>803</v>
      </c>
      <c r="B33" s="45" t="s">
        <v>1515</v>
      </c>
      <c r="C33" s="45" t="s">
        <v>804</v>
      </c>
      <c r="D33" s="14">
        <v>1050</v>
      </c>
      <c r="E33" s="7">
        <v>10593.072</v>
      </c>
      <c r="F33" s="7">
        <f t="shared" si="0"/>
        <v>0.62747799866861709</v>
      </c>
    </row>
    <row r="34" spans="1:6" x14ac:dyDescent="0.2">
      <c r="A34" s="45" t="s">
        <v>727</v>
      </c>
      <c r="B34" s="45" t="s">
        <v>1466</v>
      </c>
      <c r="C34" s="45" t="s">
        <v>728</v>
      </c>
      <c r="D34" s="14">
        <v>1050</v>
      </c>
      <c r="E34" s="7">
        <v>10534.713</v>
      </c>
      <c r="F34" s="7">
        <f t="shared" si="0"/>
        <v>0.62402111774452795</v>
      </c>
    </row>
    <row r="35" spans="1:6" x14ac:dyDescent="0.2">
      <c r="A35" s="45" t="s">
        <v>805</v>
      </c>
      <c r="B35" s="45" t="s">
        <v>1516</v>
      </c>
      <c r="C35" s="45" t="s">
        <v>696</v>
      </c>
      <c r="D35" s="14">
        <v>1000</v>
      </c>
      <c r="E35" s="7">
        <v>10303.27</v>
      </c>
      <c r="F35" s="7">
        <f t="shared" si="0"/>
        <v>0.61031164891000478</v>
      </c>
    </row>
    <row r="36" spans="1:6" x14ac:dyDescent="0.2">
      <c r="A36" s="45" t="s">
        <v>806</v>
      </c>
      <c r="B36" s="45" t="s">
        <v>1517</v>
      </c>
      <c r="C36" s="45" t="s">
        <v>696</v>
      </c>
      <c r="D36" s="14">
        <v>1000</v>
      </c>
      <c r="E36" s="7">
        <v>10303.27</v>
      </c>
      <c r="F36" s="7">
        <f t="shared" si="0"/>
        <v>0.61031164891000478</v>
      </c>
    </row>
    <row r="37" spans="1:6" x14ac:dyDescent="0.2">
      <c r="A37" s="45" t="s">
        <v>807</v>
      </c>
      <c r="B37" s="45" t="s">
        <v>1518</v>
      </c>
      <c r="C37" s="45" t="s">
        <v>808</v>
      </c>
      <c r="D37" s="14">
        <v>1000</v>
      </c>
      <c r="E37" s="7">
        <v>10040.86</v>
      </c>
      <c r="F37" s="7">
        <f t="shared" si="0"/>
        <v>0.59476785749325323</v>
      </c>
    </row>
    <row r="38" spans="1:6" x14ac:dyDescent="0.2">
      <c r="A38" s="45" t="s">
        <v>809</v>
      </c>
      <c r="B38" s="45" t="s">
        <v>1519</v>
      </c>
      <c r="C38" s="45" t="s">
        <v>712</v>
      </c>
      <c r="D38" s="14">
        <v>1000</v>
      </c>
      <c r="E38" s="7">
        <v>10000.290000000001</v>
      </c>
      <c r="F38" s="7">
        <f t="shared" si="0"/>
        <v>0.59236470358228333</v>
      </c>
    </row>
    <row r="39" spans="1:6" x14ac:dyDescent="0.2">
      <c r="A39" s="45" t="s">
        <v>810</v>
      </c>
      <c r="B39" s="45" t="s">
        <v>1520</v>
      </c>
      <c r="C39" s="45" t="s">
        <v>811</v>
      </c>
      <c r="D39" s="14">
        <v>1000</v>
      </c>
      <c r="E39" s="7">
        <v>9947.4599999999991</v>
      </c>
      <c r="F39" s="7">
        <f t="shared" si="0"/>
        <v>0.58923533160504538</v>
      </c>
    </row>
    <row r="40" spans="1:6" x14ac:dyDescent="0.2">
      <c r="A40" s="45" t="s">
        <v>812</v>
      </c>
      <c r="B40" s="45" t="s">
        <v>1521</v>
      </c>
      <c r="C40" s="45" t="s">
        <v>811</v>
      </c>
      <c r="D40" s="14">
        <v>1000</v>
      </c>
      <c r="E40" s="7">
        <v>9933.48</v>
      </c>
      <c r="F40" s="7">
        <f t="shared" si="0"/>
        <v>0.58840722976439064</v>
      </c>
    </row>
    <row r="41" spans="1:6" x14ac:dyDescent="0.2">
      <c r="A41" s="45" t="s">
        <v>813</v>
      </c>
      <c r="B41" s="45" t="s">
        <v>1522</v>
      </c>
      <c r="C41" s="45" t="s">
        <v>708</v>
      </c>
      <c r="D41" s="14">
        <v>1000</v>
      </c>
      <c r="E41" s="7">
        <v>9721.24</v>
      </c>
      <c r="F41" s="7">
        <f t="shared" si="0"/>
        <v>0.57583524588309287</v>
      </c>
    </row>
    <row r="42" spans="1:6" x14ac:dyDescent="0.2">
      <c r="A42" s="45" t="s">
        <v>814</v>
      </c>
      <c r="B42" s="45" t="s">
        <v>1523</v>
      </c>
      <c r="C42" s="45" t="s">
        <v>708</v>
      </c>
      <c r="D42" s="14">
        <v>1000</v>
      </c>
      <c r="E42" s="7">
        <v>9624.76</v>
      </c>
      <c r="F42" s="7">
        <f t="shared" si="0"/>
        <v>0.57012027695702994</v>
      </c>
    </row>
    <row r="43" spans="1:6" x14ac:dyDescent="0.2">
      <c r="A43" s="45" t="s">
        <v>718</v>
      </c>
      <c r="B43" s="45" t="s">
        <v>1458</v>
      </c>
      <c r="C43" s="45" t="s">
        <v>692</v>
      </c>
      <c r="D43" s="14">
        <v>938</v>
      </c>
      <c r="E43" s="7">
        <v>9366.9055200000003</v>
      </c>
      <c r="F43" s="7">
        <f t="shared" si="0"/>
        <v>0.55484633064021671</v>
      </c>
    </row>
    <row r="44" spans="1:6" x14ac:dyDescent="0.2">
      <c r="A44" s="45" t="s">
        <v>815</v>
      </c>
      <c r="B44" s="45" t="s">
        <v>1524</v>
      </c>
      <c r="C44" s="45" t="s">
        <v>698</v>
      </c>
      <c r="D44" s="14">
        <v>840</v>
      </c>
      <c r="E44" s="7">
        <v>8690.3207999999995</v>
      </c>
      <c r="F44" s="7">
        <f t="shared" si="0"/>
        <v>0.51476900217163202</v>
      </c>
    </row>
    <row r="45" spans="1:6" x14ac:dyDescent="0.2">
      <c r="A45" s="45" t="s">
        <v>816</v>
      </c>
      <c r="B45" s="45" t="s">
        <v>1525</v>
      </c>
      <c r="C45" s="45" t="s">
        <v>712</v>
      </c>
      <c r="D45" s="14">
        <v>840</v>
      </c>
      <c r="E45" s="7">
        <v>8410.4076000000005</v>
      </c>
      <c r="F45" s="7">
        <f t="shared" si="0"/>
        <v>0.49818841303404021</v>
      </c>
    </row>
    <row r="46" spans="1:6" x14ac:dyDescent="0.2">
      <c r="A46" s="45" t="s">
        <v>817</v>
      </c>
      <c r="B46" s="45" t="s">
        <v>1526</v>
      </c>
      <c r="C46" s="45" t="s">
        <v>692</v>
      </c>
      <c r="D46" s="14">
        <v>1611</v>
      </c>
      <c r="E46" s="7">
        <v>8068.0329899999997</v>
      </c>
      <c r="F46" s="7">
        <f t="shared" si="0"/>
        <v>0.47790793773114904</v>
      </c>
    </row>
    <row r="47" spans="1:6" x14ac:dyDescent="0.2">
      <c r="A47" s="45" t="s">
        <v>818</v>
      </c>
      <c r="B47" s="45" t="s">
        <v>1527</v>
      </c>
      <c r="C47" s="45" t="s">
        <v>712</v>
      </c>
      <c r="D47" s="14">
        <v>800</v>
      </c>
      <c r="E47" s="7">
        <v>8009.9120000000003</v>
      </c>
      <c r="F47" s="7">
        <f t="shared" si="0"/>
        <v>0.47446515527051453</v>
      </c>
    </row>
    <row r="48" spans="1:6" x14ac:dyDescent="0.2">
      <c r="A48" s="45" t="s">
        <v>819</v>
      </c>
      <c r="B48" s="45" t="s">
        <v>1528</v>
      </c>
      <c r="C48" s="45" t="s">
        <v>712</v>
      </c>
      <c r="D48" s="14">
        <v>800</v>
      </c>
      <c r="E48" s="7">
        <v>8009.9120000000003</v>
      </c>
      <c r="F48" s="7">
        <f t="shared" si="0"/>
        <v>0.47446515527051453</v>
      </c>
    </row>
    <row r="49" spans="1:6" x14ac:dyDescent="0.2">
      <c r="A49" s="45" t="s">
        <v>820</v>
      </c>
      <c r="B49" s="45" t="s">
        <v>1529</v>
      </c>
      <c r="C49" s="45" t="s">
        <v>804</v>
      </c>
      <c r="D49" s="14">
        <v>750</v>
      </c>
      <c r="E49" s="7">
        <v>7589.6549999999997</v>
      </c>
      <c r="F49" s="7">
        <f t="shared" si="0"/>
        <v>0.44957133586793918</v>
      </c>
    </row>
    <row r="50" spans="1:6" x14ac:dyDescent="0.2">
      <c r="A50" s="45" t="s">
        <v>821</v>
      </c>
      <c r="B50" s="45" t="s">
        <v>1530</v>
      </c>
      <c r="C50" s="45" t="s">
        <v>696</v>
      </c>
      <c r="D50" s="14">
        <v>750</v>
      </c>
      <c r="E50" s="7">
        <v>7494.2624999999998</v>
      </c>
      <c r="F50" s="7">
        <f t="shared" si="0"/>
        <v>0.44392078473527474</v>
      </c>
    </row>
    <row r="51" spans="1:6" x14ac:dyDescent="0.2">
      <c r="A51" s="45" t="s">
        <v>822</v>
      </c>
      <c r="B51" s="45" t="s">
        <v>1531</v>
      </c>
      <c r="C51" s="45" t="s">
        <v>811</v>
      </c>
      <c r="D51" s="14">
        <v>750</v>
      </c>
      <c r="E51" s="7">
        <v>7468.5375000000004</v>
      </c>
      <c r="F51" s="7">
        <f t="shared" si="0"/>
        <v>0.44239697072591566</v>
      </c>
    </row>
    <row r="52" spans="1:6" x14ac:dyDescent="0.2">
      <c r="A52" s="45" t="s">
        <v>823</v>
      </c>
      <c r="B52" s="45" t="s">
        <v>1532</v>
      </c>
      <c r="C52" s="45" t="s">
        <v>708</v>
      </c>
      <c r="D52" s="14">
        <v>750</v>
      </c>
      <c r="E52" s="7">
        <v>7375.4324999999999</v>
      </c>
      <c r="F52" s="7">
        <f t="shared" si="0"/>
        <v>0.43688191908971025</v>
      </c>
    </row>
    <row r="53" spans="1:6" x14ac:dyDescent="0.2">
      <c r="A53" s="45" t="s">
        <v>824</v>
      </c>
      <c r="B53" s="45" t="s">
        <v>1533</v>
      </c>
      <c r="C53" s="45" t="s">
        <v>708</v>
      </c>
      <c r="D53" s="14">
        <v>700</v>
      </c>
      <c r="E53" s="7">
        <v>6943.2929999999997</v>
      </c>
      <c r="F53" s="7">
        <f t="shared" si="0"/>
        <v>0.41128424273995473</v>
      </c>
    </row>
    <row r="54" spans="1:6" x14ac:dyDescent="0.2">
      <c r="A54" s="45" t="s">
        <v>825</v>
      </c>
      <c r="B54" s="45" t="s">
        <v>1534</v>
      </c>
      <c r="C54" s="45" t="s">
        <v>708</v>
      </c>
      <c r="D54" s="14">
        <v>700</v>
      </c>
      <c r="E54" s="7">
        <v>6860.5249999999996</v>
      </c>
      <c r="F54" s="7">
        <f t="shared" si="0"/>
        <v>0.40638150074086288</v>
      </c>
    </row>
    <row r="55" spans="1:6" x14ac:dyDescent="0.2">
      <c r="A55" s="45" t="s">
        <v>826</v>
      </c>
      <c r="B55" s="45" t="s">
        <v>1535</v>
      </c>
      <c r="C55" s="45" t="s">
        <v>696</v>
      </c>
      <c r="D55" s="14">
        <v>650</v>
      </c>
      <c r="E55" s="7">
        <v>6496.2105000000001</v>
      </c>
      <c r="F55" s="7">
        <f t="shared" si="0"/>
        <v>0.38480142148283863</v>
      </c>
    </row>
    <row r="56" spans="1:6" x14ac:dyDescent="0.2">
      <c r="A56" s="45" t="s">
        <v>827</v>
      </c>
      <c r="B56" s="45" t="s">
        <v>1536</v>
      </c>
      <c r="C56" s="45" t="s">
        <v>696</v>
      </c>
      <c r="D56" s="14">
        <v>600</v>
      </c>
      <c r="E56" s="7">
        <v>6074.2920000000004</v>
      </c>
      <c r="F56" s="7">
        <f t="shared" si="0"/>
        <v>0.35980918353890085</v>
      </c>
    </row>
    <row r="57" spans="1:6" x14ac:dyDescent="0.2">
      <c r="A57" s="45" t="s">
        <v>828</v>
      </c>
      <c r="B57" s="45" t="s">
        <v>1537</v>
      </c>
      <c r="C57" s="45" t="s">
        <v>802</v>
      </c>
      <c r="D57" s="14">
        <v>500</v>
      </c>
      <c r="E57" s="7">
        <v>5975.4250000000002</v>
      </c>
      <c r="F57" s="7">
        <f t="shared" si="0"/>
        <v>0.35395282125850003</v>
      </c>
    </row>
    <row r="58" spans="1:6" x14ac:dyDescent="0.2">
      <c r="A58" s="45" t="s">
        <v>829</v>
      </c>
      <c r="B58" s="45" t="s">
        <v>1538</v>
      </c>
      <c r="C58" s="45" t="s">
        <v>787</v>
      </c>
      <c r="D58" s="14">
        <v>550</v>
      </c>
      <c r="E58" s="7">
        <v>5487.9549999999999</v>
      </c>
      <c r="F58" s="7">
        <f t="shared" si="0"/>
        <v>0.32507765643275438</v>
      </c>
    </row>
    <row r="59" spans="1:6" x14ac:dyDescent="0.2">
      <c r="A59" s="45" t="s">
        <v>830</v>
      </c>
      <c r="B59" s="45" t="s">
        <v>1539</v>
      </c>
      <c r="C59" s="45" t="s">
        <v>708</v>
      </c>
      <c r="D59" s="14">
        <v>550</v>
      </c>
      <c r="E59" s="7">
        <v>5297.7430000000004</v>
      </c>
      <c r="F59" s="7">
        <f t="shared" si="0"/>
        <v>0.3138104956806369</v>
      </c>
    </row>
    <row r="60" spans="1:6" x14ac:dyDescent="0.2">
      <c r="A60" s="45" t="s">
        <v>831</v>
      </c>
      <c r="B60" s="45" t="s">
        <v>1540</v>
      </c>
      <c r="C60" s="45" t="s">
        <v>688</v>
      </c>
      <c r="D60" s="14">
        <v>550</v>
      </c>
      <c r="E60" s="7">
        <v>5259.65</v>
      </c>
      <c r="F60" s="7">
        <f t="shared" si="0"/>
        <v>0.31155406625173432</v>
      </c>
    </row>
    <row r="61" spans="1:6" x14ac:dyDescent="0.2">
      <c r="A61" s="45" t="s">
        <v>701</v>
      </c>
      <c r="B61" s="45" t="s">
        <v>1446</v>
      </c>
      <c r="C61" s="45" t="s">
        <v>690</v>
      </c>
      <c r="D61" s="14">
        <v>500</v>
      </c>
      <c r="E61" s="7">
        <v>5190.5950000000003</v>
      </c>
      <c r="F61" s="7">
        <f t="shared" si="0"/>
        <v>0.30746361041436615</v>
      </c>
    </row>
    <row r="62" spans="1:6" x14ac:dyDescent="0.2">
      <c r="A62" s="45" t="s">
        <v>832</v>
      </c>
      <c r="B62" s="45" t="s">
        <v>1541</v>
      </c>
      <c r="C62" s="45" t="s">
        <v>686</v>
      </c>
      <c r="D62" s="14">
        <v>500</v>
      </c>
      <c r="E62" s="7">
        <v>5100.3450000000003</v>
      </c>
      <c r="F62" s="7">
        <f t="shared" si="0"/>
        <v>0.30211767399669215</v>
      </c>
    </row>
    <row r="63" spans="1:6" x14ac:dyDescent="0.2">
      <c r="A63" s="45" t="s">
        <v>833</v>
      </c>
      <c r="B63" s="45" t="s">
        <v>1542</v>
      </c>
      <c r="C63" s="45" t="s">
        <v>686</v>
      </c>
      <c r="D63" s="14">
        <v>500</v>
      </c>
      <c r="E63" s="7">
        <v>5096.4350000000004</v>
      </c>
      <c r="F63" s="7">
        <f t="shared" si="0"/>
        <v>0.30188606611422009</v>
      </c>
    </row>
    <row r="64" spans="1:6" x14ac:dyDescent="0.2">
      <c r="A64" s="45" t="s">
        <v>834</v>
      </c>
      <c r="B64" s="45" t="s">
        <v>1543</v>
      </c>
      <c r="C64" s="45" t="s">
        <v>696</v>
      </c>
      <c r="D64" s="14">
        <v>500</v>
      </c>
      <c r="E64" s="7">
        <v>5052.9449999999997</v>
      </c>
      <c r="F64" s="7">
        <f t="shared" si="0"/>
        <v>0.29930994672580297</v>
      </c>
    </row>
    <row r="65" spans="1:6" x14ac:dyDescent="0.2">
      <c r="A65" s="45" t="s">
        <v>835</v>
      </c>
      <c r="B65" s="45" t="s">
        <v>1544</v>
      </c>
      <c r="C65" s="45" t="s">
        <v>714</v>
      </c>
      <c r="D65" s="14">
        <v>500</v>
      </c>
      <c r="E65" s="7">
        <v>5018.9449999999997</v>
      </c>
      <c r="F65" s="7">
        <f t="shared" si="0"/>
        <v>0.29729596513908918</v>
      </c>
    </row>
    <row r="66" spans="1:6" x14ac:dyDescent="0.2">
      <c r="A66" s="45" t="s">
        <v>836</v>
      </c>
      <c r="B66" s="45" t="s">
        <v>1544</v>
      </c>
      <c r="C66" s="45" t="s">
        <v>714</v>
      </c>
      <c r="D66" s="14">
        <v>500</v>
      </c>
      <c r="E66" s="7">
        <v>5007.8500000000004</v>
      </c>
      <c r="F66" s="7">
        <f t="shared" si="0"/>
        <v>0.2966387555595425</v>
      </c>
    </row>
    <row r="67" spans="1:6" x14ac:dyDescent="0.2">
      <c r="A67" s="45" t="s">
        <v>730</v>
      </c>
      <c r="B67" s="45" t="s">
        <v>1467</v>
      </c>
      <c r="C67" s="45" t="s">
        <v>682</v>
      </c>
      <c r="D67" s="14">
        <v>360</v>
      </c>
      <c r="E67" s="7">
        <v>3724.0632000000001</v>
      </c>
      <c r="F67" s="7">
        <f t="shared" si="0"/>
        <v>0.22059396213406704</v>
      </c>
    </row>
    <row r="68" spans="1:6" x14ac:dyDescent="0.2">
      <c r="A68" s="45" t="s">
        <v>837</v>
      </c>
      <c r="B68" s="45" t="s">
        <v>1545</v>
      </c>
      <c r="C68" s="45" t="s">
        <v>712</v>
      </c>
      <c r="D68" s="14">
        <v>500</v>
      </c>
      <c r="E68" s="7">
        <v>3709.92</v>
      </c>
      <c r="F68" s="7">
        <f t="shared" si="0"/>
        <v>0.21975619318179615</v>
      </c>
    </row>
    <row r="69" spans="1:6" x14ac:dyDescent="0.2">
      <c r="A69" s="45" t="s">
        <v>716</v>
      </c>
      <c r="B69" s="45" t="s">
        <v>1456</v>
      </c>
      <c r="C69" s="45" t="s">
        <v>686</v>
      </c>
      <c r="D69" s="14">
        <v>350</v>
      </c>
      <c r="E69" s="7">
        <v>3639.4854999999998</v>
      </c>
      <c r="F69" s="7">
        <f t="shared" si="0"/>
        <v>0.21558402300328469</v>
      </c>
    </row>
    <row r="70" spans="1:6" x14ac:dyDescent="0.2">
      <c r="A70" s="45" t="s">
        <v>838</v>
      </c>
      <c r="B70" s="45" t="s">
        <v>1546</v>
      </c>
      <c r="C70" s="45" t="s">
        <v>696</v>
      </c>
      <c r="D70" s="14">
        <v>300</v>
      </c>
      <c r="E70" s="7">
        <v>3011.7959999999998</v>
      </c>
      <c r="F70" s="7">
        <f t="shared" si="0"/>
        <v>0.17840299079229766</v>
      </c>
    </row>
    <row r="71" spans="1:6" x14ac:dyDescent="0.2">
      <c r="A71" s="45" t="s">
        <v>839</v>
      </c>
      <c r="B71" s="45" t="s">
        <v>1547</v>
      </c>
      <c r="C71" s="45" t="s">
        <v>688</v>
      </c>
      <c r="D71" s="14">
        <v>300000</v>
      </c>
      <c r="E71" s="7">
        <v>2880.6840000000002</v>
      </c>
      <c r="F71" s="7">
        <f t="shared" si="0"/>
        <v>0.17063660391590904</v>
      </c>
    </row>
    <row r="72" spans="1:6" x14ac:dyDescent="0.2">
      <c r="A72" s="45" t="s">
        <v>840</v>
      </c>
      <c r="B72" s="45" t="s">
        <v>1548</v>
      </c>
      <c r="C72" s="45" t="s">
        <v>698</v>
      </c>
      <c r="D72" s="14">
        <v>280</v>
      </c>
      <c r="E72" s="7">
        <v>2792.6080000000002</v>
      </c>
      <c r="F72" s="7">
        <f t="shared" si="0"/>
        <v>0.16541944385027965</v>
      </c>
    </row>
    <row r="73" spans="1:6" x14ac:dyDescent="0.2">
      <c r="A73" s="45" t="s">
        <v>841</v>
      </c>
      <c r="B73" s="45" t="s">
        <v>1549</v>
      </c>
      <c r="C73" s="45" t="s">
        <v>696</v>
      </c>
      <c r="D73" s="14">
        <v>250</v>
      </c>
      <c r="E73" s="7">
        <v>2526.0450000000001</v>
      </c>
      <c r="F73" s="7">
        <f t="shared" ref="F73:F90" si="1">E73/$E$144*100</f>
        <v>0.14962965050618621</v>
      </c>
    </row>
    <row r="74" spans="1:6" x14ac:dyDescent="0.2">
      <c r="A74" s="45" t="s">
        <v>842</v>
      </c>
      <c r="B74" s="45" t="s">
        <v>1550</v>
      </c>
      <c r="C74" s="45" t="s">
        <v>728</v>
      </c>
      <c r="D74" s="14">
        <v>250</v>
      </c>
      <c r="E74" s="7">
        <v>2501.8525</v>
      </c>
      <c r="F74" s="7">
        <f t="shared" si="1"/>
        <v>0.14819661375511051</v>
      </c>
    </row>
    <row r="75" spans="1:6" x14ac:dyDescent="0.2">
      <c r="A75" s="45" t="s">
        <v>843</v>
      </c>
      <c r="B75" s="45" t="s">
        <v>1551</v>
      </c>
      <c r="C75" s="45" t="s">
        <v>708</v>
      </c>
      <c r="D75" s="14">
        <v>250</v>
      </c>
      <c r="E75" s="7">
        <v>2498.6750000000002</v>
      </c>
      <c r="F75" s="7">
        <f t="shared" si="1"/>
        <v>0.14800839532888163</v>
      </c>
    </row>
    <row r="76" spans="1:6" x14ac:dyDescent="0.2">
      <c r="A76" s="45" t="s">
        <v>844</v>
      </c>
      <c r="B76" s="45" t="s">
        <v>1552</v>
      </c>
      <c r="C76" s="45" t="s">
        <v>787</v>
      </c>
      <c r="D76" s="14">
        <v>250</v>
      </c>
      <c r="E76" s="7">
        <v>2491.9699999999998</v>
      </c>
      <c r="F76" s="7">
        <f t="shared" si="1"/>
        <v>0.14761122631303114</v>
      </c>
    </row>
    <row r="77" spans="1:6" x14ac:dyDescent="0.2">
      <c r="A77" s="45" t="s">
        <v>845</v>
      </c>
      <c r="B77" s="45" t="s">
        <v>1553</v>
      </c>
      <c r="C77" s="45" t="s">
        <v>696</v>
      </c>
      <c r="D77" s="14">
        <v>250</v>
      </c>
      <c r="E77" s="7">
        <v>2482.2674999999999</v>
      </c>
      <c r="F77" s="7">
        <f t="shared" si="1"/>
        <v>0.14703650112641084</v>
      </c>
    </row>
    <row r="78" spans="1:6" x14ac:dyDescent="0.2">
      <c r="A78" s="45" t="s">
        <v>846</v>
      </c>
      <c r="B78" s="45" t="s">
        <v>1554</v>
      </c>
      <c r="C78" s="45" t="s">
        <v>690</v>
      </c>
      <c r="D78" s="14">
        <v>241</v>
      </c>
      <c r="E78" s="7">
        <v>2410.3952399999998</v>
      </c>
      <c r="F78" s="7">
        <f t="shared" si="1"/>
        <v>0.14277916559007253</v>
      </c>
    </row>
    <row r="79" spans="1:6" x14ac:dyDescent="0.2">
      <c r="A79" s="45" t="s">
        <v>847</v>
      </c>
      <c r="B79" s="45" t="s">
        <v>1555</v>
      </c>
      <c r="C79" s="45" t="s">
        <v>755</v>
      </c>
      <c r="D79" s="14">
        <v>200</v>
      </c>
      <c r="E79" s="7">
        <v>1980.52</v>
      </c>
      <c r="F79" s="7">
        <f t="shared" si="1"/>
        <v>0.11731561212112686</v>
      </c>
    </row>
    <row r="80" spans="1:6" x14ac:dyDescent="0.2">
      <c r="A80" s="45" t="s">
        <v>848</v>
      </c>
      <c r="B80" s="45" t="s">
        <v>1556</v>
      </c>
      <c r="C80" s="45" t="s">
        <v>688</v>
      </c>
      <c r="D80" s="14">
        <v>200</v>
      </c>
      <c r="E80" s="7">
        <v>1944.39</v>
      </c>
      <c r="F80" s="7">
        <f t="shared" si="1"/>
        <v>0.11517546051148075</v>
      </c>
    </row>
    <row r="81" spans="1:6" x14ac:dyDescent="0.2">
      <c r="A81" s="45" t="s">
        <v>849</v>
      </c>
      <c r="B81" s="45" t="s">
        <v>1557</v>
      </c>
      <c r="C81" s="45" t="s">
        <v>696</v>
      </c>
      <c r="D81" s="14">
        <v>192500</v>
      </c>
      <c r="E81" s="7">
        <v>1904.0868</v>
      </c>
      <c r="F81" s="7">
        <f t="shared" si="1"/>
        <v>0.11278811043249129</v>
      </c>
    </row>
    <row r="82" spans="1:6" x14ac:dyDescent="0.2">
      <c r="A82" s="45" t="s">
        <v>850</v>
      </c>
      <c r="B82" s="45" t="s">
        <v>1558</v>
      </c>
      <c r="C82" s="45" t="s">
        <v>755</v>
      </c>
      <c r="D82" s="14">
        <v>150</v>
      </c>
      <c r="E82" s="7">
        <v>1534.1505</v>
      </c>
      <c r="F82" s="7">
        <f t="shared" si="1"/>
        <v>9.0875025242579122E-2</v>
      </c>
    </row>
    <row r="83" spans="1:6" x14ac:dyDescent="0.2">
      <c r="A83" s="45" t="s">
        <v>851</v>
      </c>
      <c r="B83" s="45" t="s">
        <v>1559</v>
      </c>
      <c r="C83" s="45" t="s">
        <v>686</v>
      </c>
      <c r="D83" s="14">
        <v>141</v>
      </c>
      <c r="E83" s="7">
        <v>1415.7669000000001</v>
      </c>
      <c r="F83" s="7">
        <f t="shared" si="1"/>
        <v>8.3862601990553093E-2</v>
      </c>
    </row>
    <row r="84" spans="1:6" x14ac:dyDescent="0.2">
      <c r="A84" s="45" t="s">
        <v>852</v>
      </c>
      <c r="B84" s="45" t="s">
        <v>1560</v>
      </c>
      <c r="C84" s="45" t="s">
        <v>708</v>
      </c>
      <c r="D84" s="14">
        <v>70</v>
      </c>
      <c r="E84" s="7">
        <v>714.17079999999999</v>
      </c>
      <c r="F84" s="7">
        <f t="shared" si="1"/>
        <v>4.2303730616724322E-2</v>
      </c>
    </row>
    <row r="85" spans="1:6" x14ac:dyDescent="0.2">
      <c r="A85" s="45" t="s">
        <v>853</v>
      </c>
      <c r="B85" s="45" t="s">
        <v>1561</v>
      </c>
      <c r="C85" s="45" t="s">
        <v>698</v>
      </c>
      <c r="D85" s="14">
        <v>70</v>
      </c>
      <c r="E85" s="7">
        <v>673.00450000000001</v>
      </c>
      <c r="F85" s="7">
        <f t="shared" si="1"/>
        <v>3.9865255022808611E-2</v>
      </c>
    </row>
    <row r="86" spans="1:6" x14ac:dyDescent="0.2">
      <c r="A86" s="45" t="s">
        <v>854</v>
      </c>
      <c r="B86" s="45" t="s">
        <v>1562</v>
      </c>
      <c r="C86" s="45" t="s">
        <v>686</v>
      </c>
      <c r="D86" s="14">
        <v>60</v>
      </c>
      <c r="E86" s="7">
        <v>612.12599999999998</v>
      </c>
      <c r="F86" s="7">
        <f t="shared" si="1"/>
        <v>3.6259132139668818E-2</v>
      </c>
    </row>
    <row r="87" spans="1:6" x14ac:dyDescent="0.2">
      <c r="A87" s="45" t="s">
        <v>706</v>
      </c>
      <c r="B87" s="45" t="s">
        <v>1449</v>
      </c>
      <c r="C87" s="45" t="s">
        <v>692</v>
      </c>
      <c r="D87" s="14">
        <v>61</v>
      </c>
      <c r="E87" s="7">
        <v>608.29871000000003</v>
      </c>
      <c r="F87" s="7">
        <f t="shared" si="1"/>
        <v>3.6032423563580183E-2</v>
      </c>
    </row>
    <row r="88" spans="1:6" x14ac:dyDescent="0.2">
      <c r="A88" s="45" t="s">
        <v>855</v>
      </c>
      <c r="B88" s="45" t="s">
        <v>1563</v>
      </c>
      <c r="C88" s="45" t="s">
        <v>708</v>
      </c>
      <c r="D88" s="14">
        <v>50</v>
      </c>
      <c r="E88" s="7">
        <v>497.73599999999999</v>
      </c>
      <c r="F88" s="7">
        <f t="shared" si="1"/>
        <v>2.9483268795428064E-2</v>
      </c>
    </row>
    <row r="89" spans="1:6" x14ac:dyDescent="0.2">
      <c r="A89" s="45" t="s">
        <v>856</v>
      </c>
      <c r="B89" s="45" t="s">
        <v>1564</v>
      </c>
      <c r="C89" s="45" t="s">
        <v>686</v>
      </c>
      <c r="D89" s="14">
        <v>50</v>
      </c>
      <c r="E89" s="7">
        <v>493.47649999999999</v>
      </c>
      <c r="F89" s="7">
        <f t="shared" si="1"/>
        <v>2.9230958366939615E-2</v>
      </c>
    </row>
    <row r="90" spans="1:6" x14ac:dyDescent="0.2">
      <c r="A90" s="45" t="s">
        <v>857</v>
      </c>
      <c r="B90" s="45" t="s">
        <v>1565</v>
      </c>
      <c r="C90" s="45" t="s">
        <v>686</v>
      </c>
      <c r="D90" s="14">
        <v>47</v>
      </c>
      <c r="E90" s="7">
        <v>473.33183000000002</v>
      </c>
      <c r="F90" s="7">
        <f t="shared" si="1"/>
        <v>2.8037693824280067E-2</v>
      </c>
    </row>
    <row r="91" spans="1:6" x14ac:dyDescent="0.2">
      <c r="A91" s="26" t="s">
        <v>44</v>
      </c>
      <c r="B91" s="45"/>
      <c r="C91" s="45"/>
      <c r="D91" s="14"/>
      <c r="E91" s="6">
        <f>SUM(E8:E90)</f>
        <v>1040842.1514700003</v>
      </c>
      <c r="F91" s="6">
        <f>SUM(F8:F90)</f>
        <v>61.654027286355941</v>
      </c>
    </row>
    <row r="92" spans="1:6" x14ac:dyDescent="0.2">
      <c r="A92" s="45"/>
      <c r="B92" s="45"/>
      <c r="C92" s="45"/>
      <c r="D92" s="14"/>
      <c r="E92" s="7"/>
      <c r="F92" s="7"/>
    </row>
    <row r="93" spans="1:6" x14ac:dyDescent="0.2">
      <c r="A93" s="26" t="s">
        <v>732</v>
      </c>
      <c r="B93" s="45"/>
      <c r="C93" s="45"/>
      <c r="D93" s="14"/>
      <c r="E93" s="7"/>
      <c r="F93" s="7"/>
    </row>
    <row r="94" spans="1:6" x14ac:dyDescent="0.2">
      <c r="A94" s="45" t="s">
        <v>748</v>
      </c>
      <c r="B94" s="45" t="s">
        <v>1477</v>
      </c>
      <c r="C94" s="45" t="s">
        <v>749</v>
      </c>
      <c r="D94" s="14">
        <v>7990</v>
      </c>
      <c r="E94" s="7">
        <v>71139.364499999996</v>
      </c>
      <c r="F94" s="7">
        <f t="shared" ref="F94:F122" si="2">E94/$E$144*100</f>
        <v>4.2139226527505205</v>
      </c>
    </row>
    <row r="95" spans="1:6" x14ac:dyDescent="0.2">
      <c r="A95" s="45" t="s">
        <v>858</v>
      </c>
      <c r="B95" s="45" t="s">
        <v>1566</v>
      </c>
      <c r="C95" s="45" t="s">
        <v>696</v>
      </c>
      <c r="D95" s="14">
        <v>3900</v>
      </c>
      <c r="E95" s="7">
        <v>39085.644</v>
      </c>
      <c r="F95" s="7">
        <f t="shared" si="2"/>
        <v>2.3152284506131968</v>
      </c>
    </row>
    <row r="96" spans="1:6" x14ac:dyDescent="0.2">
      <c r="A96" s="45" t="s">
        <v>859</v>
      </c>
      <c r="B96" s="45" t="s">
        <v>1567</v>
      </c>
      <c r="C96" s="45" t="s">
        <v>860</v>
      </c>
      <c r="D96" s="14">
        <v>3500</v>
      </c>
      <c r="E96" s="7">
        <v>34991.705000000002</v>
      </c>
      <c r="F96" s="7">
        <f t="shared" si="2"/>
        <v>2.072724986991747</v>
      </c>
    </row>
    <row r="97" spans="1:6" x14ac:dyDescent="0.2">
      <c r="A97" s="45" t="s">
        <v>861</v>
      </c>
      <c r="B97" s="45" t="s">
        <v>1568</v>
      </c>
      <c r="C97" s="45" t="s">
        <v>860</v>
      </c>
      <c r="D97" s="14">
        <v>3450</v>
      </c>
      <c r="E97" s="7">
        <v>34486.441500000001</v>
      </c>
      <c r="F97" s="7">
        <f t="shared" si="2"/>
        <v>2.0427958285964958</v>
      </c>
    </row>
    <row r="98" spans="1:6" x14ac:dyDescent="0.2">
      <c r="A98" s="45" t="s">
        <v>862</v>
      </c>
      <c r="B98" s="45" t="s">
        <v>1569</v>
      </c>
      <c r="C98" s="45" t="s">
        <v>696</v>
      </c>
      <c r="D98" s="14">
        <v>2350</v>
      </c>
      <c r="E98" s="7">
        <v>23573.4375</v>
      </c>
      <c r="F98" s="7">
        <f t="shared" si="2"/>
        <v>1.3963667370749229</v>
      </c>
    </row>
    <row r="99" spans="1:6" x14ac:dyDescent="0.2">
      <c r="A99" s="45" t="s">
        <v>863</v>
      </c>
      <c r="B99" s="45" t="s">
        <v>1570</v>
      </c>
      <c r="C99" s="45" t="s">
        <v>860</v>
      </c>
      <c r="D99" s="14">
        <v>2350</v>
      </c>
      <c r="E99" s="7">
        <v>23486.440500000001</v>
      </c>
      <c r="F99" s="7">
        <f t="shared" si="2"/>
        <v>1.3912134913072953</v>
      </c>
    </row>
    <row r="100" spans="1:6" x14ac:dyDescent="0.2">
      <c r="A100" s="45" t="s">
        <v>864</v>
      </c>
      <c r="B100" s="45" t="s">
        <v>1571</v>
      </c>
      <c r="C100" s="45" t="s">
        <v>712</v>
      </c>
      <c r="D100" s="14">
        <v>1700</v>
      </c>
      <c r="E100" s="7">
        <v>22505.008000000002</v>
      </c>
      <c r="F100" s="7">
        <f t="shared" si="2"/>
        <v>1.3330785800248708</v>
      </c>
    </row>
    <row r="101" spans="1:6" x14ac:dyDescent="0.2">
      <c r="A101" s="45" t="s">
        <v>865</v>
      </c>
      <c r="B101" s="45" t="s">
        <v>1572</v>
      </c>
      <c r="C101" s="45" t="s">
        <v>696</v>
      </c>
      <c r="D101" s="14">
        <v>2000</v>
      </c>
      <c r="E101" s="7">
        <v>20057.22</v>
      </c>
      <c r="F101" s="7">
        <f t="shared" si="2"/>
        <v>1.1880844635490213</v>
      </c>
    </row>
    <row r="102" spans="1:6" x14ac:dyDescent="0.2">
      <c r="A102" s="45" t="s">
        <v>753</v>
      </c>
      <c r="B102" s="45" t="s">
        <v>1481</v>
      </c>
      <c r="C102" s="45" t="s">
        <v>705</v>
      </c>
      <c r="D102" s="14">
        <v>20127</v>
      </c>
      <c r="E102" s="7">
        <v>19443.426699</v>
      </c>
      <c r="F102" s="7">
        <f t="shared" si="2"/>
        <v>1.1517265692471905</v>
      </c>
    </row>
    <row r="103" spans="1:6" x14ac:dyDescent="0.2">
      <c r="A103" s="45" t="s">
        <v>866</v>
      </c>
      <c r="B103" s="45" t="s">
        <v>1573</v>
      </c>
      <c r="C103" s="45" t="s">
        <v>712</v>
      </c>
      <c r="D103" s="14">
        <v>1150</v>
      </c>
      <c r="E103" s="7">
        <v>15223.976000000001</v>
      </c>
      <c r="F103" s="7">
        <f t="shared" si="2"/>
        <v>0.90178845119329476</v>
      </c>
    </row>
    <row r="104" spans="1:6" x14ac:dyDescent="0.2">
      <c r="A104" s="45" t="s">
        <v>867</v>
      </c>
      <c r="B104" s="45" t="s">
        <v>1574</v>
      </c>
      <c r="C104" s="45" t="s">
        <v>860</v>
      </c>
      <c r="D104" s="14">
        <v>1500</v>
      </c>
      <c r="E104" s="7">
        <v>14994.375</v>
      </c>
      <c r="F104" s="7">
        <f t="shared" si="2"/>
        <v>0.88818809277296928</v>
      </c>
    </row>
    <row r="105" spans="1:6" x14ac:dyDescent="0.2">
      <c r="A105" s="45" t="s">
        <v>868</v>
      </c>
      <c r="B105" s="45" t="s">
        <v>1575</v>
      </c>
      <c r="C105" s="45" t="s">
        <v>712</v>
      </c>
      <c r="D105" s="14">
        <v>890</v>
      </c>
      <c r="E105" s="7">
        <v>12522.967500000001</v>
      </c>
      <c r="F105" s="7">
        <f t="shared" si="2"/>
        <v>0.74179488105925595</v>
      </c>
    </row>
    <row r="106" spans="1:6" x14ac:dyDescent="0.2">
      <c r="A106" s="45" t="s">
        <v>869</v>
      </c>
      <c r="B106" s="45" t="s">
        <v>1576</v>
      </c>
      <c r="C106" s="45" t="s">
        <v>705</v>
      </c>
      <c r="D106" s="14">
        <v>1190</v>
      </c>
      <c r="E106" s="7">
        <v>11773.990900000001</v>
      </c>
      <c r="F106" s="7">
        <f t="shared" si="2"/>
        <v>0.69742943749221276</v>
      </c>
    </row>
    <row r="107" spans="1:6" x14ac:dyDescent="0.2">
      <c r="A107" s="45" t="s">
        <v>870</v>
      </c>
      <c r="B107" s="45" t="s">
        <v>1577</v>
      </c>
      <c r="C107" s="45" t="s">
        <v>779</v>
      </c>
      <c r="D107" s="14">
        <v>1150</v>
      </c>
      <c r="E107" s="7">
        <v>11508.3145</v>
      </c>
      <c r="F107" s="7">
        <f t="shared" si="2"/>
        <v>0.68169216167973057</v>
      </c>
    </row>
    <row r="108" spans="1:6" x14ac:dyDescent="0.2">
      <c r="A108" s="45" t="s">
        <v>871</v>
      </c>
      <c r="B108" s="45" t="s">
        <v>1578</v>
      </c>
      <c r="C108" s="45" t="s">
        <v>872</v>
      </c>
      <c r="D108" s="14">
        <v>650</v>
      </c>
      <c r="E108" s="7">
        <v>11349.201499999999</v>
      </c>
      <c r="F108" s="7">
        <f t="shared" si="2"/>
        <v>0.67226714249717801</v>
      </c>
    </row>
    <row r="109" spans="1:6" x14ac:dyDescent="0.2">
      <c r="A109" s="45" t="s">
        <v>764</v>
      </c>
      <c r="B109" s="45" t="s">
        <v>1487</v>
      </c>
      <c r="C109" s="45" t="s">
        <v>765</v>
      </c>
      <c r="D109" s="14">
        <v>1100</v>
      </c>
      <c r="E109" s="7">
        <v>11046.97</v>
      </c>
      <c r="F109" s="7">
        <f t="shared" si="2"/>
        <v>0.65436453438174036</v>
      </c>
    </row>
    <row r="110" spans="1:6" x14ac:dyDescent="0.2">
      <c r="A110" s="45" t="s">
        <v>873</v>
      </c>
      <c r="B110" s="45" t="s">
        <v>1579</v>
      </c>
      <c r="C110" s="45" t="s">
        <v>696</v>
      </c>
      <c r="D110" s="14">
        <v>1000</v>
      </c>
      <c r="E110" s="7">
        <v>10067.84</v>
      </c>
      <c r="F110" s="7">
        <f t="shared" si="2"/>
        <v>0.59636601111706311</v>
      </c>
    </row>
    <row r="111" spans="1:6" x14ac:dyDescent="0.2">
      <c r="A111" s="45" t="s">
        <v>874</v>
      </c>
      <c r="B111" s="45" t="s">
        <v>1580</v>
      </c>
      <c r="C111" s="45" t="s">
        <v>696</v>
      </c>
      <c r="D111" s="14">
        <v>1000</v>
      </c>
      <c r="E111" s="7">
        <v>10066.65</v>
      </c>
      <c r="F111" s="7">
        <f t="shared" si="2"/>
        <v>0.59629552176152811</v>
      </c>
    </row>
    <row r="112" spans="1:6" x14ac:dyDescent="0.2">
      <c r="A112" s="45" t="s">
        <v>875</v>
      </c>
      <c r="B112" s="45" t="s">
        <v>1581</v>
      </c>
      <c r="C112" s="45" t="s">
        <v>696</v>
      </c>
      <c r="D112" s="14">
        <v>1000</v>
      </c>
      <c r="E112" s="7">
        <v>10062.31</v>
      </c>
      <c r="F112" s="7">
        <f t="shared" si="2"/>
        <v>0.59603844293545927</v>
      </c>
    </row>
    <row r="113" spans="1:6" x14ac:dyDescent="0.2">
      <c r="A113" s="45" t="s">
        <v>876</v>
      </c>
      <c r="B113" s="45" t="s">
        <v>1582</v>
      </c>
      <c r="C113" s="45" t="s">
        <v>696</v>
      </c>
      <c r="D113" s="14">
        <v>1000</v>
      </c>
      <c r="E113" s="7">
        <v>10055.83</v>
      </c>
      <c r="F113" s="7">
        <f t="shared" si="2"/>
        <v>0.5956546017389327</v>
      </c>
    </row>
    <row r="114" spans="1:6" x14ac:dyDescent="0.2">
      <c r="A114" s="45" t="s">
        <v>877</v>
      </c>
      <c r="B114" s="45" t="s">
        <v>1583</v>
      </c>
      <c r="C114" s="45" t="s">
        <v>779</v>
      </c>
      <c r="D114" s="14">
        <v>950</v>
      </c>
      <c r="E114" s="7">
        <v>9535.3875000000007</v>
      </c>
      <c r="F114" s="7">
        <f t="shared" si="2"/>
        <v>0.56482631903471892</v>
      </c>
    </row>
    <row r="115" spans="1:6" x14ac:dyDescent="0.2">
      <c r="A115" s="45" t="s">
        <v>878</v>
      </c>
      <c r="B115" s="45" t="s">
        <v>1584</v>
      </c>
      <c r="C115" s="45" t="s">
        <v>696</v>
      </c>
      <c r="D115" s="14">
        <v>900</v>
      </c>
      <c r="E115" s="7">
        <v>9048.69</v>
      </c>
      <c r="F115" s="7">
        <f t="shared" si="2"/>
        <v>0.53599691305531849</v>
      </c>
    </row>
    <row r="116" spans="1:6" x14ac:dyDescent="0.2">
      <c r="A116" s="45" t="s">
        <v>879</v>
      </c>
      <c r="B116" s="45" t="s">
        <v>1585</v>
      </c>
      <c r="C116" s="45" t="s">
        <v>740</v>
      </c>
      <c r="D116" s="14">
        <v>850</v>
      </c>
      <c r="E116" s="7">
        <v>8671.5640000000003</v>
      </c>
      <c r="F116" s="7">
        <f t="shared" si="2"/>
        <v>0.51365794776499474</v>
      </c>
    </row>
    <row r="117" spans="1:6" x14ac:dyDescent="0.2">
      <c r="A117" s="45" t="s">
        <v>880</v>
      </c>
      <c r="B117" s="45" t="s">
        <v>1586</v>
      </c>
      <c r="C117" s="45" t="s">
        <v>684</v>
      </c>
      <c r="D117" s="14">
        <v>836</v>
      </c>
      <c r="E117" s="7">
        <v>8353.47084</v>
      </c>
      <c r="F117" s="7">
        <f t="shared" si="2"/>
        <v>0.49481577814441846</v>
      </c>
    </row>
    <row r="118" spans="1:6" x14ac:dyDescent="0.2">
      <c r="A118" s="45" t="s">
        <v>881</v>
      </c>
      <c r="B118" s="45" t="s">
        <v>1587</v>
      </c>
      <c r="C118" s="45" t="s">
        <v>738</v>
      </c>
      <c r="D118" s="14">
        <v>260</v>
      </c>
      <c r="E118" s="7">
        <v>4116.4422000000004</v>
      </c>
      <c r="F118" s="7">
        <f t="shared" si="2"/>
        <v>0.24383643510504216</v>
      </c>
    </row>
    <row r="119" spans="1:6" x14ac:dyDescent="0.2">
      <c r="A119" s="45" t="s">
        <v>882</v>
      </c>
      <c r="B119" s="45" t="s">
        <v>1588</v>
      </c>
      <c r="C119" s="45" t="s">
        <v>738</v>
      </c>
      <c r="D119" s="14">
        <v>257</v>
      </c>
      <c r="E119" s="7">
        <v>4091.0416500000001</v>
      </c>
      <c r="F119" s="7">
        <f t="shared" si="2"/>
        <v>0.24233183981114798</v>
      </c>
    </row>
    <row r="120" spans="1:6" x14ac:dyDescent="0.2">
      <c r="A120" s="45" t="s">
        <v>883</v>
      </c>
      <c r="B120" s="45" t="s">
        <v>1589</v>
      </c>
      <c r="C120" s="45" t="s">
        <v>734</v>
      </c>
      <c r="D120" s="14">
        <v>400</v>
      </c>
      <c r="E120" s="7">
        <v>4026.9079999999999</v>
      </c>
      <c r="F120" s="7">
        <f t="shared" si="2"/>
        <v>0.23853289892324372</v>
      </c>
    </row>
    <row r="121" spans="1:6" x14ac:dyDescent="0.2">
      <c r="A121" s="45" t="s">
        <v>884</v>
      </c>
      <c r="B121" s="45" t="s">
        <v>1590</v>
      </c>
      <c r="C121" s="45" t="s">
        <v>705</v>
      </c>
      <c r="D121" s="14">
        <v>2500</v>
      </c>
      <c r="E121" s="7">
        <v>1588.47</v>
      </c>
      <c r="F121" s="7">
        <f t="shared" si="2"/>
        <v>9.4092627383740815E-2</v>
      </c>
    </row>
    <row r="122" spans="1:6" x14ac:dyDescent="0.2">
      <c r="A122" s="45" t="s">
        <v>885</v>
      </c>
      <c r="B122" s="45" t="s">
        <v>1591</v>
      </c>
      <c r="C122" s="45" t="s">
        <v>728</v>
      </c>
      <c r="D122" s="14">
        <v>7</v>
      </c>
      <c r="E122" s="7">
        <v>875.26179999999999</v>
      </c>
      <c r="F122" s="7">
        <f t="shared" si="2"/>
        <v>5.1845916139821507E-2</v>
      </c>
    </row>
    <row r="123" spans="1:6" x14ac:dyDescent="0.2">
      <c r="A123" s="26" t="s">
        <v>44</v>
      </c>
      <c r="B123" s="45"/>
      <c r="C123" s="45"/>
      <c r="D123" s="14"/>
      <c r="E123" s="6">
        <f>SUM(E94:E122)</f>
        <v>467748.34908900014</v>
      </c>
      <c r="F123" s="6">
        <f>SUM(F94:F122)</f>
        <v>27.706957714147066</v>
      </c>
    </row>
    <row r="124" spans="1:6" x14ac:dyDescent="0.2">
      <c r="A124" s="45"/>
      <c r="B124" s="45"/>
      <c r="C124" s="45"/>
      <c r="D124" s="14"/>
      <c r="E124" s="7"/>
      <c r="F124" s="7"/>
    </row>
    <row r="125" spans="1:6" x14ac:dyDescent="0.2">
      <c r="A125" s="26" t="s">
        <v>886</v>
      </c>
      <c r="B125" s="45"/>
      <c r="C125" s="45"/>
      <c r="D125" s="14"/>
      <c r="E125" s="7"/>
      <c r="F125" s="7"/>
    </row>
    <row r="126" spans="1:6" x14ac:dyDescent="0.2">
      <c r="A126" s="26" t="s">
        <v>887</v>
      </c>
      <c r="B126" s="45"/>
      <c r="C126" s="45"/>
      <c r="D126" s="14"/>
      <c r="E126" s="7"/>
      <c r="F126" s="7"/>
    </row>
    <row r="127" spans="1:6" x14ac:dyDescent="0.2">
      <c r="A127" s="45" t="s">
        <v>888</v>
      </c>
      <c r="B127" s="45" t="s">
        <v>1592</v>
      </c>
      <c r="C127" s="45" t="s">
        <v>889</v>
      </c>
      <c r="D127" s="14">
        <v>100</v>
      </c>
      <c r="E127" s="7">
        <v>99.063599999999994</v>
      </c>
      <c r="F127" s="7">
        <f t="shared" ref="F127" si="3">E127/$E$144*100</f>
        <v>5.8680078327522376E-3</v>
      </c>
    </row>
    <row r="128" spans="1:6" x14ac:dyDescent="0.2">
      <c r="A128" s="26" t="s">
        <v>44</v>
      </c>
      <c r="B128" s="45"/>
      <c r="C128" s="45"/>
      <c r="D128" s="14"/>
      <c r="E128" s="6">
        <f>SUM(E127)</f>
        <v>99.063599999999994</v>
      </c>
      <c r="F128" s="6">
        <f>SUM(F127)</f>
        <v>5.8680078327522376E-3</v>
      </c>
    </row>
    <row r="129" spans="1:6" x14ac:dyDescent="0.2">
      <c r="A129" s="45"/>
      <c r="B129" s="45"/>
      <c r="C129" s="45"/>
      <c r="D129" s="14"/>
      <c r="E129" s="7"/>
      <c r="F129" s="7"/>
    </row>
    <row r="130" spans="1:6" x14ac:dyDescent="0.2">
      <c r="A130" s="26" t="s">
        <v>890</v>
      </c>
      <c r="B130" s="45"/>
      <c r="C130" s="45"/>
      <c r="D130" s="14"/>
      <c r="E130" s="7"/>
      <c r="F130" s="7"/>
    </row>
    <row r="131" spans="1:6" x14ac:dyDescent="0.2">
      <c r="A131" s="45" t="s">
        <v>891</v>
      </c>
      <c r="B131" s="45" t="s">
        <v>1593</v>
      </c>
      <c r="C131" s="45" t="s">
        <v>892</v>
      </c>
      <c r="D131" s="14">
        <v>4500</v>
      </c>
      <c r="E131" s="7">
        <v>22338</v>
      </c>
      <c r="F131" s="7">
        <f t="shared" ref="F131:F137" si="4">E131/$E$144*100</f>
        <v>1.3231859024709327</v>
      </c>
    </row>
    <row r="132" spans="1:6" x14ac:dyDescent="0.2">
      <c r="A132" s="45" t="s">
        <v>893</v>
      </c>
      <c r="B132" s="45" t="s">
        <v>1594</v>
      </c>
      <c r="C132" s="45" t="s">
        <v>894</v>
      </c>
      <c r="D132" s="14">
        <v>3500</v>
      </c>
      <c r="E132" s="7">
        <v>16405.724999999999</v>
      </c>
      <c r="F132" s="7">
        <f t="shared" si="4"/>
        <v>0.97178906078498262</v>
      </c>
    </row>
    <row r="133" spans="1:6" x14ac:dyDescent="0.2">
      <c r="A133" s="45" t="s">
        <v>895</v>
      </c>
      <c r="B133" s="45" t="s">
        <v>1595</v>
      </c>
      <c r="C133" s="45" t="s">
        <v>894</v>
      </c>
      <c r="D133" s="14">
        <v>2000</v>
      </c>
      <c r="E133" s="7">
        <v>9815.7099999999991</v>
      </c>
      <c r="F133" s="7">
        <f t="shared" si="4"/>
        <v>0.58143115295652947</v>
      </c>
    </row>
    <row r="134" spans="1:6" x14ac:dyDescent="0.2">
      <c r="A134" s="45" t="s">
        <v>896</v>
      </c>
      <c r="B134" s="45" t="s">
        <v>1596</v>
      </c>
      <c r="C134" s="45" t="s">
        <v>894</v>
      </c>
      <c r="D134" s="14">
        <v>1000</v>
      </c>
      <c r="E134" s="7">
        <v>4901.5950000000003</v>
      </c>
      <c r="F134" s="7">
        <f t="shared" si="4"/>
        <v>0.29034476692729927</v>
      </c>
    </row>
    <row r="135" spans="1:6" x14ac:dyDescent="0.2">
      <c r="A135" s="45" t="s">
        <v>897</v>
      </c>
      <c r="B135" s="45" t="s">
        <v>1597</v>
      </c>
      <c r="C135" s="45" t="s">
        <v>894</v>
      </c>
      <c r="D135" s="14">
        <v>700</v>
      </c>
      <c r="E135" s="7">
        <v>3285.31</v>
      </c>
      <c r="F135" s="7">
        <f t="shared" si="4"/>
        <v>0.19460452490136895</v>
      </c>
    </row>
    <row r="136" spans="1:6" x14ac:dyDescent="0.2">
      <c r="A136" s="45" t="s">
        <v>898</v>
      </c>
      <c r="B136" s="45" t="s">
        <v>1598</v>
      </c>
      <c r="C136" s="45" t="s">
        <v>894</v>
      </c>
      <c r="D136" s="14">
        <v>500</v>
      </c>
      <c r="E136" s="7">
        <v>2467</v>
      </c>
      <c r="F136" s="7">
        <f t="shared" si="4"/>
        <v>0.14613213454184756</v>
      </c>
    </row>
    <row r="137" spans="1:6" x14ac:dyDescent="0.2">
      <c r="A137" s="45" t="s">
        <v>899</v>
      </c>
      <c r="B137" s="45" t="s">
        <v>1599</v>
      </c>
      <c r="C137" s="45" t="s">
        <v>889</v>
      </c>
      <c r="D137" s="14">
        <v>100</v>
      </c>
      <c r="E137" s="7">
        <v>494.7645</v>
      </c>
      <c r="F137" s="7">
        <f t="shared" si="4"/>
        <v>2.9307252728224539E-2</v>
      </c>
    </row>
    <row r="138" spans="1:6" x14ac:dyDescent="0.2">
      <c r="A138" s="26" t="s">
        <v>44</v>
      </c>
      <c r="B138" s="45"/>
      <c r="C138" s="45"/>
      <c r="D138" s="45"/>
      <c r="E138" s="6">
        <f>SUM(E131:E137)</f>
        <v>59708.104499999994</v>
      </c>
      <c r="F138" s="6">
        <f>SUM(F131:F137)</f>
        <v>3.5367947953111849</v>
      </c>
    </row>
    <row r="139" spans="1:6" x14ac:dyDescent="0.2">
      <c r="A139" s="45"/>
      <c r="B139" s="45"/>
      <c r="C139" s="45"/>
      <c r="D139" s="45"/>
      <c r="E139" s="7"/>
      <c r="F139" s="7"/>
    </row>
    <row r="140" spans="1:6" x14ac:dyDescent="0.2">
      <c r="A140" s="26" t="s">
        <v>44</v>
      </c>
      <c r="B140" s="45"/>
      <c r="C140" s="45"/>
      <c r="D140" s="45"/>
      <c r="E140" s="6">
        <f>E91+E123+E128+E138</f>
        <v>1568397.6686590002</v>
      </c>
      <c r="F140" s="6">
        <f>F91+F123+F128+F138</f>
        <v>92.903647803646933</v>
      </c>
    </row>
    <row r="141" spans="1:6" x14ac:dyDescent="0.2">
      <c r="A141" s="45"/>
      <c r="B141" s="45"/>
      <c r="C141" s="45"/>
      <c r="D141" s="45"/>
      <c r="E141" s="7"/>
      <c r="F141" s="7"/>
    </row>
    <row r="142" spans="1:6" x14ac:dyDescent="0.2">
      <c r="A142" s="26" t="s">
        <v>103</v>
      </c>
      <c r="B142" s="45"/>
      <c r="C142" s="45"/>
      <c r="D142" s="45"/>
      <c r="E142" s="6">
        <v>119800.4868901</v>
      </c>
      <c r="F142" s="6">
        <v>7.1</v>
      </c>
    </row>
    <row r="143" spans="1:6" x14ac:dyDescent="0.2">
      <c r="A143" s="45"/>
      <c r="B143" s="45"/>
      <c r="C143" s="45"/>
      <c r="D143" s="45"/>
      <c r="E143" s="7"/>
      <c r="F143" s="7"/>
    </row>
    <row r="144" spans="1:6" x14ac:dyDescent="0.2">
      <c r="A144" s="46" t="s">
        <v>104</v>
      </c>
      <c r="B144" s="44"/>
      <c r="C144" s="44"/>
      <c r="D144" s="44"/>
      <c r="E144" s="8">
        <f>E140+E142</f>
        <v>1688198.1555491001</v>
      </c>
      <c r="F144" s="8">
        <f>F140+F142</f>
        <v>100.00364780364693</v>
      </c>
    </row>
    <row r="145" spans="1:6" x14ac:dyDescent="0.2">
      <c r="A145" s="4" t="s">
        <v>1983</v>
      </c>
      <c r="F145" s="9"/>
    </row>
    <row r="147" spans="1:6" x14ac:dyDescent="0.2">
      <c r="A147" s="4" t="s">
        <v>105</v>
      </c>
    </row>
    <row r="148" spans="1:6" x14ac:dyDescent="0.2">
      <c r="A148" s="4" t="s">
        <v>769</v>
      </c>
    </row>
    <row r="149" spans="1:6" x14ac:dyDescent="0.2">
      <c r="A149" s="4" t="s">
        <v>107</v>
      </c>
    </row>
    <row r="150" spans="1:6" x14ac:dyDescent="0.2">
      <c r="A150" s="2" t="s">
        <v>900</v>
      </c>
      <c r="D150" s="10">
        <v>26.675899999999999</v>
      </c>
    </row>
    <row r="151" spans="1:6" x14ac:dyDescent="0.2">
      <c r="A151" s="2" t="s">
        <v>901</v>
      </c>
      <c r="D151" s="10">
        <v>10.096399999999999</v>
      </c>
    </row>
    <row r="152" spans="1:6" x14ac:dyDescent="0.2">
      <c r="A152" s="2" t="s">
        <v>902</v>
      </c>
      <c r="D152" s="10">
        <v>10.113099999999999</v>
      </c>
    </row>
    <row r="153" spans="1:6" x14ac:dyDescent="0.2">
      <c r="A153" s="2" t="s">
        <v>903</v>
      </c>
      <c r="D153" s="10">
        <v>26.796500000000002</v>
      </c>
    </row>
    <row r="154" spans="1:6" x14ac:dyDescent="0.2">
      <c r="A154" s="2" t="s">
        <v>904</v>
      </c>
      <c r="D154" s="10">
        <v>10.077500000000001</v>
      </c>
    </row>
    <row r="155" spans="1:6" x14ac:dyDescent="0.2">
      <c r="A155" s="2" t="s">
        <v>905</v>
      </c>
      <c r="D155" s="10">
        <v>10.105700000000001</v>
      </c>
    </row>
    <row r="156" spans="1:6" x14ac:dyDescent="0.2">
      <c r="A156" s="2" t="s">
        <v>906</v>
      </c>
      <c r="D156" s="10">
        <v>25.268699999999999</v>
      </c>
    </row>
    <row r="157" spans="1:6" x14ac:dyDescent="0.2">
      <c r="A157" s="2" t="s">
        <v>907</v>
      </c>
      <c r="D157" s="10">
        <v>10.0678</v>
      </c>
    </row>
    <row r="158" spans="1:6" x14ac:dyDescent="0.2">
      <c r="A158" s="2" t="s">
        <v>908</v>
      </c>
      <c r="D158" s="10">
        <v>10.1403</v>
      </c>
    </row>
    <row r="159" spans="1:6" x14ac:dyDescent="0.2">
      <c r="A159" s="2" t="s">
        <v>909</v>
      </c>
      <c r="D159" s="10">
        <v>25.853300000000001</v>
      </c>
    </row>
    <row r="160" spans="1:6" x14ac:dyDescent="0.2">
      <c r="A160" s="2" t="s">
        <v>910</v>
      </c>
      <c r="D160" s="10">
        <v>10</v>
      </c>
    </row>
    <row r="162" spans="1:4" x14ac:dyDescent="0.2">
      <c r="A162" s="4" t="s">
        <v>108</v>
      </c>
    </row>
    <row r="163" spans="1:4" x14ac:dyDescent="0.2">
      <c r="A163" s="2" t="s">
        <v>900</v>
      </c>
      <c r="D163" s="10">
        <v>27.876300000000001</v>
      </c>
    </row>
    <row r="164" spans="1:4" x14ac:dyDescent="0.2">
      <c r="A164" s="2" t="s">
        <v>901</v>
      </c>
      <c r="D164" s="10">
        <v>10.0831</v>
      </c>
    </row>
    <row r="165" spans="1:4" x14ac:dyDescent="0.2">
      <c r="A165" s="2" t="s">
        <v>902</v>
      </c>
      <c r="D165" s="10">
        <v>10.118399999999999</v>
      </c>
    </row>
    <row r="166" spans="1:4" x14ac:dyDescent="0.2">
      <c r="A166" s="2" t="s">
        <v>903</v>
      </c>
      <c r="D166" s="10">
        <v>28.015899999999998</v>
      </c>
    </row>
    <row r="167" spans="1:4" x14ac:dyDescent="0.2">
      <c r="A167" s="2" t="s">
        <v>904</v>
      </c>
      <c r="D167" s="10">
        <v>10.064500000000001</v>
      </c>
    </row>
    <row r="168" spans="1:4" x14ac:dyDescent="0.2">
      <c r="A168" s="2" t="s">
        <v>905</v>
      </c>
      <c r="D168" s="10">
        <v>10.1111</v>
      </c>
    </row>
    <row r="169" spans="1:4" x14ac:dyDescent="0.2">
      <c r="A169" s="2" t="s">
        <v>906</v>
      </c>
      <c r="D169" s="10">
        <v>26.361000000000001</v>
      </c>
    </row>
    <row r="170" spans="1:4" x14ac:dyDescent="0.2">
      <c r="A170" s="2" t="s">
        <v>907</v>
      </c>
      <c r="D170" s="10">
        <v>10.053599999999999</v>
      </c>
    </row>
    <row r="171" spans="1:4" x14ac:dyDescent="0.2">
      <c r="A171" s="2" t="s">
        <v>908</v>
      </c>
      <c r="D171" s="10">
        <v>10.1455</v>
      </c>
    </row>
    <row r="172" spans="1:4" x14ac:dyDescent="0.2">
      <c r="A172" s="2" t="s">
        <v>909</v>
      </c>
      <c r="D172" s="10">
        <v>26.997800000000002</v>
      </c>
    </row>
    <row r="173" spans="1:4" x14ac:dyDescent="0.2">
      <c r="A173" s="2" t="s">
        <v>910</v>
      </c>
      <c r="D173" s="10">
        <v>10</v>
      </c>
    </row>
    <row r="176" spans="1:4" x14ac:dyDescent="0.2">
      <c r="A176" s="4" t="s">
        <v>109</v>
      </c>
      <c r="D176" s="30" t="s">
        <v>325</v>
      </c>
    </row>
    <row r="177" spans="1:5" x14ac:dyDescent="0.2">
      <c r="A177" s="90" t="s">
        <v>670</v>
      </c>
      <c r="B177" s="91"/>
      <c r="C177" s="88" t="s">
        <v>671</v>
      </c>
      <c r="D177" s="89"/>
    </row>
    <row r="178" spans="1:5" x14ac:dyDescent="0.2">
      <c r="A178" s="92"/>
      <c r="B178" s="93"/>
      <c r="C178" s="33" t="s">
        <v>672</v>
      </c>
      <c r="D178" s="33" t="s">
        <v>673</v>
      </c>
    </row>
    <row r="179" spans="1:5" x14ac:dyDescent="0.2">
      <c r="A179" s="34" t="s">
        <v>911</v>
      </c>
      <c r="B179" s="35"/>
      <c r="C179" s="52">
        <v>0.32953882400000001</v>
      </c>
      <c r="D179" s="52">
        <v>0.30515459279999996</v>
      </c>
    </row>
    <row r="180" spans="1:5" x14ac:dyDescent="0.2">
      <c r="A180" s="34" t="s">
        <v>902</v>
      </c>
      <c r="B180" s="35"/>
      <c r="C180" s="52">
        <v>0.31672589119999994</v>
      </c>
      <c r="D180" s="52">
        <v>0.29328975400000001</v>
      </c>
    </row>
    <row r="181" spans="1:5" x14ac:dyDescent="0.2">
      <c r="A181" s="34" t="s">
        <v>912</v>
      </c>
      <c r="B181" s="35"/>
      <c r="C181" s="52">
        <v>0.3321105639000001</v>
      </c>
      <c r="D181" s="52">
        <v>0.30753603730000001</v>
      </c>
    </row>
    <row r="182" spans="1:5" x14ac:dyDescent="0.2">
      <c r="A182" s="34" t="s">
        <v>905</v>
      </c>
      <c r="B182" s="35"/>
      <c r="C182" s="52">
        <v>0.31802247200000006</v>
      </c>
      <c r="D182" s="52">
        <v>0.29449039420000012</v>
      </c>
    </row>
    <row r="183" spans="1:5" x14ac:dyDescent="0.2">
      <c r="A183" s="34" t="s">
        <v>907</v>
      </c>
      <c r="B183" s="35"/>
      <c r="C183" s="52">
        <v>0.31699173650000007</v>
      </c>
      <c r="D183" s="52">
        <v>0.29353592760000008</v>
      </c>
    </row>
    <row r="184" spans="1:5" x14ac:dyDescent="0.2">
      <c r="A184" s="34" t="s">
        <v>908</v>
      </c>
      <c r="B184" s="35"/>
      <c r="C184" s="52">
        <v>0.30527276060000003</v>
      </c>
      <c r="D184" s="52">
        <v>0.28268409730000005</v>
      </c>
    </row>
    <row r="185" spans="1:5" x14ac:dyDescent="0.2">
      <c r="A185" s="34" t="s">
        <v>913</v>
      </c>
      <c r="B185" s="35"/>
      <c r="C185" s="52">
        <v>0.31265647680000003</v>
      </c>
      <c r="D185" s="52">
        <v>0.28952145509999999</v>
      </c>
    </row>
    <row r="188" spans="1:5" x14ac:dyDescent="0.2">
      <c r="A188" s="4" t="s">
        <v>770</v>
      </c>
      <c r="D188" s="29">
        <v>0.62479231805609692</v>
      </c>
      <c r="E188" s="1" t="s">
        <v>771</v>
      </c>
    </row>
    <row r="190" spans="1:5" x14ac:dyDescent="0.2">
      <c r="A190" s="4" t="s">
        <v>1989</v>
      </c>
      <c r="D190" s="53" t="s">
        <v>110</v>
      </c>
    </row>
  </sheetData>
  <mergeCells count="4">
    <mergeCell ref="A1:F1"/>
    <mergeCell ref="A177:B177"/>
    <mergeCell ref="C177:D177"/>
    <mergeCell ref="A178:B1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87B8-D71A-47C3-8801-BE6032D766B3}">
  <sheetPr codeName="Sheet26"/>
  <dimension ref="A1:F93"/>
  <sheetViews>
    <sheetView showGridLines="0" workbookViewId="0">
      <selection sqref="A1:F1"/>
    </sheetView>
  </sheetViews>
  <sheetFormatPr defaultColWidth="8.7109375" defaultRowHeight="11.25" x14ac:dyDescent="0.2"/>
  <cols>
    <col min="1" max="1" width="59.85546875" style="2" bestFit="1" customWidth="1"/>
    <col min="2" max="2" width="56.28515625" style="2" bestFit="1" customWidth="1"/>
    <col min="3" max="3" width="12.28515625" style="2" bestFit="1" customWidth="1"/>
    <col min="4" max="4" width="10" style="2" bestFit="1" customWidth="1"/>
    <col min="5" max="5" width="23" style="1" bestFit="1" customWidth="1"/>
    <col min="6" max="6" width="15.5703125" style="1" bestFit="1" customWidth="1"/>
    <col min="7" max="16384" width="8.7109375" style="2"/>
  </cols>
  <sheetData>
    <row r="1" spans="1:6" ht="15" customHeight="1" x14ac:dyDescent="0.2">
      <c r="A1" s="87" t="s">
        <v>914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915</v>
      </c>
      <c r="B8" s="45" t="s">
        <v>1600</v>
      </c>
      <c r="C8" s="45" t="s">
        <v>686</v>
      </c>
      <c r="D8" s="14">
        <v>360</v>
      </c>
      <c r="E8" s="7">
        <v>3798.7235999999998</v>
      </c>
      <c r="F8" s="7">
        <f>E8/$E$68*100</f>
        <v>4.2314031937725334</v>
      </c>
    </row>
    <row r="9" spans="1:6" x14ac:dyDescent="0.2">
      <c r="A9" s="45" t="s">
        <v>916</v>
      </c>
      <c r="B9" s="45" t="s">
        <v>1601</v>
      </c>
      <c r="C9" s="45" t="s">
        <v>917</v>
      </c>
      <c r="D9" s="14">
        <v>350</v>
      </c>
      <c r="E9" s="7">
        <v>3573.4895000000001</v>
      </c>
      <c r="F9" s="7">
        <f t="shared" ref="F9:F55" si="0">E9/$E$68*100</f>
        <v>3.980514634761164</v>
      </c>
    </row>
    <row r="10" spans="1:6" x14ac:dyDescent="0.2">
      <c r="A10" s="45" t="s">
        <v>918</v>
      </c>
      <c r="B10" s="45" t="s">
        <v>1602</v>
      </c>
      <c r="C10" s="45" t="s">
        <v>917</v>
      </c>
      <c r="D10" s="14">
        <v>350</v>
      </c>
      <c r="E10" s="7">
        <v>3514.8470000000002</v>
      </c>
      <c r="F10" s="7">
        <f t="shared" si="0"/>
        <v>3.9151926771986805</v>
      </c>
    </row>
    <row r="11" spans="1:6" x14ac:dyDescent="0.2">
      <c r="A11" s="45" t="s">
        <v>919</v>
      </c>
      <c r="B11" s="45" t="s">
        <v>1603</v>
      </c>
      <c r="C11" s="45" t="s">
        <v>686</v>
      </c>
      <c r="D11" s="14">
        <v>330</v>
      </c>
      <c r="E11" s="7">
        <v>3391.5518999999999</v>
      </c>
      <c r="F11" s="7">
        <f t="shared" si="0"/>
        <v>3.7778541038114231</v>
      </c>
    </row>
    <row r="12" spans="1:6" x14ac:dyDescent="0.2">
      <c r="A12" s="45" t="s">
        <v>920</v>
      </c>
      <c r="B12" s="45" t="s">
        <v>1604</v>
      </c>
      <c r="C12" s="45" t="s">
        <v>686</v>
      </c>
      <c r="D12" s="14">
        <v>300</v>
      </c>
      <c r="E12" s="7">
        <v>3189.2730000000001</v>
      </c>
      <c r="F12" s="7">
        <f t="shared" si="0"/>
        <v>3.5525353721477684</v>
      </c>
    </row>
    <row r="13" spans="1:6" x14ac:dyDescent="0.2">
      <c r="A13" s="45" t="s">
        <v>921</v>
      </c>
      <c r="B13" s="45" t="s">
        <v>1605</v>
      </c>
      <c r="C13" s="45" t="s">
        <v>686</v>
      </c>
      <c r="D13" s="14">
        <v>300</v>
      </c>
      <c r="E13" s="7">
        <v>3031.4520000000002</v>
      </c>
      <c r="F13" s="7">
        <f t="shared" si="0"/>
        <v>3.3767383535269944</v>
      </c>
    </row>
    <row r="14" spans="1:6" x14ac:dyDescent="0.2">
      <c r="A14" s="45" t="s">
        <v>922</v>
      </c>
      <c r="B14" s="45" t="s">
        <v>1606</v>
      </c>
      <c r="C14" s="45" t="s">
        <v>923</v>
      </c>
      <c r="D14" s="14">
        <v>300</v>
      </c>
      <c r="E14" s="7">
        <v>3030.7350000000001</v>
      </c>
      <c r="F14" s="7">
        <f t="shared" si="0"/>
        <v>3.3759396862878361</v>
      </c>
    </row>
    <row r="15" spans="1:6" x14ac:dyDescent="0.2">
      <c r="A15" s="45" t="s">
        <v>924</v>
      </c>
      <c r="B15" s="45" t="s">
        <v>1607</v>
      </c>
      <c r="C15" s="45" t="s">
        <v>925</v>
      </c>
      <c r="D15" s="14">
        <v>250</v>
      </c>
      <c r="E15" s="7">
        <v>2672.5425</v>
      </c>
      <c r="F15" s="7">
        <f t="shared" si="0"/>
        <v>2.9769485913618015</v>
      </c>
    </row>
    <row r="16" spans="1:6" x14ac:dyDescent="0.2">
      <c r="A16" s="45" t="s">
        <v>926</v>
      </c>
      <c r="B16" s="45" t="s">
        <v>1608</v>
      </c>
      <c r="C16" s="45" t="s">
        <v>917</v>
      </c>
      <c r="D16" s="14">
        <v>250</v>
      </c>
      <c r="E16" s="7">
        <v>2558.2624999999998</v>
      </c>
      <c r="F16" s="7">
        <f t="shared" si="0"/>
        <v>2.8496519496729129</v>
      </c>
    </row>
    <row r="17" spans="1:6" x14ac:dyDescent="0.2">
      <c r="A17" s="45" t="s">
        <v>927</v>
      </c>
      <c r="B17" s="45" t="s">
        <v>1609</v>
      </c>
      <c r="C17" s="45" t="s">
        <v>917</v>
      </c>
      <c r="D17" s="14">
        <v>250</v>
      </c>
      <c r="E17" s="7">
        <v>2556.415</v>
      </c>
      <c r="F17" s="7">
        <f t="shared" si="0"/>
        <v>2.8475940170029772</v>
      </c>
    </row>
    <row r="18" spans="1:6" x14ac:dyDescent="0.2">
      <c r="A18" s="45" t="s">
        <v>852</v>
      </c>
      <c r="B18" s="45" t="s">
        <v>1560</v>
      </c>
      <c r="C18" s="45" t="s">
        <v>708</v>
      </c>
      <c r="D18" s="14">
        <v>250</v>
      </c>
      <c r="E18" s="7">
        <v>2550.61</v>
      </c>
      <c r="F18" s="7">
        <f t="shared" si="0"/>
        <v>2.8411278198993375</v>
      </c>
    </row>
    <row r="19" spans="1:6" x14ac:dyDescent="0.2">
      <c r="A19" s="45" t="s">
        <v>928</v>
      </c>
      <c r="B19" s="45" t="s">
        <v>1610</v>
      </c>
      <c r="C19" s="45" t="s">
        <v>925</v>
      </c>
      <c r="D19" s="14">
        <v>250</v>
      </c>
      <c r="E19" s="7">
        <v>2543.8325</v>
      </c>
      <c r="F19" s="7">
        <f t="shared" si="0"/>
        <v>2.8335783537718746</v>
      </c>
    </row>
    <row r="20" spans="1:6" x14ac:dyDescent="0.2">
      <c r="A20" s="45" t="s">
        <v>929</v>
      </c>
      <c r="B20" s="45" t="s">
        <v>1611</v>
      </c>
      <c r="C20" s="45" t="s">
        <v>686</v>
      </c>
      <c r="D20" s="14">
        <v>240</v>
      </c>
      <c r="E20" s="7">
        <v>2525.0904</v>
      </c>
      <c r="F20" s="7">
        <f t="shared" si="0"/>
        <v>2.8127015040326611</v>
      </c>
    </row>
    <row r="21" spans="1:6" x14ac:dyDescent="0.2">
      <c r="A21" s="45" t="s">
        <v>930</v>
      </c>
      <c r="B21" s="45" t="s">
        <v>1612</v>
      </c>
      <c r="C21" s="45" t="s">
        <v>686</v>
      </c>
      <c r="D21" s="14">
        <v>250</v>
      </c>
      <c r="E21" s="7">
        <v>2519.37</v>
      </c>
      <c r="F21" s="7">
        <f t="shared" si="0"/>
        <v>2.8063295429798334</v>
      </c>
    </row>
    <row r="22" spans="1:6" x14ac:dyDescent="0.2">
      <c r="A22" s="45" t="s">
        <v>931</v>
      </c>
      <c r="B22" s="45" t="s">
        <v>1613</v>
      </c>
      <c r="C22" s="45" t="s">
        <v>688</v>
      </c>
      <c r="D22" s="14">
        <v>250</v>
      </c>
      <c r="E22" s="7">
        <v>2511.8175000000001</v>
      </c>
      <c r="F22" s="7">
        <f t="shared" si="0"/>
        <v>2.7979168033372424</v>
      </c>
    </row>
    <row r="23" spans="1:6" x14ac:dyDescent="0.2">
      <c r="A23" s="45" t="s">
        <v>932</v>
      </c>
      <c r="B23" s="45" t="s">
        <v>1614</v>
      </c>
      <c r="C23" s="45" t="s">
        <v>688</v>
      </c>
      <c r="D23" s="14">
        <v>250</v>
      </c>
      <c r="E23" s="7">
        <v>2502.8924999999999</v>
      </c>
      <c r="F23" s="7">
        <f t="shared" si="0"/>
        <v>2.7879752341468911</v>
      </c>
    </row>
    <row r="24" spans="1:6" x14ac:dyDescent="0.2">
      <c r="A24" s="45" t="s">
        <v>933</v>
      </c>
      <c r="B24" s="45" t="s">
        <v>1615</v>
      </c>
      <c r="C24" s="45" t="s">
        <v>690</v>
      </c>
      <c r="D24" s="14">
        <v>242</v>
      </c>
      <c r="E24" s="7">
        <v>2474.4112799999998</v>
      </c>
      <c r="F24" s="7">
        <f t="shared" si="0"/>
        <v>2.7562499658829567</v>
      </c>
    </row>
    <row r="25" spans="1:6" x14ac:dyDescent="0.2">
      <c r="A25" s="45" t="s">
        <v>934</v>
      </c>
      <c r="B25" s="45" t="s">
        <v>1616</v>
      </c>
      <c r="C25" s="45" t="s">
        <v>686</v>
      </c>
      <c r="D25" s="14">
        <v>240</v>
      </c>
      <c r="E25" s="7">
        <v>2445.1511999999998</v>
      </c>
      <c r="F25" s="7">
        <f t="shared" si="0"/>
        <v>2.7236571244448378</v>
      </c>
    </row>
    <row r="26" spans="1:6" x14ac:dyDescent="0.2">
      <c r="A26" s="45" t="s">
        <v>935</v>
      </c>
      <c r="B26" s="45" t="s">
        <v>1617</v>
      </c>
      <c r="C26" s="45" t="s">
        <v>686</v>
      </c>
      <c r="D26" s="14">
        <v>240</v>
      </c>
      <c r="E26" s="7">
        <v>2434.4495999999999</v>
      </c>
      <c r="F26" s="7">
        <f t="shared" si="0"/>
        <v>2.7117365981874193</v>
      </c>
    </row>
    <row r="27" spans="1:6" x14ac:dyDescent="0.2">
      <c r="A27" s="45" t="s">
        <v>936</v>
      </c>
      <c r="B27" s="45" t="s">
        <v>1618</v>
      </c>
      <c r="C27" s="45" t="s">
        <v>917</v>
      </c>
      <c r="D27" s="14">
        <v>200</v>
      </c>
      <c r="E27" s="7">
        <v>2142.1280000000002</v>
      </c>
      <c r="F27" s="7">
        <f t="shared" si="0"/>
        <v>2.3861191850519399</v>
      </c>
    </row>
    <row r="28" spans="1:6" x14ac:dyDescent="0.2">
      <c r="A28" s="45" t="s">
        <v>685</v>
      </c>
      <c r="B28" s="45" t="s">
        <v>1437</v>
      </c>
      <c r="C28" s="45" t="s">
        <v>686</v>
      </c>
      <c r="D28" s="14">
        <v>150</v>
      </c>
      <c r="E28" s="7">
        <v>1596.8744999999999</v>
      </c>
      <c r="F28" s="7">
        <f t="shared" si="0"/>
        <v>1.7787605972053133</v>
      </c>
    </row>
    <row r="29" spans="1:6" x14ac:dyDescent="0.2">
      <c r="A29" s="45" t="s">
        <v>937</v>
      </c>
      <c r="B29" s="45" t="s">
        <v>1619</v>
      </c>
      <c r="C29" s="45" t="s">
        <v>925</v>
      </c>
      <c r="D29" s="14">
        <v>150</v>
      </c>
      <c r="E29" s="7">
        <v>1543.6065000000001</v>
      </c>
      <c r="F29" s="7">
        <f t="shared" si="0"/>
        <v>1.7194253022325821</v>
      </c>
    </row>
    <row r="30" spans="1:6" x14ac:dyDescent="0.2">
      <c r="A30" s="45" t="s">
        <v>938</v>
      </c>
      <c r="B30" s="45" t="s">
        <v>1620</v>
      </c>
      <c r="C30" s="45" t="s">
        <v>703</v>
      </c>
      <c r="D30" s="14">
        <v>145</v>
      </c>
      <c r="E30" s="7">
        <v>1470.2158999999999</v>
      </c>
      <c r="F30" s="7">
        <f t="shared" si="0"/>
        <v>1.6376754167623988</v>
      </c>
    </row>
    <row r="31" spans="1:6" x14ac:dyDescent="0.2">
      <c r="A31" s="45" t="s">
        <v>939</v>
      </c>
      <c r="B31" s="45" t="s">
        <v>1621</v>
      </c>
      <c r="C31" s="45" t="s">
        <v>690</v>
      </c>
      <c r="D31" s="14">
        <v>140</v>
      </c>
      <c r="E31" s="7">
        <v>1387.9151999999999</v>
      </c>
      <c r="F31" s="7">
        <f t="shared" si="0"/>
        <v>1.546000559231381</v>
      </c>
    </row>
    <row r="32" spans="1:6" x14ac:dyDescent="0.2">
      <c r="A32" s="45" t="s">
        <v>940</v>
      </c>
      <c r="B32" s="45" t="s">
        <v>1622</v>
      </c>
      <c r="C32" s="45" t="s">
        <v>686</v>
      </c>
      <c r="D32" s="14">
        <v>130</v>
      </c>
      <c r="E32" s="7">
        <v>1371.0762</v>
      </c>
      <c r="F32" s="7">
        <f t="shared" si="0"/>
        <v>1.5272435750749302</v>
      </c>
    </row>
    <row r="33" spans="1:6" x14ac:dyDescent="0.2">
      <c r="A33" s="45" t="s">
        <v>941</v>
      </c>
      <c r="B33" s="45" t="s">
        <v>1623</v>
      </c>
      <c r="C33" s="45" t="s">
        <v>686</v>
      </c>
      <c r="D33" s="14">
        <v>120</v>
      </c>
      <c r="E33" s="7">
        <v>1321.56</v>
      </c>
      <c r="F33" s="7">
        <f t="shared" si="0"/>
        <v>1.4720874150364689</v>
      </c>
    </row>
    <row r="34" spans="1:6" x14ac:dyDescent="0.2">
      <c r="A34" s="45" t="s">
        <v>719</v>
      </c>
      <c r="B34" s="45" t="s">
        <v>1459</v>
      </c>
      <c r="C34" s="45" t="s">
        <v>686</v>
      </c>
      <c r="D34" s="14">
        <v>130</v>
      </c>
      <c r="E34" s="7">
        <v>1316.6673000000001</v>
      </c>
      <c r="F34" s="7">
        <f t="shared" si="0"/>
        <v>1.4666374300977991</v>
      </c>
    </row>
    <row r="35" spans="1:6" x14ac:dyDescent="0.2">
      <c r="A35" s="45" t="s">
        <v>942</v>
      </c>
      <c r="B35" s="45" t="s">
        <v>1624</v>
      </c>
      <c r="C35" s="45" t="s">
        <v>686</v>
      </c>
      <c r="D35" s="14">
        <v>100</v>
      </c>
      <c r="E35" s="7">
        <v>1037.77</v>
      </c>
      <c r="F35" s="7">
        <f t="shared" si="0"/>
        <v>1.155973362316048</v>
      </c>
    </row>
    <row r="36" spans="1:6" x14ac:dyDescent="0.2">
      <c r="A36" s="45" t="s">
        <v>943</v>
      </c>
      <c r="B36" s="45" t="s">
        <v>1625</v>
      </c>
      <c r="C36" s="45" t="s">
        <v>686</v>
      </c>
      <c r="D36" s="14">
        <v>100</v>
      </c>
      <c r="E36" s="7">
        <v>1028.3209999999999</v>
      </c>
      <c r="F36" s="7">
        <f t="shared" si="0"/>
        <v>1.1454481088393389</v>
      </c>
    </row>
    <row r="37" spans="1:6" x14ac:dyDescent="0.2">
      <c r="A37" s="45" t="s">
        <v>944</v>
      </c>
      <c r="B37" s="45" t="s">
        <v>1626</v>
      </c>
      <c r="C37" s="45" t="s">
        <v>686</v>
      </c>
      <c r="D37" s="14">
        <v>100</v>
      </c>
      <c r="E37" s="7">
        <v>1023.723</v>
      </c>
      <c r="F37" s="7">
        <f t="shared" si="0"/>
        <v>1.1403263906166796</v>
      </c>
    </row>
    <row r="38" spans="1:6" x14ac:dyDescent="0.2">
      <c r="A38" s="45" t="s">
        <v>945</v>
      </c>
      <c r="B38" s="45" t="s">
        <v>1627</v>
      </c>
      <c r="C38" s="45" t="s">
        <v>698</v>
      </c>
      <c r="D38" s="14">
        <v>100</v>
      </c>
      <c r="E38" s="7">
        <v>1017.886</v>
      </c>
      <c r="F38" s="7">
        <f t="shared" si="0"/>
        <v>1.1338245486711245</v>
      </c>
    </row>
    <row r="39" spans="1:6" x14ac:dyDescent="0.2">
      <c r="A39" s="45" t="s">
        <v>946</v>
      </c>
      <c r="B39" s="45" t="s">
        <v>1628</v>
      </c>
      <c r="C39" s="45" t="s">
        <v>686</v>
      </c>
      <c r="D39" s="14">
        <v>90</v>
      </c>
      <c r="E39" s="7">
        <v>955.42110000000002</v>
      </c>
      <c r="F39" s="7">
        <f t="shared" si="0"/>
        <v>1.0642448147418957</v>
      </c>
    </row>
    <row r="40" spans="1:6" x14ac:dyDescent="0.2">
      <c r="A40" s="45" t="s">
        <v>947</v>
      </c>
      <c r="B40" s="45" t="s">
        <v>1629</v>
      </c>
      <c r="C40" s="45" t="s">
        <v>682</v>
      </c>
      <c r="D40" s="14">
        <v>95</v>
      </c>
      <c r="E40" s="7">
        <v>955.32</v>
      </c>
      <c r="F40" s="7">
        <f t="shared" si="0"/>
        <v>1.0641321993194708</v>
      </c>
    </row>
    <row r="41" spans="1:6" x14ac:dyDescent="0.2">
      <c r="A41" s="45" t="s">
        <v>948</v>
      </c>
      <c r="B41" s="45" t="s">
        <v>1630</v>
      </c>
      <c r="C41" s="45" t="s">
        <v>682</v>
      </c>
      <c r="D41" s="14">
        <v>88</v>
      </c>
      <c r="E41" s="7">
        <v>917.52495999999996</v>
      </c>
      <c r="F41" s="7">
        <f t="shared" si="0"/>
        <v>1.0220322547578919</v>
      </c>
    </row>
    <row r="42" spans="1:6" x14ac:dyDescent="0.2">
      <c r="A42" s="45" t="s">
        <v>949</v>
      </c>
      <c r="B42" s="45" t="s">
        <v>1631</v>
      </c>
      <c r="C42" s="45" t="s">
        <v>686</v>
      </c>
      <c r="D42" s="14">
        <v>70</v>
      </c>
      <c r="E42" s="7">
        <v>740.33680000000004</v>
      </c>
      <c r="F42" s="7">
        <f t="shared" si="0"/>
        <v>0.8246621312451734</v>
      </c>
    </row>
    <row r="43" spans="1:6" x14ac:dyDescent="0.2">
      <c r="A43" s="45" t="s">
        <v>950</v>
      </c>
      <c r="B43" s="45" t="s">
        <v>1632</v>
      </c>
      <c r="C43" s="45" t="s">
        <v>686</v>
      </c>
      <c r="D43" s="14">
        <v>50</v>
      </c>
      <c r="E43" s="7">
        <v>523.89149999999995</v>
      </c>
      <c r="F43" s="7">
        <f t="shared" si="0"/>
        <v>0.58356342806575423</v>
      </c>
    </row>
    <row r="44" spans="1:6" x14ac:dyDescent="0.2">
      <c r="A44" s="45" t="s">
        <v>951</v>
      </c>
      <c r="B44" s="45" t="s">
        <v>1633</v>
      </c>
      <c r="C44" s="45" t="s">
        <v>917</v>
      </c>
      <c r="D44" s="14">
        <v>50</v>
      </c>
      <c r="E44" s="7">
        <v>523.24699999999996</v>
      </c>
      <c r="F44" s="7">
        <f t="shared" si="0"/>
        <v>0.58284551867156031</v>
      </c>
    </row>
    <row r="45" spans="1:6" x14ac:dyDescent="0.2">
      <c r="A45" s="45" t="s">
        <v>952</v>
      </c>
      <c r="B45" s="45" t="s">
        <v>1634</v>
      </c>
      <c r="C45" s="45" t="s">
        <v>686</v>
      </c>
      <c r="D45" s="14">
        <v>50</v>
      </c>
      <c r="E45" s="7">
        <v>513.15599999999995</v>
      </c>
      <c r="F45" s="7">
        <f t="shared" si="0"/>
        <v>0.57160514055393186</v>
      </c>
    </row>
    <row r="46" spans="1:6" x14ac:dyDescent="0.2">
      <c r="A46" s="45" t="s">
        <v>953</v>
      </c>
      <c r="B46" s="45" t="s">
        <v>1635</v>
      </c>
      <c r="C46" s="45" t="s">
        <v>925</v>
      </c>
      <c r="D46" s="14">
        <v>50</v>
      </c>
      <c r="E46" s="7">
        <v>507.38249999999999</v>
      </c>
      <c r="F46" s="7">
        <f t="shared" si="0"/>
        <v>0.56517403134155186</v>
      </c>
    </row>
    <row r="47" spans="1:6" x14ac:dyDescent="0.2">
      <c r="A47" s="45" t="s">
        <v>954</v>
      </c>
      <c r="B47" s="45" t="s">
        <v>1636</v>
      </c>
      <c r="C47" s="45" t="s">
        <v>872</v>
      </c>
      <c r="D47" s="14">
        <v>35</v>
      </c>
      <c r="E47" s="7">
        <v>353.8381</v>
      </c>
      <c r="F47" s="7">
        <f t="shared" si="0"/>
        <v>0.39414072306245318</v>
      </c>
    </row>
    <row r="48" spans="1:6" x14ac:dyDescent="0.2">
      <c r="A48" s="45" t="s">
        <v>955</v>
      </c>
      <c r="B48" s="45" t="s">
        <v>1637</v>
      </c>
      <c r="C48" s="45" t="s">
        <v>956</v>
      </c>
      <c r="D48" s="14">
        <v>27</v>
      </c>
      <c r="E48" s="7">
        <v>289.99619999999999</v>
      </c>
      <c r="F48" s="7">
        <f t="shared" si="0"/>
        <v>0.32302714702957025</v>
      </c>
    </row>
    <row r="49" spans="1:6" x14ac:dyDescent="0.2">
      <c r="A49" s="45" t="s">
        <v>957</v>
      </c>
      <c r="B49" s="45" t="s">
        <v>1638</v>
      </c>
      <c r="C49" s="45" t="s">
        <v>686</v>
      </c>
      <c r="D49" s="14">
        <v>23</v>
      </c>
      <c r="E49" s="7">
        <v>232.90236999999999</v>
      </c>
      <c r="F49" s="7">
        <f t="shared" si="0"/>
        <v>0.2594302550086014</v>
      </c>
    </row>
    <row r="50" spans="1:6" x14ac:dyDescent="0.2">
      <c r="A50" s="45" t="s">
        <v>958</v>
      </c>
      <c r="B50" s="45" t="s">
        <v>1639</v>
      </c>
      <c r="C50" s="45" t="s">
        <v>917</v>
      </c>
      <c r="D50" s="14">
        <v>20</v>
      </c>
      <c r="E50" s="7">
        <v>210.81800000000001</v>
      </c>
      <c r="F50" s="7">
        <f t="shared" si="0"/>
        <v>0.23483044633853806</v>
      </c>
    </row>
    <row r="51" spans="1:6" x14ac:dyDescent="0.2">
      <c r="A51" s="45" t="s">
        <v>959</v>
      </c>
      <c r="B51" s="45" t="s">
        <v>1640</v>
      </c>
      <c r="C51" s="45" t="s">
        <v>686</v>
      </c>
      <c r="D51" s="14">
        <v>20</v>
      </c>
      <c r="E51" s="7">
        <v>202.09979999999999</v>
      </c>
      <c r="F51" s="7">
        <f t="shared" si="0"/>
        <v>0.22511923193906247</v>
      </c>
    </row>
    <row r="52" spans="1:6" x14ac:dyDescent="0.2">
      <c r="A52" s="45" t="s">
        <v>731</v>
      </c>
      <c r="B52" s="45" t="s">
        <v>1468</v>
      </c>
      <c r="C52" s="45" t="s">
        <v>708</v>
      </c>
      <c r="D52" s="14">
        <v>10</v>
      </c>
      <c r="E52" s="7">
        <v>102.4075</v>
      </c>
      <c r="F52" s="7">
        <f t="shared" si="0"/>
        <v>0.11407184838777445</v>
      </c>
    </row>
    <row r="53" spans="1:6" x14ac:dyDescent="0.2">
      <c r="A53" s="45" t="s">
        <v>960</v>
      </c>
      <c r="B53" s="45" t="s">
        <v>1641</v>
      </c>
      <c r="C53" s="45" t="s">
        <v>917</v>
      </c>
      <c r="D53" s="14">
        <v>5</v>
      </c>
      <c r="E53" s="7">
        <v>51.490949999999998</v>
      </c>
      <c r="F53" s="7">
        <f t="shared" si="0"/>
        <v>5.735583665007421E-2</v>
      </c>
    </row>
    <row r="54" spans="1:6" x14ac:dyDescent="0.2">
      <c r="A54" s="45" t="s">
        <v>961</v>
      </c>
      <c r="B54" s="45" t="s">
        <v>1642</v>
      </c>
      <c r="C54" s="45" t="s">
        <v>686</v>
      </c>
      <c r="D54" s="14">
        <v>2</v>
      </c>
      <c r="E54" s="7">
        <v>20.450479999999999</v>
      </c>
      <c r="F54" s="7">
        <f t="shared" si="0"/>
        <v>2.277981645892355E-2</v>
      </c>
    </row>
    <row r="55" spans="1:6" x14ac:dyDescent="0.2">
      <c r="A55" s="45" t="s">
        <v>962</v>
      </c>
      <c r="B55" s="45" t="s">
        <v>1643</v>
      </c>
      <c r="C55" s="45" t="s">
        <v>686</v>
      </c>
      <c r="D55" s="14">
        <v>1</v>
      </c>
      <c r="E55" s="7">
        <v>10.27323</v>
      </c>
      <c r="F55" s="7">
        <f t="shared" si="0"/>
        <v>1.1443364353321153E-2</v>
      </c>
    </row>
    <row r="56" spans="1:6" x14ac:dyDescent="0.2">
      <c r="A56" s="26" t="s">
        <v>44</v>
      </c>
      <c r="B56" s="45"/>
      <c r="C56" s="45"/>
      <c r="D56" s="14"/>
      <c r="E56" s="6">
        <f>SUM(E8:E55)</f>
        <v>77193.217070000013</v>
      </c>
      <c r="F56" s="6">
        <f>SUM(F8:F55)</f>
        <v>85.985625605288718</v>
      </c>
    </row>
    <row r="57" spans="1:6" x14ac:dyDescent="0.2">
      <c r="A57" s="45"/>
      <c r="B57" s="45"/>
      <c r="C57" s="45"/>
      <c r="D57" s="14"/>
      <c r="E57" s="7"/>
      <c r="F57" s="7"/>
    </row>
    <row r="58" spans="1:6" x14ac:dyDescent="0.2">
      <c r="A58" s="26" t="s">
        <v>963</v>
      </c>
      <c r="B58" s="45"/>
      <c r="C58" s="45"/>
      <c r="D58" s="14"/>
      <c r="E58" s="7"/>
      <c r="F58" s="7"/>
    </row>
    <row r="59" spans="1:6" x14ac:dyDescent="0.2">
      <c r="A59" s="45" t="s">
        <v>964</v>
      </c>
      <c r="B59" s="45" t="s">
        <v>1418</v>
      </c>
      <c r="C59" s="45" t="s">
        <v>965</v>
      </c>
      <c r="D59" s="14">
        <v>5000000</v>
      </c>
      <c r="E59" s="7">
        <v>5241.54</v>
      </c>
      <c r="F59" s="7">
        <f t="shared" ref="F59:F61" si="1">E59/$E$68*100</f>
        <v>5.8385582715958817</v>
      </c>
    </row>
    <row r="60" spans="1:6" x14ac:dyDescent="0.2">
      <c r="A60" s="45" t="s">
        <v>966</v>
      </c>
      <c r="B60" s="45" t="s">
        <v>1419</v>
      </c>
      <c r="C60" s="45" t="s">
        <v>965</v>
      </c>
      <c r="D60" s="14">
        <v>2500000</v>
      </c>
      <c r="E60" s="7">
        <v>2604.2075</v>
      </c>
      <c r="F60" s="7">
        <f t="shared" si="1"/>
        <v>2.900830145353662</v>
      </c>
    </row>
    <row r="61" spans="1:6" x14ac:dyDescent="0.2">
      <c r="A61" s="45" t="s">
        <v>967</v>
      </c>
      <c r="B61" s="45" t="s">
        <v>1420</v>
      </c>
      <c r="C61" s="45" t="s">
        <v>965</v>
      </c>
      <c r="D61" s="14">
        <v>2500000</v>
      </c>
      <c r="E61" s="7">
        <v>2496.9425000000001</v>
      </c>
      <c r="F61" s="7">
        <f t="shared" si="1"/>
        <v>2.7813475213533239</v>
      </c>
    </row>
    <row r="62" spans="1:6" x14ac:dyDescent="0.2">
      <c r="A62" s="26" t="s">
        <v>44</v>
      </c>
      <c r="B62" s="45"/>
      <c r="C62" s="45"/>
      <c r="D62" s="45"/>
      <c r="E62" s="6">
        <f>SUM(E59:E61)</f>
        <v>10342.689999999999</v>
      </c>
      <c r="F62" s="6">
        <f>SUM(F59:F61)</f>
        <v>11.520735938302867</v>
      </c>
    </row>
    <row r="63" spans="1:6" x14ac:dyDescent="0.2">
      <c r="A63" s="45"/>
      <c r="B63" s="45"/>
      <c r="C63" s="45"/>
      <c r="D63" s="45"/>
      <c r="E63" s="7"/>
      <c r="F63" s="7"/>
    </row>
    <row r="64" spans="1:6" x14ac:dyDescent="0.2">
      <c r="A64" s="26" t="s">
        <v>44</v>
      </c>
      <c r="B64" s="45"/>
      <c r="C64" s="45"/>
      <c r="D64" s="45"/>
      <c r="E64" s="6">
        <f>E56+E62</f>
        <v>87535.907070000016</v>
      </c>
      <c r="F64" s="6">
        <f>F56+F62</f>
        <v>97.506361543591581</v>
      </c>
    </row>
    <row r="65" spans="1:6" x14ac:dyDescent="0.2">
      <c r="A65" s="45"/>
      <c r="B65" s="45"/>
      <c r="C65" s="45"/>
      <c r="D65" s="45"/>
      <c r="E65" s="7"/>
      <c r="F65" s="7"/>
    </row>
    <row r="66" spans="1:6" x14ac:dyDescent="0.2">
      <c r="A66" s="26" t="s">
        <v>103</v>
      </c>
      <c r="B66" s="45"/>
      <c r="C66" s="45"/>
      <c r="D66" s="45"/>
      <c r="E66" s="6">
        <v>2238.6529528000001</v>
      </c>
      <c r="F66" s="6">
        <f t="shared" ref="F66" si="2">E66/$E$68*100</f>
        <v>2.4936384564084193</v>
      </c>
    </row>
    <row r="67" spans="1:6" x14ac:dyDescent="0.2">
      <c r="A67" s="45"/>
      <c r="B67" s="45"/>
      <c r="C67" s="45"/>
      <c r="D67" s="45"/>
      <c r="E67" s="7"/>
      <c r="F67" s="7"/>
    </row>
    <row r="68" spans="1:6" x14ac:dyDescent="0.2">
      <c r="A68" s="46" t="s">
        <v>104</v>
      </c>
      <c r="B68" s="44"/>
      <c r="C68" s="44"/>
      <c r="D68" s="44"/>
      <c r="E68" s="8">
        <f>E64+E66</f>
        <v>89774.560022800011</v>
      </c>
      <c r="F68" s="8">
        <f xml:space="preserve"> ROUND(SUM(F64:F67),2)</f>
        <v>100</v>
      </c>
    </row>
    <row r="69" spans="1:6" x14ac:dyDescent="0.2">
      <c r="A69" s="4" t="s">
        <v>1983</v>
      </c>
      <c r="F69" s="9"/>
    </row>
    <row r="70" spans="1:6" x14ac:dyDescent="0.2">
      <c r="A70" s="4"/>
      <c r="F70" s="9"/>
    </row>
    <row r="71" spans="1:6" x14ac:dyDescent="0.2">
      <c r="A71" s="4" t="s">
        <v>105</v>
      </c>
    </row>
    <row r="72" spans="1:6" x14ac:dyDescent="0.2">
      <c r="A72" s="4" t="s">
        <v>769</v>
      </c>
    </row>
    <row r="73" spans="1:6" x14ac:dyDescent="0.2">
      <c r="A73" s="4" t="s">
        <v>107</v>
      </c>
    </row>
    <row r="74" spans="1:6" x14ac:dyDescent="0.2">
      <c r="A74" s="2" t="s">
        <v>666</v>
      </c>
      <c r="D74" s="10">
        <v>15.1257</v>
      </c>
    </row>
    <row r="75" spans="1:6" x14ac:dyDescent="0.2">
      <c r="A75" s="2" t="s">
        <v>667</v>
      </c>
      <c r="D75" s="10">
        <v>10.646800000000001</v>
      </c>
    </row>
    <row r="76" spans="1:6" x14ac:dyDescent="0.2">
      <c r="A76" s="2" t="s">
        <v>668</v>
      </c>
      <c r="D76" s="10">
        <v>15.487299999999999</v>
      </c>
    </row>
    <row r="77" spans="1:6" x14ac:dyDescent="0.2">
      <c r="A77" s="2" t="s">
        <v>669</v>
      </c>
      <c r="D77" s="10">
        <v>10.9383</v>
      </c>
    </row>
    <row r="79" spans="1:6" x14ac:dyDescent="0.2">
      <c r="A79" s="4" t="s">
        <v>108</v>
      </c>
    </row>
    <row r="80" spans="1:6" x14ac:dyDescent="0.2">
      <c r="A80" s="2" t="s">
        <v>666</v>
      </c>
      <c r="D80" s="10">
        <v>15.9786</v>
      </c>
    </row>
    <row r="81" spans="1:5" x14ac:dyDescent="0.2">
      <c r="A81" s="2" t="s">
        <v>667</v>
      </c>
      <c r="D81" s="10">
        <v>10.8314</v>
      </c>
    </row>
    <row r="82" spans="1:5" x14ac:dyDescent="0.2">
      <c r="A82" s="2" t="s">
        <v>668</v>
      </c>
      <c r="D82" s="10">
        <v>16.3872</v>
      </c>
    </row>
    <row r="83" spans="1:5" x14ac:dyDescent="0.2">
      <c r="A83" s="2" t="s">
        <v>669</v>
      </c>
      <c r="D83" s="10">
        <v>11.157500000000001</v>
      </c>
    </row>
    <row r="85" spans="1:5" x14ac:dyDescent="0.2">
      <c r="A85" s="4" t="s">
        <v>109</v>
      </c>
      <c r="D85" s="30"/>
    </row>
    <row r="86" spans="1:5" x14ac:dyDescent="0.2">
      <c r="A86" s="90" t="s">
        <v>670</v>
      </c>
      <c r="B86" s="91"/>
      <c r="C86" s="94" t="s">
        <v>671</v>
      </c>
      <c r="D86" s="94"/>
    </row>
    <row r="87" spans="1:5" x14ac:dyDescent="0.2">
      <c r="A87" s="95"/>
      <c r="B87" s="95"/>
      <c r="C87" s="33" t="s">
        <v>672</v>
      </c>
      <c r="D87" s="33" t="s">
        <v>673</v>
      </c>
    </row>
    <row r="88" spans="1:5" x14ac:dyDescent="0.2">
      <c r="A88" s="34" t="s">
        <v>968</v>
      </c>
      <c r="B88" s="35"/>
      <c r="C88" s="52">
        <v>0.28812908000000004</v>
      </c>
      <c r="D88" s="52">
        <v>0.26680896400000004</v>
      </c>
    </row>
    <row r="89" spans="1:5" x14ac:dyDescent="0.2">
      <c r="A89" s="34" t="s">
        <v>969</v>
      </c>
      <c r="B89" s="35"/>
      <c r="C89" s="52">
        <v>0.28812908000000004</v>
      </c>
      <c r="D89" s="52">
        <v>0.26680896400000004</v>
      </c>
    </row>
    <row r="91" spans="1:5" x14ac:dyDescent="0.2">
      <c r="A91" s="4" t="s">
        <v>770</v>
      </c>
      <c r="D91" s="29">
        <v>4.5977456470609352</v>
      </c>
      <c r="E91" s="1" t="s">
        <v>771</v>
      </c>
    </row>
    <row r="93" spans="1:5" x14ac:dyDescent="0.2">
      <c r="A93" s="4" t="s">
        <v>1989</v>
      </c>
      <c r="D93" s="53" t="s">
        <v>110</v>
      </c>
    </row>
  </sheetData>
  <mergeCells count="4">
    <mergeCell ref="A1:F1"/>
    <mergeCell ref="A86:B86"/>
    <mergeCell ref="C86:D86"/>
    <mergeCell ref="A87:B87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6DDC-9856-4C17-BC95-19A45727081F}">
  <sheetPr codeName="Sheet27"/>
  <dimension ref="A1:F201"/>
  <sheetViews>
    <sheetView showGridLines="0" workbookViewId="0">
      <selection sqref="A1:F1"/>
    </sheetView>
  </sheetViews>
  <sheetFormatPr defaultColWidth="8.7109375" defaultRowHeight="11.25" x14ac:dyDescent="0.2"/>
  <cols>
    <col min="1" max="1" width="59.85546875" style="2" bestFit="1" customWidth="1"/>
    <col min="2" max="2" width="77.7109375" style="2" bestFit="1" customWidth="1"/>
    <col min="3" max="3" width="11.7109375" style="2" bestFit="1" customWidth="1"/>
    <col min="4" max="4" width="8.28515625" style="2" bestFit="1" customWidth="1"/>
    <col min="5" max="5" width="23" style="1" bestFit="1" customWidth="1"/>
    <col min="6" max="6" width="15.5703125" style="1" bestFit="1" customWidth="1"/>
    <col min="7" max="16384" width="8.7109375" style="2"/>
  </cols>
  <sheetData>
    <row r="1" spans="1:6" ht="15" customHeight="1" x14ac:dyDescent="0.2">
      <c r="A1" s="87" t="s">
        <v>970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719</v>
      </c>
      <c r="B8" s="45" t="s">
        <v>1459</v>
      </c>
      <c r="C8" s="45" t="s">
        <v>686</v>
      </c>
      <c r="D8" s="14">
        <v>7700</v>
      </c>
      <c r="E8" s="7">
        <v>77987.217000000004</v>
      </c>
      <c r="F8" s="7">
        <f>E8/$E$156*100</f>
        <v>6.7289728841785399</v>
      </c>
    </row>
    <row r="9" spans="1:6" x14ac:dyDescent="0.2">
      <c r="A9" s="45" t="s">
        <v>700</v>
      </c>
      <c r="B9" s="45" t="s">
        <v>1445</v>
      </c>
      <c r="C9" s="45" t="s">
        <v>688</v>
      </c>
      <c r="D9" s="14">
        <v>7200</v>
      </c>
      <c r="E9" s="7">
        <v>67425.047999999995</v>
      </c>
      <c r="F9" s="7">
        <f t="shared" ref="F9:F72" si="0">E9/$E$156*100</f>
        <v>5.8176370071833228</v>
      </c>
    </row>
    <row r="10" spans="1:6" x14ac:dyDescent="0.2">
      <c r="A10" s="45" t="s">
        <v>693</v>
      </c>
      <c r="B10" s="45" t="s">
        <v>1441</v>
      </c>
      <c r="C10" s="45" t="s">
        <v>694</v>
      </c>
      <c r="D10" s="14">
        <v>5230</v>
      </c>
      <c r="E10" s="7">
        <v>39333.784</v>
      </c>
      <c r="F10" s="7">
        <f t="shared" si="0"/>
        <v>3.3938378127807236</v>
      </c>
    </row>
    <row r="11" spans="1:6" x14ac:dyDescent="0.2">
      <c r="A11" s="45" t="s">
        <v>722</v>
      </c>
      <c r="B11" s="45" t="s">
        <v>1462</v>
      </c>
      <c r="C11" s="45" t="s">
        <v>682</v>
      </c>
      <c r="D11" s="14">
        <v>4813</v>
      </c>
      <c r="E11" s="7">
        <v>36624.042200000004</v>
      </c>
      <c r="F11" s="7">
        <f t="shared" si="0"/>
        <v>3.1600330971268091</v>
      </c>
    </row>
    <row r="12" spans="1:6" x14ac:dyDescent="0.2">
      <c r="A12" s="45" t="s">
        <v>853</v>
      </c>
      <c r="B12" s="45" t="s">
        <v>1561</v>
      </c>
      <c r="C12" s="45" t="s">
        <v>698</v>
      </c>
      <c r="D12" s="14">
        <v>3100</v>
      </c>
      <c r="E12" s="7">
        <v>29804.485000000001</v>
      </c>
      <c r="F12" s="7">
        <f t="shared" si="0"/>
        <v>2.5716210823615619</v>
      </c>
    </row>
    <row r="13" spans="1:6" x14ac:dyDescent="0.2">
      <c r="A13" s="45" t="s">
        <v>971</v>
      </c>
      <c r="B13" s="45" t="s">
        <v>1644</v>
      </c>
      <c r="C13" s="45" t="s">
        <v>972</v>
      </c>
      <c r="D13" s="14">
        <v>3523</v>
      </c>
      <c r="E13" s="7">
        <v>28435.119439999999</v>
      </c>
      <c r="F13" s="7">
        <f t="shared" si="0"/>
        <v>2.4534680814438863</v>
      </c>
    </row>
    <row r="14" spans="1:6" x14ac:dyDescent="0.2">
      <c r="A14" s="45" t="s">
        <v>784</v>
      </c>
      <c r="B14" s="45" t="s">
        <v>1498</v>
      </c>
      <c r="C14" s="45" t="s">
        <v>690</v>
      </c>
      <c r="D14" s="14">
        <v>2800</v>
      </c>
      <c r="E14" s="7">
        <v>27935.824000000001</v>
      </c>
      <c r="F14" s="7">
        <f t="shared" si="0"/>
        <v>2.4103873612156725</v>
      </c>
    </row>
    <row r="15" spans="1:6" x14ac:dyDescent="0.2">
      <c r="A15" s="45" t="s">
        <v>973</v>
      </c>
      <c r="B15" s="45" t="s">
        <v>1645</v>
      </c>
      <c r="C15" s="45" t="s">
        <v>779</v>
      </c>
      <c r="D15" s="14">
        <v>2700</v>
      </c>
      <c r="E15" s="7">
        <v>26997.353999999999</v>
      </c>
      <c r="F15" s="7">
        <f t="shared" si="0"/>
        <v>2.3294133320665744</v>
      </c>
    </row>
    <row r="16" spans="1:6" x14ac:dyDescent="0.2">
      <c r="A16" s="45" t="s">
        <v>974</v>
      </c>
      <c r="B16" s="45" t="s">
        <v>1646</v>
      </c>
      <c r="C16" s="45" t="s">
        <v>779</v>
      </c>
      <c r="D16" s="14">
        <v>2500</v>
      </c>
      <c r="E16" s="7">
        <v>24997.55</v>
      </c>
      <c r="F16" s="7">
        <f t="shared" si="0"/>
        <v>2.1568641963579394</v>
      </c>
    </row>
    <row r="17" spans="1:6" x14ac:dyDescent="0.2">
      <c r="A17" s="45" t="s">
        <v>975</v>
      </c>
      <c r="B17" s="45" t="s">
        <v>1647</v>
      </c>
      <c r="C17" s="45" t="s">
        <v>692</v>
      </c>
      <c r="D17" s="14">
        <v>11135</v>
      </c>
      <c r="E17" s="7">
        <v>21788.21082</v>
      </c>
      <c r="F17" s="7">
        <f t="shared" si="0"/>
        <v>1.8799527081796681</v>
      </c>
    </row>
    <row r="18" spans="1:6" x14ac:dyDescent="0.2">
      <c r="A18" s="45" t="s">
        <v>976</v>
      </c>
      <c r="B18" s="45" t="s">
        <v>1648</v>
      </c>
      <c r="C18" s="45" t="s">
        <v>692</v>
      </c>
      <c r="D18" s="14">
        <v>10675</v>
      </c>
      <c r="E18" s="7">
        <v>21215.38825</v>
      </c>
      <c r="F18" s="7">
        <f t="shared" si="0"/>
        <v>1.8305278448591131</v>
      </c>
    </row>
    <row r="19" spans="1:6" x14ac:dyDescent="0.2">
      <c r="A19" s="45" t="s">
        <v>702</v>
      </c>
      <c r="B19" s="45" t="s">
        <v>1447</v>
      </c>
      <c r="C19" s="45" t="s">
        <v>703</v>
      </c>
      <c r="D19" s="14">
        <v>2100</v>
      </c>
      <c r="E19" s="7">
        <v>21103.614000000001</v>
      </c>
      <c r="F19" s="7">
        <f t="shared" si="0"/>
        <v>1.8208836246095383</v>
      </c>
    </row>
    <row r="20" spans="1:6" x14ac:dyDescent="0.2">
      <c r="A20" s="45" t="s">
        <v>977</v>
      </c>
      <c r="B20" s="45" t="s">
        <v>1649</v>
      </c>
      <c r="C20" s="45" t="s">
        <v>682</v>
      </c>
      <c r="D20" s="14">
        <v>1150</v>
      </c>
      <c r="E20" s="7">
        <v>18255.376</v>
      </c>
      <c r="F20" s="7">
        <f t="shared" si="0"/>
        <v>1.575129038063811</v>
      </c>
    </row>
    <row r="21" spans="1:6" x14ac:dyDescent="0.2">
      <c r="A21" s="45" t="s">
        <v>847</v>
      </c>
      <c r="B21" s="45" t="s">
        <v>1555</v>
      </c>
      <c r="C21" s="45" t="s">
        <v>755</v>
      </c>
      <c r="D21" s="14">
        <v>1390</v>
      </c>
      <c r="E21" s="7">
        <v>13764.614</v>
      </c>
      <c r="F21" s="7">
        <f t="shared" si="0"/>
        <v>1.1876525144779084</v>
      </c>
    </row>
    <row r="22" spans="1:6" x14ac:dyDescent="0.2">
      <c r="A22" s="45" t="s">
        <v>718</v>
      </c>
      <c r="B22" s="45" t="s">
        <v>1458</v>
      </c>
      <c r="C22" s="45" t="s">
        <v>692</v>
      </c>
      <c r="D22" s="14">
        <v>1349</v>
      </c>
      <c r="E22" s="7">
        <v>13471.167960000001</v>
      </c>
      <c r="F22" s="7">
        <f t="shared" si="0"/>
        <v>1.1623331028860118</v>
      </c>
    </row>
    <row r="23" spans="1:6" x14ac:dyDescent="0.2">
      <c r="A23" s="45" t="s">
        <v>978</v>
      </c>
      <c r="B23" s="45" t="s">
        <v>1650</v>
      </c>
      <c r="C23" s="45" t="s">
        <v>712</v>
      </c>
      <c r="D23" s="14">
        <v>12500</v>
      </c>
      <c r="E23" s="7">
        <v>12106.95</v>
      </c>
      <c r="F23" s="7">
        <f t="shared" si="0"/>
        <v>1.0446242524605713</v>
      </c>
    </row>
    <row r="24" spans="1:6" x14ac:dyDescent="0.2">
      <c r="A24" s="45" t="s">
        <v>687</v>
      </c>
      <c r="B24" s="45" t="s">
        <v>1438</v>
      </c>
      <c r="C24" s="45" t="s">
        <v>688</v>
      </c>
      <c r="D24" s="14">
        <v>1300</v>
      </c>
      <c r="E24" s="7">
        <v>11893.947</v>
      </c>
      <c r="F24" s="7">
        <f t="shared" si="0"/>
        <v>1.0262457095866964</v>
      </c>
    </row>
    <row r="25" spans="1:6" x14ac:dyDescent="0.2">
      <c r="A25" s="45" t="s">
        <v>979</v>
      </c>
      <c r="B25" s="45" t="s">
        <v>1651</v>
      </c>
      <c r="C25" s="45" t="s">
        <v>708</v>
      </c>
      <c r="D25" s="14">
        <v>1250</v>
      </c>
      <c r="E25" s="7">
        <v>11814.9375</v>
      </c>
      <c r="F25" s="7">
        <f t="shared" si="0"/>
        <v>1.0194285310343127</v>
      </c>
    </row>
    <row r="26" spans="1:6" x14ac:dyDescent="0.2">
      <c r="A26" s="45" t="s">
        <v>697</v>
      </c>
      <c r="B26" s="45" t="s">
        <v>1443</v>
      </c>
      <c r="C26" s="45" t="s">
        <v>698</v>
      </c>
      <c r="D26" s="14">
        <v>1180</v>
      </c>
      <c r="E26" s="7">
        <v>11758.511200000001</v>
      </c>
      <c r="F26" s="7">
        <f t="shared" si="0"/>
        <v>1.0145598992602807</v>
      </c>
    </row>
    <row r="27" spans="1:6" x14ac:dyDescent="0.2">
      <c r="A27" s="45" t="s">
        <v>980</v>
      </c>
      <c r="B27" s="45" t="s">
        <v>1652</v>
      </c>
      <c r="C27" s="45" t="s">
        <v>705</v>
      </c>
      <c r="D27" s="14">
        <v>1150</v>
      </c>
      <c r="E27" s="7">
        <v>11501.288</v>
      </c>
      <c r="F27" s="7">
        <f t="shared" si="0"/>
        <v>0.99236590382662349</v>
      </c>
    </row>
    <row r="28" spans="1:6" x14ac:dyDescent="0.2">
      <c r="A28" s="45" t="s">
        <v>845</v>
      </c>
      <c r="B28" s="45" t="s">
        <v>1553</v>
      </c>
      <c r="C28" s="45" t="s">
        <v>696</v>
      </c>
      <c r="D28" s="14">
        <v>1050</v>
      </c>
      <c r="E28" s="7">
        <v>10425.523499999999</v>
      </c>
      <c r="F28" s="7">
        <f t="shared" si="0"/>
        <v>0.89954569009516172</v>
      </c>
    </row>
    <row r="29" spans="1:6" x14ac:dyDescent="0.2">
      <c r="A29" s="45" t="s">
        <v>981</v>
      </c>
      <c r="B29" s="45" t="s">
        <v>1653</v>
      </c>
      <c r="C29" s="45" t="s">
        <v>982</v>
      </c>
      <c r="D29" s="14">
        <v>1000</v>
      </c>
      <c r="E29" s="7">
        <v>9812.8700000000008</v>
      </c>
      <c r="F29" s="7">
        <f t="shared" si="0"/>
        <v>0.84668409370178022</v>
      </c>
    </row>
    <row r="30" spans="1:6" x14ac:dyDescent="0.2">
      <c r="A30" s="45" t="s">
        <v>983</v>
      </c>
      <c r="B30" s="45" t="s">
        <v>1561</v>
      </c>
      <c r="C30" s="45" t="s">
        <v>698</v>
      </c>
      <c r="D30" s="14">
        <v>1000</v>
      </c>
      <c r="E30" s="7">
        <v>9621.6200000000008</v>
      </c>
      <c r="F30" s="7">
        <f t="shared" si="0"/>
        <v>0.83018246544007235</v>
      </c>
    </row>
    <row r="31" spans="1:6" x14ac:dyDescent="0.2">
      <c r="A31" s="45" t="s">
        <v>685</v>
      </c>
      <c r="B31" s="45" t="s">
        <v>1437</v>
      </c>
      <c r="C31" s="45" t="s">
        <v>686</v>
      </c>
      <c r="D31" s="14">
        <v>885</v>
      </c>
      <c r="E31" s="7">
        <v>9421.5595499999999</v>
      </c>
      <c r="F31" s="7">
        <f t="shared" si="0"/>
        <v>0.81292064491317018</v>
      </c>
    </row>
    <row r="32" spans="1:6" x14ac:dyDescent="0.2">
      <c r="A32" s="45" t="s">
        <v>706</v>
      </c>
      <c r="B32" s="45" t="s">
        <v>1449</v>
      </c>
      <c r="C32" s="45" t="s">
        <v>692</v>
      </c>
      <c r="D32" s="14">
        <v>879</v>
      </c>
      <c r="E32" s="7">
        <v>8765.4846899999993</v>
      </c>
      <c r="F32" s="7">
        <f t="shared" si="0"/>
        <v>0.75631252229057133</v>
      </c>
    </row>
    <row r="33" spans="1:6" x14ac:dyDescent="0.2">
      <c r="A33" s="45" t="s">
        <v>711</v>
      </c>
      <c r="B33" s="45" t="s">
        <v>1453</v>
      </c>
      <c r="C33" s="45" t="s">
        <v>712</v>
      </c>
      <c r="D33" s="14">
        <v>8500</v>
      </c>
      <c r="E33" s="7">
        <v>8237.6730000000007</v>
      </c>
      <c r="F33" s="7">
        <f t="shared" si="0"/>
        <v>0.71077133379089141</v>
      </c>
    </row>
    <row r="34" spans="1:6" x14ac:dyDescent="0.2">
      <c r="A34" s="45" t="s">
        <v>984</v>
      </c>
      <c r="B34" s="45" t="s">
        <v>1654</v>
      </c>
      <c r="C34" s="45" t="s">
        <v>692</v>
      </c>
      <c r="D34" s="14">
        <v>822</v>
      </c>
      <c r="E34" s="7">
        <v>8153.1714000000002</v>
      </c>
      <c r="F34" s="7">
        <f t="shared" si="0"/>
        <v>0.70348028024464548</v>
      </c>
    </row>
    <row r="35" spans="1:6" x14ac:dyDescent="0.2">
      <c r="A35" s="45" t="s">
        <v>985</v>
      </c>
      <c r="B35" s="45" t="s">
        <v>1655</v>
      </c>
      <c r="C35" s="45" t="s">
        <v>692</v>
      </c>
      <c r="D35" s="14">
        <v>822</v>
      </c>
      <c r="E35" s="7">
        <v>8021.1006600000001</v>
      </c>
      <c r="F35" s="7">
        <f t="shared" si="0"/>
        <v>0.69208481746959361</v>
      </c>
    </row>
    <row r="36" spans="1:6" x14ac:dyDescent="0.2">
      <c r="A36" s="45" t="s">
        <v>986</v>
      </c>
      <c r="B36" s="45" t="s">
        <v>1656</v>
      </c>
      <c r="C36" s="45" t="s">
        <v>698</v>
      </c>
      <c r="D36" s="14">
        <v>760</v>
      </c>
      <c r="E36" s="7">
        <v>7584.4124000000002</v>
      </c>
      <c r="F36" s="7">
        <f t="shared" si="0"/>
        <v>0.65440603403026265</v>
      </c>
    </row>
    <row r="37" spans="1:6" x14ac:dyDescent="0.2">
      <c r="A37" s="45" t="s">
        <v>815</v>
      </c>
      <c r="B37" s="45" t="s">
        <v>1524</v>
      </c>
      <c r="C37" s="45" t="s">
        <v>698</v>
      </c>
      <c r="D37" s="14">
        <v>730</v>
      </c>
      <c r="E37" s="7">
        <v>7552.3026</v>
      </c>
      <c r="F37" s="7">
        <f t="shared" si="0"/>
        <v>0.65163550339937226</v>
      </c>
    </row>
    <row r="38" spans="1:6" x14ac:dyDescent="0.2">
      <c r="A38" s="45" t="s">
        <v>987</v>
      </c>
      <c r="B38" s="45" t="s">
        <v>1657</v>
      </c>
      <c r="C38" s="45" t="s">
        <v>705</v>
      </c>
      <c r="D38" s="14">
        <v>750</v>
      </c>
      <c r="E38" s="7">
        <v>7500.915</v>
      </c>
      <c r="F38" s="7">
        <f t="shared" si="0"/>
        <v>0.64720162589630648</v>
      </c>
    </row>
    <row r="39" spans="1:6" x14ac:dyDescent="0.2">
      <c r="A39" s="45" t="s">
        <v>988</v>
      </c>
      <c r="B39" s="45" t="s">
        <v>1658</v>
      </c>
      <c r="C39" s="45" t="s">
        <v>692</v>
      </c>
      <c r="D39" s="14">
        <v>754</v>
      </c>
      <c r="E39" s="7">
        <v>7301.9772800000001</v>
      </c>
      <c r="F39" s="7">
        <f t="shared" si="0"/>
        <v>0.63003667790848039</v>
      </c>
    </row>
    <row r="40" spans="1:6" x14ac:dyDescent="0.2">
      <c r="A40" s="45" t="s">
        <v>989</v>
      </c>
      <c r="B40" s="45" t="s">
        <v>1659</v>
      </c>
      <c r="C40" s="45" t="s">
        <v>708</v>
      </c>
      <c r="D40" s="14">
        <v>700</v>
      </c>
      <c r="E40" s="7">
        <v>6683.88</v>
      </c>
      <c r="F40" s="7">
        <f t="shared" si="0"/>
        <v>0.57670537571693647</v>
      </c>
    </row>
    <row r="41" spans="1:6" x14ac:dyDescent="0.2">
      <c r="A41" s="45" t="s">
        <v>990</v>
      </c>
      <c r="B41" s="45" t="s">
        <v>1660</v>
      </c>
      <c r="C41" s="45" t="s">
        <v>755</v>
      </c>
      <c r="D41" s="14">
        <v>690</v>
      </c>
      <c r="E41" s="7">
        <v>6652.1382000000003</v>
      </c>
      <c r="F41" s="7">
        <f t="shared" si="0"/>
        <v>0.57396659723872745</v>
      </c>
    </row>
    <row r="42" spans="1:6" x14ac:dyDescent="0.2">
      <c r="A42" s="45" t="s">
        <v>793</v>
      </c>
      <c r="B42" s="45" t="s">
        <v>1506</v>
      </c>
      <c r="C42" s="45" t="s">
        <v>712</v>
      </c>
      <c r="D42" s="14">
        <v>13</v>
      </c>
      <c r="E42" s="7">
        <v>6611.6440000000002</v>
      </c>
      <c r="F42" s="7">
        <f t="shared" si="0"/>
        <v>0.5704726352248437</v>
      </c>
    </row>
    <row r="43" spans="1:6" x14ac:dyDescent="0.2">
      <c r="A43" s="45" t="s">
        <v>788</v>
      </c>
      <c r="B43" s="45" t="s">
        <v>1501</v>
      </c>
      <c r="C43" s="45" t="s">
        <v>692</v>
      </c>
      <c r="D43" s="14">
        <v>650</v>
      </c>
      <c r="E43" s="7">
        <v>6505.9605000000001</v>
      </c>
      <c r="F43" s="7">
        <f t="shared" si="0"/>
        <v>0.56135394330120347</v>
      </c>
    </row>
    <row r="44" spans="1:6" x14ac:dyDescent="0.2">
      <c r="A44" s="45" t="s">
        <v>991</v>
      </c>
      <c r="B44" s="45" t="s">
        <v>1661</v>
      </c>
      <c r="C44" s="45" t="s">
        <v>708</v>
      </c>
      <c r="D44" s="14">
        <v>570</v>
      </c>
      <c r="E44" s="7">
        <v>5903.5640999999996</v>
      </c>
      <c r="F44" s="7">
        <f t="shared" si="0"/>
        <v>0.50937736050909321</v>
      </c>
    </row>
    <row r="45" spans="1:6" x14ac:dyDescent="0.2">
      <c r="A45" s="45" t="s">
        <v>992</v>
      </c>
      <c r="B45" s="45" t="s">
        <v>1662</v>
      </c>
      <c r="C45" s="45" t="s">
        <v>712</v>
      </c>
      <c r="D45" s="14">
        <v>6000</v>
      </c>
      <c r="E45" s="7">
        <v>5836.866</v>
      </c>
      <c r="F45" s="7">
        <f t="shared" si="0"/>
        <v>0.503622446773343</v>
      </c>
    </row>
    <row r="46" spans="1:6" x14ac:dyDescent="0.2">
      <c r="A46" s="45" t="s">
        <v>993</v>
      </c>
      <c r="B46" s="45" t="s">
        <v>1663</v>
      </c>
      <c r="C46" s="45" t="s">
        <v>684</v>
      </c>
      <c r="D46" s="14">
        <v>560</v>
      </c>
      <c r="E46" s="7">
        <v>5746.1152000000002</v>
      </c>
      <c r="F46" s="7">
        <f t="shared" si="0"/>
        <v>0.49579219335607455</v>
      </c>
    </row>
    <row r="47" spans="1:6" x14ac:dyDescent="0.2">
      <c r="A47" s="45" t="s">
        <v>994</v>
      </c>
      <c r="B47" s="45" t="s">
        <v>1664</v>
      </c>
      <c r="C47" s="45" t="s">
        <v>712</v>
      </c>
      <c r="D47" s="14">
        <v>11</v>
      </c>
      <c r="E47" s="7">
        <v>5594.4679999999998</v>
      </c>
      <c r="F47" s="7">
        <f t="shared" si="0"/>
        <v>0.48270761442102161</v>
      </c>
    </row>
    <row r="48" spans="1:6" x14ac:dyDescent="0.2">
      <c r="A48" s="45" t="s">
        <v>995</v>
      </c>
      <c r="B48" s="45" t="s">
        <v>1665</v>
      </c>
      <c r="C48" s="45" t="s">
        <v>696</v>
      </c>
      <c r="D48" s="14">
        <v>550</v>
      </c>
      <c r="E48" s="7">
        <v>5428.7749999999996</v>
      </c>
      <c r="F48" s="7">
        <f t="shared" si="0"/>
        <v>0.46841112139321944</v>
      </c>
    </row>
    <row r="49" spans="1:6" x14ac:dyDescent="0.2">
      <c r="A49" s="45" t="s">
        <v>996</v>
      </c>
      <c r="B49" s="45" t="s">
        <v>1666</v>
      </c>
      <c r="C49" s="45" t="s">
        <v>705</v>
      </c>
      <c r="D49" s="14">
        <v>500</v>
      </c>
      <c r="E49" s="7">
        <v>5000.5600000000004</v>
      </c>
      <c r="F49" s="7">
        <f t="shared" si="0"/>
        <v>0.4314634364463581</v>
      </c>
    </row>
    <row r="50" spans="1:6" x14ac:dyDescent="0.2">
      <c r="A50" s="45" t="s">
        <v>997</v>
      </c>
      <c r="B50" s="45" t="s">
        <v>1667</v>
      </c>
      <c r="C50" s="45" t="s">
        <v>714</v>
      </c>
      <c r="D50" s="14">
        <v>500</v>
      </c>
      <c r="E50" s="7">
        <v>4906.415</v>
      </c>
      <c r="F50" s="7">
        <f t="shared" si="0"/>
        <v>0.42334032119041826</v>
      </c>
    </row>
    <row r="51" spans="1:6" x14ac:dyDescent="0.2">
      <c r="A51" s="45" t="s">
        <v>998</v>
      </c>
      <c r="B51" s="45" t="s">
        <v>1667</v>
      </c>
      <c r="C51" s="45" t="s">
        <v>714</v>
      </c>
      <c r="D51" s="14">
        <v>500</v>
      </c>
      <c r="E51" s="7">
        <v>4898.96</v>
      </c>
      <c r="F51" s="7">
        <f t="shared" si="0"/>
        <v>0.42269708124955013</v>
      </c>
    </row>
    <row r="52" spans="1:6" x14ac:dyDescent="0.2">
      <c r="A52" s="45" t="s">
        <v>814</v>
      </c>
      <c r="B52" s="45" t="s">
        <v>1523</v>
      </c>
      <c r="C52" s="45" t="s">
        <v>708</v>
      </c>
      <c r="D52" s="14">
        <v>500</v>
      </c>
      <c r="E52" s="7">
        <v>4812.38</v>
      </c>
      <c r="F52" s="7">
        <f t="shared" si="0"/>
        <v>0.41522669706707338</v>
      </c>
    </row>
    <row r="53" spans="1:6" x14ac:dyDescent="0.2">
      <c r="A53" s="45" t="s">
        <v>999</v>
      </c>
      <c r="B53" s="45" t="s">
        <v>1668</v>
      </c>
      <c r="C53" s="45" t="s">
        <v>714</v>
      </c>
      <c r="D53" s="14">
        <v>500</v>
      </c>
      <c r="E53" s="7">
        <v>4736.7299999999996</v>
      </c>
      <c r="F53" s="7">
        <f t="shared" si="0"/>
        <v>0.40869938633244229</v>
      </c>
    </row>
    <row r="54" spans="1:6" x14ac:dyDescent="0.2">
      <c r="A54" s="45" t="s">
        <v>1000</v>
      </c>
      <c r="B54" s="45" t="s">
        <v>1669</v>
      </c>
      <c r="C54" s="45" t="s">
        <v>714</v>
      </c>
      <c r="D54" s="14">
        <v>500</v>
      </c>
      <c r="E54" s="7">
        <v>4732.5450000000001</v>
      </c>
      <c r="F54" s="7">
        <f t="shared" si="0"/>
        <v>0.40833829187871551</v>
      </c>
    </row>
    <row r="55" spans="1:6" x14ac:dyDescent="0.2">
      <c r="A55" s="45" t="s">
        <v>1001</v>
      </c>
      <c r="B55" s="45" t="s">
        <v>1454</v>
      </c>
      <c r="C55" s="45" t="s">
        <v>714</v>
      </c>
      <c r="D55" s="14">
        <v>500</v>
      </c>
      <c r="E55" s="7">
        <v>4716.7849999999999</v>
      </c>
      <c r="F55" s="7">
        <f t="shared" si="0"/>
        <v>0.40697847142692722</v>
      </c>
    </row>
    <row r="56" spans="1:6" x14ac:dyDescent="0.2">
      <c r="A56" s="45" t="s">
        <v>683</v>
      </c>
      <c r="B56" s="45" t="s">
        <v>1436</v>
      </c>
      <c r="C56" s="45" t="s">
        <v>684</v>
      </c>
      <c r="D56" s="14">
        <v>460</v>
      </c>
      <c r="E56" s="7">
        <v>4668.7561999999998</v>
      </c>
      <c r="F56" s="7">
        <f t="shared" si="0"/>
        <v>0.40283440134349757</v>
      </c>
    </row>
    <row r="57" spans="1:6" x14ac:dyDescent="0.2">
      <c r="A57" s="45" t="s">
        <v>1002</v>
      </c>
      <c r="B57" s="45" t="s">
        <v>1670</v>
      </c>
      <c r="C57" s="45" t="s">
        <v>692</v>
      </c>
      <c r="D57" s="14">
        <v>2125</v>
      </c>
      <c r="E57" s="7">
        <v>4137.2730000000001</v>
      </c>
      <c r="F57" s="7">
        <f t="shared" si="0"/>
        <v>0.35697642385987433</v>
      </c>
    </row>
    <row r="58" spans="1:6" x14ac:dyDescent="0.2">
      <c r="A58" s="45" t="s">
        <v>837</v>
      </c>
      <c r="B58" s="45" t="s">
        <v>1545</v>
      </c>
      <c r="C58" s="45" t="s">
        <v>712</v>
      </c>
      <c r="D58" s="14">
        <v>500</v>
      </c>
      <c r="E58" s="7">
        <v>3709.92</v>
      </c>
      <c r="F58" s="7">
        <f t="shared" si="0"/>
        <v>0.32010311487934806</v>
      </c>
    </row>
    <row r="59" spans="1:6" x14ac:dyDescent="0.2">
      <c r="A59" s="45" t="s">
        <v>1003</v>
      </c>
      <c r="B59" s="45" t="s">
        <v>1671</v>
      </c>
      <c r="C59" s="45" t="s">
        <v>698</v>
      </c>
      <c r="D59" s="14">
        <v>370</v>
      </c>
      <c r="E59" s="7">
        <v>3703.7406999999998</v>
      </c>
      <c r="F59" s="7">
        <f t="shared" si="0"/>
        <v>0.31956994619167445</v>
      </c>
    </row>
    <row r="60" spans="1:6" x14ac:dyDescent="0.2">
      <c r="A60" s="45" t="s">
        <v>1004</v>
      </c>
      <c r="B60" s="45" t="s">
        <v>1672</v>
      </c>
      <c r="C60" s="45" t="s">
        <v>692</v>
      </c>
      <c r="D60" s="14">
        <v>350</v>
      </c>
      <c r="E60" s="7">
        <v>3487.3649999999998</v>
      </c>
      <c r="F60" s="7">
        <f t="shared" si="0"/>
        <v>0.30090039656413553</v>
      </c>
    </row>
    <row r="61" spans="1:6" x14ac:dyDescent="0.2">
      <c r="A61" s="45" t="s">
        <v>724</v>
      </c>
      <c r="B61" s="45" t="s">
        <v>1454</v>
      </c>
      <c r="C61" s="45" t="s">
        <v>714</v>
      </c>
      <c r="D61" s="14">
        <v>350</v>
      </c>
      <c r="E61" s="7">
        <v>3301.7494999999999</v>
      </c>
      <c r="F61" s="7">
        <f t="shared" si="0"/>
        <v>0.28488492999884901</v>
      </c>
    </row>
    <row r="62" spans="1:6" x14ac:dyDescent="0.2">
      <c r="A62" s="45" t="s">
        <v>1005</v>
      </c>
      <c r="B62" s="45" t="s">
        <v>1673</v>
      </c>
      <c r="C62" s="45" t="s">
        <v>740</v>
      </c>
      <c r="D62" s="14">
        <v>272</v>
      </c>
      <c r="E62" s="7">
        <v>2785.7070399999998</v>
      </c>
      <c r="F62" s="7">
        <f t="shared" si="0"/>
        <v>0.24035922624890257</v>
      </c>
    </row>
    <row r="63" spans="1:6" x14ac:dyDescent="0.2">
      <c r="A63" s="45" t="s">
        <v>1006</v>
      </c>
      <c r="B63" s="45" t="s">
        <v>1674</v>
      </c>
      <c r="C63" s="45" t="s">
        <v>696</v>
      </c>
      <c r="D63" s="14">
        <v>253</v>
      </c>
      <c r="E63" s="7">
        <v>2525.3093800000001</v>
      </c>
      <c r="F63" s="7">
        <f t="shared" si="0"/>
        <v>0.21789132880817788</v>
      </c>
    </row>
    <row r="64" spans="1:6" x14ac:dyDescent="0.2">
      <c r="A64" s="45" t="s">
        <v>1007</v>
      </c>
      <c r="B64" s="45" t="s">
        <v>1675</v>
      </c>
      <c r="C64" s="45" t="s">
        <v>712</v>
      </c>
      <c r="D64" s="14">
        <v>2500</v>
      </c>
      <c r="E64" s="7">
        <v>2440.7674999999999</v>
      </c>
      <c r="F64" s="7">
        <f t="shared" si="0"/>
        <v>0.2105967997817417</v>
      </c>
    </row>
    <row r="65" spans="1:6" x14ac:dyDescent="0.2">
      <c r="A65" s="45" t="s">
        <v>792</v>
      </c>
      <c r="B65" s="45" t="s">
        <v>1505</v>
      </c>
      <c r="C65" s="45" t="s">
        <v>708</v>
      </c>
      <c r="D65" s="14">
        <v>250</v>
      </c>
      <c r="E65" s="7">
        <v>2429.9850000000001</v>
      </c>
      <c r="F65" s="7">
        <f t="shared" si="0"/>
        <v>0.20966645307987578</v>
      </c>
    </row>
    <row r="66" spans="1:6" x14ac:dyDescent="0.2">
      <c r="A66" s="45" t="s">
        <v>1008</v>
      </c>
      <c r="B66" s="45" t="s">
        <v>1676</v>
      </c>
      <c r="C66" s="45" t="s">
        <v>698</v>
      </c>
      <c r="D66" s="14">
        <v>250</v>
      </c>
      <c r="E66" s="7">
        <v>2382.5549999999998</v>
      </c>
      <c r="F66" s="7">
        <f t="shared" si="0"/>
        <v>0.20557404927097214</v>
      </c>
    </row>
    <row r="67" spans="1:6" x14ac:dyDescent="0.2">
      <c r="A67" s="45" t="s">
        <v>1009</v>
      </c>
      <c r="B67" s="45" t="s">
        <v>1677</v>
      </c>
      <c r="C67" s="45" t="s">
        <v>802</v>
      </c>
      <c r="D67" s="14">
        <v>240</v>
      </c>
      <c r="E67" s="7">
        <v>2245.3152</v>
      </c>
      <c r="F67" s="7">
        <f t="shared" si="0"/>
        <v>0.19373258436999891</v>
      </c>
    </row>
    <row r="68" spans="1:6" x14ac:dyDescent="0.2">
      <c r="A68" s="45" t="s">
        <v>721</v>
      </c>
      <c r="B68" s="45" t="s">
        <v>1461</v>
      </c>
      <c r="C68" s="45" t="s">
        <v>712</v>
      </c>
      <c r="D68" s="14">
        <v>2000</v>
      </c>
      <c r="E68" s="7">
        <v>1944.348</v>
      </c>
      <c r="F68" s="7">
        <f t="shared" si="0"/>
        <v>0.16776422435239322</v>
      </c>
    </row>
    <row r="69" spans="1:6" x14ac:dyDescent="0.2">
      <c r="A69" s="45" t="s">
        <v>1010</v>
      </c>
      <c r="B69" s="45" t="s">
        <v>1678</v>
      </c>
      <c r="C69" s="45" t="s">
        <v>698</v>
      </c>
      <c r="D69" s="14">
        <v>200</v>
      </c>
      <c r="E69" s="7">
        <v>1938.6479999999999</v>
      </c>
      <c r="F69" s="7">
        <f t="shared" si="0"/>
        <v>0.16727241111792662</v>
      </c>
    </row>
    <row r="70" spans="1:6" x14ac:dyDescent="0.2">
      <c r="A70" s="45" t="s">
        <v>1011</v>
      </c>
      <c r="B70" s="45" t="s">
        <v>1679</v>
      </c>
      <c r="C70" s="45" t="s">
        <v>686</v>
      </c>
      <c r="D70" s="14">
        <v>145</v>
      </c>
      <c r="E70" s="7">
        <v>1537.5191</v>
      </c>
      <c r="F70" s="7">
        <f t="shared" si="0"/>
        <v>0.13266179677634338</v>
      </c>
    </row>
    <row r="71" spans="1:6" x14ac:dyDescent="0.2">
      <c r="A71" s="45" t="s">
        <v>704</v>
      </c>
      <c r="B71" s="45" t="s">
        <v>1448</v>
      </c>
      <c r="C71" s="45" t="s">
        <v>705</v>
      </c>
      <c r="D71" s="14">
        <v>150</v>
      </c>
      <c r="E71" s="7">
        <v>1500.1079999999999</v>
      </c>
      <c r="F71" s="7">
        <f t="shared" si="0"/>
        <v>0.12943385395249199</v>
      </c>
    </row>
    <row r="72" spans="1:6" x14ac:dyDescent="0.2">
      <c r="A72" s="45" t="s">
        <v>720</v>
      </c>
      <c r="B72" s="45" t="s">
        <v>1460</v>
      </c>
      <c r="C72" s="45" t="s">
        <v>696</v>
      </c>
      <c r="D72" s="14">
        <v>150</v>
      </c>
      <c r="E72" s="7">
        <v>1487.91</v>
      </c>
      <c r="F72" s="7">
        <f t="shared" si="0"/>
        <v>0.12838137363073349</v>
      </c>
    </row>
    <row r="73" spans="1:6" x14ac:dyDescent="0.2">
      <c r="A73" s="45" t="s">
        <v>1012</v>
      </c>
      <c r="B73" s="45" t="s">
        <v>1680</v>
      </c>
      <c r="C73" s="45" t="s">
        <v>712</v>
      </c>
      <c r="D73" s="14">
        <v>1400</v>
      </c>
      <c r="E73" s="7">
        <v>1365.1764000000001</v>
      </c>
      <c r="F73" s="7">
        <f t="shared" ref="F73:F93" si="1">E73/$E$156*100</f>
        <v>0.1177915475265706</v>
      </c>
    </row>
    <row r="74" spans="1:6" x14ac:dyDescent="0.2">
      <c r="A74" s="45" t="s">
        <v>1013</v>
      </c>
      <c r="B74" s="45" t="s">
        <v>1681</v>
      </c>
      <c r="C74" s="45" t="s">
        <v>696</v>
      </c>
      <c r="D74" s="14">
        <v>100</v>
      </c>
      <c r="E74" s="7">
        <v>1017.742</v>
      </c>
      <c r="F74" s="7">
        <f t="shared" si="1"/>
        <v>8.7813856995174411E-2</v>
      </c>
    </row>
    <row r="75" spans="1:6" x14ac:dyDescent="0.2">
      <c r="A75" s="45" t="s">
        <v>1014</v>
      </c>
      <c r="B75" s="45" t="s">
        <v>1682</v>
      </c>
      <c r="C75" s="45" t="s">
        <v>804</v>
      </c>
      <c r="D75" s="14">
        <v>100</v>
      </c>
      <c r="E75" s="7">
        <v>1004.26</v>
      </c>
      <c r="F75" s="7">
        <f t="shared" si="1"/>
        <v>8.6650589271125539E-2</v>
      </c>
    </row>
    <row r="76" spans="1:6" x14ac:dyDescent="0.2">
      <c r="A76" s="45" t="s">
        <v>946</v>
      </c>
      <c r="B76" s="45" t="s">
        <v>1628</v>
      </c>
      <c r="C76" s="45" t="s">
        <v>686</v>
      </c>
      <c r="D76" s="14">
        <v>80</v>
      </c>
      <c r="E76" s="7">
        <v>849.26319999999998</v>
      </c>
      <c r="F76" s="7">
        <f t="shared" si="1"/>
        <v>7.3276996720253465E-2</v>
      </c>
    </row>
    <row r="77" spans="1:6" x14ac:dyDescent="0.2">
      <c r="A77" s="45" t="s">
        <v>790</v>
      </c>
      <c r="B77" s="45" t="s">
        <v>1503</v>
      </c>
      <c r="C77" s="45" t="s">
        <v>692</v>
      </c>
      <c r="D77" s="14">
        <v>76</v>
      </c>
      <c r="E77" s="7">
        <v>760.01747999999998</v>
      </c>
      <c r="F77" s="7">
        <f t="shared" si="1"/>
        <v>6.5576606156130743E-2</v>
      </c>
    </row>
    <row r="78" spans="1:6" x14ac:dyDescent="0.2">
      <c r="A78" s="45" t="s">
        <v>715</v>
      </c>
      <c r="B78" s="45" t="s">
        <v>1455</v>
      </c>
      <c r="C78" s="45" t="s">
        <v>692</v>
      </c>
      <c r="D78" s="14">
        <v>62</v>
      </c>
      <c r="E78" s="7">
        <v>597.86476000000005</v>
      </c>
      <c r="F78" s="7">
        <f t="shared" si="1"/>
        <v>5.1585579191086028E-2</v>
      </c>
    </row>
    <row r="79" spans="1:6" x14ac:dyDescent="0.2">
      <c r="A79" s="45" t="s">
        <v>699</v>
      </c>
      <c r="B79" s="45" t="s">
        <v>1444</v>
      </c>
      <c r="C79" s="45" t="s">
        <v>692</v>
      </c>
      <c r="D79" s="14">
        <v>62</v>
      </c>
      <c r="E79" s="7">
        <v>595.50008000000003</v>
      </c>
      <c r="F79" s="7">
        <f t="shared" si="1"/>
        <v>5.1381547450861736E-2</v>
      </c>
    </row>
    <row r="80" spans="1:6" x14ac:dyDescent="0.2">
      <c r="A80" s="45" t="s">
        <v>947</v>
      </c>
      <c r="B80" s="45" t="s">
        <v>1629</v>
      </c>
      <c r="C80" s="45" t="s">
        <v>682</v>
      </c>
      <c r="D80" s="14">
        <v>55</v>
      </c>
      <c r="E80" s="7">
        <v>553.08000000000004</v>
      </c>
      <c r="F80" s="7">
        <f t="shared" si="1"/>
        <v>4.7721414687505348E-2</v>
      </c>
    </row>
    <row r="81" spans="1:6" x14ac:dyDescent="0.2">
      <c r="A81" s="45" t="s">
        <v>854</v>
      </c>
      <c r="B81" s="45" t="s">
        <v>1562</v>
      </c>
      <c r="C81" s="45" t="s">
        <v>686</v>
      </c>
      <c r="D81" s="14">
        <v>50</v>
      </c>
      <c r="E81" s="7">
        <v>510.10500000000002</v>
      </c>
      <c r="F81" s="7">
        <f t="shared" si="1"/>
        <v>4.4013401748698049E-2</v>
      </c>
    </row>
    <row r="82" spans="1:6" x14ac:dyDescent="0.2">
      <c r="A82" s="45" t="s">
        <v>727</v>
      </c>
      <c r="B82" s="45" t="s">
        <v>1466</v>
      </c>
      <c r="C82" s="45" t="s">
        <v>728</v>
      </c>
      <c r="D82" s="14">
        <v>50</v>
      </c>
      <c r="E82" s="7">
        <v>501.65300000000002</v>
      </c>
      <c r="F82" s="7">
        <f t="shared" si="1"/>
        <v>4.3284137633310044E-2</v>
      </c>
    </row>
    <row r="83" spans="1:6" x14ac:dyDescent="0.2">
      <c r="A83" s="45" t="s">
        <v>840</v>
      </c>
      <c r="B83" s="45" t="s">
        <v>1548</v>
      </c>
      <c r="C83" s="45" t="s">
        <v>698</v>
      </c>
      <c r="D83" s="14">
        <v>50</v>
      </c>
      <c r="E83" s="7">
        <v>498.68</v>
      </c>
      <c r="F83" s="7">
        <f t="shared" si="1"/>
        <v>4.3027618204175104E-2</v>
      </c>
    </row>
    <row r="84" spans="1:6" x14ac:dyDescent="0.2">
      <c r="A84" s="45" t="s">
        <v>1015</v>
      </c>
      <c r="B84" s="45" t="s">
        <v>1677</v>
      </c>
      <c r="C84" s="45" t="s">
        <v>802</v>
      </c>
      <c r="D84" s="14">
        <v>50</v>
      </c>
      <c r="E84" s="7">
        <v>467.7765</v>
      </c>
      <c r="F84" s="7">
        <f t="shared" si="1"/>
        <v>4.0361170784642082E-2</v>
      </c>
    </row>
    <row r="85" spans="1:6" x14ac:dyDescent="0.2">
      <c r="A85" s="45" t="s">
        <v>1016</v>
      </c>
      <c r="B85" s="45" t="s">
        <v>1683</v>
      </c>
      <c r="C85" s="45" t="s">
        <v>686</v>
      </c>
      <c r="D85" s="14">
        <v>37</v>
      </c>
      <c r="E85" s="7">
        <v>372.41203000000002</v>
      </c>
      <c r="F85" s="7">
        <f t="shared" si="1"/>
        <v>3.2132835969924209E-2</v>
      </c>
    </row>
    <row r="86" spans="1:6" x14ac:dyDescent="0.2">
      <c r="A86" s="45" t="s">
        <v>1017</v>
      </c>
      <c r="B86" s="45" t="s">
        <v>1684</v>
      </c>
      <c r="C86" s="45" t="s">
        <v>925</v>
      </c>
      <c r="D86" s="14">
        <v>36</v>
      </c>
      <c r="E86" s="7">
        <v>363.03876000000002</v>
      </c>
      <c r="F86" s="7">
        <f t="shared" si="1"/>
        <v>3.132408189339287E-2</v>
      </c>
    </row>
    <row r="87" spans="1:6" x14ac:dyDescent="0.2">
      <c r="A87" s="45" t="s">
        <v>959</v>
      </c>
      <c r="B87" s="45" t="s">
        <v>1640</v>
      </c>
      <c r="C87" s="45" t="s">
        <v>686</v>
      </c>
      <c r="D87" s="14">
        <v>30</v>
      </c>
      <c r="E87" s="7">
        <v>303.1497</v>
      </c>
      <c r="F87" s="7">
        <f t="shared" si="1"/>
        <v>2.6156672716592243E-2</v>
      </c>
    </row>
    <row r="88" spans="1:6" x14ac:dyDescent="0.2">
      <c r="A88" s="45" t="s">
        <v>1018</v>
      </c>
      <c r="B88" s="45" t="s">
        <v>1685</v>
      </c>
      <c r="C88" s="45" t="s">
        <v>686</v>
      </c>
      <c r="D88" s="14">
        <v>28</v>
      </c>
      <c r="E88" s="7">
        <v>279.50495999999998</v>
      </c>
      <c r="F88" s="7">
        <f t="shared" si="1"/>
        <v>2.4116533057377942E-2</v>
      </c>
    </row>
    <row r="89" spans="1:6" x14ac:dyDescent="0.2">
      <c r="A89" s="45" t="s">
        <v>1019</v>
      </c>
      <c r="B89" s="45" t="s">
        <v>1686</v>
      </c>
      <c r="C89" s="45" t="s">
        <v>1020</v>
      </c>
      <c r="D89" s="14">
        <v>18</v>
      </c>
      <c r="E89" s="7">
        <v>206.78561999999999</v>
      </c>
      <c r="F89" s="7">
        <f t="shared" si="1"/>
        <v>1.7842088528662939E-2</v>
      </c>
    </row>
    <row r="90" spans="1:6" x14ac:dyDescent="0.2">
      <c r="A90" s="45" t="s">
        <v>1021</v>
      </c>
      <c r="B90" s="45" t="s">
        <v>1687</v>
      </c>
      <c r="C90" s="45" t="s">
        <v>686</v>
      </c>
      <c r="D90" s="14">
        <v>12</v>
      </c>
      <c r="E90" s="7">
        <v>123.74148</v>
      </c>
      <c r="F90" s="7">
        <f t="shared" si="1"/>
        <v>1.0676789037979403E-2</v>
      </c>
    </row>
    <row r="91" spans="1:6" x14ac:dyDescent="0.2">
      <c r="A91" s="45" t="s">
        <v>1022</v>
      </c>
      <c r="B91" s="45" t="s">
        <v>1688</v>
      </c>
      <c r="C91" s="45" t="s">
        <v>686</v>
      </c>
      <c r="D91" s="14">
        <v>12</v>
      </c>
      <c r="E91" s="7">
        <v>122.98896000000001</v>
      </c>
      <c r="F91" s="7">
        <f t="shared" si="1"/>
        <v>1.0611859337066983E-2</v>
      </c>
    </row>
    <row r="92" spans="1:6" x14ac:dyDescent="0.2">
      <c r="A92" s="45" t="s">
        <v>1023</v>
      </c>
      <c r="B92" s="45" t="s">
        <v>1689</v>
      </c>
      <c r="C92" s="45" t="s">
        <v>686</v>
      </c>
      <c r="D92" s="14">
        <v>1</v>
      </c>
      <c r="E92" s="7">
        <v>100.62179999999999</v>
      </c>
      <c r="F92" s="7">
        <f t="shared" si="1"/>
        <v>8.6819531431315995E-3</v>
      </c>
    </row>
    <row r="93" spans="1:6" x14ac:dyDescent="0.2">
      <c r="A93" s="45" t="s">
        <v>948</v>
      </c>
      <c r="B93" s="45" t="s">
        <v>1630</v>
      </c>
      <c r="C93" s="45" t="s">
        <v>682</v>
      </c>
      <c r="D93" s="14">
        <v>9</v>
      </c>
      <c r="E93" s="7">
        <v>93.837779999999995</v>
      </c>
      <c r="F93" s="7">
        <f t="shared" si="1"/>
        <v>8.0966073854322976E-3</v>
      </c>
    </row>
    <row r="94" spans="1:6" x14ac:dyDescent="0.2">
      <c r="A94" s="45" t="s">
        <v>839</v>
      </c>
      <c r="B94" s="45" t="s">
        <v>1547</v>
      </c>
      <c r="C94" s="45" t="s">
        <v>688</v>
      </c>
      <c r="D94" s="14">
        <v>4000</v>
      </c>
      <c r="E94" s="7">
        <v>38.409120000000001</v>
      </c>
      <c r="F94" s="54" t="s">
        <v>624</v>
      </c>
    </row>
    <row r="95" spans="1:6" x14ac:dyDescent="0.2">
      <c r="A95" s="26" t="s">
        <v>44</v>
      </c>
      <c r="B95" s="45"/>
      <c r="C95" s="45"/>
      <c r="D95" s="14"/>
      <c r="E95" s="6">
        <f>SUM(E8:E94)</f>
        <v>776333.40970000031</v>
      </c>
      <c r="F95" s="6">
        <f>SUM(F8:F94)</f>
        <v>66.981079848331817</v>
      </c>
    </row>
    <row r="96" spans="1:6" x14ac:dyDescent="0.2">
      <c r="A96" s="45"/>
      <c r="B96" s="45"/>
      <c r="C96" s="45"/>
      <c r="D96" s="14"/>
      <c r="E96" s="7"/>
      <c r="F96" s="7"/>
    </row>
    <row r="97" spans="1:6" x14ac:dyDescent="0.2">
      <c r="A97" s="26" t="s">
        <v>732</v>
      </c>
      <c r="B97" s="45"/>
      <c r="C97" s="45"/>
      <c r="D97" s="14"/>
      <c r="E97" s="7"/>
      <c r="F97" s="7"/>
    </row>
    <row r="98" spans="1:6" x14ac:dyDescent="0.2">
      <c r="A98" s="45" t="s">
        <v>737</v>
      </c>
      <c r="B98" s="45" t="s">
        <v>1471</v>
      </c>
      <c r="C98" s="45" t="s">
        <v>738</v>
      </c>
      <c r="D98" s="14">
        <v>480</v>
      </c>
      <c r="E98" s="7">
        <v>55313.423999999999</v>
      </c>
      <c r="F98" s="7">
        <f t="shared" ref="F98:F149" si="2">E98/$E$156*100</f>
        <v>4.77260946787049</v>
      </c>
    </row>
    <row r="99" spans="1:6" x14ac:dyDescent="0.2">
      <c r="A99" s="45" t="s">
        <v>762</v>
      </c>
      <c r="B99" s="45" t="s">
        <v>1486</v>
      </c>
      <c r="C99" s="45" t="s">
        <v>763</v>
      </c>
      <c r="D99" s="14">
        <v>350</v>
      </c>
      <c r="E99" s="7">
        <v>35402.92</v>
      </c>
      <c r="F99" s="7">
        <f t="shared" si="2"/>
        <v>3.0546709815371673</v>
      </c>
    </row>
    <row r="100" spans="1:6" x14ac:dyDescent="0.2">
      <c r="A100" s="45" t="s">
        <v>1024</v>
      </c>
      <c r="B100" s="45" t="s">
        <v>1473</v>
      </c>
      <c r="C100" s="45" t="s">
        <v>684</v>
      </c>
      <c r="D100" s="14">
        <v>2450</v>
      </c>
      <c r="E100" s="7">
        <v>24551.6705</v>
      </c>
      <c r="F100" s="7">
        <f t="shared" si="2"/>
        <v>2.1183923649408616</v>
      </c>
    </row>
    <row r="101" spans="1:6" x14ac:dyDescent="0.2">
      <c r="A101" s="45" t="s">
        <v>766</v>
      </c>
      <c r="B101" s="45" t="s">
        <v>1488</v>
      </c>
      <c r="C101" s="45" t="s">
        <v>740</v>
      </c>
      <c r="D101" s="14">
        <v>2560</v>
      </c>
      <c r="E101" s="7">
        <v>24441.216</v>
      </c>
      <c r="F101" s="7">
        <f t="shared" si="2"/>
        <v>2.1088620167116701</v>
      </c>
    </row>
    <row r="102" spans="1:6" x14ac:dyDescent="0.2">
      <c r="A102" s="45" t="s">
        <v>1025</v>
      </c>
      <c r="B102" s="45" t="s">
        <v>1690</v>
      </c>
      <c r="C102" s="45" t="s">
        <v>743</v>
      </c>
      <c r="D102" s="14">
        <v>1660</v>
      </c>
      <c r="E102" s="7">
        <v>14878.0322</v>
      </c>
      <c r="F102" s="7">
        <f t="shared" si="2"/>
        <v>1.2837216032947447</v>
      </c>
    </row>
    <row r="103" spans="1:6" x14ac:dyDescent="0.2">
      <c r="A103" s="45" t="s">
        <v>751</v>
      </c>
      <c r="B103" s="45" t="s">
        <v>1479</v>
      </c>
      <c r="C103" s="45" t="s">
        <v>703</v>
      </c>
      <c r="D103" s="14">
        <v>1480</v>
      </c>
      <c r="E103" s="7">
        <v>14301.1808</v>
      </c>
      <c r="F103" s="7">
        <f t="shared" si="2"/>
        <v>1.2339491203402573</v>
      </c>
    </row>
    <row r="104" spans="1:6" x14ac:dyDescent="0.2">
      <c r="A104" s="45" t="s">
        <v>879</v>
      </c>
      <c r="B104" s="45" t="s">
        <v>1585</v>
      </c>
      <c r="C104" s="45" t="s">
        <v>740</v>
      </c>
      <c r="D104" s="14">
        <v>1150</v>
      </c>
      <c r="E104" s="7">
        <v>11732.116</v>
      </c>
      <c r="F104" s="7">
        <f t="shared" si="2"/>
        <v>1.0122824415960014</v>
      </c>
    </row>
    <row r="105" spans="1:6" x14ac:dyDescent="0.2">
      <c r="A105" s="45" t="s">
        <v>742</v>
      </c>
      <c r="B105" s="45" t="s">
        <v>1474</v>
      </c>
      <c r="C105" s="45" t="s">
        <v>743</v>
      </c>
      <c r="D105" s="14">
        <v>1280</v>
      </c>
      <c r="E105" s="7">
        <v>11492.364799999999</v>
      </c>
      <c r="F105" s="7">
        <f t="shared" si="2"/>
        <v>0.99159598315051967</v>
      </c>
    </row>
    <row r="106" spans="1:6" x14ac:dyDescent="0.2">
      <c r="A106" s="45" t="s">
        <v>1026</v>
      </c>
      <c r="B106" s="45" t="s">
        <v>1691</v>
      </c>
      <c r="C106" s="45" t="s">
        <v>1027</v>
      </c>
      <c r="D106" s="14">
        <v>80</v>
      </c>
      <c r="E106" s="7">
        <v>11401.335999999999</v>
      </c>
      <c r="F106" s="7">
        <f t="shared" si="2"/>
        <v>0.98374174305269291</v>
      </c>
    </row>
    <row r="107" spans="1:6" x14ac:dyDescent="0.2">
      <c r="A107" s="45" t="s">
        <v>1028</v>
      </c>
      <c r="B107" s="45" t="s">
        <v>1692</v>
      </c>
      <c r="C107" s="45" t="s">
        <v>1029</v>
      </c>
      <c r="D107" s="14">
        <v>1112</v>
      </c>
      <c r="E107" s="7">
        <v>10711.328879999999</v>
      </c>
      <c r="F107" s="7">
        <f t="shared" si="2"/>
        <v>0.92420584244003057</v>
      </c>
    </row>
    <row r="108" spans="1:6" x14ac:dyDescent="0.2">
      <c r="A108" s="45" t="s">
        <v>1030</v>
      </c>
      <c r="B108" s="45" t="s">
        <v>1693</v>
      </c>
      <c r="C108" s="45" t="s">
        <v>712</v>
      </c>
      <c r="D108" s="14">
        <v>1000</v>
      </c>
      <c r="E108" s="7">
        <v>10134.91</v>
      </c>
      <c r="F108" s="7">
        <f t="shared" si="2"/>
        <v>0.87447067861890648</v>
      </c>
    </row>
    <row r="109" spans="1:6" x14ac:dyDescent="0.2">
      <c r="A109" s="45" t="s">
        <v>1031</v>
      </c>
      <c r="B109" s="45" t="s">
        <v>1694</v>
      </c>
      <c r="C109" s="45" t="s">
        <v>734</v>
      </c>
      <c r="D109" s="14">
        <v>1000</v>
      </c>
      <c r="E109" s="7">
        <v>10009.719999999999</v>
      </c>
      <c r="F109" s="7">
        <f t="shared" si="2"/>
        <v>0.8636689068955955</v>
      </c>
    </row>
    <row r="110" spans="1:6" x14ac:dyDescent="0.2">
      <c r="A110" s="45" t="s">
        <v>1032</v>
      </c>
      <c r="B110" s="45" t="s">
        <v>1695</v>
      </c>
      <c r="C110" s="45" t="s">
        <v>747</v>
      </c>
      <c r="D110" s="14">
        <v>75</v>
      </c>
      <c r="E110" s="7">
        <v>9279.2474999999995</v>
      </c>
      <c r="F110" s="7">
        <f t="shared" si="2"/>
        <v>0.80064153094578949</v>
      </c>
    </row>
    <row r="111" spans="1:6" x14ac:dyDescent="0.2">
      <c r="A111" s="45" t="s">
        <v>1033</v>
      </c>
      <c r="B111" s="45" t="s">
        <v>1696</v>
      </c>
      <c r="C111" s="45" t="s">
        <v>734</v>
      </c>
      <c r="D111" s="14">
        <v>800</v>
      </c>
      <c r="E111" s="7">
        <v>7899.0159999999996</v>
      </c>
      <c r="F111" s="7">
        <f t="shared" si="2"/>
        <v>0.68155098387075952</v>
      </c>
    </row>
    <row r="112" spans="1:6" x14ac:dyDescent="0.2">
      <c r="A112" s="45" t="s">
        <v>748</v>
      </c>
      <c r="B112" s="45" t="s">
        <v>1477</v>
      </c>
      <c r="C112" s="45" t="s">
        <v>749</v>
      </c>
      <c r="D112" s="14">
        <v>850</v>
      </c>
      <c r="E112" s="7">
        <v>7568.0174999999999</v>
      </c>
      <c r="F112" s="7">
        <f t="shared" si="2"/>
        <v>0.65299143248679659</v>
      </c>
    </row>
    <row r="113" spans="1:6" x14ac:dyDescent="0.2">
      <c r="A113" s="45" t="s">
        <v>1034</v>
      </c>
      <c r="B113" s="45" t="s">
        <v>1697</v>
      </c>
      <c r="C113" s="45" t="s">
        <v>740</v>
      </c>
      <c r="D113" s="14">
        <v>750</v>
      </c>
      <c r="E113" s="7">
        <v>7552.3125</v>
      </c>
      <c r="F113" s="7">
        <f t="shared" si="2"/>
        <v>0.65163635760130578</v>
      </c>
    </row>
    <row r="114" spans="1:6" x14ac:dyDescent="0.2">
      <c r="A114" s="45" t="s">
        <v>1035</v>
      </c>
      <c r="B114" s="45" t="s">
        <v>1698</v>
      </c>
      <c r="C114" s="45" t="s">
        <v>712</v>
      </c>
      <c r="D114" s="14">
        <v>15</v>
      </c>
      <c r="E114" s="7">
        <v>7547.3325000000004</v>
      </c>
      <c r="F114" s="7">
        <f t="shared" si="2"/>
        <v>0.65120666814382444</v>
      </c>
    </row>
    <row r="115" spans="1:6" x14ac:dyDescent="0.2">
      <c r="A115" s="45" t="s">
        <v>1036</v>
      </c>
      <c r="B115" s="45" t="s">
        <v>1699</v>
      </c>
      <c r="C115" s="45" t="s">
        <v>1037</v>
      </c>
      <c r="D115" s="14">
        <v>700</v>
      </c>
      <c r="E115" s="7">
        <v>6848.674</v>
      </c>
      <c r="F115" s="7">
        <f t="shared" si="2"/>
        <v>0.59092430030653065</v>
      </c>
    </row>
    <row r="116" spans="1:6" x14ac:dyDescent="0.2">
      <c r="A116" s="45" t="s">
        <v>741</v>
      </c>
      <c r="B116" s="45" t="s">
        <v>1473</v>
      </c>
      <c r="C116" s="45" t="s">
        <v>684</v>
      </c>
      <c r="D116" s="14">
        <v>650</v>
      </c>
      <c r="E116" s="7">
        <v>6500.3509999999997</v>
      </c>
      <c r="F116" s="7">
        <f t="shared" si="2"/>
        <v>0.56086993868037172</v>
      </c>
    </row>
    <row r="117" spans="1:6" x14ac:dyDescent="0.2">
      <c r="A117" s="45" t="s">
        <v>1038</v>
      </c>
      <c r="B117" s="45" t="s">
        <v>1700</v>
      </c>
      <c r="C117" s="45" t="s">
        <v>734</v>
      </c>
      <c r="D117" s="14">
        <v>600</v>
      </c>
      <c r="E117" s="7">
        <v>5957.1059999999998</v>
      </c>
      <c r="F117" s="7">
        <f t="shared" si="2"/>
        <v>0.51399711752988031</v>
      </c>
    </row>
    <row r="118" spans="1:6" x14ac:dyDescent="0.2">
      <c r="A118" s="45" t="s">
        <v>1039</v>
      </c>
      <c r="B118" s="45" t="s">
        <v>1986</v>
      </c>
      <c r="C118" s="45" t="s">
        <v>758</v>
      </c>
      <c r="D118" s="14">
        <v>1678</v>
      </c>
      <c r="E118" s="7">
        <v>5496.7924000000003</v>
      </c>
      <c r="F118" s="7">
        <f t="shared" si="2"/>
        <v>0.47427986832199281</v>
      </c>
    </row>
    <row r="119" spans="1:6" x14ac:dyDescent="0.2">
      <c r="A119" s="45" t="s">
        <v>746</v>
      </c>
      <c r="B119" s="45" t="s">
        <v>1476</v>
      </c>
      <c r="C119" s="45" t="s">
        <v>747</v>
      </c>
      <c r="D119" s="14">
        <v>44</v>
      </c>
      <c r="E119" s="7">
        <v>5443.8252000000002</v>
      </c>
      <c r="F119" s="7">
        <f t="shared" si="2"/>
        <v>0.46970969815486319</v>
      </c>
    </row>
    <row r="120" spans="1:6" x14ac:dyDescent="0.2">
      <c r="A120" s="45" t="s">
        <v>1040</v>
      </c>
      <c r="B120" s="45" t="s">
        <v>1701</v>
      </c>
      <c r="C120" s="45" t="s">
        <v>745</v>
      </c>
      <c r="D120" s="14">
        <v>500</v>
      </c>
      <c r="E120" s="7">
        <v>4995.26</v>
      </c>
      <c r="F120" s="7">
        <f t="shared" si="2"/>
        <v>0.43100613642132773</v>
      </c>
    </row>
    <row r="121" spans="1:6" x14ac:dyDescent="0.2">
      <c r="A121" s="45" t="s">
        <v>735</v>
      </c>
      <c r="B121" s="45" t="s">
        <v>1470</v>
      </c>
      <c r="C121" s="45" t="s">
        <v>736</v>
      </c>
      <c r="D121" s="14">
        <v>400</v>
      </c>
      <c r="E121" s="7">
        <v>4644.54</v>
      </c>
      <c r="F121" s="7">
        <f t="shared" si="2"/>
        <v>0.40074495438762214</v>
      </c>
    </row>
    <row r="122" spans="1:6" x14ac:dyDescent="0.2">
      <c r="A122" s="45" t="s">
        <v>1041</v>
      </c>
      <c r="B122" s="45" t="s">
        <v>1702</v>
      </c>
      <c r="C122" s="45" t="s">
        <v>1027</v>
      </c>
      <c r="D122" s="14">
        <v>31</v>
      </c>
      <c r="E122" s="7">
        <v>4372.9808999999996</v>
      </c>
      <c r="F122" s="7">
        <f t="shared" si="2"/>
        <v>0.37731401415607202</v>
      </c>
    </row>
    <row r="123" spans="1:6" x14ac:dyDescent="0.2">
      <c r="A123" s="45" t="s">
        <v>1042</v>
      </c>
      <c r="B123" s="45" t="s">
        <v>1703</v>
      </c>
      <c r="C123" s="45" t="s">
        <v>747</v>
      </c>
      <c r="D123" s="14">
        <v>34</v>
      </c>
      <c r="E123" s="7">
        <v>4206.5922</v>
      </c>
      <c r="F123" s="7">
        <f t="shared" si="2"/>
        <v>0.36295749402875793</v>
      </c>
    </row>
    <row r="124" spans="1:6" x14ac:dyDescent="0.2">
      <c r="A124" s="45" t="s">
        <v>1043</v>
      </c>
      <c r="B124" s="45" t="s">
        <v>1704</v>
      </c>
      <c r="C124" s="45" t="s">
        <v>745</v>
      </c>
      <c r="D124" s="14">
        <v>394</v>
      </c>
      <c r="E124" s="7">
        <v>3968.1709999999998</v>
      </c>
      <c r="F124" s="7">
        <f t="shared" si="2"/>
        <v>0.34238579200465169</v>
      </c>
    </row>
    <row r="125" spans="1:6" x14ac:dyDescent="0.2">
      <c r="A125" s="45" t="s">
        <v>1044</v>
      </c>
      <c r="B125" s="45" t="s">
        <v>1705</v>
      </c>
      <c r="C125" s="45" t="s">
        <v>734</v>
      </c>
      <c r="D125" s="14">
        <v>375</v>
      </c>
      <c r="E125" s="7">
        <v>3759.87</v>
      </c>
      <c r="F125" s="7">
        <f t="shared" si="2"/>
        <v>0.32441295190769998</v>
      </c>
    </row>
    <row r="126" spans="1:6" x14ac:dyDescent="0.2">
      <c r="A126" s="45" t="s">
        <v>761</v>
      </c>
      <c r="B126" s="45" t="s">
        <v>1485</v>
      </c>
      <c r="C126" s="45" t="s">
        <v>743</v>
      </c>
      <c r="D126" s="14">
        <v>385</v>
      </c>
      <c r="E126" s="7">
        <v>3587.8034499999999</v>
      </c>
      <c r="F126" s="7">
        <f t="shared" si="2"/>
        <v>0.30956652971489174</v>
      </c>
    </row>
    <row r="127" spans="1:6" x14ac:dyDescent="0.2">
      <c r="A127" s="45" t="s">
        <v>1045</v>
      </c>
      <c r="B127" s="45" t="s">
        <v>1706</v>
      </c>
      <c r="C127" s="45" t="s">
        <v>734</v>
      </c>
      <c r="D127" s="14">
        <v>350</v>
      </c>
      <c r="E127" s="7">
        <v>3509.6914999999999</v>
      </c>
      <c r="F127" s="7">
        <f t="shared" si="2"/>
        <v>0.30282679449033167</v>
      </c>
    </row>
    <row r="128" spans="1:6" x14ac:dyDescent="0.2">
      <c r="A128" s="45" t="s">
        <v>869</v>
      </c>
      <c r="B128" s="45" t="s">
        <v>1576</v>
      </c>
      <c r="C128" s="45" t="s">
        <v>705</v>
      </c>
      <c r="D128" s="14">
        <v>310</v>
      </c>
      <c r="E128" s="7">
        <v>3067.1741000000002</v>
      </c>
      <c r="F128" s="7">
        <f t="shared" si="2"/>
        <v>0.26464505522686771</v>
      </c>
    </row>
    <row r="129" spans="1:6" x14ac:dyDescent="0.2">
      <c r="A129" s="45" t="s">
        <v>1046</v>
      </c>
      <c r="B129" s="45" t="s">
        <v>1707</v>
      </c>
      <c r="C129" s="45" t="s">
        <v>745</v>
      </c>
      <c r="D129" s="14">
        <v>300</v>
      </c>
      <c r="E129" s="7">
        <v>3008.5140000000001</v>
      </c>
      <c r="F129" s="7">
        <f t="shared" si="2"/>
        <v>0.259583684434739</v>
      </c>
    </row>
    <row r="130" spans="1:6" x14ac:dyDescent="0.2">
      <c r="A130" s="45" t="s">
        <v>754</v>
      </c>
      <c r="B130" s="45" t="s">
        <v>1482</v>
      </c>
      <c r="C130" s="45" t="s">
        <v>755</v>
      </c>
      <c r="D130" s="14">
        <v>300</v>
      </c>
      <c r="E130" s="7">
        <v>2963.6460000000002</v>
      </c>
      <c r="F130" s="7">
        <f t="shared" si="2"/>
        <v>0.25571233773227464</v>
      </c>
    </row>
    <row r="131" spans="1:6" x14ac:dyDescent="0.2">
      <c r="A131" s="45" t="s">
        <v>1047</v>
      </c>
      <c r="B131" s="45" t="s">
        <v>1988</v>
      </c>
      <c r="C131" s="45" t="s">
        <v>758</v>
      </c>
      <c r="D131" s="14">
        <v>786</v>
      </c>
      <c r="E131" s="7">
        <v>2574.7788</v>
      </c>
      <c r="F131" s="7">
        <f t="shared" si="2"/>
        <v>0.22215969994105264</v>
      </c>
    </row>
    <row r="132" spans="1:6" x14ac:dyDescent="0.2">
      <c r="A132" s="45" t="s">
        <v>1048</v>
      </c>
      <c r="B132" s="45" t="s">
        <v>1708</v>
      </c>
      <c r="C132" s="45" t="s">
        <v>734</v>
      </c>
      <c r="D132" s="14">
        <v>250</v>
      </c>
      <c r="E132" s="7">
        <v>2521.5549999999998</v>
      </c>
      <c r="F132" s="7">
        <f t="shared" si="2"/>
        <v>0.21756738955006966</v>
      </c>
    </row>
    <row r="133" spans="1:6" x14ac:dyDescent="0.2">
      <c r="A133" s="45" t="s">
        <v>1049</v>
      </c>
      <c r="B133" s="45" t="s">
        <v>1709</v>
      </c>
      <c r="C133" s="45" t="s">
        <v>745</v>
      </c>
      <c r="D133" s="14">
        <v>250</v>
      </c>
      <c r="E133" s="7">
        <v>2297.7474999999999</v>
      </c>
      <c r="F133" s="7">
        <f t="shared" si="2"/>
        <v>0.19825660174780987</v>
      </c>
    </row>
    <row r="134" spans="1:6" x14ac:dyDescent="0.2">
      <c r="A134" s="45" t="s">
        <v>1050</v>
      </c>
      <c r="B134" s="45" t="s">
        <v>1710</v>
      </c>
      <c r="C134" s="45" t="s">
        <v>1051</v>
      </c>
      <c r="D134" s="14">
        <v>468</v>
      </c>
      <c r="E134" s="7">
        <v>2127.2144400000002</v>
      </c>
      <c r="F134" s="7">
        <f t="shared" si="2"/>
        <v>0.18354249370884765</v>
      </c>
    </row>
    <row r="135" spans="1:6" x14ac:dyDescent="0.2">
      <c r="A135" s="45" t="s">
        <v>1052</v>
      </c>
      <c r="B135" s="45" t="s">
        <v>1711</v>
      </c>
      <c r="C135" s="45" t="s">
        <v>745</v>
      </c>
      <c r="D135" s="14">
        <v>200</v>
      </c>
      <c r="E135" s="7">
        <v>2009.942</v>
      </c>
      <c r="F135" s="7">
        <f t="shared" si="2"/>
        <v>0.17342387300179696</v>
      </c>
    </row>
    <row r="136" spans="1:6" x14ac:dyDescent="0.2">
      <c r="A136" s="45" t="s">
        <v>1053</v>
      </c>
      <c r="B136" s="45" t="s">
        <v>1712</v>
      </c>
      <c r="C136" s="45" t="s">
        <v>745</v>
      </c>
      <c r="D136" s="14">
        <v>200</v>
      </c>
      <c r="E136" s="7">
        <v>2001.7280000000001</v>
      </c>
      <c r="F136" s="7">
        <f t="shared" si="2"/>
        <v>0.17271514424602355</v>
      </c>
    </row>
    <row r="137" spans="1:6" x14ac:dyDescent="0.2">
      <c r="A137" s="45" t="s">
        <v>885</v>
      </c>
      <c r="B137" s="45" t="s">
        <v>1591</v>
      </c>
      <c r="C137" s="45" t="s">
        <v>728</v>
      </c>
      <c r="D137" s="14">
        <v>15</v>
      </c>
      <c r="E137" s="7">
        <v>1875.5609999999999</v>
      </c>
      <c r="F137" s="7">
        <f t="shared" si="2"/>
        <v>0.16182907400866456</v>
      </c>
    </row>
    <row r="138" spans="1:6" x14ac:dyDescent="0.2">
      <c r="A138" s="45" t="s">
        <v>756</v>
      </c>
      <c r="B138" s="45" t="s">
        <v>1483</v>
      </c>
      <c r="C138" s="45" t="s">
        <v>743</v>
      </c>
      <c r="D138" s="14">
        <v>150</v>
      </c>
      <c r="E138" s="7">
        <v>1395.777</v>
      </c>
      <c r="F138" s="7">
        <f t="shared" si="2"/>
        <v>0.12043185981825803</v>
      </c>
    </row>
    <row r="139" spans="1:6" x14ac:dyDescent="0.2">
      <c r="A139" s="45" t="s">
        <v>759</v>
      </c>
      <c r="B139" s="45" t="s">
        <v>1484</v>
      </c>
      <c r="C139" s="45" t="s">
        <v>760</v>
      </c>
      <c r="D139" s="14">
        <v>102</v>
      </c>
      <c r="E139" s="7">
        <v>1047.79908</v>
      </c>
      <c r="F139" s="7">
        <f t="shared" si="2"/>
        <v>9.0407272737879851E-2</v>
      </c>
    </row>
    <row r="140" spans="1:6" x14ac:dyDescent="0.2">
      <c r="A140" s="45" t="s">
        <v>878</v>
      </c>
      <c r="B140" s="45" t="s">
        <v>1584</v>
      </c>
      <c r="C140" s="45" t="s">
        <v>696</v>
      </c>
      <c r="D140" s="14">
        <v>100</v>
      </c>
      <c r="E140" s="7">
        <v>1005.41</v>
      </c>
      <c r="F140" s="7">
        <f t="shared" si="2"/>
        <v>8.6749814748254758E-2</v>
      </c>
    </row>
    <row r="141" spans="1:6" x14ac:dyDescent="0.2">
      <c r="A141" s="45" t="s">
        <v>764</v>
      </c>
      <c r="B141" s="45" t="s">
        <v>1487</v>
      </c>
      <c r="C141" s="45" t="s">
        <v>765</v>
      </c>
      <c r="D141" s="14">
        <v>100</v>
      </c>
      <c r="E141" s="7">
        <v>1004.27</v>
      </c>
      <c r="F141" s="7">
        <f t="shared" si="2"/>
        <v>8.6651452101361451E-2</v>
      </c>
    </row>
    <row r="142" spans="1:6" x14ac:dyDescent="0.2">
      <c r="A142" s="45" t="s">
        <v>1054</v>
      </c>
      <c r="B142" s="45" t="s">
        <v>1713</v>
      </c>
      <c r="C142" s="45" t="s">
        <v>745</v>
      </c>
      <c r="D142" s="14">
        <v>100</v>
      </c>
      <c r="E142" s="7">
        <v>1002.991</v>
      </c>
      <c r="F142" s="7">
        <f t="shared" si="2"/>
        <v>8.6541096114189031E-2</v>
      </c>
    </row>
    <row r="143" spans="1:6" x14ac:dyDescent="0.2">
      <c r="A143" s="45" t="s">
        <v>1055</v>
      </c>
      <c r="B143" s="45" t="s">
        <v>1714</v>
      </c>
      <c r="C143" s="45" t="s">
        <v>728</v>
      </c>
      <c r="D143" s="14">
        <v>5</v>
      </c>
      <c r="E143" s="7">
        <v>730.40549999999996</v>
      </c>
      <c r="F143" s="7">
        <f t="shared" si="2"/>
        <v>6.3021594987225496E-2</v>
      </c>
    </row>
    <row r="144" spans="1:6" x14ac:dyDescent="0.2">
      <c r="A144" s="45" t="s">
        <v>866</v>
      </c>
      <c r="B144" s="45" t="s">
        <v>1573</v>
      </c>
      <c r="C144" s="45" t="s">
        <v>712</v>
      </c>
      <c r="D144" s="14">
        <v>50</v>
      </c>
      <c r="E144" s="7">
        <v>661.91200000000003</v>
      </c>
      <c r="F144" s="7">
        <f t="shared" si="2"/>
        <v>5.7111768710920732E-2</v>
      </c>
    </row>
    <row r="145" spans="1:6" x14ac:dyDescent="0.2">
      <c r="A145" s="45" t="s">
        <v>864</v>
      </c>
      <c r="B145" s="45" t="s">
        <v>1571</v>
      </c>
      <c r="C145" s="45" t="s">
        <v>712</v>
      </c>
      <c r="D145" s="14">
        <v>50</v>
      </c>
      <c r="E145" s="7">
        <v>661.91200000000003</v>
      </c>
      <c r="F145" s="7">
        <f t="shared" si="2"/>
        <v>5.7111768710920732E-2</v>
      </c>
    </row>
    <row r="146" spans="1:6" x14ac:dyDescent="0.2">
      <c r="A146" s="45" t="s">
        <v>767</v>
      </c>
      <c r="B146" s="45" t="s">
        <v>1489</v>
      </c>
      <c r="C146" s="45" t="s">
        <v>712</v>
      </c>
      <c r="D146" s="14">
        <v>20</v>
      </c>
      <c r="E146" s="7">
        <v>202.05940000000001</v>
      </c>
      <c r="F146" s="7">
        <f t="shared" si="2"/>
        <v>1.7434295976908435E-2</v>
      </c>
    </row>
    <row r="147" spans="1:6" x14ac:dyDescent="0.2">
      <c r="A147" s="45" t="s">
        <v>1056</v>
      </c>
      <c r="B147" s="45" t="s">
        <v>1715</v>
      </c>
      <c r="C147" s="45" t="s">
        <v>686</v>
      </c>
      <c r="D147" s="14">
        <v>13</v>
      </c>
      <c r="E147" s="7">
        <v>130.10256999999999</v>
      </c>
      <c r="F147" s="7">
        <f t="shared" si="2"/>
        <v>1.122564311651152E-2</v>
      </c>
    </row>
    <row r="148" spans="1:6" x14ac:dyDescent="0.2">
      <c r="A148" s="45" t="s">
        <v>1057</v>
      </c>
      <c r="B148" s="45" t="s">
        <v>1987</v>
      </c>
      <c r="C148" s="45" t="s">
        <v>758</v>
      </c>
      <c r="D148" s="14">
        <v>28</v>
      </c>
      <c r="E148" s="7">
        <v>91.722399999999993</v>
      </c>
      <c r="F148" s="7">
        <f t="shared" si="2"/>
        <v>7.9140860029891513E-3</v>
      </c>
    </row>
    <row r="149" spans="1:6" x14ac:dyDescent="0.2">
      <c r="A149" s="45" t="s">
        <v>1058</v>
      </c>
      <c r="B149" s="45" t="s">
        <v>1716</v>
      </c>
      <c r="C149" s="45" t="s">
        <v>686</v>
      </c>
      <c r="D149" s="14">
        <v>6</v>
      </c>
      <c r="E149" s="7">
        <v>60.283740000000002</v>
      </c>
      <c r="F149" s="7">
        <f t="shared" si="2"/>
        <v>5.2014633605513734E-3</v>
      </c>
    </row>
    <row r="150" spans="1:6" x14ac:dyDescent="0.2">
      <c r="A150" s="26" t="s">
        <v>44</v>
      </c>
      <c r="B150" s="45"/>
      <c r="C150" s="45"/>
      <c r="D150" s="45"/>
      <c r="E150" s="6">
        <f>SUM(E98:E149)</f>
        <v>369950.30836000014</v>
      </c>
      <c r="F150" s="6">
        <f>SUM(F98:F149)</f>
        <v>31.920431183586533</v>
      </c>
    </row>
    <row r="151" spans="1:6" x14ac:dyDescent="0.2">
      <c r="A151" s="45"/>
      <c r="B151" s="45"/>
      <c r="C151" s="45"/>
      <c r="D151" s="45"/>
      <c r="E151" s="7"/>
      <c r="F151" s="7"/>
    </row>
    <row r="152" spans="1:6" x14ac:dyDescent="0.2">
      <c r="A152" s="26" t="s">
        <v>44</v>
      </c>
      <c r="B152" s="45"/>
      <c r="C152" s="45"/>
      <c r="D152" s="45"/>
      <c r="E152" s="6">
        <f>E95+E150</f>
        <v>1146283.7180600003</v>
      </c>
      <c r="F152" s="6">
        <f>F95+F150</f>
        <v>98.901511031918346</v>
      </c>
    </row>
    <row r="153" spans="1:6" x14ac:dyDescent="0.2">
      <c r="A153" s="45"/>
      <c r="B153" s="45"/>
      <c r="C153" s="45"/>
      <c r="D153" s="45"/>
      <c r="E153" s="7"/>
      <c r="F153" s="7"/>
    </row>
    <row r="154" spans="1:6" x14ac:dyDescent="0.2">
      <c r="A154" s="26" t="s">
        <v>103</v>
      </c>
      <c r="B154" s="45"/>
      <c r="C154" s="45"/>
      <c r="D154" s="45"/>
      <c r="E154" s="6">
        <v>12692.8202965</v>
      </c>
      <c r="F154" s="6">
        <v>1.1000000000000001</v>
      </c>
    </row>
    <row r="155" spans="1:6" x14ac:dyDescent="0.2">
      <c r="A155" s="45"/>
      <c r="B155" s="45"/>
      <c r="C155" s="45"/>
      <c r="D155" s="45"/>
      <c r="E155" s="7"/>
      <c r="F155" s="7"/>
    </row>
    <row r="156" spans="1:6" x14ac:dyDescent="0.2">
      <c r="A156" s="46" t="s">
        <v>104</v>
      </c>
      <c r="B156" s="44"/>
      <c r="C156" s="44"/>
      <c r="D156" s="44"/>
      <c r="E156" s="8">
        <f>E152+E154</f>
        <v>1158976.5383565004</v>
      </c>
      <c r="F156" s="8">
        <f>F152+F154</f>
        <v>100.00151103191834</v>
      </c>
    </row>
    <row r="157" spans="1:6" x14ac:dyDescent="0.2">
      <c r="A157" s="4" t="s">
        <v>1983</v>
      </c>
      <c r="F157" s="9" t="s">
        <v>1059</v>
      </c>
    </row>
    <row r="158" spans="1:6" x14ac:dyDescent="0.2">
      <c r="A158" s="47" t="s">
        <v>768</v>
      </c>
    </row>
    <row r="159" spans="1:6" x14ac:dyDescent="0.2">
      <c r="A159" s="47" t="s">
        <v>1984</v>
      </c>
    </row>
    <row r="160" spans="1:6" x14ac:dyDescent="0.2">
      <c r="A160" s="47"/>
    </row>
    <row r="161" spans="1:4" x14ac:dyDescent="0.2">
      <c r="A161" s="4" t="s">
        <v>105</v>
      </c>
    </row>
    <row r="162" spans="1:4" x14ac:dyDescent="0.2">
      <c r="A162" s="4" t="s">
        <v>769</v>
      </c>
    </row>
    <row r="163" spans="1:4" x14ac:dyDescent="0.2">
      <c r="A163" s="4" t="s">
        <v>107</v>
      </c>
    </row>
    <row r="164" spans="1:4" x14ac:dyDescent="0.2">
      <c r="A164" s="2" t="s">
        <v>906</v>
      </c>
      <c r="D164" s="10">
        <v>4030.1741000000002</v>
      </c>
    </row>
    <row r="165" spans="1:4" x14ac:dyDescent="0.2">
      <c r="A165" s="2" t="s">
        <v>908</v>
      </c>
      <c r="D165" s="10">
        <v>1080.8711000000001</v>
      </c>
    </row>
    <row r="166" spans="1:4" x14ac:dyDescent="0.2">
      <c r="A166" s="2" t="s">
        <v>1060</v>
      </c>
      <c r="D166" s="10">
        <v>1211.327</v>
      </c>
    </row>
    <row r="167" spans="1:4" x14ac:dyDescent="0.2">
      <c r="A167" s="2" t="s">
        <v>1061</v>
      </c>
      <c r="D167" s="10">
        <v>1268.3697999999999</v>
      </c>
    </row>
    <row r="168" spans="1:4" x14ac:dyDescent="0.2">
      <c r="A168" s="2" t="s">
        <v>1062</v>
      </c>
      <c r="D168" s="10">
        <v>4236.1091999999999</v>
      </c>
    </row>
    <row r="169" spans="1:4" x14ac:dyDescent="0.2">
      <c r="A169" s="2" t="s">
        <v>1063</v>
      </c>
      <c r="D169" s="10">
        <v>1082.7891</v>
      </c>
    </row>
    <row r="170" spans="1:4" x14ac:dyDescent="0.2">
      <c r="A170" s="2" t="s">
        <v>1064</v>
      </c>
      <c r="D170" s="10">
        <v>1287.5396000000001</v>
      </c>
    </row>
    <row r="171" spans="1:4" x14ac:dyDescent="0.2">
      <c r="A171" s="2" t="s">
        <v>1065</v>
      </c>
      <c r="D171" s="10">
        <v>1349.3197</v>
      </c>
    </row>
    <row r="172" spans="1:4" x14ac:dyDescent="0.2">
      <c r="A172" s="2" t="s">
        <v>909</v>
      </c>
      <c r="D172" s="10">
        <v>3329.2730999999999</v>
      </c>
    </row>
    <row r="174" spans="1:4" x14ac:dyDescent="0.2">
      <c r="A174" s="4" t="s">
        <v>108</v>
      </c>
    </row>
    <row r="175" spans="1:4" x14ac:dyDescent="0.2">
      <c r="A175" s="2" t="s">
        <v>906</v>
      </c>
      <c r="D175" s="10">
        <v>4101.3882999999996</v>
      </c>
    </row>
    <row r="176" spans="1:4" x14ac:dyDescent="0.2">
      <c r="A176" s="2" t="s">
        <v>908</v>
      </c>
      <c r="D176" s="10">
        <v>1064.6623999999999</v>
      </c>
    </row>
    <row r="177" spans="1:4" x14ac:dyDescent="0.2">
      <c r="A177" s="2" t="s">
        <v>1060</v>
      </c>
      <c r="D177" s="10">
        <v>1182.6982</v>
      </c>
    </row>
    <row r="178" spans="1:4" x14ac:dyDescent="0.2">
      <c r="A178" s="2" t="s">
        <v>1061</v>
      </c>
      <c r="D178" s="10">
        <v>1239.9983</v>
      </c>
    </row>
    <row r="179" spans="1:4" x14ac:dyDescent="0.2">
      <c r="A179" s="2" t="s">
        <v>1062</v>
      </c>
      <c r="D179" s="10">
        <v>4327.3078999999998</v>
      </c>
    </row>
    <row r="180" spans="1:4" x14ac:dyDescent="0.2">
      <c r="A180" s="2" t="s">
        <v>1063</v>
      </c>
      <c r="D180" s="10">
        <v>1067.9746</v>
      </c>
    </row>
    <row r="181" spans="1:4" x14ac:dyDescent="0.2">
      <c r="A181" s="2" t="s">
        <v>1064</v>
      </c>
      <c r="D181" s="10">
        <v>1265.2688000000001</v>
      </c>
    </row>
    <row r="182" spans="1:4" x14ac:dyDescent="0.2">
      <c r="A182" s="2" t="s">
        <v>1065</v>
      </c>
      <c r="D182" s="10">
        <v>1327.6641999999999</v>
      </c>
    </row>
    <row r="183" spans="1:4" x14ac:dyDescent="0.2">
      <c r="A183" s="2" t="s">
        <v>909</v>
      </c>
      <c r="D183" s="10">
        <v>3393.1640000000002</v>
      </c>
    </row>
    <row r="186" spans="1:4" x14ac:dyDescent="0.2">
      <c r="A186" s="4" t="s">
        <v>109</v>
      </c>
      <c r="D186" s="30" t="s">
        <v>325</v>
      </c>
    </row>
    <row r="187" spans="1:4" x14ac:dyDescent="0.2">
      <c r="A187" s="55" t="s">
        <v>670</v>
      </c>
      <c r="B187" s="56"/>
      <c r="C187" s="94" t="s">
        <v>671</v>
      </c>
      <c r="D187" s="94"/>
    </row>
    <row r="188" spans="1:4" x14ac:dyDescent="0.2">
      <c r="A188" s="96"/>
      <c r="B188" s="97"/>
      <c r="C188" s="33" t="s">
        <v>672</v>
      </c>
      <c r="D188" s="33" t="s">
        <v>673</v>
      </c>
    </row>
    <row r="189" spans="1:4" x14ac:dyDescent="0.2">
      <c r="A189" s="34" t="s">
        <v>908</v>
      </c>
      <c r="B189" s="35"/>
      <c r="C189" s="52">
        <v>25.143512132999994</v>
      </c>
      <c r="D189" s="52">
        <v>23.283017541000003</v>
      </c>
    </row>
    <row r="190" spans="1:4" x14ac:dyDescent="0.2">
      <c r="A190" s="34" t="s">
        <v>1060</v>
      </c>
      <c r="B190" s="35"/>
      <c r="C190" s="52">
        <v>35.65597365</v>
      </c>
      <c r="D190" s="52">
        <v>33.017609298000004</v>
      </c>
    </row>
    <row r="191" spans="1:4" x14ac:dyDescent="0.2">
      <c r="A191" s="34" t="s">
        <v>1061</v>
      </c>
      <c r="B191" s="35"/>
      <c r="C191" s="52">
        <v>36.016134999999998</v>
      </c>
      <c r="D191" s="52">
        <v>33.3511205</v>
      </c>
    </row>
    <row r="192" spans="1:4" x14ac:dyDescent="0.2">
      <c r="A192" s="34" t="s">
        <v>1063</v>
      </c>
      <c r="B192" s="35"/>
      <c r="C192" s="52">
        <v>27.221282961000007</v>
      </c>
      <c r="D192" s="52">
        <v>25.207043683999999</v>
      </c>
    </row>
    <row r="193" spans="1:5" x14ac:dyDescent="0.2">
      <c r="A193" s="34" t="s">
        <v>1064</v>
      </c>
      <c r="B193" s="35"/>
      <c r="C193" s="52">
        <v>35.65597365</v>
      </c>
      <c r="D193" s="52">
        <v>33.017609298000004</v>
      </c>
    </row>
    <row r="194" spans="1:5" x14ac:dyDescent="0.2">
      <c r="A194" s="34" t="s">
        <v>1065</v>
      </c>
      <c r="B194" s="35"/>
      <c r="C194" s="52">
        <v>36.016134999999998</v>
      </c>
      <c r="D194" s="52">
        <v>33.3511205</v>
      </c>
    </row>
    <row r="195" spans="1:5" x14ac:dyDescent="0.2">
      <c r="A195" s="57"/>
      <c r="B195" s="57"/>
      <c r="C195" s="58"/>
      <c r="D195" s="58"/>
    </row>
    <row r="196" spans="1:5" x14ac:dyDescent="0.2">
      <c r="A196" s="4" t="s">
        <v>770</v>
      </c>
      <c r="D196" s="29">
        <v>2.5114639280449076</v>
      </c>
      <c r="E196" s="1" t="s">
        <v>771</v>
      </c>
    </row>
    <row r="199" spans="1:5" x14ac:dyDescent="0.2">
      <c r="A199" s="4" t="s">
        <v>1989</v>
      </c>
      <c r="D199" s="50">
        <v>3</v>
      </c>
    </row>
    <row r="200" spans="1:5" x14ac:dyDescent="0.2">
      <c r="A200" s="4" t="s">
        <v>772</v>
      </c>
    </row>
    <row r="201" spans="1:5" ht="15" x14ac:dyDescent="0.25">
      <c r="A201" s="51" t="s">
        <v>773</v>
      </c>
    </row>
  </sheetData>
  <mergeCells count="3">
    <mergeCell ref="A1:F1"/>
    <mergeCell ref="C187:D187"/>
    <mergeCell ref="A188:B188"/>
  </mergeCells>
  <hyperlinks>
    <hyperlink ref="A200" r:id="rId1" display="https://www.franklintempletonindia.com/investor/reports" xr:uid="{0E73E313-1718-4D37-927A-7B8CDD2E6B35}"/>
    <hyperlink ref="A201" r:id="rId2" xr:uid="{5D0D7C8E-D942-48DA-A25D-9A91E9BAF7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95C0-BA74-4C36-AE43-3B52E6B05AD6}">
  <sheetPr codeName="Sheet28"/>
  <dimension ref="A1:F118"/>
  <sheetViews>
    <sheetView showGridLines="0" zoomScaleNormal="100" workbookViewId="0">
      <selection sqref="A1:F1"/>
    </sheetView>
  </sheetViews>
  <sheetFormatPr defaultColWidth="8.7109375" defaultRowHeight="11.25" x14ac:dyDescent="0.2"/>
  <cols>
    <col min="1" max="1" width="59.85546875" style="2" bestFit="1" customWidth="1"/>
    <col min="2" max="2" width="51.28515625" style="2" bestFit="1" customWidth="1"/>
    <col min="3" max="3" width="11.7109375" style="2" bestFit="1" customWidth="1"/>
    <col min="4" max="4" width="11.285156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1066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886</v>
      </c>
      <c r="B5" s="45"/>
      <c r="C5" s="45"/>
      <c r="D5" s="45"/>
      <c r="E5" s="7"/>
      <c r="F5" s="7"/>
    </row>
    <row r="6" spans="1:6" x14ac:dyDescent="0.2">
      <c r="A6" s="26" t="s">
        <v>887</v>
      </c>
      <c r="B6" s="45"/>
      <c r="C6" s="45"/>
      <c r="D6" s="45"/>
      <c r="E6" s="7"/>
      <c r="F6" s="7"/>
    </row>
    <row r="7" spans="1:6" x14ac:dyDescent="0.2">
      <c r="A7" s="45" t="s">
        <v>1067</v>
      </c>
      <c r="B7" s="45" t="s">
        <v>1717</v>
      </c>
      <c r="C7" s="45" t="s">
        <v>894</v>
      </c>
      <c r="D7" s="14">
        <v>20000</v>
      </c>
      <c r="E7" s="7">
        <v>19320.080000000002</v>
      </c>
      <c r="F7" s="7">
        <v>3.8093166214118401</v>
      </c>
    </row>
    <row r="8" spans="1:6" x14ac:dyDescent="0.2">
      <c r="A8" s="45" t="s">
        <v>1068</v>
      </c>
      <c r="B8" s="45" t="s">
        <v>1718</v>
      </c>
      <c r="C8" s="45" t="s">
        <v>889</v>
      </c>
      <c r="D8" s="14">
        <v>17500</v>
      </c>
      <c r="E8" s="7">
        <v>16853.8475</v>
      </c>
      <c r="F8" s="7">
        <v>3.3230525658532599</v>
      </c>
    </row>
    <row r="9" spans="1:6" x14ac:dyDescent="0.2">
      <c r="A9" s="45" t="s">
        <v>1069</v>
      </c>
      <c r="B9" s="45" t="s">
        <v>1719</v>
      </c>
      <c r="C9" s="45" t="s">
        <v>1070</v>
      </c>
      <c r="D9" s="14">
        <v>13500</v>
      </c>
      <c r="E9" s="7">
        <v>13305.8835</v>
      </c>
      <c r="F9" s="7">
        <v>2.62350482912698</v>
      </c>
    </row>
    <row r="10" spans="1:6" x14ac:dyDescent="0.2">
      <c r="A10" s="45" t="s">
        <v>1071</v>
      </c>
      <c r="B10" s="45" t="s">
        <v>1720</v>
      </c>
      <c r="C10" s="45" t="s">
        <v>889</v>
      </c>
      <c r="D10" s="14">
        <v>12475</v>
      </c>
      <c r="E10" s="7">
        <v>12172.8555</v>
      </c>
      <c r="F10" s="7">
        <v>2.40010707958738</v>
      </c>
    </row>
    <row r="11" spans="1:6" x14ac:dyDescent="0.2">
      <c r="A11" s="45" t="s">
        <v>1072</v>
      </c>
      <c r="B11" s="45" t="s">
        <v>1721</v>
      </c>
      <c r="C11" s="45" t="s">
        <v>889</v>
      </c>
      <c r="D11" s="14">
        <v>12500</v>
      </c>
      <c r="E11" s="7">
        <v>11871.8</v>
      </c>
      <c r="F11" s="7">
        <v>2.3407483336547799</v>
      </c>
    </row>
    <row r="12" spans="1:6" x14ac:dyDescent="0.2">
      <c r="A12" s="45" t="s">
        <v>1073</v>
      </c>
      <c r="B12" s="45" t="s">
        <v>1722</v>
      </c>
      <c r="C12" s="45" t="s">
        <v>889</v>
      </c>
      <c r="D12" s="14">
        <v>10000</v>
      </c>
      <c r="E12" s="7">
        <v>9868.0300000000007</v>
      </c>
      <c r="F12" s="7">
        <v>1.9456674454552301</v>
      </c>
    </row>
    <row r="13" spans="1:6" x14ac:dyDescent="0.2">
      <c r="A13" s="45" t="s">
        <v>1074</v>
      </c>
      <c r="B13" s="45" t="s">
        <v>1723</v>
      </c>
      <c r="C13" s="45" t="s">
        <v>1070</v>
      </c>
      <c r="D13" s="14">
        <v>10000</v>
      </c>
      <c r="E13" s="7">
        <v>9735.4699999999993</v>
      </c>
      <c r="F13" s="7">
        <v>1.9195307518528</v>
      </c>
    </row>
    <row r="14" spans="1:6" x14ac:dyDescent="0.2">
      <c r="A14" s="45" t="s">
        <v>1075</v>
      </c>
      <c r="B14" s="45" t="s">
        <v>1724</v>
      </c>
      <c r="C14" s="45" t="s">
        <v>889</v>
      </c>
      <c r="D14" s="14">
        <v>8000</v>
      </c>
      <c r="E14" s="7">
        <v>7893.848</v>
      </c>
      <c r="F14" s="7">
        <v>1.55642038714636</v>
      </c>
    </row>
    <row r="15" spans="1:6" x14ac:dyDescent="0.2">
      <c r="A15" s="45" t="s">
        <v>1076</v>
      </c>
      <c r="B15" s="45" t="s">
        <v>1725</v>
      </c>
      <c r="C15" s="45" t="s">
        <v>1070</v>
      </c>
      <c r="D15" s="14">
        <v>7500</v>
      </c>
      <c r="E15" s="7">
        <v>7390.0124999999998</v>
      </c>
      <c r="F15" s="7">
        <v>1.45707975581319</v>
      </c>
    </row>
    <row r="16" spans="1:6" x14ac:dyDescent="0.2">
      <c r="A16" s="45" t="s">
        <v>1077</v>
      </c>
      <c r="B16" s="45" t="s">
        <v>1726</v>
      </c>
      <c r="C16" s="45" t="s">
        <v>1070</v>
      </c>
      <c r="D16" s="14">
        <v>7500</v>
      </c>
      <c r="E16" s="7">
        <v>7387.05</v>
      </c>
      <c r="F16" s="7">
        <v>1.4564956432996301</v>
      </c>
    </row>
    <row r="17" spans="1:6" x14ac:dyDescent="0.2">
      <c r="A17" s="45" t="s">
        <v>1078</v>
      </c>
      <c r="B17" s="45" t="s">
        <v>1727</v>
      </c>
      <c r="C17" s="45" t="s">
        <v>889</v>
      </c>
      <c r="D17" s="14">
        <v>7500</v>
      </c>
      <c r="E17" s="7">
        <v>7382.3625000000002</v>
      </c>
      <c r="F17" s="7">
        <v>1.45557141463894</v>
      </c>
    </row>
    <row r="18" spans="1:6" x14ac:dyDescent="0.2">
      <c r="A18" s="45" t="s">
        <v>1079</v>
      </c>
      <c r="B18" s="45" t="s">
        <v>1728</v>
      </c>
      <c r="C18" s="45" t="s">
        <v>889</v>
      </c>
      <c r="D18" s="14">
        <v>7500</v>
      </c>
      <c r="E18" s="7">
        <v>7380.1424999999999</v>
      </c>
      <c r="F18" s="7">
        <v>1.45513369994523</v>
      </c>
    </row>
    <row r="19" spans="1:6" x14ac:dyDescent="0.2">
      <c r="A19" s="45" t="s">
        <v>888</v>
      </c>
      <c r="B19" s="45" t="s">
        <v>1592</v>
      </c>
      <c r="C19" s="45" t="s">
        <v>889</v>
      </c>
      <c r="D19" s="14">
        <v>7400</v>
      </c>
      <c r="E19" s="7">
        <v>7330.7064</v>
      </c>
      <c r="F19" s="7">
        <v>1.4453864443734299</v>
      </c>
    </row>
    <row r="20" spans="1:6" x14ac:dyDescent="0.2">
      <c r="A20" s="45" t="s">
        <v>1080</v>
      </c>
      <c r="B20" s="45" t="s">
        <v>1729</v>
      </c>
      <c r="C20" s="45" t="s">
        <v>889</v>
      </c>
      <c r="D20" s="14">
        <v>5000</v>
      </c>
      <c r="E20" s="7">
        <v>4864.43</v>
      </c>
      <c r="F20" s="7">
        <v>0.95911373310536896</v>
      </c>
    </row>
    <row r="21" spans="1:6" x14ac:dyDescent="0.2">
      <c r="A21" s="45" t="s">
        <v>1081</v>
      </c>
      <c r="B21" s="45" t="s">
        <v>1730</v>
      </c>
      <c r="C21" s="45" t="s">
        <v>889</v>
      </c>
      <c r="D21" s="14">
        <v>5000</v>
      </c>
      <c r="E21" s="7">
        <v>4813.32</v>
      </c>
      <c r="F21" s="7">
        <v>0.94903643671113203</v>
      </c>
    </row>
    <row r="22" spans="1:6" x14ac:dyDescent="0.2">
      <c r="A22" s="45" t="s">
        <v>1082</v>
      </c>
      <c r="B22" s="45" t="s">
        <v>1731</v>
      </c>
      <c r="C22" s="45" t="s">
        <v>894</v>
      </c>
      <c r="D22" s="14">
        <v>5000</v>
      </c>
      <c r="E22" s="7">
        <v>4788.26</v>
      </c>
      <c r="F22" s="7">
        <v>0.94409538706058405</v>
      </c>
    </row>
    <row r="23" spans="1:6" x14ac:dyDescent="0.2">
      <c r="A23" s="45" t="s">
        <v>1083</v>
      </c>
      <c r="B23" s="45" t="s">
        <v>1732</v>
      </c>
      <c r="C23" s="45" t="s">
        <v>889</v>
      </c>
      <c r="D23" s="14">
        <v>2500</v>
      </c>
      <c r="E23" s="7">
        <v>2479.7575000000002</v>
      </c>
      <c r="F23" s="7">
        <v>0.48893076332089003</v>
      </c>
    </row>
    <row r="24" spans="1:6" x14ac:dyDescent="0.2">
      <c r="A24" s="45" t="s">
        <v>1084</v>
      </c>
      <c r="B24" s="45" t="s">
        <v>1733</v>
      </c>
      <c r="C24" s="45" t="s">
        <v>889</v>
      </c>
      <c r="D24" s="14">
        <v>2500</v>
      </c>
      <c r="E24" s="7">
        <v>2474.9124999999999</v>
      </c>
      <c r="F24" s="7">
        <v>0.48797548057719797</v>
      </c>
    </row>
    <row r="25" spans="1:6" x14ac:dyDescent="0.2">
      <c r="A25" s="45" t="s">
        <v>1085</v>
      </c>
      <c r="B25" s="45" t="s">
        <v>1734</v>
      </c>
      <c r="C25" s="45" t="s">
        <v>889</v>
      </c>
      <c r="D25" s="14">
        <v>2500</v>
      </c>
      <c r="E25" s="7">
        <v>2467.41</v>
      </c>
      <c r="F25" s="7">
        <v>0.48649622179813801</v>
      </c>
    </row>
    <row r="26" spans="1:6" x14ac:dyDescent="0.2">
      <c r="A26" s="45" t="s">
        <v>1086</v>
      </c>
      <c r="B26" s="45" t="s">
        <v>1735</v>
      </c>
      <c r="C26" s="45" t="s">
        <v>1070</v>
      </c>
      <c r="D26" s="14">
        <v>2500</v>
      </c>
      <c r="E26" s="7">
        <v>2438.7424999999998</v>
      </c>
      <c r="F26" s="7">
        <v>0.480843885770321</v>
      </c>
    </row>
    <row r="27" spans="1:6" x14ac:dyDescent="0.2">
      <c r="A27" s="45" t="s">
        <v>1087</v>
      </c>
      <c r="B27" s="45" t="s">
        <v>1736</v>
      </c>
      <c r="C27" s="45" t="s">
        <v>889</v>
      </c>
      <c r="D27" s="14">
        <v>2500</v>
      </c>
      <c r="E27" s="7">
        <v>2425.1799999999998</v>
      </c>
      <c r="F27" s="7">
        <v>0.47816978417871697</v>
      </c>
    </row>
    <row r="28" spans="1:6" x14ac:dyDescent="0.2">
      <c r="A28" s="45" t="s">
        <v>1088</v>
      </c>
      <c r="B28" s="45" t="s">
        <v>1737</v>
      </c>
      <c r="C28" s="45" t="s">
        <v>889</v>
      </c>
      <c r="D28" s="14">
        <v>1000</v>
      </c>
      <c r="E28" s="7">
        <v>998.67600000000004</v>
      </c>
      <c r="F28" s="7">
        <v>0.196907729481715</v>
      </c>
    </row>
    <row r="29" spans="1:6" x14ac:dyDescent="0.2">
      <c r="A29" s="26" t="s">
        <v>44</v>
      </c>
      <c r="B29" s="45"/>
      <c r="C29" s="45"/>
      <c r="D29" s="14"/>
      <c r="E29" s="6">
        <f>SUM(E7:E28)</f>
        <v>165642.77690000003</v>
      </c>
      <c r="F29" s="6">
        <f>SUM(F7:F28)</f>
        <v>32.659584394163112</v>
      </c>
    </row>
    <row r="30" spans="1:6" x14ac:dyDescent="0.2">
      <c r="A30" s="45"/>
      <c r="B30" s="45"/>
      <c r="C30" s="45"/>
      <c r="D30" s="14"/>
      <c r="E30" s="7"/>
      <c r="F30" s="7"/>
    </row>
    <row r="31" spans="1:6" x14ac:dyDescent="0.2">
      <c r="A31" s="26" t="s">
        <v>890</v>
      </c>
      <c r="B31" s="45"/>
      <c r="C31" s="45"/>
      <c r="D31" s="14"/>
      <c r="E31" s="7"/>
      <c r="F31" s="7"/>
    </row>
    <row r="32" spans="1:6" x14ac:dyDescent="0.2">
      <c r="A32" s="45" t="s">
        <v>1089</v>
      </c>
      <c r="B32" s="45" t="s">
        <v>1738</v>
      </c>
      <c r="C32" s="45" t="s">
        <v>889</v>
      </c>
      <c r="D32" s="14">
        <v>5000</v>
      </c>
      <c r="E32" s="7">
        <v>24809.325000000001</v>
      </c>
      <c r="F32" s="7">
        <v>4.8916243663850398</v>
      </c>
    </row>
    <row r="33" spans="1:6" x14ac:dyDescent="0.2">
      <c r="A33" s="45" t="s">
        <v>1090</v>
      </c>
      <c r="B33" s="45" t="s">
        <v>1739</v>
      </c>
      <c r="C33" s="45" t="s">
        <v>894</v>
      </c>
      <c r="D33" s="14">
        <v>5000</v>
      </c>
      <c r="E33" s="7">
        <v>24603.325000000001</v>
      </c>
      <c r="F33" s="7">
        <v>4.8510075975098097</v>
      </c>
    </row>
    <row r="34" spans="1:6" x14ac:dyDescent="0.2">
      <c r="A34" s="45" t="s">
        <v>1091</v>
      </c>
      <c r="B34" s="45" t="s">
        <v>1740</v>
      </c>
      <c r="C34" s="45" t="s">
        <v>1092</v>
      </c>
      <c r="D34" s="14">
        <v>4000</v>
      </c>
      <c r="E34" s="7">
        <v>19824.900000000001</v>
      </c>
      <c r="F34" s="7">
        <v>3.9088513654098498</v>
      </c>
    </row>
    <row r="35" spans="1:6" x14ac:dyDescent="0.2">
      <c r="A35" s="45" t="s">
        <v>1093</v>
      </c>
      <c r="B35" s="45" t="s">
        <v>1741</v>
      </c>
      <c r="C35" s="45" t="s">
        <v>1092</v>
      </c>
      <c r="D35" s="14">
        <v>4000</v>
      </c>
      <c r="E35" s="7">
        <v>19721.2</v>
      </c>
      <c r="F35" s="7">
        <v>3.8884049628255699</v>
      </c>
    </row>
    <row r="36" spans="1:6" x14ac:dyDescent="0.2">
      <c r="A36" s="45" t="s">
        <v>1094</v>
      </c>
      <c r="B36" s="45" t="s">
        <v>1742</v>
      </c>
      <c r="C36" s="45" t="s">
        <v>889</v>
      </c>
      <c r="D36" s="14">
        <v>3500</v>
      </c>
      <c r="E36" s="7">
        <v>17284.767500000002</v>
      </c>
      <c r="F36" s="7">
        <v>3.4080165369392401</v>
      </c>
    </row>
    <row r="37" spans="1:6" x14ac:dyDescent="0.2">
      <c r="A37" s="45" t="s">
        <v>1095</v>
      </c>
      <c r="B37" s="45" t="s">
        <v>1743</v>
      </c>
      <c r="C37" s="45" t="s">
        <v>889</v>
      </c>
      <c r="D37" s="14">
        <v>3600</v>
      </c>
      <c r="E37" s="7">
        <v>16942.59</v>
      </c>
      <c r="F37" s="7">
        <v>3.3405498163965102</v>
      </c>
    </row>
    <row r="38" spans="1:6" x14ac:dyDescent="0.2">
      <c r="A38" s="45" t="s">
        <v>1096</v>
      </c>
      <c r="B38" s="45" t="s">
        <v>1744</v>
      </c>
      <c r="C38" s="45" t="s">
        <v>889</v>
      </c>
      <c r="D38" s="14">
        <v>3200</v>
      </c>
      <c r="E38" s="7">
        <v>15540.175999999999</v>
      </c>
      <c r="F38" s="7">
        <v>3.06403755763254</v>
      </c>
    </row>
    <row r="39" spans="1:6" x14ac:dyDescent="0.2">
      <c r="A39" s="45" t="s">
        <v>1097</v>
      </c>
      <c r="B39" s="45" t="s">
        <v>1745</v>
      </c>
      <c r="C39" s="45" t="s">
        <v>894</v>
      </c>
      <c r="D39" s="14">
        <v>3000</v>
      </c>
      <c r="E39" s="7">
        <v>14071.215</v>
      </c>
      <c r="F39" s="7">
        <v>2.7744043080028402</v>
      </c>
    </row>
    <row r="40" spans="1:6" x14ac:dyDescent="0.2">
      <c r="A40" s="45" t="s">
        <v>1098</v>
      </c>
      <c r="B40" s="45" t="s">
        <v>1746</v>
      </c>
      <c r="C40" s="45" t="s">
        <v>1092</v>
      </c>
      <c r="D40" s="14">
        <v>2500</v>
      </c>
      <c r="E40" s="7">
        <v>12428.25</v>
      </c>
      <c r="F40" s="7">
        <v>2.4504629018131201</v>
      </c>
    </row>
    <row r="41" spans="1:6" x14ac:dyDescent="0.2">
      <c r="A41" s="45" t="s">
        <v>1099</v>
      </c>
      <c r="B41" s="45" t="s">
        <v>1747</v>
      </c>
      <c r="C41" s="45" t="s">
        <v>889</v>
      </c>
      <c r="D41" s="14">
        <v>2500</v>
      </c>
      <c r="E41" s="7">
        <v>12309.725</v>
      </c>
      <c r="F41" s="7">
        <v>2.4270934720513</v>
      </c>
    </row>
    <row r="42" spans="1:6" x14ac:dyDescent="0.2">
      <c r="A42" s="45" t="s">
        <v>1100</v>
      </c>
      <c r="B42" s="45" t="s">
        <v>1748</v>
      </c>
      <c r="C42" s="45" t="s">
        <v>1092</v>
      </c>
      <c r="D42" s="14">
        <v>2090</v>
      </c>
      <c r="E42" s="7">
        <v>10307.4202</v>
      </c>
      <c r="F42" s="7">
        <v>2.0323014755495898</v>
      </c>
    </row>
    <row r="43" spans="1:6" x14ac:dyDescent="0.2">
      <c r="A43" s="45" t="s">
        <v>1101</v>
      </c>
      <c r="B43" s="45" t="s">
        <v>1749</v>
      </c>
      <c r="C43" s="45" t="s">
        <v>894</v>
      </c>
      <c r="D43" s="14">
        <v>2000</v>
      </c>
      <c r="E43" s="7">
        <v>9640.7099999999991</v>
      </c>
      <c r="F43" s="7">
        <v>1.9008470381702001</v>
      </c>
    </row>
    <row r="44" spans="1:6" x14ac:dyDescent="0.2">
      <c r="A44" s="45" t="s">
        <v>1102</v>
      </c>
      <c r="B44" s="45" t="s">
        <v>1750</v>
      </c>
      <c r="C44" s="45" t="s">
        <v>894</v>
      </c>
      <c r="D44" s="14">
        <v>2000</v>
      </c>
      <c r="E44" s="7">
        <v>9583.93</v>
      </c>
      <c r="F44" s="7">
        <v>1.8896517947879901</v>
      </c>
    </row>
    <row r="45" spans="1:6" x14ac:dyDescent="0.2">
      <c r="A45" s="45" t="s">
        <v>1103</v>
      </c>
      <c r="B45" s="45" t="s">
        <v>1751</v>
      </c>
      <c r="C45" s="45" t="s">
        <v>889</v>
      </c>
      <c r="D45" s="14">
        <v>1600</v>
      </c>
      <c r="E45" s="7">
        <v>7893.576</v>
      </c>
      <c r="F45" s="7">
        <v>1.55636675723794</v>
      </c>
    </row>
    <row r="46" spans="1:6" x14ac:dyDescent="0.2">
      <c r="A46" s="45" t="s">
        <v>1104</v>
      </c>
      <c r="B46" s="45" t="s">
        <v>1752</v>
      </c>
      <c r="C46" s="45" t="s">
        <v>1092</v>
      </c>
      <c r="D46" s="14">
        <v>1500</v>
      </c>
      <c r="E46" s="7">
        <v>7429.6350000000002</v>
      </c>
      <c r="F46" s="7">
        <v>1.46489207583629</v>
      </c>
    </row>
    <row r="47" spans="1:6" x14ac:dyDescent="0.2">
      <c r="A47" s="45" t="s">
        <v>1105</v>
      </c>
      <c r="B47" s="45" t="s">
        <v>1753</v>
      </c>
      <c r="C47" s="45" t="s">
        <v>889</v>
      </c>
      <c r="D47" s="14">
        <v>1500</v>
      </c>
      <c r="E47" s="7">
        <v>7405.9575000000004</v>
      </c>
      <c r="F47" s="7">
        <v>1.4602236120254</v>
      </c>
    </row>
    <row r="48" spans="1:6" x14ac:dyDescent="0.2">
      <c r="A48" s="45" t="s">
        <v>1106</v>
      </c>
      <c r="B48" s="45" t="s">
        <v>1754</v>
      </c>
      <c r="C48" s="45" t="s">
        <v>894</v>
      </c>
      <c r="D48" s="14">
        <v>1500</v>
      </c>
      <c r="E48" s="7">
        <v>7405.0574999999999</v>
      </c>
      <c r="F48" s="7">
        <v>1.4600461601225401</v>
      </c>
    </row>
    <row r="49" spans="1:6" x14ac:dyDescent="0.2">
      <c r="A49" s="45" t="s">
        <v>1107</v>
      </c>
      <c r="B49" s="45" t="s">
        <v>1755</v>
      </c>
      <c r="C49" s="45" t="s">
        <v>1070</v>
      </c>
      <c r="D49" s="14">
        <v>1500</v>
      </c>
      <c r="E49" s="7">
        <v>7375.6424999999999</v>
      </c>
      <c r="F49" s="7">
        <v>1.4542464404309701</v>
      </c>
    </row>
    <row r="50" spans="1:6" x14ac:dyDescent="0.2">
      <c r="A50" s="45" t="s">
        <v>1108</v>
      </c>
      <c r="B50" s="45" t="s">
        <v>1756</v>
      </c>
      <c r="C50" s="45" t="s">
        <v>889</v>
      </c>
      <c r="D50" s="14">
        <v>1500</v>
      </c>
      <c r="E50" s="7">
        <v>7191.1350000000002</v>
      </c>
      <c r="F50" s="7">
        <v>1.41786732158026</v>
      </c>
    </row>
    <row r="51" spans="1:6" x14ac:dyDescent="0.2">
      <c r="A51" s="45" t="s">
        <v>1109</v>
      </c>
      <c r="B51" s="45" t="s">
        <v>1757</v>
      </c>
      <c r="C51" s="45" t="s">
        <v>894</v>
      </c>
      <c r="D51" s="14">
        <v>1000</v>
      </c>
      <c r="E51" s="7">
        <v>4981.3900000000003</v>
      </c>
      <c r="F51" s="7">
        <v>0.98217459372501104</v>
      </c>
    </row>
    <row r="52" spans="1:6" x14ac:dyDescent="0.2">
      <c r="A52" s="45" t="s">
        <v>1110</v>
      </c>
      <c r="B52" s="45" t="s">
        <v>1758</v>
      </c>
      <c r="C52" s="45" t="s">
        <v>889</v>
      </c>
      <c r="D52" s="14">
        <v>1000</v>
      </c>
      <c r="E52" s="7">
        <v>4970.0749999999998</v>
      </c>
      <c r="F52" s="7">
        <v>0.979943628968588</v>
      </c>
    </row>
    <row r="53" spans="1:6" x14ac:dyDescent="0.2">
      <c r="A53" s="45" t="s">
        <v>1111</v>
      </c>
      <c r="B53" s="45" t="s">
        <v>1759</v>
      </c>
      <c r="C53" s="45" t="s">
        <v>1092</v>
      </c>
      <c r="D53" s="14">
        <v>1000</v>
      </c>
      <c r="E53" s="7">
        <v>4940.8950000000004</v>
      </c>
      <c r="F53" s="7">
        <v>0.974190243940534</v>
      </c>
    </row>
    <row r="54" spans="1:6" x14ac:dyDescent="0.2">
      <c r="A54" s="45" t="s">
        <v>1112</v>
      </c>
      <c r="B54" s="45" t="s">
        <v>1760</v>
      </c>
      <c r="C54" s="45" t="s">
        <v>894</v>
      </c>
      <c r="D54" s="14">
        <v>1000</v>
      </c>
      <c r="E54" s="7">
        <v>4939.96</v>
      </c>
      <c r="F54" s="7">
        <v>0.97400589113034797</v>
      </c>
    </row>
    <row r="55" spans="1:6" x14ac:dyDescent="0.2">
      <c r="A55" s="45" t="s">
        <v>1113</v>
      </c>
      <c r="B55" s="45" t="s">
        <v>1761</v>
      </c>
      <c r="C55" s="45" t="s">
        <v>889</v>
      </c>
      <c r="D55" s="14">
        <v>1000</v>
      </c>
      <c r="E55" s="7">
        <v>4930.0349999999999</v>
      </c>
      <c r="F55" s="7">
        <v>0.97204899097944197</v>
      </c>
    </row>
    <row r="56" spans="1:6" x14ac:dyDescent="0.2">
      <c r="A56" s="45" t="s">
        <v>1114</v>
      </c>
      <c r="B56" s="45" t="s">
        <v>1762</v>
      </c>
      <c r="C56" s="45" t="s">
        <v>889</v>
      </c>
      <c r="D56" s="14">
        <v>987</v>
      </c>
      <c r="E56" s="7">
        <v>4854.6976800000002</v>
      </c>
      <c r="F56" s="7">
        <v>0.95719482343517603</v>
      </c>
    </row>
    <row r="57" spans="1:6" x14ac:dyDescent="0.2">
      <c r="A57" s="45" t="s">
        <v>1115</v>
      </c>
      <c r="B57" s="45" t="s">
        <v>1763</v>
      </c>
      <c r="C57" s="45" t="s">
        <v>1092</v>
      </c>
      <c r="D57" s="14">
        <v>1000</v>
      </c>
      <c r="E57" s="7">
        <v>4849.3100000000004</v>
      </c>
      <c r="F57" s="7">
        <v>0.95613254113743995</v>
      </c>
    </row>
    <row r="58" spans="1:6" x14ac:dyDescent="0.2">
      <c r="A58" s="45" t="s">
        <v>1116</v>
      </c>
      <c r="B58" s="45" t="s">
        <v>1764</v>
      </c>
      <c r="C58" s="45" t="s">
        <v>889</v>
      </c>
      <c r="D58" s="14">
        <v>1000</v>
      </c>
      <c r="E58" s="7">
        <v>4800.2449999999999</v>
      </c>
      <c r="F58" s="7">
        <v>0.94645845490024205</v>
      </c>
    </row>
    <row r="59" spans="1:6" x14ac:dyDescent="0.2">
      <c r="A59" s="45" t="s">
        <v>1117</v>
      </c>
      <c r="B59" s="45" t="s">
        <v>1765</v>
      </c>
      <c r="C59" s="45" t="s">
        <v>1092</v>
      </c>
      <c r="D59" s="14">
        <v>600</v>
      </c>
      <c r="E59" s="7">
        <v>2995.6860000000001</v>
      </c>
      <c r="F59" s="7">
        <v>0.59065575672206005</v>
      </c>
    </row>
    <row r="60" spans="1:6" x14ac:dyDescent="0.2">
      <c r="A60" s="45" t="s">
        <v>1118</v>
      </c>
      <c r="B60" s="45" t="s">
        <v>1766</v>
      </c>
      <c r="C60" s="45" t="s">
        <v>889</v>
      </c>
      <c r="D60" s="14">
        <v>500</v>
      </c>
      <c r="E60" s="7">
        <v>2467.37</v>
      </c>
      <c r="F60" s="7">
        <v>0.48648833504689998</v>
      </c>
    </row>
    <row r="61" spans="1:6" x14ac:dyDescent="0.2">
      <c r="A61" s="45" t="s">
        <v>1119</v>
      </c>
      <c r="B61" s="45" t="s">
        <v>1767</v>
      </c>
      <c r="C61" s="45" t="s">
        <v>894</v>
      </c>
      <c r="D61" s="14">
        <v>500</v>
      </c>
      <c r="E61" s="7">
        <v>2431.2575000000002</v>
      </c>
      <c r="F61" s="7">
        <v>0.47936807744492699</v>
      </c>
    </row>
    <row r="62" spans="1:6" x14ac:dyDescent="0.2">
      <c r="A62" s="45" t="s">
        <v>1120</v>
      </c>
      <c r="B62" s="45" t="s">
        <v>1768</v>
      </c>
      <c r="C62" s="45" t="s">
        <v>894</v>
      </c>
      <c r="D62" s="14">
        <v>480</v>
      </c>
      <c r="E62" s="7">
        <v>2378.3663999999999</v>
      </c>
      <c r="F62" s="7">
        <v>0.46893960373494498</v>
      </c>
    </row>
    <row r="63" spans="1:6" x14ac:dyDescent="0.2">
      <c r="A63" s="45" t="s">
        <v>1121</v>
      </c>
      <c r="B63" s="45" t="s">
        <v>1769</v>
      </c>
      <c r="C63" s="45" t="s">
        <v>889</v>
      </c>
      <c r="D63" s="14">
        <v>400</v>
      </c>
      <c r="E63" s="7">
        <v>1976.182</v>
      </c>
      <c r="F63" s="7">
        <v>0.38964139587076702</v>
      </c>
    </row>
    <row r="64" spans="1:6" x14ac:dyDescent="0.2">
      <c r="A64" s="45" t="s">
        <v>1122</v>
      </c>
      <c r="B64" s="45" t="s">
        <v>1770</v>
      </c>
      <c r="C64" s="45" t="s">
        <v>894</v>
      </c>
      <c r="D64" s="14">
        <v>400</v>
      </c>
      <c r="E64" s="7">
        <v>1950.402</v>
      </c>
      <c r="F64" s="7">
        <v>0.38455838469793502</v>
      </c>
    </row>
    <row r="65" spans="1:6" x14ac:dyDescent="0.2">
      <c r="A65" s="45" t="s">
        <v>898</v>
      </c>
      <c r="B65" s="45" t="s">
        <v>1598</v>
      </c>
      <c r="C65" s="45" t="s">
        <v>894</v>
      </c>
      <c r="D65" s="14">
        <v>95</v>
      </c>
      <c r="E65" s="7">
        <v>468.73</v>
      </c>
      <c r="F65" s="7">
        <v>9.2418922693610503E-2</v>
      </c>
    </row>
    <row r="66" spans="1:6" x14ac:dyDescent="0.2">
      <c r="A66" s="26" t="s">
        <v>44</v>
      </c>
      <c r="B66" s="45"/>
      <c r="C66" s="45"/>
      <c r="D66" s="14"/>
      <c r="E66" s="6">
        <f>SUM(E32:E65)</f>
        <v>305703.13877999992</v>
      </c>
      <c r="F66" s="6">
        <f>SUM(F32:F65)</f>
        <v>60.275115205134924</v>
      </c>
    </row>
    <row r="67" spans="1:6" x14ac:dyDescent="0.2">
      <c r="A67" s="45"/>
      <c r="B67" s="45"/>
      <c r="C67" s="45"/>
      <c r="D67" s="14"/>
      <c r="E67" s="7"/>
      <c r="F67" s="7"/>
    </row>
    <row r="68" spans="1:6" x14ac:dyDescent="0.2">
      <c r="A68" s="26" t="s">
        <v>963</v>
      </c>
      <c r="B68" s="45"/>
      <c r="C68" s="45"/>
      <c r="D68" s="14"/>
      <c r="E68" s="7"/>
      <c r="F68" s="7"/>
    </row>
    <row r="69" spans="1:6" x14ac:dyDescent="0.2">
      <c r="A69" s="45" t="s">
        <v>1123</v>
      </c>
      <c r="B69" s="45" t="s">
        <v>1974</v>
      </c>
      <c r="C69" s="45" t="s">
        <v>965</v>
      </c>
      <c r="D69" s="14">
        <v>17000000</v>
      </c>
      <c r="E69" s="7">
        <v>17131.800999999999</v>
      </c>
      <c r="F69" s="7">
        <v>3.3778563186084098</v>
      </c>
    </row>
    <row r="70" spans="1:6" x14ac:dyDescent="0.2">
      <c r="A70" s="45" t="s">
        <v>1124</v>
      </c>
      <c r="B70" s="45" t="s">
        <v>1975</v>
      </c>
      <c r="C70" s="45" t="s">
        <v>965</v>
      </c>
      <c r="D70" s="14">
        <v>3000000</v>
      </c>
      <c r="E70" s="7">
        <v>3027.114</v>
      </c>
      <c r="F70" s="7">
        <v>0.59685237716968398</v>
      </c>
    </row>
    <row r="71" spans="1:6" x14ac:dyDescent="0.2">
      <c r="A71" s="26" t="s">
        <v>44</v>
      </c>
      <c r="B71" s="45"/>
      <c r="C71" s="45"/>
      <c r="D71" s="45"/>
      <c r="E71" s="6">
        <f>SUM(E69:E70)</f>
        <v>20158.915000000001</v>
      </c>
      <c r="F71" s="6">
        <f>SUM(F69:F70)</f>
        <v>3.9747086957780939</v>
      </c>
    </row>
    <row r="72" spans="1:6" x14ac:dyDescent="0.2">
      <c r="A72" s="45"/>
      <c r="B72" s="45"/>
      <c r="C72" s="45"/>
      <c r="D72" s="45"/>
      <c r="E72" s="7"/>
      <c r="F72" s="7"/>
    </row>
    <row r="73" spans="1:6" x14ac:dyDescent="0.2">
      <c r="A73" s="26" t="s">
        <v>44</v>
      </c>
      <c r="B73" s="45"/>
      <c r="C73" s="45"/>
      <c r="D73" s="45"/>
      <c r="E73" s="6">
        <f>E66+E71+E29</f>
        <v>491504.8306799999</v>
      </c>
      <c r="F73" s="6">
        <f>F66+F71+F29</f>
        <v>96.909408295076133</v>
      </c>
    </row>
    <row r="74" spans="1:6" x14ac:dyDescent="0.2">
      <c r="A74" s="45"/>
      <c r="B74" s="45"/>
      <c r="C74" s="45"/>
      <c r="D74" s="45"/>
      <c r="E74" s="7"/>
      <c r="F74" s="7"/>
    </row>
    <row r="75" spans="1:6" x14ac:dyDescent="0.2">
      <c r="A75" s="26" t="s">
        <v>103</v>
      </c>
      <c r="B75" s="45"/>
      <c r="C75" s="45"/>
      <c r="D75" s="45"/>
      <c r="E75" s="6">
        <v>15674.8539203</v>
      </c>
      <c r="F75" s="6">
        <v>3.09</v>
      </c>
    </row>
    <row r="76" spans="1:6" x14ac:dyDescent="0.2">
      <c r="A76" s="45"/>
      <c r="B76" s="45"/>
      <c r="C76" s="45"/>
      <c r="D76" s="45"/>
      <c r="E76" s="7"/>
      <c r="F76" s="7"/>
    </row>
    <row r="77" spans="1:6" x14ac:dyDescent="0.2">
      <c r="A77" s="46" t="s">
        <v>104</v>
      </c>
      <c r="B77" s="44"/>
      <c r="C77" s="44"/>
      <c r="D77" s="44"/>
      <c r="E77" s="8">
        <v>507179.68392029998</v>
      </c>
      <c r="F77" s="8">
        <f xml:space="preserve"> ROUND(SUM(F73:F76),2)</f>
        <v>100</v>
      </c>
    </row>
    <row r="78" spans="1:6" x14ac:dyDescent="0.2">
      <c r="A78" s="4" t="s">
        <v>1983</v>
      </c>
    </row>
    <row r="81" spans="1:4" x14ac:dyDescent="0.2">
      <c r="A81" s="4" t="s">
        <v>105</v>
      </c>
    </row>
    <row r="82" spans="1:4" x14ac:dyDescent="0.2">
      <c r="A82" s="4" t="s">
        <v>769</v>
      </c>
    </row>
    <row r="83" spans="1:4" x14ac:dyDescent="0.2">
      <c r="A83" s="4" t="s">
        <v>107</v>
      </c>
    </row>
    <row r="84" spans="1:4" x14ac:dyDescent="0.2">
      <c r="A84" s="2" t="s">
        <v>906</v>
      </c>
      <c r="D84" s="10">
        <v>34.816200000000002</v>
      </c>
    </row>
    <row r="85" spans="1:4" x14ac:dyDescent="0.2">
      <c r="A85" s="2" t="s">
        <v>907</v>
      </c>
      <c r="D85" s="10">
        <v>10.027699999999999</v>
      </c>
    </row>
    <row r="86" spans="1:4" x14ac:dyDescent="0.2">
      <c r="A86" s="2" t="s">
        <v>1060</v>
      </c>
      <c r="D86" s="10">
        <v>10.2125</v>
      </c>
    </row>
    <row r="87" spans="1:4" x14ac:dyDescent="0.2">
      <c r="A87" s="2" t="s">
        <v>1061</v>
      </c>
      <c r="D87" s="10">
        <v>11.0219</v>
      </c>
    </row>
    <row r="88" spans="1:4" x14ac:dyDescent="0.2">
      <c r="A88" s="2" t="s">
        <v>1062</v>
      </c>
      <c r="D88" s="10">
        <v>35.6312</v>
      </c>
    </row>
    <row r="89" spans="1:4" x14ac:dyDescent="0.2">
      <c r="A89" s="2" t="s">
        <v>1125</v>
      </c>
      <c r="D89" s="10">
        <v>10.0334</v>
      </c>
    </row>
    <row r="90" spans="1:4" x14ac:dyDescent="0.2">
      <c r="A90" s="2" t="s">
        <v>1064</v>
      </c>
      <c r="D90" s="10">
        <v>10.495900000000001</v>
      </c>
    </row>
    <row r="91" spans="1:4" x14ac:dyDescent="0.2">
      <c r="A91" s="2" t="s">
        <v>1065</v>
      </c>
      <c r="D91" s="10">
        <v>11.3477</v>
      </c>
    </row>
    <row r="92" spans="1:4" x14ac:dyDescent="0.2">
      <c r="A92" s="2" t="s">
        <v>1126</v>
      </c>
      <c r="D92" s="10">
        <v>10.3713</v>
      </c>
    </row>
    <row r="94" spans="1:4" x14ac:dyDescent="0.2">
      <c r="A94" s="4" t="s">
        <v>108</v>
      </c>
    </row>
    <row r="95" spans="1:4" x14ac:dyDescent="0.2">
      <c r="A95" s="2" t="s">
        <v>906</v>
      </c>
      <c r="D95" s="10">
        <v>36.272500000000001</v>
      </c>
    </row>
    <row r="96" spans="1:4" x14ac:dyDescent="0.2">
      <c r="A96" s="2" t="s">
        <v>907</v>
      </c>
      <c r="D96" s="10">
        <v>10.075699999999999</v>
      </c>
    </row>
    <row r="97" spans="1:4" x14ac:dyDescent="0.2">
      <c r="A97" s="2" t="s">
        <v>1060</v>
      </c>
      <c r="D97" s="10">
        <v>10.242699999999999</v>
      </c>
    </row>
    <row r="98" spans="1:4" x14ac:dyDescent="0.2">
      <c r="A98" s="2" t="s">
        <v>1061</v>
      </c>
      <c r="D98" s="10">
        <v>11.031599999999999</v>
      </c>
    </row>
    <row r="99" spans="1:4" x14ac:dyDescent="0.2">
      <c r="A99" s="2" t="s">
        <v>1062</v>
      </c>
      <c r="D99" s="10">
        <v>37.147100000000002</v>
      </c>
    </row>
    <row r="100" spans="1:4" x14ac:dyDescent="0.2">
      <c r="A100" s="2" t="s">
        <v>1125</v>
      </c>
      <c r="D100" s="10">
        <v>10.0814</v>
      </c>
    </row>
    <row r="101" spans="1:4" x14ac:dyDescent="0.2">
      <c r="A101" s="2" t="s">
        <v>1064</v>
      </c>
      <c r="D101" s="10">
        <v>10.545</v>
      </c>
    </row>
    <row r="102" spans="1:4" x14ac:dyDescent="0.2">
      <c r="A102" s="2" t="s">
        <v>1065</v>
      </c>
      <c r="D102" s="10">
        <v>11.3786</v>
      </c>
    </row>
    <row r="103" spans="1:4" x14ac:dyDescent="0.2">
      <c r="A103" s="2" t="s">
        <v>1126</v>
      </c>
      <c r="D103" s="10">
        <v>10.3874</v>
      </c>
    </row>
    <row r="105" spans="1:4" x14ac:dyDescent="0.2">
      <c r="A105" s="4" t="s">
        <v>109</v>
      </c>
      <c r="D105" s="30" t="s">
        <v>325</v>
      </c>
    </row>
    <row r="106" spans="1:4" x14ac:dyDescent="0.2">
      <c r="A106" s="59" t="s">
        <v>670</v>
      </c>
      <c r="B106" s="60"/>
      <c r="C106" s="94" t="s">
        <v>671</v>
      </c>
      <c r="D106" s="94"/>
    </row>
    <row r="107" spans="1:4" x14ac:dyDescent="0.2">
      <c r="A107" s="95"/>
      <c r="B107" s="95"/>
      <c r="C107" s="33" t="s">
        <v>672</v>
      </c>
      <c r="D107" s="33" t="s">
        <v>673</v>
      </c>
    </row>
    <row r="108" spans="1:4" x14ac:dyDescent="0.2">
      <c r="A108" s="34" t="s">
        <v>907</v>
      </c>
      <c r="B108" s="35"/>
      <c r="C108" s="52">
        <v>0.26225979569999996</v>
      </c>
      <c r="D108" s="52">
        <v>0.24285387779999995</v>
      </c>
    </row>
    <row r="109" spans="1:4" x14ac:dyDescent="0.2">
      <c r="A109" s="34" t="s">
        <v>1060</v>
      </c>
      <c r="B109" s="35"/>
      <c r="C109" s="52">
        <v>0.280925853</v>
      </c>
      <c r="D109" s="52">
        <v>0.2601387402</v>
      </c>
    </row>
    <row r="110" spans="1:4" x14ac:dyDescent="0.2">
      <c r="A110" s="34" t="s">
        <v>1061</v>
      </c>
      <c r="B110" s="35"/>
      <c r="C110" s="52">
        <v>0.31694198800000001</v>
      </c>
      <c r="D110" s="52">
        <v>0.29348986040000002</v>
      </c>
    </row>
    <row r="111" spans="1:4" x14ac:dyDescent="0.2">
      <c r="A111" s="34" t="s">
        <v>1125</v>
      </c>
      <c r="B111" s="35"/>
      <c r="C111" s="52">
        <v>0.26734103810000009</v>
      </c>
      <c r="D111" s="52">
        <v>0.24755913290000001</v>
      </c>
    </row>
    <row r="112" spans="1:4" x14ac:dyDescent="0.2">
      <c r="A112" s="34" t="s">
        <v>1064</v>
      </c>
      <c r="B112" s="35"/>
      <c r="C112" s="52">
        <v>0.280925853</v>
      </c>
      <c r="D112" s="52">
        <v>0.2601387402</v>
      </c>
    </row>
    <row r="113" spans="1:5" x14ac:dyDescent="0.2">
      <c r="A113" s="34" t="s">
        <v>1065</v>
      </c>
      <c r="B113" s="35"/>
      <c r="C113" s="52">
        <v>0.31694198800000001</v>
      </c>
      <c r="D113" s="52">
        <v>0.29348986040000002</v>
      </c>
    </row>
    <row r="114" spans="1:5" x14ac:dyDescent="0.2">
      <c r="A114" s="34" t="s">
        <v>1126</v>
      </c>
      <c r="B114" s="35"/>
      <c r="C114" s="52">
        <v>0.27437091659999996</v>
      </c>
      <c r="D114" s="52">
        <v>0.2540688364</v>
      </c>
    </row>
    <row r="116" spans="1:5" x14ac:dyDescent="0.2">
      <c r="A116" s="4" t="s">
        <v>770</v>
      </c>
      <c r="D116" s="29">
        <v>0.38248610886121986</v>
      </c>
      <c r="E116" s="1" t="s">
        <v>771</v>
      </c>
    </row>
    <row r="118" spans="1:5" x14ac:dyDescent="0.2">
      <c r="A118" s="4" t="s">
        <v>1989</v>
      </c>
      <c r="D118" s="53" t="s">
        <v>110</v>
      </c>
    </row>
  </sheetData>
  <mergeCells count="3">
    <mergeCell ref="A1:F1"/>
    <mergeCell ref="C106:D106"/>
    <mergeCell ref="A107:B10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9EE9-91A3-4538-B0AA-421BB29923F4}">
  <sheetPr codeName="Sheet29"/>
  <dimension ref="A1:F37"/>
  <sheetViews>
    <sheetView showGridLines="0" workbookViewId="0">
      <selection sqref="A1:F1"/>
    </sheetView>
  </sheetViews>
  <sheetFormatPr defaultColWidth="8.7109375" defaultRowHeight="11.25" x14ac:dyDescent="0.2"/>
  <cols>
    <col min="1" max="1" width="49.28515625" style="2" customWidth="1"/>
    <col min="2" max="2" width="18.140625" style="2" customWidth="1"/>
    <col min="3" max="3" width="14.28515625" style="2" customWidth="1"/>
    <col min="4" max="4" width="15.28515625" style="2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1127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103</v>
      </c>
      <c r="B5" s="45"/>
      <c r="C5" s="45"/>
      <c r="D5" s="45"/>
      <c r="E5" s="6">
        <v>32554.679947100001</v>
      </c>
      <c r="F5" s="6">
        <v>100</v>
      </c>
    </row>
    <row r="6" spans="1:6" x14ac:dyDescent="0.2">
      <c r="A6" s="45"/>
      <c r="B6" s="45"/>
      <c r="C6" s="45"/>
      <c r="D6" s="45"/>
      <c r="E6" s="7"/>
      <c r="F6" s="7"/>
    </row>
    <row r="7" spans="1:6" x14ac:dyDescent="0.2">
      <c r="A7" s="46" t="s">
        <v>104</v>
      </c>
      <c r="B7" s="44"/>
      <c r="C7" s="44"/>
      <c r="D7" s="44"/>
      <c r="E7" s="8">
        <v>32554.679947100001</v>
      </c>
      <c r="F7" s="8">
        <f xml:space="preserve"> ROUND(SUM(F5:F6),2)</f>
        <v>100</v>
      </c>
    </row>
    <row r="9" spans="1:6" x14ac:dyDescent="0.2">
      <c r="A9" s="4" t="s">
        <v>105</v>
      </c>
    </row>
    <row r="10" spans="1:6" x14ac:dyDescent="0.2">
      <c r="A10" s="4" t="s">
        <v>769</v>
      </c>
    </row>
    <row r="11" spans="1:6" x14ac:dyDescent="0.2">
      <c r="A11" s="4" t="s">
        <v>107</v>
      </c>
      <c r="D11" s="11"/>
    </row>
    <row r="12" spans="1:6" x14ac:dyDescent="0.2">
      <c r="A12" s="2" t="s">
        <v>1128</v>
      </c>
      <c r="D12" s="10">
        <v>1000.7912</v>
      </c>
    </row>
    <row r="13" spans="1:6" x14ac:dyDescent="0.2">
      <c r="A13" s="2" t="s">
        <v>666</v>
      </c>
      <c r="D13" s="10">
        <v>1003.607</v>
      </c>
    </row>
    <row r="14" spans="1:6" x14ac:dyDescent="0.2">
      <c r="A14" s="2" t="s">
        <v>1129</v>
      </c>
      <c r="D14" s="10">
        <v>1000</v>
      </c>
    </row>
    <row r="15" spans="1:6" x14ac:dyDescent="0.2">
      <c r="A15" s="2" t="s">
        <v>1130</v>
      </c>
      <c r="D15" s="10">
        <v>1000</v>
      </c>
    </row>
    <row r="16" spans="1:6" x14ac:dyDescent="0.2">
      <c r="A16" s="2" t="s">
        <v>668</v>
      </c>
      <c r="D16" s="10">
        <v>1003.6386</v>
      </c>
    </row>
    <row r="17" spans="1:4" x14ac:dyDescent="0.2">
      <c r="A17" s="2" t="s">
        <v>1131</v>
      </c>
      <c r="D17" s="10">
        <v>1000.789</v>
      </c>
    </row>
    <row r="19" spans="1:4" x14ac:dyDescent="0.2">
      <c r="A19" s="4" t="s">
        <v>108</v>
      </c>
    </row>
    <row r="20" spans="1:4" x14ac:dyDescent="0.2">
      <c r="A20" s="2" t="s">
        <v>1128</v>
      </c>
      <c r="D20" s="10">
        <v>1000.6603</v>
      </c>
    </row>
    <row r="21" spans="1:4" x14ac:dyDescent="0.2">
      <c r="A21" s="2" t="s">
        <v>666</v>
      </c>
      <c r="D21" s="10">
        <v>1029.3809000000001</v>
      </c>
    </row>
    <row r="22" spans="1:4" x14ac:dyDescent="0.2">
      <c r="A22" s="2" t="s">
        <v>1129</v>
      </c>
      <c r="D22" s="10">
        <v>1000</v>
      </c>
    </row>
    <row r="23" spans="1:4" x14ac:dyDescent="0.2">
      <c r="A23" s="2" t="s">
        <v>1130</v>
      </c>
      <c r="D23" s="10">
        <v>1000</v>
      </c>
    </row>
    <row r="24" spans="1:4" x14ac:dyDescent="0.2">
      <c r="A24" s="2" t="s">
        <v>668</v>
      </c>
      <c r="D24" s="10">
        <v>1029.69</v>
      </c>
    </row>
    <row r="25" spans="1:4" x14ac:dyDescent="0.2">
      <c r="A25" s="2" t="s">
        <v>1131</v>
      </c>
      <c r="D25" s="10">
        <v>1000.6545</v>
      </c>
    </row>
    <row r="27" spans="1:4" x14ac:dyDescent="0.2">
      <c r="A27" s="4" t="s">
        <v>109</v>
      </c>
      <c r="D27" s="30" t="s">
        <v>325</v>
      </c>
    </row>
    <row r="28" spans="1:4" x14ac:dyDescent="0.2">
      <c r="A28" s="90" t="s">
        <v>670</v>
      </c>
      <c r="B28" s="91"/>
      <c r="C28" s="94" t="s">
        <v>671</v>
      </c>
      <c r="D28" s="94"/>
    </row>
    <row r="29" spans="1:4" x14ac:dyDescent="0.2">
      <c r="A29" s="95"/>
      <c r="B29" s="95"/>
      <c r="C29" s="61" t="s">
        <v>672</v>
      </c>
      <c r="D29" s="61" t="s">
        <v>673</v>
      </c>
    </row>
    <row r="30" spans="1:4" x14ac:dyDescent="0.2">
      <c r="A30" s="34" t="s">
        <v>1130</v>
      </c>
      <c r="B30" s="35"/>
      <c r="C30" s="62">
        <v>18.446713292999998</v>
      </c>
      <c r="D30" s="62">
        <v>17.08174844700001</v>
      </c>
    </row>
    <row r="31" spans="1:4" x14ac:dyDescent="0.2">
      <c r="A31" s="34" t="s">
        <v>1128</v>
      </c>
      <c r="B31" s="35"/>
      <c r="C31" s="62">
        <v>18.584095100999999</v>
      </c>
      <c r="D31" s="62">
        <v>17.208964681000001</v>
      </c>
    </row>
    <row r="32" spans="1:4" x14ac:dyDescent="0.2">
      <c r="A32" s="34" t="s">
        <v>1129</v>
      </c>
      <c r="B32" s="35"/>
      <c r="C32" s="62">
        <v>18.271170883999996</v>
      </c>
      <c r="D32" s="62">
        <v>16.919195294000001</v>
      </c>
    </row>
    <row r="33" spans="1:5" x14ac:dyDescent="0.2">
      <c r="A33" s="34" t="s">
        <v>1131</v>
      </c>
      <c r="B33" s="35"/>
      <c r="C33" s="62">
        <v>18.429574358</v>
      </c>
      <c r="D33" s="62">
        <v>17.065877704000002</v>
      </c>
    </row>
    <row r="35" spans="1:5" x14ac:dyDescent="0.2">
      <c r="A35" s="4" t="s">
        <v>770</v>
      </c>
      <c r="D35" s="29">
        <v>8.1967213114754103E-3</v>
      </c>
      <c r="E35" s="1" t="s">
        <v>771</v>
      </c>
    </row>
    <row r="37" spans="1:5" x14ac:dyDescent="0.2">
      <c r="A37" s="4" t="s">
        <v>1989</v>
      </c>
      <c r="D37" s="53" t="s">
        <v>110</v>
      </c>
    </row>
  </sheetData>
  <mergeCells count="4">
    <mergeCell ref="A1:F1"/>
    <mergeCell ref="A28:B28"/>
    <mergeCell ref="C28:D28"/>
    <mergeCell ref="A29:B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1ED8-3F5A-41E1-BEE2-AC5BE926405B}">
  <sheetPr codeName="Sheet30"/>
  <dimension ref="A1:F137"/>
  <sheetViews>
    <sheetView showGridLines="0" workbookViewId="0">
      <selection sqref="A1:F1"/>
    </sheetView>
  </sheetViews>
  <sheetFormatPr defaultColWidth="8.7109375" defaultRowHeight="11.25" x14ac:dyDescent="0.2"/>
  <cols>
    <col min="1" max="1" width="59.85546875" style="2" bestFit="1" customWidth="1"/>
    <col min="2" max="2" width="55.140625" style="2" bestFit="1" customWidth="1"/>
    <col min="3" max="3" width="11.7109375" style="2" bestFit="1" customWidth="1"/>
    <col min="4" max="4" width="11.28515625" style="2" bestFit="1" customWidth="1"/>
    <col min="5" max="5" width="9.140625" style="1" bestFit="1" customWidth="1"/>
    <col min="6" max="6" width="11.85546875" style="1" bestFit="1" customWidth="1"/>
    <col min="7" max="16384" width="8.7109375" style="2"/>
  </cols>
  <sheetData>
    <row r="1" spans="1:6" ht="15" customHeight="1" x14ac:dyDescent="0.2">
      <c r="A1" s="87" t="s">
        <v>1132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886</v>
      </c>
      <c r="B5" s="45"/>
      <c r="C5" s="45"/>
      <c r="D5" s="45"/>
      <c r="E5" s="7"/>
      <c r="F5" s="7"/>
    </row>
    <row r="6" spans="1:6" x14ac:dyDescent="0.2">
      <c r="A6" s="26" t="s">
        <v>887</v>
      </c>
      <c r="B6" s="45"/>
      <c r="C6" s="45"/>
      <c r="D6" s="45"/>
      <c r="E6" s="7"/>
      <c r="F6" s="7"/>
    </row>
    <row r="7" spans="1:6" x14ac:dyDescent="0.2">
      <c r="A7" s="45" t="s">
        <v>1133</v>
      </c>
      <c r="B7" s="45" t="s">
        <v>1771</v>
      </c>
      <c r="C7" s="45" t="s">
        <v>889</v>
      </c>
      <c r="D7" s="14">
        <v>20000</v>
      </c>
      <c r="E7" s="7">
        <v>19972.2</v>
      </c>
      <c r="F7" s="7">
        <v>1.4165423218019699</v>
      </c>
    </row>
    <row r="8" spans="1:6" x14ac:dyDescent="0.2">
      <c r="A8" s="45" t="s">
        <v>1134</v>
      </c>
      <c r="B8" s="45" t="s">
        <v>1772</v>
      </c>
      <c r="C8" s="45" t="s">
        <v>889</v>
      </c>
      <c r="D8" s="14">
        <v>10000</v>
      </c>
      <c r="E8" s="7">
        <v>9961.98</v>
      </c>
      <c r="F8" s="7">
        <v>0.70656043294903703</v>
      </c>
    </row>
    <row r="9" spans="1:6" x14ac:dyDescent="0.2">
      <c r="A9" s="45" t="s">
        <v>1135</v>
      </c>
      <c r="B9" s="45" t="s">
        <v>1773</v>
      </c>
      <c r="C9" s="45" t="s">
        <v>889</v>
      </c>
      <c r="D9" s="14">
        <v>2500</v>
      </c>
      <c r="E9" s="7">
        <v>2496.5250000000001</v>
      </c>
      <c r="F9" s="7">
        <v>0.17706779022524599</v>
      </c>
    </row>
    <row r="10" spans="1:6" x14ac:dyDescent="0.2">
      <c r="A10" s="26" t="s">
        <v>44</v>
      </c>
      <c r="B10" s="45"/>
      <c r="C10" s="45"/>
      <c r="D10" s="14"/>
      <c r="E10" s="6">
        <f>SUM(E7:E9)</f>
        <v>32430.705000000002</v>
      </c>
      <c r="F10" s="6">
        <f>SUM(F7:F9)</f>
        <v>2.3001705449762531</v>
      </c>
    </row>
    <row r="11" spans="1:6" x14ac:dyDescent="0.2">
      <c r="A11" s="45"/>
      <c r="B11" s="45"/>
      <c r="C11" s="45"/>
      <c r="D11" s="14"/>
      <c r="E11" s="7"/>
      <c r="F11" s="7"/>
    </row>
    <row r="12" spans="1:6" x14ac:dyDescent="0.2">
      <c r="A12" s="26" t="s">
        <v>890</v>
      </c>
      <c r="B12" s="45"/>
      <c r="C12" s="45"/>
      <c r="D12" s="14"/>
      <c r="E12" s="7"/>
      <c r="F12" s="7"/>
    </row>
    <row r="13" spans="1:6" x14ac:dyDescent="0.2">
      <c r="A13" s="45" t="s">
        <v>1136</v>
      </c>
      <c r="B13" s="45" t="s">
        <v>1774</v>
      </c>
      <c r="C13" s="45" t="s">
        <v>889</v>
      </c>
      <c r="D13" s="14">
        <v>10000</v>
      </c>
      <c r="E13" s="7">
        <v>49906.55</v>
      </c>
      <c r="F13" s="7">
        <v>3.5396571339224501</v>
      </c>
    </row>
    <row r="14" spans="1:6" x14ac:dyDescent="0.2">
      <c r="A14" s="45" t="s">
        <v>1104</v>
      </c>
      <c r="B14" s="45" t="s">
        <v>1752</v>
      </c>
      <c r="C14" s="45" t="s">
        <v>1092</v>
      </c>
      <c r="D14" s="14">
        <v>9500</v>
      </c>
      <c r="E14" s="7">
        <v>47054.355000000003</v>
      </c>
      <c r="F14" s="7">
        <v>3.3373631989762802</v>
      </c>
    </row>
    <row r="15" spans="1:6" x14ac:dyDescent="0.2">
      <c r="A15" s="45" t="s">
        <v>1137</v>
      </c>
      <c r="B15" s="45" t="s">
        <v>1775</v>
      </c>
      <c r="C15" s="45" t="s">
        <v>889</v>
      </c>
      <c r="D15" s="14">
        <v>9000</v>
      </c>
      <c r="E15" s="7">
        <v>44904.285000000003</v>
      </c>
      <c r="F15" s="7">
        <v>3.1848679731204999</v>
      </c>
    </row>
    <row r="16" spans="1:6" x14ac:dyDescent="0.2">
      <c r="A16" s="45" t="s">
        <v>1117</v>
      </c>
      <c r="B16" s="45" t="s">
        <v>1765</v>
      </c>
      <c r="C16" s="45" t="s">
        <v>1092</v>
      </c>
      <c r="D16" s="14">
        <v>7400</v>
      </c>
      <c r="E16" s="7">
        <v>36946.794000000002</v>
      </c>
      <c r="F16" s="7">
        <v>2.6204773312854401</v>
      </c>
    </row>
    <row r="17" spans="1:6" x14ac:dyDescent="0.2">
      <c r="A17" s="45" t="s">
        <v>1138</v>
      </c>
      <c r="B17" s="45" t="s">
        <v>1776</v>
      </c>
      <c r="C17" s="45" t="s">
        <v>894</v>
      </c>
      <c r="D17" s="14">
        <v>6000</v>
      </c>
      <c r="E17" s="7">
        <v>29991.21</v>
      </c>
      <c r="F17" s="7">
        <v>2.1271476475826598</v>
      </c>
    </row>
    <row r="18" spans="1:6" x14ac:dyDescent="0.2">
      <c r="A18" s="45" t="s">
        <v>1139</v>
      </c>
      <c r="B18" s="45" t="s">
        <v>1777</v>
      </c>
      <c r="C18" s="45" t="s">
        <v>1092</v>
      </c>
      <c r="D18" s="14">
        <v>6000</v>
      </c>
      <c r="E18" s="7">
        <v>29918.85</v>
      </c>
      <c r="F18" s="7">
        <v>2.1220154637268198</v>
      </c>
    </row>
    <row r="19" spans="1:6" x14ac:dyDescent="0.2">
      <c r="A19" s="45" t="s">
        <v>1091</v>
      </c>
      <c r="B19" s="45" t="s">
        <v>1740</v>
      </c>
      <c r="C19" s="45" t="s">
        <v>1092</v>
      </c>
      <c r="D19" s="14">
        <v>6000</v>
      </c>
      <c r="E19" s="7">
        <v>29737.35</v>
      </c>
      <c r="F19" s="7">
        <v>2.1091424486655299</v>
      </c>
    </row>
    <row r="20" spans="1:6" x14ac:dyDescent="0.2">
      <c r="A20" s="45" t="s">
        <v>1140</v>
      </c>
      <c r="B20" s="45" t="s">
        <v>1778</v>
      </c>
      <c r="C20" s="45" t="s">
        <v>889</v>
      </c>
      <c r="D20" s="14">
        <v>6000</v>
      </c>
      <c r="E20" s="7">
        <v>29694.54</v>
      </c>
      <c r="F20" s="7">
        <v>2.1061061193279298</v>
      </c>
    </row>
    <row r="21" spans="1:6" x14ac:dyDescent="0.2">
      <c r="A21" s="45" t="s">
        <v>1141</v>
      </c>
      <c r="B21" s="45" t="s">
        <v>1779</v>
      </c>
      <c r="C21" s="45" t="s">
        <v>894</v>
      </c>
      <c r="D21" s="14">
        <v>6000</v>
      </c>
      <c r="E21" s="7">
        <v>29636.19</v>
      </c>
      <c r="F21" s="7">
        <v>2.1019676045685598</v>
      </c>
    </row>
    <row r="22" spans="1:6" x14ac:dyDescent="0.2">
      <c r="A22" s="45" t="s">
        <v>1142</v>
      </c>
      <c r="B22" s="45" t="s">
        <v>1780</v>
      </c>
      <c r="C22" s="45" t="s">
        <v>894</v>
      </c>
      <c r="D22" s="14">
        <v>5500</v>
      </c>
      <c r="E22" s="7">
        <v>27475.91</v>
      </c>
      <c r="F22" s="7">
        <v>1.94874822728702</v>
      </c>
    </row>
    <row r="23" spans="1:6" x14ac:dyDescent="0.2">
      <c r="A23" s="45" t="s">
        <v>1143</v>
      </c>
      <c r="B23" s="45" t="s">
        <v>1781</v>
      </c>
      <c r="C23" s="45" t="s">
        <v>889</v>
      </c>
      <c r="D23" s="14">
        <v>5000</v>
      </c>
      <c r="E23" s="7">
        <v>24976.9</v>
      </c>
      <c r="F23" s="7">
        <v>1.7715041866902801</v>
      </c>
    </row>
    <row r="24" spans="1:6" x14ac:dyDescent="0.2">
      <c r="A24" s="45" t="s">
        <v>1144</v>
      </c>
      <c r="B24" s="45" t="s">
        <v>1782</v>
      </c>
      <c r="C24" s="45" t="s">
        <v>894</v>
      </c>
      <c r="D24" s="14">
        <v>5000</v>
      </c>
      <c r="E24" s="7">
        <v>24944.55</v>
      </c>
      <c r="F24" s="7">
        <v>1.76920974020415</v>
      </c>
    </row>
    <row r="25" spans="1:6" x14ac:dyDescent="0.2">
      <c r="A25" s="45" t="s">
        <v>1145</v>
      </c>
      <c r="B25" s="45" t="s">
        <v>1783</v>
      </c>
      <c r="C25" s="45" t="s">
        <v>1092</v>
      </c>
      <c r="D25" s="14">
        <v>5000</v>
      </c>
      <c r="E25" s="7">
        <v>24939.200000000001</v>
      </c>
      <c r="F25" s="7">
        <v>1.76883028769408</v>
      </c>
    </row>
    <row r="26" spans="1:6" x14ac:dyDescent="0.2">
      <c r="A26" s="45" t="s">
        <v>1146</v>
      </c>
      <c r="B26" s="45" t="s">
        <v>1784</v>
      </c>
      <c r="C26" s="45" t="s">
        <v>894</v>
      </c>
      <c r="D26" s="14">
        <v>5000</v>
      </c>
      <c r="E26" s="7">
        <v>24817.65</v>
      </c>
      <c r="F26" s="7">
        <v>1.7602092685166699</v>
      </c>
    </row>
    <row r="27" spans="1:6" x14ac:dyDescent="0.2">
      <c r="A27" s="45" t="s">
        <v>1147</v>
      </c>
      <c r="B27" s="45" t="s">
        <v>1785</v>
      </c>
      <c r="C27" s="45" t="s">
        <v>1092</v>
      </c>
      <c r="D27" s="14">
        <v>5000</v>
      </c>
      <c r="E27" s="7">
        <v>24805.825000000001</v>
      </c>
      <c r="F27" s="7">
        <v>1.7593705720808599</v>
      </c>
    </row>
    <row r="28" spans="1:6" x14ac:dyDescent="0.2">
      <c r="A28" s="45" t="s">
        <v>1148</v>
      </c>
      <c r="B28" s="45" t="s">
        <v>1786</v>
      </c>
      <c r="C28" s="45" t="s">
        <v>1092</v>
      </c>
      <c r="D28" s="14">
        <v>5000</v>
      </c>
      <c r="E28" s="7">
        <v>24769.974999999999</v>
      </c>
      <c r="F28" s="7">
        <v>1.75682788563487</v>
      </c>
    </row>
    <row r="29" spans="1:6" x14ac:dyDescent="0.2">
      <c r="A29" s="45" t="s">
        <v>1149</v>
      </c>
      <c r="B29" s="45" t="s">
        <v>1787</v>
      </c>
      <c r="C29" s="45" t="s">
        <v>889</v>
      </c>
      <c r="D29" s="14">
        <v>4000</v>
      </c>
      <c r="E29" s="7">
        <v>19988.28</v>
      </c>
      <c r="F29" s="7">
        <v>1.4176828071032599</v>
      </c>
    </row>
    <row r="30" spans="1:6" x14ac:dyDescent="0.2">
      <c r="A30" s="45" t="s">
        <v>1150</v>
      </c>
      <c r="B30" s="45" t="s">
        <v>1788</v>
      </c>
      <c r="C30" s="45" t="s">
        <v>1092</v>
      </c>
      <c r="D30" s="14">
        <v>4000</v>
      </c>
      <c r="E30" s="7">
        <v>19929.32</v>
      </c>
      <c r="F30" s="7">
        <v>1.4135010276651701</v>
      </c>
    </row>
    <row r="31" spans="1:6" x14ac:dyDescent="0.2">
      <c r="A31" s="45" t="s">
        <v>1151</v>
      </c>
      <c r="B31" s="45" t="s">
        <v>1789</v>
      </c>
      <c r="C31" s="45" t="s">
        <v>894</v>
      </c>
      <c r="D31" s="14">
        <v>4000</v>
      </c>
      <c r="E31" s="7">
        <v>19923.740000000002</v>
      </c>
      <c r="F31" s="7">
        <v>1.4131052622434499</v>
      </c>
    </row>
    <row r="32" spans="1:6" x14ac:dyDescent="0.2">
      <c r="A32" s="45" t="s">
        <v>1152</v>
      </c>
      <c r="B32" s="45" t="s">
        <v>1790</v>
      </c>
      <c r="C32" s="45" t="s">
        <v>894</v>
      </c>
      <c r="D32" s="14">
        <v>4000</v>
      </c>
      <c r="E32" s="7">
        <v>19916.54</v>
      </c>
      <c r="F32" s="7">
        <v>1.4125945971831699</v>
      </c>
    </row>
    <row r="33" spans="1:6" x14ac:dyDescent="0.2">
      <c r="A33" s="45" t="s">
        <v>1153</v>
      </c>
      <c r="B33" s="45" t="s">
        <v>1791</v>
      </c>
      <c r="C33" s="45" t="s">
        <v>1092</v>
      </c>
      <c r="D33" s="14">
        <v>4000</v>
      </c>
      <c r="E33" s="7">
        <v>19911.740000000002</v>
      </c>
      <c r="F33" s="7">
        <v>1.41225415380965</v>
      </c>
    </row>
    <row r="34" spans="1:6" x14ac:dyDescent="0.2">
      <c r="A34" s="45" t="s">
        <v>1154</v>
      </c>
      <c r="B34" s="45" t="s">
        <v>1792</v>
      </c>
      <c r="C34" s="45" t="s">
        <v>894</v>
      </c>
      <c r="D34" s="14">
        <v>4000</v>
      </c>
      <c r="E34" s="7">
        <v>19888.46</v>
      </c>
      <c r="F34" s="7">
        <v>1.4106030034480701</v>
      </c>
    </row>
    <row r="35" spans="1:6" x14ac:dyDescent="0.2">
      <c r="A35" s="45" t="s">
        <v>1155</v>
      </c>
      <c r="B35" s="45" t="s">
        <v>1793</v>
      </c>
      <c r="C35" s="45" t="s">
        <v>1092</v>
      </c>
      <c r="D35" s="14">
        <v>4000</v>
      </c>
      <c r="E35" s="7">
        <v>19870.16</v>
      </c>
      <c r="F35" s="7">
        <v>1.40930506308652</v>
      </c>
    </row>
    <row r="36" spans="1:6" x14ac:dyDescent="0.2">
      <c r="A36" s="45" t="s">
        <v>1156</v>
      </c>
      <c r="B36" s="45" t="s">
        <v>1794</v>
      </c>
      <c r="C36" s="45" t="s">
        <v>894</v>
      </c>
      <c r="D36" s="14">
        <v>4000</v>
      </c>
      <c r="E36" s="7">
        <v>19751</v>
      </c>
      <c r="F36" s="7">
        <v>1.40085355633884</v>
      </c>
    </row>
    <row r="37" spans="1:6" x14ac:dyDescent="0.2">
      <c r="A37" s="45" t="s">
        <v>899</v>
      </c>
      <c r="B37" s="45" t="s">
        <v>1599</v>
      </c>
      <c r="C37" s="45" t="s">
        <v>889</v>
      </c>
      <c r="D37" s="14">
        <v>3400</v>
      </c>
      <c r="E37" s="7">
        <v>16821.992999999999</v>
      </c>
      <c r="F37" s="7">
        <v>1.1931116763078899</v>
      </c>
    </row>
    <row r="38" spans="1:6" x14ac:dyDescent="0.2">
      <c r="A38" s="45" t="s">
        <v>1157</v>
      </c>
      <c r="B38" s="45" t="s">
        <v>1795</v>
      </c>
      <c r="C38" s="45" t="s">
        <v>894</v>
      </c>
      <c r="D38" s="14">
        <v>3000</v>
      </c>
      <c r="E38" s="7">
        <v>14924.985000000001</v>
      </c>
      <c r="F38" s="7">
        <v>1.0585650506583899</v>
      </c>
    </row>
    <row r="39" spans="1:6" x14ac:dyDescent="0.2">
      <c r="A39" s="45" t="s">
        <v>1158</v>
      </c>
      <c r="B39" s="45" t="s">
        <v>1796</v>
      </c>
      <c r="C39" s="45" t="s">
        <v>1092</v>
      </c>
      <c r="D39" s="14">
        <v>3000</v>
      </c>
      <c r="E39" s="7">
        <v>14923.92</v>
      </c>
      <c r="F39" s="7">
        <v>1.0584895147848901</v>
      </c>
    </row>
    <row r="40" spans="1:6" x14ac:dyDescent="0.2">
      <c r="A40" s="45" t="s">
        <v>1159</v>
      </c>
      <c r="B40" s="45" t="s">
        <v>1797</v>
      </c>
      <c r="C40" s="45" t="s">
        <v>1092</v>
      </c>
      <c r="D40" s="14">
        <v>3000</v>
      </c>
      <c r="E40" s="7">
        <v>14904.63</v>
      </c>
      <c r="F40" s="7">
        <v>1.05712135797755</v>
      </c>
    </row>
    <row r="41" spans="1:6" x14ac:dyDescent="0.2">
      <c r="A41" s="45" t="s">
        <v>1160</v>
      </c>
      <c r="B41" s="45" t="s">
        <v>1798</v>
      </c>
      <c r="C41" s="45" t="s">
        <v>1092</v>
      </c>
      <c r="D41" s="14">
        <v>3000</v>
      </c>
      <c r="E41" s="7">
        <v>14888.4</v>
      </c>
      <c r="F41" s="7">
        <v>1.0559702338208301</v>
      </c>
    </row>
    <row r="42" spans="1:6" x14ac:dyDescent="0.2">
      <c r="A42" s="45" t="s">
        <v>1161</v>
      </c>
      <c r="B42" s="45" t="s">
        <v>1799</v>
      </c>
      <c r="C42" s="45" t="s">
        <v>894</v>
      </c>
      <c r="D42" s="14">
        <v>3000</v>
      </c>
      <c r="E42" s="7">
        <v>14810.34</v>
      </c>
      <c r="F42" s="7">
        <v>1.05043377345894</v>
      </c>
    </row>
    <row r="43" spans="1:6" x14ac:dyDescent="0.2">
      <c r="A43" s="45" t="s">
        <v>1162</v>
      </c>
      <c r="B43" s="45" t="s">
        <v>1800</v>
      </c>
      <c r="C43" s="45" t="s">
        <v>1092</v>
      </c>
      <c r="D43" s="14">
        <v>3000</v>
      </c>
      <c r="E43" s="7">
        <v>14797.95</v>
      </c>
      <c r="F43" s="7">
        <v>1.04955500400103</v>
      </c>
    </row>
    <row r="44" spans="1:6" x14ac:dyDescent="0.2">
      <c r="A44" s="45" t="s">
        <v>1163</v>
      </c>
      <c r="B44" s="45" t="s">
        <v>1801</v>
      </c>
      <c r="C44" s="45" t="s">
        <v>889</v>
      </c>
      <c r="D44" s="14">
        <v>3000</v>
      </c>
      <c r="E44" s="7">
        <v>14634.165000000001</v>
      </c>
      <c r="F44" s="7">
        <v>1.0379384377651499</v>
      </c>
    </row>
    <row r="45" spans="1:6" x14ac:dyDescent="0.2">
      <c r="A45" s="45" t="s">
        <v>1164</v>
      </c>
      <c r="B45" s="45" t="s">
        <v>1802</v>
      </c>
      <c r="C45" s="45" t="s">
        <v>894</v>
      </c>
      <c r="D45" s="14">
        <v>2200</v>
      </c>
      <c r="E45" s="7">
        <v>10884.643</v>
      </c>
      <c r="F45" s="7">
        <v>0.77200095468729202</v>
      </c>
    </row>
    <row r="46" spans="1:6" x14ac:dyDescent="0.2">
      <c r="A46" s="45" t="s">
        <v>1165</v>
      </c>
      <c r="B46" s="45" t="s">
        <v>1803</v>
      </c>
      <c r="C46" s="45" t="s">
        <v>1092</v>
      </c>
      <c r="D46" s="14">
        <v>2000</v>
      </c>
      <c r="E46" s="7">
        <v>9994.7199999999993</v>
      </c>
      <c r="F46" s="7">
        <v>0.70888254045926602</v>
      </c>
    </row>
    <row r="47" spans="1:6" x14ac:dyDescent="0.2">
      <c r="A47" s="45" t="s">
        <v>1166</v>
      </c>
      <c r="B47" s="45" t="s">
        <v>1804</v>
      </c>
      <c r="C47" s="45" t="s">
        <v>1092</v>
      </c>
      <c r="D47" s="14">
        <v>2000</v>
      </c>
      <c r="E47" s="7">
        <v>9991.18</v>
      </c>
      <c r="F47" s="7">
        <v>0.70863146347129402</v>
      </c>
    </row>
    <row r="48" spans="1:6" x14ac:dyDescent="0.2">
      <c r="A48" s="45" t="s">
        <v>1167</v>
      </c>
      <c r="B48" s="45" t="s">
        <v>1805</v>
      </c>
      <c r="C48" s="45" t="s">
        <v>894</v>
      </c>
      <c r="D48" s="14">
        <v>2000</v>
      </c>
      <c r="E48" s="7">
        <v>9975.01</v>
      </c>
      <c r="F48" s="7">
        <v>0.70748459485674298</v>
      </c>
    </row>
    <row r="49" spans="1:6" x14ac:dyDescent="0.2">
      <c r="A49" s="45" t="s">
        <v>1168</v>
      </c>
      <c r="B49" s="45" t="s">
        <v>1806</v>
      </c>
      <c r="C49" s="45" t="s">
        <v>894</v>
      </c>
      <c r="D49" s="14">
        <v>2000</v>
      </c>
      <c r="E49" s="7">
        <v>9972.16</v>
      </c>
      <c r="F49" s="7">
        <v>0.70728245660371403</v>
      </c>
    </row>
    <row r="50" spans="1:6" x14ac:dyDescent="0.2">
      <c r="A50" s="45" t="s">
        <v>1169</v>
      </c>
      <c r="B50" s="45" t="s">
        <v>1807</v>
      </c>
      <c r="C50" s="45" t="s">
        <v>1092</v>
      </c>
      <c r="D50" s="14">
        <v>2000</v>
      </c>
      <c r="E50" s="7">
        <v>9858.2199999999993</v>
      </c>
      <c r="F50" s="7">
        <v>0.69920118202474402</v>
      </c>
    </row>
    <row r="51" spans="1:6" x14ac:dyDescent="0.2">
      <c r="A51" s="45" t="s">
        <v>1170</v>
      </c>
      <c r="B51" s="45" t="s">
        <v>1808</v>
      </c>
      <c r="C51" s="45" t="s">
        <v>894</v>
      </c>
      <c r="D51" s="14">
        <v>2000</v>
      </c>
      <c r="E51" s="7">
        <v>9842.76</v>
      </c>
      <c r="F51" s="7">
        <v>0.69810467065919302</v>
      </c>
    </row>
    <row r="52" spans="1:6" x14ac:dyDescent="0.2">
      <c r="A52" s="45" t="s">
        <v>1171</v>
      </c>
      <c r="B52" s="45" t="s">
        <v>1809</v>
      </c>
      <c r="C52" s="45" t="s">
        <v>894</v>
      </c>
      <c r="D52" s="14">
        <v>1500</v>
      </c>
      <c r="E52" s="7">
        <v>7477.2825000000003</v>
      </c>
      <c r="F52" s="7">
        <v>0.53033151647385901</v>
      </c>
    </row>
    <row r="53" spans="1:6" x14ac:dyDescent="0.2">
      <c r="A53" s="45" t="s">
        <v>1098</v>
      </c>
      <c r="B53" s="45" t="s">
        <v>1746</v>
      </c>
      <c r="C53" s="45" t="s">
        <v>1092</v>
      </c>
      <c r="D53" s="14">
        <v>1500</v>
      </c>
      <c r="E53" s="7">
        <v>7456.95</v>
      </c>
      <c r="F53" s="7">
        <v>0.52888941962133296</v>
      </c>
    </row>
    <row r="54" spans="1:6" x14ac:dyDescent="0.2">
      <c r="A54" s="45" t="s">
        <v>1172</v>
      </c>
      <c r="B54" s="45" t="s">
        <v>1810</v>
      </c>
      <c r="C54" s="45" t="s">
        <v>894</v>
      </c>
      <c r="D54" s="14">
        <v>1500</v>
      </c>
      <c r="E54" s="7">
        <v>7382.8575000000001</v>
      </c>
      <c r="F54" s="7">
        <v>0.52363435698536298</v>
      </c>
    </row>
    <row r="55" spans="1:6" x14ac:dyDescent="0.2">
      <c r="A55" s="45" t="s">
        <v>1173</v>
      </c>
      <c r="B55" s="45" t="s">
        <v>1811</v>
      </c>
      <c r="C55" s="45" t="s">
        <v>889</v>
      </c>
      <c r="D55" s="14">
        <v>1000</v>
      </c>
      <c r="E55" s="7">
        <v>4996.3100000000004</v>
      </c>
      <c r="F55" s="7">
        <v>0.354366798241675</v>
      </c>
    </row>
    <row r="56" spans="1:6" x14ac:dyDescent="0.2">
      <c r="A56" s="45" t="s">
        <v>1174</v>
      </c>
      <c r="B56" s="45" t="s">
        <v>1812</v>
      </c>
      <c r="C56" s="45" t="s">
        <v>894</v>
      </c>
      <c r="D56" s="14">
        <v>1000</v>
      </c>
      <c r="E56" s="7">
        <v>4995.585</v>
      </c>
      <c r="F56" s="7">
        <v>0.35431537710713301</v>
      </c>
    </row>
    <row r="57" spans="1:6" x14ac:dyDescent="0.2">
      <c r="A57" s="45" t="s">
        <v>1175</v>
      </c>
      <c r="B57" s="45" t="s">
        <v>1813</v>
      </c>
      <c r="C57" s="45" t="s">
        <v>889</v>
      </c>
      <c r="D57" s="14">
        <v>1000</v>
      </c>
      <c r="E57" s="7">
        <v>4989.2150000000001</v>
      </c>
      <c r="F57" s="7">
        <v>0.353863580380188</v>
      </c>
    </row>
    <row r="58" spans="1:6" x14ac:dyDescent="0.2">
      <c r="A58" s="45" t="s">
        <v>1176</v>
      </c>
      <c r="B58" s="45" t="s">
        <v>1814</v>
      </c>
      <c r="C58" s="45" t="s">
        <v>894</v>
      </c>
      <c r="D58" s="14">
        <v>1000</v>
      </c>
      <c r="E58" s="7">
        <v>4968.74</v>
      </c>
      <c r="F58" s="7">
        <v>0.35241137661500999</v>
      </c>
    </row>
    <row r="59" spans="1:6" x14ac:dyDescent="0.2">
      <c r="A59" s="45" t="s">
        <v>1177</v>
      </c>
      <c r="B59" s="45" t="s">
        <v>1815</v>
      </c>
      <c r="C59" s="45" t="s">
        <v>889</v>
      </c>
      <c r="D59" s="14">
        <v>1000</v>
      </c>
      <c r="E59" s="7">
        <v>4953.91</v>
      </c>
      <c r="F59" s="7">
        <v>0.35135954844223399</v>
      </c>
    </row>
    <row r="60" spans="1:6" x14ac:dyDescent="0.2">
      <c r="A60" s="45" t="s">
        <v>1112</v>
      </c>
      <c r="B60" s="45" t="s">
        <v>1760</v>
      </c>
      <c r="C60" s="45" t="s">
        <v>894</v>
      </c>
      <c r="D60" s="14">
        <v>1000</v>
      </c>
      <c r="E60" s="7">
        <v>4939.96</v>
      </c>
      <c r="F60" s="7">
        <v>0.350370134887936</v>
      </c>
    </row>
    <row r="61" spans="1:6" x14ac:dyDescent="0.2">
      <c r="A61" s="45" t="s">
        <v>1178</v>
      </c>
      <c r="B61" s="45" t="s">
        <v>1816</v>
      </c>
      <c r="C61" s="45" t="s">
        <v>889</v>
      </c>
      <c r="D61" s="14">
        <v>800</v>
      </c>
      <c r="E61" s="7">
        <v>3992.5320000000002</v>
      </c>
      <c r="F61" s="7">
        <v>0.28317313811941902</v>
      </c>
    </row>
    <row r="62" spans="1:6" x14ac:dyDescent="0.2">
      <c r="A62" s="45" t="s">
        <v>1179</v>
      </c>
      <c r="B62" s="45" t="s">
        <v>1817</v>
      </c>
      <c r="C62" s="45" t="s">
        <v>894</v>
      </c>
      <c r="D62" s="14">
        <v>700</v>
      </c>
      <c r="E62" s="7">
        <v>3492.6534999999999</v>
      </c>
      <c r="F62" s="7">
        <v>0.24771890418380399</v>
      </c>
    </row>
    <row r="63" spans="1:6" x14ac:dyDescent="0.2">
      <c r="A63" s="45" t="s">
        <v>1120</v>
      </c>
      <c r="B63" s="45" t="s">
        <v>1768</v>
      </c>
      <c r="C63" s="45" t="s">
        <v>894</v>
      </c>
      <c r="D63" s="14">
        <v>520</v>
      </c>
      <c r="E63" s="7">
        <v>2576.5636</v>
      </c>
      <c r="F63" s="7">
        <v>0.18274458418273601</v>
      </c>
    </row>
    <row r="64" spans="1:6" x14ac:dyDescent="0.2">
      <c r="A64" s="45" t="s">
        <v>1180</v>
      </c>
      <c r="B64" s="45" t="s">
        <v>1818</v>
      </c>
      <c r="C64" s="45" t="s">
        <v>894</v>
      </c>
      <c r="D64" s="14">
        <v>500</v>
      </c>
      <c r="E64" s="7">
        <v>2484.2249999999999</v>
      </c>
      <c r="F64" s="7">
        <v>0.176195404080597</v>
      </c>
    </row>
    <row r="65" spans="1:6" x14ac:dyDescent="0.2">
      <c r="A65" s="26" t="s">
        <v>44</v>
      </c>
      <c r="B65" s="45"/>
      <c r="C65" s="45"/>
      <c r="D65" s="14"/>
      <c r="E65" s="6">
        <f>SUM(E13:E64)</f>
        <v>919631.2341</v>
      </c>
      <c r="F65" s="6">
        <f>SUM(F13:F64)</f>
        <v>65.225491611020431</v>
      </c>
    </row>
    <row r="66" spans="1:6" x14ac:dyDescent="0.2">
      <c r="A66" s="45"/>
      <c r="B66" s="45"/>
      <c r="C66" s="45"/>
      <c r="D66" s="14"/>
      <c r="E66" s="7"/>
      <c r="F66" s="7"/>
    </row>
    <row r="67" spans="1:6" x14ac:dyDescent="0.2">
      <c r="A67" s="26" t="s">
        <v>963</v>
      </c>
      <c r="B67" s="45"/>
      <c r="C67" s="45"/>
      <c r="D67" s="14"/>
      <c r="E67" s="7"/>
      <c r="F67" s="7"/>
    </row>
    <row r="68" spans="1:6" x14ac:dyDescent="0.2">
      <c r="A68" s="45" t="s">
        <v>1181</v>
      </c>
      <c r="B68" s="45" t="s">
        <v>1976</v>
      </c>
      <c r="C68" s="45" t="s">
        <v>965</v>
      </c>
      <c r="D68" s="14">
        <v>30000000</v>
      </c>
      <c r="E68" s="7">
        <v>29931.69</v>
      </c>
      <c r="F68" s="7">
        <v>2.1229261497509899</v>
      </c>
    </row>
    <row r="69" spans="1:6" x14ac:dyDescent="0.2">
      <c r="A69" s="45" t="s">
        <v>1182</v>
      </c>
      <c r="B69" s="45" t="s">
        <v>1977</v>
      </c>
      <c r="C69" s="45" t="s">
        <v>965</v>
      </c>
      <c r="D69" s="14">
        <v>16500000</v>
      </c>
      <c r="E69" s="7">
        <v>16514.701499999999</v>
      </c>
      <c r="F69" s="7">
        <v>1.1713168107006999</v>
      </c>
    </row>
    <row r="70" spans="1:6" x14ac:dyDescent="0.2">
      <c r="A70" s="45" t="s">
        <v>1183</v>
      </c>
      <c r="B70" s="45" t="s">
        <v>1978</v>
      </c>
      <c r="C70" s="45" t="s">
        <v>965</v>
      </c>
      <c r="D70" s="14">
        <v>10000000</v>
      </c>
      <c r="E70" s="7">
        <v>10029.129999999999</v>
      </c>
      <c r="F70" s="7">
        <v>0.71132309389319903</v>
      </c>
    </row>
    <row r="71" spans="1:6" x14ac:dyDescent="0.2">
      <c r="A71" s="45" t="s">
        <v>1184</v>
      </c>
      <c r="B71" s="45" t="s">
        <v>1979</v>
      </c>
      <c r="C71" s="45" t="s">
        <v>965</v>
      </c>
      <c r="D71" s="14">
        <v>9500000</v>
      </c>
      <c r="E71" s="7">
        <v>9527.607</v>
      </c>
      <c r="F71" s="7">
        <v>0.67575222263930201</v>
      </c>
    </row>
    <row r="72" spans="1:6" x14ac:dyDescent="0.2">
      <c r="A72" s="45" t="s">
        <v>1185</v>
      </c>
      <c r="B72" s="45" t="s">
        <v>1980</v>
      </c>
      <c r="C72" s="45" t="s">
        <v>965</v>
      </c>
      <c r="D72" s="14">
        <v>9000000</v>
      </c>
      <c r="E72" s="7">
        <v>9026.0010000000002</v>
      </c>
      <c r="F72" s="7">
        <v>0.64017546455207097</v>
      </c>
    </row>
    <row r="73" spans="1:6" x14ac:dyDescent="0.2">
      <c r="A73" s="45" t="s">
        <v>1186</v>
      </c>
      <c r="B73" s="45" t="s">
        <v>1981</v>
      </c>
      <c r="C73" s="45" t="s">
        <v>965</v>
      </c>
      <c r="D73" s="14">
        <v>2500000</v>
      </c>
      <c r="E73" s="7">
        <v>2507.2275</v>
      </c>
      <c r="F73" s="7">
        <v>0.17782687255964499</v>
      </c>
    </row>
    <row r="74" spans="1:6" x14ac:dyDescent="0.2">
      <c r="A74" s="26" t="s">
        <v>44</v>
      </c>
      <c r="B74" s="45"/>
      <c r="C74" s="45"/>
      <c r="D74" s="45"/>
      <c r="E74" s="6">
        <f>SUM(E68:E73)</f>
        <v>77536.356999999989</v>
      </c>
      <c r="F74" s="6">
        <f>SUM(F68:F73)</f>
        <v>5.4993206140959057</v>
      </c>
    </row>
    <row r="75" spans="1:6" x14ac:dyDescent="0.2">
      <c r="A75" s="45"/>
      <c r="B75" s="45"/>
      <c r="C75" s="45"/>
      <c r="D75" s="45"/>
      <c r="E75" s="7"/>
      <c r="F75" s="7"/>
    </row>
    <row r="76" spans="1:6" x14ac:dyDescent="0.2">
      <c r="A76" s="26" t="s">
        <v>44</v>
      </c>
      <c r="B76" s="45"/>
      <c r="C76" s="45"/>
      <c r="D76" s="45"/>
      <c r="E76" s="6">
        <v>1029598.2961</v>
      </c>
      <c r="F76" s="6">
        <v>73.024982770092606</v>
      </c>
    </row>
    <row r="77" spans="1:6" x14ac:dyDescent="0.2">
      <c r="A77" s="45"/>
      <c r="B77" s="45"/>
      <c r="C77" s="45"/>
      <c r="D77" s="45"/>
      <c r="E77" s="7"/>
      <c r="F77" s="7"/>
    </row>
    <row r="78" spans="1:6" x14ac:dyDescent="0.2">
      <c r="A78" s="26" t="s">
        <v>103</v>
      </c>
      <c r="B78" s="45"/>
      <c r="C78" s="45"/>
      <c r="D78" s="45"/>
      <c r="E78" s="6">
        <v>380327.80616769998</v>
      </c>
      <c r="F78" s="6">
        <v>26.98</v>
      </c>
    </row>
    <row r="79" spans="1:6" x14ac:dyDescent="0.2">
      <c r="A79" s="45"/>
      <c r="B79" s="45"/>
      <c r="C79" s="45"/>
      <c r="D79" s="45"/>
      <c r="E79" s="7"/>
      <c r="F79" s="7"/>
    </row>
    <row r="80" spans="1:6" x14ac:dyDescent="0.2">
      <c r="A80" s="46" t="s">
        <v>104</v>
      </c>
      <c r="B80" s="44"/>
      <c r="C80" s="44"/>
      <c r="D80" s="44"/>
      <c r="E80" s="8">
        <v>1409926.1061676999</v>
      </c>
      <c r="F80" s="8">
        <f xml:space="preserve"> ROUND(SUM(F76:F79),2)</f>
        <v>100</v>
      </c>
    </row>
    <row r="81" spans="1:4" x14ac:dyDescent="0.2">
      <c r="A81" s="4" t="s">
        <v>1983</v>
      </c>
    </row>
    <row r="83" spans="1:4" x14ac:dyDescent="0.2">
      <c r="A83" s="4" t="s">
        <v>105</v>
      </c>
    </row>
    <row r="84" spans="1:4" x14ac:dyDescent="0.2">
      <c r="A84" s="4" t="s">
        <v>769</v>
      </c>
    </row>
    <row r="85" spans="1:4" x14ac:dyDescent="0.2">
      <c r="A85" s="4" t="s">
        <v>107</v>
      </c>
    </row>
    <row r="86" spans="1:4" x14ac:dyDescent="0.2">
      <c r="A86" s="2" t="s">
        <v>900</v>
      </c>
      <c r="D86" s="10">
        <v>2822.3573000000001</v>
      </c>
    </row>
    <row r="87" spans="1:4" x14ac:dyDescent="0.2">
      <c r="A87" s="2" t="s">
        <v>911</v>
      </c>
      <c r="D87" s="10">
        <v>1000.7051</v>
      </c>
    </row>
    <row r="88" spans="1:4" x14ac:dyDescent="0.2">
      <c r="A88" s="2" t="s">
        <v>902</v>
      </c>
      <c r="D88" s="10">
        <v>1022.1892</v>
      </c>
    </row>
    <row r="89" spans="1:4" x14ac:dyDescent="0.2">
      <c r="A89" s="2" t="s">
        <v>1187</v>
      </c>
      <c r="D89" s="10">
        <v>2833.1048000000001</v>
      </c>
    </row>
    <row r="90" spans="1:4" x14ac:dyDescent="0.2">
      <c r="A90" s="2" t="s">
        <v>1188</v>
      </c>
      <c r="D90" s="10">
        <v>1001.8422</v>
      </c>
    </row>
    <row r="91" spans="1:4" x14ac:dyDescent="0.2">
      <c r="A91" s="2" t="s">
        <v>1189</v>
      </c>
      <c r="D91" s="10">
        <v>1022.4613000000001</v>
      </c>
    </row>
    <row r="92" spans="1:4" x14ac:dyDescent="0.2">
      <c r="A92" s="2" t="s">
        <v>909</v>
      </c>
      <c r="D92" s="10">
        <v>2867.4450999999999</v>
      </c>
    </row>
    <row r="93" spans="1:4" x14ac:dyDescent="0.2">
      <c r="A93" s="2" t="s">
        <v>913</v>
      </c>
      <c r="D93" s="10">
        <v>1000.6505</v>
      </c>
    </row>
    <row r="94" spans="1:4" x14ac:dyDescent="0.2">
      <c r="A94" s="2" t="s">
        <v>1190</v>
      </c>
      <c r="D94" s="10">
        <v>1055.7487000000001</v>
      </c>
    </row>
    <row r="95" spans="1:4" x14ac:dyDescent="0.2">
      <c r="A95" s="2" t="s">
        <v>1191</v>
      </c>
      <c r="D95" s="10">
        <v>4420.6292000000003</v>
      </c>
    </row>
    <row r="96" spans="1:4" x14ac:dyDescent="0.2">
      <c r="A96" s="2" t="s">
        <v>1192</v>
      </c>
      <c r="D96" s="10">
        <v>1512.2955999999999</v>
      </c>
    </row>
    <row r="97" spans="1:4" x14ac:dyDescent="0.2">
      <c r="A97" s="2" t="s">
        <v>1193</v>
      </c>
      <c r="D97" s="10">
        <v>1245.5041000000001</v>
      </c>
    </row>
    <row r="98" spans="1:4" x14ac:dyDescent="0.2">
      <c r="A98" s="2" t="s">
        <v>1194</v>
      </c>
      <c r="D98" s="10">
        <v>11.973100000000001</v>
      </c>
    </row>
    <row r="99" spans="1:4" x14ac:dyDescent="0.2">
      <c r="A99" s="2" t="s">
        <v>1195</v>
      </c>
      <c r="D99" s="10">
        <v>11.973100000000001</v>
      </c>
    </row>
    <row r="100" spans="1:4" x14ac:dyDescent="0.2">
      <c r="A100" s="2" t="s">
        <v>1196</v>
      </c>
      <c r="D100" s="11" t="s">
        <v>1197</v>
      </c>
    </row>
    <row r="101" spans="1:4" x14ac:dyDescent="0.2">
      <c r="A101" s="2" t="s">
        <v>1198</v>
      </c>
      <c r="D101" s="11" t="s">
        <v>1197</v>
      </c>
    </row>
    <row r="103" spans="1:4" x14ac:dyDescent="0.2">
      <c r="A103" s="4" t="s">
        <v>108</v>
      </c>
    </row>
    <row r="104" spans="1:4" x14ac:dyDescent="0.2">
      <c r="A104" s="2" t="s">
        <v>900</v>
      </c>
      <c r="D104" s="10">
        <v>2911.9423000000002</v>
      </c>
    </row>
    <row r="105" spans="1:4" x14ac:dyDescent="0.2">
      <c r="A105" s="2" t="s">
        <v>911</v>
      </c>
      <c r="D105" s="10">
        <v>1000.7051</v>
      </c>
    </row>
    <row r="106" spans="1:4" x14ac:dyDescent="0.2">
      <c r="A106" s="2" t="s">
        <v>902</v>
      </c>
      <c r="D106" s="10">
        <v>1021.9533</v>
      </c>
    </row>
    <row r="107" spans="1:4" x14ac:dyDescent="0.2">
      <c r="A107" s="2" t="s">
        <v>1187</v>
      </c>
      <c r="D107" s="10">
        <v>2923.9721</v>
      </c>
    </row>
    <row r="108" spans="1:4" x14ac:dyDescent="0.2">
      <c r="A108" s="2" t="s">
        <v>1188</v>
      </c>
      <c r="D108" s="10">
        <v>1001.8422</v>
      </c>
    </row>
    <row r="109" spans="1:4" x14ac:dyDescent="0.2">
      <c r="A109" s="2" t="s">
        <v>1189</v>
      </c>
      <c r="D109" s="10">
        <v>1022.2267000000001</v>
      </c>
    </row>
    <row r="110" spans="1:4" x14ac:dyDescent="0.2">
      <c r="A110" s="2" t="s">
        <v>909</v>
      </c>
      <c r="D110" s="10">
        <v>2952.1550999999999</v>
      </c>
    </row>
    <row r="111" spans="1:4" x14ac:dyDescent="0.2">
      <c r="A111" s="2" t="s">
        <v>913</v>
      </c>
      <c r="D111" s="10">
        <v>1000.6505</v>
      </c>
    </row>
    <row r="112" spans="1:4" x14ac:dyDescent="0.2">
      <c r="A112" s="2" t="s">
        <v>1190</v>
      </c>
      <c r="D112" s="10">
        <v>1055.5226</v>
      </c>
    </row>
    <row r="113" spans="1:4" x14ac:dyDescent="0.2">
      <c r="A113" s="2" t="s">
        <v>1191</v>
      </c>
      <c r="D113" s="10">
        <v>4545.5699000000004</v>
      </c>
    </row>
    <row r="114" spans="1:4" x14ac:dyDescent="0.2">
      <c r="A114" s="2" t="s">
        <v>1192</v>
      </c>
      <c r="D114" s="10">
        <v>1512.2955999999999</v>
      </c>
    </row>
    <row r="115" spans="1:4" x14ac:dyDescent="0.2">
      <c r="A115" s="2" t="s">
        <v>1193</v>
      </c>
      <c r="D115" s="10">
        <v>1245.2183</v>
      </c>
    </row>
    <row r="116" spans="1:4" x14ac:dyDescent="0.2">
      <c r="A116" s="2" t="s">
        <v>1194</v>
      </c>
      <c r="D116" s="10">
        <v>12.3444</v>
      </c>
    </row>
    <row r="117" spans="1:4" x14ac:dyDescent="0.2">
      <c r="A117" s="2" t="s">
        <v>1195</v>
      </c>
      <c r="D117" s="10">
        <v>12.3444</v>
      </c>
    </row>
    <row r="118" spans="1:4" x14ac:dyDescent="0.2">
      <c r="A118" s="2" t="s">
        <v>1196</v>
      </c>
      <c r="D118" s="10">
        <v>10</v>
      </c>
    </row>
    <row r="119" spans="1:4" x14ac:dyDescent="0.2">
      <c r="A119" s="2" t="s">
        <v>1198</v>
      </c>
      <c r="D119" s="10">
        <v>10</v>
      </c>
    </row>
    <row r="121" spans="1:4" x14ac:dyDescent="0.2">
      <c r="A121" s="4" t="s">
        <v>109</v>
      </c>
      <c r="D121" s="30" t="s">
        <v>325</v>
      </c>
    </row>
    <row r="122" spans="1:4" x14ac:dyDescent="0.2">
      <c r="A122" s="90" t="s">
        <v>670</v>
      </c>
      <c r="B122" s="91"/>
      <c r="C122" s="94" t="s">
        <v>671</v>
      </c>
      <c r="D122" s="94"/>
    </row>
    <row r="123" spans="1:4" x14ac:dyDescent="0.2">
      <c r="A123" s="95"/>
      <c r="B123" s="95"/>
      <c r="C123" s="33" t="s">
        <v>672</v>
      </c>
      <c r="D123" s="33" t="s">
        <v>673</v>
      </c>
    </row>
    <row r="124" spans="1:4" x14ac:dyDescent="0.2">
      <c r="A124" s="34" t="s">
        <v>911</v>
      </c>
      <c r="B124" s="35"/>
      <c r="C124" s="52">
        <v>22.527058398999998</v>
      </c>
      <c r="D124" s="52">
        <v>20.860168346999998</v>
      </c>
    </row>
    <row r="125" spans="1:4" x14ac:dyDescent="0.2">
      <c r="A125" s="34" t="s">
        <v>902</v>
      </c>
      <c r="B125" s="35"/>
      <c r="C125" s="52">
        <v>23.168196026000004</v>
      </c>
      <c r="D125" s="52">
        <v>21.453864982000002</v>
      </c>
    </row>
    <row r="126" spans="1:4" x14ac:dyDescent="0.2">
      <c r="A126" s="34" t="s">
        <v>1199</v>
      </c>
      <c r="B126" s="35"/>
      <c r="C126" s="52">
        <v>22.764373973999991</v>
      </c>
      <c r="D126" s="52">
        <v>21.079923749999992</v>
      </c>
    </row>
    <row r="127" spans="1:4" x14ac:dyDescent="0.2">
      <c r="A127" s="34" t="s">
        <v>905</v>
      </c>
      <c r="B127" s="35"/>
      <c r="C127" s="52">
        <v>23.389203567999996</v>
      </c>
      <c r="D127" s="52">
        <v>21.658519064999997</v>
      </c>
    </row>
    <row r="128" spans="1:4" x14ac:dyDescent="0.2">
      <c r="A128" s="34" t="s">
        <v>913</v>
      </c>
      <c r="B128" s="35"/>
      <c r="C128" s="52">
        <v>20.985497720999994</v>
      </c>
      <c r="D128" s="52">
        <v>19.432675469000003</v>
      </c>
    </row>
    <row r="129" spans="1:5" x14ac:dyDescent="0.2">
      <c r="A129" s="34" t="s">
        <v>1190</v>
      </c>
      <c r="B129" s="35"/>
      <c r="C129" s="52">
        <v>22.385495661</v>
      </c>
      <c r="D129" s="52">
        <v>20.729080539999998</v>
      </c>
    </row>
    <row r="130" spans="1:5" x14ac:dyDescent="0.2">
      <c r="A130" s="34" t="s">
        <v>1200</v>
      </c>
      <c r="B130" s="35"/>
      <c r="C130" s="52">
        <v>30.360855728000001</v>
      </c>
      <c r="D130" s="52">
        <v>28.114303713000016</v>
      </c>
    </row>
    <row r="131" spans="1:5" x14ac:dyDescent="0.2">
      <c r="A131" s="34" t="s">
        <v>1193</v>
      </c>
      <c r="B131" s="35"/>
      <c r="C131" s="52">
        <v>25.200767267</v>
      </c>
      <c r="D131" s="52">
        <v>23.336036078999999</v>
      </c>
    </row>
    <row r="133" spans="1:5" x14ac:dyDescent="0.2">
      <c r="A133" s="4" t="s">
        <v>770</v>
      </c>
      <c r="D133" s="29">
        <v>7.160511545686378E-2</v>
      </c>
      <c r="E133" s="1" t="s">
        <v>771</v>
      </c>
    </row>
    <row r="135" spans="1:5" x14ac:dyDescent="0.2">
      <c r="A135" s="9" t="s">
        <v>1201</v>
      </c>
    </row>
    <row r="137" spans="1:5" x14ac:dyDescent="0.2">
      <c r="A137" s="4" t="s">
        <v>1989</v>
      </c>
      <c r="D137" s="53" t="s">
        <v>110</v>
      </c>
    </row>
  </sheetData>
  <mergeCells count="4">
    <mergeCell ref="A1:F1"/>
    <mergeCell ref="A122:B122"/>
    <mergeCell ref="C122:D122"/>
    <mergeCell ref="A123:B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F0E5-CE3C-43B3-85CD-EC244DB11C9B}">
  <sheetPr codeName="Sheet31"/>
  <dimension ref="A1:F139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73.5703125" style="2" bestFit="1" customWidth="1"/>
    <col min="3" max="3" width="11.7109375" style="2" bestFit="1" customWidth="1"/>
    <col min="4" max="4" width="7.8554687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1202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776</v>
      </c>
      <c r="B8" s="45" t="s">
        <v>1491</v>
      </c>
      <c r="C8" s="45" t="s">
        <v>740</v>
      </c>
      <c r="D8" s="14">
        <v>2170</v>
      </c>
      <c r="E8" s="7">
        <v>21700</v>
      </c>
      <c r="F8" s="7">
        <v>4.1974815682877598</v>
      </c>
    </row>
    <row r="9" spans="1:6" x14ac:dyDescent="0.2">
      <c r="A9" s="45" t="s">
        <v>1203</v>
      </c>
      <c r="B9" s="45" t="s">
        <v>1819</v>
      </c>
      <c r="C9" s="45" t="s">
        <v>682</v>
      </c>
      <c r="D9" s="14">
        <v>2500</v>
      </c>
      <c r="E9" s="7">
        <v>20011.75</v>
      </c>
      <c r="F9" s="7">
        <v>3.87091943659828</v>
      </c>
    </row>
    <row r="10" spans="1:6" x14ac:dyDescent="0.2">
      <c r="A10" s="45" t="s">
        <v>981</v>
      </c>
      <c r="B10" s="45" t="s">
        <v>1653</v>
      </c>
      <c r="C10" s="45" t="s">
        <v>982</v>
      </c>
      <c r="D10" s="14">
        <v>2000</v>
      </c>
      <c r="E10" s="7">
        <v>19625.740000000002</v>
      </c>
      <c r="F10" s="7">
        <v>3.7962526227653401</v>
      </c>
    </row>
    <row r="11" spans="1:6" x14ac:dyDescent="0.2">
      <c r="A11" s="45" t="s">
        <v>702</v>
      </c>
      <c r="B11" s="45" t="s">
        <v>1447</v>
      </c>
      <c r="C11" s="45" t="s">
        <v>703</v>
      </c>
      <c r="D11" s="14">
        <v>1450</v>
      </c>
      <c r="E11" s="7">
        <v>14571.543</v>
      </c>
      <c r="F11" s="7">
        <v>2.8186075190789199</v>
      </c>
    </row>
    <row r="12" spans="1:6" x14ac:dyDescent="0.2">
      <c r="A12" s="45" t="s">
        <v>1204</v>
      </c>
      <c r="B12" s="45" t="s">
        <v>1820</v>
      </c>
      <c r="C12" s="45" t="s">
        <v>698</v>
      </c>
      <c r="D12" s="14">
        <v>1500</v>
      </c>
      <c r="E12" s="7">
        <v>14556.51</v>
      </c>
      <c r="F12" s="7">
        <v>2.8156996508569798</v>
      </c>
    </row>
    <row r="13" spans="1:6" x14ac:dyDescent="0.2">
      <c r="A13" s="45" t="s">
        <v>1010</v>
      </c>
      <c r="B13" s="45" t="s">
        <v>1678</v>
      </c>
      <c r="C13" s="45" t="s">
        <v>698</v>
      </c>
      <c r="D13" s="14">
        <v>1300</v>
      </c>
      <c r="E13" s="7">
        <v>12601.212</v>
      </c>
      <c r="F13" s="7">
        <v>2.4374818022159701</v>
      </c>
    </row>
    <row r="14" spans="1:6" x14ac:dyDescent="0.2">
      <c r="A14" s="45" t="s">
        <v>693</v>
      </c>
      <c r="B14" s="45" t="s">
        <v>1441</v>
      </c>
      <c r="C14" s="45" t="s">
        <v>694</v>
      </c>
      <c r="D14" s="14">
        <v>1510</v>
      </c>
      <c r="E14" s="7">
        <v>11356.407999999999</v>
      </c>
      <c r="F14" s="7">
        <v>2.19669646368459</v>
      </c>
    </row>
    <row r="15" spans="1:6" x14ac:dyDescent="0.2">
      <c r="A15" s="45" t="s">
        <v>788</v>
      </c>
      <c r="B15" s="45" t="s">
        <v>1501</v>
      </c>
      <c r="C15" s="45" t="s">
        <v>692</v>
      </c>
      <c r="D15" s="14">
        <v>1102</v>
      </c>
      <c r="E15" s="7">
        <v>11030.10534</v>
      </c>
      <c r="F15" s="7">
        <v>2.1335789797660101</v>
      </c>
    </row>
    <row r="16" spans="1:6" x14ac:dyDescent="0.2">
      <c r="A16" s="45" t="s">
        <v>1205</v>
      </c>
      <c r="B16" s="45" t="s">
        <v>1821</v>
      </c>
      <c r="C16" s="45" t="s">
        <v>682</v>
      </c>
      <c r="D16" s="14">
        <v>1250</v>
      </c>
      <c r="E16" s="7">
        <v>10005.15</v>
      </c>
      <c r="F16" s="7">
        <v>1.93531947985964</v>
      </c>
    </row>
    <row r="17" spans="1:6" x14ac:dyDescent="0.2">
      <c r="A17" s="45" t="s">
        <v>796</v>
      </c>
      <c r="B17" s="45" t="s">
        <v>1509</v>
      </c>
      <c r="C17" s="45" t="s">
        <v>688</v>
      </c>
      <c r="D17" s="14">
        <v>1000</v>
      </c>
      <c r="E17" s="7">
        <v>10003.58</v>
      </c>
      <c r="F17" s="7">
        <v>1.93501579110102</v>
      </c>
    </row>
    <row r="18" spans="1:6" x14ac:dyDescent="0.2">
      <c r="A18" s="45" t="s">
        <v>822</v>
      </c>
      <c r="B18" s="45" t="s">
        <v>1531</v>
      </c>
      <c r="C18" s="45" t="s">
        <v>811</v>
      </c>
      <c r="D18" s="14">
        <v>1000</v>
      </c>
      <c r="E18" s="7">
        <v>9958.0499999999993</v>
      </c>
      <c r="F18" s="7">
        <v>1.92620881710083</v>
      </c>
    </row>
    <row r="19" spans="1:6" x14ac:dyDescent="0.2">
      <c r="A19" s="45" t="s">
        <v>783</v>
      </c>
      <c r="B19" s="45" t="s">
        <v>1497</v>
      </c>
      <c r="C19" s="45" t="s">
        <v>698</v>
      </c>
      <c r="D19" s="14">
        <v>2000</v>
      </c>
      <c r="E19" s="7">
        <v>9916.24</v>
      </c>
      <c r="F19" s="7">
        <v>1.91812141136949</v>
      </c>
    </row>
    <row r="20" spans="1:6" x14ac:dyDescent="0.2">
      <c r="A20" s="45" t="s">
        <v>795</v>
      </c>
      <c r="B20" s="45" t="s">
        <v>1508</v>
      </c>
      <c r="C20" s="45" t="s">
        <v>690</v>
      </c>
      <c r="D20" s="14">
        <v>915</v>
      </c>
      <c r="E20" s="7">
        <v>9103.8382500000007</v>
      </c>
      <c r="F20" s="7">
        <v>1.7609766476980699</v>
      </c>
    </row>
    <row r="21" spans="1:6" x14ac:dyDescent="0.2">
      <c r="A21" s="45" t="s">
        <v>701</v>
      </c>
      <c r="B21" s="45" t="s">
        <v>1446</v>
      </c>
      <c r="C21" s="45" t="s">
        <v>690</v>
      </c>
      <c r="D21" s="14">
        <v>780</v>
      </c>
      <c r="E21" s="7">
        <v>8097.3281999999999</v>
      </c>
      <c r="F21" s="7">
        <v>1.5662850632201299</v>
      </c>
    </row>
    <row r="22" spans="1:6" x14ac:dyDescent="0.2">
      <c r="A22" s="45" t="s">
        <v>821</v>
      </c>
      <c r="B22" s="45" t="s">
        <v>1530</v>
      </c>
      <c r="C22" s="45" t="s">
        <v>696</v>
      </c>
      <c r="D22" s="14">
        <v>784</v>
      </c>
      <c r="E22" s="7">
        <v>7834.0024000000003</v>
      </c>
      <c r="F22" s="7">
        <v>1.51534934008858</v>
      </c>
    </row>
    <row r="23" spans="1:6" x14ac:dyDescent="0.2">
      <c r="A23" s="45" t="s">
        <v>1206</v>
      </c>
      <c r="B23" s="45" t="s">
        <v>1822</v>
      </c>
      <c r="C23" s="45" t="s">
        <v>736</v>
      </c>
      <c r="D23" s="14">
        <v>600</v>
      </c>
      <c r="E23" s="7">
        <v>7046.9459999999999</v>
      </c>
      <c r="F23" s="7">
        <v>1.36310718653084</v>
      </c>
    </row>
    <row r="24" spans="1:6" x14ac:dyDescent="0.2">
      <c r="A24" s="45" t="s">
        <v>719</v>
      </c>
      <c r="B24" s="45" t="s">
        <v>1459</v>
      </c>
      <c r="C24" s="45" t="s">
        <v>686</v>
      </c>
      <c r="D24" s="14">
        <v>550</v>
      </c>
      <c r="E24" s="7">
        <v>5570.5155000000004</v>
      </c>
      <c r="F24" s="7">
        <v>1.0775177943369301</v>
      </c>
    </row>
    <row r="25" spans="1:6" x14ac:dyDescent="0.2">
      <c r="A25" s="45" t="s">
        <v>778</v>
      </c>
      <c r="B25" s="45" t="s">
        <v>1493</v>
      </c>
      <c r="C25" s="45" t="s">
        <v>779</v>
      </c>
      <c r="D25" s="14">
        <v>500</v>
      </c>
      <c r="E25" s="7">
        <v>5007.13</v>
      </c>
      <c r="F25" s="7">
        <v>0.96854082419450205</v>
      </c>
    </row>
    <row r="26" spans="1:6" x14ac:dyDescent="0.2">
      <c r="A26" s="45" t="s">
        <v>1207</v>
      </c>
      <c r="B26" s="45" t="s">
        <v>1823</v>
      </c>
      <c r="C26" s="45" t="s">
        <v>688</v>
      </c>
      <c r="D26" s="14">
        <v>500</v>
      </c>
      <c r="E26" s="7">
        <v>4919.0749999999998</v>
      </c>
      <c r="F26" s="7">
        <v>0.95150814034678</v>
      </c>
    </row>
    <row r="27" spans="1:6" x14ac:dyDescent="0.2">
      <c r="A27" s="45" t="s">
        <v>1208</v>
      </c>
      <c r="B27" s="45" t="s">
        <v>1824</v>
      </c>
      <c r="C27" s="45" t="s">
        <v>688</v>
      </c>
      <c r="D27" s="14">
        <v>500</v>
      </c>
      <c r="E27" s="7">
        <v>4647.18</v>
      </c>
      <c r="F27" s="7">
        <v>0.89891485689011597</v>
      </c>
    </row>
    <row r="28" spans="1:6" x14ac:dyDescent="0.2">
      <c r="A28" s="45" t="s">
        <v>775</v>
      </c>
      <c r="B28" s="45" t="s">
        <v>1490</v>
      </c>
      <c r="C28" s="45" t="s">
        <v>728</v>
      </c>
      <c r="D28" s="14">
        <v>450</v>
      </c>
      <c r="E28" s="7">
        <v>4529.5919999999996</v>
      </c>
      <c r="F28" s="7">
        <v>0.87616953603058501</v>
      </c>
    </row>
    <row r="29" spans="1:6" x14ac:dyDescent="0.2">
      <c r="A29" s="45" t="s">
        <v>801</v>
      </c>
      <c r="B29" s="45" t="s">
        <v>1514</v>
      </c>
      <c r="C29" s="45" t="s">
        <v>802</v>
      </c>
      <c r="D29" s="14">
        <v>430</v>
      </c>
      <c r="E29" s="7">
        <v>4320.9367000000002</v>
      </c>
      <c r="F29" s="7">
        <v>0.83580885511466096</v>
      </c>
    </row>
    <row r="30" spans="1:6" x14ac:dyDescent="0.2">
      <c r="A30" s="45" t="s">
        <v>974</v>
      </c>
      <c r="B30" s="45" t="s">
        <v>1646</v>
      </c>
      <c r="C30" s="45" t="s">
        <v>779</v>
      </c>
      <c r="D30" s="14">
        <v>350</v>
      </c>
      <c r="E30" s="7">
        <v>3499.6570000000002</v>
      </c>
      <c r="F30" s="7">
        <v>0.67694680888614001</v>
      </c>
    </row>
    <row r="31" spans="1:6" x14ac:dyDescent="0.2">
      <c r="A31" s="45" t="s">
        <v>1209</v>
      </c>
      <c r="B31" s="45" t="s">
        <v>1825</v>
      </c>
      <c r="C31" s="45" t="s">
        <v>728</v>
      </c>
      <c r="D31" s="14">
        <v>324</v>
      </c>
      <c r="E31" s="7">
        <v>3258.0597600000001</v>
      </c>
      <c r="F31" s="7">
        <v>0.63021409175023302</v>
      </c>
    </row>
    <row r="32" spans="1:6" x14ac:dyDescent="0.2">
      <c r="A32" s="45" t="s">
        <v>1004</v>
      </c>
      <c r="B32" s="45" t="s">
        <v>1672</v>
      </c>
      <c r="C32" s="45" t="s">
        <v>692</v>
      </c>
      <c r="D32" s="14">
        <v>300</v>
      </c>
      <c r="E32" s="7">
        <v>2989.17</v>
      </c>
      <c r="F32" s="7">
        <v>0.57820211886998796</v>
      </c>
    </row>
    <row r="33" spans="1:6" x14ac:dyDescent="0.2">
      <c r="A33" s="45" t="s">
        <v>799</v>
      </c>
      <c r="B33" s="45" t="s">
        <v>1512</v>
      </c>
      <c r="C33" s="45" t="s">
        <v>712</v>
      </c>
      <c r="D33" s="14">
        <v>400</v>
      </c>
      <c r="E33" s="7">
        <v>2971.28</v>
      </c>
      <c r="F33" s="7">
        <v>0.57474161448027905</v>
      </c>
    </row>
    <row r="34" spans="1:6" x14ac:dyDescent="0.2">
      <c r="A34" s="45" t="s">
        <v>1210</v>
      </c>
      <c r="B34" s="45" t="s">
        <v>1826</v>
      </c>
      <c r="C34" s="45" t="s">
        <v>802</v>
      </c>
      <c r="D34" s="14">
        <v>300</v>
      </c>
      <c r="E34" s="7">
        <v>2943.15</v>
      </c>
      <c r="F34" s="7">
        <v>0.56930036302793197</v>
      </c>
    </row>
    <row r="35" spans="1:6" x14ac:dyDescent="0.2">
      <c r="A35" s="45" t="s">
        <v>1211</v>
      </c>
      <c r="B35" s="45" t="s">
        <v>1827</v>
      </c>
      <c r="C35" s="45" t="s">
        <v>688</v>
      </c>
      <c r="D35" s="14">
        <v>250</v>
      </c>
      <c r="E35" s="7">
        <v>2743.2975000000001</v>
      </c>
      <c r="F35" s="7">
        <v>0.53064242822948804</v>
      </c>
    </row>
    <row r="36" spans="1:6" x14ac:dyDescent="0.2">
      <c r="A36" s="45" t="s">
        <v>704</v>
      </c>
      <c r="B36" s="45" t="s">
        <v>1448</v>
      </c>
      <c r="C36" s="45" t="s">
        <v>705</v>
      </c>
      <c r="D36" s="14">
        <v>250</v>
      </c>
      <c r="E36" s="7">
        <v>2500.1799999999998</v>
      </c>
      <c r="F36" s="7">
        <v>0.48361564365906401</v>
      </c>
    </row>
    <row r="37" spans="1:6" x14ac:dyDescent="0.2">
      <c r="A37" s="45" t="s">
        <v>840</v>
      </c>
      <c r="B37" s="45" t="s">
        <v>1548</v>
      </c>
      <c r="C37" s="45" t="s">
        <v>698</v>
      </c>
      <c r="D37" s="14">
        <v>250</v>
      </c>
      <c r="E37" s="7">
        <v>2493.4</v>
      </c>
      <c r="F37" s="7">
        <v>0.482304172459387</v>
      </c>
    </row>
    <row r="38" spans="1:6" x14ac:dyDescent="0.2">
      <c r="A38" s="45" t="s">
        <v>986</v>
      </c>
      <c r="B38" s="45" t="s">
        <v>1656</v>
      </c>
      <c r="C38" s="45" t="s">
        <v>698</v>
      </c>
      <c r="D38" s="14">
        <v>240</v>
      </c>
      <c r="E38" s="7">
        <v>2395.0776000000001</v>
      </c>
      <c r="F38" s="7">
        <v>0.46328544150317502</v>
      </c>
    </row>
    <row r="39" spans="1:6" x14ac:dyDescent="0.2">
      <c r="A39" s="45" t="s">
        <v>687</v>
      </c>
      <c r="B39" s="45" t="s">
        <v>1438</v>
      </c>
      <c r="C39" s="45" t="s">
        <v>688</v>
      </c>
      <c r="D39" s="14">
        <v>250</v>
      </c>
      <c r="E39" s="7">
        <v>2287.2975000000001</v>
      </c>
      <c r="F39" s="7">
        <v>0.44243728559634499</v>
      </c>
    </row>
    <row r="40" spans="1:6" x14ac:dyDescent="0.2">
      <c r="A40" s="45" t="s">
        <v>853</v>
      </c>
      <c r="B40" s="45" t="s">
        <v>1561</v>
      </c>
      <c r="C40" s="45" t="s">
        <v>698</v>
      </c>
      <c r="D40" s="14">
        <v>200</v>
      </c>
      <c r="E40" s="7">
        <v>1922.87</v>
      </c>
      <c r="F40" s="7">
        <v>0.37194522503288002</v>
      </c>
    </row>
    <row r="41" spans="1:6" x14ac:dyDescent="0.2">
      <c r="A41" s="45" t="s">
        <v>718</v>
      </c>
      <c r="B41" s="45" t="s">
        <v>1458</v>
      </c>
      <c r="C41" s="45" t="s">
        <v>692</v>
      </c>
      <c r="D41" s="14">
        <v>176</v>
      </c>
      <c r="E41" s="7">
        <v>1757.54304</v>
      </c>
      <c r="F41" s="7">
        <v>0.33996564589273898</v>
      </c>
    </row>
    <row r="42" spans="1:6" x14ac:dyDescent="0.2">
      <c r="A42" s="45" t="s">
        <v>790</v>
      </c>
      <c r="B42" s="45" t="s">
        <v>1503</v>
      </c>
      <c r="C42" s="45" t="s">
        <v>692</v>
      </c>
      <c r="D42" s="14">
        <v>174</v>
      </c>
      <c r="E42" s="7">
        <v>1740.0400199999999</v>
      </c>
      <c r="F42" s="7">
        <v>0.33657999594622401</v>
      </c>
    </row>
    <row r="43" spans="1:6" x14ac:dyDescent="0.2">
      <c r="A43" s="45" t="s">
        <v>1009</v>
      </c>
      <c r="B43" s="45" t="s">
        <v>1677</v>
      </c>
      <c r="C43" s="45" t="s">
        <v>802</v>
      </c>
      <c r="D43" s="14">
        <v>150</v>
      </c>
      <c r="E43" s="7">
        <v>1403.3219999999999</v>
      </c>
      <c r="F43" s="7">
        <v>0.27144784467155397</v>
      </c>
    </row>
    <row r="44" spans="1:6" x14ac:dyDescent="0.2">
      <c r="A44" s="45" t="s">
        <v>1212</v>
      </c>
      <c r="B44" s="45" t="s">
        <v>1828</v>
      </c>
      <c r="C44" s="45" t="s">
        <v>682</v>
      </c>
      <c r="D44" s="14">
        <v>150</v>
      </c>
      <c r="E44" s="7">
        <v>1141.0605</v>
      </c>
      <c r="F44" s="7">
        <v>0.22071799156918101</v>
      </c>
    </row>
    <row r="45" spans="1:6" x14ac:dyDescent="0.2">
      <c r="A45" s="45" t="s">
        <v>1213</v>
      </c>
      <c r="B45" s="45" t="s">
        <v>1829</v>
      </c>
      <c r="C45" s="45" t="s">
        <v>688</v>
      </c>
      <c r="D45" s="14">
        <v>115</v>
      </c>
      <c r="E45" s="7">
        <v>919.09034999999994</v>
      </c>
      <c r="F45" s="7">
        <v>0.17778178818968399</v>
      </c>
    </row>
    <row r="46" spans="1:6" x14ac:dyDescent="0.2">
      <c r="A46" s="45" t="s">
        <v>1214</v>
      </c>
      <c r="B46" s="45" t="s">
        <v>1830</v>
      </c>
      <c r="C46" s="45" t="s">
        <v>686</v>
      </c>
      <c r="D46" s="14">
        <v>73</v>
      </c>
      <c r="E46" s="7">
        <v>736.86054000000001</v>
      </c>
      <c r="F46" s="7">
        <v>0.14253265138472701</v>
      </c>
    </row>
    <row r="47" spans="1:6" x14ac:dyDescent="0.2">
      <c r="A47" s="45" t="s">
        <v>984</v>
      </c>
      <c r="B47" s="45" t="s">
        <v>1654</v>
      </c>
      <c r="C47" s="45" t="s">
        <v>692</v>
      </c>
      <c r="D47" s="14">
        <v>62</v>
      </c>
      <c r="E47" s="7">
        <v>614.95939999999996</v>
      </c>
      <c r="F47" s="7">
        <v>0.11895302980393101</v>
      </c>
    </row>
    <row r="48" spans="1:6" x14ac:dyDescent="0.2">
      <c r="A48" s="45" t="s">
        <v>985</v>
      </c>
      <c r="B48" s="45" t="s">
        <v>1655</v>
      </c>
      <c r="C48" s="45" t="s">
        <v>692</v>
      </c>
      <c r="D48" s="14">
        <v>62</v>
      </c>
      <c r="E48" s="7">
        <v>604.99785999999995</v>
      </c>
      <c r="F48" s="7">
        <v>0.117026145907997</v>
      </c>
    </row>
    <row r="49" spans="1:6" x14ac:dyDescent="0.2">
      <c r="A49" s="45" t="s">
        <v>706</v>
      </c>
      <c r="B49" s="45" t="s">
        <v>1449</v>
      </c>
      <c r="C49" s="45" t="s">
        <v>692</v>
      </c>
      <c r="D49" s="14">
        <v>55</v>
      </c>
      <c r="E49" s="7">
        <v>548.46605</v>
      </c>
      <c r="F49" s="7">
        <v>0.106091066161594</v>
      </c>
    </row>
    <row r="50" spans="1:6" x14ac:dyDescent="0.2">
      <c r="A50" s="45" t="s">
        <v>817</v>
      </c>
      <c r="B50" s="45" t="s">
        <v>1526</v>
      </c>
      <c r="C50" s="45" t="s">
        <v>692</v>
      </c>
      <c r="D50" s="14">
        <v>88</v>
      </c>
      <c r="E50" s="7">
        <v>440.71192000000002</v>
      </c>
      <c r="F50" s="7">
        <v>8.5247933692382996E-2</v>
      </c>
    </row>
    <row r="51" spans="1:6" x14ac:dyDescent="0.2">
      <c r="A51" s="45" t="s">
        <v>716</v>
      </c>
      <c r="B51" s="45" t="s">
        <v>1456</v>
      </c>
      <c r="C51" s="45" t="s">
        <v>686</v>
      </c>
      <c r="D51" s="14">
        <v>42</v>
      </c>
      <c r="E51" s="7">
        <v>436.73826000000003</v>
      </c>
      <c r="F51" s="7">
        <v>8.4479299378620698E-2</v>
      </c>
    </row>
    <row r="52" spans="1:6" x14ac:dyDescent="0.2">
      <c r="A52" s="26" t="s">
        <v>44</v>
      </c>
      <c r="B52" s="45"/>
      <c r="C52" s="45"/>
      <c r="D52" s="14"/>
      <c r="E52" s="6">
        <f>SUM(E8:E51)</f>
        <v>266760.06168999989</v>
      </c>
      <c r="F52" s="6">
        <f>SUM(F8:F51)</f>
        <v>51.600020373229604</v>
      </c>
    </row>
    <row r="53" spans="1:6" x14ac:dyDescent="0.2">
      <c r="A53" s="45"/>
      <c r="B53" s="45"/>
      <c r="C53" s="45"/>
      <c r="D53" s="14"/>
      <c r="E53" s="7"/>
      <c r="F53" s="7"/>
    </row>
    <row r="54" spans="1:6" x14ac:dyDescent="0.2">
      <c r="A54" s="26" t="s">
        <v>732</v>
      </c>
      <c r="B54" s="45"/>
      <c r="C54" s="45"/>
      <c r="D54" s="14"/>
      <c r="E54" s="7"/>
      <c r="F54" s="7"/>
    </row>
    <row r="55" spans="1:6" x14ac:dyDescent="0.2">
      <c r="A55" s="45" t="s">
        <v>1215</v>
      </c>
      <c r="B55" s="45" t="s">
        <v>1831</v>
      </c>
      <c r="C55" s="45" t="s">
        <v>743</v>
      </c>
      <c r="D55" s="14">
        <v>30000</v>
      </c>
      <c r="E55" s="7">
        <v>30172.92</v>
      </c>
      <c r="F55" s="7">
        <v>5.8364182286369202</v>
      </c>
    </row>
    <row r="56" spans="1:6" x14ac:dyDescent="0.2">
      <c r="A56" s="45" t="s">
        <v>869</v>
      </c>
      <c r="B56" s="45" t="s">
        <v>1576</v>
      </c>
      <c r="C56" s="45" t="s">
        <v>705</v>
      </c>
      <c r="D56" s="14">
        <v>2500</v>
      </c>
      <c r="E56" s="7">
        <v>24735.275000000001</v>
      </c>
      <c r="F56" s="7">
        <v>4.7846018847478797</v>
      </c>
    </row>
    <row r="57" spans="1:6" x14ac:dyDescent="0.2">
      <c r="A57" s="45" t="s">
        <v>748</v>
      </c>
      <c r="B57" s="45" t="s">
        <v>1477</v>
      </c>
      <c r="C57" s="45" t="s">
        <v>749</v>
      </c>
      <c r="D57" s="14">
        <v>1970</v>
      </c>
      <c r="E57" s="7">
        <v>17539.9935</v>
      </c>
      <c r="F57" s="7">
        <v>3.3928018167805098</v>
      </c>
    </row>
    <row r="58" spans="1:6" x14ac:dyDescent="0.2">
      <c r="A58" s="45" t="s">
        <v>1041</v>
      </c>
      <c r="B58" s="45" t="s">
        <v>1702</v>
      </c>
      <c r="C58" s="45" t="s">
        <v>1027</v>
      </c>
      <c r="D58" s="14">
        <v>110</v>
      </c>
      <c r="E58" s="7">
        <v>15517.029</v>
      </c>
      <c r="F58" s="7">
        <v>3.00149507935883</v>
      </c>
    </row>
    <row r="59" spans="1:6" x14ac:dyDescent="0.2">
      <c r="A59" s="45" t="s">
        <v>759</v>
      </c>
      <c r="B59" s="45" t="s">
        <v>1484</v>
      </c>
      <c r="C59" s="45" t="s">
        <v>760</v>
      </c>
      <c r="D59" s="14">
        <v>1498</v>
      </c>
      <c r="E59" s="7">
        <v>15388.26492</v>
      </c>
      <c r="F59" s="7">
        <v>2.9765879433008799</v>
      </c>
    </row>
    <row r="60" spans="1:6" x14ac:dyDescent="0.2">
      <c r="A60" s="45" t="s">
        <v>858</v>
      </c>
      <c r="B60" s="45" t="s">
        <v>1566</v>
      </c>
      <c r="C60" s="45" t="s">
        <v>696</v>
      </c>
      <c r="D60" s="14">
        <v>850</v>
      </c>
      <c r="E60" s="7">
        <v>8518.6659999999993</v>
      </c>
      <c r="F60" s="7">
        <v>1.6477854157327001</v>
      </c>
    </row>
    <row r="61" spans="1:6" x14ac:dyDescent="0.2">
      <c r="A61" s="45" t="s">
        <v>1026</v>
      </c>
      <c r="B61" s="45" t="s">
        <v>1691</v>
      </c>
      <c r="C61" s="45" t="s">
        <v>1027</v>
      </c>
      <c r="D61" s="14">
        <v>57</v>
      </c>
      <c r="E61" s="7">
        <v>8123.4519</v>
      </c>
      <c r="F61" s="7">
        <v>1.5713382313881199</v>
      </c>
    </row>
    <row r="62" spans="1:6" x14ac:dyDescent="0.2">
      <c r="A62" s="45" t="s">
        <v>862</v>
      </c>
      <c r="B62" s="45" t="s">
        <v>1569</v>
      </c>
      <c r="C62" s="45" t="s">
        <v>696</v>
      </c>
      <c r="D62" s="14">
        <v>650</v>
      </c>
      <c r="E62" s="7">
        <v>6520.3125</v>
      </c>
      <c r="F62" s="7">
        <v>1.2612392413929201</v>
      </c>
    </row>
    <row r="63" spans="1:6" x14ac:dyDescent="0.2">
      <c r="A63" s="45" t="s">
        <v>1035</v>
      </c>
      <c r="B63" s="45" t="s">
        <v>1698</v>
      </c>
      <c r="C63" s="45" t="s">
        <v>712</v>
      </c>
      <c r="D63" s="14">
        <v>12</v>
      </c>
      <c r="E63" s="7">
        <v>6037.866</v>
      </c>
      <c r="F63" s="7">
        <v>1.16791849063555</v>
      </c>
    </row>
    <row r="64" spans="1:6" x14ac:dyDescent="0.2">
      <c r="A64" s="45" t="s">
        <v>1024</v>
      </c>
      <c r="B64" s="45" t="s">
        <v>1473</v>
      </c>
      <c r="C64" s="45" t="s">
        <v>684</v>
      </c>
      <c r="D64" s="14">
        <v>600</v>
      </c>
      <c r="E64" s="7">
        <v>6012.6540000000005</v>
      </c>
      <c r="F64" s="7">
        <v>1.16304167472312</v>
      </c>
    </row>
    <row r="65" spans="1:6" x14ac:dyDescent="0.2">
      <c r="A65" s="45" t="s">
        <v>1216</v>
      </c>
      <c r="B65" s="45" t="s">
        <v>1832</v>
      </c>
      <c r="C65" s="45" t="s">
        <v>712</v>
      </c>
      <c r="D65" s="14">
        <v>500</v>
      </c>
      <c r="E65" s="7">
        <v>5067.4549999999999</v>
      </c>
      <c r="F65" s="7">
        <v>0.98020962952201196</v>
      </c>
    </row>
    <row r="66" spans="1:6" x14ac:dyDescent="0.2">
      <c r="A66" s="45" t="s">
        <v>753</v>
      </c>
      <c r="B66" s="45" t="s">
        <v>1481</v>
      </c>
      <c r="C66" s="45" t="s">
        <v>705</v>
      </c>
      <c r="D66" s="14">
        <v>5150</v>
      </c>
      <c r="E66" s="7">
        <v>4975.0905499999999</v>
      </c>
      <c r="F66" s="7">
        <v>0.96234335871832399</v>
      </c>
    </row>
    <row r="67" spans="1:6" x14ac:dyDescent="0.2">
      <c r="A67" s="45" t="s">
        <v>868</v>
      </c>
      <c r="B67" s="45" t="s">
        <v>1575</v>
      </c>
      <c r="C67" s="45" t="s">
        <v>712</v>
      </c>
      <c r="D67" s="14">
        <v>310</v>
      </c>
      <c r="E67" s="7">
        <v>4361.9324999999999</v>
      </c>
      <c r="F67" s="7">
        <v>0.84373876824264304</v>
      </c>
    </row>
    <row r="68" spans="1:6" x14ac:dyDescent="0.2">
      <c r="A68" s="45" t="s">
        <v>1039</v>
      </c>
      <c r="B68" s="45" t="s">
        <v>1986</v>
      </c>
      <c r="C68" s="45" t="s">
        <v>758</v>
      </c>
      <c r="D68" s="14">
        <v>1088</v>
      </c>
      <c r="E68" s="7">
        <v>3564.0704000000001</v>
      </c>
      <c r="F68" s="7">
        <v>0.68940644295299502</v>
      </c>
    </row>
    <row r="69" spans="1:6" x14ac:dyDescent="0.2">
      <c r="A69" s="45" t="s">
        <v>767</v>
      </c>
      <c r="B69" s="45" t="s">
        <v>1489</v>
      </c>
      <c r="C69" s="45" t="s">
        <v>712</v>
      </c>
      <c r="D69" s="14">
        <v>240</v>
      </c>
      <c r="E69" s="7">
        <v>2424.7127999999998</v>
      </c>
      <c r="F69" s="7">
        <v>0.46901784729914298</v>
      </c>
    </row>
    <row r="70" spans="1:6" x14ac:dyDescent="0.2">
      <c r="A70" s="45" t="s">
        <v>1042</v>
      </c>
      <c r="B70" s="45" t="s">
        <v>1703</v>
      </c>
      <c r="C70" s="45" t="s">
        <v>747</v>
      </c>
      <c r="D70" s="14">
        <v>16</v>
      </c>
      <c r="E70" s="7">
        <v>1979.5727999999999</v>
      </c>
      <c r="F70" s="7">
        <v>0.38291337977344703</v>
      </c>
    </row>
    <row r="71" spans="1:6" x14ac:dyDescent="0.2">
      <c r="A71" s="45" t="s">
        <v>742</v>
      </c>
      <c r="B71" s="45" t="s">
        <v>1474</v>
      </c>
      <c r="C71" s="45" t="s">
        <v>743</v>
      </c>
      <c r="D71" s="14">
        <v>180</v>
      </c>
      <c r="E71" s="7">
        <v>1616.1138000000001</v>
      </c>
      <c r="F71" s="7">
        <v>0.31260865842191199</v>
      </c>
    </row>
    <row r="72" spans="1:6" x14ac:dyDescent="0.2">
      <c r="A72" s="45" t="s">
        <v>756</v>
      </c>
      <c r="B72" s="45" t="s">
        <v>1483</v>
      </c>
      <c r="C72" s="45" t="s">
        <v>743</v>
      </c>
      <c r="D72" s="14">
        <v>120</v>
      </c>
      <c r="E72" s="7">
        <v>1116.6215999999999</v>
      </c>
      <c r="F72" s="7">
        <v>0.215990718191336</v>
      </c>
    </row>
    <row r="73" spans="1:6" x14ac:dyDescent="0.2">
      <c r="A73" s="45" t="s">
        <v>1057</v>
      </c>
      <c r="B73" s="45" t="s">
        <v>1987</v>
      </c>
      <c r="C73" s="45" t="s">
        <v>758</v>
      </c>
      <c r="D73" s="14">
        <v>327</v>
      </c>
      <c r="E73" s="7">
        <v>1071.1866</v>
      </c>
      <c r="F73" s="7">
        <v>0.20720212026252699</v>
      </c>
    </row>
    <row r="74" spans="1:6" x14ac:dyDescent="0.2">
      <c r="A74" s="45" t="s">
        <v>1217</v>
      </c>
      <c r="B74" s="45" t="s">
        <v>1833</v>
      </c>
      <c r="C74" s="45" t="s">
        <v>760</v>
      </c>
      <c r="D74" s="14">
        <v>320</v>
      </c>
      <c r="E74" s="7">
        <v>530.26559999999995</v>
      </c>
      <c r="F74" s="7">
        <v>0.102570510704933</v>
      </c>
    </row>
    <row r="75" spans="1:6" x14ac:dyDescent="0.2">
      <c r="A75" s="45" t="s">
        <v>861</v>
      </c>
      <c r="B75" s="45" t="s">
        <v>1568</v>
      </c>
      <c r="C75" s="45" t="s">
        <v>860</v>
      </c>
      <c r="D75" s="14">
        <v>50</v>
      </c>
      <c r="E75" s="7">
        <v>499.80349999999999</v>
      </c>
      <c r="F75" s="7">
        <v>9.6678155715009803E-2</v>
      </c>
    </row>
    <row r="76" spans="1:6" x14ac:dyDescent="0.2">
      <c r="A76" s="45" t="s">
        <v>1025</v>
      </c>
      <c r="B76" s="45" t="s">
        <v>1690</v>
      </c>
      <c r="C76" s="45" t="s">
        <v>743</v>
      </c>
      <c r="D76" s="14">
        <v>40</v>
      </c>
      <c r="E76" s="7">
        <v>358.5068</v>
      </c>
      <c r="F76" s="7">
        <v>6.9346805765245503E-2</v>
      </c>
    </row>
    <row r="77" spans="1:6" x14ac:dyDescent="0.2">
      <c r="A77" s="26" t="s">
        <v>44</v>
      </c>
      <c r="B77" s="45"/>
      <c r="C77" s="45"/>
      <c r="D77" s="14"/>
      <c r="E77" s="6">
        <f>SUM(E55:E76)</f>
        <v>166131.76477000001</v>
      </c>
      <c r="F77" s="6">
        <f>SUM(F55:F76)</f>
        <v>32.135254402266952</v>
      </c>
    </row>
    <row r="78" spans="1:6" x14ac:dyDescent="0.2">
      <c r="A78" s="45"/>
      <c r="B78" s="45"/>
      <c r="C78" s="45"/>
      <c r="D78" s="14"/>
      <c r="E78" s="7"/>
      <c r="F78" s="7"/>
    </row>
    <row r="79" spans="1:6" x14ac:dyDescent="0.2">
      <c r="A79" s="26" t="s">
        <v>886</v>
      </c>
      <c r="B79" s="45"/>
      <c r="C79" s="45"/>
      <c r="D79" s="14"/>
      <c r="E79" s="7"/>
      <c r="F79" s="7"/>
    </row>
    <row r="80" spans="1:6" x14ac:dyDescent="0.2">
      <c r="A80" s="26" t="s">
        <v>887</v>
      </c>
      <c r="B80" s="45"/>
      <c r="C80" s="45"/>
      <c r="D80" s="14"/>
      <c r="E80" s="7"/>
      <c r="F80" s="7"/>
    </row>
    <row r="81" spans="1:6" x14ac:dyDescent="0.2">
      <c r="A81" s="45" t="s">
        <v>1218</v>
      </c>
      <c r="B81" s="45" t="s">
        <v>1834</v>
      </c>
      <c r="C81" s="45" t="s">
        <v>889</v>
      </c>
      <c r="D81" s="14">
        <v>7500</v>
      </c>
      <c r="E81" s="7">
        <v>7206.0450000000001</v>
      </c>
      <c r="F81" s="7">
        <v>1.39388207685494</v>
      </c>
    </row>
    <row r="82" spans="1:6" x14ac:dyDescent="0.2">
      <c r="A82" s="45" t="s">
        <v>1075</v>
      </c>
      <c r="B82" s="45" t="s">
        <v>1724</v>
      </c>
      <c r="C82" s="45" t="s">
        <v>889</v>
      </c>
      <c r="D82" s="14">
        <v>2000</v>
      </c>
      <c r="E82" s="7">
        <v>1973.462</v>
      </c>
      <c r="F82" s="7">
        <v>0.38173135348923098</v>
      </c>
    </row>
    <row r="83" spans="1:6" x14ac:dyDescent="0.2">
      <c r="A83" s="45" t="s">
        <v>1069</v>
      </c>
      <c r="B83" s="45" t="s">
        <v>1719</v>
      </c>
      <c r="C83" s="45" t="s">
        <v>1070</v>
      </c>
      <c r="D83" s="14">
        <v>2000</v>
      </c>
      <c r="E83" s="7">
        <v>1971.242</v>
      </c>
      <c r="F83" s="7">
        <v>0.381301933715885</v>
      </c>
    </row>
    <row r="84" spans="1:6" x14ac:dyDescent="0.2">
      <c r="A84" s="26" t="s">
        <v>44</v>
      </c>
      <c r="B84" s="45"/>
      <c r="C84" s="45"/>
      <c r="D84" s="14"/>
      <c r="E84" s="6">
        <f>SUM(E81:E83)</f>
        <v>11150.749</v>
      </c>
      <c r="F84" s="6">
        <f>SUM(F81:F83)</f>
        <v>2.156915364060056</v>
      </c>
    </row>
    <row r="85" spans="1:6" x14ac:dyDescent="0.2">
      <c r="A85" s="45"/>
      <c r="B85" s="45"/>
      <c r="C85" s="45"/>
      <c r="D85" s="14"/>
      <c r="E85" s="7"/>
      <c r="F85" s="7"/>
    </row>
    <row r="86" spans="1:6" x14ac:dyDescent="0.2">
      <c r="A86" s="26" t="s">
        <v>890</v>
      </c>
      <c r="B86" s="45"/>
      <c r="C86" s="45"/>
      <c r="D86" s="14"/>
      <c r="E86" s="7"/>
      <c r="F86" s="7"/>
    </row>
    <row r="87" spans="1:6" x14ac:dyDescent="0.2">
      <c r="A87" s="45" t="s">
        <v>1219</v>
      </c>
      <c r="B87" s="45" t="s">
        <v>1835</v>
      </c>
      <c r="C87" s="45" t="s">
        <v>894</v>
      </c>
      <c r="D87" s="14">
        <v>4300</v>
      </c>
      <c r="E87" s="7">
        <v>19956.837500000001</v>
      </c>
      <c r="F87" s="7">
        <v>3.8602975837587099</v>
      </c>
    </row>
    <row r="88" spans="1:6" x14ac:dyDescent="0.2">
      <c r="A88" s="45" t="s">
        <v>1220</v>
      </c>
      <c r="B88" s="45" t="s">
        <v>1836</v>
      </c>
      <c r="C88" s="45" t="s">
        <v>1070</v>
      </c>
      <c r="D88" s="14">
        <v>4000</v>
      </c>
      <c r="E88" s="7">
        <v>19151.86</v>
      </c>
      <c r="F88" s="7">
        <v>3.7045889100657901</v>
      </c>
    </row>
    <row r="89" spans="1:6" x14ac:dyDescent="0.2">
      <c r="A89" s="45" t="s">
        <v>891</v>
      </c>
      <c r="B89" s="45" t="s">
        <v>1593</v>
      </c>
      <c r="C89" s="45" t="s">
        <v>892</v>
      </c>
      <c r="D89" s="14">
        <v>2500</v>
      </c>
      <c r="E89" s="7">
        <v>12410</v>
      </c>
      <c r="F89" s="7">
        <v>2.40049521946779</v>
      </c>
    </row>
    <row r="90" spans="1:6" x14ac:dyDescent="0.2">
      <c r="A90" s="45" t="s">
        <v>1108</v>
      </c>
      <c r="B90" s="45" t="s">
        <v>1756</v>
      </c>
      <c r="C90" s="45" t="s">
        <v>889</v>
      </c>
      <c r="D90" s="14">
        <v>2000</v>
      </c>
      <c r="E90" s="7">
        <v>9588.18</v>
      </c>
      <c r="F90" s="7">
        <v>1.8546640010795099</v>
      </c>
    </row>
    <row r="91" spans="1:6" x14ac:dyDescent="0.2">
      <c r="A91" s="45" t="s">
        <v>1096</v>
      </c>
      <c r="B91" s="45" t="s">
        <v>1744</v>
      </c>
      <c r="C91" s="45" t="s">
        <v>889</v>
      </c>
      <c r="D91" s="14">
        <v>1000</v>
      </c>
      <c r="E91" s="7">
        <v>4856.3050000000003</v>
      </c>
      <c r="F91" s="7">
        <v>0.93936639297159896</v>
      </c>
    </row>
    <row r="92" spans="1:6" x14ac:dyDescent="0.2">
      <c r="A92" s="45" t="s">
        <v>897</v>
      </c>
      <c r="B92" s="45" t="s">
        <v>1597</v>
      </c>
      <c r="C92" s="45" t="s">
        <v>894</v>
      </c>
      <c r="D92" s="14">
        <v>800</v>
      </c>
      <c r="E92" s="7">
        <v>3754.64</v>
      </c>
      <c r="F92" s="7">
        <v>0.72626876477216396</v>
      </c>
    </row>
    <row r="93" spans="1:6" x14ac:dyDescent="0.2">
      <c r="A93" s="45" t="s">
        <v>1105</v>
      </c>
      <c r="B93" s="45" t="s">
        <v>1753</v>
      </c>
      <c r="C93" s="45" t="s">
        <v>889</v>
      </c>
      <c r="D93" s="14">
        <v>500</v>
      </c>
      <c r="E93" s="7">
        <v>2468.6525000000001</v>
      </c>
      <c r="F93" s="7">
        <v>0.477517205864401</v>
      </c>
    </row>
    <row r="94" spans="1:6" x14ac:dyDescent="0.2">
      <c r="A94" s="45" t="s">
        <v>898</v>
      </c>
      <c r="B94" s="45" t="s">
        <v>1598</v>
      </c>
      <c r="C94" s="45" t="s">
        <v>894</v>
      </c>
      <c r="D94" s="14">
        <v>500</v>
      </c>
      <c r="E94" s="7">
        <v>2467</v>
      </c>
      <c r="F94" s="7">
        <v>0.477197558938521</v>
      </c>
    </row>
    <row r="95" spans="1:6" x14ac:dyDescent="0.2">
      <c r="A95" s="45" t="s">
        <v>1103</v>
      </c>
      <c r="B95" s="45" t="s">
        <v>1751</v>
      </c>
      <c r="C95" s="45" t="s">
        <v>889</v>
      </c>
      <c r="D95" s="14">
        <v>400</v>
      </c>
      <c r="E95" s="7">
        <v>1973.394</v>
      </c>
      <c r="F95" s="7">
        <v>0.38171820009076801</v>
      </c>
    </row>
    <row r="96" spans="1:6" x14ac:dyDescent="0.2">
      <c r="A96" s="45" t="s">
        <v>1100</v>
      </c>
      <c r="B96" s="45" t="s">
        <v>1748</v>
      </c>
      <c r="C96" s="45" t="s">
        <v>1092</v>
      </c>
      <c r="D96" s="14">
        <v>396</v>
      </c>
      <c r="E96" s="7">
        <v>1952.98488</v>
      </c>
      <c r="F96" s="7">
        <v>0.37777041644906401</v>
      </c>
    </row>
    <row r="97" spans="1:6" x14ac:dyDescent="0.2">
      <c r="A97" s="45" t="s">
        <v>1122</v>
      </c>
      <c r="B97" s="45" t="s">
        <v>1770</v>
      </c>
      <c r="C97" s="45" t="s">
        <v>894</v>
      </c>
      <c r="D97" s="14">
        <v>100</v>
      </c>
      <c r="E97" s="7">
        <v>487.60050000000001</v>
      </c>
      <c r="F97" s="7">
        <v>9.4317700987921499E-2</v>
      </c>
    </row>
    <row r="98" spans="1:6" x14ac:dyDescent="0.2">
      <c r="A98" s="26" t="s">
        <v>44</v>
      </c>
      <c r="B98" s="45"/>
      <c r="C98" s="45"/>
      <c r="D98" s="45"/>
      <c r="E98" s="6">
        <f>SUM(E87:E97)</f>
        <v>79067.454379999996</v>
      </c>
      <c r="F98" s="6">
        <f>SUM(F87:F97)</f>
        <v>15.294201954446239</v>
      </c>
    </row>
    <row r="99" spans="1:6" x14ac:dyDescent="0.2">
      <c r="A99" s="45"/>
      <c r="B99" s="45"/>
      <c r="C99" s="45"/>
      <c r="D99" s="45"/>
      <c r="E99" s="7"/>
      <c r="F99" s="7"/>
    </row>
    <row r="100" spans="1:6" x14ac:dyDescent="0.2">
      <c r="A100" s="26" t="s">
        <v>44</v>
      </c>
      <c r="B100" s="45"/>
      <c r="C100" s="45"/>
      <c r="D100" s="45"/>
      <c r="E100" s="6">
        <f>E52+E77+E84+E98</f>
        <v>523110.02983999992</v>
      </c>
      <c r="F100" s="6">
        <f>F52+F77+F84+F98</f>
        <v>101.18639209400284</v>
      </c>
    </row>
    <row r="101" spans="1:6" x14ac:dyDescent="0.2">
      <c r="A101" s="45"/>
      <c r="B101" s="45"/>
      <c r="C101" s="45"/>
      <c r="D101" s="45"/>
      <c r="E101" s="7"/>
      <c r="F101" s="7"/>
    </row>
    <row r="102" spans="1:6" x14ac:dyDescent="0.2">
      <c r="A102" s="26" t="s">
        <v>103</v>
      </c>
      <c r="B102" s="45"/>
      <c r="C102" s="45"/>
      <c r="D102" s="45"/>
      <c r="E102" s="6">
        <v>-6133.3703776000002</v>
      </c>
      <c r="F102" s="6">
        <v>-1.19</v>
      </c>
    </row>
    <row r="103" spans="1:6" x14ac:dyDescent="0.2">
      <c r="A103" s="45"/>
      <c r="B103" s="45"/>
      <c r="C103" s="45"/>
      <c r="D103" s="45"/>
      <c r="E103" s="7"/>
      <c r="F103" s="7"/>
    </row>
    <row r="104" spans="1:6" x14ac:dyDescent="0.2">
      <c r="A104" s="46" t="s">
        <v>104</v>
      </c>
      <c r="B104" s="44"/>
      <c r="C104" s="44"/>
      <c r="D104" s="44"/>
      <c r="E104" s="8">
        <f>E100+E102</f>
        <v>516976.6594623999</v>
      </c>
      <c r="F104" s="8">
        <f>F100+F102</f>
        <v>99.996392094002843</v>
      </c>
    </row>
    <row r="105" spans="1:6" x14ac:dyDescent="0.2">
      <c r="A105" s="4" t="s">
        <v>1983</v>
      </c>
    </row>
    <row r="106" spans="1:6" x14ac:dyDescent="0.2">
      <c r="A106" s="47" t="s">
        <v>768</v>
      </c>
    </row>
    <row r="107" spans="1:6" x14ac:dyDescent="0.2">
      <c r="A107" s="47" t="s">
        <v>1984</v>
      </c>
    </row>
    <row r="108" spans="1:6" x14ac:dyDescent="0.2">
      <c r="A108" s="47"/>
    </row>
    <row r="109" spans="1:6" x14ac:dyDescent="0.2">
      <c r="A109" s="4" t="s">
        <v>105</v>
      </c>
    </row>
    <row r="110" spans="1:6" x14ac:dyDescent="0.2">
      <c r="A110" s="4" t="s">
        <v>769</v>
      </c>
    </row>
    <row r="111" spans="1:6" x14ac:dyDescent="0.2">
      <c r="A111" s="4" t="s">
        <v>107</v>
      </c>
    </row>
    <row r="112" spans="1:6" x14ac:dyDescent="0.2">
      <c r="A112" s="2" t="s">
        <v>666</v>
      </c>
      <c r="D112" s="10">
        <v>21.9087</v>
      </c>
    </row>
    <row r="113" spans="1:4" x14ac:dyDescent="0.2">
      <c r="A113" s="2" t="s">
        <v>1221</v>
      </c>
      <c r="D113" s="10">
        <v>10.5838</v>
      </c>
    </row>
    <row r="114" spans="1:4" x14ac:dyDescent="0.2">
      <c r="A114" s="2" t="s">
        <v>1222</v>
      </c>
      <c r="D114" s="10">
        <v>10.464399999999999</v>
      </c>
    </row>
    <row r="115" spans="1:4" x14ac:dyDescent="0.2">
      <c r="A115" s="2" t="s">
        <v>668</v>
      </c>
      <c r="D115" s="10">
        <v>22.3551</v>
      </c>
    </row>
    <row r="116" spans="1:4" x14ac:dyDescent="0.2">
      <c r="A116" s="2" t="s">
        <v>1223</v>
      </c>
      <c r="D116" s="10">
        <v>10.8706</v>
      </c>
    </row>
    <row r="117" spans="1:4" x14ac:dyDescent="0.2">
      <c r="A117" s="2" t="s">
        <v>1224</v>
      </c>
      <c r="D117" s="10">
        <v>10.751899999999999</v>
      </c>
    </row>
    <row r="119" spans="1:4" x14ac:dyDescent="0.2">
      <c r="A119" s="4" t="s">
        <v>108</v>
      </c>
    </row>
    <row r="120" spans="1:4" x14ac:dyDescent="0.2">
      <c r="A120" s="2" t="s">
        <v>666</v>
      </c>
      <c r="D120" s="10">
        <v>22.615600000000001</v>
      </c>
    </row>
    <row r="121" spans="1:4" x14ac:dyDescent="0.2">
      <c r="A121" s="2" t="s">
        <v>1221</v>
      </c>
      <c r="D121" s="10">
        <v>10.4992</v>
      </c>
    </row>
    <row r="122" spans="1:4" x14ac:dyDescent="0.2">
      <c r="A122" s="2" t="s">
        <v>1222</v>
      </c>
      <c r="D122" s="10">
        <v>10.3941</v>
      </c>
    </row>
    <row r="123" spans="1:4" x14ac:dyDescent="0.2">
      <c r="A123" s="2" t="s">
        <v>668</v>
      </c>
      <c r="D123" s="10">
        <v>23.1204</v>
      </c>
    </row>
    <row r="124" spans="1:4" x14ac:dyDescent="0.2">
      <c r="A124" s="2" t="s">
        <v>1223</v>
      </c>
      <c r="D124" s="10">
        <v>10.8163</v>
      </c>
    </row>
    <row r="125" spans="1:4" x14ac:dyDescent="0.2">
      <c r="A125" s="2" t="s">
        <v>1224</v>
      </c>
      <c r="D125" s="10">
        <v>10.711600000000001</v>
      </c>
    </row>
    <row r="127" spans="1:4" x14ac:dyDescent="0.2">
      <c r="A127" s="4" t="s">
        <v>109</v>
      </c>
      <c r="D127" s="30" t="s">
        <v>325</v>
      </c>
    </row>
    <row r="128" spans="1:4" x14ac:dyDescent="0.2">
      <c r="A128" s="90" t="s">
        <v>670</v>
      </c>
      <c r="B128" s="91"/>
      <c r="C128" s="94" t="s">
        <v>671</v>
      </c>
      <c r="D128" s="94"/>
    </row>
    <row r="129" spans="1:5" x14ac:dyDescent="0.2">
      <c r="A129" s="95"/>
      <c r="B129" s="95"/>
      <c r="C129" s="33" t="s">
        <v>672</v>
      </c>
      <c r="D129" s="33" t="s">
        <v>673</v>
      </c>
    </row>
    <row r="130" spans="1:5" x14ac:dyDescent="0.2">
      <c r="A130" s="34" t="s">
        <v>1221</v>
      </c>
      <c r="B130" s="35"/>
      <c r="C130" s="52">
        <v>0.30253553400000005</v>
      </c>
      <c r="D130" s="52">
        <v>0.28014941220000006</v>
      </c>
    </row>
    <row r="131" spans="1:5" x14ac:dyDescent="0.2">
      <c r="A131" s="34" t="s">
        <v>1222</v>
      </c>
      <c r="B131" s="35"/>
      <c r="C131" s="52">
        <v>0.28812908000000004</v>
      </c>
      <c r="D131" s="52">
        <v>0.26680896400000004</v>
      </c>
    </row>
    <row r="132" spans="1:5" x14ac:dyDescent="0.2">
      <c r="A132" s="34" t="s">
        <v>1223</v>
      </c>
      <c r="B132" s="35"/>
      <c r="C132" s="52">
        <v>0.30253553400000005</v>
      </c>
      <c r="D132" s="52">
        <v>0.28014941220000006</v>
      </c>
    </row>
    <row r="133" spans="1:5" x14ac:dyDescent="0.2">
      <c r="A133" s="34" t="s">
        <v>1224</v>
      </c>
      <c r="B133" s="35"/>
      <c r="C133" s="52">
        <v>0.28812908000000004</v>
      </c>
      <c r="D133" s="52">
        <v>0.26680896400000004</v>
      </c>
    </row>
    <row r="135" spans="1:5" x14ac:dyDescent="0.2">
      <c r="A135" s="4" t="s">
        <v>770</v>
      </c>
      <c r="D135" s="29">
        <v>1.2439393105911778</v>
      </c>
      <c r="E135" s="1" t="s">
        <v>771</v>
      </c>
    </row>
    <row r="137" spans="1:5" x14ac:dyDescent="0.2">
      <c r="A137" s="4" t="s">
        <v>1989</v>
      </c>
      <c r="D137" s="50">
        <v>2</v>
      </c>
    </row>
    <row r="138" spans="1:5" x14ac:dyDescent="0.2">
      <c r="A138" s="4" t="s">
        <v>772</v>
      </c>
    </row>
    <row r="139" spans="1:5" ht="15" x14ac:dyDescent="0.25">
      <c r="A139" s="51" t="s">
        <v>773</v>
      </c>
    </row>
  </sheetData>
  <mergeCells count="4">
    <mergeCell ref="A1:F1"/>
    <mergeCell ref="A128:B128"/>
    <mergeCell ref="C128:D128"/>
    <mergeCell ref="A129:B129"/>
  </mergeCells>
  <hyperlinks>
    <hyperlink ref="A138" r:id="rId1" display="https://www.franklintempletonindia.com/investor/reports" xr:uid="{44791C75-247B-4ABA-90F6-ECCAED1D861D}"/>
    <hyperlink ref="A139" r:id="rId2" xr:uid="{CEF2EC85-BA34-48FA-A2F7-390BEC36451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3C1A-D68E-47E5-90D7-8B7FB07B38E7}">
  <sheetPr codeName="Sheet32"/>
  <dimension ref="A1:F40"/>
  <sheetViews>
    <sheetView showGridLines="0" workbookViewId="0">
      <selection sqref="A1:F1"/>
    </sheetView>
  </sheetViews>
  <sheetFormatPr defaultColWidth="8.7109375" defaultRowHeight="11.25" x14ac:dyDescent="0.2"/>
  <cols>
    <col min="1" max="1" width="59.85546875" style="2" bestFit="1" customWidth="1"/>
    <col min="2" max="2" width="22.425781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1225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963</v>
      </c>
      <c r="B5" s="45"/>
      <c r="C5" s="45"/>
      <c r="D5" s="45"/>
      <c r="E5" s="7"/>
      <c r="F5" s="7"/>
    </row>
    <row r="6" spans="1:6" x14ac:dyDescent="0.2">
      <c r="A6" s="45" t="s">
        <v>964</v>
      </c>
      <c r="B6" s="45" t="s">
        <v>1418</v>
      </c>
      <c r="C6" s="45" t="s">
        <v>965</v>
      </c>
      <c r="D6" s="45">
        <v>7350000</v>
      </c>
      <c r="E6" s="7">
        <v>7705.0637999999999</v>
      </c>
      <c r="F6" s="7">
        <v>32.230089439938197</v>
      </c>
    </row>
    <row r="7" spans="1:6" x14ac:dyDescent="0.2">
      <c r="A7" s="45" t="s">
        <v>1226</v>
      </c>
      <c r="B7" s="45" t="s">
        <v>1417</v>
      </c>
      <c r="C7" s="45" t="s">
        <v>965</v>
      </c>
      <c r="D7" s="45">
        <v>6700000</v>
      </c>
      <c r="E7" s="7">
        <v>6980.1605</v>
      </c>
      <c r="F7" s="7">
        <v>29.197837040638699</v>
      </c>
    </row>
    <row r="8" spans="1:6" x14ac:dyDescent="0.2">
      <c r="A8" s="45" t="s">
        <v>967</v>
      </c>
      <c r="B8" s="45" t="s">
        <v>1420</v>
      </c>
      <c r="C8" s="45" t="s">
        <v>965</v>
      </c>
      <c r="D8" s="45">
        <v>5200000</v>
      </c>
      <c r="E8" s="7">
        <v>5193.6404000000002</v>
      </c>
      <c r="F8" s="7">
        <v>21.7248680810244</v>
      </c>
    </row>
    <row r="9" spans="1:6" x14ac:dyDescent="0.2">
      <c r="A9" s="45" t="s">
        <v>966</v>
      </c>
      <c r="B9" s="45" t="s">
        <v>1419</v>
      </c>
      <c r="C9" s="45" t="s">
        <v>965</v>
      </c>
      <c r="D9" s="45">
        <v>2750000</v>
      </c>
      <c r="E9" s="7">
        <v>2864.6282500000002</v>
      </c>
      <c r="F9" s="7">
        <v>11.982668425104301</v>
      </c>
    </row>
    <row r="10" spans="1:6" x14ac:dyDescent="0.2">
      <c r="A10" s="26" t="s">
        <v>44</v>
      </c>
      <c r="B10" s="45"/>
      <c r="C10" s="45"/>
      <c r="D10" s="45"/>
      <c r="E10" s="6">
        <f>SUM(E6:E9)</f>
        <v>22743.49295</v>
      </c>
      <c r="F10" s="6">
        <f>SUM(F6:F9)</f>
        <v>95.135462986705591</v>
      </c>
    </row>
    <row r="11" spans="1:6" x14ac:dyDescent="0.2">
      <c r="A11" s="45"/>
      <c r="B11" s="45"/>
      <c r="C11" s="45"/>
      <c r="D11" s="45"/>
      <c r="E11" s="7"/>
      <c r="F11" s="7"/>
    </row>
    <row r="12" spans="1:6" x14ac:dyDescent="0.2">
      <c r="A12" s="26" t="s">
        <v>44</v>
      </c>
      <c r="B12" s="45"/>
      <c r="C12" s="45"/>
      <c r="D12" s="45"/>
      <c r="E12" s="6">
        <v>22743.49295</v>
      </c>
      <c r="F12" s="6">
        <v>95.135462986705591</v>
      </c>
    </row>
    <row r="13" spans="1:6" x14ac:dyDescent="0.2">
      <c r="A13" s="45"/>
      <c r="B13" s="45"/>
      <c r="C13" s="45"/>
      <c r="D13" s="45"/>
      <c r="E13" s="7"/>
      <c r="F13" s="7"/>
    </row>
    <row r="14" spans="1:6" x14ac:dyDescent="0.2">
      <c r="A14" s="26" t="s">
        <v>103</v>
      </c>
      <c r="B14" s="45"/>
      <c r="C14" s="45"/>
      <c r="D14" s="45"/>
      <c r="E14" s="6">
        <v>1162.9400903000001</v>
      </c>
      <c r="F14" s="6">
        <v>4.8600000000000003</v>
      </c>
    </row>
    <row r="15" spans="1:6" x14ac:dyDescent="0.2">
      <c r="A15" s="45"/>
      <c r="B15" s="45"/>
      <c r="C15" s="45"/>
      <c r="D15" s="45"/>
      <c r="E15" s="7"/>
      <c r="F15" s="7"/>
    </row>
    <row r="16" spans="1:6" x14ac:dyDescent="0.2">
      <c r="A16" s="46" t="s">
        <v>104</v>
      </c>
      <c r="B16" s="44"/>
      <c r="C16" s="44"/>
      <c r="D16" s="44"/>
      <c r="E16" s="8">
        <v>23906.4300903</v>
      </c>
      <c r="F16" s="8">
        <f xml:space="preserve"> ROUND(SUM(F12:F15),2)</f>
        <v>100</v>
      </c>
    </row>
    <row r="18" spans="1:4" x14ac:dyDescent="0.2">
      <c r="A18" s="4" t="s">
        <v>105</v>
      </c>
    </row>
    <row r="19" spans="1:4" x14ac:dyDescent="0.2">
      <c r="A19" s="4" t="s">
        <v>769</v>
      </c>
    </row>
    <row r="20" spans="1:4" x14ac:dyDescent="0.2">
      <c r="A20" s="4" t="s">
        <v>107</v>
      </c>
    </row>
    <row r="21" spans="1:4" x14ac:dyDescent="0.2">
      <c r="A21" s="2" t="s">
        <v>1227</v>
      </c>
      <c r="D21" s="10">
        <v>42.585900000000002</v>
      </c>
    </row>
    <row r="22" spans="1:4" x14ac:dyDescent="0.2">
      <c r="A22" s="2" t="s">
        <v>1228</v>
      </c>
      <c r="D22" s="10">
        <v>11.05</v>
      </c>
    </row>
    <row r="23" spans="1:4" x14ac:dyDescent="0.2">
      <c r="A23" s="2" t="s">
        <v>1229</v>
      </c>
      <c r="D23" s="10">
        <v>45.317399999999999</v>
      </c>
    </row>
    <row r="24" spans="1:4" x14ac:dyDescent="0.2">
      <c r="A24" s="2" t="s">
        <v>1230</v>
      </c>
      <c r="D24" s="10">
        <v>11.950699999999999</v>
      </c>
    </row>
    <row r="26" spans="1:4" x14ac:dyDescent="0.2">
      <c r="A26" s="4" t="s">
        <v>108</v>
      </c>
    </row>
    <row r="27" spans="1:4" x14ac:dyDescent="0.2">
      <c r="A27" s="2" t="s">
        <v>1227</v>
      </c>
      <c r="D27" s="10">
        <v>43.951500000000003</v>
      </c>
    </row>
    <row r="28" spans="1:4" x14ac:dyDescent="0.2">
      <c r="A28" s="2" t="s">
        <v>1228</v>
      </c>
      <c r="D28" s="10">
        <v>10.956300000000001</v>
      </c>
    </row>
    <row r="29" spans="1:4" x14ac:dyDescent="0.2">
      <c r="A29" s="2" t="s">
        <v>1229</v>
      </c>
      <c r="D29" s="10">
        <v>46.870800000000003</v>
      </c>
    </row>
    <row r="30" spans="1:4" x14ac:dyDescent="0.2">
      <c r="A30" s="2" t="s">
        <v>1230</v>
      </c>
      <c r="D30" s="10">
        <v>11.911300000000001</v>
      </c>
    </row>
    <row r="32" spans="1:4" x14ac:dyDescent="0.2">
      <c r="A32" s="4" t="s">
        <v>109</v>
      </c>
      <c r="D32" s="30" t="s">
        <v>325</v>
      </c>
    </row>
    <row r="33" spans="1:5" x14ac:dyDescent="0.2">
      <c r="A33" s="90" t="s">
        <v>670</v>
      </c>
      <c r="B33" s="91"/>
      <c r="C33" s="94" t="s">
        <v>671</v>
      </c>
      <c r="D33" s="94"/>
    </row>
    <row r="34" spans="1:5" x14ac:dyDescent="0.2">
      <c r="A34" s="95"/>
      <c r="B34" s="95"/>
      <c r="C34" s="33" t="s">
        <v>672</v>
      </c>
      <c r="D34" s="33" t="s">
        <v>673</v>
      </c>
    </row>
    <row r="35" spans="1:5" x14ac:dyDescent="0.2">
      <c r="A35" s="34" t="s">
        <v>1228</v>
      </c>
      <c r="B35" s="35"/>
      <c r="C35" s="52">
        <v>0.31694198800000001</v>
      </c>
      <c r="D35" s="52">
        <v>0.29348986040000002</v>
      </c>
    </row>
    <row r="36" spans="1:5" x14ac:dyDescent="0.2">
      <c r="A36" s="34" t="s">
        <v>1230</v>
      </c>
      <c r="B36" s="35"/>
      <c r="C36" s="52">
        <v>0.31694198800000001</v>
      </c>
      <c r="D36" s="52">
        <v>0.29348986040000002</v>
      </c>
    </row>
    <row r="38" spans="1:5" x14ac:dyDescent="0.2">
      <c r="A38" s="4" t="s">
        <v>770</v>
      </c>
      <c r="D38" s="29">
        <v>9.9149054023841536</v>
      </c>
      <c r="E38" s="1" t="s">
        <v>771</v>
      </c>
    </row>
    <row r="40" spans="1:5" x14ac:dyDescent="0.2">
      <c r="A40" s="4" t="s">
        <v>1989</v>
      </c>
      <c r="D40" s="53" t="s">
        <v>110</v>
      </c>
    </row>
  </sheetData>
  <mergeCells count="4">
    <mergeCell ref="A1:F1"/>
    <mergeCell ref="A33:B33"/>
    <mergeCell ref="C33:D33"/>
    <mergeCell ref="A34:B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DF9F-B44F-416A-B5EF-F7B166880524}">
  <sheetPr codeName="Sheet33"/>
  <dimension ref="A1:F64"/>
  <sheetViews>
    <sheetView showGridLines="0" workbookViewId="0">
      <selection sqref="A1:F1"/>
    </sheetView>
  </sheetViews>
  <sheetFormatPr defaultColWidth="8.7109375" defaultRowHeight="11.25" x14ac:dyDescent="0.2"/>
  <cols>
    <col min="1" max="1" width="59.85546875" style="2" bestFit="1" customWidth="1"/>
    <col min="2" max="2" width="58.7109375" style="2" bestFit="1" customWidth="1"/>
    <col min="3" max="3" width="11.7109375" style="2" bestFit="1" customWidth="1"/>
    <col min="4" max="4" width="10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1231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719</v>
      </c>
      <c r="B8" s="45" t="s">
        <v>1459</v>
      </c>
      <c r="C8" s="45" t="s">
        <v>686</v>
      </c>
      <c r="D8" s="14">
        <v>200</v>
      </c>
      <c r="E8" s="7">
        <v>2025.6420000000001</v>
      </c>
      <c r="F8" s="7">
        <v>6.4105047422171602</v>
      </c>
    </row>
    <row r="9" spans="1:6" x14ac:dyDescent="0.2">
      <c r="A9" s="45" t="s">
        <v>856</v>
      </c>
      <c r="B9" s="45" t="s">
        <v>1564</v>
      </c>
      <c r="C9" s="45" t="s">
        <v>686</v>
      </c>
      <c r="D9" s="14">
        <v>200</v>
      </c>
      <c r="E9" s="7">
        <v>1973.9059999999999</v>
      </c>
      <c r="F9" s="7">
        <v>6.2467769594483604</v>
      </c>
    </row>
    <row r="10" spans="1:6" x14ac:dyDescent="0.2">
      <c r="A10" s="45" t="s">
        <v>716</v>
      </c>
      <c r="B10" s="45" t="s">
        <v>1456</v>
      </c>
      <c r="C10" s="45" t="s">
        <v>686</v>
      </c>
      <c r="D10" s="14">
        <v>150</v>
      </c>
      <c r="E10" s="7">
        <v>1559.7795000000001</v>
      </c>
      <c r="F10" s="7">
        <v>4.9361999215868897</v>
      </c>
    </row>
    <row r="11" spans="1:6" x14ac:dyDescent="0.2">
      <c r="A11" s="45" t="s">
        <v>807</v>
      </c>
      <c r="B11" s="45" t="s">
        <v>1518</v>
      </c>
      <c r="C11" s="45" t="s">
        <v>808</v>
      </c>
      <c r="D11" s="14">
        <v>150</v>
      </c>
      <c r="E11" s="7">
        <v>1506.1289999999999</v>
      </c>
      <c r="F11" s="7">
        <v>4.7664133627219396</v>
      </c>
    </row>
    <row r="12" spans="1:6" x14ac:dyDescent="0.2">
      <c r="A12" s="45" t="s">
        <v>993</v>
      </c>
      <c r="B12" s="45" t="s">
        <v>1663</v>
      </c>
      <c r="C12" s="45" t="s">
        <v>684</v>
      </c>
      <c r="D12" s="14">
        <v>120</v>
      </c>
      <c r="E12" s="7">
        <v>1231.3104000000001</v>
      </c>
      <c r="F12" s="7">
        <v>3.8967009759578999</v>
      </c>
    </row>
    <row r="13" spans="1:6" x14ac:dyDescent="0.2">
      <c r="A13" s="45" t="s">
        <v>1232</v>
      </c>
      <c r="B13" s="45" t="s">
        <v>1837</v>
      </c>
      <c r="C13" s="45" t="s">
        <v>690</v>
      </c>
      <c r="D13" s="14">
        <v>100</v>
      </c>
      <c r="E13" s="7">
        <v>1041.893</v>
      </c>
      <c r="F13" s="7">
        <v>3.2972558909140202</v>
      </c>
    </row>
    <row r="14" spans="1:6" x14ac:dyDescent="0.2">
      <c r="A14" s="45" t="s">
        <v>1233</v>
      </c>
      <c r="B14" s="45" t="s">
        <v>1838</v>
      </c>
      <c r="C14" s="45" t="s">
        <v>1234</v>
      </c>
      <c r="D14" s="14">
        <v>100</v>
      </c>
      <c r="E14" s="7">
        <v>1015.457</v>
      </c>
      <c r="F14" s="7">
        <v>3.2135944624062902</v>
      </c>
    </row>
    <row r="15" spans="1:6" x14ac:dyDescent="0.2">
      <c r="A15" s="45" t="s">
        <v>727</v>
      </c>
      <c r="B15" s="45" t="s">
        <v>1466</v>
      </c>
      <c r="C15" s="45" t="s">
        <v>728</v>
      </c>
      <c r="D15" s="14">
        <v>100</v>
      </c>
      <c r="E15" s="7">
        <v>1003.306</v>
      </c>
      <c r="F15" s="7">
        <v>3.1751404596147399</v>
      </c>
    </row>
    <row r="16" spans="1:6" x14ac:dyDescent="0.2">
      <c r="A16" s="45" t="s">
        <v>778</v>
      </c>
      <c r="B16" s="45" t="s">
        <v>1493</v>
      </c>
      <c r="C16" s="45" t="s">
        <v>779</v>
      </c>
      <c r="D16" s="14">
        <v>100</v>
      </c>
      <c r="E16" s="7">
        <v>1001.426</v>
      </c>
      <c r="F16" s="7">
        <v>3.1691908649107599</v>
      </c>
    </row>
    <row r="17" spans="1:6" x14ac:dyDescent="0.2">
      <c r="A17" s="45" t="s">
        <v>780</v>
      </c>
      <c r="B17" s="45" t="s">
        <v>1494</v>
      </c>
      <c r="C17" s="45" t="s">
        <v>696</v>
      </c>
      <c r="D17" s="14">
        <v>100</v>
      </c>
      <c r="E17" s="7">
        <v>1000.189</v>
      </c>
      <c r="F17" s="7">
        <v>3.1652761581826598</v>
      </c>
    </row>
    <row r="18" spans="1:6" x14ac:dyDescent="0.2">
      <c r="A18" s="45" t="s">
        <v>825</v>
      </c>
      <c r="B18" s="45" t="s">
        <v>1534</v>
      </c>
      <c r="C18" s="45" t="s">
        <v>708</v>
      </c>
      <c r="D18" s="14">
        <v>100</v>
      </c>
      <c r="E18" s="7">
        <v>980.07500000000005</v>
      </c>
      <c r="F18" s="7">
        <v>3.1016218242060898</v>
      </c>
    </row>
    <row r="19" spans="1:6" x14ac:dyDescent="0.2">
      <c r="A19" s="45" t="s">
        <v>795</v>
      </c>
      <c r="B19" s="45" t="s">
        <v>1508</v>
      </c>
      <c r="C19" s="45" t="s">
        <v>690</v>
      </c>
      <c r="D19" s="14">
        <v>85</v>
      </c>
      <c r="E19" s="7">
        <v>845.71175000000005</v>
      </c>
      <c r="F19" s="7">
        <v>2.6764053983496501</v>
      </c>
    </row>
    <row r="20" spans="1:6" x14ac:dyDescent="0.2">
      <c r="A20" s="45" t="s">
        <v>796</v>
      </c>
      <c r="B20" s="45" t="s">
        <v>1509</v>
      </c>
      <c r="C20" s="45" t="s">
        <v>688</v>
      </c>
      <c r="D20" s="14">
        <v>75</v>
      </c>
      <c r="E20" s="7">
        <v>750.26850000000002</v>
      </c>
      <c r="F20" s="7">
        <v>2.3743582415778102</v>
      </c>
    </row>
    <row r="21" spans="1:6" x14ac:dyDescent="0.2">
      <c r="A21" s="45" t="s">
        <v>816</v>
      </c>
      <c r="B21" s="45" t="s">
        <v>1525</v>
      </c>
      <c r="C21" s="45" t="s">
        <v>712</v>
      </c>
      <c r="D21" s="14">
        <v>60</v>
      </c>
      <c r="E21" s="7">
        <v>600.74339999999995</v>
      </c>
      <c r="F21" s="7">
        <v>1.90115944207104</v>
      </c>
    </row>
    <row r="22" spans="1:6" x14ac:dyDescent="0.2">
      <c r="A22" s="45" t="s">
        <v>854</v>
      </c>
      <c r="B22" s="45" t="s">
        <v>1562</v>
      </c>
      <c r="C22" s="45" t="s">
        <v>686</v>
      </c>
      <c r="D22" s="14">
        <v>50</v>
      </c>
      <c r="E22" s="7">
        <v>510.10500000000002</v>
      </c>
      <c r="F22" s="7">
        <v>1.61431808855103</v>
      </c>
    </row>
    <row r="23" spans="1:6" x14ac:dyDescent="0.2">
      <c r="A23" s="26" t="s">
        <v>44</v>
      </c>
      <c r="B23" s="45"/>
      <c r="C23" s="45"/>
      <c r="D23" s="14"/>
      <c r="E23" s="6">
        <f>SUM(E8:E22)</f>
        <v>17045.94155</v>
      </c>
      <c r="F23" s="6">
        <f>SUM(F8:F22)</f>
        <v>53.944916792716334</v>
      </c>
    </row>
    <row r="24" spans="1:6" x14ac:dyDescent="0.2">
      <c r="A24" s="45"/>
      <c r="B24" s="45"/>
      <c r="C24" s="45"/>
      <c r="D24" s="14"/>
      <c r="E24" s="7"/>
      <c r="F24" s="7"/>
    </row>
    <row r="25" spans="1:6" x14ac:dyDescent="0.2">
      <c r="A25" s="26" t="s">
        <v>886</v>
      </c>
      <c r="B25" s="45"/>
      <c r="C25" s="45"/>
      <c r="D25" s="14"/>
      <c r="E25" s="7"/>
      <c r="F25" s="7"/>
    </row>
    <row r="26" spans="1:6" x14ac:dyDescent="0.2">
      <c r="A26" s="26" t="s">
        <v>887</v>
      </c>
      <c r="B26" s="45"/>
      <c r="C26" s="45"/>
      <c r="D26" s="14"/>
      <c r="E26" s="7"/>
      <c r="F26" s="7"/>
    </row>
    <row r="27" spans="1:6" x14ac:dyDescent="0.2">
      <c r="A27" s="45" t="s">
        <v>1088</v>
      </c>
      <c r="B27" s="45" t="s">
        <v>1737</v>
      </c>
      <c r="C27" s="45" t="s">
        <v>889</v>
      </c>
      <c r="D27" s="14">
        <v>1500</v>
      </c>
      <c r="E27" s="7">
        <v>1498.0139999999999</v>
      </c>
      <c r="F27" s="7">
        <v>4.7407320004757496</v>
      </c>
    </row>
    <row r="28" spans="1:6" x14ac:dyDescent="0.2">
      <c r="A28" s="26" t="s">
        <v>44</v>
      </c>
      <c r="B28" s="45"/>
      <c r="C28" s="45"/>
      <c r="D28" s="14"/>
      <c r="E28" s="6">
        <f>SUM(E27:E27)</f>
        <v>1498.0139999999999</v>
      </c>
      <c r="F28" s="6">
        <f>SUM(F27:F27)</f>
        <v>4.7407320004757496</v>
      </c>
    </row>
    <row r="29" spans="1:6" x14ac:dyDescent="0.2">
      <c r="A29" s="45"/>
      <c r="B29" s="45"/>
      <c r="C29" s="45"/>
      <c r="D29" s="14"/>
      <c r="E29" s="7"/>
      <c r="F29" s="7"/>
    </row>
    <row r="30" spans="1:6" x14ac:dyDescent="0.2">
      <c r="A30" s="26" t="s">
        <v>963</v>
      </c>
      <c r="B30" s="45"/>
      <c r="C30" s="45"/>
      <c r="D30" s="14"/>
      <c r="E30" s="7"/>
      <c r="F30" s="7"/>
    </row>
    <row r="31" spans="1:6" x14ac:dyDescent="0.2">
      <c r="A31" s="45" t="s">
        <v>1235</v>
      </c>
      <c r="B31" s="45" t="s">
        <v>1236</v>
      </c>
      <c r="C31" s="45" t="s">
        <v>965</v>
      </c>
      <c r="D31" s="14">
        <v>9500000</v>
      </c>
      <c r="E31" s="7">
        <v>9480.9524999999994</v>
      </c>
      <c r="F31" s="7">
        <v>30.0041621184719</v>
      </c>
    </row>
    <row r="32" spans="1:6" x14ac:dyDescent="0.2">
      <c r="A32" s="45" t="s">
        <v>1237</v>
      </c>
      <c r="B32" s="45" t="s">
        <v>1982</v>
      </c>
      <c r="C32" s="45" t="s">
        <v>965</v>
      </c>
      <c r="D32" s="14">
        <v>2500000</v>
      </c>
      <c r="E32" s="7">
        <v>2538.0100000000002</v>
      </c>
      <c r="F32" s="7">
        <v>8.0319844971592094</v>
      </c>
    </row>
    <row r="33" spans="1:6" x14ac:dyDescent="0.2">
      <c r="A33" s="26" t="s">
        <v>44</v>
      </c>
      <c r="B33" s="45"/>
      <c r="C33" s="45"/>
      <c r="D33" s="45"/>
      <c r="E33" s="6">
        <f>SUM(E31:E32)</f>
        <v>12018.9625</v>
      </c>
      <c r="F33" s="6">
        <f>SUM(F31:F32)</f>
        <v>38.036146615631111</v>
      </c>
    </row>
    <row r="34" spans="1:6" x14ac:dyDescent="0.2">
      <c r="A34" s="45"/>
      <c r="B34" s="45"/>
      <c r="C34" s="45"/>
      <c r="D34" s="45"/>
      <c r="E34" s="7"/>
      <c r="F34" s="7"/>
    </row>
    <row r="35" spans="1:6" x14ac:dyDescent="0.2">
      <c r="A35" s="26" t="s">
        <v>44</v>
      </c>
      <c r="B35" s="45"/>
      <c r="C35" s="45"/>
      <c r="D35" s="45"/>
      <c r="E35" s="6">
        <v>30562.91805</v>
      </c>
      <c r="F35" s="6">
        <v>96.721795408823198</v>
      </c>
    </row>
    <row r="36" spans="1:6" x14ac:dyDescent="0.2">
      <c r="A36" s="45"/>
      <c r="B36" s="45"/>
      <c r="C36" s="45"/>
      <c r="D36" s="45"/>
      <c r="E36" s="7"/>
      <c r="F36" s="7"/>
    </row>
    <row r="37" spans="1:6" x14ac:dyDescent="0.2">
      <c r="A37" s="26" t="s">
        <v>103</v>
      </c>
      <c r="B37" s="45"/>
      <c r="C37" s="45"/>
      <c r="D37" s="45"/>
      <c r="E37" s="6">
        <v>1035.8710696000001</v>
      </c>
      <c r="F37" s="6">
        <v>3.28</v>
      </c>
    </row>
    <row r="38" spans="1:6" x14ac:dyDescent="0.2">
      <c r="A38" s="45"/>
      <c r="B38" s="45"/>
      <c r="C38" s="45"/>
      <c r="D38" s="45"/>
      <c r="E38" s="7"/>
      <c r="F38" s="7"/>
    </row>
    <row r="39" spans="1:6" x14ac:dyDescent="0.2">
      <c r="A39" s="46" t="s">
        <v>104</v>
      </c>
      <c r="B39" s="44"/>
      <c r="C39" s="44"/>
      <c r="D39" s="44"/>
      <c r="E39" s="8">
        <v>31598.7910696</v>
      </c>
      <c r="F39" s="8">
        <f xml:space="preserve"> ROUND(SUM(F35:F38),2)</f>
        <v>100</v>
      </c>
    </row>
    <row r="40" spans="1:6" x14ac:dyDescent="0.2">
      <c r="A40" s="4" t="s">
        <v>1983</v>
      </c>
    </row>
    <row r="41" spans="1:6" x14ac:dyDescent="0.2">
      <c r="A41" s="4"/>
    </row>
    <row r="42" spans="1:6" x14ac:dyDescent="0.2">
      <c r="A42" s="4" t="s">
        <v>105</v>
      </c>
    </row>
    <row r="43" spans="1:6" x14ac:dyDescent="0.2">
      <c r="A43" s="4" t="s">
        <v>769</v>
      </c>
    </row>
    <row r="44" spans="1:6" x14ac:dyDescent="0.2">
      <c r="A44" s="4" t="s">
        <v>107</v>
      </c>
    </row>
    <row r="45" spans="1:6" x14ac:dyDescent="0.2">
      <c r="A45" s="2" t="s">
        <v>666</v>
      </c>
      <c r="D45" s="10">
        <v>28.177</v>
      </c>
    </row>
    <row r="46" spans="1:6" x14ac:dyDescent="0.2">
      <c r="A46" s="2" t="s">
        <v>667</v>
      </c>
      <c r="D46" s="10">
        <v>10</v>
      </c>
    </row>
    <row r="47" spans="1:6" x14ac:dyDescent="0.2">
      <c r="A47" s="2" t="s">
        <v>668</v>
      </c>
      <c r="D47" s="10">
        <v>29.5017</v>
      </c>
    </row>
    <row r="48" spans="1:6" x14ac:dyDescent="0.2">
      <c r="A48" s="2" t="s">
        <v>669</v>
      </c>
      <c r="D48" s="10">
        <v>10.008100000000001</v>
      </c>
    </row>
    <row r="50" spans="1:5" x14ac:dyDescent="0.2">
      <c r="A50" s="4" t="s">
        <v>108</v>
      </c>
    </row>
    <row r="51" spans="1:5" x14ac:dyDescent="0.2">
      <c r="A51" s="2" t="s">
        <v>666</v>
      </c>
      <c r="D51" s="10">
        <v>29.3126</v>
      </c>
    </row>
    <row r="52" spans="1:5" x14ac:dyDescent="0.2">
      <c r="A52" s="2" t="s">
        <v>667</v>
      </c>
      <c r="D52" s="10">
        <v>10.0426</v>
      </c>
    </row>
    <row r="53" spans="1:5" x14ac:dyDescent="0.2">
      <c r="A53" s="2" t="s">
        <v>668</v>
      </c>
      <c r="D53" s="10">
        <v>30.768999999999998</v>
      </c>
    </row>
    <row r="54" spans="1:5" x14ac:dyDescent="0.2">
      <c r="A54" s="2" t="s">
        <v>669</v>
      </c>
      <c r="D54" s="10">
        <v>10.058</v>
      </c>
    </row>
    <row r="56" spans="1:5" x14ac:dyDescent="0.2">
      <c r="A56" s="4" t="s">
        <v>109</v>
      </c>
      <c r="D56" s="30" t="s">
        <v>325</v>
      </c>
    </row>
    <row r="57" spans="1:5" x14ac:dyDescent="0.2">
      <c r="A57" s="59" t="s">
        <v>670</v>
      </c>
      <c r="B57" s="60"/>
      <c r="C57" s="94" t="s">
        <v>671</v>
      </c>
      <c r="D57" s="94"/>
    </row>
    <row r="58" spans="1:5" x14ac:dyDescent="0.2">
      <c r="A58" s="95"/>
      <c r="B58" s="95"/>
      <c r="C58" s="33" t="s">
        <v>672</v>
      </c>
      <c r="D58" s="33" t="s">
        <v>673</v>
      </c>
    </row>
    <row r="59" spans="1:5" x14ac:dyDescent="0.2">
      <c r="A59" s="34" t="s">
        <v>667</v>
      </c>
      <c r="B59" s="35"/>
      <c r="C59" s="52">
        <v>0.25452539800000012</v>
      </c>
      <c r="D59" s="52">
        <v>0.2356917869999999</v>
      </c>
    </row>
    <row r="60" spans="1:5" x14ac:dyDescent="0.2">
      <c r="A60" s="34" t="s">
        <v>669</v>
      </c>
      <c r="B60" s="35"/>
      <c r="C60" s="52">
        <v>0.26763392589999996</v>
      </c>
      <c r="D60" s="52">
        <v>0.2478303493999999</v>
      </c>
    </row>
    <row r="62" spans="1:5" x14ac:dyDescent="0.2">
      <c r="A62" s="4" t="s">
        <v>770</v>
      </c>
      <c r="D62" s="29">
        <v>2.365430312592717</v>
      </c>
      <c r="E62" s="1" t="s">
        <v>771</v>
      </c>
    </row>
    <row r="64" spans="1:5" x14ac:dyDescent="0.2">
      <c r="A64" s="4" t="s">
        <v>1989</v>
      </c>
      <c r="D64" s="53" t="s">
        <v>110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6BE1-71DE-4E93-8FCC-C4A7E4CA7A06}">
  <sheetPr codeName="Sheet34"/>
  <dimension ref="A1:F134"/>
  <sheetViews>
    <sheetView showGridLines="0" workbookViewId="0">
      <selection sqref="A1:F1"/>
    </sheetView>
  </sheetViews>
  <sheetFormatPr defaultColWidth="8.7109375" defaultRowHeight="11.25" x14ac:dyDescent="0.2"/>
  <cols>
    <col min="1" max="1" width="59.85546875" style="2" bestFit="1" customWidth="1"/>
    <col min="2" max="2" width="69.140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8.7109375" style="2"/>
  </cols>
  <sheetData>
    <row r="1" spans="1:6" ht="15" customHeight="1" x14ac:dyDescent="0.2">
      <c r="A1" s="87" t="s">
        <v>1238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700</v>
      </c>
      <c r="B8" s="45" t="s">
        <v>1445</v>
      </c>
      <c r="C8" s="45" t="s">
        <v>688</v>
      </c>
      <c r="D8" s="14">
        <v>2750</v>
      </c>
      <c r="E8" s="7">
        <v>25752.622500000001</v>
      </c>
      <c r="F8" s="7">
        <f>E8/$E$105*100</f>
        <v>6.4685830598855869</v>
      </c>
    </row>
    <row r="9" spans="1:6" x14ac:dyDescent="0.2">
      <c r="A9" s="45" t="s">
        <v>777</v>
      </c>
      <c r="B9" s="45" t="s">
        <v>1492</v>
      </c>
      <c r="C9" s="45" t="s">
        <v>728</v>
      </c>
      <c r="D9" s="14">
        <v>1550</v>
      </c>
      <c r="E9" s="7">
        <v>15378.247499999999</v>
      </c>
      <c r="F9" s="7">
        <f t="shared" ref="F9:F61" si="0">E9/$E$105*100</f>
        <v>3.862731699236762</v>
      </c>
    </row>
    <row r="10" spans="1:6" x14ac:dyDescent="0.2">
      <c r="A10" s="45" t="s">
        <v>719</v>
      </c>
      <c r="B10" s="45" t="s">
        <v>1459</v>
      </c>
      <c r="C10" s="45" t="s">
        <v>686</v>
      </c>
      <c r="D10" s="14">
        <v>1200</v>
      </c>
      <c r="E10" s="7">
        <v>12153.852000000001</v>
      </c>
      <c r="F10" s="7">
        <f t="shared" si="0"/>
        <v>3.0528231118813842</v>
      </c>
    </row>
    <row r="11" spans="1:6" x14ac:dyDescent="0.2">
      <c r="A11" s="45" t="s">
        <v>706</v>
      </c>
      <c r="B11" s="45" t="s">
        <v>1449</v>
      </c>
      <c r="C11" s="45" t="s">
        <v>692</v>
      </c>
      <c r="D11" s="14">
        <v>1112</v>
      </c>
      <c r="E11" s="7">
        <v>11088.98632</v>
      </c>
      <c r="F11" s="7">
        <f t="shared" si="0"/>
        <v>2.7853485236641435</v>
      </c>
    </row>
    <row r="12" spans="1:6" x14ac:dyDescent="0.2">
      <c r="A12" s="45" t="s">
        <v>974</v>
      </c>
      <c r="B12" s="45" t="s">
        <v>1646</v>
      </c>
      <c r="C12" s="45" t="s">
        <v>779</v>
      </c>
      <c r="D12" s="14">
        <v>1000</v>
      </c>
      <c r="E12" s="7">
        <v>9999.02</v>
      </c>
      <c r="F12" s="7">
        <f t="shared" si="0"/>
        <v>2.5115691183473521</v>
      </c>
    </row>
    <row r="13" spans="1:6" x14ac:dyDescent="0.2">
      <c r="A13" s="45" t="s">
        <v>784</v>
      </c>
      <c r="B13" s="45" t="s">
        <v>1498</v>
      </c>
      <c r="C13" s="45" t="s">
        <v>690</v>
      </c>
      <c r="D13" s="14">
        <v>1000</v>
      </c>
      <c r="E13" s="7">
        <v>9977.08</v>
      </c>
      <c r="F13" s="7">
        <f t="shared" si="0"/>
        <v>2.5060581956312715</v>
      </c>
    </row>
    <row r="14" spans="1:6" x14ac:dyDescent="0.2">
      <c r="A14" s="45" t="s">
        <v>1239</v>
      </c>
      <c r="B14" s="45" t="s">
        <v>1839</v>
      </c>
      <c r="C14" s="45" t="s">
        <v>705</v>
      </c>
      <c r="D14" s="14">
        <v>1000</v>
      </c>
      <c r="E14" s="7">
        <v>9921.23</v>
      </c>
      <c r="F14" s="7">
        <f t="shared" si="0"/>
        <v>2.4920297073134465</v>
      </c>
    </row>
    <row r="15" spans="1:6" x14ac:dyDescent="0.2">
      <c r="A15" s="45" t="s">
        <v>1232</v>
      </c>
      <c r="B15" s="45" t="s">
        <v>1837</v>
      </c>
      <c r="C15" s="45" t="s">
        <v>690</v>
      </c>
      <c r="D15" s="14">
        <v>950</v>
      </c>
      <c r="E15" s="7">
        <v>9897.9835000000003</v>
      </c>
      <c r="F15" s="7">
        <f t="shared" si="0"/>
        <v>2.486190615931525</v>
      </c>
    </row>
    <row r="16" spans="1:6" x14ac:dyDescent="0.2">
      <c r="A16" s="45" t="s">
        <v>1240</v>
      </c>
      <c r="B16" s="45" t="s">
        <v>1840</v>
      </c>
      <c r="C16" s="45" t="s">
        <v>698</v>
      </c>
      <c r="D16" s="14">
        <v>1000</v>
      </c>
      <c r="E16" s="7">
        <v>9881.5</v>
      </c>
      <c r="F16" s="7">
        <f t="shared" si="0"/>
        <v>2.4820502652209275</v>
      </c>
    </row>
    <row r="17" spans="1:6" x14ac:dyDescent="0.2">
      <c r="A17" s="45" t="s">
        <v>1241</v>
      </c>
      <c r="B17" s="45" t="s">
        <v>1841</v>
      </c>
      <c r="C17" s="45" t="s">
        <v>692</v>
      </c>
      <c r="D17" s="14">
        <v>4810</v>
      </c>
      <c r="E17" s="7">
        <v>9334.1513200000009</v>
      </c>
      <c r="F17" s="7">
        <f t="shared" si="0"/>
        <v>2.3445663876353056</v>
      </c>
    </row>
    <row r="18" spans="1:6" x14ac:dyDescent="0.2">
      <c r="A18" s="45" t="s">
        <v>716</v>
      </c>
      <c r="B18" s="45" t="s">
        <v>1456</v>
      </c>
      <c r="C18" s="45" t="s">
        <v>686</v>
      </c>
      <c r="D18" s="14">
        <v>850</v>
      </c>
      <c r="E18" s="7">
        <v>8838.7505000000001</v>
      </c>
      <c r="F18" s="7">
        <f t="shared" si="0"/>
        <v>2.220130852881304</v>
      </c>
    </row>
    <row r="19" spans="1:6" x14ac:dyDescent="0.2">
      <c r="A19" s="45" t="s">
        <v>854</v>
      </c>
      <c r="B19" s="45" t="s">
        <v>1562</v>
      </c>
      <c r="C19" s="45" t="s">
        <v>686</v>
      </c>
      <c r="D19" s="14">
        <v>850</v>
      </c>
      <c r="E19" s="7">
        <v>8671.7849999999999</v>
      </c>
      <c r="F19" s="7">
        <f t="shared" si="0"/>
        <v>2.1781922035307253</v>
      </c>
    </row>
    <row r="20" spans="1:6" x14ac:dyDescent="0.2">
      <c r="A20" s="45" t="s">
        <v>722</v>
      </c>
      <c r="B20" s="45" t="s">
        <v>1462</v>
      </c>
      <c r="C20" s="45" t="s">
        <v>682</v>
      </c>
      <c r="D20" s="14">
        <v>937</v>
      </c>
      <c r="E20" s="7">
        <v>7130.0078000000003</v>
      </c>
      <c r="F20" s="7">
        <f t="shared" si="0"/>
        <v>1.7909262511781896</v>
      </c>
    </row>
    <row r="21" spans="1:6" x14ac:dyDescent="0.2">
      <c r="A21" s="45" t="s">
        <v>693</v>
      </c>
      <c r="B21" s="45" t="s">
        <v>1441</v>
      </c>
      <c r="C21" s="45" t="s">
        <v>694</v>
      </c>
      <c r="D21" s="14">
        <v>940</v>
      </c>
      <c r="E21" s="7">
        <v>7069.5519999999997</v>
      </c>
      <c r="F21" s="7">
        <f t="shared" si="0"/>
        <v>1.7757408709804319</v>
      </c>
    </row>
    <row r="22" spans="1:6" x14ac:dyDescent="0.2">
      <c r="A22" s="45" t="s">
        <v>702</v>
      </c>
      <c r="B22" s="45" t="s">
        <v>1447</v>
      </c>
      <c r="C22" s="45" t="s">
        <v>703</v>
      </c>
      <c r="D22" s="14">
        <v>650</v>
      </c>
      <c r="E22" s="7">
        <v>6532.0709999999999</v>
      </c>
      <c r="F22" s="7">
        <f t="shared" si="0"/>
        <v>1.6407355723313188</v>
      </c>
    </row>
    <row r="23" spans="1:6" x14ac:dyDescent="0.2">
      <c r="A23" s="45" t="s">
        <v>1006</v>
      </c>
      <c r="B23" s="45" t="s">
        <v>1674</v>
      </c>
      <c r="C23" s="45" t="s">
        <v>696</v>
      </c>
      <c r="D23" s="14">
        <v>600</v>
      </c>
      <c r="E23" s="7">
        <v>5988.8760000000002</v>
      </c>
      <c r="F23" s="7">
        <f t="shared" si="0"/>
        <v>1.5042950224333602</v>
      </c>
    </row>
    <row r="24" spans="1:6" x14ac:dyDescent="0.2">
      <c r="A24" s="45" t="s">
        <v>987</v>
      </c>
      <c r="B24" s="45" t="s">
        <v>1657</v>
      </c>
      <c r="C24" s="45" t="s">
        <v>705</v>
      </c>
      <c r="D24" s="14">
        <v>560</v>
      </c>
      <c r="E24" s="7">
        <v>5600.6832000000004</v>
      </c>
      <c r="F24" s="7">
        <f t="shared" si="0"/>
        <v>1.4067881619165505</v>
      </c>
    </row>
    <row r="25" spans="1:6" x14ac:dyDescent="0.2">
      <c r="A25" s="45" t="s">
        <v>971</v>
      </c>
      <c r="B25" s="45" t="s">
        <v>1644</v>
      </c>
      <c r="C25" s="45" t="s">
        <v>972</v>
      </c>
      <c r="D25" s="14">
        <v>682</v>
      </c>
      <c r="E25" s="7">
        <v>5504.6129600000004</v>
      </c>
      <c r="F25" s="7">
        <f t="shared" si="0"/>
        <v>1.3826570922741037</v>
      </c>
    </row>
    <row r="26" spans="1:6" x14ac:dyDescent="0.2">
      <c r="A26" s="45" t="s">
        <v>729</v>
      </c>
      <c r="B26" s="45" t="s">
        <v>1454</v>
      </c>
      <c r="C26" s="45" t="s">
        <v>714</v>
      </c>
      <c r="D26" s="14">
        <v>560</v>
      </c>
      <c r="E26" s="7">
        <v>5282.7992000000004</v>
      </c>
      <c r="F26" s="7">
        <f t="shared" si="0"/>
        <v>1.3269415731891823</v>
      </c>
    </row>
    <row r="27" spans="1:6" x14ac:dyDescent="0.2">
      <c r="A27" s="45" t="s">
        <v>1242</v>
      </c>
      <c r="B27" s="45" t="s">
        <v>1842</v>
      </c>
      <c r="C27" s="45" t="s">
        <v>714</v>
      </c>
      <c r="D27" s="14">
        <v>500</v>
      </c>
      <c r="E27" s="7">
        <v>4898.96</v>
      </c>
      <c r="F27" s="7">
        <f t="shared" si="0"/>
        <v>1.2305282565710383</v>
      </c>
    </row>
    <row r="28" spans="1:6" x14ac:dyDescent="0.2">
      <c r="A28" s="45" t="s">
        <v>681</v>
      </c>
      <c r="B28" s="45" t="s">
        <v>1435</v>
      </c>
      <c r="C28" s="45" t="s">
        <v>682</v>
      </c>
      <c r="D28" s="14">
        <v>585</v>
      </c>
      <c r="E28" s="7">
        <v>4847.5556999999999</v>
      </c>
      <c r="F28" s="7">
        <f t="shared" si="0"/>
        <v>1.2176164459705732</v>
      </c>
    </row>
    <row r="29" spans="1:6" x14ac:dyDescent="0.2">
      <c r="A29" s="45" t="s">
        <v>983</v>
      </c>
      <c r="B29" s="45" t="s">
        <v>1561</v>
      </c>
      <c r="C29" s="45" t="s">
        <v>698</v>
      </c>
      <c r="D29" s="14">
        <v>450</v>
      </c>
      <c r="E29" s="7">
        <v>4329.7290000000003</v>
      </c>
      <c r="F29" s="7">
        <f t="shared" si="0"/>
        <v>1.0875479444198495</v>
      </c>
    </row>
    <row r="30" spans="1:6" x14ac:dyDescent="0.2">
      <c r="A30" s="45" t="s">
        <v>1243</v>
      </c>
      <c r="B30" s="45" t="s">
        <v>1843</v>
      </c>
      <c r="C30" s="45" t="s">
        <v>696</v>
      </c>
      <c r="D30" s="14">
        <v>450</v>
      </c>
      <c r="E30" s="7">
        <v>4111.8254999999999</v>
      </c>
      <c r="F30" s="7">
        <f t="shared" si="0"/>
        <v>1.0328146104151366</v>
      </c>
    </row>
    <row r="31" spans="1:6" x14ac:dyDescent="0.2">
      <c r="A31" s="45" t="s">
        <v>994</v>
      </c>
      <c r="B31" s="45" t="s">
        <v>1664</v>
      </c>
      <c r="C31" s="45" t="s">
        <v>712</v>
      </c>
      <c r="D31" s="14">
        <v>8</v>
      </c>
      <c r="E31" s="7">
        <v>4068.7040000000002</v>
      </c>
      <c r="F31" s="7">
        <f t="shared" si="0"/>
        <v>1.0219832861716793</v>
      </c>
    </row>
    <row r="32" spans="1:6" x14ac:dyDescent="0.2">
      <c r="A32" s="45" t="s">
        <v>1244</v>
      </c>
      <c r="B32" s="45" t="s">
        <v>1844</v>
      </c>
      <c r="C32" s="45" t="s">
        <v>808</v>
      </c>
      <c r="D32" s="14">
        <v>400</v>
      </c>
      <c r="E32" s="7">
        <v>4017.5720000000001</v>
      </c>
      <c r="F32" s="7">
        <f t="shared" si="0"/>
        <v>1.0091398723011862</v>
      </c>
    </row>
    <row r="33" spans="1:6" x14ac:dyDescent="0.2">
      <c r="A33" s="45" t="s">
        <v>1212</v>
      </c>
      <c r="B33" s="45" t="s">
        <v>1828</v>
      </c>
      <c r="C33" s="45" t="s">
        <v>682</v>
      </c>
      <c r="D33" s="14">
        <v>475</v>
      </c>
      <c r="E33" s="7">
        <v>3613.3582500000002</v>
      </c>
      <c r="F33" s="7">
        <f t="shared" si="0"/>
        <v>0.90760884508938178</v>
      </c>
    </row>
    <row r="34" spans="1:6" x14ac:dyDescent="0.2">
      <c r="A34" s="45" t="s">
        <v>723</v>
      </c>
      <c r="B34" s="45" t="s">
        <v>1463</v>
      </c>
      <c r="C34" s="45" t="s">
        <v>692</v>
      </c>
      <c r="D34" s="14">
        <v>300</v>
      </c>
      <c r="E34" s="7">
        <v>2967.5610000000001</v>
      </c>
      <c r="F34" s="7">
        <f t="shared" si="0"/>
        <v>0.74539650529871793</v>
      </c>
    </row>
    <row r="35" spans="1:6" x14ac:dyDescent="0.2">
      <c r="A35" s="45" t="s">
        <v>1245</v>
      </c>
      <c r="B35" s="45" t="s">
        <v>1845</v>
      </c>
      <c r="C35" s="45" t="s">
        <v>712</v>
      </c>
      <c r="D35" s="14">
        <v>300</v>
      </c>
      <c r="E35" s="7">
        <v>2945.8980000000001</v>
      </c>
      <c r="F35" s="7">
        <f t="shared" si="0"/>
        <v>0.73995515986578952</v>
      </c>
    </row>
    <row r="36" spans="1:6" x14ac:dyDescent="0.2">
      <c r="A36" s="45" t="s">
        <v>1206</v>
      </c>
      <c r="B36" s="45" t="s">
        <v>1822</v>
      </c>
      <c r="C36" s="45" t="s">
        <v>736</v>
      </c>
      <c r="D36" s="14">
        <v>250</v>
      </c>
      <c r="E36" s="7">
        <v>2936.2275</v>
      </c>
      <c r="F36" s="7">
        <f t="shared" si="0"/>
        <v>0.73752610890289738</v>
      </c>
    </row>
    <row r="37" spans="1:6" x14ac:dyDescent="0.2">
      <c r="A37" s="45" t="s">
        <v>1246</v>
      </c>
      <c r="B37" s="45" t="s">
        <v>1846</v>
      </c>
      <c r="C37" s="45" t="s">
        <v>692</v>
      </c>
      <c r="D37" s="14">
        <v>270</v>
      </c>
      <c r="E37" s="7">
        <v>2659.4243999999999</v>
      </c>
      <c r="F37" s="7">
        <f t="shared" si="0"/>
        <v>0.66799828339371603</v>
      </c>
    </row>
    <row r="38" spans="1:6" x14ac:dyDescent="0.2">
      <c r="A38" s="45" t="s">
        <v>1011</v>
      </c>
      <c r="B38" s="45" t="s">
        <v>1679</v>
      </c>
      <c r="C38" s="45" t="s">
        <v>686</v>
      </c>
      <c r="D38" s="14">
        <v>250</v>
      </c>
      <c r="E38" s="7">
        <v>2650.895</v>
      </c>
      <c r="F38" s="7">
        <f t="shared" si="0"/>
        <v>0.66585585567199623</v>
      </c>
    </row>
    <row r="39" spans="1:6" x14ac:dyDescent="0.2">
      <c r="A39" s="45" t="s">
        <v>993</v>
      </c>
      <c r="B39" s="45" t="s">
        <v>1663</v>
      </c>
      <c r="C39" s="45" t="s">
        <v>684</v>
      </c>
      <c r="D39" s="14">
        <v>250</v>
      </c>
      <c r="E39" s="7">
        <v>2565.23</v>
      </c>
      <c r="F39" s="7">
        <f t="shared" si="0"/>
        <v>0.64433839010804828</v>
      </c>
    </row>
    <row r="40" spans="1:6" x14ac:dyDescent="0.2">
      <c r="A40" s="45" t="s">
        <v>980</v>
      </c>
      <c r="B40" s="45" t="s">
        <v>1652</v>
      </c>
      <c r="C40" s="45" t="s">
        <v>705</v>
      </c>
      <c r="D40" s="14">
        <v>250</v>
      </c>
      <c r="E40" s="7">
        <v>2500.2800000000002</v>
      </c>
      <c r="F40" s="7">
        <f t="shared" si="0"/>
        <v>0.62802414988884081</v>
      </c>
    </row>
    <row r="41" spans="1:6" x14ac:dyDescent="0.2">
      <c r="A41" s="45" t="s">
        <v>1247</v>
      </c>
      <c r="B41" s="45" t="s">
        <v>1847</v>
      </c>
      <c r="C41" s="45" t="s">
        <v>728</v>
      </c>
      <c r="D41" s="14">
        <v>250</v>
      </c>
      <c r="E41" s="7">
        <v>2485.7474999999999</v>
      </c>
      <c r="F41" s="7">
        <f t="shared" si="0"/>
        <v>0.62437385433863857</v>
      </c>
    </row>
    <row r="42" spans="1:6" x14ac:dyDescent="0.2">
      <c r="A42" s="45" t="s">
        <v>997</v>
      </c>
      <c r="B42" s="45" t="s">
        <v>1667</v>
      </c>
      <c r="C42" s="45" t="s">
        <v>714</v>
      </c>
      <c r="D42" s="14">
        <v>250</v>
      </c>
      <c r="E42" s="7">
        <v>2453.2075</v>
      </c>
      <c r="F42" s="7">
        <f t="shared" si="0"/>
        <v>0.61620040742973925</v>
      </c>
    </row>
    <row r="43" spans="1:6" x14ac:dyDescent="0.2">
      <c r="A43" s="45" t="s">
        <v>853</v>
      </c>
      <c r="B43" s="45" t="s">
        <v>1561</v>
      </c>
      <c r="C43" s="45" t="s">
        <v>698</v>
      </c>
      <c r="D43" s="14">
        <v>250</v>
      </c>
      <c r="E43" s="7">
        <v>2403.5875000000001</v>
      </c>
      <c r="F43" s="7">
        <f t="shared" si="0"/>
        <v>0.60373678002901443</v>
      </c>
    </row>
    <row r="44" spans="1:6" x14ac:dyDescent="0.2">
      <c r="A44" s="45" t="s">
        <v>815</v>
      </c>
      <c r="B44" s="45" t="s">
        <v>1524</v>
      </c>
      <c r="C44" s="45" t="s">
        <v>698</v>
      </c>
      <c r="D44" s="14">
        <v>211</v>
      </c>
      <c r="E44" s="7">
        <v>2182.9258199999999</v>
      </c>
      <c r="F44" s="7">
        <f t="shared" si="0"/>
        <v>0.5483106421584385</v>
      </c>
    </row>
    <row r="45" spans="1:6" x14ac:dyDescent="0.2">
      <c r="A45" s="45" t="s">
        <v>995</v>
      </c>
      <c r="B45" s="45" t="s">
        <v>1665</v>
      </c>
      <c r="C45" s="45" t="s">
        <v>696</v>
      </c>
      <c r="D45" s="14">
        <v>200</v>
      </c>
      <c r="E45" s="7">
        <v>1974.1</v>
      </c>
      <c r="F45" s="7">
        <f t="shared" si="0"/>
        <v>0.49585745368341166</v>
      </c>
    </row>
    <row r="46" spans="1:6" x14ac:dyDescent="0.2">
      <c r="A46" s="45" t="s">
        <v>1248</v>
      </c>
      <c r="B46" s="45" t="s">
        <v>1848</v>
      </c>
      <c r="C46" s="45" t="s">
        <v>712</v>
      </c>
      <c r="D46" s="14">
        <v>200</v>
      </c>
      <c r="E46" s="7">
        <v>1962.8119999999999</v>
      </c>
      <c r="F46" s="7">
        <f t="shared" si="0"/>
        <v>0.493022116599587</v>
      </c>
    </row>
    <row r="47" spans="1:6" x14ac:dyDescent="0.2">
      <c r="A47" s="45" t="s">
        <v>798</v>
      </c>
      <c r="B47" s="45" t="s">
        <v>1511</v>
      </c>
      <c r="C47" s="45" t="s">
        <v>696</v>
      </c>
      <c r="D47" s="14">
        <v>170</v>
      </c>
      <c r="E47" s="7">
        <v>1761.6470999999999</v>
      </c>
      <c r="F47" s="7">
        <f t="shared" si="0"/>
        <v>0.44249320971316874</v>
      </c>
    </row>
    <row r="48" spans="1:6" x14ac:dyDescent="0.2">
      <c r="A48" s="45" t="s">
        <v>685</v>
      </c>
      <c r="B48" s="45" t="s">
        <v>1437</v>
      </c>
      <c r="C48" s="45" t="s">
        <v>686</v>
      </c>
      <c r="D48" s="14">
        <v>165</v>
      </c>
      <c r="E48" s="7">
        <v>1756.56195</v>
      </c>
      <c r="F48" s="7">
        <f t="shared" si="0"/>
        <v>0.44121591396796939</v>
      </c>
    </row>
    <row r="49" spans="1:6" x14ac:dyDescent="0.2">
      <c r="A49" s="45" t="s">
        <v>683</v>
      </c>
      <c r="B49" s="45" t="s">
        <v>1436</v>
      </c>
      <c r="C49" s="45" t="s">
        <v>684</v>
      </c>
      <c r="D49" s="14">
        <v>170</v>
      </c>
      <c r="E49" s="7">
        <v>1725.4099000000001</v>
      </c>
      <c r="F49" s="7">
        <f t="shared" si="0"/>
        <v>0.43339109446033641</v>
      </c>
    </row>
    <row r="50" spans="1:6" x14ac:dyDescent="0.2">
      <c r="A50" s="45" t="s">
        <v>718</v>
      </c>
      <c r="B50" s="45" t="s">
        <v>1458</v>
      </c>
      <c r="C50" s="45" t="s">
        <v>692</v>
      </c>
      <c r="D50" s="14">
        <v>160</v>
      </c>
      <c r="E50" s="7">
        <v>1597.7664</v>
      </c>
      <c r="F50" s="7">
        <f t="shared" si="0"/>
        <v>0.40132940513900583</v>
      </c>
    </row>
    <row r="51" spans="1:6" x14ac:dyDescent="0.2">
      <c r="A51" s="45" t="s">
        <v>775</v>
      </c>
      <c r="B51" s="45" t="s">
        <v>1490</v>
      </c>
      <c r="C51" s="45" t="s">
        <v>728</v>
      </c>
      <c r="D51" s="14">
        <v>150</v>
      </c>
      <c r="E51" s="7">
        <v>1509.864</v>
      </c>
      <c r="F51" s="7">
        <f t="shared" si="0"/>
        <v>0.37924994602515111</v>
      </c>
    </row>
    <row r="52" spans="1:6" x14ac:dyDescent="0.2">
      <c r="A52" s="45" t="s">
        <v>1003</v>
      </c>
      <c r="B52" s="45" t="s">
        <v>1671</v>
      </c>
      <c r="C52" s="45" t="s">
        <v>698</v>
      </c>
      <c r="D52" s="14">
        <v>140</v>
      </c>
      <c r="E52" s="7">
        <v>1401.4154000000001</v>
      </c>
      <c r="F52" s="7">
        <f t="shared" si="0"/>
        <v>0.35200966100841902</v>
      </c>
    </row>
    <row r="53" spans="1:6" x14ac:dyDescent="0.2">
      <c r="A53" s="45" t="s">
        <v>1249</v>
      </c>
      <c r="B53" s="45" t="s">
        <v>1849</v>
      </c>
      <c r="C53" s="45" t="s">
        <v>686</v>
      </c>
      <c r="D53" s="14">
        <v>100</v>
      </c>
      <c r="E53" s="7">
        <v>1015.405</v>
      </c>
      <c r="F53" s="7">
        <f t="shared" si="0"/>
        <v>0.25505097905749691</v>
      </c>
    </row>
    <row r="54" spans="1:6" x14ac:dyDescent="0.2">
      <c r="A54" s="45" t="s">
        <v>959</v>
      </c>
      <c r="B54" s="45" t="s">
        <v>1640</v>
      </c>
      <c r="C54" s="45" t="s">
        <v>686</v>
      </c>
      <c r="D54" s="14">
        <v>100</v>
      </c>
      <c r="E54" s="7">
        <v>1010.499</v>
      </c>
      <c r="F54" s="7">
        <f t="shared" si="0"/>
        <v>0.2538186824829714</v>
      </c>
    </row>
    <row r="55" spans="1:6" x14ac:dyDescent="0.2">
      <c r="A55" s="45" t="s">
        <v>720</v>
      </c>
      <c r="B55" s="45" t="s">
        <v>1460</v>
      </c>
      <c r="C55" s="45" t="s">
        <v>696</v>
      </c>
      <c r="D55" s="14">
        <v>100</v>
      </c>
      <c r="E55" s="7">
        <v>991.94</v>
      </c>
      <c r="F55" s="7">
        <f t="shared" si="0"/>
        <v>0.2491570045117894</v>
      </c>
    </row>
    <row r="56" spans="1:6" x14ac:dyDescent="0.2">
      <c r="A56" s="45" t="s">
        <v>707</v>
      </c>
      <c r="B56" s="45" t="s">
        <v>1450</v>
      </c>
      <c r="C56" s="45" t="s">
        <v>708</v>
      </c>
      <c r="D56" s="14">
        <v>50</v>
      </c>
      <c r="E56" s="7">
        <v>515.60950000000003</v>
      </c>
      <c r="F56" s="7">
        <f t="shared" si="0"/>
        <v>0.12951158186767495</v>
      </c>
    </row>
    <row r="57" spans="1:6" x14ac:dyDescent="0.2">
      <c r="A57" s="45" t="s">
        <v>1013</v>
      </c>
      <c r="B57" s="45" t="s">
        <v>1681</v>
      </c>
      <c r="C57" s="45" t="s">
        <v>696</v>
      </c>
      <c r="D57" s="14">
        <v>50</v>
      </c>
      <c r="E57" s="7">
        <v>508.87099999999998</v>
      </c>
      <c r="F57" s="7">
        <f t="shared" si="0"/>
        <v>0.12781899514377762</v>
      </c>
    </row>
    <row r="58" spans="1:6" x14ac:dyDescent="0.2">
      <c r="A58" s="45" t="s">
        <v>701</v>
      </c>
      <c r="B58" s="45" t="s">
        <v>1446</v>
      </c>
      <c r="C58" s="45" t="s">
        <v>690</v>
      </c>
      <c r="D58" s="14">
        <v>40</v>
      </c>
      <c r="E58" s="7">
        <v>415.24759999999998</v>
      </c>
      <c r="F58" s="7">
        <f t="shared" si="0"/>
        <v>0.10430252651038339</v>
      </c>
    </row>
    <row r="59" spans="1:6" x14ac:dyDescent="0.2">
      <c r="A59" s="45" t="s">
        <v>776</v>
      </c>
      <c r="B59" s="45" t="s">
        <v>1491</v>
      </c>
      <c r="C59" s="45" t="s">
        <v>740</v>
      </c>
      <c r="D59" s="14">
        <v>40</v>
      </c>
      <c r="E59" s="7">
        <v>400</v>
      </c>
      <c r="F59" s="7">
        <f t="shared" si="0"/>
        <v>0.10047261104977696</v>
      </c>
    </row>
    <row r="60" spans="1:6" x14ac:dyDescent="0.2">
      <c r="A60" s="45" t="s">
        <v>730</v>
      </c>
      <c r="B60" s="45" t="s">
        <v>1467</v>
      </c>
      <c r="C60" s="45" t="s">
        <v>682</v>
      </c>
      <c r="D60" s="14">
        <v>20</v>
      </c>
      <c r="E60" s="7">
        <v>206.89240000000001</v>
      </c>
      <c r="F60" s="7">
        <f t="shared" si="0"/>
        <v>5.1967549085887181E-2</v>
      </c>
    </row>
    <row r="61" spans="1:6" x14ac:dyDescent="0.2">
      <c r="A61" s="45" t="s">
        <v>949</v>
      </c>
      <c r="B61" s="45" t="s">
        <v>1631</v>
      </c>
      <c r="C61" s="45" t="s">
        <v>686</v>
      </c>
      <c r="D61" s="14">
        <v>5</v>
      </c>
      <c r="E61" s="7">
        <v>52.8812</v>
      </c>
      <c r="F61" s="7">
        <f t="shared" si="0"/>
        <v>1.3282780598613663E-2</v>
      </c>
    </row>
    <row r="62" spans="1:6" x14ac:dyDescent="0.2">
      <c r="A62" s="26" t="s">
        <v>44</v>
      </c>
      <c r="B62" s="45"/>
      <c r="C62" s="45"/>
      <c r="D62" s="14"/>
      <c r="E62" s="6">
        <f>SUM(E8:E61)</f>
        <v>261449.42191999999</v>
      </c>
      <c r="F62" s="6">
        <f>SUM(F8:F61)</f>
        <v>65.671265194393001</v>
      </c>
    </row>
    <row r="63" spans="1:6" x14ac:dyDescent="0.2">
      <c r="A63" s="45"/>
      <c r="B63" s="45"/>
      <c r="C63" s="45"/>
      <c r="D63" s="14"/>
      <c r="E63" s="7"/>
      <c r="F63" s="7"/>
    </row>
    <row r="64" spans="1:6" x14ac:dyDescent="0.2">
      <c r="A64" s="26" t="s">
        <v>732</v>
      </c>
      <c r="B64" s="45"/>
      <c r="C64" s="45"/>
      <c r="D64" s="14"/>
      <c r="E64" s="7"/>
      <c r="F64" s="7"/>
    </row>
    <row r="65" spans="1:6" x14ac:dyDescent="0.2">
      <c r="A65" s="45" t="s">
        <v>737</v>
      </c>
      <c r="B65" s="45" t="s">
        <v>1471</v>
      </c>
      <c r="C65" s="45" t="s">
        <v>738</v>
      </c>
      <c r="D65" s="14">
        <v>120</v>
      </c>
      <c r="E65" s="7">
        <v>13828.356</v>
      </c>
      <c r="F65" s="7">
        <f t="shared" ref="F65:F98" si="1">E65/$E$105*100</f>
        <v>3.4734275846146239</v>
      </c>
    </row>
    <row r="66" spans="1:6" x14ac:dyDescent="0.2">
      <c r="A66" s="45" t="s">
        <v>1250</v>
      </c>
      <c r="B66" s="45" t="s">
        <v>1850</v>
      </c>
      <c r="C66" s="45" t="s">
        <v>712</v>
      </c>
      <c r="D66" s="14">
        <v>1000</v>
      </c>
      <c r="E66" s="7">
        <v>10102.969999999999</v>
      </c>
      <c r="F66" s="7">
        <f t="shared" si="1"/>
        <v>2.5376794381439125</v>
      </c>
    </row>
    <row r="67" spans="1:6" x14ac:dyDescent="0.2">
      <c r="A67" s="45" t="s">
        <v>1035</v>
      </c>
      <c r="B67" s="45" t="s">
        <v>1698</v>
      </c>
      <c r="C67" s="45" t="s">
        <v>712</v>
      </c>
      <c r="D67" s="14">
        <v>18</v>
      </c>
      <c r="E67" s="7">
        <v>9056.7990000000009</v>
      </c>
      <c r="F67" s="7">
        <f t="shared" si="1"/>
        <v>2.2749006082075223</v>
      </c>
    </row>
    <row r="68" spans="1:6" x14ac:dyDescent="0.2">
      <c r="A68" s="45" t="s">
        <v>748</v>
      </c>
      <c r="B68" s="45" t="s">
        <v>1477</v>
      </c>
      <c r="C68" s="45" t="s">
        <v>749</v>
      </c>
      <c r="D68" s="14">
        <v>950</v>
      </c>
      <c r="E68" s="7">
        <v>8458.3724999999995</v>
      </c>
      <c r="F68" s="7">
        <f t="shared" si="1"/>
        <v>2.1245869257665735</v>
      </c>
    </row>
    <row r="69" spans="1:6" x14ac:dyDescent="0.2">
      <c r="A69" s="45" t="s">
        <v>753</v>
      </c>
      <c r="B69" s="45" t="s">
        <v>1481</v>
      </c>
      <c r="C69" s="45" t="s">
        <v>705</v>
      </c>
      <c r="D69" s="14">
        <v>6878</v>
      </c>
      <c r="E69" s="7">
        <v>6644.402486</v>
      </c>
      <c r="F69" s="7">
        <f t="shared" si="1"/>
        <v>1.6689511665851224</v>
      </c>
    </row>
    <row r="70" spans="1:6" x14ac:dyDescent="0.2">
      <c r="A70" s="45" t="s">
        <v>733</v>
      </c>
      <c r="B70" s="45" t="s">
        <v>1469</v>
      </c>
      <c r="C70" s="45" t="s">
        <v>734</v>
      </c>
      <c r="D70" s="14">
        <v>600</v>
      </c>
      <c r="E70" s="7">
        <v>5883.4260000000004</v>
      </c>
      <c r="F70" s="7">
        <f t="shared" si="1"/>
        <v>1.4778079303453626</v>
      </c>
    </row>
    <row r="71" spans="1:6" x14ac:dyDescent="0.2">
      <c r="A71" s="45" t="s">
        <v>735</v>
      </c>
      <c r="B71" s="45" t="s">
        <v>1470</v>
      </c>
      <c r="C71" s="45" t="s">
        <v>736</v>
      </c>
      <c r="D71" s="14">
        <v>500</v>
      </c>
      <c r="E71" s="7">
        <v>5805.6750000000002</v>
      </c>
      <c r="F71" s="7">
        <f t="shared" si="1"/>
        <v>1.4582783153910346</v>
      </c>
    </row>
    <row r="72" spans="1:6" x14ac:dyDescent="0.2">
      <c r="A72" s="45" t="s">
        <v>741</v>
      </c>
      <c r="B72" s="45" t="s">
        <v>1473</v>
      </c>
      <c r="C72" s="45" t="s">
        <v>684</v>
      </c>
      <c r="D72" s="14">
        <v>550</v>
      </c>
      <c r="E72" s="7">
        <v>5500.2969999999996</v>
      </c>
      <c r="F72" s="7">
        <f t="shared" si="1"/>
        <v>1.3815730028481374</v>
      </c>
    </row>
    <row r="73" spans="1:6" x14ac:dyDescent="0.2">
      <c r="A73" s="45" t="s">
        <v>1036</v>
      </c>
      <c r="B73" s="45" t="s">
        <v>1699</v>
      </c>
      <c r="C73" s="45" t="s">
        <v>1037</v>
      </c>
      <c r="D73" s="14">
        <v>470</v>
      </c>
      <c r="E73" s="7">
        <v>4598.3954000000003</v>
      </c>
      <c r="F73" s="7">
        <f t="shared" si="1"/>
        <v>1.1550319811932088</v>
      </c>
    </row>
    <row r="74" spans="1:6" x14ac:dyDescent="0.2">
      <c r="A74" s="45" t="s">
        <v>1024</v>
      </c>
      <c r="B74" s="45" t="s">
        <v>1473</v>
      </c>
      <c r="C74" s="45" t="s">
        <v>684</v>
      </c>
      <c r="D74" s="14">
        <v>450</v>
      </c>
      <c r="E74" s="7">
        <v>4509.4904999999999</v>
      </c>
      <c r="F74" s="7">
        <f t="shared" si="1"/>
        <v>1.1327007125979105</v>
      </c>
    </row>
    <row r="75" spans="1:6" x14ac:dyDescent="0.2">
      <c r="A75" s="45" t="s">
        <v>761</v>
      </c>
      <c r="B75" s="45" t="s">
        <v>1485</v>
      </c>
      <c r="C75" s="45" t="s">
        <v>743</v>
      </c>
      <c r="D75" s="14">
        <v>440</v>
      </c>
      <c r="E75" s="7">
        <v>4100.3468000000003</v>
      </c>
      <c r="F75" s="7">
        <f t="shared" si="1"/>
        <v>1.0299313730139941</v>
      </c>
    </row>
    <row r="76" spans="1:6" x14ac:dyDescent="0.2">
      <c r="A76" s="45" t="s">
        <v>742</v>
      </c>
      <c r="B76" s="45" t="s">
        <v>1474</v>
      </c>
      <c r="C76" s="45" t="s">
        <v>743</v>
      </c>
      <c r="D76" s="14">
        <v>450</v>
      </c>
      <c r="E76" s="7">
        <v>4040.2845000000002</v>
      </c>
      <c r="F76" s="7">
        <f t="shared" si="1"/>
        <v>1.0148448327473565</v>
      </c>
    </row>
    <row r="77" spans="1:6" x14ac:dyDescent="0.2">
      <c r="A77" s="45" t="s">
        <v>766</v>
      </c>
      <c r="B77" s="45" t="s">
        <v>1488</v>
      </c>
      <c r="C77" s="45" t="s">
        <v>740</v>
      </c>
      <c r="D77" s="14">
        <v>400</v>
      </c>
      <c r="E77" s="7">
        <v>3818.94</v>
      </c>
      <c r="F77" s="7">
        <f t="shared" si="1"/>
        <v>0.95924718310608803</v>
      </c>
    </row>
    <row r="78" spans="1:6" x14ac:dyDescent="0.2">
      <c r="A78" s="45" t="s">
        <v>1251</v>
      </c>
      <c r="B78" s="45" t="s">
        <v>1851</v>
      </c>
      <c r="C78" s="45" t="s">
        <v>703</v>
      </c>
      <c r="D78" s="14">
        <v>390</v>
      </c>
      <c r="E78" s="7">
        <v>3759.0149999999999</v>
      </c>
      <c r="F78" s="7">
        <f t="shared" si="1"/>
        <v>0.94419513006319333</v>
      </c>
    </row>
    <row r="79" spans="1:6" x14ac:dyDescent="0.2">
      <c r="A79" s="45" t="s">
        <v>1028</v>
      </c>
      <c r="B79" s="45" t="s">
        <v>1692</v>
      </c>
      <c r="C79" s="45" t="s">
        <v>1029</v>
      </c>
      <c r="D79" s="14">
        <v>338</v>
      </c>
      <c r="E79" s="7">
        <v>3255.7816200000002</v>
      </c>
      <c r="F79" s="7">
        <f t="shared" si="1"/>
        <v>0.81779220092318194</v>
      </c>
    </row>
    <row r="80" spans="1:6" x14ac:dyDescent="0.2">
      <c r="A80" s="45" t="s">
        <v>1252</v>
      </c>
      <c r="B80" s="45" t="s">
        <v>1852</v>
      </c>
      <c r="C80" s="45" t="s">
        <v>760</v>
      </c>
      <c r="D80" s="14">
        <v>400</v>
      </c>
      <c r="E80" s="7">
        <v>3105.4079999999999</v>
      </c>
      <c r="F80" s="7">
        <f t="shared" si="1"/>
        <v>0.78002112533716439</v>
      </c>
    </row>
    <row r="81" spans="1:6" x14ac:dyDescent="0.2">
      <c r="A81" s="45" t="s">
        <v>746</v>
      </c>
      <c r="B81" s="45" t="s">
        <v>1476</v>
      </c>
      <c r="C81" s="45" t="s">
        <v>747</v>
      </c>
      <c r="D81" s="14">
        <v>22</v>
      </c>
      <c r="E81" s="7">
        <v>2721.9126000000001</v>
      </c>
      <c r="F81" s="7">
        <f t="shared" si="1"/>
        <v>0.68369416492821788</v>
      </c>
    </row>
    <row r="82" spans="1:6" x14ac:dyDescent="0.2">
      <c r="A82" s="45" t="s">
        <v>1043</v>
      </c>
      <c r="B82" s="45" t="s">
        <v>1704</v>
      </c>
      <c r="C82" s="45" t="s">
        <v>745</v>
      </c>
      <c r="D82" s="14">
        <v>250</v>
      </c>
      <c r="E82" s="7">
        <v>2517.875</v>
      </c>
      <c r="F82" s="7">
        <f t="shared" si="1"/>
        <v>0.63244368886739288</v>
      </c>
    </row>
    <row r="83" spans="1:6" x14ac:dyDescent="0.2">
      <c r="A83" s="45" t="s">
        <v>1031</v>
      </c>
      <c r="B83" s="45" t="s">
        <v>1694</v>
      </c>
      <c r="C83" s="45" t="s">
        <v>734</v>
      </c>
      <c r="D83" s="14">
        <v>250</v>
      </c>
      <c r="E83" s="7">
        <v>2502.4299999999998</v>
      </c>
      <c r="F83" s="7">
        <f t="shared" si="1"/>
        <v>0.62856419017323339</v>
      </c>
    </row>
    <row r="84" spans="1:6" x14ac:dyDescent="0.2">
      <c r="A84" s="45" t="s">
        <v>744</v>
      </c>
      <c r="B84" s="45" t="s">
        <v>1475</v>
      </c>
      <c r="C84" s="45" t="s">
        <v>745</v>
      </c>
      <c r="D84" s="14">
        <v>250</v>
      </c>
      <c r="E84" s="7">
        <v>2475.4475000000002</v>
      </c>
      <c r="F84" s="7">
        <f t="shared" si="1"/>
        <v>0.62178668460410691</v>
      </c>
    </row>
    <row r="85" spans="1:6" x14ac:dyDescent="0.2">
      <c r="A85" s="45" t="s">
        <v>1053</v>
      </c>
      <c r="B85" s="45" t="s">
        <v>1712</v>
      </c>
      <c r="C85" s="45" t="s">
        <v>745</v>
      </c>
      <c r="D85" s="14">
        <v>230</v>
      </c>
      <c r="E85" s="7">
        <v>2301.9872</v>
      </c>
      <c r="F85" s="7">
        <f t="shared" si="1"/>
        <v>0.57821666146791284</v>
      </c>
    </row>
    <row r="86" spans="1:6" x14ac:dyDescent="0.2">
      <c r="A86" s="45" t="s">
        <v>1253</v>
      </c>
      <c r="B86" s="45" t="s">
        <v>1853</v>
      </c>
      <c r="C86" s="45" t="s">
        <v>760</v>
      </c>
      <c r="D86" s="14">
        <v>200</v>
      </c>
      <c r="E86" s="7">
        <v>2010.84</v>
      </c>
      <c r="F86" s="7">
        <f t="shared" si="1"/>
        <v>0.50508586300833369</v>
      </c>
    </row>
    <row r="87" spans="1:6" x14ac:dyDescent="0.2">
      <c r="A87" s="45" t="s">
        <v>1041</v>
      </c>
      <c r="B87" s="45" t="s">
        <v>1702</v>
      </c>
      <c r="C87" s="45" t="s">
        <v>1027</v>
      </c>
      <c r="D87" s="14">
        <v>14</v>
      </c>
      <c r="E87" s="7">
        <v>1974.8946000000001</v>
      </c>
      <c r="F87" s="7">
        <f t="shared" si="1"/>
        <v>0.49605704252526212</v>
      </c>
    </row>
    <row r="88" spans="1:6" x14ac:dyDescent="0.2">
      <c r="A88" s="45" t="s">
        <v>1254</v>
      </c>
      <c r="B88" s="45" t="s">
        <v>1854</v>
      </c>
      <c r="C88" s="45" t="s">
        <v>745</v>
      </c>
      <c r="D88" s="14">
        <v>230</v>
      </c>
      <c r="E88" s="7">
        <v>1729.5333000000001</v>
      </c>
      <c r="F88" s="7">
        <f t="shared" si="1"/>
        <v>0.43442681637134301</v>
      </c>
    </row>
    <row r="89" spans="1:6" x14ac:dyDescent="0.2">
      <c r="A89" s="45" t="s">
        <v>1034</v>
      </c>
      <c r="B89" s="45" t="s">
        <v>1697</v>
      </c>
      <c r="C89" s="45" t="s">
        <v>740</v>
      </c>
      <c r="D89" s="14">
        <v>160</v>
      </c>
      <c r="E89" s="7">
        <v>1611.16</v>
      </c>
      <c r="F89" s="7">
        <f t="shared" si="1"/>
        <v>0.40469363004739661</v>
      </c>
    </row>
    <row r="90" spans="1:6" x14ac:dyDescent="0.2">
      <c r="A90" s="45" t="s">
        <v>884</v>
      </c>
      <c r="B90" s="45" t="s">
        <v>1590</v>
      </c>
      <c r="C90" s="45" t="s">
        <v>705</v>
      </c>
      <c r="D90" s="14">
        <v>2500</v>
      </c>
      <c r="E90" s="7">
        <v>1588.47</v>
      </c>
      <c r="F90" s="7">
        <f t="shared" si="1"/>
        <v>0.39899432118559797</v>
      </c>
    </row>
    <row r="91" spans="1:6" x14ac:dyDescent="0.2">
      <c r="A91" s="45" t="s">
        <v>877</v>
      </c>
      <c r="B91" s="45" t="s">
        <v>1583</v>
      </c>
      <c r="C91" s="45" t="s">
        <v>779</v>
      </c>
      <c r="D91" s="14">
        <v>150</v>
      </c>
      <c r="E91" s="7">
        <v>1505.5875000000001</v>
      </c>
      <c r="F91" s="7">
        <f t="shared" si="1"/>
        <v>0.37817576822226517</v>
      </c>
    </row>
    <row r="92" spans="1:6" x14ac:dyDescent="0.2">
      <c r="A92" s="45" t="s">
        <v>863</v>
      </c>
      <c r="B92" s="45" t="s">
        <v>1570</v>
      </c>
      <c r="C92" s="45" t="s">
        <v>860</v>
      </c>
      <c r="D92" s="14">
        <v>150</v>
      </c>
      <c r="E92" s="7">
        <v>1499.1344999999999</v>
      </c>
      <c r="F92" s="7">
        <f t="shared" si="1"/>
        <v>0.37655489382450458</v>
      </c>
    </row>
    <row r="93" spans="1:6" x14ac:dyDescent="0.2">
      <c r="A93" s="45" t="s">
        <v>757</v>
      </c>
      <c r="B93" s="45" t="s">
        <v>1985</v>
      </c>
      <c r="C93" s="45" t="s">
        <v>758</v>
      </c>
      <c r="D93" s="14">
        <v>321</v>
      </c>
      <c r="E93" s="7">
        <v>1051.5318</v>
      </c>
      <c r="F93" s="7">
        <f t="shared" si="1"/>
        <v>0.26412536386967961</v>
      </c>
    </row>
    <row r="94" spans="1:6" x14ac:dyDescent="0.2">
      <c r="A94" s="45" t="s">
        <v>759</v>
      </c>
      <c r="B94" s="45" t="s">
        <v>1484</v>
      </c>
      <c r="C94" s="45" t="s">
        <v>760</v>
      </c>
      <c r="D94" s="14">
        <v>100</v>
      </c>
      <c r="E94" s="7">
        <v>1027.2539999999999</v>
      </c>
      <c r="F94" s="7">
        <f t="shared" si="1"/>
        <v>0.25802722897831892</v>
      </c>
    </row>
    <row r="95" spans="1:6" x14ac:dyDescent="0.2">
      <c r="A95" s="45" t="s">
        <v>762</v>
      </c>
      <c r="B95" s="45" t="s">
        <v>1486</v>
      </c>
      <c r="C95" s="45" t="s">
        <v>763</v>
      </c>
      <c r="D95" s="14">
        <v>10</v>
      </c>
      <c r="E95" s="7">
        <v>1011.5119999999999</v>
      </c>
      <c r="F95" s="7">
        <f t="shared" si="1"/>
        <v>0.25407312937045495</v>
      </c>
    </row>
    <row r="96" spans="1:6" x14ac:dyDescent="0.2">
      <c r="A96" s="45" t="s">
        <v>751</v>
      </c>
      <c r="B96" s="45" t="s">
        <v>1479</v>
      </c>
      <c r="C96" s="45" t="s">
        <v>703</v>
      </c>
      <c r="D96" s="14">
        <v>100</v>
      </c>
      <c r="E96" s="7">
        <v>966.29600000000005</v>
      </c>
      <c r="F96" s="7">
        <f t="shared" si="1"/>
        <v>0.24271570541738821</v>
      </c>
    </row>
    <row r="97" spans="1:6" x14ac:dyDescent="0.2">
      <c r="A97" s="45" t="s">
        <v>866</v>
      </c>
      <c r="B97" s="45" t="s">
        <v>1573</v>
      </c>
      <c r="C97" s="45" t="s">
        <v>712</v>
      </c>
      <c r="D97" s="14">
        <v>50</v>
      </c>
      <c r="E97" s="7">
        <v>661.91200000000003</v>
      </c>
      <c r="F97" s="7">
        <f t="shared" si="1"/>
        <v>0.16626006731294993</v>
      </c>
    </row>
    <row r="98" spans="1:6" x14ac:dyDescent="0.2">
      <c r="A98" s="45" t="s">
        <v>756</v>
      </c>
      <c r="B98" s="45" t="s">
        <v>1483</v>
      </c>
      <c r="C98" s="45" t="s">
        <v>743</v>
      </c>
      <c r="D98" s="14">
        <v>50</v>
      </c>
      <c r="E98" s="7">
        <v>465.25900000000001</v>
      </c>
      <c r="F98" s="7">
        <f t="shared" si="1"/>
        <v>0.11686446636102045</v>
      </c>
    </row>
    <row r="99" spans="1:6" x14ac:dyDescent="0.2">
      <c r="A99" s="26" t="s">
        <v>44</v>
      </c>
      <c r="B99" s="45"/>
      <c r="C99" s="45"/>
      <c r="D99" s="45"/>
      <c r="E99" s="6">
        <f>SUM(E65:E98)</f>
        <v>126090.99680599997</v>
      </c>
      <c r="F99" s="6">
        <f>SUM(F65:F98)</f>
        <v>31.671729197419761</v>
      </c>
    </row>
    <row r="100" spans="1:6" x14ac:dyDescent="0.2">
      <c r="A100" s="45"/>
      <c r="B100" s="45"/>
      <c r="C100" s="45"/>
      <c r="D100" s="45"/>
      <c r="E100" s="7"/>
      <c r="F100" s="7"/>
    </row>
    <row r="101" spans="1:6" x14ac:dyDescent="0.2">
      <c r="A101" s="26" t="s">
        <v>44</v>
      </c>
      <c r="B101" s="45"/>
      <c r="C101" s="45"/>
      <c r="D101" s="45"/>
      <c r="E101" s="6">
        <f>E62+E99</f>
        <v>387540.41872599995</v>
      </c>
      <c r="F101" s="6">
        <f>F62+F99</f>
        <v>97.342994391812766</v>
      </c>
    </row>
    <row r="102" spans="1:6" x14ac:dyDescent="0.2">
      <c r="A102" s="45"/>
      <c r="B102" s="45"/>
      <c r="C102" s="45"/>
      <c r="D102" s="45"/>
      <c r="E102" s="7"/>
      <c r="F102" s="7"/>
    </row>
    <row r="103" spans="1:6" x14ac:dyDescent="0.2">
      <c r="A103" s="26" t="s">
        <v>103</v>
      </c>
      <c r="B103" s="45"/>
      <c r="C103" s="45"/>
      <c r="D103" s="45"/>
      <c r="E103" s="6">
        <v>10578.029496499999</v>
      </c>
      <c r="F103" s="6">
        <v>2.66</v>
      </c>
    </row>
    <row r="104" spans="1:6" x14ac:dyDescent="0.2">
      <c r="A104" s="45"/>
      <c r="B104" s="45"/>
      <c r="C104" s="45"/>
      <c r="D104" s="45"/>
      <c r="E104" s="7"/>
      <c r="F104" s="7"/>
    </row>
    <row r="105" spans="1:6" x14ac:dyDescent="0.2">
      <c r="A105" s="46" t="s">
        <v>104</v>
      </c>
      <c r="B105" s="44"/>
      <c r="C105" s="44"/>
      <c r="D105" s="44"/>
      <c r="E105" s="8">
        <f>E101+E103</f>
        <v>398118.44822249992</v>
      </c>
      <c r="F105" s="8">
        <f>F101+F103</f>
        <v>100.00299439181276</v>
      </c>
    </row>
    <row r="106" spans="1:6" x14ac:dyDescent="0.2">
      <c r="A106" s="4" t="s">
        <v>1983</v>
      </c>
      <c r="F106" s="9"/>
    </row>
    <row r="107" spans="1:6" x14ac:dyDescent="0.2">
      <c r="A107" s="47" t="s">
        <v>768</v>
      </c>
    </row>
    <row r="108" spans="1:6" x14ac:dyDescent="0.2">
      <c r="A108" s="47" t="s">
        <v>1984</v>
      </c>
    </row>
    <row r="109" spans="1:6" x14ac:dyDescent="0.2">
      <c r="A109" s="47"/>
    </row>
    <row r="110" spans="1:6" x14ac:dyDescent="0.2">
      <c r="A110" s="4" t="s">
        <v>105</v>
      </c>
    </row>
    <row r="111" spans="1:6" x14ac:dyDescent="0.2">
      <c r="A111" s="4" t="s">
        <v>769</v>
      </c>
    </row>
    <row r="112" spans="1:6" x14ac:dyDescent="0.2">
      <c r="A112" s="4" t="s">
        <v>107</v>
      </c>
    </row>
    <row r="113" spans="1:4" x14ac:dyDescent="0.2">
      <c r="A113" s="2" t="s">
        <v>666</v>
      </c>
      <c r="D113" s="10">
        <v>67.386399999999995</v>
      </c>
    </row>
    <row r="114" spans="1:4" x14ac:dyDescent="0.2">
      <c r="A114" s="2" t="s">
        <v>667</v>
      </c>
      <c r="D114" s="10">
        <v>12.030799999999999</v>
      </c>
    </row>
    <row r="115" spans="1:4" x14ac:dyDescent="0.2">
      <c r="A115" s="2" t="s">
        <v>668</v>
      </c>
      <c r="D115" s="10">
        <v>70.973799999999997</v>
      </c>
    </row>
    <row r="116" spans="1:4" x14ac:dyDescent="0.2">
      <c r="A116" s="2" t="s">
        <v>669</v>
      </c>
      <c r="D116" s="10">
        <v>12.8515</v>
      </c>
    </row>
    <row r="118" spans="1:4" x14ac:dyDescent="0.2">
      <c r="A118" s="4" t="s">
        <v>108</v>
      </c>
    </row>
    <row r="119" spans="1:4" x14ac:dyDescent="0.2">
      <c r="A119" s="2" t="s">
        <v>666</v>
      </c>
      <c r="D119" s="10">
        <v>69.279499999999999</v>
      </c>
    </row>
    <row r="120" spans="1:4" x14ac:dyDescent="0.2">
      <c r="A120" s="2" t="s">
        <v>667</v>
      </c>
      <c r="D120" s="10">
        <v>11.909599999999999</v>
      </c>
    </row>
    <row r="121" spans="1:4" x14ac:dyDescent="0.2">
      <c r="A121" s="2" t="s">
        <v>668</v>
      </c>
      <c r="D121" s="10">
        <v>73.281999999999996</v>
      </c>
    </row>
    <row r="122" spans="1:4" x14ac:dyDescent="0.2">
      <c r="A122" s="2" t="s">
        <v>669</v>
      </c>
      <c r="D122" s="10">
        <v>12.809200000000001</v>
      </c>
    </row>
    <row r="124" spans="1:4" x14ac:dyDescent="0.2">
      <c r="A124" s="4" t="s">
        <v>109</v>
      </c>
      <c r="D124" s="30" t="s">
        <v>325</v>
      </c>
    </row>
    <row r="125" spans="1:4" x14ac:dyDescent="0.2">
      <c r="A125" s="59" t="s">
        <v>670</v>
      </c>
      <c r="B125" s="60"/>
      <c r="C125" s="94" t="s">
        <v>671</v>
      </c>
      <c r="D125" s="94"/>
    </row>
    <row r="126" spans="1:4" x14ac:dyDescent="0.2">
      <c r="A126" s="95"/>
      <c r="B126" s="95"/>
      <c r="C126" s="33" t="s">
        <v>672</v>
      </c>
      <c r="D126" s="33" t="s">
        <v>673</v>
      </c>
    </row>
    <row r="127" spans="1:4" x14ac:dyDescent="0.2">
      <c r="A127" s="34" t="s">
        <v>667</v>
      </c>
      <c r="B127" s="35"/>
      <c r="C127" s="52">
        <v>0.32414521499999999</v>
      </c>
      <c r="D127" s="52">
        <v>0.30016008459999999</v>
      </c>
    </row>
    <row r="128" spans="1:4" x14ac:dyDescent="0.2">
      <c r="A128" s="34" t="s">
        <v>669</v>
      </c>
      <c r="B128" s="35"/>
      <c r="C128" s="52">
        <v>0.32414521499999999</v>
      </c>
      <c r="D128" s="52">
        <v>0.30016008459999999</v>
      </c>
    </row>
    <row r="130" spans="1:5" x14ac:dyDescent="0.2">
      <c r="A130" s="4" t="s">
        <v>770</v>
      </c>
      <c r="D130" s="29">
        <v>2.5444033245773707</v>
      </c>
      <c r="E130" s="1" t="s">
        <v>771</v>
      </c>
    </row>
    <row r="132" spans="1:5" x14ac:dyDescent="0.2">
      <c r="A132" s="4" t="s">
        <v>1989</v>
      </c>
      <c r="D132" s="50">
        <v>1</v>
      </c>
    </row>
    <row r="133" spans="1:5" x14ac:dyDescent="0.2">
      <c r="A133" s="4" t="s">
        <v>772</v>
      </c>
    </row>
    <row r="134" spans="1:5" ht="15" x14ac:dyDescent="0.25">
      <c r="A134" s="51" t="s">
        <v>773</v>
      </c>
    </row>
  </sheetData>
  <mergeCells count="3">
    <mergeCell ref="A1:F1"/>
    <mergeCell ref="C125:D125"/>
    <mergeCell ref="A126:B126"/>
  </mergeCells>
  <hyperlinks>
    <hyperlink ref="A133" r:id="rId1" display="https://www.franklintempletonindia.com/investor/reports" xr:uid="{7B9003E4-12F0-4283-A288-FF5FB7D87CC7}"/>
    <hyperlink ref="A134" r:id="rId2" xr:uid="{BDC5110F-6FCE-476F-9906-3819D3DED26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9494-8118-4DAF-A714-0AAF3D3AE066}">
  <sheetPr codeName="Sheet35"/>
  <dimension ref="A1:F146"/>
  <sheetViews>
    <sheetView showGridLines="0" zoomScaleNormal="10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73.5703125" style="2" bestFit="1" customWidth="1"/>
    <col min="3" max="3" width="11.7109375" style="2" bestFit="1" customWidth="1"/>
    <col min="4" max="4" width="7.8554687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1255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700</v>
      </c>
      <c r="B8" s="45" t="s">
        <v>1445</v>
      </c>
      <c r="C8" s="45" t="s">
        <v>688</v>
      </c>
      <c r="D8" s="14">
        <v>3930</v>
      </c>
      <c r="E8" s="7">
        <v>36802.8387</v>
      </c>
      <c r="F8" s="7">
        <v>5.8456911344142801</v>
      </c>
    </row>
    <row r="9" spans="1:6" x14ac:dyDescent="0.2">
      <c r="A9" s="45" t="s">
        <v>693</v>
      </c>
      <c r="B9" s="45" t="s">
        <v>1441</v>
      </c>
      <c r="C9" s="45" t="s">
        <v>694</v>
      </c>
      <c r="D9" s="14">
        <v>3370</v>
      </c>
      <c r="E9" s="7">
        <v>25345.096000000001</v>
      </c>
      <c r="F9" s="7">
        <v>4.0257656262824897</v>
      </c>
    </row>
    <row r="10" spans="1:6" x14ac:dyDescent="0.2">
      <c r="A10" s="45" t="s">
        <v>973</v>
      </c>
      <c r="B10" s="45" t="s">
        <v>1645</v>
      </c>
      <c r="C10" s="45" t="s">
        <v>779</v>
      </c>
      <c r="D10" s="14">
        <v>2300</v>
      </c>
      <c r="E10" s="7">
        <v>22997.745999999999</v>
      </c>
      <c r="F10" s="7">
        <v>3.6529171295612999</v>
      </c>
    </row>
    <row r="11" spans="1:6" x14ac:dyDescent="0.2">
      <c r="A11" s="45" t="s">
        <v>1002</v>
      </c>
      <c r="B11" s="45" t="s">
        <v>1670</v>
      </c>
      <c r="C11" s="45" t="s">
        <v>692</v>
      </c>
      <c r="D11" s="14">
        <v>10140</v>
      </c>
      <c r="E11" s="7">
        <v>19742.093280000001</v>
      </c>
      <c r="F11" s="7">
        <v>3.1357955999648399</v>
      </c>
    </row>
    <row r="12" spans="1:6" x14ac:dyDescent="0.2">
      <c r="A12" s="45" t="s">
        <v>722</v>
      </c>
      <c r="B12" s="45" t="s">
        <v>1462</v>
      </c>
      <c r="C12" s="45" t="s">
        <v>682</v>
      </c>
      <c r="D12" s="14">
        <v>2125</v>
      </c>
      <c r="E12" s="7">
        <v>16169.975</v>
      </c>
      <c r="F12" s="7">
        <v>2.5684072979185801</v>
      </c>
    </row>
    <row r="13" spans="1:6" x14ac:dyDescent="0.2">
      <c r="A13" s="45" t="s">
        <v>854</v>
      </c>
      <c r="B13" s="45" t="s">
        <v>1562</v>
      </c>
      <c r="C13" s="45" t="s">
        <v>686</v>
      </c>
      <c r="D13" s="14">
        <v>1400</v>
      </c>
      <c r="E13" s="7">
        <v>14282.94</v>
      </c>
      <c r="F13" s="7">
        <v>2.2686743381936698</v>
      </c>
    </row>
    <row r="14" spans="1:6" x14ac:dyDescent="0.2">
      <c r="A14" s="45" t="s">
        <v>971</v>
      </c>
      <c r="B14" s="45" t="s">
        <v>1644</v>
      </c>
      <c r="C14" s="45" t="s">
        <v>972</v>
      </c>
      <c r="D14" s="14">
        <v>1695</v>
      </c>
      <c r="E14" s="7">
        <v>13680.819600000001</v>
      </c>
      <c r="F14" s="7">
        <v>2.17303470797868</v>
      </c>
    </row>
    <row r="15" spans="1:6" x14ac:dyDescent="0.2">
      <c r="A15" s="45" t="s">
        <v>719</v>
      </c>
      <c r="B15" s="45" t="s">
        <v>1459</v>
      </c>
      <c r="C15" s="45" t="s">
        <v>686</v>
      </c>
      <c r="D15" s="14">
        <v>1350</v>
      </c>
      <c r="E15" s="7">
        <v>13673.083500000001</v>
      </c>
      <c r="F15" s="7">
        <v>2.1718059209398999</v>
      </c>
    </row>
    <row r="16" spans="1:6" x14ac:dyDescent="0.2">
      <c r="A16" s="45" t="s">
        <v>683</v>
      </c>
      <c r="B16" s="45" t="s">
        <v>1436</v>
      </c>
      <c r="C16" s="45" t="s">
        <v>684</v>
      </c>
      <c r="D16" s="14">
        <v>1150</v>
      </c>
      <c r="E16" s="7">
        <v>11671.8905</v>
      </c>
      <c r="F16" s="7">
        <v>1.85394032710048</v>
      </c>
    </row>
    <row r="17" spans="1:6" x14ac:dyDescent="0.2">
      <c r="A17" s="45" t="s">
        <v>974</v>
      </c>
      <c r="B17" s="45" t="s">
        <v>1646</v>
      </c>
      <c r="C17" s="45" t="s">
        <v>779</v>
      </c>
      <c r="D17" s="14">
        <v>1150</v>
      </c>
      <c r="E17" s="7">
        <v>11498.873</v>
      </c>
      <c r="F17" s="7">
        <v>1.8264585647806499</v>
      </c>
    </row>
    <row r="18" spans="1:6" x14ac:dyDescent="0.2">
      <c r="A18" s="45" t="s">
        <v>775</v>
      </c>
      <c r="B18" s="45" t="s">
        <v>1490</v>
      </c>
      <c r="C18" s="45" t="s">
        <v>728</v>
      </c>
      <c r="D18" s="14">
        <v>1100</v>
      </c>
      <c r="E18" s="7">
        <v>11072.335999999999</v>
      </c>
      <c r="F18" s="7">
        <v>1.7587082594380401</v>
      </c>
    </row>
    <row r="19" spans="1:6" x14ac:dyDescent="0.2">
      <c r="A19" s="45" t="s">
        <v>1244</v>
      </c>
      <c r="B19" s="45" t="s">
        <v>1844</v>
      </c>
      <c r="C19" s="45" t="s">
        <v>808</v>
      </c>
      <c r="D19" s="14">
        <v>1100</v>
      </c>
      <c r="E19" s="7">
        <v>11048.323</v>
      </c>
      <c r="F19" s="7">
        <v>1.75489408134284</v>
      </c>
    </row>
    <row r="20" spans="1:6" x14ac:dyDescent="0.2">
      <c r="A20" s="45" t="s">
        <v>1241</v>
      </c>
      <c r="B20" s="45" t="s">
        <v>1841</v>
      </c>
      <c r="C20" s="45" t="s">
        <v>692</v>
      </c>
      <c r="D20" s="14">
        <v>5580</v>
      </c>
      <c r="E20" s="7">
        <v>10828.39176</v>
      </c>
      <c r="F20" s="7">
        <v>1.7199606320421299</v>
      </c>
    </row>
    <row r="21" spans="1:6" x14ac:dyDescent="0.2">
      <c r="A21" s="45" t="s">
        <v>1206</v>
      </c>
      <c r="B21" s="45" t="s">
        <v>1822</v>
      </c>
      <c r="C21" s="45" t="s">
        <v>736</v>
      </c>
      <c r="D21" s="14">
        <v>850</v>
      </c>
      <c r="E21" s="7">
        <v>9983.1735000000008</v>
      </c>
      <c r="F21" s="7">
        <v>1.5857078117800101</v>
      </c>
    </row>
    <row r="22" spans="1:6" x14ac:dyDescent="0.2">
      <c r="A22" s="45" t="s">
        <v>1232</v>
      </c>
      <c r="B22" s="45" t="s">
        <v>1837</v>
      </c>
      <c r="C22" s="45" t="s">
        <v>690</v>
      </c>
      <c r="D22" s="14">
        <v>950</v>
      </c>
      <c r="E22" s="7">
        <v>9897.9835000000003</v>
      </c>
      <c r="F22" s="7">
        <v>1.5721763982985599</v>
      </c>
    </row>
    <row r="23" spans="1:6" x14ac:dyDescent="0.2">
      <c r="A23" s="45" t="s">
        <v>687</v>
      </c>
      <c r="B23" s="45" t="s">
        <v>1438</v>
      </c>
      <c r="C23" s="45" t="s">
        <v>688</v>
      </c>
      <c r="D23" s="14">
        <v>1000</v>
      </c>
      <c r="E23" s="7">
        <v>9149.19</v>
      </c>
      <c r="F23" s="7">
        <v>1.45323949888876</v>
      </c>
    </row>
    <row r="24" spans="1:6" x14ac:dyDescent="0.2">
      <c r="A24" s="45" t="s">
        <v>725</v>
      </c>
      <c r="B24" s="45" t="s">
        <v>1464</v>
      </c>
      <c r="C24" s="45" t="s">
        <v>696</v>
      </c>
      <c r="D24" s="14">
        <v>850</v>
      </c>
      <c r="E24" s="7">
        <v>7677.8119999999999</v>
      </c>
      <c r="F24" s="7">
        <v>1.2195286865221999</v>
      </c>
    </row>
    <row r="25" spans="1:6" x14ac:dyDescent="0.2">
      <c r="A25" s="45" t="s">
        <v>702</v>
      </c>
      <c r="B25" s="45" t="s">
        <v>1447</v>
      </c>
      <c r="C25" s="45" t="s">
        <v>703</v>
      </c>
      <c r="D25" s="14">
        <v>750</v>
      </c>
      <c r="E25" s="7">
        <v>7537.0050000000001</v>
      </c>
      <c r="F25" s="7">
        <v>1.1971631772126301</v>
      </c>
    </row>
    <row r="26" spans="1:6" x14ac:dyDescent="0.2">
      <c r="A26" s="45" t="s">
        <v>685</v>
      </c>
      <c r="B26" s="45" t="s">
        <v>1437</v>
      </c>
      <c r="C26" s="45" t="s">
        <v>686</v>
      </c>
      <c r="D26" s="14">
        <v>660</v>
      </c>
      <c r="E26" s="7">
        <v>7026.2478000000001</v>
      </c>
      <c r="F26" s="7">
        <v>1.1160354995294901</v>
      </c>
    </row>
    <row r="27" spans="1:6" x14ac:dyDescent="0.2">
      <c r="A27" s="45" t="s">
        <v>716</v>
      </c>
      <c r="B27" s="45" t="s">
        <v>1456</v>
      </c>
      <c r="C27" s="45" t="s">
        <v>686</v>
      </c>
      <c r="D27" s="14">
        <v>650</v>
      </c>
      <c r="E27" s="7">
        <v>6759.0445</v>
      </c>
      <c r="F27" s="7">
        <v>1.07359344839782</v>
      </c>
    </row>
    <row r="28" spans="1:6" x14ac:dyDescent="0.2">
      <c r="A28" s="45" t="s">
        <v>989</v>
      </c>
      <c r="B28" s="45" t="s">
        <v>1659</v>
      </c>
      <c r="C28" s="45" t="s">
        <v>708</v>
      </c>
      <c r="D28" s="14">
        <v>700</v>
      </c>
      <c r="E28" s="7">
        <v>6683.88</v>
      </c>
      <c r="F28" s="7">
        <v>1.0616544657868701</v>
      </c>
    </row>
    <row r="29" spans="1:6" x14ac:dyDescent="0.2">
      <c r="A29" s="45" t="s">
        <v>709</v>
      </c>
      <c r="B29" s="45" t="s">
        <v>1451</v>
      </c>
      <c r="C29" s="45" t="s">
        <v>705</v>
      </c>
      <c r="D29" s="14">
        <v>600</v>
      </c>
      <c r="E29" s="7">
        <v>6619.9440000000004</v>
      </c>
      <c r="F29" s="7">
        <v>1.05149899622061</v>
      </c>
    </row>
    <row r="30" spans="1:6" x14ac:dyDescent="0.2">
      <c r="A30" s="45" t="s">
        <v>1256</v>
      </c>
      <c r="B30" s="45" t="s">
        <v>1855</v>
      </c>
      <c r="C30" s="45" t="s">
        <v>755</v>
      </c>
      <c r="D30" s="14">
        <v>650</v>
      </c>
      <c r="E30" s="7">
        <v>6416.8909999999996</v>
      </c>
      <c r="F30" s="7">
        <v>1.01924645364931</v>
      </c>
    </row>
    <row r="31" spans="1:6" x14ac:dyDescent="0.2">
      <c r="A31" s="45" t="s">
        <v>1257</v>
      </c>
      <c r="B31" s="45" t="s">
        <v>1856</v>
      </c>
      <c r="C31" s="45" t="s">
        <v>755</v>
      </c>
      <c r="D31" s="14">
        <v>650</v>
      </c>
      <c r="E31" s="7">
        <v>6359.9250000000002</v>
      </c>
      <c r="F31" s="7">
        <v>1.0101980852917101</v>
      </c>
    </row>
    <row r="32" spans="1:6" x14ac:dyDescent="0.2">
      <c r="A32" s="45" t="s">
        <v>715</v>
      </c>
      <c r="B32" s="45" t="s">
        <v>1455</v>
      </c>
      <c r="C32" s="45" t="s">
        <v>692</v>
      </c>
      <c r="D32" s="14">
        <v>648</v>
      </c>
      <c r="E32" s="7">
        <v>6248.6510399999997</v>
      </c>
      <c r="F32" s="7">
        <v>0.99252354646698904</v>
      </c>
    </row>
    <row r="33" spans="1:6" x14ac:dyDescent="0.2">
      <c r="A33" s="45" t="s">
        <v>697</v>
      </c>
      <c r="B33" s="45" t="s">
        <v>1443</v>
      </c>
      <c r="C33" s="45" t="s">
        <v>698</v>
      </c>
      <c r="D33" s="14">
        <v>620</v>
      </c>
      <c r="E33" s="7">
        <v>6178.2007999999996</v>
      </c>
      <c r="F33" s="7">
        <v>0.98133336772174595</v>
      </c>
    </row>
    <row r="34" spans="1:6" x14ac:dyDescent="0.2">
      <c r="A34" s="45" t="s">
        <v>1258</v>
      </c>
      <c r="B34" s="45" t="s">
        <v>1677</v>
      </c>
      <c r="C34" s="45" t="s">
        <v>802</v>
      </c>
      <c r="D34" s="14">
        <v>650</v>
      </c>
      <c r="E34" s="7">
        <v>6081.0619999999999</v>
      </c>
      <c r="F34" s="7">
        <v>0.96590403014818405</v>
      </c>
    </row>
    <row r="35" spans="1:6" x14ac:dyDescent="0.2">
      <c r="A35" s="45" t="s">
        <v>1259</v>
      </c>
      <c r="B35" s="45" t="s">
        <v>1677</v>
      </c>
      <c r="C35" s="45" t="s">
        <v>802</v>
      </c>
      <c r="D35" s="14">
        <v>650</v>
      </c>
      <c r="E35" s="7">
        <v>6081.0619999999999</v>
      </c>
      <c r="F35" s="7">
        <v>0.96590403014818405</v>
      </c>
    </row>
    <row r="36" spans="1:6" x14ac:dyDescent="0.2">
      <c r="A36" s="45" t="s">
        <v>706</v>
      </c>
      <c r="B36" s="45" t="s">
        <v>1449</v>
      </c>
      <c r="C36" s="45" t="s">
        <v>692</v>
      </c>
      <c r="D36" s="14">
        <v>606</v>
      </c>
      <c r="E36" s="7">
        <v>6043.0986599999997</v>
      </c>
      <c r="F36" s="7">
        <v>0.95987400725022898</v>
      </c>
    </row>
    <row r="37" spans="1:6" x14ac:dyDescent="0.2">
      <c r="A37" s="45" t="s">
        <v>704</v>
      </c>
      <c r="B37" s="45" t="s">
        <v>1448</v>
      </c>
      <c r="C37" s="45" t="s">
        <v>705</v>
      </c>
      <c r="D37" s="14">
        <v>600</v>
      </c>
      <c r="E37" s="7">
        <v>6000.4319999999998</v>
      </c>
      <c r="F37" s="7">
        <v>0.95309691817483999</v>
      </c>
    </row>
    <row r="38" spans="1:6" x14ac:dyDescent="0.2">
      <c r="A38" s="45" t="s">
        <v>701</v>
      </c>
      <c r="B38" s="45" t="s">
        <v>1446</v>
      </c>
      <c r="C38" s="45" t="s">
        <v>690</v>
      </c>
      <c r="D38" s="14">
        <v>560</v>
      </c>
      <c r="E38" s="7">
        <v>5813.4664000000002</v>
      </c>
      <c r="F38" s="7">
        <v>0.92339966684948405</v>
      </c>
    </row>
    <row r="39" spans="1:6" x14ac:dyDescent="0.2">
      <c r="A39" s="45" t="s">
        <v>784</v>
      </c>
      <c r="B39" s="45" t="s">
        <v>1498</v>
      </c>
      <c r="C39" s="45" t="s">
        <v>690</v>
      </c>
      <c r="D39" s="14">
        <v>550</v>
      </c>
      <c r="E39" s="7">
        <v>5487.3940000000002</v>
      </c>
      <c r="F39" s="7">
        <v>0.87160696266720605</v>
      </c>
    </row>
    <row r="40" spans="1:6" x14ac:dyDescent="0.2">
      <c r="A40" s="45" t="s">
        <v>723</v>
      </c>
      <c r="B40" s="45" t="s">
        <v>1463</v>
      </c>
      <c r="C40" s="45" t="s">
        <v>692</v>
      </c>
      <c r="D40" s="14">
        <v>550</v>
      </c>
      <c r="E40" s="7">
        <v>5440.5285000000003</v>
      </c>
      <c r="F40" s="7">
        <v>0.86416293803385902</v>
      </c>
    </row>
    <row r="41" spans="1:6" x14ac:dyDescent="0.2">
      <c r="A41" s="45" t="s">
        <v>1007</v>
      </c>
      <c r="B41" s="45" t="s">
        <v>1675</v>
      </c>
      <c r="C41" s="45" t="s">
        <v>712</v>
      </c>
      <c r="D41" s="14">
        <v>5500</v>
      </c>
      <c r="E41" s="7">
        <v>5369.6885000000002</v>
      </c>
      <c r="F41" s="7">
        <v>0.85291085057023897</v>
      </c>
    </row>
    <row r="42" spans="1:6" x14ac:dyDescent="0.2">
      <c r="A42" s="45" t="s">
        <v>993</v>
      </c>
      <c r="B42" s="45" t="s">
        <v>1663</v>
      </c>
      <c r="C42" s="45" t="s">
        <v>684</v>
      </c>
      <c r="D42" s="14">
        <v>520</v>
      </c>
      <c r="E42" s="7">
        <v>5335.6783999999998</v>
      </c>
      <c r="F42" s="7">
        <v>0.84750875260515601</v>
      </c>
    </row>
    <row r="43" spans="1:6" x14ac:dyDescent="0.2">
      <c r="A43" s="45" t="s">
        <v>983</v>
      </c>
      <c r="B43" s="45" t="s">
        <v>1561</v>
      </c>
      <c r="C43" s="45" t="s">
        <v>698</v>
      </c>
      <c r="D43" s="14">
        <v>550</v>
      </c>
      <c r="E43" s="7">
        <v>5291.8909999999996</v>
      </c>
      <c r="F43" s="7">
        <v>0.84055364737358396</v>
      </c>
    </row>
    <row r="44" spans="1:6" x14ac:dyDescent="0.2">
      <c r="A44" s="45" t="s">
        <v>1243</v>
      </c>
      <c r="B44" s="45" t="s">
        <v>1843</v>
      </c>
      <c r="C44" s="45" t="s">
        <v>696</v>
      </c>
      <c r="D44" s="14">
        <v>550</v>
      </c>
      <c r="E44" s="7">
        <v>5025.5645000000004</v>
      </c>
      <c r="F44" s="7">
        <v>0.79825086544416801</v>
      </c>
    </row>
    <row r="45" spans="1:6" x14ac:dyDescent="0.2">
      <c r="A45" s="45" t="s">
        <v>1006</v>
      </c>
      <c r="B45" s="45" t="s">
        <v>1674</v>
      </c>
      <c r="C45" s="45" t="s">
        <v>696</v>
      </c>
      <c r="D45" s="14">
        <v>502</v>
      </c>
      <c r="E45" s="7">
        <v>5010.6929200000004</v>
      </c>
      <c r="F45" s="7">
        <v>0.79588869267620899</v>
      </c>
    </row>
    <row r="46" spans="1:6" x14ac:dyDescent="0.2">
      <c r="A46" s="45" t="s">
        <v>1240</v>
      </c>
      <c r="B46" s="45" t="s">
        <v>1840</v>
      </c>
      <c r="C46" s="45" t="s">
        <v>698</v>
      </c>
      <c r="D46" s="14">
        <v>500</v>
      </c>
      <c r="E46" s="7">
        <v>4940.75</v>
      </c>
      <c r="F46" s="7">
        <v>0.78477909565050297</v>
      </c>
    </row>
    <row r="47" spans="1:6" x14ac:dyDescent="0.2">
      <c r="A47" s="45" t="s">
        <v>1260</v>
      </c>
      <c r="B47" s="45" t="s">
        <v>1857</v>
      </c>
      <c r="C47" s="45" t="s">
        <v>712</v>
      </c>
      <c r="D47" s="14">
        <v>5000</v>
      </c>
      <c r="E47" s="7">
        <v>4848.5249999999996</v>
      </c>
      <c r="F47" s="7">
        <v>0.77013025648714395</v>
      </c>
    </row>
    <row r="48" spans="1:6" x14ac:dyDescent="0.2">
      <c r="A48" s="45" t="s">
        <v>1210</v>
      </c>
      <c r="B48" s="45" t="s">
        <v>1826</v>
      </c>
      <c r="C48" s="45" t="s">
        <v>802</v>
      </c>
      <c r="D48" s="14">
        <v>450</v>
      </c>
      <c r="E48" s="7">
        <v>4414.7250000000004</v>
      </c>
      <c r="F48" s="7">
        <v>0.70122631038722205</v>
      </c>
    </row>
    <row r="49" spans="1:6" x14ac:dyDescent="0.2">
      <c r="A49" s="45" t="s">
        <v>847</v>
      </c>
      <c r="B49" s="45" t="s">
        <v>1555</v>
      </c>
      <c r="C49" s="45" t="s">
        <v>755</v>
      </c>
      <c r="D49" s="14">
        <v>400</v>
      </c>
      <c r="E49" s="7">
        <v>3961.04</v>
      </c>
      <c r="F49" s="7">
        <v>0.62916386966259596</v>
      </c>
    </row>
    <row r="50" spans="1:6" x14ac:dyDescent="0.2">
      <c r="A50" s="45" t="s">
        <v>853</v>
      </c>
      <c r="B50" s="45" t="s">
        <v>1561</v>
      </c>
      <c r="C50" s="45" t="s">
        <v>698</v>
      </c>
      <c r="D50" s="14">
        <v>380</v>
      </c>
      <c r="E50" s="7">
        <v>3653.453</v>
      </c>
      <c r="F50" s="7">
        <v>0.58030735037021097</v>
      </c>
    </row>
    <row r="51" spans="1:6" x14ac:dyDescent="0.2">
      <c r="A51" s="45" t="s">
        <v>718</v>
      </c>
      <c r="B51" s="45" t="s">
        <v>1458</v>
      </c>
      <c r="C51" s="45" t="s">
        <v>692</v>
      </c>
      <c r="D51" s="14">
        <v>351</v>
      </c>
      <c r="E51" s="7">
        <v>3505.1000399999998</v>
      </c>
      <c r="F51" s="7">
        <v>0.55674325548868897</v>
      </c>
    </row>
    <row r="52" spans="1:6" x14ac:dyDescent="0.2">
      <c r="A52" s="45" t="s">
        <v>1004</v>
      </c>
      <c r="B52" s="45" t="s">
        <v>1672</v>
      </c>
      <c r="C52" s="45" t="s">
        <v>692</v>
      </c>
      <c r="D52" s="14">
        <v>350</v>
      </c>
      <c r="E52" s="7">
        <v>3487.3649999999998</v>
      </c>
      <c r="F52" s="7">
        <v>0.55392625631801196</v>
      </c>
    </row>
    <row r="53" spans="1:6" x14ac:dyDescent="0.2">
      <c r="A53" s="45" t="s">
        <v>699</v>
      </c>
      <c r="B53" s="45" t="s">
        <v>1444</v>
      </c>
      <c r="C53" s="45" t="s">
        <v>692</v>
      </c>
      <c r="D53" s="14">
        <v>352</v>
      </c>
      <c r="E53" s="7">
        <v>3380.9036799999999</v>
      </c>
      <c r="F53" s="7">
        <v>0.53701614784635099</v>
      </c>
    </row>
    <row r="54" spans="1:6" x14ac:dyDescent="0.2">
      <c r="A54" s="45" t="s">
        <v>1247</v>
      </c>
      <c r="B54" s="45" t="s">
        <v>1847</v>
      </c>
      <c r="C54" s="45" t="s">
        <v>728</v>
      </c>
      <c r="D54" s="14">
        <v>300</v>
      </c>
      <c r="E54" s="7">
        <v>2982.8969999999999</v>
      </c>
      <c r="F54" s="7">
        <v>0.473797542899074</v>
      </c>
    </row>
    <row r="55" spans="1:6" x14ac:dyDescent="0.2">
      <c r="A55" s="45" t="s">
        <v>988</v>
      </c>
      <c r="B55" s="45" t="s">
        <v>1658</v>
      </c>
      <c r="C55" s="45" t="s">
        <v>692</v>
      </c>
      <c r="D55" s="14">
        <v>306</v>
      </c>
      <c r="E55" s="7">
        <v>2963.4019199999998</v>
      </c>
      <c r="F55" s="7">
        <v>0.470700982406834</v>
      </c>
    </row>
    <row r="56" spans="1:6" x14ac:dyDescent="0.2">
      <c r="A56" s="45" t="s">
        <v>840</v>
      </c>
      <c r="B56" s="45" t="s">
        <v>1548</v>
      </c>
      <c r="C56" s="45" t="s">
        <v>698</v>
      </c>
      <c r="D56" s="14">
        <v>270</v>
      </c>
      <c r="E56" s="7">
        <v>2692.8719999999998</v>
      </c>
      <c r="F56" s="7">
        <v>0.42773053744119</v>
      </c>
    </row>
    <row r="57" spans="1:6" x14ac:dyDescent="0.2">
      <c r="A57" s="45" t="s">
        <v>995</v>
      </c>
      <c r="B57" s="45" t="s">
        <v>1665</v>
      </c>
      <c r="C57" s="45" t="s">
        <v>696</v>
      </c>
      <c r="D57" s="14">
        <v>250</v>
      </c>
      <c r="E57" s="7">
        <v>2467.625</v>
      </c>
      <c r="F57" s="7">
        <v>0.39195274318768902</v>
      </c>
    </row>
    <row r="58" spans="1:6" x14ac:dyDescent="0.2">
      <c r="A58" s="45" t="s">
        <v>998</v>
      </c>
      <c r="B58" s="45" t="s">
        <v>1667</v>
      </c>
      <c r="C58" s="45" t="s">
        <v>714</v>
      </c>
      <c r="D58" s="14">
        <v>250</v>
      </c>
      <c r="E58" s="7">
        <v>2449.48</v>
      </c>
      <c r="F58" s="7">
        <v>0.38907062677002402</v>
      </c>
    </row>
    <row r="59" spans="1:6" x14ac:dyDescent="0.2">
      <c r="A59" s="45" t="s">
        <v>1009</v>
      </c>
      <c r="B59" s="45" t="s">
        <v>1677</v>
      </c>
      <c r="C59" s="45" t="s">
        <v>802</v>
      </c>
      <c r="D59" s="14">
        <v>260</v>
      </c>
      <c r="E59" s="7">
        <v>2432.4247999999998</v>
      </c>
      <c r="F59" s="7">
        <v>0.386361612059274</v>
      </c>
    </row>
    <row r="60" spans="1:6" x14ac:dyDescent="0.2">
      <c r="A60" s="45" t="s">
        <v>815</v>
      </c>
      <c r="B60" s="45" t="s">
        <v>1524</v>
      </c>
      <c r="C60" s="45" t="s">
        <v>698</v>
      </c>
      <c r="D60" s="14">
        <v>219</v>
      </c>
      <c r="E60" s="7">
        <v>2265.6907799999999</v>
      </c>
      <c r="F60" s="7">
        <v>0.35987790544999898</v>
      </c>
    </row>
    <row r="61" spans="1:6" x14ac:dyDescent="0.2">
      <c r="A61" s="45" t="s">
        <v>777</v>
      </c>
      <c r="B61" s="45" t="s">
        <v>1492</v>
      </c>
      <c r="C61" s="45" t="s">
        <v>728</v>
      </c>
      <c r="D61" s="14">
        <v>200</v>
      </c>
      <c r="E61" s="7">
        <v>1984.29</v>
      </c>
      <c r="F61" s="7">
        <v>0.31518075427988401</v>
      </c>
    </row>
    <row r="62" spans="1:6" x14ac:dyDescent="0.2">
      <c r="A62" s="45" t="s">
        <v>992</v>
      </c>
      <c r="B62" s="45" t="s">
        <v>1662</v>
      </c>
      <c r="C62" s="45" t="s">
        <v>712</v>
      </c>
      <c r="D62" s="14">
        <v>2000</v>
      </c>
      <c r="E62" s="7">
        <v>1945.6220000000001</v>
      </c>
      <c r="F62" s="7">
        <v>0.30903880456159999</v>
      </c>
    </row>
    <row r="63" spans="1:6" x14ac:dyDescent="0.2">
      <c r="A63" s="45" t="s">
        <v>987</v>
      </c>
      <c r="B63" s="45" t="s">
        <v>1657</v>
      </c>
      <c r="C63" s="45" t="s">
        <v>705</v>
      </c>
      <c r="D63" s="14">
        <v>190</v>
      </c>
      <c r="E63" s="7">
        <v>1900.2318</v>
      </c>
      <c r="F63" s="7">
        <v>0.301829113703451</v>
      </c>
    </row>
    <row r="64" spans="1:6" x14ac:dyDescent="0.2">
      <c r="A64" s="45" t="s">
        <v>984</v>
      </c>
      <c r="B64" s="45" t="s">
        <v>1654</v>
      </c>
      <c r="C64" s="45" t="s">
        <v>692</v>
      </c>
      <c r="D64" s="14">
        <v>176</v>
      </c>
      <c r="E64" s="7">
        <v>1745.6912</v>
      </c>
      <c r="F64" s="7">
        <v>0.27728218615008698</v>
      </c>
    </row>
    <row r="65" spans="1:6" x14ac:dyDescent="0.2">
      <c r="A65" s="45" t="s">
        <v>985</v>
      </c>
      <c r="B65" s="45" t="s">
        <v>1655</v>
      </c>
      <c r="C65" s="45" t="s">
        <v>692</v>
      </c>
      <c r="D65" s="14">
        <v>176</v>
      </c>
      <c r="E65" s="7">
        <v>1717.41328</v>
      </c>
      <c r="F65" s="7">
        <v>0.27279057647858401</v>
      </c>
    </row>
    <row r="66" spans="1:6" x14ac:dyDescent="0.2">
      <c r="A66" s="45" t="s">
        <v>720</v>
      </c>
      <c r="B66" s="45" t="s">
        <v>1460</v>
      </c>
      <c r="C66" s="45" t="s">
        <v>696</v>
      </c>
      <c r="D66" s="14">
        <v>150</v>
      </c>
      <c r="E66" s="7">
        <v>1487.91</v>
      </c>
      <c r="F66" s="7">
        <v>0.23633672300953101</v>
      </c>
    </row>
    <row r="67" spans="1:6" x14ac:dyDescent="0.2">
      <c r="A67" s="45" t="s">
        <v>726</v>
      </c>
      <c r="B67" s="45" t="s">
        <v>1465</v>
      </c>
      <c r="C67" s="45" t="s">
        <v>686</v>
      </c>
      <c r="D67" s="14">
        <v>100</v>
      </c>
      <c r="E67" s="7">
        <v>1056.981</v>
      </c>
      <c r="F67" s="7">
        <v>0.16788880095122499</v>
      </c>
    </row>
    <row r="68" spans="1:6" x14ac:dyDescent="0.2">
      <c r="A68" s="45" t="s">
        <v>798</v>
      </c>
      <c r="B68" s="45" t="s">
        <v>1511</v>
      </c>
      <c r="C68" s="45" t="s">
        <v>696</v>
      </c>
      <c r="D68" s="14">
        <v>100</v>
      </c>
      <c r="E68" s="7">
        <v>1036.2629999999999</v>
      </c>
      <c r="F68" s="7">
        <v>0.164597994230851</v>
      </c>
    </row>
    <row r="69" spans="1:6" x14ac:dyDescent="0.2">
      <c r="A69" s="45" t="s">
        <v>807</v>
      </c>
      <c r="B69" s="45" t="s">
        <v>1518</v>
      </c>
      <c r="C69" s="45" t="s">
        <v>808</v>
      </c>
      <c r="D69" s="14">
        <v>100</v>
      </c>
      <c r="E69" s="7">
        <v>1004.086</v>
      </c>
      <c r="F69" s="7">
        <v>0.15948706229526499</v>
      </c>
    </row>
    <row r="70" spans="1:6" x14ac:dyDescent="0.2">
      <c r="A70" s="45" t="s">
        <v>980</v>
      </c>
      <c r="B70" s="45" t="s">
        <v>1652</v>
      </c>
      <c r="C70" s="45" t="s">
        <v>705</v>
      </c>
      <c r="D70" s="14">
        <v>100</v>
      </c>
      <c r="E70" s="7">
        <v>1000.112</v>
      </c>
      <c r="F70" s="7">
        <v>0.15885583988447399</v>
      </c>
    </row>
    <row r="71" spans="1:6" x14ac:dyDescent="0.2">
      <c r="A71" s="45" t="s">
        <v>1003</v>
      </c>
      <c r="B71" s="45" t="s">
        <v>1671</v>
      </c>
      <c r="C71" s="45" t="s">
        <v>698</v>
      </c>
      <c r="D71" s="14">
        <v>90</v>
      </c>
      <c r="E71" s="7">
        <v>900.90989999999999</v>
      </c>
      <c r="F71" s="7">
        <v>0.14309877176229999</v>
      </c>
    </row>
    <row r="72" spans="1:6" x14ac:dyDescent="0.2">
      <c r="A72" s="45" t="s">
        <v>681</v>
      </c>
      <c r="B72" s="45" t="s">
        <v>1435</v>
      </c>
      <c r="C72" s="45" t="s">
        <v>682</v>
      </c>
      <c r="D72" s="14">
        <v>95</v>
      </c>
      <c r="E72" s="7">
        <v>787.20989999999995</v>
      </c>
      <c r="F72" s="7">
        <v>0.12503888547469999</v>
      </c>
    </row>
    <row r="73" spans="1:6" x14ac:dyDescent="0.2">
      <c r="A73" s="45" t="s">
        <v>1261</v>
      </c>
      <c r="B73" s="45" t="s">
        <v>1858</v>
      </c>
      <c r="C73" s="45" t="s">
        <v>917</v>
      </c>
      <c r="D73" s="14">
        <v>74</v>
      </c>
      <c r="E73" s="7">
        <v>747.17282</v>
      </c>
      <c r="F73" s="7">
        <v>0.11867947375889</v>
      </c>
    </row>
    <row r="74" spans="1:6" x14ac:dyDescent="0.2">
      <c r="A74" s="45" t="s">
        <v>1013</v>
      </c>
      <c r="B74" s="45" t="s">
        <v>1681</v>
      </c>
      <c r="C74" s="45" t="s">
        <v>696</v>
      </c>
      <c r="D74" s="14">
        <v>50</v>
      </c>
      <c r="E74" s="7">
        <v>508.87099999999998</v>
      </c>
      <c r="F74" s="7">
        <v>8.0828077353188699E-2</v>
      </c>
    </row>
    <row r="75" spans="1:6" x14ac:dyDescent="0.2">
      <c r="A75" s="45" t="s">
        <v>730</v>
      </c>
      <c r="B75" s="45" t="s">
        <v>1467</v>
      </c>
      <c r="C75" s="45" t="s">
        <v>682</v>
      </c>
      <c r="D75" s="14">
        <v>40</v>
      </c>
      <c r="E75" s="7">
        <v>413.78480000000002</v>
      </c>
      <c r="F75" s="7">
        <v>6.5724770761103904E-2</v>
      </c>
    </row>
    <row r="76" spans="1:6" x14ac:dyDescent="0.2">
      <c r="A76" s="45" t="s">
        <v>689</v>
      </c>
      <c r="B76" s="45" t="s">
        <v>1439</v>
      </c>
      <c r="C76" s="45" t="s">
        <v>690</v>
      </c>
      <c r="D76" s="14">
        <v>400</v>
      </c>
      <c r="E76" s="7">
        <v>388.29559999999998</v>
      </c>
      <c r="F76" s="7">
        <v>6.1676115936461003E-2</v>
      </c>
    </row>
    <row r="77" spans="1:6" x14ac:dyDescent="0.2">
      <c r="A77" s="45" t="s">
        <v>1262</v>
      </c>
      <c r="B77" s="45" t="s">
        <v>1859</v>
      </c>
      <c r="C77" s="45" t="s">
        <v>686</v>
      </c>
      <c r="D77" s="14">
        <v>3</v>
      </c>
      <c r="E77" s="7">
        <v>306.7647</v>
      </c>
      <c r="F77" s="7">
        <v>4.8725906763851197E-2</v>
      </c>
    </row>
    <row r="78" spans="1:6" x14ac:dyDescent="0.2">
      <c r="A78" s="26" t="s">
        <v>44</v>
      </c>
      <c r="B78" s="45"/>
      <c r="C78" s="45"/>
      <c r="D78" s="14"/>
      <c r="E78" s="6">
        <f>SUM(E8:E77)</f>
        <v>451710.77557999978</v>
      </c>
      <c r="F78" s="6">
        <f>SUM(F8:F77)</f>
        <v>71.748858767446194</v>
      </c>
    </row>
    <row r="79" spans="1:6" x14ac:dyDescent="0.2">
      <c r="A79" s="45"/>
      <c r="B79" s="45"/>
      <c r="C79" s="45"/>
      <c r="D79" s="14"/>
      <c r="E79" s="7"/>
      <c r="F79" s="7"/>
    </row>
    <row r="80" spans="1:6" x14ac:dyDescent="0.2">
      <c r="A80" s="26" t="s">
        <v>732</v>
      </c>
      <c r="B80" s="45"/>
      <c r="C80" s="45"/>
      <c r="D80" s="14"/>
      <c r="E80" s="7"/>
      <c r="F80" s="7"/>
    </row>
    <row r="81" spans="1:6" x14ac:dyDescent="0.2">
      <c r="A81" s="45" t="s">
        <v>1263</v>
      </c>
      <c r="B81" s="45" t="s">
        <v>1473</v>
      </c>
      <c r="C81" s="45" t="s">
        <v>684</v>
      </c>
      <c r="D81" s="14">
        <v>1250</v>
      </c>
      <c r="E81" s="7">
        <v>12524</v>
      </c>
      <c r="F81" s="7">
        <v>1.98928773848644</v>
      </c>
    </row>
    <row r="82" spans="1:6" x14ac:dyDescent="0.2">
      <c r="A82" s="45" t="s">
        <v>1252</v>
      </c>
      <c r="B82" s="45" t="s">
        <v>1852</v>
      </c>
      <c r="C82" s="45" t="s">
        <v>760</v>
      </c>
      <c r="D82" s="14">
        <v>1000</v>
      </c>
      <c r="E82" s="7">
        <v>7763.52</v>
      </c>
      <c r="F82" s="7">
        <v>1.23314237811356</v>
      </c>
    </row>
    <row r="83" spans="1:6" x14ac:dyDescent="0.2">
      <c r="A83" s="45" t="s">
        <v>1039</v>
      </c>
      <c r="B83" s="45" t="s">
        <v>1986</v>
      </c>
      <c r="C83" s="45" t="s">
        <v>758</v>
      </c>
      <c r="D83" s="14">
        <v>979</v>
      </c>
      <c r="E83" s="7">
        <v>3207.0082000000002</v>
      </c>
      <c r="F83" s="7">
        <v>0.50939492889535998</v>
      </c>
    </row>
    <row r="84" spans="1:6" x14ac:dyDescent="0.2">
      <c r="A84" s="45" t="s">
        <v>757</v>
      </c>
      <c r="B84" s="45" t="s">
        <v>1985</v>
      </c>
      <c r="C84" s="45" t="s">
        <v>758</v>
      </c>
      <c r="D84" s="14">
        <v>855</v>
      </c>
      <c r="E84" s="7">
        <v>2800.8090000000002</v>
      </c>
      <c r="F84" s="7">
        <v>0.44487504004650902</v>
      </c>
    </row>
    <row r="85" spans="1:6" x14ac:dyDescent="0.2">
      <c r="A85" s="45" t="s">
        <v>1264</v>
      </c>
      <c r="B85" s="45" t="s">
        <v>1860</v>
      </c>
      <c r="C85" s="45" t="s">
        <v>745</v>
      </c>
      <c r="D85" s="14">
        <v>750</v>
      </c>
      <c r="E85" s="7">
        <v>7459.5524999999998</v>
      </c>
      <c r="F85" s="7">
        <v>1.1848607731432399</v>
      </c>
    </row>
    <row r="86" spans="1:6" x14ac:dyDescent="0.2">
      <c r="A86" s="45" t="s">
        <v>1265</v>
      </c>
      <c r="B86" s="45" t="s">
        <v>1861</v>
      </c>
      <c r="C86" s="45" t="s">
        <v>745</v>
      </c>
      <c r="D86" s="14">
        <v>750</v>
      </c>
      <c r="E86" s="7">
        <v>1250.0025000000001</v>
      </c>
      <c r="F86" s="7">
        <v>0.19854795962371499</v>
      </c>
    </row>
    <row r="87" spans="1:6" x14ac:dyDescent="0.2">
      <c r="A87" s="45" t="s">
        <v>1266</v>
      </c>
      <c r="B87" s="45" t="s">
        <v>1862</v>
      </c>
      <c r="C87" s="45" t="s">
        <v>745</v>
      </c>
      <c r="D87" s="14">
        <v>644</v>
      </c>
      <c r="E87" s="7">
        <v>4307.6065200000003</v>
      </c>
      <c r="F87" s="7">
        <v>0.68421181990260804</v>
      </c>
    </row>
    <row r="88" spans="1:6" x14ac:dyDescent="0.2">
      <c r="A88" s="45" t="s">
        <v>1047</v>
      </c>
      <c r="B88" s="45" t="s">
        <v>1988</v>
      </c>
      <c r="C88" s="45" t="s">
        <v>758</v>
      </c>
      <c r="D88" s="14">
        <v>641</v>
      </c>
      <c r="E88" s="7">
        <v>2099.7878000000001</v>
      </c>
      <c r="F88" s="7">
        <v>0.33352619961381602</v>
      </c>
    </row>
    <row r="89" spans="1:6" x14ac:dyDescent="0.2">
      <c r="A89" s="45" t="s">
        <v>761</v>
      </c>
      <c r="B89" s="45" t="s">
        <v>1485</v>
      </c>
      <c r="C89" s="45" t="s">
        <v>743</v>
      </c>
      <c r="D89" s="14">
        <v>580</v>
      </c>
      <c r="E89" s="7">
        <v>5405.0025999999998</v>
      </c>
      <c r="F89" s="7">
        <v>0.85852007335255098</v>
      </c>
    </row>
    <row r="90" spans="1:6" x14ac:dyDescent="0.2">
      <c r="A90" s="45" t="s">
        <v>1036</v>
      </c>
      <c r="B90" s="45" t="s">
        <v>1699</v>
      </c>
      <c r="C90" s="45" t="s">
        <v>1037</v>
      </c>
      <c r="D90" s="14">
        <v>580</v>
      </c>
      <c r="E90" s="7">
        <v>5674.6156000000001</v>
      </c>
      <c r="F90" s="7">
        <v>0.90134487653336803</v>
      </c>
    </row>
    <row r="91" spans="1:6" x14ac:dyDescent="0.2">
      <c r="A91" s="45" t="s">
        <v>741</v>
      </c>
      <c r="B91" s="45" t="s">
        <v>1473</v>
      </c>
      <c r="C91" s="45" t="s">
        <v>684</v>
      </c>
      <c r="D91" s="14">
        <v>550</v>
      </c>
      <c r="E91" s="7">
        <v>5500.2969999999996</v>
      </c>
      <c r="F91" s="7">
        <v>0.87365645002665104</v>
      </c>
    </row>
    <row r="92" spans="1:6" x14ac:dyDescent="0.2">
      <c r="A92" s="45" t="s">
        <v>1253</v>
      </c>
      <c r="B92" s="45" t="s">
        <v>1853</v>
      </c>
      <c r="C92" s="45" t="s">
        <v>760</v>
      </c>
      <c r="D92" s="14">
        <v>422</v>
      </c>
      <c r="E92" s="7">
        <v>4242.8724000000002</v>
      </c>
      <c r="F92" s="7">
        <v>0.67392957851186197</v>
      </c>
    </row>
    <row r="93" spans="1:6" x14ac:dyDescent="0.2">
      <c r="A93" s="45" t="s">
        <v>1254</v>
      </c>
      <c r="B93" s="45" t="s">
        <v>1854</v>
      </c>
      <c r="C93" s="45" t="s">
        <v>745</v>
      </c>
      <c r="D93" s="14">
        <v>370</v>
      </c>
      <c r="E93" s="7">
        <v>2782.2927</v>
      </c>
      <c r="F93" s="7">
        <v>0.44193394706087102</v>
      </c>
    </row>
    <row r="94" spans="1:6" x14ac:dyDescent="0.2">
      <c r="A94" s="45" t="s">
        <v>1217</v>
      </c>
      <c r="B94" s="45" t="s">
        <v>1833</v>
      </c>
      <c r="C94" s="45" t="s">
        <v>760</v>
      </c>
      <c r="D94" s="14">
        <v>323</v>
      </c>
      <c r="E94" s="7">
        <v>535.23684000000003</v>
      </c>
      <c r="F94" s="7">
        <v>8.5015975966003798E-2</v>
      </c>
    </row>
    <row r="95" spans="1:6" x14ac:dyDescent="0.2">
      <c r="A95" s="45" t="s">
        <v>1053</v>
      </c>
      <c r="B95" s="45" t="s">
        <v>1712</v>
      </c>
      <c r="C95" s="45" t="s">
        <v>745</v>
      </c>
      <c r="D95" s="14">
        <v>320</v>
      </c>
      <c r="E95" s="7">
        <v>3202.7647999999999</v>
      </c>
      <c r="F95" s="7">
        <v>0.50872091551389298</v>
      </c>
    </row>
    <row r="96" spans="1:6" x14ac:dyDescent="0.2">
      <c r="A96" s="45" t="s">
        <v>737</v>
      </c>
      <c r="B96" s="45" t="s">
        <v>1471</v>
      </c>
      <c r="C96" s="45" t="s">
        <v>738</v>
      </c>
      <c r="D96" s="14">
        <v>300</v>
      </c>
      <c r="E96" s="7">
        <v>34570.89</v>
      </c>
      <c r="F96" s="7">
        <v>5.4911727551551897</v>
      </c>
    </row>
    <row r="97" spans="1:6" x14ac:dyDescent="0.2">
      <c r="A97" s="45" t="s">
        <v>762</v>
      </c>
      <c r="B97" s="45" t="s">
        <v>1486</v>
      </c>
      <c r="C97" s="45" t="s">
        <v>763</v>
      </c>
      <c r="D97" s="14">
        <v>230</v>
      </c>
      <c r="E97" s="7">
        <v>23264.776000000002</v>
      </c>
      <c r="F97" s="7">
        <v>3.6953316540588999</v>
      </c>
    </row>
    <row r="98" spans="1:6" x14ac:dyDescent="0.2">
      <c r="A98" s="45" t="s">
        <v>748</v>
      </c>
      <c r="B98" s="45" t="s">
        <v>1477</v>
      </c>
      <c r="C98" s="45" t="s">
        <v>749</v>
      </c>
      <c r="D98" s="14">
        <v>220</v>
      </c>
      <c r="E98" s="7">
        <v>1958.7809999999999</v>
      </c>
      <c r="F98" s="7">
        <v>0.31112895446185102</v>
      </c>
    </row>
    <row r="99" spans="1:6" x14ac:dyDescent="0.2">
      <c r="A99" s="45" t="s">
        <v>767</v>
      </c>
      <c r="B99" s="45" t="s">
        <v>1489</v>
      </c>
      <c r="C99" s="45" t="s">
        <v>712</v>
      </c>
      <c r="D99" s="14">
        <v>200</v>
      </c>
      <c r="E99" s="7">
        <v>2020.5940000000001</v>
      </c>
      <c r="F99" s="7">
        <v>0.320947210847914</v>
      </c>
    </row>
    <row r="100" spans="1:6" x14ac:dyDescent="0.2">
      <c r="A100" s="45" t="s">
        <v>766</v>
      </c>
      <c r="B100" s="45" t="s">
        <v>1488</v>
      </c>
      <c r="C100" s="45" t="s">
        <v>740</v>
      </c>
      <c r="D100" s="14">
        <v>200</v>
      </c>
      <c r="E100" s="7">
        <v>1909.47</v>
      </c>
      <c r="F100" s="7">
        <v>0.30329649137717302</v>
      </c>
    </row>
    <row r="101" spans="1:6" x14ac:dyDescent="0.2">
      <c r="A101" s="45" t="s">
        <v>759</v>
      </c>
      <c r="B101" s="45" t="s">
        <v>1484</v>
      </c>
      <c r="C101" s="45" t="s">
        <v>760</v>
      </c>
      <c r="D101" s="14">
        <v>200</v>
      </c>
      <c r="E101" s="7">
        <v>2054.5079999999998</v>
      </c>
      <c r="F101" s="7">
        <v>0.32633404447638997</v>
      </c>
    </row>
    <row r="102" spans="1:6" x14ac:dyDescent="0.2">
      <c r="A102" s="45" t="s">
        <v>1045</v>
      </c>
      <c r="B102" s="45" t="s">
        <v>1706</v>
      </c>
      <c r="C102" s="45" t="s">
        <v>734</v>
      </c>
      <c r="D102" s="14">
        <v>150</v>
      </c>
      <c r="E102" s="7">
        <v>1504.1534999999999</v>
      </c>
      <c r="F102" s="7">
        <v>0.23891680887507699</v>
      </c>
    </row>
    <row r="103" spans="1:6" x14ac:dyDescent="0.2">
      <c r="A103" s="45" t="s">
        <v>756</v>
      </c>
      <c r="B103" s="45" t="s">
        <v>1483</v>
      </c>
      <c r="C103" s="45" t="s">
        <v>743</v>
      </c>
      <c r="D103" s="14">
        <v>130</v>
      </c>
      <c r="E103" s="7">
        <v>1209.6733999999999</v>
      </c>
      <c r="F103" s="7">
        <v>0.19214216402053699</v>
      </c>
    </row>
    <row r="104" spans="1:6" x14ac:dyDescent="0.2">
      <c r="A104" s="45" t="s">
        <v>1251</v>
      </c>
      <c r="B104" s="45" t="s">
        <v>1851</v>
      </c>
      <c r="C104" s="45" t="s">
        <v>703</v>
      </c>
      <c r="D104" s="14">
        <v>110</v>
      </c>
      <c r="E104" s="7">
        <v>1060.2349999999999</v>
      </c>
      <c r="F104" s="7">
        <v>0.16840565996599899</v>
      </c>
    </row>
    <row r="105" spans="1:6" x14ac:dyDescent="0.2">
      <c r="A105" s="45" t="s">
        <v>1034</v>
      </c>
      <c r="B105" s="45" t="s">
        <v>1697</v>
      </c>
      <c r="C105" s="45" t="s">
        <v>740</v>
      </c>
      <c r="D105" s="14">
        <v>90</v>
      </c>
      <c r="E105" s="7">
        <v>906.27750000000003</v>
      </c>
      <c r="F105" s="7">
        <v>0.14395135087960301</v>
      </c>
    </row>
    <row r="106" spans="1:6" x14ac:dyDescent="0.2">
      <c r="A106" s="45" t="s">
        <v>751</v>
      </c>
      <c r="B106" s="45" t="s">
        <v>1479</v>
      </c>
      <c r="C106" s="45" t="s">
        <v>703</v>
      </c>
      <c r="D106" s="14">
        <v>50</v>
      </c>
      <c r="E106" s="7">
        <v>483.14800000000002</v>
      </c>
      <c r="F106" s="7">
        <v>7.6742286192450396E-2</v>
      </c>
    </row>
    <row r="107" spans="1:6" x14ac:dyDescent="0.2">
      <c r="A107" s="45" t="s">
        <v>1041</v>
      </c>
      <c r="B107" s="45" t="s">
        <v>1702</v>
      </c>
      <c r="C107" s="45" t="s">
        <v>1027</v>
      </c>
      <c r="D107" s="14">
        <v>31</v>
      </c>
      <c r="E107" s="7">
        <v>4372.9808999999996</v>
      </c>
      <c r="F107" s="7">
        <v>0.69459575894326198</v>
      </c>
    </row>
    <row r="108" spans="1:6" x14ac:dyDescent="0.2">
      <c r="A108" s="45" t="s">
        <v>1035</v>
      </c>
      <c r="B108" s="45" t="s">
        <v>1698</v>
      </c>
      <c r="C108" s="45" t="s">
        <v>712</v>
      </c>
      <c r="D108" s="14">
        <v>30</v>
      </c>
      <c r="E108" s="7">
        <v>15094.665000000001</v>
      </c>
      <c r="F108" s="7">
        <v>2.3976071543484898</v>
      </c>
    </row>
    <row r="109" spans="1:6" x14ac:dyDescent="0.2">
      <c r="A109" s="45" t="s">
        <v>1026</v>
      </c>
      <c r="B109" s="45" t="s">
        <v>1691</v>
      </c>
      <c r="C109" s="45" t="s">
        <v>1027</v>
      </c>
      <c r="D109" s="14">
        <v>28</v>
      </c>
      <c r="E109" s="7">
        <v>3990.4675999999999</v>
      </c>
      <c r="F109" s="7">
        <v>0.633838092263449</v>
      </c>
    </row>
    <row r="110" spans="1:6" x14ac:dyDescent="0.2">
      <c r="A110" s="45" t="s">
        <v>746</v>
      </c>
      <c r="B110" s="45" t="s">
        <v>1476</v>
      </c>
      <c r="C110" s="45" t="s">
        <v>747</v>
      </c>
      <c r="D110" s="14">
        <v>15</v>
      </c>
      <c r="E110" s="7">
        <v>1855.8495</v>
      </c>
      <c r="F110" s="7">
        <v>0.29477951571592098</v>
      </c>
    </row>
    <row r="111" spans="1:6" x14ac:dyDescent="0.2">
      <c r="A111" s="26" t="s">
        <v>44</v>
      </c>
      <c r="B111" s="45"/>
      <c r="C111" s="45"/>
      <c r="D111" s="45"/>
      <c r="E111" s="6">
        <f>SUM(E81:E110)</f>
        <v>165011.83785999997</v>
      </c>
      <c r="F111" s="6">
        <f>SUM(F81:F110)</f>
        <v>26.210158556372651</v>
      </c>
    </row>
    <row r="112" spans="1:6" x14ac:dyDescent="0.2">
      <c r="A112" s="45"/>
      <c r="B112" s="45"/>
      <c r="C112" s="45"/>
      <c r="D112" s="45"/>
      <c r="E112" s="7"/>
      <c r="F112" s="7"/>
    </row>
    <row r="113" spans="1:6" x14ac:dyDescent="0.2">
      <c r="A113" s="26" t="s">
        <v>44</v>
      </c>
      <c r="B113" s="45"/>
      <c r="C113" s="45"/>
      <c r="D113" s="45"/>
      <c r="E113" s="6">
        <f>E78+E111</f>
        <v>616722.61343999975</v>
      </c>
      <c r="F113" s="6">
        <f>F78+F111</f>
        <v>97.959017323818841</v>
      </c>
    </row>
    <row r="114" spans="1:6" x14ac:dyDescent="0.2">
      <c r="A114" s="45"/>
      <c r="B114" s="45"/>
      <c r="C114" s="45"/>
      <c r="D114" s="45"/>
      <c r="E114" s="7"/>
      <c r="F114" s="7"/>
    </row>
    <row r="115" spans="1:6" x14ac:dyDescent="0.2">
      <c r="A115" s="26" t="s">
        <v>103</v>
      </c>
      <c r="B115" s="45"/>
      <c r="C115" s="45"/>
      <c r="D115" s="45"/>
      <c r="E115" s="6">
        <v>12849.4603295</v>
      </c>
      <c r="F115" s="6">
        <v>2.04</v>
      </c>
    </row>
    <row r="116" spans="1:6" x14ac:dyDescent="0.2">
      <c r="A116" s="45"/>
      <c r="B116" s="45"/>
      <c r="C116" s="45"/>
      <c r="D116" s="45"/>
      <c r="E116" s="7"/>
      <c r="F116" s="7"/>
    </row>
    <row r="117" spans="1:6" x14ac:dyDescent="0.2">
      <c r="A117" s="46" t="s">
        <v>104</v>
      </c>
      <c r="B117" s="44"/>
      <c r="C117" s="44"/>
      <c r="D117" s="44"/>
      <c r="E117" s="8">
        <f>E113+E115</f>
        <v>629572.07376949978</v>
      </c>
      <c r="F117" s="8">
        <f>F113+F115</f>
        <v>99.999017323818848</v>
      </c>
    </row>
    <row r="118" spans="1:6" x14ac:dyDescent="0.2">
      <c r="A118" s="4" t="s">
        <v>1983</v>
      </c>
    </row>
    <row r="119" spans="1:6" x14ac:dyDescent="0.2">
      <c r="A119" s="47" t="s">
        <v>768</v>
      </c>
    </row>
    <row r="120" spans="1:6" x14ac:dyDescent="0.2">
      <c r="A120" s="47" t="s">
        <v>1984</v>
      </c>
    </row>
    <row r="121" spans="1:6" x14ac:dyDescent="0.2">
      <c r="A121" s="47"/>
    </row>
    <row r="122" spans="1:6" x14ac:dyDescent="0.2">
      <c r="A122" s="4" t="s">
        <v>105</v>
      </c>
    </row>
    <row r="123" spans="1:6" x14ac:dyDescent="0.2">
      <c r="A123" s="4" t="s">
        <v>769</v>
      </c>
    </row>
    <row r="124" spans="1:6" x14ac:dyDescent="0.2">
      <c r="A124" s="4" t="s">
        <v>107</v>
      </c>
    </row>
    <row r="125" spans="1:6" x14ac:dyDescent="0.2">
      <c r="A125" s="2" t="s">
        <v>666</v>
      </c>
      <c r="D125" s="10">
        <v>19.691400000000002</v>
      </c>
    </row>
    <row r="126" spans="1:6" x14ac:dyDescent="0.2">
      <c r="A126" s="2" t="s">
        <v>667</v>
      </c>
      <c r="D126" s="10">
        <v>11.217700000000001</v>
      </c>
    </row>
    <row r="127" spans="1:6" x14ac:dyDescent="0.2">
      <c r="A127" s="2" t="s">
        <v>668</v>
      </c>
      <c r="D127" s="10">
        <v>20.7408</v>
      </c>
    </row>
    <row r="128" spans="1:6" x14ac:dyDescent="0.2">
      <c r="A128" s="2" t="s">
        <v>669</v>
      </c>
      <c r="D128" s="10">
        <v>12.022</v>
      </c>
    </row>
    <row r="130" spans="1:5" x14ac:dyDescent="0.2">
      <c r="A130" s="4" t="s">
        <v>108</v>
      </c>
    </row>
    <row r="131" spans="1:5" x14ac:dyDescent="0.2">
      <c r="A131" s="2" t="s">
        <v>666</v>
      </c>
      <c r="D131" s="10">
        <v>19.9437</v>
      </c>
    </row>
    <row r="132" spans="1:5" x14ac:dyDescent="0.2">
      <c r="A132" s="2" t="s">
        <v>667</v>
      </c>
      <c r="D132" s="10">
        <v>10.9154</v>
      </c>
    </row>
    <row r="133" spans="1:5" x14ac:dyDescent="0.2">
      <c r="A133" s="2" t="s">
        <v>668</v>
      </c>
      <c r="D133" s="10">
        <v>21.078700000000001</v>
      </c>
    </row>
    <row r="134" spans="1:5" x14ac:dyDescent="0.2">
      <c r="A134" s="2" t="s">
        <v>669</v>
      </c>
      <c r="D134" s="10">
        <v>11.771599999999999</v>
      </c>
    </row>
    <row r="136" spans="1:5" x14ac:dyDescent="0.2">
      <c r="A136" s="4" t="s">
        <v>109</v>
      </c>
      <c r="D136" s="30" t="s">
        <v>325</v>
      </c>
    </row>
    <row r="137" spans="1:5" x14ac:dyDescent="0.2">
      <c r="A137" s="59" t="s">
        <v>670</v>
      </c>
      <c r="B137" s="60"/>
      <c r="C137" s="94" t="s">
        <v>671</v>
      </c>
      <c r="D137" s="94"/>
    </row>
    <row r="138" spans="1:5" x14ac:dyDescent="0.2">
      <c r="A138" s="95"/>
      <c r="B138" s="95"/>
      <c r="C138" s="33" t="s">
        <v>672</v>
      </c>
      <c r="D138" s="33" t="s">
        <v>673</v>
      </c>
    </row>
    <row r="139" spans="1:5" x14ac:dyDescent="0.2">
      <c r="A139" s="34" t="s">
        <v>667</v>
      </c>
      <c r="B139" s="35"/>
      <c r="C139" s="52">
        <v>0.31694198800000001</v>
      </c>
      <c r="D139" s="52">
        <v>0.29348986040000002</v>
      </c>
    </row>
    <row r="140" spans="1:5" x14ac:dyDescent="0.2">
      <c r="A140" s="34" t="s">
        <v>669</v>
      </c>
      <c r="B140" s="35"/>
      <c r="C140" s="52">
        <v>0.31694198800000001</v>
      </c>
      <c r="D140" s="52">
        <v>0.29348986040000002</v>
      </c>
    </row>
    <row r="142" spans="1:5" x14ac:dyDescent="0.2">
      <c r="A142" s="4" t="s">
        <v>770</v>
      </c>
      <c r="D142" s="29">
        <v>2.857930891809366</v>
      </c>
      <c r="E142" s="1" t="s">
        <v>771</v>
      </c>
    </row>
    <row r="144" spans="1:5" x14ac:dyDescent="0.2">
      <c r="A144" s="4" t="s">
        <v>1989</v>
      </c>
      <c r="D144" s="50">
        <v>3</v>
      </c>
    </row>
    <row r="145" spans="1:1" x14ac:dyDescent="0.2">
      <c r="A145" s="4" t="s">
        <v>772</v>
      </c>
    </row>
    <row r="146" spans="1:1" ht="15" x14ac:dyDescent="0.25">
      <c r="A146" s="51" t="s">
        <v>773</v>
      </c>
    </row>
  </sheetData>
  <mergeCells count="3">
    <mergeCell ref="A1:F1"/>
    <mergeCell ref="C137:D137"/>
    <mergeCell ref="A138:B138"/>
  </mergeCells>
  <hyperlinks>
    <hyperlink ref="A145" r:id="rId1" display="https://www.franklintempletonindia.com/investor/reports" xr:uid="{11CD1989-42E1-4551-8F42-690B583AD97C}"/>
    <hyperlink ref="A146" r:id="rId2" xr:uid="{6AFDAD77-1FA5-4E02-9046-975AECC3C51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9358-A32A-4DE9-BBAB-D177EBA3F76D}">
  <sheetPr codeName="Sheet36"/>
  <dimension ref="A1:F126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5.85546875" style="2" bestFit="1" customWidth="1"/>
    <col min="3" max="3" width="12.28515625" style="2" bestFit="1" customWidth="1"/>
    <col min="4" max="4" width="10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1267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719</v>
      </c>
      <c r="B8" s="45" t="s">
        <v>1459</v>
      </c>
      <c r="C8" s="45" t="s">
        <v>686</v>
      </c>
      <c r="D8" s="14">
        <v>920</v>
      </c>
      <c r="E8" s="7">
        <v>9317.9531999999999</v>
      </c>
      <c r="F8" s="7">
        <v>6.94339484397885</v>
      </c>
    </row>
    <row r="9" spans="1:6" x14ac:dyDescent="0.2">
      <c r="A9" s="45" t="s">
        <v>915</v>
      </c>
      <c r="B9" s="45" t="s">
        <v>1600</v>
      </c>
      <c r="C9" s="45" t="s">
        <v>686</v>
      </c>
      <c r="D9" s="14">
        <v>680</v>
      </c>
      <c r="E9" s="7">
        <v>7175.3667999999998</v>
      </c>
      <c r="F9" s="7">
        <v>5.3468185312174601</v>
      </c>
    </row>
    <row r="10" spans="1:6" x14ac:dyDescent="0.2">
      <c r="A10" s="45" t="s">
        <v>958</v>
      </c>
      <c r="B10" s="45" t="s">
        <v>1639</v>
      </c>
      <c r="C10" s="45" t="s">
        <v>917</v>
      </c>
      <c r="D10" s="14">
        <v>660</v>
      </c>
      <c r="E10" s="7">
        <v>6956.9939999999997</v>
      </c>
      <c r="F10" s="7">
        <v>5.1840951797430996</v>
      </c>
    </row>
    <row r="11" spans="1:6" x14ac:dyDescent="0.2">
      <c r="A11" s="45" t="s">
        <v>716</v>
      </c>
      <c r="B11" s="45" t="s">
        <v>1456</v>
      </c>
      <c r="C11" s="45" t="s">
        <v>686</v>
      </c>
      <c r="D11" s="14">
        <v>667</v>
      </c>
      <c r="E11" s="7">
        <v>6935.8195100000003</v>
      </c>
      <c r="F11" s="7">
        <v>5.1683167312432801</v>
      </c>
    </row>
    <row r="12" spans="1:6" x14ac:dyDescent="0.2">
      <c r="A12" s="45" t="s">
        <v>854</v>
      </c>
      <c r="B12" s="45" t="s">
        <v>1562</v>
      </c>
      <c r="C12" s="45" t="s">
        <v>686</v>
      </c>
      <c r="D12" s="14">
        <v>590</v>
      </c>
      <c r="E12" s="7">
        <v>6019.2389999999996</v>
      </c>
      <c r="F12" s="7">
        <v>4.48531476175223</v>
      </c>
    </row>
    <row r="13" spans="1:6" x14ac:dyDescent="0.2">
      <c r="A13" s="45" t="s">
        <v>929</v>
      </c>
      <c r="B13" s="45" t="s">
        <v>1611</v>
      </c>
      <c r="C13" s="45" t="s">
        <v>686</v>
      </c>
      <c r="D13" s="14">
        <v>510</v>
      </c>
      <c r="E13" s="7">
        <v>5365.8171000000002</v>
      </c>
      <c r="F13" s="7">
        <v>3.9984088765195298</v>
      </c>
    </row>
    <row r="14" spans="1:6" x14ac:dyDescent="0.2">
      <c r="A14" s="45" t="s">
        <v>1268</v>
      </c>
      <c r="B14" s="45" t="s">
        <v>1863</v>
      </c>
      <c r="C14" s="45" t="s">
        <v>686</v>
      </c>
      <c r="D14" s="14">
        <v>500</v>
      </c>
      <c r="E14" s="7">
        <v>5142.3950000000004</v>
      </c>
      <c r="F14" s="7">
        <v>3.83192297303045</v>
      </c>
    </row>
    <row r="15" spans="1:6" x14ac:dyDescent="0.2">
      <c r="A15" s="45" t="s">
        <v>700</v>
      </c>
      <c r="B15" s="45" t="s">
        <v>1445</v>
      </c>
      <c r="C15" s="45" t="s">
        <v>688</v>
      </c>
      <c r="D15" s="14">
        <v>500</v>
      </c>
      <c r="E15" s="7">
        <v>4682.2950000000001</v>
      </c>
      <c r="F15" s="7">
        <v>3.4890734330998701</v>
      </c>
    </row>
    <row r="16" spans="1:6" x14ac:dyDescent="0.2">
      <c r="A16" s="45" t="s">
        <v>852</v>
      </c>
      <c r="B16" s="45" t="s">
        <v>1560</v>
      </c>
      <c r="C16" s="45" t="s">
        <v>708</v>
      </c>
      <c r="D16" s="14">
        <v>430</v>
      </c>
      <c r="E16" s="7">
        <v>4387.0492000000004</v>
      </c>
      <c r="F16" s="7">
        <v>3.2690671590367599</v>
      </c>
    </row>
    <row r="17" spans="1:6" x14ac:dyDescent="0.2">
      <c r="A17" s="45" t="s">
        <v>922</v>
      </c>
      <c r="B17" s="45" t="s">
        <v>1606</v>
      </c>
      <c r="C17" s="45" t="s">
        <v>923</v>
      </c>
      <c r="D17" s="14">
        <v>430</v>
      </c>
      <c r="E17" s="7">
        <v>4344.0535</v>
      </c>
      <c r="F17" s="7">
        <v>3.23702835016045</v>
      </c>
    </row>
    <row r="18" spans="1:6" x14ac:dyDescent="0.2">
      <c r="A18" s="45" t="s">
        <v>933</v>
      </c>
      <c r="B18" s="45" t="s">
        <v>1615</v>
      </c>
      <c r="C18" s="45" t="s">
        <v>690</v>
      </c>
      <c r="D18" s="14">
        <v>409</v>
      </c>
      <c r="E18" s="7">
        <v>4181.9595600000002</v>
      </c>
      <c r="F18" s="7">
        <v>3.1162419281771099</v>
      </c>
    </row>
    <row r="19" spans="1:6" x14ac:dyDescent="0.2">
      <c r="A19" s="45" t="s">
        <v>681</v>
      </c>
      <c r="B19" s="45" t="s">
        <v>1435</v>
      </c>
      <c r="C19" s="45" t="s">
        <v>682</v>
      </c>
      <c r="D19" s="14">
        <v>405</v>
      </c>
      <c r="E19" s="7">
        <v>3356.0001000000002</v>
      </c>
      <c r="F19" s="7">
        <v>2.5007674207606598</v>
      </c>
    </row>
    <row r="20" spans="1:6" x14ac:dyDescent="0.2">
      <c r="A20" s="45" t="s">
        <v>731</v>
      </c>
      <c r="B20" s="45" t="s">
        <v>1468</v>
      </c>
      <c r="C20" s="45" t="s">
        <v>708</v>
      </c>
      <c r="D20" s="14">
        <v>315</v>
      </c>
      <c r="E20" s="7">
        <v>3225.8362499999998</v>
      </c>
      <c r="F20" s="7">
        <v>2.4037741234598702</v>
      </c>
    </row>
    <row r="21" spans="1:6" x14ac:dyDescent="0.2">
      <c r="A21" s="45" t="s">
        <v>1269</v>
      </c>
      <c r="B21" s="45" t="s">
        <v>1864</v>
      </c>
      <c r="C21" s="45" t="s">
        <v>686</v>
      </c>
      <c r="D21" s="14">
        <v>300</v>
      </c>
      <c r="E21" s="7">
        <v>3166.9650000000001</v>
      </c>
      <c r="F21" s="7">
        <v>2.3599054406134501</v>
      </c>
    </row>
    <row r="22" spans="1:6" x14ac:dyDescent="0.2">
      <c r="A22" s="45" t="s">
        <v>934</v>
      </c>
      <c r="B22" s="45" t="s">
        <v>1616</v>
      </c>
      <c r="C22" s="45" t="s">
        <v>686</v>
      </c>
      <c r="D22" s="14">
        <v>310</v>
      </c>
      <c r="E22" s="7">
        <v>3158.3202999999999</v>
      </c>
      <c r="F22" s="7">
        <v>2.3534637292075802</v>
      </c>
    </row>
    <row r="23" spans="1:6" x14ac:dyDescent="0.2">
      <c r="A23" s="45" t="s">
        <v>683</v>
      </c>
      <c r="B23" s="45" t="s">
        <v>1436</v>
      </c>
      <c r="C23" s="45" t="s">
        <v>684</v>
      </c>
      <c r="D23" s="14">
        <v>310</v>
      </c>
      <c r="E23" s="7">
        <v>3146.3357000000001</v>
      </c>
      <c r="F23" s="7">
        <v>2.3445332475813001</v>
      </c>
    </row>
    <row r="24" spans="1:6" x14ac:dyDescent="0.2">
      <c r="A24" s="45" t="s">
        <v>1270</v>
      </c>
      <c r="B24" s="45" t="s">
        <v>1865</v>
      </c>
      <c r="C24" s="45" t="s">
        <v>688</v>
      </c>
      <c r="D24" s="14">
        <v>300</v>
      </c>
      <c r="E24" s="7">
        <v>2944.8989999999999</v>
      </c>
      <c r="F24" s="7">
        <v>2.1944300527972702</v>
      </c>
    </row>
    <row r="25" spans="1:6" x14ac:dyDescent="0.2">
      <c r="A25" s="45" t="s">
        <v>953</v>
      </c>
      <c r="B25" s="45" t="s">
        <v>1635</v>
      </c>
      <c r="C25" s="45" t="s">
        <v>925</v>
      </c>
      <c r="D25" s="14">
        <v>264</v>
      </c>
      <c r="E25" s="7">
        <v>2678.9796000000001</v>
      </c>
      <c r="F25" s="7">
        <v>1.9962767297183399</v>
      </c>
    </row>
    <row r="26" spans="1:6" x14ac:dyDescent="0.2">
      <c r="A26" s="45" t="s">
        <v>685</v>
      </c>
      <c r="B26" s="45" t="s">
        <v>1437</v>
      </c>
      <c r="C26" s="45" t="s">
        <v>686</v>
      </c>
      <c r="D26" s="14">
        <v>250</v>
      </c>
      <c r="E26" s="7">
        <v>2661.4575</v>
      </c>
      <c r="F26" s="7">
        <v>1.9832199074544401</v>
      </c>
    </row>
    <row r="27" spans="1:6" x14ac:dyDescent="0.2">
      <c r="A27" s="45" t="s">
        <v>1271</v>
      </c>
      <c r="B27" s="45" t="s">
        <v>1866</v>
      </c>
      <c r="C27" s="45" t="s">
        <v>686</v>
      </c>
      <c r="D27" s="14">
        <v>250</v>
      </c>
      <c r="E27" s="7">
        <v>2525.79</v>
      </c>
      <c r="F27" s="7">
        <v>1.8821254932867999</v>
      </c>
    </row>
    <row r="28" spans="1:6" x14ac:dyDescent="0.2">
      <c r="A28" s="45" t="s">
        <v>1272</v>
      </c>
      <c r="B28" s="45" t="s">
        <v>1867</v>
      </c>
      <c r="C28" s="45" t="s">
        <v>917</v>
      </c>
      <c r="D28" s="14">
        <v>250</v>
      </c>
      <c r="E28" s="7">
        <v>2517.645</v>
      </c>
      <c r="F28" s="7">
        <v>1.87605613987942</v>
      </c>
    </row>
    <row r="29" spans="1:6" x14ac:dyDescent="0.2">
      <c r="A29" s="45" t="s">
        <v>932</v>
      </c>
      <c r="B29" s="45" t="s">
        <v>1614</v>
      </c>
      <c r="C29" s="45" t="s">
        <v>688</v>
      </c>
      <c r="D29" s="14">
        <v>250</v>
      </c>
      <c r="E29" s="7">
        <v>2502.8924999999999</v>
      </c>
      <c r="F29" s="7">
        <v>1.86506312132297</v>
      </c>
    </row>
    <row r="30" spans="1:6" x14ac:dyDescent="0.2">
      <c r="A30" s="45" t="s">
        <v>947</v>
      </c>
      <c r="B30" s="45" t="s">
        <v>1629</v>
      </c>
      <c r="C30" s="45" t="s">
        <v>682</v>
      </c>
      <c r="D30" s="14">
        <v>209</v>
      </c>
      <c r="E30" s="7">
        <v>2101.7040000000002</v>
      </c>
      <c r="F30" s="7">
        <v>1.5661122570533801</v>
      </c>
    </row>
    <row r="31" spans="1:6" x14ac:dyDescent="0.2">
      <c r="A31" s="45" t="s">
        <v>916</v>
      </c>
      <c r="B31" s="45" t="s">
        <v>1601</v>
      </c>
      <c r="C31" s="45" t="s">
        <v>917</v>
      </c>
      <c r="D31" s="14">
        <v>200</v>
      </c>
      <c r="E31" s="7">
        <v>2041.9939999999999</v>
      </c>
      <c r="F31" s="7">
        <v>1.5216185686611701</v>
      </c>
    </row>
    <row r="32" spans="1:6" x14ac:dyDescent="0.2">
      <c r="A32" s="45" t="s">
        <v>931</v>
      </c>
      <c r="B32" s="45" t="s">
        <v>1613</v>
      </c>
      <c r="C32" s="45" t="s">
        <v>688</v>
      </c>
      <c r="D32" s="14">
        <v>200</v>
      </c>
      <c r="E32" s="7">
        <v>2009.454</v>
      </c>
      <c r="F32" s="7">
        <v>1.49737096155545</v>
      </c>
    </row>
    <row r="33" spans="1:6" x14ac:dyDescent="0.2">
      <c r="A33" s="45" t="s">
        <v>1273</v>
      </c>
      <c r="B33" s="45" t="s">
        <v>1868</v>
      </c>
      <c r="C33" s="45" t="s">
        <v>686</v>
      </c>
      <c r="D33" s="14">
        <v>166</v>
      </c>
      <c r="E33" s="7">
        <v>1888.72974</v>
      </c>
      <c r="F33" s="7">
        <v>1.4074116983529701</v>
      </c>
    </row>
    <row r="34" spans="1:6" x14ac:dyDescent="0.2">
      <c r="A34" s="45" t="s">
        <v>1274</v>
      </c>
      <c r="B34" s="45" t="s">
        <v>1869</v>
      </c>
      <c r="C34" s="45" t="s">
        <v>917</v>
      </c>
      <c r="D34" s="14">
        <v>173</v>
      </c>
      <c r="E34" s="7">
        <v>1804.0336199999999</v>
      </c>
      <c r="F34" s="7">
        <v>1.3442992754538099</v>
      </c>
    </row>
    <row r="35" spans="1:6" x14ac:dyDescent="0.2">
      <c r="A35" s="45" t="s">
        <v>937</v>
      </c>
      <c r="B35" s="45" t="s">
        <v>1619</v>
      </c>
      <c r="C35" s="45" t="s">
        <v>925</v>
      </c>
      <c r="D35" s="14">
        <v>159</v>
      </c>
      <c r="E35" s="7">
        <v>1636.22289</v>
      </c>
      <c r="F35" s="7">
        <v>1.2192529125415801</v>
      </c>
    </row>
    <row r="36" spans="1:6" x14ac:dyDescent="0.2">
      <c r="A36" s="45" t="s">
        <v>918</v>
      </c>
      <c r="B36" s="45" t="s">
        <v>1602</v>
      </c>
      <c r="C36" s="45" t="s">
        <v>917</v>
      </c>
      <c r="D36" s="14">
        <v>150</v>
      </c>
      <c r="E36" s="7">
        <v>1506.3630000000001</v>
      </c>
      <c r="F36" s="7">
        <v>1.1224861150151</v>
      </c>
    </row>
    <row r="37" spans="1:6" x14ac:dyDescent="0.2">
      <c r="A37" s="45" t="s">
        <v>941</v>
      </c>
      <c r="B37" s="45" t="s">
        <v>1623</v>
      </c>
      <c r="C37" s="45" t="s">
        <v>686</v>
      </c>
      <c r="D37" s="14">
        <v>130</v>
      </c>
      <c r="E37" s="7">
        <v>1431.69</v>
      </c>
      <c r="F37" s="7">
        <v>1.06684255123497</v>
      </c>
    </row>
    <row r="38" spans="1:6" x14ac:dyDescent="0.2">
      <c r="A38" s="45" t="s">
        <v>1021</v>
      </c>
      <c r="B38" s="45" t="s">
        <v>1687</v>
      </c>
      <c r="C38" s="45" t="s">
        <v>686</v>
      </c>
      <c r="D38" s="14">
        <v>118</v>
      </c>
      <c r="E38" s="7">
        <v>1216.7912200000001</v>
      </c>
      <c r="F38" s="7">
        <v>0.90670791125531003</v>
      </c>
    </row>
    <row r="39" spans="1:6" x14ac:dyDescent="0.2">
      <c r="A39" s="45" t="s">
        <v>1011</v>
      </c>
      <c r="B39" s="45" t="s">
        <v>1679</v>
      </c>
      <c r="C39" s="45" t="s">
        <v>686</v>
      </c>
      <c r="D39" s="14">
        <v>105</v>
      </c>
      <c r="E39" s="7">
        <v>1113.3759</v>
      </c>
      <c r="F39" s="7">
        <v>0.82964663135143302</v>
      </c>
    </row>
    <row r="40" spans="1:6" x14ac:dyDescent="0.2">
      <c r="A40" s="45" t="s">
        <v>936</v>
      </c>
      <c r="B40" s="45" t="s">
        <v>1618</v>
      </c>
      <c r="C40" s="45" t="s">
        <v>917</v>
      </c>
      <c r="D40" s="14">
        <v>100</v>
      </c>
      <c r="E40" s="7">
        <v>1071.0640000000001</v>
      </c>
      <c r="F40" s="7">
        <v>0.79811736499936103</v>
      </c>
    </row>
    <row r="41" spans="1:6" x14ac:dyDescent="0.2">
      <c r="A41" s="45" t="s">
        <v>952</v>
      </c>
      <c r="B41" s="45" t="s">
        <v>1634</v>
      </c>
      <c r="C41" s="45" t="s">
        <v>686</v>
      </c>
      <c r="D41" s="14">
        <v>100</v>
      </c>
      <c r="E41" s="7">
        <v>1026.3119999999999</v>
      </c>
      <c r="F41" s="7">
        <v>0.76476982617959699</v>
      </c>
    </row>
    <row r="42" spans="1:6" x14ac:dyDescent="0.2">
      <c r="A42" s="45" t="s">
        <v>1275</v>
      </c>
      <c r="B42" s="45" t="s">
        <v>1870</v>
      </c>
      <c r="C42" s="45" t="s">
        <v>684</v>
      </c>
      <c r="D42" s="14">
        <v>100</v>
      </c>
      <c r="E42" s="7">
        <v>1006.708</v>
      </c>
      <c r="F42" s="7">
        <v>0.75016164886858006</v>
      </c>
    </row>
    <row r="43" spans="1:6" x14ac:dyDescent="0.2">
      <c r="A43" s="45" t="s">
        <v>946</v>
      </c>
      <c r="B43" s="45" t="s">
        <v>1628</v>
      </c>
      <c r="C43" s="45" t="s">
        <v>686</v>
      </c>
      <c r="D43" s="14">
        <v>80</v>
      </c>
      <c r="E43" s="7">
        <v>849.26319999999998</v>
      </c>
      <c r="F43" s="7">
        <v>0.63283959443592996</v>
      </c>
    </row>
    <row r="44" spans="1:6" x14ac:dyDescent="0.2">
      <c r="A44" s="45" t="s">
        <v>1276</v>
      </c>
      <c r="B44" s="45" t="s">
        <v>1871</v>
      </c>
      <c r="C44" s="45" t="s">
        <v>686</v>
      </c>
      <c r="D44" s="14">
        <v>76</v>
      </c>
      <c r="E44" s="7">
        <v>790.37415999999996</v>
      </c>
      <c r="F44" s="7">
        <v>0.58895765513805298</v>
      </c>
    </row>
    <row r="45" spans="1:6" x14ac:dyDescent="0.2">
      <c r="A45" s="45" t="s">
        <v>919</v>
      </c>
      <c r="B45" s="45" t="s">
        <v>1603</v>
      </c>
      <c r="C45" s="45" t="s">
        <v>686</v>
      </c>
      <c r="D45" s="14">
        <v>70</v>
      </c>
      <c r="E45" s="7">
        <v>719.42010000000005</v>
      </c>
      <c r="F45" s="7">
        <v>0.53608530819780797</v>
      </c>
    </row>
    <row r="46" spans="1:6" x14ac:dyDescent="0.2">
      <c r="A46" s="45" t="s">
        <v>1277</v>
      </c>
      <c r="B46" s="45" t="s">
        <v>1872</v>
      </c>
      <c r="C46" s="45" t="s">
        <v>740</v>
      </c>
      <c r="D46" s="14">
        <v>60</v>
      </c>
      <c r="E46" s="7">
        <v>607.149</v>
      </c>
      <c r="F46" s="7">
        <v>0.452425027862011</v>
      </c>
    </row>
    <row r="47" spans="1:6" x14ac:dyDescent="0.2">
      <c r="A47" s="45" t="s">
        <v>1278</v>
      </c>
      <c r="B47" s="45" t="s">
        <v>1873</v>
      </c>
      <c r="C47" s="45" t="s">
        <v>917</v>
      </c>
      <c r="D47" s="14">
        <v>44</v>
      </c>
      <c r="E47" s="7">
        <v>498.51296000000002</v>
      </c>
      <c r="F47" s="7">
        <v>0.37147346008570098</v>
      </c>
    </row>
    <row r="48" spans="1:6" x14ac:dyDescent="0.2">
      <c r="A48" s="45" t="s">
        <v>949</v>
      </c>
      <c r="B48" s="45" t="s">
        <v>1631</v>
      </c>
      <c r="C48" s="45" t="s">
        <v>686</v>
      </c>
      <c r="D48" s="14">
        <v>45</v>
      </c>
      <c r="E48" s="7">
        <v>475.93079999999998</v>
      </c>
      <c r="F48" s="7">
        <v>0.35464606785218999</v>
      </c>
    </row>
    <row r="49" spans="1:6" x14ac:dyDescent="0.2">
      <c r="A49" s="45" t="s">
        <v>1279</v>
      </c>
      <c r="B49" s="45" t="s">
        <v>1874</v>
      </c>
      <c r="C49" s="45" t="s">
        <v>686</v>
      </c>
      <c r="D49" s="14">
        <v>42</v>
      </c>
      <c r="E49" s="7">
        <v>422.00130000000001</v>
      </c>
      <c r="F49" s="7">
        <v>0.31445979472963798</v>
      </c>
    </row>
    <row r="50" spans="1:6" x14ac:dyDescent="0.2">
      <c r="A50" s="45" t="s">
        <v>1280</v>
      </c>
      <c r="B50" s="45" t="s">
        <v>1875</v>
      </c>
      <c r="C50" s="45" t="s">
        <v>686</v>
      </c>
      <c r="D50" s="14">
        <v>31</v>
      </c>
      <c r="E50" s="7">
        <v>342.46785</v>
      </c>
      <c r="F50" s="7">
        <v>0.25519440298525198</v>
      </c>
    </row>
    <row r="51" spans="1:6" x14ac:dyDescent="0.2">
      <c r="A51" s="45" t="s">
        <v>1281</v>
      </c>
      <c r="B51" s="45" t="s">
        <v>1876</v>
      </c>
      <c r="C51" s="45" t="s">
        <v>686</v>
      </c>
      <c r="D51" s="14">
        <v>33</v>
      </c>
      <c r="E51" s="7">
        <v>334.34048999999999</v>
      </c>
      <c r="F51" s="7">
        <v>0.249138194254867</v>
      </c>
    </row>
    <row r="52" spans="1:6" x14ac:dyDescent="0.2">
      <c r="A52" s="45" t="s">
        <v>1282</v>
      </c>
      <c r="B52" s="45" t="s">
        <v>1877</v>
      </c>
      <c r="C52" s="45" t="s">
        <v>686</v>
      </c>
      <c r="D52" s="14">
        <v>20</v>
      </c>
      <c r="E52" s="7">
        <v>212.39400000000001</v>
      </c>
      <c r="F52" s="7">
        <v>0.15826817036299801</v>
      </c>
    </row>
    <row r="53" spans="1:6" x14ac:dyDescent="0.2">
      <c r="A53" s="45" t="s">
        <v>940</v>
      </c>
      <c r="B53" s="45" t="s">
        <v>1622</v>
      </c>
      <c r="C53" s="45" t="s">
        <v>686</v>
      </c>
      <c r="D53" s="14">
        <v>20</v>
      </c>
      <c r="E53" s="7">
        <v>210.9348</v>
      </c>
      <c r="F53" s="7">
        <v>0.15718082837502401</v>
      </c>
    </row>
    <row r="54" spans="1:6" x14ac:dyDescent="0.2">
      <c r="A54" s="45" t="s">
        <v>1283</v>
      </c>
      <c r="B54" s="45" t="s">
        <v>1878</v>
      </c>
      <c r="C54" s="45" t="s">
        <v>917</v>
      </c>
      <c r="D54" s="14">
        <v>19</v>
      </c>
      <c r="E54" s="7">
        <v>197.35831999999999</v>
      </c>
      <c r="F54" s="7">
        <v>0.147064136521348</v>
      </c>
    </row>
    <row r="55" spans="1:6" x14ac:dyDescent="0.2">
      <c r="A55" s="45" t="s">
        <v>1284</v>
      </c>
      <c r="B55" s="45" t="s">
        <v>1879</v>
      </c>
      <c r="C55" s="45" t="s">
        <v>686</v>
      </c>
      <c r="D55" s="14">
        <v>15</v>
      </c>
      <c r="E55" s="7">
        <v>172.3323</v>
      </c>
      <c r="F55" s="7">
        <v>0.12841567000690801</v>
      </c>
    </row>
    <row r="56" spans="1:6" x14ac:dyDescent="0.2">
      <c r="A56" s="45" t="s">
        <v>954</v>
      </c>
      <c r="B56" s="45" t="s">
        <v>1636</v>
      </c>
      <c r="C56" s="45" t="s">
        <v>872</v>
      </c>
      <c r="D56" s="14">
        <v>15</v>
      </c>
      <c r="E56" s="7">
        <v>151.64490000000001</v>
      </c>
      <c r="F56" s="7">
        <v>0.11300018299895399</v>
      </c>
    </row>
    <row r="57" spans="1:6" x14ac:dyDescent="0.2">
      <c r="A57" s="45" t="s">
        <v>1285</v>
      </c>
      <c r="B57" s="45" t="s">
        <v>1880</v>
      </c>
      <c r="C57" s="45" t="s">
        <v>686</v>
      </c>
      <c r="D57" s="14">
        <v>11</v>
      </c>
      <c r="E57" s="7">
        <v>113.85462</v>
      </c>
      <c r="F57" s="7">
        <v>8.4840260999719405E-2</v>
      </c>
    </row>
    <row r="58" spans="1:6" x14ac:dyDescent="0.2">
      <c r="A58" s="45" t="s">
        <v>955</v>
      </c>
      <c r="B58" s="45" t="s">
        <v>1637</v>
      </c>
      <c r="C58" s="45" t="s">
        <v>956</v>
      </c>
      <c r="D58" s="14">
        <v>10</v>
      </c>
      <c r="E58" s="7">
        <v>107.40600000000001</v>
      </c>
      <c r="F58" s="7">
        <v>8.0034987363146695E-2</v>
      </c>
    </row>
    <row r="59" spans="1:6" x14ac:dyDescent="0.2">
      <c r="A59" s="45" t="s">
        <v>935</v>
      </c>
      <c r="B59" s="45" t="s">
        <v>1617</v>
      </c>
      <c r="C59" s="45" t="s">
        <v>686</v>
      </c>
      <c r="D59" s="14">
        <v>10</v>
      </c>
      <c r="E59" s="7">
        <v>101.4354</v>
      </c>
      <c r="F59" s="7">
        <v>7.5585916589163804E-2</v>
      </c>
    </row>
    <row r="60" spans="1:6" x14ac:dyDescent="0.2">
      <c r="A60" s="45" t="s">
        <v>1286</v>
      </c>
      <c r="B60" s="45" t="s">
        <v>1881</v>
      </c>
      <c r="C60" s="45" t="s">
        <v>917</v>
      </c>
      <c r="D60" s="14">
        <v>70</v>
      </c>
      <c r="E60" s="7">
        <v>72.45</v>
      </c>
      <c r="F60" s="7">
        <v>5.3987066220322698E-2</v>
      </c>
    </row>
    <row r="61" spans="1:6" x14ac:dyDescent="0.2">
      <c r="A61" s="45" t="s">
        <v>938</v>
      </c>
      <c r="B61" s="45" t="s">
        <v>1620</v>
      </c>
      <c r="C61" s="45" t="s">
        <v>703</v>
      </c>
      <c r="D61" s="14">
        <v>5</v>
      </c>
      <c r="E61" s="7">
        <v>50.697099999999999</v>
      </c>
      <c r="F61" s="7">
        <v>3.77776079348284E-2</v>
      </c>
    </row>
    <row r="62" spans="1:6" x14ac:dyDescent="0.2">
      <c r="A62" s="45" t="s">
        <v>1287</v>
      </c>
      <c r="B62" s="45" t="s">
        <v>1882</v>
      </c>
      <c r="C62" s="45" t="s">
        <v>686</v>
      </c>
      <c r="D62" s="14">
        <v>5</v>
      </c>
      <c r="E62" s="7">
        <v>50.241100000000003</v>
      </c>
      <c r="F62" s="7">
        <v>3.7437813563586698E-2</v>
      </c>
    </row>
    <row r="63" spans="1:6" x14ac:dyDescent="0.2">
      <c r="A63" s="45" t="s">
        <v>1288</v>
      </c>
      <c r="B63" s="45" t="s">
        <v>1883</v>
      </c>
      <c r="C63" s="45" t="s">
        <v>925</v>
      </c>
      <c r="D63" s="14">
        <v>3</v>
      </c>
      <c r="E63" s="7">
        <v>33.734459999999999</v>
      </c>
      <c r="F63" s="7">
        <v>2.51376746159672E-2</v>
      </c>
    </row>
    <row r="64" spans="1:6" x14ac:dyDescent="0.2">
      <c r="A64" s="45" t="s">
        <v>961</v>
      </c>
      <c r="B64" s="45" t="s">
        <v>1642</v>
      </c>
      <c r="C64" s="45" t="s">
        <v>686</v>
      </c>
      <c r="D64" s="14">
        <v>3</v>
      </c>
      <c r="E64" s="7">
        <v>30.675719999999998</v>
      </c>
      <c r="F64" s="7">
        <v>2.2858414451291598E-2</v>
      </c>
    </row>
    <row r="65" spans="1:6" x14ac:dyDescent="0.2">
      <c r="A65" s="45" t="s">
        <v>832</v>
      </c>
      <c r="B65" s="45" t="s">
        <v>1541</v>
      </c>
      <c r="C65" s="45" t="s">
        <v>686</v>
      </c>
      <c r="D65" s="14">
        <v>3</v>
      </c>
      <c r="E65" s="7">
        <v>30.602070000000001</v>
      </c>
      <c r="F65" s="7">
        <v>2.2803533189357499E-2</v>
      </c>
    </row>
    <row r="66" spans="1:6" x14ac:dyDescent="0.2">
      <c r="A66" s="45" t="s">
        <v>1289</v>
      </c>
      <c r="B66" s="45" t="s">
        <v>1884</v>
      </c>
      <c r="C66" s="45" t="s">
        <v>686</v>
      </c>
      <c r="D66" s="14">
        <v>2</v>
      </c>
      <c r="E66" s="7">
        <v>21.085280000000001</v>
      </c>
      <c r="F66" s="7">
        <v>1.57119725001248E-2</v>
      </c>
    </row>
    <row r="67" spans="1:6" x14ac:dyDescent="0.2">
      <c r="A67" s="45" t="s">
        <v>957</v>
      </c>
      <c r="B67" s="45" t="s">
        <v>1638</v>
      </c>
      <c r="C67" s="45" t="s">
        <v>686</v>
      </c>
      <c r="D67" s="14">
        <v>2</v>
      </c>
      <c r="E67" s="7">
        <v>20.252379999999999</v>
      </c>
      <c r="F67" s="7">
        <v>1.5091326158442201E-2</v>
      </c>
    </row>
    <row r="68" spans="1:6" x14ac:dyDescent="0.2">
      <c r="A68" s="26" t="s">
        <v>44</v>
      </c>
      <c r="B68" s="45"/>
      <c r="C68" s="45"/>
      <c r="D68" s="14"/>
      <c r="E68" s="6">
        <f>SUM(E8:E67)</f>
        <v>122865.06350000005</v>
      </c>
      <c r="F68" s="6">
        <f>SUM(F8:F67)</f>
        <v>91.554510963956531</v>
      </c>
    </row>
    <row r="69" spans="1:6" x14ac:dyDescent="0.2">
      <c r="A69" s="45"/>
      <c r="B69" s="45"/>
      <c r="C69" s="45"/>
      <c r="D69" s="14"/>
      <c r="E69" s="7"/>
      <c r="F69" s="7"/>
    </row>
    <row r="70" spans="1:6" x14ac:dyDescent="0.2">
      <c r="A70" s="26" t="s">
        <v>732</v>
      </c>
      <c r="B70" s="45"/>
      <c r="C70" s="45"/>
      <c r="D70" s="14"/>
      <c r="E70" s="7"/>
      <c r="F70" s="7"/>
    </row>
    <row r="71" spans="1:6" x14ac:dyDescent="0.2">
      <c r="A71" s="45" t="s">
        <v>1028</v>
      </c>
      <c r="B71" s="45" t="s">
        <v>1692</v>
      </c>
      <c r="C71" s="45" t="s">
        <v>1029</v>
      </c>
      <c r="D71" s="14">
        <v>250</v>
      </c>
      <c r="E71" s="7">
        <v>2408.1224999999999</v>
      </c>
      <c r="F71" s="7">
        <v>1.7944440148260701</v>
      </c>
    </row>
    <row r="72" spans="1:6" x14ac:dyDescent="0.2">
      <c r="A72" s="45" t="s">
        <v>1050</v>
      </c>
      <c r="B72" s="45" t="s">
        <v>1710</v>
      </c>
      <c r="C72" s="45" t="s">
        <v>1051</v>
      </c>
      <c r="D72" s="14">
        <v>200</v>
      </c>
      <c r="E72" s="7">
        <v>909.06600000000003</v>
      </c>
      <c r="F72" s="7">
        <v>0.67740243396333799</v>
      </c>
    </row>
    <row r="73" spans="1:6" x14ac:dyDescent="0.2">
      <c r="A73" s="45" t="s">
        <v>1290</v>
      </c>
      <c r="B73" s="45" t="s">
        <v>1885</v>
      </c>
      <c r="C73" s="45" t="s">
        <v>686</v>
      </c>
      <c r="D73" s="14">
        <v>49</v>
      </c>
      <c r="E73" s="7">
        <v>491.46803999999997</v>
      </c>
      <c r="F73" s="7">
        <v>0.366223845695682</v>
      </c>
    </row>
    <row r="74" spans="1:6" x14ac:dyDescent="0.2">
      <c r="A74" s="26" t="s">
        <v>44</v>
      </c>
      <c r="B74" s="45"/>
      <c r="C74" s="45"/>
      <c r="D74" s="14"/>
      <c r="E74" s="6">
        <f>SUM(E71:E73)</f>
        <v>3808.6565399999999</v>
      </c>
      <c r="F74" s="6">
        <f>SUM(F71:F73)</f>
        <v>2.8380702944850902</v>
      </c>
    </row>
    <row r="75" spans="1:6" x14ac:dyDescent="0.2">
      <c r="A75" s="45"/>
      <c r="B75" s="45"/>
      <c r="C75" s="45"/>
      <c r="D75" s="14"/>
      <c r="E75" s="7"/>
      <c r="F75" s="7"/>
    </row>
    <row r="76" spans="1:6" x14ac:dyDescent="0.2">
      <c r="A76" s="26" t="s">
        <v>963</v>
      </c>
      <c r="B76" s="45"/>
      <c r="C76" s="45"/>
      <c r="D76" s="14"/>
      <c r="E76" s="7"/>
      <c r="F76" s="7"/>
    </row>
    <row r="77" spans="1:6" x14ac:dyDescent="0.2">
      <c r="A77" s="45" t="s">
        <v>966</v>
      </c>
      <c r="B77" s="45" t="s">
        <v>1419</v>
      </c>
      <c r="C77" s="45" t="s">
        <v>965</v>
      </c>
      <c r="D77" s="14">
        <v>3000000</v>
      </c>
      <c r="E77" s="7">
        <v>3125.049</v>
      </c>
      <c r="F77" s="7">
        <v>2.32867118433062</v>
      </c>
    </row>
    <row r="78" spans="1:6" x14ac:dyDescent="0.2">
      <c r="A78" s="26" t="s">
        <v>44</v>
      </c>
      <c r="B78" s="45"/>
      <c r="C78" s="45"/>
      <c r="D78" s="45"/>
      <c r="E78" s="6">
        <f>SUM(E77:E77)</f>
        <v>3125.049</v>
      </c>
      <c r="F78" s="6">
        <f>SUM(F77:F77)</f>
        <v>2.32867118433062</v>
      </c>
    </row>
    <row r="79" spans="1:6" x14ac:dyDescent="0.2">
      <c r="A79" s="45"/>
      <c r="B79" s="45"/>
      <c r="C79" s="45"/>
      <c r="D79" s="45"/>
      <c r="E79" s="7"/>
      <c r="F79" s="7"/>
    </row>
    <row r="80" spans="1:6" x14ac:dyDescent="0.2">
      <c r="A80" s="26" t="s">
        <v>44</v>
      </c>
      <c r="B80" s="45"/>
      <c r="C80" s="45"/>
      <c r="D80" s="45"/>
      <c r="E80" s="6">
        <f>E68+E74+E78</f>
        <v>129798.76904000004</v>
      </c>
      <c r="F80" s="6">
        <f>F68+F74+F78</f>
        <v>96.72125244277224</v>
      </c>
    </row>
    <row r="81" spans="1:6" x14ac:dyDescent="0.2">
      <c r="A81" s="45"/>
      <c r="B81" s="45"/>
      <c r="C81" s="45"/>
      <c r="D81" s="45"/>
      <c r="E81" s="7"/>
      <c r="F81" s="7"/>
    </row>
    <row r="82" spans="1:6" x14ac:dyDescent="0.2">
      <c r="A82" s="26" t="s">
        <v>103</v>
      </c>
      <c r="B82" s="45"/>
      <c r="C82" s="45"/>
      <c r="D82" s="45"/>
      <c r="E82" s="6">
        <v>4400.0392191000001</v>
      </c>
      <c r="F82" s="6">
        <v>3.28</v>
      </c>
    </row>
    <row r="83" spans="1:6" x14ac:dyDescent="0.2">
      <c r="A83" s="45"/>
      <c r="B83" s="45"/>
      <c r="C83" s="45"/>
      <c r="D83" s="45"/>
      <c r="E83" s="7"/>
      <c r="F83" s="7"/>
    </row>
    <row r="84" spans="1:6" x14ac:dyDescent="0.2">
      <c r="A84" s="46" t="s">
        <v>104</v>
      </c>
      <c r="B84" s="44"/>
      <c r="C84" s="44"/>
      <c r="D84" s="44"/>
      <c r="E84" s="8">
        <f>E80+E82</f>
        <v>134198.80825910004</v>
      </c>
      <c r="F84" s="8">
        <f>F80+F82</f>
        <v>100.00125244277224</v>
      </c>
    </row>
    <row r="85" spans="1:6" x14ac:dyDescent="0.2">
      <c r="A85" s="4" t="s">
        <v>1983</v>
      </c>
    </row>
    <row r="86" spans="1:6" x14ac:dyDescent="0.2">
      <c r="A86" s="47" t="s">
        <v>768</v>
      </c>
    </row>
    <row r="87" spans="1:6" x14ac:dyDescent="0.2">
      <c r="A87" s="47"/>
    </row>
    <row r="88" spans="1:6" x14ac:dyDescent="0.2">
      <c r="A88" s="4" t="s">
        <v>105</v>
      </c>
    </row>
    <row r="89" spans="1:6" x14ac:dyDescent="0.2">
      <c r="A89" s="4" t="s">
        <v>769</v>
      </c>
    </row>
    <row r="90" spans="1:6" x14ac:dyDescent="0.2">
      <c r="A90" s="4" t="s">
        <v>107</v>
      </c>
    </row>
    <row r="91" spans="1:6" x14ac:dyDescent="0.2">
      <c r="A91" s="2" t="s">
        <v>666</v>
      </c>
      <c r="D91" s="10">
        <v>66.626300000000001</v>
      </c>
    </row>
    <row r="92" spans="1:6" x14ac:dyDescent="0.2">
      <c r="A92" s="2" t="s">
        <v>1221</v>
      </c>
      <c r="D92" s="10">
        <v>15.8672</v>
      </c>
    </row>
    <row r="93" spans="1:6" x14ac:dyDescent="0.2">
      <c r="A93" s="2" t="s">
        <v>1222</v>
      </c>
      <c r="D93" s="10">
        <v>13.44</v>
      </c>
    </row>
    <row r="94" spans="1:6" x14ac:dyDescent="0.2">
      <c r="A94" s="2" t="s">
        <v>1291</v>
      </c>
      <c r="D94" s="10">
        <v>13.885899999999999</v>
      </c>
    </row>
    <row r="95" spans="1:6" x14ac:dyDescent="0.2">
      <c r="A95" s="2" t="s">
        <v>1292</v>
      </c>
      <c r="D95" s="10">
        <v>17.347200000000001</v>
      </c>
    </row>
    <row r="96" spans="1:6" x14ac:dyDescent="0.2">
      <c r="A96" s="2" t="s">
        <v>668</v>
      </c>
      <c r="D96" s="10">
        <v>69.773099999999999</v>
      </c>
    </row>
    <row r="97" spans="1:4" x14ac:dyDescent="0.2">
      <c r="A97" s="2" t="s">
        <v>1223</v>
      </c>
      <c r="D97" s="10">
        <v>16.8751</v>
      </c>
    </row>
    <row r="98" spans="1:4" x14ac:dyDescent="0.2">
      <c r="A98" s="2" t="s">
        <v>1224</v>
      </c>
      <c r="D98" s="10">
        <v>14.311199999999999</v>
      </c>
    </row>
    <row r="99" spans="1:4" x14ac:dyDescent="0.2">
      <c r="A99" s="2" t="s">
        <v>1293</v>
      </c>
      <c r="D99" s="10">
        <v>15.052199999999999</v>
      </c>
    </row>
    <row r="100" spans="1:4" x14ac:dyDescent="0.2">
      <c r="A100" s="2" t="s">
        <v>1294</v>
      </c>
      <c r="D100" s="10">
        <v>18.5015</v>
      </c>
    </row>
    <row r="102" spans="1:4" x14ac:dyDescent="0.2">
      <c r="A102" s="4" t="s">
        <v>108</v>
      </c>
    </row>
    <row r="103" spans="1:4" x14ac:dyDescent="0.2">
      <c r="A103" s="2" t="s">
        <v>666</v>
      </c>
      <c r="D103" s="10">
        <v>70.369500000000002</v>
      </c>
    </row>
    <row r="104" spans="1:4" x14ac:dyDescent="0.2">
      <c r="A104" s="2" t="s">
        <v>1221</v>
      </c>
      <c r="D104" s="10">
        <v>16.145199999999999</v>
      </c>
    </row>
    <row r="105" spans="1:4" x14ac:dyDescent="0.2">
      <c r="A105" s="2" t="s">
        <v>1222</v>
      </c>
      <c r="D105" s="10">
        <v>13.6271</v>
      </c>
    </row>
    <row r="106" spans="1:4" x14ac:dyDescent="0.2">
      <c r="A106" s="2" t="s">
        <v>1291</v>
      </c>
      <c r="D106" s="10">
        <v>14.1007</v>
      </c>
    </row>
    <row r="107" spans="1:4" x14ac:dyDescent="0.2">
      <c r="A107" s="2" t="s">
        <v>1292</v>
      </c>
      <c r="D107" s="10">
        <v>18.3218</v>
      </c>
    </row>
    <row r="108" spans="1:4" x14ac:dyDescent="0.2">
      <c r="A108" s="2" t="s">
        <v>668</v>
      </c>
      <c r="D108" s="10">
        <v>73.899100000000004</v>
      </c>
    </row>
    <row r="109" spans="1:4" x14ac:dyDescent="0.2">
      <c r="A109" s="2" t="s">
        <v>1223</v>
      </c>
      <c r="D109" s="10">
        <v>17.258800000000001</v>
      </c>
    </row>
    <row r="110" spans="1:4" x14ac:dyDescent="0.2">
      <c r="A110" s="2" t="s">
        <v>1224</v>
      </c>
      <c r="D110" s="10">
        <v>14.5886</v>
      </c>
    </row>
    <row r="111" spans="1:4" x14ac:dyDescent="0.2">
      <c r="A111" s="2" t="s">
        <v>1293</v>
      </c>
      <c r="D111" s="10">
        <v>15.377700000000001</v>
      </c>
    </row>
    <row r="112" spans="1:4" x14ac:dyDescent="0.2">
      <c r="A112" s="2" t="s">
        <v>1294</v>
      </c>
      <c r="D112" s="10">
        <v>19.596</v>
      </c>
    </row>
    <row r="114" spans="1:5" x14ac:dyDescent="0.2">
      <c r="A114" s="4" t="s">
        <v>109</v>
      </c>
      <c r="D114" s="30" t="s">
        <v>325</v>
      </c>
    </row>
    <row r="115" spans="1:5" x14ac:dyDescent="0.2">
      <c r="A115" s="59" t="s">
        <v>670</v>
      </c>
      <c r="B115" s="60"/>
      <c r="C115" s="94" t="s">
        <v>671</v>
      </c>
      <c r="D115" s="94"/>
    </row>
    <row r="116" spans="1:5" x14ac:dyDescent="0.2">
      <c r="A116" s="95"/>
      <c r="B116" s="95"/>
      <c r="C116" s="33" t="s">
        <v>672</v>
      </c>
      <c r="D116" s="33" t="s">
        <v>673</v>
      </c>
    </row>
    <row r="117" spans="1:5" x14ac:dyDescent="0.2">
      <c r="A117" s="34" t="s">
        <v>1221</v>
      </c>
      <c r="B117" s="35"/>
      <c r="C117" s="52">
        <v>0.43219362000000006</v>
      </c>
      <c r="D117" s="52">
        <v>0.40021344600000003</v>
      </c>
    </row>
    <row r="118" spans="1:5" x14ac:dyDescent="0.2">
      <c r="A118" s="34" t="s">
        <v>1222</v>
      </c>
      <c r="B118" s="35"/>
      <c r="C118" s="52">
        <v>0.396177485</v>
      </c>
      <c r="D118" s="52">
        <v>0.36686232560000004</v>
      </c>
    </row>
    <row r="119" spans="1:5" x14ac:dyDescent="0.2">
      <c r="A119" s="34" t="s">
        <v>1291</v>
      </c>
      <c r="B119" s="35"/>
      <c r="C119" s="52">
        <v>0.396177485</v>
      </c>
      <c r="D119" s="52">
        <v>0.36686232550000003</v>
      </c>
    </row>
    <row r="120" spans="1:5" x14ac:dyDescent="0.2">
      <c r="A120" s="34" t="s">
        <v>1223</v>
      </c>
      <c r="B120" s="35"/>
      <c r="C120" s="52">
        <v>0.43219362000000006</v>
      </c>
      <c r="D120" s="52">
        <v>0.40021344600000003</v>
      </c>
    </row>
    <row r="121" spans="1:5" x14ac:dyDescent="0.2">
      <c r="A121" s="34" t="s">
        <v>1224</v>
      </c>
      <c r="B121" s="35"/>
      <c r="C121" s="52">
        <v>0.396177485</v>
      </c>
      <c r="D121" s="52">
        <v>0.36686232560000004</v>
      </c>
    </row>
    <row r="122" spans="1:5" x14ac:dyDescent="0.2">
      <c r="A122" s="34" t="s">
        <v>1293</v>
      </c>
      <c r="B122" s="35"/>
      <c r="C122" s="52">
        <v>0.396177485</v>
      </c>
      <c r="D122" s="52">
        <v>0.36686232550000003</v>
      </c>
    </row>
    <row r="124" spans="1:5" x14ac:dyDescent="0.2">
      <c r="A124" s="4" t="s">
        <v>770</v>
      </c>
      <c r="D124" s="29">
        <v>3.8269101629301421</v>
      </c>
      <c r="E124" s="1" t="s">
        <v>771</v>
      </c>
    </row>
    <row r="126" spans="1:5" x14ac:dyDescent="0.2">
      <c r="A126" s="4" t="s">
        <v>1989</v>
      </c>
      <c r="D126" s="53" t="s">
        <v>110</v>
      </c>
    </row>
  </sheetData>
  <mergeCells count="3">
    <mergeCell ref="A1:F1"/>
    <mergeCell ref="C115:D115"/>
    <mergeCell ref="A116:B1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F0F4-5594-4A39-B638-E85B8F8A4D29}">
  <sheetPr codeName="Sheet37"/>
  <dimension ref="A1:F53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5.85546875" style="2" bestFit="1" customWidth="1"/>
    <col min="3" max="3" width="14.855468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1295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1296</v>
      </c>
      <c r="B8" s="45" t="s">
        <v>1886</v>
      </c>
      <c r="C8" s="45" t="s">
        <v>1020</v>
      </c>
      <c r="D8" s="14">
        <v>40</v>
      </c>
      <c r="E8" s="7">
        <v>463.16719999999998</v>
      </c>
      <c r="F8" s="7">
        <v>10.0116410180462</v>
      </c>
    </row>
    <row r="9" spans="1:6" x14ac:dyDescent="0.2">
      <c r="A9" s="45" t="s">
        <v>1297</v>
      </c>
      <c r="B9" s="45" t="s">
        <v>1887</v>
      </c>
      <c r="C9" s="45" t="s">
        <v>686</v>
      </c>
      <c r="D9" s="14">
        <v>40</v>
      </c>
      <c r="E9" s="7">
        <v>461.92880000000002</v>
      </c>
      <c r="F9" s="7">
        <v>9.9848722480712198</v>
      </c>
    </row>
    <row r="10" spans="1:6" x14ac:dyDescent="0.2">
      <c r="A10" s="45" t="s">
        <v>960</v>
      </c>
      <c r="B10" s="45" t="s">
        <v>1641</v>
      </c>
      <c r="C10" s="45" t="s">
        <v>917</v>
      </c>
      <c r="D10" s="14">
        <v>42</v>
      </c>
      <c r="E10" s="7">
        <v>432.52397999999999</v>
      </c>
      <c r="F10" s="7">
        <v>9.3492691612372099</v>
      </c>
    </row>
    <row r="11" spans="1:6" x14ac:dyDescent="0.2">
      <c r="A11" s="45" t="s">
        <v>716</v>
      </c>
      <c r="B11" s="45" t="s">
        <v>1456</v>
      </c>
      <c r="C11" s="45" t="s">
        <v>686</v>
      </c>
      <c r="D11" s="14">
        <v>41</v>
      </c>
      <c r="E11" s="7">
        <v>426.33972999999997</v>
      </c>
      <c r="F11" s="7">
        <v>9.2155928323308203</v>
      </c>
    </row>
    <row r="12" spans="1:6" x14ac:dyDescent="0.2">
      <c r="A12" s="45" t="s">
        <v>937</v>
      </c>
      <c r="B12" s="45" t="s">
        <v>1619</v>
      </c>
      <c r="C12" s="45" t="s">
        <v>925</v>
      </c>
      <c r="D12" s="14">
        <v>41</v>
      </c>
      <c r="E12" s="7">
        <v>421.91910999999999</v>
      </c>
      <c r="F12" s="7">
        <v>9.1200384396251302</v>
      </c>
    </row>
    <row r="13" spans="1:6" x14ac:dyDescent="0.2">
      <c r="A13" s="45" t="s">
        <v>953</v>
      </c>
      <c r="B13" s="45" t="s">
        <v>1635</v>
      </c>
      <c r="C13" s="45" t="s">
        <v>925</v>
      </c>
      <c r="D13" s="14">
        <v>40</v>
      </c>
      <c r="E13" s="7">
        <v>405.90600000000001</v>
      </c>
      <c r="F13" s="7">
        <v>8.7739053177147603</v>
      </c>
    </row>
    <row r="14" spans="1:6" x14ac:dyDescent="0.2">
      <c r="A14" s="45" t="s">
        <v>955</v>
      </c>
      <c r="B14" s="45" t="s">
        <v>1637</v>
      </c>
      <c r="C14" s="45" t="s">
        <v>956</v>
      </c>
      <c r="D14" s="14">
        <v>37</v>
      </c>
      <c r="E14" s="7">
        <v>397.40219999999999</v>
      </c>
      <c r="F14" s="7">
        <v>8.5900905033469392</v>
      </c>
    </row>
    <row r="15" spans="1:6" x14ac:dyDescent="0.2">
      <c r="A15" s="45" t="s">
        <v>1280</v>
      </c>
      <c r="B15" s="45" t="s">
        <v>1875</v>
      </c>
      <c r="C15" s="45" t="s">
        <v>686</v>
      </c>
      <c r="D15" s="14">
        <v>30</v>
      </c>
      <c r="E15" s="7">
        <v>331.4205</v>
      </c>
      <c r="F15" s="7">
        <v>7.1638558862142503</v>
      </c>
    </row>
    <row r="16" spans="1:6" x14ac:dyDescent="0.2">
      <c r="A16" s="45" t="s">
        <v>1276</v>
      </c>
      <c r="B16" s="45" t="s">
        <v>1871</v>
      </c>
      <c r="C16" s="45" t="s">
        <v>686</v>
      </c>
      <c r="D16" s="14">
        <v>30</v>
      </c>
      <c r="E16" s="7">
        <v>311.9898</v>
      </c>
      <c r="F16" s="7">
        <v>6.7438494757228602</v>
      </c>
    </row>
    <row r="17" spans="1:6" x14ac:dyDescent="0.2">
      <c r="A17" s="45" t="s">
        <v>1298</v>
      </c>
      <c r="B17" s="45" t="s">
        <v>1888</v>
      </c>
      <c r="C17" s="45" t="s">
        <v>1020</v>
      </c>
      <c r="D17" s="14">
        <v>21</v>
      </c>
      <c r="E17" s="7">
        <v>236.45328000000001</v>
      </c>
      <c r="F17" s="7">
        <v>5.1110816070299396</v>
      </c>
    </row>
    <row r="18" spans="1:6" x14ac:dyDescent="0.2">
      <c r="A18" s="45" t="s">
        <v>1299</v>
      </c>
      <c r="B18" s="45" t="s">
        <v>1889</v>
      </c>
      <c r="C18" s="45" t="s">
        <v>686</v>
      </c>
      <c r="D18" s="14">
        <v>19</v>
      </c>
      <c r="E18" s="7">
        <v>216.02467999999999</v>
      </c>
      <c r="F18" s="7">
        <v>4.6695049804871802</v>
      </c>
    </row>
    <row r="19" spans="1:6" x14ac:dyDescent="0.2">
      <c r="A19" s="45" t="s">
        <v>1300</v>
      </c>
      <c r="B19" s="45" t="s">
        <v>1890</v>
      </c>
      <c r="C19" s="45" t="s">
        <v>925</v>
      </c>
      <c r="D19" s="14">
        <v>18</v>
      </c>
      <c r="E19" s="7">
        <v>186.31098</v>
      </c>
      <c r="F19" s="7">
        <v>4.0272252643977904</v>
      </c>
    </row>
    <row r="20" spans="1:6" x14ac:dyDescent="0.2">
      <c r="A20" s="45" t="s">
        <v>1301</v>
      </c>
      <c r="B20" s="45" t="s">
        <v>1891</v>
      </c>
      <c r="C20" s="45" t="s">
        <v>686</v>
      </c>
      <c r="D20" s="14">
        <v>12</v>
      </c>
      <c r="E20" s="7">
        <v>130.15392</v>
      </c>
      <c r="F20" s="7">
        <v>2.8133562223998201</v>
      </c>
    </row>
    <row r="21" spans="1:6" x14ac:dyDescent="0.2">
      <c r="A21" s="45" t="s">
        <v>922</v>
      </c>
      <c r="B21" s="45" t="s">
        <v>1606</v>
      </c>
      <c r="C21" s="45" t="s">
        <v>923</v>
      </c>
      <c r="D21" s="14">
        <v>5</v>
      </c>
      <c r="E21" s="7">
        <v>50.512250000000002</v>
      </c>
      <c r="F21" s="7">
        <v>1.09185303711878</v>
      </c>
    </row>
    <row r="22" spans="1:6" x14ac:dyDescent="0.2">
      <c r="A22" s="26" t="s">
        <v>44</v>
      </c>
      <c r="B22" s="45"/>
      <c r="C22" s="45"/>
      <c r="D22" s="45"/>
      <c r="E22" s="6">
        <f>SUM(E8:E21)</f>
        <v>4472.0524299999997</v>
      </c>
      <c r="F22" s="6">
        <f>SUM(F8:F21)</f>
        <v>96.666135993742898</v>
      </c>
    </row>
    <row r="23" spans="1:6" x14ac:dyDescent="0.2">
      <c r="A23" s="45"/>
      <c r="B23" s="45"/>
      <c r="C23" s="45"/>
      <c r="D23" s="45"/>
      <c r="E23" s="7"/>
      <c r="F23" s="7"/>
    </row>
    <row r="24" spans="1:6" x14ac:dyDescent="0.2">
      <c r="A24" s="26" t="s">
        <v>44</v>
      </c>
      <c r="B24" s="45"/>
      <c r="C24" s="45"/>
      <c r="D24" s="45"/>
      <c r="E24" s="6">
        <v>4472.0524299999997</v>
      </c>
      <c r="F24" s="6">
        <v>96.666135993742898</v>
      </c>
    </row>
    <row r="25" spans="1:6" x14ac:dyDescent="0.2">
      <c r="A25" s="45"/>
      <c r="B25" s="45"/>
      <c r="C25" s="45"/>
      <c r="D25" s="45"/>
      <c r="E25" s="7"/>
      <c r="F25" s="7"/>
    </row>
    <row r="26" spans="1:6" x14ac:dyDescent="0.2">
      <c r="A26" s="26" t="s">
        <v>103</v>
      </c>
      <c r="B26" s="45"/>
      <c r="C26" s="45"/>
      <c r="D26" s="45"/>
      <c r="E26" s="6">
        <v>154.23653150000001</v>
      </c>
      <c r="F26" s="6">
        <v>3.33</v>
      </c>
    </row>
    <row r="27" spans="1:6" x14ac:dyDescent="0.2">
      <c r="A27" s="45"/>
      <c r="B27" s="45"/>
      <c r="C27" s="45"/>
      <c r="D27" s="45"/>
      <c r="E27" s="7"/>
      <c r="F27" s="7"/>
    </row>
    <row r="28" spans="1:6" x14ac:dyDescent="0.2">
      <c r="A28" s="46" t="s">
        <v>104</v>
      </c>
      <c r="B28" s="44"/>
      <c r="C28" s="44"/>
      <c r="D28" s="44"/>
      <c r="E28" s="8">
        <v>4626.2865314999999</v>
      </c>
      <c r="F28" s="8">
        <f xml:space="preserve"> ROUND(SUM(F24:F27),2)</f>
        <v>100</v>
      </c>
    </row>
    <row r="29" spans="1:6" x14ac:dyDescent="0.2">
      <c r="A29" s="4" t="s">
        <v>1983</v>
      </c>
    </row>
    <row r="30" spans="1:6" x14ac:dyDescent="0.2">
      <c r="A30" s="4"/>
    </row>
    <row r="31" spans="1:6" x14ac:dyDescent="0.2">
      <c r="A31" s="4" t="s">
        <v>105</v>
      </c>
    </row>
    <row r="32" spans="1:6" x14ac:dyDescent="0.2">
      <c r="A32" s="4" t="s">
        <v>769</v>
      </c>
    </row>
    <row r="33" spans="1:4" x14ac:dyDescent="0.2">
      <c r="A33" s="4" t="s">
        <v>107</v>
      </c>
      <c r="D33" s="11"/>
    </row>
    <row r="34" spans="1:4" x14ac:dyDescent="0.2">
      <c r="A34" s="2" t="s">
        <v>666</v>
      </c>
      <c r="D34" s="63">
        <v>10.218500000000001</v>
      </c>
    </row>
    <row r="35" spans="1:4" x14ac:dyDescent="0.2">
      <c r="A35" s="2" t="s">
        <v>667</v>
      </c>
      <c r="D35" s="63">
        <v>10.218500000000001</v>
      </c>
    </row>
    <row r="36" spans="1:4" x14ac:dyDescent="0.2">
      <c r="A36" s="2" t="s">
        <v>1222</v>
      </c>
      <c r="D36" s="63">
        <v>10.218500000000001</v>
      </c>
    </row>
    <row r="37" spans="1:4" x14ac:dyDescent="0.2">
      <c r="A37" s="2" t="s">
        <v>668</v>
      </c>
      <c r="D37" s="63">
        <v>10.2226</v>
      </c>
    </row>
    <row r="39" spans="1:4" x14ac:dyDescent="0.2">
      <c r="A39" s="4" t="s">
        <v>108</v>
      </c>
    </row>
    <row r="40" spans="1:4" x14ac:dyDescent="0.2">
      <c r="A40" s="2" t="s">
        <v>666</v>
      </c>
      <c r="D40" s="10">
        <v>10.787599999999999</v>
      </c>
    </row>
    <row r="41" spans="1:4" x14ac:dyDescent="0.2">
      <c r="A41" s="2" t="s">
        <v>667</v>
      </c>
      <c r="D41" s="10">
        <v>10.787599999999999</v>
      </c>
    </row>
    <row r="42" spans="1:4" x14ac:dyDescent="0.2">
      <c r="A42" s="2" t="s">
        <v>1222</v>
      </c>
      <c r="D42" s="10">
        <v>10.4405</v>
      </c>
    </row>
    <row r="43" spans="1:4" x14ac:dyDescent="0.2">
      <c r="A43" s="2" t="s">
        <v>668</v>
      </c>
      <c r="D43" s="10">
        <v>10.8027</v>
      </c>
    </row>
    <row r="45" spans="1:4" x14ac:dyDescent="0.2">
      <c r="A45" s="4" t="s">
        <v>109</v>
      </c>
      <c r="D45" s="30" t="s">
        <v>325</v>
      </c>
    </row>
    <row r="46" spans="1:4" x14ac:dyDescent="0.2">
      <c r="A46" s="31" t="s">
        <v>670</v>
      </c>
      <c r="B46" s="32"/>
      <c r="C46" s="64" t="s">
        <v>671</v>
      </c>
      <c r="D46" s="65"/>
    </row>
    <row r="47" spans="1:4" x14ac:dyDescent="0.2">
      <c r="A47" s="48"/>
      <c r="B47" s="49"/>
      <c r="C47" s="33" t="s">
        <v>672</v>
      </c>
      <c r="D47" s="33" t="s">
        <v>673</v>
      </c>
    </row>
    <row r="48" spans="1:4" x14ac:dyDescent="0.2">
      <c r="A48" s="34" t="s">
        <v>1222</v>
      </c>
      <c r="B48" s="35"/>
      <c r="C48" s="36">
        <v>0.24130810450000001</v>
      </c>
      <c r="D48" s="36">
        <v>0.2234525074</v>
      </c>
    </row>
    <row r="49" spans="1:5" x14ac:dyDescent="0.2">
      <c r="A49" s="4"/>
      <c r="D49" s="30"/>
    </row>
    <row r="51" spans="1:5" x14ac:dyDescent="0.2">
      <c r="A51" s="4" t="s">
        <v>770</v>
      </c>
      <c r="D51" s="29">
        <v>2.1928344767076156</v>
      </c>
      <c r="E51" s="1" t="s">
        <v>1302</v>
      </c>
    </row>
    <row r="53" spans="1:5" x14ac:dyDescent="0.2">
      <c r="A53" s="4" t="s">
        <v>1989</v>
      </c>
      <c r="D53" s="53" t="s">
        <v>110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CEE4-CCF9-4D12-B458-0C22F73F7908}">
  <sheetPr codeName="Sheet38"/>
  <dimension ref="A1:F56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5.85546875" style="2" bestFit="1" customWidth="1"/>
    <col min="3" max="3" width="14.855468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1303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1280</v>
      </c>
      <c r="B8" s="45" t="s">
        <v>1875</v>
      </c>
      <c r="C8" s="45" t="s">
        <v>686</v>
      </c>
      <c r="D8" s="14">
        <v>39</v>
      </c>
      <c r="E8" s="7">
        <v>430.84665000000001</v>
      </c>
      <c r="F8" s="7">
        <v>11.9394675078257</v>
      </c>
    </row>
    <row r="9" spans="1:6" x14ac:dyDescent="0.2">
      <c r="A9" s="45" t="s">
        <v>1304</v>
      </c>
      <c r="B9" s="45" t="s">
        <v>1892</v>
      </c>
      <c r="C9" s="45" t="s">
        <v>686</v>
      </c>
      <c r="D9" s="14">
        <v>39</v>
      </c>
      <c r="E9" s="7">
        <v>403.87893000000003</v>
      </c>
      <c r="F9" s="7">
        <v>11.192147744053299</v>
      </c>
    </row>
    <row r="10" spans="1:6" x14ac:dyDescent="0.2">
      <c r="A10" s="45" t="s">
        <v>1285</v>
      </c>
      <c r="B10" s="45" t="s">
        <v>1880</v>
      </c>
      <c r="C10" s="45" t="s">
        <v>686</v>
      </c>
      <c r="D10" s="14">
        <v>39</v>
      </c>
      <c r="E10" s="7">
        <v>403.66638</v>
      </c>
      <c r="F10" s="7">
        <v>11.186257634848999</v>
      </c>
    </row>
    <row r="11" spans="1:6" x14ac:dyDescent="0.2">
      <c r="A11" s="45" t="s">
        <v>716</v>
      </c>
      <c r="B11" s="45" t="s">
        <v>1456</v>
      </c>
      <c r="C11" s="45" t="s">
        <v>686</v>
      </c>
      <c r="D11" s="14">
        <v>38</v>
      </c>
      <c r="E11" s="7">
        <v>395.14413999999999</v>
      </c>
      <c r="F11" s="7">
        <v>10.9500923830735</v>
      </c>
    </row>
    <row r="12" spans="1:6" x14ac:dyDescent="0.2">
      <c r="A12" s="45" t="s">
        <v>1300</v>
      </c>
      <c r="B12" s="45" t="s">
        <v>1890</v>
      </c>
      <c r="C12" s="45" t="s">
        <v>925</v>
      </c>
      <c r="D12" s="14">
        <v>37</v>
      </c>
      <c r="E12" s="7">
        <v>382.97257000000002</v>
      </c>
      <c r="F12" s="7">
        <v>10.612798209997701</v>
      </c>
    </row>
    <row r="13" spans="1:6" x14ac:dyDescent="0.2">
      <c r="A13" s="45" t="s">
        <v>922</v>
      </c>
      <c r="B13" s="45" t="s">
        <v>1606</v>
      </c>
      <c r="C13" s="45" t="s">
        <v>923</v>
      </c>
      <c r="D13" s="14">
        <v>34</v>
      </c>
      <c r="E13" s="7">
        <v>343.48329999999999</v>
      </c>
      <c r="F13" s="7">
        <v>9.5184857531809808</v>
      </c>
    </row>
    <row r="14" spans="1:6" x14ac:dyDescent="0.2">
      <c r="A14" s="45" t="s">
        <v>1298</v>
      </c>
      <c r="B14" s="45" t="s">
        <v>1888</v>
      </c>
      <c r="C14" s="45" t="s">
        <v>1020</v>
      </c>
      <c r="D14" s="14">
        <v>29</v>
      </c>
      <c r="E14" s="7">
        <v>326.53071999999997</v>
      </c>
      <c r="F14" s="7">
        <v>9.0487019493987795</v>
      </c>
    </row>
    <row r="15" spans="1:6" x14ac:dyDescent="0.2">
      <c r="A15" s="45" t="s">
        <v>1284</v>
      </c>
      <c r="B15" s="45" t="s">
        <v>1879</v>
      </c>
      <c r="C15" s="45" t="s">
        <v>686</v>
      </c>
      <c r="D15" s="14">
        <v>27</v>
      </c>
      <c r="E15" s="7">
        <v>310.19814000000002</v>
      </c>
      <c r="F15" s="7">
        <v>8.5960993627732094</v>
      </c>
    </row>
    <row r="16" spans="1:6" x14ac:dyDescent="0.2">
      <c r="A16" s="45" t="s">
        <v>1301</v>
      </c>
      <c r="B16" s="45" t="s">
        <v>1891</v>
      </c>
      <c r="C16" s="45" t="s">
        <v>686</v>
      </c>
      <c r="D16" s="14">
        <v>24</v>
      </c>
      <c r="E16" s="7">
        <v>260.30784</v>
      </c>
      <c r="F16" s="7">
        <v>7.2135573009846903</v>
      </c>
    </row>
    <row r="17" spans="1:6" x14ac:dyDescent="0.2">
      <c r="A17" s="45" t="s">
        <v>1276</v>
      </c>
      <c r="B17" s="45" t="s">
        <v>1871</v>
      </c>
      <c r="C17" s="45" t="s">
        <v>686</v>
      </c>
      <c r="D17" s="14">
        <v>13</v>
      </c>
      <c r="E17" s="7">
        <v>135.19558000000001</v>
      </c>
      <c r="F17" s="7">
        <v>3.7464913203146701</v>
      </c>
    </row>
    <row r="18" spans="1:6" x14ac:dyDescent="0.2">
      <c r="A18" s="45" t="s">
        <v>1297</v>
      </c>
      <c r="B18" s="45" t="s">
        <v>1887</v>
      </c>
      <c r="C18" s="45" t="s">
        <v>686</v>
      </c>
      <c r="D18" s="14">
        <v>4</v>
      </c>
      <c r="E18" s="7">
        <v>46.192880000000002</v>
      </c>
      <c r="F18" s="7">
        <v>1.2800804876929901</v>
      </c>
    </row>
    <row r="19" spans="1:6" x14ac:dyDescent="0.2">
      <c r="A19" s="45" t="s">
        <v>1305</v>
      </c>
      <c r="B19" s="45" t="s">
        <v>1893</v>
      </c>
      <c r="C19" s="45" t="s">
        <v>1020</v>
      </c>
      <c r="D19" s="14">
        <v>1</v>
      </c>
      <c r="E19" s="7">
        <v>11.07213</v>
      </c>
      <c r="F19" s="7">
        <v>0.30682688696180499</v>
      </c>
    </row>
    <row r="20" spans="1:6" x14ac:dyDescent="0.2">
      <c r="A20" s="45" t="s">
        <v>953</v>
      </c>
      <c r="B20" s="45" t="s">
        <v>1635</v>
      </c>
      <c r="C20" s="45" t="s">
        <v>925</v>
      </c>
      <c r="D20" s="14">
        <v>1</v>
      </c>
      <c r="E20" s="7">
        <v>10.147650000000001</v>
      </c>
      <c r="F20" s="7">
        <v>0.28120802948285101</v>
      </c>
    </row>
    <row r="21" spans="1:6" x14ac:dyDescent="0.2">
      <c r="A21" s="26" t="s">
        <v>44</v>
      </c>
      <c r="B21" s="45"/>
      <c r="C21" s="45"/>
      <c r="D21" s="45"/>
      <c r="E21" s="6">
        <f>SUM(E8:E20)</f>
        <v>3459.6369099999997</v>
      </c>
      <c r="F21" s="6">
        <f>SUM(F8:F20)</f>
        <v>95.872214570589151</v>
      </c>
    </row>
    <row r="22" spans="1:6" x14ac:dyDescent="0.2">
      <c r="A22" s="45"/>
      <c r="B22" s="45"/>
      <c r="C22" s="45"/>
      <c r="D22" s="45"/>
      <c r="E22" s="7"/>
      <c r="F22" s="7"/>
    </row>
    <row r="23" spans="1:6" x14ac:dyDescent="0.2">
      <c r="A23" s="26" t="s">
        <v>44</v>
      </c>
      <c r="B23" s="45"/>
      <c r="C23" s="45"/>
      <c r="D23" s="45"/>
      <c r="E23" s="6">
        <v>3459.6369099999997</v>
      </c>
      <c r="F23" s="6">
        <v>95.872214570589151</v>
      </c>
    </row>
    <row r="24" spans="1:6" x14ac:dyDescent="0.2">
      <c r="A24" s="45"/>
      <c r="B24" s="45"/>
      <c r="C24" s="45"/>
      <c r="D24" s="45"/>
      <c r="E24" s="7"/>
      <c r="F24" s="7"/>
    </row>
    <row r="25" spans="1:6" x14ac:dyDescent="0.2">
      <c r="A25" s="26" t="s">
        <v>103</v>
      </c>
      <c r="B25" s="45"/>
      <c r="C25" s="45"/>
      <c r="D25" s="45"/>
      <c r="E25" s="6">
        <v>148.9518381</v>
      </c>
      <c r="F25" s="6">
        <v>4.13</v>
      </c>
    </row>
    <row r="26" spans="1:6" x14ac:dyDescent="0.2">
      <c r="A26" s="45"/>
      <c r="B26" s="45"/>
      <c r="C26" s="45"/>
      <c r="D26" s="45"/>
      <c r="E26" s="7"/>
      <c r="F26" s="7"/>
    </row>
    <row r="27" spans="1:6" x14ac:dyDescent="0.2">
      <c r="A27" s="46" t="s">
        <v>104</v>
      </c>
      <c r="B27" s="44"/>
      <c r="C27" s="44"/>
      <c r="D27" s="44"/>
      <c r="E27" s="8">
        <v>3608.5918381000001</v>
      </c>
      <c r="F27" s="8">
        <f xml:space="preserve"> ROUND(SUM(F23:F26),2)</f>
        <v>100</v>
      </c>
    </row>
    <row r="28" spans="1:6" x14ac:dyDescent="0.2">
      <c r="A28" s="4" t="s">
        <v>1983</v>
      </c>
    </row>
    <row r="29" spans="1:6" x14ac:dyDescent="0.2">
      <c r="A29" s="4"/>
    </row>
    <row r="30" spans="1:6" x14ac:dyDescent="0.2">
      <c r="A30" s="4" t="s">
        <v>105</v>
      </c>
    </row>
    <row r="31" spans="1:6" x14ac:dyDescent="0.2">
      <c r="A31" s="4" t="s">
        <v>769</v>
      </c>
    </row>
    <row r="32" spans="1:6" x14ac:dyDescent="0.2">
      <c r="A32" s="4" t="s">
        <v>107</v>
      </c>
      <c r="D32" s="63"/>
    </row>
    <row r="33" spans="1:4" x14ac:dyDescent="0.2">
      <c r="A33" s="2" t="s">
        <v>666</v>
      </c>
      <c r="D33" s="63">
        <v>10.3401</v>
      </c>
    </row>
    <row r="34" spans="1:4" x14ac:dyDescent="0.2">
      <c r="A34" s="2" t="s">
        <v>667</v>
      </c>
      <c r="D34" s="63">
        <v>10.3401</v>
      </c>
    </row>
    <row r="35" spans="1:4" x14ac:dyDescent="0.2">
      <c r="A35" s="2" t="s">
        <v>1222</v>
      </c>
      <c r="D35" s="63">
        <v>10.1747</v>
      </c>
    </row>
    <row r="36" spans="1:4" x14ac:dyDescent="0.2">
      <c r="A36" s="2" t="s">
        <v>668</v>
      </c>
      <c r="D36" s="63">
        <v>10.3462</v>
      </c>
    </row>
    <row r="37" spans="1:4" x14ac:dyDescent="0.2">
      <c r="A37" s="2" t="s">
        <v>669</v>
      </c>
      <c r="D37" s="63">
        <v>10.3462</v>
      </c>
    </row>
    <row r="38" spans="1:4" x14ac:dyDescent="0.2">
      <c r="A38" s="2" t="s">
        <v>1224</v>
      </c>
      <c r="D38" s="63">
        <v>10.1808</v>
      </c>
    </row>
    <row r="40" spans="1:4" x14ac:dyDescent="0.2">
      <c r="A40" s="4" t="s">
        <v>108</v>
      </c>
    </row>
    <row r="41" spans="1:4" x14ac:dyDescent="0.2">
      <c r="A41" s="2" t="s">
        <v>666</v>
      </c>
      <c r="D41" s="10">
        <v>10.8995</v>
      </c>
    </row>
    <row r="42" spans="1:4" x14ac:dyDescent="0.2">
      <c r="A42" s="2" t="s">
        <v>667</v>
      </c>
      <c r="D42" s="10">
        <v>10.8995</v>
      </c>
    </row>
    <row r="43" spans="1:4" x14ac:dyDescent="0.2">
      <c r="A43" s="2" t="s">
        <v>1222</v>
      </c>
      <c r="D43" s="10">
        <v>10.319800000000001</v>
      </c>
    </row>
    <row r="44" spans="1:4" x14ac:dyDescent="0.2">
      <c r="A44" s="2" t="s">
        <v>668</v>
      </c>
      <c r="D44" s="10">
        <v>10.9168</v>
      </c>
    </row>
    <row r="45" spans="1:4" x14ac:dyDescent="0.2">
      <c r="A45" s="2" t="s">
        <v>669</v>
      </c>
      <c r="D45" s="10">
        <v>10.9168</v>
      </c>
    </row>
    <row r="46" spans="1:4" x14ac:dyDescent="0.2">
      <c r="A46" s="2" t="s">
        <v>1224</v>
      </c>
      <c r="D46" s="10">
        <v>10.336600000000001</v>
      </c>
    </row>
    <row r="48" spans="1:4" x14ac:dyDescent="0.2">
      <c r="A48" s="4" t="s">
        <v>109</v>
      </c>
      <c r="D48" s="30" t="s">
        <v>325</v>
      </c>
    </row>
    <row r="49" spans="1:5" x14ac:dyDescent="0.2">
      <c r="A49" s="31" t="s">
        <v>670</v>
      </c>
      <c r="B49" s="32"/>
      <c r="C49" s="64" t="s">
        <v>671</v>
      </c>
      <c r="D49" s="65"/>
    </row>
    <row r="50" spans="1:5" x14ac:dyDescent="0.2">
      <c r="A50" s="48"/>
      <c r="B50" s="49"/>
      <c r="C50" s="33" t="s">
        <v>672</v>
      </c>
      <c r="D50" s="33" t="s">
        <v>673</v>
      </c>
    </row>
    <row r="51" spans="1:5" x14ac:dyDescent="0.2">
      <c r="A51" s="34" t="s">
        <v>1222</v>
      </c>
      <c r="B51" s="35"/>
      <c r="C51" s="36">
        <v>0.28812908000000004</v>
      </c>
      <c r="D51" s="36">
        <v>0.26680896409999999</v>
      </c>
    </row>
    <row r="52" spans="1:5" x14ac:dyDescent="0.2">
      <c r="A52" s="34" t="s">
        <v>1224</v>
      </c>
      <c r="B52" s="35"/>
      <c r="C52" s="36">
        <v>0.28812908000000004</v>
      </c>
      <c r="D52" s="36">
        <v>0.26680896409999999</v>
      </c>
    </row>
    <row r="54" spans="1:5" x14ac:dyDescent="0.2">
      <c r="A54" s="4" t="s">
        <v>770</v>
      </c>
      <c r="D54" s="29">
        <v>2.1020610167968581</v>
      </c>
      <c r="E54" s="1" t="s">
        <v>1302</v>
      </c>
    </row>
    <row r="56" spans="1:5" x14ac:dyDescent="0.2">
      <c r="A56" s="4" t="s">
        <v>1989</v>
      </c>
      <c r="D56" s="53" t="s">
        <v>110</v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8C7E-9A82-41FB-9238-4F784E6E35D9}">
  <sheetPr codeName="Sheet39"/>
  <dimension ref="A1:F56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5.85546875" style="2" bestFit="1" customWidth="1"/>
    <col min="3" max="3" width="14.855468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1306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1307</v>
      </c>
      <c r="B8" s="45" t="s">
        <v>1894</v>
      </c>
      <c r="C8" s="45" t="s">
        <v>686</v>
      </c>
      <c r="D8" s="14">
        <v>23</v>
      </c>
      <c r="E8" s="7">
        <v>262.8141</v>
      </c>
      <c r="F8" s="7">
        <v>11.8729950704651</v>
      </c>
    </row>
    <row r="9" spans="1:6" x14ac:dyDescent="0.2">
      <c r="A9" s="45" t="s">
        <v>1308</v>
      </c>
      <c r="B9" s="45" t="s">
        <v>1895</v>
      </c>
      <c r="C9" s="45" t="s">
        <v>686</v>
      </c>
      <c r="D9" s="14">
        <v>23</v>
      </c>
      <c r="E9" s="7">
        <v>260.65278999999998</v>
      </c>
      <c r="F9" s="7">
        <v>11.7753548640388</v>
      </c>
    </row>
    <row r="10" spans="1:6" x14ac:dyDescent="0.2">
      <c r="A10" s="45" t="s">
        <v>1300</v>
      </c>
      <c r="B10" s="45" t="s">
        <v>1890</v>
      </c>
      <c r="C10" s="45" t="s">
        <v>925</v>
      </c>
      <c r="D10" s="14">
        <v>24</v>
      </c>
      <c r="E10" s="7">
        <v>248.41463999999999</v>
      </c>
      <c r="F10" s="7">
        <v>11.222479296778101</v>
      </c>
    </row>
    <row r="11" spans="1:6" x14ac:dyDescent="0.2">
      <c r="A11" s="45" t="s">
        <v>1285</v>
      </c>
      <c r="B11" s="45" t="s">
        <v>1880</v>
      </c>
      <c r="C11" s="45" t="s">
        <v>686</v>
      </c>
      <c r="D11" s="14">
        <v>24</v>
      </c>
      <c r="E11" s="7">
        <v>248.41007999999999</v>
      </c>
      <c r="F11" s="7">
        <v>11.2222732923913</v>
      </c>
    </row>
    <row r="12" spans="1:6" x14ac:dyDescent="0.2">
      <c r="A12" s="45" t="s">
        <v>716</v>
      </c>
      <c r="B12" s="45" t="s">
        <v>1456</v>
      </c>
      <c r="C12" s="45" t="s">
        <v>686</v>
      </c>
      <c r="D12" s="14">
        <v>23</v>
      </c>
      <c r="E12" s="7">
        <v>239.16619</v>
      </c>
      <c r="F12" s="7">
        <v>10.8046676144542</v>
      </c>
    </row>
    <row r="13" spans="1:6" x14ac:dyDescent="0.2">
      <c r="A13" s="45" t="s">
        <v>1304</v>
      </c>
      <c r="B13" s="45" t="s">
        <v>1892</v>
      </c>
      <c r="C13" s="45" t="s">
        <v>686</v>
      </c>
      <c r="D13" s="14">
        <v>23</v>
      </c>
      <c r="E13" s="7">
        <v>238.18501000000001</v>
      </c>
      <c r="F13" s="7">
        <v>10.760341433692799</v>
      </c>
    </row>
    <row r="14" spans="1:6" x14ac:dyDescent="0.2">
      <c r="A14" s="45" t="s">
        <v>922</v>
      </c>
      <c r="B14" s="45" t="s">
        <v>1606</v>
      </c>
      <c r="C14" s="45" t="s">
        <v>923</v>
      </c>
      <c r="D14" s="14">
        <v>21</v>
      </c>
      <c r="E14" s="7">
        <v>212.15145000000001</v>
      </c>
      <c r="F14" s="7">
        <v>9.5842388975402493</v>
      </c>
    </row>
    <row r="15" spans="1:6" x14ac:dyDescent="0.2">
      <c r="A15" s="45" t="s">
        <v>1305</v>
      </c>
      <c r="B15" s="45" t="s">
        <v>1893</v>
      </c>
      <c r="C15" s="45" t="s">
        <v>1020</v>
      </c>
      <c r="D15" s="14">
        <v>18</v>
      </c>
      <c r="E15" s="7">
        <v>199.29834</v>
      </c>
      <c r="F15" s="7">
        <v>9.0035816509536097</v>
      </c>
    </row>
    <row r="16" spans="1:6" x14ac:dyDescent="0.2">
      <c r="A16" s="45" t="s">
        <v>1301</v>
      </c>
      <c r="B16" s="45" t="s">
        <v>1891</v>
      </c>
      <c r="C16" s="45" t="s">
        <v>686</v>
      </c>
      <c r="D16" s="14">
        <v>14</v>
      </c>
      <c r="E16" s="7">
        <v>151.84623999999999</v>
      </c>
      <c r="F16" s="7">
        <v>6.8598665710426801</v>
      </c>
    </row>
    <row r="17" spans="1:6" x14ac:dyDescent="0.2">
      <c r="A17" s="45" t="s">
        <v>1276</v>
      </c>
      <c r="B17" s="45" t="s">
        <v>1871</v>
      </c>
      <c r="C17" s="45" t="s">
        <v>686</v>
      </c>
      <c r="D17" s="14">
        <v>3</v>
      </c>
      <c r="E17" s="7">
        <v>31.198979999999999</v>
      </c>
      <c r="F17" s="7">
        <v>1.4094576194486499</v>
      </c>
    </row>
    <row r="18" spans="1:6" x14ac:dyDescent="0.2">
      <c r="A18" s="45" t="s">
        <v>1309</v>
      </c>
      <c r="B18" s="45" t="s">
        <v>1896</v>
      </c>
      <c r="C18" s="45" t="s">
        <v>686</v>
      </c>
      <c r="D18" s="14">
        <v>2</v>
      </c>
      <c r="E18" s="7">
        <v>20.57056</v>
      </c>
      <c r="F18" s="7">
        <v>0.92930385955969397</v>
      </c>
    </row>
    <row r="19" spans="1:6" x14ac:dyDescent="0.2">
      <c r="A19" s="45" t="s">
        <v>1310</v>
      </c>
      <c r="B19" s="45" t="s">
        <v>1897</v>
      </c>
      <c r="C19" s="45" t="s">
        <v>925</v>
      </c>
      <c r="D19" s="14">
        <v>1</v>
      </c>
      <c r="E19" s="7">
        <v>10.38368</v>
      </c>
      <c r="F19" s="7">
        <v>0.46909728760095998</v>
      </c>
    </row>
    <row r="20" spans="1:6" x14ac:dyDescent="0.2">
      <c r="A20" s="26" t="s">
        <v>44</v>
      </c>
      <c r="B20" s="45"/>
      <c r="C20" s="45"/>
      <c r="D20" s="45"/>
      <c r="E20" s="6">
        <f>SUM(E8:E19)</f>
        <v>2123.0920599999999</v>
      </c>
      <c r="F20" s="6">
        <f>SUM(F8:F19)</f>
        <v>95.913657457966124</v>
      </c>
    </row>
    <row r="21" spans="1:6" x14ac:dyDescent="0.2">
      <c r="A21" s="45"/>
      <c r="B21" s="45"/>
      <c r="C21" s="45"/>
      <c r="D21" s="45"/>
      <c r="E21" s="7"/>
      <c r="F21" s="7"/>
    </row>
    <row r="22" spans="1:6" x14ac:dyDescent="0.2">
      <c r="A22" s="26" t="s">
        <v>44</v>
      </c>
      <c r="B22" s="45"/>
      <c r="C22" s="45"/>
      <c r="D22" s="45"/>
      <c r="E22" s="6">
        <v>2123.0920599999999</v>
      </c>
      <c r="F22" s="6">
        <v>95.913657457966124</v>
      </c>
    </row>
    <row r="23" spans="1:6" x14ac:dyDescent="0.2">
      <c r="A23" s="45"/>
      <c r="B23" s="45"/>
      <c r="C23" s="45"/>
      <c r="D23" s="45"/>
      <c r="E23" s="7"/>
      <c r="F23" s="7"/>
    </row>
    <row r="24" spans="1:6" x14ac:dyDescent="0.2">
      <c r="A24" s="26" t="s">
        <v>103</v>
      </c>
      <c r="B24" s="45"/>
      <c r="C24" s="45"/>
      <c r="D24" s="45"/>
      <c r="E24" s="6">
        <v>90.455094900000006</v>
      </c>
      <c r="F24" s="6">
        <v>4.09</v>
      </c>
    </row>
    <row r="25" spans="1:6" x14ac:dyDescent="0.2">
      <c r="A25" s="45"/>
      <c r="B25" s="45"/>
      <c r="C25" s="45"/>
      <c r="D25" s="45"/>
      <c r="E25" s="7"/>
      <c r="F25" s="7"/>
    </row>
    <row r="26" spans="1:6" x14ac:dyDescent="0.2">
      <c r="A26" s="46" t="s">
        <v>104</v>
      </c>
      <c r="B26" s="44"/>
      <c r="C26" s="44"/>
      <c r="D26" s="44"/>
      <c r="E26" s="8">
        <v>2213.5450949000001</v>
      </c>
      <c r="F26" s="8">
        <f xml:space="preserve"> ROUND(SUM(F22:F25),2)</f>
        <v>100</v>
      </c>
    </row>
    <row r="27" spans="1:6" x14ac:dyDescent="0.2">
      <c r="A27" s="4" t="s">
        <v>1983</v>
      </c>
    </row>
    <row r="28" spans="1:6" x14ac:dyDescent="0.2">
      <c r="A28" s="4"/>
    </row>
    <row r="29" spans="1:6" x14ac:dyDescent="0.2">
      <c r="A29" s="4" t="s">
        <v>105</v>
      </c>
    </row>
    <row r="30" spans="1:6" x14ac:dyDescent="0.2">
      <c r="A30" s="4" t="s">
        <v>769</v>
      </c>
    </row>
    <row r="31" spans="1:6" x14ac:dyDescent="0.2">
      <c r="A31" s="4" t="s">
        <v>107</v>
      </c>
      <c r="D31" s="11"/>
    </row>
    <row r="32" spans="1:6" x14ac:dyDescent="0.2">
      <c r="A32" s="2" t="s">
        <v>666</v>
      </c>
      <c r="D32" s="63">
        <v>10.399800000000001</v>
      </c>
    </row>
    <row r="33" spans="1:4" x14ac:dyDescent="0.2">
      <c r="A33" s="2" t="s">
        <v>667</v>
      </c>
      <c r="D33" s="63">
        <v>10.399800000000001</v>
      </c>
    </row>
    <row r="34" spans="1:4" x14ac:dyDescent="0.2">
      <c r="A34" s="2" t="s">
        <v>1222</v>
      </c>
      <c r="D34" s="63">
        <v>10.267799999999999</v>
      </c>
    </row>
    <row r="35" spans="1:4" x14ac:dyDescent="0.2">
      <c r="A35" s="2" t="s">
        <v>668</v>
      </c>
      <c r="D35" s="63">
        <v>10.408899999999999</v>
      </c>
    </row>
    <row r="36" spans="1:4" x14ac:dyDescent="0.2">
      <c r="A36" s="2" t="s">
        <v>669</v>
      </c>
      <c r="D36" s="63">
        <v>10.408899999999999</v>
      </c>
    </row>
    <row r="37" spans="1:4" x14ac:dyDescent="0.2">
      <c r="A37" s="2" t="s">
        <v>1224</v>
      </c>
      <c r="D37" s="63">
        <v>10.276899999999999</v>
      </c>
    </row>
    <row r="39" spans="1:4" x14ac:dyDescent="0.2">
      <c r="A39" s="4" t="s">
        <v>108</v>
      </c>
    </row>
    <row r="40" spans="1:4" x14ac:dyDescent="0.2">
      <c r="A40" s="2" t="s">
        <v>666</v>
      </c>
      <c r="D40" s="10">
        <v>10.946099999999999</v>
      </c>
    </row>
    <row r="41" spans="1:4" x14ac:dyDescent="0.2">
      <c r="A41" s="2" t="s">
        <v>667</v>
      </c>
      <c r="D41" s="10">
        <v>10.946099999999999</v>
      </c>
    </row>
    <row r="42" spans="1:4" x14ac:dyDescent="0.2">
      <c r="A42" s="2" t="s">
        <v>1222</v>
      </c>
      <c r="D42" s="10">
        <v>10.391299999999999</v>
      </c>
    </row>
    <row r="43" spans="1:4" x14ac:dyDescent="0.2">
      <c r="A43" s="2" t="s">
        <v>668</v>
      </c>
      <c r="D43" s="10">
        <v>10.9694</v>
      </c>
    </row>
    <row r="44" spans="1:4" x14ac:dyDescent="0.2">
      <c r="A44" s="2" t="s">
        <v>669</v>
      </c>
      <c r="D44" s="10">
        <v>10.9694</v>
      </c>
    </row>
    <row r="45" spans="1:4" x14ac:dyDescent="0.2">
      <c r="A45" s="2" t="s">
        <v>1224</v>
      </c>
      <c r="D45" s="10">
        <v>10.414</v>
      </c>
    </row>
    <row r="47" spans="1:4" x14ac:dyDescent="0.2">
      <c r="A47" s="4" t="s">
        <v>109</v>
      </c>
      <c r="D47" s="30" t="s">
        <v>325</v>
      </c>
    </row>
    <row r="48" spans="1:4" x14ac:dyDescent="0.2">
      <c r="A48" s="31" t="s">
        <v>670</v>
      </c>
      <c r="B48" s="32"/>
      <c r="C48" s="64" t="s">
        <v>671</v>
      </c>
      <c r="D48" s="65"/>
    </row>
    <row r="49" spans="1:5" x14ac:dyDescent="0.2">
      <c r="A49" s="48"/>
      <c r="B49" s="49"/>
      <c r="C49" s="33" t="s">
        <v>672</v>
      </c>
      <c r="D49" s="33" t="s">
        <v>673</v>
      </c>
    </row>
    <row r="50" spans="1:5" x14ac:dyDescent="0.2">
      <c r="A50" s="34" t="s">
        <v>1222</v>
      </c>
      <c r="B50" s="35"/>
      <c r="C50" s="36">
        <v>0.29173069350000003</v>
      </c>
      <c r="D50" s="36">
        <v>0.27014407610000002</v>
      </c>
    </row>
    <row r="51" spans="1:5" x14ac:dyDescent="0.2">
      <c r="A51" s="34" t="s">
        <v>1224</v>
      </c>
      <c r="B51" s="35"/>
      <c r="C51" s="36">
        <v>0.29173069350000003</v>
      </c>
      <c r="D51" s="36">
        <v>0.27014407610000002</v>
      </c>
    </row>
    <row r="52" spans="1:5" x14ac:dyDescent="0.2">
      <c r="A52" s="4"/>
      <c r="D52" s="30"/>
    </row>
    <row r="54" spans="1:5" x14ac:dyDescent="0.2">
      <c r="A54" s="4" t="s">
        <v>770</v>
      </c>
      <c r="D54" s="29">
        <v>2.1485937178216914</v>
      </c>
      <c r="E54" s="1" t="s">
        <v>1302</v>
      </c>
    </row>
    <row r="56" spans="1:5" x14ac:dyDescent="0.2">
      <c r="A56" s="4" t="s">
        <v>1989</v>
      </c>
      <c r="D56" s="53" t="s">
        <v>110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357C-5DE9-4983-9A7E-DDA14BE01CE7}">
  <sheetPr codeName="Sheet40"/>
  <dimension ref="A1:F54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5.85546875" style="2" bestFit="1" customWidth="1"/>
    <col min="3" max="3" width="12.28515625" style="2" bestFit="1" customWidth="1"/>
    <col min="4" max="4" width="7.8554687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1311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1307</v>
      </c>
      <c r="B8" s="45" t="s">
        <v>1894</v>
      </c>
      <c r="C8" s="45" t="s">
        <v>686</v>
      </c>
      <c r="D8" s="14">
        <v>68</v>
      </c>
      <c r="E8" s="7">
        <v>777.01559999999995</v>
      </c>
      <c r="F8" s="7">
        <v>11.8067304094878</v>
      </c>
    </row>
    <row r="9" spans="1:6" x14ac:dyDescent="0.2">
      <c r="A9" s="45" t="s">
        <v>1300</v>
      </c>
      <c r="B9" s="45" t="s">
        <v>1890</v>
      </c>
      <c r="C9" s="45" t="s">
        <v>925</v>
      </c>
      <c r="D9" s="14">
        <v>71</v>
      </c>
      <c r="E9" s="7">
        <v>734.89331000000004</v>
      </c>
      <c r="F9" s="7">
        <v>11.1666833856439</v>
      </c>
    </row>
    <row r="10" spans="1:6" x14ac:dyDescent="0.2">
      <c r="A10" s="45" t="s">
        <v>1285</v>
      </c>
      <c r="B10" s="45" t="s">
        <v>1880</v>
      </c>
      <c r="C10" s="45" t="s">
        <v>686</v>
      </c>
      <c r="D10" s="14">
        <v>71</v>
      </c>
      <c r="E10" s="7">
        <v>734.87982</v>
      </c>
      <c r="F10" s="7">
        <v>11.166478405469499</v>
      </c>
    </row>
    <row r="11" spans="1:6" x14ac:dyDescent="0.2">
      <c r="A11" s="45" t="s">
        <v>1304</v>
      </c>
      <c r="B11" s="45" t="s">
        <v>1892</v>
      </c>
      <c r="C11" s="45" t="s">
        <v>686</v>
      </c>
      <c r="D11" s="14">
        <v>70</v>
      </c>
      <c r="E11" s="7">
        <v>724.91089999999997</v>
      </c>
      <c r="F11" s="7">
        <v>11.0150009436093</v>
      </c>
    </row>
    <row r="12" spans="1:6" x14ac:dyDescent="0.2">
      <c r="A12" s="45" t="s">
        <v>1312</v>
      </c>
      <c r="B12" s="45" t="s">
        <v>1898</v>
      </c>
      <c r="C12" s="45" t="s">
        <v>917</v>
      </c>
      <c r="D12" s="14">
        <v>70000</v>
      </c>
      <c r="E12" s="7">
        <v>717.86540000000002</v>
      </c>
      <c r="F12" s="7">
        <v>10.9079447672596</v>
      </c>
    </row>
    <row r="13" spans="1:6" x14ac:dyDescent="0.2">
      <c r="A13" s="45" t="s">
        <v>716</v>
      </c>
      <c r="B13" s="45" t="s">
        <v>1456</v>
      </c>
      <c r="C13" s="45" t="s">
        <v>686</v>
      </c>
      <c r="D13" s="14">
        <v>69</v>
      </c>
      <c r="E13" s="7">
        <v>717.49856999999997</v>
      </c>
      <c r="F13" s="7">
        <v>10.902370795622399</v>
      </c>
    </row>
    <row r="14" spans="1:6" x14ac:dyDescent="0.2">
      <c r="A14" s="45" t="s">
        <v>922</v>
      </c>
      <c r="B14" s="45" t="s">
        <v>1606</v>
      </c>
      <c r="C14" s="45" t="s">
        <v>923</v>
      </c>
      <c r="D14" s="14">
        <v>70</v>
      </c>
      <c r="E14" s="7">
        <v>707.17150000000004</v>
      </c>
      <c r="F14" s="7">
        <v>10.745451254483299</v>
      </c>
    </row>
    <row r="15" spans="1:6" x14ac:dyDescent="0.2">
      <c r="A15" s="45" t="s">
        <v>1288</v>
      </c>
      <c r="B15" s="45" t="s">
        <v>1883</v>
      </c>
      <c r="C15" s="45" t="s">
        <v>925</v>
      </c>
      <c r="D15" s="14">
        <v>47</v>
      </c>
      <c r="E15" s="7">
        <v>528.50653999999997</v>
      </c>
      <c r="F15" s="7">
        <v>8.0306421614072594</v>
      </c>
    </row>
    <row r="16" spans="1:6" x14ac:dyDescent="0.2">
      <c r="A16" s="45" t="s">
        <v>1310</v>
      </c>
      <c r="B16" s="45" t="s">
        <v>1897</v>
      </c>
      <c r="C16" s="45" t="s">
        <v>925</v>
      </c>
      <c r="D16" s="14">
        <v>31</v>
      </c>
      <c r="E16" s="7">
        <v>321.89407999999997</v>
      </c>
      <c r="F16" s="7">
        <v>4.8911715839039598</v>
      </c>
    </row>
    <row r="17" spans="1:6" x14ac:dyDescent="0.2">
      <c r="A17" s="45" t="s">
        <v>1305</v>
      </c>
      <c r="B17" s="45" t="s">
        <v>1893</v>
      </c>
      <c r="C17" s="45" t="s">
        <v>1020</v>
      </c>
      <c r="D17" s="14">
        <v>20</v>
      </c>
      <c r="E17" s="7">
        <v>221.4426</v>
      </c>
      <c r="F17" s="7">
        <v>3.3648141419246098</v>
      </c>
    </row>
    <row r="18" spans="1:6" x14ac:dyDescent="0.2">
      <c r="A18" s="45" t="s">
        <v>1299</v>
      </c>
      <c r="B18" s="45" t="s">
        <v>1889</v>
      </c>
      <c r="C18" s="45" t="s">
        <v>686</v>
      </c>
      <c r="D18" s="14">
        <v>2</v>
      </c>
      <c r="E18" s="7">
        <v>22.739439999999998</v>
      </c>
      <c r="F18" s="7">
        <v>0.34552515772234499</v>
      </c>
    </row>
    <row r="19" spans="1:6" x14ac:dyDescent="0.2">
      <c r="A19" s="45" t="s">
        <v>955</v>
      </c>
      <c r="B19" s="45" t="s">
        <v>1637</v>
      </c>
      <c r="C19" s="45" t="s">
        <v>956</v>
      </c>
      <c r="D19" s="14">
        <v>1</v>
      </c>
      <c r="E19" s="7">
        <v>10.740600000000001</v>
      </c>
      <c r="F19" s="7">
        <v>0.16320311797619499</v>
      </c>
    </row>
    <row r="20" spans="1:6" x14ac:dyDescent="0.2">
      <c r="A20" s="45" t="s">
        <v>1276</v>
      </c>
      <c r="B20" s="45" t="s">
        <v>1871</v>
      </c>
      <c r="C20" s="45" t="s">
        <v>686</v>
      </c>
      <c r="D20" s="14">
        <v>1</v>
      </c>
      <c r="E20" s="7">
        <v>10.399660000000001</v>
      </c>
      <c r="F20" s="7">
        <v>0.15802254416813999</v>
      </c>
    </row>
    <row r="21" spans="1:6" x14ac:dyDescent="0.2">
      <c r="A21" s="26" t="s">
        <v>44</v>
      </c>
      <c r="B21" s="45"/>
      <c r="C21" s="45"/>
      <c r="D21" s="45"/>
      <c r="E21" s="6">
        <f>SUM(E8:E20)</f>
        <v>6229.9580200000019</v>
      </c>
      <c r="F21" s="6">
        <f>SUM(F8:F20)</f>
        <v>94.664038668678302</v>
      </c>
    </row>
    <row r="22" spans="1:6" x14ac:dyDescent="0.2">
      <c r="A22" s="45"/>
      <c r="B22" s="45"/>
      <c r="C22" s="45"/>
      <c r="D22" s="45"/>
      <c r="E22" s="7"/>
      <c r="F22" s="7"/>
    </row>
    <row r="23" spans="1:6" x14ac:dyDescent="0.2">
      <c r="A23" s="26" t="s">
        <v>44</v>
      </c>
      <c r="B23" s="45"/>
      <c r="C23" s="45"/>
      <c r="D23" s="45"/>
      <c r="E23" s="6">
        <v>6229.9580200000019</v>
      </c>
      <c r="F23" s="6">
        <v>94.664038668678302</v>
      </c>
    </row>
    <row r="24" spans="1:6" x14ac:dyDescent="0.2">
      <c r="A24" s="45"/>
      <c r="B24" s="45"/>
      <c r="C24" s="45"/>
      <c r="D24" s="45"/>
      <c r="E24" s="7"/>
      <c r="F24" s="7"/>
    </row>
    <row r="25" spans="1:6" x14ac:dyDescent="0.2">
      <c r="A25" s="26" t="s">
        <v>103</v>
      </c>
      <c r="B25" s="45"/>
      <c r="C25" s="45"/>
      <c r="D25" s="45"/>
      <c r="E25" s="6">
        <v>351.164266</v>
      </c>
      <c r="F25" s="6">
        <v>5.34</v>
      </c>
    </row>
    <row r="26" spans="1:6" x14ac:dyDescent="0.2">
      <c r="A26" s="45"/>
      <c r="B26" s="45"/>
      <c r="C26" s="45"/>
      <c r="D26" s="45"/>
      <c r="E26" s="7"/>
      <c r="F26" s="7"/>
    </row>
    <row r="27" spans="1:6" x14ac:dyDescent="0.2">
      <c r="A27" s="46" t="s">
        <v>104</v>
      </c>
      <c r="B27" s="44"/>
      <c r="C27" s="44"/>
      <c r="D27" s="44"/>
      <c r="E27" s="8">
        <v>6581.1242659999998</v>
      </c>
      <c r="F27" s="8">
        <f xml:space="preserve"> ROUND(SUM(F23:F26),2)</f>
        <v>100</v>
      </c>
    </row>
    <row r="28" spans="1:6" x14ac:dyDescent="0.2">
      <c r="A28" s="4" t="s">
        <v>1983</v>
      </c>
    </row>
    <row r="29" spans="1:6" x14ac:dyDescent="0.2">
      <c r="A29" s="4"/>
    </row>
    <row r="30" spans="1:6" x14ac:dyDescent="0.2">
      <c r="A30" s="4" t="s">
        <v>105</v>
      </c>
    </row>
    <row r="31" spans="1:6" x14ac:dyDescent="0.2">
      <c r="A31" s="4" t="s">
        <v>769</v>
      </c>
    </row>
    <row r="32" spans="1:6" x14ac:dyDescent="0.2">
      <c r="A32" s="4" t="s">
        <v>107</v>
      </c>
      <c r="D32" s="11"/>
    </row>
    <row r="33" spans="1:4" x14ac:dyDescent="0.2">
      <c r="A33" s="2" t="s">
        <v>666</v>
      </c>
      <c r="D33" s="63">
        <v>10.441599999999999</v>
      </c>
    </row>
    <row r="34" spans="1:4" x14ac:dyDescent="0.2">
      <c r="A34" s="2" t="s">
        <v>667</v>
      </c>
      <c r="D34" s="63">
        <v>10.441599999999999</v>
      </c>
    </row>
    <row r="35" spans="1:4" x14ac:dyDescent="0.2">
      <c r="A35" s="2" t="s">
        <v>1222</v>
      </c>
      <c r="D35" s="63">
        <v>10.2742</v>
      </c>
    </row>
    <row r="36" spans="1:4" x14ac:dyDescent="0.2">
      <c r="A36" s="2" t="s">
        <v>668</v>
      </c>
      <c r="D36" s="63">
        <v>10.4518</v>
      </c>
    </row>
    <row r="37" spans="1:4" x14ac:dyDescent="0.2">
      <c r="A37" s="2" t="s">
        <v>669</v>
      </c>
      <c r="D37" s="63">
        <v>10.4518</v>
      </c>
    </row>
    <row r="39" spans="1:4" x14ac:dyDescent="0.2">
      <c r="A39" s="4" t="s">
        <v>108</v>
      </c>
    </row>
    <row r="40" spans="1:4" x14ac:dyDescent="0.2">
      <c r="A40" s="2" t="s">
        <v>666</v>
      </c>
      <c r="D40" s="10">
        <v>10.9819</v>
      </c>
    </row>
    <row r="41" spans="1:4" x14ac:dyDescent="0.2">
      <c r="A41" s="2" t="s">
        <v>667</v>
      </c>
      <c r="D41" s="10">
        <v>10.9819</v>
      </c>
    </row>
    <row r="42" spans="1:4" x14ac:dyDescent="0.2">
      <c r="A42" s="2" t="s">
        <v>1222</v>
      </c>
      <c r="D42" s="10">
        <v>10.3956</v>
      </c>
    </row>
    <row r="43" spans="1:4" x14ac:dyDescent="0.2">
      <c r="A43" s="2" t="s">
        <v>668</v>
      </c>
      <c r="D43" s="10">
        <v>11.0063</v>
      </c>
    </row>
    <row r="44" spans="1:4" x14ac:dyDescent="0.2">
      <c r="A44" s="2" t="s">
        <v>669</v>
      </c>
      <c r="D44" s="10">
        <v>11.0063</v>
      </c>
    </row>
    <row r="46" spans="1:4" x14ac:dyDescent="0.2">
      <c r="A46" s="4" t="s">
        <v>109</v>
      </c>
      <c r="D46" s="30" t="s">
        <v>325</v>
      </c>
    </row>
    <row r="47" spans="1:4" x14ac:dyDescent="0.2">
      <c r="A47" s="31" t="s">
        <v>670</v>
      </c>
      <c r="B47" s="32"/>
      <c r="C47" s="88" t="s">
        <v>671</v>
      </c>
      <c r="D47" s="89"/>
    </row>
    <row r="48" spans="1:4" x14ac:dyDescent="0.2">
      <c r="A48" s="92"/>
      <c r="B48" s="93"/>
      <c r="C48" s="33" t="s">
        <v>672</v>
      </c>
      <c r="D48" s="33" t="s">
        <v>673</v>
      </c>
    </row>
    <row r="49" spans="1:5" x14ac:dyDescent="0.2">
      <c r="A49" s="34" t="s">
        <v>1222</v>
      </c>
      <c r="B49" s="35"/>
      <c r="C49" s="36">
        <v>0.28812908000000004</v>
      </c>
      <c r="D49" s="36">
        <v>0.26680896400000004</v>
      </c>
    </row>
    <row r="50" spans="1:5" x14ac:dyDescent="0.2">
      <c r="A50" s="4"/>
      <c r="D50" s="30"/>
    </row>
    <row r="52" spans="1:5" x14ac:dyDescent="0.2">
      <c r="A52" s="4" t="s">
        <v>770</v>
      </c>
      <c r="D52" s="29">
        <v>2.1225961238276634</v>
      </c>
      <c r="E52" s="1" t="s">
        <v>1302</v>
      </c>
    </row>
    <row r="54" spans="1:5" x14ac:dyDescent="0.2">
      <c r="A54" s="4" t="s">
        <v>1989</v>
      </c>
      <c r="D54" s="53" t="s">
        <v>110</v>
      </c>
    </row>
  </sheetData>
  <mergeCells count="3">
    <mergeCell ref="A1:F1"/>
    <mergeCell ref="C47:D47"/>
    <mergeCell ref="A48:B4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7FCB-1251-4071-B5CD-C5BDAC66691A}">
  <sheetPr codeName="Sheet41"/>
  <dimension ref="A1:F60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5.85546875" style="2" bestFit="1" customWidth="1"/>
    <col min="3" max="3" width="11.855468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1313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1273</v>
      </c>
      <c r="B8" s="45" t="s">
        <v>1868</v>
      </c>
      <c r="C8" s="45" t="s">
        <v>686</v>
      </c>
      <c r="D8" s="14">
        <v>37</v>
      </c>
      <c r="E8" s="7">
        <v>420.98192999999998</v>
      </c>
      <c r="F8" s="7">
        <v>11.991966075077499</v>
      </c>
    </row>
    <row r="9" spans="1:6" x14ac:dyDescent="0.2">
      <c r="A9" s="45" t="s">
        <v>960</v>
      </c>
      <c r="B9" s="45" t="s">
        <v>1641</v>
      </c>
      <c r="C9" s="45" t="s">
        <v>917</v>
      </c>
      <c r="D9" s="14">
        <v>37</v>
      </c>
      <c r="E9" s="7">
        <v>381.03303</v>
      </c>
      <c r="F9" s="7">
        <v>10.8539935888555</v>
      </c>
    </row>
    <row r="10" spans="1:6" x14ac:dyDescent="0.2">
      <c r="A10" s="45" t="s">
        <v>832</v>
      </c>
      <c r="B10" s="45" t="s">
        <v>1541</v>
      </c>
      <c r="C10" s="45" t="s">
        <v>686</v>
      </c>
      <c r="D10" s="14">
        <v>37</v>
      </c>
      <c r="E10" s="7">
        <v>377.42552999999998</v>
      </c>
      <c r="F10" s="7">
        <v>10.7512314165792</v>
      </c>
    </row>
    <row r="11" spans="1:6" x14ac:dyDescent="0.2">
      <c r="A11" s="45" t="s">
        <v>716</v>
      </c>
      <c r="B11" s="45" t="s">
        <v>1456</v>
      </c>
      <c r="C11" s="45" t="s">
        <v>686</v>
      </c>
      <c r="D11" s="14">
        <v>36</v>
      </c>
      <c r="E11" s="7">
        <v>374.34708000000001</v>
      </c>
      <c r="F11" s="7">
        <v>10.6635396052851</v>
      </c>
    </row>
    <row r="12" spans="1:6" x14ac:dyDescent="0.2">
      <c r="A12" s="45" t="s">
        <v>1310</v>
      </c>
      <c r="B12" s="45" t="s">
        <v>1897</v>
      </c>
      <c r="C12" s="45" t="s">
        <v>925</v>
      </c>
      <c r="D12" s="14">
        <v>36</v>
      </c>
      <c r="E12" s="7">
        <v>373.81247999999999</v>
      </c>
      <c r="F12" s="7">
        <v>10.6483111486534</v>
      </c>
    </row>
    <row r="13" spans="1:6" x14ac:dyDescent="0.2">
      <c r="A13" s="45" t="s">
        <v>922</v>
      </c>
      <c r="B13" s="45" t="s">
        <v>1606</v>
      </c>
      <c r="C13" s="45" t="s">
        <v>923</v>
      </c>
      <c r="D13" s="14">
        <v>33</v>
      </c>
      <c r="E13" s="7">
        <v>333.38085000000001</v>
      </c>
      <c r="F13" s="7">
        <v>9.4965877591955508</v>
      </c>
    </row>
    <row r="14" spans="1:6" x14ac:dyDescent="0.2">
      <c r="A14" s="45" t="s">
        <v>1276</v>
      </c>
      <c r="B14" s="45" t="s">
        <v>1871</v>
      </c>
      <c r="C14" s="45" t="s">
        <v>686</v>
      </c>
      <c r="D14" s="14">
        <v>27</v>
      </c>
      <c r="E14" s="7">
        <v>280.79082</v>
      </c>
      <c r="F14" s="7">
        <v>7.9985238027513601</v>
      </c>
    </row>
    <row r="15" spans="1:6" x14ac:dyDescent="0.2">
      <c r="A15" s="45" t="s">
        <v>1314</v>
      </c>
      <c r="B15" s="45" t="s">
        <v>1899</v>
      </c>
      <c r="C15" s="45" t="s">
        <v>686</v>
      </c>
      <c r="D15" s="14">
        <v>21</v>
      </c>
      <c r="E15" s="7">
        <v>230.74905000000001</v>
      </c>
      <c r="F15" s="7">
        <v>6.5730488229182997</v>
      </c>
    </row>
    <row r="16" spans="1:6" x14ac:dyDescent="0.2">
      <c r="A16" s="45" t="s">
        <v>951</v>
      </c>
      <c r="B16" s="45" t="s">
        <v>1633</v>
      </c>
      <c r="C16" s="45" t="s">
        <v>917</v>
      </c>
      <c r="D16" s="14">
        <v>20</v>
      </c>
      <c r="E16" s="7">
        <v>209.2988</v>
      </c>
      <c r="F16" s="7">
        <v>5.9620233798501499</v>
      </c>
    </row>
    <row r="17" spans="1:6" x14ac:dyDescent="0.2">
      <c r="A17" s="45" t="s">
        <v>1288</v>
      </c>
      <c r="B17" s="45" t="s">
        <v>1883</v>
      </c>
      <c r="C17" s="45" t="s">
        <v>925</v>
      </c>
      <c r="D17" s="14">
        <v>12</v>
      </c>
      <c r="E17" s="7">
        <v>134.93783999999999</v>
      </c>
      <c r="F17" s="7">
        <v>3.8437991852150102</v>
      </c>
    </row>
    <row r="18" spans="1:6" x14ac:dyDescent="0.2">
      <c r="A18" s="45" t="s">
        <v>1284</v>
      </c>
      <c r="B18" s="45" t="s">
        <v>1879</v>
      </c>
      <c r="C18" s="45" t="s">
        <v>686</v>
      </c>
      <c r="D18" s="14">
        <v>8</v>
      </c>
      <c r="E18" s="7">
        <v>91.910560000000004</v>
      </c>
      <c r="F18" s="7">
        <v>2.6181368816979398</v>
      </c>
    </row>
    <row r="19" spans="1:6" x14ac:dyDescent="0.2">
      <c r="A19" s="45" t="s">
        <v>1297</v>
      </c>
      <c r="B19" s="45" t="s">
        <v>1887</v>
      </c>
      <c r="C19" s="45" t="s">
        <v>686</v>
      </c>
      <c r="D19" s="14">
        <v>3</v>
      </c>
      <c r="E19" s="7">
        <v>34.644660000000002</v>
      </c>
      <c r="F19" s="7">
        <v>0.98687748284729504</v>
      </c>
    </row>
    <row r="20" spans="1:6" x14ac:dyDescent="0.2">
      <c r="A20" s="45" t="s">
        <v>1305</v>
      </c>
      <c r="B20" s="45" t="s">
        <v>1893</v>
      </c>
      <c r="C20" s="45" t="s">
        <v>1020</v>
      </c>
      <c r="D20" s="14">
        <v>3</v>
      </c>
      <c r="E20" s="7">
        <v>33.216389999999997</v>
      </c>
      <c r="F20" s="7">
        <v>0.94619220833669804</v>
      </c>
    </row>
    <row r="21" spans="1:6" x14ac:dyDescent="0.2">
      <c r="A21" s="45" t="s">
        <v>1309</v>
      </c>
      <c r="B21" s="45" t="s">
        <v>1896</v>
      </c>
      <c r="C21" s="45" t="s">
        <v>686</v>
      </c>
      <c r="D21" s="14">
        <v>3</v>
      </c>
      <c r="E21" s="7">
        <v>30.855840000000001</v>
      </c>
      <c r="F21" s="7">
        <v>0.87895028296825195</v>
      </c>
    </row>
    <row r="22" spans="1:6" x14ac:dyDescent="0.2">
      <c r="A22" s="45" t="s">
        <v>1315</v>
      </c>
      <c r="B22" s="45" t="s">
        <v>1900</v>
      </c>
      <c r="C22" s="45" t="s">
        <v>925</v>
      </c>
      <c r="D22" s="14">
        <v>3</v>
      </c>
      <c r="E22" s="7">
        <v>30.685559999999999</v>
      </c>
      <c r="F22" s="7">
        <v>0.87409973752259795</v>
      </c>
    </row>
    <row r="23" spans="1:6" x14ac:dyDescent="0.2">
      <c r="A23" s="45" t="s">
        <v>1299</v>
      </c>
      <c r="B23" s="45" t="s">
        <v>1889</v>
      </c>
      <c r="C23" s="45" t="s">
        <v>686</v>
      </c>
      <c r="D23" s="14">
        <v>2</v>
      </c>
      <c r="E23" s="7">
        <v>22.739439999999998</v>
      </c>
      <c r="F23" s="7">
        <v>0.64774892605547596</v>
      </c>
    </row>
    <row r="24" spans="1:6" x14ac:dyDescent="0.2">
      <c r="A24" s="26" t="s">
        <v>44</v>
      </c>
      <c r="B24" s="45"/>
      <c r="C24" s="45"/>
      <c r="D24" s="45"/>
      <c r="E24" s="6">
        <f>SUM(E8:E23)</f>
        <v>3360.8098599999998</v>
      </c>
      <c r="F24" s="6">
        <f>SUM(F8:F23)</f>
        <v>95.73503030380931</v>
      </c>
    </row>
    <row r="25" spans="1:6" x14ac:dyDescent="0.2">
      <c r="A25" s="45"/>
      <c r="B25" s="45"/>
      <c r="C25" s="45"/>
      <c r="D25" s="45"/>
      <c r="E25" s="7"/>
      <c r="F25" s="7"/>
    </row>
    <row r="26" spans="1:6" x14ac:dyDescent="0.2">
      <c r="A26" s="26" t="s">
        <v>44</v>
      </c>
      <c r="B26" s="45"/>
      <c r="C26" s="45"/>
      <c r="D26" s="45"/>
      <c r="E26" s="6">
        <v>3360.8098599999998</v>
      </c>
      <c r="F26" s="6">
        <v>95.73503030380931</v>
      </c>
    </row>
    <row r="27" spans="1:6" x14ac:dyDescent="0.2">
      <c r="A27" s="45"/>
      <c r="B27" s="45"/>
      <c r="C27" s="45"/>
      <c r="D27" s="45"/>
      <c r="E27" s="7"/>
      <c r="F27" s="7"/>
    </row>
    <row r="28" spans="1:6" x14ac:dyDescent="0.2">
      <c r="A28" s="26" t="s">
        <v>103</v>
      </c>
      <c r="B28" s="45"/>
      <c r="C28" s="45"/>
      <c r="D28" s="45"/>
      <c r="E28" s="6">
        <v>149.7230299</v>
      </c>
      <c r="F28" s="6">
        <v>4.26</v>
      </c>
    </row>
    <row r="29" spans="1:6" x14ac:dyDescent="0.2">
      <c r="A29" s="45"/>
      <c r="B29" s="45"/>
      <c r="C29" s="45"/>
      <c r="D29" s="45"/>
      <c r="E29" s="7"/>
      <c r="F29" s="7"/>
    </row>
    <row r="30" spans="1:6" x14ac:dyDescent="0.2">
      <c r="A30" s="46" t="s">
        <v>104</v>
      </c>
      <c r="B30" s="44"/>
      <c r="C30" s="44"/>
      <c r="D30" s="44"/>
      <c r="E30" s="8">
        <v>3510.5330299000002</v>
      </c>
      <c r="F30" s="8">
        <f xml:space="preserve"> ROUND(SUM(F26:F29),2)</f>
        <v>100</v>
      </c>
    </row>
    <row r="31" spans="1:6" x14ac:dyDescent="0.2">
      <c r="A31" s="4" t="s">
        <v>1983</v>
      </c>
    </row>
    <row r="32" spans="1:6" x14ac:dyDescent="0.2">
      <c r="A32" s="4"/>
    </row>
    <row r="33" spans="1:4" x14ac:dyDescent="0.2">
      <c r="A33" s="4" t="s">
        <v>105</v>
      </c>
    </row>
    <row r="34" spans="1:4" x14ac:dyDescent="0.2">
      <c r="A34" s="4" t="s">
        <v>769</v>
      </c>
    </row>
    <row r="35" spans="1:4" x14ac:dyDescent="0.2">
      <c r="A35" s="4" t="s">
        <v>107</v>
      </c>
      <c r="D35" s="11"/>
    </row>
    <row r="36" spans="1:4" x14ac:dyDescent="0.2">
      <c r="A36" s="2" t="s">
        <v>666</v>
      </c>
      <c r="D36" s="63">
        <v>10.524699999999999</v>
      </c>
    </row>
    <row r="37" spans="1:4" x14ac:dyDescent="0.2">
      <c r="A37" s="2" t="s">
        <v>667</v>
      </c>
      <c r="D37" s="63">
        <v>10.524699999999999</v>
      </c>
    </row>
    <row r="38" spans="1:4" x14ac:dyDescent="0.2">
      <c r="A38" s="2" t="s">
        <v>1222</v>
      </c>
      <c r="D38" s="63">
        <v>10.371600000000001</v>
      </c>
    </row>
    <row r="39" spans="1:4" x14ac:dyDescent="0.2">
      <c r="A39" s="2" t="s">
        <v>668</v>
      </c>
      <c r="D39" s="63">
        <v>10.5364</v>
      </c>
    </row>
    <row r="40" spans="1:4" x14ac:dyDescent="0.2">
      <c r="A40" s="2" t="s">
        <v>669</v>
      </c>
      <c r="D40" s="63">
        <v>10.5364</v>
      </c>
    </row>
    <row r="41" spans="1:4" x14ac:dyDescent="0.2">
      <c r="A41" s="2" t="s">
        <v>1224</v>
      </c>
      <c r="D41" s="63">
        <v>10.3833</v>
      </c>
    </row>
    <row r="43" spans="1:4" x14ac:dyDescent="0.2">
      <c r="A43" s="4" t="s">
        <v>108</v>
      </c>
    </row>
    <row r="44" spans="1:4" x14ac:dyDescent="0.2">
      <c r="A44" s="2" t="s">
        <v>666</v>
      </c>
      <c r="D44" s="10">
        <v>11.056900000000001</v>
      </c>
    </row>
    <row r="45" spans="1:4" x14ac:dyDescent="0.2">
      <c r="A45" s="2" t="s">
        <v>667</v>
      </c>
      <c r="D45" s="10">
        <v>11.056900000000001</v>
      </c>
    </row>
    <row r="46" spans="1:4" x14ac:dyDescent="0.2">
      <c r="A46" s="2" t="s">
        <v>1222</v>
      </c>
      <c r="D46" s="10">
        <v>10.4666</v>
      </c>
    </row>
    <row r="47" spans="1:4" x14ac:dyDescent="0.2">
      <c r="A47" s="2" t="s">
        <v>668</v>
      </c>
      <c r="D47" s="10">
        <v>11.083</v>
      </c>
    </row>
    <row r="48" spans="1:4" x14ac:dyDescent="0.2">
      <c r="A48" s="2" t="s">
        <v>669</v>
      </c>
      <c r="D48" s="10">
        <v>11.083</v>
      </c>
    </row>
    <row r="49" spans="1:5" x14ac:dyDescent="0.2">
      <c r="A49" s="2" t="s">
        <v>1224</v>
      </c>
      <c r="D49" s="10">
        <v>10.492000000000001</v>
      </c>
    </row>
    <row r="51" spans="1:5" x14ac:dyDescent="0.2">
      <c r="A51" s="4" t="s">
        <v>109</v>
      </c>
      <c r="D51" s="30" t="s">
        <v>325</v>
      </c>
    </row>
    <row r="52" spans="1:5" x14ac:dyDescent="0.2">
      <c r="A52" s="31" t="s">
        <v>670</v>
      </c>
      <c r="B52" s="32"/>
      <c r="C52" s="88" t="s">
        <v>671</v>
      </c>
      <c r="D52" s="89"/>
    </row>
    <row r="53" spans="1:5" x14ac:dyDescent="0.2">
      <c r="A53" s="92"/>
      <c r="B53" s="93"/>
      <c r="C53" s="33" t="s">
        <v>672</v>
      </c>
      <c r="D53" s="33" t="s">
        <v>673</v>
      </c>
    </row>
    <row r="54" spans="1:5" x14ac:dyDescent="0.2">
      <c r="A54" s="34" t="s">
        <v>1222</v>
      </c>
      <c r="B54" s="35"/>
      <c r="C54" s="36">
        <v>0.29893392050000001</v>
      </c>
      <c r="D54" s="36">
        <v>0.27681430020000003</v>
      </c>
    </row>
    <row r="55" spans="1:5" x14ac:dyDescent="0.2">
      <c r="A55" s="34" t="s">
        <v>1224</v>
      </c>
      <c r="B55" s="35"/>
      <c r="C55" s="36">
        <v>0.29893392050000001</v>
      </c>
      <c r="D55" s="36">
        <v>0.27681430020000003</v>
      </c>
    </row>
    <row r="56" spans="1:5" x14ac:dyDescent="0.2">
      <c r="A56" s="4"/>
      <c r="D56" s="30"/>
    </row>
    <row r="58" spans="1:5" x14ac:dyDescent="0.2">
      <c r="A58" s="4" t="s">
        <v>770</v>
      </c>
      <c r="D58" s="29">
        <v>2.1103059581698247</v>
      </c>
      <c r="E58" s="1" t="s">
        <v>1302</v>
      </c>
    </row>
    <row r="60" spans="1:5" x14ac:dyDescent="0.2">
      <c r="A60" s="4" t="s">
        <v>1989</v>
      </c>
      <c r="D60" s="53" t="s">
        <v>110</v>
      </c>
    </row>
  </sheetData>
  <mergeCells count="3">
    <mergeCell ref="A1:F1"/>
    <mergeCell ref="C52:D52"/>
    <mergeCell ref="A53:B53"/>
  </mergeCells>
  <pageMargins left="0.7" right="0.7" top="0.75" bottom="0.75" header="0.3" footer="0.3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AA69-EB25-4A38-8996-50B273383CE9}">
  <sheetPr codeName="Sheet42"/>
  <dimension ref="A1:F56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5.85546875" style="2" bestFit="1" customWidth="1"/>
    <col min="3" max="3" width="12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1316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1273</v>
      </c>
      <c r="B8" s="45" t="s">
        <v>1868</v>
      </c>
      <c r="C8" s="45" t="s">
        <v>686</v>
      </c>
      <c r="D8" s="14">
        <v>47</v>
      </c>
      <c r="E8" s="7">
        <v>534.76083000000006</v>
      </c>
      <c r="F8" s="7">
        <v>12.0008586354618</v>
      </c>
    </row>
    <row r="9" spans="1:6" x14ac:dyDescent="0.2">
      <c r="A9" s="45" t="s">
        <v>960</v>
      </c>
      <c r="B9" s="45" t="s">
        <v>1641</v>
      </c>
      <c r="C9" s="45" t="s">
        <v>917</v>
      </c>
      <c r="D9" s="14">
        <v>47</v>
      </c>
      <c r="E9" s="7">
        <v>484.01492999999999</v>
      </c>
      <c r="F9" s="7">
        <v>10.8620422935295</v>
      </c>
    </row>
    <row r="10" spans="1:6" x14ac:dyDescent="0.2">
      <c r="A10" s="45" t="s">
        <v>716</v>
      </c>
      <c r="B10" s="45" t="s">
        <v>1456</v>
      </c>
      <c r="C10" s="45" t="s">
        <v>686</v>
      </c>
      <c r="D10" s="14">
        <v>46</v>
      </c>
      <c r="E10" s="7">
        <v>478.33238</v>
      </c>
      <c r="F10" s="7">
        <v>10.7345170983148</v>
      </c>
    </row>
    <row r="11" spans="1:6" x14ac:dyDescent="0.2">
      <c r="A11" s="45" t="s">
        <v>957</v>
      </c>
      <c r="B11" s="45" t="s">
        <v>1638</v>
      </c>
      <c r="C11" s="45" t="s">
        <v>686</v>
      </c>
      <c r="D11" s="14">
        <v>47</v>
      </c>
      <c r="E11" s="7">
        <v>475.93092999999999</v>
      </c>
      <c r="F11" s="7">
        <v>10.680624852747499</v>
      </c>
    </row>
    <row r="12" spans="1:6" x14ac:dyDescent="0.2">
      <c r="A12" s="45" t="s">
        <v>1309</v>
      </c>
      <c r="B12" s="45" t="s">
        <v>1896</v>
      </c>
      <c r="C12" s="45" t="s">
        <v>686</v>
      </c>
      <c r="D12" s="14">
        <v>45</v>
      </c>
      <c r="E12" s="7">
        <v>462.83760000000001</v>
      </c>
      <c r="F12" s="7">
        <v>10.3867903129263</v>
      </c>
    </row>
    <row r="13" spans="1:6" x14ac:dyDescent="0.2">
      <c r="A13" s="45" t="s">
        <v>1288</v>
      </c>
      <c r="B13" s="45" t="s">
        <v>1883</v>
      </c>
      <c r="C13" s="45" t="s">
        <v>925</v>
      </c>
      <c r="D13" s="14">
        <v>38</v>
      </c>
      <c r="E13" s="7">
        <v>427.30315999999999</v>
      </c>
      <c r="F13" s="7">
        <v>9.5893426181684394</v>
      </c>
    </row>
    <row r="14" spans="1:6" x14ac:dyDescent="0.2">
      <c r="A14" s="45" t="s">
        <v>1317</v>
      </c>
      <c r="B14" s="45" t="s">
        <v>1901</v>
      </c>
      <c r="C14" s="45" t="s">
        <v>686</v>
      </c>
      <c r="D14" s="14">
        <v>35</v>
      </c>
      <c r="E14" s="7">
        <v>359.37124999999997</v>
      </c>
      <c r="F14" s="7">
        <v>8.0648456785797293</v>
      </c>
    </row>
    <row r="15" spans="1:6" x14ac:dyDescent="0.2">
      <c r="A15" s="45" t="s">
        <v>1314</v>
      </c>
      <c r="B15" s="45" t="s">
        <v>1899</v>
      </c>
      <c r="C15" s="45" t="s">
        <v>686</v>
      </c>
      <c r="D15" s="14">
        <v>29</v>
      </c>
      <c r="E15" s="7">
        <v>318.65345000000002</v>
      </c>
      <c r="F15" s="7">
        <v>7.1510753829000597</v>
      </c>
    </row>
    <row r="16" spans="1:6" x14ac:dyDescent="0.2">
      <c r="A16" s="45" t="s">
        <v>1276</v>
      </c>
      <c r="B16" s="45" t="s">
        <v>1871</v>
      </c>
      <c r="C16" s="45" t="s">
        <v>686</v>
      </c>
      <c r="D16" s="14">
        <v>24</v>
      </c>
      <c r="E16" s="7">
        <v>249.59183999999999</v>
      </c>
      <c r="F16" s="7">
        <v>5.60122623118228</v>
      </c>
    </row>
    <row r="17" spans="1:6" x14ac:dyDescent="0.2">
      <c r="A17" s="45" t="s">
        <v>955</v>
      </c>
      <c r="B17" s="45" t="s">
        <v>1637</v>
      </c>
      <c r="C17" s="45" t="s">
        <v>956</v>
      </c>
      <c r="D17" s="14">
        <v>22</v>
      </c>
      <c r="E17" s="7">
        <v>236.29320000000001</v>
      </c>
      <c r="F17" s="7">
        <v>5.3027842179856499</v>
      </c>
    </row>
    <row r="18" spans="1:6" x14ac:dyDescent="0.2">
      <c r="A18" s="45" t="s">
        <v>832</v>
      </c>
      <c r="B18" s="45" t="s">
        <v>1541</v>
      </c>
      <c r="C18" s="45" t="s">
        <v>686</v>
      </c>
      <c r="D18" s="14">
        <v>10</v>
      </c>
      <c r="E18" s="7">
        <v>102.0069</v>
      </c>
      <c r="F18" s="7">
        <v>2.28919232312077</v>
      </c>
    </row>
    <row r="19" spans="1:6" x14ac:dyDescent="0.2">
      <c r="A19" s="45" t="s">
        <v>922</v>
      </c>
      <c r="B19" s="45" t="s">
        <v>1606</v>
      </c>
      <c r="C19" s="45" t="s">
        <v>923</v>
      </c>
      <c r="D19" s="14">
        <v>6</v>
      </c>
      <c r="E19" s="7">
        <v>60.614699999999999</v>
      </c>
      <c r="F19" s="7">
        <v>1.3602874502437401</v>
      </c>
    </row>
    <row r="20" spans="1:6" x14ac:dyDescent="0.2">
      <c r="A20" s="45" t="s">
        <v>1305</v>
      </c>
      <c r="B20" s="45" t="s">
        <v>1893</v>
      </c>
      <c r="C20" s="45" t="s">
        <v>1020</v>
      </c>
      <c r="D20" s="14">
        <v>5</v>
      </c>
      <c r="E20" s="7">
        <v>55.36065</v>
      </c>
      <c r="F20" s="7">
        <v>1.2423784565845599</v>
      </c>
    </row>
    <row r="21" spans="1:6" x14ac:dyDescent="0.2">
      <c r="A21" s="45" t="s">
        <v>1310</v>
      </c>
      <c r="B21" s="45" t="s">
        <v>1897</v>
      </c>
      <c r="C21" s="45" t="s">
        <v>925</v>
      </c>
      <c r="D21" s="14">
        <v>4</v>
      </c>
      <c r="E21" s="7">
        <v>41.53472</v>
      </c>
      <c r="F21" s="7">
        <v>0.93210324171179304</v>
      </c>
    </row>
    <row r="22" spans="1:6" x14ac:dyDescent="0.2">
      <c r="A22" s="45" t="s">
        <v>1299</v>
      </c>
      <c r="B22" s="45" t="s">
        <v>1889</v>
      </c>
      <c r="C22" s="45" t="s">
        <v>686</v>
      </c>
      <c r="D22" s="14">
        <v>1</v>
      </c>
      <c r="E22" s="7">
        <v>11.369719999999999</v>
      </c>
      <c r="F22" s="7">
        <v>0.25515407036222698</v>
      </c>
    </row>
    <row r="23" spans="1:6" x14ac:dyDescent="0.2">
      <c r="A23" s="45" t="s">
        <v>953</v>
      </c>
      <c r="B23" s="45" t="s">
        <v>1635</v>
      </c>
      <c r="C23" s="45" t="s">
        <v>925</v>
      </c>
      <c r="D23" s="14">
        <v>1</v>
      </c>
      <c r="E23" s="7">
        <v>10.147650000000001</v>
      </c>
      <c r="F23" s="7">
        <v>0.227728932824314</v>
      </c>
    </row>
    <row r="24" spans="1:6" x14ac:dyDescent="0.2">
      <c r="A24" s="26" t="s">
        <v>44</v>
      </c>
      <c r="B24" s="45"/>
      <c r="C24" s="45"/>
      <c r="D24" s="45"/>
      <c r="E24" s="6">
        <f>SUM(E8:E23)</f>
        <v>4308.1239099999993</v>
      </c>
      <c r="F24" s="6">
        <f>SUM(F8:F23)</f>
        <v>96.68095179664347</v>
      </c>
    </row>
    <row r="25" spans="1:6" x14ac:dyDescent="0.2">
      <c r="A25" s="45"/>
      <c r="B25" s="45"/>
      <c r="C25" s="45"/>
      <c r="D25" s="45"/>
      <c r="E25" s="7"/>
      <c r="F25" s="7"/>
    </row>
    <row r="26" spans="1:6" x14ac:dyDescent="0.2">
      <c r="A26" s="26" t="s">
        <v>44</v>
      </c>
      <c r="B26" s="45"/>
      <c r="C26" s="45"/>
      <c r="D26" s="45"/>
      <c r="E26" s="6">
        <v>4308.1239099999993</v>
      </c>
      <c r="F26" s="6">
        <v>96.68095179664347</v>
      </c>
    </row>
    <row r="27" spans="1:6" x14ac:dyDescent="0.2">
      <c r="A27" s="45"/>
      <c r="B27" s="45"/>
      <c r="C27" s="45"/>
      <c r="D27" s="45"/>
      <c r="E27" s="7"/>
      <c r="F27" s="7"/>
    </row>
    <row r="28" spans="1:6" x14ac:dyDescent="0.2">
      <c r="A28" s="26" t="s">
        <v>103</v>
      </c>
      <c r="B28" s="45"/>
      <c r="C28" s="45"/>
      <c r="D28" s="45"/>
      <c r="E28" s="6">
        <v>147.9014085</v>
      </c>
      <c r="F28" s="6">
        <v>3.32</v>
      </c>
    </row>
    <row r="29" spans="1:6" x14ac:dyDescent="0.2">
      <c r="A29" s="45"/>
      <c r="B29" s="45"/>
      <c r="C29" s="45"/>
      <c r="D29" s="45"/>
      <c r="E29" s="7"/>
      <c r="F29" s="7"/>
    </row>
    <row r="30" spans="1:6" x14ac:dyDescent="0.2">
      <c r="A30" s="46" t="s">
        <v>104</v>
      </c>
      <c r="B30" s="44"/>
      <c r="C30" s="44"/>
      <c r="D30" s="44"/>
      <c r="E30" s="8">
        <v>4456.0214084999998</v>
      </c>
      <c r="F30" s="8">
        <f xml:space="preserve"> ROUND(SUM(F26:F29),2)</f>
        <v>100</v>
      </c>
    </row>
    <row r="31" spans="1:6" x14ac:dyDescent="0.2">
      <c r="A31" s="4" t="s">
        <v>1983</v>
      </c>
    </row>
    <row r="32" spans="1:6" x14ac:dyDescent="0.2">
      <c r="A32" s="4"/>
    </row>
    <row r="33" spans="1:4" x14ac:dyDescent="0.2">
      <c r="A33" s="4" t="s">
        <v>105</v>
      </c>
    </row>
    <row r="34" spans="1:4" x14ac:dyDescent="0.2">
      <c r="A34" s="4" t="s">
        <v>769</v>
      </c>
    </row>
    <row r="35" spans="1:4" x14ac:dyDescent="0.2">
      <c r="A35" s="4" t="s">
        <v>107</v>
      </c>
      <c r="D35" s="11"/>
    </row>
    <row r="36" spans="1:4" x14ac:dyDescent="0.2">
      <c r="A36" s="2" t="s">
        <v>666</v>
      </c>
      <c r="D36" s="63">
        <v>10.6206</v>
      </c>
    </row>
    <row r="37" spans="1:4" x14ac:dyDescent="0.2">
      <c r="A37" s="2" t="s">
        <v>667</v>
      </c>
      <c r="D37" s="63">
        <v>10.6206</v>
      </c>
    </row>
    <row r="38" spans="1:4" x14ac:dyDescent="0.2">
      <c r="A38" s="2" t="s">
        <v>1222</v>
      </c>
      <c r="D38" s="63">
        <v>10.275399999999999</v>
      </c>
    </row>
    <row r="39" spans="1:4" x14ac:dyDescent="0.2">
      <c r="A39" s="2" t="s">
        <v>668</v>
      </c>
      <c r="D39" s="63">
        <v>10.6366</v>
      </c>
    </row>
    <row r="41" spans="1:4" x14ac:dyDescent="0.2">
      <c r="A41" s="4" t="s">
        <v>108</v>
      </c>
    </row>
    <row r="42" spans="1:4" x14ac:dyDescent="0.2">
      <c r="A42" s="2" t="s">
        <v>666</v>
      </c>
      <c r="D42" s="10">
        <v>11.153</v>
      </c>
    </row>
    <row r="43" spans="1:4" x14ac:dyDescent="0.2">
      <c r="A43" s="2" t="s">
        <v>667</v>
      </c>
      <c r="D43" s="10">
        <v>10.3771</v>
      </c>
    </row>
    <row r="44" spans="1:4" x14ac:dyDescent="0.2">
      <c r="A44" s="2" t="s">
        <v>1222</v>
      </c>
      <c r="D44" s="10">
        <v>10.375500000000001</v>
      </c>
    </row>
    <row r="45" spans="1:4" x14ac:dyDescent="0.2">
      <c r="A45" s="2" t="s">
        <v>668</v>
      </c>
      <c r="D45" s="10">
        <v>11.186299999999999</v>
      </c>
    </row>
    <row r="47" spans="1:4" x14ac:dyDescent="0.2">
      <c r="A47" s="4" t="s">
        <v>109</v>
      </c>
      <c r="D47" s="30" t="s">
        <v>325</v>
      </c>
    </row>
    <row r="48" spans="1:4" x14ac:dyDescent="0.2">
      <c r="A48" s="31" t="s">
        <v>670</v>
      </c>
      <c r="B48" s="32"/>
      <c r="C48" s="88" t="s">
        <v>671</v>
      </c>
      <c r="D48" s="89"/>
    </row>
    <row r="49" spans="1:5" x14ac:dyDescent="0.2">
      <c r="A49" s="92"/>
      <c r="B49" s="93"/>
      <c r="C49" s="33" t="s">
        <v>672</v>
      </c>
      <c r="D49" s="33" t="s">
        <v>673</v>
      </c>
    </row>
    <row r="50" spans="1:5" x14ac:dyDescent="0.2">
      <c r="A50" s="34" t="s">
        <v>667</v>
      </c>
      <c r="B50" s="35"/>
      <c r="C50" s="36">
        <v>0.55825009250000002</v>
      </c>
      <c r="D50" s="36">
        <v>0.51694236780000002</v>
      </c>
    </row>
    <row r="51" spans="1:5" x14ac:dyDescent="0.2">
      <c r="A51" s="34" t="s">
        <v>1222</v>
      </c>
      <c r="B51" s="35"/>
      <c r="C51" s="36">
        <v>0.29533230700000002</v>
      </c>
      <c r="D51" s="36">
        <v>0.2734791882</v>
      </c>
    </row>
    <row r="52" spans="1:5" x14ac:dyDescent="0.2">
      <c r="A52" s="4"/>
      <c r="D52" s="30"/>
    </row>
    <row r="54" spans="1:5" x14ac:dyDescent="0.2">
      <c r="A54" s="4" t="s">
        <v>770</v>
      </c>
      <c r="D54" s="29">
        <v>2.1255010450658136</v>
      </c>
      <c r="E54" s="1" t="s">
        <v>1302</v>
      </c>
    </row>
    <row r="56" spans="1:5" x14ac:dyDescent="0.2">
      <c r="A56" s="4" t="s">
        <v>1989</v>
      </c>
      <c r="D56" s="53" t="s">
        <v>110</v>
      </c>
    </row>
  </sheetData>
  <mergeCells count="3">
    <mergeCell ref="A1:F1"/>
    <mergeCell ref="C48:D48"/>
    <mergeCell ref="A49:B49"/>
  </mergeCells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9489-35ED-4799-A921-CAFC7B39C3AA}">
  <sheetPr codeName="Sheet43"/>
  <dimension ref="A1:F58"/>
  <sheetViews>
    <sheetView showGridLines="0" zoomScaleNormal="10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5.8554687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1318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1288</v>
      </c>
      <c r="B8" s="45" t="s">
        <v>1883</v>
      </c>
      <c r="C8" s="45" t="s">
        <v>925</v>
      </c>
      <c r="D8" s="14">
        <v>26</v>
      </c>
      <c r="E8" s="7">
        <v>292.36532</v>
      </c>
      <c r="F8" s="7">
        <v>11.618202073368</v>
      </c>
    </row>
    <row r="9" spans="1:6" x14ac:dyDescent="0.2">
      <c r="A9" s="45" t="s">
        <v>957</v>
      </c>
      <c r="B9" s="45" t="s">
        <v>1638</v>
      </c>
      <c r="C9" s="45" t="s">
        <v>686</v>
      </c>
      <c r="D9" s="14">
        <v>28</v>
      </c>
      <c r="E9" s="7">
        <v>283.53332</v>
      </c>
      <c r="F9" s="7">
        <v>11.267230348294801</v>
      </c>
    </row>
    <row r="10" spans="1:6" x14ac:dyDescent="0.2">
      <c r="A10" s="45" t="s">
        <v>960</v>
      </c>
      <c r="B10" s="45" t="s">
        <v>1641</v>
      </c>
      <c r="C10" s="45" t="s">
        <v>917</v>
      </c>
      <c r="D10" s="14">
        <v>27</v>
      </c>
      <c r="E10" s="7">
        <v>278.05113</v>
      </c>
      <c r="F10" s="7">
        <v>11.0493755383447</v>
      </c>
    </row>
    <row r="11" spans="1:6" x14ac:dyDescent="0.2">
      <c r="A11" s="45" t="s">
        <v>951</v>
      </c>
      <c r="B11" s="45" t="s">
        <v>1633</v>
      </c>
      <c r="C11" s="45" t="s">
        <v>917</v>
      </c>
      <c r="D11" s="14">
        <v>26</v>
      </c>
      <c r="E11" s="7">
        <v>272.08843999999999</v>
      </c>
      <c r="F11" s="7">
        <v>10.8124263087957</v>
      </c>
    </row>
    <row r="12" spans="1:6" x14ac:dyDescent="0.2">
      <c r="A12" s="45" t="s">
        <v>1276</v>
      </c>
      <c r="B12" s="45" t="s">
        <v>1871</v>
      </c>
      <c r="C12" s="45" t="s">
        <v>686</v>
      </c>
      <c r="D12" s="14">
        <v>26</v>
      </c>
      <c r="E12" s="7">
        <v>270.39116000000001</v>
      </c>
      <c r="F12" s="7">
        <v>10.744978699020701</v>
      </c>
    </row>
    <row r="13" spans="1:6" x14ac:dyDescent="0.2">
      <c r="A13" s="45" t="s">
        <v>716</v>
      </c>
      <c r="B13" s="45" t="s">
        <v>1456</v>
      </c>
      <c r="C13" s="45" t="s">
        <v>686</v>
      </c>
      <c r="D13" s="14">
        <v>26</v>
      </c>
      <c r="E13" s="7">
        <v>270.36178000000001</v>
      </c>
      <c r="F13" s="7">
        <v>10.743811177589301</v>
      </c>
    </row>
    <row r="14" spans="1:6" x14ac:dyDescent="0.2">
      <c r="A14" s="45" t="s">
        <v>1315</v>
      </c>
      <c r="B14" s="45" t="s">
        <v>1900</v>
      </c>
      <c r="C14" s="45" t="s">
        <v>925</v>
      </c>
      <c r="D14" s="14">
        <v>26</v>
      </c>
      <c r="E14" s="7">
        <v>265.94152000000003</v>
      </c>
      <c r="F14" s="7">
        <v>10.568156028419001</v>
      </c>
    </row>
    <row r="15" spans="1:6" x14ac:dyDescent="0.2">
      <c r="A15" s="45" t="s">
        <v>953</v>
      </c>
      <c r="B15" s="45" t="s">
        <v>1635</v>
      </c>
      <c r="C15" s="45" t="s">
        <v>925</v>
      </c>
      <c r="D15" s="14">
        <v>24</v>
      </c>
      <c r="E15" s="7">
        <v>243.5436</v>
      </c>
      <c r="F15" s="7">
        <v>9.6780930052699397</v>
      </c>
    </row>
    <row r="16" spans="1:6" x14ac:dyDescent="0.2">
      <c r="A16" s="45" t="s">
        <v>1314</v>
      </c>
      <c r="B16" s="45" t="s">
        <v>1899</v>
      </c>
      <c r="C16" s="45" t="s">
        <v>686</v>
      </c>
      <c r="D16" s="14">
        <v>10</v>
      </c>
      <c r="E16" s="7">
        <v>109.8805</v>
      </c>
      <c r="F16" s="7">
        <v>4.3665023366065201</v>
      </c>
    </row>
    <row r="17" spans="1:6" x14ac:dyDescent="0.2">
      <c r="A17" s="45" t="s">
        <v>1299</v>
      </c>
      <c r="B17" s="45" t="s">
        <v>1889</v>
      </c>
      <c r="C17" s="45" t="s">
        <v>686</v>
      </c>
      <c r="D17" s="14">
        <v>2</v>
      </c>
      <c r="E17" s="7">
        <v>22.739439999999998</v>
      </c>
      <c r="F17" s="7">
        <v>0.90363456567019396</v>
      </c>
    </row>
    <row r="18" spans="1:6" x14ac:dyDescent="0.2">
      <c r="A18" s="45" t="s">
        <v>1310</v>
      </c>
      <c r="B18" s="45" t="s">
        <v>1897</v>
      </c>
      <c r="C18" s="45" t="s">
        <v>925</v>
      </c>
      <c r="D18" s="14">
        <v>2</v>
      </c>
      <c r="E18" s="7">
        <v>20.76736</v>
      </c>
      <c r="F18" s="7">
        <v>0.82526677586240305</v>
      </c>
    </row>
    <row r="19" spans="1:6" x14ac:dyDescent="0.2">
      <c r="A19" s="45" t="s">
        <v>1285</v>
      </c>
      <c r="B19" s="45" t="s">
        <v>1880</v>
      </c>
      <c r="C19" s="45" t="s">
        <v>686</v>
      </c>
      <c r="D19" s="14">
        <v>1</v>
      </c>
      <c r="E19" s="7">
        <v>10.35042</v>
      </c>
      <c r="F19" s="7">
        <v>0.41131168055167999</v>
      </c>
    </row>
    <row r="20" spans="1:6" x14ac:dyDescent="0.2">
      <c r="A20" s="26" t="s">
        <v>44</v>
      </c>
      <c r="B20" s="45"/>
      <c r="C20" s="45"/>
      <c r="D20" s="45"/>
      <c r="E20" s="6">
        <f>SUM(E8:E19)</f>
        <v>2340.0139899999999</v>
      </c>
      <c r="F20" s="6">
        <f>SUM(F8:F19)</f>
        <v>92.98898853779292</v>
      </c>
    </row>
    <row r="21" spans="1:6" x14ac:dyDescent="0.2">
      <c r="A21" s="45"/>
      <c r="B21" s="45"/>
      <c r="C21" s="45"/>
      <c r="D21" s="45"/>
      <c r="E21" s="7"/>
      <c r="F21" s="7"/>
    </row>
    <row r="22" spans="1:6" x14ac:dyDescent="0.2">
      <c r="A22" s="26" t="s">
        <v>44</v>
      </c>
      <c r="B22" s="45"/>
      <c r="C22" s="45"/>
      <c r="D22" s="45"/>
      <c r="E22" s="6">
        <v>2340.0139899999999</v>
      </c>
      <c r="F22" s="6">
        <v>92.98898853779292</v>
      </c>
    </row>
    <row r="23" spans="1:6" x14ac:dyDescent="0.2">
      <c r="A23" s="45"/>
      <c r="B23" s="45"/>
      <c r="C23" s="45"/>
      <c r="D23" s="45"/>
      <c r="E23" s="7"/>
      <c r="F23" s="7"/>
    </row>
    <row r="24" spans="1:6" x14ac:dyDescent="0.2">
      <c r="A24" s="26" t="s">
        <v>103</v>
      </c>
      <c r="B24" s="45"/>
      <c r="C24" s="45"/>
      <c r="D24" s="45"/>
      <c r="E24" s="6">
        <v>176.43202909999999</v>
      </c>
      <c r="F24" s="6">
        <v>7.01</v>
      </c>
    </row>
    <row r="25" spans="1:6" x14ac:dyDescent="0.2">
      <c r="A25" s="45"/>
      <c r="B25" s="45"/>
      <c r="C25" s="45"/>
      <c r="D25" s="45"/>
      <c r="E25" s="7"/>
      <c r="F25" s="7"/>
    </row>
    <row r="26" spans="1:6" x14ac:dyDescent="0.2">
      <c r="A26" s="46" t="s">
        <v>104</v>
      </c>
      <c r="B26" s="44"/>
      <c r="C26" s="44"/>
      <c r="D26" s="44"/>
      <c r="E26" s="8">
        <v>2516.4420291000001</v>
      </c>
      <c r="F26" s="8">
        <f xml:space="preserve"> ROUND(SUM(F22:F25),2)</f>
        <v>100</v>
      </c>
    </row>
    <row r="27" spans="1:6" x14ac:dyDescent="0.2">
      <c r="A27" s="4" t="s">
        <v>1983</v>
      </c>
    </row>
    <row r="28" spans="1:6" x14ac:dyDescent="0.2">
      <c r="A28" s="4"/>
    </row>
    <row r="29" spans="1:6" x14ac:dyDescent="0.2">
      <c r="A29" s="4" t="s">
        <v>105</v>
      </c>
    </row>
    <row r="30" spans="1:6" x14ac:dyDescent="0.2">
      <c r="A30" s="4" t="s">
        <v>769</v>
      </c>
    </row>
    <row r="31" spans="1:6" x14ac:dyDescent="0.2">
      <c r="A31" s="4" t="s">
        <v>107</v>
      </c>
      <c r="D31" s="11"/>
    </row>
    <row r="32" spans="1:6" x14ac:dyDescent="0.2">
      <c r="A32" s="2" t="s">
        <v>666</v>
      </c>
      <c r="D32" s="63">
        <v>10.744899999999999</v>
      </c>
    </row>
    <row r="33" spans="1:4" x14ac:dyDescent="0.2">
      <c r="A33" s="2" t="s">
        <v>667</v>
      </c>
      <c r="D33" s="63">
        <v>10.744899999999999</v>
      </c>
    </row>
    <row r="34" spans="1:4" x14ac:dyDescent="0.2">
      <c r="A34" s="2" t="s">
        <v>1222</v>
      </c>
      <c r="D34" s="63">
        <v>10.3757</v>
      </c>
    </row>
    <row r="35" spans="1:4" x14ac:dyDescent="0.2">
      <c r="A35" s="2" t="s">
        <v>668</v>
      </c>
      <c r="D35" s="63">
        <v>10.7637</v>
      </c>
    </row>
    <row r="36" spans="1:4" x14ac:dyDescent="0.2">
      <c r="A36" s="2" t="s">
        <v>669</v>
      </c>
      <c r="D36" s="63">
        <v>10.7637</v>
      </c>
    </row>
    <row r="37" spans="1:4" x14ac:dyDescent="0.2">
      <c r="A37" s="2" t="s">
        <v>1224</v>
      </c>
      <c r="D37" s="63">
        <v>10.394299999999999</v>
      </c>
    </row>
    <row r="39" spans="1:4" x14ac:dyDescent="0.2">
      <c r="A39" s="4" t="s">
        <v>108</v>
      </c>
    </row>
    <row r="40" spans="1:4" x14ac:dyDescent="0.2">
      <c r="A40" s="2" t="s">
        <v>666</v>
      </c>
      <c r="D40" s="10">
        <v>11.2933</v>
      </c>
    </row>
    <row r="41" spans="1:4" x14ac:dyDescent="0.2">
      <c r="A41" s="2" t="s">
        <v>667</v>
      </c>
      <c r="D41" s="10">
        <v>10.4932</v>
      </c>
    </row>
    <row r="42" spans="1:4" x14ac:dyDescent="0.2">
      <c r="A42" s="2" t="s">
        <v>1222</v>
      </c>
      <c r="D42" s="10">
        <v>10.4848</v>
      </c>
    </row>
    <row r="43" spans="1:4" x14ac:dyDescent="0.2">
      <c r="A43" s="2" t="s">
        <v>668</v>
      </c>
      <c r="D43" s="10">
        <v>11.33</v>
      </c>
    </row>
    <row r="44" spans="1:4" x14ac:dyDescent="0.2">
      <c r="A44" s="2" t="s">
        <v>669</v>
      </c>
      <c r="D44" s="10">
        <v>10.529500000000001</v>
      </c>
    </row>
    <row r="45" spans="1:4" x14ac:dyDescent="0.2">
      <c r="A45" s="2" t="s">
        <v>1224</v>
      </c>
      <c r="D45" s="10">
        <v>10.520300000000001</v>
      </c>
    </row>
    <row r="47" spans="1:4" x14ac:dyDescent="0.2">
      <c r="A47" s="4" t="s">
        <v>109</v>
      </c>
      <c r="D47" s="30" t="s">
        <v>325</v>
      </c>
    </row>
    <row r="48" spans="1:4" x14ac:dyDescent="0.2">
      <c r="A48" s="31" t="s">
        <v>670</v>
      </c>
      <c r="B48" s="32"/>
      <c r="C48" s="88" t="s">
        <v>671</v>
      </c>
      <c r="D48" s="89"/>
    </row>
    <row r="49" spans="1:5" x14ac:dyDescent="0.2">
      <c r="A49" s="92"/>
      <c r="B49" s="93"/>
      <c r="C49" s="33" t="s">
        <v>672</v>
      </c>
      <c r="D49" s="33" t="s">
        <v>673</v>
      </c>
    </row>
    <row r="50" spans="1:5" x14ac:dyDescent="0.2">
      <c r="A50" s="34" t="s">
        <v>667</v>
      </c>
      <c r="B50" s="35"/>
      <c r="C50" s="36">
        <v>0.56905493299999999</v>
      </c>
      <c r="D50" s="36">
        <v>0.52694770390000001</v>
      </c>
    </row>
    <row r="51" spans="1:5" x14ac:dyDescent="0.2">
      <c r="A51" s="34" t="s">
        <v>1222</v>
      </c>
      <c r="B51" s="35"/>
      <c r="C51" s="36">
        <v>0.29533230700000002</v>
      </c>
      <c r="D51" s="36">
        <v>0.27347918810000005</v>
      </c>
    </row>
    <row r="52" spans="1:5" x14ac:dyDescent="0.2">
      <c r="A52" s="34" t="s">
        <v>669</v>
      </c>
      <c r="B52" s="35"/>
      <c r="C52" s="36">
        <v>0.56905493299999999</v>
      </c>
      <c r="D52" s="36">
        <v>0.52694770390000001</v>
      </c>
    </row>
    <row r="53" spans="1:5" x14ac:dyDescent="0.2">
      <c r="A53" s="34" t="s">
        <v>1224</v>
      </c>
      <c r="B53" s="35"/>
      <c r="C53" s="36">
        <v>0.29533230700000002</v>
      </c>
      <c r="D53" s="36">
        <v>0.27347918810000005</v>
      </c>
    </row>
    <row r="54" spans="1:5" x14ac:dyDescent="0.2">
      <c r="A54" s="4"/>
      <c r="D54" s="30"/>
    </row>
    <row r="56" spans="1:5" x14ac:dyDescent="0.2">
      <c r="A56" s="4" t="s">
        <v>770</v>
      </c>
      <c r="D56" s="29">
        <v>2.0237678551185523</v>
      </c>
      <c r="E56" s="1" t="s">
        <v>1302</v>
      </c>
    </row>
    <row r="58" spans="1:5" x14ac:dyDescent="0.2">
      <c r="A58" s="4" t="s">
        <v>1989</v>
      </c>
      <c r="D58" s="53" t="s">
        <v>110</v>
      </c>
    </row>
  </sheetData>
  <mergeCells count="3">
    <mergeCell ref="A1:F1"/>
    <mergeCell ref="C48:D48"/>
    <mergeCell ref="A49:B49"/>
  </mergeCells>
  <pageMargins left="0.7" right="0.7" top="0.75" bottom="0.75" header="0.3" footer="0.3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AFDE-172A-406D-8439-055AF0168224}">
  <sheetPr codeName="Sheet44"/>
  <dimension ref="A1:F65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5.85546875" style="2" bestFit="1" customWidth="1"/>
    <col min="3" max="3" width="12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1319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1288</v>
      </c>
      <c r="B8" s="45" t="s">
        <v>1883</v>
      </c>
      <c r="C8" s="45" t="s">
        <v>925</v>
      </c>
      <c r="D8" s="14">
        <v>50</v>
      </c>
      <c r="E8" s="7">
        <v>562.24099999999999</v>
      </c>
      <c r="F8" s="7">
        <v>11.6927231894618</v>
      </c>
    </row>
    <row r="9" spans="1:6" x14ac:dyDescent="0.2">
      <c r="A9" s="45" t="s">
        <v>1276</v>
      </c>
      <c r="B9" s="45" t="s">
        <v>1871</v>
      </c>
      <c r="C9" s="45" t="s">
        <v>686</v>
      </c>
      <c r="D9" s="14">
        <v>50</v>
      </c>
      <c r="E9" s="7">
        <v>519.98299999999995</v>
      </c>
      <c r="F9" s="7">
        <v>10.813898812477101</v>
      </c>
    </row>
    <row r="10" spans="1:6" x14ac:dyDescent="0.2">
      <c r="A10" s="45" t="s">
        <v>955</v>
      </c>
      <c r="B10" s="45" t="s">
        <v>1637</v>
      </c>
      <c r="C10" s="45" t="s">
        <v>956</v>
      </c>
      <c r="D10" s="14">
        <v>48</v>
      </c>
      <c r="E10" s="7">
        <v>515.54880000000003</v>
      </c>
      <c r="F10" s="7">
        <v>10.7216823551808</v>
      </c>
    </row>
    <row r="11" spans="1:6" x14ac:dyDescent="0.2">
      <c r="A11" s="45" t="s">
        <v>960</v>
      </c>
      <c r="B11" s="45" t="s">
        <v>1641</v>
      </c>
      <c r="C11" s="45" t="s">
        <v>917</v>
      </c>
      <c r="D11" s="14">
        <v>50</v>
      </c>
      <c r="E11" s="7">
        <v>514.90949999999998</v>
      </c>
      <c r="F11" s="7">
        <v>10.708387063775501</v>
      </c>
    </row>
    <row r="12" spans="1:6" x14ac:dyDescent="0.2">
      <c r="A12" s="45" t="s">
        <v>716</v>
      </c>
      <c r="B12" s="45" t="s">
        <v>1456</v>
      </c>
      <c r="C12" s="45" t="s">
        <v>686</v>
      </c>
      <c r="D12" s="14">
        <v>49</v>
      </c>
      <c r="E12" s="7">
        <v>509.52796999999998</v>
      </c>
      <c r="F12" s="7">
        <v>10.5964693263181</v>
      </c>
    </row>
    <row r="13" spans="1:6" x14ac:dyDescent="0.2">
      <c r="A13" s="45" t="s">
        <v>1320</v>
      </c>
      <c r="B13" s="45" t="s">
        <v>1902</v>
      </c>
      <c r="C13" s="45" t="s">
        <v>686</v>
      </c>
      <c r="D13" s="14">
        <v>50</v>
      </c>
      <c r="E13" s="7">
        <v>508.30200000000002</v>
      </c>
      <c r="F13" s="7">
        <v>10.570973270625601</v>
      </c>
    </row>
    <row r="14" spans="1:6" x14ac:dyDescent="0.2">
      <c r="A14" s="45" t="s">
        <v>1321</v>
      </c>
      <c r="B14" s="45" t="s">
        <v>1903</v>
      </c>
      <c r="C14" s="45" t="s">
        <v>686</v>
      </c>
      <c r="D14" s="14">
        <v>50</v>
      </c>
      <c r="E14" s="7">
        <v>505.81950000000001</v>
      </c>
      <c r="F14" s="7">
        <v>10.519345613948399</v>
      </c>
    </row>
    <row r="15" spans="1:6" x14ac:dyDescent="0.2">
      <c r="A15" s="45" t="s">
        <v>1315</v>
      </c>
      <c r="B15" s="45" t="s">
        <v>1900</v>
      </c>
      <c r="C15" s="45" t="s">
        <v>925</v>
      </c>
      <c r="D15" s="14">
        <v>15</v>
      </c>
      <c r="E15" s="7">
        <v>153.42779999999999</v>
      </c>
      <c r="F15" s="7">
        <v>3.19078259139427</v>
      </c>
    </row>
    <row r="16" spans="1:6" x14ac:dyDescent="0.2">
      <c r="A16" s="45" t="s">
        <v>1310</v>
      </c>
      <c r="B16" s="45" t="s">
        <v>1897</v>
      </c>
      <c r="C16" s="45" t="s">
        <v>925</v>
      </c>
      <c r="D16" s="14">
        <v>6</v>
      </c>
      <c r="E16" s="7">
        <v>62.302079999999997</v>
      </c>
      <c r="F16" s="7">
        <v>1.29567387573603</v>
      </c>
    </row>
    <row r="17" spans="1:6" x14ac:dyDescent="0.2">
      <c r="A17" s="45" t="s">
        <v>951</v>
      </c>
      <c r="B17" s="45" t="s">
        <v>1633</v>
      </c>
      <c r="C17" s="45" t="s">
        <v>917</v>
      </c>
      <c r="D17" s="14">
        <v>4</v>
      </c>
      <c r="E17" s="7">
        <v>41.859760000000001</v>
      </c>
      <c r="F17" s="7">
        <v>0.87054232341167803</v>
      </c>
    </row>
    <row r="18" spans="1:6" x14ac:dyDescent="0.2">
      <c r="A18" s="45" t="s">
        <v>1285</v>
      </c>
      <c r="B18" s="45" t="s">
        <v>1880</v>
      </c>
      <c r="C18" s="45" t="s">
        <v>686</v>
      </c>
      <c r="D18" s="14">
        <v>4</v>
      </c>
      <c r="E18" s="7">
        <v>41.401679999999999</v>
      </c>
      <c r="F18" s="7">
        <v>0.86101579895218705</v>
      </c>
    </row>
    <row r="19" spans="1:6" x14ac:dyDescent="0.2">
      <c r="A19" s="45" t="s">
        <v>1297</v>
      </c>
      <c r="B19" s="45" t="s">
        <v>1887</v>
      </c>
      <c r="C19" s="45" t="s">
        <v>686</v>
      </c>
      <c r="D19" s="14">
        <v>3</v>
      </c>
      <c r="E19" s="7">
        <v>34.644660000000002</v>
      </c>
      <c r="F19" s="7">
        <v>0.72049249231738599</v>
      </c>
    </row>
    <row r="20" spans="1:6" x14ac:dyDescent="0.2">
      <c r="A20" s="45" t="s">
        <v>1299</v>
      </c>
      <c r="B20" s="45" t="s">
        <v>1889</v>
      </c>
      <c r="C20" s="45" t="s">
        <v>686</v>
      </c>
      <c r="D20" s="14">
        <v>3</v>
      </c>
      <c r="E20" s="7">
        <v>34.109160000000003</v>
      </c>
      <c r="F20" s="7">
        <v>0.70935589205529803</v>
      </c>
    </row>
    <row r="21" spans="1:6" x14ac:dyDescent="0.2">
      <c r="A21" s="45" t="s">
        <v>1305</v>
      </c>
      <c r="B21" s="45" t="s">
        <v>1893</v>
      </c>
      <c r="C21" s="45" t="s">
        <v>1020</v>
      </c>
      <c r="D21" s="14">
        <v>3</v>
      </c>
      <c r="E21" s="7">
        <v>33.216389999999997</v>
      </c>
      <c r="F21" s="7">
        <v>0.69078927652591404</v>
      </c>
    </row>
    <row r="22" spans="1:6" x14ac:dyDescent="0.2">
      <c r="A22" s="45" t="s">
        <v>1274</v>
      </c>
      <c r="B22" s="45" t="s">
        <v>1869</v>
      </c>
      <c r="C22" s="45" t="s">
        <v>917</v>
      </c>
      <c r="D22" s="14">
        <v>2</v>
      </c>
      <c r="E22" s="7">
        <v>20.855879999999999</v>
      </c>
      <c r="F22" s="7">
        <v>0.43373221040911702</v>
      </c>
    </row>
    <row r="23" spans="1:6" x14ac:dyDescent="0.2">
      <c r="A23" s="45" t="s">
        <v>922</v>
      </c>
      <c r="B23" s="45" t="s">
        <v>1606</v>
      </c>
      <c r="C23" s="45" t="s">
        <v>923</v>
      </c>
      <c r="D23" s="14">
        <v>1</v>
      </c>
      <c r="E23" s="7">
        <v>10.102449999999999</v>
      </c>
      <c r="F23" s="7">
        <v>0.210097007129288</v>
      </c>
    </row>
    <row r="24" spans="1:6" x14ac:dyDescent="0.2">
      <c r="A24" s="26" t="s">
        <v>44</v>
      </c>
      <c r="B24" s="45"/>
      <c r="C24" s="45"/>
      <c r="D24" s="14"/>
      <c r="E24" s="6">
        <f>SUM(E8:E23)</f>
        <v>4068.2516299999997</v>
      </c>
      <c r="F24" s="6">
        <f>SUM(F8:F23)</f>
        <v>84.605961099718485</v>
      </c>
    </row>
    <row r="25" spans="1:6" x14ac:dyDescent="0.2">
      <c r="A25" s="45"/>
      <c r="B25" s="45"/>
      <c r="C25" s="45"/>
      <c r="D25" s="14"/>
      <c r="E25" s="7"/>
      <c r="F25" s="7"/>
    </row>
    <row r="26" spans="1:6" x14ac:dyDescent="0.2">
      <c r="A26" s="26" t="s">
        <v>732</v>
      </c>
      <c r="B26" s="45"/>
      <c r="C26" s="45"/>
      <c r="D26" s="14"/>
      <c r="E26" s="7"/>
      <c r="F26" s="7"/>
    </row>
    <row r="27" spans="1:6" x14ac:dyDescent="0.2">
      <c r="A27" s="45" t="s">
        <v>1322</v>
      </c>
      <c r="B27" s="45" t="s">
        <v>1904</v>
      </c>
      <c r="C27" s="45" t="s">
        <v>686</v>
      </c>
      <c r="D27" s="14">
        <v>50</v>
      </c>
      <c r="E27" s="7">
        <v>501.55399999999997</v>
      </c>
      <c r="F27" s="7">
        <v>10.4306375496759</v>
      </c>
    </row>
    <row r="28" spans="1:6" x14ac:dyDescent="0.2">
      <c r="A28" s="26" t="s">
        <v>44</v>
      </c>
      <c r="B28" s="45"/>
      <c r="C28" s="45"/>
      <c r="D28" s="45"/>
      <c r="E28" s="6">
        <f>SUM(E27:E27)</f>
        <v>501.55399999999997</v>
      </c>
      <c r="F28" s="6">
        <f>SUM(F27:F27)</f>
        <v>10.4306375496759</v>
      </c>
    </row>
    <row r="29" spans="1:6" x14ac:dyDescent="0.2">
      <c r="A29" s="45"/>
      <c r="B29" s="45"/>
      <c r="C29" s="45"/>
      <c r="D29" s="45"/>
      <c r="E29" s="7"/>
      <c r="F29" s="7"/>
    </row>
    <row r="30" spans="1:6" x14ac:dyDescent="0.2">
      <c r="A30" s="26" t="s">
        <v>44</v>
      </c>
      <c r="B30" s="45"/>
      <c r="C30" s="45"/>
      <c r="D30" s="45"/>
      <c r="E30" s="6">
        <v>4569.8056299999998</v>
      </c>
      <c r="F30" s="6">
        <v>95.036598649394392</v>
      </c>
    </row>
    <row r="31" spans="1:6" x14ac:dyDescent="0.2">
      <c r="A31" s="45"/>
      <c r="B31" s="45"/>
      <c r="C31" s="45"/>
      <c r="D31" s="45"/>
      <c r="E31" s="7"/>
      <c r="F31" s="7"/>
    </row>
    <row r="32" spans="1:6" x14ac:dyDescent="0.2">
      <c r="A32" s="26" t="s">
        <v>103</v>
      </c>
      <c r="B32" s="45"/>
      <c r="C32" s="45"/>
      <c r="D32" s="45"/>
      <c r="E32" s="6">
        <v>238.65925809999999</v>
      </c>
      <c r="F32" s="6">
        <v>4.96</v>
      </c>
    </row>
    <row r="33" spans="1:6" x14ac:dyDescent="0.2">
      <c r="A33" s="45"/>
      <c r="B33" s="45"/>
      <c r="C33" s="45"/>
      <c r="D33" s="45"/>
      <c r="E33" s="7"/>
      <c r="F33" s="7"/>
    </row>
    <row r="34" spans="1:6" x14ac:dyDescent="0.2">
      <c r="A34" s="46" t="s">
        <v>104</v>
      </c>
      <c r="B34" s="44"/>
      <c r="C34" s="44"/>
      <c r="D34" s="44"/>
      <c r="E34" s="8">
        <v>4808.4692580999999</v>
      </c>
      <c r="F34" s="8">
        <f xml:space="preserve"> ROUND(SUM(F30:F33),2)</f>
        <v>100</v>
      </c>
    </row>
    <row r="35" spans="1:6" x14ac:dyDescent="0.2">
      <c r="A35" s="4" t="s">
        <v>1983</v>
      </c>
    </row>
    <row r="36" spans="1:6" x14ac:dyDescent="0.2">
      <c r="A36" s="4"/>
    </row>
    <row r="37" spans="1:6" x14ac:dyDescent="0.2">
      <c r="A37" s="4" t="s">
        <v>105</v>
      </c>
    </row>
    <row r="38" spans="1:6" x14ac:dyDescent="0.2">
      <c r="A38" s="4" t="s">
        <v>769</v>
      </c>
    </row>
    <row r="39" spans="1:6" x14ac:dyDescent="0.2">
      <c r="A39" s="4" t="s">
        <v>107</v>
      </c>
      <c r="D39" s="11"/>
    </row>
    <row r="40" spans="1:6" x14ac:dyDescent="0.2">
      <c r="A40" s="2" t="s">
        <v>666</v>
      </c>
      <c r="D40" s="63">
        <v>10.7294</v>
      </c>
    </row>
    <row r="41" spans="1:6" x14ac:dyDescent="0.2">
      <c r="A41" s="2" t="s">
        <v>667</v>
      </c>
      <c r="D41" s="63">
        <v>10.7294</v>
      </c>
    </row>
    <row r="42" spans="1:6" x14ac:dyDescent="0.2">
      <c r="A42" s="2" t="s">
        <v>1222</v>
      </c>
      <c r="D42" s="63">
        <v>10.360099999999999</v>
      </c>
    </row>
    <row r="43" spans="1:6" x14ac:dyDescent="0.2">
      <c r="A43" s="2" t="s">
        <v>668</v>
      </c>
      <c r="D43" s="63">
        <v>10.7988</v>
      </c>
    </row>
    <row r="44" spans="1:6" x14ac:dyDescent="0.2">
      <c r="A44" s="2" t="s">
        <v>669</v>
      </c>
      <c r="D44" s="63">
        <v>10.7988</v>
      </c>
    </row>
    <row r="45" spans="1:6" x14ac:dyDescent="0.2">
      <c r="A45" s="2" t="s">
        <v>1224</v>
      </c>
      <c r="D45" s="63">
        <v>10.4291</v>
      </c>
    </row>
    <row r="47" spans="1:6" x14ac:dyDescent="0.2">
      <c r="A47" s="4" t="s">
        <v>108</v>
      </c>
    </row>
    <row r="48" spans="1:6" x14ac:dyDescent="0.2">
      <c r="A48" s="2" t="s">
        <v>666</v>
      </c>
      <c r="D48" s="10">
        <v>11.2529</v>
      </c>
    </row>
    <row r="49" spans="1:5" x14ac:dyDescent="0.2">
      <c r="A49" s="2" t="s">
        <v>667</v>
      </c>
      <c r="D49" s="10">
        <v>10.4842</v>
      </c>
    </row>
    <row r="50" spans="1:5" x14ac:dyDescent="0.2">
      <c r="A50" s="2" t="s">
        <v>1222</v>
      </c>
      <c r="D50" s="10">
        <v>10.471399999999999</v>
      </c>
    </row>
    <row r="51" spans="1:5" x14ac:dyDescent="0.2">
      <c r="A51" s="2" t="s">
        <v>668</v>
      </c>
      <c r="D51" s="10">
        <v>11.3718</v>
      </c>
    </row>
    <row r="52" spans="1:5" x14ac:dyDescent="0.2">
      <c r="A52" s="2" t="s">
        <v>669</v>
      </c>
      <c r="D52" s="10">
        <v>10.5014</v>
      </c>
    </row>
    <row r="53" spans="1:5" x14ac:dyDescent="0.2">
      <c r="A53" s="2" t="s">
        <v>1224</v>
      </c>
      <c r="D53" s="10">
        <v>10.4971</v>
      </c>
    </row>
    <row r="55" spans="1:5" x14ac:dyDescent="0.2">
      <c r="A55" s="4" t="s">
        <v>109</v>
      </c>
      <c r="D55" s="30" t="s">
        <v>325</v>
      </c>
    </row>
    <row r="56" spans="1:5" x14ac:dyDescent="0.2">
      <c r="A56" s="31" t="s">
        <v>670</v>
      </c>
      <c r="B56" s="32"/>
      <c r="C56" s="88" t="s">
        <v>671</v>
      </c>
      <c r="D56" s="89"/>
    </row>
    <row r="57" spans="1:5" x14ac:dyDescent="0.2">
      <c r="A57" s="92"/>
      <c r="B57" s="93"/>
      <c r="C57" s="33" t="s">
        <v>672</v>
      </c>
      <c r="D57" s="33" t="s">
        <v>673</v>
      </c>
    </row>
    <row r="58" spans="1:5" x14ac:dyDescent="0.2">
      <c r="A58" s="34" t="s">
        <v>667</v>
      </c>
      <c r="B58" s="35"/>
      <c r="C58" s="36">
        <v>0.54744525200000005</v>
      </c>
      <c r="D58" s="36">
        <v>0.50693703160000003</v>
      </c>
    </row>
    <row r="59" spans="1:5" x14ac:dyDescent="0.2">
      <c r="A59" s="34" t="s">
        <v>1222</v>
      </c>
      <c r="B59" s="35"/>
      <c r="C59" s="36">
        <v>0.27732423950000001</v>
      </c>
      <c r="D59" s="36">
        <v>0.2568036279</v>
      </c>
    </row>
    <row r="60" spans="1:5" x14ac:dyDescent="0.2">
      <c r="A60" s="34" t="s">
        <v>669</v>
      </c>
      <c r="B60" s="35"/>
      <c r="C60" s="36">
        <v>0.61947752200000006</v>
      </c>
      <c r="D60" s="36">
        <v>0.57363927260000003</v>
      </c>
    </row>
    <row r="61" spans="1:5" x14ac:dyDescent="0.2">
      <c r="A61" s="34" t="s">
        <v>1224</v>
      </c>
      <c r="B61" s="35"/>
      <c r="C61" s="36">
        <v>0.34215328249999999</v>
      </c>
      <c r="D61" s="36">
        <v>0.31683564480000004</v>
      </c>
    </row>
    <row r="63" spans="1:5" x14ac:dyDescent="0.2">
      <c r="A63" s="4" t="s">
        <v>770</v>
      </c>
      <c r="D63" s="29">
        <v>2.0820783477039386</v>
      </c>
      <c r="E63" s="1" t="s">
        <v>771</v>
      </c>
    </row>
    <row r="65" spans="1:4" x14ac:dyDescent="0.2">
      <c r="A65" s="4" t="s">
        <v>1989</v>
      </c>
      <c r="D65" s="53" t="s">
        <v>110</v>
      </c>
    </row>
  </sheetData>
  <mergeCells count="3">
    <mergeCell ref="A1:F1"/>
    <mergeCell ref="C56:D56"/>
    <mergeCell ref="A57:B5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CC07-15CF-4045-89BA-C70FAA6EE248}">
  <sheetPr codeName="Sheet45"/>
  <dimension ref="A1:F59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4.710937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1323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1283</v>
      </c>
      <c r="B8" s="45" t="s">
        <v>1878</v>
      </c>
      <c r="C8" s="45" t="s">
        <v>917</v>
      </c>
      <c r="D8" s="14">
        <v>31</v>
      </c>
      <c r="E8" s="7">
        <v>322.00567999999998</v>
      </c>
      <c r="F8" s="7">
        <v>10.8056676352001</v>
      </c>
    </row>
    <row r="9" spans="1:6" x14ac:dyDescent="0.2">
      <c r="A9" s="45" t="s">
        <v>1324</v>
      </c>
      <c r="B9" s="45" t="s">
        <v>1905</v>
      </c>
      <c r="C9" s="45" t="s">
        <v>686</v>
      </c>
      <c r="D9" s="14">
        <v>31</v>
      </c>
      <c r="E9" s="7">
        <v>318.37340999999998</v>
      </c>
      <c r="F9" s="7">
        <v>10.6837781629979</v>
      </c>
    </row>
    <row r="10" spans="1:6" x14ac:dyDescent="0.2">
      <c r="A10" s="45" t="s">
        <v>1281</v>
      </c>
      <c r="B10" s="45" t="s">
        <v>1876</v>
      </c>
      <c r="C10" s="45" t="s">
        <v>686</v>
      </c>
      <c r="D10" s="14">
        <v>31</v>
      </c>
      <c r="E10" s="7">
        <v>314.07742999999999</v>
      </c>
      <c r="F10" s="7">
        <v>10.5396163207364</v>
      </c>
    </row>
    <row r="11" spans="1:6" x14ac:dyDescent="0.2">
      <c r="A11" s="45" t="s">
        <v>716</v>
      </c>
      <c r="B11" s="45" t="s">
        <v>1456</v>
      </c>
      <c r="C11" s="45" t="s">
        <v>686</v>
      </c>
      <c r="D11" s="14">
        <v>30</v>
      </c>
      <c r="E11" s="7">
        <v>311.95589999999999</v>
      </c>
      <c r="F11" s="7">
        <v>10.468423327935501</v>
      </c>
    </row>
    <row r="12" spans="1:6" x14ac:dyDescent="0.2">
      <c r="A12" s="45" t="s">
        <v>1261</v>
      </c>
      <c r="B12" s="45" t="s">
        <v>1858</v>
      </c>
      <c r="C12" s="45" t="s">
        <v>917</v>
      </c>
      <c r="D12" s="14">
        <v>26</v>
      </c>
      <c r="E12" s="7">
        <v>262.52017999999998</v>
      </c>
      <c r="F12" s="7">
        <v>8.8094899835708205</v>
      </c>
    </row>
    <row r="13" spans="1:6" x14ac:dyDescent="0.2">
      <c r="A13" s="45" t="s">
        <v>1022</v>
      </c>
      <c r="B13" s="45" t="s">
        <v>1688</v>
      </c>
      <c r="C13" s="45" t="s">
        <v>686</v>
      </c>
      <c r="D13" s="14">
        <v>22</v>
      </c>
      <c r="E13" s="7">
        <v>225.47976</v>
      </c>
      <c r="F13" s="7">
        <v>7.5665104572835196</v>
      </c>
    </row>
    <row r="14" spans="1:6" x14ac:dyDescent="0.2">
      <c r="A14" s="45" t="s">
        <v>1325</v>
      </c>
      <c r="B14" s="45" t="s">
        <v>1906</v>
      </c>
      <c r="C14" s="45" t="s">
        <v>917</v>
      </c>
      <c r="D14" s="14">
        <v>19</v>
      </c>
      <c r="E14" s="7">
        <v>196.73094</v>
      </c>
      <c r="F14" s="7">
        <v>6.6017753202381302</v>
      </c>
    </row>
    <row r="15" spans="1:6" x14ac:dyDescent="0.2">
      <c r="A15" s="45" t="s">
        <v>1326</v>
      </c>
      <c r="B15" s="45" t="s">
        <v>1907</v>
      </c>
      <c r="C15" s="45" t="s">
        <v>686</v>
      </c>
      <c r="D15" s="14">
        <v>19</v>
      </c>
      <c r="E15" s="7">
        <v>196.01521</v>
      </c>
      <c r="F15" s="7">
        <v>6.5777572951631003</v>
      </c>
    </row>
    <row r="16" spans="1:6" x14ac:dyDescent="0.2">
      <c r="A16" s="45" t="s">
        <v>1278</v>
      </c>
      <c r="B16" s="45" t="s">
        <v>1873</v>
      </c>
      <c r="C16" s="45" t="s">
        <v>917</v>
      </c>
      <c r="D16" s="14">
        <v>16</v>
      </c>
      <c r="E16" s="7">
        <v>181.27744000000001</v>
      </c>
      <c r="F16" s="7">
        <v>6.0831963162883698</v>
      </c>
    </row>
    <row r="17" spans="1:6" x14ac:dyDescent="0.2">
      <c r="A17" s="45" t="s">
        <v>1327</v>
      </c>
      <c r="B17" s="45" t="s">
        <v>1908</v>
      </c>
      <c r="C17" s="45" t="s">
        <v>686</v>
      </c>
      <c r="D17" s="14">
        <v>20</v>
      </c>
      <c r="E17" s="7">
        <v>177.00319999999999</v>
      </c>
      <c r="F17" s="7">
        <v>5.9397640115132599</v>
      </c>
    </row>
    <row r="18" spans="1:6" x14ac:dyDescent="0.2">
      <c r="A18" s="45" t="s">
        <v>1328</v>
      </c>
      <c r="B18" s="45" t="s">
        <v>1909</v>
      </c>
      <c r="C18" s="45" t="s">
        <v>686</v>
      </c>
      <c r="D18" s="14">
        <v>16</v>
      </c>
      <c r="E18" s="7">
        <v>161.09343999999999</v>
      </c>
      <c r="F18" s="7">
        <v>5.4058741164163697</v>
      </c>
    </row>
    <row r="19" spans="1:6" x14ac:dyDescent="0.2">
      <c r="A19" s="45" t="s">
        <v>1262</v>
      </c>
      <c r="B19" s="45" t="s">
        <v>1859</v>
      </c>
      <c r="C19" s="45" t="s">
        <v>686</v>
      </c>
      <c r="D19" s="14">
        <v>1</v>
      </c>
      <c r="E19" s="7">
        <v>102.25490000000001</v>
      </c>
      <c r="F19" s="7">
        <v>3.4314067486965598</v>
      </c>
    </row>
    <row r="20" spans="1:6" x14ac:dyDescent="0.2">
      <c r="A20" s="45" t="s">
        <v>1329</v>
      </c>
      <c r="B20" s="45" t="s">
        <v>1910</v>
      </c>
      <c r="C20" s="45" t="s">
        <v>1020</v>
      </c>
      <c r="D20" s="14">
        <v>7</v>
      </c>
      <c r="E20" s="7">
        <v>78.48057</v>
      </c>
      <c r="F20" s="7">
        <v>2.6336024732267398</v>
      </c>
    </row>
    <row r="21" spans="1:6" x14ac:dyDescent="0.2">
      <c r="A21" s="26" t="s">
        <v>44</v>
      </c>
      <c r="B21" s="45"/>
      <c r="C21" s="45"/>
      <c r="D21" s="14"/>
      <c r="E21" s="6">
        <f>SUM(E8:E20)</f>
        <v>2847.2680599999999</v>
      </c>
      <c r="F21" s="6">
        <f>SUM(F8:F20)</f>
        <v>95.546862169266774</v>
      </c>
    </row>
    <row r="22" spans="1:6" x14ac:dyDescent="0.2">
      <c r="A22" s="45"/>
      <c r="B22" s="45"/>
      <c r="C22" s="45"/>
      <c r="D22" s="14"/>
      <c r="E22" s="7"/>
      <c r="F22" s="7"/>
    </row>
    <row r="23" spans="1:6" x14ac:dyDescent="0.2">
      <c r="A23" s="26" t="s">
        <v>732</v>
      </c>
      <c r="B23" s="45"/>
      <c r="C23" s="45"/>
      <c r="D23" s="14"/>
      <c r="E23" s="7"/>
      <c r="F23" s="7"/>
    </row>
    <row r="24" spans="1:6" x14ac:dyDescent="0.2">
      <c r="A24" s="45" t="s">
        <v>1056</v>
      </c>
      <c r="B24" s="45" t="s">
        <v>1715</v>
      </c>
      <c r="C24" s="45" t="s">
        <v>686</v>
      </c>
      <c r="D24" s="14">
        <v>3</v>
      </c>
      <c r="E24" s="7">
        <v>30.023669999999999</v>
      </c>
      <c r="F24" s="7">
        <v>1.0075157655881399</v>
      </c>
    </row>
    <row r="25" spans="1:6" x14ac:dyDescent="0.2">
      <c r="A25" s="26" t="s">
        <v>44</v>
      </c>
      <c r="B25" s="45"/>
      <c r="C25" s="45"/>
      <c r="D25" s="45"/>
      <c r="E25" s="6">
        <f>SUM(E24:E24)</f>
        <v>30.023669999999999</v>
      </c>
      <c r="F25" s="6">
        <f>SUM(F24:F24)</f>
        <v>1.0075157655881399</v>
      </c>
    </row>
    <row r="26" spans="1:6" x14ac:dyDescent="0.2">
      <c r="A26" s="45"/>
      <c r="B26" s="45"/>
      <c r="C26" s="45"/>
      <c r="D26" s="45"/>
      <c r="E26" s="7"/>
      <c r="F26" s="7"/>
    </row>
    <row r="27" spans="1:6" x14ac:dyDescent="0.2">
      <c r="A27" s="26" t="s">
        <v>44</v>
      </c>
      <c r="B27" s="45"/>
      <c r="C27" s="45"/>
      <c r="D27" s="45"/>
      <c r="E27" s="6">
        <v>2877.2917299999999</v>
      </c>
      <c r="F27" s="6">
        <v>96.554377934854912</v>
      </c>
    </row>
    <row r="28" spans="1:6" x14ac:dyDescent="0.2">
      <c r="A28" s="45"/>
      <c r="B28" s="45"/>
      <c r="C28" s="45"/>
      <c r="D28" s="45"/>
      <c r="E28" s="7"/>
      <c r="F28" s="7"/>
    </row>
    <row r="29" spans="1:6" x14ac:dyDescent="0.2">
      <c r="A29" s="26" t="s">
        <v>103</v>
      </c>
      <c r="B29" s="45"/>
      <c r="C29" s="45"/>
      <c r="D29" s="45"/>
      <c r="E29" s="6">
        <v>102.6802422</v>
      </c>
      <c r="F29" s="6">
        <v>3.45</v>
      </c>
    </row>
    <row r="30" spans="1:6" x14ac:dyDescent="0.2">
      <c r="A30" s="45"/>
      <c r="B30" s="45"/>
      <c r="C30" s="45"/>
      <c r="D30" s="45"/>
      <c r="E30" s="7"/>
      <c r="F30" s="7"/>
    </row>
    <row r="31" spans="1:6" x14ac:dyDescent="0.2">
      <c r="A31" s="46" t="s">
        <v>104</v>
      </c>
      <c r="B31" s="44"/>
      <c r="C31" s="44"/>
      <c r="D31" s="44"/>
      <c r="E31" s="8">
        <v>2979.9702422</v>
      </c>
      <c r="F31" s="8">
        <f xml:space="preserve"> ROUND(SUM(F27:F30),2)</f>
        <v>100</v>
      </c>
    </row>
    <row r="32" spans="1:6" x14ac:dyDescent="0.2">
      <c r="A32" s="4" t="s">
        <v>1983</v>
      </c>
    </row>
    <row r="33" spans="1:4" x14ac:dyDescent="0.2">
      <c r="A33" s="4"/>
    </row>
    <row r="34" spans="1:4" x14ac:dyDescent="0.2">
      <c r="A34" s="4" t="s">
        <v>105</v>
      </c>
    </row>
    <row r="35" spans="1:4" x14ac:dyDescent="0.2">
      <c r="A35" s="4" t="s">
        <v>769</v>
      </c>
    </row>
    <row r="36" spans="1:4" x14ac:dyDescent="0.2">
      <c r="A36" s="4" t="s">
        <v>107</v>
      </c>
      <c r="D36" s="11"/>
    </row>
    <row r="37" spans="1:4" x14ac:dyDescent="0.2">
      <c r="A37" s="2" t="s">
        <v>666</v>
      </c>
      <c r="D37" s="63">
        <v>10.7682</v>
      </c>
    </row>
    <row r="38" spans="1:4" x14ac:dyDescent="0.2">
      <c r="A38" s="2" t="s">
        <v>667</v>
      </c>
      <c r="D38" s="63">
        <v>10.7682</v>
      </c>
    </row>
    <row r="39" spans="1:4" x14ac:dyDescent="0.2">
      <c r="A39" s="2" t="s">
        <v>1222</v>
      </c>
      <c r="D39" s="63">
        <v>10.434100000000001</v>
      </c>
    </row>
    <row r="40" spans="1:4" x14ac:dyDescent="0.2">
      <c r="A40" s="2" t="s">
        <v>668</v>
      </c>
      <c r="D40" s="63">
        <v>10.839499999999999</v>
      </c>
    </row>
    <row r="41" spans="1:4" x14ac:dyDescent="0.2">
      <c r="A41" s="2" t="s">
        <v>1224</v>
      </c>
      <c r="D41" s="63">
        <v>10.5046</v>
      </c>
    </row>
    <row r="43" spans="1:4" x14ac:dyDescent="0.2">
      <c r="A43" s="4" t="s">
        <v>108</v>
      </c>
    </row>
    <row r="44" spans="1:4" x14ac:dyDescent="0.2">
      <c r="A44" s="2" t="s">
        <v>666</v>
      </c>
      <c r="D44" s="10">
        <v>11.295999999999999</v>
      </c>
    </row>
    <row r="45" spans="1:4" x14ac:dyDescent="0.2">
      <c r="A45" s="2" t="s">
        <v>667</v>
      </c>
      <c r="D45" s="10">
        <v>10.553800000000001</v>
      </c>
    </row>
    <row r="46" spans="1:4" x14ac:dyDescent="0.2">
      <c r="A46" s="2" t="s">
        <v>1222</v>
      </c>
      <c r="D46" s="10">
        <v>10.542</v>
      </c>
    </row>
    <row r="47" spans="1:4" x14ac:dyDescent="0.2">
      <c r="A47" s="2" t="s">
        <v>668</v>
      </c>
      <c r="D47" s="10">
        <v>11.4092</v>
      </c>
    </row>
    <row r="48" spans="1:4" x14ac:dyDescent="0.2">
      <c r="A48" s="2" t="s">
        <v>1224</v>
      </c>
      <c r="D48" s="10">
        <v>10.6525</v>
      </c>
    </row>
    <row r="50" spans="1:5" x14ac:dyDescent="0.2">
      <c r="A50" s="4" t="s">
        <v>109</v>
      </c>
      <c r="D50" s="30" t="s">
        <v>325</v>
      </c>
    </row>
    <row r="51" spans="1:5" x14ac:dyDescent="0.2">
      <c r="A51" s="31" t="s">
        <v>670</v>
      </c>
      <c r="B51" s="32"/>
      <c r="C51" s="88" t="s">
        <v>671</v>
      </c>
      <c r="D51" s="89"/>
    </row>
    <row r="52" spans="1:5" x14ac:dyDescent="0.2">
      <c r="A52" s="92"/>
      <c r="B52" s="93"/>
      <c r="C52" s="33" t="s">
        <v>672</v>
      </c>
      <c r="D52" s="33" t="s">
        <v>673</v>
      </c>
    </row>
    <row r="53" spans="1:5" x14ac:dyDescent="0.2">
      <c r="A53" s="34" t="s">
        <v>667</v>
      </c>
      <c r="B53" s="35"/>
      <c r="C53" s="36">
        <v>0.52223395750000001</v>
      </c>
      <c r="D53" s="36">
        <v>0.48359124730000003</v>
      </c>
    </row>
    <row r="54" spans="1:5" x14ac:dyDescent="0.2">
      <c r="A54" s="34" t="s">
        <v>1222</v>
      </c>
      <c r="B54" s="35"/>
      <c r="C54" s="36">
        <v>0.280925853</v>
      </c>
      <c r="D54" s="36">
        <v>0.26013874000000003</v>
      </c>
    </row>
    <row r="55" spans="1:5" x14ac:dyDescent="0.2">
      <c r="A55" s="34" t="s">
        <v>1224</v>
      </c>
      <c r="B55" s="35"/>
      <c r="C55" s="36">
        <v>0.280925853</v>
      </c>
      <c r="D55" s="36">
        <v>0.26013874000000003</v>
      </c>
    </row>
    <row r="57" spans="1:5" x14ac:dyDescent="0.2">
      <c r="A57" s="4" t="s">
        <v>770</v>
      </c>
      <c r="D57" s="29">
        <v>1.5812762816211017</v>
      </c>
      <c r="E57" s="1" t="s">
        <v>1302</v>
      </c>
    </row>
    <row r="59" spans="1:5" x14ac:dyDescent="0.2">
      <c r="A59" s="4" t="s">
        <v>1989</v>
      </c>
      <c r="D59" s="53" t="s">
        <v>110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DD76-92DE-463E-8E63-C1C607B1CD6A}">
  <sheetPr codeName="Sheet46"/>
  <dimension ref="A1:F54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4.7109375" style="2" bestFit="1" customWidth="1"/>
    <col min="3" max="3" width="11.7109375" style="2" bestFit="1" customWidth="1"/>
    <col min="4" max="4" width="7.8554687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1330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1281</v>
      </c>
      <c r="B8" s="45" t="s">
        <v>1876</v>
      </c>
      <c r="C8" s="45" t="s">
        <v>686</v>
      </c>
      <c r="D8" s="14">
        <v>44</v>
      </c>
      <c r="E8" s="7">
        <v>445.78732000000002</v>
      </c>
      <c r="F8" s="7">
        <v>12.021897073914401</v>
      </c>
    </row>
    <row r="9" spans="1:6" x14ac:dyDescent="0.2">
      <c r="A9" s="45" t="s">
        <v>1325</v>
      </c>
      <c r="B9" s="45" t="s">
        <v>1906</v>
      </c>
      <c r="C9" s="45" t="s">
        <v>917</v>
      </c>
      <c r="D9" s="14">
        <v>41</v>
      </c>
      <c r="E9" s="7">
        <v>424.52465999999998</v>
      </c>
      <c r="F9" s="7">
        <v>11.448490207972901</v>
      </c>
    </row>
    <row r="10" spans="1:6" x14ac:dyDescent="0.2">
      <c r="A10" s="45" t="s">
        <v>1326</v>
      </c>
      <c r="B10" s="45" t="s">
        <v>1907</v>
      </c>
      <c r="C10" s="45" t="s">
        <v>686</v>
      </c>
      <c r="D10" s="14">
        <v>41</v>
      </c>
      <c r="E10" s="7">
        <v>422.98018999999999</v>
      </c>
      <c r="F10" s="7">
        <v>11.4068392714372</v>
      </c>
    </row>
    <row r="11" spans="1:6" x14ac:dyDescent="0.2">
      <c r="A11" s="45" t="s">
        <v>716</v>
      </c>
      <c r="B11" s="45" t="s">
        <v>1456</v>
      </c>
      <c r="C11" s="45" t="s">
        <v>686</v>
      </c>
      <c r="D11" s="14">
        <v>40</v>
      </c>
      <c r="E11" s="7">
        <v>415.94119999999998</v>
      </c>
      <c r="F11" s="7">
        <v>11.217013295040401</v>
      </c>
    </row>
    <row r="12" spans="1:6" x14ac:dyDescent="0.2">
      <c r="A12" s="45" t="s">
        <v>1022</v>
      </c>
      <c r="B12" s="45" t="s">
        <v>1688</v>
      </c>
      <c r="C12" s="45" t="s">
        <v>686</v>
      </c>
      <c r="D12" s="14">
        <v>30</v>
      </c>
      <c r="E12" s="7">
        <v>307.47239999999999</v>
      </c>
      <c r="F12" s="7">
        <v>8.2918499024813599</v>
      </c>
    </row>
    <row r="13" spans="1:6" x14ac:dyDescent="0.2">
      <c r="A13" s="45" t="s">
        <v>1327</v>
      </c>
      <c r="B13" s="45" t="s">
        <v>1908</v>
      </c>
      <c r="C13" s="45" t="s">
        <v>686</v>
      </c>
      <c r="D13" s="14">
        <v>33</v>
      </c>
      <c r="E13" s="7">
        <v>292.05527999999998</v>
      </c>
      <c r="F13" s="7">
        <v>7.8760843086636898</v>
      </c>
    </row>
    <row r="14" spans="1:6" x14ac:dyDescent="0.2">
      <c r="A14" s="45" t="s">
        <v>1331</v>
      </c>
      <c r="B14" s="45" t="s">
        <v>1911</v>
      </c>
      <c r="C14" s="45" t="s">
        <v>686</v>
      </c>
      <c r="D14" s="14">
        <v>26</v>
      </c>
      <c r="E14" s="7">
        <v>262.78226000000001</v>
      </c>
      <c r="F14" s="7">
        <v>7.0866557679805799</v>
      </c>
    </row>
    <row r="15" spans="1:6" x14ac:dyDescent="0.2">
      <c r="A15" s="45" t="s">
        <v>839</v>
      </c>
      <c r="B15" s="45" t="s">
        <v>1547</v>
      </c>
      <c r="C15" s="45" t="s">
        <v>688</v>
      </c>
      <c r="D15" s="14">
        <v>26000</v>
      </c>
      <c r="E15" s="7">
        <v>249.65928</v>
      </c>
      <c r="F15" s="7">
        <v>6.7327580508740503</v>
      </c>
    </row>
    <row r="16" spans="1:6" x14ac:dyDescent="0.2">
      <c r="A16" s="45" t="s">
        <v>1262</v>
      </c>
      <c r="B16" s="45" t="s">
        <v>1859</v>
      </c>
      <c r="C16" s="45" t="s">
        <v>686</v>
      </c>
      <c r="D16" s="14">
        <v>2</v>
      </c>
      <c r="E16" s="7">
        <v>204.50980000000001</v>
      </c>
      <c r="F16" s="7">
        <v>5.5151765335245804</v>
      </c>
    </row>
    <row r="17" spans="1:6" x14ac:dyDescent="0.2">
      <c r="A17" s="45" t="s">
        <v>1286</v>
      </c>
      <c r="B17" s="45" t="s">
        <v>1881</v>
      </c>
      <c r="C17" s="45" t="s">
        <v>917</v>
      </c>
      <c r="D17" s="14">
        <v>150</v>
      </c>
      <c r="E17" s="7">
        <v>155.25</v>
      </c>
      <c r="F17" s="7">
        <v>4.18674878577795</v>
      </c>
    </row>
    <row r="18" spans="1:6" x14ac:dyDescent="0.2">
      <c r="A18" s="26" t="s">
        <v>44</v>
      </c>
      <c r="B18" s="45"/>
      <c r="C18" s="45"/>
      <c r="D18" s="14"/>
      <c r="E18" s="6">
        <f>SUM(E8:E17)</f>
        <v>3180.9623899999997</v>
      </c>
      <c r="F18" s="6">
        <f>SUM(F8:F17)</f>
        <v>85.783513197667119</v>
      </c>
    </row>
    <row r="19" spans="1:6" x14ac:dyDescent="0.2">
      <c r="A19" s="45"/>
      <c r="B19" s="45"/>
      <c r="C19" s="45"/>
      <c r="D19" s="14"/>
      <c r="E19" s="7"/>
      <c r="F19" s="7"/>
    </row>
    <row r="20" spans="1:6" x14ac:dyDescent="0.2">
      <c r="A20" s="26" t="s">
        <v>732</v>
      </c>
      <c r="B20" s="45"/>
      <c r="C20" s="45"/>
      <c r="D20" s="14"/>
      <c r="E20" s="7"/>
      <c r="F20" s="7"/>
    </row>
    <row r="21" spans="1:6" x14ac:dyDescent="0.2">
      <c r="A21" s="45" t="s">
        <v>1056</v>
      </c>
      <c r="B21" s="45" t="s">
        <v>1715</v>
      </c>
      <c r="C21" s="45" t="s">
        <v>686</v>
      </c>
      <c r="D21" s="14">
        <v>34</v>
      </c>
      <c r="E21" s="7">
        <v>340.26826</v>
      </c>
      <c r="F21" s="7">
        <v>9.1762816386072501</v>
      </c>
    </row>
    <row r="22" spans="1:6" x14ac:dyDescent="0.2">
      <c r="A22" s="45" t="s">
        <v>1290</v>
      </c>
      <c r="B22" s="45" t="s">
        <v>1885</v>
      </c>
      <c r="C22" s="45" t="s">
        <v>686</v>
      </c>
      <c r="D22" s="14">
        <v>7</v>
      </c>
      <c r="E22" s="7">
        <v>70.209720000000004</v>
      </c>
      <c r="F22" s="7">
        <v>1.89340070827575</v>
      </c>
    </row>
    <row r="23" spans="1:6" x14ac:dyDescent="0.2">
      <c r="A23" s="26" t="s">
        <v>44</v>
      </c>
      <c r="B23" s="45"/>
      <c r="C23" s="45"/>
      <c r="D23" s="45"/>
      <c r="E23" s="6">
        <f>SUM(E21:E22)</f>
        <v>410.47798</v>
      </c>
      <c r="F23" s="6">
        <f>SUM(F21:F22)</f>
        <v>11.069682346883001</v>
      </c>
    </row>
    <row r="24" spans="1:6" x14ac:dyDescent="0.2">
      <c r="A24" s="45"/>
      <c r="B24" s="45"/>
      <c r="C24" s="45"/>
      <c r="D24" s="45"/>
      <c r="E24" s="7"/>
      <c r="F24" s="7"/>
    </row>
    <row r="25" spans="1:6" x14ac:dyDescent="0.2">
      <c r="A25" s="26" t="s">
        <v>44</v>
      </c>
      <c r="B25" s="45"/>
      <c r="C25" s="45"/>
      <c r="D25" s="45"/>
      <c r="E25" s="6">
        <v>3591.4403699999998</v>
      </c>
      <c r="F25" s="6">
        <v>96.853195544550118</v>
      </c>
    </row>
    <row r="26" spans="1:6" x14ac:dyDescent="0.2">
      <c r="A26" s="45"/>
      <c r="B26" s="45"/>
      <c r="C26" s="45"/>
      <c r="D26" s="45"/>
      <c r="E26" s="7"/>
      <c r="F26" s="7"/>
    </row>
    <row r="27" spans="1:6" x14ac:dyDescent="0.2">
      <c r="A27" s="26" t="s">
        <v>103</v>
      </c>
      <c r="B27" s="45"/>
      <c r="C27" s="45"/>
      <c r="D27" s="45"/>
      <c r="E27" s="6">
        <v>116.6879041</v>
      </c>
      <c r="F27" s="6">
        <v>3.15</v>
      </c>
    </row>
    <row r="28" spans="1:6" x14ac:dyDescent="0.2">
      <c r="A28" s="45"/>
      <c r="B28" s="45"/>
      <c r="C28" s="45"/>
      <c r="D28" s="45"/>
      <c r="E28" s="7"/>
      <c r="F28" s="7"/>
    </row>
    <row r="29" spans="1:6" x14ac:dyDescent="0.2">
      <c r="A29" s="46" t="s">
        <v>104</v>
      </c>
      <c r="B29" s="44"/>
      <c r="C29" s="44"/>
      <c r="D29" s="44"/>
      <c r="E29" s="8">
        <v>3708.1279040999998</v>
      </c>
      <c r="F29" s="8">
        <f xml:space="preserve"> ROUND(SUM(F25:F28),2)</f>
        <v>100</v>
      </c>
    </row>
    <row r="30" spans="1:6" x14ac:dyDescent="0.2">
      <c r="A30" s="4" t="s">
        <v>1983</v>
      </c>
    </row>
    <row r="31" spans="1:6" x14ac:dyDescent="0.2">
      <c r="A31" s="4"/>
    </row>
    <row r="32" spans="1:6" x14ac:dyDescent="0.2">
      <c r="A32" s="4" t="s">
        <v>105</v>
      </c>
    </row>
    <row r="33" spans="1:4" x14ac:dyDescent="0.2">
      <c r="A33" s="4" t="s">
        <v>769</v>
      </c>
    </row>
    <row r="34" spans="1:4" x14ac:dyDescent="0.2">
      <c r="A34" s="4" t="s">
        <v>107</v>
      </c>
      <c r="D34" s="11"/>
    </row>
    <row r="35" spans="1:4" x14ac:dyDescent="0.2">
      <c r="A35" s="2" t="s">
        <v>1332</v>
      </c>
      <c r="D35" s="63">
        <v>10.5854</v>
      </c>
    </row>
    <row r="36" spans="1:4" x14ac:dyDescent="0.2">
      <c r="A36" s="2" t="s">
        <v>1333</v>
      </c>
      <c r="D36" s="63">
        <v>10.5854</v>
      </c>
    </row>
    <row r="37" spans="1:4" x14ac:dyDescent="0.2">
      <c r="A37" s="2" t="s">
        <v>1334</v>
      </c>
      <c r="D37" s="63">
        <v>10.207599999999999</v>
      </c>
    </row>
    <row r="38" spans="1:4" x14ac:dyDescent="0.2">
      <c r="A38" s="2" t="s">
        <v>1335</v>
      </c>
      <c r="D38" s="63">
        <v>10.6599</v>
      </c>
    </row>
    <row r="40" spans="1:4" x14ac:dyDescent="0.2">
      <c r="A40" s="4" t="s">
        <v>108</v>
      </c>
    </row>
    <row r="41" spans="1:4" x14ac:dyDescent="0.2">
      <c r="A41" s="2" t="s">
        <v>1332</v>
      </c>
      <c r="D41" s="10">
        <v>10.7172</v>
      </c>
    </row>
    <row r="42" spans="1:4" x14ac:dyDescent="0.2">
      <c r="A42" s="2" t="s">
        <v>1333</v>
      </c>
      <c r="D42" s="10">
        <v>10.476900000000001</v>
      </c>
    </row>
    <row r="43" spans="1:4" x14ac:dyDescent="0.2">
      <c r="A43" s="2" t="s">
        <v>1334</v>
      </c>
      <c r="D43" s="10">
        <v>10.3348</v>
      </c>
    </row>
    <row r="44" spans="1:4" x14ac:dyDescent="0.2">
      <c r="A44" s="2" t="s">
        <v>1335</v>
      </c>
      <c r="D44" s="10">
        <v>10.824299999999999</v>
      </c>
    </row>
    <row r="47" spans="1:4" x14ac:dyDescent="0.2">
      <c r="A47" s="4" t="s">
        <v>109</v>
      </c>
      <c r="D47" s="30" t="s">
        <v>325</v>
      </c>
    </row>
    <row r="48" spans="1:4" x14ac:dyDescent="0.2">
      <c r="A48" s="31" t="s">
        <v>670</v>
      </c>
      <c r="B48" s="32"/>
      <c r="C48" s="88" t="s">
        <v>671</v>
      </c>
      <c r="D48" s="89"/>
    </row>
    <row r="49" spans="1:5" x14ac:dyDescent="0.2">
      <c r="A49" s="92"/>
      <c r="B49" s="93"/>
      <c r="C49" s="33" t="s">
        <v>672</v>
      </c>
      <c r="D49" s="33" t="s">
        <v>673</v>
      </c>
    </row>
    <row r="50" spans="1:5" x14ac:dyDescent="0.2">
      <c r="A50" s="34" t="s">
        <v>667</v>
      </c>
      <c r="B50" s="35"/>
      <c r="C50" s="36">
        <v>0.1692758345</v>
      </c>
      <c r="D50" s="36">
        <v>0.1567502664</v>
      </c>
    </row>
    <row r="51" spans="1:5" x14ac:dyDescent="0.2">
      <c r="A51" s="57"/>
      <c r="B51" s="57"/>
      <c r="C51" s="58"/>
      <c r="D51" s="58"/>
    </row>
    <row r="52" spans="1:5" x14ac:dyDescent="0.2">
      <c r="A52" s="4" t="s">
        <v>770</v>
      </c>
      <c r="D52" s="29">
        <v>1.5961194698373433</v>
      </c>
      <c r="E52" s="1" t="s">
        <v>771</v>
      </c>
    </row>
    <row r="54" spans="1:5" x14ac:dyDescent="0.2">
      <c r="A54" s="4" t="s">
        <v>1989</v>
      </c>
      <c r="D54" s="53" t="s">
        <v>110</v>
      </c>
    </row>
  </sheetData>
  <mergeCells count="3">
    <mergeCell ref="A1:F1"/>
    <mergeCell ref="C48:D48"/>
    <mergeCell ref="A49:B4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711C-3099-44C7-8ACB-0943923F8B0A}">
  <sheetPr codeName="Sheet47"/>
  <dimension ref="A1:F58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4.710937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1336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1337</v>
      </c>
      <c r="B8" s="45" t="s">
        <v>1912</v>
      </c>
      <c r="C8" s="45" t="s">
        <v>686</v>
      </c>
      <c r="D8" s="14">
        <v>90</v>
      </c>
      <c r="E8" s="7">
        <v>1047.6936000000001</v>
      </c>
      <c r="F8" s="7">
        <v>11.945995498902001</v>
      </c>
    </row>
    <row r="9" spans="1:6" x14ac:dyDescent="0.2">
      <c r="A9" s="45" t="s">
        <v>716</v>
      </c>
      <c r="B9" s="45" t="s">
        <v>1456</v>
      </c>
      <c r="C9" s="45" t="s">
        <v>686</v>
      </c>
      <c r="D9" s="14">
        <v>98</v>
      </c>
      <c r="E9" s="7">
        <v>1019.05594</v>
      </c>
      <c r="F9" s="7">
        <v>11.6194636221595</v>
      </c>
    </row>
    <row r="10" spans="1:6" x14ac:dyDescent="0.2">
      <c r="A10" s="45" t="s">
        <v>1281</v>
      </c>
      <c r="B10" s="45" t="s">
        <v>1876</v>
      </c>
      <c r="C10" s="45" t="s">
        <v>686</v>
      </c>
      <c r="D10" s="14">
        <v>92</v>
      </c>
      <c r="E10" s="7">
        <v>932.10076000000004</v>
      </c>
      <c r="F10" s="7">
        <v>10.627984635472799</v>
      </c>
    </row>
    <row r="11" spans="1:6" x14ac:dyDescent="0.2">
      <c r="A11" s="45" t="s">
        <v>1325</v>
      </c>
      <c r="B11" s="45" t="s">
        <v>1906</v>
      </c>
      <c r="C11" s="45" t="s">
        <v>917</v>
      </c>
      <c r="D11" s="14">
        <v>90</v>
      </c>
      <c r="E11" s="7">
        <v>931.88340000000005</v>
      </c>
      <c r="F11" s="7">
        <v>10.625506256697101</v>
      </c>
    </row>
    <row r="12" spans="1:6" x14ac:dyDescent="0.2">
      <c r="A12" s="45" t="s">
        <v>1326</v>
      </c>
      <c r="B12" s="45" t="s">
        <v>1907</v>
      </c>
      <c r="C12" s="45" t="s">
        <v>686</v>
      </c>
      <c r="D12" s="14">
        <v>90</v>
      </c>
      <c r="E12" s="7">
        <v>928.49310000000003</v>
      </c>
      <c r="F12" s="7">
        <v>10.586849431323801</v>
      </c>
    </row>
    <row r="13" spans="1:6" x14ac:dyDescent="0.2">
      <c r="A13" s="45" t="s">
        <v>1022</v>
      </c>
      <c r="B13" s="45" t="s">
        <v>1688</v>
      </c>
      <c r="C13" s="45" t="s">
        <v>686</v>
      </c>
      <c r="D13" s="14">
        <v>71</v>
      </c>
      <c r="E13" s="7">
        <v>727.68467999999996</v>
      </c>
      <c r="F13" s="7">
        <v>8.29719482098578</v>
      </c>
    </row>
    <row r="14" spans="1:6" x14ac:dyDescent="0.2">
      <c r="A14" s="45" t="s">
        <v>1338</v>
      </c>
      <c r="B14" s="45" t="s">
        <v>1913</v>
      </c>
      <c r="C14" s="45" t="s">
        <v>686</v>
      </c>
      <c r="D14" s="14">
        <v>60</v>
      </c>
      <c r="E14" s="7">
        <v>679.42679999999996</v>
      </c>
      <c r="F14" s="7">
        <v>7.7469495801381196</v>
      </c>
    </row>
    <row r="15" spans="1:6" x14ac:dyDescent="0.2">
      <c r="A15" s="45" t="s">
        <v>1327</v>
      </c>
      <c r="B15" s="45" t="s">
        <v>1908</v>
      </c>
      <c r="C15" s="45" t="s">
        <v>686</v>
      </c>
      <c r="D15" s="14">
        <v>75</v>
      </c>
      <c r="E15" s="7">
        <v>663.76199999999994</v>
      </c>
      <c r="F15" s="7">
        <v>7.5683366437880304</v>
      </c>
    </row>
    <row r="16" spans="1:6" x14ac:dyDescent="0.2">
      <c r="A16" s="45" t="s">
        <v>1329</v>
      </c>
      <c r="B16" s="45" t="s">
        <v>1910</v>
      </c>
      <c r="C16" s="45" t="s">
        <v>1020</v>
      </c>
      <c r="D16" s="14">
        <v>58</v>
      </c>
      <c r="E16" s="7">
        <v>650.26757999999995</v>
      </c>
      <c r="F16" s="7">
        <v>7.41447078016121</v>
      </c>
    </row>
    <row r="17" spans="1:6" x14ac:dyDescent="0.2">
      <c r="A17" s="45" t="s">
        <v>1286</v>
      </c>
      <c r="B17" s="45" t="s">
        <v>1881</v>
      </c>
      <c r="C17" s="45" t="s">
        <v>917</v>
      </c>
      <c r="D17" s="14">
        <v>470</v>
      </c>
      <c r="E17" s="7">
        <v>486.45</v>
      </c>
      <c r="F17" s="7">
        <v>5.5465925442714203</v>
      </c>
    </row>
    <row r="18" spans="1:6" x14ac:dyDescent="0.2">
      <c r="A18" s="45" t="s">
        <v>1262</v>
      </c>
      <c r="B18" s="45" t="s">
        <v>1859</v>
      </c>
      <c r="C18" s="45" t="s">
        <v>686</v>
      </c>
      <c r="D18" s="14">
        <v>2</v>
      </c>
      <c r="E18" s="7">
        <v>204.50980000000001</v>
      </c>
      <c r="F18" s="7">
        <v>2.3318584271979401</v>
      </c>
    </row>
    <row r="19" spans="1:6" x14ac:dyDescent="0.2">
      <c r="A19" s="45" t="s">
        <v>1339</v>
      </c>
      <c r="B19" s="45" t="s">
        <v>1914</v>
      </c>
      <c r="C19" s="45" t="s">
        <v>1020</v>
      </c>
      <c r="D19" s="14">
        <v>10</v>
      </c>
      <c r="E19" s="7">
        <v>112.58450000000001</v>
      </c>
      <c r="F19" s="7">
        <v>1.2837092163645301</v>
      </c>
    </row>
    <row r="20" spans="1:6" x14ac:dyDescent="0.2">
      <c r="A20" s="45" t="s">
        <v>1021</v>
      </c>
      <c r="B20" s="45" t="s">
        <v>1687</v>
      </c>
      <c r="C20" s="45" t="s">
        <v>686</v>
      </c>
      <c r="D20" s="14">
        <v>8</v>
      </c>
      <c r="E20" s="7">
        <v>82.494320000000002</v>
      </c>
      <c r="F20" s="7">
        <v>0.94061543890788502</v>
      </c>
    </row>
    <row r="21" spans="1:6" x14ac:dyDescent="0.2">
      <c r="A21" s="45" t="s">
        <v>1278</v>
      </c>
      <c r="B21" s="45" t="s">
        <v>1873</v>
      </c>
      <c r="C21" s="45" t="s">
        <v>917</v>
      </c>
      <c r="D21" s="14">
        <v>6</v>
      </c>
      <c r="E21" s="7">
        <v>67.979039999999998</v>
      </c>
      <c r="F21" s="7">
        <v>0.77510954143432798</v>
      </c>
    </row>
    <row r="22" spans="1:6" x14ac:dyDescent="0.2">
      <c r="A22" s="45" t="s">
        <v>1331</v>
      </c>
      <c r="B22" s="45" t="s">
        <v>1911</v>
      </c>
      <c r="C22" s="45" t="s">
        <v>686</v>
      </c>
      <c r="D22" s="14">
        <v>4</v>
      </c>
      <c r="E22" s="7">
        <v>40.428040000000003</v>
      </c>
      <c r="F22" s="7">
        <v>0.46096796226437797</v>
      </c>
    </row>
    <row r="23" spans="1:6" x14ac:dyDescent="0.2">
      <c r="A23" s="45" t="s">
        <v>1018</v>
      </c>
      <c r="B23" s="45" t="s">
        <v>1685</v>
      </c>
      <c r="C23" s="45" t="s">
        <v>686</v>
      </c>
      <c r="D23" s="14">
        <v>1</v>
      </c>
      <c r="E23" s="7">
        <v>9.9823199999999996</v>
      </c>
      <c r="F23" s="7">
        <v>0.113820252207897</v>
      </c>
    </row>
    <row r="24" spans="1:6" x14ac:dyDescent="0.2">
      <c r="A24" s="26" t="s">
        <v>44</v>
      </c>
      <c r="B24" s="45"/>
      <c r="C24" s="45"/>
      <c r="D24" s="45"/>
      <c r="E24" s="6">
        <f>SUM(E8:E23)</f>
        <v>8584.7958800000015</v>
      </c>
      <c r="F24" s="6">
        <f>SUM(F8:F23)</f>
        <v>97.885424652276726</v>
      </c>
    </row>
    <row r="25" spans="1:6" x14ac:dyDescent="0.2">
      <c r="A25" s="45"/>
      <c r="B25" s="45"/>
      <c r="C25" s="45"/>
      <c r="D25" s="45"/>
      <c r="E25" s="7"/>
      <c r="F25" s="7"/>
    </row>
    <row r="26" spans="1:6" x14ac:dyDescent="0.2">
      <c r="A26" s="26" t="s">
        <v>44</v>
      </c>
      <c r="B26" s="45"/>
      <c r="C26" s="45"/>
      <c r="D26" s="45"/>
      <c r="E26" s="6">
        <v>8584.7958800000015</v>
      </c>
      <c r="F26" s="6">
        <v>97.885424652276726</v>
      </c>
    </row>
    <row r="27" spans="1:6" x14ac:dyDescent="0.2">
      <c r="A27" s="45"/>
      <c r="B27" s="45"/>
      <c r="C27" s="45"/>
      <c r="D27" s="45"/>
      <c r="E27" s="7"/>
      <c r="F27" s="7"/>
    </row>
    <row r="28" spans="1:6" x14ac:dyDescent="0.2">
      <c r="A28" s="26" t="s">
        <v>103</v>
      </c>
      <c r="B28" s="45"/>
      <c r="C28" s="45"/>
      <c r="D28" s="45"/>
      <c r="E28" s="6">
        <v>185.449412</v>
      </c>
      <c r="F28" s="6">
        <v>2.11</v>
      </c>
    </row>
    <row r="29" spans="1:6" x14ac:dyDescent="0.2">
      <c r="A29" s="45"/>
      <c r="B29" s="45"/>
      <c r="C29" s="45"/>
      <c r="D29" s="45"/>
      <c r="E29" s="7"/>
      <c r="F29" s="7"/>
    </row>
    <row r="30" spans="1:6" x14ac:dyDescent="0.2">
      <c r="A30" s="46" t="s">
        <v>104</v>
      </c>
      <c r="B30" s="44"/>
      <c r="C30" s="44"/>
      <c r="D30" s="44"/>
      <c r="E30" s="8">
        <v>8770.2494119999992</v>
      </c>
      <c r="F30" s="8">
        <f xml:space="preserve"> ROUND(SUM(F26:F29),2)</f>
        <v>100</v>
      </c>
    </row>
    <row r="31" spans="1:6" x14ac:dyDescent="0.2">
      <c r="A31" s="4" t="s">
        <v>1983</v>
      </c>
    </row>
    <row r="32" spans="1:6" x14ac:dyDescent="0.2">
      <c r="A32" s="4"/>
    </row>
    <row r="33" spans="1:4" x14ac:dyDescent="0.2">
      <c r="A33" s="4" t="s">
        <v>105</v>
      </c>
    </row>
    <row r="34" spans="1:4" x14ac:dyDescent="0.2">
      <c r="A34" s="4" t="s">
        <v>769</v>
      </c>
    </row>
    <row r="35" spans="1:4" x14ac:dyDescent="0.2">
      <c r="A35" s="4" t="s">
        <v>107</v>
      </c>
      <c r="D35" s="11"/>
    </row>
    <row r="36" spans="1:4" x14ac:dyDescent="0.2">
      <c r="A36" s="2" t="s">
        <v>1332</v>
      </c>
      <c r="D36" s="63">
        <v>10.714499999999999</v>
      </c>
    </row>
    <row r="37" spans="1:4" x14ac:dyDescent="0.2">
      <c r="A37" s="2" t="s">
        <v>1333</v>
      </c>
      <c r="D37" s="63">
        <v>10.714499999999999</v>
      </c>
    </row>
    <row r="38" spans="1:4" x14ac:dyDescent="0.2">
      <c r="A38" s="2" t="s">
        <v>1334</v>
      </c>
      <c r="D38" s="63">
        <v>10.208600000000001</v>
      </c>
    </row>
    <row r="39" spans="1:4" x14ac:dyDescent="0.2">
      <c r="A39" s="2" t="s">
        <v>1335</v>
      </c>
      <c r="D39" s="63">
        <v>10.7874</v>
      </c>
    </row>
    <row r="40" spans="1:4" x14ac:dyDescent="0.2">
      <c r="A40" s="2" t="s">
        <v>1340</v>
      </c>
      <c r="D40" s="63">
        <v>10.2812</v>
      </c>
    </row>
    <row r="42" spans="1:4" x14ac:dyDescent="0.2">
      <c r="A42" s="4" t="s">
        <v>108</v>
      </c>
    </row>
    <row r="43" spans="1:4" x14ac:dyDescent="0.2">
      <c r="A43" s="2" t="s">
        <v>1332</v>
      </c>
      <c r="D43" s="10">
        <v>11.264099999999999</v>
      </c>
    </row>
    <row r="44" spans="1:4" x14ac:dyDescent="0.2">
      <c r="A44" s="2" t="s">
        <v>1333</v>
      </c>
      <c r="D44" s="10">
        <v>10.5557</v>
      </c>
    </row>
    <row r="45" spans="1:4" x14ac:dyDescent="0.2">
      <c r="A45" s="2" t="s">
        <v>1334</v>
      </c>
      <c r="D45" s="10">
        <v>10.3371</v>
      </c>
    </row>
    <row r="46" spans="1:4" x14ac:dyDescent="0.2">
      <c r="A46" s="2" t="s">
        <v>1335</v>
      </c>
      <c r="D46" s="10">
        <v>11.3658</v>
      </c>
    </row>
    <row r="47" spans="1:4" x14ac:dyDescent="0.2">
      <c r="A47" s="2" t="s">
        <v>1340</v>
      </c>
      <c r="D47" s="10">
        <v>10.3459</v>
      </c>
    </row>
    <row r="49" spans="1:5" x14ac:dyDescent="0.2">
      <c r="A49" s="4" t="s">
        <v>109</v>
      </c>
      <c r="D49" s="30" t="s">
        <v>325</v>
      </c>
    </row>
    <row r="50" spans="1:5" x14ac:dyDescent="0.2">
      <c r="A50" s="31" t="s">
        <v>670</v>
      </c>
      <c r="B50" s="32"/>
      <c r="C50" s="88" t="s">
        <v>671</v>
      </c>
      <c r="D50" s="89"/>
    </row>
    <row r="51" spans="1:5" x14ac:dyDescent="0.2">
      <c r="A51" s="92"/>
      <c r="B51" s="93"/>
      <c r="C51" s="33" t="s">
        <v>672</v>
      </c>
      <c r="D51" s="33" t="s">
        <v>673</v>
      </c>
    </row>
    <row r="52" spans="1:5" x14ac:dyDescent="0.2">
      <c r="A52" s="2" t="s">
        <v>1333</v>
      </c>
      <c r="B52" s="40"/>
      <c r="C52" s="36">
        <v>0.49702266300000003</v>
      </c>
      <c r="D52" s="36">
        <v>0.46024546290000001</v>
      </c>
    </row>
    <row r="53" spans="1:5" x14ac:dyDescent="0.2">
      <c r="A53" s="34" t="s">
        <v>1334</v>
      </c>
      <c r="B53" s="35"/>
      <c r="C53" s="36">
        <v>0.280925853</v>
      </c>
      <c r="D53" s="36">
        <v>0.26013873990000003</v>
      </c>
    </row>
    <row r="54" spans="1:5" x14ac:dyDescent="0.2">
      <c r="A54" s="34" t="s">
        <v>1340</v>
      </c>
      <c r="B54" s="35"/>
      <c r="C54" s="36">
        <v>0.34575489599999998</v>
      </c>
      <c r="D54" s="36">
        <v>0.32017075680000001</v>
      </c>
    </row>
    <row r="55" spans="1:5" x14ac:dyDescent="0.2">
      <c r="A55" s="57"/>
      <c r="B55" s="57"/>
      <c r="C55" s="58"/>
      <c r="D55" s="58"/>
    </row>
    <row r="56" spans="1:5" x14ac:dyDescent="0.2">
      <c r="A56" s="4" t="s">
        <v>770</v>
      </c>
      <c r="D56" s="29">
        <v>1.5956780569861626</v>
      </c>
      <c r="E56" s="1" t="s">
        <v>771</v>
      </c>
    </row>
    <row r="58" spans="1:5" x14ac:dyDescent="0.2">
      <c r="A58" s="4" t="s">
        <v>1989</v>
      </c>
      <c r="D58" s="53" t="s">
        <v>110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C503-3BCC-4BF8-A3DD-D80A36EBB748}">
  <sheetPr codeName="Sheet48"/>
  <dimension ref="A1:F65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3.57031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1341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1022</v>
      </c>
      <c r="B8" s="45" t="s">
        <v>1688</v>
      </c>
      <c r="C8" s="45" t="s">
        <v>686</v>
      </c>
      <c r="D8" s="14">
        <v>115</v>
      </c>
      <c r="E8" s="7">
        <v>1178.6442</v>
      </c>
      <c r="F8" s="7">
        <v>11.0620657133998</v>
      </c>
    </row>
    <row r="9" spans="1:6" x14ac:dyDescent="0.2">
      <c r="A9" s="45" t="s">
        <v>1339</v>
      </c>
      <c r="B9" s="45" t="s">
        <v>1914</v>
      </c>
      <c r="C9" s="45" t="s">
        <v>1020</v>
      </c>
      <c r="D9" s="14">
        <v>103</v>
      </c>
      <c r="E9" s="7">
        <v>1159.6203499999999</v>
      </c>
      <c r="F9" s="7">
        <v>10.8835189740005</v>
      </c>
    </row>
    <row r="10" spans="1:6" x14ac:dyDescent="0.2">
      <c r="A10" s="45" t="s">
        <v>1021</v>
      </c>
      <c r="B10" s="45" t="s">
        <v>1687</v>
      </c>
      <c r="C10" s="45" t="s">
        <v>686</v>
      </c>
      <c r="D10" s="14">
        <v>112</v>
      </c>
      <c r="E10" s="7">
        <v>1154.92048</v>
      </c>
      <c r="F10" s="7">
        <v>10.839408740577699</v>
      </c>
    </row>
    <row r="11" spans="1:6" x14ac:dyDescent="0.2">
      <c r="A11" s="45" t="s">
        <v>1342</v>
      </c>
      <c r="B11" s="45" t="s">
        <v>1915</v>
      </c>
      <c r="C11" s="45" t="s">
        <v>686</v>
      </c>
      <c r="D11" s="14">
        <v>100</v>
      </c>
      <c r="E11" s="7">
        <v>1039.837</v>
      </c>
      <c r="F11" s="7">
        <v>9.7593024470187792</v>
      </c>
    </row>
    <row r="12" spans="1:6" x14ac:dyDescent="0.2">
      <c r="A12" s="45" t="s">
        <v>1329</v>
      </c>
      <c r="B12" s="45" t="s">
        <v>1910</v>
      </c>
      <c r="C12" s="45" t="s">
        <v>1020</v>
      </c>
      <c r="D12" s="14">
        <v>85</v>
      </c>
      <c r="E12" s="7">
        <v>952.97834999999998</v>
      </c>
      <c r="F12" s="7">
        <v>8.9440979144913193</v>
      </c>
    </row>
    <row r="13" spans="1:6" x14ac:dyDescent="0.2">
      <c r="A13" s="45" t="s">
        <v>1343</v>
      </c>
      <c r="B13" s="45" t="s">
        <v>1916</v>
      </c>
      <c r="C13" s="45" t="s">
        <v>686</v>
      </c>
      <c r="D13" s="14">
        <v>77</v>
      </c>
      <c r="E13" s="7">
        <v>802.53250000000003</v>
      </c>
      <c r="F13" s="7">
        <v>7.5321010803251802</v>
      </c>
    </row>
    <row r="14" spans="1:6" x14ac:dyDescent="0.2">
      <c r="A14" s="45" t="s">
        <v>1344</v>
      </c>
      <c r="B14" s="45" t="s">
        <v>1917</v>
      </c>
      <c r="C14" s="45" t="s">
        <v>686</v>
      </c>
      <c r="D14" s="14">
        <v>70</v>
      </c>
      <c r="E14" s="7">
        <v>784.98490000000004</v>
      </c>
      <c r="F14" s="7">
        <v>7.3674095607703798</v>
      </c>
    </row>
    <row r="15" spans="1:6" x14ac:dyDescent="0.2">
      <c r="A15" s="45" t="s">
        <v>1274</v>
      </c>
      <c r="B15" s="45" t="s">
        <v>1869</v>
      </c>
      <c r="C15" s="45" t="s">
        <v>917</v>
      </c>
      <c r="D15" s="14">
        <v>75</v>
      </c>
      <c r="E15" s="7">
        <v>782.09550000000002</v>
      </c>
      <c r="F15" s="7">
        <v>7.3402913408085801</v>
      </c>
    </row>
    <row r="16" spans="1:6" x14ac:dyDescent="0.2">
      <c r="A16" s="45" t="s">
        <v>1345</v>
      </c>
      <c r="B16" s="45" t="s">
        <v>1918</v>
      </c>
      <c r="C16" s="45" t="s">
        <v>917</v>
      </c>
      <c r="D16" s="14">
        <v>21</v>
      </c>
      <c r="E16" s="7">
        <v>524.12272499999995</v>
      </c>
      <c r="F16" s="7">
        <v>4.9191096225953199</v>
      </c>
    </row>
    <row r="17" spans="1:6" x14ac:dyDescent="0.2">
      <c r="A17" s="45" t="s">
        <v>1346</v>
      </c>
      <c r="B17" s="45" t="s">
        <v>1919</v>
      </c>
      <c r="C17" s="45" t="s">
        <v>686</v>
      </c>
      <c r="D17" s="14">
        <v>33</v>
      </c>
      <c r="E17" s="7">
        <v>336.29871000000003</v>
      </c>
      <c r="F17" s="7">
        <v>3.1563031738938498</v>
      </c>
    </row>
    <row r="18" spans="1:6" x14ac:dyDescent="0.2">
      <c r="A18" s="45" t="s">
        <v>1347</v>
      </c>
      <c r="B18" s="45" t="s">
        <v>1920</v>
      </c>
      <c r="C18" s="45" t="s">
        <v>686</v>
      </c>
      <c r="D18" s="14">
        <v>32</v>
      </c>
      <c r="E18" s="7">
        <v>330.49216000000001</v>
      </c>
      <c r="F18" s="7">
        <v>3.10180628868613</v>
      </c>
    </row>
    <row r="19" spans="1:6" x14ac:dyDescent="0.2">
      <c r="A19" s="45" t="s">
        <v>1286</v>
      </c>
      <c r="B19" s="45" t="s">
        <v>1881</v>
      </c>
      <c r="C19" s="45" t="s">
        <v>917</v>
      </c>
      <c r="D19" s="14">
        <v>310</v>
      </c>
      <c r="E19" s="7">
        <v>320.85000000000002</v>
      </c>
      <c r="F19" s="7">
        <v>3.0113106093801001</v>
      </c>
    </row>
    <row r="20" spans="1:6" x14ac:dyDescent="0.2">
      <c r="A20" s="45" t="s">
        <v>1348</v>
      </c>
      <c r="B20" s="45" t="s">
        <v>1921</v>
      </c>
      <c r="C20" s="45" t="s">
        <v>925</v>
      </c>
      <c r="D20" s="14">
        <v>32</v>
      </c>
      <c r="E20" s="7">
        <v>287.45983999999999</v>
      </c>
      <c r="F20" s="7">
        <v>2.6979300793601602</v>
      </c>
    </row>
    <row r="21" spans="1:6" x14ac:dyDescent="0.2">
      <c r="A21" s="45" t="s">
        <v>1262</v>
      </c>
      <c r="B21" s="45" t="s">
        <v>1859</v>
      </c>
      <c r="C21" s="45" t="s">
        <v>686</v>
      </c>
      <c r="D21" s="14">
        <v>2</v>
      </c>
      <c r="E21" s="7">
        <v>204.50980000000001</v>
      </c>
      <c r="F21" s="7">
        <v>1.91940947627303</v>
      </c>
    </row>
    <row r="22" spans="1:6" x14ac:dyDescent="0.2">
      <c r="A22" s="45" t="s">
        <v>1349</v>
      </c>
      <c r="B22" s="45" t="s">
        <v>1922</v>
      </c>
      <c r="C22" s="45" t="s">
        <v>925</v>
      </c>
      <c r="D22" s="14">
        <v>26</v>
      </c>
      <c r="E22" s="7">
        <v>130.65558999999999</v>
      </c>
      <c r="F22" s="7">
        <v>1.22625701836315</v>
      </c>
    </row>
    <row r="23" spans="1:6" x14ac:dyDescent="0.2">
      <c r="A23" s="45" t="s">
        <v>1018</v>
      </c>
      <c r="B23" s="45" t="s">
        <v>1685</v>
      </c>
      <c r="C23" s="45" t="s">
        <v>686</v>
      </c>
      <c r="D23" s="14">
        <v>4</v>
      </c>
      <c r="E23" s="7">
        <v>39.929279999999999</v>
      </c>
      <c r="F23" s="7">
        <v>0.37475288916599198</v>
      </c>
    </row>
    <row r="24" spans="1:6" x14ac:dyDescent="0.2">
      <c r="A24" s="45" t="s">
        <v>1350</v>
      </c>
      <c r="B24" s="45" t="s">
        <v>1923</v>
      </c>
      <c r="C24" s="45" t="s">
        <v>686</v>
      </c>
      <c r="D24" s="14">
        <v>2</v>
      </c>
      <c r="E24" s="7">
        <v>23.301839999999999</v>
      </c>
      <c r="F24" s="7">
        <v>0.21869745367018101</v>
      </c>
    </row>
    <row r="25" spans="1:6" x14ac:dyDescent="0.2">
      <c r="A25" s="45" t="s">
        <v>1019</v>
      </c>
      <c r="B25" s="45" t="s">
        <v>1686</v>
      </c>
      <c r="C25" s="45" t="s">
        <v>1020</v>
      </c>
      <c r="D25" s="14">
        <v>2</v>
      </c>
      <c r="E25" s="7">
        <v>22.976179999999999</v>
      </c>
      <c r="F25" s="7">
        <v>0.215640999211553</v>
      </c>
    </row>
    <row r="26" spans="1:6" x14ac:dyDescent="0.2">
      <c r="A26" s="45" t="s">
        <v>1351</v>
      </c>
      <c r="B26" s="45" t="s">
        <v>1924</v>
      </c>
      <c r="C26" s="45" t="s">
        <v>686</v>
      </c>
      <c r="D26" s="14">
        <v>1</v>
      </c>
      <c r="E26" s="7">
        <v>10.105560000000001</v>
      </c>
      <c r="F26" s="7">
        <v>9.4844880915465696E-2</v>
      </c>
    </row>
    <row r="27" spans="1:6" x14ac:dyDescent="0.2">
      <c r="A27" s="26" t="s">
        <v>44</v>
      </c>
      <c r="B27" s="45"/>
      <c r="C27" s="45"/>
      <c r="D27" s="14"/>
      <c r="E27" s="6">
        <f>SUM(E8:E26)</f>
        <v>10086.314965000001</v>
      </c>
      <c r="F27" s="6">
        <f>SUM(F8:F26)</f>
        <v>94.664258262907168</v>
      </c>
    </row>
    <row r="28" spans="1:6" x14ac:dyDescent="0.2">
      <c r="A28" s="45"/>
      <c r="B28" s="45"/>
      <c r="C28" s="45"/>
      <c r="D28" s="14"/>
      <c r="E28" s="7"/>
      <c r="F28" s="7"/>
    </row>
    <row r="29" spans="1:6" x14ac:dyDescent="0.2">
      <c r="A29" s="26" t="s">
        <v>732</v>
      </c>
      <c r="B29" s="45"/>
      <c r="C29" s="45"/>
      <c r="D29" s="14"/>
      <c r="E29" s="7"/>
      <c r="F29" s="7"/>
    </row>
    <row r="30" spans="1:6" x14ac:dyDescent="0.2">
      <c r="A30" s="45" t="s">
        <v>1290</v>
      </c>
      <c r="B30" s="45" t="s">
        <v>1885</v>
      </c>
      <c r="C30" s="45" t="s">
        <v>686</v>
      </c>
      <c r="D30" s="14">
        <v>29</v>
      </c>
      <c r="E30" s="7">
        <v>290.86883999999998</v>
      </c>
      <c r="F30" s="7">
        <v>2.72992496129058</v>
      </c>
    </row>
    <row r="31" spans="1:6" x14ac:dyDescent="0.2">
      <c r="A31" s="26" t="s">
        <v>44</v>
      </c>
      <c r="B31" s="45"/>
      <c r="C31" s="45"/>
      <c r="D31" s="45"/>
      <c r="E31" s="6">
        <f>SUM(E30:E30)</f>
        <v>290.86883999999998</v>
      </c>
      <c r="F31" s="6">
        <f>SUM(F30:F30)</f>
        <v>2.72992496129058</v>
      </c>
    </row>
    <row r="32" spans="1:6" x14ac:dyDescent="0.2">
      <c r="A32" s="45"/>
      <c r="B32" s="45"/>
      <c r="C32" s="45"/>
      <c r="D32" s="45"/>
      <c r="E32" s="7"/>
      <c r="F32" s="7"/>
    </row>
    <row r="33" spans="1:6" x14ac:dyDescent="0.2">
      <c r="A33" s="26" t="s">
        <v>44</v>
      </c>
      <c r="B33" s="45"/>
      <c r="C33" s="45"/>
      <c r="D33" s="45"/>
      <c r="E33" s="6">
        <v>10377.183805000001</v>
      </c>
      <c r="F33" s="6">
        <v>97.394183224197747</v>
      </c>
    </row>
    <row r="34" spans="1:6" x14ac:dyDescent="0.2">
      <c r="A34" s="45"/>
      <c r="B34" s="45"/>
      <c r="C34" s="45"/>
      <c r="D34" s="45"/>
      <c r="E34" s="7"/>
      <c r="F34" s="7"/>
    </row>
    <row r="35" spans="1:6" x14ac:dyDescent="0.2">
      <c r="A35" s="26" t="s">
        <v>103</v>
      </c>
      <c r="B35" s="45"/>
      <c r="C35" s="45"/>
      <c r="D35" s="45"/>
      <c r="E35" s="6">
        <v>277.64912989999999</v>
      </c>
      <c r="F35" s="6">
        <v>2.61</v>
      </c>
    </row>
    <row r="36" spans="1:6" x14ac:dyDescent="0.2">
      <c r="A36" s="45"/>
      <c r="B36" s="45"/>
      <c r="C36" s="45"/>
      <c r="D36" s="45"/>
      <c r="E36" s="7"/>
      <c r="F36" s="7"/>
    </row>
    <row r="37" spans="1:6" x14ac:dyDescent="0.2">
      <c r="A37" s="46" t="s">
        <v>104</v>
      </c>
      <c r="B37" s="44"/>
      <c r="C37" s="44"/>
      <c r="D37" s="44"/>
      <c r="E37" s="8">
        <v>10654.829129899999</v>
      </c>
      <c r="F37" s="8">
        <f xml:space="preserve"> ROUND(SUM(F33:F36),2)</f>
        <v>100</v>
      </c>
    </row>
    <row r="38" spans="1:6" x14ac:dyDescent="0.2">
      <c r="A38" s="4" t="s">
        <v>1983</v>
      </c>
    </row>
    <row r="39" spans="1:6" x14ac:dyDescent="0.2">
      <c r="A39" s="4"/>
    </row>
    <row r="40" spans="1:6" x14ac:dyDescent="0.2">
      <c r="A40" s="4" t="s">
        <v>105</v>
      </c>
    </row>
    <row r="41" spans="1:6" x14ac:dyDescent="0.2">
      <c r="A41" s="4" t="s">
        <v>769</v>
      </c>
    </row>
    <row r="42" spans="1:6" x14ac:dyDescent="0.2">
      <c r="A42" s="4" t="s">
        <v>107</v>
      </c>
      <c r="D42" s="11"/>
    </row>
    <row r="43" spans="1:6" x14ac:dyDescent="0.2">
      <c r="A43" s="2" t="s">
        <v>666</v>
      </c>
      <c r="D43" s="63">
        <v>10.7193</v>
      </c>
    </row>
    <row r="44" spans="1:6" x14ac:dyDescent="0.2">
      <c r="A44" s="2" t="s">
        <v>667</v>
      </c>
      <c r="D44" s="63">
        <v>10.7193</v>
      </c>
    </row>
    <row r="45" spans="1:6" x14ac:dyDescent="0.2">
      <c r="A45" s="2" t="s">
        <v>1222</v>
      </c>
      <c r="D45" s="63">
        <v>10.2166</v>
      </c>
    </row>
    <row r="46" spans="1:6" x14ac:dyDescent="0.2">
      <c r="A46" s="2" t="s">
        <v>668</v>
      </c>
      <c r="D46" s="63">
        <v>10.808999999999999</v>
      </c>
    </row>
    <row r="47" spans="1:6" x14ac:dyDescent="0.2">
      <c r="A47" s="2" t="s">
        <v>669</v>
      </c>
      <c r="D47" s="63">
        <v>10.808999999999999</v>
      </c>
    </row>
    <row r="49" spans="1:5" x14ac:dyDescent="0.2">
      <c r="A49" s="4" t="s">
        <v>108</v>
      </c>
    </row>
    <row r="50" spans="1:5" x14ac:dyDescent="0.2">
      <c r="A50" s="2" t="s">
        <v>666</v>
      </c>
      <c r="D50" s="10">
        <v>11.2409</v>
      </c>
    </row>
    <row r="51" spans="1:5" x14ac:dyDescent="0.2">
      <c r="A51" s="2" t="s">
        <v>667</v>
      </c>
      <c r="D51" s="10">
        <v>10.515599999999999</v>
      </c>
    </row>
    <row r="52" spans="1:5" x14ac:dyDescent="0.2">
      <c r="A52" s="2" t="s">
        <v>1222</v>
      </c>
      <c r="D52" s="10">
        <v>10.303900000000001</v>
      </c>
    </row>
    <row r="53" spans="1:5" x14ac:dyDescent="0.2">
      <c r="A53" s="2" t="s">
        <v>668</v>
      </c>
      <c r="D53" s="10">
        <v>11.353899999999999</v>
      </c>
    </row>
    <row r="54" spans="1:5" x14ac:dyDescent="0.2">
      <c r="A54" s="2" t="s">
        <v>669</v>
      </c>
      <c r="D54" s="10">
        <v>10.628399999999999</v>
      </c>
    </row>
    <row r="56" spans="1:5" x14ac:dyDescent="0.2">
      <c r="A56" s="4" t="s">
        <v>109</v>
      </c>
      <c r="D56" s="30" t="s">
        <v>325</v>
      </c>
    </row>
    <row r="57" spans="1:5" x14ac:dyDescent="0.2">
      <c r="A57" s="31" t="s">
        <v>670</v>
      </c>
      <c r="B57" s="32"/>
      <c r="C57" s="88" t="s">
        <v>671</v>
      </c>
      <c r="D57" s="89"/>
    </row>
    <row r="58" spans="1:5" x14ac:dyDescent="0.2">
      <c r="A58" s="92"/>
      <c r="B58" s="93"/>
      <c r="C58" s="33" t="s">
        <v>672</v>
      </c>
      <c r="D58" s="33" t="s">
        <v>673</v>
      </c>
    </row>
    <row r="59" spans="1:5" x14ac:dyDescent="0.2">
      <c r="A59" s="34" t="s">
        <v>667</v>
      </c>
      <c r="B59" s="35"/>
      <c r="C59" s="36">
        <v>0.50422589000000007</v>
      </c>
      <c r="D59" s="36">
        <v>0.46691568700000002</v>
      </c>
    </row>
    <row r="60" spans="1:5" x14ac:dyDescent="0.2">
      <c r="A60" s="34" t="s">
        <v>1222</v>
      </c>
      <c r="B60" s="35"/>
      <c r="C60" s="36">
        <v>0.28812908000000004</v>
      </c>
      <c r="D60" s="36">
        <v>0.26680896400000004</v>
      </c>
    </row>
    <row r="61" spans="1:5" x14ac:dyDescent="0.2">
      <c r="A61" s="66" t="s">
        <v>669</v>
      </c>
      <c r="B61" s="35"/>
      <c r="C61" s="36">
        <v>0.50422589000000007</v>
      </c>
      <c r="D61" s="36">
        <v>0.46691568700000002</v>
      </c>
    </row>
    <row r="63" spans="1:5" x14ac:dyDescent="0.2">
      <c r="A63" s="4" t="s">
        <v>770</v>
      </c>
      <c r="D63" s="29">
        <v>1.5454797017803434</v>
      </c>
      <c r="E63" s="1" t="s">
        <v>1302</v>
      </c>
    </row>
    <row r="65" spans="1:4" x14ac:dyDescent="0.2">
      <c r="A65" s="4" t="s">
        <v>1989</v>
      </c>
      <c r="D65" s="53" t="s">
        <v>110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B289-0FA3-4684-80E4-24F0113E8CE9}">
  <sheetPr codeName="Sheet49"/>
  <dimension ref="A1:F66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1352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1353</v>
      </c>
      <c r="B8" s="45" t="s">
        <v>1925</v>
      </c>
      <c r="C8" s="45" t="s">
        <v>686</v>
      </c>
      <c r="D8" s="14">
        <v>119</v>
      </c>
      <c r="E8" s="7">
        <v>1224.8681899999999</v>
      </c>
      <c r="F8" s="7">
        <v>10.708048422130499</v>
      </c>
    </row>
    <row r="9" spans="1:6" x14ac:dyDescent="0.2">
      <c r="A9" s="45" t="s">
        <v>1324</v>
      </c>
      <c r="B9" s="45" t="s">
        <v>1905</v>
      </c>
      <c r="C9" s="45" t="s">
        <v>686</v>
      </c>
      <c r="D9" s="14">
        <v>119</v>
      </c>
      <c r="E9" s="7">
        <v>1222.14309</v>
      </c>
      <c r="F9" s="7">
        <v>10.684225040158999</v>
      </c>
    </row>
    <row r="10" spans="1:6" x14ac:dyDescent="0.2">
      <c r="A10" s="45" t="s">
        <v>1354</v>
      </c>
      <c r="B10" s="45" t="s">
        <v>1926</v>
      </c>
      <c r="C10" s="45" t="s">
        <v>686</v>
      </c>
      <c r="D10" s="14">
        <v>99</v>
      </c>
      <c r="E10" s="7">
        <v>1140.9779699999999</v>
      </c>
      <c r="F10" s="7">
        <v>9.9746629482998994</v>
      </c>
    </row>
    <row r="11" spans="1:6" x14ac:dyDescent="0.2">
      <c r="A11" s="45" t="s">
        <v>1355</v>
      </c>
      <c r="B11" s="45" t="s">
        <v>1927</v>
      </c>
      <c r="C11" s="45" t="s">
        <v>917</v>
      </c>
      <c r="D11" s="14">
        <v>100</v>
      </c>
      <c r="E11" s="7">
        <v>1033.915</v>
      </c>
      <c r="F11" s="7">
        <v>9.0386965509873001</v>
      </c>
    </row>
    <row r="12" spans="1:6" x14ac:dyDescent="0.2">
      <c r="A12" s="45" t="s">
        <v>1356</v>
      </c>
      <c r="B12" s="45" t="s">
        <v>1928</v>
      </c>
      <c r="C12" s="45" t="s">
        <v>686</v>
      </c>
      <c r="D12" s="14">
        <v>100</v>
      </c>
      <c r="E12" s="7">
        <v>1014.934</v>
      </c>
      <c r="F12" s="7">
        <v>8.8727607639697101</v>
      </c>
    </row>
    <row r="13" spans="1:6" x14ac:dyDescent="0.2">
      <c r="A13" s="45" t="s">
        <v>1357</v>
      </c>
      <c r="B13" s="45" t="s">
        <v>1929</v>
      </c>
      <c r="C13" s="45" t="s">
        <v>917</v>
      </c>
      <c r="D13" s="14">
        <v>100</v>
      </c>
      <c r="E13" s="7">
        <v>1005.842</v>
      </c>
      <c r="F13" s="7">
        <v>8.7932766390256099</v>
      </c>
    </row>
    <row r="14" spans="1:6" x14ac:dyDescent="0.2">
      <c r="A14" s="45" t="s">
        <v>1348</v>
      </c>
      <c r="B14" s="45" t="s">
        <v>1921</v>
      </c>
      <c r="C14" s="45" t="s">
        <v>925</v>
      </c>
      <c r="D14" s="14">
        <v>96</v>
      </c>
      <c r="E14" s="7">
        <v>862.37951999999996</v>
      </c>
      <c r="F14" s="7">
        <v>7.5390982750671798</v>
      </c>
    </row>
    <row r="15" spans="1:6" x14ac:dyDescent="0.2">
      <c r="A15" s="45" t="s">
        <v>1278</v>
      </c>
      <c r="B15" s="45" t="s">
        <v>1873</v>
      </c>
      <c r="C15" s="45" t="s">
        <v>917</v>
      </c>
      <c r="D15" s="14">
        <v>74</v>
      </c>
      <c r="E15" s="7">
        <v>838.40815999999995</v>
      </c>
      <c r="F15" s="7">
        <v>7.3295357395062499</v>
      </c>
    </row>
    <row r="16" spans="1:6" x14ac:dyDescent="0.2">
      <c r="A16" s="45" t="s">
        <v>1347</v>
      </c>
      <c r="B16" s="45" t="s">
        <v>1920</v>
      </c>
      <c r="C16" s="45" t="s">
        <v>686</v>
      </c>
      <c r="D16" s="14">
        <v>67</v>
      </c>
      <c r="E16" s="7">
        <v>691.96795999999995</v>
      </c>
      <c r="F16" s="7">
        <v>6.0493255378302004</v>
      </c>
    </row>
    <row r="17" spans="1:6" x14ac:dyDescent="0.2">
      <c r="A17" s="45" t="s">
        <v>1262</v>
      </c>
      <c r="B17" s="45" t="s">
        <v>1859</v>
      </c>
      <c r="C17" s="45" t="s">
        <v>686</v>
      </c>
      <c r="D17" s="14">
        <v>5</v>
      </c>
      <c r="E17" s="7">
        <v>511.27449999999999</v>
      </c>
      <c r="F17" s="7">
        <v>4.4696663263012502</v>
      </c>
    </row>
    <row r="18" spans="1:6" x14ac:dyDescent="0.2">
      <c r="A18" s="45" t="s">
        <v>1289</v>
      </c>
      <c r="B18" s="45" t="s">
        <v>1884</v>
      </c>
      <c r="C18" s="45" t="s">
        <v>686</v>
      </c>
      <c r="D18" s="14">
        <v>46</v>
      </c>
      <c r="E18" s="7">
        <v>484.96143999999998</v>
      </c>
      <c r="F18" s="7">
        <v>4.2396321700428299</v>
      </c>
    </row>
    <row r="19" spans="1:6" x14ac:dyDescent="0.2">
      <c r="A19" s="45" t="s">
        <v>1343</v>
      </c>
      <c r="B19" s="45" t="s">
        <v>1916</v>
      </c>
      <c r="C19" s="45" t="s">
        <v>686</v>
      </c>
      <c r="D19" s="14">
        <v>23</v>
      </c>
      <c r="E19" s="7">
        <v>239.7175</v>
      </c>
      <c r="F19" s="7">
        <v>2.0956594502075099</v>
      </c>
    </row>
    <row r="20" spans="1:6" x14ac:dyDescent="0.2">
      <c r="A20" s="45" t="s">
        <v>1328</v>
      </c>
      <c r="B20" s="45" t="s">
        <v>1909</v>
      </c>
      <c r="C20" s="45" t="s">
        <v>686</v>
      </c>
      <c r="D20" s="14">
        <v>20</v>
      </c>
      <c r="E20" s="7">
        <v>201.36680000000001</v>
      </c>
      <c r="F20" s="7">
        <v>1.7603897812134901</v>
      </c>
    </row>
    <row r="21" spans="1:6" x14ac:dyDescent="0.2">
      <c r="A21" s="45" t="s">
        <v>1346</v>
      </c>
      <c r="B21" s="45" t="s">
        <v>1919</v>
      </c>
      <c r="C21" s="45" t="s">
        <v>686</v>
      </c>
      <c r="D21" s="14">
        <v>17</v>
      </c>
      <c r="E21" s="7">
        <v>173.24478999999999</v>
      </c>
      <c r="F21" s="7">
        <v>1.51454141380048</v>
      </c>
    </row>
    <row r="22" spans="1:6" x14ac:dyDescent="0.2">
      <c r="A22" s="45" t="s">
        <v>1019</v>
      </c>
      <c r="B22" s="45" t="s">
        <v>1686</v>
      </c>
      <c r="C22" s="45" t="s">
        <v>1020</v>
      </c>
      <c r="D22" s="14">
        <v>2</v>
      </c>
      <c r="E22" s="7">
        <v>22.976179999999999</v>
      </c>
      <c r="F22" s="7">
        <v>0.20086246830819099</v>
      </c>
    </row>
    <row r="23" spans="1:6" x14ac:dyDescent="0.2">
      <c r="A23" s="45" t="s">
        <v>1349</v>
      </c>
      <c r="B23" s="45" t="s">
        <v>1922</v>
      </c>
      <c r="C23" s="45" t="s">
        <v>925</v>
      </c>
      <c r="D23" s="14">
        <v>4</v>
      </c>
      <c r="E23" s="7">
        <v>20.100860000000001</v>
      </c>
      <c r="F23" s="7">
        <v>0.17572583234973699</v>
      </c>
    </row>
    <row r="24" spans="1:6" x14ac:dyDescent="0.2">
      <c r="A24" s="45" t="s">
        <v>1350</v>
      </c>
      <c r="B24" s="45" t="s">
        <v>1923</v>
      </c>
      <c r="C24" s="45" t="s">
        <v>686</v>
      </c>
      <c r="D24" s="14">
        <v>1</v>
      </c>
      <c r="E24" s="7">
        <v>11.650919999999999</v>
      </c>
      <c r="F24" s="7">
        <v>0.101854727342024</v>
      </c>
    </row>
    <row r="25" spans="1:6" x14ac:dyDescent="0.2">
      <c r="A25" s="26" t="s">
        <v>44</v>
      </c>
      <c r="B25" s="45"/>
      <c r="C25" s="45"/>
      <c r="D25" s="14"/>
      <c r="E25" s="6">
        <f>SUM(E8:E24)</f>
        <v>10700.728879999999</v>
      </c>
      <c r="F25" s="6">
        <f>SUM(F8:F24)</f>
        <v>93.547962086541162</v>
      </c>
    </row>
    <row r="26" spans="1:6" x14ac:dyDescent="0.2">
      <c r="A26" s="45"/>
      <c r="B26" s="45"/>
      <c r="C26" s="45"/>
      <c r="D26" s="14"/>
      <c r="E26" s="7"/>
      <c r="F26" s="7"/>
    </row>
    <row r="27" spans="1:6" x14ac:dyDescent="0.2">
      <c r="A27" s="26" t="s">
        <v>732</v>
      </c>
      <c r="B27" s="45"/>
      <c r="C27" s="45"/>
      <c r="D27" s="14"/>
      <c r="E27" s="7"/>
      <c r="F27" s="7"/>
    </row>
    <row r="28" spans="1:6" x14ac:dyDescent="0.2">
      <c r="A28" s="45" t="s">
        <v>1290</v>
      </c>
      <c r="B28" s="45" t="s">
        <v>1885</v>
      </c>
      <c r="C28" s="45" t="s">
        <v>686</v>
      </c>
      <c r="D28" s="14">
        <v>37</v>
      </c>
      <c r="E28" s="7">
        <v>371.10852</v>
      </c>
      <c r="F28" s="7">
        <v>3.24430664006809</v>
      </c>
    </row>
    <row r="29" spans="1:6" x14ac:dyDescent="0.2">
      <c r="A29" s="26" t="s">
        <v>44</v>
      </c>
      <c r="B29" s="45"/>
      <c r="C29" s="45"/>
      <c r="D29" s="45"/>
      <c r="E29" s="6">
        <f>SUM(E28:E28)</f>
        <v>371.10852</v>
      </c>
      <c r="F29" s="6">
        <f>SUM(F28:F28)</f>
        <v>3.24430664006809</v>
      </c>
    </row>
    <row r="30" spans="1:6" x14ac:dyDescent="0.2">
      <c r="A30" s="45"/>
      <c r="B30" s="45"/>
      <c r="C30" s="45"/>
      <c r="D30" s="45"/>
      <c r="E30" s="7"/>
      <c r="F30" s="7"/>
    </row>
    <row r="31" spans="1:6" x14ac:dyDescent="0.2">
      <c r="A31" s="26" t="s">
        <v>44</v>
      </c>
      <c r="B31" s="45"/>
      <c r="C31" s="45"/>
      <c r="D31" s="45"/>
      <c r="E31" s="6">
        <v>11071.837399999999</v>
      </c>
      <c r="F31" s="6">
        <v>96.792268726609251</v>
      </c>
    </row>
    <row r="32" spans="1:6" x14ac:dyDescent="0.2">
      <c r="A32" s="45"/>
      <c r="B32" s="45"/>
      <c r="C32" s="45"/>
      <c r="D32" s="45"/>
      <c r="E32" s="7"/>
      <c r="F32" s="7"/>
    </row>
    <row r="33" spans="1:6" x14ac:dyDescent="0.2">
      <c r="A33" s="26" t="s">
        <v>103</v>
      </c>
      <c r="B33" s="45"/>
      <c r="C33" s="45"/>
      <c r="D33" s="45"/>
      <c r="E33" s="6">
        <v>366.9221508</v>
      </c>
      <c r="F33" s="6">
        <v>3.21</v>
      </c>
    </row>
    <row r="34" spans="1:6" x14ac:dyDescent="0.2">
      <c r="A34" s="45"/>
      <c r="B34" s="45"/>
      <c r="C34" s="45"/>
      <c r="D34" s="45"/>
      <c r="E34" s="7"/>
      <c r="F34" s="7"/>
    </row>
    <row r="35" spans="1:6" x14ac:dyDescent="0.2">
      <c r="A35" s="46" t="s">
        <v>104</v>
      </c>
      <c r="B35" s="44"/>
      <c r="C35" s="44"/>
      <c r="D35" s="44"/>
      <c r="E35" s="8">
        <v>11438.762150799999</v>
      </c>
      <c r="F35" s="8">
        <f xml:space="preserve"> ROUND(SUM(F31:F34),2)</f>
        <v>100</v>
      </c>
    </row>
    <row r="36" spans="1:6" x14ac:dyDescent="0.2">
      <c r="A36" s="4" t="s">
        <v>1983</v>
      </c>
    </row>
    <row r="37" spans="1:6" x14ac:dyDescent="0.2">
      <c r="A37" s="4"/>
    </row>
    <row r="38" spans="1:6" x14ac:dyDescent="0.2">
      <c r="A38" s="4" t="s">
        <v>105</v>
      </c>
    </row>
    <row r="39" spans="1:6" x14ac:dyDescent="0.2">
      <c r="A39" s="4" t="s">
        <v>769</v>
      </c>
    </row>
    <row r="40" spans="1:6" x14ac:dyDescent="0.2">
      <c r="A40" s="4" t="s">
        <v>107</v>
      </c>
      <c r="D40" s="11"/>
    </row>
    <row r="41" spans="1:6" x14ac:dyDescent="0.2">
      <c r="A41" s="2" t="s">
        <v>666</v>
      </c>
      <c r="D41" s="63">
        <v>10.7897</v>
      </c>
    </row>
    <row r="42" spans="1:6" x14ac:dyDescent="0.2">
      <c r="A42" s="2" t="s">
        <v>667</v>
      </c>
      <c r="D42" s="63">
        <v>10.7897</v>
      </c>
    </row>
    <row r="43" spans="1:6" x14ac:dyDescent="0.2">
      <c r="A43" s="2" t="s">
        <v>1222</v>
      </c>
      <c r="D43" s="63">
        <v>10.282500000000001</v>
      </c>
    </row>
    <row r="44" spans="1:6" x14ac:dyDescent="0.2">
      <c r="A44" s="2" t="s">
        <v>668</v>
      </c>
      <c r="D44" s="63">
        <v>10.888400000000001</v>
      </c>
    </row>
    <row r="45" spans="1:6" x14ac:dyDescent="0.2">
      <c r="A45" s="2" t="s">
        <v>669</v>
      </c>
      <c r="D45" s="63">
        <v>10.888400000000001</v>
      </c>
    </row>
    <row r="46" spans="1:6" x14ac:dyDescent="0.2">
      <c r="A46" s="2" t="s">
        <v>1224</v>
      </c>
      <c r="D46" s="63">
        <v>10.337199999999999</v>
      </c>
    </row>
    <row r="48" spans="1:6" x14ac:dyDescent="0.2">
      <c r="A48" s="4" t="s">
        <v>108</v>
      </c>
    </row>
    <row r="49" spans="1:5" x14ac:dyDescent="0.2">
      <c r="A49" s="2" t="s">
        <v>666</v>
      </c>
      <c r="D49" s="10">
        <v>11.344099999999999</v>
      </c>
    </row>
    <row r="50" spans="1:5" x14ac:dyDescent="0.2">
      <c r="A50" s="2" t="s">
        <v>667</v>
      </c>
      <c r="D50" s="10">
        <v>10.6683</v>
      </c>
    </row>
    <row r="51" spans="1:5" x14ac:dyDescent="0.2">
      <c r="A51" s="2" t="s">
        <v>1222</v>
      </c>
      <c r="D51" s="10">
        <v>10.4283</v>
      </c>
    </row>
    <row r="52" spans="1:5" x14ac:dyDescent="0.2">
      <c r="A52" s="2" t="s">
        <v>668</v>
      </c>
      <c r="D52" s="10">
        <v>11.457800000000001</v>
      </c>
    </row>
    <row r="53" spans="1:5" x14ac:dyDescent="0.2">
      <c r="A53" s="2" t="s">
        <v>669</v>
      </c>
      <c r="D53" s="10">
        <v>10.782</v>
      </c>
    </row>
    <row r="54" spans="1:5" x14ac:dyDescent="0.2">
      <c r="A54" s="2" t="s">
        <v>1224</v>
      </c>
      <c r="D54" s="10">
        <v>10.4954</v>
      </c>
    </row>
    <row r="56" spans="1:5" x14ac:dyDescent="0.2">
      <c r="A56" s="4" t="s">
        <v>109</v>
      </c>
      <c r="D56" s="30" t="s">
        <v>325</v>
      </c>
    </row>
    <row r="57" spans="1:5" x14ac:dyDescent="0.2">
      <c r="A57" s="31" t="s">
        <v>670</v>
      </c>
      <c r="B57" s="32"/>
      <c r="C57" s="88" t="s">
        <v>671</v>
      </c>
      <c r="D57" s="89"/>
    </row>
    <row r="58" spans="1:5" x14ac:dyDescent="0.2">
      <c r="A58" s="92"/>
      <c r="B58" s="93"/>
      <c r="C58" s="33" t="s">
        <v>672</v>
      </c>
      <c r="D58" s="33" t="s">
        <v>673</v>
      </c>
    </row>
    <row r="59" spans="1:5" x14ac:dyDescent="0.2">
      <c r="A59" s="2" t="s">
        <v>667</v>
      </c>
      <c r="B59" s="40"/>
      <c r="C59" s="67">
        <v>0.46460814150000002</v>
      </c>
      <c r="D59" s="67">
        <v>0.4302294545</v>
      </c>
    </row>
    <row r="60" spans="1:5" x14ac:dyDescent="0.2">
      <c r="A60" s="34" t="s">
        <v>1334</v>
      </c>
      <c r="B60" s="35"/>
      <c r="C60" s="67">
        <v>0.26651939899999999</v>
      </c>
      <c r="D60" s="67">
        <v>0.24679829170000001</v>
      </c>
    </row>
    <row r="61" spans="1:5" x14ac:dyDescent="0.2">
      <c r="A61" s="2" t="s">
        <v>669</v>
      </c>
      <c r="B61" s="35"/>
      <c r="C61" s="67">
        <v>0.46460814150000002</v>
      </c>
      <c r="D61" s="67">
        <v>0.4302294545</v>
      </c>
    </row>
    <row r="62" spans="1:5" x14ac:dyDescent="0.2">
      <c r="A62" s="34" t="s">
        <v>1340</v>
      </c>
      <c r="B62" s="35"/>
      <c r="C62" s="67">
        <v>0.26651939899999999</v>
      </c>
      <c r="D62" s="67">
        <v>0.24679829170000001</v>
      </c>
    </row>
    <row r="64" spans="1:5" x14ac:dyDescent="0.2">
      <c r="A64" s="4" t="s">
        <v>770</v>
      </c>
      <c r="D64" s="29">
        <v>1.4526045396468432</v>
      </c>
      <c r="E64" s="1" t="s">
        <v>771</v>
      </c>
    </row>
    <row r="66" spans="1:4" x14ac:dyDescent="0.2">
      <c r="A66" s="4" t="s">
        <v>1989</v>
      </c>
      <c r="D66" s="53" t="s">
        <v>110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2685-5F32-4E07-9D4C-B09D941A823D}">
  <sheetPr codeName="Sheet50"/>
  <dimension ref="A1:F60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1358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1328</v>
      </c>
      <c r="B8" s="45" t="s">
        <v>1909</v>
      </c>
      <c r="C8" s="45" t="s">
        <v>686</v>
      </c>
      <c r="D8" s="14">
        <v>105</v>
      </c>
      <c r="E8" s="7">
        <v>1057.1757</v>
      </c>
      <c r="F8" s="7">
        <v>10.809124188222199</v>
      </c>
    </row>
    <row r="9" spans="1:6" x14ac:dyDescent="0.2">
      <c r="A9" s="45" t="s">
        <v>1359</v>
      </c>
      <c r="B9" s="45" t="s">
        <v>1930</v>
      </c>
      <c r="C9" s="45" t="s">
        <v>917</v>
      </c>
      <c r="D9" s="14">
        <v>100</v>
      </c>
      <c r="E9" s="7">
        <v>1020.082</v>
      </c>
      <c r="F9" s="7">
        <v>10.429858556311901</v>
      </c>
    </row>
    <row r="10" spans="1:6" x14ac:dyDescent="0.2">
      <c r="A10" s="45" t="s">
        <v>1349</v>
      </c>
      <c r="B10" s="45" t="s">
        <v>1922</v>
      </c>
      <c r="C10" s="45" t="s">
        <v>925</v>
      </c>
      <c r="D10" s="14">
        <v>170</v>
      </c>
      <c r="E10" s="7">
        <v>854.28655000000003</v>
      </c>
      <c r="F10" s="7">
        <v>8.7346780778993303</v>
      </c>
    </row>
    <row r="11" spans="1:6" x14ac:dyDescent="0.2">
      <c r="A11" s="45" t="s">
        <v>1360</v>
      </c>
      <c r="B11" s="45" t="s">
        <v>1931</v>
      </c>
      <c r="C11" s="45" t="s">
        <v>925</v>
      </c>
      <c r="D11" s="14">
        <v>78</v>
      </c>
      <c r="E11" s="7">
        <v>783.80172000000005</v>
      </c>
      <c r="F11" s="7">
        <v>8.0140038504688995</v>
      </c>
    </row>
    <row r="12" spans="1:6" x14ac:dyDescent="0.2">
      <c r="A12" s="45" t="s">
        <v>1278</v>
      </c>
      <c r="B12" s="45" t="s">
        <v>1873</v>
      </c>
      <c r="C12" s="45" t="s">
        <v>917</v>
      </c>
      <c r="D12" s="14">
        <v>63</v>
      </c>
      <c r="E12" s="7">
        <v>713.77991999999995</v>
      </c>
      <c r="F12" s="7">
        <v>7.2980638869577703</v>
      </c>
    </row>
    <row r="13" spans="1:6" x14ac:dyDescent="0.2">
      <c r="A13" s="45" t="s">
        <v>1354</v>
      </c>
      <c r="B13" s="45" t="s">
        <v>1926</v>
      </c>
      <c r="C13" s="45" t="s">
        <v>686</v>
      </c>
      <c r="D13" s="14">
        <v>50</v>
      </c>
      <c r="E13" s="7">
        <v>576.25149999999996</v>
      </c>
      <c r="F13" s="7">
        <v>5.8919004921786602</v>
      </c>
    </row>
    <row r="14" spans="1:6" x14ac:dyDescent="0.2">
      <c r="A14" s="45" t="s">
        <v>1361</v>
      </c>
      <c r="B14" s="45" t="s">
        <v>1932</v>
      </c>
      <c r="C14" s="45" t="s">
        <v>917</v>
      </c>
      <c r="D14" s="14">
        <v>52</v>
      </c>
      <c r="E14" s="7">
        <v>530.04016000000001</v>
      </c>
      <c r="F14" s="7">
        <v>5.41941128062739</v>
      </c>
    </row>
    <row r="15" spans="1:6" x14ac:dyDescent="0.2">
      <c r="A15" s="45" t="s">
        <v>1362</v>
      </c>
      <c r="B15" s="45" t="s">
        <v>1933</v>
      </c>
      <c r="C15" s="45" t="s">
        <v>917</v>
      </c>
      <c r="D15" s="14">
        <v>50</v>
      </c>
      <c r="E15" s="7">
        <v>519.01199999999994</v>
      </c>
      <c r="F15" s="7">
        <v>5.3066535327832201</v>
      </c>
    </row>
    <row r="16" spans="1:6" x14ac:dyDescent="0.2">
      <c r="A16" s="45" t="s">
        <v>1346</v>
      </c>
      <c r="B16" s="45" t="s">
        <v>1919</v>
      </c>
      <c r="C16" s="45" t="s">
        <v>686</v>
      </c>
      <c r="D16" s="14">
        <v>50</v>
      </c>
      <c r="E16" s="7">
        <v>509.54349999999999</v>
      </c>
      <c r="F16" s="7">
        <v>5.2098425747029502</v>
      </c>
    </row>
    <row r="17" spans="1:6" x14ac:dyDescent="0.2">
      <c r="A17" s="45" t="s">
        <v>1350</v>
      </c>
      <c r="B17" s="45" t="s">
        <v>1923</v>
      </c>
      <c r="C17" s="45" t="s">
        <v>686</v>
      </c>
      <c r="D17" s="14">
        <v>39</v>
      </c>
      <c r="E17" s="7">
        <v>454.38587999999999</v>
      </c>
      <c r="F17" s="7">
        <v>4.6458818588949997</v>
      </c>
    </row>
    <row r="18" spans="1:6" x14ac:dyDescent="0.2">
      <c r="A18" s="45" t="s">
        <v>1353</v>
      </c>
      <c r="B18" s="45" t="s">
        <v>1925</v>
      </c>
      <c r="C18" s="45" t="s">
        <v>686</v>
      </c>
      <c r="D18" s="14">
        <v>31</v>
      </c>
      <c r="E18" s="7">
        <v>319.08330999999998</v>
      </c>
      <c r="F18" s="7">
        <v>3.26247673322325</v>
      </c>
    </row>
    <row r="19" spans="1:6" x14ac:dyDescent="0.2">
      <c r="A19" s="45" t="s">
        <v>961</v>
      </c>
      <c r="B19" s="45" t="s">
        <v>1642</v>
      </c>
      <c r="C19" s="45" t="s">
        <v>686</v>
      </c>
      <c r="D19" s="14">
        <v>28</v>
      </c>
      <c r="E19" s="7">
        <v>286.30671999999998</v>
      </c>
      <c r="F19" s="7">
        <v>2.9273515200950602</v>
      </c>
    </row>
    <row r="20" spans="1:6" x14ac:dyDescent="0.2">
      <c r="A20" s="45" t="s">
        <v>1363</v>
      </c>
      <c r="B20" s="45" t="s">
        <v>1934</v>
      </c>
      <c r="C20" s="45" t="s">
        <v>686</v>
      </c>
      <c r="D20" s="14">
        <v>26</v>
      </c>
      <c r="E20" s="7">
        <v>268.57427999999999</v>
      </c>
      <c r="F20" s="7">
        <v>2.7460456632538501</v>
      </c>
    </row>
    <row r="21" spans="1:6" x14ac:dyDescent="0.2">
      <c r="A21" s="45" t="s">
        <v>1364</v>
      </c>
      <c r="B21" s="45" t="s">
        <v>1935</v>
      </c>
      <c r="C21" s="45" t="s">
        <v>686</v>
      </c>
      <c r="D21" s="14">
        <v>21</v>
      </c>
      <c r="E21" s="7">
        <v>243.17685</v>
      </c>
      <c r="F21" s="7">
        <v>2.4863688896279799</v>
      </c>
    </row>
    <row r="22" spans="1:6" x14ac:dyDescent="0.2">
      <c r="A22" s="45" t="s">
        <v>1262</v>
      </c>
      <c r="B22" s="45" t="s">
        <v>1859</v>
      </c>
      <c r="C22" s="45" t="s">
        <v>686</v>
      </c>
      <c r="D22" s="14">
        <v>1</v>
      </c>
      <c r="E22" s="7">
        <v>102.25490000000001</v>
      </c>
      <c r="F22" s="7">
        <v>1.04550824707212</v>
      </c>
    </row>
    <row r="23" spans="1:6" x14ac:dyDescent="0.2">
      <c r="A23" s="45" t="s">
        <v>1019</v>
      </c>
      <c r="B23" s="45" t="s">
        <v>1686</v>
      </c>
      <c r="C23" s="45" t="s">
        <v>1020</v>
      </c>
      <c r="D23" s="14">
        <v>6</v>
      </c>
      <c r="E23" s="7">
        <v>68.928539999999998</v>
      </c>
      <c r="F23" s="7">
        <v>0.70476189433113201</v>
      </c>
    </row>
    <row r="24" spans="1:6" x14ac:dyDescent="0.2">
      <c r="A24" s="45" t="s">
        <v>1289</v>
      </c>
      <c r="B24" s="45" t="s">
        <v>1884</v>
      </c>
      <c r="C24" s="45" t="s">
        <v>686</v>
      </c>
      <c r="D24" s="14">
        <v>2</v>
      </c>
      <c r="E24" s="7">
        <v>21.085280000000001</v>
      </c>
      <c r="F24" s="7">
        <v>0.21558706851040699</v>
      </c>
    </row>
    <row r="25" spans="1:6" x14ac:dyDescent="0.2">
      <c r="A25" s="45" t="s">
        <v>1365</v>
      </c>
      <c r="B25" s="45" t="s">
        <v>1936</v>
      </c>
      <c r="C25" s="45" t="s">
        <v>686</v>
      </c>
      <c r="D25" s="14">
        <v>1</v>
      </c>
      <c r="E25" s="7">
        <v>10.166320000000001</v>
      </c>
      <c r="F25" s="7">
        <v>0.103945839293513</v>
      </c>
    </row>
    <row r="26" spans="1:6" x14ac:dyDescent="0.2">
      <c r="A26" s="45" t="s">
        <v>1018</v>
      </c>
      <c r="B26" s="45" t="s">
        <v>1685</v>
      </c>
      <c r="C26" s="45" t="s">
        <v>686</v>
      </c>
      <c r="D26" s="14">
        <v>1</v>
      </c>
      <c r="E26" s="7">
        <v>9.9823199999999996</v>
      </c>
      <c r="F26" s="7">
        <v>0.102064525855611</v>
      </c>
    </row>
    <row r="27" spans="1:6" x14ac:dyDescent="0.2">
      <c r="A27" s="26" t="s">
        <v>44</v>
      </c>
      <c r="B27" s="45"/>
      <c r="C27" s="45"/>
      <c r="D27" s="14"/>
      <c r="E27" s="6">
        <f>SUM(E8:E26)</f>
        <v>8347.917449999999</v>
      </c>
      <c r="F27" s="6">
        <f>SUM(F8:F26)</f>
        <v>85.353528680310234</v>
      </c>
    </row>
    <row r="28" spans="1:6" x14ac:dyDescent="0.2">
      <c r="A28" s="45"/>
      <c r="B28" s="45"/>
      <c r="C28" s="45"/>
      <c r="D28" s="14"/>
      <c r="E28" s="7"/>
      <c r="F28" s="7"/>
    </row>
    <row r="29" spans="1:6" x14ac:dyDescent="0.2">
      <c r="A29" s="26" t="s">
        <v>732</v>
      </c>
      <c r="B29" s="45"/>
      <c r="C29" s="45"/>
      <c r="D29" s="14"/>
      <c r="E29" s="7"/>
      <c r="F29" s="7"/>
    </row>
    <row r="30" spans="1:6" x14ac:dyDescent="0.2">
      <c r="A30" s="45" t="s">
        <v>1366</v>
      </c>
      <c r="B30" s="45" t="s">
        <v>1937</v>
      </c>
      <c r="C30" s="45" t="s">
        <v>925</v>
      </c>
      <c r="D30" s="14">
        <v>95</v>
      </c>
      <c r="E30" s="7">
        <v>956.49990000000003</v>
      </c>
      <c r="F30" s="7">
        <v>9.77976149576849</v>
      </c>
    </row>
    <row r="31" spans="1:6" x14ac:dyDescent="0.2">
      <c r="A31" s="45" t="s">
        <v>1290</v>
      </c>
      <c r="B31" s="45" t="s">
        <v>1885</v>
      </c>
      <c r="C31" s="45" t="s">
        <v>686</v>
      </c>
      <c r="D31" s="14">
        <v>3</v>
      </c>
      <c r="E31" s="7">
        <v>30.089880000000001</v>
      </c>
      <c r="F31" s="7">
        <v>0.30765486733066499</v>
      </c>
    </row>
    <row r="32" spans="1:6" x14ac:dyDescent="0.2">
      <c r="A32" s="26" t="s">
        <v>44</v>
      </c>
      <c r="B32" s="45"/>
      <c r="C32" s="45"/>
      <c r="D32" s="45"/>
      <c r="E32" s="6">
        <f>SUM(E30:E31)</f>
        <v>986.58978000000002</v>
      </c>
      <c r="F32" s="6">
        <f>SUM(F30:F31)</f>
        <v>10.087416363099155</v>
      </c>
    </row>
    <row r="33" spans="1:6" x14ac:dyDescent="0.2">
      <c r="A33" s="45"/>
      <c r="B33" s="45"/>
      <c r="C33" s="45"/>
      <c r="D33" s="45"/>
      <c r="E33" s="7"/>
      <c r="F33" s="7"/>
    </row>
    <row r="34" spans="1:6" x14ac:dyDescent="0.2">
      <c r="A34" s="26" t="s">
        <v>44</v>
      </c>
      <c r="B34" s="45"/>
      <c r="C34" s="45"/>
      <c r="D34" s="45"/>
      <c r="E34" s="6">
        <v>9334.5072299999993</v>
      </c>
      <c r="F34" s="6">
        <v>95.4409450434094</v>
      </c>
    </row>
    <row r="35" spans="1:6" x14ac:dyDescent="0.2">
      <c r="A35" s="45"/>
      <c r="B35" s="45"/>
      <c r="C35" s="45"/>
      <c r="D35" s="45"/>
      <c r="E35" s="7"/>
      <c r="F35" s="7"/>
    </row>
    <row r="36" spans="1:6" x14ac:dyDescent="0.2">
      <c r="A36" s="26" t="s">
        <v>103</v>
      </c>
      <c r="B36" s="45"/>
      <c r="C36" s="45"/>
      <c r="D36" s="45"/>
      <c r="E36" s="6">
        <v>445.89109070000001</v>
      </c>
      <c r="F36" s="6">
        <v>4.5599999999999996</v>
      </c>
    </row>
    <row r="37" spans="1:6" x14ac:dyDescent="0.2">
      <c r="A37" s="45"/>
      <c r="B37" s="45"/>
      <c r="C37" s="45"/>
      <c r="D37" s="45"/>
      <c r="E37" s="7"/>
      <c r="F37" s="7"/>
    </row>
    <row r="38" spans="1:6" x14ac:dyDescent="0.2">
      <c r="A38" s="46" t="s">
        <v>104</v>
      </c>
      <c r="B38" s="44"/>
      <c r="C38" s="44"/>
      <c r="D38" s="44"/>
      <c r="E38" s="8">
        <v>9780.4010906999993</v>
      </c>
      <c r="F38" s="8">
        <f xml:space="preserve"> ROUND(SUM(F34:F37),2)</f>
        <v>100</v>
      </c>
    </row>
    <row r="39" spans="1:6" x14ac:dyDescent="0.2">
      <c r="A39" s="4" t="s">
        <v>1983</v>
      </c>
    </row>
    <row r="40" spans="1:6" x14ac:dyDescent="0.2">
      <c r="A40" s="4"/>
    </row>
    <row r="41" spans="1:6" x14ac:dyDescent="0.2">
      <c r="A41" s="4" t="s">
        <v>105</v>
      </c>
    </row>
    <row r="42" spans="1:6" x14ac:dyDescent="0.2">
      <c r="A42" s="4" t="s">
        <v>769</v>
      </c>
    </row>
    <row r="43" spans="1:6" x14ac:dyDescent="0.2">
      <c r="A43" s="4" t="s">
        <v>107</v>
      </c>
      <c r="D43" s="63"/>
    </row>
    <row r="44" spans="1:6" x14ac:dyDescent="0.2">
      <c r="A44" s="2" t="s">
        <v>666</v>
      </c>
      <c r="D44" s="63">
        <v>10.869199999999999</v>
      </c>
    </row>
    <row r="45" spans="1:6" x14ac:dyDescent="0.2">
      <c r="A45" s="2" t="s">
        <v>667</v>
      </c>
      <c r="D45" s="63">
        <v>10.869199999999999</v>
      </c>
    </row>
    <row r="46" spans="1:6" x14ac:dyDescent="0.2">
      <c r="A46" s="2" t="s">
        <v>668</v>
      </c>
      <c r="D46" s="63">
        <v>10.948</v>
      </c>
    </row>
    <row r="47" spans="1:6" x14ac:dyDescent="0.2">
      <c r="D47" s="11"/>
    </row>
    <row r="48" spans="1:6" x14ac:dyDescent="0.2">
      <c r="A48" s="4" t="s">
        <v>108</v>
      </c>
    </row>
    <row r="49" spans="1:5" x14ac:dyDescent="0.2">
      <c r="A49" s="2" t="s">
        <v>666</v>
      </c>
      <c r="D49" s="10">
        <v>11.417999999999999</v>
      </c>
    </row>
    <row r="50" spans="1:5" x14ac:dyDescent="0.2">
      <c r="A50" s="2" t="s">
        <v>667</v>
      </c>
      <c r="D50" s="10">
        <v>10.7377</v>
      </c>
    </row>
    <row r="51" spans="1:5" x14ac:dyDescent="0.2">
      <c r="A51" s="2" t="s">
        <v>668</v>
      </c>
      <c r="D51" s="10">
        <v>11.5039</v>
      </c>
    </row>
    <row r="53" spans="1:5" x14ac:dyDescent="0.2">
      <c r="A53" s="4" t="s">
        <v>109</v>
      </c>
      <c r="D53" s="30" t="s">
        <v>325</v>
      </c>
    </row>
    <row r="54" spans="1:5" x14ac:dyDescent="0.2">
      <c r="A54" s="31" t="s">
        <v>670</v>
      </c>
      <c r="B54" s="32"/>
      <c r="C54" s="88" t="s">
        <v>671</v>
      </c>
      <c r="D54" s="89"/>
    </row>
    <row r="55" spans="1:5" x14ac:dyDescent="0.2">
      <c r="A55" s="92"/>
      <c r="B55" s="93"/>
      <c r="C55" s="33" t="s">
        <v>672</v>
      </c>
      <c r="D55" s="33" t="s">
        <v>673</v>
      </c>
    </row>
    <row r="56" spans="1:5" x14ac:dyDescent="0.2">
      <c r="A56" s="66" t="s">
        <v>667</v>
      </c>
      <c r="B56" s="40"/>
      <c r="C56" s="68">
        <v>0.46820975500000001</v>
      </c>
      <c r="D56" s="68">
        <v>0.43356456650000003</v>
      </c>
    </row>
    <row r="57" spans="1:5" x14ac:dyDescent="0.2">
      <c r="B57" s="69"/>
      <c r="C57" s="70"/>
      <c r="D57" s="70"/>
    </row>
    <row r="58" spans="1:5" x14ac:dyDescent="0.2">
      <c r="A58" s="4" t="s">
        <v>770</v>
      </c>
      <c r="D58" s="29">
        <v>1.3354692235148249</v>
      </c>
      <c r="E58" s="1" t="s">
        <v>1302</v>
      </c>
    </row>
    <row r="60" spans="1:5" x14ac:dyDescent="0.2">
      <c r="A60" s="4" t="s">
        <v>1989</v>
      </c>
      <c r="D60" s="53" t="s">
        <v>110</v>
      </c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2652-456B-4903-AA93-75248FA1FBD1}">
  <sheetPr codeName="Sheet51"/>
  <dimension ref="A1:F67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1367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1368</v>
      </c>
      <c r="B8" s="45" t="s">
        <v>1938</v>
      </c>
      <c r="C8" s="45" t="s">
        <v>686</v>
      </c>
      <c r="D8" s="14">
        <v>173</v>
      </c>
      <c r="E8" s="7">
        <v>1756.11781</v>
      </c>
      <c r="F8" s="7">
        <v>10.0790182295221</v>
      </c>
    </row>
    <row r="9" spans="1:6" x14ac:dyDescent="0.2">
      <c r="A9" s="45" t="s">
        <v>1369</v>
      </c>
      <c r="B9" s="45" t="s">
        <v>1939</v>
      </c>
      <c r="C9" s="45" t="s">
        <v>686</v>
      </c>
      <c r="D9" s="14">
        <v>161</v>
      </c>
      <c r="E9" s="7">
        <v>1630.2071100000001</v>
      </c>
      <c r="F9" s="7">
        <v>9.3563695362707495</v>
      </c>
    </row>
    <row r="10" spans="1:6" x14ac:dyDescent="0.2">
      <c r="A10" s="45" t="s">
        <v>1361</v>
      </c>
      <c r="B10" s="45" t="s">
        <v>1932</v>
      </c>
      <c r="C10" s="45" t="s">
        <v>917</v>
      </c>
      <c r="D10" s="14">
        <v>150</v>
      </c>
      <c r="E10" s="7">
        <v>1528.962</v>
      </c>
      <c r="F10" s="7">
        <v>8.7752859076388106</v>
      </c>
    </row>
    <row r="11" spans="1:6" x14ac:dyDescent="0.2">
      <c r="A11" s="45" t="s">
        <v>1370</v>
      </c>
      <c r="B11" s="45" t="s">
        <v>1940</v>
      </c>
      <c r="C11" s="45" t="s">
        <v>925</v>
      </c>
      <c r="D11" s="14">
        <v>149</v>
      </c>
      <c r="E11" s="7">
        <v>1513.9517499999999</v>
      </c>
      <c r="F11" s="7">
        <v>8.6891364576883703</v>
      </c>
    </row>
    <row r="12" spans="1:6" x14ac:dyDescent="0.2">
      <c r="A12" s="45" t="s">
        <v>1349</v>
      </c>
      <c r="B12" s="45" t="s">
        <v>1922</v>
      </c>
      <c r="C12" s="45" t="s">
        <v>925</v>
      </c>
      <c r="D12" s="14">
        <v>300</v>
      </c>
      <c r="E12" s="7">
        <v>1507.5645</v>
      </c>
      <c r="F12" s="7">
        <v>8.6524776362699392</v>
      </c>
    </row>
    <row r="13" spans="1:6" x14ac:dyDescent="0.2">
      <c r="A13" s="45" t="s">
        <v>1371</v>
      </c>
      <c r="B13" s="45" t="s">
        <v>1941</v>
      </c>
      <c r="C13" s="45" t="s">
        <v>686</v>
      </c>
      <c r="D13" s="14">
        <v>128</v>
      </c>
      <c r="E13" s="7">
        <v>1153.20704</v>
      </c>
      <c r="F13" s="7">
        <v>6.6186873752924296</v>
      </c>
    </row>
    <row r="14" spans="1:6" x14ac:dyDescent="0.2">
      <c r="A14" s="45" t="s">
        <v>1347</v>
      </c>
      <c r="B14" s="45" t="s">
        <v>1920</v>
      </c>
      <c r="C14" s="45" t="s">
        <v>686</v>
      </c>
      <c r="D14" s="14">
        <v>101</v>
      </c>
      <c r="E14" s="7">
        <v>1043.1158800000001</v>
      </c>
      <c r="F14" s="7">
        <v>5.9868329505888704</v>
      </c>
    </row>
    <row r="15" spans="1:6" x14ac:dyDescent="0.2">
      <c r="A15" s="45" t="s">
        <v>1364</v>
      </c>
      <c r="B15" s="45" t="s">
        <v>1935</v>
      </c>
      <c r="C15" s="45" t="s">
        <v>686</v>
      </c>
      <c r="D15" s="14">
        <v>89</v>
      </c>
      <c r="E15" s="7">
        <v>1030.6066499999999</v>
      </c>
      <c r="F15" s="7">
        <v>5.9150377916938703</v>
      </c>
    </row>
    <row r="16" spans="1:6" x14ac:dyDescent="0.2">
      <c r="A16" s="45" t="s">
        <v>1350</v>
      </c>
      <c r="B16" s="45" t="s">
        <v>1923</v>
      </c>
      <c r="C16" s="45" t="s">
        <v>686</v>
      </c>
      <c r="D16" s="14">
        <v>84</v>
      </c>
      <c r="E16" s="7">
        <v>978.67728</v>
      </c>
      <c r="F16" s="7">
        <v>5.6169956763544704</v>
      </c>
    </row>
    <row r="17" spans="1:6" x14ac:dyDescent="0.2">
      <c r="A17" s="45" t="s">
        <v>1372</v>
      </c>
      <c r="B17" s="45" t="s">
        <v>1942</v>
      </c>
      <c r="C17" s="45" t="s">
        <v>686</v>
      </c>
      <c r="D17" s="14">
        <v>50</v>
      </c>
      <c r="E17" s="7">
        <v>506.25349999999997</v>
      </c>
      <c r="F17" s="7">
        <v>2.9055785586841401</v>
      </c>
    </row>
    <row r="18" spans="1:6" x14ac:dyDescent="0.2">
      <c r="A18" s="45" t="s">
        <v>961</v>
      </c>
      <c r="B18" s="45" t="s">
        <v>1642</v>
      </c>
      <c r="C18" s="45" t="s">
        <v>686</v>
      </c>
      <c r="D18" s="14">
        <v>29</v>
      </c>
      <c r="E18" s="7">
        <v>296.53196000000003</v>
      </c>
      <c r="F18" s="7">
        <v>1.7019080459504701</v>
      </c>
    </row>
    <row r="19" spans="1:6" x14ac:dyDescent="0.2">
      <c r="A19" s="45" t="s">
        <v>1018</v>
      </c>
      <c r="B19" s="45" t="s">
        <v>1685</v>
      </c>
      <c r="C19" s="45" t="s">
        <v>686</v>
      </c>
      <c r="D19" s="14">
        <v>24</v>
      </c>
      <c r="E19" s="7">
        <v>239.57568000000001</v>
      </c>
      <c r="F19" s="7">
        <v>1.3750146102499501</v>
      </c>
    </row>
    <row r="20" spans="1:6" x14ac:dyDescent="0.2">
      <c r="A20" s="45" t="s">
        <v>1360</v>
      </c>
      <c r="B20" s="45" t="s">
        <v>1931</v>
      </c>
      <c r="C20" s="45" t="s">
        <v>925</v>
      </c>
      <c r="D20" s="14">
        <v>22</v>
      </c>
      <c r="E20" s="7">
        <v>221.07228000000001</v>
      </c>
      <c r="F20" s="7">
        <v>1.26881666336612</v>
      </c>
    </row>
    <row r="21" spans="1:6" x14ac:dyDescent="0.2">
      <c r="A21" s="45" t="s">
        <v>1337</v>
      </c>
      <c r="B21" s="45" t="s">
        <v>1912</v>
      </c>
      <c r="C21" s="45" t="s">
        <v>686</v>
      </c>
      <c r="D21" s="14">
        <v>15</v>
      </c>
      <c r="E21" s="7">
        <v>174.6156</v>
      </c>
      <c r="F21" s="7">
        <v>1.00218436686713</v>
      </c>
    </row>
    <row r="22" spans="1:6" x14ac:dyDescent="0.2">
      <c r="A22" s="45" t="s">
        <v>1328</v>
      </c>
      <c r="B22" s="45" t="s">
        <v>1909</v>
      </c>
      <c r="C22" s="45" t="s">
        <v>686</v>
      </c>
      <c r="D22" s="14">
        <v>9</v>
      </c>
      <c r="E22" s="7">
        <v>90.61506</v>
      </c>
      <c r="F22" s="7">
        <v>0.52007378799332205</v>
      </c>
    </row>
    <row r="23" spans="1:6" x14ac:dyDescent="0.2">
      <c r="A23" s="26" t="s">
        <v>44</v>
      </c>
      <c r="B23" s="45"/>
      <c r="C23" s="45"/>
      <c r="D23" s="14"/>
      <c r="E23" s="6">
        <f>SUM(E8:E22)</f>
        <v>13671.0741</v>
      </c>
      <c r="F23" s="6">
        <f>SUM(F8:F22)</f>
        <v>78.463417594430751</v>
      </c>
    </row>
    <row r="24" spans="1:6" x14ac:dyDescent="0.2">
      <c r="A24" s="45"/>
      <c r="B24" s="45"/>
      <c r="C24" s="45"/>
      <c r="D24" s="14"/>
      <c r="E24" s="7"/>
      <c r="F24" s="7"/>
    </row>
    <row r="25" spans="1:6" x14ac:dyDescent="0.2">
      <c r="A25" s="26" t="s">
        <v>732</v>
      </c>
      <c r="B25" s="45"/>
      <c r="C25" s="45"/>
      <c r="D25" s="14"/>
      <c r="E25" s="7"/>
      <c r="F25" s="7"/>
    </row>
    <row r="26" spans="1:6" x14ac:dyDescent="0.2">
      <c r="A26" s="45" t="s">
        <v>1366</v>
      </c>
      <c r="B26" s="45" t="s">
        <v>1937</v>
      </c>
      <c r="C26" s="45" t="s">
        <v>925</v>
      </c>
      <c r="D26" s="14">
        <v>150</v>
      </c>
      <c r="E26" s="7">
        <v>1510.2629999999999</v>
      </c>
      <c r="F26" s="7">
        <v>8.6679653390524507</v>
      </c>
    </row>
    <row r="27" spans="1:6" x14ac:dyDescent="0.2">
      <c r="A27" s="45" t="s">
        <v>1373</v>
      </c>
      <c r="B27" s="45" t="s">
        <v>1943</v>
      </c>
      <c r="C27" s="45" t="s">
        <v>686</v>
      </c>
      <c r="D27" s="14">
        <v>150</v>
      </c>
      <c r="E27" s="7">
        <v>1504.6305</v>
      </c>
      <c r="F27" s="7">
        <v>8.6356383107320802</v>
      </c>
    </row>
    <row r="28" spans="1:6" x14ac:dyDescent="0.2">
      <c r="A28" s="45" t="s">
        <v>1290</v>
      </c>
      <c r="B28" s="45" t="s">
        <v>1885</v>
      </c>
      <c r="C28" s="45" t="s">
        <v>686</v>
      </c>
      <c r="D28" s="14">
        <v>2</v>
      </c>
      <c r="E28" s="7">
        <v>20.059920000000002</v>
      </c>
      <c r="F28" s="7">
        <v>0.115131398481036</v>
      </c>
    </row>
    <row r="29" spans="1:6" x14ac:dyDescent="0.2">
      <c r="A29" s="26" t="s">
        <v>44</v>
      </c>
      <c r="B29" s="45"/>
      <c r="C29" s="45"/>
      <c r="D29" s="45"/>
      <c r="E29" s="6">
        <f>SUM(E26:E28)</f>
        <v>3034.9534200000003</v>
      </c>
      <c r="F29" s="6">
        <f>SUM(F26:F28)</f>
        <v>17.418735048265567</v>
      </c>
    </row>
    <row r="30" spans="1:6" x14ac:dyDescent="0.2">
      <c r="A30" s="45"/>
      <c r="B30" s="45"/>
      <c r="C30" s="45"/>
      <c r="D30" s="45"/>
      <c r="E30" s="7"/>
      <c r="F30" s="7"/>
    </row>
    <row r="31" spans="1:6" x14ac:dyDescent="0.2">
      <c r="A31" s="26" t="s">
        <v>44</v>
      </c>
      <c r="B31" s="45"/>
      <c r="C31" s="45"/>
      <c r="D31" s="45"/>
      <c r="E31" s="6">
        <v>16706.02752</v>
      </c>
      <c r="F31" s="6">
        <v>95.882152642696312</v>
      </c>
    </row>
    <row r="32" spans="1:6" x14ac:dyDescent="0.2">
      <c r="A32" s="45"/>
      <c r="B32" s="45"/>
      <c r="C32" s="45"/>
      <c r="D32" s="45"/>
      <c r="E32" s="7"/>
      <c r="F32" s="7"/>
    </row>
    <row r="33" spans="1:6" x14ac:dyDescent="0.2">
      <c r="A33" s="26" t="s">
        <v>103</v>
      </c>
      <c r="B33" s="45"/>
      <c r="C33" s="45"/>
      <c r="D33" s="45"/>
      <c r="E33" s="6">
        <v>717.47068239999999</v>
      </c>
      <c r="F33" s="6">
        <v>4.12</v>
      </c>
    </row>
    <row r="34" spans="1:6" x14ac:dyDescent="0.2">
      <c r="A34" s="45"/>
      <c r="B34" s="45"/>
      <c r="C34" s="45"/>
      <c r="D34" s="45"/>
      <c r="E34" s="7"/>
      <c r="F34" s="7"/>
    </row>
    <row r="35" spans="1:6" x14ac:dyDescent="0.2">
      <c r="A35" s="46" t="s">
        <v>104</v>
      </c>
      <c r="B35" s="44"/>
      <c r="C35" s="44"/>
      <c r="D35" s="44"/>
      <c r="E35" s="8">
        <v>17423.500682400001</v>
      </c>
      <c r="F35" s="8">
        <f xml:space="preserve"> ROUND(SUM(F31:F34),2)</f>
        <v>100</v>
      </c>
    </row>
    <row r="36" spans="1:6" x14ac:dyDescent="0.2">
      <c r="A36" s="4" t="s">
        <v>1983</v>
      </c>
    </row>
    <row r="37" spans="1:6" x14ac:dyDescent="0.2">
      <c r="A37" s="4"/>
    </row>
    <row r="38" spans="1:6" x14ac:dyDescent="0.2">
      <c r="A38" s="4" t="s">
        <v>105</v>
      </c>
    </row>
    <row r="39" spans="1:6" x14ac:dyDescent="0.2">
      <c r="A39" s="4" t="s">
        <v>769</v>
      </c>
    </row>
    <row r="40" spans="1:6" x14ac:dyDescent="0.2">
      <c r="A40" s="4" t="s">
        <v>107</v>
      </c>
    </row>
    <row r="41" spans="1:6" x14ac:dyDescent="0.2">
      <c r="A41" s="2" t="s">
        <v>666</v>
      </c>
      <c r="D41" s="10">
        <v>10.9239</v>
      </c>
    </row>
    <row r="42" spans="1:6" x14ac:dyDescent="0.2">
      <c r="A42" s="2" t="s">
        <v>667</v>
      </c>
      <c r="D42" s="10">
        <v>10.9239</v>
      </c>
    </row>
    <row r="43" spans="1:6" x14ac:dyDescent="0.2">
      <c r="A43" s="2" t="s">
        <v>1222</v>
      </c>
      <c r="D43" s="10">
        <v>10.3185</v>
      </c>
    </row>
    <row r="44" spans="1:6" x14ac:dyDescent="0.2">
      <c r="A44" s="2" t="s">
        <v>668</v>
      </c>
      <c r="D44" s="10">
        <v>10.989599999999999</v>
      </c>
    </row>
    <row r="45" spans="1:6" x14ac:dyDescent="0.2">
      <c r="A45" s="2" t="s">
        <v>669</v>
      </c>
      <c r="D45" s="10">
        <v>10.989599999999999</v>
      </c>
    </row>
    <row r="46" spans="1:6" x14ac:dyDescent="0.2">
      <c r="A46" s="2" t="s">
        <v>1224</v>
      </c>
      <c r="D46" s="10">
        <v>10.3728</v>
      </c>
    </row>
    <row r="48" spans="1:6" x14ac:dyDescent="0.2">
      <c r="A48" s="4" t="s">
        <v>108</v>
      </c>
    </row>
    <row r="49" spans="1:6" x14ac:dyDescent="0.2">
      <c r="A49" s="2" t="s">
        <v>666</v>
      </c>
      <c r="D49" s="10">
        <v>11.479900000000001</v>
      </c>
    </row>
    <row r="50" spans="1:6" x14ac:dyDescent="0.2">
      <c r="A50" s="2" t="s">
        <v>667</v>
      </c>
      <c r="D50" s="10">
        <v>10.747199999999999</v>
      </c>
    </row>
    <row r="51" spans="1:6" x14ac:dyDescent="0.2">
      <c r="A51" s="2" t="s">
        <v>1222</v>
      </c>
      <c r="D51" s="10">
        <v>10.430400000000001</v>
      </c>
    </row>
    <row r="52" spans="1:6" x14ac:dyDescent="0.2">
      <c r="A52" s="2" t="s">
        <v>668</v>
      </c>
      <c r="D52" s="10">
        <v>11.548999999999999</v>
      </c>
    </row>
    <row r="53" spans="1:6" x14ac:dyDescent="0.2">
      <c r="A53" s="2" t="s">
        <v>669</v>
      </c>
      <c r="D53" s="10">
        <v>10.8163</v>
      </c>
    </row>
    <row r="54" spans="1:6" x14ac:dyDescent="0.2">
      <c r="A54" s="2" t="s">
        <v>1224</v>
      </c>
      <c r="D54" s="10">
        <v>10.4878</v>
      </c>
    </row>
    <row r="57" spans="1:6" x14ac:dyDescent="0.2">
      <c r="A57" s="4" t="s">
        <v>109</v>
      </c>
      <c r="D57" s="30" t="s">
        <v>325</v>
      </c>
    </row>
    <row r="58" spans="1:6" x14ac:dyDescent="0.2">
      <c r="A58" s="31" t="s">
        <v>670</v>
      </c>
      <c r="B58" s="32"/>
      <c r="C58" s="88" t="s">
        <v>671</v>
      </c>
      <c r="D58" s="89"/>
    </row>
    <row r="59" spans="1:6" x14ac:dyDescent="0.2">
      <c r="A59" s="92"/>
      <c r="B59" s="93"/>
      <c r="C59" s="33" t="s">
        <v>672</v>
      </c>
      <c r="D59" s="33" t="s">
        <v>673</v>
      </c>
    </row>
    <row r="60" spans="1:6" s="4" customFormat="1" x14ac:dyDescent="0.2">
      <c r="A60" s="2" t="s">
        <v>667</v>
      </c>
      <c r="B60" s="40"/>
      <c r="C60" s="67">
        <v>0.50422589000000007</v>
      </c>
      <c r="D60" s="67">
        <v>0.46691568700000002</v>
      </c>
      <c r="E60" s="9"/>
      <c r="F60" s="9"/>
    </row>
    <row r="61" spans="1:6" s="4" customFormat="1" x14ac:dyDescent="0.2">
      <c r="A61" s="34" t="s">
        <v>1334</v>
      </c>
      <c r="B61" s="35"/>
      <c r="C61" s="67">
        <v>0.28812908000000004</v>
      </c>
      <c r="D61" s="67">
        <v>0.26680896409999999</v>
      </c>
      <c r="E61" s="9"/>
      <c r="F61" s="9"/>
    </row>
    <row r="62" spans="1:6" s="4" customFormat="1" x14ac:dyDescent="0.2">
      <c r="A62" s="66" t="s">
        <v>669</v>
      </c>
      <c r="B62" s="35"/>
      <c r="C62" s="67">
        <v>0.50422589000000007</v>
      </c>
      <c r="D62" s="67">
        <v>0.46691568700000002</v>
      </c>
      <c r="E62" s="9"/>
      <c r="F62" s="9"/>
    </row>
    <row r="63" spans="1:6" s="4" customFormat="1" x14ac:dyDescent="0.2">
      <c r="A63" s="71" t="s">
        <v>1224</v>
      </c>
      <c r="B63" s="35"/>
      <c r="C63" s="67">
        <v>0.28812908000000004</v>
      </c>
      <c r="D63" s="67">
        <v>0.26680896409999999</v>
      </c>
      <c r="E63" s="9"/>
      <c r="F63" s="9"/>
    </row>
    <row r="64" spans="1:6" x14ac:dyDescent="0.2">
      <c r="A64" s="4"/>
      <c r="D64" s="50"/>
    </row>
    <row r="65" spans="1:5" x14ac:dyDescent="0.2">
      <c r="A65" s="4" t="s">
        <v>770</v>
      </c>
      <c r="D65" s="29">
        <v>1.3034239001892483</v>
      </c>
      <c r="E65" s="1" t="s">
        <v>1302</v>
      </c>
    </row>
    <row r="67" spans="1:5" x14ac:dyDescent="0.2">
      <c r="A67" s="4" t="s">
        <v>1989</v>
      </c>
      <c r="D67" s="53" t="s">
        <v>110</v>
      </c>
    </row>
  </sheetData>
  <mergeCells count="3">
    <mergeCell ref="A1:F1"/>
    <mergeCell ref="C58:D58"/>
    <mergeCell ref="A59:B59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A01A-D5D0-441D-AFA5-A73FA6B4805C}">
  <sheetPr codeName="Sheet52"/>
  <dimension ref="A1:F59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6" style="2" bestFit="1" customWidth="1"/>
    <col min="3" max="3" width="11.7109375" style="2" bestFit="1" customWidth="1"/>
    <col min="4" max="4" width="6.5703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1374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1369</v>
      </c>
      <c r="B8" s="45" t="s">
        <v>1939</v>
      </c>
      <c r="C8" s="45" t="s">
        <v>686</v>
      </c>
      <c r="D8" s="14">
        <v>52</v>
      </c>
      <c r="E8" s="7">
        <v>526.52652</v>
      </c>
      <c r="F8" s="7">
        <v>9.7904536206189992</v>
      </c>
    </row>
    <row r="9" spans="1:6" x14ac:dyDescent="0.2">
      <c r="A9" s="45" t="s">
        <v>1350</v>
      </c>
      <c r="B9" s="45" t="s">
        <v>1923</v>
      </c>
      <c r="C9" s="45" t="s">
        <v>686</v>
      </c>
      <c r="D9" s="14">
        <v>45</v>
      </c>
      <c r="E9" s="7">
        <v>524.29139999999995</v>
      </c>
      <c r="F9" s="7">
        <v>9.7488928675224304</v>
      </c>
    </row>
    <row r="10" spans="1:6" x14ac:dyDescent="0.2">
      <c r="A10" s="45" t="s">
        <v>1364</v>
      </c>
      <c r="B10" s="45" t="s">
        <v>1935</v>
      </c>
      <c r="C10" s="45" t="s">
        <v>686</v>
      </c>
      <c r="D10" s="14">
        <v>45</v>
      </c>
      <c r="E10" s="7">
        <v>521.09325000000001</v>
      </c>
      <c r="F10" s="7">
        <v>9.6894251331207908</v>
      </c>
    </row>
    <row r="11" spans="1:6" x14ac:dyDescent="0.2">
      <c r="A11" s="45" t="s">
        <v>1361</v>
      </c>
      <c r="B11" s="45" t="s">
        <v>1932</v>
      </c>
      <c r="C11" s="45" t="s">
        <v>917</v>
      </c>
      <c r="D11" s="14">
        <v>46</v>
      </c>
      <c r="E11" s="7">
        <v>468.88168000000002</v>
      </c>
      <c r="F11" s="7">
        <v>8.7185814336529894</v>
      </c>
    </row>
    <row r="12" spans="1:6" x14ac:dyDescent="0.2">
      <c r="A12" s="45" t="s">
        <v>1372</v>
      </c>
      <c r="B12" s="45" t="s">
        <v>1942</v>
      </c>
      <c r="C12" s="45" t="s">
        <v>686</v>
      </c>
      <c r="D12" s="14">
        <v>46</v>
      </c>
      <c r="E12" s="7">
        <v>465.75322</v>
      </c>
      <c r="F12" s="7">
        <v>8.6604095441649491</v>
      </c>
    </row>
    <row r="13" spans="1:6" x14ac:dyDescent="0.2">
      <c r="A13" s="45" t="s">
        <v>1368</v>
      </c>
      <c r="B13" s="45" t="s">
        <v>1938</v>
      </c>
      <c r="C13" s="45" t="s">
        <v>686</v>
      </c>
      <c r="D13" s="14">
        <v>45</v>
      </c>
      <c r="E13" s="7">
        <v>456.79365000000001</v>
      </c>
      <c r="F13" s="7">
        <v>8.4938115643600796</v>
      </c>
    </row>
    <row r="14" spans="1:6" x14ac:dyDescent="0.2">
      <c r="A14" s="45" t="s">
        <v>961</v>
      </c>
      <c r="B14" s="45" t="s">
        <v>1642</v>
      </c>
      <c r="C14" s="45" t="s">
        <v>686</v>
      </c>
      <c r="D14" s="14">
        <v>38</v>
      </c>
      <c r="E14" s="7">
        <v>388.55912000000001</v>
      </c>
      <c r="F14" s="7">
        <v>7.2250302667157804</v>
      </c>
    </row>
    <row r="15" spans="1:6" x14ac:dyDescent="0.2">
      <c r="A15" s="45" t="s">
        <v>1278</v>
      </c>
      <c r="B15" s="45" t="s">
        <v>1873</v>
      </c>
      <c r="C15" s="45" t="s">
        <v>917</v>
      </c>
      <c r="D15" s="14">
        <v>34</v>
      </c>
      <c r="E15" s="7">
        <v>385.21456000000001</v>
      </c>
      <c r="F15" s="7">
        <v>7.1628401237361299</v>
      </c>
    </row>
    <row r="16" spans="1:6" x14ac:dyDescent="0.2">
      <c r="A16" s="45" t="s">
        <v>1337</v>
      </c>
      <c r="B16" s="45" t="s">
        <v>1912</v>
      </c>
      <c r="C16" s="45" t="s">
        <v>686</v>
      </c>
      <c r="D16" s="14">
        <v>28</v>
      </c>
      <c r="E16" s="7">
        <v>325.94911999999999</v>
      </c>
      <c r="F16" s="7">
        <v>6.06083382474558</v>
      </c>
    </row>
    <row r="17" spans="1:6" x14ac:dyDescent="0.2">
      <c r="A17" s="45" t="s">
        <v>1019</v>
      </c>
      <c r="B17" s="45" t="s">
        <v>1686</v>
      </c>
      <c r="C17" s="45" t="s">
        <v>1020</v>
      </c>
      <c r="D17" s="14">
        <v>20</v>
      </c>
      <c r="E17" s="7">
        <v>229.76179999999999</v>
      </c>
      <c r="F17" s="7">
        <v>4.2722866963850903</v>
      </c>
    </row>
    <row r="18" spans="1:6" x14ac:dyDescent="0.2">
      <c r="A18" s="45" t="s">
        <v>1359</v>
      </c>
      <c r="B18" s="45" t="s">
        <v>1930</v>
      </c>
      <c r="C18" s="45" t="s">
        <v>917</v>
      </c>
      <c r="D18" s="14">
        <v>20</v>
      </c>
      <c r="E18" s="7">
        <v>204.0164</v>
      </c>
      <c r="F18" s="7">
        <v>3.7935659955848999</v>
      </c>
    </row>
    <row r="19" spans="1:6" x14ac:dyDescent="0.2">
      <c r="A19" s="45" t="s">
        <v>1375</v>
      </c>
      <c r="B19" s="45" t="s">
        <v>1944</v>
      </c>
      <c r="C19" s="45" t="s">
        <v>686</v>
      </c>
      <c r="D19" s="14">
        <v>17</v>
      </c>
      <c r="E19" s="7">
        <v>154.07355000000001</v>
      </c>
      <c r="F19" s="7">
        <v>2.8649078216214501</v>
      </c>
    </row>
    <row r="20" spans="1:6" x14ac:dyDescent="0.2">
      <c r="A20" s="45" t="s">
        <v>1018</v>
      </c>
      <c r="B20" s="45" t="s">
        <v>1685</v>
      </c>
      <c r="C20" s="45" t="s">
        <v>686</v>
      </c>
      <c r="D20" s="14">
        <v>1</v>
      </c>
      <c r="E20" s="7">
        <v>9.9823199999999996</v>
      </c>
      <c r="F20" s="7">
        <v>0.18561541968708001</v>
      </c>
    </row>
    <row r="21" spans="1:6" x14ac:dyDescent="0.2">
      <c r="A21" s="26" t="s">
        <v>44</v>
      </c>
      <c r="B21" s="45"/>
      <c r="C21" s="45"/>
      <c r="D21" s="14"/>
      <c r="E21" s="6">
        <f>SUM(E8:E20)</f>
        <v>4660.8965900000003</v>
      </c>
      <c r="F21" s="6">
        <f>SUM(F8:F20)</f>
        <v>86.666654311916261</v>
      </c>
    </row>
    <row r="22" spans="1:6" x14ac:dyDescent="0.2">
      <c r="A22" s="45"/>
      <c r="B22" s="45"/>
      <c r="C22" s="45"/>
      <c r="D22" s="14"/>
      <c r="E22" s="7"/>
      <c r="F22" s="7"/>
    </row>
    <row r="23" spans="1:6" x14ac:dyDescent="0.2">
      <c r="A23" s="26" t="s">
        <v>732</v>
      </c>
      <c r="B23" s="45"/>
      <c r="C23" s="45"/>
      <c r="D23" s="14"/>
      <c r="E23" s="7"/>
      <c r="F23" s="7"/>
    </row>
    <row r="24" spans="1:6" x14ac:dyDescent="0.2">
      <c r="A24" s="45" t="s">
        <v>1366</v>
      </c>
      <c r="B24" s="45" t="s">
        <v>1937</v>
      </c>
      <c r="C24" s="45" t="s">
        <v>925</v>
      </c>
      <c r="D24" s="14">
        <v>45</v>
      </c>
      <c r="E24" s="7">
        <v>453.07889999999998</v>
      </c>
      <c r="F24" s="7">
        <v>8.4247379541890393</v>
      </c>
    </row>
    <row r="25" spans="1:6" x14ac:dyDescent="0.2">
      <c r="A25" s="45" t="s">
        <v>1290</v>
      </c>
      <c r="B25" s="45" t="s">
        <v>1885</v>
      </c>
      <c r="C25" s="45" t="s">
        <v>686</v>
      </c>
      <c r="D25" s="14">
        <v>6</v>
      </c>
      <c r="E25" s="7">
        <v>60.179760000000002</v>
      </c>
      <c r="F25" s="7">
        <v>1.11900754624854</v>
      </c>
    </row>
    <row r="26" spans="1:6" x14ac:dyDescent="0.2">
      <c r="A26" s="26" t="s">
        <v>44</v>
      </c>
      <c r="B26" s="45"/>
      <c r="C26" s="45"/>
      <c r="D26" s="45"/>
      <c r="E26" s="6">
        <f>SUM(E24:E25)</f>
        <v>513.25865999999996</v>
      </c>
      <c r="F26" s="6">
        <f>SUM(F24:F25)</f>
        <v>9.5437455004375789</v>
      </c>
    </row>
    <row r="27" spans="1:6" x14ac:dyDescent="0.2">
      <c r="A27" s="45"/>
      <c r="B27" s="45"/>
      <c r="C27" s="45"/>
      <c r="D27" s="45"/>
      <c r="E27" s="7"/>
      <c r="F27" s="7"/>
    </row>
    <row r="28" spans="1:6" x14ac:dyDescent="0.2">
      <c r="A28" s="26" t="s">
        <v>44</v>
      </c>
      <c r="B28" s="45"/>
      <c r="C28" s="45"/>
      <c r="D28" s="45"/>
      <c r="E28" s="6">
        <v>5174.1552499999998</v>
      </c>
      <c r="F28" s="6">
        <v>96.210399812353842</v>
      </c>
    </row>
    <row r="29" spans="1:6" x14ac:dyDescent="0.2">
      <c r="A29" s="45"/>
      <c r="B29" s="45"/>
      <c r="C29" s="45"/>
      <c r="D29" s="45"/>
      <c r="E29" s="7"/>
      <c r="F29" s="7"/>
    </row>
    <row r="30" spans="1:6" x14ac:dyDescent="0.2">
      <c r="A30" s="26" t="s">
        <v>103</v>
      </c>
      <c r="B30" s="45"/>
      <c r="C30" s="45"/>
      <c r="D30" s="45"/>
      <c r="E30" s="6">
        <v>203.7983705</v>
      </c>
      <c r="F30" s="6">
        <v>3.79</v>
      </c>
    </row>
    <row r="31" spans="1:6" x14ac:dyDescent="0.2">
      <c r="A31" s="45"/>
      <c r="B31" s="45"/>
      <c r="C31" s="45"/>
      <c r="D31" s="45"/>
      <c r="E31" s="7"/>
      <c r="F31" s="7"/>
    </row>
    <row r="32" spans="1:6" x14ac:dyDescent="0.2">
      <c r="A32" s="46" t="s">
        <v>104</v>
      </c>
      <c r="B32" s="44"/>
      <c r="C32" s="44"/>
      <c r="D32" s="44"/>
      <c r="E32" s="8">
        <v>5377.9583704999995</v>
      </c>
      <c r="F32" s="8">
        <f xml:space="preserve"> ROUND(SUM(F28:F31),2)</f>
        <v>100</v>
      </c>
    </row>
    <row r="33" spans="1:4" x14ac:dyDescent="0.2">
      <c r="A33" s="4" t="s">
        <v>1983</v>
      </c>
    </row>
    <row r="34" spans="1:4" x14ac:dyDescent="0.2">
      <c r="A34" s="4"/>
    </row>
    <row r="35" spans="1:4" x14ac:dyDescent="0.2">
      <c r="A35" s="4" t="s">
        <v>105</v>
      </c>
    </row>
    <row r="36" spans="1:4" x14ac:dyDescent="0.2">
      <c r="A36" s="4" t="s">
        <v>769</v>
      </c>
    </row>
    <row r="37" spans="1:4" x14ac:dyDescent="0.2">
      <c r="A37" s="4" t="s">
        <v>107</v>
      </c>
    </row>
    <row r="38" spans="1:4" x14ac:dyDescent="0.2">
      <c r="A38" s="2" t="s">
        <v>666</v>
      </c>
      <c r="D38" s="10">
        <v>10.8637</v>
      </c>
    </row>
    <row r="39" spans="1:4" x14ac:dyDescent="0.2">
      <c r="A39" s="2" t="s">
        <v>667</v>
      </c>
      <c r="D39" s="10">
        <v>10.2829</v>
      </c>
    </row>
    <row r="40" spans="1:4" x14ac:dyDescent="0.2">
      <c r="A40" s="2" t="s">
        <v>1222</v>
      </c>
      <c r="D40" s="10">
        <v>10.292</v>
      </c>
    </row>
    <row r="41" spans="1:4" x14ac:dyDescent="0.2">
      <c r="A41" s="2" t="s">
        <v>668</v>
      </c>
      <c r="D41" s="10">
        <v>10.929</v>
      </c>
    </row>
    <row r="42" spans="1:4" x14ac:dyDescent="0.2">
      <c r="A42" s="2" t="s">
        <v>1224</v>
      </c>
      <c r="D42" s="10">
        <v>10.3462</v>
      </c>
    </row>
    <row r="44" spans="1:4" x14ac:dyDescent="0.2">
      <c r="A44" s="4" t="s">
        <v>108</v>
      </c>
    </row>
    <row r="45" spans="1:4" x14ac:dyDescent="0.2">
      <c r="A45" s="2" t="s">
        <v>666</v>
      </c>
      <c r="D45" s="10">
        <v>11.414</v>
      </c>
    </row>
    <row r="46" spans="1:4" x14ac:dyDescent="0.2">
      <c r="A46" s="2" t="s">
        <v>667</v>
      </c>
      <c r="D46" s="10">
        <v>10.803800000000001</v>
      </c>
    </row>
    <row r="47" spans="1:4" x14ac:dyDescent="0.2">
      <c r="A47" s="2" t="s">
        <v>1222</v>
      </c>
      <c r="D47" s="10">
        <v>10.3063</v>
      </c>
    </row>
    <row r="48" spans="1:4" x14ac:dyDescent="0.2">
      <c r="A48" s="2" t="s">
        <v>668</v>
      </c>
      <c r="D48" s="10">
        <v>11.4826</v>
      </c>
    </row>
    <row r="49" spans="1:5" x14ac:dyDescent="0.2">
      <c r="A49" s="2" t="s">
        <v>1224</v>
      </c>
      <c r="D49" s="10">
        <v>10.363300000000001</v>
      </c>
    </row>
    <row r="51" spans="1:5" x14ac:dyDescent="0.2">
      <c r="A51" s="4" t="s">
        <v>109</v>
      </c>
      <c r="D51" s="30" t="s">
        <v>325</v>
      </c>
    </row>
    <row r="52" spans="1:5" x14ac:dyDescent="0.2">
      <c r="A52" s="31" t="s">
        <v>670</v>
      </c>
      <c r="B52" s="32"/>
      <c r="C52" s="88" t="s">
        <v>671</v>
      </c>
      <c r="D52" s="89"/>
    </row>
    <row r="53" spans="1:5" x14ac:dyDescent="0.2">
      <c r="A53" s="92"/>
      <c r="B53" s="93"/>
      <c r="C53" s="33" t="s">
        <v>672</v>
      </c>
      <c r="D53" s="33" t="s">
        <v>673</v>
      </c>
    </row>
    <row r="54" spans="1:5" x14ac:dyDescent="0.2">
      <c r="A54" s="34" t="s">
        <v>1222</v>
      </c>
      <c r="B54" s="35"/>
      <c r="C54" s="67">
        <v>0.35295812300000001</v>
      </c>
      <c r="D54" s="67">
        <v>0.32684098100000003</v>
      </c>
    </row>
    <row r="55" spans="1:5" x14ac:dyDescent="0.2">
      <c r="A55" s="34" t="s">
        <v>1224</v>
      </c>
      <c r="B55" s="35"/>
      <c r="C55" s="67">
        <v>0.35295812300000001</v>
      </c>
      <c r="D55" s="67">
        <v>0.32684098100000003</v>
      </c>
    </row>
    <row r="57" spans="1:5" x14ac:dyDescent="0.2">
      <c r="A57" s="4" t="s">
        <v>770</v>
      </c>
      <c r="D57" s="29">
        <v>1.2692909576117986</v>
      </c>
      <c r="E57" s="1" t="s">
        <v>771</v>
      </c>
    </row>
    <row r="59" spans="1:5" x14ac:dyDescent="0.2">
      <c r="A59" s="4" t="s">
        <v>1989</v>
      </c>
      <c r="D59" s="53" t="s">
        <v>110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489F-3B45-4552-B960-7A42A123FEFA}">
  <sheetPr codeName="Sheet53"/>
  <dimension ref="A1:J66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1376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1350</v>
      </c>
      <c r="B8" s="45" t="s">
        <v>1923</v>
      </c>
      <c r="C8" s="45" t="s">
        <v>686</v>
      </c>
      <c r="D8" s="14">
        <v>100</v>
      </c>
      <c r="E8" s="7">
        <v>1165.0920000000001</v>
      </c>
      <c r="F8" s="7">
        <v>9.9072163880063897</v>
      </c>
    </row>
    <row r="9" spans="1:6" x14ac:dyDescent="0.2">
      <c r="A9" s="45" t="s">
        <v>961</v>
      </c>
      <c r="B9" s="45" t="s">
        <v>1642</v>
      </c>
      <c r="C9" s="45" t="s">
        <v>686</v>
      </c>
      <c r="D9" s="14">
        <v>110</v>
      </c>
      <c r="E9" s="7">
        <v>1124.7764</v>
      </c>
      <c r="F9" s="7">
        <v>9.5643976466432097</v>
      </c>
    </row>
    <row r="10" spans="1:6" x14ac:dyDescent="0.2">
      <c r="A10" s="45" t="s">
        <v>1369</v>
      </c>
      <c r="B10" s="45" t="s">
        <v>1939</v>
      </c>
      <c r="C10" s="45" t="s">
        <v>686</v>
      </c>
      <c r="D10" s="14">
        <v>111</v>
      </c>
      <c r="E10" s="7">
        <v>1123.9316100000001</v>
      </c>
      <c r="F10" s="7">
        <v>9.5572140788799604</v>
      </c>
    </row>
    <row r="11" spans="1:6" x14ac:dyDescent="0.2">
      <c r="A11" s="45" t="s">
        <v>1359</v>
      </c>
      <c r="B11" s="45" t="s">
        <v>1930</v>
      </c>
      <c r="C11" s="45" t="s">
        <v>917</v>
      </c>
      <c r="D11" s="14">
        <v>101</v>
      </c>
      <c r="E11" s="7">
        <v>1030.2828199999999</v>
      </c>
      <c r="F11" s="7">
        <v>8.7608831221787096</v>
      </c>
    </row>
    <row r="12" spans="1:6" x14ac:dyDescent="0.2">
      <c r="A12" s="45" t="s">
        <v>1364</v>
      </c>
      <c r="B12" s="45" t="s">
        <v>1935</v>
      </c>
      <c r="C12" s="45" t="s">
        <v>686</v>
      </c>
      <c r="D12" s="14">
        <v>84</v>
      </c>
      <c r="E12" s="7">
        <v>972.70740000000001</v>
      </c>
      <c r="F12" s="7">
        <v>8.2712976262948192</v>
      </c>
    </row>
    <row r="13" spans="1:6" x14ac:dyDescent="0.2">
      <c r="A13" s="45" t="s">
        <v>1337</v>
      </c>
      <c r="B13" s="45" t="s">
        <v>1912</v>
      </c>
      <c r="C13" s="45" t="s">
        <v>686</v>
      </c>
      <c r="D13" s="14">
        <v>77</v>
      </c>
      <c r="E13" s="7">
        <v>896.36008000000004</v>
      </c>
      <c r="F13" s="7">
        <v>7.6220875897617697</v>
      </c>
    </row>
    <row r="14" spans="1:6" x14ac:dyDescent="0.2">
      <c r="A14" s="45" t="s">
        <v>1278</v>
      </c>
      <c r="B14" s="45" t="s">
        <v>1873</v>
      </c>
      <c r="C14" s="45" t="s">
        <v>917</v>
      </c>
      <c r="D14" s="14">
        <v>70</v>
      </c>
      <c r="E14" s="7">
        <v>793.08879999999999</v>
      </c>
      <c r="F14" s="7">
        <v>6.7439329739662801</v>
      </c>
    </row>
    <row r="15" spans="1:6" x14ac:dyDescent="0.2">
      <c r="A15" s="45" t="s">
        <v>1377</v>
      </c>
      <c r="B15" s="45" t="s">
        <v>1945</v>
      </c>
      <c r="C15" s="45" t="s">
        <v>686</v>
      </c>
      <c r="D15" s="14">
        <v>75</v>
      </c>
      <c r="E15" s="7">
        <v>761.05499999999995</v>
      </c>
      <c r="F15" s="7">
        <v>6.4715374993341301</v>
      </c>
    </row>
    <row r="16" spans="1:6" x14ac:dyDescent="0.2">
      <c r="A16" s="45" t="s">
        <v>1378</v>
      </c>
      <c r="B16" s="45" t="s">
        <v>1946</v>
      </c>
      <c r="C16" s="45" t="s">
        <v>917</v>
      </c>
      <c r="D16" s="14">
        <v>56</v>
      </c>
      <c r="E16" s="7">
        <v>569.11735999999996</v>
      </c>
      <c r="F16" s="7">
        <v>4.8394194069575001</v>
      </c>
    </row>
    <row r="17" spans="1:6" x14ac:dyDescent="0.2">
      <c r="A17" s="45" t="s">
        <v>1214</v>
      </c>
      <c r="B17" s="45" t="s">
        <v>1830</v>
      </c>
      <c r="C17" s="45" t="s">
        <v>686</v>
      </c>
      <c r="D17" s="14">
        <v>45</v>
      </c>
      <c r="E17" s="7">
        <v>454.22910000000002</v>
      </c>
      <c r="F17" s="7">
        <v>3.8624812318936099</v>
      </c>
    </row>
    <row r="18" spans="1:6" x14ac:dyDescent="0.2">
      <c r="A18" s="45" t="s">
        <v>1368</v>
      </c>
      <c r="B18" s="45" t="s">
        <v>1938</v>
      </c>
      <c r="C18" s="45" t="s">
        <v>686</v>
      </c>
      <c r="D18" s="14">
        <v>27</v>
      </c>
      <c r="E18" s="7">
        <v>274.07619</v>
      </c>
      <c r="F18" s="7">
        <v>2.3305731402587599</v>
      </c>
    </row>
    <row r="19" spans="1:6" x14ac:dyDescent="0.2">
      <c r="A19" s="45" t="s">
        <v>1363</v>
      </c>
      <c r="B19" s="45" t="s">
        <v>1934</v>
      </c>
      <c r="C19" s="45" t="s">
        <v>686</v>
      </c>
      <c r="D19" s="14">
        <v>11</v>
      </c>
      <c r="E19" s="7">
        <v>113.62757999999999</v>
      </c>
      <c r="F19" s="7">
        <v>0.966218137885684</v>
      </c>
    </row>
    <row r="20" spans="1:6" x14ac:dyDescent="0.2">
      <c r="A20" s="45" t="s">
        <v>1019</v>
      </c>
      <c r="B20" s="45" t="s">
        <v>1686</v>
      </c>
      <c r="C20" s="45" t="s">
        <v>1020</v>
      </c>
      <c r="D20" s="14">
        <v>9</v>
      </c>
      <c r="E20" s="7">
        <v>103.39281</v>
      </c>
      <c r="F20" s="7">
        <v>0.87918803118898003</v>
      </c>
    </row>
    <row r="21" spans="1:6" x14ac:dyDescent="0.2">
      <c r="A21" s="45" t="s">
        <v>1379</v>
      </c>
      <c r="B21" s="45" t="s">
        <v>1947</v>
      </c>
      <c r="C21" s="45" t="s">
        <v>686</v>
      </c>
      <c r="D21" s="14">
        <v>8</v>
      </c>
      <c r="E21" s="7">
        <v>80.940399999999997</v>
      </c>
      <c r="F21" s="7">
        <v>0.68826672686087698</v>
      </c>
    </row>
    <row r="22" spans="1:6" x14ac:dyDescent="0.2">
      <c r="A22" s="45" t="s">
        <v>1372</v>
      </c>
      <c r="B22" s="45" t="s">
        <v>1942</v>
      </c>
      <c r="C22" s="45" t="s">
        <v>686</v>
      </c>
      <c r="D22" s="14">
        <v>4</v>
      </c>
      <c r="E22" s="7">
        <v>40.500279999999997</v>
      </c>
      <c r="F22" s="7">
        <v>0.344389145007302</v>
      </c>
    </row>
    <row r="23" spans="1:6" x14ac:dyDescent="0.2">
      <c r="A23" s="45" t="s">
        <v>1380</v>
      </c>
      <c r="B23" s="45" t="s">
        <v>1948</v>
      </c>
      <c r="C23" s="45" t="s">
        <v>686</v>
      </c>
      <c r="D23" s="14">
        <v>3</v>
      </c>
      <c r="E23" s="7">
        <v>38.805487499999998</v>
      </c>
      <c r="F23" s="7">
        <v>0.32997768562875501</v>
      </c>
    </row>
    <row r="24" spans="1:6" x14ac:dyDescent="0.2">
      <c r="A24" s="45" t="s">
        <v>1361</v>
      </c>
      <c r="B24" s="45" t="s">
        <v>1932</v>
      </c>
      <c r="C24" s="45" t="s">
        <v>917</v>
      </c>
      <c r="D24" s="14">
        <v>1</v>
      </c>
      <c r="E24" s="7">
        <v>10.19308</v>
      </c>
      <c r="F24" s="7">
        <v>8.66756009141426E-2</v>
      </c>
    </row>
    <row r="25" spans="1:6" x14ac:dyDescent="0.2">
      <c r="A25" s="45" t="s">
        <v>1018</v>
      </c>
      <c r="B25" s="45" t="s">
        <v>1685</v>
      </c>
      <c r="C25" s="45" t="s">
        <v>686</v>
      </c>
      <c r="D25" s="14">
        <v>1</v>
      </c>
      <c r="E25" s="7">
        <v>9.9823199999999996</v>
      </c>
      <c r="F25" s="7">
        <v>8.4883429200718896E-2</v>
      </c>
    </row>
    <row r="26" spans="1:6" x14ac:dyDescent="0.2">
      <c r="A26" s="26" t="s">
        <v>44</v>
      </c>
      <c r="B26" s="45"/>
      <c r="C26" s="45"/>
      <c r="D26" s="14"/>
      <c r="E26" s="6">
        <f>SUM(E8:E25)</f>
        <v>9562.1587174999986</v>
      </c>
      <c r="F26" s="6">
        <f>SUM(F8:F25)</f>
        <v>81.310639460861594</v>
      </c>
    </row>
    <row r="27" spans="1:6" x14ac:dyDescent="0.2">
      <c r="A27" s="45"/>
      <c r="B27" s="45"/>
      <c r="C27" s="45"/>
      <c r="D27" s="14"/>
      <c r="E27" s="7"/>
      <c r="F27" s="7"/>
    </row>
    <row r="28" spans="1:6" x14ac:dyDescent="0.2">
      <c r="A28" s="26" t="s">
        <v>732</v>
      </c>
      <c r="B28" s="45"/>
      <c r="C28" s="45"/>
      <c r="D28" s="14"/>
      <c r="E28" s="7"/>
      <c r="F28" s="7"/>
    </row>
    <row r="29" spans="1:6" x14ac:dyDescent="0.2">
      <c r="A29" s="45" t="s">
        <v>1366</v>
      </c>
      <c r="B29" s="45" t="s">
        <v>1937</v>
      </c>
      <c r="C29" s="45" t="s">
        <v>925</v>
      </c>
      <c r="D29" s="14">
        <v>100</v>
      </c>
      <c r="E29" s="7">
        <v>1006.842</v>
      </c>
      <c r="F29" s="7">
        <v>8.5615569950983499</v>
      </c>
    </row>
    <row r="30" spans="1:6" x14ac:dyDescent="0.2">
      <c r="A30" s="45" t="s">
        <v>1381</v>
      </c>
      <c r="B30" s="45" t="s">
        <v>1949</v>
      </c>
      <c r="C30" s="45" t="s">
        <v>686</v>
      </c>
      <c r="D30" s="14">
        <v>72</v>
      </c>
      <c r="E30" s="7">
        <v>722.21543999999994</v>
      </c>
      <c r="F30" s="7">
        <v>6.1412700823962796</v>
      </c>
    </row>
    <row r="31" spans="1:6" x14ac:dyDescent="0.2">
      <c r="A31" s="26" t="s">
        <v>44</v>
      </c>
      <c r="B31" s="45"/>
      <c r="C31" s="45"/>
      <c r="D31" s="45"/>
      <c r="E31" s="6">
        <f>SUM(E29:E30)</f>
        <v>1729.05744</v>
      </c>
      <c r="F31" s="6">
        <f>SUM(F29:F30)</f>
        <v>14.702827077494629</v>
      </c>
    </row>
    <row r="32" spans="1:6" x14ac:dyDescent="0.2">
      <c r="A32" s="45"/>
      <c r="B32" s="45"/>
      <c r="C32" s="45"/>
      <c r="D32" s="45"/>
      <c r="E32" s="7"/>
      <c r="F32" s="7"/>
    </row>
    <row r="33" spans="1:10" x14ac:dyDescent="0.2">
      <c r="A33" s="26" t="s">
        <v>44</v>
      </c>
      <c r="B33" s="45"/>
      <c r="C33" s="45"/>
      <c r="D33" s="45"/>
      <c r="E33" s="6">
        <v>11291.216157499999</v>
      </c>
      <c r="F33" s="6">
        <v>96.013466538356212</v>
      </c>
      <c r="I33" s="1"/>
      <c r="J33" s="1"/>
    </row>
    <row r="34" spans="1:10" x14ac:dyDescent="0.2">
      <c r="A34" s="45"/>
      <c r="B34" s="45"/>
      <c r="C34" s="45"/>
      <c r="D34" s="45"/>
      <c r="E34" s="7"/>
      <c r="F34" s="7"/>
    </row>
    <row r="35" spans="1:10" x14ac:dyDescent="0.2">
      <c r="A35" s="26" t="s">
        <v>103</v>
      </c>
      <c r="B35" s="45"/>
      <c r="C35" s="45"/>
      <c r="D35" s="45"/>
      <c r="E35" s="6">
        <v>468.81384170000001</v>
      </c>
      <c r="F35" s="6">
        <v>3.99</v>
      </c>
      <c r="I35" s="1"/>
      <c r="J35" s="1"/>
    </row>
    <row r="36" spans="1:10" x14ac:dyDescent="0.2">
      <c r="A36" s="45"/>
      <c r="B36" s="45"/>
      <c r="C36" s="45"/>
      <c r="D36" s="45"/>
      <c r="E36" s="7"/>
      <c r="F36" s="7"/>
    </row>
    <row r="37" spans="1:10" x14ac:dyDescent="0.2">
      <c r="A37" s="46" t="s">
        <v>104</v>
      </c>
      <c r="B37" s="44"/>
      <c r="C37" s="44"/>
      <c r="D37" s="44"/>
      <c r="E37" s="8">
        <v>11760.0338417</v>
      </c>
      <c r="F37" s="8">
        <f xml:space="preserve"> ROUND(SUM(F33:F36),2)</f>
        <v>100</v>
      </c>
      <c r="I37" s="1"/>
      <c r="J37" s="1"/>
    </row>
    <row r="38" spans="1:10" x14ac:dyDescent="0.2">
      <c r="A38" s="4" t="s">
        <v>1983</v>
      </c>
    </row>
    <row r="39" spans="1:10" x14ac:dyDescent="0.2">
      <c r="A39" s="4"/>
    </row>
    <row r="40" spans="1:10" x14ac:dyDescent="0.2">
      <c r="A40" s="4" t="s">
        <v>105</v>
      </c>
    </row>
    <row r="41" spans="1:10" x14ac:dyDescent="0.2">
      <c r="A41" s="4" t="s">
        <v>769</v>
      </c>
    </row>
    <row r="42" spans="1:10" x14ac:dyDescent="0.2">
      <c r="A42" s="4" t="s">
        <v>107</v>
      </c>
    </row>
    <row r="43" spans="1:10" x14ac:dyDescent="0.2">
      <c r="A43" s="2" t="s">
        <v>666</v>
      </c>
      <c r="D43" s="10">
        <v>10.885</v>
      </c>
    </row>
    <row r="44" spans="1:10" x14ac:dyDescent="0.2">
      <c r="A44" s="2" t="s">
        <v>667</v>
      </c>
      <c r="D44" s="10">
        <v>10.299099999999999</v>
      </c>
    </row>
    <row r="45" spans="1:10" x14ac:dyDescent="0.2">
      <c r="A45" s="2" t="s">
        <v>1222</v>
      </c>
      <c r="D45" s="10">
        <v>10.2773</v>
      </c>
    </row>
    <row r="46" spans="1:10" x14ac:dyDescent="0.2">
      <c r="A46" s="2" t="s">
        <v>668</v>
      </c>
      <c r="D46" s="10">
        <v>10.9505</v>
      </c>
    </row>
    <row r="47" spans="1:10" x14ac:dyDescent="0.2">
      <c r="A47" s="2" t="s">
        <v>669</v>
      </c>
      <c r="D47" s="10">
        <v>10.364599999999999</v>
      </c>
    </row>
    <row r="48" spans="1:10" x14ac:dyDescent="0.2">
      <c r="A48" s="2" t="s">
        <v>1224</v>
      </c>
      <c r="D48" s="10">
        <v>10.3103</v>
      </c>
    </row>
    <row r="50" spans="1:5" x14ac:dyDescent="0.2">
      <c r="A50" s="4" t="s">
        <v>108</v>
      </c>
    </row>
    <row r="51" spans="1:5" x14ac:dyDescent="0.2">
      <c r="A51" s="2" t="s">
        <v>666</v>
      </c>
      <c r="D51" s="10">
        <v>11.4369</v>
      </c>
    </row>
    <row r="52" spans="1:5" x14ac:dyDescent="0.2">
      <c r="A52" s="2" t="s">
        <v>667</v>
      </c>
      <c r="D52" s="10">
        <v>10.821300000000001</v>
      </c>
    </row>
    <row r="53" spans="1:5" x14ac:dyDescent="0.2">
      <c r="A53" s="2" t="s">
        <v>1222</v>
      </c>
      <c r="D53" s="10">
        <v>10.307</v>
      </c>
    </row>
    <row r="54" spans="1:5" x14ac:dyDescent="0.2">
      <c r="A54" s="2" t="s">
        <v>668</v>
      </c>
      <c r="D54" s="10">
        <v>11.505800000000001</v>
      </c>
    </row>
    <row r="55" spans="1:5" x14ac:dyDescent="0.2">
      <c r="A55" s="2" t="s">
        <v>669</v>
      </c>
      <c r="D55" s="10">
        <v>10.8901</v>
      </c>
    </row>
    <row r="56" spans="1:5" x14ac:dyDescent="0.2">
      <c r="A56" s="2" t="s">
        <v>1224</v>
      </c>
      <c r="D56" s="10">
        <v>10.3416</v>
      </c>
    </row>
    <row r="58" spans="1:5" x14ac:dyDescent="0.2">
      <c r="A58" s="4" t="s">
        <v>109</v>
      </c>
      <c r="D58" s="50" t="s">
        <v>325</v>
      </c>
    </row>
    <row r="59" spans="1:5" x14ac:dyDescent="0.2">
      <c r="A59" s="31" t="s">
        <v>670</v>
      </c>
      <c r="B59" s="32"/>
      <c r="C59" s="88" t="s">
        <v>671</v>
      </c>
      <c r="D59" s="89"/>
    </row>
    <row r="60" spans="1:5" x14ac:dyDescent="0.2">
      <c r="A60" s="92"/>
      <c r="B60" s="93"/>
      <c r="C60" s="33" t="s">
        <v>672</v>
      </c>
      <c r="D60" s="33" t="s">
        <v>673</v>
      </c>
    </row>
    <row r="61" spans="1:5" x14ac:dyDescent="0.2">
      <c r="A61" s="34" t="s">
        <v>1222</v>
      </c>
      <c r="B61" s="35"/>
      <c r="C61" s="67">
        <v>0.34215328249999999</v>
      </c>
      <c r="D61" s="67">
        <v>0.31683564480000004</v>
      </c>
    </row>
    <row r="62" spans="1:5" x14ac:dyDescent="0.2">
      <c r="A62" s="34" t="s">
        <v>1224</v>
      </c>
      <c r="B62" s="35"/>
      <c r="C62" s="67">
        <v>0.34215328249999999</v>
      </c>
      <c r="D62" s="67">
        <v>0.31683564480000004</v>
      </c>
    </row>
    <row r="64" spans="1:5" x14ac:dyDescent="0.2">
      <c r="A64" s="4" t="s">
        <v>770</v>
      </c>
      <c r="D64" s="29">
        <v>1.2542944696663181</v>
      </c>
      <c r="E64" s="1" t="s">
        <v>771</v>
      </c>
    </row>
    <row r="66" spans="1:4" x14ac:dyDescent="0.2">
      <c r="A66" s="4" t="s">
        <v>1989</v>
      </c>
      <c r="D66" s="53" t="s">
        <v>110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19CA-F973-402E-A17A-DEA6E4922711}">
  <sheetPr codeName="Sheet54"/>
  <dimension ref="A1:J60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1382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1350</v>
      </c>
      <c r="B8" s="45" t="s">
        <v>1923</v>
      </c>
      <c r="C8" s="45" t="s">
        <v>686</v>
      </c>
      <c r="D8" s="14">
        <v>61</v>
      </c>
      <c r="E8" s="7">
        <v>710.70612000000006</v>
      </c>
      <c r="F8" s="7">
        <v>9.9520567533258806</v>
      </c>
    </row>
    <row r="9" spans="1:6" x14ac:dyDescent="0.2">
      <c r="A9" s="45" t="s">
        <v>1359</v>
      </c>
      <c r="B9" s="45" t="s">
        <v>1930</v>
      </c>
      <c r="C9" s="45" t="s">
        <v>917</v>
      </c>
      <c r="D9" s="14">
        <v>61</v>
      </c>
      <c r="E9" s="7">
        <v>622.25001999999995</v>
      </c>
      <c r="F9" s="7">
        <v>8.7134011366022293</v>
      </c>
    </row>
    <row r="10" spans="1:6" x14ac:dyDescent="0.2">
      <c r="A10" s="45" t="s">
        <v>1378</v>
      </c>
      <c r="B10" s="45" t="s">
        <v>1946</v>
      </c>
      <c r="C10" s="45" t="s">
        <v>917</v>
      </c>
      <c r="D10" s="14">
        <v>61</v>
      </c>
      <c r="E10" s="7">
        <v>619.93141000000003</v>
      </c>
      <c r="F10" s="7">
        <v>8.6809335136854298</v>
      </c>
    </row>
    <row r="11" spans="1:6" x14ac:dyDescent="0.2">
      <c r="A11" s="45" t="s">
        <v>1377</v>
      </c>
      <c r="B11" s="45" t="s">
        <v>1945</v>
      </c>
      <c r="C11" s="45" t="s">
        <v>686</v>
      </c>
      <c r="D11" s="14">
        <v>61</v>
      </c>
      <c r="E11" s="7">
        <v>618.9914</v>
      </c>
      <c r="F11" s="7">
        <v>8.6677705021319404</v>
      </c>
    </row>
    <row r="12" spans="1:6" x14ac:dyDescent="0.2">
      <c r="A12" s="45" t="s">
        <v>1379</v>
      </c>
      <c r="B12" s="45" t="s">
        <v>1947</v>
      </c>
      <c r="C12" s="45" t="s">
        <v>686</v>
      </c>
      <c r="D12" s="14">
        <v>61</v>
      </c>
      <c r="E12" s="7">
        <v>617.17055000000005</v>
      </c>
      <c r="F12" s="7">
        <v>8.6422730397781695</v>
      </c>
    </row>
    <row r="13" spans="1:6" x14ac:dyDescent="0.2">
      <c r="A13" s="45" t="s">
        <v>1262</v>
      </c>
      <c r="B13" s="45" t="s">
        <v>1859</v>
      </c>
      <c r="C13" s="45" t="s">
        <v>686</v>
      </c>
      <c r="D13" s="14">
        <v>5</v>
      </c>
      <c r="E13" s="7">
        <v>511.27449999999999</v>
      </c>
      <c r="F13" s="7">
        <v>7.1594048472923104</v>
      </c>
    </row>
    <row r="14" spans="1:6" x14ac:dyDescent="0.2">
      <c r="A14" s="45" t="s">
        <v>1278</v>
      </c>
      <c r="B14" s="45" t="s">
        <v>1873</v>
      </c>
      <c r="C14" s="45" t="s">
        <v>917</v>
      </c>
      <c r="D14" s="14">
        <v>40</v>
      </c>
      <c r="E14" s="7">
        <v>453.1936</v>
      </c>
      <c r="F14" s="7">
        <v>6.3460948210831098</v>
      </c>
    </row>
    <row r="15" spans="1:6" x14ac:dyDescent="0.2">
      <c r="A15" s="45" t="s">
        <v>961</v>
      </c>
      <c r="B15" s="45" t="s">
        <v>1642</v>
      </c>
      <c r="C15" s="45" t="s">
        <v>686</v>
      </c>
      <c r="D15" s="14">
        <v>38</v>
      </c>
      <c r="E15" s="7">
        <v>388.55912000000001</v>
      </c>
      <c r="F15" s="7">
        <v>5.4410146549214504</v>
      </c>
    </row>
    <row r="16" spans="1:6" x14ac:dyDescent="0.2">
      <c r="A16" s="45" t="s">
        <v>1214</v>
      </c>
      <c r="B16" s="45" t="s">
        <v>1830</v>
      </c>
      <c r="C16" s="45" t="s">
        <v>686</v>
      </c>
      <c r="D16" s="14">
        <v>36</v>
      </c>
      <c r="E16" s="7">
        <v>363.38328000000001</v>
      </c>
      <c r="F16" s="7">
        <v>5.0884759874724503</v>
      </c>
    </row>
    <row r="17" spans="1:10" x14ac:dyDescent="0.2">
      <c r="A17" s="45" t="s">
        <v>1337</v>
      </c>
      <c r="B17" s="45" t="s">
        <v>1912</v>
      </c>
      <c r="C17" s="45" t="s">
        <v>686</v>
      </c>
      <c r="D17" s="14">
        <v>30</v>
      </c>
      <c r="E17" s="7">
        <v>349.2312</v>
      </c>
      <c r="F17" s="7">
        <v>4.8903036355337699</v>
      </c>
    </row>
    <row r="18" spans="1:10" x14ac:dyDescent="0.2">
      <c r="A18" s="45" t="s">
        <v>1019</v>
      </c>
      <c r="B18" s="45" t="s">
        <v>1686</v>
      </c>
      <c r="C18" s="45" t="s">
        <v>1020</v>
      </c>
      <c r="D18" s="14">
        <v>10</v>
      </c>
      <c r="E18" s="7">
        <v>114.8809</v>
      </c>
      <c r="F18" s="7">
        <v>1.6086835395101899</v>
      </c>
    </row>
    <row r="19" spans="1:10" x14ac:dyDescent="0.2">
      <c r="A19" s="45" t="s">
        <v>1363</v>
      </c>
      <c r="B19" s="45" t="s">
        <v>1934</v>
      </c>
      <c r="C19" s="45" t="s">
        <v>686</v>
      </c>
      <c r="D19" s="14">
        <v>10</v>
      </c>
      <c r="E19" s="7">
        <v>103.2978</v>
      </c>
      <c r="F19" s="7">
        <v>1.4464847553215201</v>
      </c>
    </row>
    <row r="20" spans="1:10" x14ac:dyDescent="0.2">
      <c r="A20" s="45" t="s">
        <v>1369</v>
      </c>
      <c r="B20" s="45" t="s">
        <v>1939</v>
      </c>
      <c r="C20" s="45" t="s">
        <v>686</v>
      </c>
      <c r="D20" s="14">
        <v>5</v>
      </c>
      <c r="E20" s="7">
        <v>50.627549999999999</v>
      </c>
      <c r="F20" s="7">
        <v>0.70894035762889396</v>
      </c>
    </row>
    <row r="21" spans="1:10" x14ac:dyDescent="0.2">
      <c r="A21" s="45" t="s">
        <v>1018</v>
      </c>
      <c r="B21" s="45" t="s">
        <v>1685</v>
      </c>
      <c r="C21" s="45" t="s">
        <v>686</v>
      </c>
      <c r="D21" s="14">
        <v>2</v>
      </c>
      <c r="E21" s="7">
        <v>19.964639999999999</v>
      </c>
      <c r="F21" s="7">
        <v>0.27956594821460101</v>
      </c>
    </row>
    <row r="22" spans="1:10" x14ac:dyDescent="0.2">
      <c r="A22" s="45" t="s">
        <v>1364</v>
      </c>
      <c r="B22" s="45" t="s">
        <v>1935</v>
      </c>
      <c r="C22" s="45" t="s">
        <v>686</v>
      </c>
      <c r="D22" s="14">
        <v>1</v>
      </c>
      <c r="E22" s="7">
        <v>11.57985</v>
      </c>
      <c r="F22" s="7">
        <v>0.162153274260535</v>
      </c>
    </row>
    <row r="23" spans="1:10" x14ac:dyDescent="0.2">
      <c r="A23" s="45" t="s">
        <v>1361</v>
      </c>
      <c r="B23" s="45" t="s">
        <v>1932</v>
      </c>
      <c r="C23" s="45" t="s">
        <v>917</v>
      </c>
      <c r="D23" s="14">
        <v>1</v>
      </c>
      <c r="E23" s="7">
        <v>10.19308</v>
      </c>
      <c r="F23" s="7">
        <v>0.142734257939401</v>
      </c>
    </row>
    <row r="24" spans="1:10" x14ac:dyDescent="0.2">
      <c r="A24" s="45" t="s">
        <v>1383</v>
      </c>
      <c r="B24" s="45" t="s">
        <v>1950</v>
      </c>
      <c r="C24" s="45" t="s">
        <v>686</v>
      </c>
      <c r="D24" s="14">
        <v>1</v>
      </c>
      <c r="E24" s="7">
        <v>10.058310000000001</v>
      </c>
      <c r="F24" s="7">
        <v>0.14084706624243701</v>
      </c>
    </row>
    <row r="25" spans="1:10" x14ac:dyDescent="0.2">
      <c r="A25" s="26" t="s">
        <v>44</v>
      </c>
      <c r="B25" s="45"/>
      <c r="C25" s="45"/>
      <c r="D25" s="14"/>
      <c r="E25" s="6">
        <f>SUM(E8:E24)</f>
        <v>5575.2933300000013</v>
      </c>
      <c r="F25" s="6">
        <f>SUM(F8:F24)</f>
        <v>78.071138090944316</v>
      </c>
    </row>
    <row r="26" spans="1:10" x14ac:dyDescent="0.2">
      <c r="A26" s="45"/>
      <c r="B26" s="45"/>
      <c r="C26" s="45"/>
      <c r="D26" s="14"/>
      <c r="E26" s="7"/>
      <c r="F26" s="7"/>
    </row>
    <row r="27" spans="1:10" x14ac:dyDescent="0.2">
      <c r="A27" s="26" t="s">
        <v>732</v>
      </c>
      <c r="B27" s="45"/>
      <c r="C27" s="45"/>
      <c r="D27" s="14"/>
      <c r="E27" s="7"/>
      <c r="F27" s="7"/>
    </row>
    <row r="28" spans="1:10" x14ac:dyDescent="0.2">
      <c r="A28" s="45" t="s">
        <v>1366</v>
      </c>
      <c r="B28" s="45" t="s">
        <v>1937</v>
      </c>
      <c r="C28" s="45" t="s">
        <v>925</v>
      </c>
      <c r="D28" s="14">
        <v>61</v>
      </c>
      <c r="E28" s="7">
        <v>614.17362000000003</v>
      </c>
      <c r="F28" s="7">
        <v>8.6003068647215297</v>
      </c>
    </row>
    <row r="29" spans="1:10" x14ac:dyDescent="0.2">
      <c r="A29" s="45" t="s">
        <v>1381</v>
      </c>
      <c r="B29" s="45" t="s">
        <v>1949</v>
      </c>
      <c r="C29" s="45" t="s">
        <v>686</v>
      </c>
      <c r="D29" s="14">
        <v>61</v>
      </c>
      <c r="E29" s="7">
        <v>611.87697000000003</v>
      </c>
      <c r="F29" s="7">
        <v>8.5681467488883793</v>
      </c>
    </row>
    <row r="30" spans="1:10" x14ac:dyDescent="0.2">
      <c r="A30" s="26" t="s">
        <v>44</v>
      </c>
      <c r="B30" s="45"/>
      <c r="C30" s="45"/>
      <c r="D30" s="45"/>
      <c r="E30" s="6">
        <f>SUM(E28:E29)</f>
        <v>1226.0505900000001</v>
      </c>
      <c r="F30" s="6">
        <f>SUM(F28:F29)</f>
        <v>17.168453613609909</v>
      </c>
    </row>
    <row r="31" spans="1:10" x14ac:dyDescent="0.2">
      <c r="A31" s="45"/>
      <c r="B31" s="45"/>
      <c r="C31" s="45"/>
      <c r="D31" s="45"/>
      <c r="E31" s="7"/>
      <c r="F31" s="7"/>
    </row>
    <row r="32" spans="1:10" x14ac:dyDescent="0.2">
      <c r="A32" s="26" t="s">
        <v>44</v>
      </c>
      <c r="B32" s="45"/>
      <c r="C32" s="45"/>
      <c r="D32" s="45"/>
      <c r="E32" s="6">
        <v>6801.3439200000012</v>
      </c>
      <c r="F32" s="6">
        <v>95.239591704554229</v>
      </c>
      <c r="I32" s="1"/>
      <c r="J32" s="1"/>
    </row>
    <row r="33" spans="1:10" x14ac:dyDescent="0.2">
      <c r="A33" s="45"/>
      <c r="B33" s="45"/>
      <c r="C33" s="45"/>
      <c r="D33" s="45"/>
      <c r="E33" s="7"/>
      <c r="F33" s="7"/>
    </row>
    <row r="34" spans="1:10" x14ac:dyDescent="0.2">
      <c r="A34" s="26" t="s">
        <v>103</v>
      </c>
      <c r="B34" s="45"/>
      <c r="C34" s="45"/>
      <c r="D34" s="45"/>
      <c r="E34" s="6">
        <v>339.95890550000001</v>
      </c>
      <c r="F34" s="6">
        <v>4.76</v>
      </c>
      <c r="I34" s="1"/>
      <c r="J34" s="1"/>
    </row>
    <row r="35" spans="1:10" x14ac:dyDescent="0.2">
      <c r="A35" s="45"/>
      <c r="B35" s="45"/>
      <c r="C35" s="45"/>
      <c r="D35" s="45"/>
      <c r="E35" s="7"/>
      <c r="F35" s="7"/>
    </row>
    <row r="36" spans="1:10" x14ac:dyDescent="0.2">
      <c r="A36" s="46" t="s">
        <v>104</v>
      </c>
      <c r="B36" s="44"/>
      <c r="C36" s="44"/>
      <c r="D36" s="44"/>
      <c r="E36" s="8">
        <v>7141.2989054999998</v>
      </c>
      <c r="F36" s="8">
        <f xml:space="preserve"> ROUND(SUM(F32:F35),2)</f>
        <v>100</v>
      </c>
      <c r="I36" s="1"/>
      <c r="J36" s="1"/>
    </row>
    <row r="37" spans="1:10" x14ac:dyDescent="0.2">
      <c r="A37" s="4" t="s">
        <v>1983</v>
      </c>
    </row>
    <row r="38" spans="1:10" x14ac:dyDescent="0.2">
      <c r="A38" s="4"/>
    </row>
    <row r="39" spans="1:10" x14ac:dyDescent="0.2">
      <c r="A39" s="4" t="s">
        <v>105</v>
      </c>
    </row>
    <row r="40" spans="1:10" x14ac:dyDescent="0.2">
      <c r="A40" s="4" t="s">
        <v>769</v>
      </c>
    </row>
    <row r="41" spans="1:10" x14ac:dyDescent="0.2">
      <c r="A41" s="4" t="s">
        <v>107</v>
      </c>
    </row>
    <row r="42" spans="1:10" x14ac:dyDescent="0.2">
      <c r="A42" s="2" t="s">
        <v>666</v>
      </c>
      <c r="D42" s="10">
        <v>10.9528</v>
      </c>
    </row>
    <row r="43" spans="1:10" x14ac:dyDescent="0.2">
      <c r="A43" s="2" t="s">
        <v>667</v>
      </c>
      <c r="D43" s="10">
        <v>10.2906</v>
      </c>
    </row>
    <row r="44" spans="1:10" x14ac:dyDescent="0.2">
      <c r="A44" s="2" t="s">
        <v>1222</v>
      </c>
      <c r="D44" s="10">
        <v>10.2758</v>
      </c>
    </row>
    <row r="45" spans="1:10" x14ac:dyDescent="0.2">
      <c r="A45" s="2" t="s">
        <v>668</v>
      </c>
      <c r="D45" s="10">
        <v>11.0077</v>
      </c>
    </row>
    <row r="47" spans="1:10" x14ac:dyDescent="0.2">
      <c r="A47" s="4" t="s">
        <v>108</v>
      </c>
    </row>
    <row r="48" spans="1:10" x14ac:dyDescent="0.2">
      <c r="A48" s="2" t="s">
        <v>666</v>
      </c>
      <c r="D48" s="10">
        <v>11.507199999999999</v>
      </c>
    </row>
    <row r="49" spans="1:5" x14ac:dyDescent="0.2">
      <c r="A49" s="2" t="s">
        <v>667</v>
      </c>
      <c r="D49" s="10">
        <v>10.811500000000001</v>
      </c>
    </row>
    <row r="50" spans="1:5" x14ac:dyDescent="0.2">
      <c r="A50" s="2" t="s">
        <v>1222</v>
      </c>
      <c r="D50" s="10">
        <v>10.3248</v>
      </c>
    </row>
    <row r="51" spans="1:5" x14ac:dyDescent="0.2">
      <c r="A51" s="2" t="s">
        <v>668</v>
      </c>
      <c r="D51" s="10">
        <v>11.5649</v>
      </c>
    </row>
    <row r="53" spans="1:5" x14ac:dyDescent="0.2">
      <c r="A53" s="4" t="s">
        <v>109</v>
      </c>
      <c r="D53" s="30" t="s">
        <v>325</v>
      </c>
    </row>
    <row r="54" spans="1:5" x14ac:dyDescent="0.2">
      <c r="A54" s="31" t="s">
        <v>670</v>
      </c>
      <c r="B54" s="32"/>
      <c r="C54" s="88" t="s">
        <v>671</v>
      </c>
      <c r="D54" s="89"/>
    </row>
    <row r="55" spans="1:5" x14ac:dyDescent="0.2">
      <c r="A55" s="92"/>
      <c r="B55" s="93"/>
      <c r="C55" s="33" t="s">
        <v>672</v>
      </c>
      <c r="D55" s="33" t="s">
        <v>673</v>
      </c>
    </row>
    <row r="56" spans="1:5" x14ac:dyDescent="0.2">
      <c r="A56" s="34" t="s">
        <v>1222</v>
      </c>
      <c r="B56" s="35"/>
      <c r="C56" s="67">
        <v>0.32774682850000003</v>
      </c>
      <c r="D56" s="67">
        <v>0.30349519660000002</v>
      </c>
    </row>
    <row r="58" spans="1:5" x14ac:dyDescent="0.2">
      <c r="A58" s="4" t="s">
        <v>770</v>
      </c>
      <c r="D58" s="29">
        <v>1.2374034946225645</v>
      </c>
      <c r="E58" s="1" t="s">
        <v>771</v>
      </c>
    </row>
    <row r="60" spans="1:5" x14ac:dyDescent="0.2">
      <c r="A60" s="4" t="s">
        <v>1989</v>
      </c>
      <c r="D60" s="53" t="s">
        <v>110</v>
      </c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C90A-8431-4802-808A-3956AD00A045}">
  <sheetPr codeName="Sheet55"/>
  <dimension ref="A1:F54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1384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1350</v>
      </c>
      <c r="B8" s="45" t="s">
        <v>1923</v>
      </c>
      <c r="C8" s="45" t="s">
        <v>686</v>
      </c>
      <c r="D8" s="14">
        <v>67</v>
      </c>
      <c r="E8" s="7">
        <v>780.61163999999997</v>
      </c>
      <c r="F8" s="7">
        <v>9.8949572833164705</v>
      </c>
    </row>
    <row r="9" spans="1:6" x14ac:dyDescent="0.2">
      <c r="A9" s="45" t="s">
        <v>1375</v>
      </c>
      <c r="B9" s="45" t="s">
        <v>1944</v>
      </c>
      <c r="C9" s="45" t="s">
        <v>686</v>
      </c>
      <c r="D9" s="14">
        <v>86</v>
      </c>
      <c r="E9" s="7">
        <v>779.43089999999995</v>
      </c>
      <c r="F9" s="7">
        <v>9.8799903378290796</v>
      </c>
    </row>
    <row r="10" spans="1:6" x14ac:dyDescent="0.2">
      <c r="A10" s="45" t="s">
        <v>961</v>
      </c>
      <c r="B10" s="45" t="s">
        <v>1642</v>
      </c>
      <c r="C10" s="45" t="s">
        <v>686</v>
      </c>
      <c r="D10" s="14">
        <v>72</v>
      </c>
      <c r="E10" s="7">
        <v>736.21727999999996</v>
      </c>
      <c r="F10" s="7">
        <v>9.3322186905122795</v>
      </c>
    </row>
    <row r="11" spans="1:6" x14ac:dyDescent="0.2">
      <c r="A11" s="45" t="s">
        <v>1359</v>
      </c>
      <c r="B11" s="45" t="s">
        <v>1930</v>
      </c>
      <c r="C11" s="45" t="s">
        <v>917</v>
      </c>
      <c r="D11" s="14">
        <v>68</v>
      </c>
      <c r="E11" s="7">
        <v>693.65575999999999</v>
      </c>
      <c r="F11" s="7">
        <v>8.7927129994198197</v>
      </c>
    </row>
    <row r="12" spans="1:6" x14ac:dyDescent="0.2">
      <c r="A12" s="45" t="s">
        <v>1378</v>
      </c>
      <c r="B12" s="45" t="s">
        <v>1946</v>
      </c>
      <c r="C12" s="45" t="s">
        <v>917</v>
      </c>
      <c r="D12" s="14">
        <v>68</v>
      </c>
      <c r="E12" s="7">
        <v>691.07108000000005</v>
      </c>
      <c r="F12" s="7">
        <v>8.7599498469371806</v>
      </c>
    </row>
    <row r="13" spans="1:6" x14ac:dyDescent="0.2">
      <c r="A13" s="45" t="s">
        <v>1377</v>
      </c>
      <c r="B13" s="45" t="s">
        <v>1945</v>
      </c>
      <c r="C13" s="45" t="s">
        <v>686</v>
      </c>
      <c r="D13" s="14">
        <v>68</v>
      </c>
      <c r="E13" s="7">
        <v>690.02319999999997</v>
      </c>
      <c r="F13" s="7">
        <v>8.7466670218975207</v>
      </c>
    </row>
    <row r="14" spans="1:6" x14ac:dyDescent="0.2">
      <c r="A14" s="45" t="s">
        <v>1379</v>
      </c>
      <c r="B14" s="45" t="s">
        <v>1947</v>
      </c>
      <c r="C14" s="45" t="s">
        <v>686</v>
      </c>
      <c r="D14" s="14">
        <v>68</v>
      </c>
      <c r="E14" s="7">
        <v>687.99339999999995</v>
      </c>
      <c r="F14" s="7">
        <v>8.7209374743677408</v>
      </c>
    </row>
    <row r="15" spans="1:6" x14ac:dyDescent="0.2">
      <c r="A15" s="45" t="s">
        <v>1385</v>
      </c>
      <c r="B15" s="45" t="s">
        <v>1951</v>
      </c>
      <c r="C15" s="45" t="s">
        <v>686</v>
      </c>
      <c r="D15" s="14">
        <v>50</v>
      </c>
      <c r="E15" s="7">
        <v>515.84349999999995</v>
      </c>
      <c r="F15" s="7">
        <v>6.5387820727044996</v>
      </c>
    </row>
    <row r="16" spans="1:6" x14ac:dyDescent="0.2">
      <c r="A16" s="45" t="s">
        <v>1351</v>
      </c>
      <c r="B16" s="45" t="s">
        <v>1924</v>
      </c>
      <c r="C16" s="45" t="s">
        <v>686</v>
      </c>
      <c r="D16" s="14">
        <v>16</v>
      </c>
      <c r="E16" s="7">
        <v>161.68896000000001</v>
      </c>
      <c r="F16" s="7">
        <v>2.04955354289089</v>
      </c>
    </row>
    <row r="17" spans="1:6" x14ac:dyDescent="0.2">
      <c r="A17" s="45" t="s">
        <v>1018</v>
      </c>
      <c r="B17" s="45" t="s">
        <v>1685</v>
      </c>
      <c r="C17" s="45" t="s">
        <v>686</v>
      </c>
      <c r="D17" s="14">
        <v>7</v>
      </c>
      <c r="E17" s="7">
        <v>69.876239999999996</v>
      </c>
      <c r="F17" s="7">
        <v>0.88574442717606605</v>
      </c>
    </row>
    <row r="18" spans="1:6" x14ac:dyDescent="0.2">
      <c r="A18" s="45" t="s">
        <v>1369</v>
      </c>
      <c r="B18" s="45" t="s">
        <v>1939</v>
      </c>
      <c r="C18" s="45" t="s">
        <v>686</v>
      </c>
      <c r="D18" s="14">
        <v>6</v>
      </c>
      <c r="E18" s="7">
        <v>60.753059999999998</v>
      </c>
      <c r="F18" s="7">
        <v>0.770099884150796</v>
      </c>
    </row>
    <row r="19" spans="1:6" x14ac:dyDescent="0.2">
      <c r="A19" s="45" t="s">
        <v>1364</v>
      </c>
      <c r="B19" s="45" t="s">
        <v>1935</v>
      </c>
      <c r="C19" s="45" t="s">
        <v>686</v>
      </c>
      <c r="D19" s="14">
        <v>4</v>
      </c>
      <c r="E19" s="7">
        <v>46.319400000000002</v>
      </c>
      <c r="F19" s="7">
        <v>0.58714021275528105</v>
      </c>
    </row>
    <row r="20" spans="1:6" x14ac:dyDescent="0.2">
      <c r="A20" s="45" t="s">
        <v>1019</v>
      </c>
      <c r="B20" s="45" t="s">
        <v>1686</v>
      </c>
      <c r="C20" s="45" t="s">
        <v>1020</v>
      </c>
      <c r="D20" s="14">
        <v>3</v>
      </c>
      <c r="E20" s="7">
        <v>34.464269999999999</v>
      </c>
      <c r="F20" s="7">
        <v>0.43686573704010501</v>
      </c>
    </row>
    <row r="21" spans="1:6" x14ac:dyDescent="0.2">
      <c r="A21" s="45" t="s">
        <v>1363</v>
      </c>
      <c r="B21" s="45" t="s">
        <v>1934</v>
      </c>
      <c r="C21" s="45" t="s">
        <v>686</v>
      </c>
      <c r="D21" s="14">
        <v>3</v>
      </c>
      <c r="E21" s="7">
        <v>30.989339999999999</v>
      </c>
      <c r="F21" s="7">
        <v>0.39281786207821701</v>
      </c>
    </row>
    <row r="22" spans="1:6" x14ac:dyDescent="0.2">
      <c r="A22" s="45" t="s">
        <v>1386</v>
      </c>
      <c r="B22" s="45" t="s">
        <v>1952</v>
      </c>
      <c r="C22" s="45" t="s">
        <v>917</v>
      </c>
      <c r="D22" s="14">
        <v>1</v>
      </c>
      <c r="E22" s="7">
        <v>10.09023</v>
      </c>
      <c r="F22" s="7">
        <v>0.12790277484055801</v>
      </c>
    </row>
    <row r="23" spans="1:6" x14ac:dyDescent="0.2">
      <c r="A23" s="26" t="s">
        <v>44</v>
      </c>
      <c r="B23" s="45"/>
      <c r="C23" s="45"/>
      <c r="D23" s="14"/>
      <c r="E23" s="6">
        <f>SUM(E8:E22)</f>
        <v>5989.028260000001</v>
      </c>
      <c r="F23" s="6">
        <f>SUM(F8:F22)</f>
        <v>75.91634016791653</v>
      </c>
    </row>
    <row r="24" spans="1:6" x14ac:dyDescent="0.2">
      <c r="A24" s="45"/>
      <c r="B24" s="45"/>
      <c r="C24" s="45"/>
      <c r="D24" s="14"/>
      <c r="E24" s="7"/>
      <c r="F24" s="7"/>
    </row>
    <row r="25" spans="1:6" x14ac:dyDescent="0.2">
      <c r="A25" s="26" t="s">
        <v>732</v>
      </c>
      <c r="B25" s="45"/>
      <c r="C25" s="45"/>
      <c r="D25" s="14"/>
      <c r="E25" s="7"/>
      <c r="F25" s="7"/>
    </row>
    <row r="26" spans="1:6" x14ac:dyDescent="0.2">
      <c r="A26" s="45" t="s">
        <v>1381</v>
      </c>
      <c r="B26" s="45" t="s">
        <v>1949</v>
      </c>
      <c r="C26" s="45" t="s">
        <v>686</v>
      </c>
      <c r="D26" s="14">
        <v>68</v>
      </c>
      <c r="E26" s="7">
        <v>682.09235999999999</v>
      </c>
      <c r="F26" s="7">
        <v>8.6461364648322707</v>
      </c>
    </row>
    <row r="27" spans="1:6" x14ac:dyDescent="0.2">
      <c r="A27" s="45" t="s">
        <v>1366</v>
      </c>
      <c r="B27" s="45" t="s">
        <v>1937</v>
      </c>
      <c r="C27" s="45" t="s">
        <v>925</v>
      </c>
      <c r="D27" s="14">
        <v>67</v>
      </c>
      <c r="E27" s="7">
        <v>674.58414000000005</v>
      </c>
      <c r="F27" s="7">
        <v>8.5509629978138406</v>
      </c>
    </row>
    <row r="28" spans="1:6" x14ac:dyDescent="0.2">
      <c r="A28" s="45" t="s">
        <v>1290</v>
      </c>
      <c r="B28" s="45" t="s">
        <v>1885</v>
      </c>
      <c r="C28" s="45" t="s">
        <v>686</v>
      </c>
      <c r="D28" s="14">
        <v>12</v>
      </c>
      <c r="E28" s="7">
        <v>120.35952</v>
      </c>
      <c r="F28" s="7">
        <v>1.52566557813624</v>
      </c>
    </row>
    <row r="29" spans="1:6" x14ac:dyDescent="0.2">
      <c r="A29" s="26" t="s">
        <v>44</v>
      </c>
      <c r="B29" s="45"/>
      <c r="C29" s="45"/>
      <c r="D29" s="45"/>
      <c r="E29" s="6">
        <f>SUM(E26:E28)</f>
        <v>1477.03602</v>
      </c>
      <c r="F29" s="6">
        <f>SUM(F26:F28)</f>
        <v>18.722765040782352</v>
      </c>
    </row>
    <row r="30" spans="1:6" x14ac:dyDescent="0.2">
      <c r="A30" s="45"/>
      <c r="B30" s="45"/>
      <c r="C30" s="45"/>
      <c r="D30" s="45"/>
      <c r="E30" s="7"/>
      <c r="F30" s="7"/>
    </row>
    <row r="31" spans="1:6" x14ac:dyDescent="0.2">
      <c r="A31" s="26" t="s">
        <v>44</v>
      </c>
      <c r="B31" s="45"/>
      <c r="C31" s="45"/>
      <c r="D31" s="45"/>
      <c r="E31" s="6">
        <v>7466.0642800000005</v>
      </c>
      <c r="F31" s="6">
        <v>94.639105208698879</v>
      </c>
    </row>
    <row r="32" spans="1:6" x14ac:dyDescent="0.2">
      <c r="A32" s="45"/>
      <c r="B32" s="45"/>
      <c r="C32" s="45"/>
      <c r="D32" s="45"/>
      <c r="E32" s="7"/>
      <c r="F32" s="7"/>
    </row>
    <row r="33" spans="1:6" x14ac:dyDescent="0.2">
      <c r="A33" s="26" t="s">
        <v>103</v>
      </c>
      <c r="B33" s="45"/>
      <c r="C33" s="45"/>
      <c r="D33" s="45"/>
      <c r="E33" s="6">
        <v>422.9244357</v>
      </c>
      <c r="F33" s="6">
        <v>5.36</v>
      </c>
    </row>
    <row r="34" spans="1:6" x14ac:dyDescent="0.2">
      <c r="A34" s="45"/>
      <c r="B34" s="45"/>
      <c r="C34" s="45"/>
      <c r="D34" s="45"/>
      <c r="E34" s="7"/>
      <c r="F34" s="7"/>
    </row>
    <row r="35" spans="1:6" x14ac:dyDescent="0.2">
      <c r="A35" s="46" t="s">
        <v>104</v>
      </c>
      <c r="B35" s="44"/>
      <c r="C35" s="44"/>
      <c r="D35" s="44"/>
      <c r="E35" s="8">
        <v>7888.9844357000002</v>
      </c>
      <c r="F35" s="8">
        <f xml:space="preserve"> ROUND(SUM(F31:F34),2)</f>
        <v>100</v>
      </c>
    </row>
    <row r="36" spans="1:6" x14ac:dyDescent="0.2">
      <c r="A36" s="4" t="s">
        <v>1983</v>
      </c>
    </row>
    <row r="37" spans="1:6" x14ac:dyDescent="0.2">
      <c r="A37" s="4"/>
    </row>
    <row r="38" spans="1:6" x14ac:dyDescent="0.2">
      <c r="A38" s="4" t="s">
        <v>105</v>
      </c>
    </row>
    <row r="39" spans="1:6" x14ac:dyDescent="0.2">
      <c r="A39" s="4" t="s">
        <v>769</v>
      </c>
    </row>
    <row r="40" spans="1:6" x14ac:dyDescent="0.2">
      <c r="A40" s="4" t="s">
        <v>107</v>
      </c>
    </row>
    <row r="41" spans="1:6" x14ac:dyDescent="0.2">
      <c r="A41" s="2" t="s">
        <v>666</v>
      </c>
      <c r="D41" s="10">
        <v>10.974399999999999</v>
      </c>
    </row>
    <row r="42" spans="1:6" x14ac:dyDescent="0.2">
      <c r="A42" s="2" t="s">
        <v>667</v>
      </c>
      <c r="D42" s="10">
        <v>10.4428</v>
      </c>
    </row>
    <row r="43" spans="1:6" x14ac:dyDescent="0.2">
      <c r="A43" s="2" t="s">
        <v>668</v>
      </c>
      <c r="D43" s="10">
        <v>11.0327</v>
      </c>
    </row>
    <row r="45" spans="1:6" x14ac:dyDescent="0.2">
      <c r="A45" s="4" t="s">
        <v>108</v>
      </c>
    </row>
    <row r="46" spans="1:6" x14ac:dyDescent="0.2">
      <c r="A46" s="2" t="s">
        <v>666</v>
      </c>
      <c r="D46" s="10">
        <v>11.5335</v>
      </c>
    </row>
    <row r="47" spans="1:6" x14ac:dyDescent="0.2">
      <c r="A47" s="2" t="s">
        <v>667</v>
      </c>
      <c r="D47" s="10">
        <v>10.9748</v>
      </c>
    </row>
    <row r="48" spans="1:6" x14ac:dyDescent="0.2">
      <c r="A48" s="2" t="s">
        <v>668</v>
      </c>
      <c r="D48" s="10">
        <v>11.594799999999999</v>
      </c>
    </row>
    <row r="50" spans="1:5" x14ac:dyDescent="0.2">
      <c r="A50" s="4" t="s">
        <v>109</v>
      </c>
      <c r="D50" s="50" t="s">
        <v>110</v>
      </c>
    </row>
    <row r="52" spans="1:5" x14ac:dyDescent="0.2">
      <c r="A52" s="4" t="s">
        <v>770</v>
      </c>
      <c r="D52" s="29">
        <v>1.2458309498280609</v>
      </c>
      <c r="E52" s="1" t="s">
        <v>771</v>
      </c>
    </row>
    <row r="54" spans="1:5" x14ac:dyDescent="0.2">
      <c r="A54" s="4" t="s">
        <v>1989</v>
      </c>
      <c r="D54" s="53" t="s">
        <v>110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C00F-ED2B-4517-9936-597094880F10}">
  <sheetPr codeName="Sheet56"/>
  <dimension ref="A1:F65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6" style="2" bestFit="1" customWidth="1"/>
    <col min="3" max="3" width="11.7109375" style="2" bestFit="1" customWidth="1"/>
    <col min="4" max="4" width="6.5703125" style="2" bestFit="1" customWidth="1"/>
    <col min="5" max="5" width="19.7109375" style="1" bestFit="1" customWidth="1"/>
    <col min="6" max="6" width="11.85546875" style="1" bestFit="1" customWidth="1"/>
    <col min="7" max="16384" width="8.7109375" style="2"/>
  </cols>
  <sheetData>
    <row r="1" spans="1:6" ht="15" customHeight="1" x14ac:dyDescent="0.2">
      <c r="A1" s="87" t="s">
        <v>1387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1375</v>
      </c>
      <c r="B8" s="45" t="s">
        <v>1944</v>
      </c>
      <c r="C8" s="45" t="s">
        <v>686</v>
      </c>
      <c r="D8" s="14">
        <v>107</v>
      </c>
      <c r="E8" s="7">
        <v>969.75705000000005</v>
      </c>
      <c r="F8" s="7">
        <v>9.8585321182163792</v>
      </c>
    </row>
    <row r="9" spans="1:6" x14ac:dyDescent="0.2">
      <c r="A9" s="45" t="s">
        <v>1386</v>
      </c>
      <c r="B9" s="45" t="s">
        <v>1952</v>
      </c>
      <c r="C9" s="45" t="s">
        <v>917</v>
      </c>
      <c r="D9" s="14">
        <v>87</v>
      </c>
      <c r="E9" s="7">
        <v>877.85001</v>
      </c>
      <c r="F9" s="7">
        <v>8.9242068604312497</v>
      </c>
    </row>
    <row r="10" spans="1:6" x14ac:dyDescent="0.2">
      <c r="A10" s="45" t="s">
        <v>1214</v>
      </c>
      <c r="B10" s="45" t="s">
        <v>1830</v>
      </c>
      <c r="C10" s="45" t="s">
        <v>686</v>
      </c>
      <c r="D10" s="14">
        <v>84</v>
      </c>
      <c r="E10" s="7">
        <v>847.89431999999999</v>
      </c>
      <c r="F10" s="7">
        <v>8.6196778735181496</v>
      </c>
    </row>
    <row r="11" spans="1:6" x14ac:dyDescent="0.2">
      <c r="A11" s="45" t="s">
        <v>1372</v>
      </c>
      <c r="B11" s="45" t="s">
        <v>1942</v>
      </c>
      <c r="C11" s="45" t="s">
        <v>686</v>
      </c>
      <c r="D11" s="14">
        <v>83</v>
      </c>
      <c r="E11" s="7">
        <v>840.38081</v>
      </c>
      <c r="F11" s="7">
        <v>8.5432956707225696</v>
      </c>
    </row>
    <row r="12" spans="1:6" x14ac:dyDescent="0.2">
      <c r="A12" s="45" t="s">
        <v>1351</v>
      </c>
      <c r="B12" s="45" t="s">
        <v>1924</v>
      </c>
      <c r="C12" s="45" t="s">
        <v>686</v>
      </c>
      <c r="D12" s="14">
        <v>83</v>
      </c>
      <c r="E12" s="7">
        <v>838.76148000000001</v>
      </c>
      <c r="F12" s="7">
        <v>8.5268335920865006</v>
      </c>
    </row>
    <row r="13" spans="1:6" x14ac:dyDescent="0.2">
      <c r="A13" s="45" t="s">
        <v>1388</v>
      </c>
      <c r="B13" s="45" t="s">
        <v>1953</v>
      </c>
      <c r="C13" s="45" t="s">
        <v>686</v>
      </c>
      <c r="D13" s="14">
        <v>80</v>
      </c>
      <c r="E13" s="7">
        <v>807.26</v>
      </c>
      <c r="F13" s="7">
        <v>8.2065901328083708</v>
      </c>
    </row>
    <row r="14" spans="1:6" x14ac:dyDescent="0.2">
      <c r="A14" s="45" t="s">
        <v>1380</v>
      </c>
      <c r="B14" s="45" t="s">
        <v>1948</v>
      </c>
      <c r="C14" s="45" t="s">
        <v>686</v>
      </c>
      <c r="D14" s="14">
        <v>62</v>
      </c>
      <c r="E14" s="7">
        <v>801.98007500000006</v>
      </c>
      <c r="F14" s="7">
        <v>8.1529145135444807</v>
      </c>
    </row>
    <row r="15" spans="1:6" x14ac:dyDescent="0.2">
      <c r="A15" s="45" t="s">
        <v>1378</v>
      </c>
      <c r="B15" s="45" t="s">
        <v>1946</v>
      </c>
      <c r="C15" s="45" t="s">
        <v>917</v>
      </c>
      <c r="D15" s="14">
        <v>65</v>
      </c>
      <c r="E15" s="7">
        <v>660.58264999999994</v>
      </c>
      <c r="F15" s="7">
        <v>6.7154709231157304</v>
      </c>
    </row>
    <row r="16" spans="1:6" x14ac:dyDescent="0.2">
      <c r="A16" s="45" t="s">
        <v>1262</v>
      </c>
      <c r="B16" s="45" t="s">
        <v>1859</v>
      </c>
      <c r="C16" s="45" t="s">
        <v>686</v>
      </c>
      <c r="D16" s="14">
        <v>5</v>
      </c>
      <c r="E16" s="7">
        <v>511.27449999999999</v>
      </c>
      <c r="F16" s="7">
        <v>5.1976070495955904</v>
      </c>
    </row>
    <row r="17" spans="1:6" x14ac:dyDescent="0.2">
      <c r="A17" s="45" t="s">
        <v>1379</v>
      </c>
      <c r="B17" s="45" t="s">
        <v>1947</v>
      </c>
      <c r="C17" s="45" t="s">
        <v>686</v>
      </c>
      <c r="D17" s="14">
        <v>13</v>
      </c>
      <c r="E17" s="7">
        <v>131.52815000000001</v>
      </c>
      <c r="F17" s="7">
        <v>1.33711272449587</v>
      </c>
    </row>
    <row r="18" spans="1:6" x14ac:dyDescent="0.2">
      <c r="A18" s="45" t="s">
        <v>1369</v>
      </c>
      <c r="B18" s="45" t="s">
        <v>1939</v>
      </c>
      <c r="C18" s="45" t="s">
        <v>686</v>
      </c>
      <c r="D18" s="14">
        <v>11</v>
      </c>
      <c r="E18" s="7">
        <v>111.38061</v>
      </c>
      <c r="F18" s="7">
        <v>1.1322932079035</v>
      </c>
    </row>
    <row r="19" spans="1:6" x14ac:dyDescent="0.2">
      <c r="A19" s="45" t="s">
        <v>1377</v>
      </c>
      <c r="B19" s="45" t="s">
        <v>1945</v>
      </c>
      <c r="C19" s="45" t="s">
        <v>686</v>
      </c>
      <c r="D19" s="14">
        <v>8</v>
      </c>
      <c r="E19" s="7">
        <v>81.179199999999994</v>
      </c>
      <c r="F19" s="7">
        <v>0.82526623604449301</v>
      </c>
    </row>
    <row r="20" spans="1:6" x14ac:dyDescent="0.2">
      <c r="A20" s="45" t="s">
        <v>1019</v>
      </c>
      <c r="B20" s="45" t="s">
        <v>1686</v>
      </c>
      <c r="C20" s="45" t="s">
        <v>1020</v>
      </c>
      <c r="D20" s="14">
        <v>6</v>
      </c>
      <c r="E20" s="7">
        <v>68.928539999999998</v>
      </c>
      <c r="F20" s="7">
        <v>0.70072625453123805</v>
      </c>
    </row>
    <row r="21" spans="1:6" x14ac:dyDescent="0.2">
      <c r="A21" s="45" t="s">
        <v>1368</v>
      </c>
      <c r="B21" s="45" t="s">
        <v>1938</v>
      </c>
      <c r="C21" s="45" t="s">
        <v>686</v>
      </c>
      <c r="D21" s="14">
        <v>5</v>
      </c>
      <c r="E21" s="7">
        <v>50.754849999999998</v>
      </c>
      <c r="F21" s="7">
        <v>0.51597286029552902</v>
      </c>
    </row>
    <row r="22" spans="1:6" x14ac:dyDescent="0.2">
      <c r="A22" s="45" t="s">
        <v>1363</v>
      </c>
      <c r="B22" s="45" t="s">
        <v>1934</v>
      </c>
      <c r="C22" s="45" t="s">
        <v>686</v>
      </c>
      <c r="D22" s="14">
        <v>3</v>
      </c>
      <c r="E22" s="7">
        <v>30.989339999999999</v>
      </c>
      <c r="F22" s="7">
        <v>0.31503705357164202</v>
      </c>
    </row>
    <row r="23" spans="1:6" x14ac:dyDescent="0.2">
      <c r="A23" s="45" t="s">
        <v>1383</v>
      </c>
      <c r="B23" s="45" t="s">
        <v>1950</v>
      </c>
      <c r="C23" s="45" t="s">
        <v>686</v>
      </c>
      <c r="D23" s="14">
        <v>3</v>
      </c>
      <c r="E23" s="7">
        <v>30.17493</v>
      </c>
      <c r="F23" s="7">
        <v>0.30675777667193099</v>
      </c>
    </row>
    <row r="24" spans="1:6" x14ac:dyDescent="0.2">
      <c r="A24" s="45" t="s">
        <v>1018</v>
      </c>
      <c r="B24" s="45" t="s">
        <v>1685</v>
      </c>
      <c r="C24" s="45" t="s">
        <v>686</v>
      </c>
      <c r="D24" s="14">
        <v>3</v>
      </c>
      <c r="E24" s="7">
        <v>29.946960000000001</v>
      </c>
      <c r="F24" s="7">
        <v>0.30444023789560598</v>
      </c>
    </row>
    <row r="25" spans="1:6" x14ac:dyDescent="0.2">
      <c r="A25" s="45" t="s">
        <v>1350</v>
      </c>
      <c r="B25" s="45" t="s">
        <v>1923</v>
      </c>
      <c r="C25" s="45" t="s">
        <v>686</v>
      </c>
      <c r="D25" s="14">
        <v>1</v>
      </c>
      <c r="E25" s="7">
        <v>11.650919999999999</v>
      </c>
      <c r="F25" s="7">
        <v>0.11844303583745</v>
      </c>
    </row>
    <row r="26" spans="1:6" x14ac:dyDescent="0.2">
      <c r="A26" s="45" t="s">
        <v>961</v>
      </c>
      <c r="B26" s="45" t="s">
        <v>1642</v>
      </c>
      <c r="C26" s="45" t="s">
        <v>686</v>
      </c>
      <c r="D26" s="14">
        <v>1</v>
      </c>
      <c r="E26" s="7">
        <v>10.225239999999999</v>
      </c>
      <c r="F26" s="7">
        <v>0.103949599496566</v>
      </c>
    </row>
    <row r="27" spans="1:6" x14ac:dyDescent="0.2">
      <c r="A27" s="26" t="s">
        <v>44</v>
      </c>
      <c r="B27" s="45"/>
      <c r="C27" s="45"/>
      <c r="D27" s="14"/>
      <c r="E27" s="6">
        <f>SUM(E8:E26)</f>
        <v>7712.499635000001</v>
      </c>
      <c r="F27" s="6">
        <f>SUM(F8:F26)</f>
        <v>78.405127720782829</v>
      </c>
    </row>
    <row r="28" spans="1:6" x14ac:dyDescent="0.2">
      <c r="A28" s="45"/>
      <c r="B28" s="45"/>
      <c r="C28" s="45"/>
      <c r="D28" s="14"/>
      <c r="E28" s="7"/>
      <c r="F28" s="7"/>
    </row>
    <row r="29" spans="1:6" x14ac:dyDescent="0.2">
      <c r="A29" s="26" t="s">
        <v>732</v>
      </c>
      <c r="B29" s="45"/>
      <c r="C29" s="45"/>
      <c r="D29" s="14"/>
      <c r="E29" s="7"/>
      <c r="F29" s="7"/>
    </row>
    <row r="30" spans="1:6" x14ac:dyDescent="0.2">
      <c r="A30" s="45" t="s">
        <v>1366</v>
      </c>
      <c r="B30" s="45" t="s">
        <v>1937</v>
      </c>
      <c r="C30" s="45" t="s">
        <v>925</v>
      </c>
      <c r="D30" s="14">
        <v>82</v>
      </c>
      <c r="E30" s="7">
        <v>825.61044000000004</v>
      </c>
      <c r="F30" s="7">
        <v>8.3931403642538704</v>
      </c>
    </row>
    <row r="31" spans="1:6" x14ac:dyDescent="0.2">
      <c r="A31" s="45" t="s">
        <v>1381</v>
      </c>
      <c r="B31" s="45" t="s">
        <v>1949</v>
      </c>
      <c r="C31" s="45" t="s">
        <v>686</v>
      </c>
      <c r="D31" s="14">
        <v>49</v>
      </c>
      <c r="E31" s="7">
        <v>491.50772999999998</v>
      </c>
      <c r="F31" s="7">
        <v>4.9966584337351501</v>
      </c>
    </row>
    <row r="32" spans="1:6" x14ac:dyDescent="0.2">
      <c r="A32" s="45" t="s">
        <v>1290</v>
      </c>
      <c r="B32" s="45" t="s">
        <v>1885</v>
      </c>
      <c r="C32" s="45" t="s">
        <v>686</v>
      </c>
      <c r="D32" s="14">
        <v>27</v>
      </c>
      <c r="E32" s="7">
        <v>270.80892</v>
      </c>
      <c r="F32" s="7">
        <v>2.7530384395962799</v>
      </c>
    </row>
    <row r="33" spans="1:6" x14ac:dyDescent="0.2">
      <c r="A33" s="26" t="s">
        <v>44</v>
      </c>
      <c r="B33" s="45"/>
      <c r="C33" s="45"/>
      <c r="D33" s="45"/>
      <c r="E33" s="6">
        <f>SUM(E30:E32)</f>
        <v>1587.9270899999999</v>
      </c>
      <c r="F33" s="6">
        <f>SUM(F30:F32)</f>
        <v>16.142837237585301</v>
      </c>
    </row>
    <row r="34" spans="1:6" x14ac:dyDescent="0.2">
      <c r="A34" s="45"/>
      <c r="B34" s="45"/>
      <c r="C34" s="45"/>
      <c r="D34" s="45"/>
      <c r="E34" s="7"/>
      <c r="F34" s="7"/>
    </row>
    <row r="35" spans="1:6" x14ac:dyDescent="0.2">
      <c r="A35" s="26" t="s">
        <v>44</v>
      </c>
      <c r="B35" s="45"/>
      <c r="C35" s="45"/>
      <c r="D35" s="45"/>
      <c r="E35" s="6">
        <v>9300.4267250000012</v>
      </c>
      <c r="F35" s="6">
        <v>94.547964958368127</v>
      </c>
    </row>
    <row r="36" spans="1:6" x14ac:dyDescent="0.2">
      <c r="A36" s="45"/>
      <c r="B36" s="45"/>
      <c r="C36" s="45"/>
      <c r="D36" s="45"/>
      <c r="E36" s="7"/>
      <c r="F36" s="7"/>
    </row>
    <row r="37" spans="1:6" x14ac:dyDescent="0.2">
      <c r="A37" s="26" t="s">
        <v>103</v>
      </c>
      <c r="B37" s="45"/>
      <c r="C37" s="45"/>
      <c r="D37" s="45"/>
      <c r="E37" s="6">
        <v>536.2986161</v>
      </c>
      <c r="F37" s="6">
        <v>5.45</v>
      </c>
    </row>
    <row r="38" spans="1:6" x14ac:dyDescent="0.2">
      <c r="A38" s="45"/>
      <c r="B38" s="45"/>
      <c r="C38" s="45"/>
      <c r="D38" s="45"/>
      <c r="E38" s="7"/>
      <c r="F38" s="7"/>
    </row>
    <row r="39" spans="1:6" x14ac:dyDescent="0.2">
      <c r="A39" s="46" t="s">
        <v>104</v>
      </c>
      <c r="B39" s="44"/>
      <c r="C39" s="44"/>
      <c r="D39" s="44"/>
      <c r="E39" s="8">
        <v>9836.7286160999993</v>
      </c>
      <c r="F39" s="8">
        <f xml:space="preserve"> ROUND(SUM(F35:F38),2)</f>
        <v>100</v>
      </c>
    </row>
    <row r="40" spans="1:6" x14ac:dyDescent="0.2">
      <c r="A40" s="4" t="s">
        <v>1983</v>
      </c>
    </row>
    <row r="41" spans="1:6" x14ac:dyDescent="0.2">
      <c r="A41" s="4"/>
    </row>
    <row r="42" spans="1:6" x14ac:dyDescent="0.2">
      <c r="A42" s="4" t="s">
        <v>105</v>
      </c>
    </row>
    <row r="43" spans="1:6" x14ac:dyDescent="0.2">
      <c r="A43" s="4" t="s">
        <v>769</v>
      </c>
    </row>
    <row r="44" spans="1:6" x14ac:dyDescent="0.2">
      <c r="A44" s="4" t="s">
        <v>107</v>
      </c>
    </row>
    <row r="45" spans="1:6" x14ac:dyDescent="0.2">
      <c r="A45" s="2" t="s">
        <v>666</v>
      </c>
      <c r="D45" s="10">
        <v>11.0284</v>
      </c>
    </row>
    <row r="46" spans="1:6" x14ac:dyDescent="0.2">
      <c r="A46" s="2" t="s">
        <v>667</v>
      </c>
      <c r="D46" s="10">
        <v>10.467000000000001</v>
      </c>
    </row>
    <row r="47" spans="1:6" x14ac:dyDescent="0.2">
      <c r="A47" s="2" t="s">
        <v>1222</v>
      </c>
      <c r="D47" s="10">
        <v>10.159700000000001</v>
      </c>
    </row>
    <row r="48" spans="1:6" x14ac:dyDescent="0.2">
      <c r="A48" s="2" t="s">
        <v>668</v>
      </c>
      <c r="D48" s="10">
        <v>11.0837</v>
      </c>
    </row>
    <row r="49" spans="1:5" x14ac:dyDescent="0.2">
      <c r="A49" s="2" t="s">
        <v>669</v>
      </c>
      <c r="D49" s="10">
        <v>10.5223</v>
      </c>
    </row>
    <row r="51" spans="1:5" x14ac:dyDescent="0.2">
      <c r="A51" s="4" t="s">
        <v>108</v>
      </c>
    </row>
    <row r="52" spans="1:5" x14ac:dyDescent="0.2">
      <c r="A52" s="2" t="s">
        <v>666</v>
      </c>
      <c r="D52" s="10">
        <v>11.5771</v>
      </c>
    </row>
    <row r="53" spans="1:5" x14ac:dyDescent="0.2">
      <c r="A53" s="2" t="s">
        <v>667</v>
      </c>
      <c r="D53" s="10">
        <v>10.9878</v>
      </c>
    </row>
    <row r="54" spans="1:5" x14ac:dyDescent="0.2">
      <c r="A54" s="2" t="s">
        <v>1222</v>
      </c>
      <c r="D54" s="10">
        <v>10.2456</v>
      </c>
    </row>
    <row r="55" spans="1:5" x14ac:dyDescent="0.2">
      <c r="A55" s="2" t="s">
        <v>668</v>
      </c>
      <c r="D55" s="10">
        <v>11.6351</v>
      </c>
    </row>
    <row r="56" spans="1:5" x14ac:dyDescent="0.2">
      <c r="A56" s="2" t="s">
        <v>669</v>
      </c>
      <c r="D56" s="10">
        <v>11.0459</v>
      </c>
    </row>
    <row r="58" spans="1:5" x14ac:dyDescent="0.2">
      <c r="A58" s="4" t="s">
        <v>109</v>
      </c>
      <c r="D58" s="30" t="s">
        <v>325</v>
      </c>
    </row>
    <row r="59" spans="1:5" x14ac:dyDescent="0.2">
      <c r="A59" s="31" t="s">
        <v>670</v>
      </c>
      <c r="B59" s="32"/>
      <c r="C59" s="88" t="s">
        <v>671</v>
      </c>
      <c r="D59" s="89"/>
    </row>
    <row r="60" spans="1:5" x14ac:dyDescent="0.2">
      <c r="A60" s="92"/>
      <c r="B60" s="93"/>
      <c r="C60" s="33" t="s">
        <v>672</v>
      </c>
      <c r="D60" s="33" t="s">
        <v>673</v>
      </c>
    </row>
    <row r="61" spans="1:5" x14ac:dyDescent="0.2">
      <c r="A61" s="34" t="s">
        <v>1222</v>
      </c>
      <c r="B61" s="35"/>
      <c r="C61" s="36">
        <v>0.29533230700000002</v>
      </c>
      <c r="D61" s="36">
        <v>0.27347918810000005</v>
      </c>
    </row>
    <row r="63" spans="1:5" x14ac:dyDescent="0.2">
      <c r="A63" s="4" t="s">
        <v>770</v>
      </c>
      <c r="D63" s="29">
        <v>1.1739789032636441</v>
      </c>
      <c r="E63" s="1" t="s">
        <v>771</v>
      </c>
    </row>
    <row r="65" spans="1:4" x14ac:dyDescent="0.2">
      <c r="A65" s="4" t="s">
        <v>1989</v>
      </c>
      <c r="D65" s="53" t="s">
        <v>110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6D2A-CFC2-4322-AFE7-ECED08D47878}">
  <sheetPr codeName="Sheet57"/>
  <dimension ref="A1:F60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6" style="2" bestFit="1" customWidth="1"/>
    <col min="3" max="3" width="11.7109375" style="2" bestFit="1" customWidth="1"/>
    <col min="4" max="4" width="6.5703125" style="2" bestFit="1" customWidth="1"/>
    <col min="5" max="5" width="19.7109375" style="1" bestFit="1" customWidth="1"/>
    <col min="6" max="6" width="11.85546875" style="1" bestFit="1" customWidth="1"/>
    <col min="7" max="16384" width="8.7109375" style="2"/>
  </cols>
  <sheetData>
    <row r="1" spans="1:6" ht="15" customHeight="1" x14ac:dyDescent="0.2">
      <c r="A1" s="87" t="s">
        <v>1389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1369</v>
      </c>
      <c r="B8" s="45" t="s">
        <v>1939</v>
      </c>
      <c r="C8" s="45" t="s">
        <v>686</v>
      </c>
      <c r="D8" s="14">
        <v>113</v>
      </c>
      <c r="E8" s="7">
        <v>1144.18263</v>
      </c>
      <c r="F8" s="7">
        <v>9.6717078078548209</v>
      </c>
    </row>
    <row r="9" spans="1:6" x14ac:dyDescent="0.2">
      <c r="A9" s="45" t="s">
        <v>1386</v>
      </c>
      <c r="B9" s="45" t="s">
        <v>1952</v>
      </c>
      <c r="C9" s="45" t="s">
        <v>917</v>
      </c>
      <c r="D9" s="14">
        <v>106</v>
      </c>
      <c r="E9" s="7">
        <v>1069.56438</v>
      </c>
      <c r="F9" s="7">
        <v>9.0409641728693302</v>
      </c>
    </row>
    <row r="10" spans="1:6" x14ac:dyDescent="0.2">
      <c r="A10" s="45" t="s">
        <v>962</v>
      </c>
      <c r="B10" s="45" t="s">
        <v>1643</v>
      </c>
      <c r="C10" s="45" t="s">
        <v>686</v>
      </c>
      <c r="D10" s="14">
        <v>99</v>
      </c>
      <c r="E10" s="7">
        <v>1017.04977</v>
      </c>
      <c r="F10" s="7">
        <v>8.5970612938652504</v>
      </c>
    </row>
    <row r="11" spans="1:6" x14ac:dyDescent="0.2">
      <c r="A11" s="45" t="s">
        <v>1214</v>
      </c>
      <c r="B11" s="45" t="s">
        <v>1830</v>
      </c>
      <c r="C11" s="45" t="s">
        <v>686</v>
      </c>
      <c r="D11" s="14">
        <v>100</v>
      </c>
      <c r="E11" s="7">
        <v>1009.398</v>
      </c>
      <c r="F11" s="7">
        <v>8.5323813365642796</v>
      </c>
    </row>
    <row r="12" spans="1:6" x14ac:dyDescent="0.2">
      <c r="A12" s="45" t="s">
        <v>1363</v>
      </c>
      <c r="B12" s="45" t="s">
        <v>1934</v>
      </c>
      <c r="C12" s="45" t="s">
        <v>686</v>
      </c>
      <c r="D12" s="14">
        <v>97</v>
      </c>
      <c r="E12" s="7">
        <v>1001.98866</v>
      </c>
      <c r="F12" s="7">
        <v>8.4697506256531696</v>
      </c>
    </row>
    <row r="13" spans="1:6" x14ac:dyDescent="0.2">
      <c r="A13" s="45" t="s">
        <v>1390</v>
      </c>
      <c r="B13" s="45" t="s">
        <v>1954</v>
      </c>
      <c r="C13" s="45" t="s">
        <v>917</v>
      </c>
      <c r="D13" s="14">
        <v>100</v>
      </c>
      <c r="E13" s="7">
        <v>990.34</v>
      </c>
      <c r="F13" s="7">
        <v>8.3712851945942806</v>
      </c>
    </row>
    <row r="14" spans="1:6" x14ac:dyDescent="0.2">
      <c r="A14" s="45" t="s">
        <v>1372</v>
      </c>
      <c r="B14" s="45" t="s">
        <v>1942</v>
      </c>
      <c r="C14" s="45" t="s">
        <v>686</v>
      </c>
      <c r="D14" s="14">
        <v>73</v>
      </c>
      <c r="E14" s="7">
        <v>739.13010999999995</v>
      </c>
      <c r="F14" s="7">
        <v>6.2478229160912804</v>
      </c>
    </row>
    <row r="15" spans="1:6" x14ac:dyDescent="0.2">
      <c r="A15" s="45" t="s">
        <v>1262</v>
      </c>
      <c r="B15" s="45" t="s">
        <v>1859</v>
      </c>
      <c r="C15" s="45" t="s">
        <v>686</v>
      </c>
      <c r="D15" s="14">
        <v>5</v>
      </c>
      <c r="E15" s="7">
        <v>511.27449999999999</v>
      </c>
      <c r="F15" s="7">
        <v>4.3217729792026898</v>
      </c>
    </row>
    <row r="16" spans="1:6" x14ac:dyDescent="0.2">
      <c r="A16" s="45" t="s">
        <v>1391</v>
      </c>
      <c r="B16" s="45" t="s">
        <v>1955</v>
      </c>
      <c r="C16" s="45" t="s">
        <v>917</v>
      </c>
      <c r="D16" s="14">
        <v>50</v>
      </c>
      <c r="E16" s="7">
        <v>510.42750000000001</v>
      </c>
      <c r="F16" s="7">
        <v>4.3146133385138103</v>
      </c>
    </row>
    <row r="17" spans="1:6" x14ac:dyDescent="0.2">
      <c r="A17" s="45" t="s">
        <v>1365</v>
      </c>
      <c r="B17" s="45" t="s">
        <v>1936</v>
      </c>
      <c r="C17" s="45" t="s">
        <v>686</v>
      </c>
      <c r="D17" s="14">
        <v>49</v>
      </c>
      <c r="E17" s="7">
        <v>498.14967999999999</v>
      </c>
      <c r="F17" s="7">
        <v>4.2108296553465197</v>
      </c>
    </row>
    <row r="18" spans="1:6" x14ac:dyDescent="0.2">
      <c r="A18" s="45" t="s">
        <v>1383</v>
      </c>
      <c r="B18" s="45" t="s">
        <v>1950</v>
      </c>
      <c r="C18" s="45" t="s">
        <v>686</v>
      </c>
      <c r="D18" s="14">
        <v>46</v>
      </c>
      <c r="E18" s="7">
        <v>462.68225999999999</v>
      </c>
      <c r="F18" s="7">
        <v>3.9110256608229701</v>
      </c>
    </row>
    <row r="19" spans="1:6" x14ac:dyDescent="0.2">
      <c r="A19" s="45" t="s">
        <v>1019</v>
      </c>
      <c r="B19" s="45" t="s">
        <v>1686</v>
      </c>
      <c r="C19" s="45" t="s">
        <v>1020</v>
      </c>
      <c r="D19" s="14">
        <v>24</v>
      </c>
      <c r="E19" s="7">
        <v>275.71415999999999</v>
      </c>
      <c r="F19" s="7">
        <v>2.3305954172789098</v>
      </c>
    </row>
    <row r="20" spans="1:6" x14ac:dyDescent="0.2">
      <c r="A20" s="45" t="s">
        <v>1375</v>
      </c>
      <c r="B20" s="45" t="s">
        <v>1944</v>
      </c>
      <c r="C20" s="45" t="s">
        <v>686</v>
      </c>
      <c r="D20" s="14">
        <v>18</v>
      </c>
      <c r="E20" s="7">
        <v>163.13669999999999</v>
      </c>
      <c r="F20" s="7">
        <v>1.3789848349102001</v>
      </c>
    </row>
    <row r="21" spans="1:6" x14ac:dyDescent="0.2">
      <c r="A21" s="45" t="s">
        <v>961</v>
      </c>
      <c r="B21" s="45" t="s">
        <v>1642</v>
      </c>
      <c r="C21" s="45" t="s">
        <v>686</v>
      </c>
      <c r="D21" s="14">
        <v>9</v>
      </c>
      <c r="E21" s="7">
        <v>92.027159999999995</v>
      </c>
      <c r="F21" s="7">
        <v>0.77790011714013196</v>
      </c>
    </row>
    <row r="22" spans="1:6" x14ac:dyDescent="0.2">
      <c r="A22" s="45" t="s">
        <v>1364</v>
      </c>
      <c r="B22" s="45" t="s">
        <v>1935</v>
      </c>
      <c r="C22" s="45" t="s">
        <v>686</v>
      </c>
      <c r="D22" s="14">
        <v>6</v>
      </c>
      <c r="E22" s="7">
        <v>69.479100000000003</v>
      </c>
      <c r="F22" s="7">
        <v>0.58730270529690298</v>
      </c>
    </row>
    <row r="23" spans="1:6" x14ac:dyDescent="0.2">
      <c r="A23" s="45" t="s">
        <v>1278</v>
      </c>
      <c r="B23" s="45" t="s">
        <v>1873</v>
      </c>
      <c r="C23" s="45" t="s">
        <v>917</v>
      </c>
      <c r="D23" s="14">
        <v>3</v>
      </c>
      <c r="E23" s="7">
        <v>33.989519999999999</v>
      </c>
      <c r="F23" s="7">
        <v>0.28731139360963498</v>
      </c>
    </row>
    <row r="24" spans="1:6" x14ac:dyDescent="0.2">
      <c r="A24" s="45" t="s">
        <v>1018</v>
      </c>
      <c r="B24" s="45" t="s">
        <v>1685</v>
      </c>
      <c r="C24" s="45" t="s">
        <v>686</v>
      </c>
      <c r="D24" s="14">
        <v>3</v>
      </c>
      <c r="E24" s="7">
        <v>29.946960000000001</v>
      </c>
      <c r="F24" s="7">
        <v>0.25313987405447302</v>
      </c>
    </row>
    <row r="25" spans="1:6" x14ac:dyDescent="0.2">
      <c r="A25" s="26" t="s">
        <v>44</v>
      </c>
      <c r="B25" s="45"/>
      <c r="C25" s="45"/>
      <c r="D25" s="14"/>
      <c r="E25" s="6">
        <f>SUM(E8:E24)</f>
        <v>9618.4810899999975</v>
      </c>
      <c r="F25" s="6">
        <f>SUM(F8:F24)</f>
        <v>81.304449323668663</v>
      </c>
    </row>
    <row r="26" spans="1:6" x14ac:dyDescent="0.2">
      <c r="A26" s="45"/>
      <c r="B26" s="45"/>
      <c r="C26" s="45"/>
      <c r="D26" s="14"/>
      <c r="E26" s="7"/>
      <c r="F26" s="7"/>
    </row>
    <row r="27" spans="1:6" x14ac:dyDescent="0.2">
      <c r="A27" s="26" t="s">
        <v>732</v>
      </c>
      <c r="B27" s="45"/>
      <c r="C27" s="45"/>
      <c r="D27" s="14"/>
      <c r="E27" s="7"/>
      <c r="F27" s="7"/>
    </row>
    <row r="28" spans="1:6" x14ac:dyDescent="0.2">
      <c r="A28" s="45" t="s">
        <v>1392</v>
      </c>
      <c r="B28" s="45" t="s">
        <v>1956</v>
      </c>
      <c r="C28" s="45" t="s">
        <v>686</v>
      </c>
      <c r="D28" s="14">
        <v>100</v>
      </c>
      <c r="E28" s="7">
        <v>998.82799999999997</v>
      </c>
      <c r="F28" s="7">
        <v>8.4430337544138503</v>
      </c>
    </row>
    <row r="29" spans="1:6" x14ac:dyDescent="0.2">
      <c r="A29" s="45" t="s">
        <v>1290</v>
      </c>
      <c r="B29" s="45" t="s">
        <v>1885</v>
      </c>
      <c r="C29" s="45" t="s">
        <v>686</v>
      </c>
      <c r="D29" s="14">
        <v>56</v>
      </c>
      <c r="E29" s="7">
        <v>561.67776000000003</v>
      </c>
      <c r="F29" s="7">
        <v>4.7478287420692702</v>
      </c>
    </row>
    <row r="30" spans="1:6" x14ac:dyDescent="0.2">
      <c r="A30" s="26" t="s">
        <v>44</v>
      </c>
      <c r="B30" s="45"/>
      <c r="C30" s="45"/>
      <c r="D30" s="45"/>
      <c r="E30" s="6">
        <f>SUM(E28:E29)</f>
        <v>1560.50576</v>
      </c>
      <c r="F30" s="6">
        <f>SUM(F28:F29)</f>
        <v>13.19086249648312</v>
      </c>
    </row>
    <row r="31" spans="1:6" x14ac:dyDescent="0.2">
      <c r="A31" s="45"/>
      <c r="B31" s="45"/>
      <c r="C31" s="45"/>
      <c r="D31" s="45"/>
      <c r="E31" s="7"/>
      <c r="F31" s="7"/>
    </row>
    <row r="32" spans="1:6" x14ac:dyDescent="0.2">
      <c r="A32" s="26" t="s">
        <v>44</v>
      </c>
      <c r="B32" s="45"/>
      <c r="C32" s="45"/>
      <c r="D32" s="45"/>
      <c r="E32" s="6">
        <v>11178.986849999998</v>
      </c>
      <c r="F32" s="6">
        <v>94.495311820151784</v>
      </c>
    </row>
    <row r="33" spans="1:6" x14ac:dyDescent="0.2">
      <c r="A33" s="45"/>
      <c r="B33" s="45"/>
      <c r="C33" s="45"/>
      <c r="D33" s="45"/>
      <c r="E33" s="7"/>
      <c r="F33" s="7"/>
    </row>
    <row r="34" spans="1:6" x14ac:dyDescent="0.2">
      <c r="A34" s="26" t="s">
        <v>103</v>
      </c>
      <c r="B34" s="45"/>
      <c r="C34" s="45"/>
      <c r="D34" s="45"/>
      <c r="E34" s="6">
        <v>651.21261500000003</v>
      </c>
      <c r="F34" s="6">
        <v>5.5</v>
      </c>
    </row>
    <row r="35" spans="1:6" x14ac:dyDescent="0.2">
      <c r="A35" s="45"/>
      <c r="B35" s="45"/>
      <c r="C35" s="45"/>
      <c r="D35" s="45"/>
      <c r="E35" s="7"/>
      <c r="F35" s="7"/>
    </row>
    <row r="36" spans="1:6" x14ac:dyDescent="0.2">
      <c r="A36" s="46" t="s">
        <v>104</v>
      </c>
      <c r="B36" s="44"/>
      <c r="C36" s="44"/>
      <c r="D36" s="44"/>
      <c r="E36" s="8">
        <v>11830.202615</v>
      </c>
      <c r="F36" s="8">
        <f xml:space="preserve"> ROUND(SUM(F32:F35),2)</f>
        <v>100</v>
      </c>
    </row>
    <row r="37" spans="1:6" x14ac:dyDescent="0.2">
      <c r="A37" s="4" t="s">
        <v>1983</v>
      </c>
    </row>
    <row r="38" spans="1:6" x14ac:dyDescent="0.2">
      <c r="A38" s="4"/>
    </row>
    <row r="39" spans="1:6" x14ac:dyDescent="0.2">
      <c r="A39" s="4" t="s">
        <v>105</v>
      </c>
    </row>
    <row r="40" spans="1:6" x14ac:dyDescent="0.2">
      <c r="A40" s="4" t="s">
        <v>769</v>
      </c>
    </row>
    <row r="41" spans="1:6" x14ac:dyDescent="0.2">
      <c r="A41" s="4" t="s">
        <v>107</v>
      </c>
    </row>
    <row r="42" spans="1:6" x14ac:dyDescent="0.2">
      <c r="A42" s="2" t="s">
        <v>666</v>
      </c>
      <c r="D42" s="10">
        <v>11.0303</v>
      </c>
    </row>
    <row r="43" spans="1:6" x14ac:dyDescent="0.2">
      <c r="A43" s="2" t="s">
        <v>1393</v>
      </c>
      <c r="D43" s="10">
        <v>10.61</v>
      </c>
    </row>
    <row r="44" spans="1:6" x14ac:dyDescent="0.2">
      <c r="A44" s="2" t="s">
        <v>1222</v>
      </c>
      <c r="D44" s="10">
        <v>10.2881</v>
      </c>
    </row>
    <row r="45" spans="1:6" x14ac:dyDescent="0.2">
      <c r="A45" s="2" t="s">
        <v>668</v>
      </c>
      <c r="D45" s="10">
        <v>11.085599999999999</v>
      </c>
    </row>
    <row r="47" spans="1:6" x14ac:dyDescent="0.2">
      <c r="A47" s="4" t="s">
        <v>108</v>
      </c>
    </row>
    <row r="48" spans="1:6" x14ac:dyDescent="0.2">
      <c r="A48" s="2" t="s">
        <v>666</v>
      </c>
      <c r="D48" s="10">
        <v>11.581</v>
      </c>
    </row>
    <row r="49" spans="1:5" x14ac:dyDescent="0.2">
      <c r="A49" s="2" t="s">
        <v>1393</v>
      </c>
      <c r="D49" s="10">
        <v>11.139699999999999</v>
      </c>
    </row>
    <row r="50" spans="1:5" x14ac:dyDescent="0.2">
      <c r="A50" s="2" t="s">
        <v>1222</v>
      </c>
      <c r="D50" s="10">
        <v>10.295</v>
      </c>
    </row>
    <row r="51" spans="1:5" x14ac:dyDescent="0.2">
      <c r="A51" s="2" t="s">
        <v>668</v>
      </c>
      <c r="D51" s="10">
        <v>11.638999999999999</v>
      </c>
    </row>
    <row r="53" spans="1:5" x14ac:dyDescent="0.2">
      <c r="A53" s="4" t="s">
        <v>109</v>
      </c>
      <c r="D53" s="50" t="s">
        <v>325</v>
      </c>
    </row>
    <row r="54" spans="1:5" x14ac:dyDescent="0.2">
      <c r="A54" s="31" t="s">
        <v>670</v>
      </c>
      <c r="B54" s="32"/>
      <c r="C54" s="88" t="s">
        <v>671</v>
      </c>
      <c r="D54" s="89"/>
    </row>
    <row r="55" spans="1:5" x14ac:dyDescent="0.2">
      <c r="A55" s="92"/>
      <c r="B55" s="93"/>
      <c r="C55" s="33" t="s">
        <v>672</v>
      </c>
      <c r="D55" s="33" t="s">
        <v>673</v>
      </c>
    </row>
    <row r="56" spans="1:5" x14ac:dyDescent="0.2">
      <c r="A56" s="34" t="s">
        <v>1222</v>
      </c>
      <c r="B56" s="35"/>
      <c r="C56" s="67">
        <v>0.35295812300000001</v>
      </c>
      <c r="D56" s="67">
        <v>0.32684098090000002</v>
      </c>
    </row>
    <row r="58" spans="1:5" x14ac:dyDescent="0.2">
      <c r="A58" s="4" t="s">
        <v>770</v>
      </c>
      <c r="D58" s="29">
        <v>1.1480138930951747</v>
      </c>
      <c r="E58" s="1" t="s">
        <v>771</v>
      </c>
    </row>
    <row r="60" spans="1:5" x14ac:dyDescent="0.2">
      <c r="A60" s="4" t="s">
        <v>1989</v>
      </c>
      <c r="D60" s="53" t="s">
        <v>110</v>
      </c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6238-D45C-47C9-A3E2-A6456EE2E28F}">
  <sheetPr codeName="Sheet58"/>
  <dimension ref="A1:F71"/>
  <sheetViews>
    <sheetView showGridLines="0" workbookViewId="0">
      <selection sqref="A1:F1"/>
    </sheetView>
  </sheetViews>
  <sheetFormatPr defaultColWidth="8.7109375" defaultRowHeight="11.25" x14ac:dyDescent="0.2"/>
  <cols>
    <col min="1" max="1" width="59.85546875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1394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1386</v>
      </c>
      <c r="B8" s="45" t="s">
        <v>1952</v>
      </c>
      <c r="C8" s="45" t="s">
        <v>917</v>
      </c>
      <c r="D8" s="14">
        <v>156</v>
      </c>
      <c r="E8" s="7">
        <v>1574.0758800000001</v>
      </c>
      <c r="F8" s="7">
        <v>8.7398106919945597</v>
      </c>
    </row>
    <row r="9" spans="1:6" x14ac:dyDescent="0.2">
      <c r="A9" s="45" t="s">
        <v>1395</v>
      </c>
      <c r="B9" s="45" t="s">
        <v>1957</v>
      </c>
      <c r="C9" s="45" t="s">
        <v>686</v>
      </c>
      <c r="D9" s="14">
        <v>150</v>
      </c>
      <c r="E9" s="7">
        <v>1540.1130000000001</v>
      </c>
      <c r="F9" s="7">
        <v>8.5512371006407992</v>
      </c>
    </row>
    <row r="10" spans="1:6" x14ac:dyDescent="0.2">
      <c r="A10" s="45" t="s">
        <v>1390</v>
      </c>
      <c r="B10" s="45" t="s">
        <v>1954</v>
      </c>
      <c r="C10" s="45" t="s">
        <v>917</v>
      </c>
      <c r="D10" s="14">
        <v>150</v>
      </c>
      <c r="E10" s="7">
        <v>1485.51</v>
      </c>
      <c r="F10" s="7">
        <v>8.2480624638405793</v>
      </c>
    </row>
    <row r="11" spans="1:6" x14ac:dyDescent="0.2">
      <c r="A11" s="45" t="s">
        <v>1262</v>
      </c>
      <c r="B11" s="45" t="s">
        <v>1859</v>
      </c>
      <c r="C11" s="45" t="s">
        <v>686</v>
      </c>
      <c r="D11" s="14">
        <v>14</v>
      </c>
      <c r="E11" s="7">
        <v>1431.5686000000001</v>
      </c>
      <c r="F11" s="7">
        <v>7.9485612577988798</v>
      </c>
    </row>
    <row r="12" spans="1:6" x14ac:dyDescent="0.2">
      <c r="A12" s="45" t="s">
        <v>1396</v>
      </c>
      <c r="B12" s="45" t="s">
        <v>1958</v>
      </c>
      <c r="C12" s="45" t="s">
        <v>686</v>
      </c>
      <c r="D12" s="14">
        <v>100</v>
      </c>
      <c r="E12" s="7">
        <v>1034.462</v>
      </c>
      <c r="F12" s="7">
        <v>5.7436888290684402</v>
      </c>
    </row>
    <row r="13" spans="1:6" x14ac:dyDescent="0.2">
      <c r="A13" s="45" t="s">
        <v>1397</v>
      </c>
      <c r="B13" s="45" t="s">
        <v>1959</v>
      </c>
      <c r="C13" s="45" t="s">
        <v>686</v>
      </c>
      <c r="D13" s="14">
        <v>100</v>
      </c>
      <c r="E13" s="7">
        <v>1008.547</v>
      </c>
      <c r="F13" s="7">
        <v>5.5997998355575103</v>
      </c>
    </row>
    <row r="14" spans="1:6" x14ac:dyDescent="0.2">
      <c r="A14" s="45" t="s">
        <v>1398</v>
      </c>
      <c r="B14" s="45" t="s">
        <v>1960</v>
      </c>
      <c r="C14" s="45" t="s">
        <v>686</v>
      </c>
      <c r="D14" s="14">
        <v>40</v>
      </c>
      <c r="E14" s="7">
        <v>1005.686</v>
      </c>
      <c r="F14" s="7">
        <v>5.5839145795113998</v>
      </c>
    </row>
    <row r="15" spans="1:6" x14ac:dyDescent="0.2">
      <c r="A15" s="45" t="s">
        <v>1399</v>
      </c>
      <c r="B15" s="45" t="s">
        <v>1961</v>
      </c>
      <c r="C15" s="45" t="s">
        <v>925</v>
      </c>
      <c r="D15" s="14">
        <v>800</v>
      </c>
      <c r="E15" s="7">
        <v>823.52800000000002</v>
      </c>
      <c r="F15" s="7">
        <v>4.5725107099391504</v>
      </c>
    </row>
    <row r="16" spans="1:6" x14ac:dyDescent="0.2">
      <c r="A16" s="45" t="s">
        <v>1214</v>
      </c>
      <c r="B16" s="45" t="s">
        <v>1830</v>
      </c>
      <c r="C16" s="45" t="s">
        <v>686</v>
      </c>
      <c r="D16" s="14">
        <v>62</v>
      </c>
      <c r="E16" s="7">
        <v>625.82676000000004</v>
      </c>
      <c r="F16" s="7">
        <v>3.4748054257615002</v>
      </c>
    </row>
    <row r="17" spans="1:6" x14ac:dyDescent="0.2">
      <c r="A17" s="45" t="s">
        <v>1400</v>
      </c>
      <c r="B17" s="45" t="s">
        <v>1962</v>
      </c>
      <c r="C17" s="45" t="s">
        <v>686</v>
      </c>
      <c r="D17" s="14">
        <v>40</v>
      </c>
      <c r="E17" s="7">
        <v>521.37850000000003</v>
      </c>
      <c r="F17" s="7">
        <v>2.8948727610743199</v>
      </c>
    </row>
    <row r="18" spans="1:6" x14ac:dyDescent="0.2">
      <c r="A18" s="45" t="s">
        <v>1401</v>
      </c>
      <c r="B18" s="45" t="s">
        <v>1963</v>
      </c>
      <c r="C18" s="45" t="s">
        <v>686</v>
      </c>
      <c r="D18" s="14">
        <v>50</v>
      </c>
      <c r="E18" s="7">
        <v>519.10799999999995</v>
      </c>
      <c r="F18" s="7">
        <v>2.88226616413175</v>
      </c>
    </row>
    <row r="19" spans="1:6" x14ac:dyDescent="0.2">
      <c r="A19" s="45" t="s">
        <v>1402</v>
      </c>
      <c r="B19" s="45" t="s">
        <v>1964</v>
      </c>
      <c r="C19" s="45" t="s">
        <v>686</v>
      </c>
      <c r="D19" s="14">
        <v>50</v>
      </c>
      <c r="E19" s="7">
        <v>518.28800000000001</v>
      </c>
      <c r="F19" s="7">
        <v>2.8777132420912701</v>
      </c>
    </row>
    <row r="20" spans="1:6" x14ac:dyDescent="0.2">
      <c r="A20" s="45" t="s">
        <v>1372</v>
      </c>
      <c r="B20" s="45" t="s">
        <v>1942</v>
      </c>
      <c r="C20" s="45" t="s">
        <v>686</v>
      </c>
      <c r="D20" s="14">
        <v>44</v>
      </c>
      <c r="E20" s="7">
        <v>445.50308000000001</v>
      </c>
      <c r="F20" s="7">
        <v>2.4735863317469202</v>
      </c>
    </row>
    <row r="21" spans="1:6" x14ac:dyDescent="0.2">
      <c r="A21" s="45" t="s">
        <v>1369</v>
      </c>
      <c r="B21" s="45" t="s">
        <v>1939</v>
      </c>
      <c r="C21" s="45" t="s">
        <v>686</v>
      </c>
      <c r="D21" s="14">
        <v>41</v>
      </c>
      <c r="E21" s="7">
        <v>415.14591000000001</v>
      </c>
      <c r="F21" s="7">
        <v>2.3050328825036099</v>
      </c>
    </row>
    <row r="22" spans="1:6" x14ac:dyDescent="0.2">
      <c r="A22" s="45" t="s">
        <v>1377</v>
      </c>
      <c r="B22" s="45" t="s">
        <v>1945</v>
      </c>
      <c r="C22" s="45" t="s">
        <v>686</v>
      </c>
      <c r="D22" s="14">
        <v>38</v>
      </c>
      <c r="E22" s="7">
        <v>385.60120000000001</v>
      </c>
      <c r="F22" s="7">
        <v>2.14099049062738</v>
      </c>
    </row>
    <row r="23" spans="1:6" x14ac:dyDescent="0.2">
      <c r="A23" s="45" t="s">
        <v>1018</v>
      </c>
      <c r="B23" s="45" t="s">
        <v>1685</v>
      </c>
      <c r="C23" s="45" t="s">
        <v>686</v>
      </c>
      <c r="D23" s="14">
        <v>25</v>
      </c>
      <c r="E23" s="7">
        <v>249.55799999999999</v>
      </c>
      <c r="F23" s="7">
        <v>1.3856318519236701</v>
      </c>
    </row>
    <row r="24" spans="1:6" x14ac:dyDescent="0.2">
      <c r="A24" s="45" t="s">
        <v>961</v>
      </c>
      <c r="B24" s="45" t="s">
        <v>1642</v>
      </c>
      <c r="C24" s="45" t="s">
        <v>686</v>
      </c>
      <c r="D24" s="14">
        <v>20</v>
      </c>
      <c r="E24" s="7">
        <v>204.50479999999999</v>
      </c>
      <c r="F24" s="7">
        <v>1.13548098939437</v>
      </c>
    </row>
    <row r="25" spans="1:6" x14ac:dyDescent="0.2">
      <c r="A25" s="45" t="s">
        <v>1380</v>
      </c>
      <c r="B25" s="45" t="s">
        <v>1948</v>
      </c>
      <c r="C25" s="45" t="s">
        <v>686</v>
      </c>
      <c r="D25" s="14">
        <v>15</v>
      </c>
      <c r="E25" s="7">
        <v>194.02743749999999</v>
      </c>
      <c r="F25" s="7">
        <v>1.07730706908666</v>
      </c>
    </row>
    <row r="26" spans="1:6" x14ac:dyDescent="0.2">
      <c r="A26" s="45" t="s">
        <v>1337</v>
      </c>
      <c r="B26" s="45" t="s">
        <v>1912</v>
      </c>
      <c r="C26" s="45" t="s">
        <v>686</v>
      </c>
      <c r="D26" s="14">
        <v>10</v>
      </c>
      <c r="E26" s="7">
        <v>116.4104</v>
      </c>
      <c r="F26" s="7">
        <v>0.64635058036678905</v>
      </c>
    </row>
    <row r="27" spans="1:6" x14ac:dyDescent="0.2">
      <c r="A27" s="45" t="s">
        <v>1403</v>
      </c>
      <c r="B27" s="45" t="s">
        <v>1965</v>
      </c>
      <c r="C27" s="45" t="s">
        <v>686</v>
      </c>
      <c r="D27" s="14">
        <v>3</v>
      </c>
      <c r="E27" s="7">
        <v>30.185220000000001</v>
      </c>
      <c r="F27" s="7">
        <v>0.16759872370079601</v>
      </c>
    </row>
    <row r="28" spans="1:6" x14ac:dyDescent="0.2">
      <c r="A28" s="45" t="s">
        <v>1370</v>
      </c>
      <c r="B28" s="45" t="s">
        <v>1940</v>
      </c>
      <c r="C28" s="45" t="s">
        <v>925</v>
      </c>
      <c r="D28" s="14">
        <v>1</v>
      </c>
      <c r="E28" s="7">
        <v>10.16075</v>
      </c>
      <c r="F28" s="7">
        <v>5.6415978808266702E-2</v>
      </c>
    </row>
    <row r="29" spans="1:6" x14ac:dyDescent="0.2">
      <c r="A29" s="26" t="s">
        <v>44</v>
      </c>
      <c r="B29" s="45"/>
      <c r="C29" s="45"/>
      <c r="D29" s="14"/>
      <c r="E29" s="6">
        <f>SUM(E8:E28)</f>
        <v>14139.1885375</v>
      </c>
      <c r="F29" s="6">
        <f>SUM(F8:F28)</f>
        <v>78.505637959568617</v>
      </c>
    </row>
    <row r="30" spans="1:6" x14ac:dyDescent="0.2">
      <c r="A30" s="45"/>
      <c r="B30" s="45"/>
      <c r="C30" s="45"/>
      <c r="D30" s="14"/>
      <c r="E30" s="7"/>
      <c r="F30" s="7"/>
    </row>
    <row r="31" spans="1:6" x14ac:dyDescent="0.2">
      <c r="A31" s="26" t="s">
        <v>732</v>
      </c>
      <c r="B31" s="45"/>
      <c r="C31" s="45"/>
      <c r="D31" s="14"/>
      <c r="E31" s="7"/>
      <c r="F31" s="7"/>
    </row>
    <row r="32" spans="1:6" x14ac:dyDescent="0.2">
      <c r="A32" s="45" t="s">
        <v>1366</v>
      </c>
      <c r="B32" s="45" t="s">
        <v>1937</v>
      </c>
      <c r="C32" s="45" t="s">
        <v>925</v>
      </c>
      <c r="D32" s="14">
        <v>150</v>
      </c>
      <c r="E32" s="7">
        <v>1510.2629999999999</v>
      </c>
      <c r="F32" s="7">
        <v>8.3854996336795296</v>
      </c>
    </row>
    <row r="33" spans="1:6" x14ac:dyDescent="0.2">
      <c r="A33" s="45" t="s">
        <v>1392</v>
      </c>
      <c r="B33" s="45" t="s">
        <v>1956</v>
      </c>
      <c r="C33" s="45" t="s">
        <v>686</v>
      </c>
      <c r="D33" s="14">
        <v>150</v>
      </c>
      <c r="E33" s="7">
        <v>1498.242</v>
      </c>
      <c r="F33" s="7">
        <v>8.3187549070349203</v>
      </c>
    </row>
    <row r="34" spans="1:6" x14ac:dyDescent="0.2">
      <c r="A34" s="26" t="s">
        <v>44</v>
      </c>
      <c r="B34" s="45"/>
      <c r="C34" s="45"/>
      <c r="D34" s="45"/>
      <c r="E34" s="6">
        <f>SUM(E32:E33)</f>
        <v>3008.5050000000001</v>
      </c>
      <c r="F34" s="6">
        <f>SUM(F32:F33)</f>
        <v>16.704254540714452</v>
      </c>
    </row>
    <row r="35" spans="1:6" x14ac:dyDescent="0.2">
      <c r="A35" s="45"/>
      <c r="B35" s="45"/>
      <c r="C35" s="45"/>
      <c r="D35" s="45"/>
      <c r="E35" s="7"/>
      <c r="F35" s="7"/>
    </row>
    <row r="36" spans="1:6" x14ac:dyDescent="0.2">
      <c r="A36" s="26" t="s">
        <v>44</v>
      </c>
      <c r="B36" s="45"/>
      <c r="C36" s="45"/>
      <c r="D36" s="45"/>
      <c r="E36" s="6">
        <v>17147.693537499999</v>
      </c>
      <c r="F36" s="6">
        <v>95.209892500283061</v>
      </c>
    </row>
    <row r="37" spans="1:6" x14ac:dyDescent="0.2">
      <c r="A37" s="45"/>
      <c r="B37" s="45"/>
      <c r="C37" s="45"/>
      <c r="D37" s="45"/>
      <c r="E37" s="7"/>
      <c r="F37" s="7"/>
    </row>
    <row r="38" spans="1:6" x14ac:dyDescent="0.2">
      <c r="A38" s="26" t="s">
        <v>103</v>
      </c>
      <c r="B38" s="45"/>
      <c r="C38" s="45"/>
      <c r="D38" s="45"/>
      <c r="E38" s="6">
        <v>862.72161500000004</v>
      </c>
      <c r="F38" s="6">
        <v>4.79</v>
      </c>
    </row>
    <row r="39" spans="1:6" x14ac:dyDescent="0.2">
      <c r="A39" s="45"/>
      <c r="B39" s="45"/>
      <c r="C39" s="45"/>
      <c r="D39" s="45"/>
      <c r="E39" s="7"/>
      <c r="F39" s="7"/>
    </row>
    <row r="40" spans="1:6" x14ac:dyDescent="0.2">
      <c r="A40" s="46" t="s">
        <v>104</v>
      </c>
      <c r="B40" s="44"/>
      <c r="C40" s="44"/>
      <c r="D40" s="44"/>
      <c r="E40" s="8">
        <v>18010.411615000001</v>
      </c>
      <c r="F40" s="8">
        <f xml:space="preserve"> ROUND(SUM(F36:F39),2)</f>
        <v>100</v>
      </c>
    </row>
    <row r="41" spans="1:6" x14ac:dyDescent="0.2">
      <c r="A41" s="4" t="s">
        <v>1983</v>
      </c>
    </row>
    <row r="42" spans="1:6" x14ac:dyDescent="0.2">
      <c r="A42" s="4"/>
    </row>
    <row r="43" spans="1:6" x14ac:dyDescent="0.2">
      <c r="A43" s="4" t="s">
        <v>105</v>
      </c>
    </row>
    <row r="44" spans="1:6" x14ac:dyDescent="0.2">
      <c r="A44" s="4" t="s">
        <v>769</v>
      </c>
    </row>
    <row r="45" spans="1:6" x14ac:dyDescent="0.2">
      <c r="A45" s="4" t="s">
        <v>107</v>
      </c>
    </row>
    <row r="46" spans="1:6" x14ac:dyDescent="0.2">
      <c r="A46" s="2" t="s">
        <v>666</v>
      </c>
      <c r="D46" s="10">
        <v>11.002700000000001</v>
      </c>
    </row>
    <row r="47" spans="1:6" x14ac:dyDescent="0.2">
      <c r="A47" s="2" t="s">
        <v>1393</v>
      </c>
      <c r="D47" s="10">
        <v>10.638400000000001</v>
      </c>
    </row>
    <row r="48" spans="1:6" x14ac:dyDescent="0.2">
      <c r="A48" s="2" t="s">
        <v>1222</v>
      </c>
      <c r="D48" s="10">
        <v>10.157400000000001</v>
      </c>
    </row>
    <row r="49" spans="1:4" x14ac:dyDescent="0.2">
      <c r="A49" s="2" t="s">
        <v>668</v>
      </c>
      <c r="D49" s="10">
        <v>11.0579</v>
      </c>
    </row>
    <row r="50" spans="1:4" x14ac:dyDescent="0.2">
      <c r="A50" s="2" t="s">
        <v>669</v>
      </c>
      <c r="D50" s="10">
        <v>10.661799999999999</v>
      </c>
    </row>
    <row r="51" spans="1:4" x14ac:dyDescent="0.2">
      <c r="A51" s="2" t="s">
        <v>1224</v>
      </c>
      <c r="D51" s="10">
        <v>10.1793</v>
      </c>
    </row>
    <row r="53" spans="1:4" x14ac:dyDescent="0.2">
      <c r="A53" s="4" t="s">
        <v>108</v>
      </c>
    </row>
    <row r="54" spans="1:4" x14ac:dyDescent="0.2">
      <c r="A54" s="2" t="s">
        <v>666</v>
      </c>
      <c r="D54" s="10">
        <v>11.542</v>
      </c>
    </row>
    <row r="55" spans="1:4" x14ac:dyDescent="0.2">
      <c r="A55" s="2" t="s">
        <v>1393</v>
      </c>
      <c r="D55" s="10">
        <v>10.1286</v>
      </c>
    </row>
    <row r="56" spans="1:4" x14ac:dyDescent="0.2">
      <c r="A56" s="2" t="s">
        <v>1222</v>
      </c>
      <c r="D56" s="10">
        <v>10.1172</v>
      </c>
    </row>
    <row r="57" spans="1:4" x14ac:dyDescent="0.2">
      <c r="A57" s="2" t="s">
        <v>668</v>
      </c>
      <c r="D57" s="10">
        <v>11.5998</v>
      </c>
    </row>
    <row r="58" spans="1:4" x14ac:dyDescent="0.2">
      <c r="A58" s="2" t="s">
        <v>669</v>
      </c>
      <c r="D58" s="10">
        <v>10.1532</v>
      </c>
    </row>
    <row r="59" spans="1:4" x14ac:dyDescent="0.2">
      <c r="A59" s="2" t="s">
        <v>1224</v>
      </c>
      <c r="D59" s="10">
        <v>10.1403</v>
      </c>
    </row>
    <row r="61" spans="1:4" x14ac:dyDescent="0.2">
      <c r="A61" s="4" t="s">
        <v>109</v>
      </c>
      <c r="D61" s="30" t="s">
        <v>325</v>
      </c>
    </row>
    <row r="62" spans="1:4" x14ac:dyDescent="0.2">
      <c r="A62" s="31" t="s">
        <v>670</v>
      </c>
      <c r="B62" s="32"/>
      <c r="C62" s="88" t="s">
        <v>671</v>
      </c>
      <c r="D62" s="89"/>
    </row>
    <row r="63" spans="1:4" x14ac:dyDescent="0.2">
      <c r="A63" s="92"/>
      <c r="B63" s="93"/>
      <c r="C63" s="33" t="s">
        <v>672</v>
      </c>
      <c r="D63" s="33" t="s">
        <v>673</v>
      </c>
    </row>
    <row r="64" spans="1:4" x14ac:dyDescent="0.2">
      <c r="A64" s="34" t="s">
        <v>1393</v>
      </c>
      <c r="B64" s="35"/>
      <c r="C64" s="36">
        <v>0.74193238100000003</v>
      </c>
      <c r="D64" s="36">
        <v>0.68703308230000004</v>
      </c>
    </row>
    <row r="65" spans="1:5" x14ac:dyDescent="0.2">
      <c r="A65" s="34" t="s">
        <v>1222</v>
      </c>
      <c r="B65" s="35"/>
      <c r="C65" s="36">
        <v>0.38177103099999998</v>
      </c>
      <c r="D65" s="36">
        <v>0.35352187740000002</v>
      </c>
    </row>
    <row r="66" spans="1:5" x14ac:dyDescent="0.2">
      <c r="A66" s="34" t="s">
        <v>669</v>
      </c>
      <c r="B66" s="35"/>
      <c r="C66" s="36">
        <v>0.74193238100000003</v>
      </c>
      <c r="D66" s="36">
        <v>0.68703308230000004</v>
      </c>
    </row>
    <row r="67" spans="1:5" x14ac:dyDescent="0.2">
      <c r="A67" s="34" t="s">
        <v>1224</v>
      </c>
      <c r="B67" s="35"/>
      <c r="C67" s="36">
        <v>0.38177103099999998</v>
      </c>
      <c r="D67" s="36">
        <v>0.35352187740000002</v>
      </c>
    </row>
    <row r="68" spans="1:5" x14ac:dyDescent="0.2">
      <c r="A68" s="57"/>
      <c r="B68" s="57"/>
      <c r="C68" s="58"/>
      <c r="D68" s="58"/>
    </row>
    <row r="69" spans="1:5" x14ac:dyDescent="0.2">
      <c r="A69" s="4" t="s">
        <v>770</v>
      </c>
      <c r="D69" s="29">
        <v>1.1583409893303551</v>
      </c>
      <c r="E69" s="1" t="s">
        <v>1302</v>
      </c>
    </row>
    <row r="71" spans="1:5" x14ac:dyDescent="0.2">
      <c r="A71" s="4" t="s">
        <v>1989</v>
      </c>
      <c r="D71" s="53" t="s">
        <v>110</v>
      </c>
    </row>
  </sheetData>
  <mergeCells count="3">
    <mergeCell ref="A1:F1"/>
    <mergeCell ref="C62:D62"/>
    <mergeCell ref="A63:B6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F60E-02A6-4951-B63E-2DD41BDB140D}">
  <sheetPr codeName="Sheet59"/>
  <dimension ref="A1:F69"/>
  <sheetViews>
    <sheetView showGridLines="0" workbookViewId="0">
      <selection sqref="A1:F1"/>
    </sheetView>
  </sheetViews>
  <sheetFormatPr defaultColWidth="8.7109375" defaultRowHeight="11.25" x14ac:dyDescent="0.2"/>
  <cols>
    <col min="1" max="1" width="52.140625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1404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1017</v>
      </c>
      <c r="B8" s="45" t="s">
        <v>1684</v>
      </c>
      <c r="C8" s="45" t="s">
        <v>925</v>
      </c>
      <c r="D8" s="14">
        <v>26</v>
      </c>
      <c r="E8" s="7">
        <v>262.19466</v>
      </c>
      <c r="F8" s="7">
        <v>10.462856686553099</v>
      </c>
    </row>
    <row r="9" spans="1:6" x14ac:dyDescent="0.2">
      <c r="A9" s="45" t="s">
        <v>1016</v>
      </c>
      <c r="B9" s="45" t="s">
        <v>1683</v>
      </c>
      <c r="C9" s="45" t="s">
        <v>686</v>
      </c>
      <c r="D9" s="14">
        <v>26</v>
      </c>
      <c r="E9" s="7">
        <v>261.69493999999997</v>
      </c>
      <c r="F9" s="7">
        <v>10.442915400397901</v>
      </c>
    </row>
    <row r="10" spans="1:6" x14ac:dyDescent="0.2">
      <c r="A10" s="45" t="s">
        <v>1279</v>
      </c>
      <c r="B10" s="45" t="s">
        <v>1874</v>
      </c>
      <c r="C10" s="45" t="s">
        <v>686</v>
      </c>
      <c r="D10" s="14">
        <v>24</v>
      </c>
      <c r="E10" s="7">
        <v>241.14359999999999</v>
      </c>
      <c r="F10" s="7">
        <v>9.6228158410223799</v>
      </c>
    </row>
    <row r="11" spans="1:6" x14ac:dyDescent="0.2">
      <c r="A11" s="45" t="s">
        <v>857</v>
      </c>
      <c r="B11" s="45" t="s">
        <v>1565</v>
      </c>
      <c r="C11" s="45" t="s">
        <v>686</v>
      </c>
      <c r="D11" s="14">
        <v>21</v>
      </c>
      <c r="E11" s="7">
        <v>211.48868999999999</v>
      </c>
      <c r="F11" s="7">
        <v>8.4394390575950204</v>
      </c>
    </row>
    <row r="12" spans="1:6" x14ac:dyDescent="0.2">
      <c r="A12" s="45" t="s">
        <v>1405</v>
      </c>
      <c r="B12" s="45" t="s">
        <v>1966</v>
      </c>
      <c r="C12" s="45" t="s">
        <v>686</v>
      </c>
      <c r="D12" s="14">
        <v>20</v>
      </c>
      <c r="E12" s="7">
        <v>201.84139999999999</v>
      </c>
      <c r="F12" s="7">
        <v>8.0544647309492508</v>
      </c>
    </row>
    <row r="13" spans="1:6" x14ac:dyDescent="0.2">
      <c r="A13" s="45" t="s">
        <v>1406</v>
      </c>
      <c r="B13" s="45" t="s">
        <v>1967</v>
      </c>
      <c r="C13" s="45" t="s">
        <v>686</v>
      </c>
      <c r="D13" s="14">
        <v>20</v>
      </c>
      <c r="E13" s="7">
        <v>201.31739999999999</v>
      </c>
      <c r="F13" s="7">
        <v>8.0335545533592398</v>
      </c>
    </row>
    <row r="14" spans="1:6" x14ac:dyDescent="0.2">
      <c r="A14" s="45" t="s">
        <v>1023</v>
      </c>
      <c r="B14" s="45" t="s">
        <v>1689</v>
      </c>
      <c r="C14" s="45" t="s">
        <v>686</v>
      </c>
      <c r="D14" s="14">
        <v>2</v>
      </c>
      <c r="E14" s="7">
        <v>201.24359999999999</v>
      </c>
      <c r="F14" s="7">
        <v>8.0306095703322509</v>
      </c>
    </row>
    <row r="15" spans="1:6" x14ac:dyDescent="0.2">
      <c r="A15" s="45" t="s">
        <v>1407</v>
      </c>
      <c r="B15" s="45" t="s">
        <v>1968</v>
      </c>
      <c r="C15" s="45" t="s">
        <v>686</v>
      </c>
      <c r="D15" s="14">
        <v>19</v>
      </c>
      <c r="E15" s="7">
        <v>190.82574</v>
      </c>
      <c r="F15" s="7">
        <v>7.6148857102026204</v>
      </c>
    </row>
    <row r="16" spans="1:6" x14ac:dyDescent="0.2">
      <c r="A16" s="45" t="s">
        <v>1403</v>
      </c>
      <c r="B16" s="45" t="s">
        <v>1965</v>
      </c>
      <c r="C16" s="45" t="s">
        <v>686</v>
      </c>
      <c r="D16" s="14">
        <v>15</v>
      </c>
      <c r="E16" s="7">
        <v>150.92609999999999</v>
      </c>
      <c r="F16" s="7">
        <v>6.0226938052833603</v>
      </c>
    </row>
    <row r="17" spans="1:6" x14ac:dyDescent="0.2">
      <c r="A17" s="45" t="s">
        <v>1287</v>
      </c>
      <c r="B17" s="45" t="s">
        <v>1882</v>
      </c>
      <c r="C17" s="45" t="s">
        <v>686</v>
      </c>
      <c r="D17" s="14">
        <v>13</v>
      </c>
      <c r="E17" s="7">
        <v>130.62685999999999</v>
      </c>
      <c r="F17" s="7">
        <v>5.2126542760040602</v>
      </c>
    </row>
    <row r="18" spans="1:6" x14ac:dyDescent="0.2">
      <c r="A18" s="45" t="s">
        <v>851</v>
      </c>
      <c r="B18" s="45" t="s">
        <v>1559</v>
      </c>
      <c r="C18" s="45" t="s">
        <v>686</v>
      </c>
      <c r="D18" s="14">
        <v>3</v>
      </c>
      <c r="E18" s="7">
        <v>30.122699999999998</v>
      </c>
      <c r="F18" s="7">
        <v>1.20204390551673</v>
      </c>
    </row>
    <row r="19" spans="1:6" x14ac:dyDescent="0.2">
      <c r="A19" s="26" t="s">
        <v>44</v>
      </c>
      <c r="B19" s="45"/>
      <c r="C19" s="45"/>
      <c r="D19" s="14"/>
      <c r="E19" s="6">
        <f>SUM(E8:E18)</f>
        <v>2083.4256899999996</v>
      </c>
      <c r="F19" s="6">
        <f>SUM(F8:F18)</f>
        <v>83.13893353721592</v>
      </c>
    </row>
    <row r="20" spans="1:6" x14ac:dyDescent="0.2">
      <c r="A20" s="45"/>
      <c r="B20" s="45"/>
      <c r="C20" s="45"/>
      <c r="D20" s="14"/>
      <c r="E20" s="7"/>
      <c r="F20" s="7"/>
    </row>
    <row r="21" spans="1:6" x14ac:dyDescent="0.2">
      <c r="A21" s="26" t="s">
        <v>732</v>
      </c>
      <c r="B21" s="45"/>
      <c r="C21" s="45"/>
      <c r="D21" s="14"/>
      <c r="E21" s="7"/>
      <c r="F21" s="7"/>
    </row>
    <row r="22" spans="1:6" x14ac:dyDescent="0.2">
      <c r="A22" s="45" t="s">
        <v>1058</v>
      </c>
      <c r="B22" s="45" t="s">
        <v>1716</v>
      </c>
      <c r="C22" s="45" t="s">
        <v>686</v>
      </c>
      <c r="D22" s="14">
        <v>22</v>
      </c>
      <c r="E22" s="7">
        <v>221.04038</v>
      </c>
      <c r="F22" s="7">
        <v>8.8205984739781904</v>
      </c>
    </row>
    <row r="23" spans="1:6" x14ac:dyDescent="0.2">
      <c r="A23" s="26" t="s">
        <v>44</v>
      </c>
      <c r="B23" s="45"/>
      <c r="C23" s="45"/>
      <c r="D23" s="14"/>
      <c r="E23" s="6">
        <f>SUM(E22:E22)</f>
        <v>221.04038</v>
      </c>
      <c r="F23" s="6">
        <f>SUM(F22:F22)</f>
        <v>8.8205984739781904</v>
      </c>
    </row>
    <row r="24" spans="1:6" x14ac:dyDescent="0.2">
      <c r="A24" s="45"/>
      <c r="B24" s="45"/>
      <c r="C24" s="45"/>
      <c r="D24" s="14"/>
      <c r="E24" s="7"/>
      <c r="F24" s="7"/>
    </row>
    <row r="25" spans="1:6" x14ac:dyDescent="0.2">
      <c r="A25" s="26" t="s">
        <v>886</v>
      </c>
      <c r="B25" s="45"/>
      <c r="C25" s="45"/>
      <c r="D25" s="14"/>
      <c r="E25" s="7"/>
      <c r="F25" s="7"/>
    </row>
    <row r="26" spans="1:6" x14ac:dyDescent="0.2">
      <c r="A26" s="26" t="s">
        <v>887</v>
      </c>
      <c r="B26" s="45"/>
      <c r="C26" s="45"/>
      <c r="D26" s="14"/>
      <c r="E26" s="7"/>
      <c r="F26" s="7"/>
    </row>
    <row r="27" spans="1:6" x14ac:dyDescent="0.2">
      <c r="A27" s="45" t="s">
        <v>1071</v>
      </c>
      <c r="B27" s="45" t="s">
        <v>1720</v>
      </c>
      <c r="C27" s="45" t="s">
        <v>889</v>
      </c>
      <c r="D27" s="14">
        <v>25</v>
      </c>
      <c r="E27" s="7">
        <v>24.394500000000001</v>
      </c>
      <c r="F27" s="7">
        <v>0.973460548129083</v>
      </c>
    </row>
    <row r="28" spans="1:6" x14ac:dyDescent="0.2">
      <c r="A28" s="26" t="s">
        <v>44</v>
      </c>
      <c r="B28" s="45"/>
      <c r="C28" s="45"/>
      <c r="D28" s="14"/>
      <c r="E28" s="6">
        <f>SUM(E27:E27)</f>
        <v>24.394500000000001</v>
      </c>
      <c r="F28" s="6">
        <f>SUM(F27:F27)</f>
        <v>0.973460548129083</v>
      </c>
    </row>
    <row r="29" spans="1:6" x14ac:dyDescent="0.2">
      <c r="A29" s="45"/>
      <c r="B29" s="45"/>
      <c r="C29" s="45"/>
      <c r="D29" s="14"/>
      <c r="E29" s="7"/>
      <c r="F29" s="7"/>
    </row>
    <row r="30" spans="1:6" x14ac:dyDescent="0.2">
      <c r="A30" s="26" t="s">
        <v>890</v>
      </c>
      <c r="B30" s="45"/>
      <c r="C30" s="45"/>
      <c r="D30" s="14"/>
      <c r="E30" s="7"/>
      <c r="F30" s="7"/>
    </row>
    <row r="31" spans="1:6" x14ac:dyDescent="0.2">
      <c r="A31" s="45" t="s">
        <v>1100</v>
      </c>
      <c r="B31" s="45" t="s">
        <v>1748</v>
      </c>
      <c r="C31" s="45" t="s">
        <v>1092</v>
      </c>
      <c r="D31" s="14">
        <v>5</v>
      </c>
      <c r="E31" s="7">
        <v>24.658899999999999</v>
      </c>
      <c r="F31" s="7">
        <v>0.98401140872984705</v>
      </c>
    </row>
    <row r="32" spans="1:6" x14ac:dyDescent="0.2">
      <c r="A32" s="45" t="s">
        <v>1114</v>
      </c>
      <c r="B32" s="45" t="s">
        <v>1762</v>
      </c>
      <c r="C32" s="45" t="s">
        <v>889</v>
      </c>
      <c r="D32" s="14">
        <v>5</v>
      </c>
      <c r="E32" s="7">
        <v>24.5932</v>
      </c>
      <c r="F32" s="7">
        <v>0.98138965554728197</v>
      </c>
    </row>
    <row r="33" spans="1:6" x14ac:dyDescent="0.2">
      <c r="A33" s="45" t="s">
        <v>898</v>
      </c>
      <c r="B33" s="45" t="s">
        <v>1598</v>
      </c>
      <c r="C33" s="45" t="s">
        <v>894</v>
      </c>
      <c r="D33" s="14">
        <v>2</v>
      </c>
      <c r="E33" s="7">
        <v>9.8680000000000003</v>
      </c>
      <c r="F33" s="7">
        <v>0.39378174133258698</v>
      </c>
    </row>
    <row r="34" spans="1:6" x14ac:dyDescent="0.2">
      <c r="A34" s="26" t="s">
        <v>44</v>
      </c>
      <c r="B34" s="45"/>
      <c r="C34" s="45"/>
      <c r="D34" s="45"/>
      <c r="E34" s="6">
        <f>SUM(E31:E33)</f>
        <v>59.120100000000001</v>
      </c>
      <c r="F34" s="6">
        <f>SUM(F31:F33)</f>
        <v>2.3591828056097159</v>
      </c>
    </row>
    <row r="35" spans="1:6" x14ac:dyDescent="0.2">
      <c r="A35" s="45"/>
      <c r="B35" s="45"/>
      <c r="C35" s="45"/>
      <c r="D35" s="45"/>
      <c r="E35" s="7"/>
      <c r="F35" s="7"/>
    </row>
    <row r="36" spans="1:6" x14ac:dyDescent="0.2">
      <c r="A36" s="26" t="s">
        <v>44</v>
      </c>
      <c r="B36" s="45"/>
      <c r="C36" s="45"/>
      <c r="D36" s="45"/>
      <c r="E36" s="6">
        <v>2387.9806699999995</v>
      </c>
      <c r="F36" s="6">
        <v>95.292175364932902</v>
      </c>
    </row>
    <row r="37" spans="1:6" x14ac:dyDescent="0.2">
      <c r="A37" s="45"/>
      <c r="B37" s="45"/>
      <c r="C37" s="45"/>
      <c r="D37" s="45"/>
      <c r="E37" s="7"/>
      <c r="F37" s="7"/>
    </row>
    <row r="38" spans="1:6" x14ac:dyDescent="0.2">
      <c r="A38" s="26" t="s">
        <v>103</v>
      </c>
      <c r="B38" s="45"/>
      <c r="C38" s="45"/>
      <c r="D38" s="45"/>
      <c r="E38" s="6">
        <v>117.97671769999999</v>
      </c>
      <c r="F38" s="6">
        <v>4.71</v>
      </c>
    </row>
    <row r="39" spans="1:6" x14ac:dyDescent="0.2">
      <c r="A39" s="45"/>
      <c r="B39" s="45"/>
      <c r="C39" s="45"/>
      <c r="D39" s="45"/>
      <c r="E39" s="7"/>
      <c r="F39" s="7"/>
    </row>
    <row r="40" spans="1:6" x14ac:dyDescent="0.2">
      <c r="A40" s="46" t="s">
        <v>104</v>
      </c>
      <c r="B40" s="44"/>
      <c r="C40" s="44"/>
      <c r="D40" s="44"/>
      <c r="E40" s="8">
        <v>2505.9567176999999</v>
      </c>
      <c r="F40" s="8">
        <f xml:space="preserve"> ROUND(SUM(F36:F39),2)</f>
        <v>100</v>
      </c>
    </row>
    <row r="41" spans="1:6" x14ac:dyDescent="0.2">
      <c r="A41" s="4" t="s">
        <v>1983</v>
      </c>
    </row>
    <row r="42" spans="1:6" x14ac:dyDescent="0.2">
      <c r="A42" s="4"/>
    </row>
    <row r="43" spans="1:6" x14ac:dyDescent="0.2">
      <c r="A43" s="4" t="s">
        <v>105</v>
      </c>
    </row>
    <row r="44" spans="1:6" x14ac:dyDescent="0.2">
      <c r="A44" s="4" t="s">
        <v>769</v>
      </c>
    </row>
    <row r="45" spans="1:6" x14ac:dyDescent="0.2">
      <c r="A45" s="4" t="s">
        <v>107</v>
      </c>
    </row>
    <row r="46" spans="1:6" x14ac:dyDescent="0.2">
      <c r="A46" s="2" t="s">
        <v>666</v>
      </c>
      <c r="D46" s="10">
        <v>11.5229</v>
      </c>
    </row>
    <row r="47" spans="1:6" x14ac:dyDescent="0.2">
      <c r="A47" s="2" t="s">
        <v>667</v>
      </c>
      <c r="D47" s="10">
        <v>10.293699999999999</v>
      </c>
    </row>
    <row r="48" spans="1:6" x14ac:dyDescent="0.2">
      <c r="A48" s="2" t="s">
        <v>1222</v>
      </c>
      <c r="D48" s="10">
        <v>10.1248</v>
      </c>
    </row>
    <row r="49" spans="1:4" x14ac:dyDescent="0.2">
      <c r="A49" s="2" t="s">
        <v>668</v>
      </c>
      <c r="D49" s="10">
        <v>11.573600000000001</v>
      </c>
    </row>
    <row r="50" spans="1:4" x14ac:dyDescent="0.2">
      <c r="A50" s="2" t="s">
        <v>669</v>
      </c>
      <c r="D50" s="10">
        <v>10.3443</v>
      </c>
    </row>
    <row r="51" spans="1:4" x14ac:dyDescent="0.2">
      <c r="A51" s="2" t="s">
        <v>1224</v>
      </c>
      <c r="D51" s="10">
        <v>10.1526</v>
      </c>
    </row>
    <row r="53" spans="1:4" x14ac:dyDescent="0.2">
      <c r="A53" s="4" t="s">
        <v>108</v>
      </c>
    </row>
    <row r="54" spans="1:4" x14ac:dyDescent="0.2">
      <c r="A54" s="2" t="s">
        <v>666</v>
      </c>
      <c r="D54" s="10">
        <v>12.001200000000001</v>
      </c>
    </row>
    <row r="55" spans="1:4" x14ac:dyDescent="0.2">
      <c r="A55" s="2" t="s">
        <v>667</v>
      </c>
      <c r="D55" s="10">
        <v>10.7209</v>
      </c>
    </row>
    <row r="56" spans="1:4" x14ac:dyDescent="0.2">
      <c r="A56" s="2" t="s">
        <v>1222</v>
      </c>
      <c r="D56" s="10">
        <v>10.110200000000001</v>
      </c>
    </row>
    <row r="57" spans="1:4" x14ac:dyDescent="0.2">
      <c r="A57" s="2" t="s">
        <v>668</v>
      </c>
      <c r="D57" s="10">
        <v>12.053900000000001</v>
      </c>
    </row>
    <row r="58" spans="1:4" x14ac:dyDescent="0.2">
      <c r="A58" s="2" t="s">
        <v>669</v>
      </c>
      <c r="D58" s="10">
        <v>10.7737</v>
      </c>
    </row>
    <row r="59" spans="1:4" x14ac:dyDescent="0.2">
      <c r="A59" s="2" t="s">
        <v>1224</v>
      </c>
      <c r="D59" s="10">
        <v>10.139200000000001</v>
      </c>
    </row>
    <row r="61" spans="1:4" x14ac:dyDescent="0.2">
      <c r="A61" s="4" t="s">
        <v>109</v>
      </c>
      <c r="D61" s="50" t="s">
        <v>325</v>
      </c>
    </row>
    <row r="62" spans="1:4" x14ac:dyDescent="0.2">
      <c r="A62" s="31" t="s">
        <v>670</v>
      </c>
      <c r="B62" s="32"/>
      <c r="C62" s="88" t="s">
        <v>671</v>
      </c>
      <c r="D62" s="89"/>
    </row>
    <row r="63" spans="1:4" x14ac:dyDescent="0.2">
      <c r="A63" s="92"/>
      <c r="B63" s="93"/>
      <c r="C63" s="33" t="s">
        <v>672</v>
      </c>
      <c r="D63" s="33" t="s">
        <v>673</v>
      </c>
    </row>
    <row r="64" spans="1:4" x14ac:dyDescent="0.2">
      <c r="A64" s="34" t="s">
        <v>1222</v>
      </c>
      <c r="B64" s="35"/>
      <c r="C64" s="67">
        <v>0.30973876099999997</v>
      </c>
      <c r="D64" s="67">
        <v>0.28681963640000002</v>
      </c>
    </row>
    <row r="65" spans="1:5" x14ac:dyDescent="0.2">
      <c r="A65" s="34" t="s">
        <v>1408</v>
      </c>
      <c r="B65" s="35"/>
      <c r="C65" s="67">
        <v>0.30973876099999997</v>
      </c>
      <c r="D65" s="67">
        <v>0.28681963640000002</v>
      </c>
    </row>
    <row r="67" spans="1:5" x14ac:dyDescent="0.2">
      <c r="A67" s="4" t="s">
        <v>770</v>
      </c>
      <c r="D67" s="29">
        <v>0.27929803545871712</v>
      </c>
      <c r="E67" s="1" t="s">
        <v>1302</v>
      </c>
    </row>
    <row r="69" spans="1:5" x14ac:dyDescent="0.2">
      <c r="A69" s="4" t="s">
        <v>1989</v>
      </c>
      <c r="D69" s="53" t="s">
        <v>110</v>
      </c>
    </row>
  </sheetData>
  <mergeCells count="3">
    <mergeCell ref="A1:F1"/>
    <mergeCell ref="C62:D62"/>
    <mergeCell ref="A63:B6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6653-5DC5-452B-A84D-751C0FABBD0F}">
  <sheetPr codeName="Sheet60"/>
  <dimension ref="A1:F57"/>
  <sheetViews>
    <sheetView showGridLines="0" workbookViewId="0">
      <selection sqref="A1:F1"/>
    </sheetView>
  </sheetViews>
  <sheetFormatPr defaultColWidth="8.7109375" defaultRowHeight="11.25" x14ac:dyDescent="0.2"/>
  <cols>
    <col min="1" max="1" width="38.7109375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8.7109375" style="2"/>
  </cols>
  <sheetData>
    <row r="1" spans="1:6" ht="15" customHeight="1" x14ac:dyDescent="0.2">
      <c r="A1" s="87" t="s">
        <v>1409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679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680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1017</v>
      </c>
      <c r="B8" s="45" t="s">
        <v>1684</v>
      </c>
      <c r="C8" s="45" t="s">
        <v>925</v>
      </c>
      <c r="D8" s="14">
        <v>38</v>
      </c>
      <c r="E8" s="7">
        <v>383.20758000000001</v>
      </c>
      <c r="F8" s="7">
        <v>10.2422476608282</v>
      </c>
    </row>
    <row r="9" spans="1:6" x14ac:dyDescent="0.2">
      <c r="A9" s="45" t="s">
        <v>1016</v>
      </c>
      <c r="B9" s="45" t="s">
        <v>1683</v>
      </c>
      <c r="C9" s="45" t="s">
        <v>686</v>
      </c>
      <c r="D9" s="14">
        <v>37</v>
      </c>
      <c r="E9" s="7">
        <v>372.41203000000002</v>
      </c>
      <c r="F9" s="7">
        <v>9.9537077088396195</v>
      </c>
    </row>
    <row r="10" spans="1:6" x14ac:dyDescent="0.2">
      <c r="A10" s="45" t="s">
        <v>1279</v>
      </c>
      <c r="B10" s="45" t="s">
        <v>1874</v>
      </c>
      <c r="C10" s="45" t="s">
        <v>686</v>
      </c>
      <c r="D10" s="14">
        <v>34</v>
      </c>
      <c r="E10" s="7">
        <v>341.62009999999998</v>
      </c>
      <c r="F10" s="7">
        <v>9.1307110107709502</v>
      </c>
    </row>
    <row r="11" spans="1:6" x14ac:dyDescent="0.2">
      <c r="A11" s="45" t="s">
        <v>857</v>
      </c>
      <c r="B11" s="45" t="s">
        <v>1565</v>
      </c>
      <c r="C11" s="45" t="s">
        <v>686</v>
      </c>
      <c r="D11" s="14">
        <v>32</v>
      </c>
      <c r="E11" s="7">
        <v>322.26848000000001</v>
      </c>
      <c r="F11" s="7">
        <v>8.6134872004323402</v>
      </c>
    </row>
    <row r="12" spans="1:6" x14ac:dyDescent="0.2">
      <c r="A12" s="45" t="s">
        <v>1403</v>
      </c>
      <c r="B12" s="45" t="s">
        <v>1965</v>
      </c>
      <c r="C12" s="45" t="s">
        <v>686</v>
      </c>
      <c r="D12" s="14">
        <v>32</v>
      </c>
      <c r="E12" s="7">
        <v>321.97568000000001</v>
      </c>
      <c r="F12" s="7">
        <v>8.6056613371884794</v>
      </c>
    </row>
    <row r="13" spans="1:6" x14ac:dyDescent="0.2">
      <c r="A13" s="45" t="s">
        <v>1287</v>
      </c>
      <c r="B13" s="45" t="s">
        <v>1882</v>
      </c>
      <c r="C13" s="45" t="s">
        <v>686</v>
      </c>
      <c r="D13" s="14">
        <v>32</v>
      </c>
      <c r="E13" s="7">
        <v>321.54304000000002</v>
      </c>
      <c r="F13" s="7">
        <v>8.59409787587078</v>
      </c>
    </row>
    <row r="14" spans="1:6" x14ac:dyDescent="0.2">
      <c r="A14" s="45" t="s">
        <v>1407</v>
      </c>
      <c r="B14" s="45" t="s">
        <v>1968</v>
      </c>
      <c r="C14" s="45" t="s">
        <v>686</v>
      </c>
      <c r="D14" s="14">
        <v>31</v>
      </c>
      <c r="E14" s="7">
        <v>311.34726000000001</v>
      </c>
      <c r="F14" s="7">
        <v>8.3215883815248706</v>
      </c>
    </row>
    <row r="15" spans="1:6" x14ac:dyDescent="0.2">
      <c r="A15" s="45" t="s">
        <v>1405</v>
      </c>
      <c r="B15" s="45" t="s">
        <v>1966</v>
      </c>
      <c r="C15" s="45" t="s">
        <v>686</v>
      </c>
      <c r="D15" s="14">
        <v>30</v>
      </c>
      <c r="E15" s="7">
        <v>302.76209999999998</v>
      </c>
      <c r="F15" s="7">
        <v>8.0921270151086997</v>
      </c>
    </row>
    <row r="16" spans="1:6" x14ac:dyDescent="0.2">
      <c r="A16" s="45" t="s">
        <v>1406</v>
      </c>
      <c r="B16" s="45" t="s">
        <v>1967</v>
      </c>
      <c r="C16" s="45" t="s">
        <v>686</v>
      </c>
      <c r="D16" s="14">
        <v>30</v>
      </c>
      <c r="E16" s="7">
        <v>301.97609999999997</v>
      </c>
      <c r="F16" s="7">
        <v>8.0711190625483393</v>
      </c>
    </row>
    <row r="17" spans="1:6" x14ac:dyDescent="0.2">
      <c r="A17" s="45" t="s">
        <v>1023</v>
      </c>
      <c r="B17" s="45" t="s">
        <v>1689</v>
      </c>
      <c r="C17" s="45" t="s">
        <v>686</v>
      </c>
      <c r="D17" s="14">
        <v>2</v>
      </c>
      <c r="E17" s="7">
        <v>201.24359999999999</v>
      </c>
      <c r="F17" s="7">
        <v>5.3787735392829203</v>
      </c>
    </row>
    <row r="18" spans="1:6" x14ac:dyDescent="0.2">
      <c r="A18" s="45" t="s">
        <v>851</v>
      </c>
      <c r="B18" s="45" t="s">
        <v>1559</v>
      </c>
      <c r="C18" s="45" t="s">
        <v>686</v>
      </c>
      <c r="D18" s="14">
        <v>6</v>
      </c>
      <c r="E18" s="7">
        <v>60.245399999999997</v>
      </c>
      <c r="F18" s="7">
        <v>1.61021947223919</v>
      </c>
    </row>
    <row r="19" spans="1:6" x14ac:dyDescent="0.2">
      <c r="A19" s="26" t="s">
        <v>44</v>
      </c>
      <c r="B19" s="45"/>
      <c r="C19" s="45"/>
      <c r="D19" s="14"/>
      <c r="E19" s="6">
        <f>SUM(E8:E18)</f>
        <v>3240.601369999999</v>
      </c>
      <c r="F19" s="6">
        <f>SUM(F8:F18)</f>
        <v>86.613740264634387</v>
      </c>
    </row>
    <row r="20" spans="1:6" x14ac:dyDescent="0.2">
      <c r="A20" s="45"/>
      <c r="B20" s="45"/>
      <c r="C20" s="45"/>
      <c r="D20" s="14"/>
      <c r="E20" s="7"/>
      <c r="F20" s="7"/>
    </row>
    <row r="21" spans="1:6" x14ac:dyDescent="0.2">
      <c r="A21" s="26" t="s">
        <v>732</v>
      </c>
      <c r="B21" s="45"/>
      <c r="C21" s="45"/>
      <c r="D21" s="14"/>
      <c r="E21" s="7"/>
      <c r="F21" s="7"/>
    </row>
    <row r="22" spans="1:6" x14ac:dyDescent="0.2">
      <c r="A22" s="45" t="s">
        <v>1058</v>
      </c>
      <c r="B22" s="45" t="s">
        <v>1716</v>
      </c>
      <c r="C22" s="45" t="s">
        <v>686</v>
      </c>
      <c r="D22" s="14">
        <v>22</v>
      </c>
      <c r="E22" s="7">
        <v>221.04038</v>
      </c>
      <c r="F22" s="7">
        <v>5.9078954414303899</v>
      </c>
    </row>
    <row r="23" spans="1:6" x14ac:dyDescent="0.2">
      <c r="A23" s="26" t="s">
        <v>44</v>
      </c>
      <c r="B23" s="45"/>
      <c r="C23" s="45"/>
      <c r="D23" s="14"/>
      <c r="E23" s="6">
        <f>SUM(E22)</f>
        <v>221.04038</v>
      </c>
      <c r="F23" s="6">
        <f>SUM(F22)</f>
        <v>5.9078954414303899</v>
      </c>
    </row>
    <row r="24" spans="1:6" x14ac:dyDescent="0.2">
      <c r="A24" s="45"/>
      <c r="B24" s="45"/>
      <c r="C24" s="45"/>
      <c r="D24" s="14"/>
      <c r="E24" s="7"/>
      <c r="F24" s="7"/>
    </row>
    <row r="25" spans="1:6" x14ac:dyDescent="0.2">
      <c r="A25" s="26" t="s">
        <v>890</v>
      </c>
      <c r="B25" s="45"/>
      <c r="C25" s="45"/>
      <c r="D25" s="14"/>
      <c r="E25" s="7"/>
      <c r="F25" s="7"/>
    </row>
    <row r="26" spans="1:6" x14ac:dyDescent="0.2">
      <c r="A26" s="45" t="s">
        <v>1100</v>
      </c>
      <c r="B26" s="45" t="s">
        <v>1748</v>
      </c>
      <c r="C26" s="45" t="s">
        <v>1092</v>
      </c>
      <c r="D26" s="14">
        <v>9</v>
      </c>
      <c r="E26" s="7">
        <v>44.386020000000002</v>
      </c>
      <c r="F26" s="7">
        <v>1.1863351176886201</v>
      </c>
    </row>
    <row r="27" spans="1:6" x14ac:dyDescent="0.2">
      <c r="A27" s="45" t="s">
        <v>1114</v>
      </c>
      <c r="B27" s="45" t="s">
        <v>1762</v>
      </c>
      <c r="C27" s="45" t="s">
        <v>889</v>
      </c>
      <c r="D27" s="14">
        <v>8</v>
      </c>
      <c r="E27" s="7">
        <v>39.349119999999999</v>
      </c>
      <c r="F27" s="7">
        <v>1.05171049141472</v>
      </c>
    </row>
    <row r="28" spans="1:6" x14ac:dyDescent="0.2">
      <c r="A28" s="45" t="s">
        <v>898</v>
      </c>
      <c r="B28" s="45" t="s">
        <v>1598</v>
      </c>
      <c r="C28" s="45" t="s">
        <v>894</v>
      </c>
      <c r="D28" s="14">
        <v>3</v>
      </c>
      <c r="E28" s="7">
        <v>14.802</v>
      </c>
      <c r="F28" s="7">
        <v>0.395623045545129</v>
      </c>
    </row>
    <row r="29" spans="1:6" x14ac:dyDescent="0.2">
      <c r="A29" s="26" t="s">
        <v>44</v>
      </c>
      <c r="B29" s="45"/>
      <c r="C29" s="45"/>
      <c r="D29" s="45"/>
      <c r="E29" s="6">
        <f>SUM(E26:E28)</f>
        <v>98.537139999999994</v>
      </c>
      <c r="F29" s="6">
        <f>SUM(F26:F28)</f>
        <v>2.6336686546484689</v>
      </c>
    </row>
    <row r="30" spans="1:6" x14ac:dyDescent="0.2">
      <c r="A30" s="45"/>
      <c r="B30" s="45"/>
      <c r="C30" s="45"/>
      <c r="D30" s="45"/>
      <c r="E30" s="7"/>
      <c r="F30" s="7"/>
    </row>
    <row r="31" spans="1:6" x14ac:dyDescent="0.2">
      <c r="A31" s="26" t="s">
        <v>44</v>
      </c>
      <c r="B31" s="45"/>
      <c r="C31" s="45"/>
      <c r="D31" s="45"/>
      <c r="E31" s="6">
        <v>3560.1788899999988</v>
      </c>
      <c r="F31" s="6">
        <v>95.155304360713231</v>
      </c>
    </row>
    <row r="32" spans="1:6" x14ac:dyDescent="0.2">
      <c r="A32" s="45"/>
      <c r="B32" s="45"/>
      <c r="C32" s="45"/>
      <c r="D32" s="45"/>
      <c r="E32" s="7"/>
      <c r="F32" s="7"/>
    </row>
    <row r="33" spans="1:6" x14ac:dyDescent="0.2">
      <c r="A33" s="26" t="s">
        <v>103</v>
      </c>
      <c r="B33" s="45"/>
      <c r="C33" s="45"/>
      <c r="D33" s="45"/>
      <c r="E33" s="6">
        <v>181.2602843</v>
      </c>
      <c r="F33" s="6">
        <v>4.84</v>
      </c>
    </row>
    <row r="34" spans="1:6" x14ac:dyDescent="0.2">
      <c r="A34" s="45"/>
      <c r="B34" s="45"/>
      <c r="C34" s="45"/>
      <c r="D34" s="45"/>
      <c r="E34" s="7"/>
      <c r="F34" s="7"/>
    </row>
    <row r="35" spans="1:6" x14ac:dyDescent="0.2">
      <c r="A35" s="46" t="s">
        <v>104</v>
      </c>
      <c r="B35" s="44"/>
      <c r="C35" s="44"/>
      <c r="D35" s="44"/>
      <c r="E35" s="8">
        <v>3741.4402842999998</v>
      </c>
      <c r="F35" s="8">
        <f xml:space="preserve"> ROUND(SUM(F31:F34),2)</f>
        <v>100</v>
      </c>
    </row>
    <row r="36" spans="1:6" x14ac:dyDescent="0.2">
      <c r="A36" s="4" t="s">
        <v>1983</v>
      </c>
    </row>
    <row r="37" spans="1:6" x14ac:dyDescent="0.2">
      <c r="A37" s="4"/>
    </row>
    <row r="38" spans="1:6" x14ac:dyDescent="0.2">
      <c r="A38" s="4" t="s">
        <v>105</v>
      </c>
    </row>
    <row r="39" spans="1:6" x14ac:dyDescent="0.2">
      <c r="A39" s="4" t="s">
        <v>769</v>
      </c>
    </row>
    <row r="40" spans="1:6" x14ac:dyDescent="0.2">
      <c r="A40" s="4" t="s">
        <v>107</v>
      </c>
    </row>
    <row r="41" spans="1:6" x14ac:dyDescent="0.2">
      <c r="A41" s="2" t="s">
        <v>666</v>
      </c>
      <c r="D41" s="10">
        <v>11.613300000000001</v>
      </c>
    </row>
    <row r="42" spans="1:6" x14ac:dyDescent="0.2">
      <c r="A42" s="2" t="s">
        <v>1393</v>
      </c>
      <c r="D42" s="10">
        <v>11.0655</v>
      </c>
    </row>
    <row r="43" spans="1:6" x14ac:dyDescent="0.2">
      <c r="A43" s="2" t="s">
        <v>668</v>
      </c>
      <c r="D43" s="10">
        <v>11.665699999999999</v>
      </c>
    </row>
    <row r="45" spans="1:6" x14ac:dyDescent="0.2">
      <c r="A45" s="4" t="s">
        <v>108</v>
      </c>
    </row>
    <row r="46" spans="1:6" x14ac:dyDescent="0.2">
      <c r="A46" s="2" t="s">
        <v>666</v>
      </c>
      <c r="D46" s="10">
        <v>12.095499999999999</v>
      </c>
    </row>
    <row r="47" spans="1:6" x14ac:dyDescent="0.2">
      <c r="A47" s="2" t="s">
        <v>1393</v>
      </c>
      <c r="D47" s="10">
        <v>10.488</v>
      </c>
    </row>
    <row r="48" spans="1:6" x14ac:dyDescent="0.2">
      <c r="A48" s="2" t="s">
        <v>668</v>
      </c>
      <c r="D48" s="10">
        <v>12.15</v>
      </c>
    </row>
    <row r="50" spans="1:5" x14ac:dyDescent="0.2">
      <c r="A50" s="4" t="s">
        <v>109</v>
      </c>
      <c r="D50" s="30" t="s">
        <v>325</v>
      </c>
    </row>
    <row r="51" spans="1:5" x14ac:dyDescent="0.2">
      <c r="A51" s="31" t="s">
        <v>670</v>
      </c>
      <c r="B51" s="32"/>
      <c r="C51" s="88" t="s">
        <v>671</v>
      </c>
      <c r="D51" s="89"/>
    </row>
    <row r="52" spans="1:5" x14ac:dyDescent="0.2">
      <c r="A52" s="48"/>
      <c r="B52" s="49"/>
      <c r="C52" s="33" t="s">
        <v>672</v>
      </c>
      <c r="D52" s="33" t="s">
        <v>673</v>
      </c>
    </row>
    <row r="53" spans="1:5" x14ac:dyDescent="0.2">
      <c r="A53" s="66" t="s">
        <v>1393</v>
      </c>
      <c r="B53" s="40"/>
      <c r="C53" s="72">
        <v>0.72032269999999998</v>
      </c>
      <c r="D53" s="72">
        <v>0.66702241000000007</v>
      </c>
    </row>
    <row r="55" spans="1:5" x14ac:dyDescent="0.2">
      <c r="A55" s="4" t="s">
        <v>770</v>
      </c>
      <c r="D55" s="29">
        <v>0.27955017870285331</v>
      </c>
      <c r="E55" s="1" t="s">
        <v>771</v>
      </c>
    </row>
    <row r="57" spans="1:5" x14ac:dyDescent="0.2">
      <c r="A57" s="4" t="s">
        <v>1989</v>
      </c>
      <c r="D57" s="53" t="s">
        <v>110</v>
      </c>
    </row>
  </sheetData>
  <mergeCells count="2">
    <mergeCell ref="A1:F1"/>
    <mergeCell ref="C51:D5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8A5C-08AB-4F83-A1D9-0F4CCCF97E47}">
  <sheetPr codeName="Sheet61"/>
  <dimension ref="A1:G116"/>
  <sheetViews>
    <sheetView showGridLines="0" zoomScale="115" zoomScaleNormal="115" workbookViewId="0">
      <selection sqref="A1:G1"/>
    </sheetView>
  </sheetViews>
  <sheetFormatPr defaultRowHeight="11.25" x14ac:dyDescent="0.2"/>
  <cols>
    <col min="1" max="1" width="59" style="1" bestFit="1" customWidth="1"/>
    <col min="2" max="2" width="36.7109375" style="1" bestFit="1" customWidth="1"/>
    <col min="3" max="3" width="40.140625" style="1" bestFit="1" customWidth="1"/>
    <col min="4" max="4" width="9.5703125" style="1" bestFit="1" customWidth="1"/>
    <col min="5" max="5" width="24" style="1" bestFit="1" customWidth="1"/>
    <col min="6" max="6" width="14.140625" style="1" bestFit="1" customWidth="1"/>
    <col min="7" max="7" width="19.85546875" style="2" bestFit="1" customWidth="1"/>
    <col min="8" max="16384" width="9.140625" style="2"/>
  </cols>
  <sheetData>
    <row r="1" spans="1:7" x14ac:dyDescent="0.2">
      <c r="A1" s="98" t="s">
        <v>1410</v>
      </c>
      <c r="B1" s="98"/>
      <c r="C1" s="98"/>
      <c r="D1" s="98"/>
      <c r="E1" s="98"/>
      <c r="F1" s="98"/>
      <c r="G1" s="98"/>
    </row>
    <row r="3" spans="1:7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1411</v>
      </c>
    </row>
    <row r="4" spans="1:7" x14ac:dyDescent="0.2">
      <c r="A4" s="5"/>
      <c r="B4" s="5"/>
      <c r="C4" s="5"/>
      <c r="D4" s="5"/>
      <c r="E4" s="5"/>
      <c r="F4" s="5"/>
      <c r="G4" s="5"/>
    </row>
    <row r="5" spans="1:7" x14ac:dyDescent="0.2">
      <c r="A5" s="6" t="s">
        <v>7</v>
      </c>
      <c r="B5" s="7"/>
      <c r="C5" s="7"/>
      <c r="D5" s="7"/>
      <c r="E5" s="7"/>
      <c r="F5" s="7"/>
      <c r="G5" s="7"/>
    </row>
    <row r="6" spans="1:7" x14ac:dyDescent="0.2">
      <c r="A6" s="6" t="s">
        <v>8</v>
      </c>
      <c r="B6" s="7"/>
      <c r="C6" s="7"/>
      <c r="D6" s="7"/>
      <c r="E6" s="7"/>
      <c r="F6" s="7"/>
      <c r="G6" s="73"/>
    </row>
    <row r="7" spans="1:7" x14ac:dyDescent="0.2">
      <c r="A7" s="6"/>
      <c r="B7" s="7"/>
      <c r="C7" s="7"/>
      <c r="D7" s="7"/>
      <c r="E7" s="7"/>
      <c r="F7" s="7"/>
      <c r="G7" s="73"/>
    </row>
    <row r="8" spans="1:7" x14ac:dyDescent="0.2">
      <c r="A8" s="6"/>
      <c r="B8" s="7"/>
      <c r="C8" s="7"/>
      <c r="D8" s="7"/>
      <c r="E8" s="7"/>
      <c r="F8" s="7"/>
      <c r="G8" s="73"/>
    </row>
    <row r="9" spans="1:7" x14ac:dyDescent="0.2">
      <c r="A9" s="7" t="s">
        <v>376</v>
      </c>
      <c r="B9" s="7" t="s">
        <v>377</v>
      </c>
      <c r="C9" s="7" t="s">
        <v>118</v>
      </c>
      <c r="D9" s="14">
        <v>157500</v>
      </c>
      <c r="E9" s="7">
        <v>2443.0612500000002</v>
      </c>
      <c r="F9" s="7">
        <f>E9/$E$77*100</f>
        <v>9.5568378846266491</v>
      </c>
      <c r="G9" s="74">
        <v>-9.6061269302231498</v>
      </c>
    </row>
    <row r="10" spans="1:7" x14ac:dyDescent="0.2">
      <c r="A10" s="7" t="s">
        <v>121</v>
      </c>
      <c r="B10" s="7" t="s">
        <v>122</v>
      </c>
      <c r="C10" s="7" t="s">
        <v>11</v>
      </c>
      <c r="D10" s="14">
        <v>195000</v>
      </c>
      <c r="E10" s="7">
        <v>1441.1475</v>
      </c>
      <c r="F10" s="7">
        <f t="shared" ref="F10:F49" si="0">E10/$E$77*100</f>
        <v>5.637522606252702</v>
      </c>
      <c r="G10" s="74">
        <v>-2.0919679209600814</v>
      </c>
    </row>
    <row r="11" spans="1:7" x14ac:dyDescent="0.2">
      <c r="A11" s="7" t="s">
        <v>288</v>
      </c>
      <c r="B11" s="7" t="s">
        <v>289</v>
      </c>
      <c r="C11" s="7" t="s">
        <v>25</v>
      </c>
      <c r="D11" s="14">
        <v>58500</v>
      </c>
      <c r="E11" s="7">
        <v>1343.8912499999999</v>
      </c>
      <c r="F11" s="7">
        <f t="shared" si="0"/>
        <v>5.2570727855547066</v>
      </c>
      <c r="G11" s="74">
        <v>-5.2828175102635928</v>
      </c>
    </row>
    <row r="12" spans="1:7" x14ac:dyDescent="0.2">
      <c r="A12" s="7" t="s">
        <v>378</v>
      </c>
      <c r="B12" s="7" t="s">
        <v>379</v>
      </c>
      <c r="C12" s="7" t="s">
        <v>34</v>
      </c>
      <c r="D12" s="14">
        <v>56100</v>
      </c>
      <c r="E12" s="7">
        <v>1141.8033</v>
      </c>
      <c r="F12" s="7">
        <f t="shared" si="0"/>
        <v>4.4665392790425233</v>
      </c>
      <c r="G12" s="74">
        <v>-4.4891430006433382</v>
      </c>
    </row>
    <row r="13" spans="1:7" x14ac:dyDescent="0.2">
      <c r="A13" s="7" t="s">
        <v>380</v>
      </c>
      <c r="B13" s="7" t="s">
        <v>381</v>
      </c>
      <c r="C13" s="7" t="s">
        <v>25</v>
      </c>
      <c r="D13" s="14">
        <v>25000</v>
      </c>
      <c r="E13" s="7">
        <v>1018.55</v>
      </c>
      <c r="F13" s="7">
        <f t="shared" si="0"/>
        <v>3.9843934438346449</v>
      </c>
      <c r="G13" s="74">
        <v>-4.0045882611276555</v>
      </c>
    </row>
    <row r="14" spans="1:7" x14ac:dyDescent="0.2">
      <c r="A14" s="7" t="s">
        <v>382</v>
      </c>
      <c r="B14" s="7" t="s">
        <v>383</v>
      </c>
      <c r="C14" s="7" t="s">
        <v>95</v>
      </c>
      <c r="D14" s="14">
        <v>58500</v>
      </c>
      <c r="E14" s="7">
        <v>678.42449999999997</v>
      </c>
      <c r="F14" s="7">
        <f t="shared" si="0"/>
        <v>2.6538806439907683</v>
      </c>
      <c r="G14" s="74">
        <v>-2.6657804278562094</v>
      </c>
    </row>
    <row r="15" spans="1:7" x14ac:dyDescent="0.2">
      <c r="A15" s="7" t="s">
        <v>9</v>
      </c>
      <c r="B15" s="7" t="s">
        <v>10</v>
      </c>
      <c r="C15" s="7" t="s">
        <v>11</v>
      </c>
      <c r="D15" s="14">
        <v>44878</v>
      </c>
      <c r="E15" s="7">
        <v>572.17206099999999</v>
      </c>
      <c r="F15" s="7">
        <f t="shared" si="0"/>
        <v>2.2382392701327936</v>
      </c>
      <c r="G15" s="74"/>
    </row>
    <row r="16" spans="1:7" x14ac:dyDescent="0.2">
      <c r="A16" s="7" t="s">
        <v>192</v>
      </c>
      <c r="B16" s="7" t="s">
        <v>193</v>
      </c>
      <c r="C16" s="7" t="s">
        <v>59</v>
      </c>
      <c r="D16" s="14">
        <v>63712</v>
      </c>
      <c r="E16" s="7">
        <v>501.44529599999998</v>
      </c>
      <c r="F16" s="7">
        <f t="shared" si="0"/>
        <v>1.9615682586265997</v>
      </c>
      <c r="G16" s="74"/>
    </row>
    <row r="17" spans="1:7" x14ac:dyDescent="0.2">
      <c r="A17" s="7" t="s">
        <v>114</v>
      </c>
      <c r="B17" s="7" t="s">
        <v>115</v>
      </c>
      <c r="C17" s="7" t="s">
        <v>11</v>
      </c>
      <c r="D17" s="14">
        <v>95061</v>
      </c>
      <c r="E17" s="7">
        <v>487.28268600000001</v>
      </c>
      <c r="F17" s="7">
        <f t="shared" si="0"/>
        <v>1.9061665498920386</v>
      </c>
      <c r="G17" s="74"/>
    </row>
    <row r="18" spans="1:7" x14ac:dyDescent="0.2">
      <c r="A18" s="7" t="s">
        <v>21</v>
      </c>
      <c r="B18" s="7" t="s">
        <v>22</v>
      </c>
      <c r="C18" s="7" t="s">
        <v>11</v>
      </c>
      <c r="D18" s="14">
        <v>29128</v>
      </c>
      <c r="E18" s="7">
        <v>470.47545600000001</v>
      </c>
      <c r="F18" s="7">
        <f t="shared" si="0"/>
        <v>1.8404195399062542</v>
      </c>
      <c r="G18" s="74"/>
    </row>
    <row r="19" spans="1:7" x14ac:dyDescent="0.2">
      <c r="A19" s="7" t="s">
        <v>212</v>
      </c>
      <c r="B19" s="7" t="s">
        <v>213</v>
      </c>
      <c r="C19" s="7" t="s">
        <v>25</v>
      </c>
      <c r="D19" s="14">
        <v>86040</v>
      </c>
      <c r="E19" s="7">
        <v>426.88745999999998</v>
      </c>
      <c r="F19" s="7">
        <f t="shared" si="0"/>
        <v>1.6699107524217998</v>
      </c>
      <c r="G19" s="74"/>
    </row>
    <row r="20" spans="1:7" x14ac:dyDescent="0.2">
      <c r="A20" s="7" t="s">
        <v>384</v>
      </c>
      <c r="B20" s="7" t="s">
        <v>385</v>
      </c>
      <c r="C20" s="7" t="s">
        <v>34</v>
      </c>
      <c r="D20" s="14">
        <v>24000</v>
      </c>
      <c r="E20" s="7">
        <v>409.476</v>
      </c>
      <c r="F20" s="7">
        <f t="shared" si="0"/>
        <v>1.6018000979899223</v>
      </c>
      <c r="G20" s="74">
        <v>-1.606682060601385</v>
      </c>
    </row>
    <row r="21" spans="1:7" x14ac:dyDescent="0.2">
      <c r="A21" s="7" t="s">
        <v>119</v>
      </c>
      <c r="B21" s="7" t="s">
        <v>120</v>
      </c>
      <c r="C21" s="7" t="s">
        <v>43</v>
      </c>
      <c r="D21" s="14">
        <v>89951</v>
      </c>
      <c r="E21" s="7">
        <v>397.98819950000001</v>
      </c>
      <c r="F21" s="7">
        <f t="shared" si="0"/>
        <v>1.5568617866686514</v>
      </c>
      <c r="G21" s="74"/>
    </row>
    <row r="22" spans="1:7" x14ac:dyDescent="0.2">
      <c r="A22" s="7" t="s">
        <v>194</v>
      </c>
      <c r="B22" s="7" t="s">
        <v>195</v>
      </c>
      <c r="C22" s="7" t="s">
        <v>80</v>
      </c>
      <c r="D22" s="14">
        <v>52195</v>
      </c>
      <c r="E22" s="7">
        <v>363.45988249999999</v>
      </c>
      <c r="F22" s="7">
        <f t="shared" si="0"/>
        <v>1.421792914368377</v>
      </c>
      <c r="G22" s="74"/>
    </row>
    <row r="23" spans="1:7" x14ac:dyDescent="0.2">
      <c r="A23" s="7" t="s">
        <v>134</v>
      </c>
      <c r="B23" s="7" t="s">
        <v>135</v>
      </c>
      <c r="C23" s="7" t="s">
        <v>136</v>
      </c>
      <c r="D23" s="14">
        <v>123156</v>
      </c>
      <c r="E23" s="7">
        <v>334.36854</v>
      </c>
      <c r="F23" s="7">
        <f t="shared" si="0"/>
        <v>1.3079925566742547</v>
      </c>
      <c r="G23" s="74"/>
    </row>
    <row r="24" spans="1:7" x14ac:dyDescent="0.2">
      <c r="A24" s="7" t="s">
        <v>112</v>
      </c>
      <c r="B24" s="7" t="s">
        <v>113</v>
      </c>
      <c r="C24" s="7" t="s">
        <v>11</v>
      </c>
      <c r="D24" s="14">
        <v>97218</v>
      </c>
      <c r="E24" s="7">
        <v>332.33973300000002</v>
      </c>
      <c r="F24" s="7">
        <f t="shared" si="0"/>
        <v>1.3000562105846121</v>
      </c>
      <c r="G24" s="74"/>
    </row>
    <row r="25" spans="1:7" x14ac:dyDescent="0.2">
      <c r="A25" s="7" t="s">
        <v>242</v>
      </c>
      <c r="B25" s="7" t="s">
        <v>243</v>
      </c>
      <c r="C25" s="7" t="s">
        <v>118</v>
      </c>
      <c r="D25" s="14">
        <v>110000</v>
      </c>
      <c r="E25" s="7">
        <v>310.86</v>
      </c>
      <c r="F25" s="7">
        <f t="shared" si="0"/>
        <v>1.2160311677879709</v>
      </c>
      <c r="G25" s="74"/>
    </row>
    <row r="26" spans="1:7" x14ac:dyDescent="0.2">
      <c r="A26" s="7" t="s">
        <v>26</v>
      </c>
      <c r="B26" s="7" t="s">
        <v>27</v>
      </c>
      <c r="C26" s="7" t="s">
        <v>28</v>
      </c>
      <c r="D26" s="14">
        <v>150335</v>
      </c>
      <c r="E26" s="7">
        <v>300.89550250000002</v>
      </c>
      <c r="F26" s="7">
        <f t="shared" si="0"/>
        <v>1.1770517573416437</v>
      </c>
      <c r="G26" s="74"/>
    </row>
    <row r="27" spans="1:7" x14ac:dyDescent="0.2">
      <c r="A27" s="7" t="s">
        <v>234</v>
      </c>
      <c r="B27" s="7" t="s">
        <v>235</v>
      </c>
      <c r="C27" s="7" t="s">
        <v>34</v>
      </c>
      <c r="D27" s="14">
        <v>20287</v>
      </c>
      <c r="E27" s="7">
        <v>299.07095399999997</v>
      </c>
      <c r="F27" s="7">
        <f t="shared" si="0"/>
        <v>1.1699144355789826</v>
      </c>
      <c r="G27" s="74"/>
    </row>
    <row r="28" spans="1:7" x14ac:dyDescent="0.2">
      <c r="A28" s="7" t="s">
        <v>223</v>
      </c>
      <c r="B28" s="7" t="s">
        <v>224</v>
      </c>
      <c r="C28" s="7" t="s">
        <v>136</v>
      </c>
      <c r="D28" s="14">
        <v>132933</v>
      </c>
      <c r="E28" s="7">
        <v>286.1382825</v>
      </c>
      <c r="F28" s="7">
        <f t="shared" si="0"/>
        <v>1.1193240359561196</v>
      </c>
      <c r="G28" s="74"/>
    </row>
    <row r="29" spans="1:7" x14ac:dyDescent="0.2">
      <c r="A29" s="7" t="s">
        <v>214</v>
      </c>
      <c r="B29" s="7" t="s">
        <v>215</v>
      </c>
      <c r="C29" s="7" t="s">
        <v>125</v>
      </c>
      <c r="D29" s="14">
        <v>145523</v>
      </c>
      <c r="E29" s="7">
        <v>281.29595899999998</v>
      </c>
      <c r="F29" s="7">
        <f t="shared" si="0"/>
        <v>1.1003816943859202</v>
      </c>
      <c r="G29" s="74"/>
    </row>
    <row r="30" spans="1:7" x14ac:dyDescent="0.2">
      <c r="A30" s="7" t="s">
        <v>240</v>
      </c>
      <c r="B30" s="7" t="s">
        <v>241</v>
      </c>
      <c r="C30" s="7" t="s">
        <v>34</v>
      </c>
      <c r="D30" s="14">
        <v>1902</v>
      </c>
      <c r="E30" s="7">
        <v>274.914129</v>
      </c>
      <c r="F30" s="7">
        <f t="shared" si="0"/>
        <v>1.0754170666193235</v>
      </c>
      <c r="G30" s="74"/>
    </row>
    <row r="31" spans="1:7" x14ac:dyDescent="0.2">
      <c r="A31" s="7" t="s">
        <v>209</v>
      </c>
      <c r="B31" s="7" t="s">
        <v>210</v>
      </c>
      <c r="C31" s="7" t="s">
        <v>34</v>
      </c>
      <c r="D31" s="14">
        <v>18456</v>
      </c>
      <c r="E31" s="7">
        <v>232.102656</v>
      </c>
      <c r="F31" s="7">
        <f t="shared" si="0"/>
        <v>0.90794590433754641</v>
      </c>
      <c r="G31" s="74"/>
    </row>
    <row r="32" spans="1:7" x14ac:dyDescent="0.2">
      <c r="A32" s="7" t="s">
        <v>185</v>
      </c>
      <c r="B32" s="7" t="s">
        <v>186</v>
      </c>
      <c r="C32" s="7" t="s">
        <v>187</v>
      </c>
      <c r="D32" s="14">
        <v>7942</v>
      </c>
      <c r="E32" s="7">
        <v>231.417967</v>
      </c>
      <c r="F32" s="7">
        <f t="shared" si="0"/>
        <v>0.9052675180406875</v>
      </c>
      <c r="G32" s="74"/>
    </row>
    <row r="33" spans="1:7" x14ac:dyDescent="0.2">
      <c r="A33" s="7" t="s">
        <v>258</v>
      </c>
      <c r="B33" s="7" t="s">
        <v>259</v>
      </c>
      <c r="C33" s="7" t="s">
        <v>80</v>
      </c>
      <c r="D33" s="14">
        <v>29733</v>
      </c>
      <c r="E33" s="7">
        <v>226.4019285</v>
      </c>
      <c r="F33" s="7">
        <f t="shared" si="0"/>
        <v>0.88564563309304412</v>
      </c>
      <c r="G33" s="74"/>
    </row>
    <row r="34" spans="1:7" x14ac:dyDescent="0.2">
      <c r="A34" s="7" t="s">
        <v>207</v>
      </c>
      <c r="B34" s="7" t="s">
        <v>208</v>
      </c>
      <c r="C34" s="7" t="s">
        <v>37</v>
      </c>
      <c r="D34" s="14">
        <v>40438</v>
      </c>
      <c r="E34" s="7">
        <v>214.54380900000001</v>
      </c>
      <c r="F34" s="7">
        <f t="shared" si="0"/>
        <v>0.8392586971625472</v>
      </c>
      <c r="G34" s="74"/>
    </row>
    <row r="35" spans="1:7" x14ac:dyDescent="0.2">
      <c r="A35" s="7" t="s">
        <v>123</v>
      </c>
      <c r="B35" s="7" t="s">
        <v>124</v>
      </c>
      <c r="C35" s="7" t="s">
        <v>125</v>
      </c>
      <c r="D35" s="14">
        <v>183537</v>
      </c>
      <c r="E35" s="7">
        <v>213.5452995</v>
      </c>
      <c r="F35" s="7">
        <f t="shared" si="0"/>
        <v>0.83535269872809947</v>
      </c>
      <c r="G35" s="74"/>
    </row>
    <row r="36" spans="1:7" x14ac:dyDescent="0.2">
      <c r="A36" s="7" t="s">
        <v>290</v>
      </c>
      <c r="B36" s="7" t="s">
        <v>291</v>
      </c>
      <c r="C36" s="7" t="s">
        <v>34</v>
      </c>
      <c r="D36" s="14">
        <v>41250</v>
      </c>
      <c r="E36" s="7">
        <v>189.37875</v>
      </c>
      <c r="F36" s="7">
        <f t="shared" si="0"/>
        <v>0.74081728918717815</v>
      </c>
      <c r="G36" s="74">
        <v>-0.74331841486402428</v>
      </c>
    </row>
    <row r="37" spans="1:7" x14ac:dyDescent="0.2">
      <c r="A37" s="7" t="s">
        <v>15</v>
      </c>
      <c r="B37" s="7" t="s">
        <v>16</v>
      </c>
      <c r="C37" s="7" t="s">
        <v>17</v>
      </c>
      <c r="D37" s="14">
        <v>122059</v>
      </c>
      <c r="E37" s="7">
        <v>182.356146</v>
      </c>
      <c r="F37" s="7">
        <f t="shared" si="0"/>
        <v>0.7133460630949422</v>
      </c>
      <c r="G37" s="74"/>
    </row>
    <row r="38" spans="1:7" x14ac:dyDescent="0.2">
      <c r="A38" s="7" t="s">
        <v>216</v>
      </c>
      <c r="B38" s="7" t="s">
        <v>217</v>
      </c>
      <c r="C38" s="7" t="s">
        <v>125</v>
      </c>
      <c r="D38" s="14">
        <v>317938</v>
      </c>
      <c r="E38" s="7">
        <v>182.33744300000001</v>
      </c>
      <c r="F38" s="7">
        <f t="shared" si="0"/>
        <v>0.71327290015686351</v>
      </c>
      <c r="G38" s="74"/>
    </row>
    <row r="39" spans="1:7" x14ac:dyDescent="0.2">
      <c r="A39" s="7" t="s">
        <v>267</v>
      </c>
      <c r="B39" s="7" t="s">
        <v>268</v>
      </c>
      <c r="C39" s="7" t="s">
        <v>269</v>
      </c>
      <c r="D39" s="14">
        <v>38144</v>
      </c>
      <c r="E39" s="7">
        <v>163.06559999999999</v>
      </c>
      <c r="F39" s="7">
        <f t="shared" si="0"/>
        <v>0.63788474552546526</v>
      </c>
      <c r="G39" s="74"/>
    </row>
    <row r="40" spans="1:7" x14ac:dyDescent="0.2">
      <c r="A40" s="7" t="s">
        <v>116</v>
      </c>
      <c r="B40" s="7" t="s">
        <v>117</v>
      </c>
      <c r="C40" s="7" t="s">
        <v>118</v>
      </c>
      <c r="D40" s="14">
        <v>121901</v>
      </c>
      <c r="E40" s="7">
        <v>160.17791399999999</v>
      </c>
      <c r="F40" s="7">
        <f t="shared" si="0"/>
        <v>0.62658861164273683</v>
      </c>
      <c r="G40" s="74"/>
    </row>
    <row r="41" spans="1:7" x14ac:dyDescent="0.2">
      <c r="A41" s="7" t="s">
        <v>251</v>
      </c>
      <c r="B41" s="7" t="s">
        <v>252</v>
      </c>
      <c r="C41" s="7" t="s">
        <v>246</v>
      </c>
      <c r="D41" s="14">
        <v>92685</v>
      </c>
      <c r="E41" s="7">
        <v>155.75714249999999</v>
      </c>
      <c r="F41" s="7">
        <f t="shared" si="0"/>
        <v>0.60929530941771981</v>
      </c>
      <c r="G41" s="74"/>
    </row>
    <row r="42" spans="1:7" x14ac:dyDescent="0.2">
      <c r="A42" s="7" t="s">
        <v>35</v>
      </c>
      <c r="B42" s="7" t="s">
        <v>36</v>
      </c>
      <c r="C42" s="7" t="s">
        <v>37</v>
      </c>
      <c r="D42" s="14">
        <v>96169</v>
      </c>
      <c r="E42" s="7">
        <v>155.31293500000001</v>
      </c>
      <c r="F42" s="7">
        <f t="shared" si="0"/>
        <v>0.60755764563027481</v>
      </c>
      <c r="G42" s="74"/>
    </row>
    <row r="43" spans="1:7" x14ac:dyDescent="0.2">
      <c r="A43" s="7" t="s">
        <v>1412</v>
      </c>
      <c r="B43" s="7" t="s">
        <v>1413</v>
      </c>
      <c r="C43" s="7" t="s">
        <v>11</v>
      </c>
      <c r="D43" s="14">
        <v>100633</v>
      </c>
      <c r="E43" s="7">
        <v>129.715937</v>
      </c>
      <c r="F43" s="7">
        <f t="shared" si="0"/>
        <v>0.50742656614173853</v>
      </c>
      <c r="G43" s="74"/>
    </row>
    <row r="44" spans="1:7" x14ac:dyDescent="0.2">
      <c r="A44" s="7" t="s">
        <v>228</v>
      </c>
      <c r="B44" s="7" t="s">
        <v>229</v>
      </c>
      <c r="C44" s="7" t="s">
        <v>25</v>
      </c>
      <c r="D44" s="14">
        <v>21957</v>
      </c>
      <c r="E44" s="7">
        <v>116.986896</v>
      </c>
      <c r="F44" s="7">
        <f t="shared" si="0"/>
        <v>0.45763273421723571</v>
      </c>
      <c r="G44" s="74"/>
    </row>
    <row r="45" spans="1:7" x14ac:dyDescent="0.2">
      <c r="A45" s="7" t="s">
        <v>278</v>
      </c>
      <c r="B45" s="7" t="s">
        <v>279</v>
      </c>
      <c r="C45" s="7" t="s">
        <v>255</v>
      </c>
      <c r="D45" s="14">
        <v>76471</v>
      </c>
      <c r="E45" s="7">
        <v>101.93584300000001</v>
      </c>
      <c r="F45" s="7">
        <f t="shared" si="0"/>
        <v>0.39875558837657232</v>
      </c>
      <c r="G45" s="74"/>
    </row>
    <row r="46" spans="1:7" x14ac:dyDescent="0.2">
      <c r="A46" s="7" t="s">
        <v>238</v>
      </c>
      <c r="B46" s="7" t="s">
        <v>239</v>
      </c>
      <c r="C46" s="7" t="s">
        <v>40</v>
      </c>
      <c r="D46" s="14">
        <v>64953</v>
      </c>
      <c r="E46" s="7">
        <v>98.793513000000004</v>
      </c>
      <c r="F46" s="7">
        <f t="shared" si="0"/>
        <v>0.38646333070599659</v>
      </c>
      <c r="G46" s="74"/>
    </row>
    <row r="47" spans="1:7" x14ac:dyDescent="0.2">
      <c r="A47" s="7" t="s">
        <v>346</v>
      </c>
      <c r="B47" s="7" t="s">
        <v>347</v>
      </c>
      <c r="C47" s="7" t="s">
        <v>37</v>
      </c>
      <c r="D47" s="14">
        <v>3091</v>
      </c>
      <c r="E47" s="7">
        <v>98.170159999999996</v>
      </c>
      <c r="F47" s="7">
        <f t="shared" si="0"/>
        <v>0.38402488035363813</v>
      </c>
      <c r="G47" s="74"/>
    </row>
    <row r="48" spans="1:7" x14ac:dyDescent="0.2">
      <c r="A48" s="7" t="s">
        <v>137</v>
      </c>
      <c r="B48" s="7" t="s">
        <v>138</v>
      </c>
      <c r="C48" s="7" t="s">
        <v>136</v>
      </c>
      <c r="D48" s="14">
        <v>47372</v>
      </c>
      <c r="E48" s="7">
        <v>59.712406000000001</v>
      </c>
      <c r="F48" s="7">
        <f t="shared" si="0"/>
        <v>0.23358472238180997</v>
      </c>
      <c r="G48" s="74"/>
    </row>
    <row r="49" spans="1:7" x14ac:dyDescent="0.2">
      <c r="A49" s="7" t="s">
        <v>148</v>
      </c>
      <c r="B49" s="7" t="s">
        <v>149</v>
      </c>
      <c r="C49" s="7" t="s">
        <v>25</v>
      </c>
      <c r="D49" s="14">
        <v>2500</v>
      </c>
      <c r="E49" s="7">
        <v>8.7962500000000006</v>
      </c>
      <c r="F49" s="7">
        <f t="shared" si="0"/>
        <v>3.4409425978430615E-2</v>
      </c>
      <c r="G49" s="74">
        <v>-3.4526780848898465E-2</v>
      </c>
    </row>
    <row r="50" spans="1:7" x14ac:dyDescent="0.2">
      <c r="A50" s="6" t="s">
        <v>44</v>
      </c>
      <c r="B50" s="7"/>
      <c r="C50" s="7"/>
      <c r="D50" s="14"/>
      <c r="E50" s="6">
        <f>SUM(E9:E49)</f>
        <v>17036.456536499998</v>
      </c>
      <c r="F50" s="6">
        <f>SUM(F9:F49)</f>
        <v>66.643705002409774</v>
      </c>
      <c r="G50" s="6">
        <f>SUM(G9:G49)</f>
        <v>-30.524951307388339</v>
      </c>
    </row>
    <row r="51" spans="1:7" x14ac:dyDescent="0.2">
      <c r="A51" s="6"/>
      <c r="B51" s="7"/>
      <c r="C51" s="7"/>
      <c r="D51" s="14"/>
      <c r="E51" s="6"/>
      <c r="F51" s="6"/>
      <c r="G51" s="73"/>
    </row>
    <row r="52" spans="1:7" x14ac:dyDescent="0.2">
      <c r="A52" s="6"/>
      <c r="B52" s="7"/>
      <c r="C52" s="7"/>
      <c r="D52" s="14"/>
      <c r="E52" s="6"/>
      <c r="F52" s="6"/>
      <c r="G52" s="73"/>
    </row>
    <row r="53" spans="1:7" x14ac:dyDescent="0.2">
      <c r="A53" s="26" t="s">
        <v>1414</v>
      </c>
      <c r="B53" s="45"/>
      <c r="C53" s="75"/>
      <c r="D53" s="76"/>
      <c r="E53" s="77"/>
      <c r="F53" s="78"/>
      <c r="G53" s="73"/>
    </row>
    <row r="54" spans="1:7" x14ac:dyDescent="0.2">
      <c r="A54" s="45" t="s">
        <v>639</v>
      </c>
      <c r="B54" s="45" t="s">
        <v>640</v>
      </c>
      <c r="C54" s="75"/>
      <c r="D54" s="16">
        <v>62000</v>
      </c>
      <c r="E54" s="79">
        <v>275.39159999999998</v>
      </c>
      <c r="F54" s="7">
        <f t="shared" ref="F54" si="1">E54/$E$77*100</f>
        <v>1.0772848515312288</v>
      </c>
      <c r="G54" s="73"/>
    </row>
    <row r="55" spans="1:7" x14ac:dyDescent="0.2">
      <c r="A55" s="26" t="s">
        <v>44</v>
      </c>
      <c r="B55" s="45"/>
      <c r="C55" s="75"/>
      <c r="D55" s="76"/>
      <c r="E55" s="77">
        <f>SUM(E54)</f>
        <v>275.39159999999998</v>
      </c>
      <c r="F55" s="78">
        <f>SUM(F54)</f>
        <v>1.0772848515312288</v>
      </c>
      <c r="G55" s="73"/>
    </row>
    <row r="56" spans="1:7" x14ac:dyDescent="0.2">
      <c r="A56" s="7"/>
      <c r="B56" s="7"/>
      <c r="C56" s="7"/>
      <c r="D56" s="14"/>
      <c r="E56" s="7"/>
      <c r="F56" s="7"/>
      <c r="G56" s="73"/>
    </row>
    <row r="57" spans="1:7" x14ac:dyDescent="0.2">
      <c r="A57" s="6" t="s">
        <v>680</v>
      </c>
      <c r="B57" s="7"/>
      <c r="C57" s="7"/>
      <c r="D57" s="14"/>
      <c r="E57" s="7"/>
      <c r="F57" s="7"/>
      <c r="G57" s="73"/>
    </row>
    <row r="58" spans="1:7" x14ac:dyDescent="0.2">
      <c r="A58" s="6" t="s">
        <v>8</v>
      </c>
      <c r="B58" s="7"/>
      <c r="C58" s="7"/>
      <c r="D58" s="14"/>
      <c r="E58" s="7"/>
      <c r="F58" s="7"/>
      <c r="G58" s="73"/>
    </row>
    <row r="59" spans="1:7" x14ac:dyDescent="0.2">
      <c r="A59" s="6"/>
      <c r="B59" s="7"/>
      <c r="C59" s="7"/>
      <c r="D59" s="14"/>
      <c r="E59" s="7"/>
      <c r="F59" s="7"/>
      <c r="G59" s="73"/>
    </row>
    <row r="60" spans="1:7" x14ac:dyDescent="0.2">
      <c r="A60" s="7" t="s">
        <v>993</v>
      </c>
      <c r="B60" s="45" t="s">
        <v>1663</v>
      </c>
      <c r="C60" s="7" t="s">
        <v>1415</v>
      </c>
      <c r="D60" s="14">
        <v>100</v>
      </c>
      <c r="E60" s="7">
        <v>1026.0920000000001</v>
      </c>
      <c r="F60" s="7">
        <f t="shared" ref="F60:F62" si="2">E60/$E$77*100</f>
        <v>4.0138964582702652</v>
      </c>
      <c r="G60" s="73"/>
    </row>
    <row r="61" spans="1:7" x14ac:dyDescent="0.2">
      <c r="A61" s="7" t="s">
        <v>1416</v>
      </c>
      <c r="B61" s="45" t="s">
        <v>1969</v>
      </c>
      <c r="C61" s="7" t="s">
        <v>779</v>
      </c>
      <c r="D61" s="14">
        <v>80</v>
      </c>
      <c r="E61" s="7">
        <v>785.29200000000003</v>
      </c>
      <c r="F61" s="7">
        <f t="shared" si="2"/>
        <v>3.0719280313149047</v>
      </c>
      <c r="G61" s="73"/>
    </row>
    <row r="62" spans="1:7" x14ac:dyDescent="0.2">
      <c r="A62" s="7" t="s">
        <v>949</v>
      </c>
      <c r="B62" s="45" t="s">
        <v>1631</v>
      </c>
      <c r="C62" s="7" t="s">
        <v>686</v>
      </c>
      <c r="D62" s="14">
        <v>50</v>
      </c>
      <c r="E62" s="7">
        <v>528.81200000000001</v>
      </c>
      <c r="F62" s="7">
        <f t="shared" si="2"/>
        <v>2.068622125395009</v>
      </c>
      <c r="G62" s="73"/>
    </row>
    <row r="63" spans="1:7" x14ac:dyDescent="0.2">
      <c r="A63" s="6" t="s">
        <v>44</v>
      </c>
      <c r="B63" s="7"/>
      <c r="C63" s="7"/>
      <c r="D63" s="7"/>
      <c r="E63" s="6">
        <f>SUM(E60:E62)</f>
        <v>2340.1959999999999</v>
      </c>
      <c r="F63" s="6">
        <f>SUM(F60:F62)</f>
        <v>9.1544466149801789</v>
      </c>
      <c r="G63" s="73"/>
    </row>
    <row r="64" spans="1:7" x14ac:dyDescent="0.2">
      <c r="A64" s="6"/>
      <c r="B64" s="7"/>
      <c r="C64" s="7"/>
      <c r="D64" s="7"/>
      <c r="E64" s="6"/>
      <c r="F64" s="6"/>
      <c r="G64" s="73"/>
    </row>
    <row r="65" spans="1:7" x14ac:dyDescent="0.2">
      <c r="A65" s="26" t="s">
        <v>963</v>
      </c>
      <c r="B65" s="45"/>
      <c r="C65" s="45"/>
      <c r="D65" s="16"/>
      <c r="E65" s="14"/>
      <c r="F65" s="7"/>
      <c r="G65" s="73"/>
    </row>
    <row r="66" spans="1:7" x14ac:dyDescent="0.2">
      <c r="A66" s="45" t="s">
        <v>1226</v>
      </c>
      <c r="B66" s="2" t="s">
        <v>1417</v>
      </c>
      <c r="C66" s="45" t="s">
        <v>965</v>
      </c>
      <c r="D66" s="16">
        <v>1300000</v>
      </c>
      <c r="E66" s="14">
        <v>1354.3595</v>
      </c>
      <c r="F66" s="7">
        <v>5.2980227896472121</v>
      </c>
      <c r="G66" s="73"/>
    </row>
    <row r="67" spans="1:7" x14ac:dyDescent="0.2">
      <c r="A67" s="45" t="s">
        <v>964</v>
      </c>
      <c r="B67" s="2" t="s">
        <v>1418</v>
      </c>
      <c r="C67" s="45" t="s">
        <v>965</v>
      </c>
      <c r="D67" s="16">
        <v>900000</v>
      </c>
      <c r="E67" s="14">
        <v>943.47720000000004</v>
      </c>
      <c r="F67" s="7">
        <v>3.6907214865126581</v>
      </c>
      <c r="G67" s="73"/>
    </row>
    <row r="68" spans="1:7" x14ac:dyDescent="0.2">
      <c r="A68" s="45" t="s">
        <v>966</v>
      </c>
      <c r="B68" s="2" t="s">
        <v>1419</v>
      </c>
      <c r="C68" s="45" t="s">
        <v>965</v>
      </c>
      <c r="D68" s="16">
        <v>550000</v>
      </c>
      <c r="E68" s="14">
        <v>572.92565000000002</v>
      </c>
      <c r="F68" s="7">
        <v>2.2411871814488267</v>
      </c>
      <c r="G68" s="73"/>
    </row>
    <row r="69" spans="1:7" x14ac:dyDescent="0.2">
      <c r="A69" s="45" t="s">
        <v>967</v>
      </c>
      <c r="B69" s="2" t="s">
        <v>1420</v>
      </c>
      <c r="C69" s="45" t="s">
        <v>965</v>
      </c>
      <c r="D69" s="16">
        <v>200000</v>
      </c>
      <c r="E69" s="14">
        <v>199.75540000000001</v>
      </c>
      <c r="F69" s="7">
        <v>0.78140896974185547</v>
      </c>
      <c r="G69" s="73"/>
    </row>
    <row r="70" spans="1:7" x14ac:dyDescent="0.2">
      <c r="A70" s="26" t="s">
        <v>44</v>
      </c>
      <c r="B70" s="45"/>
      <c r="C70" s="45"/>
      <c r="D70" s="45"/>
      <c r="E70" s="17">
        <f>SUM(E66:E69)</f>
        <v>3070.51775</v>
      </c>
      <c r="F70" s="17">
        <f>SUM(F66:F69)</f>
        <v>12.011340427350552</v>
      </c>
      <c r="G70" s="73"/>
    </row>
    <row r="71" spans="1:7" x14ac:dyDescent="0.2">
      <c r="A71" s="7"/>
      <c r="B71" s="7"/>
      <c r="C71" s="7"/>
      <c r="D71" s="7"/>
      <c r="E71" s="7"/>
      <c r="F71" s="7"/>
      <c r="G71" s="73"/>
    </row>
    <row r="72" spans="1:7" x14ac:dyDescent="0.2">
      <c r="A72" s="6" t="s">
        <v>44</v>
      </c>
      <c r="B72" s="7"/>
      <c r="C72" s="7"/>
      <c r="D72" s="7"/>
      <c r="E72" s="6">
        <f>E50+E55+E63+E70</f>
        <v>22722.561886499996</v>
      </c>
      <c r="F72" s="6">
        <f>F50+F55+F63+F70</f>
        <v>88.886776896271726</v>
      </c>
      <c r="G72" s="73"/>
    </row>
    <row r="73" spans="1:7" x14ac:dyDescent="0.2">
      <c r="A73" s="7"/>
      <c r="B73" s="7"/>
      <c r="C73" s="7"/>
      <c r="D73" s="7"/>
      <c r="E73" s="7"/>
      <c r="F73" s="7"/>
      <c r="G73" s="73"/>
    </row>
    <row r="74" spans="1:7" x14ac:dyDescent="0.2">
      <c r="A74" s="6" t="s">
        <v>1421</v>
      </c>
      <c r="B74" s="7"/>
      <c r="C74" s="7"/>
      <c r="D74" s="7"/>
      <c r="E74" s="6">
        <v>1986.03505</v>
      </c>
      <c r="F74" s="6">
        <f t="shared" ref="F74:F75" si="3">E74/$E$77*100</f>
        <v>7.7690295345793636</v>
      </c>
      <c r="G74" s="73"/>
    </row>
    <row r="75" spans="1:7" x14ac:dyDescent="0.2">
      <c r="A75" s="6" t="s">
        <v>1422</v>
      </c>
      <c r="B75" s="7"/>
      <c r="C75" s="7"/>
      <c r="D75" s="7"/>
      <c r="E75" s="6">
        <v>854.89257220000081</v>
      </c>
      <c r="F75" s="6">
        <f t="shared" si="3"/>
        <v>3.3441935691489073</v>
      </c>
      <c r="G75" s="73"/>
    </row>
    <row r="76" spans="1:7" x14ac:dyDescent="0.2">
      <c r="A76" s="7"/>
      <c r="B76" s="7"/>
      <c r="C76" s="7"/>
      <c r="D76" s="7"/>
      <c r="E76" s="7"/>
      <c r="F76" s="7"/>
      <c r="G76" s="73"/>
    </row>
    <row r="77" spans="1:7" x14ac:dyDescent="0.2">
      <c r="A77" s="8" t="s">
        <v>104</v>
      </c>
      <c r="B77" s="5"/>
      <c r="C77" s="5"/>
      <c r="D77" s="5"/>
      <c r="E77" s="8">
        <f>E72+E74+E75</f>
        <v>25563.489508699997</v>
      </c>
      <c r="F77" s="8">
        <f>F72+F74+F75</f>
        <v>100</v>
      </c>
      <c r="G77" s="80"/>
    </row>
    <row r="78" spans="1:7" x14ac:dyDescent="0.2">
      <c r="A78" s="4" t="s">
        <v>1983</v>
      </c>
    </row>
    <row r="79" spans="1:7" x14ac:dyDescent="0.2">
      <c r="A79" s="4"/>
    </row>
    <row r="80" spans="1:7" s="1" customFormat="1" x14ac:dyDescent="0.2">
      <c r="A80" s="9" t="s">
        <v>105</v>
      </c>
    </row>
    <row r="81" spans="1:4" s="1" customFormat="1" x14ac:dyDescent="0.2">
      <c r="A81" s="4" t="s">
        <v>769</v>
      </c>
      <c r="B81" s="2"/>
      <c r="C81" s="2"/>
      <c r="D81" s="2"/>
    </row>
    <row r="82" spans="1:4" s="1" customFormat="1" x14ac:dyDescent="0.2">
      <c r="A82" s="4" t="s">
        <v>107</v>
      </c>
      <c r="B82" s="2"/>
      <c r="C82" s="2"/>
      <c r="D82" s="2"/>
    </row>
    <row r="83" spans="1:4" s="1" customFormat="1" x14ac:dyDescent="0.2">
      <c r="A83" s="2" t="s">
        <v>667</v>
      </c>
      <c r="B83" s="2"/>
      <c r="C83" s="2"/>
      <c r="D83" s="10">
        <v>10.3385</v>
      </c>
    </row>
    <row r="84" spans="1:4" s="1" customFormat="1" x14ac:dyDescent="0.2">
      <c r="A84" s="2" t="s">
        <v>666</v>
      </c>
      <c r="B84" s="2"/>
      <c r="C84" s="2"/>
      <c r="D84" s="10">
        <v>10.3385</v>
      </c>
    </row>
    <row r="85" spans="1:4" s="1" customFormat="1" x14ac:dyDescent="0.2">
      <c r="A85" s="2" t="s">
        <v>1221</v>
      </c>
      <c r="B85" s="2"/>
      <c r="C85" s="2"/>
      <c r="D85" s="10">
        <v>10.278</v>
      </c>
    </row>
    <row r="86" spans="1:4" s="1" customFormat="1" x14ac:dyDescent="0.2">
      <c r="A86" s="2" t="s">
        <v>1222</v>
      </c>
      <c r="B86" s="2"/>
      <c r="C86" s="2"/>
      <c r="D86" s="10">
        <v>10.3385</v>
      </c>
    </row>
    <row r="87" spans="1:4" s="1" customFormat="1" x14ac:dyDescent="0.2">
      <c r="A87" s="2" t="s">
        <v>669</v>
      </c>
      <c r="B87" s="2"/>
      <c r="C87" s="2"/>
      <c r="D87" s="10">
        <v>10.481299999999999</v>
      </c>
    </row>
    <row r="88" spans="1:4" s="1" customFormat="1" x14ac:dyDescent="0.2">
      <c r="A88" s="2" t="s">
        <v>668</v>
      </c>
      <c r="B88" s="2"/>
      <c r="C88" s="2"/>
      <c r="D88" s="10">
        <v>10.481299999999999</v>
      </c>
    </row>
    <row r="89" spans="1:4" s="1" customFormat="1" x14ac:dyDescent="0.2">
      <c r="A89" s="2" t="s">
        <v>1223</v>
      </c>
      <c r="B89" s="2"/>
      <c r="C89" s="2"/>
      <c r="D89" s="10">
        <v>10.420500000000001</v>
      </c>
    </row>
    <row r="90" spans="1:4" s="1" customFormat="1" x14ac:dyDescent="0.2">
      <c r="A90" s="2" t="s">
        <v>1224</v>
      </c>
      <c r="B90" s="2"/>
      <c r="C90" s="2"/>
      <c r="D90" s="10">
        <v>10.481299999999999</v>
      </c>
    </row>
    <row r="91" spans="1:4" x14ac:dyDescent="0.2">
      <c r="A91" s="2"/>
      <c r="B91" s="2"/>
      <c r="C91" s="2"/>
      <c r="D91" s="2"/>
    </row>
    <row r="92" spans="1:4" s="1" customFormat="1" x14ac:dyDescent="0.2">
      <c r="A92" s="4" t="s">
        <v>108</v>
      </c>
      <c r="B92" s="2"/>
      <c r="C92" s="2"/>
      <c r="D92" s="2"/>
    </row>
    <row r="93" spans="1:4" s="1" customFormat="1" x14ac:dyDescent="0.2">
      <c r="A93" s="2" t="s">
        <v>667</v>
      </c>
      <c r="B93" s="2"/>
      <c r="C93" s="2"/>
      <c r="D93" s="10">
        <v>10.373699999999999</v>
      </c>
    </row>
    <row r="94" spans="1:4" s="1" customFormat="1" x14ac:dyDescent="0.2">
      <c r="A94" s="2" t="s">
        <v>666</v>
      </c>
      <c r="B94" s="2"/>
      <c r="C94" s="2"/>
      <c r="D94" s="10">
        <v>10.373699999999999</v>
      </c>
    </row>
    <row r="95" spans="1:4" s="1" customFormat="1" x14ac:dyDescent="0.2">
      <c r="A95" s="2" t="s">
        <v>1221</v>
      </c>
      <c r="B95" s="2"/>
      <c r="C95" s="2"/>
      <c r="D95" s="10">
        <v>10.3109</v>
      </c>
    </row>
    <row r="96" spans="1:4" s="1" customFormat="1" x14ac:dyDescent="0.2">
      <c r="A96" s="2" t="s">
        <v>1222</v>
      </c>
      <c r="B96" s="2"/>
      <c r="C96" s="2"/>
      <c r="D96" s="10">
        <v>10.373699999999999</v>
      </c>
    </row>
    <row r="97" spans="1:5" s="1" customFormat="1" x14ac:dyDescent="0.2">
      <c r="A97" s="2" t="s">
        <v>669</v>
      </c>
      <c r="B97" s="2"/>
      <c r="C97" s="2"/>
      <c r="D97" s="10">
        <v>10.610900000000001</v>
      </c>
    </row>
    <row r="98" spans="1:5" s="1" customFormat="1" x14ac:dyDescent="0.2">
      <c r="A98" s="2" t="s">
        <v>668</v>
      </c>
      <c r="B98" s="2"/>
      <c r="C98" s="2"/>
      <c r="D98" s="10">
        <v>10.610900000000001</v>
      </c>
    </row>
    <row r="99" spans="1:5" s="1" customFormat="1" x14ac:dyDescent="0.2">
      <c r="A99" s="2" t="s">
        <v>1223</v>
      </c>
      <c r="B99" s="2"/>
      <c r="C99" s="2"/>
      <c r="D99" s="10">
        <v>10.5489</v>
      </c>
    </row>
    <row r="100" spans="1:5" s="1" customFormat="1" x14ac:dyDescent="0.2">
      <c r="A100" s="2" t="s">
        <v>1224</v>
      </c>
      <c r="B100" s="2"/>
      <c r="C100" s="2"/>
      <c r="D100" s="10">
        <v>10.610900000000001</v>
      </c>
    </row>
    <row r="101" spans="1:5" x14ac:dyDescent="0.2">
      <c r="A101" s="2"/>
      <c r="B101" s="2"/>
      <c r="C101" s="2"/>
      <c r="D101" s="2"/>
    </row>
    <row r="102" spans="1:5" s="1" customFormat="1" x14ac:dyDescent="0.2">
      <c r="A102" s="4" t="s">
        <v>109</v>
      </c>
      <c r="B102" s="2"/>
      <c r="C102" s="2"/>
      <c r="D102" s="50" t="s">
        <v>110</v>
      </c>
    </row>
    <row r="103" spans="1:5" x14ac:dyDescent="0.2">
      <c r="A103" s="4"/>
      <c r="B103" s="2"/>
      <c r="C103" s="2"/>
      <c r="D103" s="30"/>
    </row>
    <row r="104" spans="1:5" x14ac:dyDescent="0.2">
      <c r="A104" s="4" t="s">
        <v>770</v>
      </c>
      <c r="B104" s="2"/>
      <c r="C104" s="2"/>
      <c r="D104" s="29">
        <v>6.825235325585771</v>
      </c>
      <c r="E104" s="1" t="s">
        <v>771</v>
      </c>
    </row>
    <row r="105" spans="1:5" x14ac:dyDescent="0.2">
      <c r="A105" s="2"/>
      <c r="B105" s="2"/>
      <c r="C105" s="2"/>
      <c r="D105" s="2"/>
    </row>
    <row r="106" spans="1:5" x14ac:dyDescent="0.2">
      <c r="A106" s="4" t="s">
        <v>1423</v>
      </c>
      <c r="B106" s="2"/>
      <c r="C106" s="2"/>
      <c r="D106" s="37">
        <v>2.6188652872365981</v>
      </c>
    </row>
    <row r="107" spans="1:5" x14ac:dyDescent="0.2">
      <c r="A107" s="2"/>
      <c r="B107" s="2"/>
      <c r="C107" s="2"/>
      <c r="D107" s="2"/>
    </row>
    <row r="108" spans="1:5" x14ac:dyDescent="0.2">
      <c r="A108" s="4" t="s">
        <v>1424</v>
      </c>
      <c r="B108" s="2"/>
      <c r="C108" s="2"/>
      <c r="D108" s="53" t="s">
        <v>110</v>
      </c>
    </row>
    <row r="109" spans="1:5" x14ac:dyDescent="0.2">
      <c r="A109" s="2"/>
      <c r="B109" s="2"/>
      <c r="C109" s="2"/>
      <c r="D109" s="2"/>
    </row>
    <row r="110" spans="1:5" x14ac:dyDescent="0.2">
      <c r="A110" s="2"/>
      <c r="B110" s="2"/>
      <c r="C110" s="2"/>
      <c r="D110" s="2"/>
    </row>
    <row r="111" spans="1:5" x14ac:dyDescent="0.2">
      <c r="A111" s="2"/>
      <c r="B111" s="2"/>
      <c r="C111" s="2"/>
      <c r="D111" s="2"/>
    </row>
    <row r="112" spans="1:5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x14ac:dyDescent="0.2">
      <c r="A114" s="2"/>
      <c r="B114" s="2"/>
      <c r="C114" s="2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</sheetData>
  <mergeCells count="1">
    <mergeCell ref="A1:G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EAF5-883A-4749-BFDE-5CB7344A06D0}">
  <sheetPr codeName="Sheet62"/>
  <dimension ref="A1:G99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51.85546875" style="2" bestFit="1" customWidth="1"/>
    <col min="3" max="3" width="18" style="2" bestFit="1" customWidth="1"/>
    <col min="4" max="4" width="10" style="2" bestFit="1" customWidth="1"/>
    <col min="5" max="5" width="23" style="1" bestFit="1" customWidth="1"/>
    <col min="6" max="6" width="15.5703125" style="1" bestFit="1" customWidth="1"/>
    <col min="7" max="7" width="10.42578125" style="2" bestFit="1" customWidth="1"/>
    <col min="8" max="16384" width="8.7109375" style="2"/>
  </cols>
  <sheetData>
    <row r="1" spans="1:6" ht="15" customHeight="1" x14ac:dyDescent="0.2">
      <c r="A1" s="87" t="s">
        <v>1425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1426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7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45" t="s">
        <v>9</v>
      </c>
      <c r="B7" s="45" t="s">
        <v>10</v>
      </c>
      <c r="C7" s="45" t="s">
        <v>11</v>
      </c>
      <c r="D7" s="14">
        <v>158000</v>
      </c>
      <c r="E7" s="7">
        <v>2014.421</v>
      </c>
      <c r="F7" s="7">
        <v>4.4227306316217803</v>
      </c>
    </row>
    <row r="8" spans="1:6" x14ac:dyDescent="0.2">
      <c r="A8" s="45" t="s">
        <v>121</v>
      </c>
      <c r="B8" s="45" t="s">
        <v>122</v>
      </c>
      <c r="C8" s="45" t="s">
        <v>11</v>
      </c>
      <c r="D8" s="14">
        <v>206475</v>
      </c>
      <c r="E8" s="7">
        <v>1525.9534874999999</v>
      </c>
      <c r="F8" s="7">
        <v>3.3502833973614901</v>
      </c>
    </row>
    <row r="9" spans="1:6" x14ac:dyDescent="0.2">
      <c r="A9" s="45" t="s">
        <v>114</v>
      </c>
      <c r="B9" s="45" t="s">
        <v>115</v>
      </c>
      <c r="C9" s="45" t="s">
        <v>11</v>
      </c>
      <c r="D9" s="14">
        <v>206474</v>
      </c>
      <c r="E9" s="7">
        <v>1058.385724</v>
      </c>
      <c r="F9" s="7">
        <v>2.3237222812937302</v>
      </c>
    </row>
    <row r="10" spans="1:6" x14ac:dyDescent="0.2">
      <c r="A10" s="45" t="s">
        <v>119</v>
      </c>
      <c r="B10" s="45" t="s">
        <v>120</v>
      </c>
      <c r="C10" s="45" t="s">
        <v>43</v>
      </c>
      <c r="D10" s="14">
        <v>205373</v>
      </c>
      <c r="E10" s="7">
        <v>908.67283850000001</v>
      </c>
      <c r="F10" s="7">
        <v>1.99502248882268</v>
      </c>
    </row>
    <row r="11" spans="1:6" x14ac:dyDescent="0.2">
      <c r="A11" s="45" t="s">
        <v>21</v>
      </c>
      <c r="B11" s="45" t="s">
        <v>22</v>
      </c>
      <c r="C11" s="45" t="s">
        <v>11</v>
      </c>
      <c r="D11" s="14">
        <v>53853</v>
      </c>
      <c r="E11" s="7">
        <v>869.83365600000002</v>
      </c>
      <c r="F11" s="7">
        <v>1.90974972699687</v>
      </c>
    </row>
    <row r="12" spans="1:6" x14ac:dyDescent="0.2">
      <c r="A12" s="45" t="s">
        <v>194</v>
      </c>
      <c r="B12" s="45" t="s">
        <v>195</v>
      </c>
      <c r="C12" s="45" t="s">
        <v>80</v>
      </c>
      <c r="D12" s="14">
        <v>109904</v>
      </c>
      <c r="E12" s="7">
        <v>765.31650400000001</v>
      </c>
      <c r="F12" s="7">
        <v>1.68027872283227</v>
      </c>
    </row>
    <row r="13" spans="1:6" x14ac:dyDescent="0.2">
      <c r="A13" s="45" t="s">
        <v>185</v>
      </c>
      <c r="B13" s="45" t="s">
        <v>186</v>
      </c>
      <c r="C13" s="45" t="s">
        <v>187</v>
      </c>
      <c r="D13" s="14">
        <v>25367</v>
      </c>
      <c r="E13" s="7">
        <v>739.15632949999997</v>
      </c>
      <c r="F13" s="7">
        <v>1.62284315941741</v>
      </c>
    </row>
    <row r="14" spans="1:6" x14ac:dyDescent="0.2">
      <c r="A14" s="45" t="s">
        <v>192</v>
      </c>
      <c r="B14" s="45" t="s">
        <v>193</v>
      </c>
      <c r="C14" s="45" t="s">
        <v>59</v>
      </c>
      <c r="D14" s="14">
        <v>79950</v>
      </c>
      <c r="E14" s="7">
        <v>629.24647500000003</v>
      </c>
      <c r="F14" s="7">
        <v>1.3815322913246699</v>
      </c>
    </row>
    <row r="15" spans="1:6" x14ac:dyDescent="0.2">
      <c r="A15" s="45" t="s">
        <v>134</v>
      </c>
      <c r="B15" s="45" t="s">
        <v>135</v>
      </c>
      <c r="C15" s="45" t="s">
        <v>136</v>
      </c>
      <c r="D15" s="14">
        <v>190244</v>
      </c>
      <c r="E15" s="7">
        <v>516.51246000000003</v>
      </c>
      <c r="F15" s="7">
        <v>1.1340208816609401</v>
      </c>
    </row>
    <row r="16" spans="1:6" x14ac:dyDescent="0.2">
      <c r="A16" s="45" t="s">
        <v>26</v>
      </c>
      <c r="B16" s="45" t="s">
        <v>27</v>
      </c>
      <c r="C16" s="45" t="s">
        <v>28</v>
      </c>
      <c r="D16" s="14">
        <v>254936</v>
      </c>
      <c r="E16" s="7">
        <v>510.25440400000002</v>
      </c>
      <c r="F16" s="7">
        <v>1.1202811043425001</v>
      </c>
    </row>
    <row r="17" spans="1:6" x14ac:dyDescent="0.2">
      <c r="A17" s="45" t="s">
        <v>242</v>
      </c>
      <c r="B17" s="45" t="s">
        <v>243</v>
      </c>
      <c r="C17" s="45" t="s">
        <v>118</v>
      </c>
      <c r="D17" s="14">
        <v>156244</v>
      </c>
      <c r="E17" s="7">
        <v>441.54554400000001</v>
      </c>
      <c r="F17" s="7">
        <v>0.96942843760311503</v>
      </c>
    </row>
    <row r="18" spans="1:6" x14ac:dyDescent="0.2">
      <c r="A18" s="45" t="s">
        <v>286</v>
      </c>
      <c r="B18" s="45" t="s">
        <v>287</v>
      </c>
      <c r="C18" s="45" t="s">
        <v>95</v>
      </c>
      <c r="D18" s="14">
        <v>60000</v>
      </c>
      <c r="E18" s="7">
        <v>420.36</v>
      </c>
      <c r="F18" s="7">
        <v>0.92291484665247903</v>
      </c>
    </row>
    <row r="19" spans="1:6" x14ac:dyDescent="0.2">
      <c r="A19" s="45" t="s">
        <v>234</v>
      </c>
      <c r="B19" s="45" t="s">
        <v>235</v>
      </c>
      <c r="C19" s="45" t="s">
        <v>34</v>
      </c>
      <c r="D19" s="14">
        <v>26468</v>
      </c>
      <c r="E19" s="7">
        <v>390.19125600000001</v>
      </c>
      <c r="F19" s="7">
        <v>0.85667833094580403</v>
      </c>
    </row>
    <row r="20" spans="1:6" x14ac:dyDescent="0.2">
      <c r="A20" s="45" t="s">
        <v>244</v>
      </c>
      <c r="B20" s="45" t="s">
        <v>245</v>
      </c>
      <c r="C20" s="45" t="s">
        <v>246</v>
      </c>
      <c r="D20" s="14">
        <v>40000</v>
      </c>
      <c r="E20" s="7">
        <v>370.5</v>
      </c>
      <c r="F20" s="7">
        <v>0.81344550072495803</v>
      </c>
    </row>
    <row r="21" spans="1:6" x14ac:dyDescent="0.2">
      <c r="A21" s="45" t="s">
        <v>223</v>
      </c>
      <c r="B21" s="45" t="s">
        <v>224</v>
      </c>
      <c r="C21" s="45" t="s">
        <v>136</v>
      </c>
      <c r="D21" s="14">
        <v>168573</v>
      </c>
      <c r="E21" s="7">
        <v>362.85338250000001</v>
      </c>
      <c r="F21" s="7">
        <v>0.79665708884603803</v>
      </c>
    </row>
    <row r="22" spans="1:6" x14ac:dyDescent="0.2">
      <c r="A22" s="45" t="s">
        <v>207</v>
      </c>
      <c r="B22" s="45" t="s">
        <v>208</v>
      </c>
      <c r="C22" s="45" t="s">
        <v>37</v>
      </c>
      <c r="D22" s="14">
        <v>66526</v>
      </c>
      <c r="E22" s="7">
        <v>352.95369299999999</v>
      </c>
      <c r="F22" s="7">
        <v>0.77492197985184397</v>
      </c>
    </row>
    <row r="23" spans="1:6" x14ac:dyDescent="0.2">
      <c r="A23" s="45" t="s">
        <v>267</v>
      </c>
      <c r="B23" s="45" t="s">
        <v>268</v>
      </c>
      <c r="C23" s="45" t="s">
        <v>269</v>
      </c>
      <c r="D23" s="14">
        <v>74355</v>
      </c>
      <c r="E23" s="7">
        <v>317.86762499999998</v>
      </c>
      <c r="F23" s="7">
        <v>0.69788931007389499</v>
      </c>
    </row>
    <row r="24" spans="1:6" x14ac:dyDescent="0.2">
      <c r="A24" s="45" t="s">
        <v>112</v>
      </c>
      <c r="B24" s="45" t="s">
        <v>113</v>
      </c>
      <c r="C24" s="45" t="s">
        <v>11</v>
      </c>
      <c r="D24" s="14">
        <v>88509</v>
      </c>
      <c r="E24" s="7">
        <v>302.5680165</v>
      </c>
      <c r="F24" s="7">
        <v>0.66429849307746203</v>
      </c>
    </row>
    <row r="25" spans="1:6" x14ac:dyDescent="0.2">
      <c r="A25" s="45" t="s">
        <v>221</v>
      </c>
      <c r="B25" s="45" t="s">
        <v>222</v>
      </c>
      <c r="C25" s="45" t="s">
        <v>34</v>
      </c>
      <c r="D25" s="14">
        <v>57182</v>
      </c>
      <c r="E25" s="7">
        <v>300.17690900000002</v>
      </c>
      <c r="F25" s="7">
        <v>0.65904873427145805</v>
      </c>
    </row>
    <row r="26" spans="1:6" x14ac:dyDescent="0.2">
      <c r="A26" s="45" t="s">
        <v>123</v>
      </c>
      <c r="B26" s="45" t="s">
        <v>124</v>
      </c>
      <c r="C26" s="45" t="s">
        <v>125</v>
      </c>
      <c r="D26" s="14">
        <v>221251</v>
      </c>
      <c r="E26" s="7">
        <v>257.42553850000002</v>
      </c>
      <c r="F26" s="7">
        <v>0.56518662905404704</v>
      </c>
    </row>
    <row r="27" spans="1:6" x14ac:dyDescent="0.2">
      <c r="A27" s="45" t="s">
        <v>214</v>
      </c>
      <c r="B27" s="45" t="s">
        <v>215</v>
      </c>
      <c r="C27" s="45" t="s">
        <v>125</v>
      </c>
      <c r="D27" s="14">
        <v>130625</v>
      </c>
      <c r="E27" s="7">
        <v>252.49812499999999</v>
      </c>
      <c r="F27" s="7">
        <v>0.55436832313829398</v>
      </c>
    </row>
    <row r="28" spans="1:6" x14ac:dyDescent="0.2">
      <c r="A28" s="45" t="s">
        <v>128</v>
      </c>
      <c r="B28" s="45" t="s">
        <v>129</v>
      </c>
      <c r="C28" s="45" t="s">
        <v>118</v>
      </c>
      <c r="D28" s="14">
        <v>43000</v>
      </c>
      <c r="E28" s="7">
        <v>219.9665</v>
      </c>
      <c r="F28" s="7">
        <v>0.48294402087777699</v>
      </c>
    </row>
    <row r="29" spans="1:6" x14ac:dyDescent="0.2">
      <c r="A29" s="45" t="s">
        <v>316</v>
      </c>
      <c r="B29" s="45" t="s">
        <v>317</v>
      </c>
      <c r="C29" s="45" t="s">
        <v>11</v>
      </c>
      <c r="D29" s="14">
        <v>301582</v>
      </c>
      <c r="E29" s="7">
        <v>190.44903299999999</v>
      </c>
      <c r="F29" s="7">
        <v>0.41813740623824303</v>
      </c>
    </row>
    <row r="30" spans="1:6" x14ac:dyDescent="0.2">
      <c r="A30" s="45" t="s">
        <v>209</v>
      </c>
      <c r="B30" s="45" t="s">
        <v>210</v>
      </c>
      <c r="C30" s="45" t="s">
        <v>34</v>
      </c>
      <c r="D30" s="14">
        <v>15000</v>
      </c>
      <c r="E30" s="7">
        <v>188.64</v>
      </c>
      <c r="F30" s="7">
        <v>0.41416561202903102</v>
      </c>
    </row>
    <row r="31" spans="1:6" x14ac:dyDescent="0.2">
      <c r="A31" s="45" t="s">
        <v>202</v>
      </c>
      <c r="B31" s="45" t="s">
        <v>203</v>
      </c>
      <c r="C31" s="45" t="s">
        <v>187</v>
      </c>
      <c r="D31" s="14">
        <v>72000</v>
      </c>
      <c r="E31" s="7">
        <v>182.988</v>
      </c>
      <c r="F31" s="7">
        <v>0.40175645151594802</v>
      </c>
    </row>
    <row r="32" spans="1:6" x14ac:dyDescent="0.2">
      <c r="A32" s="45" t="s">
        <v>38</v>
      </c>
      <c r="B32" s="45" t="s">
        <v>39</v>
      </c>
      <c r="C32" s="45" t="s">
        <v>40</v>
      </c>
      <c r="D32" s="14">
        <v>32100</v>
      </c>
      <c r="E32" s="7">
        <v>174.06225000000001</v>
      </c>
      <c r="F32" s="7">
        <v>0.382159660212045</v>
      </c>
    </row>
    <row r="33" spans="1:7" x14ac:dyDescent="0.2">
      <c r="A33" s="45" t="s">
        <v>346</v>
      </c>
      <c r="B33" s="45" t="s">
        <v>347</v>
      </c>
      <c r="C33" s="45" t="s">
        <v>37</v>
      </c>
      <c r="D33" s="14">
        <v>4923</v>
      </c>
      <c r="E33" s="7">
        <v>156.35448</v>
      </c>
      <c r="F33" s="7">
        <v>0.34328164176569598</v>
      </c>
    </row>
    <row r="34" spans="1:7" x14ac:dyDescent="0.2">
      <c r="A34" s="45" t="s">
        <v>260</v>
      </c>
      <c r="B34" s="45" t="s">
        <v>261</v>
      </c>
      <c r="C34" s="45" t="s">
        <v>14</v>
      </c>
      <c r="D34" s="14">
        <v>65910</v>
      </c>
      <c r="E34" s="7">
        <v>148.46227500000001</v>
      </c>
      <c r="F34" s="7">
        <v>0.32595403407865398</v>
      </c>
    </row>
    <row r="35" spans="1:7" x14ac:dyDescent="0.2">
      <c r="A35" s="45" t="s">
        <v>494</v>
      </c>
      <c r="B35" s="45" t="s">
        <v>495</v>
      </c>
      <c r="C35" s="45" t="s">
        <v>187</v>
      </c>
      <c r="D35" s="14">
        <v>7072</v>
      </c>
      <c r="E35" s="7">
        <v>134.268992</v>
      </c>
      <c r="F35" s="7">
        <v>0.29479219279156599</v>
      </c>
    </row>
    <row r="36" spans="1:7" x14ac:dyDescent="0.2">
      <c r="A36" s="45" t="s">
        <v>35</v>
      </c>
      <c r="B36" s="45" t="s">
        <v>36</v>
      </c>
      <c r="C36" s="45" t="s">
        <v>37</v>
      </c>
      <c r="D36" s="14">
        <v>74940</v>
      </c>
      <c r="E36" s="7">
        <v>121.02809999999999</v>
      </c>
      <c r="F36" s="7">
        <v>0.26572135872143099</v>
      </c>
    </row>
    <row r="37" spans="1:7" x14ac:dyDescent="0.2">
      <c r="A37" s="45" t="s">
        <v>294</v>
      </c>
      <c r="B37" s="45" t="s">
        <v>295</v>
      </c>
      <c r="C37" s="45" t="s">
        <v>37</v>
      </c>
      <c r="D37" s="14">
        <v>23121</v>
      </c>
      <c r="E37" s="7">
        <v>110.3449725</v>
      </c>
      <c r="F37" s="7">
        <v>0.24226618463628699</v>
      </c>
    </row>
    <row r="38" spans="1:7" x14ac:dyDescent="0.2">
      <c r="A38" s="45" t="s">
        <v>274</v>
      </c>
      <c r="B38" s="45" t="s">
        <v>275</v>
      </c>
      <c r="C38" s="45" t="s">
        <v>72</v>
      </c>
      <c r="D38" s="14">
        <v>153047</v>
      </c>
      <c r="E38" s="7">
        <v>84.481943999999999</v>
      </c>
      <c r="F38" s="7">
        <v>0.185483015490682</v>
      </c>
    </row>
    <row r="39" spans="1:7" x14ac:dyDescent="0.2">
      <c r="A39" s="45" t="s">
        <v>330</v>
      </c>
      <c r="B39" s="45" t="s">
        <v>331</v>
      </c>
      <c r="C39" s="45" t="s">
        <v>332</v>
      </c>
      <c r="D39" s="14">
        <v>984</v>
      </c>
      <c r="E39" s="7">
        <v>2.01966</v>
      </c>
      <c r="F39" s="81" t="s">
        <v>624</v>
      </c>
      <c r="G39" s="29"/>
    </row>
    <row r="40" spans="1:7" x14ac:dyDescent="0.2">
      <c r="A40" s="26" t="s">
        <v>44</v>
      </c>
      <c r="B40" s="45"/>
      <c r="C40" s="45"/>
      <c r="D40" s="14"/>
      <c r="E40" s="6">
        <f>SUM(E7:E39)</f>
        <v>15019.759174499997</v>
      </c>
      <c r="F40" s="6">
        <f>SUM(F7:F39)</f>
        <v>32.971963938271095</v>
      </c>
    </row>
    <row r="41" spans="1:7" x14ac:dyDescent="0.2">
      <c r="A41" s="45"/>
      <c r="B41" s="45"/>
      <c r="C41" s="45"/>
      <c r="D41" s="14"/>
      <c r="E41" s="7"/>
      <c r="F41" s="7"/>
    </row>
    <row r="42" spans="1:7" x14ac:dyDescent="0.2">
      <c r="A42" s="26" t="s">
        <v>680</v>
      </c>
      <c r="B42" s="45"/>
      <c r="C42" s="45"/>
      <c r="D42" s="14"/>
      <c r="E42" s="7"/>
      <c r="F42" s="7"/>
    </row>
    <row r="43" spans="1:7" x14ac:dyDescent="0.2">
      <c r="A43" s="26" t="s">
        <v>8</v>
      </c>
      <c r="B43" s="45"/>
      <c r="C43" s="45"/>
      <c r="D43" s="14"/>
      <c r="E43" s="7"/>
      <c r="F43" s="7"/>
    </row>
    <row r="44" spans="1:7" x14ac:dyDescent="0.2">
      <c r="A44" s="26"/>
      <c r="B44" s="45"/>
      <c r="C44" s="45"/>
      <c r="D44" s="14"/>
      <c r="E44" s="7"/>
      <c r="F44" s="7"/>
    </row>
    <row r="45" spans="1:7" x14ac:dyDescent="0.2">
      <c r="A45" s="45" t="s">
        <v>719</v>
      </c>
      <c r="B45" s="45" t="s">
        <v>1459</v>
      </c>
      <c r="C45" s="45" t="s">
        <v>686</v>
      </c>
      <c r="D45" s="14">
        <v>400</v>
      </c>
      <c r="E45" s="7">
        <v>4051.2840000000001</v>
      </c>
      <c r="F45" s="7">
        <v>8.8947334465830306</v>
      </c>
    </row>
    <row r="46" spans="1:7" x14ac:dyDescent="0.2">
      <c r="A46" s="45" t="s">
        <v>1427</v>
      </c>
      <c r="B46" s="45" t="s">
        <v>1970</v>
      </c>
      <c r="C46" s="45" t="s">
        <v>688</v>
      </c>
      <c r="D46" s="14">
        <v>250</v>
      </c>
      <c r="E46" s="7">
        <v>2534.38</v>
      </c>
      <c r="F46" s="7">
        <v>5.5643185104650996</v>
      </c>
    </row>
    <row r="47" spans="1:7" x14ac:dyDescent="0.2">
      <c r="A47" s="45" t="s">
        <v>1269</v>
      </c>
      <c r="B47" s="45" t="s">
        <v>1864</v>
      </c>
      <c r="C47" s="45" t="s">
        <v>686</v>
      </c>
      <c r="D47" s="14">
        <v>150</v>
      </c>
      <c r="E47" s="7">
        <v>1583.4825000000001</v>
      </c>
      <c r="F47" s="7">
        <v>3.47659032416116</v>
      </c>
    </row>
    <row r="48" spans="1:7" x14ac:dyDescent="0.2">
      <c r="A48" s="45" t="s">
        <v>940</v>
      </c>
      <c r="B48" s="45" t="s">
        <v>1622</v>
      </c>
      <c r="C48" s="45" t="s">
        <v>686</v>
      </c>
      <c r="D48" s="14">
        <v>150</v>
      </c>
      <c r="E48" s="7">
        <v>1582.011</v>
      </c>
      <c r="F48" s="7">
        <v>3.4733595952696099</v>
      </c>
    </row>
    <row r="49" spans="1:6" x14ac:dyDescent="0.2">
      <c r="A49" s="45" t="s">
        <v>1233</v>
      </c>
      <c r="B49" s="45" t="s">
        <v>1838</v>
      </c>
      <c r="C49" s="45" t="s">
        <v>1234</v>
      </c>
      <c r="D49" s="14">
        <v>150</v>
      </c>
      <c r="E49" s="7">
        <v>1523.1855</v>
      </c>
      <c r="F49" s="7">
        <v>3.3442061855451999</v>
      </c>
    </row>
    <row r="50" spans="1:6" x14ac:dyDescent="0.2">
      <c r="A50" s="45" t="s">
        <v>954</v>
      </c>
      <c r="B50" s="45" t="s">
        <v>1636</v>
      </c>
      <c r="C50" s="45" t="s">
        <v>872</v>
      </c>
      <c r="D50" s="14">
        <v>150</v>
      </c>
      <c r="E50" s="7">
        <v>1516.4490000000001</v>
      </c>
      <c r="F50" s="7">
        <v>3.32941596795914</v>
      </c>
    </row>
    <row r="51" spans="1:6" x14ac:dyDescent="0.2">
      <c r="A51" s="45" t="s">
        <v>915</v>
      </c>
      <c r="B51" s="45" t="s">
        <v>1600</v>
      </c>
      <c r="C51" s="45" t="s">
        <v>686</v>
      </c>
      <c r="D51" s="14">
        <v>100</v>
      </c>
      <c r="E51" s="7">
        <v>1055.201</v>
      </c>
      <c r="F51" s="7">
        <v>2.31673011014973</v>
      </c>
    </row>
    <row r="52" spans="1:6" x14ac:dyDescent="0.2">
      <c r="A52" s="45" t="s">
        <v>993</v>
      </c>
      <c r="B52" s="45" t="s">
        <v>1663</v>
      </c>
      <c r="C52" s="45" t="s">
        <v>684</v>
      </c>
      <c r="D52" s="14">
        <v>100</v>
      </c>
      <c r="E52" s="7">
        <v>1026.0920000000001</v>
      </c>
      <c r="F52" s="7">
        <v>2.2528202988660602</v>
      </c>
    </row>
    <row r="53" spans="1:6" x14ac:dyDescent="0.2">
      <c r="A53" s="45" t="s">
        <v>731</v>
      </c>
      <c r="B53" s="45" t="s">
        <v>1468</v>
      </c>
      <c r="C53" s="45" t="s">
        <v>708</v>
      </c>
      <c r="D53" s="14">
        <v>100</v>
      </c>
      <c r="E53" s="7">
        <v>1024.075</v>
      </c>
      <c r="F53" s="7">
        <v>2.2483919059511801</v>
      </c>
    </row>
    <row r="54" spans="1:6" x14ac:dyDescent="0.2">
      <c r="A54" s="45" t="s">
        <v>918</v>
      </c>
      <c r="B54" s="45" t="s">
        <v>1602</v>
      </c>
      <c r="C54" s="45" t="s">
        <v>917</v>
      </c>
      <c r="D54" s="14">
        <v>100</v>
      </c>
      <c r="E54" s="7">
        <v>1004.242</v>
      </c>
      <c r="F54" s="7">
        <v>2.20484787190022</v>
      </c>
    </row>
    <row r="55" spans="1:6" x14ac:dyDescent="0.2">
      <c r="A55" s="45" t="s">
        <v>1428</v>
      </c>
      <c r="B55" s="45" t="s">
        <v>1971</v>
      </c>
      <c r="C55" s="45" t="s">
        <v>686</v>
      </c>
      <c r="D55" s="14">
        <v>100</v>
      </c>
      <c r="E55" s="7">
        <v>996.89</v>
      </c>
      <c r="F55" s="7">
        <v>2.1887063028817901</v>
      </c>
    </row>
    <row r="56" spans="1:6" x14ac:dyDescent="0.2">
      <c r="A56" s="45" t="s">
        <v>958</v>
      </c>
      <c r="B56" s="45" t="s">
        <v>1639</v>
      </c>
      <c r="C56" s="45" t="s">
        <v>917</v>
      </c>
      <c r="D56" s="14">
        <v>85</v>
      </c>
      <c r="E56" s="7">
        <v>895.97649999999999</v>
      </c>
      <c r="F56" s="7">
        <v>1.9671472407025501</v>
      </c>
    </row>
    <row r="57" spans="1:6" x14ac:dyDescent="0.2">
      <c r="A57" s="45" t="s">
        <v>949</v>
      </c>
      <c r="B57" s="45" t="s">
        <v>1631</v>
      </c>
      <c r="C57" s="45" t="s">
        <v>686</v>
      </c>
      <c r="D57" s="14">
        <v>60</v>
      </c>
      <c r="E57" s="7">
        <v>634.57439999999997</v>
      </c>
      <c r="F57" s="7">
        <v>1.39322993402224</v>
      </c>
    </row>
    <row r="58" spans="1:6" x14ac:dyDescent="0.2">
      <c r="A58" s="45" t="s">
        <v>780</v>
      </c>
      <c r="B58" s="45" t="s">
        <v>1494</v>
      </c>
      <c r="C58" s="45" t="s">
        <v>696</v>
      </c>
      <c r="D58" s="14">
        <v>50</v>
      </c>
      <c r="E58" s="7">
        <v>500.09449999999998</v>
      </c>
      <c r="F58" s="7">
        <v>1.0979746854582899</v>
      </c>
    </row>
    <row r="59" spans="1:6" x14ac:dyDescent="0.2">
      <c r="A59" s="45" t="s">
        <v>1416</v>
      </c>
      <c r="B59" s="45" t="s">
        <v>1969</v>
      </c>
      <c r="C59" s="45" t="s">
        <v>779</v>
      </c>
      <c r="D59" s="14">
        <v>50</v>
      </c>
      <c r="E59" s="7">
        <v>490.8075</v>
      </c>
      <c r="F59" s="7">
        <v>1.0775847573470001</v>
      </c>
    </row>
    <row r="60" spans="1:6" x14ac:dyDescent="0.2">
      <c r="A60" s="45" t="s">
        <v>1282</v>
      </c>
      <c r="B60" s="45" t="s">
        <v>1877</v>
      </c>
      <c r="C60" s="45" t="s">
        <v>686</v>
      </c>
      <c r="D60" s="14">
        <v>5</v>
      </c>
      <c r="E60" s="7">
        <v>53.098500000000001</v>
      </c>
      <c r="F60" s="7">
        <v>0.11657958413021401</v>
      </c>
    </row>
    <row r="61" spans="1:6" x14ac:dyDescent="0.2">
      <c r="A61" s="26" t="s">
        <v>44</v>
      </c>
      <c r="B61" s="45"/>
      <c r="C61" s="45"/>
      <c r="D61" s="14"/>
      <c r="E61" s="6">
        <f>SUM(E45:E60)</f>
        <v>20471.843400000002</v>
      </c>
      <c r="F61" s="6">
        <f>SUM(F45:F60)</f>
        <v>44.946636721392515</v>
      </c>
    </row>
    <row r="62" spans="1:6" x14ac:dyDescent="0.2">
      <c r="A62" s="45"/>
      <c r="B62" s="45"/>
      <c r="C62" s="45"/>
      <c r="D62" s="14"/>
      <c r="E62" s="7"/>
      <c r="F62" s="7"/>
    </row>
    <row r="63" spans="1:6" x14ac:dyDescent="0.2">
      <c r="A63" s="26" t="s">
        <v>732</v>
      </c>
      <c r="B63" s="45"/>
      <c r="C63" s="45"/>
      <c r="D63" s="14"/>
      <c r="E63" s="7"/>
      <c r="F63" s="7"/>
    </row>
    <row r="64" spans="1:6" x14ac:dyDescent="0.2">
      <c r="A64" s="45" t="s">
        <v>885</v>
      </c>
      <c r="B64" s="45" t="s">
        <v>1591</v>
      </c>
      <c r="C64" s="45" t="s">
        <v>728</v>
      </c>
      <c r="D64" s="14">
        <v>14</v>
      </c>
      <c r="E64" s="7">
        <v>1750.5236</v>
      </c>
      <c r="F64" s="7">
        <v>3.84333480791594</v>
      </c>
    </row>
    <row r="65" spans="1:6" x14ac:dyDescent="0.2">
      <c r="A65" s="26" t="s">
        <v>44</v>
      </c>
      <c r="B65" s="45"/>
      <c r="C65" s="45"/>
      <c r="D65" s="14"/>
      <c r="E65" s="6">
        <f>SUM(E64:E64)</f>
        <v>1750.5236</v>
      </c>
      <c r="F65" s="6">
        <f>SUM(F64:F64)</f>
        <v>3.84333480791594</v>
      </c>
    </row>
    <row r="66" spans="1:6" x14ac:dyDescent="0.2">
      <c r="A66" s="45"/>
      <c r="B66" s="45"/>
      <c r="C66" s="45"/>
      <c r="D66" s="14"/>
      <c r="E66" s="7"/>
      <c r="F66" s="7"/>
    </row>
    <row r="67" spans="1:6" x14ac:dyDescent="0.2">
      <c r="A67" s="26" t="s">
        <v>963</v>
      </c>
      <c r="B67" s="45"/>
      <c r="C67" s="45"/>
      <c r="D67" s="14"/>
      <c r="E67" s="7"/>
      <c r="F67" s="7"/>
    </row>
    <row r="68" spans="1:6" x14ac:dyDescent="0.2">
      <c r="A68" s="45" t="s">
        <v>966</v>
      </c>
      <c r="B68" s="45" t="s">
        <v>1419</v>
      </c>
      <c r="C68" s="45" t="s">
        <v>965</v>
      </c>
      <c r="D68" s="14">
        <v>2750000</v>
      </c>
      <c r="E68" s="7">
        <v>2864.6282500000002</v>
      </c>
      <c r="F68" s="7">
        <v>6.2893899088046199</v>
      </c>
    </row>
    <row r="69" spans="1:6" x14ac:dyDescent="0.2">
      <c r="A69" s="45" t="s">
        <v>967</v>
      </c>
      <c r="B69" s="45" t="s">
        <v>1420</v>
      </c>
      <c r="C69" s="45" t="s">
        <v>965</v>
      </c>
      <c r="D69" s="14">
        <v>2700000</v>
      </c>
      <c r="E69" s="7">
        <v>2696.6979000000001</v>
      </c>
      <c r="F69" s="7">
        <v>5.9206930460713698</v>
      </c>
    </row>
    <row r="70" spans="1:6" x14ac:dyDescent="0.2">
      <c r="A70" s="45" t="s">
        <v>1226</v>
      </c>
      <c r="B70" s="45" t="s">
        <v>1417</v>
      </c>
      <c r="C70" s="45" t="s">
        <v>965</v>
      </c>
      <c r="D70" s="14">
        <v>700000</v>
      </c>
      <c r="E70" s="7">
        <v>729.27049999999997</v>
      </c>
      <c r="F70" s="7">
        <v>1.6011384805302</v>
      </c>
    </row>
    <row r="71" spans="1:6" x14ac:dyDescent="0.2">
      <c r="A71" s="45" t="s">
        <v>964</v>
      </c>
      <c r="B71" s="45" t="s">
        <v>1418</v>
      </c>
      <c r="C71" s="45" t="s">
        <v>965</v>
      </c>
      <c r="D71" s="14">
        <v>600000</v>
      </c>
      <c r="E71" s="7">
        <v>628.98479999999995</v>
      </c>
      <c r="F71" s="7">
        <v>1.3809577748566499</v>
      </c>
    </row>
    <row r="72" spans="1:6" x14ac:dyDescent="0.2">
      <c r="A72" s="26" t="s">
        <v>44</v>
      </c>
      <c r="B72" s="45"/>
      <c r="C72" s="45"/>
      <c r="D72" s="45"/>
      <c r="E72" s="6">
        <f>SUM(E68:E71)</f>
        <v>6919.5814500000006</v>
      </c>
      <c r="F72" s="6">
        <f>SUM(F68:F71)</f>
        <v>15.192179210262839</v>
      </c>
    </row>
    <row r="73" spans="1:6" x14ac:dyDescent="0.2">
      <c r="A73" s="45"/>
      <c r="B73" s="45"/>
      <c r="C73" s="45"/>
      <c r="D73" s="45"/>
      <c r="E73" s="7"/>
      <c r="F73" s="7"/>
    </row>
    <row r="74" spans="1:6" x14ac:dyDescent="0.2">
      <c r="A74" s="26" t="s">
        <v>44</v>
      </c>
      <c r="B74" s="45"/>
      <c r="C74" s="45"/>
      <c r="D74" s="45"/>
      <c r="E74" s="6">
        <v>44161.707624499999</v>
      </c>
      <c r="F74" s="6">
        <v>96.958548910878775</v>
      </c>
    </row>
    <row r="75" spans="1:6" x14ac:dyDescent="0.2">
      <c r="A75" s="45"/>
      <c r="B75" s="45"/>
      <c r="C75" s="45"/>
      <c r="D75" s="45"/>
      <c r="E75" s="7"/>
      <c r="F75" s="7"/>
    </row>
    <row r="76" spans="1:6" x14ac:dyDescent="0.2">
      <c r="A76" s="26" t="s">
        <v>103</v>
      </c>
      <c r="B76" s="45"/>
      <c r="C76" s="45"/>
      <c r="D76" s="45"/>
      <c r="E76" s="6">
        <v>1385.2872689999999</v>
      </c>
      <c r="F76" s="6">
        <v>3.04</v>
      </c>
    </row>
    <row r="77" spans="1:6" x14ac:dyDescent="0.2">
      <c r="A77" s="45"/>
      <c r="B77" s="45"/>
      <c r="C77" s="45"/>
      <c r="D77" s="45"/>
      <c r="E77" s="7"/>
      <c r="F77" s="7"/>
    </row>
    <row r="78" spans="1:6" x14ac:dyDescent="0.2">
      <c r="A78" s="46" t="s">
        <v>104</v>
      </c>
      <c r="B78" s="44"/>
      <c r="C78" s="44"/>
      <c r="D78" s="44"/>
      <c r="E78" s="8">
        <v>45546.997269</v>
      </c>
      <c r="F78" s="8">
        <f xml:space="preserve"> ROUND(SUM(F74:F77),2)</f>
        <v>100</v>
      </c>
    </row>
    <row r="79" spans="1:6" x14ac:dyDescent="0.2">
      <c r="A79" s="4" t="s">
        <v>1983</v>
      </c>
      <c r="F79" s="9" t="s">
        <v>1059</v>
      </c>
    </row>
    <row r="80" spans="1:6" x14ac:dyDescent="0.2">
      <c r="A80" s="4"/>
      <c r="F80" s="9"/>
    </row>
    <row r="81" spans="1:4" x14ac:dyDescent="0.2">
      <c r="A81" s="4" t="s">
        <v>105</v>
      </c>
    </row>
    <row r="82" spans="1:4" x14ac:dyDescent="0.2">
      <c r="A82" s="4" t="s">
        <v>769</v>
      </c>
    </row>
    <row r="83" spans="1:4" x14ac:dyDescent="0.2">
      <c r="A83" s="4" t="s">
        <v>107</v>
      </c>
    </row>
    <row r="84" spans="1:4" x14ac:dyDescent="0.2">
      <c r="A84" s="2" t="s">
        <v>666</v>
      </c>
      <c r="D84" s="10">
        <v>128.94110000000001</v>
      </c>
    </row>
    <row r="85" spans="1:4" x14ac:dyDescent="0.2">
      <c r="A85" s="2" t="s">
        <v>667</v>
      </c>
      <c r="D85" s="10">
        <v>17.347799999999999</v>
      </c>
    </row>
    <row r="86" spans="1:4" x14ac:dyDescent="0.2">
      <c r="A86" s="2" t="s">
        <v>668</v>
      </c>
      <c r="D86" s="10">
        <v>134.81970000000001</v>
      </c>
    </row>
    <row r="87" spans="1:4" x14ac:dyDescent="0.2">
      <c r="A87" s="2" t="s">
        <v>669</v>
      </c>
      <c r="D87" s="10">
        <v>18.295999999999999</v>
      </c>
    </row>
    <row r="89" spans="1:4" x14ac:dyDescent="0.2">
      <c r="A89" s="4" t="s">
        <v>108</v>
      </c>
    </row>
    <row r="90" spans="1:4" x14ac:dyDescent="0.2">
      <c r="A90" s="2" t="s">
        <v>666</v>
      </c>
      <c r="D90" s="10">
        <v>133.6302</v>
      </c>
    </row>
    <row r="91" spans="1:4" x14ac:dyDescent="0.2">
      <c r="A91" s="2" t="s">
        <v>667</v>
      </c>
      <c r="D91" s="10">
        <v>17.9786</v>
      </c>
    </row>
    <row r="92" spans="1:4" x14ac:dyDescent="0.2">
      <c r="A92" s="2" t="s">
        <v>668</v>
      </c>
      <c r="D92" s="10">
        <v>140.24979999999999</v>
      </c>
    </row>
    <row r="93" spans="1:4" x14ac:dyDescent="0.2">
      <c r="A93" s="2" t="s">
        <v>669</v>
      </c>
      <c r="D93" s="10">
        <v>19.029299999999999</v>
      </c>
    </row>
    <row r="95" spans="1:4" x14ac:dyDescent="0.2">
      <c r="A95" s="4" t="s">
        <v>109</v>
      </c>
      <c r="D95" s="50" t="s">
        <v>110</v>
      </c>
    </row>
    <row r="96" spans="1:4" x14ac:dyDescent="0.2">
      <c r="A96" s="57"/>
      <c r="B96" s="57"/>
      <c r="C96" s="58"/>
      <c r="D96" s="58"/>
    </row>
    <row r="97" spans="1:5" x14ac:dyDescent="0.2">
      <c r="A97" s="4" t="s">
        <v>770</v>
      </c>
      <c r="D97" s="29">
        <v>5.0439018525556909</v>
      </c>
      <c r="E97" s="1" t="s">
        <v>771</v>
      </c>
    </row>
    <row r="99" spans="1:5" x14ac:dyDescent="0.2">
      <c r="A99" s="4" t="s">
        <v>1989</v>
      </c>
      <c r="D99" s="53" t="s">
        <v>110</v>
      </c>
    </row>
  </sheetData>
  <mergeCells count="1">
    <mergeCell ref="A1:F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425A-F5E0-46FB-86AC-41112B3D7F3D}">
  <sheetPr codeName="Sheet63"/>
  <dimension ref="A1:G98"/>
  <sheetViews>
    <sheetView showGridLines="0" workbookViewId="0">
      <selection sqref="A1:F1"/>
    </sheetView>
  </sheetViews>
  <sheetFormatPr defaultColWidth="8.7109375" defaultRowHeight="11.25" x14ac:dyDescent="0.2"/>
  <cols>
    <col min="1" max="1" width="59.85546875" style="2" bestFit="1" customWidth="1"/>
    <col min="2" max="2" width="41.28515625" style="2" bestFit="1" customWidth="1"/>
    <col min="3" max="3" width="18" style="2" bestFit="1" customWidth="1"/>
    <col min="4" max="4" width="10" style="2" bestFit="1" customWidth="1"/>
    <col min="5" max="5" width="23" style="1" bestFit="1" customWidth="1"/>
    <col min="6" max="6" width="15.5703125" style="1" bestFit="1" customWidth="1"/>
    <col min="7" max="7" width="10.42578125" style="2" bestFit="1" customWidth="1"/>
    <col min="8" max="16384" width="8.7109375" style="2"/>
  </cols>
  <sheetData>
    <row r="1" spans="1:6" ht="15" customHeight="1" x14ac:dyDescent="0.2">
      <c r="A1" s="87" t="s">
        <v>1429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1426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7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45" t="s">
        <v>9</v>
      </c>
      <c r="B7" s="45" t="s">
        <v>10</v>
      </c>
      <c r="C7" s="45" t="s">
        <v>11</v>
      </c>
      <c r="D7" s="14">
        <v>59486</v>
      </c>
      <c r="E7" s="7">
        <v>758.41675699999996</v>
      </c>
      <c r="F7" s="7">
        <v>2.4458752028542099</v>
      </c>
    </row>
    <row r="8" spans="1:6" x14ac:dyDescent="0.2">
      <c r="A8" s="45" t="s">
        <v>121</v>
      </c>
      <c r="B8" s="45" t="s">
        <v>122</v>
      </c>
      <c r="C8" s="45" t="s">
        <v>11</v>
      </c>
      <c r="D8" s="14">
        <v>95488</v>
      </c>
      <c r="E8" s="7">
        <v>705.70406400000002</v>
      </c>
      <c r="F8" s="7">
        <v>2.2758780772707001</v>
      </c>
    </row>
    <row r="9" spans="1:6" x14ac:dyDescent="0.2">
      <c r="A9" s="45" t="s">
        <v>21</v>
      </c>
      <c r="B9" s="45" t="s">
        <v>22</v>
      </c>
      <c r="C9" s="45" t="s">
        <v>11</v>
      </c>
      <c r="D9" s="14">
        <v>30909</v>
      </c>
      <c r="E9" s="7">
        <v>499.24216799999999</v>
      </c>
      <c r="F9" s="7">
        <v>1.61004359102047</v>
      </c>
    </row>
    <row r="10" spans="1:6" x14ac:dyDescent="0.2">
      <c r="A10" s="45" t="s">
        <v>194</v>
      </c>
      <c r="B10" s="45" t="s">
        <v>195</v>
      </c>
      <c r="C10" s="45" t="s">
        <v>80</v>
      </c>
      <c r="D10" s="14">
        <v>63338</v>
      </c>
      <c r="E10" s="7">
        <v>441.05416300000002</v>
      </c>
      <c r="F10" s="7">
        <v>1.4223887202393599</v>
      </c>
    </row>
    <row r="11" spans="1:6" x14ac:dyDescent="0.2">
      <c r="A11" s="45" t="s">
        <v>223</v>
      </c>
      <c r="B11" s="45" t="s">
        <v>224</v>
      </c>
      <c r="C11" s="45" t="s">
        <v>136</v>
      </c>
      <c r="D11" s="14">
        <v>170586</v>
      </c>
      <c r="E11" s="7">
        <v>367.18636500000002</v>
      </c>
      <c r="F11" s="7">
        <v>1.18416690650689</v>
      </c>
    </row>
    <row r="12" spans="1:6" x14ac:dyDescent="0.2">
      <c r="A12" s="45" t="s">
        <v>221</v>
      </c>
      <c r="B12" s="45" t="s">
        <v>222</v>
      </c>
      <c r="C12" s="45" t="s">
        <v>34</v>
      </c>
      <c r="D12" s="14">
        <v>67697</v>
      </c>
      <c r="E12" s="7">
        <v>355.37540150000001</v>
      </c>
      <c r="F12" s="7">
        <v>1.1460768425943499</v>
      </c>
    </row>
    <row r="13" spans="1:6" x14ac:dyDescent="0.2">
      <c r="A13" s="45" t="s">
        <v>119</v>
      </c>
      <c r="B13" s="45" t="s">
        <v>120</v>
      </c>
      <c r="C13" s="45" t="s">
        <v>43</v>
      </c>
      <c r="D13" s="14">
        <v>76153</v>
      </c>
      <c r="E13" s="7">
        <v>336.93894849999998</v>
      </c>
      <c r="F13" s="7">
        <v>1.08661973961623</v>
      </c>
    </row>
    <row r="14" spans="1:6" x14ac:dyDescent="0.2">
      <c r="A14" s="45" t="s">
        <v>114</v>
      </c>
      <c r="B14" s="45" t="s">
        <v>115</v>
      </c>
      <c r="C14" s="45" t="s">
        <v>11</v>
      </c>
      <c r="D14" s="14">
        <v>60374</v>
      </c>
      <c r="E14" s="7">
        <v>309.477124</v>
      </c>
      <c r="F14" s="7">
        <v>0.99805603773366802</v>
      </c>
    </row>
    <row r="15" spans="1:6" x14ac:dyDescent="0.2">
      <c r="A15" s="45" t="s">
        <v>185</v>
      </c>
      <c r="B15" s="45" t="s">
        <v>186</v>
      </c>
      <c r="C15" s="45" t="s">
        <v>187</v>
      </c>
      <c r="D15" s="14">
        <v>10300</v>
      </c>
      <c r="E15" s="7">
        <v>300.12655000000001</v>
      </c>
      <c r="F15" s="7">
        <v>0.96790066884451098</v>
      </c>
    </row>
    <row r="16" spans="1:6" x14ac:dyDescent="0.2">
      <c r="A16" s="45" t="s">
        <v>286</v>
      </c>
      <c r="B16" s="45" t="s">
        <v>287</v>
      </c>
      <c r="C16" s="45" t="s">
        <v>95</v>
      </c>
      <c r="D16" s="14">
        <v>40000</v>
      </c>
      <c r="E16" s="7">
        <v>280.24</v>
      </c>
      <c r="F16" s="7">
        <v>0.90376703906064204</v>
      </c>
    </row>
    <row r="17" spans="1:6" x14ac:dyDescent="0.2">
      <c r="A17" s="45" t="s">
        <v>192</v>
      </c>
      <c r="B17" s="45" t="s">
        <v>193</v>
      </c>
      <c r="C17" s="45" t="s">
        <v>59</v>
      </c>
      <c r="D17" s="14">
        <v>34754</v>
      </c>
      <c r="E17" s="7">
        <v>273.53135700000001</v>
      </c>
      <c r="F17" s="7">
        <v>0.88213183202301404</v>
      </c>
    </row>
    <row r="18" spans="1:6" x14ac:dyDescent="0.2">
      <c r="A18" s="45" t="s">
        <v>214</v>
      </c>
      <c r="B18" s="45" t="s">
        <v>215</v>
      </c>
      <c r="C18" s="45" t="s">
        <v>125</v>
      </c>
      <c r="D18" s="14">
        <v>138926</v>
      </c>
      <c r="E18" s="7">
        <v>268.54395799999998</v>
      </c>
      <c r="F18" s="7">
        <v>0.86604759413104904</v>
      </c>
    </row>
    <row r="19" spans="1:6" x14ac:dyDescent="0.2">
      <c r="A19" s="45" t="s">
        <v>207</v>
      </c>
      <c r="B19" s="45" t="s">
        <v>208</v>
      </c>
      <c r="C19" s="45" t="s">
        <v>37</v>
      </c>
      <c r="D19" s="14">
        <v>47341</v>
      </c>
      <c r="E19" s="7">
        <v>251.1676755</v>
      </c>
      <c r="F19" s="7">
        <v>0.81000951468162696</v>
      </c>
    </row>
    <row r="20" spans="1:6" x14ac:dyDescent="0.2">
      <c r="A20" s="45" t="s">
        <v>244</v>
      </c>
      <c r="B20" s="45" t="s">
        <v>245</v>
      </c>
      <c r="C20" s="45" t="s">
        <v>246</v>
      </c>
      <c r="D20" s="14">
        <v>26000</v>
      </c>
      <c r="E20" s="7">
        <v>240.82499999999999</v>
      </c>
      <c r="F20" s="7">
        <v>0.77665464309798404</v>
      </c>
    </row>
    <row r="21" spans="1:6" x14ac:dyDescent="0.2">
      <c r="A21" s="45" t="s">
        <v>26</v>
      </c>
      <c r="B21" s="45" t="s">
        <v>27</v>
      </c>
      <c r="C21" s="45" t="s">
        <v>28</v>
      </c>
      <c r="D21" s="14">
        <v>96457</v>
      </c>
      <c r="E21" s="7">
        <v>193.0586855</v>
      </c>
      <c r="F21" s="7">
        <v>0.62260946531285499</v>
      </c>
    </row>
    <row r="22" spans="1:6" x14ac:dyDescent="0.2">
      <c r="A22" s="45" t="s">
        <v>128</v>
      </c>
      <c r="B22" s="45" t="s">
        <v>129</v>
      </c>
      <c r="C22" s="45" t="s">
        <v>118</v>
      </c>
      <c r="D22" s="14">
        <v>30000</v>
      </c>
      <c r="E22" s="7">
        <v>153.465</v>
      </c>
      <c r="F22" s="7">
        <v>0.49492081305110402</v>
      </c>
    </row>
    <row r="23" spans="1:6" x14ac:dyDescent="0.2">
      <c r="A23" s="45" t="s">
        <v>234</v>
      </c>
      <c r="B23" s="45" t="s">
        <v>235</v>
      </c>
      <c r="C23" s="45" t="s">
        <v>34</v>
      </c>
      <c r="D23" s="14">
        <v>9526</v>
      </c>
      <c r="E23" s="7">
        <v>140.43229199999999</v>
      </c>
      <c r="F23" s="7">
        <v>0.45289065347323498</v>
      </c>
    </row>
    <row r="24" spans="1:6" x14ac:dyDescent="0.2">
      <c r="A24" s="45" t="s">
        <v>209</v>
      </c>
      <c r="B24" s="45" t="s">
        <v>210</v>
      </c>
      <c r="C24" s="45" t="s">
        <v>34</v>
      </c>
      <c r="D24" s="14">
        <v>10000</v>
      </c>
      <c r="E24" s="7">
        <v>125.76</v>
      </c>
      <c r="F24" s="7">
        <v>0.40557287622133298</v>
      </c>
    </row>
    <row r="25" spans="1:6" x14ac:dyDescent="0.2">
      <c r="A25" s="45" t="s">
        <v>294</v>
      </c>
      <c r="B25" s="45" t="s">
        <v>295</v>
      </c>
      <c r="C25" s="45" t="s">
        <v>37</v>
      </c>
      <c r="D25" s="14">
        <v>25761</v>
      </c>
      <c r="E25" s="7">
        <v>122.9443725</v>
      </c>
      <c r="F25" s="7">
        <v>0.39649254747178703</v>
      </c>
    </row>
    <row r="26" spans="1:6" x14ac:dyDescent="0.2">
      <c r="A26" s="45" t="s">
        <v>202</v>
      </c>
      <c r="B26" s="45" t="s">
        <v>203</v>
      </c>
      <c r="C26" s="45" t="s">
        <v>187</v>
      </c>
      <c r="D26" s="14">
        <v>45000</v>
      </c>
      <c r="E26" s="7">
        <v>114.36750000000001</v>
      </c>
      <c r="F26" s="7">
        <v>0.36883234670199799</v>
      </c>
    </row>
    <row r="27" spans="1:6" x14ac:dyDescent="0.2">
      <c r="A27" s="45" t="s">
        <v>38</v>
      </c>
      <c r="B27" s="45" t="s">
        <v>39</v>
      </c>
      <c r="C27" s="45" t="s">
        <v>40</v>
      </c>
      <c r="D27" s="14">
        <v>20015</v>
      </c>
      <c r="E27" s="7">
        <v>108.53133750000001</v>
      </c>
      <c r="F27" s="7">
        <v>0.35001086760514599</v>
      </c>
    </row>
    <row r="28" spans="1:6" x14ac:dyDescent="0.2">
      <c r="A28" s="45" t="s">
        <v>112</v>
      </c>
      <c r="B28" s="45" t="s">
        <v>113</v>
      </c>
      <c r="C28" s="45" t="s">
        <v>11</v>
      </c>
      <c r="D28" s="14">
        <v>29755</v>
      </c>
      <c r="E28" s="7">
        <v>101.7174675</v>
      </c>
      <c r="F28" s="7">
        <v>0.32803630610627299</v>
      </c>
    </row>
    <row r="29" spans="1:6" x14ac:dyDescent="0.2">
      <c r="A29" s="45" t="s">
        <v>260</v>
      </c>
      <c r="B29" s="45" t="s">
        <v>261</v>
      </c>
      <c r="C29" s="45" t="s">
        <v>14</v>
      </c>
      <c r="D29" s="14">
        <v>35367</v>
      </c>
      <c r="E29" s="7">
        <v>79.664167500000005</v>
      </c>
      <c r="F29" s="7">
        <v>0.25691496139275599</v>
      </c>
    </row>
    <row r="30" spans="1:6" x14ac:dyDescent="0.2">
      <c r="A30" s="45" t="s">
        <v>35</v>
      </c>
      <c r="B30" s="45" t="s">
        <v>36</v>
      </c>
      <c r="C30" s="45" t="s">
        <v>37</v>
      </c>
      <c r="D30" s="14">
        <v>40000</v>
      </c>
      <c r="E30" s="7">
        <v>64.599999999999994</v>
      </c>
      <c r="F30" s="7">
        <v>0.20833339538723</v>
      </c>
    </row>
    <row r="31" spans="1:6" x14ac:dyDescent="0.2">
      <c r="A31" s="45" t="s">
        <v>274</v>
      </c>
      <c r="B31" s="45" t="s">
        <v>275</v>
      </c>
      <c r="C31" s="45" t="s">
        <v>72</v>
      </c>
      <c r="D31" s="14">
        <v>97694</v>
      </c>
      <c r="E31" s="7">
        <v>53.927087999999998</v>
      </c>
      <c r="F31" s="7">
        <v>0.1739135192939</v>
      </c>
    </row>
    <row r="32" spans="1:6" x14ac:dyDescent="0.2">
      <c r="A32" s="45" t="s">
        <v>316</v>
      </c>
      <c r="B32" s="45" t="s">
        <v>317</v>
      </c>
      <c r="C32" s="45" t="s">
        <v>11</v>
      </c>
      <c r="D32" s="14">
        <v>77000</v>
      </c>
      <c r="E32" s="7">
        <v>48.625500000000002</v>
      </c>
      <c r="F32" s="7">
        <v>0.156816029681142</v>
      </c>
    </row>
    <row r="33" spans="1:7" x14ac:dyDescent="0.2">
      <c r="A33" s="45" t="s">
        <v>330</v>
      </c>
      <c r="B33" s="45" t="s">
        <v>331</v>
      </c>
      <c r="C33" s="45" t="s">
        <v>332</v>
      </c>
      <c r="D33" s="14">
        <v>581</v>
      </c>
      <c r="E33" s="7">
        <v>1.1925025</v>
      </c>
      <c r="F33" s="81" t="s">
        <v>624</v>
      </c>
      <c r="G33" s="29"/>
    </row>
    <row r="34" spans="1:7" x14ac:dyDescent="0.2">
      <c r="A34" s="26" t="s">
        <v>44</v>
      </c>
      <c r="B34" s="45"/>
      <c r="C34" s="45"/>
      <c r="D34" s="14"/>
      <c r="E34" s="6">
        <f>SUM(E7:E33)</f>
        <v>6696.1154445000011</v>
      </c>
      <c r="F34" s="6">
        <f>SUM(F7:F33)</f>
        <v>21.590960191373462</v>
      </c>
    </row>
    <row r="35" spans="1:7" x14ac:dyDescent="0.2">
      <c r="A35" s="45"/>
      <c r="B35" s="45"/>
      <c r="C35" s="45"/>
      <c r="D35" s="14"/>
      <c r="E35" s="7"/>
      <c r="F35" s="7"/>
    </row>
    <row r="36" spans="1:7" x14ac:dyDescent="0.2">
      <c r="A36" s="26" t="s">
        <v>680</v>
      </c>
      <c r="B36" s="45"/>
      <c r="C36" s="45"/>
      <c r="D36" s="14"/>
      <c r="E36" s="7"/>
      <c r="F36" s="7"/>
    </row>
    <row r="37" spans="1:7" x14ac:dyDescent="0.2">
      <c r="A37" s="26" t="s">
        <v>8</v>
      </c>
      <c r="B37" s="45"/>
      <c r="C37" s="45"/>
      <c r="D37" s="14"/>
      <c r="E37" s="7"/>
      <c r="F37" s="7"/>
    </row>
    <row r="38" spans="1:7" x14ac:dyDescent="0.2">
      <c r="A38" s="26"/>
      <c r="B38" s="45"/>
      <c r="C38" s="45"/>
      <c r="D38" s="14"/>
      <c r="E38" s="7"/>
      <c r="F38" s="7"/>
    </row>
    <row r="39" spans="1:7" x14ac:dyDescent="0.2">
      <c r="A39" s="45" t="s">
        <v>719</v>
      </c>
      <c r="B39" s="45" t="s">
        <v>1459</v>
      </c>
      <c r="C39" s="45" t="s">
        <v>686</v>
      </c>
      <c r="D39" s="14">
        <v>300</v>
      </c>
      <c r="E39" s="7">
        <v>3038.4630000000002</v>
      </c>
      <c r="F39" s="7">
        <v>9.7989677019886994</v>
      </c>
    </row>
    <row r="40" spans="1:7" x14ac:dyDescent="0.2">
      <c r="A40" s="45" t="s">
        <v>954</v>
      </c>
      <c r="B40" s="45" t="s">
        <v>1636</v>
      </c>
      <c r="C40" s="45" t="s">
        <v>872</v>
      </c>
      <c r="D40" s="14">
        <v>250</v>
      </c>
      <c r="E40" s="7">
        <v>2527.415</v>
      </c>
      <c r="F40" s="7">
        <v>8.15085059601574</v>
      </c>
    </row>
    <row r="41" spans="1:7" x14ac:dyDescent="0.2">
      <c r="A41" s="45" t="s">
        <v>915</v>
      </c>
      <c r="B41" s="45" t="s">
        <v>1600</v>
      </c>
      <c r="C41" s="45" t="s">
        <v>686</v>
      </c>
      <c r="D41" s="14">
        <v>210</v>
      </c>
      <c r="E41" s="7">
        <v>2215.9220999999998</v>
      </c>
      <c r="F41" s="7">
        <v>7.1462937307523502</v>
      </c>
    </row>
    <row r="42" spans="1:7" x14ac:dyDescent="0.2">
      <c r="A42" s="45" t="s">
        <v>1427</v>
      </c>
      <c r="B42" s="45" t="s">
        <v>1970</v>
      </c>
      <c r="C42" s="45" t="s">
        <v>688</v>
      </c>
      <c r="D42" s="14">
        <v>200</v>
      </c>
      <c r="E42" s="7">
        <v>2027.5039999999999</v>
      </c>
      <c r="F42" s="7">
        <v>6.5386500384085302</v>
      </c>
    </row>
    <row r="43" spans="1:7" x14ac:dyDescent="0.2">
      <c r="A43" s="45" t="s">
        <v>940</v>
      </c>
      <c r="B43" s="45" t="s">
        <v>1622</v>
      </c>
      <c r="C43" s="45" t="s">
        <v>686</v>
      </c>
      <c r="D43" s="14">
        <v>100</v>
      </c>
      <c r="E43" s="7">
        <v>1054.674</v>
      </c>
      <c r="F43" s="7">
        <v>3.4012974527342399</v>
      </c>
    </row>
    <row r="44" spans="1:7" x14ac:dyDescent="0.2">
      <c r="A44" s="45" t="s">
        <v>993</v>
      </c>
      <c r="B44" s="45" t="s">
        <v>1663</v>
      </c>
      <c r="C44" s="45" t="s">
        <v>684</v>
      </c>
      <c r="D44" s="14">
        <v>100</v>
      </c>
      <c r="E44" s="7">
        <v>1026.0920000000001</v>
      </c>
      <c r="F44" s="7">
        <v>3.3091212126884502</v>
      </c>
    </row>
    <row r="45" spans="1:7" x14ac:dyDescent="0.2">
      <c r="A45" s="45" t="s">
        <v>1233</v>
      </c>
      <c r="B45" s="45" t="s">
        <v>1838</v>
      </c>
      <c r="C45" s="45" t="s">
        <v>1234</v>
      </c>
      <c r="D45" s="14">
        <v>100</v>
      </c>
      <c r="E45" s="7">
        <v>1015.457</v>
      </c>
      <c r="F45" s="7">
        <v>3.27482360185342</v>
      </c>
    </row>
    <row r="46" spans="1:7" x14ac:dyDescent="0.2">
      <c r="A46" s="45" t="s">
        <v>1428</v>
      </c>
      <c r="B46" s="45" t="s">
        <v>1971</v>
      </c>
      <c r="C46" s="45" t="s">
        <v>686</v>
      </c>
      <c r="D46" s="14">
        <v>90</v>
      </c>
      <c r="E46" s="7">
        <v>897.20100000000002</v>
      </c>
      <c r="F46" s="7">
        <v>2.8934509392386798</v>
      </c>
    </row>
    <row r="47" spans="1:7" x14ac:dyDescent="0.2">
      <c r="A47" s="45" t="s">
        <v>918</v>
      </c>
      <c r="B47" s="45" t="s">
        <v>1602</v>
      </c>
      <c r="C47" s="45" t="s">
        <v>917</v>
      </c>
      <c r="D47" s="14">
        <v>80</v>
      </c>
      <c r="E47" s="7">
        <v>803.39359999999999</v>
      </c>
      <c r="F47" s="7">
        <v>2.5909244043400999</v>
      </c>
    </row>
    <row r="48" spans="1:7" x14ac:dyDescent="0.2">
      <c r="A48" s="45" t="s">
        <v>717</v>
      </c>
      <c r="B48" s="45" t="s">
        <v>1457</v>
      </c>
      <c r="C48" s="45" t="s">
        <v>708</v>
      </c>
      <c r="D48" s="14">
        <v>70</v>
      </c>
      <c r="E48" s="7">
        <v>723.30160000000001</v>
      </c>
      <c r="F48" s="7">
        <v>2.3326296937618598</v>
      </c>
    </row>
    <row r="49" spans="1:6" x14ac:dyDescent="0.2">
      <c r="A49" s="45" t="s">
        <v>1282</v>
      </c>
      <c r="B49" s="45" t="s">
        <v>1877</v>
      </c>
      <c r="C49" s="45" t="s">
        <v>686</v>
      </c>
      <c r="D49" s="14">
        <v>65</v>
      </c>
      <c r="E49" s="7">
        <v>690.28049999999996</v>
      </c>
      <c r="F49" s="7">
        <v>2.2261374664798002</v>
      </c>
    </row>
    <row r="50" spans="1:6" x14ac:dyDescent="0.2">
      <c r="A50" s="45" t="s">
        <v>949</v>
      </c>
      <c r="B50" s="45" t="s">
        <v>1631</v>
      </c>
      <c r="C50" s="45" t="s">
        <v>686</v>
      </c>
      <c r="D50" s="14">
        <v>60</v>
      </c>
      <c r="E50" s="7">
        <v>634.57439999999997</v>
      </c>
      <c r="F50" s="7">
        <v>2.04648667767515</v>
      </c>
    </row>
    <row r="51" spans="1:6" x14ac:dyDescent="0.2">
      <c r="A51" s="45" t="s">
        <v>958</v>
      </c>
      <c r="B51" s="45" t="s">
        <v>1639</v>
      </c>
      <c r="C51" s="45" t="s">
        <v>917</v>
      </c>
      <c r="D51" s="14">
        <v>55</v>
      </c>
      <c r="E51" s="7">
        <v>579.74950000000001</v>
      </c>
      <c r="F51" s="7">
        <v>1.86967773698218</v>
      </c>
    </row>
    <row r="52" spans="1:6" x14ac:dyDescent="0.2">
      <c r="A52" s="45" t="s">
        <v>1430</v>
      </c>
      <c r="B52" s="45" t="s">
        <v>1972</v>
      </c>
      <c r="C52" s="45" t="s">
        <v>972</v>
      </c>
      <c r="D52" s="14">
        <v>50</v>
      </c>
      <c r="E52" s="7">
        <v>497.79950000000002</v>
      </c>
      <c r="F52" s="7">
        <v>1.6053910225551999</v>
      </c>
    </row>
    <row r="53" spans="1:6" x14ac:dyDescent="0.2">
      <c r="A53" s="45" t="s">
        <v>1416</v>
      </c>
      <c r="B53" s="45" t="s">
        <v>1969</v>
      </c>
      <c r="C53" s="45" t="s">
        <v>779</v>
      </c>
      <c r="D53" s="14">
        <v>50</v>
      </c>
      <c r="E53" s="7">
        <v>490.8075</v>
      </c>
      <c r="F53" s="7">
        <v>1.5828419962309299</v>
      </c>
    </row>
    <row r="54" spans="1:6" x14ac:dyDescent="0.2">
      <c r="A54" s="26" t="s">
        <v>44</v>
      </c>
      <c r="B54" s="45"/>
      <c r="C54" s="45"/>
      <c r="D54" s="14"/>
      <c r="E54" s="6">
        <f>SUM(E39:E53)</f>
        <v>18222.634700000002</v>
      </c>
      <c r="F54" s="6">
        <f>SUM(F39:F53)</f>
        <v>58.76754427170534</v>
      </c>
    </row>
    <row r="55" spans="1:6" x14ac:dyDescent="0.2">
      <c r="A55" s="45"/>
      <c r="B55" s="45"/>
      <c r="C55" s="45"/>
      <c r="D55" s="14"/>
      <c r="E55" s="7"/>
      <c r="F55" s="7"/>
    </row>
    <row r="56" spans="1:6" x14ac:dyDescent="0.2">
      <c r="A56" s="26" t="s">
        <v>963</v>
      </c>
      <c r="B56" s="45"/>
      <c r="C56" s="45"/>
      <c r="D56" s="14"/>
      <c r="E56" s="7"/>
      <c r="F56" s="7"/>
    </row>
    <row r="57" spans="1:6" x14ac:dyDescent="0.2">
      <c r="A57" s="45" t="s">
        <v>966</v>
      </c>
      <c r="B57" s="45" t="s">
        <v>1419</v>
      </c>
      <c r="C57" s="45" t="s">
        <v>965</v>
      </c>
      <c r="D57" s="14">
        <v>1900000</v>
      </c>
      <c r="E57" s="7">
        <v>1979.1976999999999</v>
      </c>
      <c r="F57" s="7">
        <v>6.3828634207987198</v>
      </c>
    </row>
    <row r="58" spans="1:6" x14ac:dyDescent="0.2">
      <c r="A58" s="45" t="s">
        <v>1226</v>
      </c>
      <c r="B58" s="45" t="s">
        <v>1417</v>
      </c>
      <c r="C58" s="45" t="s">
        <v>965</v>
      </c>
      <c r="D58" s="14">
        <v>1000000</v>
      </c>
      <c r="E58" s="7">
        <v>1041.8150000000001</v>
      </c>
      <c r="F58" s="7">
        <v>3.3598274971416</v>
      </c>
    </row>
    <row r="59" spans="1:6" x14ac:dyDescent="0.2">
      <c r="A59" s="45" t="s">
        <v>967</v>
      </c>
      <c r="B59" s="45" t="s">
        <v>1420</v>
      </c>
      <c r="C59" s="45" t="s">
        <v>965</v>
      </c>
      <c r="D59" s="14">
        <v>1000000</v>
      </c>
      <c r="E59" s="7">
        <v>998.77700000000004</v>
      </c>
      <c r="F59" s="7">
        <v>3.22103101617139</v>
      </c>
    </row>
    <row r="60" spans="1:6" x14ac:dyDescent="0.2">
      <c r="A60" s="45" t="s">
        <v>964</v>
      </c>
      <c r="B60" s="45" t="s">
        <v>1418</v>
      </c>
      <c r="C60" s="45" t="s">
        <v>965</v>
      </c>
      <c r="D60" s="14">
        <v>750000</v>
      </c>
      <c r="E60" s="7">
        <v>786.23099999999999</v>
      </c>
      <c r="F60" s="7">
        <v>2.53557544564547</v>
      </c>
    </row>
    <row r="61" spans="1:6" x14ac:dyDescent="0.2">
      <c r="A61" s="26" t="s">
        <v>44</v>
      </c>
      <c r="B61" s="45"/>
      <c r="C61" s="45"/>
      <c r="D61" s="45"/>
      <c r="E61" s="6">
        <f>SUM(E57:E60)</f>
        <v>4806.0207</v>
      </c>
      <c r="F61" s="6">
        <f>SUM(F57:F60)</f>
        <v>15.499297379757179</v>
      </c>
    </row>
    <row r="62" spans="1:6" x14ac:dyDescent="0.2">
      <c r="A62" s="45"/>
      <c r="B62" s="45"/>
      <c r="C62" s="45"/>
      <c r="D62" s="45"/>
      <c r="E62" s="7"/>
      <c r="F62" s="7"/>
    </row>
    <row r="63" spans="1:6" x14ac:dyDescent="0.2">
      <c r="A63" s="26" t="s">
        <v>44</v>
      </c>
      <c r="B63" s="45"/>
      <c r="C63" s="45"/>
      <c r="D63" s="45"/>
      <c r="E63" s="6">
        <v>29724.770844500003</v>
      </c>
      <c r="F63" s="6">
        <v>95.861647633777636</v>
      </c>
    </row>
    <row r="64" spans="1:6" x14ac:dyDescent="0.2">
      <c r="A64" s="45"/>
      <c r="B64" s="45"/>
      <c r="C64" s="45"/>
      <c r="D64" s="45"/>
      <c r="E64" s="7"/>
      <c r="F64" s="7"/>
    </row>
    <row r="65" spans="1:6" x14ac:dyDescent="0.2">
      <c r="A65" s="26" t="s">
        <v>103</v>
      </c>
      <c r="B65" s="45"/>
      <c r="C65" s="45"/>
      <c r="D65" s="45"/>
      <c r="E65" s="6">
        <v>1283.2207639999999</v>
      </c>
      <c r="F65" s="6">
        <v>4.1399999999999997</v>
      </c>
    </row>
    <row r="66" spans="1:6" x14ac:dyDescent="0.2">
      <c r="A66" s="45"/>
      <c r="B66" s="45"/>
      <c r="C66" s="45"/>
      <c r="D66" s="45"/>
      <c r="E66" s="7"/>
      <c r="F66" s="7"/>
    </row>
    <row r="67" spans="1:6" x14ac:dyDescent="0.2">
      <c r="A67" s="46" t="s">
        <v>104</v>
      </c>
      <c r="B67" s="44"/>
      <c r="C67" s="44"/>
      <c r="D67" s="44"/>
      <c r="E67" s="8">
        <v>31007.990763999998</v>
      </c>
      <c r="F67" s="8">
        <f xml:space="preserve"> ROUND(SUM(F63:F66),2)</f>
        <v>100</v>
      </c>
    </row>
    <row r="68" spans="1:6" x14ac:dyDescent="0.2">
      <c r="A68" s="4" t="s">
        <v>1983</v>
      </c>
      <c r="F68" s="9" t="s">
        <v>1059</v>
      </c>
    </row>
    <row r="69" spans="1:6" x14ac:dyDescent="0.2">
      <c r="A69" s="4"/>
      <c r="F69" s="9"/>
    </row>
    <row r="70" spans="1:6" x14ac:dyDescent="0.2">
      <c r="A70" s="4" t="s">
        <v>105</v>
      </c>
    </row>
    <row r="71" spans="1:6" x14ac:dyDescent="0.2">
      <c r="A71" s="4" t="s">
        <v>769</v>
      </c>
    </row>
    <row r="72" spans="1:6" x14ac:dyDescent="0.2">
      <c r="A72" s="4" t="s">
        <v>107</v>
      </c>
    </row>
    <row r="73" spans="1:6" x14ac:dyDescent="0.2">
      <c r="A73" s="2" t="s">
        <v>666</v>
      </c>
      <c r="D73" s="10">
        <v>56.236600000000003</v>
      </c>
    </row>
    <row r="74" spans="1:6" x14ac:dyDescent="0.2">
      <c r="A74" s="2" t="s">
        <v>1221</v>
      </c>
      <c r="D74" s="10">
        <v>13.3081</v>
      </c>
    </row>
    <row r="75" spans="1:6" x14ac:dyDescent="0.2">
      <c r="A75" s="2" t="s">
        <v>1222</v>
      </c>
      <c r="D75" s="10">
        <v>12.9269</v>
      </c>
    </row>
    <row r="76" spans="1:6" x14ac:dyDescent="0.2">
      <c r="A76" s="2" t="s">
        <v>668</v>
      </c>
      <c r="D76" s="10">
        <v>58.967799999999997</v>
      </c>
    </row>
    <row r="77" spans="1:6" x14ac:dyDescent="0.2">
      <c r="A77" s="2" t="s">
        <v>1223</v>
      </c>
      <c r="D77" s="10">
        <v>14.117100000000001</v>
      </c>
    </row>
    <row r="78" spans="1:6" x14ac:dyDescent="0.2">
      <c r="A78" s="2" t="s">
        <v>1224</v>
      </c>
      <c r="D78" s="10">
        <v>13.707100000000001</v>
      </c>
    </row>
    <row r="80" spans="1:6" x14ac:dyDescent="0.2">
      <c r="A80" s="4" t="s">
        <v>108</v>
      </c>
    </row>
    <row r="81" spans="1:5" x14ac:dyDescent="0.2">
      <c r="A81" s="2" t="s">
        <v>666</v>
      </c>
      <c r="D81" s="10">
        <v>58.586300000000001</v>
      </c>
    </row>
    <row r="82" spans="1:5" x14ac:dyDescent="0.2">
      <c r="A82" s="2" t="s">
        <v>1221</v>
      </c>
      <c r="D82" s="10">
        <v>13.34</v>
      </c>
    </row>
    <row r="83" spans="1:5" x14ac:dyDescent="0.2">
      <c r="A83" s="2" t="s">
        <v>1222</v>
      </c>
      <c r="D83" s="10">
        <v>12.9297</v>
      </c>
    </row>
    <row r="84" spans="1:5" x14ac:dyDescent="0.2">
      <c r="A84" s="2" t="s">
        <v>668</v>
      </c>
      <c r="D84" s="10">
        <v>61.6511</v>
      </c>
    </row>
    <row r="85" spans="1:5" x14ac:dyDescent="0.2">
      <c r="A85" s="2" t="s">
        <v>1223</v>
      </c>
      <c r="D85" s="10">
        <v>14.2264</v>
      </c>
    </row>
    <row r="86" spans="1:5" x14ac:dyDescent="0.2">
      <c r="A86" s="2" t="s">
        <v>1224</v>
      </c>
      <c r="D86" s="10">
        <v>13.784599999999999</v>
      </c>
    </row>
    <row r="88" spans="1:5" x14ac:dyDescent="0.2">
      <c r="A88" s="4" t="s">
        <v>109</v>
      </c>
      <c r="D88" s="30" t="s">
        <v>325</v>
      </c>
    </row>
    <row r="89" spans="1:5" x14ac:dyDescent="0.2">
      <c r="A89" s="90" t="s">
        <v>670</v>
      </c>
      <c r="B89" s="91"/>
      <c r="C89" s="94" t="s">
        <v>671</v>
      </c>
      <c r="D89" s="94"/>
    </row>
    <row r="90" spans="1:5" x14ac:dyDescent="0.2">
      <c r="A90" s="95"/>
      <c r="B90" s="95"/>
      <c r="C90" s="33" t="s">
        <v>672</v>
      </c>
      <c r="D90" s="33" t="s">
        <v>673</v>
      </c>
    </row>
    <row r="91" spans="1:5" x14ac:dyDescent="0.2">
      <c r="A91" s="34" t="s">
        <v>1221</v>
      </c>
      <c r="B91" s="35"/>
      <c r="C91" s="52">
        <v>0.36736457699999997</v>
      </c>
      <c r="D91" s="52">
        <v>0.34018142940000001</v>
      </c>
    </row>
    <row r="92" spans="1:5" x14ac:dyDescent="0.2">
      <c r="A92" s="34" t="s">
        <v>1222</v>
      </c>
      <c r="B92" s="35"/>
      <c r="C92" s="52">
        <v>0.374567804</v>
      </c>
      <c r="D92" s="52">
        <v>0.3468516532</v>
      </c>
    </row>
    <row r="93" spans="1:5" x14ac:dyDescent="0.2">
      <c r="A93" s="34" t="s">
        <v>1223</v>
      </c>
      <c r="B93" s="35"/>
      <c r="C93" s="52">
        <v>0.36736457699999997</v>
      </c>
      <c r="D93" s="52">
        <v>0.34018142940000001</v>
      </c>
    </row>
    <row r="94" spans="1:5" x14ac:dyDescent="0.2">
      <c r="A94" s="34" t="s">
        <v>1224</v>
      </c>
      <c r="B94" s="35"/>
      <c r="C94" s="52">
        <v>0.374567804</v>
      </c>
      <c r="D94" s="52">
        <v>0.3468516532</v>
      </c>
    </row>
    <row r="95" spans="1:5" x14ac:dyDescent="0.2">
      <c r="A95" s="4"/>
      <c r="D95" s="30"/>
    </row>
    <row r="96" spans="1:5" x14ac:dyDescent="0.2">
      <c r="A96" s="4" t="s">
        <v>770</v>
      </c>
      <c r="D96" s="29">
        <v>5.1116459738244551</v>
      </c>
      <c r="E96" s="1" t="s">
        <v>771</v>
      </c>
    </row>
    <row r="98" spans="1:4" x14ac:dyDescent="0.2">
      <c r="A98" s="4" t="s">
        <v>1989</v>
      </c>
      <c r="D98" s="53" t="s">
        <v>110</v>
      </c>
    </row>
  </sheetData>
  <mergeCells count="4">
    <mergeCell ref="A1:F1"/>
    <mergeCell ref="A89:B89"/>
    <mergeCell ref="C89:D89"/>
    <mergeCell ref="A90:B9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8F92-C086-4483-A5D8-DB799C08A13C}">
  <sheetPr codeName="Sheet64"/>
  <dimension ref="A1:F114"/>
  <sheetViews>
    <sheetView showGridLines="0" workbookViewId="0">
      <selection sqref="A1:F1"/>
    </sheetView>
  </sheetViews>
  <sheetFormatPr defaultColWidth="8.7109375" defaultRowHeight="11.25" x14ac:dyDescent="0.2"/>
  <cols>
    <col min="1" max="1" width="37.85546875" style="2" customWidth="1"/>
    <col min="2" max="2" width="80.5703125" style="2" bestFit="1" customWidth="1"/>
    <col min="3" max="3" width="35.7109375" style="2" bestFit="1" customWidth="1"/>
    <col min="4" max="4" width="10" style="2" bestFit="1" customWidth="1"/>
    <col min="5" max="5" width="19.7109375" style="1" bestFit="1" customWidth="1"/>
    <col min="6" max="6" width="14.140625" style="1" bestFit="1" customWidth="1"/>
    <col min="7" max="16384" width="8.7109375" style="2"/>
  </cols>
  <sheetData>
    <row r="1" spans="1:6" ht="15" customHeight="1" x14ac:dyDescent="0.2">
      <c r="A1" s="87" t="s">
        <v>1431</v>
      </c>
      <c r="B1" s="87"/>
      <c r="C1" s="87"/>
      <c r="D1" s="87"/>
      <c r="E1" s="87"/>
      <c r="F1" s="87"/>
    </row>
    <row r="3" spans="1:6" s="4" customFormat="1" x14ac:dyDescent="0.2">
      <c r="A3" s="43" t="s">
        <v>1</v>
      </c>
      <c r="B3" s="43" t="s">
        <v>2</v>
      </c>
      <c r="C3" s="43" t="s">
        <v>1426</v>
      </c>
      <c r="D3" s="43" t="s">
        <v>4</v>
      </c>
      <c r="E3" s="3" t="s">
        <v>5</v>
      </c>
      <c r="F3" s="3" t="s">
        <v>6</v>
      </c>
    </row>
    <row r="4" spans="1:6" x14ac:dyDescent="0.2">
      <c r="A4" s="44"/>
      <c r="B4" s="44"/>
      <c r="C4" s="44"/>
      <c r="D4" s="44"/>
      <c r="E4" s="5"/>
      <c r="F4" s="5"/>
    </row>
    <row r="5" spans="1:6" x14ac:dyDescent="0.2">
      <c r="A5" s="26" t="s">
        <v>7</v>
      </c>
      <c r="B5" s="45"/>
      <c r="C5" s="45"/>
      <c r="D5" s="45"/>
      <c r="E5" s="7"/>
      <c r="F5" s="7"/>
    </row>
    <row r="6" spans="1:6" x14ac:dyDescent="0.2">
      <c r="A6" s="26" t="s">
        <v>8</v>
      </c>
      <c r="B6" s="45"/>
      <c r="C6" s="45"/>
      <c r="D6" s="45"/>
      <c r="E6" s="7"/>
      <c r="F6" s="7"/>
    </row>
    <row r="7" spans="1:6" x14ac:dyDescent="0.2">
      <c r="A7" s="26"/>
      <c r="B7" s="45"/>
      <c r="C7" s="45"/>
      <c r="D7" s="45"/>
      <c r="E7" s="7"/>
      <c r="F7" s="7"/>
    </row>
    <row r="8" spans="1:6" x14ac:dyDescent="0.2">
      <c r="A8" s="45" t="s">
        <v>121</v>
      </c>
      <c r="B8" s="45" t="s">
        <v>122</v>
      </c>
      <c r="C8" s="45" t="s">
        <v>11</v>
      </c>
      <c r="D8" s="14">
        <v>2000862</v>
      </c>
      <c r="E8" s="7">
        <v>14787.370611</v>
      </c>
      <c r="F8" s="7">
        <f>E8/$E$91*100</f>
        <v>8.0826261016100762</v>
      </c>
    </row>
    <row r="9" spans="1:6" x14ac:dyDescent="0.2">
      <c r="A9" s="45" t="s">
        <v>9</v>
      </c>
      <c r="B9" s="45" t="s">
        <v>10</v>
      </c>
      <c r="C9" s="45" t="s">
        <v>11</v>
      </c>
      <c r="D9" s="14">
        <v>988868</v>
      </c>
      <c r="E9" s="7">
        <v>12607.572566000001</v>
      </c>
      <c r="F9" s="7">
        <f t="shared" ref="F9:F44" si="0">E9/$E$91*100</f>
        <v>6.8911707010367254</v>
      </c>
    </row>
    <row r="10" spans="1:6" x14ac:dyDescent="0.2">
      <c r="A10" s="45" t="s">
        <v>114</v>
      </c>
      <c r="B10" s="45" t="s">
        <v>115</v>
      </c>
      <c r="C10" s="45" t="s">
        <v>11</v>
      </c>
      <c r="D10" s="14">
        <v>1656302</v>
      </c>
      <c r="E10" s="7">
        <v>8490.2040519999991</v>
      </c>
      <c r="F10" s="7">
        <f t="shared" si="0"/>
        <v>4.6406590247791302</v>
      </c>
    </row>
    <row r="11" spans="1:6" x14ac:dyDescent="0.2">
      <c r="A11" s="45" t="s">
        <v>21</v>
      </c>
      <c r="B11" s="45" t="s">
        <v>22</v>
      </c>
      <c r="C11" s="45" t="s">
        <v>11</v>
      </c>
      <c r="D11" s="14">
        <v>459760</v>
      </c>
      <c r="E11" s="7">
        <v>7426.0435200000002</v>
      </c>
      <c r="F11" s="7">
        <f t="shared" si="0"/>
        <v>4.0589997211401041</v>
      </c>
    </row>
    <row r="12" spans="1:6" x14ac:dyDescent="0.2">
      <c r="A12" s="45" t="s">
        <v>119</v>
      </c>
      <c r="B12" s="45" t="s">
        <v>120</v>
      </c>
      <c r="C12" s="45" t="s">
        <v>43</v>
      </c>
      <c r="D12" s="14">
        <v>1264520</v>
      </c>
      <c r="E12" s="7">
        <v>5594.8687399999999</v>
      </c>
      <c r="F12" s="7">
        <f t="shared" si="0"/>
        <v>3.0580982449555436</v>
      </c>
    </row>
    <row r="13" spans="1:6" x14ac:dyDescent="0.2">
      <c r="A13" s="45" t="s">
        <v>194</v>
      </c>
      <c r="B13" s="45" t="s">
        <v>195</v>
      </c>
      <c r="C13" s="45" t="s">
        <v>80</v>
      </c>
      <c r="D13" s="14">
        <v>763784</v>
      </c>
      <c r="E13" s="7">
        <v>5318.6098840000004</v>
      </c>
      <c r="F13" s="7">
        <f t="shared" si="0"/>
        <v>2.9070979691765935</v>
      </c>
    </row>
    <row r="14" spans="1:6" x14ac:dyDescent="0.2">
      <c r="A14" s="45" t="s">
        <v>214</v>
      </c>
      <c r="B14" s="45" t="s">
        <v>215</v>
      </c>
      <c r="C14" s="45" t="s">
        <v>125</v>
      </c>
      <c r="D14" s="14">
        <v>2508769</v>
      </c>
      <c r="E14" s="7">
        <v>4849.4504770000003</v>
      </c>
      <c r="F14" s="7">
        <f t="shared" si="0"/>
        <v>2.6506602177609846</v>
      </c>
    </row>
    <row r="15" spans="1:6" x14ac:dyDescent="0.2">
      <c r="A15" s="45" t="s">
        <v>192</v>
      </c>
      <c r="B15" s="45" t="s">
        <v>193</v>
      </c>
      <c r="C15" s="45" t="s">
        <v>59</v>
      </c>
      <c r="D15" s="14">
        <v>600350</v>
      </c>
      <c r="E15" s="7">
        <v>4725.0546750000003</v>
      </c>
      <c r="F15" s="7">
        <f t="shared" si="0"/>
        <v>2.582666739905767</v>
      </c>
    </row>
    <row r="16" spans="1:6" x14ac:dyDescent="0.2">
      <c r="A16" s="45" t="s">
        <v>185</v>
      </c>
      <c r="B16" s="45" t="s">
        <v>186</v>
      </c>
      <c r="C16" s="45" t="s">
        <v>187</v>
      </c>
      <c r="D16" s="14">
        <v>154688</v>
      </c>
      <c r="E16" s="7">
        <v>4507.3762880000004</v>
      </c>
      <c r="F16" s="7">
        <f t="shared" si="0"/>
        <v>2.4636859515826699</v>
      </c>
    </row>
    <row r="17" spans="1:6" x14ac:dyDescent="0.2">
      <c r="A17" s="45" t="s">
        <v>207</v>
      </c>
      <c r="B17" s="45" t="s">
        <v>208</v>
      </c>
      <c r="C17" s="45" t="s">
        <v>37</v>
      </c>
      <c r="D17" s="14">
        <v>821320</v>
      </c>
      <c r="E17" s="7">
        <v>4357.5132599999997</v>
      </c>
      <c r="F17" s="7">
        <f t="shared" si="0"/>
        <v>2.3817723474914816</v>
      </c>
    </row>
    <row r="18" spans="1:6" x14ac:dyDescent="0.2">
      <c r="A18" s="45" t="s">
        <v>240</v>
      </c>
      <c r="B18" s="45" t="s">
        <v>241</v>
      </c>
      <c r="C18" s="45" t="s">
        <v>34</v>
      </c>
      <c r="D18" s="14">
        <v>28764</v>
      </c>
      <c r="E18" s="7">
        <v>4157.5341779999999</v>
      </c>
      <c r="F18" s="7">
        <f t="shared" si="0"/>
        <v>2.2724658189361717</v>
      </c>
    </row>
    <row r="19" spans="1:6" x14ac:dyDescent="0.2">
      <c r="A19" s="45" t="s">
        <v>26</v>
      </c>
      <c r="B19" s="45" t="s">
        <v>27</v>
      </c>
      <c r="C19" s="45" t="s">
        <v>28</v>
      </c>
      <c r="D19" s="14">
        <v>2044188</v>
      </c>
      <c r="E19" s="7">
        <v>4091.442282</v>
      </c>
      <c r="F19" s="7">
        <f t="shared" si="0"/>
        <v>2.2363406620190167</v>
      </c>
    </row>
    <row r="20" spans="1:6" x14ac:dyDescent="0.2">
      <c r="A20" s="45" t="s">
        <v>234</v>
      </c>
      <c r="B20" s="45" t="s">
        <v>235</v>
      </c>
      <c r="C20" s="45" t="s">
        <v>34</v>
      </c>
      <c r="D20" s="14">
        <v>276850</v>
      </c>
      <c r="E20" s="7">
        <v>4081.3227000000002</v>
      </c>
      <c r="F20" s="7">
        <f t="shared" si="0"/>
        <v>2.2308094016102369</v>
      </c>
    </row>
    <row r="21" spans="1:6" x14ac:dyDescent="0.2">
      <c r="A21" s="45" t="s">
        <v>134</v>
      </c>
      <c r="B21" s="45" t="s">
        <v>135</v>
      </c>
      <c r="C21" s="45" t="s">
        <v>136</v>
      </c>
      <c r="D21" s="14">
        <v>1446976</v>
      </c>
      <c r="E21" s="7">
        <v>3928.5398399999999</v>
      </c>
      <c r="F21" s="7">
        <f t="shared" si="0"/>
        <v>2.1472998470991711</v>
      </c>
    </row>
    <row r="22" spans="1:6" x14ac:dyDescent="0.2">
      <c r="A22" s="45" t="s">
        <v>116</v>
      </c>
      <c r="B22" s="45" t="s">
        <v>117</v>
      </c>
      <c r="C22" s="45" t="s">
        <v>118</v>
      </c>
      <c r="D22" s="14">
        <v>2568360</v>
      </c>
      <c r="E22" s="7">
        <v>3374.8250400000002</v>
      </c>
      <c r="F22" s="7">
        <f t="shared" si="0"/>
        <v>1.8446449794380739</v>
      </c>
    </row>
    <row r="23" spans="1:6" x14ac:dyDescent="0.2">
      <c r="A23" s="45" t="s">
        <v>258</v>
      </c>
      <c r="B23" s="45" t="s">
        <v>259</v>
      </c>
      <c r="C23" s="45" t="s">
        <v>80</v>
      </c>
      <c r="D23" s="14">
        <v>429717</v>
      </c>
      <c r="E23" s="7">
        <v>3272.0800964999999</v>
      </c>
      <c r="F23" s="7">
        <f t="shared" si="0"/>
        <v>1.7884856402298037</v>
      </c>
    </row>
    <row r="24" spans="1:6" x14ac:dyDescent="0.2">
      <c r="A24" s="45" t="s">
        <v>223</v>
      </c>
      <c r="B24" s="45" t="s">
        <v>224</v>
      </c>
      <c r="C24" s="45" t="s">
        <v>136</v>
      </c>
      <c r="D24" s="14">
        <v>1516102</v>
      </c>
      <c r="E24" s="7">
        <v>3263.4095550000002</v>
      </c>
      <c r="F24" s="7">
        <f t="shared" si="0"/>
        <v>1.7837464105934775</v>
      </c>
    </row>
    <row r="25" spans="1:6" x14ac:dyDescent="0.2">
      <c r="A25" s="45" t="s">
        <v>123</v>
      </c>
      <c r="B25" s="45" t="s">
        <v>124</v>
      </c>
      <c r="C25" s="45" t="s">
        <v>125</v>
      </c>
      <c r="D25" s="14">
        <v>2512015</v>
      </c>
      <c r="E25" s="7">
        <v>2922.7294525000002</v>
      </c>
      <c r="F25" s="7">
        <f t="shared" si="0"/>
        <v>1.5975341378911649</v>
      </c>
    </row>
    <row r="26" spans="1:6" x14ac:dyDescent="0.2">
      <c r="A26" s="45" t="s">
        <v>15</v>
      </c>
      <c r="B26" s="45" t="s">
        <v>16</v>
      </c>
      <c r="C26" s="45" t="s">
        <v>17</v>
      </c>
      <c r="D26" s="14">
        <v>1583382</v>
      </c>
      <c r="E26" s="7">
        <v>2365.5727080000001</v>
      </c>
      <c r="F26" s="7">
        <f t="shared" si="0"/>
        <v>1.2929979384377002</v>
      </c>
    </row>
    <row r="27" spans="1:6" x14ac:dyDescent="0.2">
      <c r="A27" s="45" t="s">
        <v>209</v>
      </c>
      <c r="B27" s="45" t="s">
        <v>210</v>
      </c>
      <c r="C27" s="45" t="s">
        <v>34</v>
      </c>
      <c r="D27" s="14">
        <v>178251</v>
      </c>
      <c r="E27" s="7">
        <v>2241.6845760000001</v>
      </c>
      <c r="F27" s="7">
        <f t="shared" si="0"/>
        <v>1.2252819478316326</v>
      </c>
    </row>
    <row r="28" spans="1:6" x14ac:dyDescent="0.2">
      <c r="A28" s="45" t="s">
        <v>242</v>
      </c>
      <c r="B28" s="45" t="s">
        <v>243</v>
      </c>
      <c r="C28" s="45" t="s">
        <v>118</v>
      </c>
      <c r="D28" s="14">
        <v>762218</v>
      </c>
      <c r="E28" s="7">
        <v>2154.0280680000001</v>
      </c>
      <c r="F28" s="7">
        <f t="shared" si="0"/>
        <v>1.1773697937256309</v>
      </c>
    </row>
    <row r="29" spans="1:6" x14ac:dyDescent="0.2">
      <c r="A29" s="45" t="s">
        <v>112</v>
      </c>
      <c r="B29" s="45" t="s">
        <v>113</v>
      </c>
      <c r="C29" s="45" t="s">
        <v>11</v>
      </c>
      <c r="D29" s="14">
        <v>615662</v>
      </c>
      <c r="E29" s="7">
        <v>2104.640547</v>
      </c>
      <c r="F29" s="7">
        <f t="shared" si="0"/>
        <v>1.1503750779759983</v>
      </c>
    </row>
    <row r="30" spans="1:6" x14ac:dyDescent="0.2">
      <c r="A30" s="45" t="s">
        <v>286</v>
      </c>
      <c r="B30" s="45" t="s">
        <v>287</v>
      </c>
      <c r="C30" s="45" t="s">
        <v>95</v>
      </c>
      <c r="D30" s="14">
        <v>274626</v>
      </c>
      <c r="E30" s="7">
        <v>1924.0297559999999</v>
      </c>
      <c r="F30" s="7">
        <f t="shared" si="0"/>
        <v>1.0516550599301178</v>
      </c>
    </row>
    <row r="31" spans="1:6" x14ac:dyDescent="0.2">
      <c r="A31" s="45" t="s">
        <v>244</v>
      </c>
      <c r="B31" s="45" t="s">
        <v>245</v>
      </c>
      <c r="C31" s="45" t="s">
        <v>246</v>
      </c>
      <c r="D31" s="14">
        <v>205000</v>
      </c>
      <c r="E31" s="7">
        <v>1898.8125</v>
      </c>
      <c r="F31" s="7">
        <f t="shared" si="0"/>
        <v>1.0378715647491039</v>
      </c>
    </row>
    <row r="32" spans="1:6" x14ac:dyDescent="0.2">
      <c r="A32" s="45" t="s">
        <v>228</v>
      </c>
      <c r="B32" s="45" t="s">
        <v>229</v>
      </c>
      <c r="C32" s="45" t="s">
        <v>25</v>
      </c>
      <c r="D32" s="14">
        <v>336933</v>
      </c>
      <c r="E32" s="7">
        <v>1795.179024</v>
      </c>
      <c r="F32" s="7">
        <f t="shared" si="0"/>
        <v>0.98122656272994269</v>
      </c>
    </row>
    <row r="33" spans="1:6" x14ac:dyDescent="0.2">
      <c r="A33" s="45" t="s">
        <v>35</v>
      </c>
      <c r="B33" s="45" t="s">
        <v>36</v>
      </c>
      <c r="C33" s="45" t="s">
        <v>37</v>
      </c>
      <c r="D33" s="14">
        <v>1081483</v>
      </c>
      <c r="E33" s="7">
        <v>1746.595045</v>
      </c>
      <c r="F33" s="7">
        <f t="shared" si="0"/>
        <v>0.95467105484990311</v>
      </c>
    </row>
    <row r="34" spans="1:6" x14ac:dyDescent="0.2">
      <c r="A34" s="45" t="s">
        <v>267</v>
      </c>
      <c r="B34" s="45" t="s">
        <v>268</v>
      </c>
      <c r="C34" s="45" t="s">
        <v>269</v>
      </c>
      <c r="D34" s="14">
        <v>385077</v>
      </c>
      <c r="E34" s="7">
        <v>1646.2041750000001</v>
      </c>
      <c r="F34" s="7">
        <f t="shared" si="0"/>
        <v>0.899798428230148</v>
      </c>
    </row>
    <row r="35" spans="1:6" x14ac:dyDescent="0.2">
      <c r="A35" s="45" t="s">
        <v>260</v>
      </c>
      <c r="B35" s="45" t="s">
        <v>261</v>
      </c>
      <c r="C35" s="45" t="s">
        <v>14</v>
      </c>
      <c r="D35" s="14">
        <v>649104</v>
      </c>
      <c r="E35" s="7">
        <v>1462.1067599999999</v>
      </c>
      <c r="F35" s="7">
        <f t="shared" si="0"/>
        <v>0.79917265703245721</v>
      </c>
    </row>
    <row r="36" spans="1:6" x14ac:dyDescent="0.2">
      <c r="A36" s="45" t="s">
        <v>278</v>
      </c>
      <c r="B36" s="45" t="s">
        <v>279</v>
      </c>
      <c r="C36" s="45" t="s">
        <v>255</v>
      </c>
      <c r="D36" s="14">
        <v>921918</v>
      </c>
      <c r="E36" s="7">
        <v>1228.916694</v>
      </c>
      <c r="F36" s="7">
        <f t="shared" si="0"/>
        <v>0.6717133430225869</v>
      </c>
    </row>
    <row r="37" spans="1:6" x14ac:dyDescent="0.2">
      <c r="A37" s="45" t="s">
        <v>346</v>
      </c>
      <c r="B37" s="45" t="s">
        <v>347</v>
      </c>
      <c r="C37" s="45" t="s">
        <v>37</v>
      </c>
      <c r="D37" s="14">
        <v>36783</v>
      </c>
      <c r="E37" s="7">
        <v>1168.2280800000001</v>
      </c>
      <c r="F37" s="7">
        <f t="shared" si="0"/>
        <v>0.63854156499045667</v>
      </c>
    </row>
    <row r="38" spans="1:6" x14ac:dyDescent="0.2">
      <c r="A38" s="45" t="s">
        <v>212</v>
      </c>
      <c r="B38" s="45" t="s">
        <v>213</v>
      </c>
      <c r="C38" s="45" t="s">
        <v>25</v>
      </c>
      <c r="D38" s="14">
        <v>195421</v>
      </c>
      <c r="E38" s="7">
        <v>969.58129150000002</v>
      </c>
      <c r="F38" s="7">
        <f t="shared" si="0"/>
        <v>0.52996325448698178</v>
      </c>
    </row>
    <row r="39" spans="1:6" x14ac:dyDescent="0.2">
      <c r="A39" s="45" t="s">
        <v>202</v>
      </c>
      <c r="B39" s="45" t="s">
        <v>203</v>
      </c>
      <c r="C39" s="45" t="s">
        <v>187</v>
      </c>
      <c r="D39" s="14">
        <v>374001</v>
      </c>
      <c r="E39" s="7">
        <v>950.52354149999996</v>
      </c>
      <c r="F39" s="7">
        <f t="shared" si="0"/>
        <v>0.51954648252392743</v>
      </c>
    </row>
    <row r="40" spans="1:6" x14ac:dyDescent="0.2">
      <c r="A40" s="45" t="s">
        <v>382</v>
      </c>
      <c r="B40" s="45" t="s">
        <v>383</v>
      </c>
      <c r="C40" s="45" t="s">
        <v>95</v>
      </c>
      <c r="D40" s="14">
        <v>72561</v>
      </c>
      <c r="E40" s="7">
        <v>841.48991699999999</v>
      </c>
      <c r="F40" s="7">
        <f t="shared" si="0"/>
        <v>0.45994981435891308</v>
      </c>
    </row>
    <row r="41" spans="1:6" x14ac:dyDescent="0.2">
      <c r="A41" s="45" t="s">
        <v>274</v>
      </c>
      <c r="B41" s="45" t="s">
        <v>275</v>
      </c>
      <c r="C41" s="45" t="s">
        <v>72</v>
      </c>
      <c r="D41" s="14">
        <v>1265151</v>
      </c>
      <c r="E41" s="7">
        <v>698.36335199999996</v>
      </c>
      <c r="F41" s="7">
        <f t="shared" si="0"/>
        <v>0.38171829230304166</v>
      </c>
    </row>
    <row r="42" spans="1:6" x14ac:dyDescent="0.2">
      <c r="A42" s="45" t="s">
        <v>251</v>
      </c>
      <c r="B42" s="45" t="s">
        <v>252</v>
      </c>
      <c r="C42" s="45" t="s">
        <v>246</v>
      </c>
      <c r="D42" s="14">
        <v>414842</v>
      </c>
      <c r="E42" s="7">
        <v>697.14198099999999</v>
      </c>
      <c r="F42" s="7">
        <f t="shared" si="0"/>
        <v>0.38105070335947339</v>
      </c>
    </row>
    <row r="43" spans="1:6" x14ac:dyDescent="0.2">
      <c r="A43" s="45" t="s">
        <v>238</v>
      </c>
      <c r="B43" s="45" t="s">
        <v>239</v>
      </c>
      <c r="C43" s="45" t="s">
        <v>40</v>
      </c>
      <c r="D43" s="14">
        <v>377910</v>
      </c>
      <c r="E43" s="7">
        <v>574.80110999999999</v>
      </c>
      <c r="F43" s="7">
        <f t="shared" si="0"/>
        <v>0.31418042985035216</v>
      </c>
    </row>
    <row r="44" spans="1:6" x14ac:dyDescent="0.2">
      <c r="A44" s="45" t="s">
        <v>128</v>
      </c>
      <c r="B44" s="45" t="s">
        <v>129</v>
      </c>
      <c r="C44" s="45" t="s">
        <v>118</v>
      </c>
      <c r="D44" s="14">
        <v>98568</v>
      </c>
      <c r="E44" s="7">
        <v>504.224604</v>
      </c>
      <c r="F44" s="7">
        <f t="shared" si="0"/>
        <v>0.27560403080266077</v>
      </c>
    </row>
    <row r="45" spans="1:6" x14ac:dyDescent="0.2">
      <c r="A45" s="26" t="s">
        <v>44</v>
      </c>
      <c r="B45" s="45"/>
      <c r="C45" s="45"/>
      <c r="D45" s="14"/>
      <c r="E45" s="6">
        <f>SUM(E8:E44)</f>
        <v>128728.070947</v>
      </c>
      <c r="F45" s="6">
        <f>SUM(F8:F44)</f>
        <v>70.36145191844723</v>
      </c>
    </row>
    <row r="46" spans="1:6" x14ac:dyDescent="0.2">
      <c r="A46" s="26"/>
      <c r="B46" s="45"/>
      <c r="C46" s="45"/>
      <c r="D46" s="14"/>
      <c r="E46" s="6"/>
      <c r="F46" s="6"/>
    </row>
    <row r="47" spans="1:6" x14ac:dyDescent="0.2">
      <c r="A47" s="6" t="s">
        <v>1432</v>
      </c>
      <c r="B47" s="45"/>
      <c r="C47" s="45"/>
      <c r="D47" s="18"/>
      <c r="E47" s="82"/>
      <c r="F47" s="83"/>
    </row>
    <row r="48" spans="1:6" x14ac:dyDescent="0.2">
      <c r="A48" s="45" t="s">
        <v>594</v>
      </c>
      <c r="B48" s="45" t="s">
        <v>595</v>
      </c>
      <c r="C48" s="45" t="s">
        <v>80</v>
      </c>
      <c r="D48" s="18">
        <v>270000</v>
      </c>
      <c r="E48" s="82">
        <v>2.7E-2</v>
      </c>
      <c r="F48" s="81" t="s">
        <v>624</v>
      </c>
    </row>
    <row r="49" spans="1:6" x14ac:dyDescent="0.2">
      <c r="A49" s="45" t="s">
        <v>325</v>
      </c>
      <c r="B49" s="45" t="s">
        <v>326</v>
      </c>
      <c r="C49" s="45" t="s">
        <v>25</v>
      </c>
      <c r="D49" s="18">
        <v>27500</v>
      </c>
      <c r="E49" s="29">
        <v>2.7499999999999998E-3</v>
      </c>
      <c r="F49" s="81" t="s">
        <v>624</v>
      </c>
    </row>
    <row r="50" spans="1:6" x14ac:dyDescent="0.2">
      <c r="A50" s="26" t="s">
        <v>44</v>
      </c>
      <c r="B50" s="45"/>
      <c r="C50" s="45"/>
      <c r="D50" s="18"/>
      <c r="E50" s="84">
        <f>SUM(E48:E49)</f>
        <v>2.9749999999999999E-2</v>
      </c>
      <c r="F50" s="84">
        <f>SUM(F48:F49)</f>
        <v>0</v>
      </c>
    </row>
    <row r="51" spans="1:6" x14ac:dyDescent="0.2">
      <c r="A51" s="26"/>
      <c r="B51" s="45"/>
      <c r="C51" s="45"/>
      <c r="D51" s="18"/>
      <c r="E51" s="17"/>
      <c r="F51" s="6"/>
    </row>
    <row r="52" spans="1:6" x14ac:dyDescent="0.2">
      <c r="A52" s="26" t="s">
        <v>1433</v>
      </c>
      <c r="B52" s="45"/>
      <c r="C52" s="75"/>
      <c r="D52" s="85"/>
      <c r="E52" s="77"/>
      <c r="F52" s="78"/>
    </row>
    <row r="53" spans="1:6" x14ac:dyDescent="0.2">
      <c r="A53" s="45" t="s">
        <v>639</v>
      </c>
      <c r="B53" s="45" t="s">
        <v>640</v>
      </c>
      <c r="C53" s="75"/>
      <c r="D53" s="18">
        <v>739200</v>
      </c>
      <c r="E53" s="79">
        <v>3283.3785600000001</v>
      </c>
      <c r="F53" s="7">
        <f t="shared" ref="F53" si="1">E53/$E$91*100</f>
        <v>1.7946612652543947</v>
      </c>
    </row>
    <row r="54" spans="1:6" x14ac:dyDescent="0.2">
      <c r="A54" s="26" t="s">
        <v>44</v>
      </c>
      <c r="B54" s="45"/>
      <c r="C54" s="75"/>
      <c r="D54" s="79"/>
      <c r="E54" s="77">
        <f>SUM(E53)</f>
        <v>3283.3785600000001</v>
      </c>
      <c r="F54" s="77">
        <f>SUM(F53)</f>
        <v>1.7946612652543947</v>
      </c>
    </row>
    <row r="55" spans="1:6" x14ac:dyDescent="0.2">
      <c r="A55" s="26"/>
      <c r="B55" s="45"/>
      <c r="C55" s="75"/>
      <c r="D55" s="79"/>
      <c r="E55" s="77"/>
      <c r="F55" s="78"/>
    </row>
    <row r="56" spans="1:6" x14ac:dyDescent="0.2">
      <c r="A56" s="26" t="s">
        <v>680</v>
      </c>
      <c r="B56" s="45"/>
      <c r="C56" s="45"/>
      <c r="D56" s="14"/>
      <c r="E56" s="7"/>
      <c r="F56" s="7"/>
    </row>
    <row r="57" spans="1:6" x14ac:dyDescent="0.2">
      <c r="A57" s="26" t="s">
        <v>8</v>
      </c>
      <c r="B57" s="45"/>
      <c r="C57" s="45"/>
      <c r="D57" s="14"/>
      <c r="E57" s="7"/>
      <c r="F57" s="7"/>
    </row>
    <row r="58" spans="1:6" x14ac:dyDescent="0.2">
      <c r="A58" s="26"/>
      <c r="B58" s="45"/>
      <c r="C58" s="45"/>
      <c r="D58" s="14"/>
      <c r="E58" s="7"/>
      <c r="F58" s="7"/>
    </row>
    <row r="59" spans="1:6" x14ac:dyDescent="0.2">
      <c r="A59" s="45" t="s">
        <v>954</v>
      </c>
      <c r="B59" s="45" t="s">
        <v>1636</v>
      </c>
      <c r="C59" s="45" t="s">
        <v>872</v>
      </c>
      <c r="D59" s="14">
        <v>900</v>
      </c>
      <c r="E59" s="7">
        <v>9098.6939999999995</v>
      </c>
      <c r="F59" s="7">
        <f t="shared" ref="F59:F72" si="2">E59/$E$91*100</f>
        <v>4.9732534302113995</v>
      </c>
    </row>
    <row r="60" spans="1:6" x14ac:dyDescent="0.2">
      <c r="A60" s="45" t="s">
        <v>993</v>
      </c>
      <c r="B60" s="45" t="s">
        <v>1663</v>
      </c>
      <c r="C60" s="45" t="s">
        <v>684</v>
      </c>
      <c r="D60" s="14">
        <v>700</v>
      </c>
      <c r="E60" s="7">
        <v>7182.6440000000002</v>
      </c>
      <c r="F60" s="7">
        <f t="shared" si="2"/>
        <v>3.9259600236019954</v>
      </c>
    </row>
    <row r="61" spans="1:6" x14ac:dyDescent="0.2">
      <c r="A61" s="45" t="s">
        <v>780</v>
      </c>
      <c r="B61" s="45" t="s">
        <v>1494</v>
      </c>
      <c r="C61" s="45" t="s">
        <v>696</v>
      </c>
      <c r="D61" s="14">
        <v>450</v>
      </c>
      <c r="E61" s="7">
        <v>4500.8504999999996</v>
      </c>
      <c r="F61" s="7">
        <f t="shared" si="2"/>
        <v>2.4601190223557023</v>
      </c>
    </row>
    <row r="62" spans="1:6" x14ac:dyDescent="0.2">
      <c r="A62" s="45" t="s">
        <v>1427</v>
      </c>
      <c r="B62" s="45" t="s">
        <v>1970</v>
      </c>
      <c r="C62" s="45" t="s">
        <v>688</v>
      </c>
      <c r="D62" s="14">
        <v>350</v>
      </c>
      <c r="E62" s="7">
        <v>3548.1320000000001</v>
      </c>
      <c r="F62" s="7">
        <f t="shared" si="2"/>
        <v>1.9393727978809745</v>
      </c>
    </row>
    <row r="63" spans="1:6" x14ac:dyDescent="0.2">
      <c r="A63" s="45" t="s">
        <v>918</v>
      </c>
      <c r="B63" s="45" t="s">
        <v>1602</v>
      </c>
      <c r="C63" s="45" t="s">
        <v>917</v>
      </c>
      <c r="D63" s="14">
        <v>320</v>
      </c>
      <c r="E63" s="7">
        <v>3213.5744</v>
      </c>
      <c r="F63" s="7">
        <f t="shared" si="2"/>
        <v>1.7565070226605646</v>
      </c>
    </row>
    <row r="64" spans="1:6" x14ac:dyDescent="0.2">
      <c r="A64" s="45" t="s">
        <v>1434</v>
      </c>
      <c r="B64" s="45" t="s">
        <v>1973</v>
      </c>
      <c r="C64" s="45" t="s">
        <v>698</v>
      </c>
      <c r="D64" s="14">
        <v>250</v>
      </c>
      <c r="E64" s="7">
        <v>2398.09</v>
      </c>
      <c r="F64" s="7">
        <f t="shared" si="2"/>
        <v>1.3107715589133624</v>
      </c>
    </row>
    <row r="65" spans="1:6" x14ac:dyDescent="0.2">
      <c r="A65" s="45" t="s">
        <v>1428</v>
      </c>
      <c r="B65" s="45" t="s">
        <v>1971</v>
      </c>
      <c r="C65" s="45" t="s">
        <v>686</v>
      </c>
      <c r="D65" s="14">
        <v>210</v>
      </c>
      <c r="E65" s="7">
        <v>2093.4690000000001</v>
      </c>
      <c r="F65" s="7">
        <f t="shared" si="2"/>
        <v>1.1442688242171051</v>
      </c>
    </row>
    <row r="66" spans="1:6" x14ac:dyDescent="0.2">
      <c r="A66" s="45" t="s">
        <v>1282</v>
      </c>
      <c r="B66" s="45" t="s">
        <v>1877</v>
      </c>
      <c r="C66" s="45" t="s">
        <v>686</v>
      </c>
      <c r="D66" s="14">
        <v>60</v>
      </c>
      <c r="E66" s="7">
        <v>637.18200000000002</v>
      </c>
      <c r="F66" s="7">
        <f t="shared" si="2"/>
        <v>0.34827718870081359</v>
      </c>
    </row>
    <row r="67" spans="1:6" x14ac:dyDescent="0.2">
      <c r="A67" s="45" t="s">
        <v>949</v>
      </c>
      <c r="B67" s="45" t="s">
        <v>1631</v>
      </c>
      <c r="C67" s="45" t="s">
        <v>686</v>
      </c>
      <c r="D67" s="14">
        <v>60</v>
      </c>
      <c r="E67" s="7">
        <v>634.57439999999997</v>
      </c>
      <c r="F67" s="7">
        <f t="shared" si="2"/>
        <v>0.34685190111068037</v>
      </c>
    </row>
    <row r="68" spans="1:6" x14ac:dyDescent="0.2">
      <c r="A68" s="45" t="s">
        <v>719</v>
      </c>
      <c r="B68" s="45" t="s">
        <v>1459</v>
      </c>
      <c r="C68" s="45" t="s">
        <v>686</v>
      </c>
      <c r="D68" s="14">
        <v>50</v>
      </c>
      <c r="E68" s="7">
        <v>506.41050000000001</v>
      </c>
      <c r="F68" s="7">
        <f t="shared" si="2"/>
        <v>0.27679881928330269</v>
      </c>
    </row>
    <row r="69" spans="1:6" x14ac:dyDescent="0.2">
      <c r="A69" s="45" t="s">
        <v>940</v>
      </c>
      <c r="B69" s="45" t="s">
        <v>1622</v>
      </c>
      <c r="C69" s="45" t="s">
        <v>686</v>
      </c>
      <c r="D69" s="14">
        <v>30</v>
      </c>
      <c r="E69" s="7">
        <v>316.40219999999999</v>
      </c>
      <c r="F69" s="7">
        <f t="shared" si="2"/>
        <v>0.17294221857295491</v>
      </c>
    </row>
    <row r="70" spans="1:6" x14ac:dyDescent="0.2">
      <c r="A70" s="45" t="s">
        <v>958</v>
      </c>
      <c r="B70" s="45" t="s">
        <v>1639</v>
      </c>
      <c r="C70" s="45" t="s">
        <v>917</v>
      </c>
      <c r="D70" s="14">
        <v>30</v>
      </c>
      <c r="E70" s="7">
        <v>316.22699999999998</v>
      </c>
      <c r="F70" s="7">
        <f t="shared" si="2"/>
        <v>0.17284645603813695</v>
      </c>
    </row>
    <row r="71" spans="1:6" x14ac:dyDescent="0.2">
      <c r="A71" s="45" t="s">
        <v>1416</v>
      </c>
      <c r="B71" s="45" t="s">
        <v>1969</v>
      </c>
      <c r="C71" s="45" t="s">
        <v>779</v>
      </c>
      <c r="D71" s="14">
        <v>20</v>
      </c>
      <c r="E71" s="7">
        <v>196.32300000000001</v>
      </c>
      <c r="F71" s="7">
        <f t="shared" si="2"/>
        <v>0.10730815138737414</v>
      </c>
    </row>
    <row r="72" spans="1:6" x14ac:dyDescent="0.2">
      <c r="A72" s="45" t="s">
        <v>933</v>
      </c>
      <c r="B72" s="45" t="s">
        <v>1615</v>
      </c>
      <c r="C72" s="45" t="s">
        <v>690</v>
      </c>
      <c r="D72" s="14">
        <v>8</v>
      </c>
      <c r="E72" s="7">
        <v>81.798720000000003</v>
      </c>
      <c r="F72" s="7">
        <f t="shared" si="2"/>
        <v>4.4710346872518396E-2</v>
      </c>
    </row>
    <row r="73" spans="1:6" x14ac:dyDescent="0.2">
      <c r="A73" s="26" t="s">
        <v>44</v>
      </c>
      <c r="B73" s="45"/>
      <c r="C73" s="45"/>
      <c r="D73" s="14"/>
      <c r="E73" s="6">
        <f>SUM(E59:E72)</f>
        <v>34724.371719999996</v>
      </c>
      <c r="F73" s="6">
        <f>SUM(F59:F72)</f>
        <v>18.979987761806886</v>
      </c>
    </row>
    <row r="74" spans="1:6" x14ac:dyDescent="0.2">
      <c r="A74" s="45"/>
      <c r="B74" s="45"/>
      <c r="C74" s="45"/>
      <c r="D74" s="14"/>
      <c r="E74" s="7"/>
      <c r="F74" s="7"/>
    </row>
    <row r="75" spans="1:6" x14ac:dyDescent="0.2">
      <c r="A75" s="26" t="s">
        <v>732</v>
      </c>
      <c r="B75" s="45"/>
      <c r="C75" s="45"/>
      <c r="D75" s="14"/>
      <c r="E75" s="7"/>
      <c r="F75" s="7"/>
    </row>
    <row r="76" spans="1:6" x14ac:dyDescent="0.2">
      <c r="A76" s="45" t="s">
        <v>858</v>
      </c>
      <c r="B76" s="45" t="s">
        <v>1566</v>
      </c>
      <c r="C76" s="45" t="s">
        <v>696</v>
      </c>
      <c r="D76" s="14">
        <v>250</v>
      </c>
      <c r="E76" s="7">
        <v>2505.4899999999998</v>
      </c>
      <c r="F76" s="7">
        <f t="shared" ref="F76:F77" si="3">E76/$E$91*100</f>
        <v>1.369475304572322</v>
      </c>
    </row>
    <row r="77" spans="1:6" x14ac:dyDescent="0.2">
      <c r="A77" s="45" t="s">
        <v>885</v>
      </c>
      <c r="B77" s="45" t="s">
        <v>1591</v>
      </c>
      <c r="C77" s="45" t="s">
        <v>728</v>
      </c>
      <c r="D77" s="14">
        <v>14</v>
      </c>
      <c r="E77" s="7">
        <v>1750.5236</v>
      </c>
      <c r="F77" s="7">
        <f t="shared" si="3"/>
        <v>0.95681836298330392</v>
      </c>
    </row>
    <row r="78" spans="1:6" x14ac:dyDescent="0.2">
      <c r="A78" s="26" t="s">
        <v>44</v>
      </c>
      <c r="B78" s="45"/>
      <c r="C78" s="45"/>
      <c r="D78" s="14"/>
      <c r="E78" s="6">
        <f>SUM(E76:E77)</f>
        <v>4256.0136000000002</v>
      </c>
      <c r="F78" s="6">
        <f>SUM(F76:F77)</f>
        <v>2.3262936675556261</v>
      </c>
    </row>
    <row r="79" spans="1:6" x14ac:dyDescent="0.2">
      <c r="A79" s="45"/>
      <c r="B79" s="45"/>
      <c r="C79" s="45"/>
      <c r="D79" s="14"/>
      <c r="E79" s="7"/>
      <c r="F79" s="7"/>
    </row>
    <row r="80" spans="1:6" x14ac:dyDescent="0.2">
      <c r="A80" s="26" t="s">
        <v>963</v>
      </c>
      <c r="B80" s="45"/>
      <c r="C80" s="45"/>
      <c r="D80" s="14"/>
      <c r="E80" s="7"/>
      <c r="F80" s="7"/>
    </row>
    <row r="81" spans="1:6" x14ac:dyDescent="0.2">
      <c r="A81" s="45" t="s">
        <v>964</v>
      </c>
      <c r="B81" s="45" t="s">
        <v>1418</v>
      </c>
      <c r="C81" s="45" t="s">
        <v>965</v>
      </c>
      <c r="D81" s="14">
        <v>6400000</v>
      </c>
      <c r="E81" s="7">
        <v>6709.1711999999998</v>
      </c>
      <c r="F81" s="7">
        <f t="shared" ref="F81:F84" si="4">E81/$E$91*100</f>
        <v>3.6671646155234514</v>
      </c>
    </row>
    <row r="82" spans="1:6" x14ac:dyDescent="0.2">
      <c r="A82" s="45" t="s">
        <v>1226</v>
      </c>
      <c r="B82" s="45" t="s">
        <v>1417</v>
      </c>
      <c r="C82" s="45" t="s">
        <v>965</v>
      </c>
      <c r="D82" s="14">
        <v>2800000</v>
      </c>
      <c r="E82" s="7">
        <v>2917.0819999999999</v>
      </c>
      <c r="F82" s="7">
        <f t="shared" si="4"/>
        <v>1.5944472978987898</v>
      </c>
    </row>
    <row r="83" spans="1:6" x14ac:dyDescent="0.2">
      <c r="A83" s="45" t="s">
        <v>967</v>
      </c>
      <c r="B83" s="45" t="s">
        <v>1420</v>
      </c>
      <c r="C83" s="45" t="s">
        <v>965</v>
      </c>
      <c r="D83" s="14">
        <v>900000</v>
      </c>
      <c r="E83" s="7">
        <v>898.89930000000004</v>
      </c>
      <c r="F83" s="7">
        <f t="shared" si="4"/>
        <v>0.4913291981398239</v>
      </c>
    </row>
    <row r="84" spans="1:6" x14ac:dyDescent="0.2">
      <c r="A84" s="45" t="s">
        <v>966</v>
      </c>
      <c r="B84" s="45" t="s">
        <v>1419</v>
      </c>
      <c r="C84" s="45" t="s">
        <v>965</v>
      </c>
      <c r="D84" s="14">
        <v>550000</v>
      </c>
      <c r="E84" s="7">
        <v>572.92565000000002</v>
      </c>
      <c r="F84" s="7">
        <f t="shared" si="4"/>
        <v>0.31315532252415523</v>
      </c>
    </row>
    <row r="85" spans="1:6" x14ac:dyDescent="0.2">
      <c r="A85" s="26" t="s">
        <v>44</v>
      </c>
      <c r="B85" s="45"/>
      <c r="C85" s="45"/>
      <c r="D85" s="45"/>
      <c r="E85" s="6">
        <f>SUM(E81:E84)</f>
        <v>11098.078149999999</v>
      </c>
      <c r="F85" s="6">
        <f>SUM(F81:F84)</f>
        <v>6.0660964340862202</v>
      </c>
    </row>
    <row r="86" spans="1:6" x14ac:dyDescent="0.2">
      <c r="A86" s="45"/>
      <c r="B86" s="45"/>
      <c r="C86" s="45"/>
      <c r="D86" s="45"/>
      <c r="E86" s="7"/>
      <c r="F86" s="7"/>
    </row>
    <row r="87" spans="1:6" x14ac:dyDescent="0.2">
      <c r="A87" s="26" t="s">
        <v>44</v>
      </c>
      <c r="B87" s="45"/>
      <c r="C87" s="45"/>
      <c r="D87" s="45"/>
      <c r="E87" s="6">
        <f>E45+E50+E54+E73+E78+E85</f>
        <v>182089.94272699999</v>
      </c>
      <c r="F87" s="6">
        <f>F45+F50+F54+F73+F78+F85</f>
        <v>99.528491047150354</v>
      </c>
    </row>
    <row r="88" spans="1:6" x14ac:dyDescent="0.2">
      <c r="A88" s="45"/>
      <c r="B88" s="45"/>
      <c r="C88" s="45"/>
      <c r="D88" s="45"/>
      <c r="E88" s="7"/>
      <c r="F88" s="7"/>
    </row>
    <row r="89" spans="1:6" x14ac:dyDescent="0.2">
      <c r="A89" s="26" t="s">
        <v>103</v>
      </c>
      <c r="B89" s="45"/>
      <c r="C89" s="45"/>
      <c r="D89" s="45"/>
      <c r="E89" s="6">
        <v>862.60790569999995</v>
      </c>
      <c r="F89" s="6">
        <f t="shared" ref="F89" si="5">E89/$E$91*100</f>
        <v>0.47149269180280123</v>
      </c>
    </row>
    <row r="90" spans="1:6" x14ac:dyDescent="0.2">
      <c r="A90" s="45"/>
      <c r="B90" s="45"/>
      <c r="C90" s="45"/>
      <c r="D90" s="45"/>
      <c r="E90" s="7"/>
      <c r="F90" s="7"/>
    </row>
    <row r="91" spans="1:6" x14ac:dyDescent="0.2">
      <c r="A91" s="46" t="s">
        <v>104</v>
      </c>
      <c r="B91" s="44"/>
      <c r="C91" s="44"/>
      <c r="D91" s="44"/>
      <c r="E91" s="8">
        <f>E87+E89</f>
        <v>182952.55063269997</v>
      </c>
      <c r="F91" s="8">
        <f>F87+F89</f>
        <v>99.999983738953148</v>
      </c>
    </row>
    <row r="92" spans="1:6" x14ac:dyDescent="0.2">
      <c r="A92" s="4" t="s">
        <v>1983</v>
      </c>
      <c r="F92" s="9" t="s">
        <v>1059</v>
      </c>
    </row>
    <row r="93" spans="1:6" x14ac:dyDescent="0.2">
      <c r="A93" s="4"/>
      <c r="F93" s="9"/>
    </row>
    <row r="94" spans="1:6" x14ac:dyDescent="0.2">
      <c r="A94" s="4" t="s">
        <v>105</v>
      </c>
    </row>
    <row r="95" spans="1:6" x14ac:dyDescent="0.2">
      <c r="A95" s="4" t="s">
        <v>769</v>
      </c>
    </row>
    <row r="96" spans="1:6" x14ac:dyDescent="0.2">
      <c r="A96" s="4" t="s">
        <v>107</v>
      </c>
    </row>
    <row r="97" spans="1:5" x14ac:dyDescent="0.2">
      <c r="A97" s="2" t="s">
        <v>666</v>
      </c>
      <c r="D97" s="10">
        <v>122.0692</v>
      </c>
    </row>
    <row r="98" spans="1:5" x14ac:dyDescent="0.2">
      <c r="A98" s="2" t="s">
        <v>667</v>
      </c>
      <c r="D98" s="10">
        <v>20.863199999999999</v>
      </c>
    </row>
    <row r="99" spans="1:5" x14ac:dyDescent="0.2">
      <c r="A99" s="2" t="s">
        <v>668</v>
      </c>
      <c r="D99" s="10">
        <v>130.9265</v>
      </c>
    </row>
    <row r="100" spans="1:5" x14ac:dyDescent="0.2">
      <c r="A100" s="2" t="s">
        <v>669</v>
      </c>
      <c r="D100" s="10">
        <v>22.866099999999999</v>
      </c>
    </row>
    <row r="102" spans="1:5" x14ac:dyDescent="0.2">
      <c r="A102" s="4" t="s">
        <v>108</v>
      </c>
    </row>
    <row r="103" spans="1:5" x14ac:dyDescent="0.2">
      <c r="A103" s="2" t="s">
        <v>666</v>
      </c>
      <c r="D103" s="10">
        <v>123.7766</v>
      </c>
    </row>
    <row r="104" spans="1:5" x14ac:dyDescent="0.2">
      <c r="A104" s="2" t="s">
        <v>667</v>
      </c>
      <c r="D104" s="10">
        <v>21.155000000000001</v>
      </c>
    </row>
    <row r="105" spans="1:5" x14ac:dyDescent="0.2">
      <c r="A105" s="2" t="s">
        <v>668</v>
      </c>
      <c r="D105" s="10">
        <v>133.4631</v>
      </c>
    </row>
    <row r="106" spans="1:5" x14ac:dyDescent="0.2">
      <c r="A106" s="2" t="s">
        <v>669</v>
      </c>
      <c r="D106" s="10">
        <v>23.308599999999998</v>
      </c>
    </row>
    <row r="108" spans="1:5" x14ac:dyDescent="0.2">
      <c r="A108" s="4" t="s">
        <v>109</v>
      </c>
      <c r="D108" s="30" t="s">
        <v>110</v>
      </c>
    </row>
    <row r="109" spans="1:5" x14ac:dyDescent="0.2">
      <c r="A109" s="57"/>
      <c r="B109" s="57"/>
      <c r="C109" s="58"/>
      <c r="D109" s="58"/>
    </row>
    <row r="110" spans="1:5" x14ac:dyDescent="0.2">
      <c r="A110" s="4" t="s">
        <v>770</v>
      </c>
      <c r="D110" s="29">
        <v>4.7463110756582196</v>
      </c>
      <c r="E110" s="1" t="s">
        <v>771</v>
      </c>
    </row>
    <row r="112" spans="1:5" x14ac:dyDescent="0.2">
      <c r="A112" s="9" t="s">
        <v>1423</v>
      </c>
      <c r="B112" s="86"/>
      <c r="D112" s="37">
        <v>0.37777583761536127</v>
      </c>
    </row>
    <row r="114" spans="1:4" x14ac:dyDescent="0.2">
      <c r="A114" s="4" t="s">
        <v>1424</v>
      </c>
      <c r="D114" s="53" t="s">
        <v>110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DBD0-941E-4709-82DD-C9258C1B58A5}">
  <sheetPr codeName="Sheet1"/>
  <dimension ref="A1:F77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27.57031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597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114</v>
      </c>
      <c r="B8" s="7" t="s">
        <v>115</v>
      </c>
      <c r="C8" s="7" t="s">
        <v>11</v>
      </c>
      <c r="D8" s="7">
        <v>900000</v>
      </c>
      <c r="E8" s="7">
        <v>4613.3999999999996</v>
      </c>
      <c r="F8" s="7">
        <v>9.1267330558753947</v>
      </c>
    </row>
    <row r="9" spans="1:6" x14ac:dyDescent="0.2">
      <c r="A9" s="7" t="s">
        <v>9</v>
      </c>
      <c r="B9" s="7" t="s">
        <v>10</v>
      </c>
      <c r="C9" s="7" t="s">
        <v>11</v>
      </c>
      <c r="D9" s="7">
        <v>260000</v>
      </c>
      <c r="E9" s="7">
        <v>3314.87</v>
      </c>
      <c r="F9" s="7">
        <v>6.5578388184266849</v>
      </c>
    </row>
    <row r="10" spans="1:6" x14ac:dyDescent="0.2">
      <c r="A10" s="7" t="s">
        <v>225</v>
      </c>
      <c r="B10" s="7" t="s">
        <v>226</v>
      </c>
      <c r="C10" s="7" t="s">
        <v>227</v>
      </c>
      <c r="D10" s="7">
        <v>330000</v>
      </c>
      <c r="E10" s="7">
        <v>2233.77</v>
      </c>
      <c r="F10" s="7">
        <v>4.4190884159671349</v>
      </c>
    </row>
    <row r="11" spans="1:6" x14ac:dyDescent="0.2">
      <c r="A11" s="7" t="s">
        <v>154</v>
      </c>
      <c r="B11" s="7" t="s">
        <v>623</v>
      </c>
      <c r="C11" s="7" t="s">
        <v>37</v>
      </c>
      <c r="D11" s="7">
        <v>3000000</v>
      </c>
      <c r="E11" s="7">
        <v>2140.5</v>
      </c>
      <c r="F11" s="7">
        <v>4.2345714887287649</v>
      </c>
    </row>
    <row r="12" spans="1:6" x14ac:dyDescent="0.2">
      <c r="A12" s="7" t="s">
        <v>194</v>
      </c>
      <c r="B12" s="7" t="s">
        <v>195</v>
      </c>
      <c r="C12" s="7" t="s">
        <v>80</v>
      </c>
      <c r="D12" s="7">
        <v>290000</v>
      </c>
      <c r="E12" s="7">
        <v>2019.415</v>
      </c>
      <c r="F12" s="7">
        <v>3.995027882696192</v>
      </c>
    </row>
    <row r="13" spans="1:6" x14ac:dyDescent="0.2">
      <c r="A13" s="7" t="s">
        <v>190</v>
      </c>
      <c r="B13" s="7" t="s">
        <v>191</v>
      </c>
      <c r="C13" s="7" t="s">
        <v>80</v>
      </c>
      <c r="D13" s="7">
        <v>170000</v>
      </c>
      <c r="E13" s="7">
        <v>1917.0050000000001</v>
      </c>
      <c r="F13" s="7">
        <v>3.7924292066108327</v>
      </c>
    </row>
    <row r="14" spans="1:6" x14ac:dyDescent="0.2">
      <c r="A14" s="7" t="s">
        <v>112</v>
      </c>
      <c r="B14" s="7" t="s">
        <v>113</v>
      </c>
      <c r="C14" s="7" t="s">
        <v>11</v>
      </c>
      <c r="D14" s="7">
        <v>550000</v>
      </c>
      <c r="E14" s="7">
        <v>1880.175</v>
      </c>
      <c r="F14" s="7">
        <v>3.7195680676573724</v>
      </c>
    </row>
    <row r="15" spans="1:6" x14ac:dyDescent="0.2">
      <c r="A15" s="7" t="s">
        <v>330</v>
      </c>
      <c r="B15" s="7" t="s">
        <v>331</v>
      </c>
      <c r="C15" s="7" t="s">
        <v>332</v>
      </c>
      <c r="D15" s="7">
        <v>800000</v>
      </c>
      <c r="E15" s="7">
        <v>1642</v>
      </c>
      <c r="F15" s="7">
        <v>3.2483842020521521</v>
      </c>
    </row>
    <row r="16" spans="1:6" x14ac:dyDescent="0.2">
      <c r="A16" s="7" t="s">
        <v>207</v>
      </c>
      <c r="B16" s="7" t="s">
        <v>208</v>
      </c>
      <c r="C16" s="7" t="s">
        <v>37</v>
      </c>
      <c r="D16" s="7">
        <v>300000</v>
      </c>
      <c r="E16" s="7">
        <v>1591.65</v>
      </c>
      <c r="F16" s="7">
        <v>3.1487763186335616</v>
      </c>
    </row>
    <row r="17" spans="1:6" x14ac:dyDescent="0.2">
      <c r="A17" s="7" t="s">
        <v>192</v>
      </c>
      <c r="B17" s="7" t="s">
        <v>193</v>
      </c>
      <c r="C17" s="7" t="s">
        <v>59</v>
      </c>
      <c r="D17" s="7">
        <v>200000</v>
      </c>
      <c r="E17" s="7">
        <v>1574.1</v>
      </c>
      <c r="F17" s="7">
        <v>3.1140569868759393</v>
      </c>
    </row>
    <row r="18" spans="1:6" x14ac:dyDescent="0.2">
      <c r="A18" s="7" t="s">
        <v>202</v>
      </c>
      <c r="B18" s="7" t="s">
        <v>203</v>
      </c>
      <c r="C18" s="7" t="s">
        <v>187</v>
      </c>
      <c r="D18" s="7">
        <v>500000</v>
      </c>
      <c r="E18" s="7">
        <v>1270.75</v>
      </c>
      <c r="F18" s="7">
        <v>2.5139367994870718</v>
      </c>
    </row>
    <row r="19" spans="1:6" x14ac:dyDescent="0.2">
      <c r="A19" s="7" t="s">
        <v>258</v>
      </c>
      <c r="B19" s="7" t="s">
        <v>259</v>
      </c>
      <c r="C19" s="7" t="s">
        <v>80</v>
      </c>
      <c r="D19" s="7">
        <v>160000</v>
      </c>
      <c r="E19" s="7">
        <v>1218.32</v>
      </c>
      <c r="F19" s="7">
        <v>2.4102140323046148</v>
      </c>
    </row>
    <row r="20" spans="1:6" x14ac:dyDescent="0.2">
      <c r="A20" s="7" t="s">
        <v>333</v>
      </c>
      <c r="B20" s="7" t="s">
        <v>334</v>
      </c>
      <c r="C20" s="7" t="s">
        <v>25</v>
      </c>
      <c r="D20" s="7">
        <v>140000</v>
      </c>
      <c r="E20" s="7">
        <v>1168.93</v>
      </c>
      <c r="F20" s="7">
        <v>2.312505326007809</v>
      </c>
    </row>
    <row r="21" spans="1:6" x14ac:dyDescent="0.2">
      <c r="A21" s="7" t="s">
        <v>123</v>
      </c>
      <c r="B21" s="7" t="s">
        <v>124</v>
      </c>
      <c r="C21" s="7" t="s">
        <v>125</v>
      </c>
      <c r="D21" s="7">
        <v>1000000</v>
      </c>
      <c r="E21" s="7">
        <v>1163.5</v>
      </c>
      <c r="F21" s="7">
        <v>2.3017631054127157</v>
      </c>
    </row>
    <row r="22" spans="1:6" x14ac:dyDescent="0.2">
      <c r="A22" s="7" t="s">
        <v>230</v>
      </c>
      <c r="B22" s="7" t="s">
        <v>231</v>
      </c>
      <c r="C22" s="7" t="s">
        <v>11</v>
      </c>
      <c r="D22" s="7">
        <v>1200000</v>
      </c>
      <c r="E22" s="7">
        <v>1066.8</v>
      </c>
      <c r="F22" s="7">
        <v>2.1104605765829691</v>
      </c>
    </row>
    <row r="23" spans="1:6" x14ac:dyDescent="0.2">
      <c r="A23" s="7" t="s">
        <v>270</v>
      </c>
      <c r="B23" s="7" t="s">
        <v>271</v>
      </c>
      <c r="C23" s="7" t="s">
        <v>25</v>
      </c>
      <c r="D23" s="7">
        <v>1000000</v>
      </c>
      <c r="E23" s="7">
        <v>1056.5</v>
      </c>
      <c r="F23" s="7">
        <v>2.0900839887138241</v>
      </c>
    </row>
    <row r="24" spans="1:6" x14ac:dyDescent="0.2">
      <c r="A24" s="7" t="s">
        <v>139</v>
      </c>
      <c r="B24" s="7" t="s">
        <v>140</v>
      </c>
      <c r="C24" s="7" t="s">
        <v>56</v>
      </c>
      <c r="D24" s="7">
        <v>800000</v>
      </c>
      <c r="E24" s="7">
        <v>1054</v>
      </c>
      <c r="F24" s="7">
        <v>2.0851382149591768</v>
      </c>
    </row>
    <row r="25" spans="1:6" x14ac:dyDescent="0.2">
      <c r="A25" s="7" t="s">
        <v>337</v>
      </c>
      <c r="B25" s="7" t="s">
        <v>338</v>
      </c>
      <c r="C25" s="7" t="s">
        <v>59</v>
      </c>
      <c r="D25" s="7">
        <v>90000</v>
      </c>
      <c r="E25" s="7">
        <v>1041.3900000000001</v>
      </c>
      <c r="F25" s="7">
        <v>2.0601917321407379</v>
      </c>
    </row>
    <row r="26" spans="1:6" x14ac:dyDescent="0.2">
      <c r="A26" s="7" t="s">
        <v>128</v>
      </c>
      <c r="B26" s="7" t="s">
        <v>129</v>
      </c>
      <c r="C26" s="7" t="s">
        <v>118</v>
      </c>
      <c r="D26" s="7">
        <v>200000</v>
      </c>
      <c r="E26" s="7">
        <v>1023.1</v>
      </c>
      <c r="F26" s="7">
        <v>2.0240084513517402</v>
      </c>
    </row>
    <row r="27" spans="1:6" x14ac:dyDescent="0.2">
      <c r="A27" s="7" t="s">
        <v>433</v>
      </c>
      <c r="B27" s="7" t="s">
        <v>434</v>
      </c>
      <c r="C27" s="7" t="s">
        <v>28</v>
      </c>
      <c r="D27" s="7">
        <v>700000</v>
      </c>
      <c r="E27" s="7">
        <v>1012.2</v>
      </c>
      <c r="F27" s="7">
        <v>2.0024448777814792</v>
      </c>
    </row>
    <row r="28" spans="1:6" x14ac:dyDescent="0.2">
      <c r="A28" s="7" t="s">
        <v>410</v>
      </c>
      <c r="B28" s="7" t="s">
        <v>411</v>
      </c>
      <c r="C28" s="7" t="s">
        <v>34</v>
      </c>
      <c r="D28" s="7">
        <v>400000</v>
      </c>
      <c r="E28" s="7">
        <v>985.6</v>
      </c>
      <c r="F28" s="7">
        <v>1.9498218450320348</v>
      </c>
    </row>
    <row r="29" spans="1:6" x14ac:dyDescent="0.2">
      <c r="A29" s="7" t="s">
        <v>478</v>
      </c>
      <c r="B29" s="7" t="s">
        <v>479</v>
      </c>
      <c r="C29" s="7" t="s">
        <v>34</v>
      </c>
      <c r="D29" s="7">
        <v>300000</v>
      </c>
      <c r="E29" s="7">
        <v>945.45</v>
      </c>
      <c r="F29" s="7">
        <v>1.8703927185324039</v>
      </c>
    </row>
    <row r="30" spans="1:6" x14ac:dyDescent="0.2">
      <c r="A30" s="7" t="s">
        <v>116</v>
      </c>
      <c r="B30" s="7" t="s">
        <v>117</v>
      </c>
      <c r="C30" s="7" t="s">
        <v>118</v>
      </c>
      <c r="D30" s="7">
        <v>700000</v>
      </c>
      <c r="E30" s="7">
        <v>919.8</v>
      </c>
      <c r="F30" s="7">
        <v>1.8196490798097258</v>
      </c>
    </row>
    <row r="31" spans="1:6" x14ac:dyDescent="0.2">
      <c r="A31" s="7" t="s">
        <v>228</v>
      </c>
      <c r="B31" s="7" t="s">
        <v>229</v>
      </c>
      <c r="C31" s="7" t="s">
        <v>25</v>
      </c>
      <c r="D31" s="7">
        <v>160000</v>
      </c>
      <c r="E31" s="7">
        <v>852.48</v>
      </c>
      <c r="F31" s="7">
        <v>1.6864692841445914</v>
      </c>
    </row>
    <row r="32" spans="1:6" x14ac:dyDescent="0.2">
      <c r="A32" s="7" t="s">
        <v>339</v>
      </c>
      <c r="B32" s="7" t="s">
        <v>340</v>
      </c>
      <c r="C32" s="7" t="s">
        <v>187</v>
      </c>
      <c r="D32" s="7">
        <v>300000</v>
      </c>
      <c r="E32" s="7">
        <v>844.95</v>
      </c>
      <c r="F32" s="7">
        <v>1.6715726135955944</v>
      </c>
    </row>
    <row r="33" spans="1:6" x14ac:dyDescent="0.2">
      <c r="A33" s="7" t="s">
        <v>251</v>
      </c>
      <c r="B33" s="7" t="s">
        <v>252</v>
      </c>
      <c r="C33" s="7" t="s">
        <v>246</v>
      </c>
      <c r="D33" s="7">
        <v>450000</v>
      </c>
      <c r="E33" s="7">
        <v>756.22500000000002</v>
      </c>
      <c r="F33" s="7">
        <v>1.4960471030431723</v>
      </c>
    </row>
    <row r="34" spans="1:6" x14ac:dyDescent="0.2">
      <c r="A34" s="7" t="s">
        <v>150</v>
      </c>
      <c r="B34" s="7" t="s">
        <v>151</v>
      </c>
      <c r="C34" s="7" t="s">
        <v>40</v>
      </c>
      <c r="D34" s="7">
        <v>200000</v>
      </c>
      <c r="E34" s="7">
        <v>735.3</v>
      </c>
      <c r="F34" s="7">
        <v>1.4546509767167768</v>
      </c>
    </row>
    <row r="35" spans="1:6" x14ac:dyDescent="0.2">
      <c r="A35" s="7" t="s">
        <v>343</v>
      </c>
      <c r="B35" s="7" t="s">
        <v>344</v>
      </c>
      <c r="C35" s="7" t="s">
        <v>345</v>
      </c>
      <c r="D35" s="7">
        <v>80000</v>
      </c>
      <c r="E35" s="7">
        <v>716.12</v>
      </c>
      <c r="F35" s="7">
        <v>1.4167070004711251</v>
      </c>
    </row>
    <row r="36" spans="1:6" x14ac:dyDescent="0.2">
      <c r="A36" s="7" t="s">
        <v>155</v>
      </c>
      <c r="B36" s="7" t="s">
        <v>156</v>
      </c>
      <c r="C36" s="7" t="s">
        <v>28</v>
      </c>
      <c r="D36" s="7">
        <v>1500000</v>
      </c>
      <c r="E36" s="7">
        <v>666</v>
      </c>
      <c r="F36" s="7">
        <v>1.3175541282379619</v>
      </c>
    </row>
    <row r="37" spans="1:6" x14ac:dyDescent="0.2">
      <c r="A37" s="7" t="s">
        <v>137</v>
      </c>
      <c r="B37" s="7" t="s">
        <v>138</v>
      </c>
      <c r="C37" s="7" t="s">
        <v>136</v>
      </c>
      <c r="D37" s="7">
        <v>500000</v>
      </c>
      <c r="E37" s="7">
        <v>630.25</v>
      </c>
      <c r="F37" s="7">
        <v>1.2468295635465099</v>
      </c>
    </row>
    <row r="38" spans="1:6" x14ac:dyDescent="0.2">
      <c r="A38" s="7" t="s">
        <v>41</v>
      </c>
      <c r="B38" s="7" t="s">
        <v>42</v>
      </c>
      <c r="C38" s="7" t="s">
        <v>43</v>
      </c>
      <c r="D38" s="7">
        <v>9000000</v>
      </c>
      <c r="E38" s="7">
        <v>616.5</v>
      </c>
      <c r="F38" s="7">
        <v>1.2196278078959513</v>
      </c>
    </row>
    <row r="39" spans="1:6" x14ac:dyDescent="0.2">
      <c r="A39" s="7" t="s">
        <v>26</v>
      </c>
      <c r="B39" s="7" t="s">
        <v>27</v>
      </c>
      <c r="C39" s="7" t="s">
        <v>28</v>
      </c>
      <c r="D39" s="7">
        <v>300000</v>
      </c>
      <c r="E39" s="7">
        <v>600.45000000000005</v>
      </c>
      <c r="F39" s="7">
        <v>1.1878759403911174</v>
      </c>
    </row>
    <row r="40" spans="1:6" x14ac:dyDescent="0.2">
      <c r="A40" s="7" t="s">
        <v>335</v>
      </c>
      <c r="B40" s="7" t="s">
        <v>336</v>
      </c>
      <c r="C40" s="7" t="s">
        <v>145</v>
      </c>
      <c r="D40" s="7">
        <v>500000</v>
      </c>
      <c r="E40" s="7">
        <v>571.75</v>
      </c>
      <c r="F40" s="7">
        <v>1.1310984576877698</v>
      </c>
    </row>
    <row r="41" spans="1:6" x14ac:dyDescent="0.2">
      <c r="A41" s="7" t="s">
        <v>310</v>
      </c>
      <c r="B41" s="7" t="s">
        <v>311</v>
      </c>
      <c r="C41" s="7" t="s">
        <v>11</v>
      </c>
      <c r="D41" s="7">
        <v>809000</v>
      </c>
      <c r="E41" s="7">
        <v>552.54700000000003</v>
      </c>
      <c r="F41" s="7">
        <v>1.0931089803235754</v>
      </c>
    </row>
    <row r="42" spans="1:6" x14ac:dyDescent="0.2">
      <c r="A42" s="7" t="s">
        <v>152</v>
      </c>
      <c r="B42" s="7" t="s">
        <v>153</v>
      </c>
      <c r="C42" s="7" t="s">
        <v>145</v>
      </c>
      <c r="D42" s="7">
        <v>600000</v>
      </c>
      <c r="E42" s="7">
        <v>540</v>
      </c>
      <c r="F42" s="7">
        <v>1.0682871310037529</v>
      </c>
    </row>
    <row r="43" spans="1:6" x14ac:dyDescent="0.2">
      <c r="A43" s="7" t="s">
        <v>598</v>
      </c>
      <c r="B43" s="7" t="s">
        <v>599</v>
      </c>
      <c r="C43" s="7" t="s">
        <v>179</v>
      </c>
      <c r="D43" s="7">
        <v>1000000</v>
      </c>
      <c r="E43" s="7">
        <v>533</v>
      </c>
      <c r="F43" s="7">
        <v>1.0544389644907413</v>
      </c>
    </row>
    <row r="44" spans="1:6" x14ac:dyDescent="0.2">
      <c r="A44" s="7" t="s">
        <v>544</v>
      </c>
      <c r="B44" s="7" t="s">
        <v>545</v>
      </c>
      <c r="C44" s="7" t="s">
        <v>80</v>
      </c>
      <c r="D44" s="7">
        <v>100000</v>
      </c>
      <c r="E44" s="7">
        <v>530.65</v>
      </c>
      <c r="F44" s="7">
        <v>1.049789937161373</v>
      </c>
    </row>
    <row r="45" spans="1:6" x14ac:dyDescent="0.2">
      <c r="A45" s="7" t="s">
        <v>169</v>
      </c>
      <c r="B45" s="7" t="s">
        <v>170</v>
      </c>
      <c r="C45" s="7" t="s">
        <v>145</v>
      </c>
      <c r="D45" s="7">
        <v>90000</v>
      </c>
      <c r="E45" s="7">
        <v>521.1</v>
      </c>
      <c r="F45" s="7">
        <v>1.0308970814186216</v>
      </c>
    </row>
    <row r="46" spans="1:6" x14ac:dyDescent="0.2">
      <c r="A46" s="7" t="s">
        <v>424</v>
      </c>
      <c r="B46" s="7" t="s">
        <v>425</v>
      </c>
      <c r="C46" s="7" t="s">
        <v>37</v>
      </c>
      <c r="D46" s="7">
        <v>20000</v>
      </c>
      <c r="E46" s="7">
        <v>486.71</v>
      </c>
      <c r="F46" s="7">
        <v>0.96286301764969728</v>
      </c>
    </row>
    <row r="47" spans="1:6" x14ac:dyDescent="0.2">
      <c r="A47" s="7" t="s">
        <v>272</v>
      </c>
      <c r="B47" s="7" t="s">
        <v>273</v>
      </c>
      <c r="C47" s="7" t="s">
        <v>80</v>
      </c>
      <c r="D47" s="7">
        <v>120000</v>
      </c>
      <c r="E47" s="7">
        <v>484.92</v>
      </c>
      <c r="F47" s="7">
        <v>0.95932184364137008</v>
      </c>
    </row>
    <row r="48" spans="1:6" x14ac:dyDescent="0.2">
      <c r="A48" s="7" t="s">
        <v>264</v>
      </c>
      <c r="B48" s="7" t="s">
        <v>265</v>
      </c>
      <c r="C48" s="7" t="s">
        <v>266</v>
      </c>
      <c r="D48" s="7">
        <v>100000</v>
      </c>
      <c r="E48" s="7">
        <v>462.95</v>
      </c>
      <c r="F48" s="7">
        <v>0.9158583838855322</v>
      </c>
    </row>
    <row r="49" spans="1:6" x14ac:dyDescent="0.2">
      <c r="A49" s="7" t="s">
        <v>278</v>
      </c>
      <c r="B49" s="7" t="s">
        <v>279</v>
      </c>
      <c r="C49" s="7" t="s">
        <v>255</v>
      </c>
      <c r="D49" s="7">
        <v>200000</v>
      </c>
      <c r="E49" s="7">
        <v>266.60000000000002</v>
      </c>
      <c r="F49" s="7">
        <v>0.52741731319555651</v>
      </c>
    </row>
    <row r="50" spans="1:6" x14ac:dyDescent="0.2">
      <c r="A50" s="6" t="s">
        <v>44</v>
      </c>
      <c r="B50" s="7"/>
      <c r="C50" s="7"/>
      <c r="D50" s="7"/>
      <c r="E50" s="6">
        <f xml:space="preserve"> SUM(E8:E49)</f>
        <v>48221.726999999984</v>
      </c>
      <c r="F50" s="6">
        <f>SUM(F8:F49)</f>
        <v>95.397500720141124</v>
      </c>
    </row>
    <row r="51" spans="1:6" x14ac:dyDescent="0.2">
      <c r="A51" s="7"/>
      <c r="B51" s="7"/>
      <c r="C51" s="7"/>
      <c r="D51" s="7"/>
      <c r="E51" s="7"/>
      <c r="F51" s="7"/>
    </row>
    <row r="52" spans="1:6" x14ac:dyDescent="0.2">
      <c r="A52" s="6" t="s">
        <v>44</v>
      </c>
      <c r="B52" s="7"/>
      <c r="C52" s="7"/>
      <c r="D52" s="7"/>
      <c r="E52" s="6">
        <v>48221.726999999984</v>
      </c>
      <c r="F52" s="6">
        <v>95.397500720141124</v>
      </c>
    </row>
    <row r="53" spans="1:6" x14ac:dyDescent="0.2">
      <c r="A53" s="7"/>
      <c r="B53" s="7"/>
      <c r="C53" s="7"/>
      <c r="D53" s="7"/>
      <c r="E53" s="7"/>
      <c r="F53" s="7"/>
    </row>
    <row r="54" spans="1:6" x14ac:dyDescent="0.2">
      <c r="A54" s="6" t="s">
        <v>103</v>
      </c>
      <c r="B54" s="7"/>
      <c r="C54" s="7"/>
      <c r="D54" s="7"/>
      <c r="E54" s="6">
        <v>2326.4809048000002</v>
      </c>
      <c r="F54" s="6">
        <v>4.5999999999999996</v>
      </c>
    </row>
    <row r="55" spans="1:6" x14ac:dyDescent="0.2">
      <c r="A55" s="7"/>
      <c r="B55" s="7"/>
      <c r="C55" s="7"/>
      <c r="D55" s="7"/>
      <c r="E55" s="7"/>
      <c r="F55" s="7"/>
    </row>
    <row r="56" spans="1:6" x14ac:dyDescent="0.2">
      <c r="A56" s="8" t="s">
        <v>104</v>
      </c>
      <c r="B56" s="5"/>
      <c r="C56" s="5"/>
      <c r="D56" s="5"/>
      <c r="E56" s="8">
        <v>50548.207904799987</v>
      </c>
      <c r="F56" s="8">
        <f xml:space="preserve"> ROUND(SUM(F52:F55),2)</f>
        <v>100</v>
      </c>
    </row>
    <row r="58" spans="1:6" x14ac:dyDescent="0.2">
      <c r="A58" s="9" t="s">
        <v>105</v>
      </c>
    </row>
    <row r="59" spans="1:6" x14ac:dyDescent="0.2">
      <c r="A59" s="4" t="s">
        <v>106</v>
      </c>
      <c r="B59" s="2"/>
      <c r="C59" s="2"/>
      <c r="D59" s="2"/>
    </row>
    <row r="60" spans="1:6" x14ac:dyDescent="0.2">
      <c r="A60" s="4" t="s">
        <v>107</v>
      </c>
      <c r="B60" s="2"/>
      <c r="C60" s="2"/>
      <c r="D60" s="2"/>
    </row>
    <row r="61" spans="1:6" x14ac:dyDescent="0.2">
      <c r="A61" s="2" t="s">
        <v>666</v>
      </c>
      <c r="B61" s="2"/>
      <c r="C61" s="2"/>
      <c r="D61" s="10">
        <v>255.5992</v>
      </c>
      <c r="E61" s="2"/>
    </row>
    <row r="62" spans="1:6" x14ac:dyDescent="0.2">
      <c r="A62" s="2" t="s">
        <v>667</v>
      </c>
      <c r="B62" s="2"/>
      <c r="C62" s="2"/>
      <c r="D62" s="10">
        <v>61.2545</v>
      </c>
      <c r="E62" s="2"/>
    </row>
    <row r="63" spans="1:6" x14ac:dyDescent="0.2">
      <c r="A63" s="2" t="s">
        <v>668</v>
      </c>
      <c r="B63" s="2"/>
      <c r="C63" s="2"/>
      <c r="D63" s="10">
        <v>267.26799999999997</v>
      </c>
      <c r="E63" s="2"/>
    </row>
    <row r="64" spans="1:6" x14ac:dyDescent="0.2">
      <c r="A64" s="2" t="s">
        <v>669</v>
      </c>
      <c r="B64" s="2"/>
      <c r="C64" s="2"/>
      <c r="D64" s="10">
        <v>64.875600000000006</v>
      </c>
      <c r="E64" s="2"/>
    </row>
    <row r="65" spans="1:5" x14ac:dyDescent="0.2">
      <c r="A65" s="2"/>
      <c r="B65" s="2"/>
      <c r="C65" s="2"/>
      <c r="D65" s="10"/>
      <c r="E65" s="2"/>
    </row>
    <row r="66" spans="1:5" x14ac:dyDescent="0.2">
      <c r="A66" s="4" t="s">
        <v>108</v>
      </c>
      <c r="B66" s="2"/>
      <c r="C66" s="2"/>
      <c r="D66" s="2"/>
      <c r="E66" s="2"/>
    </row>
    <row r="67" spans="1:5" x14ac:dyDescent="0.2">
      <c r="A67" s="2" t="s">
        <v>666</v>
      </c>
      <c r="B67" s="2"/>
      <c r="C67" s="2"/>
      <c r="D67" s="10">
        <v>243.1721</v>
      </c>
      <c r="E67" s="2"/>
    </row>
    <row r="68" spans="1:5" x14ac:dyDescent="0.2">
      <c r="A68" s="2" t="s">
        <v>667</v>
      </c>
      <c r="B68" s="2"/>
      <c r="C68" s="2"/>
      <c r="D68" s="10">
        <v>58.276400000000002</v>
      </c>
      <c r="E68" s="2"/>
    </row>
    <row r="69" spans="1:5" x14ac:dyDescent="0.2">
      <c r="A69" s="2" t="s">
        <v>668</v>
      </c>
      <c r="B69" s="2"/>
      <c r="C69" s="2"/>
      <c r="D69" s="10">
        <v>255.3339</v>
      </c>
      <c r="E69" s="2"/>
    </row>
    <row r="70" spans="1:5" x14ac:dyDescent="0.2">
      <c r="A70" s="2" t="s">
        <v>669</v>
      </c>
      <c r="B70" s="2"/>
      <c r="C70" s="2"/>
      <c r="D70" s="10">
        <v>61.971299999999999</v>
      </c>
      <c r="E70" s="2"/>
    </row>
    <row r="71" spans="1:5" x14ac:dyDescent="0.2">
      <c r="A71" s="2"/>
      <c r="B71" s="2"/>
      <c r="C71" s="2"/>
      <c r="D71" s="2"/>
    </row>
    <row r="72" spans="1:5" x14ac:dyDescent="0.2">
      <c r="A72" s="4" t="s">
        <v>109</v>
      </c>
      <c r="B72" s="2"/>
      <c r="C72" s="2"/>
      <c r="D72" s="30" t="s">
        <v>110</v>
      </c>
    </row>
    <row r="73" spans="1:5" x14ac:dyDescent="0.2">
      <c r="A73" s="4"/>
      <c r="B73" s="2"/>
      <c r="C73" s="2"/>
      <c r="D73" s="30"/>
    </row>
    <row r="74" spans="1:5" x14ac:dyDescent="0.2">
      <c r="A74" s="9" t="s">
        <v>674</v>
      </c>
      <c r="B74" s="2"/>
      <c r="C74" s="2"/>
      <c r="D74" s="37">
        <v>0.25215932956268572</v>
      </c>
    </row>
    <row r="75" spans="1:5" x14ac:dyDescent="0.2">
      <c r="A75" s="2"/>
      <c r="B75" s="2"/>
      <c r="C75" s="2"/>
      <c r="D75" s="2"/>
    </row>
    <row r="76" spans="1:5" x14ac:dyDescent="0.2">
      <c r="A76" s="2"/>
      <c r="B76" s="2"/>
      <c r="C76" s="2"/>
      <c r="D76" s="2"/>
    </row>
    <row r="77" spans="1:5" x14ac:dyDescent="0.2">
      <c r="A77" s="2"/>
      <c r="B77" s="2"/>
      <c r="C77" s="2"/>
      <c r="D77" s="2"/>
    </row>
  </sheetData>
  <mergeCells count="1">
    <mergeCell ref="A1:F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EC6C-A327-47A2-841E-F099BB604E88}">
  <sheetPr codeName="Sheet2"/>
  <dimension ref="A1:F89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2" style="1" bestFit="1" customWidth="1"/>
    <col min="3" max="3" width="40.14062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593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121</v>
      </c>
      <c r="B8" s="7" t="s">
        <v>122</v>
      </c>
      <c r="C8" s="7" t="s">
        <v>11</v>
      </c>
      <c r="D8" s="7">
        <v>5099477</v>
      </c>
      <c r="E8" s="7">
        <v>37687.684768500003</v>
      </c>
      <c r="F8" s="7">
        <v>9.1893983196752362</v>
      </c>
    </row>
    <row r="9" spans="1:6" x14ac:dyDescent="0.2">
      <c r="A9" s="7" t="s">
        <v>9</v>
      </c>
      <c r="B9" s="7" t="s">
        <v>10</v>
      </c>
      <c r="C9" s="7" t="s">
        <v>11</v>
      </c>
      <c r="D9" s="7">
        <v>2330104</v>
      </c>
      <c r="E9" s="7">
        <v>29707.660948000001</v>
      </c>
      <c r="F9" s="7">
        <v>7.2436269639255491</v>
      </c>
    </row>
    <row r="10" spans="1:6" x14ac:dyDescent="0.2">
      <c r="A10" s="7" t="s">
        <v>114</v>
      </c>
      <c r="B10" s="7" t="s">
        <v>115</v>
      </c>
      <c r="C10" s="7" t="s">
        <v>11</v>
      </c>
      <c r="D10" s="7">
        <v>4133052</v>
      </c>
      <c r="E10" s="7">
        <v>21186.024551999999</v>
      </c>
      <c r="F10" s="7">
        <v>5.165794068132028</v>
      </c>
    </row>
    <row r="11" spans="1:6" x14ac:dyDescent="0.2">
      <c r="A11" s="7" t="s">
        <v>21</v>
      </c>
      <c r="B11" s="7" t="s">
        <v>22</v>
      </c>
      <c r="C11" s="7" t="s">
        <v>11</v>
      </c>
      <c r="D11" s="7">
        <v>1174652</v>
      </c>
      <c r="E11" s="7">
        <v>18972.979103999998</v>
      </c>
      <c r="F11" s="7">
        <v>4.6261866009677473</v>
      </c>
    </row>
    <row r="12" spans="1:6" x14ac:dyDescent="0.2">
      <c r="A12" s="7" t="s">
        <v>192</v>
      </c>
      <c r="B12" s="7" t="s">
        <v>193</v>
      </c>
      <c r="C12" s="7" t="s">
        <v>59</v>
      </c>
      <c r="D12" s="7">
        <v>2081440</v>
      </c>
      <c r="E12" s="7">
        <v>16381.97352</v>
      </c>
      <c r="F12" s="7">
        <v>3.9944210121253314</v>
      </c>
    </row>
    <row r="13" spans="1:6" x14ac:dyDescent="0.2">
      <c r="A13" s="7" t="s">
        <v>214</v>
      </c>
      <c r="B13" s="7" t="s">
        <v>215</v>
      </c>
      <c r="C13" s="7" t="s">
        <v>125</v>
      </c>
      <c r="D13" s="7">
        <v>8119223</v>
      </c>
      <c r="E13" s="7">
        <v>15694.458059000001</v>
      </c>
      <c r="F13" s="7">
        <v>3.8267839322444068</v>
      </c>
    </row>
    <row r="14" spans="1:6" x14ac:dyDescent="0.2">
      <c r="A14" s="7" t="s">
        <v>119</v>
      </c>
      <c r="B14" s="7" t="s">
        <v>120</v>
      </c>
      <c r="C14" s="7" t="s">
        <v>43</v>
      </c>
      <c r="D14" s="7">
        <v>3044619</v>
      </c>
      <c r="E14" s="7">
        <v>13470.9167655</v>
      </c>
      <c r="F14" s="7">
        <v>3.2846172602472015</v>
      </c>
    </row>
    <row r="15" spans="1:6" x14ac:dyDescent="0.2">
      <c r="A15" s="7" t="s">
        <v>194</v>
      </c>
      <c r="B15" s="7" t="s">
        <v>195</v>
      </c>
      <c r="C15" s="7" t="s">
        <v>80</v>
      </c>
      <c r="D15" s="7">
        <v>1920979</v>
      </c>
      <c r="E15" s="7">
        <v>13376.7372665</v>
      </c>
      <c r="F15" s="7">
        <v>3.2616534476602901</v>
      </c>
    </row>
    <row r="16" spans="1:6" x14ac:dyDescent="0.2">
      <c r="A16" s="7" t="s">
        <v>123</v>
      </c>
      <c r="B16" s="7" t="s">
        <v>124</v>
      </c>
      <c r="C16" s="7" t="s">
        <v>125</v>
      </c>
      <c r="D16" s="7">
        <v>10065496</v>
      </c>
      <c r="E16" s="7">
        <v>11711.204596</v>
      </c>
      <c r="F16" s="7">
        <v>2.8555461683813754</v>
      </c>
    </row>
    <row r="17" spans="1:6" x14ac:dyDescent="0.2">
      <c r="A17" s="7" t="s">
        <v>185</v>
      </c>
      <c r="B17" s="7" t="s">
        <v>186</v>
      </c>
      <c r="C17" s="7" t="s">
        <v>187</v>
      </c>
      <c r="D17" s="7">
        <v>392107</v>
      </c>
      <c r="E17" s="7">
        <v>11425.409819500001</v>
      </c>
      <c r="F17" s="7">
        <v>2.7858607511138191</v>
      </c>
    </row>
    <row r="18" spans="1:6" x14ac:dyDescent="0.2">
      <c r="A18" s="7" t="s">
        <v>26</v>
      </c>
      <c r="B18" s="7" t="s">
        <v>27</v>
      </c>
      <c r="C18" s="7" t="s">
        <v>28</v>
      </c>
      <c r="D18" s="7">
        <v>5549242</v>
      </c>
      <c r="E18" s="7">
        <v>11106.807863</v>
      </c>
      <c r="F18" s="7">
        <v>2.7081759503177398</v>
      </c>
    </row>
    <row r="19" spans="1:6" x14ac:dyDescent="0.2">
      <c r="A19" s="7" t="s">
        <v>134</v>
      </c>
      <c r="B19" s="7" t="s">
        <v>135</v>
      </c>
      <c r="C19" s="7" t="s">
        <v>136</v>
      </c>
      <c r="D19" s="7">
        <v>4078627</v>
      </c>
      <c r="E19" s="7">
        <v>11073.472304999999</v>
      </c>
      <c r="F19" s="7">
        <v>2.7000477322392795</v>
      </c>
    </row>
    <row r="20" spans="1:6" x14ac:dyDescent="0.2">
      <c r="A20" s="7" t="s">
        <v>207</v>
      </c>
      <c r="B20" s="7" t="s">
        <v>208</v>
      </c>
      <c r="C20" s="7" t="s">
        <v>37</v>
      </c>
      <c r="D20" s="7">
        <v>2059699</v>
      </c>
      <c r="E20" s="7">
        <v>10927.733044500001</v>
      </c>
      <c r="F20" s="7">
        <v>2.6645120891299747</v>
      </c>
    </row>
    <row r="21" spans="1:6" x14ac:dyDescent="0.2">
      <c r="A21" s="7" t="s">
        <v>209</v>
      </c>
      <c r="B21" s="7" t="s">
        <v>210</v>
      </c>
      <c r="C21" s="7" t="s">
        <v>34</v>
      </c>
      <c r="D21" s="7">
        <v>671834</v>
      </c>
      <c r="E21" s="7">
        <v>8448.9843839999994</v>
      </c>
      <c r="F21" s="7">
        <v>2.060118136155332</v>
      </c>
    </row>
    <row r="22" spans="1:6" x14ac:dyDescent="0.2">
      <c r="A22" s="7" t="s">
        <v>116</v>
      </c>
      <c r="B22" s="7" t="s">
        <v>117</v>
      </c>
      <c r="C22" s="7" t="s">
        <v>118</v>
      </c>
      <c r="D22" s="7">
        <v>5948967</v>
      </c>
      <c r="E22" s="7">
        <v>7816.9426380000004</v>
      </c>
      <c r="F22" s="7">
        <v>1.906007227132035</v>
      </c>
    </row>
    <row r="23" spans="1:6" x14ac:dyDescent="0.2">
      <c r="A23" s="7" t="s">
        <v>15</v>
      </c>
      <c r="B23" s="7" t="s">
        <v>16</v>
      </c>
      <c r="C23" s="7" t="s">
        <v>17</v>
      </c>
      <c r="D23" s="7">
        <v>5223868</v>
      </c>
      <c r="E23" s="7">
        <v>7804.4587920000004</v>
      </c>
      <c r="F23" s="7">
        <v>1.9029632876021816</v>
      </c>
    </row>
    <row r="24" spans="1:6" x14ac:dyDescent="0.2">
      <c r="A24" s="7" t="s">
        <v>216</v>
      </c>
      <c r="B24" s="7" t="s">
        <v>217</v>
      </c>
      <c r="C24" s="7" t="s">
        <v>125</v>
      </c>
      <c r="D24" s="7">
        <v>12624428</v>
      </c>
      <c r="E24" s="7">
        <v>7240.1094579999999</v>
      </c>
      <c r="F24" s="7">
        <v>1.765357837614338</v>
      </c>
    </row>
    <row r="25" spans="1:6" x14ac:dyDescent="0.2">
      <c r="A25" s="7" t="s">
        <v>242</v>
      </c>
      <c r="B25" s="7" t="s">
        <v>243</v>
      </c>
      <c r="C25" s="7" t="s">
        <v>118</v>
      </c>
      <c r="D25" s="7">
        <v>2520962</v>
      </c>
      <c r="E25" s="7">
        <v>7124.2386120000001</v>
      </c>
      <c r="F25" s="7">
        <v>1.7371050180508048</v>
      </c>
    </row>
    <row r="26" spans="1:6" x14ac:dyDescent="0.2">
      <c r="A26" s="7" t="s">
        <v>258</v>
      </c>
      <c r="B26" s="7" t="s">
        <v>259</v>
      </c>
      <c r="C26" s="7" t="s">
        <v>80</v>
      </c>
      <c r="D26" s="7">
        <v>905548</v>
      </c>
      <c r="E26" s="7">
        <v>6895.2952459999997</v>
      </c>
      <c r="F26" s="7">
        <v>1.6812816955054086</v>
      </c>
    </row>
    <row r="27" spans="1:6" x14ac:dyDescent="0.2">
      <c r="A27" s="7" t="s">
        <v>378</v>
      </c>
      <c r="B27" s="7" t="s">
        <v>379</v>
      </c>
      <c r="C27" s="7" t="s">
        <v>34</v>
      </c>
      <c r="D27" s="7">
        <v>330103</v>
      </c>
      <c r="E27" s="7">
        <v>6718.5863589999999</v>
      </c>
      <c r="F27" s="7">
        <v>1.6381947200320115</v>
      </c>
    </row>
    <row r="28" spans="1:6" x14ac:dyDescent="0.2">
      <c r="A28" s="7" t="s">
        <v>212</v>
      </c>
      <c r="B28" s="7" t="s">
        <v>213</v>
      </c>
      <c r="C28" s="7" t="s">
        <v>25</v>
      </c>
      <c r="D28" s="7">
        <v>1338759</v>
      </c>
      <c r="E28" s="7">
        <v>6642.2527785000002</v>
      </c>
      <c r="F28" s="7">
        <v>1.6195822825556774</v>
      </c>
    </row>
    <row r="29" spans="1:6" x14ac:dyDescent="0.2">
      <c r="A29" s="7" t="s">
        <v>112</v>
      </c>
      <c r="B29" s="7" t="s">
        <v>113</v>
      </c>
      <c r="C29" s="7" t="s">
        <v>11</v>
      </c>
      <c r="D29" s="7">
        <v>1935519</v>
      </c>
      <c r="E29" s="7">
        <v>6616.5717015</v>
      </c>
      <c r="F29" s="7">
        <v>1.6133204586394339</v>
      </c>
    </row>
    <row r="30" spans="1:6" x14ac:dyDescent="0.2">
      <c r="A30" s="7" t="s">
        <v>234</v>
      </c>
      <c r="B30" s="7" t="s">
        <v>235</v>
      </c>
      <c r="C30" s="7" t="s">
        <v>34</v>
      </c>
      <c r="D30" s="7">
        <v>440701</v>
      </c>
      <c r="E30" s="7">
        <v>6496.8141420000002</v>
      </c>
      <c r="F30" s="7">
        <v>1.5841199406771966</v>
      </c>
    </row>
    <row r="31" spans="1:6" x14ac:dyDescent="0.2">
      <c r="A31" s="7" t="s">
        <v>240</v>
      </c>
      <c r="B31" s="7" t="s">
        <v>241</v>
      </c>
      <c r="C31" s="7" t="s">
        <v>34</v>
      </c>
      <c r="D31" s="7">
        <v>44826</v>
      </c>
      <c r="E31" s="7">
        <v>6479.1276269999998</v>
      </c>
      <c r="F31" s="7">
        <v>1.5798074329649228</v>
      </c>
    </row>
    <row r="32" spans="1:6" x14ac:dyDescent="0.2">
      <c r="A32" s="7" t="s">
        <v>223</v>
      </c>
      <c r="B32" s="7" t="s">
        <v>224</v>
      </c>
      <c r="C32" s="7" t="s">
        <v>136</v>
      </c>
      <c r="D32" s="7">
        <v>2995176</v>
      </c>
      <c r="E32" s="7">
        <v>6447.1163399999996</v>
      </c>
      <c r="F32" s="7">
        <v>1.5720021122407821</v>
      </c>
    </row>
    <row r="33" spans="1:6" x14ac:dyDescent="0.2">
      <c r="A33" s="7" t="s">
        <v>228</v>
      </c>
      <c r="B33" s="7" t="s">
        <v>229</v>
      </c>
      <c r="C33" s="7" t="s">
        <v>25</v>
      </c>
      <c r="D33" s="7">
        <v>1158898</v>
      </c>
      <c r="E33" s="7">
        <v>6174.6085439999997</v>
      </c>
      <c r="F33" s="7">
        <v>1.5055564630043548</v>
      </c>
    </row>
    <row r="34" spans="1:6" x14ac:dyDescent="0.2">
      <c r="A34" s="7" t="s">
        <v>221</v>
      </c>
      <c r="B34" s="7" t="s">
        <v>222</v>
      </c>
      <c r="C34" s="7" t="s">
        <v>34</v>
      </c>
      <c r="D34" s="7">
        <v>907174</v>
      </c>
      <c r="E34" s="7">
        <v>4762.2099129999997</v>
      </c>
      <c r="F34" s="7">
        <v>1.1611709247005757</v>
      </c>
    </row>
    <row r="35" spans="1:6" x14ac:dyDescent="0.2">
      <c r="A35" s="7" t="s">
        <v>35</v>
      </c>
      <c r="B35" s="7" t="s">
        <v>36</v>
      </c>
      <c r="C35" s="7" t="s">
        <v>37</v>
      </c>
      <c r="D35" s="7">
        <v>2746634</v>
      </c>
      <c r="E35" s="7">
        <v>4435.8139099999999</v>
      </c>
      <c r="F35" s="7">
        <v>1.0815856994488551</v>
      </c>
    </row>
    <row r="36" spans="1:6" x14ac:dyDescent="0.2">
      <c r="A36" s="7" t="s">
        <v>346</v>
      </c>
      <c r="B36" s="7" t="s">
        <v>347</v>
      </c>
      <c r="C36" s="7" t="s">
        <v>37</v>
      </c>
      <c r="D36" s="7">
        <v>137369</v>
      </c>
      <c r="E36" s="7">
        <v>4362.8394399999997</v>
      </c>
      <c r="F36" s="7">
        <v>1.0637923147897455</v>
      </c>
    </row>
    <row r="37" spans="1:6" x14ac:dyDescent="0.2">
      <c r="A37" s="7" t="s">
        <v>286</v>
      </c>
      <c r="B37" s="7" t="s">
        <v>287</v>
      </c>
      <c r="C37" s="7" t="s">
        <v>95</v>
      </c>
      <c r="D37" s="7">
        <v>600000</v>
      </c>
      <c r="E37" s="7">
        <v>4203.6000000000004</v>
      </c>
      <c r="F37" s="7">
        <v>1.024964919279765</v>
      </c>
    </row>
    <row r="38" spans="1:6" x14ac:dyDescent="0.2">
      <c r="A38" s="7" t="s">
        <v>267</v>
      </c>
      <c r="B38" s="7" t="s">
        <v>268</v>
      </c>
      <c r="C38" s="7" t="s">
        <v>269</v>
      </c>
      <c r="D38" s="7">
        <v>960704</v>
      </c>
      <c r="E38" s="7">
        <v>4107.0096000000003</v>
      </c>
      <c r="F38" s="7">
        <v>1.0014132560531972</v>
      </c>
    </row>
    <row r="39" spans="1:6" x14ac:dyDescent="0.2">
      <c r="A39" s="7" t="s">
        <v>247</v>
      </c>
      <c r="B39" s="7" t="s">
        <v>248</v>
      </c>
      <c r="C39" s="7" t="s">
        <v>17</v>
      </c>
      <c r="D39" s="7">
        <v>6320734</v>
      </c>
      <c r="E39" s="7">
        <v>3985.2227870000002</v>
      </c>
      <c r="F39" s="7">
        <v>0.97171794466393913</v>
      </c>
    </row>
    <row r="40" spans="1:6" x14ac:dyDescent="0.2">
      <c r="A40" s="7" t="s">
        <v>306</v>
      </c>
      <c r="B40" s="7" t="s">
        <v>307</v>
      </c>
      <c r="C40" s="7" t="s">
        <v>34</v>
      </c>
      <c r="D40" s="7">
        <v>646279</v>
      </c>
      <c r="E40" s="7">
        <v>3918.0664375000001</v>
      </c>
      <c r="F40" s="7">
        <v>0.95534319389212652</v>
      </c>
    </row>
    <row r="41" spans="1:6" x14ac:dyDescent="0.2">
      <c r="A41" s="7" t="s">
        <v>238</v>
      </c>
      <c r="B41" s="7" t="s">
        <v>239</v>
      </c>
      <c r="C41" s="7" t="s">
        <v>40</v>
      </c>
      <c r="D41" s="7">
        <v>2516044</v>
      </c>
      <c r="E41" s="7">
        <v>3826.902924</v>
      </c>
      <c r="F41" s="7">
        <v>0.93311476986134634</v>
      </c>
    </row>
    <row r="42" spans="1:6" x14ac:dyDescent="0.2">
      <c r="A42" s="7" t="s">
        <v>244</v>
      </c>
      <c r="B42" s="7" t="s">
        <v>245</v>
      </c>
      <c r="C42" s="7" t="s">
        <v>246</v>
      </c>
      <c r="D42" s="7">
        <v>402972</v>
      </c>
      <c r="E42" s="7">
        <v>3732.5281500000001</v>
      </c>
      <c r="F42" s="7">
        <v>0.91010334331863163</v>
      </c>
    </row>
    <row r="43" spans="1:6" x14ac:dyDescent="0.2">
      <c r="A43" s="7" t="s">
        <v>128</v>
      </c>
      <c r="B43" s="7" t="s">
        <v>129</v>
      </c>
      <c r="C43" s="7" t="s">
        <v>118</v>
      </c>
      <c r="D43" s="7">
        <v>614279</v>
      </c>
      <c r="E43" s="7">
        <v>3142.3442245000001</v>
      </c>
      <c r="F43" s="7">
        <v>0.76619863793269516</v>
      </c>
    </row>
    <row r="44" spans="1:6" x14ac:dyDescent="0.2">
      <c r="A44" s="7" t="s">
        <v>137</v>
      </c>
      <c r="B44" s="7" t="s">
        <v>138</v>
      </c>
      <c r="C44" s="7" t="s">
        <v>136</v>
      </c>
      <c r="D44" s="7">
        <v>2292178</v>
      </c>
      <c r="E44" s="7">
        <v>2889.2903689999998</v>
      </c>
      <c r="F44" s="7">
        <v>0.70449644824385926</v>
      </c>
    </row>
    <row r="45" spans="1:6" x14ac:dyDescent="0.2">
      <c r="A45" s="7" t="s">
        <v>260</v>
      </c>
      <c r="B45" s="7" t="s">
        <v>261</v>
      </c>
      <c r="C45" s="7" t="s">
        <v>14</v>
      </c>
      <c r="D45" s="7">
        <v>1075124</v>
      </c>
      <c r="E45" s="7">
        <v>2421.7168099999999</v>
      </c>
      <c r="F45" s="7">
        <v>0.5904878615187219</v>
      </c>
    </row>
    <row r="46" spans="1:6" x14ac:dyDescent="0.2">
      <c r="A46" s="7" t="s">
        <v>202</v>
      </c>
      <c r="B46" s="7" t="s">
        <v>203</v>
      </c>
      <c r="C46" s="7" t="s">
        <v>187</v>
      </c>
      <c r="D46" s="7">
        <v>920735</v>
      </c>
      <c r="E46" s="7">
        <v>2340.0480025000002</v>
      </c>
      <c r="F46" s="7">
        <v>0.57057453420715276</v>
      </c>
    </row>
    <row r="47" spans="1:6" x14ac:dyDescent="0.2">
      <c r="A47" s="7" t="s">
        <v>382</v>
      </c>
      <c r="B47" s="7" t="s">
        <v>383</v>
      </c>
      <c r="C47" s="7" t="s">
        <v>95</v>
      </c>
      <c r="D47" s="7">
        <v>199808</v>
      </c>
      <c r="E47" s="7">
        <v>2317.1733760000002</v>
      </c>
      <c r="F47" s="7">
        <v>0.56499700787160057</v>
      </c>
    </row>
    <row r="48" spans="1:6" x14ac:dyDescent="0.2">
      <c r="A48" s="7" t="s">
        <v>270</v>
      </c>
      <c r="B48" s="7" t="s">
        <v>271</v>
      </c>
      <c r="C48" s="7" t="s">
        <v>25</v>
      </c>
      <c r="D48" s="7">
        <v>1695647</v>
      </c>
      <c r="E48" s="7">
        <v>1791.4510554999999</v>
      </c>
      <c r="F48" s="7">
        <v>0.43680999298082757</v>
      </c>
    </row>
    <row r="49" spans="1:6" x14ac:dyDescent="0.2">
      <c r="A49" s="7" t="s">
        <v>278</v>
      </c>
      <c r="B49" s="7" t="s">
        <v>279</v>
      </c>
      <c r="C49" s="7" t="s">
        <v>255</v>
      </c>
      <c r="D49" s="7">
        <v>1278633</v>
      </c>
      <c r="E49" s="7">
        <v>1704.4177890000001</v>
      </c>
      <c r="F49" s="7">
        <v>0.41558864818759639</v>
      </c>
    </row>
    <row r="50" spans="1:6" x14ac:dyDescent="0.2">
      <c r="A50" s="7" t="s">
        <v>272</v>
      </c>
      <c r="B50" s="7" t="s">
        <v>273</v>
      </c>
      <c r="C50" s="7" t="s">
        <v>80</v>
      </c>
      <c r="D50" s="7">
        <v>421054</v>
      </c>
      <c r="E50" s="7">
        <v>1701.479214</v>
      </c>
      <c r="F50" s="7">
        <v>0.41487213465451217</v>
      </c>
    </row>
    <row r="51" spans="1:6" x14ac:dyDescent="0.2">
      <c r="A51" s="7" t="s">
        <v>274</v>
      </c>
      <c r="B51" s="7" t="s">
        <v>275</v>
      </c>
      <c r="C51" s="7" t="s">
        <v>72</v>
      </c>
      <c r="D51" s="7">
        <v>3057159</v>
      </c>
      <c r="E51" s="7">
        <v>1687.551768</v>
      </c>
      <c r="F51" s="7">
        <v>0.41147620174815502</v>
      </c>
    </row>
    <row r="52" spans="1:6" x14ac:dyDescent="0.2">
      <c r="A52" s="7" t="s">
        <v>152</v>
      </c>
      <c r="B52" s="7" t="s">
        <v>153</v>
      </c>
      <c r="C52" s="7" t="s">
        <v>145</v>
      </c>
      <c r="D52" s="7">
        <v>1774842</v>
      </c>
      <c r="E52" s="7">
        <v>1597.3578</v>
      </c>
      <c r="F52" s="7">
        <v>0.38948418225756554</v>
      </c>
    </row>
    <row r="53" spans="1:6" x14ac:dyDescent="0.2">
      <c r="A53" s="7" t="s">
        <v>154</v>
      </c>
      <c r="B53" s="7" t="s">
        <v>623</v>
      </c>
      <c r="C53" s="7" t="s">
        <v>37</v>
      </c>
      <c r="D53" s="7">
        <v>1791828</v>
      </c>
      <c r="E53" s="7">
        <v>1278.469278</v>
      </c>
      <c r="F53" s="7">
        <v>0.31172950811850064</v>
      </c>
    </row>
    <row r="54" spans="1:6" x14ac:dyDescent="0.2">
      <c r="A54" s="7" t="s">
        <v>294</v>
      </c>
      <c r="B54" s="7" t="s">
        <v>295</v>
      </c>
      <c r="C54" s="7" t="s">
        <v>37</v>
      </c>
      <c r="D54" s="7">
        <v>265282</v>
      </c>
      <c r="E54" s="7">
        <v>1266.0583449999999</v>
      </c>
      <c r="F54" s="7">
        <v>0.30870334698505986</v>
      </c>
    </row>
    <row r="55" spans="1:6" x14ac:dyDescent="0.2">
      <c r="A55" s="7" t="s">
        <v>560</v>
      </c>
      <c r="B55" s="7" t="s">
        <v>561</v>
      </c>
      <c r="C55" s="7" t="s">
        <v>25</v>
      </c>
      <c r="D55" s="7">
        <v>160000</v>
      </c>
      <c r="E55" s="7">
        <v>763.92</v>
      </c>
      <c r="F55" s="7">
        <v>0.18626681918741028</v>
      </c>
    </row>
    <row r="56" spans="1:6" x14ac:dyDescent="0.2">
      <c r="A56" s="7" t="s">
        <v>280</v>
      </c>
      <c r="B56" s="7" t="s">
        <v>281</v>
      </c>
      <c r="C56" s="7" t="s">
        <v>72</v>
      </c>
      <c r="D56" s="7">
        <v>2436728</v>
      </c>
      <c r="E56" s="7">
        <v>310.68281999999999</v>
      </c>
      <c r="F56" s="7">
        <v>7.5753875612072905E-2</v>
      </c>
    </row>
    <row r="57" spans="1:6" x14ac:dyDescent="0.2">
      <c r="A57" s="6" t="s">
        <v>44</v>
      </c>
      <c r="B57" s="7"/>
      <c r="C57" s="7"/>
      <c r="D57" s="7"/>
      <c r="E57" s="6">
        <f xml:space="preserve"> SUM(E8:E56)</f>
        <v>376174.32324650011</v>
      </c>
      <c r="F57" s="6">
        <f>SUM(F8:F56)</f>
        <v>91.72268647384837</v>
      </c>
    </row>
    <row r="58" spans="1:6" x14ac:dyDescent="0.2">
      <c r="A58" s="7"/>
      <c r="B58" s="7"/>
      <c r="C58" s="7"/>
      <c r="D58" s="7"/>
      <c r="E58" s="7"/>
      <c r="F58" s="7"/>
    </row>
    <row r="59" spans="1:6" x14ac:dyDescent="0.2">
      <c r="A59" s="6" t="s">
        <v>324</v>
      </c>
      <c r="B59" s="7"/>
      <c r="C59" s="7"/>
      <c r="D59" s="21"/>
      <c r="E59" s="14"/>
      <c r="F59" s="7"/>
    </row>
    <row r="60" spans="1:6" x14ac:dyDescent="0.2">
      <c r="A60" s="7" t="s">
        <v>594</v>
      </c>
      <c r="B60" s="7" t="s">
        <v>595</v>
      </c>
      <c r="C60" s="7" t="s">
        <v>80</v>
      </c>
      <c r="D60" s="21">
        <v>30000</v>
      </c>
      <c r="E60" s="14">
        <v>3.0000000000000001E-3</v>
      </c>
      <c r="F60" s="20" t="s">
        <v>624</v>
      </c>
    </row>
    <row r="61" spans="1:6" x14ac:dyDescent="0.2">
      <c r="A61" s="7" t="s">
        <v>328</v>
      </c>
      <c r="B61" s="7" t="s">
        <v>329</v>
      </c>
      <c r="C61" s="7" t="s">
        <v>622</v>
      </c>
      <c r="D61" s="21">
        <v>3500</v>
      </c>
      <c r="E61" s="14">
        <v>3.5E-4</v>
      </c>
      <c r="F61" s="20" t="s">
        <v>624</v>
      </c>
    </row>
    <row r="62" spans="1:6" x14ac:dyDescent="0.2">
      <c r="A62" s="7" t="s">
        <v>325</v>
      </c>
      <c r="B62" s="7" t="s">
        <v>326</v>
      </c>
      <c r="C62" s="7" t="s">
        <v>25</v>
      </c>
      <c r="D62" s="21">
        <v>2900</v>
      </c>
      <c r="E62" s="14">
        <v>2.9E-4</v>
      </c>
      <c r="F62" s="20" t="s">
        <v>624</v>
      </c>
    </row>
    <row r="63" spans="1:6" x14ac:dyDescent="0.2">
      <c r="A63" s="6" t="s">
        <v>44</v>
      </c>
      <c r="B63" s="7"/>
      <c r="C63" s="7"/>
      <c r="D63" s="7"/>
      <c r="E63" s="6">
        <v>0</v>
      </c>
      <c r="F63" s="6">
        <v>0</v>
      </c>
    </row>
    <row r="64" spans="1:6" x14ac:dyDescent="0.2">
      <c r="A64" s="7"/>
      <c r="B64" s="7"/>
      <c r="C64" s="7"/>
      <c r="D64" s="7"/>
      <c r="E64" s="7"/>
      <c r="F64" s="7"/>
    </row>
    <row r="65" spans="1:6" x14ac:dyDescent="0.2">
      <c r="A65" s="6" t="s">
        <v>44</v>
      </c>
      <c r="B65" s="7"/>
      <c r="C65" s="7"/>
      <c r="D65" s="7"/>
      <c r="E65" s="6">
        <v>376174.32688650012</v>
      </c>
      <c r="F65" s="6">
        <v>91.722687361390541</v>
      </c>
    </row>
    <row r="66" spans="1:6" x14ac:dyDescent="0.2">
      <c r="A66" s="7"/>
      <c r="B66" s="7"/>
      <c r="C66" s="7"/>
      <c r="D66" s="7"/>
      <c r="E66" s="7"/>
      <c r="F66" s="7"/>
    </row>
    <row r="67" spans="1:6" x14ac:dyDescent="0.2">
      <c r="A67" s="6" t="s">
        <v>103</v>
      </c>
      <c r="B67" s="7"/>
      <c r="C67" s="7"/>
      <c r="D67" s="7"/>
      <c r="E67" s="6">
        <v>33947.0266281</v>
      </c>
      <c r="F67" s="6">
        <v>8.2799999999999994</v>
      </c>
    </row>
    <row r="68" spans="1:6" x14ac:dyDescent="0.2">
      <c r="A68" s="7"/>
      <c r="B68" s="7"/>
      <c r="C68" s="7"/>
      <c r="D68" s="7"/>
      <c r="E68" s="7"/>
      <c r="F68" s="7"/>
    </row>
    <row r="69" spans="1:6" x14ac:dyDescent="0.2">
      <c r="A69" s="8" t="s">
        <v>104</v>
      </c>
      <c r="B69" s="5"/>
      <c r="C69" s="5"/>
      <c r="D69" s="5"/>
      <c r="E69" s="8">
        <v>410121.35351460014</v>
      </c>
      <c r="F69" s="8">
        <f xml:space="preserve"> ROUND(SUM(F65:F68),2)</f>
        <v>100</v>
      </c>
    </row>
    <row r="70" spans="1:6" x14ac:dyDescent="0.2">
      <c r="F70" s="11" t="s">
        <v>625</v>
      </c>
    </row>
    <row r="71" spans="1:6" x14ac:dyDescent="0.2">
      <c r="A71" s="4" t="s">
        <v>105</v>
      </c>
      <c r="B71" s="2"/>
      <c r="C71" s="2"/>
      <c r="D71" s="2"/>
    </row>
    <row r="72" spans="1:6" x14ac:dyDescent="0.2">
      <c r="A72" s="4" t="s">
        <v>106</v>
      </c>
      <c r="B72" s="2"/>
      <c r="C72" s="2"/>
      <c r="D72" s="2"/>
    </row>
    <row r="73" spans="1:6" x14ac:dyDescent="0.2">
      <c r="A73" s="4" t="s">
        <v>107</v>
      </c>
      <c r="B73" s="2"/>
      <c r="C73" s="2"/>
      <c r="D73" s="2"/>
    </row>
    <row r="74" spans="1:6" x14ac:dyDescent="0.2">
      <c r="A74" s="2" t="s">
        <v>666</v>
      </c>
      <c r="B74" s="2"/>
      <c r="C74" s="2"/>
      <c r="D74" s="10">
        <v>578.60239999999999</v>
      </c>
      <c r="E74" s="2"/>
    </row>
    <row r="75" spans="1:6" x14ac:dyDescent="0.2">
      <c r="A75" s="2" t="s">
        <v>667</v>
      </c>
      <c r="B75" s="2"/>
      <c r="C75" s="2"/>
      <c r="D75" s="10">
        <v>41.688499999999998</v>
      </c>
      <c r="E75" s="2"/>
    </row>
    <row r="76" spans="1:6" x14ac:dyDescent="0.2">
      <c r="A76" s="2" t="s">
        <v>668</v>
      </c>
      <c r="B76" s="2"/>
      <c r="C76" s="2"/>
      <c r="D76" s="10">
        <v>612.08569999999997</v>
      </c>
      <c r="E76" s="2"/>
    </row>
    <row r="77" spans="1:6" x14ac:dyDescent="0.2">
      <c r="A77" s="2" t="s">
        <v>669</v>
      </c>
      <c r="B77" s="2"/>
      <c r="C77" s="2"/>
      <c r="D77" s="10">
        <v>44.9069</v>
      </c>
      <c r="E77" s="2"/>
    </row>
    <row r="78" spans="1:6" x14ac:dyDescent="0.2">
      <c r="A78" s="2"/>
      <c r="B78" s="2"/>
      <c r="C78" s="2"/>
      <c r="D78" s="10"/>
      <c r="E78" s="2"/>
    </row>
    <row r="79" spans="1:6" x14ac:dyDescent="0.2">
      <c r="A79" s="4" t="s">
        <v>108</v>
      </c>
      <c r="B79" s="2"/>
      <c r="C79" s="2"/>
      <c r="D79" s="2"/>
      <c r="E79" s="2"/>
    </row>
    <row r="80" spans="1:6" x14ac:dyDescent="0.2">
      <c r="A80" s="2" t="s">
        <v>666</v>
      </c>
      <c r="B80" s="2"/>
      <c r="C80" s="2"/>
      <c r="D80" s="10">
        <v>573.11869999999999</v>
      </c>
      <c r="E80" s="2"/>
    </row>
    <row r="81" spans="1:5" x14ac:dyDescent="0.2">
      <c r="A81" s="2" t="s">
        <v>667</v>
      </c>
      <c r="B81" s="2"/>
      <c r="C81" s="2"/>
      <c r="D81" s="10">
        <v>41.293399999999998</v>
      </c>
      <c r="E81" s="2"/>
    </row>
    <row r="82" spans="1:5" x14ac:dyDescent="0.2">
      <c r="A82" s="2" t="s">
        <v>668</v>
      </c>
      <c r="B82" s="2"/>
      <c r="C82" s="2"/>
      <c r="D82" s="10">
        <v>609.2355</v>
      </c>
      <c r="E82" s="2"/>
    </row>
    <row r="83" spans="1:5" x14ac:dyDescent="0.2">
      <c r="A83" s="2" t="s">
        <v>669</v>
      </c>
      <c r="B83" s="2"/>
      <c r="C83" s="2"/>
      <c r="D83" s="10">
        <v>44.697499999999998</v>
      </c>
      <c r="E83" s="2"/>
    </row>
    <row r="84" spans="1:5" x14ac:dyDescent="0.2">
      <c r="A84" s="2"/>
      <c r="B84" s="2"/>
      <c r="C84" s="2"/>
      <c r="D84" s="2"/>
    </row>
    <row r="85" spans="1:5" x14ac:dyDescent="0.2">
      <c r="A85" s="4" t="s">
        <v>109</v>
      </c>
      <c r="B85" s="2"/>
      <c r="C85" s="2"/>
      <c r="D85" s="30" t="s">
        <v>110</v>
      </c>
    </row>
    <row r="86" spans="1:5" x14ac:dyDescent="0.2">
      <c r="A86" s="4"/>
      <c r="B86" s="2"/>
      <c r="C86" s="2"/>
      <c r="D86" s="30"/>
    </row>
    <row r="87" spans="1:5" x14ac:dyDescent="0.2">
      <c r="A87" s="9" t="s">
        <v>674</v>
      </c>
      <c r="B87" s="2"/>
      <c r="C87" s="2"/>
      <c r="D87" s="37">
        <v>9.9057099953733768E-2</v>
      </c>
    </row>
    <row r="88" spans="1:5" x14ac:dyDescent="0.2">
      <c r="A88" s="2"/>
      <c r="B88" s="2"/>
      <c r="C88" s="2"/>
      <c r="D88" s="2"/>
    </row>
    <row r="89" spans="1:5" x14ac:dyDescent="0.2">
      <c r="A89" s="2"/>
      <c r="B89" s="2"/>
      <c r="C89" s="2"/>
      <c r="D89" s="2"/>
    </row>
  </sheetData>
  <mergeCells count="1">
    <mergeCell ref="A1:F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C856-DC23-47A2-874D-E069D7CEF1FF}">
  <sheetPr codeName="Sheet3"/>
  <dimension ref="A1:F69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7.7109375" style="1" bestFit="1" customWidth="1"/>
    <col min="3" max="3" width="26.4257812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592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194</v>
      </c>
      <c r="B8" s="7" t="s">
        <v>195</v>
      </c>
      <c r="C8" s="7" t="s">
        <v>80</v>
      </c>
      <c r="D8" s="7">
        <v>869807</v>
      </c>
      <c r="E8" s="7">
        <v>6056.9010449999996</v>
      </c>
      <c r="F8" s="7">
        <f>E8/$E$44*100</f>
        <v>25.126714723249975</v>
      </c>
    </row>
    <row r="9" spans="1:6" x14ac:dyDescent="0.2">
      <c r="A9" s="7" t="s">
        <v>190</v>
      </c>
      <c r="B9" s="7" t="s">
        <v>191</v>
      </c>
      <c r="C9" s="7" t="s">
        <v>80</v>
      </c>
      <c r="D9" s="7">
        <v>192755</v>
      </c>
      <c r="E9" s="7">
        <v>2173.6017579999998</v>
      </c>
      <c r="F9" s="7">
        <f t="shared" ref="F9:F19" si="0">E9/$E$44*100</f>
        <v>9.0170651442796732</v>
      </c>
    </row>
    <row r="10" spans="1:6" x14ac:dyDescent="0.2">
      <c r="A10" s="7" t="s">
        <v>258</v>
      </c>
      <c r="B10" s="7" t="s">
        <v>259</v>
      </c>
      <c r="C10" s="7" t="s">
        <v>80</v>
      </c>
      <c r="D10" s="7">
        <v>271024</v>
      </c>
      <c r="E10" s="7">
        <v>2063.7122479999998</v>
      </c>
      <c r="F10" s="7">
        <f t="shared" si="0"/>
        <v>8.5611946672265482</v>
      </c>
    </row>
    <row r="11" spans="1:6" x14ac:dyDescent="0.2">
      <c r="A11" s="7" t="s">
        <v>119</v>
      </c>
      <c r="B11" s="7" t="s">
        <v>120</v>
      </c>
      <c r="C11" s="7" t="s">
        <v>43</v>
      </c>
      <c r="D11" s="7">
        <v>416350</v>
      </c>
      <c r="E11" s="7">
        <v>1842.1405749999999</v>
      </c>
      <c r="F11" s="7">
        <f t="shared" si="0"/>
        <v>7.642016992560702</v>
      </c>
    </row>
    <row r="12" spans="1:6" x14ac:dyDescent="0.2">
      <c r="A12" s="7" t="s">
        <v>408</v>
      </c>
      <c r="B12" s="7" t="s">
        <v>409</v>
      </c>
      <c r="C12" s="7" t="s">
        <v>80</v>
      </c>
      <c r="D12" s="7">
        <v>73819</v>
      </c>
      <c r="E12" s="7">
        <v>1515.6886179999999</v>
      </c>
      <c r="F12" s="7">
        <f t="shared" si="0"/>
        <v>6.2877493343236557</v>
      </c>
    </row>
    <row r="13" spans="1:6" x14ac:dyDescent="0.2">
      <c r="A13" s="7" t="s">
        <v>444</v>
      </c>
      <c r="B13" s="7" t="s">
        <v>445</v>
      </c>
      <c r="C13" s="7" t="s">
        <v>80</v>
      </c>
      <c r="D13" s="7">
        <v>46300</v>
      </c>
      <c r="E13" s="7">
        <v>1219.42625</v>
      </c>
      <c r="F13" s="7">
        <f t="shared" si="0"/>
        <v>5.0587214950599391</v>
      </c>
    </row>
    <row r="14" spans="1:6" x14ac:dyDescent="0.2">
      <c r="A14" s="7" t="s">
        <v>272</v>
      </c>
      <c r="B14" s="7" t="s">
        <v>273</v>
      </c>
      <c r="C14" s="7" t="s">
        <v>80</v>
      </c>
      <c r="D14" s="7">
        <v>210143</v>
      </c>
      <c r="E14" s="7">
        <v>849.18786299999999</v>
      </c>
      <c r="F14" s="7">
        <f t="shared" si="0"/>
        <v>3.5228082845535877</v>
      </c>
    </row>
    <row r="15" spans="1:6" x14ac:dyDescent="0.2">
      <c r="A15" s="7" t="s">
        <v>588</v>
      </c>
      <c r="B15" s="7" t="s">
        <v>589</v>
      </c>
      <c r="C15" s="7" t="s">
        <v>80</v>
      </c>
      <c r="D15" s="7">
        <v>30056</v>
      </c>
      <c r="E15" s="7">
        <v>507.841204</v>
      </c>
      <c r="F15" s="7">
        <f t="shared" si="0"/>
        <v>2.1067507893584541</v>
      </c>
    </row>
    <row r="16" spans="1:6" x14ac:dyDescent="0.2">
      <c r="A16" s="7" t="s">
        <v>544</v>
      </c>
      <c r="B16" s="7" t="s">
        <v>545</v>
      </c>
      <c r="C16" s="7" t="s">
        <v>80</v>
      </c>
      <c r="D16" s="7">
        <v>72108</v>
      </c>
      <c r="E16" s="7">
        <v>382.64110199999999</v>
      </c>
      <c r="F16" s="7">
        <f t="shared" si="0"/>
        <v>1.5873651789772629</v>
      </c>
    </row>
    <row r="17" spans="1:6" x14ac:dyDescent="0.2">
      <c r="A17" s="7" t="s">
        <v>41</v>
      </c>
      <c r="B17" s="7" t="s">
        <v>42</v>
      </c>
      <c r="C17" s="7" t="s">
        <v>43</v>
      </c>
      <c r="D17" s="7">
        <v>4779197</v>
      </c>
      <c r="E17" s="7">
        <v>327.37499450000001</v>
      </c>
      <c r="F17" s="7">
        <f t="shared" si="0"/>
        <v>1.3580968276041945</v>
      </c>
    </row>
    <row r="18" spans="1:6" x14ac:dyDescent="0.2">
      <c r="A18" s="7" t="s">
        <v>274</v>
      </c>
      <c r="B18" s="7" t="s">
        <v>275</v>
      </c>
      <c r="C18" s="7" t="s">
        <v>72</v>
      </c>
      <c r="D18" s="7">
        <v>464787</v>
      </c>
      <c r="E18" s="7">
        <v>256.56242400000002</v>
      </c>
      <c r="F18" s="7">
        <f t="shared" si="0"/>
        <v>1.0643348452712758</v>
      </c>
    </row>
    <row r="19" spans="1:6" x14ac:dyDescent="0.2">
      <c r="A19" s="7" t="s">
        <v>554</v>
      </c>
      <c r="B19" s="7" t="s">
        <v>555</v>
      </c>
      <c r="C19" s="7" t="s">
        <v>72</v>
      </c>
      <c r="D19" s="7">
        <v>339294</v>
      </c>
      <c r="E19" s="7">
        <v>98.225612999999996</v>
      </c>
      <c r="F19" s="7">
        <f t="shared" si="0"/>
        <v>0.40748345367219951</v>
      </c>
    </row>
    <row r="20" spans="1:6" x14ac:dyDescent="0.2">
      <c r="A20" s="6" t="s">
        <v>44</v>
      </c>
      <c r="B20" s="7"/>
      <c r="C20" s="7"/>
      <c r="D20" s="7"/>
      <c r="E20" s="6">
        <f>SUM(E8:E19)</f>
        <v>17293.303694499999</v>
      </c>
      <c r="F20" s="6">
        <f>SUM(F8:F19)</f>
        <v>71.740301736137468</v>
      </c>
    </row>
    <row r="21" spans="1:6" x14ac:dyDescent="0.2">
      <c r="A21" s="6"/>
      <c r="B21" s="7"/>
      <c r="C21" s="7"/>
      <c r="D21" s="7"/>
      <c r="E21" s="6"/>
      <c r="F21" s="6"/>
    </row>
    <row r="22" spans="1:6" x14ac:dyDescent="0.2">
      <c r="A22" s="6" t="s">
        <v>324</v>
      </c>
      <c r="B22" s="7"/>
      <c r="C22" s="7"/>
      <c r="D22" s="22"/>
      <c r="E22" s="14"/>
      <c r="F22" s="7"/>
    </row>
    <row r="23" spans="1:6" x14ac:dyDescent="0.2">
      <c r="A23" s="7" t="s">
        <v>325</v>
      </c>
      <c r="B23" s="7" t="s">
        <v>462</v>
      </c>
      <c r="C23" s="7" t="s">
        <v>80</v>
      </c>
      <c r="D23" s="22">
        <v>970000</v>
      </c>
      <c r="E23" s="14">
        <v>9.7000000000000003E-2</v>
      </c>
      <c r="F23" s="23" t="s">
        <v>624</v>
      </c>
    </row>
    <row r="24" spans="1:6" x14ac:dyDescent="0.2">
      <c r="A24" s="6" t="s">
        <v>44</v>
      </c>
      <c r="B24" s="7"/>
      <c r="C24" s="7"/>
      <c r="D24" s="22"/>
      <c r="E24" s="19">
        <f>SUM(E23)</f>
        <v>9.7000000000000003E-2</v>
      </c>
      <c r="F24" s="24">
        <v>0</v>
      </c>
    </row>
    <row r="25" spans="1:6" x14ac:dyDescent="0.2">
      <c r="A25" s="7"/>
      <c r="B25" s="7"/>
      <c r="C25" s="7"/>
      <c r="D25" s="7"/>
      <c r="E25" s="7"/>
      <c r="F25" s="7"/>
    </row>
    <row r="26" spans="1:6" x14ac:dyDescent="0.2">
      <c r="A26" s="6" t="s">
        <v>45</v>
      </c>
      <c r="B26" s="7"/>
      <c r="C26" s="7"/>
      <c r="D26" s="7"/>
      <c r="E26" s="7"/>
      <c r="F26" s="7"/>
    </row>
    <row r="27" spans="1:6" x14ac:dyDescent="0.2">
      <c r="A27" s="7" t="s">
        <v>620</v>
      </c>
      <c r="B27" s="7" t="s">
        <v>621</v>
      </c>
      <c r="C27" s="7" t="s">
        <v>80</v>
      </c>
      <c r="D27" s="25">
        <v>35000</v>
      </c>
      <c r="E27" s="25">
        <v>1611.868571</v>
      </c>
      <c r="F27" s="7">
        <f t="shared" ref="F27:F33" si="1">E27/$E$44*100</f>
        <v>6.6867464820683065</v>
      </c>
    </row>
    <row r="28" spans="1:6" x14ac:dyDescent="0.2">
      <c r="A28" s="7" t="s">
        <v>91</v>
      </c>
      <c r="B28" s="7" t="s">
        <v>92</v>
      </c>
      <c r="C28" s="7" t="s">
        <v>77</v>
      </c>
      <c r="D28" s="25">
        <v>88000</v>
      </c>
      <c r="E28" s="25">
        <v>631.89933310000004</v>
      </c>
      <c r="F28" s="7">
        <f t="shared" si="1"/>
        <v>2.6213989891287075</v>
      </c>
    </row>
    <row r="29" spans="1:6" x14ac:dyDescent="0.2">
      <c r="A29" s="7" t="s">
        <v>634</v>
      </c>
      <c r="B29" s="7" t="s">
        <v>631</v>
      </c>
      <c r="C29" s="7" t="s">
        <v>77</v>
      </c>
      <c r="D29" s="25">
        <v>17000</v>
      </c>
      <c r="E29" s="25">
        <v>520.71468920000007</v>
      </c>
      <c r="F29" s="7">
        <f t="shared" si="1"/>
        <v>2.1601557216350686</v>
      </c>
    </row>
    <row r="30" spans="1:6" x14ac:dyDescent="0.2">
      <c r="A30" s="7" t="s">
        <v>590</v>
      </c>
      <c r="B30" s="7" t="s">
        <v>591</v>
      </c>
      <c r="C30" s="7" t="s">
        <v>80</v>
      </c>
      <c r="D30" s="25">
        <v>19000</v>
      </c>
      <c r="E30" s="25">
        <v>421.87948969999997</v>
      </c>
      <c r="F30" s="7">
        <f t="shared" si="1"/>
        <v>1.7501434325120586</v>
      </c>
    </row>
    <row r="31" spans="1:6" x14ac:dyDescent="0.2">
      <c r="A31" s="7" t="s">
        <v>633</v>
      </c>
      <c r="B31" s="7" t="s">
        <v>630</v>
      </c>
      <c r="C31" s="7" t="s">
        <v>635</v>
      </c>
      <c r="D31" s="25">
        <v>6000</v>
      </c>
      <c r="E31" s="25">
        <v>360.10861439999996</v>
      </c>
      <c r="F31" s="7">
        <f t="shared" si="1"/>
        <v>1.4938904162687419</v>
      </c>
    </row>
    <row r="32" spans="1:6" x14ac:dyDescent="0.2">
      <c r="A32" s="7" t="s">
        <v>632</v>
      </c>
      <c r="B32" s="7" t="s">
        <v>629</v>
      </c>
      <c r="C32" s="7" t="s">
        <v>77</v>
      </c>
      <c r="D32" s="25">
        <v>2000</v>
      </c>
      <c r="E32" s="25">
        <v>311.39015000000001</v>
      </c>
      <c r="F32" s="7">
        <f t="shared" si="1"/>
        <v>1.2917845955464209</v>
      </c>
    </row>
    <row r="33" spans="1:6" x14ac:dyDescent="0.2">
      <c r="A33" s="7" t="s">
        <v>75</v>
      </c>
      <c r="B33" s="7" t="s">
        <v>76</v>
      </c>
      <c r="C33" s="7" t="s">
        <v>77</v>
      </c>
      <c r="D33" s="25">
        <v>23000</v>
      </c>
      <c r="E33" s="25">
        <v>270.86194109999997</v>
      </c>
      <c r="F33" s="7">
        <f t="shared" si="1"/>
        <v>1.1236555910094843</v>
      </c>
    </row>
    <row r="34" spans="1:6" x14ac:dyDescent="0.2">
      <c r="A34" s="6" t="s">
        <v>44</v>
      </c>
      <c r="B34" s="7"/>
      <c r="C34" s="7"/>
      <c r="D34" s="7"/>
      <c r="E34" s="6">
        <f>SUM(E27:E33)</f>
        <v>4128.7227885000002</v>
      </c>
      <c r="F34" s="6">
        <f>SUM(F27:F33)</f>
        <v>17.12777522816879</v>
      </c>
    </row>
    <row r="35" spans="1:6" x14ac:dyDescent="0.2">
      <c r="A35" s="7"/>
      <c r="B35" s="7"/>
      <c r="C35" s="7"/>
      <c r="D35" s="7"/>
      <c r="E35" s="7"/>
      <c r="F35" s="7"/>
    </row>
    <row r="36" spans="1:6" x14ac:dyDescent="0.2">
      <c r="A36" s="6" t="s">
        <v>626</v>
      </c>
      <c r="B36" s="7"/>
      <c r="C36" s="7"/>
      <c r="D36" s="21"/>
      <c r="E36" s="14"/>
      <c r="F36" s="7"/>
    </row>
    <row r="37" spans="1:6" x14ac:dyDescent="0.2">
      <c r="A37" s="7" t="s">
        <v>627</v>
      </c>
      <c r="B37" s="7" t="s">
        <v>628</v>
      </c>
      <c r="C37" s="7" t="s">
        <v>603</v>
      </c>
      <c r="D37" s="38">
        <v>102868.481</v>
      </c>
      <c r="E37" s="14">
        <v>2426.7290069999999</v>
      </c>
      <c r="F37" s="7">
        <f t="shared" ref="F37" si="2">E37/$E$44*100</f>
        <v>10.067149358476055</v>
      </c>
    </row>
    <row r="38" spans="1:6" x14ac:dyDescent="0.2">
      <c r="A38" s="7"/>
      <c r="B38" s="7"/>
      <c r="C38" s="7"/>
      <c r="D38" s="21"/>
      <c r="E38" s="17">
        <f>SUM(E37)</f>
        <v>2426.7290069999999</v>
      </c>
      <c r="F38" s="17">
        <f>SUM(F37)</f>
        <v>10.067149358476055</v>
      </c>
    </row>
    <row r="39" spans="1:6" x14ac:dyDescent="0.2">
      <c r="A39" s="7"/>
      <c r="B39" s="7"/>
      <c r="C39" s="7"/>
      <c r="D39" s="7"/>
      <c r="E39" s="7"/>
      <c r="F39" s="7"/>
    </row>
    <row r="40" spans="1:6" x14ac:dyDescent="0.2">
      <c r="A40" s="6" t="s">
        <v>44</v>
      </c>
      <c r="B40" s="7"/>
      <c r="C40" s="7"/>
      <c r="D40" s="7"/>
      <c r="E40" s="6">
        <f>E20+E24+E34+E38</f>
        <v>23848.852489999997</v>
      </c>
      <c r="F40" s="6">
        <f>F20+F24+F34+F38</f>
        <v>98.935226322782313</v>
      </c>
    </row>
    <row r="41" spans="1:6" x14ac:dyDescent="0.2">
      <c r="A41" s="7"/>
      <c r="B41" s="7"/>
      <c r="C41" s="7"/>
      <c r="D41" s="7"/>
      <c r="E41" s="7"/>
      <c r="F41" s="7"/>
    </row>
    <row r="42" spans="1:6" x14ac:dyDescent="0.2">
      <c r="A42" s="6" t="s">
        <v>103</v>
      </c>
      <c r="B42" s="7"/>
      <c r="C42" s="7"/>
      <c r="D42" s="7"/>
      <c r="E42" s="6">
        <v>256.57120629999997</v>
      </c>
      <c r="F42" s="6">
        <f t="shared" ref="F42" si="3">E42/$E$44*100</f>
        <v>1.0643712781509074</v>
      </c>
    </row>
    <row r="43" spans="1:6" x14ac:dyDescent="0.2">
      <c r="A43" s="7"/>
      <c r="B43" s="7"/>
      <c r="C43" s="7"/>
      <c r="D43" s="7"/>
      <c r="E43" s="7"/>
      <c r="F43" s="7"/>
    </row>
    <row r="44" spans="1:6" x14ac:dyDescent="0.2">
      <c r="A44" s="8" t="s">
        <v>104</v>
      </c>
      <c r="B44" s="5"/>
      <c r="C44" s="5"/>
      <c r="D44" s="5"/>
      <c r="E44" s="8">
        <f>E40+E42</f>
        <v>24105.423696299997</v>
      </c>
      <c r="F44" s="8">
        <f xml:space="preserve"> ROUND(SUM(F40:F43),2)</f>
        <v>100</v>
      </c>
    </row>
    <row r="45" spans="1:6" x14ac:dyDescent="0.2">
      <c r="F45" s="11" t="s">
        <v>625</v>
      </c>
    </row>
    <row r="46" spans="1:6" x14ac:dyDescent="0.2">
      <c r="A46" s="4" t="s">
        <v>105</v>
      </c>
      <c r="B46" s="2"/>
      <c r="C46" s="2"/>
      <c r="D46" s="2"/>
    </row>
    <row r="47" spans="1:6" x14ac:dyDescent="0.2">
      <c r="A47" s="4" t="s">
        <v>106</v>
      </c>
      <c r="B47" s="2"/>
      <c r="C47" s="2"/>
      <c r="D47" s="2"/>
    </row>
    <row r="48" spans="1:6" x14ac:dyDescent="0.2">
      <c r="A48" s="4" t="s">
        <v>107</v>
      </c>
      <c r="B48" s="2"/>
      <c r="C48" s="2"/>
      <c r="D48" s="2"/>
    </row>
    <row r="49" spans="1:5" x14ac:dyDescent="0.2">
      <c r="A49" s="2" t="s">
        <v>666</v>
      </c>
      <c r="B49" s="2"/>
      <c r="C49" s="2"/>
      <c r="D49" s="10">
        <v>160.84819999999999</v>
      </c>
      <c r="E49" s="2"/>
    </row>
    <row r="50" spans="1:5" x14ac:dyDescent="0.2">
      <c r="A50" s="2" t="s">
        <v>667</v>
      </c>
      <c r="B50" s="2"/>
      <c r="C50" s="2"/>
      <c r="D50" s="10">
        <v>25.4785</v>
      </c>
      <c r="E50" s="2"/>
    </row>
    <row r="51" spans="1:5" x14ac:dyDescent="0.2">
      <c r="A51" s="2" t="s">
        <v>668</v>
      </c>
      <c r="B51" s="2"/>
      <c r="C51" s="2"/>
      <c r="D51" s="10">
        <v>166.84129999999999</v>
      </c>
      <c r="E51" s="2"/>
    </row>
    <row r="52" spans="1:5" x14ac:dyDescent="0.2">
      <c r="A52" s="2" t="s">
        <v>669</v>
      </c>
      <c r="B52" s="2"/>
      <c r="C52" s="2"/>
      <c r="D52" s="10">
        <v>26.558299999999999</v>
      </c>
      <c r="E52" s="2"/>
    </row>
    <row r="53" spans="1:5" x14ac:dyDescent="0.2">
      <c r="A53" s="2"/>
      <c r="B53" s="2"/>
      <c r="C53" s="2"/>
      <c r="D53" s="10"/>
      <c r="E53" s="2"/>
    </row>
    <row r="54" spans="1:5" x14ac:dyDescent="0.2">
      <c r="A54" s="4" t="s">
        <v>108</v>
      </c>
      <c r="B54" s="2"/>
      <c r="C54" s="2"/>
      <c r="D54" s="2"/>
      <c r="E54" s="2"/>
    </row>
    <row r="55" spans="1:5" x14ac:dyDescent="0.2">
      <c r="A55" s="2" t="s">
        <v>666</v>
      </c>
      <c r="B55" s="2"/>
      <c r="C55" s="2"/>
      <c r="D55" s="10">
        <v>162.02029999999999</v>
      </c>
      <c r="E55" s="2"/>
    </row>
    <row r="56" spans="1:5" x14ac:dyDescent="0.2">
      <c r="A56" s="2" t="s">
        <v>667</v>
      </c>
      <c r="B56" s="2"/>
      <c r="C56" s="2"/>
      <c r="D56" s="10">
        <v>23.634599999999999</v>
      </c>
      <c r="E56" s="2"/>
    </row>
    <row r="57" spans="1:5" x14ac:dyDescent="0.2">
      <c r="A57" s="2" t="s">
        <v>668</v>
      </c>
      <c r="B57" s="2"/>
      <c r="C57" s="2"/>
      <c r="D57" s="10">
        <v>168.65819999999999</v>
      </c>
      <c r="E57" s="2"/>
    </row>
    <row r="58" spans="1:5" x14ac:dyDescent="0.2">
      <c r="A58" s="2" t="s">
        <v>669</v>
      </c>
      <c r="B58" s="2"/>
      <c r="C58" s="2"/>
      <c r="D58" s="10">
        <v>24.810199999999998</v>
      </c>
      <c r="E58" s="2"/>
    </row>
    <row r="59" spans="1:5" x14ac:dyDescent="0.2">
      <c r="A59" s="2"/>
      <c r="B59" s="2"/>
      <c r="C59" s="2"/>
      <c r="D59" s="2"/>
    </row>
    <row r="60" spans="1:5" x14ac:dyDescent="0.2">
      <c r="A60" s="4" t="s">
        <v>109</v>
      </c>
      <c r="B60" s="2"/>
      <c r="C60" s="2"/>
      <c r="D60" s="30" t="s">
        <v>325</v>
      </c>
    </row>
    <row r="61" spans="1:5" x14ac:dyDescent="0.2">
      <c r="A61" s="31" t="s">
        <v>670</v>
      </c>
      <c r="B61" s="32"/>
      <c r="C61" s="88" t="s">
        <v>671</v>
      </c>
      <c r="D61" s="89"/>
    </row>
    <row r="62" spans="1:5" x14ac:dyDescent="0.2">
      <c r="A62" s="92"/>
      <c r="B62" s="93"/>
      <c r="C62" s="33" t="s">
        <v>672</v>
      </c>
      <c r="D62" s="33" t="s">
        <v>673</v>
      </c>
    </row>
    <row r="63" spans="1:5" x14ac:dyDescent="0.2">
      <c r="A63" s="34" t="s">
        <v>667</v>
      </c>
      <c r="B63" s="35"/>
      <c r="C63" s="36">
        <v>1.77081694</v>
      </c>
      <c r="D63" s="36">
        <v>1.77081694</v>
      </c>
    </row>
    <row r="64" spans="1:5" x14ac:dyDescent="0.2">
      <c r="A64" s="34" t="s">
        <v>669</v>
      </c>
      <c r="B64" s="35"/>
      <c r="C64" s="36">
        <v>1.77081694</v>
      </c>
      <c r="D64" s="36">
        <v>1.77081694</v>
      </c>
    </row>
    <row r="65" spans="1:4" x14ac:dyDescent="0.2">
      <c r="A65" s="4"/>
      <c r="B65" s="2"/>
      <c r="C65" s="2"/>
      <c r="D65" s="30"/>
    </row>
    <row r="66" spans="1:4" x14ac:dyDescent="0.2">
      <c r="A66" s="9" t="s">
        <v>674</v>
      </c>
      <c r="B66" s="2"/>
      <c r="C66" s="2"/>
      <c r="D66" s="37">
        <v>6.9944397759884092E-2</v>
      </c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</sheetData>
  <sortState xmlns:xlrd2="http://schemas.microsoft.com/office/spreadsheetml/2017/richdata2" ref="A27:F33">
    <sortCondition descending="1" ref="E27:E33"/>
  </sortState>
  <mergeCells count="3">
    <mergeCell ref="A1:F1"/>
    <mergeCell ref="C61:D61"/>
    <mergeCell ref="A62:B6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ADA0-9E3C-4A23-B1BA-7073E94DE7BE}">
  <sheetPr codeName="Sheet4"/>
  <dimension ref="A1:F108"/>
  <sheetViews>
    <sheetView showGridLines="0" zoomScaleNormal="10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5.28515625" style="1" bestFit="1" customWidth="1"/>
    <col min="3" max="3" width="40.14062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587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2767306</v>
      </c>
      <c r="E8" s="7">
        <v>35281.767847000003</v>
      </c>
      <c r="F8" s="7">
        <v>5.0746241958336924</v>
      </c>
    </row>
    <row r="9" spans="1:6" x14ac:dyDescent="0.2">
      <c r="A9" s="7" t="s">
        <v>505</v>
      </c>
      <c r="B9" s="7" t="s">
        <v>506</v>
      </c>
      <c r="C9" s="7" t="s">
        <v>20</v>
      </c>
      <c r="D9" s="7">
        <v>9601987</v>
      </c>
      <c r="E9" s="7">
        <v>19684.073349999999</v>
      </c>
      <c r="F9" s="7">
        <v>2.8311867854141184</v>
      </c>
    </row>
    <row r="10" spans="1:6" x14ac:dyDescent="0.2">
      <c r="A10" s="7" t="s">
        <v>507</v>
      </c>
      <c r="B10" s="7" t="s">
        <v>508</v>
      </c>
      <c r="C10" s="7" t="s">
        <v>227</v>
      </c>
      <c r="D10" s="7">
        <v>5685489</v>
      </c>
      <c r="E10" s="7">
        <v>19154.412441</v>
      </c>
      <c r="F10" s="7">
        <v>2.7550049433915058</v>
      </c>
    </row>
    <row r="11" spans="1:6" x14ac:dyDescent="0.2">
      <c r="A11" s="7" t="s">
        <v>242</v>
      </c>
      <c r="B11" s="7" t="s">
        <v>243</v>
      </c>
      <c r="C11" s="7" t="s">
        <v>118</v>
      </c>
      <c r="D11" s="7">
        <v>6289744</v>
      </c>
      <c r="E11" s="7">
        <v>17774.816544000001</v>
      </c>
      <c r="F11" s="7">
        <v>2.5565758071376554</v>
      </c>
    </row>
    <row r="12" spans="1:6" x14ac:dyDescent="0.2">
      <c r="A12" s="7" t="s">
        <v>286</v>
      </c>
      <c r="B12" s="7" t="s">
        <v>287</v>
      </c>
      <c r="C12" s="7" t="s">
        <v>95</v>
      </c>
      <c r="D12" s="7">
        <v>2521141</v>
      </c>
      <c r="E12" s="7">
        <v>17663.113846</v>
      </c>
      <c r="F12" s="7">
        <v>2.5405094576148972</v>
      </c>
    </row>
    <row r="13" spans="1:6" x14ac:dyDescent="0.2">
      <c r="A13" s="7" t="s">
        <v>298</v>
      </c>
      <c r="B13" s="7" t="s">
        <v>299</v>
      </c>
      <c r="C13" s="7" t="s">
        <v>34</v>
      </c>
      <c r="D13" s="7">
        <v>9863765</v>
      </c>
      <c r="E13" s="7">
        <v>17651.2074675</v>
      </c>
      <c r="F13" s="7">
        <v>2.5387969471567233</v>
      </c>
    </row>
    <row r="14" spans="1:6" x14ac:dyDescent="0.2">
      <c r="A14" s="7" t="s">
        <v>509</v>
      </c>
      <c r="B14" s="7" t="s">
        <v>510</v>
      </c>
      <c r="C14" s="7" t="s">
        <v>511</v>
      </c>
      <c r="D14" s="7">
        <v>2824663</v>
      </c>
      <c r="E14" s="7">
        <v>17148.529073000002</v>
      </c>
      <c r="F14" s="7">
        <v>2.4664960365415136</v>
      </c>
    </row>
    <row r="15" spans="1:6" x14ac:dyDescent="0.2">
      <c r="A15" s="7" t="s">
        <v>512</v>
      </c>
      <c r="B15" s="7" t="s">
        <v>513</v>
      </c>
      <c r="C15" s="7" t="s">
        <v>187</v>
      </c>
      <c r="D15" s="7">
        <v>3967822</v>
      </c>
      <c r="E15" s="7">
        <v>15700.671654</v>
      </c>
      <c r="F15" s="7">
        <v>2.2582487536265372</v>
      </c>
    </row>
    <row r="16" spans="1:6" x14ac:dyDescent="0.2">
      <c r="A16" s="7" t="s">
        <v>514</v>
      </c>
      <c r="B16" s="7" t="s">
        <v>515</v>
      </c>
      <c r="C16" s="7" t="s">
        <v>227</v>
      </c>
      <c r="D16" s="7">
        <v>385642</v>
      </c>
      <c r="E16" s="7">
        <v>15604.232246</v>
      </c>
      <c r="F16" s="7">
        <v>2.2443777436649346</v>
      </c>
    </row>
    <row r="17" spans="1:6" x14ac:dyDescent="0.2">
      <c r="A17" s="7" t="s">
        <v>150</v>
      </c>
      <c r="B17" s="7" t="s">
        <v>151</v>
      </c>
      <c r="C17" s="7" t="s">
        <v>40</v>
      </c>
      <c r="D17" s="7">
        <v>4112021</v>
      </c>
      <c r="E17" s="7">
        <v>15117.8452065</v>
      </c>
      <c r="F17" s="7">
        <v>2.1744200405846881</v>
      </c>
    </row>
    <row r="18" spans="1:6" x14ac:dyDescent="0.2">
      <c r="A18" s="7" t="s">
        <v>343</v>
      </c>
      <c r="B18" s="7" t="s">
        <v>344</v>
      </c>
      <c r="C18" s="7" t="s">
        <v>345</v>
      </c>
      <c r="D18" s="7">
        <v>1655675</v>
      </c>
      <c r="E18" s="7">
        <v>14820.774762499999</v>
      </c>
      <c r="F18" s="7">
        <v>2.1316919984546328</v>
      </c>
    </row>
    <row r="19" spans="1:6" x14ac:dyDescent="0.2">
      <c r="A19" s="7" t="s">
        <v>247</v>
      </c>
      <c r="B19" s="7" t="s">
        <v>248</v>
      </c>
      <c r="C19" s="7" t="s">
        <v>17</v>
      </c>
      <c r="D19" s="7">
        <v>22803405</v>
      </c>
      <c r="E19" s="7">
        <v>14377.5468525</v>
      </c>
      <c r="F19" s="7">
        <v>2.0679419311079918</v>
      </c>
    </row>
    <row r="20" spans="1:6" x14ac:dyDescent="0.2">
      <c r="A20" s="7" t="s">
        <v>272</v>
      </c>
      <c r="B20" s="7" t="s">
        <v>273</v>
      </c>
      <c r="C20" s="7" t="s">
        <v>80</v>
      </c>
      <c r="D20" s="7">
        <v>3303552</v>
      </c>
      <c r="E20" s="7">
        <v>13349.653632</v>
      </c>
      <c r="F20" s="7">
        <v>1.9200986645771665</v>
      </c>
    </row>
    <row r="21" spans="1:6" x14ac:dyDescent="0.2">
      <c r="A21" s="7" t="s">
        <v>194</v>
      </c>
      <c r="B21" s="7" t="s">
        <v>195</v>
      </c>
      <c r="C21" s="7" t="s">
        <v>80</v>
      </c>
      <c r="D21" s="7">
        <v>1901404</v>
      </c>
      <c r="E21" s="7">
        <v>13240.426754</v>
      </c>
      <c r="F21" s="7">
        <v>1.904388415580069</v>
      </c>
    </row>
    <row r="22" spans="1:6" x14ac:dyDescent="0.2">
      <c r="A22" s="7" t="s">
        <v>516</v>
      </c>
      <c r="B22" s="7" t="s">
        <v>517</v>
      </c>
      <c r="C22" s="7" t="s">
        <v>11</v>
      </c>
      <c r="D22" s="7">
        <v>6981512</v>
      </c>
      <c r="E22" s="7">
        <v>12723.805619999999</v>
      </c>
      <c r="F22" s="7">
        <v>1.8300821019609694</v>
      </c>
    </row>
    <row r="23" spans="1:6" x14ac:dyDescent="0.2">
      <c r="A23" s="7" t="s">
        <v>518</v>
      </c>
      <c r="B23" s="7" t="s">
        <v>519</v>
      </c>
      <c r="C23" s="7" t="s">
        <v>31</v>
      </c>
      <c r="D23" s="7">
        <v>802167</v>
      </c>
      <c r="E23" s="7">
        <v>12577.176393</v>
      </c>
      <c r="F23" s="7">
        <v>1.808992222724267</v>
      </c>
    </row>
    <row r="24" spans="1:6" x14ac:dyDescent="0.2">
      <c r="A24" s="7" t="s">
        <v>520</v>
      </c>
      <c r="B24" s="7" t="s">
        <v>521</v>
      </c>
      <c r="C24" s="7" t="s">
        <v>118</v>
      </c>
      <c r="D24" s="7">
        <v>1497004</v>
      </c>
      <c r="E24" s="7">
        <v>11979.026008000001</v>
      </c>
      <c r="F24" s="7">
        <v>1.7229594471096423</v>
      </c>
    </row>
    <row r="25" spans="1:6" x14ac:dyDescent="0.2">
      <c r="A25" s="7" t="s">
        <v>141</v>
      </c>
      <c r="B25" s="7" t="s">
        <v>142</v>
      </c>
      <c r="C25" s="7" t="s">
        <v>20</v>
      </c>
      <c r="D25" s="7">
        <v>2829248</v>
      </c>
      <c r="E25" s="7">
        <v>11735.720703999999</v>
      </c>
      <c r="F25" s="7">
        <v>1.6879645174902622</v>
      </c>
    </row>
    <row r="26" spans="1:6" x14ac:dyDescent="0.2">
      <c r="A26" s="7" t="s">
        <v>522</v>
      </c>
      <c r="B26" s="7" t="s">
        <v>523</v>
      </c>
      <c r="C26" s="7" t="s">
        <v>187</v>
      </c>
      <c r="D26" s="7">
        <v>2404654</v>
      </c>
      <c r="E26" s="7">
        <v>11083.050286</v>
      </c>
      <c r="F26" s="7">
        <v>1.5940900520878911</v>
      </c>
    </row>
    <row r="27" spans="1:6" x14ac:dyDescent="0.2">
      <c r="A27" s="7" t="s">
        <v>21</v>
      </c>
      <c r="B27" s="7" t="s">
        <v>22</v>
      </c>
      <c r="C27" s="7" t="s">
        <v>11</v>
      </c>
      <c r="D27" s="7">
        <v>673158</v>
      </c>
      <c r="E27" s="7">
        <v>10872.848016</v>
      </c>
      <c r="F27" s="7">
        <v>1.5638563764402615</v>
      </c>
    </row>
    <row r="28" spans="1:6" x14ac:dyDescent="0.2">
      <c r="A28" s="7" t="s">
        <v>524</v>
      </c>
      <c r="B28" s="7" t="s">
        <v>525</v>
      </c>
      <c r="C28" s="7" t="s">
        <v>72</v>
      </c>
      <c r="D28" s="7">
        <v>10968971</v>
      </c>
      <c r="E28" s="7">
        <v>10853.7968045</v>
      </c>
      <c r="F28" s="7">
        <v>1.5611162150272311</v>
      </c>
    </row>
    <row r="29" spans="1:6" x14ac:dyDescent="0.2">
      <c r="A29" s="7" t="s">
        <v>450</v>
      </c>
      <c r="B29" s="7" t="s">
        <v>451</v>
      </c>
      <c r="C29" s="7" t="s">
        <v>25</v>
      </c>
      <c r="D29" s="7">
        <v>3615705</v>
      </c>
      <c r="E29" s="7">
        <v>10847.115</v>
      </c>
      <c r="F29" s="7">
        <v>1.5601551620852536</v>
      </c>
    </row>
    <row r="30" spans="1:6" x14ac:dyDescent="0.2">
      <c r="A30" s="7" t="s">
        <v>121</v>
      </c>
      <c r="B30" s="7" t="s">
        <v>122</v>
      </c>
      <c r="C30" s="7" t="s">
        <v>11</v>
      </c>
      <c r="D30" s="7">
        <v>1451248</v>
      </c>
      <c r="E30" s="7">
        <v>10725.448344</v>
      </c>
      <c r="F30" s="7">
        <v>1.5426556830613793</v>
      </c>
    </row>
    <row r="31" spans="1:6" x14ac:dyDescent="0.2">
      <c r="A31" s="7" t="s">
        <v>468</v>
      </c>
      <c r="B31" s="7" t="s">
        <v>469</v>
      </c>
      <c r="C31" s="7" t="s">
        <v>11</v>
      </c>
      <c r="D31" s="7">
        <v>4731960</v>
      </c>
      <c r="E31" s="7">
        <v>10637.44608</v>
      </c>
      <c r="F31" s="7">
        <v>1.5299981988865743</v>
      </c>
    </row>
    <row r="32" spans="1:6" x14ac:dyDescent="0.2">
      <c r="A32" s="7" t="s">
        <v>253</v>
      </c>
      <c r="B32" s="7" t="s">
        <v>254</v>
      </c>
      <c r="C32" s="7" t="s">
        <v>255</v>
      </c>
      <c r="D32" s="7">
        <v>1613406</v>
      </c>
      <c r="E32" s="7">
        <v>10619.438292000001</v>
      </c>
      <c r="F32" s="7">
        <v>1.5274081144810956</v>
      </c>
    </row>
    <row r="33" spans="1:6" x14ac:dyDescent="0.2">
      <c r="A33" s="7" t="s">
        <v>486</v>
      </c>
      <c r="B33" s="7" t="s">
        <v>487</v>
      </c>
      <c r="C33" s="7" t="s">
        <v>20</v>
      </c>
      <c r="D33" s="7">
        <v>1980000</v>
      </c>
      <c r="E33" s="7">
        <v>10613.79</v>
      </c>
      <c r="F33" s="7">
        <v>1.526595713034189</v>
      </c>
    </row>
    <row r="34" spans="1:6" x14ac:dyDescent="0.2">
      <c r="A34" s="7" t="s">
        <v>270</v>
      </c>
      <c r="B34" s="7" t="s">
        <v>271</v>
      </c>
      <c r="C34" s="7" t="s">
        <v>25</v>
      </c>
      <c r="D34" s="7">
        <v>9772603</v>
      </c>
      <c r="E34" s="7">
        <v>10324.755069500001</v>
      </c>
      <c r="F34" s="7">
        <v>1.4850234296350981</v>
      </c>
    </row>
    <row r="35" spans="1:6" x14ac:dyDescent="0.2">
      <c r="A35" s="7" t="s">
        <v>316</v>
      </c>
      <c r="B35" s="7" t="s">
        <v>317</v>
      </c>
      <c r="C35" s="7" t="s">
        <v>11</v>
      </c>
      <c r="D35" s="7">
        <v>15898917</v>
      </c>
      <c r="E35" s="7">
        <v>10040.166085499999</v>
      </c>
      <c r="F35" s="7">
        <v>1.4440906127100261</v>
      </c>
    </row>
    <row r="36" spans="1:6" x14ac:dyDescent="0.2">
      <c r="A36" s="7" t="s">
        <v>526</v>
      </c>
      <c r="B36" s="7" t="s">
        <v>527</v>
      </c>
      <c r="C36" s="7" t="s">
        <v>20</v>
      </c>
      <c r="D36" s="7">
        <v>387398</v>
      </c>
      <c r="E36" s="7">
        <v>9882.7166789999992</v>
      </c>
      <c r="F36" s="7">
        <v>1.4214444524804875</v>
      </c>
    </row>
    <row r="37" spans="1:6" x14ac:dyDescent="0.2">
      <c r="A37" s="7" t="s">
        <v>528</v>
      </c>
      <c r="B37" s="7" t="s">
        <v>529</v>
      </c>
      <c r="C37" s="7" t="s">
        <v>511</v>
      </c>
      <c r="D37" s="7">
        <v>384219</v>
      </c>
      <c r="E37" s="7">
        <v>9602.0170290000005</v>
      </c>
      <c r="F37" s="7">
        <v>1.3810710437037739</v>
      </c>
    </row>
    <row r="38" spans="1:6" x14ac:dyDescent="0.2">
      <c r="A38" s="7" t="s">
        <v>308</v>
      </c>
      <c r="B38" s="7" t="s">
        <v>309</v>
      </c>
      <c r="C38" s="7" t="s">
        <v>40</v>
      </c>
      <c r="D38" s="7">
        <v>1641126</v>
      </c>
      <c r="E38" s="7">
        <v>9529.1981190000006</v>
      </c>
      <c r="F38" s="7">
        <v>1.3705974017875666</v>
      </c>
    </row>
    <row r="39" spans="1:6" x14ac:dyDescent="0.2">
      <c r="A39" s="7" t="s">
        <v>530</v>
      </c>
      <c r="B39" s="7" t="s">
        <v>531</v>
      </c>
      <c r="C39" s="7" t="s">
        <v>95</v>
      </c>
      <c r="D39" s="7">
        <v>1201166</v>
      </c>
      <c r="E39" s="7">
        <v>9444.1676750000006</v>
      </c>
      <c r="F39" s="7">
        <v>1.3583673584865597</v>
      </c>
    </row>
    <row r="40" spans="1:6" x14ac:dyDescent="0.2">
      <c r="A40" s="7" t="s">
        <v>532</v>
      </c>
      <c r="B40" s="7" t="s">
        <v>533</v>
      </c>
      <c r="C40" s="7" t="s">
        <v>40</v>
      </c>
      <c r="D40" s="7">
        <v>2742883</v>
      </c>
      <c r="E40" s="7">
        <v>9003.5134474999995</v>
      </c>
      <c r="F40" s="7">
        <v>1.2949874673607795</v>
      </c>
    </row>
    <row r="41" spans="1:6" x14ac:dyDescent="0.2">
      <c r="A41" s="7" t="s">
        <v>534</v>
      </c>
      <c r="B41" s="7" t="s">
        <v>535</v>
      </c>
      <c r="C41" s="7" t="s">
        <v>20</v>
      </c>
      <c r="D41" s="7">
        <v>3223420</v>
      </c>
      <c r="E41" s="7">
        <v>8857.9581600000001</v>
      </c>
      <c r="F41" s="7">
        <v>1.2740520542890155</v>
      </c>
    </row>
    <row r="42" spans="1:6" x14ac:dyDescent="0.2">
      <c r="A42" s="7" t="s">
        <v>536</v>
      </c>
      <c r="B42" s="7" t="s">
        <v>537</v>
      </c>
      <c r="C42" s="7" t="s">
        <v>34</v>
      </c>
      <c r="D42" s="7">
        <v>4066550</v>
      </c>
      <c r="E42" s="7">
        <v>8340.4940499999993</v>
      </c>
      <c r="F42" s="7">
        <v>1.1996244942963028</v>
      </c>
    </row>
    <row r="43" spans="1:6" x14ac:dyDescent="0.2">
      <c r="A43" s="7" t="s">
        <v>159</v>
      </c>
      <c r="B43" s="7" t="s">
        <v>160</v>
      </c>
      <c r="C43" s="7" t="s">
        <v>40</v>
      </c>
      <c r="D43" s="7">
        <v>190105</v>
      </c>
      <c r="E43" s="7">
        <v>8265.5752950000006</v>
      </c>
      <c r="F43" s="7">
        <v>1.188848828845144</v>
      </c>
    </row>
    <row r="44" spans="1:6" x14ac:dyDescent="0.2">
      <c r="A44" s="7" t="s">
        <v>538</v>
      </c>
      <c r="B44" s="7" t="s">
        <v>539</v>
      </c>
      <c r="C44" s="7" t="s">
        <v>95</v>
      </c>
      <c r="D44" s="7">
        <v>1860158</v>
      </c>
      <c r="E44" s="7">
        <v>7988.448531</v>
      </c>
      <c r="F44" s="7">
        <v>1.1489893130746756</v>
      </c>
    </row>
    <row r="45" spans="1:6" x14ac:dyDescent="0.2">
      <c r="A45" s="7" t="s">
        <v>267</v>
      </c>
      <c r="B45" s="7" t="s">
        <v>268</v>
      </c>
      <c r="C45" s="7" t="s">
        <v>269</v>
      </c>
      <c r="D45" s="7">
        <v>1852195</v>
      </c>
      <c r="E45" s="7">
        <v>7918.1336250000004</v>
      </c>
      <c r="F45" s="7">
        <v>1.1388758254268136</v>
      </c>
    </row>
    <row r="46" spans="1:6" x14ac:dyDescent="0.2">
      <c r="A46" s="7" t="s">
        <v>540</v>
      </c>
      <c r="B46" s="7" t="s">
        <v>541</v>
      </c>
      <c r="C46" s="7" t="s">
        <v>428</v>
      </c>
      <c r="D46" s="7">
        <v>4183258</v>
      </c>
      <c r="E46" s="7">
        <v>7747.3938159999998</v>
      </c>
      <c r="F46" s="7">
        <v>1.1143180887028274</v>
      </c>
    </row>
    <row r="47" spans="1:6" x14ac:dyDescent="0.2">
      <c r="A47" s="7" t="s">
        <v>542</v>
      </c>
      <c r="B47" s="7" t="s">
        <v>543</v>
      </c>
      <c r="C47" s="7" t="s">
        <v>227</v>
      </c>
      <c r="D47" s="7">
        <v>3736227</v>
      </c>
      <c r="E47" s="7">
        <v>7608.8262855000003</v>
      </c>
      <c r="F47" s="7">
        <v>1.0943877341332502</v>
      </c>
    </row>
    <row r="48" spans="1:6" x14ac:dyDescent="0.2">
      <c r="A48" s="7" t="s">
        <v>544</v>
      </c>
      <c r="B48" s="7" t="s">
        <v>545</v>
      </c>
      <c r="C48" s="7" t="s">
        <v>80</v>
      </c>
      <c r="D48" s="7">
        <v>1410319</v>
      </c>
      <c r="E48" s="7">
        <v>7483.8577734999999</v>
      </c>
      <c r="F48" s="7">
        <v>1.0764133447131221</v>
      </c>
    </row>
    <row r="49" spans="1:6" x14ac:dyDescent="0.2">
      <c r="A49" s="7" t="s">
        <v>546</v>
      </c>
      <c r="B49" s="7" t="s">
        <v>547</v>
      </c>
      <c r="C49" s="7" t="s">
        <v>40</v>
      </c>
      <c r="D49" s="7">
        <v>741154</v>
      </c>
      <c r="E49" s="7">
        <v>6850.1158450000003</v>
      </c>
      <c r="F49" s="7">
        <v>0.98526138945320851</v>
      </c>
    </row>
    <row r="50" spans="1:6" x14ac:dyDescent="0.2">
      <c r="A50" s="7" t="s">
        <v>146</v>
      </c>
      <c r="B50" s="7" t="s">
        <v>147</v>
      </c>
      <c r="C50" s="7" t="s">
        <v>59</v>
      </c>
      <c r="D50" s="7">
        <v>2345030</v>
      </c>
      <c r="E50" s="7">
        <v>6825.2098150000002</v>
      </c>
      <c r="F50" s="7">
        <v>0.98167912160857418</v>
      </c>
    </row>
    <row r="51" spans="1:6" x14ac:dyDescent="0.2">
      <c r="A51" s="7" t="s">
        <v>548</v>
      </c>
      <c r="B51" s="7" t="s">
        <v>549</v>
      </c>
      <c r="C51" s="7" t="s">
        <v>72</v>
      </c>
      <c r="D51" s="7">
        <v>2310543</v>
      </c>
      <c r="E51" s="7">
        <v>6492.62583</v>
      </c>
      <c r="F51" s="7">
        <v>0.9338431190378782</v>
      </c>
    </row>
    <row r="52" spans="1:6" x14ac:dyDescent="0.2">
      <c r="A52" s="7" t="s">
        <v>550</v>
      </c>
      <c r="B52" s="7" t="s">
        <v>551</v>
      </c>
      <c r="C52" s="7" t="s">
        <v>20</v>
      </c>
      <c r="D52" s="7">
        <v>2805627</v>
      </c>
      <c r="E52" s="7">
        <v>6469.7758620000004</v>
      </c>
      <c r="F52" s="7">
        <v>0.93055657736032771</v>
      </c>
    </row>
    <row r="53" spans="1:6" x14ac:dyDescent="0.2">
      <c r="A53" s="7" t="s">
        <v>552</v>
      </c>
      <c r="B53" s="7" t="s">
        <v>553</v>
      </c>
      <c r="C53" s="7" t="s">
        <v>227</v>
      </c>
      <c r="D53" s="7">
        <v>9139564</v>
      </c>
      <c r="E53" s="7">
        <v>6265.1711219999997</v>
      </c>
      <c r="F53" s="7">
        <v>0.90112800199276588</v>
      </c>
    </row>
    <row r="54" spans="1:6" x14ac:dyDescent="0.2">
      <c r="A54" s="7" t="s">
        <v>482</v>
      </c>
      <c r="B54" s="7" t="s">
        <v>483</v>
      </c>
      <c r="C54" s="7" t="s">
        <v>25</v>
      </c>
      <c r="D54" s="7">
        <v>1324002</v>
      </c>
      <c r="E54" s="7">
        <v>6144.6932820000002</v>
      </c>
      <c r="F54" s="7">
        <v>0.8837995119755695</v>
      </c>
    </row>
    <row r="55" spans="1:6" x14ac:dyDescent="0.2">
      <c r="A55" s="7" t="s">
        <v>448</v>
      </c>
      <c r="B55" s="7" t="s">
        <v>449</v>
      </c>
      <c r="C55" s="7" t="s">
        <v>206</v>
      </c>
      <c r="D55" s="7">
        <v>6313159</v>
      </c>
      <c r="E55" s="7">
        <v>6095.3550144999999</v>
      </c>
      <c r="F55" s="7">
        <v>0.8767031224997992</v>
      </c>
    </row>
    <row r="56" spans="1:6" x14ac:dyDescent="0.2">
      <c r="A56" s="7" t="s">
        <v>554</v>
      </c>
      <c r="B56" s="7" t="s">
        <v>555</v>
      </c>
      <c r="C56" s="7" t="s">
        <v>72</v>
      </c>
      <c r="D56" s="7">
        <v>19537175</v>
      </c>
      <c r="E56" s="7">
        <v>5656.0121625000002</v>
      </c>
      <c r="F56" s="7">
        <v>0.81351184827867618</v>
      </c>
    </row>
    <row r="57" spans="1:6" x14ac:dyDescent="0.2">
      <c r="A57" s="7" t="s">
        <v>278</v>
      </c>
      <c r="B57" s="7" t="s">
        <v>279</v>
      </c>
      <c r="C57" s="7" t="s">
        <v>255</v>
      </c>
      <c r="D57" s="7">
        <v>4031266</v>
      </c>
      <c r="E57" s="7">
        <v>5373.6775779999998</v>
      </c>
      <c r="F57" s="7">
        <v>0.77290328467048452</v>
      </c>
    </row>
    <row r="58" spans="1:6" x14ac:dyDescent="0.2">
      <c r="A58" s="7" t="s">
        <v>556</v>
      </c>
      <c r="B58" s="7" t="s">
        <v>557</v>
      </c>
      <c r="C58" s="7" t="s">
        <v>206</v>
      </c>
      <c r="D58" s="7">
        <v>1993014</v>
      </c>
      <c r="E58" s="7">
        <v>5360.2111530000002</v>
      </c>
      <c r="F58" s="7">
        <v>0.77096639062275074</v>
      </c>
    </row>
    <row r="59" spans="1:6" x14ac:dyDescent="0.2">
      <c r="A59" s="7" t="s">
        <v>558</v>
      </c>
      <c r="B59" s="7" t="s">
        <v>559</v>
      </c>
      <c r="C59" s="7" t="s">
        <v>332</v>
      </c>
      <c r="D59" s="7">
        <v>9028098</v>
      </c>
      <c r="E59" s="7">
        <v>5222.7546929999999</v>
      </c>
      <c r="F59" s="7">
        <v>0.75119584281985885</v>
      </c>
    </row>
    <row r="60" spans="1:6" x14ac:dyDescent="0.2">
      <c r="A60" s="7" t="s">
        <v>560</v>
      </c>
      <c r="B60" s="7" t="s">
        <v>561</v>
      </c>
      <c r="C60" s="7" t="s">
        <v>25</v>
      </c>
      <c r="D60" s="7">
        <v>1054044</v>
      </c>
      <c r="E60" s="7">
        <v>5032.5330780000004</v>
      </c>
      <c r="F60" s="7">
        <v>0.72383601169587408</v>
      </c>
    </row>
    <row r="61" spans="1:6" x14ac:dyDescent="0.2">
      <c r="A61" s="7" t="s">
        <v>562</v>
      </c>
      <c r="B61" s="7" t="s">
        <v>563</v>
      </c>
      <c r="C61" s="7" t="s">
        <v>40</v>
      </c>
      <c r="D61" s="7">
        <v>1349476</v>
      </c>
      <c r="E61" s="7">
        <v>4876.3315259999999</v>
      </c>
      <c r="F61" s="7">
        <v>0.70136933205999585</v>
      </c>
    </row>
    <row r="62" spans="1:6" x14ac:dyDescent="0.2">
      <c r="A62" s="7" t="s">
        <v>564</v>
      </c>
      <c r="B62" s="7" t="s">
        <v>565</v>
      </c>
      <c r="C62" s="7" t="s">
        <v>179</v>
      </c>
      <c r="D62" s="7">
        <v>137667</v>
      </c>
      <c r="E62" s="7">
        <v>4821.8555084999998</v>
      </c>
      <c r="F62" s="7">
        <v>0.69353397308090592</v>
      </c>
    </row>
    <row r="63" spans="1:6" x14ac:dyDescent="0.2">
      <c r="A63" s="7" t="s">
        <v>566</v>
      </c>
      <c r="B63" s="7" t="s">
        <v>567</v>
      </c>
      <c r="C63" s="7" t="s">
        <v>246</v>
      </c>
      <c r="D63" s="7">
        <v>1000000</v>
      </c>
      <c r="E63" s="7">
        <v>4706.5</v>
      </c>
      <c r="F63" s="7">
        <v>0.67694223490340477</v>
      </c>
    </row>
    <row r="64" spans="1:6" x14ac:dyDescent="0.2">
      <c r="A64" s="7" t="s">
        <v>171</v>
      </c>
      <c r="B64" s="7" t="s">
        <v>172</v>
      </c>
      <c r="C64" s="7" t="s">
        <v>40</v>
      </c>
      <c r="D64" s="7">
        <v>1196703</v>
      </c>
      <c r="E64" s="7">
        <v>4329.6714540000003</v>
      </c>
      <c r="F64" s="7">
        <v>0.62274247752432477</v>
      </c>
    </row>
    <row r="65" spans="1:6" x14ac:dyDescent="0.2">
      <c r="A65" s="7" t="s">
        <v>568</v>
      </c>
      <c r="B65" s="7" t="s">
        <v>569</v>
      </c>
      <c r="C65" s="7" t="s">
        <v>72</v>
      </c>
      <c r="D65" s="7">
        <v>1123812</v>
      </c>
      <c r="E65" s="7">
        <v>4036.732704</v>
      </c>
      <c r="F65" s="7">
        <v>0.58060870250789853</v>
      </c>
    </row>
    <row r="66" spans="1:6" x14ac:dyDescent="0.2">
      <c r="A66" s="7" t="s">
        <v>41</v>
      </c>
      <c r="B66" s="7" t="s">
        <v>42</v>
      </c>
      <c r="C66" s="7" t="s">
        <v>43</v>
      </c>
      <c r="D66" s="7">
        <v>57427461</v>
      </c>
      <c r="E66" s="7">
        <v>3933.7810785000001</v>
      </c>
      <c r="F66" s="7">
        <v>0.56580103153097128</v>
      </c>
    </row>
    <row r="67" spans="1:6" x14ac:dyDescent="0.2">
      <c r="A67" s="7" t="s">
        <v>154</v>
      </c>
      <c r="B67" s="7" t="s">
        <v>623</v>
      </c>
      <c r="C67" s="7" t="s">
        <v>37</v>
      </c>
      <c r="D67" s="7">
        <v>4933939</v>
      </c>
      <c r="E67" s="7">
        <v>3520.3654765000001</v>
      </c>
      <c r="F67" s="7">
        <v>0.50633890860271957</v>
      </c>
    </row>
    <row r="68" spans="1:6" x14ac:dyDescent="0.2">
      <c r="A68" s="7" t="s">
        <v>570</v>
      </c>
      <c r="B68" s="7" t="s">
        <v>571</v>
      </c>
      <c r="C68" s="7" t="s">
        <v>59</v>
      </c>
      <c r="D68" s="7">
        <v>8639643</v>
      </c>
      <c r="E68" s="7">
        <v>3382.4202344999999</v>
      </c>
      <c r="F68" s="7">
        <v>0.48649805862635259</v>
      </c>
    </row>
    <row r="69" spans="1:6" x14ac:dyDescent="0.2">
      <c r="A69" s="7" t="s">
        <v>572</v>
      </c>
      <c r="B69" s="7" t="s">
        <v>573</v>
      </c>
      <c r="C69" s="7" t="s">
        <v>31</v>
      </c>
      <c r="D69" s="7">
        <v>2979897</v>
      </c>
      <c r="E69" s="7">
        <v>3170.610408</v>
      </c>
      <c r="F69" s="7">
        <v>0.45603316596186472</v>
      </c>
    </row>
    <row r="70" spans="1:6" x14ac:dyDescent="0.2">
      <c r="A70" s="7" t="s">
        <v>574</v>
      </c>
      <c r="B70" s="7" t="s">
        <v>575</v>
      </c>
      <c r="C70" s="7" t="s">
        <v>269</v>
      </c>
      <c r="D70" s="7">
        <v>970012</v>
      </c>
      <c r="E70" s="7">
        <v>3026.922446</v>
      </c>
      <c r="F70" s="7">
        <v>0.43536633283215137</v>
      </c>
    </row>
    <row r="71" spans="1:6" x14ac:dyDescent="0.2">
      <c r="A71" s="7" t="s">
        <v>23</v>
      </c>
      <c r="B71" s="7" t="s">
        <v>24</v>
      </c>
      <c r="C71" s="7" t="s">
        <v>25</v>
      </c>
      <c r="D71" s="7">
        <v>374301</v>
      </c>
      <c r="E71" s="7">
        <v>2877.4389375000001</v>
      </c>
      <c r="F71" s="7">
        <v>0.41386591844243675</v>
      </c>
    </row>
    <row r="72" spans="1:6" x14ac:dyDescent="0.2">
      <c r="A72" s="7" t="s">
        <v>576</v>
      </c>
      <c r="B72" s="7" t="s">
        <v>577</v>
      </c>
      <c r="C72" s="7" t="s">
        <v>269</v>
      </c>
      <c r="D72" s="7">
        <v>8689354</v>
      </c>
      <c r="E72" s="7">
        <v>2602.4615229999999</v>
      </c>
      <c r="F72" s="7">
        <v>0.37431554650584054</v>
      </c>
    </row>
    <row r="73" spans="1:6" x14ac:dyDescent="0.2">
      <c r="A73" s="7" t="s">
        <v>310</v>
      </c>
      <c r="B73" s="7" t="s">
        <v>311</v>
      </c>
      <c r="C73" s="7" t="s">
        <v>11</v>
      </c>
      <c r="D73" s="7">
        <v>3412332</v>
      </c>
      <c r="E73" s="7">
        <v>2330.6227560000002</v>
      </c>
      <c r="F73" s="7">
        <v>0.33521661046709295</v>
      </c>
    </row>
    <row r="74" spans="1:6" x14ac:dyDescent="0.2">
      <c r="A74" s="7" t="s">
        <v>274</v>
      </c>
      <c r="B74" s="7" t="s">
        <v>275</v>
      </c>
      <c r="C74" s="7" t="s">
        <v>72</v>
      </c>
      <c r="D74" s="7">
        <v>3330705</v>
      </c>
      <c r="E74" s="7">
        <v>1838.54916</v>
      </c>
      <c r="F74" s="7">
        <v>0.26444100230536016</v>
      </c>
    </row>
    <row r="75" spans="1:6" x14ac:dyDescent="0.2">
      <c r="A75" s="7" t="s">
        <v>578</v>
      </c>
      <c r="B75" s="7" t="s">
        <v>579</v>
      </c>
      <c r="C75" s="7" t="s">
        <v>246</v>
      </c>
      <c r="D75" s="7">
        <v>1918887</v>
      </c>
      <c r="E75" s="7">
        <v>1822.94265</v>
      </c>
      <c r="F75" s="7">
        <v>0.26219629694926916</v>
      </c>
    </row>
    <row r="76" spans="1:6" x14ac:dyDescent="0.2">
      <c r="A76" s="7" t="s">
        <v>580</v>
      </c>
      <c r="B76" s="7" t="s">
        <v>581</v>
      </c>
      <c r="C76" s="7" t="s">
        <v>72</v>
      </c>
      <c r="D76" s="7">
        <v>11046869</v>
      </c>
      <c r="E76" s="7">
        <v>1773.0224745</v>
      </c>
      <c r="F76" s="7">
        <v>0.25501621086199833</v>
      </c>
    </row>
    <row r="77" spans="1:6" x14ac:dyDescent="0.2">
      <c r="A77" s="7" t="s">
        <v>582</v>
      </c>
      <c r="B77" s="7" t="s">
        <v>583</v>
      </c>
      <c r="C77" s="7" t="s">
        <v>179</v>
      </c>
      <c r="D77" s="7">
        <v>1886453</v>
      </c>
      <c r="E77" s="7">
        <v>1769.4929139999999</v>
      </c>
      <c r="F77" s="7">
        <v>0.25450854942077938</v>
      </c>
    </row>
    <row r="78" spans="1:6" x14ac:dyDescent="0.2">
      <c r="A78" s="7" t="s">
        <v>314</v>
      </c>
      <c r="B78" s="7" t="s">
        <v>315</v>
      </c>
      <c r="C78" s="7" t="s">
        <v>14</v>
      </c>
      <c r="D78" s="7">
        <v>224349</v>
      </c>
      <c r="E78" s="7">
        <v>770.19011699999999</v>
      </c>
      <c r="F78" s="7">
        <v>0.11077748201476573</v>
      </c>
    </row>
    <row r="79" spans="1:6" x14ac:dyDescent="0.2">
      <c r="A79" s="7" t="s">
        <v>584</v>
      </c>
      <c r="B79" s="7" t="s">
        <v>585</v>
      </c>
      <c r="C79" s="7" t="s">
        <v>95</v>
      </c>
      <c r="D79" s="7">
        <v>374949</v>
      </c>
      <c r="E79" s="7">
        <v>700.02978299999995</v>
      </c>
      <c r="F79" s="7">
        <v>0.10068622666588027</v>
      </c>
    </row>
    <row r="80" spans="1:6" x14ac:dyDescent="0.2">
      <c r="A80" s="7" t="s">
        <v>586</v>
      </c>
      <c r="B80" s="7" t="s">
        <v>614</v>
      </c>
      <c r="C80" s="7" t="s">
        <v>20</v>
      </c>
      <c r="D80" s="7">
        <v>2334565</v>
      </c>
      <c r="E80" s="7">
        <v>0.23345650000000001</v>
      </c>
      <c r="F80" s="20" t="s">
        <v>624</v>
      </c>
    </row>
    <row r="81" spans="1:6" x14ac:dyDescent="0.2">
      <c r="A81" s="6" t="s">
        <v>44</v>
      </c>
      <c r="B81" s="7"/>
      <c r="C81" s="7"/>
      <c r="D81" s="7"/>
      <c r="E81" s="6">
        <f xml:space="preserve"> SUM(E8:E80)</f>
        <v>641953.26490649988</v>
      </c>
      <c r="F81" s="6">
        <f>SUM(F8:F80)</f>
        <v>92.332969258000389</v>
      </c>
    </row>
    <row r="82" spans="1:6" x14ac:dyDescent="0.2">
      <c r="A82" s="7"/>
      <c r="B82" s="7"/>
      <c r="C82" s="7"/>
      <c r="D82" s="7"/>
      <c r="E82" s="7"/>
      <c r="F82" s="7"/>
    </row>
    <row r="83" spans="1:6" x14ac:dyDescent="0.2">
      <c r="A83" s="6" t="s">
        <v>44</v>
      </c>
      <c r="B83" s="7"/>
      <c r="C83" s="7"/>
      <c r="D83" s="7"/>
      <c r="E83" s="6">
        <v>641953.26490649988</v>
      </c>
      <c r="F83" s="6">
        <v>92.333002836363264</v>
      </c>
    </row>
    <row r="84" spans="1:6" x14ac:dyDescent="0.2">
      <c r="A84" s="7"/>
      <c r="B84" s="7"/>
      <c r="C84" s="7"/>
      <c r="D84" s="7"/>
      <c r="E84" s="7"/>
      <c r="F84" s="7"/>
    </row>
    <row r="85" spans="1:6" x14ac:dyDescent="0.2">
      <c r="A85" s="6" t="s">
        <v>103</v>
      </c>
      <c r="B85" s="7"/>
      <c r="C85" s="7"/>
      <c r="D85" s="7"/>
      <c r="E85" s="6">
        <v>53305.467276399999</v>
      </c>
      <c r="F85" s="6">
        <v>7.67</v>
      </c>
    </row>
    <row r="86" spans="1:6" x14ac:dyDescent="0.2">
      <c r="A86" s="7"/>
      <c r="B86" s="7"/>
      <c r="C86" s="7"/>
      <c r="D86" s="7"/>
      <c r="E86" s="7"/>
      <c r="F86" s="7"/>
    </row>
    <row r="87" spans="1:6" x14ac:dyDescent="0.2">
      <c r="A87" s="8" t="s">
        <v>104</v>
      </c>
      <c r="B87" s="5"/>
      <c r="C87" s="5"/>
      <c r="D87" s="5"/>
      <c r="E87" s="8">
        <v>695258.73218289984</v>
      </c>
      <c r="F87" s="8">
        <f xml:space="preserve"> ROUND(SUM(F83:F86),2)</f>
        <v>100</v>
      </c>
    </row>
    <row r="88" spans="1:6" x14ac:dyDescent="0.2">
      <c r="A88" s="39" t="s">
        <v>675</v>
      </c>
      <c r="F88" s="11" t="s">
        <v>625</v>
      </c>
    </row>
    <row r="89" spans="1:6" x14ac:dyDescent="0.2">
      <c r="A89" s="12"/>
    </row>
    <row r="90" spans="1:6" x14ac:dyDescent="0.2">
      <c r="A90" s="4" t="s">
        <v>105</v>
      </c>
      <c r="B90" s="2"/>
      <c r="C90" s="2"/>
      <c r="D90" s="2"/>
    </row>
    <row r="91" spans="1:6" x14ac:dyDescent="0.2">
      <c r="A91" s="4" t="s">
        <v>106</v>
      </c>
      <c r="B91" s="2"/>
      <c r="C91" s="2"/>
      <c r="D91" s="2"/>
    </row>
    <row r="92" spans="1:6" x14ac:dyDescent="0.2">
      <c r="A92" s="4" t="s">
        <v>107</v>
      </c>
      <c r="B92" s="2"/>
      <c r="C92" s="2"/>
      <c r="D92" s="2"/>
    </row>
    <row r="93" spans="1:6" x14ac:dyDescent="0.2">
      <c r="A93" s="2" t="s">
        <v>666</v>
      </c>
      <c r="B93" s="2"/>
      <c r="C93" s="2"/>
      <c r="D93" s="10">
        <v>54.7928</v>
      </c>
      <c r="E93" s="2"/>
    </row>
    <row r="94" spans="1:6" x14ac:dyDescent="0.2">
      <c r="A94" s="2" t="s">
        <v>667</v>
      </c>
      <c r="B94" s="2"/>
      <c r="C94" s="2"/>
      <c r="D94" s="10">
        <v>24.7974</v>
      </c>
      <c r="E94" s="2"/>
    </row>
    <row r="95" spans="1:6" x14ac:dyDescent="0.2">
      <c r="A95" s="2" t="s">
        <v>668</v>
      </c>
      <c r="B95" s="2"/>
      <c r="C95" s="2"/>
      <c r="D95" s="10">
        <v>58.864800000000002</v>
      </c>
      <c r="E95" s="2"/>
    </row>
    <row r="96" spans="1:6" x14ac:dyDescent="0.2">
      <c r="A96" s="2" t="s">
        <v>669</v>
      </c>
      <c r="B96" s="2"/>
      <c r="C96" s="2"/>
      <c r="D96" s="10">
        <v>27.253799999999998</v>
      </c>
      <c r="E96" s="2"/>
    </row>
    <row r="97" spans="1:5" x14ac:dyDescent="0.2">
      <c r="A97" s="2"/>
      <c r="B97" s="2"/>
      <c r="C97" s="2"/>
      <c r="D97" s="10"/>
      <c r="E97" s="2"/>
    </row>
    <row r="98" spans="1:5" x14ac:dyDescent="0.2">
      <c r="A98" s="4" t="s">
        <v>108</v>
      </c>
      <c r="B98" s="2"/>
      <c r="C98" s="2"/>
      <c r="D98" s="2"/>
      <c r="E98" s="2"/>
    </row>
    <row r="99" spans="1:5" x14ac:dyDescent="0.2">
      <c r="A99" s="2" t="s">
        <v>666</v>
      </c>
      <c r="B99" s="2"/>
      <c r="C99" s="2"/>
      <c r="D99" s="10">
        <v>49.578699999999998</v>
      </c>
      <c r="E99" s="2"/>
    </row>
    <row r="100" spans="1:5" x14ac:dyDescent="0.2">
      <c r="A100" s="2" t="s">
        <v>667</v>
      </c>
      <c r="B100" s="2"/>
      <c r="C100" s="2"/>
      <c r="D100" s="10">
        <v>22.437799999999999</v>
      </c>
      <c r="E100" s="2"/>
    </row>
    <row r="101" spans="1:5" x14ac:dyDescent="0.2">
      <c r="A101" s="2" t="s">
        <v>668</v>
      </c>
      <c r="B101" s="2"/>
      <c r="C101" s="2"/>
      <c r="D101" s="10">
        <v>53.510300000000001</v>
      </c>
      <c r="E101" s="2"/>
    </row>
    <row r="102" spans="1:5" x14ac:dyDescent="0.2">
      <c r="A102" s="2" t="s">
        <v>669</v>
      </c>
      <c r="B102" s="2"/>
      <c r="C102" s="2"/>
      <c r="D102" s="10">
        <v>24.774699999999999</v>
      </c>
      <c r="E102" s="2"/>
    </row>
    <row r="103" spans="1:5" x14ac:dyDescent="0.2">
      <c r="A103" s="2"/>
      <c r="B103" s="2"/>
      <c r="C103" s="2"/>
      <c r="D103" s="2"/>
    </row>
    <row r="104" spans="1:5" x14ac:dyDescent="0.2">
      <c r="A104" s="4" t="s">
        <v>109</v>
      </c>
      <c r="B104" s="2"/>
      <c r="C104" s="2"/>
      <c r="D104" s="30" t="s">
        <v>110</v>
      </c>
    </row>
    <row r="105" spans="1:5" x14ac:dyDescent="0.2">
      <c r="A105" s="4"/>
      <c r="B105" s="2"/>
      <c r="C105" s="2"/>
      <c r="D105" s="30"/>
    </row>
    <row r="106" spans="1:5" x14ac:dyDescent="0.2">
      <c r="A106" s="9" t="s">
        <v>674</v>
      </c>
      <c r="B106" s="2"/>
      <c r="C106" s="2"/>
      <c r="D106" s="37">
        <v>0.10425125338984122</v>
      </c>
    </row>
    <row r="107" spans="1:5" x14ac:dyDescent="0.2">
      <c r="A107" s="2"/>
      <c r="B107" s="2"/>
      <c r="C107" s="2"/>
      <c r="D107" s="2"/>
    </row>
    <row r="108" spans="1:5" x14ac:dyDescent="0.2">
      <c r="A108" s="2"/>
      <c r="B108" s="2"/>
      <c r="C108" s="2"/>
      <c r="D108" s="2"/>
    </row>
  </sheetData>
  <mergeCells count="1">
    <mergeCell ref="A1:F1"/>
  </mergeCells>
  <pageMargins left="0.7" right="0.7" top="0.75" bottom="0.75" header="0.3" footer="0.3"/>
  <pageSetup paperSize="0" orientation="portrait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D16F-BA8D-4B11-99C1-00621B8B9C30}">
  <sheetPr codeName="Sheet5"/>
  <dimension ref="A1:F111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5.85546875" style="1" bestFit="1" customWidth="1"/>
    <col min="3" max="3" width="40.14062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465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2098530</v>
      </c>
      <c r="E8" s="7">
        <v>26755.208234999998</v>
      </c>
      <c r="F8" s="7">
        <f>E8/$E$85*100</f>
        <v>3.5187080839628937</v>
      </c>
    </row>
    <row r="9" spans="1:6" x14ac:dyDescent="0.2">
      <c r="A9" s="7" t="s">
        <v>466</v>
      </c>
      <c r="B9" s="7" t="s">
        <v>467</v>
      </c>
      <c r="C9" s="7" t="s">
        <v>59</v>
      </c>
      <c r="D9" s="7">
        <v>2744401</v>
      </c>
      <c r="E9" s="7">
        <v>21974.418806999998</v>
      </c>
      <c r="F9" s="7">
        <f t="shared" ref="F9:F69" si="0">E9/$E$85*100</f>
        <v>2.8899631211028454</v>
      </c>
    </row>
    <row r="10" spans="1:6" x14ac:dyDescent="0.2">
      <c r="A10" s="7" t="s">
        <v>21</v>
      </c>
      <c r="B10" s="7" t="s">
        <v>22</v>
      </c>
      <c r="C10" s="7" t="s">
        <v>11</v>
      </c>
      <c r="D10" s="7">
        <v>1350892</v>
      </c>
      <c r="E10" s="7">
        <v>21819.607584000001</v>
      </c>
      <c r="F10" s="7">
        <f t="shared" si="0"/>
        <v>2.8696031412038412</v>
      </c>
    </row>
    <row r="11" spans="1:6" x14ac:dyDescent="0.2">
      <c r="A11" s="7" t="s">
        <v>468</v>
      </c>
      <c r="B11" s="7" t="s">
        <v>469</v>
      </c>
      <c r="C11" s="7" t="s">
        <v>11</v>
      </c>
      <c r="D11" s="7">
        <v>9688196</v>
      </c>
      <c r="E11" s="7">
        <v>21779.064608000001</v>
      </c>
      <c r="F11" s="7">
        <f t="shared" si="0"/>
        <v>2.8642711364537345</v>
      </c>
    </row>
    <row r="12" spans="1:6" x14ac:dyDescent="0.2">
      <c r="A12" s="7" t="s">
        <v>221</v>
      </c>
      <c r="B12" s="7" t="s">
        <v>222</v>
      </c>
      <c r="C12" s="7" t="s">
        <v>34</v>
      </c>
      <c r="D12" s="7">
        <v>4045770</v>
      </c>
      <c r="E12" s="7">
        <v>21238.269615000001</v>
      </c>
      <c r="F12" s="7">
        <f t="shared" si="0"/>
        <v>2.7931485461557282</v>
      </c>
    </row>
    <row r="13" spans="1:6" x14ac:dyDescent="0.2">
      <c r="A13" s="7" t="s">
        <v>225</v>
      </c>
      <c r="B13" s="7" t="s">
        <v>226</v>
      </c>
      <c r="C13" s="7" t="s">
        <v>227</v>
      </c>
      <c r="D13" s="7">
        <v>2956964</v>
      </c>
      <c r="E13" s="7">
        <v>20015.689316</v>
      </c>
      <c r="F13" s="7">
        <f t="shared" si="0"/>
        <v>2.6323610410240161</v>
      </c>
    </row>
    <row r="14" spans="1:6" x14ac:dyDescent="0.2">
      <c r="A14" s="7" t="s">
        <v>286</v>
      </c>
      <c r="B14" s="7" t="s">
        <v>287</v>
      </c>
      <c r="C14" s="7" t="s">
        <v>95</v>
      </c>
      <c r="D14" s="7">
        <v>2814830</v>
      </c>
      <c r="E14" s="7">
        <v>19720.698980000001</v>
      </c>
      <c r="F14" s="7">
        <f t="shared" si="0"/>
        <v>2.593565421462503</v>
      </c>
    </row>
    <row r="15" spans="1:6" x14ac:dyDescent="0.2">
      <c r="A15" s="7" t="s">
        <v>128</v>
      </c>
      <c r="B15" s="7" t="s">
        <v>129</v>
      </c>
      <c r="C15" s="7" t="s">
        <v>118</v>
      </c>
      <c r="D15" s="7">
        <v>3800170</v>
      </c>
      <c r="E15" s="7">
        <v>19439.769635000001</v>
      </c>
      <c r="F15" s="7">
        <f t="shared" si="0"/>
        <v>2.556619031488951</v>
      </c>
    </row>
    <row r="16" spans="1:6" x14ac:dyDescent="0.2">
      <c r="A16" s="7" t="s">
        <v>15</v>
      </c>
      <c r="B16" s="7" t="s">
        <v>16</v>
      </c>
      <c r="C16" s="7" t="s">
        <v>17</v>
      </c>
      <c r="D16" s="7">
        <v>12720763</v>
      </c>
      <c r="E16" s="7">
        <v>19004.819921999999</v>
      </c>
      <c r="F16" s="7">
        <f t="shared" si="0"/>
        <v>2.4994166708192864</v>
      </c>
    </row>
    <row r="17" spans="1:6" x14ac:dyDescent="0.2">
      <c r="A17" s="7" t="s">
        <v>446</v>
      </c>
      <c r="B17" s="7" t="s">
        <v>447</v>
      </c>
      <c r="C17" s="7" t="s">
        <v>246</v>
      </c>
      <c r="D17" s="7">
        <v>281404</v>
      </c>
      <c r="E17" s="7">
        <v>17536.393769999999</v>
      </c>
      <c r="F17" s="7">
        <f t="shared" si="0"/>
        <v>2.3062967770639564</v>
      </c>
    </row>
    <row r="18" spans="1:6" x14ac:dyDescent="0.2">
      <c r="A18" s="7" t="s">
        <v>470</v>
      </c>
      <c r="B18" s="7" t="s">
        <v>471</v>
      </c>
      <c r="C18" s="7" t="s">
        <v>11</v>
      </c>
      <c r="D18" s="7">
        <v>4634341</v>
      </c>
      <c r="E18" s="7">
        <v>17339.386851499999</v>
      </c>
      <c r="F18" s="7">
        <f t="shared" si="0"/>
        <v>2.2803874352029676</v>
      </c>
    </row>
    <row r="19" spans="1:6" x14ac:dyDescent="0.2">
      <c r="A19" s="7" t="s">
        <v>444</v>
      </c>
      <c r="B19" s="7" t="s">
        <v>445</v>
      </c>
      <c r="C19" s="7" t="s">
        <v>80</v>
      </c>
      <c r="D19" s="7">
        <v>643714</v>
      </c>
      <c r="E19" s="7">
        <v>16953.817475</v>
      </c>
      <c r="F19" s="7">
        <f t="shared" si="0"/>
        <v>2.229679323716685</v>
      </c>
    </row>
    <row r="20" spans="1:6" x14ac:dyDescent="0.2">
      <c r="A20" s="7" t="s">
        <v>294</v>
      </c>
      <c r="B20" s="7" t="s">
        <v>295</v>
      </c>
      <c r="C20" s="7" t="s">
        <v>37</v>
      </c>
      <c r="D20" s="7">
        <v>3529985</v>
      </c>
      <c r="E20" s="7">
        <v>16846.853412500001</v>
      </c>
      <c r="F20" s="7">
        <f t="shared" si="0"/>
        <v>2.2156119575386151</v>
      </c>
    </row>
    <row r="21" spans="1:6" x14ac:dyDescent="0.2">
      <c r="A21" s="7" t="s">
        <v>472</v>
      </c>
      <c r="B21" s="7" t="s">
        <v>473</v>
      </c>
      <c r="C21" s="7" t="s">
        <v>40</v>
      </c>
      <c r="D21" s="7">
        <v>783689</v>
      </c>
      <c r="E21" s="7">
        <v>16702.371812500001</v>
      </c>
      <c r="F21" s="7">
        <f t="shared" si="0"/>
        <v>2.1966104768011623</v>
      </c>
    </row>
    <row r="22" spans="1:6" x14ac:dyDescent="0.2">
      <c r="A22" s="7" t="s">
        <v>212</v>
      </c>
      <c r="B22" s="7" t="s">
        <v>213</v>
      </c>
      <c r="C22" s="7" t="s">
        <v>25</v>
      </c>
      <c r="D22" s="7">
        <v>3121672</v>
      </c>
      <c r="E22" s="7">
        <v>15488.175628000001</v>
      </c>
      <c r="F22" s="7">
        <f t="shared" si="0"/>
        <v>2.0369256075080098</v>
      </c>
    </row>
    <row r="23" spans="1:6" x14ac:dyDescent="0.2">
      <c r="A23" s="7" t="s">
        <v>312</v>
      </c>
      <c r="B23" s="7" t="s">
        <v>313</v>
      </c>
      <c r="C23" s="7" t="s">
        <v>95</v>
      </c>
      <c r="D23" s="7">
        <v>6026546</v>
      </c>
      <c r="E23" s="7">
        <v>15346.599389000001</v>
      </c>
      <c r="F23" s="7">
        <f t="shared" si="0"/>
        <v>2.0183062249829029</v>
      </c>
    </row>
    <row r="24" spans="1:6" x14ac:dyDescent="0.2">
      <c r="A24" s="7" t="s">
        <v>150</v>
      </c>
      <c r="B24" s="7" t="s">
        <v>151</v>
      </c>
      <c r="C24" s="7" t="s">
        <v>40</v>
      </c>
      <c r="D24" s="7">
        <v>4145052</v>
      </c>
      <c r="E24" s="7">
        <v>15239.283678</v>
      </c>
      <c r="F24" s="7">
        <f t="shared" si="0"/>
        <v>2.0041926117934543</v>
      </c>
    </row>
    <row r="25" spans="1:6" x14ac:dyDescent="0.2">
      <c r="A25" s="7" t="s">
        <v>454</v>
      </c>
      <c r="B25" s="7" t="s">
        <v>455</v>
      </c>
      <c r="C25" s="7" t="s">
        <v>125</v>
      </c>
      <c r="D25" s="7">
        <v>5243909</v>
      </c>
      <c r="E25" s="7">
        <v>14688.189109000001</v>
      </c>
      <c r="F25" s="7">
        <f t="shared" si="0"/>
        <v>1.9317154739615892</v>
      </c>
    </row>
    <row r="26" spans="1:6" x14ac:dyDescent="0.2">
      <c r="A26" s="7" t="s">
        <v>223</v>
      </c>
      <c r="B26" s="7" t="s">
        <v>224</v>
      </c>
      <c r="C26" s="7" t="s">
        <v>136</v>
      </c>
      <c r="D26" s="7">
        <v>6772160</v>
      </c>
      <c r="E26" s="7">
        <v>14577.0744</v>
      </c>
      <c r="F26" s="7">
        <f t="shared" si="0"/>
        <v>1.9171022359941856</v>
      </c>
    </row>
    <row r="27" spans="1:6" x14ac:dyDescent="0.2">
      <c r="A27" s="7" t="s">
        <v>18</v>
      </c>
      <c r="B27" s="7" t="s">
        <v>19</v>
      </c>
      <c r="C27" s="7" t="s">
        <v>20</v>
      </c>
      <c r="D27" s="7">
        <v>2706125</v>
      </c>
      <c r="E27" s="7">
        <v>13987.960125</v>
      </c>
      <c r="F27" s="7">
        <f t="shared" si="0"/>
        <v>1.8396249409713523</v>
      </c>
    </row>
    <row r="28" spans="1:6" x14ac:dyDescent="0.2">
      <c r="A28" s="7" t="s">
        <v>218</v>
      </c>
      <c r="B28" s="7" t="s">
        <v>219</v>
      </c>
      <c r="C28" s="7" t="s">
        <v>220</v>
      </c>
      <c r="D28" s="7">
        <v>2936685</v>
      </c>
      <c r="E28" s="7">
        <v>13946.317064999999</v>
      </c>
      <c r="F28" s="7">
        <f t="shared" si="0"/>
        <v>1.8341482588025599</v>
      </c>
    </row>
    <row r="29" spans="1:6" x14ac:dyDescent="0.2">
      <c r="A29" s="7" t="s">
        <v>337</v>
      </c>
      <c r="B29" s="7" t="s">
        <v>338</v>
      </c>
      <c r="C29" s="7" t="s">
        <v>59</v>
      </c>
      <c r="D29" s="7">
        <v>1192476</v>
      </c>
      <c r="E29" s="7">
        <v>13798.139795999999</v>
      </c>
      <c r="F29" s="7">
        <f t="shared" si="0"/>
        <v>1.81466074258851</v>
      </c>
    </row>
    <row r="30" spans="1:6" x14ac:dyDescent="0.2">
      <c r="A30" s="7" t="s">
        <v>249</v>
      </c>
      <c r="B30" s="7" t="s">
        <v>250</v>
      </c>
      <c r="C30" s="7" t="s">
        <v>37</v>
      </c>
      <c r="D30" s="7">
        <v>17234302</v>
      </c>
      <c r="E30" s="7">
        <v>13640.950032999999</v>
      </c>
      <c r="F30" s="7">
        <f t="shared" si="0"/>
        <v>1.7939879492794015</v>
      </c>
    </row>
    <row r="31" spans="1:6" x14ac:dyDescent="0.2">
      <c r="A31" s="7" t="s">
        <v>12</v>
      </c>
      <c r="B31" s="7" t="s">
        <v>13</v>
      </c>
      <c r="C31" s="7" t="s">
        <v>14</v>
      </c>
      <c r="D31" s="7">
        <v>2569496</v>
      </c>
      <c r="E31" s="7">
        <v>13376.796176</v>
      </c>
      <c r="F31" s="7">
        <f t="shared" si="0"/>
        <v>1.7592477856495043</v>
      </c>
    </row>
    <row r="32" spans="1:6" x14ac:dyDescent="0.2">
      <c r="A32" s="7" t="s">
        <v>134</v>
      </c>
      <c r="B32" s="7" t="s">
        <v>135</v>
      </c>
      <c r="C32" s="7" t="s">
        <v>136</v>
      </c>
      <c r="D32" s="7">
        <v>4867738</v>
      </c>
      <c r="E32" s="7">
        <v>13215.908670000001</v>
      </c>
      <c r="F32" s="7">
        <f t="shared" si="0"/>
        <v>1.7380886841019312</v>
      </c>
    </row>
    <row r="33" spans="1:6" x14ac:dyDescent="0.2">
      <c r="A33" s="7" t="s">
        <v>474</v>
      </c>
      <c r="B33" s="7" t="s">
        <v>475</v>
      </c>
      <c r="C33" s="7" t="s">
        <v>25</v>
      </c>
      <c r="D33" s="7">
        <v>794058</v>
      </c>
      <c r="E33" s="7">
        <v>12946.718661000001</v>
      </c>
      <c r="F33" s="7">
        <f t="shared" si="0"/>
        <v>1.7026861915303633</v>
      </c>
    </row>
    <row r="34" spans="1:6" x14ac:dyDescent="0.2">
      <c r="A34" s="7" t="s">
        <v>452</v>
      </c>
      <c r="B34" s="7" t="s">
        <v>453</v>
      </c>
      <c r="C34" s="7" t="s">
        <v>34</v>
      </c>
      <c r="D34" s="7">
        <v>145389</v>
      </c>
      <c r="E34" s="7">
        <v>12862.128663</v>
      </c>
      <c r="F34" s="7">
        <f t="shared" si="0"/>
        <v>1.6915613478300013</v>
      </c>
    </row>
    <row r="35" spans="1:6" x14ac:dyDescent="0.2">
      <c r="A35" s="7" t="s">
        <v>476</v>
      </c>
      <c r="B35" s="7" t="s">
        <v>477</v>
      </c>
      <c r="C35" s="7" t="s">
        <v>428</v>
      </c>
      <c r="D35" s="7">
        <v>856114</v>
      </c>
      <c r="E35" s="7">
        <v>12686.325309</v>
      </c>
      <c r="F35" s="7">
        <f t="shared" si="0"/>
        <v>1.6684405902760249</v>
      </c>
    </row>
    <row r="36" spans="1:6" x14ac:dyDescent="0.2">
      <c r="A36" s="7" t="s">
        <v>232</v>
      </c>
      <c r="B36" s="7" t="s">
        <v>233</v>
      </c>
      <c r="C36" s="7" t="s">
        <v>125</v>
      </c>
      <c r="D36" s="7">
        <v>1629004</v>
      </c>
      <c r="E36" s="7">
        <v>12235.449044000001</v>
      </c>
      <c r="F36" s="7">
        <f t="shared" si="0"/>
        <v>1.6091436509815253</v>
      </c>
    </row>
    <row r="37" spans="1:6" x14ac:dyDescent="0.2">
      <c r="A37" s="7" t="s">
        <v>262</v>
      </c>
      <c r="B37" s="7" t="s">
        <v>263</v>
      </c>
      <c r="C37" s="7" t="s">
        <v>179</v>
      </c>
      <c r="D37" s="7">
        <v>11587252</v>
      </c>
      <c r="E37" s="7">
        <v>11946.456812</v>
      </c>
      <c r="F37" s="7">
        <f t="shared" si="0"/>
        <v>1.5711368713665324</v>
      </c>
    </row>
    <row r="38" spans="1:6" x14ac:dyDescent="0.2">
      <c r="A38" s="7" t="s">
        <v>270</v>
      </c>
      <c r="B38" s="7" t="s">
        <v>271</v>
      </c>
      <c r="C38" s="7" t="s">
        <v>25</v>
      </c>
      <c r="D38" s="7">
        <v>11253507</v>
      </c>
      <c r="E38" s="7">
        <v>11889.3301455</v>
      </c>
      <c r="F38" s="7">
        <f t="shared" si="0"/>
        <v>1.5636238644985669</v>
      </c>
    </row>
    <row r="39" spans="1:6" x14ac:dyDescent="0.2">
      <c r="A39" s="7" t="s">
        <v>478</v>
      </c>
      <c r="B39" s="7" t="s">
        <v>479</v>
      </c>
      <c r="C39" s="7" t="s">
        <v>34</v>
      </c>
      <c r="D39" s="7">
        <v>3695000</v>
      </c>
      <c r="E39" s="7">
        <v>11644.7925</v>
      </c>
      <c r="F39" s="7">
        <f t="shared" si="0"/>
        <v>1.5314635246314121</v>
      </c>
    </row>
    <row r="40" spans="1:6" x14ac:dyDescent="0.2">
      <c r="A40" s="7" t="s">
        <v>159</v>
      </c>
      <c r="B40" s="7" t="s">
        <v>160</v>
      </c>
      <c r="C40" s="7" t="s">
        <v>40</v>
      </c>
      <c r="D40" s="7">
        <v>264692</v>
      </c>
      <c r="E40" s="7">
        <v>11508.543468</v>
      </c>
      <c r="F40" s="7">
        <f t="shared" si="0"/>
        <v>1.5135447491122829</v>
      </c>
    </row>
    <row r="41" spans="1:6" x14ac:dyDescent="0.2">
      <c r="A41" s="7" t="s">
        <v>251</v>
      </c>
      <c r="B41" s="7" t="s">
        <v>252</v>
      </c>
      <c r="C41" s="7" t="s">
        <v>246</v>
      </c>
      <c r="D41" s="7">
        <v>6794904</v>
      </c>
      <c r="E41" s="7">
        <v>11418.836171999999</v>
      </c>
      <c r="F41" s="7">
        <f t="shared" si="0"/>
        <v>1.5017469045635445</v>
      </c>
    </row>
    <row r="42" spans="1:6" x14ac:dyDescent="0.2">
      <c r="A42" s="7" t="s">
        <v>302</v>
      </c>
      <c r="B42" s="7" t="s">
        <v>303</v>
      </c>
      <c r="C42" s="7" t="s">
        <v>40</v>
      </c>
      <c r="D42" s="7">
        <v>2371940</v>
      </c>
      <c r="E42" s="7">
        <v>11015.289360000001</v>
      </c>
      <c r="F42" s="7">
        <f t="shared" si="0"/>
        <v>1.448674492748625</v>
      </c>
    </row>
    <row r="43" spans="1:6" x14ac:dyDescent="0.2">
      <c r="A43" s="7" t="s">
        <v>236</v>
      </c>
      <c r="B43" s="7" t="s">
        <v>237</v>
      </c>
      <c r="C43" s="7" t="s">
        <v>31</v>
      </c>
      <c r="D43" s="7">
        <v>762865</v>
      </c>
      <c r="E43" s="7">
        <v>10994.410379999999</v>
      </c>
      <c r="F43" s="7">
        <f t="shared" si="0"/>
        <v>1.4459285961341932</v>
      </c>
    </row>
    <row r="44" spans="1:6" x14ac:dyDescent="0.2">
      <c r="A44" s="7" t="s">
        <v>480</v>
      </c>
      <c r="B44" s="7" t="s">
        <v>481</v>
      </c>
      <c r="C44" s="7" t="s">
        <v>227</v>
      </c>
      <c r="D44" s="7">
        <v>1283419</v>
      </c>
      <c r="E44" s="7">
        <v>10827.564393500001</v>
      </c>
      <c r="F44" s="7">
        <f t="shared" si="0"/>
        <v>1.4239858657200708</v>
      </c>
    </row>
    <row r="45" spans="1:6" x14ac:dyDescent="0.2">
      <c r="A45" s="7" t="s">
        <v>228</v>
      </c>
      <c r="B45" s="7" t="s">
        <v>229</v>
      </c>
      <c r="C45" s="7" t="s">
        <v>25</v>
      </c>
      <c r="D45" s="7">
        <v>2008648</v>
      </c>
      <c r="E45" s="7">
        <v>10702.076544</v>
      </c>
      <c r="F45" s="7">
        <f t="shared" si="0"/>
        <v>1.4074823458596966</v>
      </c>
    </row>
    <row r="46" spans="1:6" x14ac:dyDescent="0.2">
      <c r="A46" s="7" t="s">
        <v>482</v>
      </c>
      <c r="B46" s="7" t="s">
        <v>483</v>
      </c>
      <c r="C46" s="7" t="s">
        <v>25</v>
      </c>
      <c r="D46" s="7">
        <v>2128752</v>
      </c>
      <c r="E46" s="7">
        <v>9879.5380320000004</v>
      </c>
      <c r="F46" s="7">
        <f t="shared" si="0"/>
        <v>1.2993062895896861</v>
      </c>
    </row>
    <row r="47" spans="1:6" x14ac:dyDescent="0.2">
      <c r="A47" s="7" t="s">
        <v>484</v>
      </c>
      <c r="B47" s="7" t="s">
        <v>485</v>
      </c>
      <c r="C47" s="7" t="s">
        <v>40</v>
      </c>
      <c r="D47" s="7">
        <v>590261</v>
      </c>
      <c r="E47" s="7">
        <v>9705.3664924999994</v>
      </c>
      <c r="F47" s="7">
        <f t="shared" si="0"/>
        <v>1.2764001399289557</v>
      </c>
    </row>
    <row r="48" spans="1:6" x14ac:dyDescent="0.2">
      <c r="A48" s="7" t="s">
        <v>486</v>
      </c>
      <c r="B48" s="7" t="s">
        <v>487</v>
      </c>
      <c r="C48" s="7" t="s">
        <v>20</v>
      </c>
      <c r="D48" s="7">
        <v>1743720</v>
      </c>
      <c r="E48" s="7">
        <v>9347.2110599999996</v>
      </c>
      <c r="F48" s="7">
        <f t="shared" si="0"/>
        <v>1.2292973700837793</v>
      </c>
    </row>
    <row r="49" spans="1:6" x14ac:dyDescent="0.2">
      <c r="A49" s="7" t="s">
        <v>488</v>
      </c>
      <c r="B49" s="7" t="s">
        <v>489</v>
      </c>
      <c r="C49" s="7" t="s">
        <v>72</v>
      </c>
      <c r="D49" s="7">
        <v>478158</v>
      </c>
      <c r="E49" s="7">
        <v>8661.8321699999997</v>
      </c>
      <c r="F49" s="7">
        <f t="shared" si="0"/>
        <v>1.1391598454703209</v>
      </c>
    </row>
    <row r="50" spans="1:6" x14ac:dyDescent="0.2">
      <c r="A50" s="7" t="s">
        <v>490</v>
      </c>
      <c r="B50" s="7" t="s">
        <v>491</v>
      </c>
      <c r="C50" s="7" t="s">
        <v>187</v>
      </c>
      <c r="D50" s="7">
        <v>120666</v>
      </c>
      <c r="E50" s="7">
        <v>8535.1285110000008</v>
      </c>
      <c r="F50" s="7">
        <f t="shared" si="0"/>
        <v>1.1224964285656542</v>
      </c>
    </row>
    <row r="51" spans="1:6" x14ac:dyDescent="0.2">
      <c r="A51" s="7" t="s">
        <v>244</v>
      </c>
      <c r="B51" s="7" t="s">
        <v>245</v>
      </c>
      <c r="C51" s="7" t="s">
        <v>246</v>
      </c>
      <c r="D51" s="7">
        <v>876836</v>
      </c>
      <c r="E51" s="7">
        <v>8121.6934499999998</v>
      </c>
      <c r="F51" s="7">
        <f t="shared" si="0"/>
        <v>1.0681235648392062</v>
      </c>
    </row>
    <row r="52" spans="1:6" x14ac:dyDescent="0.2">
      <c r="A52" s="7" t="s">
        <v>316</v>
      </c>
      <c r="B52" s="7" t="s">
        <v>317</v>
      </c>
      <c r="C52" s="7" t="s">
        <v>11</v>
      </c>
      <c r="D52" s="7">
        <v>12530441</v>
      </c>
      <c r="E52" s="7">
        <v>7912.9734914999999</v>
      </c>
      <c r="F52" s="7">
        <f t="shared" si="0"/>
        <v>1.0406737838915996</v>
      </c>
    </row>
    <row r="53" spans="1:6" x14ac:dyDescent="0.2">
      <c r="A53" s="7" t="s">
        <v>38</v>
      </c>
      <c r="B53" s="7" t="s">
        <v>39</v>
      </c>
      <c r="C53" s="7" t="s">
        <v>40</v>
      </c>
      <c r="D53" s="7">
        <v>1351671</v>
      </c>
      <c r="E53" s="7">
        <v>7329.4359974999998</v>
      </c>
      <c r="F53" s="7">
        <f t="shared" si="0"/>
        <v>0.96392991857018484</v>
      </c>
    </row>
    <row r="54" spans="1:6" x14ac:dyDescent="0.2">
      <c r="A54" s="7" t="s">
        <v>492</v>
      </c>
      <c r="B54" s="7" t="s">
        <v>493</v>
      </c>
      <c r="C54" s="7" t="s">
        <v>428</v>
      </c>
      <c r="D54" s="7">
        <v>191626</v>
      </c>
      <c r="E54" s="7">
        <v>7121.492851</v>
      </c>
      <c r="F54" s="7">
        <f t="shared" si="0"/>
        <v>0.93658229996196696</v>
      </c>
    </row>
    <row r="55" spans="1:6" x14ac:dyDescent="0.2">
      <c r="A55" s="7" t="s">
        <v>202</v>
      </c>
      <c r="B55" s="7" t="s">
        <v>203</v>
      </c>
      <c r="C55" s="7" t="s">
        <v>187</v>
      </c>
      <c r="D55" s="7">
        <v>2456836</v>
      </c>
      <c r="E55" s="7">
        <v>6244.0486940000001</v>
      </c>
      <c r="F55" s="7">
        <f t="shared" si="0"/>
        <v>0.82118533420697748</v>
      </c>
    </row>
    <row r="56" spans="1:6" x14ac:dyDescent="0.2">
      <c r="A56" s="7" t="s">
        <v>494</v>
      </c>
      <c r="B56" s="7" t="s">
        <v>495</v>
      </c>
      <c r="C56" s="7" t="s">
        <v>187</v>
      </c>
      <c r="D56" s="7">
        <v>302781</v>
      </c>
      <c r="E56" s="7">
        <v>5748.600066</v>
      </c>
      <c r="F56" s="7">
        <f t="shared" si="0"/>
        <v>0.75602646580200794</v>
      </c>
    </row>
    <row r="57" spans="1:6" x14ac:dyDescent="0.2">
      <c r="A57" s="7" t="s">
        <v>496</v>
      </c>
      <c r="B57" s="7" t="s">
        <v>497</v>
      </c>
      <c r="C57" s="7" t="s">
        <v>20</v>
      </c>
      <c r="D57" s="7">
        <v>753083</v>
      </c>
      <c r="E57" s="7">
        <v>5667.7026580000002</v>
      </c>
      <c r="F57" s="7">
        <f t="shared" si="0"/>
        <v>0.74538725264391814</v>
      </c>
    </row>
    <row r="58" spans="1:6" x14ac:dyDescent="0.2">
      <c r="A58" s="7" t="s">
        <v>256</v>
      </c>
      <c r="B58" s="7" t="s">
        <v>257</v>
      </c>
      <c r="C58" s="7" t="s">
        <v>179</v>
      </c>
      <c r="D58" s="7">
        <v>532057</v>
      </c>
      <c r="E58" s="7">
        <v>5462.6292190000004</v>
      </c>
      <c r="F58" s="7">
        <f t="shared" si="0"/>
        <v>0.71841704328216049</v>
      </c>
    </row>
    <row r="59" spans="1:6" x14ac:dyDescent="0.2">
      <c r="A59" s="7" t="s">
        <v>154</v>
      </c>
      <c r="B59" s="7" t="s">
        <v>623</v>
      </c>
      <c r="C59" s="7" t="s">
        <v>37</v>
      </c>
      <c r="D59" s="7">
        <v>6934152</v>
      </c>
      <c r="E59" s="7">
        <v>4947.517452</v>
      </c>
      <c r="F59" s="7">
        <f t="shared" si="0"/>
        <v>0.65067217944977063</v>
      </c>
    </row>
    <row r="60" spans="1:6" x14ac:dyDescent="0.2">
      <c r="A60" s="7" t="s">
        <v>260</v>
      </c>
      <c r="B60" s="7" t="s">
        <v>261</v>
      </c>
      <c r="C60" s="7" t="s">
        <v>14</v>
      </c>
      <c r="D60" s="7">
        <v>2142510</v>
      </c>
      <c r="E60" s="7">
        <v>4826.0037750000001</v>
      </c>
      <c r="F60" s="7">
        <f t="shared" si="0"/>
        <v>0.63469132242124537</v>
      </c>
    </row>
    <row r="61" spans="1:6" x14ac:dyDescent="0.2">
      <c r="A61" s="7" t="s">
        <v>41</v>
      </c>
      <c r="B61" s="7" t="s">
        <v>42</v>
      </c>
      <c r="C61" s="7" t="s">
        <v>43</v>
      </c>
      <c r="D61" s="7">
        <v>53357503</v>
      </c>
      <c r="E61" s="7">
        <v>3654.9889555</v>
      </c>
      <c r="F61" s="7">
        <f t="shared" si="0"/>
        <v>0.48068544529916818</v>
      </c>
    </row>
    <row r="62" spans="1:6" x14ac:dyDescent="0.2">
      <c r="A62" s="7" t="s">
        <v>498</v>
      </c>
      <c r="B62" s="7" t="s">
        <v>499</v>
      </c>
      <c r="C62" s="7" t="s">
        <v>246</v>
      </c>
      <c r="D62" s="7">
        <v>778288</v>
      </c>
      <c r="E62" s="7">
        <v>3633.8266720000001</v>
      </c>
      <c r="F62" s="7">
        <f t="shared" si="0"/>
        <v>0.47790229005804563</v>
      </c>
    </row>
    <row r="63" spans="1:6" x14ac:dyDescent="0.2">
      <c r="A63" s="7" t="s">
        <v>310</v>
      </c>
      <c r="B63" s="7" t="s">
        <v>311</v>
      </c>
      <c r="C63" s="7" t="s">
        <v>11</v>
      </c>
      <c r="D63" s="7">
        <v>4899451</v>
      </c>
      <c r="E63" s="7">
        <v>3346.3250330000001</v>
      </c>
      <c r="F63" s="7">
        <f t="shared" si="0"/>
        <v>0.44009154560723229</v>
      </c>
    </row>
    <row r="64" spans="1:6" x14ac:dyDescent="0.2">
      <c r="A64" s="7" t="s">
        <v>500</v>
      </c>
      <c r="B64" s="7" t="s">
        <v>501</v>
      </c>
      <c r="C64" s="7" t="s">
        <v>80</v>
      </c>
      <c r="D64" s="7">
        <v>954980</v>
      </c>
      <c r="E64" s="7">
        <v>3241.2021199999999</v>
      </c>
      <c r="F64" s="7">
        <f t="shared" si="0"/>
        <v>0.42626631799046699</v>
      </c>
    </row>
    <row r="65" spans="1:6" x14ac:dyDescent="0.2">
      <c r="A65" s="7" t="s">
        <v>314</v>
      </c>
      <c r="B65" s="7" t="s">
        <v>315</v>
      </c>
      <c r="C65" s="7" t="s">
        <v>14</v>
      </c>
      <c r="D65" s="7">
        <v>354712</v>
      </c>
      <c r="E65" s="7">
        <v>1217.726296</v>
      </c>
      <c r="F65" s="7">
        <f t="shared" si="0"/>
        <v>0.16014913149448684</v>
      </c>
    </row>
    <row r="66" spans="1:6" x14ac:dyDescent="0.2">
      <c r="A66" s="7" t="s">
        <v>460</v>
      </c>
      <c r="B66" s="7" t="s">
        <v>461</v>
      </c>
      <c r="C66" s="7" t="s">
        <v>80</v>
      </c>
      <c r="D66" s="7">
        <v>325800</v>
      </c>
      <c r="E66" s="7">
        <v>1007.3736</v>
      </c>
      <c r="F66" s="7">
        <f t="shared" si="0"/>
        <v>0.1324846212653969</v>
      </c>
    </row>
    <row r="67" spans="1:6" x14ac:dyDescent="0.2">
      <c r="A67" s="7" t="s">
        <v>502</v>
      </c>
      <c r="B67" s="7" t="s">
        <v>503</v>
      </c>
      <c r="C67" s="7" t="s">
        <v>179</v>
      </c>
      <c r="D67" s="7">
        <v>65687</v>
      </c>
      <c r="E67" s="7">
        <v>295.460126</v>
      </c>
      <c r="F67" s="7">
        <f t="shared" si="0"/>
        <v>3.8857403938455846E-2</v>
      </c>
    </row>
    <row r="68" spans="1:6" x14ac:dyDescent="0.2">
      <c r="A68" s="7" t="s">
        <v>456</v>
      </c>
      <c r="B68" s="7" t="s">
        <v>457</v>
      </c>
      <c r="C68" s="7" t="s">
        <v>25</v>
      </c>
      <c r="D68" s="7">
        <v>376519</v>
      </c>
      <c r="E68" s="7">
        <v>250.94991350000001</v>
      </c>
      <c r="F68" s="7">
        <f t="shared" si="0"/>
        <v>3.3003648543729572E-2</v>
      </c>
    </row>
    <row r="69" spans="1:6" x14ac:dyDescent="0.2">
      <c r="A69" s="7" t="s">
        <v>504</v>
      </c>
      <c r="B69" s="7" t="s">
        <v>676</v>
      </c>
      <c r="C69" s="7" t="s">
        <v>227</v>
      </c>
      <c r="D69" s="7">
        <v>50107</v>
      </c>
      <c r="E69" s="7">
        <v>178.69158340000001</v>
      </c>
      <c r="F69" s="7">
        <f t="shared" si="0"/>
        <v>2.3500602705950488E-2</v>
      </c>
    </row>
    <row r="70" spans="1:6" x14ac:dyDescent="0.2">
      <c r="A70" s="6" t="s">
        <v>44</v>
      </c>
      <c r="B70" s="7"/>
      <c r="C70" s="7"/>
      <c r="D70" s="7"/>
      <c r="E70" s="6">
        <f>SUM(E8:E69)</f>
        <v>713447.40376339981</v>
      </c>
      <c r="F70" s="6">
        <f>SUM(F8:F69)</f>
        <v>93.828951920493779</v>
      </c>
    </row>
    <row r="71" spans="1:6" x14ac:dyDescent="0.2">
      <c r="A71" s="7"/>
      <c r="B71" s="7"/>
      <c r="C71" s="7"/>
      <c r="D71" s="7"/>
      <c r="E71" s="7"/>
      <c r="F71" s="7"/>
    </row>
    <row r="72" spans="1:6" x14ac:dyDescent="0.2">
      <c r="A72" s="6" t="s">
        <v>324</v>
      </c>
      <c r="B72" s="7"/>
      <c r="C72" s="7"/>
      <c r="D72" s="21"/>
      <c r="E72" s="14"/>
      <c r="F72" s="7"/>
    </row>
    <row r="73" spans="1:6" x14ac:dyDescent="0.2">
      <c r="A73" s="7" t="s">
        <v>325</v>
      </c>
      <c r="B73" s="7" t="s">
        <v>326</v>
      </c>
      <c r="C73" s="7" t="s">
        <v>25</v>
      </c>
      <c r="D73" s="21">
        <v>8100</v>
      </c>
      <c r="E73" s="14">
        <v>8.0999999999999996E-4</v>
      </c>
      <c r="F73" s="20" t="s">
        <v>624</v>
      </c>
    </row>
    <row r="74" spans="1:6" x14ac:dyDescent="0.2">
      <c r="A74" s="6" t="s">
        <v>44</v>
      </c>
      <c r="B74" s="7"/>
      <c r="C74" s="7"/>
      <c r="D74" s="21"/>
      <c r="E74" s="17">
        <v>8.0999999999999996E-4</v>
      </c>
      <c r="F74" s="6">
        <v>0</v>
      </c>
    </row>
    <row r="75" spans="1:6" x14ac:dyDescent="0.2">
      <c r="A75" s="7"/>
      <c r="B75" s="7"/>
      <c r="C75" s="7"/>
      <c r="D75" s="21"/>
      <c r="E75" s="14"/>
      <c r="F75" s="7"/>
    </row>
    <row r="76" spans="1:6" x14ac:dyDescent="0.2">
      <c r="A76" s="26" t="s">
        <v>45</v>
      </c>
      <c r="B76" s="7"/>
      <c r="C76" s="7"/>
      <c r="D76" s="22"/>
      <c r="E76" s="19"/>
      <c r="F76" s="6"/>
    </row>
    <row r="77" spans="1:6" x14ac:dyDescent="0.2">
      <c r="A77" s="7" t="s">
        <v>636</v>
      </c>
      <c r="B77" s="7" t="s">
        <v>637</v>
      </c>
      <c r="C77" s="7" t="s">
        <v>80</v>
      </c>
      <c r="D77" s="22">
        <v>140468</v>
      </c>
      <c r="E77" s="27">
        <v>2634.6326939999999</v>
      </c>
      <c r="F77" s="7">
        <f t="shared" ref="F77" si="1">E77/$E$85*100</f>
        <v>0.34649341082397067</v>
      </c>
    </row>
    <row r="78" spans="1:6" x14ac:dyDescent="0.2">
      <c r="A78" s="6" t="s">
        <v>44</v>
      </c>
      <c r="B78" s="7"/>
      <c r="C78" s="7"/>
      <c r="D78" s="28"/>
      <c r="E78" s="19">
        <f>SUM(E77)</f>
        <v>2634.6326939999999</v>
      </c>
      <c r="F78" s="19">
        <f>SUM(F77)</f>
        <v>0.34649341082397067</v>
      </c>
    </row>
    <row r="79" spans="1:6" x14ac:dyDescent="0.2">
      <c r="A79" s="7"/>
      <c r="B79" s="7"/>
      <c r="C79" s="7"/>
      <c r="D79" s="21"/>
      <c r="E79" s="14"/>
      <c r="F79" s="7"/>
    </row>
    <row r="80" spans="1:6" x14ac:dyDescent="0.2">
      <c r="A80" s="7"/>
      <c r="B80" s="7"/>
      <c r="C80" s="7"/>
      <c r="D80" s="7"/>
      <c r="E80" s="7"/>
      <c r="F80" s="7"/>
    </row>
    <row r="81" spans="1:6" x14ac:dyDescent="0.2">
      <c r="A81" s="6" t="s">
        <v>44</v>
      </c>
      <c r="B81" s="7"/>
      <c r="C81" s="7"/>
      <c r="D81" s="7"/>
      <c r="E81" s="6">
        <f>E70+E74+E78</f>
        <v>716082.03726739984</v>
      </c>
      <c r="F81" s="6">
        <f>F70+F74+F78</f>
        <v>94.175445331317746</v>
      </c>
    </row>
    <row r="82" spans="1:6" x14ac:dyDescent="0.2">
      <c r="A82" s="7"/>
      <c r="B82" s="7"/>
      <c r="C82" s="7"/>
      <c r="D82" s="7"/>
      <c r="E82" s="7"/>
      <c r="F82" s="7"/>
    </row>
    <row r="83" spans="1:6" x14ac:dyDescent="0.2">
      <c r="A83" s="6" t="s">
        <v>103</v>
      </c>
      <c r="B83" s="7"/>
      <c r="C83" s="7"/>
      <c r="D83" s="7"/>
      <c r="E83" s="6">
        <v>44288.178066499997</v>
      </c>
      <c r="F83" s="6">
        <f t="shared" ref="F83" si="2">E83/$E$85*100</f>
        <v>5.8245545621552024</v>
      </c>
    </row>
    <row r="84" spans="1:6" x14ac:dyDescent="0.2">
      <c r="A84" s="7"/>
      <c r="B84" s="7"/>
      <c r="C84" s="7"/>
      <c r="D84" s="7"/>
      <c r="E84" s="7"/>
      <c r="F84" s="7"/>
    </row>
    <row r="85" spans="1:6" x14ac:dyDescent="0.2">
      <c r="A85" s="8" t="s">
        <v>104</v>
      </c>
      <c r="B85" s="5"/>
      <c r="C85" s="5"/>
      <c r="D85" s="5"/>
      <c r="E85" s="8">
        <f>E81+E83</f>
        <v>760370.21533389983</v>
      </c>
      <c r="F85" s="8">
        <f>F81+F83</f>
        <v>99.999999893472946</v>
      </c>
    </row>
    <row r="86" spans="1:6" x14ac:dyDescent="0.2">
      <c r="A86" s="9" t="s">
        <v>677</v>
      </c>
      <c r="B86" s="42"/>
      <c r="C86" s="42"/>
      <c r="D86" s="42"/>
      <c r="E86" s="41"/>
      <c r="F86" s="11" t="s">
        <v>625</v>
      </c>
    </row>
    <row r="87" spans="1:6" x14ac:dyDescent="0.2">
      <c r="F87" s="11"/>
    </row>
    <row r="88" spans="1:6" x14ac:dyDescent="0.2">
      <c r="A88" s="4" t="s">
        <v>105</v>
      </c>
      <c r="B88" s="2"/>
      <c r="C88" s="2"/>
      <c r="D88" s="2"/>
    </row>
    <row r="89" spans="1:6" x14ac:dyDescent="0.2">
      <c r="A89" s="4" t="s">
        <v>106</v>
      </c>
      <c r="B89" s="2"/>
      <c r="C89" s="2"/>
      <c r="D89" s="2"/>
    </row>
    <row r="90" spans="1:6" x14ac:dyDescent="0.2">
      <c r="A90" s="4" t="s">
        <v>107</v>
      </c>
      <c r="B90" s="2"/>
      <c r="C90" s="2"/>
      <c r="D90" s="2"/>
    </row>
    <row r="91" spans="1:6" x14ac:dyDescent="0.2">
      <c r="A91" s="2" t="s">
        <v>666</v>
      </c>
      <c r="B91" s="2"/>
      <c r="C91" s="2"/>
      <c r="D91" s="10">
        <v>966.75900000000001</v>
      </c>
      <c r="E91" s="2"/>
    </row>
    <row r="92" spans="1:6" x14ac:dyDescent="0.2">
      <c r="A92" s="2" t="s">
        <v>667</v>
      </c>
      <c r="B92" s="2"/>
      <c r="C92" s="2"/>
      <c r="D92" s="10">
        <v>61.242100000000001</v>
      </c>
      <c r="E92" s="2"/>
    </row>
    <row r="93" spans="1:6" x14ac:dyDescent="0.2">
      <c r="A93" s="2" t="s">
        <v>668</v>
      </c>
      <c r="B93" s="2"/>
      <c r="C93" s="2"/>
      <c r="D93" s="10">
        <v>1033.2764</v>
      </c>
      <c r="E93" s="2"/>
    </row>
    <row r="94" spans="1:6" x14ac:dyDescent="0.2">
      <c r="A94" s="2" t="s">
        <v>669</v>
      </c>
      <c r="B94" s="2"/>
      <c r="C94" s="2"/>
      <c r="D94" s="10">
        <v>66.790599999999998</v>
      </c>
      <c r="E94" s="2"/>
    </row>
    <row r="95" spans="1:6" x14ac:dyDescent="0.2">
      <c r="A95" s="2"/>
      <c r="B95" s="2"/>
      <c r="C95" s="2"/>
      <c r="D95" s="10"/>
      <c r="E95" s="2"/>
    </row>
    <row r="96" spans="1:6" x14ac:dyDescent="0.2">
      <c r="A96" s="4" t="s">
        <v>108</v>
      </c>
      <c r="B96" s="2"/>
      <c r="C96" s="2"/>
      <c r="D96" s="2"/>
      <c r="E96" s="2"/>
    </row>
    <row r="97" spans="1:5" x14ac:dyDescent="0.2">
      <c r="A97" s="2" t="s">
        <v>666</v>
      </c>
      <c r="B97" s="2"/>
      <c r="C97" s="2"/>
      <c r="D97" s="10">
        <v>966.92190000000005</v>
      </c>
      <c r="E97" s="2"/>
    </row>
    <row r="98" spans="1:5" x14ac:dyDescent="0.2">
      <c r="A98" s="2" t="s">
        <v>667</v>
      </c>
      <c r="B98" s="2"/>
      <c r="C98" s="2"/>
      <c r="D98" s="10">
        <v>55.714799999999997</v>
      </c>
      <c r="E98" s="2"/>
    </row>
    <row r="99" spans="1:5" x14ac:dyDescent="0.2">
      <c r="A99" s="2" t="s">
        <v>668</v>
      </c>
      <c r="B99" s="2"/>
      <c r="C99" s="2"/>
      <c r="D99" s="10">
        <v>1037.8988999999999</v>
      </c>
      <c r="E99" s="2"/>
    </row>
    <row r="100" spans="1:5" x14ac:dyDescent="0.2">
      <c r="A100" s="2" t="s">
        <v>669</v>
      </c>
      <c r="B100" s="2"/>
      <c r="C100" s="2"/>
      <c r="D100" s="10">
        <v>61.531599999999997</v>
      </c>
      <c r="E100" s="2"/>
    </row>
    <row r="101" spans="1:5" x14ac:dyDescent="0.2">
      <c r="A101" s="2"/>
      <c r="B101" s="2"/>
      <c r="C101" s="2"/>
      <c r="D101" s="2"/>
    </row>
    <row r="102" spans="1:5" x14ac:dyDescent="0.2">
      <c r="A102" s="4" t="s">
        <v>109</v>
      </c>
      <c r="B102" s="2"/>
      <c r="C102" s="2"/>
      <c r="D102" s="30" t="s">
        <v>325</v>
      </c>
    </row>
    <row r="103" spans="1:5" x14ac:dyDescent="0.2">
      <c r="A103" s="31" t="s">
        <v>670</v>
      </c>
      <c r="B103" s="32"/>
      <c r="C103" s="88" t="s">
        <v>671</v>
      </c>
      <c r="D103" s="89"/>
    </row>
    <row r="104" spans="1:5" x14ac:dyDescent="0.2">
      <c r="A104" s="92"/>
      <c r="B104" s="93"/>
      <c r="C104" s="33" t="s">
        <v>672</v>
      </c>
      <c r="D104" s="33" t="s">
        <v>673</v>
      </c>
    </row>
    <row r="105" spans="1:5" x14ac:dyDescent="0.2">
      <c r="A105" s="34" t="s">
        <v>667</v>
      </c>
      <c r="B105" s="35"/>
      <c r="C105" s="36">
        <v>4.8697465850000006</v>
      </c>
      <c r="D105" s="36">
        <v>4.8697465850000006</v>
      </c>
    </row>
    <row r="106" spans="1:5" x14ac:dyDescent="0.2">
      <c r="A106" s="34" t="s">
        <v>669</v>
      </c>
      <c r="B106" s="35"/>
      <c r="C106" s="36">
        <v>4.8697465850000006</v>
      </c>
      <c r="D106" s="36">
        <v>4.8697465850000006</v>
      </c>
    </row>
    <row r="107" spans="1:5" x14ac:dyDescent="0.2">
      <c r="A107" s="4"/>
      <c r="B107" s="2"/>
      <c r="C107" s="2"/>
      <c r="D107" s="30"/>
    </row>
    <row r="108" spans="1:5" x14ac:dyDescent="0.2">
      <c r="A108" s="9" t="s">
        <v>674</v>
      </c>
      <c r="B108" s="2"/>
      <c r="C108" s="2"/>
      <c r="D108" s="37">
        <v>0.11522374863928025</v>
      </c>
    </row>
    <row r="109" spans="1:5" x14ac:dyDescent="0.2">
      <c r="A109" s="2"/>
      <c r="B109" s="2"/>
      <c r="C109" s="2"/>
      <c r="D109" s="2"/>
    </row>
    <row r="110" spans="1:5" x14ac:dyDescent="0.2">
      <c r="A110" s="2"/>
      <c r="B110" s="2"/>
      <c r="C110" s="2"/>
      <c r="D110" s="2"/>
    </row>
    <row r="111" spans="1:5" x14ac:dyDescent="0.2">
      <c r="A111" s="2"/>
      <c r="B111" s="2"/>
      <c r="C111" s="2"/>
      <c r="D111" s="2"/>
    </row>
  </sheetData>
  <mergeCells count="3">
    <mergeCell ref="A1:F1"/>
    <mergeCell ref="C103:D103"/>
    <mergeCell ref="A104:B104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A784-B28F-405D-81E0-8AC6FA939833}">
  <sheetPr codeName="Sheet6"/>
  <dimension ref="A1:F78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7.57031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464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602786</v>
      </c>
      <c r="E8" s="7">
        <v>7685.2201070000001</v>
      </c>
      <c r="F8" s="7">
        <f>E8/$E$54*100</f>
        <v>13.447676443860898</v>
      </c>
    </row>
    <row r="9" spans="1:6" x14ac:dyDescent="0.2">
      <c r="A9" s="7" t="s">
        <v>121</v>
      </c>
      <c r="B9" s="7" t="s">
        <v>122</v>
      </c>
      <c r="C9" s="7" t="s">
        <v>11</v>
      </c>
      <c r="D9" s="7">
        <v>485782</v>
      </c>
      <c r="E9" s="7">
        <v>3590.171871</v>
      </c>
      <c r="F9" s="7">
        <f t="shared" ref="F9:F40" si="0">E9/$E$54*100</f>
        <v>6.282119318233172</v>
      </c>
    </row>
    <row r="10" spans="1:6" x14ac:dyDescent="0.2">
      <c r="A10" s="7" t="s">
        <v>192</v>
      </c>
      <c r="B10" s="7" t="s">
        <v>193</v>
      </c>
      <c r="C10" s="7" t="s">
        <v>59</v>
      </c>
      <c r="D10" s="7">
        <v>411721</v>
      </c>
      <c r="E10" s="7">
        <v>3240.4501304999999</v>
      </c>
      <c r="F10" s="7">
        <f t="shared" si="0"/>
        <v>5.6701726535769108</v>
      </c>
    </row>
    <row r="11" spans="1:6" x14ac:dyDescent="0.2">
      <c r="A11" s="7" t="s">
        <v>21</v>
      </c>
      <c r="B11" s="7" t="s">
        <v>22</v>
      </c>
      <c r="C11" s="7" t="s">
        <v>11</v>
      </c>
      <c r="D11" s="7">
        <v>197693</v>
      </c>
      <c r="E11" s="7">
        <v>3193.1373359999998</v>
      </c>
      <c r="F11" s="7">
        <f t="shared" si="0"/>
        <v>5.587384243715837</v>
      </c>
    </row>
    <row r="12" spans="1:6" x14ac:dyDescent="0.2">
      <c r="A12" s="7" t="s">
        <v>185</v>
      </c>
      <c r="B12" s="7" t="s">
        <v>186</v>
      </c>
      <c r="C12" s="7" t="s">
        <v>187</v>
      </c>
      <c r="D12" s="7">
        <v>98278</v>
      </c>
      <c r="E12" s="7">
        <v>2863.673503</v>
      </c>
      <c r="F12" s="7">
        <f t="shared" si="0"/>
        <v>5.0108850720001534</v>
      </c>
    </row>
    <row r="13" spans="1:6" x14ac:dyDescent="0.2">
      <c r="A13" s="7" t="s">
        <v>444</v>
      </c>
      <c r="B13" s="7" t="s">
        <v>445</v>
      </c>
      <c r="C13" s="7" t="s">
        <v>80</v>
      </c>
      <c r="D13" s="7">
        <v>108079</v>
      </c>
      <c r="E13" s="7">
        <v>2846.5306624999998</v>
      </c>
      <c r="F13" s="7">
        <f t="shared" si="0"/>
        <v>4.980888355033942</v>
      </c>
    </row>
    <row r="14" spans="1:6" x14ac:dyDescent="0.2">
      <c r="A14" s="7" t="s">
        <v>194</v>
      </c>
      <c r="B14" s="7" t="s">
        <v>195</v>
      </c>
      <c r="C14" s="7" t="s">
        <v>80</v>
      </c>
      <c r="D14" s="7">
        <v>405492</v>
      </c>
      <c r="E14" s="7">
        <v>2823.6435419999998</v>
      </c>
      <c r="F14" s="7">
        <f t="shared" si="0"/>
        <v>4.9408402383983079</v>
      </c>
    </row>
    <row r="15" spans="1:6" x14ac:dyDescent="0.2">
      <c r="A15" s="7" t="s">
        <v>114</v>
      </c>
      <c r="B15" s="7" t="s">
        <v>115</v>
      </c>
      <c r="C15" s="7" t="s">
        <v>11</v>
      </c>
      <c r="D15" s="7">
        <v>528372</v>
      </c>
      <c r="E15" s="7">
        <v>2708.4348719999998</v>
      </c>
      <c r="F15" s="7">
        <f t="shared" si="0"/>
        <v>4.7392469338322627</v>
      </c>
    </row>
    <row r="16" spans="1:6" x14ac:dyDescent="0.2">
      <c r="A16" s="7" t="s">
        <v>128</v>
      </c>
      <c r="B16" s="7" t="s">
        <v>129</v>
      </c>
      <c r="C16" s="7" t="s">
        <v>118</v>
      </c>
      <c r="D16" s="7">
        <v>397644</v>
      </c>
      <c r="E16" s="7">
        <v>2034.147882</v>
      </c>
      <c r="F16" s="7">
        <f t="shared" si="0"/>
        <v>3.5593726887776871</v>
      </c>
    </row>
    <row r="17" spans="1:6" x14ac:dyDescent="0.2">
      <c r="A17" s="7" t="s">
        <v>207</v>
      </c>
      <c r="B17" s="7" t="s">
        <v>208</v>
      </c>
      <c r="C17" s="7" t="s">
        <v>37</v>
      </c>
      <c r="D17" s="7">
        <v>343240</v>
      </c>
      <c r="E17" s="7">
        <v>1821.0598199999999</v>
      </c>
      <c r="F17" s="7">
        <f t="shared" si="0"/>
        <v>3.1865090268488219</v>
      </c>
    </row>
    <row r="18" spans="1:6" x14ac:dyDescent="0.2">
      <c r="A18" s="7" t="s">
        <v>384</v>
      </c>
      <c r="B18" s="7" t="s">
        <v>385</v>
      </c>
      <c r="C18" s="7" t="s">
        <v>34</v>
      </c>
      <c r="D18" s="7">
        <v>101394</v>
      </c>
      <c r="E18" s="7">
        <v>1729.9337310000001</v>
      </c>
      <c r="F18" s="7">
        <f t="shared" si="0"/>
        <v>3.0270556678812239</v>
      </c>
    </row>
    <row r="19" spans="1:6" x14ac:dyDescent="0.2">
      <c r="A19" s="7" t="s">
        <v>446</v>
      </c>
      <c r="B19" s="7" t="s">
        <v>447</v>
      </c>
      <c r="C19" s="7" t="s">
        <v>246</v>
      </c>
      <c r="D19" s="7">
        <v>27179</v>
      </c>
      <c r="E19" s="7">
        <v>1693.7273325000001</v>
      </c>
      <c r="F19" s="7">
        <f t="shared" si="0"/>
        <v>2.9637013428981294</v>
      </c>
    </row>
    <row r="20" spans="1:6" x14ac:dyDescent="0.2">
      <c r="A20" s="7" t="s">
        <v>242</v>
      </c>
      <c r="B20" s="7" t="s">
        <v>243</v>
      </c>
      <c r="C20" s="7" t="s">
        <v>118</v>
      </c>
      <c r="D20" s="7">
        <v>551423</v>
      </c>
      <c r="E20" s="7">
        <v>1558.321398</v>
      </c>
      <c r="F20" s="7">
        <f t="shared" si="0"/>
        <v>2.7267666591307669</v>
      </c>
    </row>
    <row r="21" spans="1:6" x14ac:dyDescent="0.2">
      <c r="A21" s="7" t="s">
        <v>204</v>
      </c>
      <c r="B21" s="7" t="s">
        <v>205</v>
      </c>
      <c r="C21" s="7" t="s">
        <v>206</v>
      </c>
      <c r="D21" s="7">
        <v>116490</v>
      </c>
      <c r="E21" s="7">
        <v>1549.9576950000001</v>
      </c>
      <c r="F21" s="7">
        <f t="shared" si="0"/>
        <v>2.712131766408032</v>
      </c>
    </row>
    <row r="22" spans="1:6" x14ac:dyDescent="0.2">
      <c r="A22" s="7" t="s">
        <v>337</v>
      </c>
      <c r="B22" s="7" t="s">
        <v>338</v>
      </c>
      <c r="C22" s="7" t="s">
        <v>59</v>
      </c>
      <c r="D22" s="7">
        <v>121898</v>
      </c>
      <c r="E22" s="7">
        <v>1410.4817579999999</v>
      </c>
      <c r="F22" s="7">
        <f t="shared" si="0"/>
        <v>2.4680753507990718</v>
      </c>
    </row>
    <row r="23" spans="1:6" x14ac:dyDescent="0.2">
      <c r="A23" s="7" t="s">
        <v>232</v>
      </c>
      <c r="B23" s="7" t="s">
        <v>233</v>
      </c>
      <c r="C23" s="7" t="s">
        <v>125</v>
      </c>
      <c r="D23" s="7">
        <v>183307</v>
      </c>
      <c r="E23" s="7">
        <v>1376.8188769999999</v>
      </c>
      <c r="F23" s="7">
        <f t="shared" si="0"/>
        <v>2.4091716986520284</v>
      </c>
    </row>
    <row r="24" spans="1:6" x14ac:dyDescent="0.2">
      <c r="A24" s="7" t="s">
        <v>270</v>
      </c>
      <c r="B24" s="7" t="s">
        <v>271</v>
      </c>
      <c r="C24" s="7" t="s">
        <v>25</v>
      </c>
      <c r="D24" s="7">
        <v>1247117</v>
      </c>
      <c r="E24" s="7">
        <v>1317.5791105000001</v>
      </c>
      <c r="F24" s="7">
        <f t="shared" si="0"/>
        <v>2.3055133516677619</v>
      </c>
    </row>
    <row r="25" spans="1:6" x14ac:dyDescent="0.2">
      <c r="A25" s="7" t="s">
        <v>190</v>
      </c>
      <c r="B25" s="7" t="s">
        <v>191</v>
      </c>
      <c r="C25" s="7" t="s">
        <v>80</v>
      </c>
      <c r="D25" s="7">
        <v>114846</v>
      </c>
      <c r="E25" s="7">
        <v>1295.060919</v>
      </c>
      <c r="F25" s="7">
        <f t="shared" si="0"/>
        <v>2.2661107907551501</v>
      </c>
    </row>
    <row r="26" spans="1:6" x14ac:dyDescent="0.2">
      <c r="A26" s="7" t="s">
        <v>448</v>
      </c>
      <c r="B26" s="7" t="s">
        <v>449</v>
      </c>
      <c r="C26" s="7" t="s">
        <v>206</v>
      </c>
      <c r="D26" s="7">
        <v>1262673</v>
      </c>
      <c r="E26" s="7">
        <v>1219.1107815</v>
      </c>
      <c r="F26" s="7">
        <f t="shared" si="0"/>
        <v>2.1332124663419738</v>
      </c>
    </row>
    <row r="27" spans="1:6" x14ac:dyDescent="0.2">
      <c r="A27" s="7" t="s">
        <v>267</v>
      </c>
      <c r="B27" s="7" t="s">
        <v>268</v>
      </c>
      <c r="C27" s="7" t="s">
        <v>269</v>
      </c>
      <c r="D27" s="7">
        <v>278178</v>
      </c>
      <c r="E27" s="7">
        <v>1189.2109499999999</v>
      </c>
      <c r="F27" s="7">
        <f t="shared" si="0"/>
        <v>2.0808934365497462</v>
      </c>
    </row>
    <row r="28" spans="1:6" x14ac:dyDescent="0.2">
      <c r="A28" s="7" t="s">
        <v>116</v>
      </c>
      <c r="B28" s="7" t="s">
        <v>117</v>
      </c>
      <c r="C28" s="7" t="s">
        <v>118</v>
      </c>
      <c r="D28" s="7">
        <v>752083</v>
      </c>
      <c r="E28" s="7">
        <v>988.23706200000004</v>
      </c>
      <c r="F28" s="7">
        <f t="shared" si="0"/>
        <v>1.7292272797109753</v>
      </c>
    </row>
    <row r="29" spans="1:6" x14ac:dyDescent="0.2">
      <c r="A29" s="7" t="s">
        <v>202</v>
      </c>
      <c r="B29" s="7" t="s">
        <v>203</v>
      </c>
      <c r="C29" s="7" t="s">
        <v>187</v>
      </c>
      <c r="D29" s="7">
        <v>387005</v>
      </c>
      <c r="E29" s="7">
        <v>983.57320749999997</v>
      </c>
      <c r="F29" s="7">
        <f t="shared" si="0"/>
        <v>1.721066419589335</v>
      </c>
    </row>
    <row r="30" spans="1:6" x14ac:dyDescent="0.2">
      <c r="A30" s="7" t="s">
        <v>35</v>
      </c>
      <c r="B30" s="7" t="s">
        <v>36</v>
      </c>
      <c r="C30" s="7" t="s">
        <v>37</v>
      </c>
      <c r="D30" s="7">
        <v>484457</v>
      </c>
      <c r="E30" s="7">
        <v>782.398055</v>
      </c>
      <c r="F30" s="7">
        <f t="shared" si="0"/>
        <v>1.369048088077887</v>
      </c>
    </row>
    <row r="31" spans="1:6" x14ac:dyDescent="0.2">
      <c r="A31" s="7" t="s">
        <v>450</v>
      </c>
      <c r="B31" s="7" t="s">
        <v>451</v>
      </c>
      <c r="C31" s="7" t="s">
        <v>25</v>
      </c>
      <c r="D31" s="7">
        <v>248911</v>
      </c>
      <c r="E31" s="7">
        <v>746.73299999999995</v>
      </c>
      <c r="F31" s="7">
        <f t="shared" si="0"/>
        <v>1.3066410114665541</v>
      </c>
    </row>
    <row r="32" spans="1:6" x14ac:dyDescent="0.2">
      <c r="A32" s="7" t="s">
        <v>452</v>
      </c>
      <c r="B32" s="7" t="s">
        <v>453</v>
      </c>
      <c r="C32" s="7" t="s">
        <v>34</v>
      </c>
      <c r="D32" s="7">
        <v>7836</v>
      </c>
      <c r="E32" s="7">
        <v>693.22741199999996</v>
      </c>
      <c r="F32" s="7">
        <f t="shared" si="0"/>
        <v>1.2130163884440914</v>
      </c>
    </row>
    <row r="33" spans="1:6" x14ac:dyDescent="0.2">
      <c r="A33" s="7" t="s">
        <v>454</v>
      </c>
      <c r="B33" s="7" t="s">
        <v>455</v>
      </c>
      <c r="C33" s="7" t="s">
        <v>125</v>
      </c>
      <c r="D33" s="7">
        <v>244622</v>
      </c>
      <c r="E33" s="7">
        <v>685.18622200000004</v>
      </c>
      <c r="F33" s="7">
        <f t="shared" si="0"/>
        <v>1.1989458322546709</v>
      </c>
    </row>
    <row r="34" spans="1:6" x14ac:dyDescent="0.2">
      <c r="A34" s="7" t="s">
        <v>41</v>
      </c>
      <c r="B34" s="7" t="s">
        <v>42</v>
      </c>
      <c r="C34" s="7" t="s">
        <v>43</v>
      </c>
      <c r="D34" s="7">
        <v>9600668</v>
      </c>
      <c r="E34" s="7">
        <v>657.645758</v>
      </c>
      <c r="F34" s="7">
        <f t="shared" si="0"/>
        <v>1.1507552477522873</v>
      </c>
    </row>
    <row r="35" spans="1:6" x14ac:dyDescent="0.2">
      <c r="A35" s="7" t="s">
        <v>143</v>
      </c>
      <c r="B35" s="7" t="s">
        <v>144</v>
      </c>
      <c r="C35" s="7" t="s">
        <v>145</v>
      </c>
      <c r="D35" s="7">
        <v>580358</v>
      </c>
      <c r="E35" s="7">
        <v>611.69733199999996</v>
      </c>
      <c r="F35" s="7">
        <f t="shared" si="0"/>
        <v>1.0703542237933406</v>
      </c>
    </row>
    <row r="36" spans="1:6" x14ac:dyDescent="0.2">
      <c r="A36" s="7" t="s">
        <v>310</v>
      </c>
      <c r="B36" s="7" t="s">
        <v>311</v>
      </c>
      <c r="C36" s="7" t="s">
        <v>11</v>
      </c>
      <c r="D36" s="7">
        <v>631101</v>
      </c>
      <c r="E36" s="7">
        <v>431.04198300000002</v>
      </c>
      <c r="F36" s="7">
        <f t="shared" si="0"/>
        <v>0.75424165351158889</v>
      </c>
    </row>
    <row r="37" spans="1:6" x14ac:dyDescent="0.2">
      <c r="A37" s="7" t="s">
        <v>456</v>
      </c>
      <c r="B37" s="7" t="s">
        <v>457</v>
      </c>
      <c r="C37" s="7" t="s">
        <v>25</v>
      </c>
      <c r="D37" s="7">
        <v>593597</v>
      </c>
      <c r="E37" s="7">
        <v>395.63240050000002</v>
      </c>
      <c r="F37" s="7">
        <f t="shared" si="0"/>
        <v>0.69228160528363003</v>
      </c>
    </row>
    <row r="38" spans="1:6" x14ac:dyDescent="0.2">
      <c r="A38" s="7" t="s">
        <v>458</v>
      </c>
      <c r="B38" s="7" t="s">
        <v>459</v>
      </c>
      <c r="C38" s="7" t="s">
        <v>25</v>
      </c>
      <c r="D38" s="7">
        <v>12795</v>
      </c>
      <c r="E38" s="7">
        <v>226.612245</v>
      </c>
      <c r="F38" s="7">
        <f t="shared" si="0"/>
        <v>0.3965284151329948</v>
      </c>
    </row>
    <row r="39" spans="1:6" x14ac:dyDescent="0.2">
      <c r="A39" s="7" t="s">
        <v>460</v>
      </c>
      <c r="B39" s="7" t="s">
        <v>461</v>
      </c>
      <c r="C39" s="7" t="s">
        <v>80</v>
      </c>
      <c r="D39" s="7">
        <v>36661</v>
      </c>
      <c r="E39" s="7">
        <v>113.355812</v>
      </c>
      <c r="F39" s="7">
        <f t="shared" si="0"/>
        <v>0.19835115475985735</v>
      </c>
    </row>
    <row r="40" spans="1:6" x14ac:dyDescent="0.2">
      <c r="A40" s="7" t="s">
        <v>314</v>
      </c>
      <c r="B40" s="7" t="s">
        <v>315</v>
      </c>
      <c r="C40" s="7" t="s">
        <v>14</v>
      </c>
      <c r="D40" s="7">
        <v>32642</v>
      </c>
      <c r="E40" s="7">
        <v>112.05998599999999</v>
      </c>
      <c r="F40" s="7">
        <f t="shared" si="0"/>
        <v>0.19608370522257337</v>
      </c>
    </row>
    <row r="41" spans="1:6" x14ac:dyDescent="0.2">
      <c r="A41" s="6" t="s">
        <v>44</v>
      </c>
      <c r="B41" s="7"/>
      <c r="C41" s="7"/>
      <c r="D41" s="7"/>
      <c r="E41" s="6">
        <f xml:space="preserve"> SUM(E8:E40)</f>
        <v>54574.07275349999</v>
      </c>
      <c r="F41" s="6">
        <f>SUM(F8:F40)</f>
        <v>95.494268530361637</v>
      </c>
    </row>
    <row r="42" spans="1:6" x14ac:dyDescent="0.2">
      <c r="A42" s="7"/>
      <c r="B42" s="7"/>
      <c r="C42" s="7"/>
      <c r="D42" s="7"/>
      <c r="E42" s="7"/>
      <c r="F42" s="7"/>
    </row>
    <row r="43" spans="1:6" x14ac:dyDescent="0.2">
      <c r="A43" s="6" t="s">
        <v>324</v>
      </c>
      <c r="B43" s="7"/>
      <c r="C43" s="7"/>
      <c r="D43" s="21"/>
      <c r="E43" s="14"/>
      <c r="F43" s="7"/>
    </row>
    <row r="44" spans="1:6" x14ac:dyDescent="0.2">
      <c r="A44" s="7" t="s">
        <v>325</v>
      </c>
      <c r="B44" s="7" t="s">
        <v>462</v>
      </c>
      <c r="C44" s="7" t="s">
        <v>80</v>
      </c>
      <c r="D44" s="21">
        <v>489000</v>
      </c>
      <c r="E44" s="14">
        <v>4.8899999999999999E-2</v>
      </c>
      <c r="F44" s="20" t="s">
        <v>624</v>
      </c>
    </row>
    <row r="45" spans="1:6" x14ac:dyDescent="0.2">
      <c r="A45" s="7" t="s">
        <v>325</v>
      </c>
      <c r="B45" s="7" t="s">
        <v>326</v>
      </c>
      <c r="C45" s="7" t="s">
        <v>25</v>
      </c>
      <c r="D45" s="21">
        <v>98000</v>
      </c>
      <c r="E45" s="14">
        <v>9.7999999999999997E-3</v>
      </c>
      <c r="F45" s="20" t="s">
        <v>624</v>
      </c>
    </row>
    <row r="46" spans="1:6" x14ac:dyDescent="0.2">
      <c r="A46" s="7" t="s">
        <v>328</v>
      </c>
      <c r="B46" s="7" t="s">
        <v>329</v>
      </c>
      <c r="C46" s="7" t="s">
        <v>622</v>
      </c>
      <c r="D46" s="21">
        <v>44170</v>
      </c>
      <c r="E46" s="14">
        <v>4.4169999999999999E-3</v>
      </c>
      <c r="F46" s="20" t="s">
        <v>624</v>
      </c>
    </row>
    <row r="47" spans="1:6" x14ac:dyDescent="0.2">
      <c r="A47" s="7" t="s">
        <v>325</v>
      </c>
      <c r="B47" s="7" t="s">
        <v>463</v>
      </c>
      <c r="C47" s="7" t="s">
        <v>80</v>
      </c>
      <c r="D47" s="21">
        <v>23815</v>
      </c>
      <c r="E47" s="14">
        <v>2.3814999999999999E-3</v>
      </c>
      <c r="F47" s="20" t="s">
        <v>624</v>
      </c>
    </row>
    <row r="48" spans="1:6" x14ac:dyDescent="0.2">
      <c r="A48" s="6" t="s">
        <v>44</v>
      </c>
      <c r="B48" s="7"/>
      <c r="C48" s="7"/>
      <c r="D48" s="7"/>
      <c r="E48" s="17">
        <f>SUM(E44:E47)</f>
        <v>6.5498500000000001E-2</v>
      </c>
      <c r="F48" s="17">
        <f>SUM(F44:F47)</f>
        <v>0</v>
      </c>
    </row>
    <row r="49" spans="1:6" x14ac:dyDescent="0.2">
      <c r="A49" s="7"/>
      <c r="B49" s="7"/>
      <c r="C49" s="7"/>
      <c r="D49" s="7"/>
      <c r="E49" s="7"/>
      <c r="F49" s="7"/>
    </row>
    <row r="50" spans="1:6" x14ac:dyDescent="0.2">
      <c r="A50" s="6" t="s">
        <v>44</v>
      </c>
      <c r="B50" s="7"/>
      <c r="C50" s="7"/>
      <c r="D50" s="7"/>
      <c r="E50" s="6">
        <f>E41+E48</f>
        <v>54574.13825199999</v>
      </c>
      <c r="F50" s="6">
        <f>F41+F48</f>
        <v>95.494268530361637</v>
      </c>
    </row>
    <row r="51" spans="1:6" x14ac:dyDescent="0.2">
      <c r="A51" s="7"/>
      <c r="B51" s="7"/>
      <c r="C51" s="7"/>
      <c r="D51" s="7"/>
      <c r="E51" s="7"/>
      <c r="F51" s="7"/>
    </row>
    <row r="52" spans="1:6" x14ac:dyDescent="0.2">
      <c r="A52" s="6" t="s">
        <v>103</v>
      </c>
      <c r="B52" s="7"/>
      <c r="C52" s="7"/>
      <c r="D52" s="7"/>
      <c r="E52" s="6">
        <v>2574.9174907000001</v>
      </c>
      <c r="F52" s="6">
        <v>4.51</v>
      </c>
    </row>
    <row r="53" spans="1:6" x14ac:dyDescent="0.2">
      <c r="A53" s="7"/>
      <c r="B53" s="7"/>
      <c r="C53" s="7"/>
      <c r="D53" s="7"/>
      <c r="E53" s="7"/>
      <c r="F53" s="7"/>
    </row>
    <row r="54" spans="1:6" x14ac:dyDescent="0.2">
      <c r="A54" s="8" t="s">
        <v>104</v>
      </c>
      <c r="B54" s="5"/>
      <c r="C54" s="5"/>
      <c r="D54" s="5"/>
      <c r="E54" s="8">
        <f>E50+E52</f>
        <v>57149.055742699988</v>
      </c>
      <c r="F54" s="8">
        <f>F50+F52</f>
        <v>100.00426853036164</v>
      </c>
    </row>
    <row r="55" spans="1:6" x14ac:dyDescent="0.2">
      <c r="F55" s="11" t="s">
        <v>625</v>
      </c>
    </row>
    <row r="56" spans="1:6" x14ac:dyDescent="0.2">
      <c r="A56" s="4" t="s">
        <v>105</v>
      </c>
      <c r="B56" s="2"/>
      <c r="C56" s="2"/>
      <c r="D56" s="2"/>
    </row>
    <row r="57" spans="1:6" x14ac:dyDescent="0.2">
      <c r="A57" s="4" t="s">
        <v>106</v>
      </c>
      <c r="B57" s="2"/>
      <c r="C57" s="2"/>
      <c r="D57" s="2"/>
    </row>
    <row r="58" spans="1:6" x14ac:dyDescent="0.2">
      <c r="A58" s="4" t="s">
        <v>107</v>
      </c>
      <c r="B58" s="2"/>
      <c r="C58" s="2"/>
      <c r="D58" s="2"/>
    </row>
    <row r="59" spans="1:6" x14ac:dyDescent="0.2">
      <c r="A59" s="2" t="s">
        <v>666</v>
      </c>
      <c r="B59" s="2"/>
      <c r="C59" s="2"/>
      <c r="D59" s="10">
        <v>76.176000000000002</v>
      </c>
      <c r="E59" s="2"/>
    </row>
    <row r="60" spans="1:6" x14ac:dyDescent="0.2">
      <c r="A60" s="2" t="s">
        <v>667</v>
      </c>
      <c r="B60" s="2"/>
      <c r="C60" s="2"/>
      <c r="D60" s="10">
        <v>19.3521</v>
      </c>
      <c r="E60" s="2"/>
    </row>
    <row r="61" spans="1:6" x14ac:dyDescent="0.2">
      <c r="A61" s="2" t="s">
        <v>668</v>
      </c>
      <c r="B61" s="2"/>
      <c r="C61" s="2"/>
      <c r="D61" s="10">
        <v>79.391099999999994</v>
      </c>
      <c r="E61" s="2"/>
    </row>
    <row r="62" spans="1:6" x14ac:dyDescent="0.2">
      <c r="A62" s="2" t="s">
        <v>669</v>
      </c>
      <c r="B62" s="2"/>
      <c r="C62" s="2"/>
      <c r="D62" s="10">
        <v>20.378799999999998</v>
      </c>
      <c r="E62" s="2"/>
    </row>
    <row r="63" spans="1:6" x14ac:dyDescent="0.2">
      <c r="A63" s="2"/>
      <c r="B63" s="2"/>
      <c r="C63" s="2"/>
      <c r="D63" s="10"/>
      <c r="E63" s="2"/>
    </row>
    <row r="64" spans="1:6" x14ac:dyDescent="0.2">
      <c r="A64" s="4" t="s">
        <v>108</v>
      </c>
      <c r="B64" s="2"/>
      <c r="C64" s="2"/>
      <c r="D64" s="2"/>
      <c r="E64" s="2"/>
    </row>
    <row r="65" spans="1:5" x14ac:dyDescent="0.2">
      <c r="A65" s="2" t="s">
        <v>666</v>
      </c>
      <c r="B65" s="2"/>
      <c r="C65" s="2"/>
      <c r="D65" s="10">
        <v>73.298100000000005</v>
      </c>
      <c r="E65" s="2"/>
    </row>
    <row r="66" spans="1:5" x14ac:dyDescent="0.2">
      <c r="A66" s="2" t="s">
        <v>667</v>
      </c>
      <c r="B66" s="2"/>
      <c r="C66" s="2"/>
      <c r="D66" s="10">
        <v>17.1206</v>
      </c>
      <c r="E66" s="2"/>
    </row>
    <row r="67" spans="1:5" x14ac:dyDescent="0.2">
      <c r="A67" s="2" t="s">
        <v>668</v>
      </c>
      <c r="B67" s="2"/>
      <c r="C67" s="2"/>
      <c r="D67" s="10">
        <v>76.649699999999996</v>
      </c>
      <c r="E67" s="2"/>
    </row>
    <row r="68" spans="1:5" x14ac:dyDescent="0.2">
      <c r="A68" s="2" t="s">
        <v>669</v>
      </c>
      <c r="B68" s="2"/>
      <c r="C68" s="2"/>
      <c r="D68" s="10">
        <v>18.1721</v>
      </c>
      <c r="E68" s="2"/>
    </row>
    <row r="69" spans="1:5" x14ac:dyDescent="0.2">
      <c r="A69" s="2"/>
      <c r="B69" s="2"/>
      <c r="C69" s="2"/>
      <c r="D69" s="2"/>
    </row>
    <row r="70" spans="1:5" x14ac:dyDescent="0.2">
      <c r="A70" s="4" t="s">
        <v>109</v>
      </c>
      <c r="B70" s="2"/>
      <c r="C70" s="2"/>
      <c r="D70" s="30" t="s">
        <v>325</v>
      </c>
    </row>
    <row r="71" spans="1:5" x14ac:dyDescent="0.2">
      <c r="A71" s="31" t="s">
        <v>670</v>
      </c>
      <c r="B71" s="32"/>
      <c r="C71" s="88" t="s">
        <v>671</v>
      </c>
      <c r="D71" s="89"/>
    </row>
    <row r="72" spans="1:5" x14ac:dyDescent="0.2">
      <c r="A72" s="92"/>
      <c r="B72" s="93"/>
      <c r="C72" s="33" t="s">
        <v>672</v>
      </c>
      <c r="D72" s="33" t="s">
        <v>673</v>
      </c>
    </row>
    <row r="73" spans="1:5" x14ac:dyDescent="0.2">
      <c r="A73" s="34" t="s">
        <v>667</v>
      </c>
      <c r="B73" s="35"/>
      <c r="C73" s="36">
        <v>1.3281127050000001</v>
      </c>
      <c r="D73" s="36">
        <v>1.3281127050000001</v>
      </c>
    </row>
    <row r="74" spans="1:5" x14ac:dyDescent="0.2">
      <c r="A74" s="34" t="s">
        <v>669</v>
      </c>
      <c r="B74" s="35"/>
      <c r="C74" s="36">
        <v>1.3281127050000001</v>
      </c>
      <c r="D74" s="36">
        <v>1.3281127050000001</v>
      </c>
    </row>
    <row r="75" spans="1:5" x14ac:dyDescent="0.2">
      <c r="A75" s="4"/>
      <c r="B75" s="2"/>
      <c r="C75" s="2"/>
      <c r="D75" s="30"/>
    </row>
    <row r="76" spans="1:5" x14ac:dyDescent="0.2">
      <c r="A76" s="9" t="s">
        <v>674</v>
      </c>
      <c r="B76" s="2"/>
      <c r="C76" s="2"/>
      <c r="D76" s="37">
        <v>4.6407425116994569E-2</v>
      </c>
    </row>
    <row r="77" spans="1:5" x14ac:dyDescent="0.2">
      <c r="A77" s="2"/>
      <c r="B77" s="2"/>
      <c r="C77" s="2"/>
      <c r="D77" s="2"/>
    </row>
    <row r="78" spans="1:5" x14ac:dyDescent="0.2">
      <c r="A78" s="2"/>
      <c r="B78" s="2"/>
      <c r="C78" s="2"/>
      <c r="D78" s="2"/>
    </row>
  </sheetData>
  <mergeCells count="3">
    <mergeCell ref="A1:F1"/>
    <mergeCell ref="C71:D71"/>
    <mergeCell ref="A72:B7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FA03-566F-48B0-A4CB-49A9650A5BB3}">
  <sheetPr codeName="Sheet7"/>
  <dimension ref="A1:F84"/>
  <sheetViews>
    <sheetView showGridLines="0" zoomScaleNormal="10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6.5703125" style="1" bestFit="1" customWidth="1"/>
    <col min="3" max="3" width="29.85546875" style="1" bestFit="1" customWidth="1"/>
    <col min="4" max="4" width="9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442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257211</v>
      </c>
      <c r="E8" s="7">
        <v>3279.3116445000001</v>
      </c>
      <c r="F8" s="7">
        <v>10.952769647981638</v>
      </c>
    </row>
    <row r="9" spans="1:6" x14ac:dyDescent="0.2">
      <c r="A9" s="7" t="s">
        <v>376</v>
      </c>
      <c r="B9" s="7" t="s">
        <v>377</v>
      </c>
      <c r="C9" s="7" t="s">
        <v>118</v>
      </c>
      <c r="D9" s="7">
        <v>199511</v>
      </c>
      <c r="E9" s="7">
        <v>3094.7148765000002</v>
      </c>
      <c r="F9" s="7">
        <v>10.336223830795612</v>
      </c>
    </row>
    <row r="10" spans="1:6" x14ac:dyDescent="0.2">
      <c r="A10" s="7" t="s">
        <v>288</v>
      </c>
      <c r="B10" s="7" t="s">
        <v>289</v>
      </c>
      <c r="C10" s="7" t="s">
        <v>25</v>
      </c>
      <c r="D10" s="7">
        <v>101869</v>
      </c>
      <c r="E10" s="7">
        <v>2340.1856025000002</v>
      </c>
      <c r="F10" s="7">
        <v>7.8161262534148959</v>
      </c>
    </row>
    <row r="11" spans="1:6" x14ac:dyDescent="0.2">
      <c r="A11" s="7" t="s">
        <v>114</v>
      </c>
      <c r="B11" s="7" t="s">
        <v>115</v>
      </c>
      <c r="C11" s="7" t="s">
        <v>11</v>
      </c>
      <c r="D11" s="7">
        <v>384371</v>
      </c>
      <c r="E11" s="7">
        <v>1970.285746</v>
      </c>
      <c r="F11" s="7">
        <v>6.5806755368412073</v>
      </c>
    </row>
    <row r="12" spans="1:6" x14ac:dyDescent="0.2">
      <c r="A12" s="7" t="s">
        <v>194</v>
      </c>
      <c r="B12" s="7" t="s">
        <v>195</v>
      </c>
      <c r="C12" s="7" t="s">
        <v>80</v>
      </c>
      <c r="D12" s="7">
        <v>217716</v>
      </c>
      <c r="E12" s="7">
        <v>1516.065366</v>
      </c>
      <c r="F12" s="7">
        <v>5.0635976464544807</v>
      </c>
    </row>
    <row r="13" spans="1:6" x14ac:dyDescent="0.2">
      <c r="A13" s="7" t="s">
        <v>408</v>
      </c>
      <c r="B13" s="7" t="s">
        <v>409</v>
      </c>
      <c r="C13" s="7" t="s">
        <v>80</v>
      </c>
      <c r="D13" s="7">
        <v>62494</v>
      </c>
      <c r="E13" s="7">
        <v>1283.1580550000001</v>
      </c>
      <c r="F13" s="7">
        <v>4.2856965491335615</v>
      </c>
    </row>
    <row r="14" spans="1:6" x14ac:dyDescent="0.2">
      <c r="A14" s="7" t="s">
        <v>21</v>
      </c>
      <c r="B14" s="7" t="s">
        <v>22</v>
      </c>
      <c r="C14" s="7" t="s">
        <v>11</v>
      </c>
      <c r="D14" s="7">
        <v>79399</v>
      </c>
      <c r="E14" s="7">
        <v>1282.452648</v>
      </c>
      <c r="F14" s="7">
        <v>4.2833405179853683</v>
      </c>
    </row>
    <row r="15" spans="1:6" x14ac:dyDescent="0.2">
      <c r="A15" s="7" t="s">
        <v>410</v>
      </c>
      <c r="B15" s="7" t="s">
        <v>411</v>
      </c>
      <c r="C15" s="7" t="s">
        <v>34</v>
      </c>
      <c r="D15" s="7">
        <v>507332</v>
      </c>
      <c r="E15" s="7">
        <v>1250.0660479999999</v>
      </c>
      <c r="F15" s="7">
        <v>4.1751705701622459</v>
      </c>
    </row>
    <row r="16" spans="1:6" x14ac:dyDescent="0.2">
      <c r="A16" s="7" t="s">
        <v>121</v>
      </c>
      <c r="B16" s="7" t="s">
        <v>122</v>
      </c>
      <c r="C16" s="7" t="s">
        <v>11</v>
      </c>
      <c r="D16" s="7">
        <v>132276</v>
      </c>
      <c r="E16" s="7">
        <v>977.585778</v>
      </c>
      <c r="F16" s="7">
        <v>3.2650973735707467</v>
      </c>
    </row>
    <row r="17" spans="1:6" x14ac:dyDescent="0.2">
      <c r="A17" s="7" t="s">
        <v>204</v>
      </c>
      <c r="B17" s="7" t="s">
        <v>205</v>
      </c>
      <c r="C17" s="7" t="s">
        <v>206</v>
      </c>
      <c r="D17" s="7">
        <v>72966</v>
      </c>
      <c r="E17" s="7">
        <v>970.84911299999999</v>
      </c>
      <c r="F17" s="7">
        <v>3.242597182085631</v>
      </c>
    </row>
    <row r="18" spans="1:6" x14ac:dyDescent="0.2">
      <c r="A18" s="7" t="s">
        <v>378</v>
      </c>
      <c r="B18" s="7" t="s">
        <v>379</v>
      </c>
      <c r="C18" s="7" t="s">
        <v>34</v>
      </c>
      <c r="D18" s="7">
        <v>42383</v>
      </c>
      <c r="E18" s="7">
        <v>862.62119900000005</v>
      </c>
      <c r="F18" s="7">
        <v>2.88112028082445</v>
      </c>
    </row>
    <row r="19" spans="1:6" x14ac:dyDescent="0.2">
      <c r="A19" s="7" t="s">
        <v>112</v>
      </c>
      <c r="B19" s="7" t="s">
        <v>113</v>
      </c>
      <c r="C19" s="7" t="s">
        <v>11</v>
      </c>
      <c r="D19" s="7">
        <v>222498</v>
      </c>
      <c r="E19" s="7">
        <v>760.60941300000002</v>
      </c>
      <c r="F19" s="7">
        <v>2.5404049983013226</v>
      </c>
    </row>
    <row r="20" spans="1:6" x14ac:dyDescent="0.2">
      <c r="A20" s="7" t="s">
        <v>412</v>
      </c>
      <c r="B20" s="7" t="s">
        <v>413</v>
      </c>
      <c r="C20" s="7" t="s">
        <v>37</v>
      </c>
      <c r="D20" s="7">
        <v>7910</v>
      </c>
      <c r="E20" s="7">
        <v>573.14673500000004</v>
      </c>
      <c r="F20" s="7">
        <v>1.9142871564147785</v>
      </c>
    </row>
    <row r="21" spans="1:6" x14ac:dyDescent="0.2">
      <c r="A21" s="7" t="s">
        <v>380</v>
      </c>
      <c r="B21" s="7" t="s">
        <v>381</v>
      </c>
      <c r="C21" s="7" t="s">
        <v>25</v>
      </c>
      <c r="D21" s="7">
        <v>13784</v>
      </c>
      <c r="E21" s="7">
        <v>561.58772799999997</v>
      </c>
      <c r="F21" s="7">
        <v>1.8756805356494894</v>
      </c>
    </row>
    <row r="22" spans="1:6" x14ac:dyDescent="0.2">
      <c r="A22" s="7" t="s">
        <v>119</v>
      </c>
      <c r="B22" s="7" t="s">
        <v>120</v>
      </c>
      <c r="C22" s="7" t="s">
        <v>43</v>
      </c>
      <c r="D22" s="7">
        <v>112918</v>
      </c>
      <c r="E22" s="7">
        <v>499.60569099999998</v>
      </c>
      <c r="F22" s="7">
        <v>1.6686630127152873</v>
      </c>
    </row>
    <row r="23" spans="1:6" x14ac:dyDescent="0.2">
      <c r="A23" s="7" t="s">
        <v>414</v>
      </c>
      <c r="B23" s="7" t="s">
        <v>415</v>
      </c>
      <c r="C23" s="7" t="s">
        <v>11</v>
      </c>
      <c r="D23" s="7">
        <v>31506</v>
      </c>
      <c r="E23" s="7">
        <v>494.36064599999997</v>
      </c>
      <c r="F23" s="7">
        <v>1.6511447723325383</v>
      </c>
    </row>
    <row r="24" spans="1:6" x14ac:dyDescent="0.2">
      <c r="A24" s="7" t="s">
        <v>384</v>
      </c>
      <c r="B24" s="7" t="s">
        <v>385</v>
      </c>
      <c r="C24" s="7" t="s">
        <v>34</v>
      </c>
      <c r="D24" s="7">
        <v>26402</v>
      </c>
      <c r="E24" s="7">
        <v>450.45772299999999</v>
      </c>
      <c r="F24" s="7">
        <v>1.5045107665958279</v>
      </c>
    </row>
    <row r="25" spans="1:6" x14ac:dyDescent="0.2">
      <c r="A25" s="7" t="s">
        <v>190</v>
      </c>
      <c r="B25" s="7" t="s">
        <v>191</v>
      </c>
      <c r="C25" s="7" t="s">
        <v>80</v>
      </c>
      <c r="D25" s="7">
        <v>32035</v>
      </c>
      <c r="E25" s="7">
        <v>361.24267750000001</v>
      </c>
      <c r="F25" s="7">
        <v>1.2065360851914053</v>
      </c>
    </row>
    <row r="26" spans="1:6" x14ac:dyDescent="0.2">
      <c r="A26" s="7" t="s">
        <v>416</v>
      </c>
      <c r="B26" s="7" t="s">
        <v>417</v>
      </c>
      <c r="C26" s="7" t="s">
        <v>25</v>
      </c>
      <c r="D26" s="7">
        <v>3505</v>
      </c>
      <c r="E26" s="7">
        <v>319.31426249999998</v>
      </c>
      <c r="F26" s="7">
        <v>1.0664968571509128</v>
      </c>
    </row>
    <row r="27" spans="1:6" x14ac:dyDescent="0.2">
      <c r="A27" s="7" t="s">
        <v>240</v>
      </c>
      <c r="B27" s="7" t="s">
        <v>241</v>
      </c>
      <c r="C27" s="7" t="s">
        <v>34</v>
      </c>
      <c r="D27" s="7">
        <v>2075</v>
      </c>
      <c r="E27" s="7">
        <v>299.91946250000001</v>
      </c>
      <c r="F27" s="7">
        <v>1.0017190013698216</v>
      </c>
    </row>
    <row r="28" spans="1:6" x14ac:dyDescent="0.2">
      <c r="A28" s="7" t="s">
        <v>123</v>
      </c>
      <c r="B28" s="7" t="s">
        <v>124</v>
      </c>
      <c r="C28" s="7" t="s">
        <v>125</v>
      </c>
      <c r="D28" s="7">
        <v>252418</v>
      </c>
      <c r="E28" s="7">
        <v>293.68834299999997</v>
      </c>
      <c r="F28" s="7">
        <v>0.9809073116217577</v>
      </c>
    </row>
    <row r="29" spans="1:6" x14ac:dyDescent="0.2">
      <c r="A29" s="7" t="s">
        <v>296</v>
      </c>
      <c r="B29" s="7" t="s">
        <v>297</v>
      </c>
      <c r="C29" s="7" t="s">
        <v>187</v>
      </c>
      <c r="D29" s="7">
        <v>63990</v>
      </c>
      <c r="E29" s="7">
        <v>287.859015</v>
      </c>
      <c r="F29" s="7">
        <v>0.96143758940319024</v>
      </c>
    </row>
    <row r="30" spans="1:6" x14ac:dyDescent="0.2">
      <c r="A30" s="7" t="s">
        <v>207</v>
      </c>
      <c r="B30" s="7" t="s">
        <v>208</v>
      </c>
      <c r="C30" s="7" t="s">
        <v>37</v>
      </c>
      <c r="D30" s="7">
        <v>54129</v>
      </c>
      <c r="E30" s="7">
        <v>287.18140949999997</v>
      </c>
      <c r="F30" s="7">
        <v>0.95917441415232529</v>
      </c>
    </row>
    <row r="31" spans="1:6" x14ac:dyDescent="0.2">
      <c r="A31" s="7" t="s">
        <v>382</v>
      </c>
      <c r="B31" s="7" t="s">
        <v>383</v>
      </c>
      <c r="C31" s="7" t="s">
        <v>95</v>
      </c>
      <c r="D31" s="7">
        <v>24192</v>
      </c>
      <c r="E31" s="7">
        <v>280.55462399999999</v>
      </c>
      <c r="F31" s="7">
        <v>0.93704121579961075</v>
      </c>
    </row>
    <row r="32" spans="1:6" x14ac:dyDescent="0.2">
      <c r="A32" s="7" t="s">
        <v>258</v>
      </c>
      <c r="B32" s="7" t="s">
        <v>259</v>
      </c>
      <c r="C32" s="7" t="s">
        <v>80</v>
      </c>
      <c r="D32" s="7">
        <v>36482</v>
      </c>
      <c r="E32" s="7">
        <v>277.79218900000001</v>
      </c>
      <c r="F32" s="7">
        <v>0.92781479345781614</v>
      </c>
    </row>
    <row r="33" spans="1:6" x14ac:dyDescent="0.2">
      <c r="A33" s="7" t="s">
        <v>130</v>
      </c>
      <c r="B33" s="7" t="s">
        <v>131</v>
      </c>
      <c r="C33" s="7" t="s">
        <v>59</v>
      </c>
      <c r="D33" s="7">
        <v>6286</v>
      </c>
      <c r="E33" s="7">
        <v>267.72702600000002</v>
      </c>
      <c r="F33" s="7">
        <v>0.89419755186588545</v>
      </c>
    </row>
    <row r="34" spans="1:6" x14ac:dyDescent="0.2">
      <c r="A34" s="7" t="s">
        <v>214</v>
      </c>
      <c r="B34" s="7" t="s">
        <v>215</v>
      </c>
      <c r="C34" s="7" t="s">
        <v>125</v>
      </c>
      <c r="D34" s="7">
        <v>136494</v>
      </c>
      <c r="E34" s="7">
        <v>263.84290199999998</v>
      </c>
      <c r="F34" s="7">
        <v>0.88122473315634087</v>
      </c>
    </row>
    <row r="35" spans="1:6" x14ac:dyDescent="0.2">
      <c r="A35" s="7" t="s">
        <v>139</v>
      </c>
      <c r="B35" s="7" t="s">
        <v>140</v>
      </c>
      <c r="C35" s="7" t="s">
        <v>56</v>
      </c>
      <c r="D35" s="7">
        <v>182347</v>
      </c>
      <c r="E35" s="7">
        <v>240.24217250000001</v>
      </c>
      <c r="F35" s="7">
        <v>0.80239924117500838</v>
      </c>
    </row>
    <row r="36" spans="1:6" x14ac:dyDescent="0.2">
      <c r="A36" s="7" t="s">
        <v>346</v>
      </c>
      <c r="B36" s="7" t="s">
        <v>347</v>
      </c>
      <c r="C36" s="7" t="s">
        <v>37</v>
      </c>
      <c r="D36" s="7">
        <v>7548</v>
      </c>
      <c r="E36" s="7">
        <v>239.72448</v>
      </c>
      <c r="F36" s="7">
        <v>0.8006701689441037</v>
      </c>
    </row>
    <row r="37" spans="1:6" x14ac:dyDescent="0.2">
      <c r="A37" s="7" t="s">
        <v>128</v>
      </c>
      <c r="B37" s="7" t="s">
        <v>129</v>
      </c>
      <c r="C37" s="7" t="s">
        <v>118</v>
      </c>
      <c r="D37" s="7">
        <v>46535</v>
      </c>
      <c r="E37" s="7">
        <v>238.0497925</v>
      </c>
      <c r="F37" s="7">
        <v>0.79507677971846591</v>
      </c>
    </row>
    <row r="38" spans="1:6" x14ac:dyDescent="0.2">
      <c r="A38" s="7" t="s">
        <v>330</v>
      </c>
      <c r="B38" s="7" t="s">
        <v>331</v>
      </c>
      <c r="C38" s="7" t="s">
        <v>332</v>
      </c>
      <c r="D38" s="7">
        <v>103619</v>
      </c>
      <c r="E38" s="7">
        <v>212.6779975</v>
      </c>
      <c r="F38" s="7">
        <v>0.71033599984873741</v>
      </c>
    </row>
    <row r="39" spans="1:6" x14ac:dyDescent="0.2">
      <c r="A39" s="7" t="s">
        <v>418</v>
      </c>
      <c r="B39" s="7" t="s">
        <v>419</v>
      </c>
      <c r="C39" s="7" t="s">
        <v>34</v>
      </c>
      <c r="D39" s="7">
        <v>6826</v>
      </c>
      <c r="E39" s="7">
        <v>208.718602</v>
      </c>
      <c r="F39" s="7">
        <v>0.6971117773417097</v>
      </c>
    </row>
    <row r="40" spans="1:6" x14ac:dyDescent="0.2">
      <c r="A40" s="7" t="s">
        <v>420</v>
      </c>
      <c r="B40" s="7" t="s">
        <v>421</v>
      </c>
      <c r="C40" s="7" t="s">
        <v>80</v>
      </c>
      <c r="D40" s="7">
        <v>86968</v>
      </c>
      <c r="E40" s="7">
        <v>206.722936</v>
      </c>
      <c r="F40" s="7">
        <v>0.69044633277227729</v>
      </c>
    </row>
    <row r="41" spans="1:6" x14ac:dyDescent="0.2">
      <c r="A41" s="7" t="s">
        <v>185</v>
      </c>
      <c r="B41" s="7" t="s">
        <v>186</v>
      </c>
      <c r="C41" s="7" t="s">
        <v>187</v>
      </c>
      <c r="D41" s="7">
        <v>7029</v>
      </c>
      <c r="E41" s="7">
        <v>204.8145165</v>
      </c>
      <c r="F41" s="7">
        <v>0.68407228802106446</v>
      </c>
    </row>
    <row r="42" spans="1:6" x14ac:dyDescent="0.2">
      <c r="A42" s="7" t="s">
        <v>267</v>
      </c>
      <c r="B42" s="7" t="s">
        <v>268</v>
      </c>
      <c r="C42" s="7" t="s">
        <v>269</v>
      </c>
      <c r="D42" s="7">
        <v>43759</v>
      </c>
      <c r="E42" s="7">
        <v>187.06972500000001</v>
      </c>
      <c r="F42" s="7">
        <v>0.62480539459331397</v>
      </c>
    </row>
    <row r="43" spans="1:6" x14ac:dyDescent="0.2">
      <c r="A43" s="7" t="s">
        <v>422</v>
      </c>
      <c r="B43" s="7" t="s">
        <v>423</v>
      </c>
      <c r="C43" s="7" t="s">
        <v>37</v>
      </c>
      <c r="D43" s="7">
        <v>816</v>
      </c>
      <c r="E43" s="7">
        <v>186.71222399999999</v>
      </c>
      <c r="F43" s="7">
        <v>0.62361135556122316</v>
      </c>
    </row>
    <row r="44" spans="1:6" x14ac:dyDescent="0.2">
      <c r="A44" s="7" t="s">
        <v>116</v>
      </c>
      <c r="B44" s="7" t="s">
        <v>117</v>
      </c>
      <c r="C44" s="7" t="s">
        <v>118</v>
      </c>
      <c r="D44" s="7">
        <v>141913</v>
      </c>
      <c r="E44" s="7">
        <v>186.473682</v>
      </c>
      <c r="F44" s="7">
        <v>0.6228146348281538</v>
      </c>
    </row>
    <row r="45" spans="1:6" x14ac:dyDescent="0.2">
      <c r="A45" s="7" t="s">
        <v>424</v>
      </c>
      <c r="B45" s="7" t="s">
        <v>425</v>
      </c>
      <c r="C45" s="7" t="s">
        <v>37</v>
      </c>
      <c r="D45" s="7">
        <v>7525</v>
      </c>
      <c r="E45" s="7">
        <v>183.12463750000001</v>
      </c>
      <c r="F45" s="7">
        <v>0.61162896023365132</v>
      </c>
    </row>
    <row r="46" spans="1:6" x14ac:dyDescent="0.2">
      <c r="A46" s="7" t="s">
        <v>426</v>
      </c>
      <c r="B46" s="7" t="s">
        <v>427</v>
      </c>
      <c r="C46" s="7" t="s">
        <v>428</v>
      </c>
      <c r="D46" s="7">
        <v>31893</v>
      </c>
      <c r="E46" s="7">
        <v>182.82662250000001</v>
      </c>
      <c r="F46" s="7">
        <v>0.61063360206081108</v>
      </c>
    </row>
    <row r="47" spans="1:6" x14ac:dyDescent="0.2">
      <c r="A47" s="7" t="s">
        <v>192</v>
      </c>
      <c r="B47" s="7" t="s">
        <v>193</v>
      </c>
      <c r="C47" s="7" t="s">
        <v>59</v>
      </c>
      <c r="D47" s="7">
        <v>22876</v>
      </c>
      <c r="E47" s="7">
        <v>180.045558</v>
      </c>
      <c r="F47" s="7">
        <v>0.60134495793460652</v>
      </c>
    </row>
    <row r="48" spans="1:6" x14ac:dyDescent="0.2">
      <c r="A48" s="7" t="s">
        <v>429</v>
      </c>
      <c r="B48" s="7" t="s">
        <v>430</v>
      </c>
      <c r="C48" s="7" t="s">
        <v>145</v>
      </c>
      <c r="D48" s="7">
        <v>44934</v>
      </c>
      <c r="E48" s="7">
        <v>171.67034699999999</v>
      </c>
      <c r="F48" s="7">
        <v>0.57337208838739739</v>
      </c>
    </row>
    <row r="49" spans="1:6" x14ac:dyDescent="0.2">
      <c r="A49" s="7" t="s">
        <v>26</v>
      </c>
      <c r="B49" s="7" t="s">
        <v>27</v>
      </c>
      <c r="C49" s="7" t="s">
        <v>28</v>
      </c>
      <c r="D49" s="7">
        <v>84637</v>
      </c>
      <c r="E49" s="7">
        <v>169.40095550000001</v>
      </c>
      <c r="F49" s="7">
        <v>0.56579241160301019</v>
      </c>
    </row>
    <row r="50" spans="1:6" x14ac:dyDescent="0.2">
      <c r="A50" s="7" t="s">
        <v>35</v>
      </c>
      <c r="B50" s="7" t="s">
        <v>36</v>
      </c>
      <c r="C50" s="7" t="s">
        <v>37</v>
      </c>
      <c r="D50" s="7">
        <v>103791</v>
      </c>
      <c r="E50" s="7">
        <v>167.62246500000001</v>
      </c>
      <c r="F50" s="7">
        <v>0.55985232451177747</v>
      </c>
    </row>
    <row r="51" spans="1:6" x14ac:dyDescent="0.2">
      <c r="A51" s="7" t="s">
        <v>431</v>
      </c>
      <c r="B51" s="7" t="s">
        <v>432</v>
      </c>
      <c r="C51" s="7" t="s">
        <v>269</v>
      </c>
      <c r="D51" s="7">
        <v>58861</v>
      </c>
      <c r="E51" s="7">
        <v>153.95094549999999</v>
      </c>
      <c r="F51" s="7">
        <v>0.51418999654348818</v>
      </c>
    </row>
    <row r="52" spans="1:6" x14ac:dyDescent="0.2">
      <c r="A52" s="7" t="s">
        <v>433</v>
      </c>
      <c r="B52" s="7" t="s">
        <v>434</v>
      </c>
      <c r="C52" s="7" t="s">
        <v>28</v>
      </c>
      <c r="D52" s="7">
        <v>105604</v>
      </c>
      <c r="E52" s="7">
        <v>152.703384</v>
      </c>
      <c r="F52" s="7">
        <v>0.51002319106340888</v>
      </c>
    </row>
    <row r="53" spans="1:6" x14ac:dyDescent="0.2">
      <c r="A53" s="7" t="s">
        <v>435</v>
      </c>
      <c r="B53" s="7" t="s">
        <v>436</v>
      </c>
      <c r="C53" s="7" t="s">
        <v>187</v>
      </c>
      <c r="D53" s="7">
        <v>29430</v>
      </c>
      <c r="E53" s="7">
        <v>137.34980999999999</v>
      </c>
      <c r="F53" s="7">
        <v>0.4587428683843241</v>
      </c>
    </row>
    <row r="54" spans="1:6" x14ac:dyDescent="0.2">
      <c r="A54" s="7" t="s">
        <v>437</v>
      </c>
      <c r="B54" s="7" t="s">
        <v>438</v>
      </c>
      <c r="C54" s="7" t="s">
        <v>439</v>
      </c>
      <c r="D54" s="7">
        <v>49329</v>
      </c>
      <c r="E54" s="7">
        <v>136.29602700000001</v>
      </c>
      <c r="F54" s="7">
        <v>0.45522327533883949</v>
      </c>
    </row>
    <row r="55" spans="1:6" x14ac:dyDescent="0.2">
      <c r="A55" s="7" t="s">
        <v>137</v>
      </c>
      <c r="B55" s="7" t="s">
        <v>138</v>
      </c>
      <c r="C55" s="7" t="s">
        <v>136</v>
      </c>
      <c r="D55" s="7">
        <v>107211</v>
      </c>
      <c r="E55" s="7">
        <v>135.1394655</v>
      </c>
      <c r="F55" s="7">
        <v>0.45136040621675716</v>
      </c>
    </row>
    <row r="56" spans="1:6" x14ac:dyDescent="0.2">
      <c r="A56" s="7" t="s">
        <v>440</v>
      </c>
      <c r="B56" s="7" t="s">
        <v>441</v>
      </c>
      <c r="C56" s="7" t="s">
        <v>72</v>
      </c>
      <c r="D56" s="7">
        <v>34580</v>
      </c>
      <c r="E56" s="7">
        <v>101.33669</v>
      </c>
      <c r="F56" s="7">
        <v>0.33846048890182706</v>
      </c>
    </row>
    <row r="57" spans="1:6" x14ac:dyDescent="0.2">
      <c r="A57" s="7" t="s">
        <v>310</v>
      </c>
      <c r="B57" s="7" t="s">
        <v>311</v>
      </c>
      <c r="C57" s="7" t="s">
        <v>11</v>
      </c>
      <c r="D57" s="7">
        <v>108141</v>
      </c>
      <c r="E57" s="7">
        <v>73.860303000000002</v>
      </c>
      <c r="F57" s="7">
        <v>0.24669045598210365</v>
      </c>
    </row>
    <row r="58" spans="1:6" x14ac:dyDescent="0.2">
      <c r="A58" s="6" t="s">
        <v>44</v>
      </c>
      <c r="B58" s="7"/>
      <c r="C58" s="7"/>
      <c r="D58" s="7"/>
      <c r="E58" s="6">
        <f xml:space="preserve"> SUM(E8:E57)</f>
        <v>29162.719262000006</v>
      </c>
      <c r="F58" s="6">
        <f>SUM(F8:F57)</f>
        <v>97.402315184394226</v>
      </c>
    </row>
    <row r="59" spans="1:6" x14ac:dyDescent="0.2">
      <c r="A59" s="7"/>
      <c r="B59" s="7"/>
      <c r="C59" s="7"/>
      <c r="D59" s="7"/>
      <c r="E59" s="7"/>
      <c r="F59" s="7"/>
    </row>
    <row r="60" spans="1:6" x14ac:dyDescent="0.2">
      <c r="A60" s="6" t="s">
        <v>44</v>
      </c>
      <c r="B60" s="7"/>
      <c r="C60" s="7"/>
      <c r="D60" s="7"/>
      <c r="E60" s="6">
        <v>29162.719262000006</v>
      </c>
      <c r="F60" s="6">
        <v>97.402315184394226</v>
      </c>
    </row>
    <row r="61" spans="1:6" x14ac:dyDescent="0.2">
      <c r="A61" s="7"/>
      <c r="B61" s="7"/>
      <c r="C61" s="7"/>
      <c r="D61" s="7"/>
      <c r="E61" s="7"/>
      <c r="F61" s="7"/>
    </row>
    <row r="62" spans="1:6" x14ac:dyDescent="0.2">
      <c r="A62" s="6" t="s">
        <v>103</v>
      </c>
      <c r="B62" s="7"/>
      <c r="C62" s="7"/>
      <c r="D62" s="7"/>
      <c r="E62" s="6">
        <v>777.75926440000001</v>
      </c>
      <c r="F62" s="6">
        <v>2.6</v>
      </c>
    </row>
    <row r="63" spans="1:6" x14ac:dyDescent="0.2">
      <c r="A63" s="7"/>
      <c r="B63" s="7"/>
      <c r="C63" s="7"/>
      <c r="D63" s="7"/>
      <c r="E63" s="7"/>
      <c r="F63" s="7"/>
    </row>
    <row r="64" spans="1:6" x14ac:dyDescent="0.2">
      <c r="A64" s="8" t="s">
        <v>104</v>
      </c>
      <c r="B64" s="5"/>
      <c r="C64" s="5"/>
      <c r="D64" s="5"/>
      <c r="E64" s="8">
        <v>29940.478526400006</v>
      </c>
      <c r="F64" s="8">
        <f xml:space="preserve"> ROUND(SUM(F60:F63),2)</f>
        <v>100</v>
      </c>
    </row>
    <row r="66" spans="1:5" x14ac:dyDescent="0.2">
      <c r="A66" s="4" t="s">
        <v>105</v>
      </c>
      <c r="B66" s="2"/>
      <c r="C66" s="2"/>
      <c r="D66" s="2"/>
    </row>
    <row r="67" spans="1:5" x14ac:dyDescent="0.2">
      <c r="A67" s="4" t="s">
        <v>106</v>
      </c>
      <c r="B67" s="2"/>
      <c r="C67" s="2"/>
      <c r="D67" s="2"/>
    </row>
    <row r="68" spans="1:5" x14ac:dyDescent="0.2">
      <c r="A68" s="4" t="s">
        <v>107</v>
      </c>
      <c r="B68" s="2"/>
      <c r="C68" s="2"/>
      <c r="D68" s="2"/>
    </row>
    <row r="69" spans="1:5" x14ac:dyDescent="0.2">
      <c r="A69" s="2" t="s">
        <v>666</v>
      </c>
      <c r="B69" s="2"/>
      <c r="C69" s="2"/>
      <c r="D69" s="10">
        <v>94.124799999999993</v>
      </c>
      <c r="E69" s="2"/>
    </row>
    <row r="70" spans="1:5" x14ac:dyDescent="0.2">
      <c r="A70" s="2" t="s">
        <v>667</v>
      </c>
      <c r="B70" s="2"/>
      <c r="C70" s="2"/>
      <c r="D70" s="10">
        <v>94.124799999999993</v>
      </c>
      <c r="E70" s="2"/>
    </row>
    <row r="71" spans="1:5" x14ac:dyDescent="0.2">
      <c r="A71" s="2" t="s">
        <v>668</v>
      </c>
      <c r="B71" s="2"/>
      <c r="C71" s="2"/>
      <c r="D71" s="10">
        <v>96.421199999999999</v>
      </c>
      <c r="E71" s="2"/>
    </row>
    <row r="72" spans="1:5" x14ac:dyDescent="0.2">
      <c r="A72" s="2" t="s">
        <v>669</v>
      </c>
      <c r="B72" s="2"/>
      <c r="C72" s="2"/>
      <c r="D72" s="10">
        <v>96.421199999999999</v>
      </c>
      <c r="E72" s="2"/>
    </row>
    <row r="73" spans="1:5" x14ac:dyDescent="0.2">
      <c r="A73" s="2"/>
      <c r="B73" s="2"/>
      <c r="C73" s="2"/>
      <c r="D73" s="10"/>
      <c r="E73" s="2"/>
    </row>
    <row r="74" spans="1:5" x14ac:dyDescent="0.2">
      <c r="A74" s="4" t="s">
        <v>108</v>
      </c>
      <c r="B74" s="2"/>
      <c r="C74" s="2"/>
      <c r="D74" s="2"/>
      <c r="E74" s="2"/>
    </row>
    <row r="75" spans="1:5" x14ac:dyDescent="0.2">
      <c r="A75" s="2" t="s">
        <v>666</v>
      </c>
      <c r="B75" s="2"/>
      <c r="C75" s="2"/>
      <c r="D75" s="10">
        <v>95.409499999999994</v>
      </c>
      <c r="E75" s="2"/>
    </row>
    <row r="76" spans="1:5" x14ac:dyDescent="0.2">
      <c r="A76" s="2" t="s">
        <v>667</v>
      </c>
      <c r="B76" s="2"/>
      <c r="C76" s="2"/>
      <c r="D76" s="10">
        <v>95.409499999999994</v>
      </c>
      <c r="E76" s="2"/>
    </row>
    <row r="77" spans="1:5" x14ac:dyDescent="0.2">
      <c r="A77" s="2" t="s">
        <v>668</v>
      </c>
      <c r="B77" s="2"/>
      <c r="C77" s="2"/>
      <c r="D77" s="10">
        <v>97.9589</v>
      </c>
      <c r="E77" s="2"/>
    </row>
    <row r="78" spans="1:5" x14ac:dyDescent="0.2">
      <c r="A78" s="2" t="s">
        <v>669</v>
      </c>
      <c r="B78" s="2"/>
      <c r="C78" s="2"/>
      <c r="D78" s="10">
        <v>97.9589</v>
      </c>
      <c r="E78" s="2"/>
    </row>
    <row r="79" spans="1:5" x14ac:dyDescent="0.2">
      <c r="A79" s="2"/>
      <c r="B79" s="2"/>
      <c r="C79" s="2"/>
      <c r="D79" s="2"/>
    </row>
    <row r="80" spans="1:5" x14ac:dyDescent="0.2">
      <c r="A80" s="4" t="s">
        <v>109</v>
      </c>
      <c r="B80" s="2"/>
      <c r="C80" s="2"/>
      <c r="D80" s="30" t="s">
        <v>110</v>
      </c>
    </row>
    <row r="81" spans="1:4" x14ac:dyDescent="0.2">
      <c r="A81" s="4"/>
      <c r="B81" s="2"/>
      <c r="C81" s="2"/>
      <c r="D81" s="30"/>
    </row>
    <row r="82" spans="1:4" x14ac:dyDescent="0.2">
      <c r="A82" s="9" t="s">
        <v>674</v>
      </c>
      <c r="B82" s="2"/>
      <c r="C82" s="2"/>
      <c r="D82" s="37">
        <v>1.4561823720419954E-2</v>
      </c>
    </row>
    <row r="83" spans="1:4" x14ac:dyDescent="0.2">
      <c r="A83" s="2"/>
      <c r="B83" s="2"/>
      <c r="C83" s="2"/>
      <c r="D83" s="2"/>
    </row>
    <row r="84" spans="1:4" x14ac:dyDescent="0.2">
      <c r="A84" s="2"/>
      <c r="B84" s="2"/>
      <c r="C84" s="2"/>
      <c r="D84" s="2"/>
    </row>
  </sheetData>
  <mergeCells count="1">
    <mergeCell ref="A1:F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75E8-59C2-4B0C-9D2E-5CAA4B9AEA6C}">
  <sheetPr codeName="Sheet8"/>
  <dimension ref="A1:F71"/>
  <sheetViews>
    <sheetView showGridLines="0" workbookViewId="0">
      <selection sqref="A1:F1"/>
    </sheetView>
  </sheetViews>
  <sheetFormatPr defaultColWidth="9.140625" defaultRowHeight="11.25" x14ac:dyDescent="0.2"/>
  <cols>
    <col min="1" max="1" width="58.7109375" style="1" bestFit="1" customWidth="1"/>
    <col min="2" max="2" width="29.85546875" style="1" bestFit="1" customWidth="1"/>
    <col min="3" max="3" width="18.85546875" style="1" bestFit="1" customWidth="1"/>
    <col min="4" max="4" width="10.85546875" style="1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x14ac:dyDescent="0.2">
      <c r="A1" s="98" t="s">
        <v>396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112</v>
      </c>
      <c r="B8" s="7" t="s">
        <v>113</v>
      </c>
      <c r="C8" s="7" t="s">
        <v>11</v>
      </c>
      <c r="D8" s="7">
        <v>28000000</v>
      </c>
      <c r="E8" s="7">
        <v>95718</v>
      </c>
      <c r="F8" s="7">
        <f>E8/$E$46*100</f>
        <v>10.641887236302464</v>
      </c>
    </row>
    <row r="9" spans="1:6" x14ac:dyDescent="0.2">
      <c r="A9" s="7" t="s">
        <v>114</v>
      </c>
      <c r="B9" s="7" t="s">
        <v>115</v>
      </c>
      <c r="C9" s="7" t="s">
        <v>11</v>
      </c>
      <c r="D9" s="7">
        <v>16500000</v>
      </c>
      <c r="E9" s="7">
        <v>84579</v>
      </c>
      <c r="F9" s="7">
        <f t="shared" ref="F9:F35" si="0">E9/$E$46*100</f>
        <v>9.4034578716565971</v>
      </c>
    </row>
    <row r="10" spans="1:6" x14ac:dyDescent="0.2">
      <c r="A10" s="7" t="s">
        <v>116</v>
      </c>
      <c r="B10" s="7" t="s">
        <v>117</v>
      </c>
      <c r="C10" s="7" t="s">
        <v>118</v>
      </c>
      <c r="D10" s="7">
        <v>40000000</v>
      </c>
      <c r="E10" s="7">
        <v>52560</v>
      </c>
      <c r="F10" s="7">
        <f t="shared" si="0"/>
        <v>5.8435988334488549</v>
      </c>
    </row>
    <row r="11" spans="1:6" x14ac:dyDescent="0.2">
      <c r="A11" s="7" t="s">
        <v>185</v>
      </c>
      <c r="B11" s="7" t="s">
        <v>186</v>
      </c>
      <c r="C11" s="7" t="s">
        <v>187</v>
      </c>
      <c r="D11" s="7">
        <v>1400000</v>
      </c>
      <c r="E11" s="7">
        <v>40793.9</v>
      </c>
      <c r="F11" s="7">
        <f t="shared" si="0"/>
        <v>4.5354487528886844</v>
      </c>
    </row>
    <row r="12" spans="1:6" x14ac:dyDescent="0.2">
      <c r="A12" s="7" t="s">
        <v>130</v>
      </c>
      <c r="B12" s="7" t="s">
        <v>131</v>
      </c>
      <c r="C12" s="7" t="s">
        <v>59</v>
      </c>
      <c r="D12" s="7">
        <v>950000</v>
      </c>
      <c r="E12" s="7">
        <v>40461.449999999997</v>
      </c>
      <c r="F12" s="7">
        <f t="shared" si="0"/>
        <v>4.4984871008304639</v>
      </c>
    </row>
    <row r="13" spans="1:6" x14ac:dyDescent="0.2">
      <c r="A13" s="7" t="s">
        <v>119</v>
      </c>
      <c r="B13" s="7" t="s">
        <v>120</v>
      </c>
      <c r="C13" s="7" t="s">
        <v>43</v>
      </c>
      <c r="D13" s="7">
        <v>9000000</v>
      </c>
      <c r="E13" s="7">
        <v>39820.5</v>
      </c>
      <c r="F13" s="7">
        <f t="shared" si="0"/>
        <v>4.4272265477045307</v>
      </c>
    </row>
    <row r="14" spans="1:6" x14ac:dyDescent="0.2">
      <c r="A14" s="7" t="s">
        <v>9</v>
      </c>
      <c r="B14" s="7" t="s">
        <v>10</v>
      </c>
      <c r="C14" s="7" t="s">
        <v>11</v>
      </c>
      <c r="D14" s="7">
        <v>3100000</v>
      </c>
      <c r="E14" s="7">
        <v>39523.449999999997</v>
      </c>
      <c r="F14" s="7">
        <f t="shared" si="0"/>
        <v>4.3942006528514863</v>
      </c>
    </row>
    <row r="15" spans="1:6" x14ac:dyDescent="0.2">
      <c r="A15" s="7" t="s">
        <v>121</v>
      </c>
      <c r="B15" s="7" t="s">
        <v>122</v>
      </c>
      <c r="C15" s="7" t="s">
        <v>11</v>
      </c>
      <c r="D15" s="7">
        <v>4975283</v>
      </c>
      <c r="E15" s="7">
        <v>36769.829011499998</v>
      </c>
      <c r="F15" s="7">
        <f t="shared" si="0"/>
        <v>4.0880542221787532</v>
      </c>
    </row>
    <row r="16" spans="1:6" x14ac:dyDescent="0.2">
      <c r="A16" s="7" t="s">
        <v>126</v>
      </c>
      <c r="B16" s="7" t="s">
        <v>127</v>
      </c>
      <c r="C16" s="7" t="s">
        <v>59</v>
      </c>
      <c r="D16" s="7">
        <v>2367522</v>
      </c>
      <c r="E16" s="7">
        <v>36037.236123000002</v>
      </c>
      <c r="F16" s="7">
        <f t="shared" si="0"/>
        <v>4.006604851009965</v>
      </c>
    </row>
    <row r="17" spans="1:6" x14ac:dyDescent="0.2">
      <c r="A17" s="7" t="s">
        <v>188</v>
      </c>
      <c r="B17" s="7" t="s">
        <v>189</v>
      </c>
      <c r="C17" s="7" t="s">
        <v>25</v>
      </c>
      <c r="D17" s="7">
        <v>3600000</v>
      </c>
      <c r="E17" s="7">
        <v>34561.800000000003</v>
      </c>
      <c r="F17" s="7">
        <f t="shared" si="0"/>
        <v>3.8425664794880641</v>
      </c>
    </row>
    <row r="18" spans="1:6" x14ac:dyDescent="0.2">
      <c r="A18" s="7" t="s">
        <v>123</v>
      </c>
      <c r="B18" s="7" t="s">
        <v>124</v>
      </c>
      <c r="C18" s="7" t="s">
        <v>125</v>
      </c>
      <c r="D18" s="7">
        <v>29000000</v>
      </c>
      <c r="E18" s="7">
        <v>33741.5</v>
      </c>
      <c r="F18" s="7">
        <f t="shared" si="0"/>
        <v>3.751365868318389</v>
      </c>
    </row>
    <row r="19" spans="1:6" x14ac:dyDescent="0.2">
      <c r="A19" s="7" t="s">
        <v>128</v>
      </c>
      <c r="B19" s="7" t="s">
        <v>129</v>
      </c>
      <c r="C19" s="7" t="s">
        <v>118</v>
      </c>
      <c r="D19" s="7">
        <v>6000000</v>
      </c>
      <c r="E19" s="7">
        <v>30693</v>
      </c>
      <c r="F19" s="7">
        <f t="shared" si="0"/>
        <v>3.4124349123867144</v>
      </c>
    </row>
    <row r="20" spans="1:6" x14ac:dyDescent="0.2">
      <c r="A20" s="7" t="s">
        <v>41</v>
      </c>
      <c r="B20" s="7" t="s">
        <v>42</v>
      </c>
      <c r="C20" s="7" t="s">
        <v>43</v>
      </c>
      <c r="D20" s="7">
        <v>434738779</v>
      </c>
      <c r="E20" s="7">
        <v>29779.606361499998</v>
      </c>
      <c r="F20" s="7">
        <f t="shared" si="0"/>
        <v>3.3108841893954999</v>
      </c>
    </row>
    <row r="21" spans="1:6" x14ac:dyDescent="0.2">
      <c r="A21" s="7" t="s">
        <v>132</v>
      </c>
      <c r="B21" s="7" t="s">
        <v>133</v>
      </c>
      <c r="C21" s="7" t="s">
        <v>40</v>
      </c>
      <c r="D21" s="7">
        <v>4000000</v>
      </c>
      <c r="E21" s="7">
        <v>20762</v>
      </c>
      <c r="F21" s="7">
        <f t="shared" si="0"/>
        <v>2.3083104828779515</v>
      </c>
    </row>
    <row r="22" spans="1:6" x14ac:dyDescent="0.2">
      <c r="A22" s="7" t="s">
        <v>154</v>
      </c>
      <c r="B22" s="7" t="s">
        <v>623</v>
      </c>
      <c r="C22" s="7" t="s">
        <v>37</v>
      </c>
      <c r="D22" s="7">
        <v>29000000</v>
      </c>
      <c r="E22" s="7">
        <v>20691.5</v>
      </c>
      <c r="F22" s="7">
        <f t="shared" si="0"/>
        <v>2.3004723223422183</v>
      </c>
    </row>
    <row r="23" spans="1:6" x14ac:dyDescent="0.2">
      <c r="A23" s="7" t="s">
        <v>386</v>
      </c>
      <c r="B23" s="7" t="s">
        <v>387</v>
      </c>
      <c r="C23" s="7" t="s">
        <v>187</v>
      </c>
      <c r="D23" s="7">
        <v>155484</v>
      </c>
      <c r="E23" s="7">
        <v>19557.399455999999</v>
      </c>
      <c r="F23" s="7">
        <f t="shared" si="0"/>
        <v>2.1743834978381824</v>
      </c>
    </row>
    <row r="24" spans="1:6" x14ac:dyDescent="0.2">
      <c r="A24" s="7" t="s">
        <v>143</v>
      </c>
      <c r="B24" s="7" t="s">
        <v>144</v>
      </c>
      <c r="C24" s="7" t="s">
        <v>145</v>
      </c>
      <c r="D24" s="7">
        <v>18000000</v>
      </c>
      <c r="E24" s="7">
        <v>18972</v>
      </c>
      <c r="F24" s="7">
        <f t="shared" si="0"/>
        <v>2.1092990309777715</v>
      </c>
    </row>
    <row r="25" spans="1:6" x14ac:dyDescent="0.2">
      <c r="A25" s="7" t="s">
        <v>134</v>
      </c>
      <c r="B25" s="7" t="s">
        <v>135</v>
      </c>
      <c r="C25" s="7" t="s">
        <v>136</v>
      </c>
      <c r="D25" s="7">
        <v>6955040</v>
      </c>
      <c r="E25" s="7">
        <v>18882.9336</v>
      </c>
      <c r="F25" s="7">
        <f t="shared" si="0"/>
        <v>2.0993966658495471</v>
      </c>
    </row>
    <row r="26" spans="1:6" x14ac:dyDescent="0.2">
      <c r="A26" s="7" t="s">
        <v>141</v>
      </c>
      <c r="B26" s="7" t="s">
        <v>142</v>
      </c>
      <c r="C26" s="7" t="s">
        <v>20</v>
      </c>
      <c r="D26" s="7">
        <v>4417449</v>
      </c>
      <c r="E26" s="7">
        <v>18323.578452000002</v>
      </c>
      <c r="F26" s="7">
        <f t="shared" si="0"/>
        <v>2.0372077942678044</v>
      </c>
    </row>
    <row r="27" spans="1:6" x14ac:dyDescent="0.2">
      <c r="A27" s="7" t="s">
        <v>388</v>
      </c>
      <c r="B27" s="7" t="s">
        <v>389</v>
      </c>
      <c r="C27" s="7" t="s">
        <v>187</v>
      </c>
      <c r="D27" s="7">
        <v>2600000</v>
      </c>
      <c r="E27" s="7">
        <v>15437.5</v>
      </c>
      <c r="F27" s="7">
        <f t="shared" si="0"/>
        <v>1.7163347981614669</v>
      </c>
    </row>
    <row r="28" spans="1:6" x14ac:dyDescent="0.2">
      <c r="A28" s="7" t="s">
        <v>137</v>
      </c>
      <c r="B28" s="7" t="s">
        <v>138</v>
      </c>
      <c r="C28" s="7" t="s">
        <v>136</v>
      </c>
      <c r="D28" s="7">
        <v>12000000</v>
      </c>
      <c r="E28" s="7">
        <v>15126</v>
      </c>
      <c r="F28" s="7">
        <f t="shared" si="0"/>
        <v>1.6817023583475528</v>
      </c>
    </row>
    <row r="29" spans="1:6" x14ac:dyDescent="0.2">
      <c r="A29" s="7" t="s">
        <v>146</v>
      </c>
      <c r="B29" s="7" t="s">
        <v>147</v>
      </c>
      <c r="C29" s="7" t="s">
        <v>59</v>
      </c>
      <c r="D29" s="7">
        <v>4500000</v>
      </c>
      <c r="E29" s="7">
        <v>13097.25</v>
      </c>
      <c r="F29" s="7">
        <f t="shared" si="0"/>
        <v>1.4561467812288436</v>
      </c>
    </row>
    <row r="30" spans="1:6" x14ac:dyDescent="0.2">
      <c r="A30" s="7" t="s">
        <v>390</v>
      </c>
      <c r="B30" s="7" t="s">
        <v>391</v>
      </c>
      <c r="C30" s="7" t="s">
        <v>59</v>
      </c>
      <c r="D30" s="7">
        <v>13052672</v>
      </c>
      <c r="E30" s="7">
        <v>9939.6097279999994</v>
      </c>
      <c r="F30" s="7">
        <f t="shared" si="0"/>
        <v>1.1050816554695146</v>
      </c>
    </row>
    <row r="31" spans="1:6" x14ac:dyDescent="0.2">
      <c r="A31" s="7" t="s">
        <v>163</v>
      </c>
      <c r="B31" s="7" t="s">
        <v>164</v>
      </c>
      <c r="C31" s="7" t="s">
        <v>20</v>
      </c>
      <c r="D31" s="7">
        <v>15000000</v>
      </c>
      <c r="E31" s="7">
        <v>9712.5</v>
      </c>
      <c r="F31" s="7">
        <f t="shared" si="0"/>
        <v>1.0798316908270928</v>
      </c>
    </row>
    <row r="32" spans="1:6" x14ac:dyDescent="0.2">
      <c r="A32" s="7" t="s">
        <v>159</v>
      </c>
      <c r="B32" s="7" t="s">
        <v>160</v>
      </c>
      <c r="C32" s="7" t="s">
        <v>40</v>
      </c>
      <c r="D32" s="7">
        <v>175000</v>
      </c>
      <c r="E32" s="7">
        <v>7608.8249999999998</v>
      </c>
      <c r="F32" s="7">
        <f t="shared" si="0"/>
        <v>0.84594598352200312</v>
      </c>
    </row>
    <row r="33" spans="1:6" x14ac:dyDescent="0.2">
      <c r="A33" s="7" t="s">
        <v>167</v>
      </c>
      <c r="B33" s="7" t="s">
        <v>168</v>
      </c>
      <c r="C33" s="7" t="s">
        <v>20</v>
      </c>
      <c r="D33" s="7">
        <v>3200000</v>
      </c>
      <c r="E33" s="7">
        <v>6878.4</v>
      </c>
      <c r="F33" s="7">
        <f t="shared" si="0"/>
        <v>0.76473763729061273</v>
      </c>
    </row>
    <row r="34" spans="1:6" x14ac:dyDescent="0.2">
      <c r="A34" s="7" t="s">
        <v>392</v>
      </c>
      <c r="B34" s="7" t="s">
        <v>393</v>
      </c>
      <c r="C34" s="7" t="s">
        <v>227</v>
      </c>
      <c r="D34" s="7">
        <v>525000</v>
      </c>
      <c r="E34" s="7">
        <v>5251.8374999999996</v>
      </c>
      <c r="F34" s="7">
        <f t="shared" si="0"/>
        <v>0.58389709833453107</v>
      </c>
    </row>
    <row r="35" spans="1:6" x14ac:dyDescent="0.2">
      <c r="A35" s="7" t="s">
        <v>394</v>
      </c>
      <c r="B35" s="7" t="s">
        <v>395</v>
      </c>
      <c r="C35" s="7" t="s">
        <v>187</v>
      </c>
      <c r="D35" s="7">
        <v>660000</v>
      </c>
      <c r="E35" s="7">
        <v>3642.54</v>
      </c>
      <c r="F35" s="7">
        <f t="shared" si="0"/>
        <v>0.40497607486283854</v>
      </c>
    </row>
    <row r="36" spans="1:6" x14ac:dyDescent="0.2">
      <c r="A36" s="6" t="s">
        <v>44</v>
      </c>
      <c r="B36" s="7"/>
      <c r="C36" s="7"/>
      <c r="D36" s="7"/>
      <c r="E36" s="6">
        <f xml:space="preserve"> SUM(E8:E35)</f>
        <v>798923.14523200004</v>
      </c>
      <c r="F36" s="6">
        <f>SUM(F8:F35)</f>
        <v>88.823941390658391</v>
      </c>
    </row>
    <row r="37" spans="1:6" x14ac:dyDescent="0.2">
      <c r="A37" s="6"/>
      <c r="B37" s="7"/>
      <c r="C37" s="7"/>
      <c r="D37" s="7"/>
      <c r="E37" s="6"/>
      <c r="F37" s="6"/>
    </row>
    <row r="38" spans="1:6" x14ac:dyDescent="0.2">
      <c r="A38" s="6" t="s">
        <v>45</v>
      </c>
      <c r="B38" s="7"/>
      <c r="C38" s="7"/>
      <c r="D38" s="16"/>
      <c r="E38" s="18"/>
      <c r="F38" s="7"/>
    </row>
    <row r="39" spans="1:6" x14ac:dyDescent="0.2">
      <c r="A39" s="7" t="s">
        <v>620</v>
      </c>
      <c r="B39" s="7" t="s">
        <v>621</v>
      </c>
      <c r="C39" s="7" t="s">
        <v>80</v>
      </c>
      <c r="D39" s="16">
        <v>525000</v>
      </c>
      <c r="E39" s="18">
        <v>24193.1139</v>
      </c>
      <c r="F39" s="7">
        <f t="shared" ref="F39" si="1">E39/$E$46*100</f>
        <v>2.6897802923047047</v>
      </c>
    </row>
    <row r="40" spans="1:6" x14ac:dyDescent="0.2">
      <c r="A40" s="6" t="s">
        <v>44</v>
      </c>
      <c r="B40" s="7"/>
      <c r="C40" s="7"/>
      <c r="D40" s="16"/>
      <c r="E40" s="19">
        <f>SUM(E39)</f>
        <v>24193.1139</v>
      </c>
      <c r="F40" s="19">
        <f>SUM(F39)</f>
        <v>2.6897802923047047</v>
      </c>
    </row>
    <row r="41" spans="1:6" x14ac:dyDescent="0.2">
      <c r="A41" s="6"/>
      <c r="B41" s="7"/>
      <c r="C41" s="7"/>
      <c r="D41" s="7"/>
      <c r="E41" s="6"/>
      <c r="F41" s="6"/>
    </row>
    <row r="42" spans="1:6" x14ac:dyDescent="0.2">
      <c r="A42" s="6" t="s">
        <v>44</v>
      </c>
      <c r="B42" s="7"/>
      <c r="C42" s="7"/>
      <c r="D42" s="7"/>
      <c r="E42" s="6">
        <f>E36+E40</f>
        <v>823116.25913200004</v>
      </c>
      <c r="F42" s="6">
        <f>F36+F40</f>
        <v>91.513721682963094</v>
      </c>
    </row>
    <row r="43" spans="1:6" x14ac:dyDescent="0.2">
      <c r="A43" s="7"/>
      <c r="B43" s="7"/>
      <c r="C43" s="7"/>
      <c r="D43" s="7"/>
      <c r="E43" s="7"/>
      <c r="F43" s="7"/>
    </row>
    <row r="44" spans="1:6" x14ac:dyDescent="0.2">
      <c r="A44" s="6" t="s">
        <v>103</v>
      </c>
      <c r="B44" s="7"/>
      <c r="C44" s="7"/>
      <c r="D44" s="7"/>
      <c r="E44" s="6">
        <v>76329.467688699995</v>
      </c>
      <c r="F44" s="6">
        <f t="shared" ref="F44" si="2">E44/$E$46*100</f>
        <v>8.4862783170368985</v>
      </c>
    </row>
    <row r="45" spans="1:6" x14ac:dyDescent="0.2">
      <c r="A45" s="7"/>
      <c r="B45" s="7"/>
      <c r="C45" s="7"/>
      <c r="D45" s="7"/>
      <c r="E45" s="7"/>
      <c r="F45" s="7"/>
    </row>
    <row r="46" spans="1:6" x14ac:dyDescent="0.2">
      <c r="A46" s="8" t="s">
        <v>104</v>
      </c>
      <c r="B46" s="5"/>
      <c r="C46" s="5"/>
      <c r="D46" s="5"/>
      <c r="E46" s="8">
        <f>E42+E44</f>
        <v>899445.72682069999</v>
      </c>
      <c r="F46" s="8">
        <f xml:space="preserve"> ROUND(SUM(F42:F45),2)</f>
        <v>100</v>
      </c>
    </row>
    <row r="48" spans="1:6" x14ac:dyDescent="0.2">
      <c r="A48" s="4" t="s">
        <v>105</v>
      </c>
      <c r="B48" s="2"/>
      <c r="C48" s="2"/>
      <c r="D48" s="2"/>
    </row>
    <row r="49" spans="1:5" x14ac:dyDescent="0.2">
      <c r="A49" s="4" t="s">
        <v>106</v>
      </c>
      <c r="B49" s="2"/>
      <c r="C49" s="2"/>
      <c r="D49" s="2"/>
    </row>
    <row r="50" spans="1:5" x14ac:dyDescent="0.2">
      <c r="A50" s="4" t="s">
        <v>107</v>
      </c>
      <c r="B50" s="2"/>
      <c r="C50" s="2"/>
      <c r="D50" s="2"/>
    </row>
    <row r="51" spans="1:5" x14ac:dyDescent="0.2">
      <c r="A51" s="2" t="s">
        <v>666</v>
      </c>
      <c r="B51" s="2"/>
      <c r="C51" s="2"/>
      <c r="D51" s="10">
        <v>43.357799999999997</v>
      </c>
      <c r="E51" s="2"/>
    </row>
    <row r="52" spans="1:5" x14ac:dyDescent="0.2">
      <c r="A52" s="2" t="s">
        <v>667</v>
      </c>
      <c r="B52" s="2"/>
      <c r="C52" s="2"/>
      <c r="D52" s="10">
        <v>25.491599999999998</v>
      </c>
      <c r="E52" s="2"/>
    </row>
    <row r="53" spans="1:5" x14ac:dyDescent="0.2">
      <c r="A53" s="2" t="s">
        <v>668</v>
      </c>
      <c r="B53" s="2"/>
      <c r="C53" s="2"/>
      <c r="D53" s="10">
        <v>46.4467</v>
      </c>
      <c r="E53" s="2"/>
    </row>
    <row r="54" spans="1:5" x14ac:dyDescent="0.2">
      <c r="A54" s="2" t="s">
        <v>669</v>
      </c>
      <c r="B54" s="2"/>
      <c r="C54" s="2"/>
      <c r="D54" s="10">
        <v>27.796399999999998</v>
      </c>
      <c r="E54" s="2"/>
    </row>
    <row r="55" spans="1:5" x14ac:dyDescent="0.2">
      <c r="A55" s="2"/>
      <c r="B55" s="2"/>
      <c r="C55" s="2"/>
      <c r="D55" s="10"/>
      <c r="E55" s="2"/>
    </row>
    <row r="56" spans="1:5" x14ac:dyDescent="0.2">
      <c r="A56" s="4" t="s">
        <v>108</v>
      </c>
      <c r="B56" s="2"/>
      <c r="C56" s="2"/>
      <c r="D56" s="2"/>
      <c r="E56" s="2"/>
    </row>
    <row r="57" spans="1:5" x14ac:dyDescent="0.2">
      <c r="A57" s="2" t="s">
        <v>666</v>
      </c>
      <c r="B57" s="2"/>
      <c r="C57" s="2"/>
      <c r="D57" s="10">
        <v>42.657299999999999</v>
      </c>
      <c r="E57" s="2"/>
    </row>
    <row r="58" spans="1:5" x14ac:dyDescent="0.2">
      <c r="A58" s="2" t="s">
        <v>667</v>
      </c>
      <c r="B58" s="2"/>
      <c r="C58" s="2"/>
      <c r="D58" s="10">
        <v>23.1267</v>
      </c>
      <c r="E58" s="2"/>
    </row>
    <row r="59" spans="1:5" x14ac:dyDescent="0.2">
      <c r="A59" s="2" t="s">
        <v>668</v>
      </c>
      <c r="B59" s="2"/>
      <c r="C59" s="2"/>
      <c r="D59" s="10">
        <v>45.893700000000003</v>
      </c>
      <c r="E59" s="2"/>
    </row>
    <row r="60" spans="1:5" x14ac:dyDescent="0.2">
      <c r="A60" s="2" t="s">
        <v>669</v>
      </c>
      <c r="B60" s="2"/>
      <c r="C60" s="2"/>
      <c r="D60" s="10">
        <v>25.5078</v>
      </c>
      <c r="E60" s="2"/>
    </row>
    <row r="61" spans="1:5" x14ac:dyDescent="0.2">
      <c r="A61" s="2"/>
      <c r="B61" s="2"/>
      <c r="C61" s="2"/>
      <c r="D61" s="2"/>
    </row>
    <row r="62" spans="1:5" x14ac:dyDescent="0.2">
      <c r="A62" s="4" t="s">
        <v>109</v>
      </c>
      <c r="B62" s="2"/>
      <c r="C62" s="2"/>
      <c r="D62" s="30" t="s">
        <v>325</v>
      </c>
    </row>
    <row r="63" spans="1:5" x14ac:dyDescent="0.2">
      <c r="A63" s="31" t="s">
        <v>670</v>
      </c>
      <c r="B63" s="32"/>
      <c r="C63" s="88" t="s">
        <v>671</v>
      </c>
      <c r="D63" s="89"/>
    </row>
    <row r="64" spans="1:5" x14ac:dyDescent="0.2">
      <c r="A64" s="92"/>
      <c r="B64" s="93"/>
      <c r="C64" s="33" t="s">
        <v>672</v>
      </c>
      <c r="D64" s="33" t="s">
        <v>673</v>
      </c>
    </row>
    <row r="65" spans="1:4" x14ac:dyDescent="0.2">
      <c r="A65" s="34" t="s">
        <v>667</v>
      </c>
      <c r="B65" s="35"/>
      <c r="C65" s="36">
        <v>1.5494648225000001</v>
      </c>
      <c r="D65" s="36">
        <v>1.5494648225000001</v>
      </c>
    </row>
    <row r="66" spans="1:4" x14ac:dyDescent="0.2">
      <c r="A66" s="34" t="s">
        <v>669</v>
      </c>
      <c r="B66" s="35"/>
      <c r="C66" s="36">
        <v>1.5494648225000001</v>
      </c>
      <c r="D66" s="36">
        <v>1.5494648225000001</v>
      </c>
    </row>
    <row r="67" spans="1:4" x14ac:dyDescent="0.2">
      <c r="A67" s="4"/>
      <c r="B67" s="2"/>
      <c r="C67" s="2"/>
      <c r="D67" s="30"/>
    </row>
    <row r="68" spans="1:4" x14ac:dyDescent="0.2">
      <c r="A68" s="9" t="s">
        <v>674</v>
      </c>
      <c r="B68" s="2"/>
      <c r="C68" s="2"/>
      <c r="D68" s="37">
        <v>0.17256980768928235</v>
      </c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71" spans="1:4" x14ac:dyDescent="0.2">
      <c r="A71" s="2"/>
      <c r="B71" s="2"/>
      <c r="C71" s="2"/>
      <c r="D71" s="2"/>
    </row>
  </sheetData>
  <mergeCells count="3">
    <mergeCell ref="A1:F1"/>
    <mergeCell ref="C63:D63"/>
    <mergeCell ref="A64:B6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4F75-B6A9-4FD9-9AFF-6619A9AE7AE9}">
  <sheetPr codeName="Sheet9"/>
  <dimension ref="A1:F107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43.1406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375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194</v>
      </c>
      <c r="B8" s="7" t="s">
        <v>195</v>
      </c>
      <c r="C8" s="7" t="s">
        <v>80</v>
      </c>
      <c r="D8" s="7">
        <v>615444</v>
      </c>
      <c r="E8" s="7">
        <v>4285.6442939999997</v>
      </c>
      <c r="F8" s="7">
        <f>E8/$E$81*100</f>
        <v>4.7162098000860349</v>
      </c>
    </row>
    <row r="9" spans="1:6" x14ac:dyDescent="0.2">
      <c r="A9" s="7" t="s">
        <v>214</v>
      </c>
      <c r="B9" s="7" t="s">
        <v>215</v>
      </c>
      <c r="C9" s="7" t="s">
        <v>125</v>
      </c>
      <c r="D9" s="7">
        <v>2009054</v>
      </c>
      <c r="E9" s="7">
        <v>3883.5013819999999</v>
      </c>
      <c r="F9" s="7">
        <f t="shared" ref="F9:F49" si="0">E9/$E$81*100</f>
        <v>4.2736648260981553</v>
      </c>
    </row>
    <row r="10" spans="1:6" x14ac:dyDescent="0.2">
      <c r="A10" s="7" t="s">
        <v>123</v>
      </c>
      <c r="B10" s="7" t="s">
        <v>124</v>
      </c>
      <c r="C10" s="7" t="s">
        <v>125</v>
      </c>
      <c r="D10" s="7">
        <v>3150145</v>
      </c>
      <c r="E10" s="7">
        <v>3665.1937075000001</v>
      </c>
      <c r="F10" s="7">
        <f t="shared" si="0"/>
        <v>4.0334244507239472</v>
      </c>
    </row>
    <row r="11" spans="1:6" x14ac:dyDescent="0.2">
      <c r="A11" s="7" t="s">
        <v>225</v>
      </c>
      <c r="B11" s="7" t="s">
        <v>226</v>
      </c>
      <c r="C11" s="7" t="s">
        <v>227</v>
      </c>
      <c r="D11" s="7">
        <v>484134</v>
      </c>
      <c r="E11" s="7">
        <v>3277.1030460000002</v>
      </c>
      <c r="F11" s="7">
        <f t="shared" si="0"/>
        <v>3.6063435136404247</v>
      </c>
    </row>
    <row r="12" spans="1:6" x14ac:dyDescent="0.2">
      <c r="A12" s="7" t="s">
        <v>134</v>
      </c>
      <c r="B12" s="7" t="s">
        <v>135</v>
      </c>
      <c r="C12" s="7" t="s">
        <v>136</v>
      </c>
      <c r="D12" s="7">
        <v>1053388</v>
      </c>
      <c r="E12" s="7">
        <v>2859.9484200000002</v>
      </c>
      <c r="F12" s="7">
        <f t="shared" si="0"/>
        <v>3.147278644900195</v>
      </c>
    </row>
    <row r="13" spans="1:6" x14ac:dyDescent="0.2">
      <c r="A13" s="7" t="s">
        <v>216</v>
      </c>
      <c r="B13" s="7" t="s">
        <v>217</v>
      </c>
      <c r="C13" s="7" t="s">
        <v>125</v>
      </c>
      <c r="D13" s="7">
        <v>4797866</v>
      </c>
      <c r="E13" s="7">
        <v>2751.5761510000002</v>
      </c>
      <c r="F13" s="7">
        <f t="shared" si="0"/>
        <v>3.0280185472222514</v>
      </c>
    </row>
    <row r="14" spans="1:6" x14ac:dyDescent="0.2">
      <c r="A14" s="7" t="s">
        <v>330</v>
      </c>
      <c r="B14" s="7" t="s">
        <v>331</v>
      </c>
      <c r="C14" s="7" t="s">
        <v>332</v>
      </c>
      <c r="D14" s="7">
        <v>1247000</v>
      </c>
      <c r="E14" s="7">
        <v>2559.4675000000002</v>
      </c>
      <c r="F14" s="7">
        <f t="shared" si="0"/>
        <v>2.8166093306906874</v>
      </c>
    </row>
    <row r="15" spans="1:6" x14ac:dyDescent="0.2">
      <c r="A15" s="7" t="s">
        <v>308</v>
      </c>
      <c r="B15" s="7" t="s">
        <v>309</v>
      </c>
      <c r="C15" s="7" t="s">
        <v>40</v>
      </c>
      <c r="D15" s="7">
        <v>419757</v>
      </c>
      <c r="E15" s="7">
        <v>2437.3190205000001</v>
      </c>
      <c r="F15" s="7">
        <f t="shared" si="0"/>
        <v>2.6821889689985072</v>
      </c>
    </row>
    <row r="16" spans="1:6" x14ac:dyDescent="0.2">
      <c r="A16" s="7" t="s">
        <v>333</v>
      </c>
      <c r="B16" s="7" t="s">
        <v>334</v>
      </c>
      <c r="C16" s="7" t="s">
        <v>25</v>
      </c>
      <c r="D16" s="7">
        <v>284585</v>
      </c>
      <c r="E16" s="7">
        <v>2376.1424575000001</v>
      </c>
      <c r="F16" s="7">
        <f t="shared" si="0"/>
        <v>2.6148661848000807</v>
      </c>
    </row>
    <row r="17" spans="1:6" x14ac:dyDescent="0.2">
      <c r="A17" s="7" t="s">
        <v>192</v>
      </c>
      <c r="B17" s="7" t="s">
        <v>193</v>
      </c>
      <c r="C17" s="7" t="s">
        <v>59</v>
      </c>
      <c r="D17" s="7">
        <v>264691</v>
      </c>
      <c r="E17" s="7">
        <v>2083.2505154999999</v>
      </c>
      <c r="F17" s="7">
        <f t="shared" si="0"/>
        <v>2.2925482898780642</v>
      </c>
    </row>
    <row r="18" spans="1:6" x14ac:dyDescent="0.2">
      <c r="A18" s="7" t="s">
        <v>223</v>
      </c>
      <c r="B18" s="7" t="s">
        <v>224</v>
      </c>
      <c r="C18" s="7" t="s">
        <v>136</v>
      </c>
      <c r="D18" s="7">
        <v>924255</v>
      </c>
      <c r="E18" s="7">
        <v>1989.4588874999999</v>
      </c>
      <c r="F18" s="7">
        <f t="shared" si="0"/>
        <v>2.1893337053734867</v>
      </c>
    </row>
    <row r="19" spans="1:6" x14ac:dyDescent="0.2">
      <c r="A19" s="7" t="s">
        <v>242</v>
      </c>
      <c r="B19" s="7" t="s">
        <v>243</v>
      </c>
      <c r="C19" s="7" t="s">
        <v>118</v>
      </c>
      <c r="D19" s="7">
        <v>639633</v>
      </c>
      <c r="E19" s="7">
        <v>1807.602858</v>
      </c>
      <c r="F19" s="7">
        <f t="shared" si="0"/>
        <v>1.9892071597025371</v>
      </c>
    </row>
    <row r="20" spans="1:6" x14ac:dyDescent="0.2">
      <c r="A20" s="7" t="s">
        <v>335</v>
      </c>
      <c r="B20" s="7" t="s">
        <v>336</v>
      </c>
      <c r="C20" s="7" t="s">
        <v>145</v>
      </c>
      <c r="D20" s="7">
        <v>1517846</v>
      </c>
      <c r="E20" s="7">
        <v>1735.6569010000001</v>
      </c>
      <c r="F20" s="7">
        <f t="shared" si="0"/>
        <v>1.9100330135992283</v>
      </c>
    </row>
    <row r="21" spans="1:6" x14ac:dyDescent="0.2">
      <c r="A21" s="7" t="s">
        <v>258</v>
      </c>
      <c r="B21" s="7" t="s">
        <v>259</v>
      </c>
      <c r="C21" s="7" t="s">
        <v>80</v>
      </c>
      <c r="D21" s="7">
        <v>221952</v>
      </c>
      <c r="E21" s="7">
        <v>1690.053504</v>
      </c>
      <c r="F21" s="7">
        <f t="shared" si="0"/>
        <v>1.8598479835094179</v>
      </c>
    </row>
    <row r="22" spans="1:6" x14ac:dyDescent="0.2">
      <c r="A22" s="7" t="s">
        <v>251</v>
      </c>
      <c r="B22" s="7" t="s">
        <v>252</v>
      </c>
      <c r="C22" s="7" t="s">
        <v>246</v>
      </c>
      <c r="D22" s="7">
        <v>1002100</v>
      </c>
      <c r="E22" s="7">
        <v>1684.0290500000001</v>
      </c>
      <c r="F22" s="7">
        <f t="shared" si="0"/>
        <v>1.8532182711381078</v>
      </c>
    </row>
    <row r="23" spans="1:6" x14ac:dyDescent="0.2">
      <c r="A23" s="7" t="s">
        <v>234</v>
      </c>
      <c r="B23" s="7" t="s">
        <v>235</v>
      </c>
      <c r="C23" s="7" t="s">
        <v>34</v>
      </c>
      <c r="D23" s="7">
        <v>114045</v>
      </c>
      <c r="E23" s="7">
        <v>1681.2513899999999</v>
      </c>
      <c r="F23" s="7">
        <f t="shared" si="0"/>
        <v>1.8501615481777705</v>
      </c>
    </row>
    <row r="24" spans="1:6" x14ac:dyDescent="0.2">
      <c r="A24" s="7" t="s">
        <v>270</v>
      </c>
      <c r="B24" s="7" t="s">
        <v>271</v>
      </c>
      <c r="C24" s="7" t="s">
        <v>25</v>
      </c>
      <c r="D24" s="7">
        <v>1505501</v>
      </c>
      <c r="E24" s="7">
        <v>1590.5618065000001</v>
      </c>
      <c r="F24" s="7">
        <f t="shared" si="0"/>
        <v>1.7503606610469309</v>
      </c>
    </row>
    <row r="25" spans="1:6" x14ac:dyDescent="0.2">
      <c r="A25" s="7" t="s">
        <v>337</v>
      </c>
      <c r="B25" s="7" t="s">
        <v>338</v>
      </c>
      <c r="C25" s="7" t="s">
        <v>59</v>
      </c>
      <c r="D25" s="7">
        <v>126875</v>
      </c>
      <c r="E25" s="7">
        <v>1468.0706250000001</v>
      </c>
      <c r="F25" s="7">
        <f t="shared" si="0"/>
        <v>1.6155631671384416</v>
      </c>
    </row>
    <row r="26" spans="1:6" x14ac:dyDescent="0.2">
      <c r="A26" s="7" t="s">
        <v>155</v>
      </c>
      <c r="B26" s="7" t="s">
        <v>156</v>
      </c>
      <c r="C26" s="7" t="s">
        <v>28</v>
      </c>
      <c r="D26" s="7">
        <v>3209748</v>
      </c>
      <c r="E26" s="7">
        <v>1425.1281120000001</v>
      </c>
      <c r="F26" s="7">
        <f t="shared" si="0"/>
        <v>1.5683063518832738</v>
      </c>
    </row>
    <row r="27" spans="1:6" x14ac:dyDescent="0.2">
      <c r="A27" s="7" t="s">
        <v>339</v>
      </c>
      <c r="B27" s="7" t="s">
        <v>340</v>
      </c>
      <c r="C27" s="7" t="s">
        <v>187</v>
      </c>
      <c r="D27" s="7">
        <v>494940</v>
      </c>
      <c r="E27" s="7">
        <v>1393.9985099999999</v>
      </c>
      <c r="F27" s="7">
        <f t="shared" si="0"/>
        <v>1.5340492544777049</v>
      </c>
    </row>
    <row r="28" spans="1:6" x14ac:dyDescent="0.2">
      <c r="A28" s="7" t="s">
        <v>230</v>
      </c>
      <c r="B28" s="7" t="s">
        <v>231</v>
      </c>
      <c r="C28" s="7" t="s">
        <v>11</v>
      </c>
      <c r="D28" s="7">
        <v>1505600</v>
      </c>
      <c r="E28" s="7">
        <v>1338.4784</v>
      </c>
      <c r="F28" s="7">
        <f t="shared" si="0"/>
        <v>1.4729512097215307</v>
      </c>
    </row>
    <row r="29" spans="1:6" x14ac:dyDescent="0.2">
      <c r="A29" s="7" t="s">
        <v>341</v>
      </c>
      <c r="B29" s="7" t="s">
        <v>342</v>
      </c>
      <c r="C29" s="7" t="s">
        <v>59</v>
      </c>
      <c r="D29" s="7">
        <v>140800</v>
      </c>
      <c r="E29" s="7">
        <v>1240.3072</v>
      </c>
      <c r="F29" s="7">
        <f t="shared" si="0"/>
        <v>1.3649170510830244</v>
      </c>
    </row>
    <row r="30" spans="1:6" x14ac:dyDescent="0.2">
      <c r="A30" s="7" t="s">
        <v>343</v>
      </c>
      <c r="B30" s="7" t="s">
        <v>344</v>
      </c>
      <c r="C30" s="7" t="s">
        <v>345</v>
      </c>
      <c r="D30" s="7">
        <v>136944</v>
      </c>
      <c r="E30" s="7">
        <v>1225.854216</v>
      </c>
      <c r="F30" s="7">
        <f t="shared" si="0"/>
        <v>1.3490120202159697</v>
      </c>
    </row>
    <row r="31" spans="1:6" x14ac:dyDescent="0.2">
      <c r="A31" s="7" t="s">
        <v>253</v>
      </c>
      <c r="B31" s="7" t="s">
        <v>254</v>
      </c>
      <c r="C31" s="7" t="s">
        <v>255</v>
      </c>
      <c r="D31" s="7">
        <v>178656</v>
      </c>
      <c r="E31" s="7">
        <v>1175.9137920000001</v>
      </c>
      <c r="F31" s="7">
        <f t="shared" si="0"/>
        <v>1.2940542353575768</v>
      </c>
    </row>
    <row r="32" spans="1:6" x14ac:dyDescent="0.2">
      <c r="A32" s="7" t="s">
        <v>185</v>
      </c>
      <c r="B32" s="7" t="s">
        <v>186</v>
      </c>
      <c r="C32" s="7" t="s">
        <v>187</v>
      </c>
      <c r="D32" s="7">
        <v>40000</v>
      </c>
      <c r="E32" s="7">
        <v>1165.54</v>
      </c>
      <c r="F32" s="7">
        <f t="shared" si="0"/>
        <v>1.2826382203693634</v>
      </c>
    </row>
    <row r="33" spans="1:6" x14ac:dyDescent="0.2">
      <c r="A33" s="7" t="s">
        <v>346</v>
      </c>
      <c r="B33" s="7" t="s">
        <v>347</v>
      </c>
      <c r="C33" s="7" t="s">
        <v>37</v>
      </c>
      <c r="D33" s="7">
        <v>32930</v>
      </c>
      <c r="E33" s="7">
        <v>1045.8568</v>
      </c>
      <c r="F33" s="7">
        <f t="shared" si="0"/>
        <v>1.1509308172290933</v>
      </c>
    </row>
    <row r="34" spans="1:6" x14ac:dyDescent="0.2">
      <c r="A34" s="7" t="s">
        <v>139</v>
      </c>
      <c r="B34" s="7" t="s">
        <v>140</v>
      </c>
      <c r="C34" s="7" t="s">
        <v>56</v>
      </c>
      <c r="D34" s="7">
        <v>753071</v>
      </c>
      <c r="E34" s="7">
        <v>992.1710425</v>
      </c>
      <c r="F34" s="7">
        <f t="shared" si="0"/>
        <v>1.0918514167289119</v>
      </c>
    </row>
    <row r="35" spans="1:6" x14ac:dyDescent="0.2">
      <c r="A35" s="7" t="s">
        <v>348</v>
      </c>
      <c r="B35" s="7" t="s">
        <v>349</v>
      </c>
      <c r="C35" s="7" t="s">
        <v>332</v>
      </c>
      <c r="D35" s="7">
        <v>959254</v>
      </c>
      <c r="E35" s="7">
        <v>983.71497699999998</v>
      </c>
      <c r="F35" s="7">
        <f t="shared" si="0"/>
        <v>1.08254579632614</v>
      </c>
    </row>
    <row r="36" spans="1:6" x14ac:dyDescent="0.2">
      <c r="A36" s="7" t="s">
        <v>249</v>
      </c>
      <c r="B36" s="7" t="s">
        <v>250</v>
      </c>
      <c r="C36" s="7" t="s">
        <v>37</v>
      </c>
      <c r="D36" s="7">
        <v>1239545</v>
      </c>
      <c r="E36" s="7">
        <v>981.09986749999996</v>
      </c>
      <c r="F36" s="7">
        <f t="shared" si="0"/>
        <v>1.0796679548147796</v>
      </c>
    </row>
    <row r="37" spans="1:6" x14ac:dyDescent="0.2">
      <c r="A37" s="7" t="s">
        <v>244</v>
      </c>
      <c r="B37" s="7" t="s">
        <v>245</v>
      </c>
      <c r="C37" s="7" t="s">
        <v>246</v>
      </c>
      <c r="D37" s="7">
        <v>99400</v>
      </c>
      <c r="E37" s="7">
        <v>920.6925</v>
      </c>
      <c r="F37" s="7">
        <f t="shared" si="0"/>
        <v>1.0131916448233609</v>
      </c>
    </row>
    <row r="38" spans="1:6" x14ac:dyDescent="0.2">
      <c r="A38" s="7" t="s">
        <v>116</v>
      </c>
      <c r="B38" s="7" t="s">
        <v>117</v>
      </c>
      <c r="C38" s="7" t="s">
        <v>118</v>
      </c>
      <c r="D38" s="7">
        <v>672460</v>
      </c>
      <c r="E38" s="7">
        <v>883.61243999999999</v>
      </c>
      <c r="F38" s="7">
        <f t="shared" si="0"/>
        <v>0.97238626519710258</v>
      </c>
    </row>
    <row r="39" spans="1:6" x14ac:dyDescent="0.2">
      <c r="A39" s="7" t="s">
        <v>276</v>
      </c>
      <c r="B39" s="7" t="s">
        <v>277</v>
      </c>
      <c r="C39" s="7" t="s">
        <v>246</v>
      </c>
      <c r="D39" s="7">
        <v>42276</v>
      </c>
      <c r="E39" s="7">
        <v>878.093658</v>
      </c>
      <c r="F39" s="7">
        <f t="shared" si="0"/>
        <v>0.9663130281369533</v>
      </c>
    </row>
    <row r="40" spans="1:6" x14ac:dyDescent="0.2">
      <c r="A40" s="7" t="s">
        <v>262</v>
      </c>
      <c r="B40" s="7" t="s">
        <v>263</v>
      </c>
      <c r="C40" s="7" t="s">
        <v>179</v>
      </c>
      <c r="D40" s="7">
        <v>821499</v>
      </c>
      <c r="E40" s="7">
        <v>846.96546899999998</v>
      </c>
      <c r="F40" s="7">
        <f t="shared" si="0"/>
        <v>0.93205748569115021</v>
      </c>
    </row>
    <row r="41" spans="1:6" x14ac:dyDescent="0.2">
      <c r="A41" s="7" t="s">
        <v>154</v>
      </c>
      <c r="B41" s="7" t="s">
        <v>623</v>
      </c>
      <c r="C41" s="7" t="s">
        <v>37</v>
      </c>
      <c r="D41" s="7">
        <v>1158906</v>
      </c>
      <c r="E41" s="7">
        <v>826.87943099999995</v>
      </c>
      <c r="F41" s="7">
        <f t="shared" si="0"/>
        <v>0.90995346520743337</v>
      </c>
    </row>
    <row r="42" spans="1:6" x14ac:dyDescent="0.2">
      <c r="A42" s="7" t="s">
        <v>207</v>
      </c>
      <c r="B42" s="7" t="s">
        <v>208</v>
      </c>
      <c r="C42" s="7" t="s">
        <v>37</v>
      </c>
      <c r="D42" s="7">
        <v>155566</v>
      </c>
      <c r="E42" s="7">
        <v>825.355413</v>
      </c>
      <c r="F42" s="7">
        <f t="shared" si="0"/>
        <v>0.90827633380453765</v>
      </c>
    </row>
    <row r="43" spans="1:6" x14ac:dyDescent="0.2">
      <c r="A43" s="7" t="s">
        <v>114</v>
      </c>
      <c r="B43" s="7" t="s">
        <v>115</v>
      </c>
      <c r="C43" s="7" t="s">
        <v>11</v>
      </c>
      <c r="D43" s="7">
        <v>150567</v>
      </c>
      <c r="E43" s="7">
        <v>771.80644199999995</v>
      </c>
      <c r="F43" s="7">
        <f t="shared" si="0"/>
        <v>0.84934746232346403</v>
      </c>
    </row>
    <row r="44" spans="1:6" x14ac:dyDescent="0.2">
      <c r="A44" s="7" t="s">
        <v>232</v>
      </c>
      <c r="B44" s="7" t="s">
        <v>233</v>
      </c>
      <c r="C44" s="7" t="s">
        <v>125</v>
      </c>
      <c r="D44" s="7">
        <v>100000</v>
      </c>
      <c r="E44" s="7">
        <v>751.1</v>
      </c>
      <c r="F44" s="7">
        <f t="shared" si="0"/>
        <v>0.82656070775728752</v>
      </c>
    </row>
    <row r="45" spans="1:6" x14ac:dyDescent="0.2">
      <c r="A45" s="7" t="s">
        <v>38</v>
      </c>
      <c r="B45" s="7" t="s">
        <v>39</v>
      </c>
      <c r="C45" s="7" t="s">
        <v>40</v>
      </c>
      <c r="D45" s="7">
        <v>110000</v>
      </c>
      <c r="E45" s="7">
        <v>596.47500000000002</v>
      </c>
      <c r="F45" s="7">
        <f t="shared" si="0"/>
        <v>0.65640100939891899</v>
      </c>
    </row>
    <row r="46" spans="1:6" x14ac:dyDescent="0.2">
      <c r="A46" s="7" t="s">
        <v>137</v>
      </c>
      <c r="B46" s="7" t="s">
        <v>138</v>
      </c>
      <c r="C46" s="7" t="s">
        <v>136</v>
      </c>
      <c r="D46" s="7">
        <v>471258</v>
      </c>
      <c r="E46" s="7">
        <v>594.02070900000001</v>
      </c>
      <c r="F46" s="7">
        <f t="shared" si="0"/>
        <v>0.65370014332782012</v>
      </c>
    </row>
    <row r="47" spans="1:6" x14ac:dyDescent="0.2">
      <c r="A47" s="7" t="s">
        <v>278</v>
      </c>
      <c r="B47" s="7" t="s">
        <v>279</v>
      </c>
      <c r="C47" s="7" t="s">
        <v>255</v>
      </c>
      <c r="D47" s="7">
        <v>439349</v>
      </c>
      <c r="E47" s="7">
        <v>585.65221699999995</v>
      </c>
      <c r="F47" s="7">
        <f t="shared" si="0"/>
        <v>0.64449089466535014</v>
      </c>
    </row>
    <row r="48" spans="1:6" x14ac:dyDescent="0.2">
      <c r="A48" s="7" t="s">
        <v>272</v>
      </c>
      <c r="B48" s="7" t="s">
        <v>273</v>
      </c>
      <c r="C48" s="7" t="s">
        <v>80</v>
      </c>
      <c r="D48" s="7">
        <v>119545</v>
      </c>
      <c r="E48" s="7">
        <v>483.081345</v>
      </c>
      <c r="F48" s="7">
        <f t="shared" si="0"/>
        <v>0.53161504250771185</v>
      </c>
    </row>
    <row r="49" spans="1:6" x14ac:dyDescent="0.2">
      <c r="A49" s="7" t="s">
        <v>9</v>
      </c>
      <c r="B49" s="7" t="s">
        <v>10</v>
      </c>
      <c r="C49" s="7" t="s">
        <v>11</v>
      </c>
      <c r="D49" s="7">
        <v>36400</v>
      </c>
      <c r="E49" s="7">
        <v>464.08179999999999</v>
      </c>
      <c r="F49" s="7">
        <f t="shared" si="0"/>
        <v>0.51070667163530281</v>
      </c>
    </row>
    <row r="50" spans="1:6" x14ac:dyDescent="0.2">
      <c r="A50" s="6" t="s">
        <v>44</v>
      </c>
      <c r="B50" s="7"/>
      <c r="C50" s="7"/>
      <c r="D50" s="7"/>
      <c r="E50" s="6">
        <f xml:space="preserve"> SUM(E8:E49)</f>
        <v>66221.710856999998</v>
      </c>
      <c r="F50" s="6">
        <f>SUM(F8:F49)</f>
        <v>72.874802549408045</v>
      </c>
    </row>
    <row r="51" spans="1:6" x14ac:dyDescent="0.2">
      <c r="A51" s="7"/>
      <c r="B51" s="7"/>
      <c r="C51" s="7"/>
      <c r="D51" s="7"/>
      <c r="E51" s="7"/>
      <c r="F51" s="7"/>
    </row>
    <row r="52" spans="1:6" x14ac:dyDescent="0.2">
      <c r="A52" s="6" t="s">
        <v>638</v>
      </c>
      <c r="B52" s="7"/>
      <c r="C52" s="7"/>
      <c r="D52" s="22"/>
      <c r="E52" s="27"/>
      <c r="F52" s="7"/>
    </row>
    <row r="53" spans="1:6" x14ac:dyDescent="0.2">
      <c r="A53" s="7" t="s">
        <v>639</v>
      </c>
      <c r="B53" s="7" t="s">
        <v>640</v>
      </c>
      <c r="C53" s="7"/>
      <c r="D53" s="22">
        <v>439200</v>
      </c>
      <c r="E53" s="27">
        <v>1950.8385599999999</v>
      </c>
      <c r="F53" s="7">
        <f t="shared" ref="F53" si="1">E53/$E$81*100</f>
        <v>2.1468333123070265</v>
      </c>
    </row>
    <row r="54" spans="1:6" x14ac:dyDescent="0.2">
      <c r="A54" s="6" t="s">
        <v>44</v>
      </c>
      <c r="B54" s="7"/>
      <c r="C54" s="7"/>
      <c r="D54" s="22"/>
      <c r="E54" s="19">
        <f>SUM(E53)</f>
        <v>1950.8385599999999</v>
      </c>
      <c r="F54" s="19">
        <f>SUM(F53)</f>
        <v>2.1468333123070265</v>
      </c>
    </row>
    <row r="55" spans="1:6" x14ac:dyDescent="0.2">
      <c r="A55" s="7"/>
      <c r="B55" s="7"/>
      <c r="C55" s="7"/>
      <c r="D55" s="7"/>
      <c r="E55" s="7"/>
      <c r="F55" s="7"/>
    </row>
    <row r="56" spans="1:6" x14ac:dyDescent="0.2">
      <c r="A56" s="6" t="s">
        <v>45</v>
      </c>
      <c r="B56" s="7"/>
      <c r="C56" s="7"/>
      <c r="D56" s="7"/>
      <c r="E56" s="7"/>
      <c r="F56" s="7"/>
    </row>
    <row r="57" spans="1:6" x14ac:dyDescent="0.2">
      <c r="A57" s="7" t="s">
        <v>362</v>
      </c>
      <c r="B57" s="7" t="s">
        <v>363</v>
      </c>
      <c r="C57" s="7" t="s">
        <v>179</v>
      </c>
      <c r="D57" s="7">
        <v>8075983</v>
      </c>
      <c r="E57" s="7">
        <v>3565.6110460999998</v>
      </c>
      <c r="F57" s="7">
        <f t="shared" ref="F57:F74" si="2">E57/$E$81*100</f>
        <v>3.9238370254980932</v>
      </c>
    </row>
    <row r="58" spans="1:6" x14ac:dyDescent="0.2">
      <c r="A58" s="7" t="s">
        <v>646</v>
      </c>
      <c r="B58" s="7" t="s">
        <v>641</v>
      </c>
      <c r="C58" s="7" t="s">
        <v>145</v>
      </c>
      <c r="D58" s="7">
        <v>2562198</v>
      </c>
      <c r="E58" s="7">
        <v>1869.0397902</v>
      </c>
      <c r="F58" s="7">
        <f t="shared" si="2"/>
        <v>2.0568164715939878</v>
      </c>
    </row>
    <row r="59" spans="1:6" x14ac:dyDescent="0.2">
      <c r="A59" s="7" t="s">
        <v>650</v>
      </c>
      <c r="B59" s="7" t="s">
        <v>645</v>
      </c>
      <c r="C59" s="7" t="s">
        <v>34</v>
      </c>
      <c r="D59" s="7">
        <v>851378</v>
      </c>
      <c r="E59" s="7">
        <v>1554.5387691000001</v>
      </c>
      <c r="F59" s="7">
        <f t="shared" si="2"/>
        <v>1.7107184998314988</v>
      </c>
    </row>
    <row r="60" spans="1:6" x14ac:dyDescent="0.2">
      <c r="A60" s="7" t="s">
        <v>648</v>
      </c>
      <c r="B60" s="7" t="s">
        <v>643</v>
      </c>
      <c r="C60" s="7" t="s">
        <v>246</v>
      </c>
      <c r="D60" s="7">
        <v>340000</v>
      </c>
      <c r="E60" s="7">
        <v>1439.9912208000001</v>
      </c>
      <c r="F60" s="7">
        <f t="shared" si="2"/>
        <v>1.5846627115280634</v>
      </c>
    </row>
    <row r="61" spans="1:6" x14ac:dyDescent="0.2">
      <c r="A61" s="7" t="s">
        <v>354</v>
      </c>
      <c r="B61" s="7" t="s">
        <v>355</v>
      </c>
      <c r="C61" s="7" t="s">
        <v>187</v>
      </c>
      <c r="D61" s="7">
        <v>2678400</v>
      </c>
      <c r="E61" s="7">
        <v>1413.6333262000001</v>
      </c>
      <c r="F61" s="7">
        <f t="shared" si="2"/>
        <v>1.5556567202944489</v>
      </c>
    </row>
    <row r="62" spans="1:6" x14ac:dyDescent="0.2">
      <c r="A62" s="7" t="s">
        <v>73</v>
      </c>
      <c r="B62" s="7" t="s">
        <v>74</v>
      </c>
      <c r="C62" s="7" t="s">
        <v>34</v>
      </c>
      <c r="D62" s="7">
        <v>440700</v>
      </c>
      <c r="E62" s="7">
        <v>1379.4022293999999</v>
      </c>
      <c r="F62" s="7">
        <f t="shared" si="2"/>
        <v>1.517986530441811</v>
      </c>
    </row>
    <row r="63" spans="1:6" x14ac:dyDescent="0.2">
      <c r="A63" s="7" t="s">
        <v>360</v>
      </c>
      <c r="B63" s="7" t="s">
        <v>361</v>
      </c>
      <c r="C63" s="7" t="s">
        <v>95</v>
      </c>
      <c r="D63" s="7">
        <v>3297307</v>
      </c>
      <c r="E63" s="7">
        <v>1219.7137642</v>
      </c>
      <c r="F63" s="7">
        <f t="shared" si="2"/>
        <v>1.3422546561023263</v>
      </c>
    </row>
    <row r="64" spans="1:6" x14ac:dyDescent="0.2">
      <c r="A64" s="7" t="s">
        <v>350</v>
      </c>
      <c r="B64" s="7" t="s">
        <v>351</v>
      </c>
      <c r="C64" s="7" t="s">
        <v>145</v>
      </c>
      <c r="D64" s="7">
        <v>2017335</v>
      </c>
      <c r="E64" s="7">
        <v>1179.5353197000002</v>
      </c>
      <c r="F64" s="7">
        <f t="shared" si="2"/>
        <v>1.2980396068112774</v>
      </c>
    </row>
    <row r="65" spans="1:6" x14ac:dyDescent="0.2">
      <c r="A65" s="7" t="s">
        <v>356</v>
      </c>
      <c r="B65" s="7" t="s">
        <v>357</v>
      </c>
      <c r="C65" s="7" t="s">
        <v>80</v>
      </c>
      <c r="D65" s="7">
        <v>633055</v>
      </c>
      <c r="E65" s="7">
        <v>1107.5359539999999</v>
      </c>
      <c r="F65" s="7">
        <f t="shared" si="2"/>
        <v>1.2188066862000833</v>
      </c>
    </row>
    <row r="66" spans="1:6" x14ac:dyDescent="0.2">
      <c r="A66" s="7" t="s">
        <v>368</v>
      </c>
      <c r="B66" s="7" t="s">
        <v>369</v>
      </c>
      <c r="C66" s="7" t="s">
        <v>370</v>
      </c>
      <c r="D66" s="7">
        <v>187038</v>
      </c>
      <c r="E66" s="7">
        <v>984.17598349999992</v>
      </c>
      <c r="F66" s="7">
        <f t="shared" si="2"/>
        <v>1.0830531187318393</v>
      </c>
    </row>
    <row r="67" spans="1:6" x14ac:dyDescent="0.2">
      <c r="A67" s="7" t="s">
        <v>649</v>
      </c>
      <c r="B67" s="7" t="s">
        <v>644</v>
      </c>
      <c r="C67" s="7" t="s">
        <v>187</v>
      </c>
      <c r="D67" s="7">
        <v>5150</v>
      </c>
      <c r="E67" s="7">
        <v>948.04357429999993</v>
      </c>
      <c r="F67" s="7">
        <f t="shared" si="2"/>
        <v>1.0432905974679223</v>
      </c>
    </row>
    <row r="68" spans="1:6" x14ac:dyDescent="0.2">
      <c r="A68" s="7" t="s">
        <v>371</v>
      </c>
      <c r="B68" s="7" t="s">
        <v>372</v>
      </c>
      <c r="C68" s="7" t="s">
        <v>187</v>
      </c>
      <c r="D68" s="7">
        <v>500000</v>
      </c>
      <c r="E68" s="7">
        <v>925.24753309999994</v>
      </c>
      <c r="F68" s="7">
        <f t="shared" si="2"/>
        <v>1.0182043080945551</v>
      </c>
    </row>
    <row r="69" spans="1:6" x14ac:dyDescent="0.2">
      <c r="A69" s="7" t="s">
        <v>366</v>
      </c>
      <c r="B69" s="7" t="s">
        <v>367</v>
      </c>
      <c r="C69" s="7" t="s">
        <v>187</v>
      </c>
      <c r="D69" s="7">
        <v>70700</v>
      </c>
      <c r="E69" s="7">
        <v>807.28435849999994</v>
      </c>
      <c r="F69" s="7">
        <f t="shared" si="2"/>
        <v>0.88838973601803717</v>
      </c>
    </row>
    <row r="70" spans="1:6" x14ac:dyDescent="0.2">
      <c r="A70" s="7" t="s">
        <v>373</v>
      </c>
      <c r="B70" s="7" t="s">
        <v>374</v>
      </c>
      <c r="C70" s="7" t="s">
        <v>77</v>
      </c>
      <c r="D70" s="7">
        <v>500000</v>
      </c>
      <c r="E70" s="7">
        <v>735.72481959999993</v>
      </c>
      <c r="F70" s="7">
        <f t="shared" si="2"/>
        <v>0.80964083025320011</v>
      </c>
    </row>
    <row r="71" spans="1:6" x14ac:dyDescent="0.2">
      <c r="A71" s="7" t="s">
        <v>364</v>
      </c>
      <c r="B71" s="7" t="s">
        <v>365</v>
      </c>
      <c r="C71" s="7" t="s">
        <v>11</v>
      </c>
      <c r="D71" s="7">
        <v>300000</v>
      </c>
      <c r="E71" s="7">
        <v>695.40748140000005</v>
      </c>
      <c r="F71" s="7">
        <f t="shared" si="2"/>
        <v>0.76527293303913835</v>
      </c>
    </row>
    <row r="72" spans="1:6" x14ac:dyDescent="0.2">
      <c r="A72" s="7" t="s">
        <v>358</v>
      </c>
      <c r="B72" s="7" t="s">
        <v>359</v>
      </c>
      <c r="C72" s="7" t="s">
        <v>25</v>
      </c>
      <c r="D72" s="7">
        <v>500000</v>
      </c>
      <c r="E72" s="7">
        <v>578.27450229999999</v>
      </c>
      <c r="F72" s="7">
        <f t="shared" si="2"/>
        <v>0.63637196365208515</v>
      </c>
    </row>
    <row r="73" spans="1:6" x14ac:dyDescent="0.2">
      <c r="A73" s="7" t="s">
        <v>352</v>
      </c>
      <c r="B73" s="7" t="s">
        <v>353</v>
      </c>
      <c r="C73" s="7" t="s">
        <v>14</v>
      </c>
      <c r="D73" s="7">
        <v>2826000</v>
      </c>
      <c r="E73" s="7">
        <v>492.85509730000001</v>
      </c>
      <c r="F73" s="7">
        <f t="shared" si="2"/>
        <v>0.54237073365207666</v>
      </c>
    </row>
    <row r="74" spans="1:6" x14ac:dyDescent="0.2">
      <c r="A74" s="7" t="s">
        <v>647</v>
      </c>
      <c r="B74" s="7" t="s">
        <v>642</v>
      </c>
      <c r="C74" s="7" t="s">
        <v>25</v>
      </c>
      <c r="D74" s="7">
        <v>25000</v>
      </c>
      <c r="E74" s="7">
        <v>476.80449400000003</v>
      </c>
      <c r="F74" s="7">
        <f t="shared" si="2"/>
        <v>0.52470757558580128</v>
      </c>
    </row>
    <row r="75" spans="1:6" x14ac:dyDescent="0.2">
      <c r="A75" s="6" t="s">
        <v>44</v>
      </c>
      <c r="B75" s="7"/>
      <c r="C75" s="7"/>
      <c r="D75" s="7"/>
      <c r="E75" s="6">
        <f>SUM(E57:E74)</f>
        <v>21372.819263699999</v>
      </c>
      <c r="F75" s="6">
        <f>SUM(F57:F74)</f>
        <v>23.520080704796253</v>
      </c>
    </row>
    <row r="76" spans="1:6" x14ac:dyDescent="0.2">
      <c r="A76" s="6"/>
      <c r="B76" s="7"/>
      <c r="C76" s="7"/>
      <c r="D76" s="7"/>
      <c r="E76" s="6"/>
      <c r="F76" s="6"/>
    </row>
    <row r="77" spans="1:6" x14ac:dyDescent="0.2">
      <c r="A77" s="6" t="s">
        <v>44</v>
      </c>
      <c r="B77" s="7"/>
      <c r="C77" s="7"/>
      <c r="D77" s="7"/>
      <c r="E77" s="17">
        <f>E50+E54+E75</f>
        <v>89545.368680700005</v>
      </c>
      <c r="F77" s="17">
        <f>F50+F54+F75</f>
        <v>98.541716566511326</v>
      </c>
    </row>
    <row r="78" spans="1:6" x14ac:dyDescent="0.2">
      <c r="A78" s="7"/>
      <c r="B78" s="7"/>
      <c r="C78" s="7"/>
      <c r="D78" s="7"/>
      <c r="E78" s="7"/>
      <c r="F78" s="7"/>
    </row>
    <row r="79" spans="1:6" x14ac:dyDescent="0.2">
      <c r="A79" s="6" t="s">
        <v>103</v>
      </c>
      <c r="B79" s="7"/>
      <c r="C79" s="7"/>
      <c r="D79" s="7"/>
      <c r="E79" s="6">
        <v>1325.1497156999999</v>
      </c>
      <c r="F79" s="6">
        <f t="shared" ref="F79" si="3">E79/$E$81*100</f>
        <v>1.4582834334886967</v>
      </c>
    </row>
    <row r="80" spans="1:6" x14ac:dyDescent="0.2">
      <c r="A80" s="7"/>
      <c r="B80" s="7"/>
      <c r="C80" s="7"/>
      <c r="D80" s="7"/>
      <c r="E80" s="7"/>
      <c r="F80" s="7"/>
    </row>
    <row r="81" spans="1:6" x14ac:dyDescent="0.2">
      <c r="A81" s="8" t="s">
        <v>104</v>
      </c>
      <c r="B81" s="5"/>
      <c r="C81" s="5"/>
      <c r="D81" s="5"/>
      <c r="E81" s="8">
        <f>E77+E79</f>
        <v>90870.518396400003</v>
      </c>
      <c r="F81" s="8">
        <f>F77+F79</f>
        <v>100.00000000000003</v>
      </c>
    </row>
    <row r="83" spans="1:6" x14ac:dyDescent="0.2">
      <c r="A83" s="4" t="s">
        <v>105</v>
      </c>
      <c r="B83" s="2"/>
      <c r="C83" s="2"/>
      <c r="D83" s="2"/>
    </row>
    <row r="84" spans="1:6" x14ac:dyDescent="0.2">
      <c r="A84" s="4" t="s">
        <v>106</v>
      </c>
      <c r="B84" s="2"/>
      <c r="C84" s="2"/>
      <c r="D84" s="2"/>
    </row>
    <row r="85" spans="1:6" x14ac:dyDescent="0.2">
      <c r="A85" s="4" t="s">
        <v>107</v>
      </c>
      <c r="B85" s="2"/>
      <c r="C85" s="2"/>
      <c r="D85" s="2"/>
    </row>
    <row r="86" spans="1:6" x14ac:dyDescent="0.2">
      <c r="A86" s="2" t="s">
        <v>666</v>
      </c>
      <c r="B86" s="2"/>
      <c r="C86" s="2"/>
      <c r="D86" s="10">
        <v>46.863500000000002</v>
      </c>
      <c r="E86" s="2"/>
    </row>
    <row r="87" spans="1:6" x14ac:dyDescent="0.2">
      <c r="A87" s="2" t="s">
        <v>667</v>
      </c>
      <c r="B87" s="2"/>
      <c r="C87" s="2"/>
      <c r="D87" s="10">
        <v>15.0328</v>
      </c>
      <c r="E87" s="2"/>
    </row>
    <row r="88" spans="1:6" x14ac:dyDescent="0.2">
      <c r="A88" s="2" t="s">
        <v>668</v>
      </c>
      <c r="B88" s="2"/>
      <c r="C88" s="2"/>
      <c r="D88" s="10">
        <v>48.740900000000003</v>
      </c>
      <c r="E88" s="2"/>
    </row>
    <row r="89" spans="1:6" x14ac:dyDescent="0.2">
      <c r="A89" s="2" t="s">
        <v>669</v>
      </c>
      <c r="B89" s="2"/>
      <c r="C89" s="2"/>
      <c r="D89" s="10">
        <v>15.811400000000001</v>
      </c>
      <c r="E89" s="2"/>
    </row>
    <row r="90" spans="1:6" x14ac:dyDescent="0.2">
      <c r="A90" s="2"/>
      <c r="B90" s="2"/>
      <c r="C90" s="2"/>
      <c r="D90" s="10"/>
      <c r="E90" s="2"/>
    </row>
    <row r="91" spans="1:6" x14ac:dyDescent="0.2">
      <c r="A91" s="4" t="s">
        <v>108</v>
      </c>
      <c r="B91" s="2"/>
      <c r="C91" s="2"/>
      <c r="D91" s="2"/>
      <c r="E91" s="2"/>
    </row>
    <row r="92" spans="1:6" x14ac:dyDescent="0.2">
      <c r="A92" s="2" t="s">
        <v>666</v>
      </c>
      <c r="B92" s="2"/>
      <c r="C92" s="2"/>
      <c r="D92" s="10">
        <v>45.988399999999999</v>
      </c>
      <c r="E92" s="2"/>
    </row>
    <row r="93" spans="1:6" x14ac:dyDescent="0.2">
      <c r="A93" s="2" t="s">
        <v>667</v>
      </c>
      <c r="B93" s="2"/>
      <c r="C93" s="2"/>
      <c r="D93" s="10">
        <v>14.063599999999999</v>
      </c>
      <c r="E93" s="2"/>
    </row>
    <row r="94" spans="1:6" x14ac:dyDescent="0.2">
      <c r="A94" s="2" t="s">
        <v>668</v>
      </c>
      <c r="B94" s="2"/>
      <c r="C94" s="2"/>
      <c r="D94" s="10">
        <v>47.996699999999997</v>
      </c>
      <c r="E94" s="2"/>
    </row>
    <row r="95" spans="1:6" x14ac:dyDescent="0.2">
      <c r="A95" s="2" t="s">
        <v>669</v>
      </c>
      <c r="B95" s="2"/>
      <c r="C95" s="2"/>
      <c r="D95" s="10">
        <v>14.877800000000001</v>
      </c>
      <c r="E95" s="2"/>
    </row>
    <row r="96" spans="1:6" x14ac:dyDescent="0.2">
      <c r="A96" s="2"/>
      <c r="B96" s="2"/>
      <c r="C96" s="2"/>
      <c r="D96" s="2"/>
    </row>
    <row r="97" spans="1:4" x14ac:dyDescent="0.2">
      <c r="A97" s="4" t="s">
        <v>109</v>
      </c>
      <c r="B97" s="2"/>
      <c r="C97" s="2"/>
      <c r="D97" s="30" t="s">
        <v>325</v>
      </c>
    </row>
    <row r="98" spans="1:4" x14ac:dyDescent="0.2">
      <c r="A98" s="31" t="s">
        <v>670</v>
      </c>
      <c r="B98" s="32"/>
      <c r="C98" s="88" t="s">
        <v>671</v>
      </c>
      <c r="D98" s="89"/>
    </row>
    <row r="99" spans="1:4" x14ac:dyDescent="0.2">
      <c r="A99" s="92"/>
      <c r="B99" s="93"/>
      <c r="C99" s="33" t="s">
        <v>672</v>
      </c>
      <c r="D99" s="33" t="s">
        <v>673</v>
      </c>
    </row>
    <row r="100" spans="1:4" x14ac:dyDescent="0.2">
      <c r="A100" s="34" t="s">
        <v>667</v>
      </c>
      <c r="B100" s="35"/>
      <c r="C100" s="36">
        <v>0.6000413201</v>
      </c>
      <c r="D100" s="36">
        <v>0.6000413201</v>
      </c>
    </row>
    <row r="101" spans="1:4" x14ac:dyDescent="0.2">
      <c r="A101" s="34" t="s">
        <v>669</v>
      </c>
      <c r="B101" s="35"/>
      <c r="C101" s="36">
        <v>0.6000413201</v>
      </c>
      <c r="D101" s="36">
        <v>0.6000413201</v>
      </c>
    </row>
    <row r="102" spans="1:4" x14ac:dyDescent="0.2">
      <c r="A102" s="4"/>
      <c r="B102" s="2"/>
      <c r="C102" s="2"/>
      <c r="D102" s="30"/>
    </row>
    <row r="103" spans="1:4" x14ac:dyDescent="0.2">
      <c r="A103" s="9" t="s">
        <v>674</v>
      </c>
      <c r="B103" s="2"/>
      <c r="C103" s="2"/>
      <c r="D103" s="37">
        <v>0.24625351940832602</v>
      </c>
    </row>
    <row r="104" spans="1:4" x14ac:dyDescent="0.2">
      <c r="A104" s="2"/>
      <c r="B104" s="2"/>
      <c r="C104" s="2"/>
      <c r="D104" s="2"/>
    </row>
    <row r="105" spans="1:4" x14ac:dyDescent="0.2">
      <c r="A105" s="2"/>
      <c r="B105" s="2"/>
      <c r="C105" s="2"/>
      <c r="D105" s="2"/>
    </row>
    <row r="106" spans="1:4" x14ac:dyDescent="0.2">
      <c r="A106" s="2"/>
      <c r="B106" s="2"/>
      <c r="C106" s="2"/>
      <c r="D106" s="2"/>
    </row>
    <row r="107" spans="1:4" x14ac:dyDescent="0.2">
      <c r="A107" s="2"/>
      <c r="B107" s="2"/>
      <c r="C107" s="2"/>
      <c r="D107" s="2"/>
    </row>
  </sheetData>
  <sortState xmlns:xlrd2="http://schemas.microsoft.com/office/spreadsheetml/2017/richdata2" ref="A57:F74">
    <sortCondition descending="1" ref="E57:E74"/>
  </sortState>
  <mergeCells count="3">
    <mergeCell ref="A1:F1"/>
    <mergeCell ref="C98:D98"/>
    <mergeCell ref="A99:B99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637C-7E4F-4955-AE59-E14F2FBFF57B}">
  <sheetPr codeName="Sheet10"/>
  <dimension ref="A1:F93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5.85546875" style="1" bestFit="1" customWidth="1"/>
    <col min="3" max="3" width="40.140625" style="1" bestFit="1" customWidth="1"/>
    <col min="4" max="4" width="12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285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7600000</v>
      </c>
      <c r="E8" s="7">
        <v>96896.2</v>
      </c>
      <c r="F8" s="7">
        <v>8.4561891395106485</v>
      </c>
    </row>
    <row r="9" spans="1:6" x14ac:dyDescent="0.2">
      <c r="A9" s="7" t="s">
        <v>119</v>
      </c>
      <c r="B9" s="7" t="s">
        <v>120</v>
      </c>
      <c r="C9" s="7" t="s">
        <v>43</v>
      </c>
      <c r="D9" s="7">
        <v>15500000</v>
      </c>
      <c r="E9" s="7">
        <v>68579.75</v>
      </c>
      <c r="F9" s="7">
        <v>5.9849956669132069</v>
      </c>
    </row>
    <row r="10" spans="1:6" x14ac:dyDescent="0.2">
      <c r="A10" s="7" t="s">
        <v>114</v>
      </c>
      <c r="B10" s="7" t="s">
        <v>115</v>
      </c>
      <c r="C10" s="7" t="s">
        <v>11</v>
      </c>
      <c r="D10" s="7">
        <v>12800000</v>
      </c>
      <c r="E10" s="7">
        <v>65612.800000000003</v>
      </c>
      <c r="F10" s="7">
        <v>5.7260681716402129</v>
      </c>
    </row>
    <row r="11" spans="1:6" x14ac:dyDescent="0.2">
      <c r="A11" s="7" t="s">
        <v>194</v>
      </c>
      <c r="B11" s="7" t="s">
        <v>195</v>
      </c>
      <c r="C11" s="7" t="s">
        <v>80</v>
      </c>
      <c r="D11" s="7">
        <v>9100000</v>
      </c>
      <c r="E11" s="7">
        <v>63367.85</v>
      </c>
      <c r="F11" s="7">
        <v>5.5301500467937847</v>
      </c>
    </row>
    <row r="12" spans="1:6" x14ac:dyDescent="0.2">
      <c r="A12" s="7" t="s">
        <v>121</v>
      </c>
      <c r="B12" s="7" t="s">
        <v>122</v>
      </c>
      <c r="C12" s="7" t="s">
        <v>11</v>
      </c>
      <c r="D12" s="7">
        <v>6800000</v>
      </c>
      <c r="E12" s="7">
        <v>50255.4</v>
      </c>
      <c r="F12" s="7">
        <v>4.3858187181929065</v>
      </c>
    </row>
    <row r="13" spans="1:6" x14ac:dyDescent="0.2">
      <c r="A13" s="7" t="s">
        <v>204</v>
      </c>
      <c r="B13" s="7" t="s">
        <v>205</v>
      </c>
      <c r="C13" s="7" t="s">
        <v>206</v>
      </c>
      <c r="D13" s="7">
        <v>2600000</v>
      </c>
      <c r="E13" s="7">
        <v>34594.300000000003</v>
      </c>
      <c r="F13" s="7">
        <v>3.0190651846922099</v>
      </c>
    </row>
    <row r="14" spans="1:6" x14ac:dyDescent="0.2">
      <c r="A14" s="7" t="s">
        <v>207</v>
      </c>
      <c r="B14" s="7" t="s">
        <v>208</v>
      </c>
      <c r="C14" s="7" t="s">
        <v>37</v>
      </c>
      <c r="D14" s="7">
        <v>6300000</v>
      </c>
      <c r="E14" s="7">
        <v>33424.65</v>
      </c>
      <c r="F14" s="7">
        <v>2.9169891318952099</v>
      </c>
    </row>
    <row r="15" spans="1:6" x14ac:dyDescent="0.2">
      <c r="A15" s="7" t="s">
        <v>190</v>
      </c>
      <c r="B15" s="7" t="s">
        <v>191</v>
      </c>
      <c r="C15" s="7" t="s">
        <v>80</v>
      </c>
      <c r="D15" s="7">
        <v>2800000</v>
      </c>
      <c r="E15" s="7">
        <v>31574.2</v>
      </c>
      <c r="F15" s="7">
        <v>2.7554992572333812</v>
      </c>
    </row>
    <row r="16" spans="1:6" x14ac:dyDescent="0.2">
      <c r="A16" s="7" t="s">
        <v>21</v>
      </c>
      <c r="B16" s="7" t="s">
        <v>22</v>
      </c>
      <c r="C16" s="7" t="s">
        <v>11</v>
      </c>
      <c r="D16" s="7">
        <v>1900000</v>
      </c>
      <c r="E16" s="7">
        <v>30688.799999999999</v>
      </c>
      <c r="F16" s="7">
        <v>2.6782298713944863</v>
      </c>
    </row>
    <row r="17" spans="1:6" x14ac:dyDescent="0.2">
      <c r="A17" s="7" t="s">
        <v>192</v>
      </c>
      <c r="B17" s="7" t="s">
        <v>193</v>
      </c>
      <c r="C17" s="7" t="s">
        <v>59</v>
      </c>
      <c r="D17" s="7">
        <v>3500000</v>
      </c>
      <c r="E17" s="7">
        <v>27546.75</v>
      </c>
      <c r="F17" s="7">
        <v>2.4040212947341071</v>
      </c>
    </row>
    <row r="18" spans="1:6" x14ac:dyDescent="0.2">
      <c r="A18" s="7" t="s">
        <v>35</v>
      </c>
      <c r="B18" s="7" t="s">
        <v>36</v>
      </c>
      <c r="C18" s="7" t="s">
        <v>37</v>
      </c>
      <c r="D18" s="7">
        <v>16500000</v>
      </c>
      <c r="E18" s="7">
        <v>26647.5</v>
      </c>
      <c r="F18" s="7">
        <v>2.3255432111384144</v>
      </c>
    </row>
    <row r="19" spans="1:6" x14ac:dyDescent="0.2">
      <c r="A19" s="7" t="s">
        <v>286</v>
      </c>
      <c r="B19" s="7" t="s">
        <v>287</v>
      </c>
      <c r="C19" s="7" t="s">
        <v>95</v>
      </c>
      <c r="D19" s="7">
        <v>3600000</v>
      </c>
      <c r="E19" s="7">
        <v>25221.599999999999</v>
      </c>
      <c r="F19" s="7">
        <v>2.201104068075753</v>
      </c>
    </row>
    <row r="20" spans="1:6" x14ac:dyDescent="0.2">
      <c r="A20" s="7" t="s">
        <v>258</v>
      </c>
      <c r="B20" s="7" t="s">
        <v>259</v>
      </c>
      <c r="C20" s="7" t="s">
        <v>80</v>
      </c>
      <c r="D20" s="7">
        <v>3300000</v>
      </c>
      <c r="E20" s="7">
        <v>25127.85</v>
      </c>
      <c r="F20" s="7">
        <v>2.1929224496858768</v>
      </c>
    </row>
    <row r="21" spans="1:6" x14ac:dyDescent="0.2">
      <c r="A21" s="7" t="s">
        <v>112</v>
      </c>
      <c r="B21" s="7" t="s">
        <v>113</v>
      </c>
      <c r="C21" s="7" t="s">
        <v>11</v>
      </c>
      <c r="D21" s="7">
        <v>7000000</v>
      </c>
      <c r="E21" s="7">
        <v>23929.5</v>
      </c>
      <c r="F21" s="7">
        <v>2.0883417307791232</v>
      </c>
    </row>
    <row r="22" spans="1:6" x14ac:dyDescent="0.2">
      <c r="A22" s="7" t="s">
        <v>209</v>
      </c>
      <c r="B22" s="7" t="s">
        <v>210</v>
      </c>
      <c r="C22" s="7" t="s">
        <v>34</v>
      </c>
      <c r="D22" s="7">
        <v>1900000</v>
      </c>
      <c r="E22" s="7">
        <v>23894.400000000001</v>
      </c>
      <c r="F22" s="7">
        <v>2.0852785328539536</v>
      </c>
    </row>
    <row r="23" spans="1:6" x14ac:dyDescent="0.2">
      <c r="A23" s="7" t="s">
        <v>260</v>
      </c>
      <c r="B23" s="7" t="s">
        <v>261</v>
      </c>
      <c r="C23" s="7" t="s">
        <v>14</v>
      </c>
      <c r="D23" s="7">
        <v>10500000</v>
      </c>
      <c r="E23" s="7">
        <v>23651.25</v>
      </c>
      <c r="F23" s="7">
        <v>2.0640586873979707</v>
      </c>
    </row>
    <row r="24" spans="1:6" x14ac:dyDescent="0.2">
      <c r="A24" s="7" t="s">
        <v>288</v>
      </c>
      <c r="B24" s="7" t="s">
        <v>289</v>
      </c>
      <c r="C24" s="7" t="s">
        <v>25</v>
      </c>
      <c r="D24" s="7">
        <v>1000000</v>
      </c>
      <c r="E24" s="7">
        <v>22972.5</v>
      </c>
      <c r="F24" s="7">
        <v>2.0048237702552667</v>
      </c>
    </row>
    <row r="25" spans="1:6" x14ac:dyDescent="0.2">
      <c r="A25" s="7" t="s">
        <v>290</v>
      </c>
      <c r="B25" s="7" t="s">
        <v>291</v>
      </c>
      <c r="C25" s="7" t="s">
        <v>34</v>
      </c>
      <c r="D25" s="7">
        <v>5000000</v>
      </c>
      <c r="E25" s="7">
        <v>22955</v>
      </c>
      <c r="F25" s="7">
        <v>2.00329653482249</v>
      </c>
    </row>
    <row r="26" spans="1:6" x14ac:dyDescent="0.2">
      <c r="A26" s="7" t="s">
        <v>292</v>
      </c>
      <c r="B26" s="7" t="s">
        <v>293</v>
      </c>
      <c r="C26" s="7" t="s">
        <v>34</v>
      </c>
      <c r="D26" s="7">
        <v>6300000</v>
      </c>
      <c r="E26" s="7">
        <v>22673.7</v>
      </c>
      <c r="F26" s="7">
        <v>1.9787473161230535</v>
      </c>
    </row>
    <row r="27" spans="1:6" x14ac:dyDescent="0.2">
      <c r="A27" s="7" t="s">
        <v>126</v>
      </c>
      <c r="B27" s="7" t="s">
        <v>127</v>
      </c>
      <c r="C27" s="7" t="s">
        <v>59</v>
      </c>
      <c r="D27" s="7">
        <v>1400000</v>
      </c>
      <c r="E27" s="7">
        <v>21310.1</v>
      </c>
      <c r="F27" s="7">
        <v>1.859745131201078</v>
      </c>
    </row>
    <row r="28" spans="1:6" x14ac:dyDescent="0.2">
      <c r="A28" s="7" t="s">
        <v>242</v>
      </c>
      <c r="B28" s="7" t="s">
        <v>243</v>
      </c>
      <c r="C28" s="7" t="s">
        <v>118</v>
      </c>
      <c r="D28" s="7">
        <v>7500000</v>
      </c>
      <c r="E28" s="7">
        <v>21195</v>
      </c>
      <c r="F28" s="7">
        <v>1.8497002855832139</v>
      </c>
    </row>
    <row r="29" spans="1:6" x14ac:dyDescent="0.2">
      <c r="A29" s="7" t="s">
        <v>294</v>
      </c>
      <c r="B29" s="7" t="s">
        <v>295</v>
      </c>
      <c r="C29" s="7" t="s">
        <v>37</v>
      </c>
      <c r="D29" s="7">
        <v>4000000</v>
      </c>
      <c r="E29" s="7">
        <v>19090</v>
      </c>
      <c r="F29" s="7">
        <v>1.6659956806691936</v>
      </c>
    </row>
    <row r="30" spans="1:6" x14ac:dyDescent="0.2">
      <c r="A30" s="7" t="s">
        <v>202</v>
      </c>
      <c r="B30" s="7" t="s">
        <v>203</v>
      </c>
      <c r="C30" s="7" t="s">
        <v>187</v>
      </c>
      <c r="D30" s="7">
        <v>7500000</v>
      </c>
      <c r="E30" s="7">
        <v>19061.25</v>
      </c>
      <c r="F30" s="7">
        <v>1.6634866510296313</v>
      </c>
    </row>
    <row r="31" spans="1:6" x14ac:dyDescent="0.2">
      <c r="A31" s="7" t="s">
        <v>200</v>
      </c>
      <c r="B31" s="7" t="s">
        <v>201</v>
      </c>
      <c r="C31" s="7" t="s">
        <v>187</v>
      </c>
      <c r="D31" s="7">
        <v>2300000</v>
      </c>
      <c r="E31" s="7">
        <v>18414.95</v>
      </c>
      <c r="F31" s="7">
        <v>1.607083664732277</v>
      </c>
    </row>
    <row r="32" spans="1:6" x14ac:dyDescent="0.2">
      <c r="A32" s="7" t="s">
        <v>185</v>
      </c>
      <c r="B32" s="7" t="s">
        <v>186</v>
      </c>
      <c r="C32" s="7" t="s">
        <v>187</v>
      </c>
      <c r="D32" s="7">
        <v>600000</v>
      </c>
      <c r="E32" s="7">
        <v>17483.099999999999</v>
      </c>
      <c r="F32" s="7">
        <v>1.5257605597018111</v>
      </c>
    </row>
    <row r="33" spans="1:6" x14ac:dyDescent="0.2">
      <c r="A33" s="7" t="s">
        <v>123</v>
      </c>
      <c r="B33" s="7" t="s">
        <v>124</v>
      </c>
      <c r="C33" s="7" t="s">
        <v>125</v>
      </c>
      <c r="D33" s="7">
        <v>15000000</v>
      </c>
      <c r="E33" s="7">
        <v>17452.5</v>
      </c>
      <c r="F33" s="7">
        <v>1.5230900794593556</v>
      </c>
    </row>
    <row r="34" spans="1:6" x14ac:dyDescent="0.2">
      <c r="A34" s="7" t="s">
        <v>296</v>
      </c>
      <c r="B34" s="7" t="s">
        <v>297</v>
      </c>
      <c r="C34" s="7" t="s">
        <v>187</v>
      </c>
      <c r="D34" s="7">
        <v>3700000</v>
      </c>
      <c r="E34" s="7">
        <v>16644.45</v>
      </c>
      <c r="F34" s="7">
        <v>1.4525710742333346</v>
      </c>
    </row>
    <row r="35" spans="1:6" x14ac:dyDescent="0.2">
      <c r="A35" s="7" t="s">
        <v>26</v>
      </c>
      <c r="B35" s="7" t="s">
        <v>27</v>
      </c>
      <c r="C35" s="7" t="s">
        <v>28</v>
      </c>
      <c r="D35" s="7">
        <v>8000000</v>
      </c>
      <c r="E35" s="7">
        <v>16012</v>
      </c>
      <c r="F35" s="7">
        <v>1.3973767856927777</v>
      </c>
    </row>
    <row r="36" spans="1:6" x14ac:dyDescent="0.2">
      <c r="A36" s="7" t="s">
        <v>41</v>
      </c>
      <c r="B36" s="7" t="s">
        <v>42</v>
      </c>
      <c r="C36" s="7" t="s">
        <v>43</v>
      </c>
      <c r="D36" s="7">
        <v>210000000</v>
      </c>
      <c r="E36" s="7">
        <v>14385</v>
      </c>
      <c r="F36" s="7">
        <v>1.2553875257426059</v>
      </c>
    </row>
    <row r="37" spans="1:6" x14ac:dyDescent="0.2">
      <c r="A37" s="7" t="s">
        <v>298</v>
      </c>
      <c r="B37" s="7" t="s">
        <v>299</v>
      </c>
      <c r="C37" s="7" t="s">
        <v>34</v>
      </c>
      <c r="D37" s="7">
        <v>7300000</v>
      </c>
      <c r="E37" s="7">
        <v>13063.35</v>
      </c>
      <c r="F37" s="7">
        <v>1.1400463423294871</v>
      </c>
    </row>
    <row r="38" spans="1:6" x14ac:dyDescent="0.2">
      <c r="A38" s="7" t="s">
        <v>137</v>
      </c>
      <c r="B38" s="7" t="s">
        <v>138</v>
      </c>
      <c r="C38" s="7" t="s">
        <v>136</v>
      </c>
      <c r="D38" s="7">
        <v>10000000</v>
      </c>
      <c r="E38" s="7">
        <v>12605</v>
      </c>
      <c r="F38" s="7">
        <v>1.1000458645801563</v>
      </c>
    </row>
    <row r="39" spans="1:6" x14ac:dyDescent="0.2">
      <c r="A39" s="7" t="s">
        <v>300</v>
      </c>
      <c r="B39" s="7" t="s">
        <v>301</v>
      </c>
      <c r="C39" s="7" t="s">
        <v>25</v>
      </c>
      <c r="D39" s="7">
        <v>11500000</v>
      </c>
      <c r="E39" s="7">
        <v>12586.75</v>
      </c>
      <c r="F39" s="7">
        <v>1.0984531762002603</v>
      </c>
    </row>
    <row r="40" spans="1:6" x14ac:dyDescent="0.2">
      <c r="A40" s="7" t="s">
        <v>302</v>
      </c>
      <c r="B40" s="7" t="s">
        <v>303</v>
      </c>
      <c r="C40" s="7" t="s">
        <v>40</v>
      </c>
      <c r="D40" s="7">
        <v>2500000</v>
      </c>
      <c r="E40" s="7">
        <v>11610</v>
      </c>
      <c r="F40" s="7">
        <v>1.0132116214022702</v>
      </c>
    </row>
    <row r="41" spans="1:6" x14ac:dyDescent="0.2">
      <c r="A41" s="7" t="s">
        <v>304</v>
      </c>
      <c r="B41" s="7" t="s">
        <v>305</v>
      </c>
      <c r="C41" s="7" t="s">
        <v>34</v>
      </c>
      <c r="D41" s="7">
        <v>650000</v>
      </c>
      <c r="E41" s="7">
        <v>10518.3</v>
      </c>
      <c r="F41" s="7">
        <v>0.91793831157583949</v>
      </c>
    </row>
    <row r="42" spans="1:6" x14ac:dyDescent="0.2">
      <c r="A42" s="7" t="s">
        <v>146</v>
      </c>
      <c r="B42" s="7" t="s">
        <v>147</v>
      </c>
      <c r="C42" s="7" t="s">
        <v>59</v>
      </c>
      <c r="D42" s="7">
        <v>3500000</v>
      </c>
      <c r="E42" s="7">
        <v>10186.75</v>
      </c>
      <c r="F42" s="7">
        <v>0.88900374541942928</v>
      </c>
    </row>
    <row r="43" spans="1:6" x14ac:dyDescent="0.2">
      <c r="A43" s="7" t="s">
        <v>256</v>
      </c>
      <c r="B43" s="7" t="s">
        <v>257</v>
      </c>
      <c r="C43" s="7" t="s">
        <v>179</v>
      </c>
      <c r="D43" s="7">
        <v>900000</v>
      </c>
      <c r="E43" s="7">
        <v>9240.2999999999993</v>
      </c>
      <c r="F43" s="7">
        <v>0.80640648968504702</v>
      </c>
    </row>
    <row r="44" spans="1:6" x14ac:dyDescent="0.2">
      <c r="A44" s="7" t="s">
        <v>306</v>
      </c>
      <c r="B44" s="7" t="s">
        <v>307</v>
      </c>
      <c r="C44" s="7" t="s">
        <v>34</v>
      </c>
      <c r="D44" s="7">
        <v>1500000</v>
      </c>
      <c r="E44" s="7">
        <v>9093.75</v>
      </c>
      <c r="F44" s="7">
        <v>0.79361698381799251</v>
      </c>
    </row>
    <row r="45" spans="1:6" x14ac:dyDescent="0.2">
      <c r="A45" s="7" t="s">
        <v>308</v>
      </c>
      <c r="B45" s="7" t="s">
        <v>309</v>
      </c>
      <c r="C45" s="7" t="s">
        <v>40</v>
      </c>
      <c r="D45" s="7">
        <v>1500000</v>
      </c>
      <c r="E45" s="7">
        <v>8709.75</v>
      </c>
      <c r="F45" s="7">
        <v>0.76010507489305956</v>
      </c>
    </row>
    <row r="46" spans="1:6" x14ac:dyDescent="0.2">
      <c r="A46" s="7" t="s">
        <v>310</v>
      </c>
      <c r="B46" s="7" t="s">
        <v>311</v>
      </c>
      <c r="C46" s="7" t="s">
        <v>11</v>
      </c>
      <c r="D46" s="7">
        <v>12200000</v>
      </c>
      <c r="E46" s="7">
        <v>8332.6</v>
      </c>
      <c r="F46" s="7">
        <v>0.72719096955181362</v>
      </c>
    </row>
    <row r="47" spans="1:6" x14ac:dyDescent="0.2">
      <c r="A47" s="7" t="s">
        <v>15</v>
      </c>
      <c r="B47" s="7" t="s">
        <v>16</v>
      </c>
      <c r="C47" s="7" t="s">
        <v>17</v>
      </c>
      <c r="D47" s="7">
        <v>5500000</v>
      </c>
      <c r="E47" s="7">
        <v>8217</v>
      </c>
      <c r="F47" s="7">
        <v>0.71710248863587023</v>
      </c>
    </row>
    <row r="48" spans="1:6" x14ac:dyDescent="0.2">
      <c r="A48" s="7" t="s">
        <v>38</v>
      </c>
      <c r="B48" s="7" t="s">
        <v>39</v>
      </c>
      <c r="C48" s="7" t="s">
        <v>40</v>
      </c>
      <c r="D48" s="7">
        <v>1452900</v>
      </c>
      <c r="E48" s="7">
        <v>7878.3502500000004</v>
      </c>
      <c r="F48" s="7">
        <v>0.68754832306438241</v>
      </c>
    </row>
    <row r="49" spans="1:6" x14ac:dyDescent="0.2">
      <c r="A49" s="7" t="s">
        <v>152</v>
      </c>
      <c r="B49" s="7" t="s">
        <v>153</v>
      </c>
      <c r="C49" s="7" t="s">
        <v>145</v>
      </c>
      <c r="D49" s="7">
        <v>8000000</v>
      </c>
      <c r="E49" s="7">
        <v>7200</v>
      </c>
      <c r="F49" s="7">
        <v>0.62834829234249301</v>
      </c>
    </row>
    <row r="50" spans="1:6" x14ac:dyDescent="0.2">
      <c r="A50" s="7" t="s">
        <v>130</v>
      </c>
      <c r="B50" s="7" t="s">
        <v>131</v>
      </c>
      <c r="C50" s="7" t="s">
        <v>59</v>
      </c>
      <c r="D50" s="7">
        <v>137500</v>
      </c>
      <c r="E50" s="7">
        <v>5856.2624999999998</v>
      </c>
      <c r="F50" s="7">
        <v>0.51107951963671927</v>
      </c>
    </row>
    <row r="51" spans="1:6" x14ac:dyDescent="0.2">
      <c r="A51" s="7" t="s">
        <v>312</v>
      </c>
      <c r="B51" s="7" t="s">
        <v>313</v>
      </c>
      <c r="C51" s="7" t="s">
        <v>95</v>
      </c>
      <c r="D51" s="7">
        <v>2000000</v>
      </c>
      <c r="E51" s="7">
        <v>5093</v>
      </c>
      <c r="F51" s="7">
        <v>0.44446914623615513</v>
      </c>
    </row>
    <row r="52" spans="1:6" x14ac:dyDescent="0.2">
      <c r="A52" s="7" t="s">
        <v>264</v>
      </c>
      <c r="B52" s="7" t="s">
        <v>265</v>
      </c>
      <c r="C52" s="7" t="s">
        <v>266</v>
      </c>
      <c r="D52" s="7">
        <v>1100000</v>
      </c>
      <c r="E52" s="7">
        <v>5092.45</v>
      </c>
      <c r="F52" s="7">
        <v>0.44442114740826782</v>
      </c>
    </row>
    <row r="53" spans="1:6" x14ac:dyDescent="0.2">
      <c r="A53" s="7" t="s">
        <v>251</v>
      </c>
      <c r="B53" s="7" t="s">
        <v>252</v>
      </c>
      <c r="C53" s="7" t="s">
        <v>246</v>
      </c>
      <c r="D53" s="7">
        <v>3000000</v>
      </c>
      <c r="E53" s="7">
        <v>5041.5</v>
      </c>
      <c r="F53" s="7">
        <v>0.43997471053398313</v>
      </c>
    </row>
    <row r="54" spans="1:6" x14ac:dyDescent="0.2">
      <c r="A54" s="7" t="s">
        <v>314</v>
      </c>
      <c r="B54" s="7" t="s">
        <v>315</v>
      </c>
      <c r="C54" s="7" t="s">
        <v>14</v>
      </c>
      <c r="D54" s="7">
        <v>1400000</v>
      </c>
      <c r="E54" s="7">
        <v>4806.2</v>
      </c>
      <c r="F54" s="7">
        <v>0.41943993925784584</v>
      </c>
    </row>
    <row r="55" spans="1:6" x14ac:dyDescent="0.2">
      <c r="A55" s="7" t="s">
        <v>316</v>
      </c>
      <c r="B55" s="7" t="s">
        <v>317</v>
      </c>
      <c r="C55" s="7" t="s">
        <v>11</v>
      </c>
      <c r="D55" s="7">
        <v>7000000</v>
      </c>
      <c r="E55" s="7">
        <v>4420.5</v>
      </c>
      <c r="F55" s="7">
        <v>0.3857796703194431</v>
      </c>
    </row>
    <row r="56" spans="1:6" x14ac:dyDescent="0.2">
      <c r="A56" s="7" t="s">
        <v>270</v>
      </c>
      <c r="B56" s="7" t="s">
        <v>271</v>
      </c>
      <c r="C56" s="7" t="s">
        <v>25</v>
      </c>
      <c r="D56" s="7">
        <v>4000000</v>
      </c>
      <c r="E56" s="7">
        <v>4226</v>
      </c>
      <c r="F56" s="7">
        <v>0.36880553936657995</v>
      </c>
    </row>
    <row r="57" spans="1:6" x14ac:dyDescent="0.2">
      <c r="A57" s="7" t="s">
        <v>274</v>
      </c>
      <c r="B57" s="7" t="s">
        <v>275</v>
      </c>
      <c r="C57" s="7" t="s">
        <v>72</v>
      </c>
      <c r="D57" s="7">
        <v>5964666</v>
      </c>
      <c r="E57" s="7">
        <v>3292.4956320000001</v>
      </c>
      <c r="F57" s="7">
        <v>0.28733805665448853</v>
      </c>
    </row>
    <row r="58" spans="1:6" x14ac:dyDescent="0.2">
      <c r="A58" s="7" t="s">
        <v>318</v>
      </c>
      <c r="B58" s="7" t="s">
        <v>319</v>
      </c>
      <c r="C58" s="7" t="s">
        <v>179</v>
      </c>
      <c r="D58" s="7">
        <v>22000000</v>
      </c>
      <c r="E58" s="7">
        <v>3014</v>
      </c>
      <c r="F58" s="7">
        <v>0.26303357682226031</v>
      </c>
    </row>
    <row r="59" spans="1:6" x14ac:dyDescent="0.2">
      <c r="A59" s="7" t="s">
        <v>320</v>
      </c>
      <c r="B59" s="7" t="s">
        <v>321</v>
      </c>
      <c r="C59" s="7" t="s">
        <v>255</v>
      </c>
      <c r="D59" s="7">
        <v>6000000</v>
      </c>
      <c r="E59" s="7">
        <v>2592</v>
      </c>
      <c r="F59" s="7">
        <v>0.22620538524329747</v>
      </c>
    </row>
    <row r="60" spans="1:6" x14ac:dyDescent="0.2">
      <c r="A60" s="7" t="s">
        <v>322</v>
      </c>
      <c r="B60" s="7" t="s">
        <v>323</v>
      </c>
      <c r="C60" s="7" t="s">
        <v>246</v>
      </c>
      <c r="D60" s="7">
        <v>4723</v>
      </c>
      <c r="E60" s="7">
        <v>762.41499799999997</v>
      </c>
      <c r="F60" s="7">
        <v>6.6536411395778511E-2</v>
      </c>
    </row>
    <row r="61" spans="1:6" x14ac:dyDescent="0.2">
      <c r="A61" s="6" t="s">
        <v>44</v>
      </c>
      <c r="B61" s="7"/>
      <c r="C61" s="7"/>
      <c r="D61" s="7"/>
      <c r="E61" s="6">
        <f xml:space="preserve"> SUM(E8:E60)</f>
        <v>1074101.0733799997</v>
      </c>
      <c r="F61" s="6">
        <f>SUM(F8:F60)</f>
        <v>93.737441008550221</v>
      </c>
    </row>
    <row r="62" spans="1:6" x14ac:dyDescent="0.2">
      <c r="A62" s="7"/>
      <c r="B62" s="7"/>
      <c r="C62" s="7"/>
      <c r="D62" s="7"/>
      <c r="E62" s="7"/>
      <c r="F62" s="7"/>
    </row>
    <row r="63" spans="1:6" x14ac:dyDescent="0.2">
      <c r="A63" s="6" t="s">
        <v>324</v>
      </c>
      <c r="B63" s="7"/>
      <c r="C63" s="7"/>
      <c r="D63" s="7"/>
      <c r="E63" s="7"/>
      <c r="F63" s="7"/>
    </row>
    <row r="64" spans="1:6" x14ac:dyDescent="0.2">
      <c r="A64" s="7" t="s">
        <v>325</v>
      </c>
      <c r="B64" s="7" t="s">
        <v>326</v>
      </c>
      <c r="C64" s="7" t="s">
        <v>25</v>
      </c>
      <c r="D64" s="7">
        <v>73500</v>
      </c>
      <c r="E64" s="7">
        <v>7.3499999999999998E-3</v>
      </c>
      <c r="F64" s="20" t="s">
        <v>624</v>
      </c>
    </row>
    <row r="65" spans="1:6" x14ac:dyDescent="0.2">
      <c r="A65" s="7" t="s">
        <v>325</v>
      </c>
      <c r="B65" s="7" t="s">
        <v>327</v>
      </c>
      <c r="C65" s="7" t="s">
        <v>80</v>
      </c>
      <c r="D65" s="7">
        <v>45000</v>
      </c>
      <c r="E65" s="7">
        <v>4.4999999999999997E-3</v>
      </c>
      <c r="F65" s="20" t="s">
        <v>624</v>
      </c>
    </row>
    <row r="66" spans="1:6" x14ac:dyDescent="0.2">
      <c r="A66" s="7" t="s">
        <v>328</v>
      </c>
      <c r="B66" s="7" t="s">
        <v>329</v>
      </c>
      <c r="C66" s="7" t="s">
        <v>622</v>
      </c>
      <c r="D66" s="7">
        <v>38000</v>
      </c>
      <c r="E66" s="7">
        <v>3.8E-3</v>
      </c>
      <c r="F66" s="20" t="s">
        <v>624</v>
      </c>
    </row>
    <row r="67" spans="1:6" x14ac:dyDescent="0.2">
      <c r="A67" s="6" t="s">
        <v>44</v>
      </c>
      <c r="B67" s="7"/>
      <c r="C67" s="7"/>
      <c r="D67" s="7"/>
      <c r="E67" s="6">
        <f>SUM(E64:E66)</f>
        <v>1.5650000000000001E-2</v>
      </c>
      <c r="F67" s="6">
        <f>SUM(F64:F66)</f>
        <v>0</v>
      </c>
    </row>
    <row r="68" spans="1:6" x14ac:dyDescent="0.2">
      <c r="A68" s="7"/>
      <c r="B68" s="7"/>
      <c r="C68" s="7"/>
      <c r="D68" s="7"/>
      <c r="E68" s="7"/>
      <c r="F68" s="7"/>
    </row>
    <row r="69" spans="1:6" x14ac:dyDescent="0.2">
      <c r="A69" s="6" t="s">
        <v>44</v>
      </c>
      <c r="B69" s="7"/>
      <c r="C69" s="7"/>
      <c r="D69" s="7"/>
      <c r="E69" s="6">
        <v>1074101.0890299997</v>
      </c>
      <c r="F69" s="6">
        <v>93.73744237433506</v>
      </c>
    </row>
    <row r="70" spans="1:6" x14ac:dyDescent="0.2">
      <c r="A70" s="7"/>
      <c r="B70" s="7"/>
      <c r="C70" s="7"/>
      <c r="D70" s="7"/>
      <c r="E70" s="7"/>
      <c r="F70" s="7"/>
    </row>
    <row r="71" spans="1:6" x14ac:dyDescent="0.2">
      <c r="A71" s="6" t="s">
        <v>103</v>
      </c>
      <c r="B71" s="7"/>
      <c r="C71" s="7"/>
      <c r="D71" s="7"/>
      <c r="E71" s="6">
        <v>71760.225108099999</v>
      </c>
      <c r="F71" s="6">
        <v>6.26</v>
      </c>
    </row>
    <row r="72" spans="1:6" x14ac:dyDescent="0.2">
      <c r="A72" s="7"/>
      <c r="B72" s="7"/>
      <c r="C72" s="7"/>
      <c r="D72" s="7"/>
      <c r="E72" s="7"/>
      <c r="F72" s="7"/>
    </row>
    <row r="73" spans="1:6" x14ac:dyDescent="0.2">
      <c r="A73" s="8" t="s">
        <v>104</v>
      </c>
      <c r="B73" s="5"/>
      <c r="C73" s="5"/>
      <c r="D73" s="5"/>
      <c r="E73" s="8">
        <v>1145861.3141380998</v>
      </c>
      <c r="F73" s="8">
        <f xml:space="preserve"> ROUND(SUM(F69:F72),2)</f>
        <v>100</v>
      </c>
    </row>
    <row r="74" spans="1:6" x14ac:dyDescent="0.2">
      <c r="F74" s="11" t="s">
        <v>625</v>
      </c>
    </row>
    <row r="75" spans="1:6" x14ac:dyDescent="0.2">
      <c r="A75" s="4" t="s">
        <v>105</v>
      </c>
      <c r="B75" s="2"/>
      <c r="C75" s="2"/>
      <c r="D75" s="2"/>
    </row>
    <row r="76" spans="1:6" x14ac:dyDescent="0.2">
      <c r="A76" s="4" t="s">
        <v>106</v>
      </c>
      <c r="B76" s="2"/>
      <c r="C76" s="2"/>
      <c r="D76" s="2"/>
    </row>
    <row r="77" spans="1:6" x14ac:dyDescent="0.2">
      <c r="A77" s="4" t="s">
        <v>107</v>
      </c>
      <c r="B77" s="2"/>
      <c r="C77" s="2"/>
      <c r="D77" s="2"/>
    </row>
    <row r="78" spans="1:6" x14ac:dyDescent="0.2">
      <c r="A78" s="2" t="s">
        <v>666</v>
      </c>
      <c r="B78" s="2"/>
      <c r="C78" s="2"/>
      <c r="D78" s="10">
        <v>597.27120000000002</v>
      </c>
      <c r="E78" s="2"/>
    </row>
    <row r="79" spans="1:6" x14ac:dyDescent="0.2">
      <c r="A79" s="2" t="s">
        <v>667</v>
      </c>
      <c r="B79" s="2"/>
      <c r="C79" s="2"/>
      <c r="D79" s="10">
        <v>36.472299999999997</v>
      </c>
      <c r="E79" s="2"/>
    </row>
    <row r="80" spans="1:6" x14ac:dyDescent="0.2">
      <c r="A80" s="2" t="s">
        <v>668</v>
      </c>
      <c r="B80" s="2"/>
      <c r="C80" s="2"/>
      <c r="D80" s="10">
        <v>634.68089999999995</v>
      </c>
      <c r="E80" s="2"/>
    </row>
    <row r="81" spans="1:5" x14ac:dyDescent="0.2">
      <c r="A81" s="2" t="s">
        <v>669</v>
      </c>
      <c r="B81" s="2"/>
      <c r="C81" s="2"/>
      <c r="D81" s="10">
        <v>39.424799999999998</v>
      </c>
      <c r="E81" s="2"/>
    </row>
    <row r="82" spans="1:5" x14ac:dyDescent="0.2">
      <c r="A82" s="2"/>
      <c r="B82" s="2"/>
      <c r="C82" s="2"/>
      <c r="D82" s="10"/>
      <c r="E82" s="2"/>
    </row>
    <row r="83" spans="1:5" x14ac:dyDescent="0.2">
      <c r="A83" s="4" t="s">
        <v>108</v>
      </c>
      <c r="B83" s="2"/>
      <c r="C83" s="2"/>
      <c r="D83" s="2"/>
      <c r="E83" s="2"/>
    </row>
    <row r="84" spans="1:5" x14ac:dyDescent="0.2">
      <c r="A84" s="2" t="s">
        <v>666</v>
      </c>
      <c r="B84" s="2"/>
      <c r="C84" s="2"/>
      <c r="D84" s="10">
        <v>591.71559999999999</v>
      </c>
      <c r="E84" s="2"/>
    </row>
    <row r="85" spans="1:5" x14ac:dyDescent="0.2">
      <c r="A85" s="2" t="s">
        <v>667</v>
      </c>
      <c r="B85" s="2"/>
      <c r="C85" s="2"/>
      <c r="D85" s="10">
        <v>36.133099999999999</v>
      </c>
      <c r="E85" s="2"/>
    </row>
    <row r="86" spans="1:5" x14ac:dyDescent="0.2">
      <c r="A86" s="2" t="s">
        <v>668</v>
      </c>
      <c r="B86" s="2"/>
      <c r="C86" s="2"/>
      <c r="D86" s="10">
        <v>631.22929999999997</v>
      </c>
      <c r="E86" s="2"/>
    </row>
    <row r="87" spans="1:5" x14ac:dyDescent="0.2">
      <c r="A87" s="2" t="s">
        <v>669</v>
      </c>
      <c r="B87" s="2"/>
      <c r="C87" s="2"/>
      <c r="D87" s="10">
        <v>39.2104</v>
      </c>
      <c r="E87" s="2"/>
    </row>
    <row r="88" spans="1:5" x14ac:dyDescent="0.2">
      <c r="A88" s="2"/>
      <c r="B88" s="2"/>
      <c r="C88" s="2"/>
      <c r="D88" s="2"/>
    </row>
    <row r="89" spans="1:5" x14ac:dyDescent="0.2">
      <c r="A89" s="4" t="s">
        <v>109</v>
      </c>
      <c r="B89" s="2"/>
      <c r="C89" s="2"/>
      <c r="D89" s="30" t="s">
        <v>110</v>
      </c>
    </row>
    <row r="90" spans="1:5" x14ac:dyDescent="0.2">
      <c r="A90" s="4"/>
      <c r="B90" s="2"/>
      <c r="C90" s="2"/>
      <c r="D90" s="30"/>
    </row>
    <row r="91" spans="1:5" x14ac:dyDescent="0.2">
      <c r="A91" s="9" t="s">
        <v>674</v>
      </c>
      <c r="B91" s="2"/>
      <c r="C91" s="2"/>
      <c r="D91" s="37">
        <v>0.14759871760648227</v>
      </c>
    </row>
    <row r="92" spans="1:5" x14ac:dyDescent="0.2">
      <c r="A92" s="2"/>
      <c r="B92" s="2"/>
      <c r="C92" s="2"/>
      <c r="D92" s="2"/>
    </row>
    <row r="93" spans="1:5" x14ac:dyDescent="0.2">
      <c r="A93" s="2"/>
      <c r="B93" s="2"/>
      <c r="C93" s="2"/>
      <c r="D93" s="2"/>
    </row>
  </sheetData>
  <mergeCells count="1">
    <mergeCell ref="A1:F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C215-81BD-45AD-9897-A697A08D595B}">
  <sheetPr codeName="Sheet11"/>
  <dimension ref="A1:H89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2" style="1" bestFit="1" customWidth="1"/>
    <col min="3" max="3" width="40.14062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284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121</v>
      </c>
      <c r="B8" s="7" t="s">
        <v>122</v>
      </c>
      <c r="C8" s="7" t="s">
        <v>11</v>
      </c>
      <c r="D8" s="7">
        <v>2883870</v>
      </c>
      <c r="E8" s="7">
        <v>21313.241235000001</v>
      </c>
      <c r="F8" s="7">
        <v>8.1727229994061759</v>
      </c>
    </row>
    <row r="9" spans="1:6" x14ac:dyDescent="0.2">
      <c r="A9" s="7" t="s">
        <v>114</v>
      </c>
      <c r="B9" s="7" t="s">
        <v>115</v>
      </c>
      <c r="C9" s="7" t="s">
        <v>11</v>
      </c>
      <c r="D9" s="7">
        <v>2635871</v>
      </c>
      <c r="E9" s="7">
        <v>13511.474746</v>
      </c>
      <c r="F9" s="7">
        <v>5.1810768336442523</v>
      </c>
    </row>
    <row r="10" spans="1:6" x14ac:dyDescent="0.2">
      <c r="A10" s="7" t="s">
        <v>9</v>
      </c>
      <c r="B10" s="7" t="s">
        <v>10</v>
      </c>
      <c r="C10" s="7" t="s">
        <v>11</v>
      </c>
      <c r="D10" s="7">
        <v>1038046</v>
      </c>
      <c r="E10" s="7">
        <v>13234.567477000001</v>
      </c>
      <c r="F10" s="7">
        <v>5.0748946541668918</v>
      </c>
    </row>
    <row r="11" spans="1:6" x14ac:dyDescent="0.2">
      <c r="A11" s="7" t="s">
        <v>119</v>
      </c>
      <c r="B11" s="7" t="s">
        <v>120</v>
      </c>
      <c r="C11" s="7" t="s">
        <v>43</v>
      </c>
      <c r="D11" s="7">
        <v>2083873</v>
      </c>
      <c r="E11" s="7">
        <v>9220.0960885000004</v>
      </c>
      <c r="F11" s="7">
        <v>3.5355153413022808</v>
      </c>
    </row>
    <row r="12" spans="1:6" x14ac:dyDescent="0.2">
      <c r="A12" s="7" t="s">
        <v>212</v>
      </c>
      <c r="B12" s="7" t="s">
        <v>213</v>
      </c>
      <c r="C12" s="7" t="s">
        <v>25</v>
      </c>
      <c r="D12" s="7">
        <v>1611999</v>
      </c>
      <c r="E12" s="7">
        <v>7997.9330385000003</v>
      </c>
      <c r="F12" s="7">
        <v>3.066867707766527</v>
      </c>
    </row>
    <row r="13" spans="1:6" x14ac:dyDescent="0.2">
      <c r="A13" s="7" t="s">
        <v>192</v>
      </c>
      <c r="B13" s="7" t="s">
        <v>193</v>
      </c>
      <c r="C13" s="7" t="s">
        <v>59</v>
      </c>
      <c r="D13" s="7">
        <v>980035</v>
      </c>
      <c r="E13" s="7">
        <v>7713.3654674999998</v>
      </c>
      <c r="F13" s="7">
        <v>2.9577481277479953</v>
      </c>
    </row>
    <row r="14" spans="1:6" x14ac:dyDescent="0.2">
      <c r="A14" s="7" t="s">
        <v>207</v>
      </c>
      <c r="B14" s="7" t="s">
        <v>208</v>
      </c>
      <c r="C14" s="7" t="s">
        <v>37</v>
      </c>
      <c r="D14" s="7">
        <v>1396570</v>
      </c>
      <c r="E14" s="7">
        <v>7409.5021349999997</v>
      </c>
      <c r="F14" s="7">
        <v>2.8412294425411293</v>
      </c>
    </row>
    <row r="15" spans="1:6" x14ac:dyDescent="0.2">
      <c r="A15" s="7" t="s">
        <v>214</v>
      </c>
      <c r="B15" s="7" t="s">
        <v>215</v>
      </c>
      <c r="C15" s="7" t="s">
        <v>125</v>
      </c>
      <c r="D15" s="7">
        <v>3713612</v>
      </c>
      <c r="E15" s="7">
        <v>7178.4119959999998</v>
      </c>
      <c r="F15" s="7">
        <v>2.7526161869073591</v>
      </c>
    </row>
    <row r="16" spans="1:6" x14ac:dyDescent="0.2">
      <c r="A16" s="7" t="s">
        <v>216</v>
      </c>
      <c r="B16" s="7" t="s">
        <v>217</v>
      </c>
      <c r="C16" s="7" t="s">
        <v>125</v>
      </c>
      <c r="D16" s="7">
        <v>12427483</v>
      </c>
      <c r="E16" s="7">
        <v>7127.1615005000003</v>
      </c>
      <c r="F16" s="7">
        <v>2.7329637981089823</v>
      </c>
    </row>
    <row r="17" spans="1:6" x14ac:dyDescent="0.2">
      <c r="A17" s="7" t="s">
        <v>15</v>
      </c>
      <c r="B17" s="7" t="s">
        <v>16</v>
      </c>
      <c r="C17" s="7" t="s">
        <v>17</v>
      </c>
      <c r="D17" s="7">
        <v>4717530</v>
      </c>
      <c r="E17" s="7">
        <v>7047.9898199999998</v>
      </c>
      <c r="F17" s="7">
        <v>2.7026048204673545</v>
      </c>
    </row>
    <row r="18" spans="1:6" x14ac:dyDescent="0.2">
      <c r="A18" s="7" t="s">
        <v>218</v>
      </c>
      <c r="B18" s="7" t="s">
        <v>219</v>
      </c>
      <c r="C18" s="7" t="s">
        <v>220</v>
      </c>
      <c r="D18" s="7">
        <v>1461291</v>
      </c>
      <c r="E18" s="7">
        <v>6939.670959</v>
      </c>
      <c r="F18" s="7">
        <v>2.6610691367671002</v>
      </c>
    </row>
    <row r="19" spans="1:6" x14ac:dyDescent="0.2">
      <c r="A19" s="7" t="s">
        <v>221</v>
      </c>
      <c r="B19" s="7" t="s">
        <v>222</v>
      </c>
      <c r="C19" s="7" t="s">
        <v>34</v>
      </c>
      <c r="D19" s="7">
        <v>1312320</v>
      </c>
      <c r="E19" s="7">
        <v>6889.0238399999998</v>
      </c>
      <c r="F19" s="7">
        <v>2.6416481172355786</v>
      </c>
    </row>
    <row r="20" spans="1:6" x14ac:dyDescent="0.2">
      <c r="A20" s="7" t="s">
        <v>194</v>
      </c>
      <c r="B20" s="7" t="s">
        <v>195</v>
      </c>
      <c r="C20" s="7" t="s">
        <v>80</v>
      </c>
      <c r="D20" s="7">
        <v>979339</v>
      </c>
      <c r="E20" s="7">
        <v>6819.6271264999996</v>
      </c>
      <c r="F20" s="7">
        <v>2.6150374243685883</v>
      </c>
    </row>
    <row r="21" spans="1:6" x14ac:dyDescent="0.2">
      <c r="A21" s="7" t="s">
        <v>26</v>
      </c>
      <c r="B21" s="7" t="s">
        <v>27</v>
      </c>
      <c r="C21" s="7" t="s">
        <v>28</v>
      </c>
      <c r="D21" s="7">
        <v>3374884</v>
      </c>
      <c r="E21" s="7">
        <v>6754.8303260000002</v>
      </c>
      <c r="F21" s="7">
        <v>2.5901906028131401</v>
      </c>
    </row>
    <row r="22" spans="1:6" x14ac:dyDescent="0.2">
      <c r="A22" s="7" t="s">
        <v>223</v>
      </c>
      <c r="B22" s="7" t="s">
        <v>224</v>
      </c>
      <c r="C22" s="7" t="s">
        <v>136</v>
      </c>
      <c r="D22" s="7">
        <v>2835803</v>
      </c>
      <c r="E22" s="7">
        <v>6104.0659575</v>
      </c>
      <c r="F22" s="7">
        <v>2.3406501005970775</v>
      </c>
    </row>
    <row r="23" spans="1:6" x14ac:dyDescent="0.2">
      <c r="A23" s="7" t="s">
        <v>134</v>
      </c>
      <c r="B23" s="7" t="s">
        <v>135</v>
      </c>
      <c r="C23" s="7" t="s">
        <v>136</v>
      </c>
      <c r="D23" s="7">
        <v>2232307</v>
      </c>
      <c r="E23" s="7">
        <v>6060.7135049999997</v>
      </c>
      <c r="F23" s="7">
        <v>2.3240262759182868</v>
      </c>
    </row>
    <row r="24" spans="1:6" x14ac:dyDescent="0.2">
      <c r="A24" s="7" t="s">
        <v>225</v>
      </c>
      <c r="B24" s="7" t="s">
        <v>226</v>
      </c>
      <c r="C24" s="7" t="s">
        <v>227</v>
      </c>
      <c r="D24" s="7">
        <v>851059</v>
      </c>
      <c r="E24" s="7">
        <v>5760.8183710000003</v>
      </c>
      <c r="F24" s="7">
        <v>2.2090292263364097</v>
      </c>
    </row>
    <row r="25" spans="1:6" x14ac:dyDescent="0.2">
      <c r="A25" s="7" t="s">
        <v>228</v>
      </c>
      <c r="B25" s="7" t="s">
        <v>229</v>
      </c>
      <c r="C25" s="7" t="s">
        <v>25</v>
      </c>
      <c r="D25" s="7">
        <v>1074063</v>
      </c>
      <c r="E25" s="7">
        <v>5722.6076640000001</v>
      </c>
      <c r="F25" s="7">
        <v>2.1943770427253297</v>
      </c>
    </row>
    <row r="26" spans="1:6" x14ac:dyDescent="0.2">
      <c r="A26" s="7" t="s">
        <v>185</v>
      </c>
      <c r="B26" s="7" t="s">
        <v>186</v>
      </c>
      <c r="C26" s="7" t="s">
        <v>187</v>
      </c>
      <c r="D26" s="7">
        <v>187295</v>
      </c>
      <c r="E26" s="7">
        <v>5457.4953575</v>
      </c>
      <c r="F26" s="7">
        <v>2.0927177305227307</v>
      </c>
    </row>
    <row r="27" spans="1:6" x14ac:dyDescent="0.2">
      <c r="A27" s="7" t="s">
        <v>116</v>
      </c>
      <c r="B27" s="7" t="s">
        <v>117</v>
      </c>
      <c r="C27" s="7" t="s">
        <v>118</v>
      </c>
      <c r="D27" s="7">
        <v>3938381</v>
      </c>
      <c r="E27" s="7">
        <v>5175.0326340000001</v>
      </c>
      <c r="F27" s="7">
        <v>1.9844052701432919</v>
      </c>
    </row>
    <row r="28" spans="1:6" x14ac:dyDescent="0.2">
      <c r="A28" s="7" t="s">
        <v>230</v>
      </c>
      <c r="B28" s="7" t="s">
        <v>231</v>
      </c>
      <c r="C28" s="7" t="s">
        <v>11</v>
      </c>
      <c r="D28" s="7">
        <v>5780054</v>
      </c>
      <c r="E28" s="7">
        <v>5138.4680060000001</v>
      </c>
      <c r="F28" s="7">
        <v>1.9703842879320272</v>
      </c>
    </row>
    <row r="29" spans="1:6" x14ac:dyDescent="0.2">
      <c r="A29" s="7" t="s">
        <v>232</v>
      </c>
      <c r="B29" s="7" t="s">
        <v>233</v>
      </c>
      <c r="C29" s="7" t="s">
        <v>125</v>
      </c>
      <c r="D29" s="7">
        <v>680784</v>
      </c>
      <c r="E29" s="7">
        <v>5113.3686239999997</v>
      </c>
      <c r="F29" s="7">
        <v>1.9607597407183719</v>
      </c>
    </row>
    <row r="30" spans="1:6" x14ac:dyDescent="0.2">
      <c r="A30" s="7" t="s">
        <v>21</v>
      </c>
      <c r="B30" s="7" t="s">
        <v>22</v>
      </c>
      <c r="C30" s="7" t="s">
        <v>11</v>
      </c>
      <c r="D30" s="7">
        <v>310751</v>
      </c>
      <c r="E30" s="7">
        <v>5019.2501519999996</v>
      </c>
      <c r="F30" s="7">
        <v>1.9246693032151259</v>
      </c>
    </row>
    <row r="31" spans="1:6" x14ac:dyDescent="0.2">
      <c r="A31" s="7" t="s">
        <v>234</v>
      </c>
      <c r="B31" s="7" t="s">
        <v>235</v>
      </c>
      <c r="C31" s="7" t="s">
        <v>34</v>
      </c>
      <c r="D31" s="7">
        <v>328476</v>
      </c>
      <c r="E31" s="7">
        <v>4842.3931920000005</v>
      </c>
      <c r="F31" s="7">
        <v>1.8568521688496851</v>
      </c>
    </row>
    <row r="32" spans="1:6" x14ac:dyDescent="0.2">
      <c r="A32" s="7" t="s">
        <v>236</v>
      </c>
      <c r="B32" s="7" t="s">
        <v>237</v>
      </c>
      <c r="C32" s="7" t="s">
        <v>31</v>
      </c>
      <c r="D32" s="7">
        <v>297232</v>
      </c>
      <c r="E32" s="7">
        <v>4283.7075839999998</v>
      </c>
      <c r="F32" s="7">
        <v>1.642619961387936</v>
      </c>
    </row>
    <row r="33" spans="1:6" x14ac:dyDescent="0.2">
      <c r="A33" s="7" t="s">
        <v>238</v>
      </c>
      <c r="B33" s="7" t="s">
        <v>239</v>
      </c>
      <c r="C33" s="7" t="s">
        <v>40</v>
      </c>
      <c r="D33" s="7">
        <v>2717000</v>
      </c>
      <c r="E33" s="7">
        <v>4132.5569999999998</v>
      </c>
      <c r="F33" s="7">
        <v>1.5846601306606467</v>
      </c>
    </row>
    <row r="34" spans="1:6" x14ac:dyDescent="0.2">
      <c r="A34" s="7" t="s">
        <v>240</v>
      </c>
      <c r="B34" s="7" t="s">
        <v>241</v>
      </c>
      <c r="C34" s="7" t="s">
        <v>34</v>
      </c>
      <c r="D34" s="7">
        <v>25512</v>
      </c>
      <c r="E34" s="7">
        <v>3687.491724</v>
      </c>
      <c r="F34" s="7">
        <v>1.4139964959137634</v>
      </c>
    </row>
    <row r="35" spans="1:6" x14ac:dyDescent="0.2">
      <c r="A35" s="7" t="s">
        <v>242</v>
      </c>
      <c r="B35" s="7" t="s">
        <v>243</v>
      </c>
      <c r="C35" s="7" t="s">
        <v>118</v>
      </c>
      <c r="D35" s="7">
        <v>1225067</v>
      </c>
      <c r="E35" s="7">
        <v>3462.039342</v>
      </c>
      <c r="F35" s="7">
        <v>1.3275450806960485</v>
      </c>
    </row>
    <row r="36" spans="1:6" x14ac:dyDescent="0.2">
      <c r="A36" s="7" t="s">
        <v>244</v>
      </c>
      <c r="B36" s="7" t="s">
        <v>245</v>
      </c>
      <c r="C36" s="7" t="s">
        <v>246</v>
      </c>
      <c r="D36" s="7">
        <v>357387</v>
      </c>
      <c r="E36" s="7">
        <v>3310.2970875000001</v>
      </c>
      <c r="F36" s="7">
        <v>1.2693583694558379</v>
      </c>
    </row>
    <row r="37" spans="1:6" x14ac:dyDescent="0.2">
      <c r="A37" s="7" t="s">
        <v>247</v>
      </c>
      <c r="B37" s="7" t="s">
        <v>248</v>
      </c>
      <c r="C37" s="7" t="s">
        <v>17</v>
      </c>
      <c r="D37" s="7">
        <v>5150797</v>
      </c>
      <c r="E37" s="7">
        <v>3247.5775085</v>
      </c>
      <c r="F37" s="7">
        <v>1.2453080741415516</v>
      </c>
    </row>
    <row r="38" spans="1:6" x14ac:dyDescent="0.2">
      <c r="A38" s="7" t="s">
        <v>209</v>
      </c>
      <c r="B38" s="7" t="s">
        <v>210</v>
      </c>
      <c r="C38" s="7" t="s">
        <v>34</v>
      </c>
      <c r="D38" s="7">
        <v>247050</v>
      </c>
      <c r="E38" s="7">
        <v>3106.9007999999999</v>
      </c>
      <c r="F38" s="7">
        <v>1.191364529921225</v>
      </c>
    </row>
    <row r="39" spans="1:6" x14ac:dyDescent="0.2">
      <c r="A39" s="7" t="s">
        <v>249</v>
      </c>
      <c r="B39" s="7" t="s">
        <v>250</v>
      </c>
      <c r="C39" s="7" t="s">
        <v>37</v>
      </c>
      <c r="D39" s="7">
        <v>3689680</v>
      </c>
      <c r="E39" s="7">
        <v>2920.3817199999999</v>
      </c>
      <c r="F39" s="7">
        <v>1.1198423828138764</v>
      </c>
    </row>
    <row r="40" spans="1:6" x14ac:dyDescent="0.2">
      <c r="A40" s="7" t="s">
        <v>251</v>
      </c>
      <c r="B40" s="7" t="s">
        <v>252</v>
      </c>
      <c r="C40" s="7" t="s">
        <v>246</v>
      </c>
      <c r="D40" s="7">
        <v>1727065</v>
      </c>
      <c r="E40" s="7">
        <v>2902.3327325</v>
      </c>
      <c r="F40" s="7">
        <v>1.1129213625133596</v>
      </c>
    </row>
    <row r="41" spans="1:6" x14ac:dyDescent="0.2">
      <c r="A41" s="7" t="s">
        <v>253</v>
      </c>
      <c r="B41" s="7" t="s">
        <v>254</v>
      </c>
      <c r="C41" s="7" t="s">
        <v>255</v>
      </c>
      <c r="D41" s="7">
        <v>417110</v>
      </c>
      <c r="E41" s="7">
        <v>2745.4180200000001</v>
      </c>
      <c r="F41" s="7">
        <v>1.0527512332658193</v>
      </c>
    </row>
    <row r="42" spans="1:6" x14ac:dyDescent="0.2">
      <c r="A42" s="7" t="s">
        <v>154</v>
      </c>
      <c r="B42" s="7" t="s">
        <v>623</v>
      </c>
      <c r="C42" s="7" t="s">
        <v>37</v>
      </c>
      <c r="D42" s="7">
        <v>3415915</v>
      </c>
      <c r="E42" s="7">
        <v>2437.2553524999998</v>
      </c>
      <c r="F42" s="7">
        <v>0.93458393564710918</v>
      </c>
    </row>
    <row r="43" spans="1:6" x14ac:dyDescent="0.2">
      <c r="A43" s="7" t="s">
        <v>38</v>
      </c>
      <c r="B43" s="7" t="s">
        <v>39</v>
      </c>
      <c r="C43" s="7" t="s">
        <v>40</v>
      </c>
      <c r="D43" s="7">
        <v>407593</v>
      </c>
      <c r="E43" s="7">
        <v>2210.1730425000001</v>
      </c>
      <c r="F43" s="7">
        <v>0.84750751225226639</v>
      </c>
    </row>
    <row r="44" spans="1:6" x14ac:dyDescent="0.2">
      <c r="A44" s="7" t="s">
        <v>256</v>
      </c>
      <c r="B44" s="7" t="s">
        <v>257</v>
      </c>
      <c r="C44" s="7" t="s">
        <v>179</v>
      </c>
      <c r="D44" s="7">
        <v>215226</v>
      </c>
      <c r="E44" s="7">
        <v>2209.7253420000002</v>
      </c>
      <c r="F44" s="7">
        <v>0.84733583812101398</v>
      </c>
    </row>
    <row r="45" spans="1:6" x14ac:dyDescent="0.2">
      <c r="A45" s="7" t="s">
        <v>123</v>
      </c>
      <c r="B45" s="7" t="s">
        <v>124</v>
      </c>
      <c r="C45" s="7" t="s">
        <v>125</v>
      </c>
      <c r="D45" s="7">
        <v>1892345</v>
      </c>
      <c r="E45" s="7">
        <v>2201.7434075000001</v>
      </c>
      <c r="F45" s="7">
        <v>0.84427510517342363</v>
      </c>
    </row>
    <row r="46" spans="1:6" x14ac:dyDescent="0.2">
      <c r="A46" s="7" t="s">
        <v>258</v>
      </c>
      <c r="B46" s="7" t="s">
        <v>259</v>
      </c>
      <c r="C46" s="7" t="s">
        <v>80</v>
      </c>
      <c r="D46" s="7">
        <v>283932</v>
      </c>
      <c r="E46" s="7">
        <v>2162.0002140000001</v>
      </c>
      <c r="F46" s="7">
        <v>0.82903527806285227</v>
      </c>
    </row>
    <row r="47" spans="1:6" x14ac:dyDescent="0.2">
      <c r="A47" s="7" t="s">
        <v>260</v>
      </c>
      <c r="B47" s="7" t="s">
        <v>261</v>
      </c>
      <c r="C47" s="7" t="s">
        <v>14</v>
      </c>
      <c r="D47" s="7">
        <v>952563</v>
      </c>
      <c r="E47" s="7">
        <v>2145.6481574999998</v>
      </c>
      <c r="F47" s="7">
        <v>0.82276495874484634</v>
      </c>
    </row>
    <row r="48" spans="1:6" x14ac:dyDescent="0.2">
      <c r="A48" s="7" t="s">
        <v>262</v>
      </c>
      <c r="B48" s="7" t="s">
        <v>263</v>
      </c>
      <c r="C48" s="7" t="s">
        <v>179</v>
      </c>
      <c r="D48" s="7">
        <v>1894411</v>
      </c>
      <c r="E48" s="7">
        <v>1953.137741</v>
      </c>
      <c r="F48" s="7">
        <v>0.74894538849707359</v>
      </c>
    </row>
    <row r="49" spans="1:8" x14ac:dyDescent="0.2">
      <c r="A49" s="7" t="s">
        <v>264</v>
      </c>
      <c r="B49" s="7" t="s">
        <v>265</v>
      </c>
      <c r="C49" s="7" t="s">
        <v>266</v>
      </c>
      <c r="D49" s="7">
        <v>397199</v>
      </c>
      <c r="E49" s="7">
        <v>1838.8327704999999</v>
      </c>
      <c r="F49" s="7">
        <v>0.70511428598894321</v>
      </c>
    </row>
    <row r="50" spans="1:8" x14ac:dyDescent="0.2">
      <c r="A50" s="7" t="s">
        <v>202</v>
      </c>
      <c r="B50" s="7" t="s">
        <v>203</v>
      </c>
      <c r="C50" s="7" t="s">
        <v>187</v>
      </c>
      <c r="D50" s="7">
        <v>698798</v>
      </c>
      <c r="E50" s="7">
        <v>1775.9951169999999</v>
      </c>
      <c r="F50" s="7">
        <v>0.68101871411764936</v>
      </c>
    </row>
    <row r="51" spans="1:8" x14ac:dyDescent="0.2">
      <c r="A51" s="7" t="s">
        <v>267</v>
      </c>
      <c r="B51" s="7" t="s">
        <v>268</v>
      </c>
      <c r="C51" s="7" t="s">
        <v>269</v>
      </c>
      <c r="D51" s="7">
        <v>402468</v>
      </c>
      <c r="E51" s="7">
        <v>1720.5507</v>
      </c>
      <c r="F51" s="7">
        <v>0.65975813450855425</v>
      </c>
    </row>
    <row r="52" spans="1:8" x14ac:dyDescent="0.2">
      <c r="A52" s="7" t="s">
        <v>270</v>
      </c>
      <c r="B52" s="7" t="s">
        <v>271</v>
      </c>
      <c r="C52" s="7" t="s">
        <v>25</v>
      </c>
      <c r="D52" s="7">
        <v>1614973</v>
      </c>
      <c r="E52" s="7">
        <v>1706.2189745000001</v>
      </c>
      <c r="F52" s="7">
        <v>0.65426252634067594</v>
      </c>
    </row>
    <row r="53" spans="1:8" x14ac:dyDescent="0.2">
      <c r="A53" s="7" t="s">
        <v>272</v>
      </c>
      <c r="B53" s="7" t="s">
        <v>273</v>
      </c>
      <c r="C53" s="7" t="s">
        <v>80</v>
      </c>
      <c r="D53" s="7">
        <v>419996</v>
      </c>
      <c r="E53" s="7">
        <v>1697.2038359999999</v>
      </c>
      <c r="F53" s="7">
        <v>0.65080560353154504</v>
      </c>
    </row>
    <row r="54" spans="1:8" x14ac:dyDescent="0.2">
      <c r="A54" s="7" t="s">
        <v>155</v>
      </c>
      <c r="B54" s="7" t="s">
        <v>156</v>
      </c>
      <c r="C54" s="7" t="s">
        <v>28</v>
      </c>
      <c r="D54" s="7">
        <v>3050843</v>
      </c>
      <c r="E54" s="7">
        <v>1354.574292</v>
      </c>
      <c r="F54" s="7">
        <v>0.51942172232597716</v>
      </c>
    </row>
    <row r="55" spans="1:8" x14ac:dyDescent="0.2">
      <c r="A55" s="7" t="s">
        <v>274</v>
      </c>
      <c r="B55" s="7" t="s">
        <v>275</v>
      </c>
      <c r="C55" s="7" t="s">
        <v>72</v>
      </c>
      <c r="D55" s="7">
        <v>1656994</v>
      </c>
      <c r="E55" s="7">
        <v>914.66068800000005</v>
      </c>
      <c r="F55" s="7">
        <v>0.3507335350380496</v>
      </c>
    </row>
    <row r="56" spans="1:8" x14ac:dyDescent="0.2">
      <c r="A56" s="7" t="s">
        <v>276</v>
      </c>
      <c r="B56" s="7" t="s">
        <v>277</v>
      </c>
      <c r="C56" s="7" t="s">
        <v>246</v>
      </c>
      <c r="D56" s="7">
        <v>42129</v>
      </c>
      <c r="E56" s="7">
        <v>875.04039450000005</v>
      </c>
      <c r="F56" s="7">
        <v>0.33554083485883296</v>
      </c>
    </row>
    <row r="57" spans="1:8" x14ac:dyDescent="0.2">
      <c r="A57" s="7" t="s">
        <v>278</v>
      </c>
      <c r="B57" s="7" t="s">
        <v>279</v>
      </c>
      <c r="C57" s="7" t="s">
        <v>255</v>
      </c>
      <c r="D57" s="7">
        <v>656332</v>
      </c>
      <c r="E57" s="7">
        <v>874.89055599999995</v>
      </c>
      <c r="F57" s="7">
        <v>0.33548337815660523</v>
      </c>
    </row>
    <row r="58" spans="1:8" x14ac:dyDescent="0.2">
      <c r="A58" s="7" t="s">
        <v>157</v>
      </c>
      <c r="B58" s="7" t="s">
        <v>158</v>
      </c>
      <c r="C58" s="7" t="s">
        <v>40</v>
      </c>
      <c r="D58" s="7">
        <v>724000</v>
      </c>
      <c r="E58" s="7">
        <v>692.50599999999997</v>
      </c>
      <c r="F58" s="7">
        <v>0.26554664544089335</v>
      </c>
    </row>
    <row r="59" spans="1:8" x14ac:dyDescent="0.2">
      <c r="A59" s="7" t="s">
        <v>280</v>
      </c>
      <c r="B59" s="7" t="s">
        <v>281</v>
      </c>
      <c r="C59" s="7" t="s">
        <v>72</v>
      </c>
      <c r="D59" s="7">
        <v>4997148</v>
      </c>
      <c r="E59" s="7">
        <v>637.13637000000006</v>
      </c>
      <c r="F59" s="7">
        <v>0.24431474347065274</v>
      </c>
    </row>
    <row r="60" spans="1:8" x14ac:dyDescent="0.2">
      <c r="A60" s="7" t="s">
        <v>41</v>
      </c>
      <c r="B60" s="7" t="s">
        <v>42</v>
      </c>
      <c r="C60" s="7" t="s">
        <v>43</v>
      </c>
      <c r="D60" s="7">
        <v>5190996</v>
      </c>
      <c r="E60" s="7">
        <v>355.58322600000002</v>
      </c>
      <c r="F60" s="7">
        <v>0.13635106820641418</v>
      </c>
    </row>
    <row r="61" spans="1:8" x14ac:dyDescent="0.2">
      <c r="A61" s="7" t="s">
        <v>282</v>
      </c>
      <c r="B61" s="7" t="s">
        <v>283</v>
      </c>
      <c r="C61" s="7" t="s">
        <v>14</v>
      </c>
      <c r="D61" s="7">
        <v>348470</v>
      </c>
      <c r="E61" s="7">
        <v>221.97539</v>
      </c>
      <c r="F61" s="7">
        <v>8.5118136427603561E-2</v>
      </c>
    </row>
    <row r="62" spans="1:8" x14ac:dyDescent="0.2">
      <c r="A62" s="6" t="s">
        <v>44</v>
      </c>
      <c r="B62" s="7"/>
      <c r="C62" s="7"/>
      <c r="D62" s="7"/>
      <c r="E62" s="6">
        <f xml:space="preserve"> SUM(E8:E61)</f>
        <v>247334.66430850004</v>
      </c>
      <c r="F62" s="6">
        <f>SUM(F8:F61)</f>
        <v>94.842341305882755</v>
      </c>
    </row>
    <row r="63" spans="1:8" x14ac:dyDescent="0.2">
      <c r="A63" s="7"/>
      <c r="B63" s="7"/>
      <c r="C63" s="7"/>
      <c r="D63" s="7"/>
      <c r="E63" s="7"/>
      <c r="F63" s="7"/>
    </row>
    <row r="64" spans="1:8" x14ac:dyDescent="0.2">
      <c r="A64" s="6" t="s">
        <v>44</v>
      </c>
      <c r="B64" s="7"/>
      <c r="C64" s="7"/>
      <c r="D64" s="7"/>
      <c r="E64" s="6">
        <v>247334.66430850004</v>
      </c>
      <c r="F64" s="6">
        <v>94.842341305882755</v>
      </c>
      <c r="G64" s="29"/>
      <c r="H64" s="1"/>
    </row>
    <row r="65" spans="1:8" x14ac:dyDescent="0.2">
      <c r="A65" s="7"/>
      <c r="B65" s="7"/>
      <c r="C65" s="7"/>
      <c r="D65" s="7"/>
      <c r="E65" s="7"/>
      <c r="F65" s="7"/>
      <c r="G65" s="29"/>
    </row>
    <row r="66" spans="1:8" x14ac:dyDescent="0.2">
      <c r="A66" s="6" t="s">
        <v>103</v>
      </c>
      <c r="B66" s="7"/>
      <c r="C66" s="7"/>
      <c r="D66" s="7"/>
      <c r="E66" s="6">
        <v>13450.403734899999</v>
      </c>
      <c r="F66" s="6">
        <v>5.16</v>
      </c>
      <c r="G66" s="29"/>
      <c r="H66" s="1"/>
    </row>
    <row r="67" spans="1:8" x14ac:dyDescent="0.2">
      <c r="A67" s="7"/>
      <c r="B67" s="7"/>
      <c r="C67" s="7"/>
      <c r="D67" s="7"/>
      <c r="E67" s="7"/>
      <c r="F67" s="7"/>
      <c r="G67" s="29"/>
    </row>
    <row r="68" spans="1:8" x14ac:dyDescent="0.2">
      <c r="A68" s="8" t="s">
        <v>104</v>
      </c>
      <c r="B68" s="5"/>
      <c r="C68" s="5"/>
      <c r="D68" s="5"/>
      <c r="E68" s="8">
        <v>260785.06804340004</v>
      </c>
      <c r="F68" s="8">
        <f xml:space="preserve"> ROUND(SUM(F64:F67),2)</f>
        <v>100</v>
      </c>
      <c r="G68" s="29"/>
      <c r="H68" s="1"/>
    </row>
    <row r="70" spans="1:8" x14ac:dyDescent="0.2">
      <c r="A70" s="4" t="s">
        <v>105</v>
      </c>
      <c r="B70" s="2"/>
      <c r="C70" s="2"/>
      <c r="D70" s="2"/>
    </row>
    <row r="71" spans="1:8" x14ac:dyDescent="0.2">
      <c r="A71" s="4" t="s">
        <v>106</v>
      </c>
      <c r="B71" s="2"/>
      <c r="C71" s="2"/>
      <c r="D71" s="2"/>
    </row>
    <row r="72" spans="1:8" x14ac:dyDescent="0.2">
      <c r="A72" s="4" t="s">
        <v>107</v>
      </c>
      <c r="B72" s="2"/>
      <c r="C72" s="2"/>
      <c r="D72" s="2"/>
    </row>
    <row r="73" spans="1:8" x14ac:dyDescent="0.2">
      <c r="A73" s="2" t="s">
        <v>666</v>
      </c>
      <c r="B73" s="2"/>
      <c r="C73" s="2"/>
      <c r="D73" s="10">
        <v>80.966800000000006</v>
      </c>
      <c r="E73" s="2"/>
    </row>
    <row r="74" spans="1:8" x14ac:dyDescent="0.2">
      <c r="A74" s="2" t="s">
        <v>667</v>
      </c>
      <c r="B74" s="2"/>
      <c r="C74" s="2"/>
      <c r="D74" s="10">
        <v>15.4518</v>
      </c>
      <c r="E74" s="2"/>
    </row>
    <row r="75" spans="1:8" x14ac:dyDescent="0.2">
      <c r="A75" s="2" t="s">
        <v>668</v>
      </c>
      <c r="B75" s="2"/>
      <c r="C75" s="2"/>
      <c r="D75" s="10">
        <v>84.818399999999997</v>
      </c>
      <c r="E75" s="2"/>
    </row>
    <row r="76" spans="1:8" x14ac:dyDescent="0.2">
      <c r="A76" s="2" t="s">
        <v>669</v>
      </c>
      <c r="B76" s="2"/>
      <c r="C76" s="2"/>
      <c r="D76" s="10">
        <v>16.488600000000002</v>
      </c>
      <c r="E76" s="2"/>
    </row>
    <row r="77" spans="1:8" x14ac:dyDescent="0.2">
      <c r="A77" s="2"/>
      <c r="B77" s="2"/>
      <c r="C77" s="2"/>
      <c r="D77" s="10"/>
      <c r="E77" s="2"/>
    </row>
    <row r="78" spans="1:8" x14ac:dyDescent="0.2">
      <c r="A78" s="4" t="s">
        <v>108</v>
      </c>
      <c r="B78" s="2"/>
      <c r="C78" s="2"/>
      <c r="D78" s="2"/>
      <c r="E78" s="2"/>
    </row>
    <row r="79" spans="1:8" x14ac:dyDescent="0.2">
      <c r="A79" s="2" t="s">
        <v>666</v>
      </c>
      <c r="B79" s="2"/>
      <c r="C79" s="2"/>
      <c r="D79" s="10">
        <v>79.279700000000005</v>
      </c>
      <c r="E79" s="2"/>
    </row>
    <row r="80" spans="1:8" x14ac:dyDescent="0.2">
      <c r="A80" s="2" t="s">
        <v>667</v>
      </c>
      <c r="B80" s="2"/>
      <c r="C80" s="2"/>
      <c r="D80" s="10">
        <v>15.129799999999999</v>
      </c>
      <c r="E80" s="2"/>
    </row>
    <row r="81" spans="1:5" x14ac:dyDescent="0.2">
      <c r="A81" s="2" t="s">
        <v>668</v>
      </c>
      <c r="B81" s="2"/>
      <c r="C81" s="2"/>
      <c r="D81" s="10">
        <v>83.357100000000003</v>
      </c>
      <c r="E81" s="2"/>
    </row>
    <row r="82" spans="1:5" x14ac:dyDescent="0.2">
      <c r="A82" s="2" t="s">
        <v>669</v>
      </c>
      <c r="B82" s="2"/>
      <c r="C82" s="2"/>
      <c r="D82" s="10">
        <v>16.2041</v>
      </c>
      <c r="E82" s="2"/>
    </row>
    <row r="83" spans="1:5" x14ac:dyDescent="0.2">
      <c r="A83" s="2"/>
      <c r="B83" s="2"/>
      <c r="C83" s="2"/>
      <c r="D83" s="2"/>
    </row>
    <row r="84" spans="1:5" x14ac:dyDescent="0.2">
      <c r="A84" s="4" t="s">
        <v>109</v>
      </c>
      <c r="B84" s="2"/>
      <c r="C84" s="2"/>
      <c r="D84" s="30" t="s">
        <v>110</v>
      </c>
    </row>
    <row r="85" spans="1:5" x14ac:dyDescent="0.2">
      <c r="A85" s="4"/>
      <c r="B85" s="2"/>
      <c r="C85" s="2"/>
      <c r="D85" s="30"/>
    </row>
    <row r="86" spans="1:5" x14ac:dyDescent="0.2">
      <c r="A86" s="9" t="s">
        <v>674</v>
      </c>
      <c r="B86" s="2"/>
      <c r="C86" s="2"/>
      <c r="D86" s="37">
        <v>0.15416806157253901</v>
      </c>
    </row>
    <row r="87" spans="1:5" x14ac:dyDescent="0.2">
      <c r="A87" s="2"/>
      <c r="B87" s="2"/>
      <c r="C87" s="2"/>
      <c r="D87" s="2"/>
    </row>
    <row r="88" spans="1:5" x14ac:dyDescent="0.2">
      <c r="A88" s="2"/>
      <c r="B88" s="2"/>
      <c r="C88" s="2"/>
      <c r="D88" s="2"/>
    </row>
    <row r="89" spans="1:5" x14ac:dyDescent="0.2">
      <c r="A89" s="2"/>
      <c r="B89" s="2"/>
      <c r="C89" s="2"/>
      <c r="D89" s="2"/>
    </row>
  </sheetData>
  <mergeCells count="1">
    <mergeCell ref="A1:F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5A1B-5227-4871-8267-8F22C3E2BF82}">
  <sheetPr codeName="Sheet12"/>
  <dimension ref="A1:F70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6.7109375" style="1" bestFit="1" customWidth="1"/>
    <col min="3" max="3" width="20" style="1" bestFit="1" customWidth="1"/>
    <col min="4" max="4" width="12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211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114</v>
      </c>
      <c r="B8" s="7" t="s">
        <v>115</v>
      </c>
      <c r="C8" s="7" t="s">
        <v>11</v>
      </c>
      <c r="D8" s="7">
        <v>12800000</v>
      </c>
      <c r="E8" s="14">
        <v>65612.800000000003</v>
      </c>
      <c r="F8" s="14">
        <f>E8/$E$48*100</f>
        <v>9.7162356192425818</v>
      </c>
    </row>
    <row r="9" spans="1:6" x14ac:dyDescent="0.2">
      <c r="A9" s="7" t="s">
        <v>112</v>
      </c>
      <c r="B9" s="7" t="s">
        <v>113</v>
      </c>
      <c r="C9" s="7" t="s">
        <v>11</v>
      </c>
      <c r="D9" s="7">
        <v>15000000</v>
      </c>
      <c r="E9" s="14">
        <v>51277.5</v>
      </c>
      <c r="F9" s="14">
        <f t="shared" ref="F9:F37" si="0">E9/$E$48*100</f>
        <v>7.5934005554664852</v>
      </c>
    </row>
    <row r="10" spans="1:6" x14ac:dyDescent="0.2">
      <c r="A10" s="7" t="s">
        <v>9</v>
      </c>
      <c r="B10" s="7" t="s">
        <v>10</v>
      </c>
      <c r="C10" s="7" t="s">
        <v>11</v>
      </c>
      <c r="D10" s="7">
        <v>3700000</v>
      </c>
      <c r="E10" s="14">
        <v>47173.15</v>
      </c>
      <c r="F10" s="14">
        <f t="shared" si="0"/>
        <v>6.9856101294545141</v>
      </c>
    </row>
    <row r="11" spans="1:6" x14ac:dyDescent="0.2">
      <c r="A11" s="7" t="s">
        <v>121</v>
      </c>
      <c r="B11" s="7" t="s">
        <v>122</v>
      </c>
      <c r="C11" s="7" t="s">
        <v>11</v>
      </c>
      <c r="D11" s="7">
        <v>4438208</v>
      </c>
      <c r="E11" s="14">
        <v>32800.576223999997</v>
      </c>
      <c r="F11" s="14">
        <f t="shared" si="0"/>
        <v>4.8572553989360321</v>
      </c>
    </row>
    <row r="12" spans="1:6" x14ac:dyDescent="0.2">
      <c r="A12" s="7" t="s">
        <v>185</v>
      </c>
      <c r="B12" s="7" t="s">
        <v>186</v>
      </c>
      <c r="C12" s="7" t="s">
        <v>187</v>
      </c>
      <c r="D12" s="7">
        <v>1114802</v>
      </c>
      <c r="E12" s="14">
        <v>32483.658077</v>
      </c>
      <c r="F12" s="14">
        <f t="shared" si="0"/>
        <v>4.8103247483881857</v>
      </c>
    </row>
    <row r="13" spans="1:6" x14ac:dyDescent="0.2">
      <c r="A13" s="7" t="s">
        <v>119</v>
      </c>
      <c r="B13" s="7" t="s">
        <v>120</v>
      </c>
      <c r="C13" s="7" t="s">
        <v>43</v>
      </c>
      <c r="D13" s="7">
        <v>7000000</v>
      </c>
      <c r="E13" s="14">
        <v>30971.5</v>
      </c>
      <c r="F13" s="14">
        <f t="shared" si="0"/>
        <v>4.5863976462118909</v>
      </c>
    </row>
    <row r="14" spans="1:6" x14ac:dyDescent="0.2">
      <c r="A14" s="7" t="s">
        <v>116</v>
      </c>
      <c r="B14" s="7" t="s">
        <v>117</v>
      </c>
      <c r="C14" s="7" t="s">
        <v>118</v>
      </c>
      <c r="D14" s="7">
        <v>20785817</v>
      </c>
      <c r="E14" s="14">
        <v>27312.563537999999</v>
      </c>
      <c r="F14" s="14">
        <f t="shared" si="0"/>
        <v>4.0445660404790189</v>
      </c>
    </row>
    <row r="15" spans="1:6" x14ac:dyDescent="0.2">
      <c r="A15" s="7" t="s">
        <v>188</v>
      </c>
      <c r="B15" s="7" t="s">
        <v>189</v>
      </c>
      <c r="C15" s="7" t="s">
        <v>25</v>
      </c>
      <c r="D15" s="7">
        <v>2700000</v>
      </c>
      <c r="E15" s="14">
        <v>25921.35</v>
      </c>
      <c r="F15" s="14">
        <f t="shared" si="0"/>
        <v>3.8385489442434051</v>
      </c>
    </row>
    <row r="16" spans="1:6" x14ac:dyDescent="0.2">
      <c r="A16" s="7" t="s">
        <v>123</v>
      </c>
      <c r="B16" s="7" t="s">
        <v>124</v>
      </c>
      <c r="C16" s="7" t="s">
        <v>125</v>
      </c>
      <c r="D16" s="7">
        <v>21000000</v>
      </c>
      <c r="E16" s="14">
        <v>24433.5</v>
      </c>
      <c r="F16" s="14">
        <f t="shared" si="0"/>
        <v>3.6182214903610821</v>
      </c>
    </row>
    <row r="17" spans="1:6" x14ac:dyDescent="0.2">
      <c r="A17" s="7" t="s">
        <v>126</v>
      </c>
      <c r="B17" s="7" t="s">
        <v>127</v>
      </c>
      <c r="C17" s="7" t="s">
        <v>59</v>
      </c>
      <c r="D17" s="7">
        <v>1600000</v>
      </c>
      <c r="E17" s="14">
        <v>24354.400000000001</v>
      </c>
      <c r="F17" s="14">
        <f t="shared" si="0"/>
        <v>3.6065080101029303</v>
      </c>
    </row>
    <row r="18" spans="1:6" x14ac:dyDescent="0.2">
      <c r="A18" s="7" t="s">
        <v>190</v>
      </c>
      <c r="B18" s="7" t="s">
        <v>191</v>
      </c>
      <c r="C18" s="7" t="s">
        <v>80</v>
      </c>
      <c r="D18" s="7">
        <v>2000000</v>
      </c>
      <c r="E18" s="14">
        <v>22553</v>
      </c>
      <c r="F18" s="14">
        <f t="shared" si="0"/>
        <v>3.3397486758799797</v>
      </c>
    </row>
    <row r="19" spans="1:6" x14ac:dyDescent="0.2">
      <c r="A19" s="7" t="s">
        <v>130</v>
      </c>
      <c r="B19" s="7" t="s">
        <v>131</v>
      </c>
      <c r="C19" s="7" t="s">
        <v>59</v>
      </c>
      <c r="D19" s="7">
        <v>500000</v>
      </c>
      <c r="E19" s="14">
        <v>21295.5</v>
      </c>
      <c r="F19" s="14">
        <f t="shared" si="0"/>
        <v>3.1535324758214918</v>
      </c>
    </row>
    <row r="20" spans="1:6" x14ac:dyDescent="0.2">
      <c r="A20" s="7" t="s">
        <v>192</v>
      </c>
      <c r="B20" s="7" t="s">
        <v>193</v>
      </c>
      <c r="C20" s="7" t="s">
        <v>59</v>
      </c>
      <c r="D20" s="7">
        <v>2500000</v>
      </c>
      <c r="E20" s="14">
        <v>19676.25</v>
      </c>
      <c r="F20" s="14">
        <f t="shared" si="0"/>
        <v>2.9137467247720239</v>
      </c>
    </row>
    <row r="21" spans="1:6" x14ac:dyDescent="0.2">
      <c r="A21" s="7" t="s">
        <v>128</v>
      </c>
      <c r="B21" s="7" t="s">
        <v>129</v>
      </c>
      <c r="C21" s="7" t="s">
        <v>118</v>
      </c>
      <c r="D21" s="7">
        <v>3500000</v>
      </c>
      <c r="E21" s="14">
        <v>17904.25</v>
      </c>
      <c r="F21" s="14">
        <f t="shared" si="0"/>
        <v>2.6513410734768823</v>
      </c>
    </row>
    <row r="22" spans="1:6" x14ac:dyDescent="0.2">
      <c r="A22" s="7" t="s">
        <v>134</v>
      </c>
      <c r="B22" s="7" t="s">
        <v>135</v>
      </c>
      <c r="C22" s="7" t="s">
        <v>136</v>
      </c>
      <c r="D22" s="7">
        <v>6500000</v>
      </c>
      <c r="E22" s="14">
        <v>17647.5</v>
      </c>
      <c r="F22" s="14">
        <f t="shared" si="0"/>
        <v>2.6133203900852187</v>
      </c>
    </row>
    <row r="23" spans="1:6" x14ac:dyDescent="0.2">
      <c r="A23" s="7" t="s">
        <v>194</v>
      </c>
      <c r="B23" s="7" t="s">
        <v>195</v>
      </c>
      <c r="C23" s="7" t="s">
        <v>80</v>
      </c>
      <c r="D23" s="7">
        <v>2500000</v>
      </c>
      <c r="E23" s="14">
        <v>17408.75</v>
      </c>
      <c r="F23" s="14">
        <f t="shared" si="0"/>
        <v>2.5779652268534385</v>
      </c>
    </row>
    <row r="24" spans="1:6" x14ac:dyDescent="0.2">
      <c r="A24" s="7" t="s">
        <v>137</v>
      </c>
      <c r="B24" s="7" t="s">
        <v>138</v>
      </c>
      <c r="C24" s="7" t="s">
        <v>136</v>
      </c>
      <c r="D24" s="7">
        <v>13500000</v>
      </c>
      <c r="E24" s="14">
        <v>17016.75</v>
      </c>
      <c r="F24" s="14">
        <f t="shared" si="0"/>
        <v>2.5199161211493215</v>
      </c>
    </row>
    <row r="25" spans="1:6" x14ac:dyDescent="0.2">
      <c r="A25" s="7" t="s">
        <v>41</v>
      </c>
      <c r="B25" s="7" t="s">
        <v>42</v>
      </c>
      <c r="C25" s="7" t="s">
        <v>43</v>
      </c>
      <c r="D25" s="7">
        <v>210000000</v>
      </c>
      <c r="E25" s="14">
        <v>14385</v>
      </c>
      <c r="F25" s="14">
        <f t="shared" si="0"/>
        <v>2.1301948611064385</v>
      </c>
    </row>
    <row r="26" spans="1:6" x14ac:dyDescent="0.2">
      <c r="A26" s="7" t="s">
        <v>196</v>
      </c>
      <c r="B26" s="7" t="s">
        <v>197</v>
      </c>
      <c r="C26" s="7" t="s">
        <v>145</v>
      </c>
      <c r="D26" s="7">
        <v>960449</v>
      </c>
      <c r="E26" s="14">
        <v>13870.804458000001</v>
      </c>
      <c r="F26" s="14">
        <f t="shared" si="0"/>
        <v>2.0540504953662762</v>
      </c>
    </row>
    <row r="27" spans="1:6" x14ac:dyDescent="0.2">
      <c r="A27" s="7" t="s">
        <v>198</v>
      </c>
      <c r="B27" s="7" t="s">
        <v>199</v>
      </c>
      <c r="C27" s="7" t="s">
        <v>59</v>
      </c>
      <c r="D27" s="7">
        <v>6000000</v>
      </c>
      <c r="E27" s="14">
        <v>12279</v>
      </c>
      <c r="F27" s="14">
        <f t="shared" si="0"/>
        <v>1.8183290024001362</v>
      </c>
    </row>
    <row r="28" spans="1:6" x14ac:dyDescent="0.2">
      <c r="A28" s="7" t="s">
        <v>200</v>
      </c>
      <c r="B28" s="7" t="s">
        <v>201</v>
      </c>
      <c r="C28" s="7" t="s">
        <v>187</v>
      </c>
      <c r="D28" s="7">
        <v>1500000</v>
      </c>
      <c r="E28" s="14">
        <v>12009.75</v>
      </c>
      <c r="F28" s="14">
        <f t="shared" si="0"/>
        <v>1.7784572633418876</v>
      </c>
    </row>
    <row r="29" spans="1:6" x14ac:dyDescent="0.2">
      <c r="A29" s="7" t="s">
        <v>26</v>
      </c>
      <c r="B29" s="7" t="s">
        <v>27</v>
      </c>
      <c r="C29" s="7" t="s">
        <v>28</v>
      </c>
      <c r="D29" s="7">
        <v>5500000</v>
      </c>
      <c r="E29" s="14">
        <v>11008.25</v>
      </c>
      <c r="F29" s="14">
        <f t="shared" si="0"/>
        <v>1.6301506833350681</v>
      </c>
    </row>
    <row r="30" spans="1:6" x14ac:dyDescent="0.2">
      <c r="A30" s="7" t="s">
        <v>35</v>
      </c>
      <c r="B30" s="7" t="s">
        <v>36</v>
      </c>
      <c r="C30" s="7" t="s">
        <v>37</v>
      </c>
      <c r="D30" s="7">
        <v>6000000</v>
      </c>
      <c r="E30" s="14">
        <v>9690</v>
      </c>
      <c r="F30" s="14">
        <f t="shared" si="0"/>
        <v>1.4349383527369752</v>
      </c>
    </row>
    <row r="31" spans="1:6" x14ac:dyDescent="0.2">
      <c r="A31" s="7" t="s">
        <v>202</v>
      </c>
      <c r="B31" s="7" t="s">
        <v>203</v>
      </c>
      <c r="C31" s="7" t="s">
        <v>187</v>
      </c>
      <c r="D31" s="7">
        <v>3500000</v>
      </c>
      <c r="E31" s="14">
        <v>8895.25</v>
      </c>
      <c r="F31" s="14">
        <f t="shared" si="0"/>
        <v>1.3172482334554778</v>
      </c>
    </row>
    <row r="32" spans="1:6" x14ac:dyDescent="0.2">
      <c r="A32" s="7" t="s">
        <v>204</v>
      </c>
      <c r="B32" s="7" t="s">
        <v>205</v>
      </c>
      <c r="C32" s="7" t="s">
        <v>206</v>
      </c>
      <c r="D32" s="7">
        <v>450000</v>
      </c>
      <c r="E32" s="14">
        <v>5987.4750000000004</v>
      </c>
      <c r="F32" s="14">
        <f t="shared" si="0"/>
        <v>0.88665196218305697</v>
      </c>
    </row>
    <row r="33" spans="1:6" x14ac:dyDescent="0.2">
      <c r="A33" s="7" t="s">
        <v>154</v>
      </c>
      <c r="B33" s="7" t="s">
        <v>623</v>
      </c>
      <c r="C33" s="7" t="s">
        <v>37</v>
      </c>
      <c r="D33" s="7">
        <v>8000000</v>
      </c>
      <c r="E33" s="14">
        <v>5708</v>
      </c>
      <c r="F33" s="14">
        <f t="shared" si="0"/>
        <v>0.84526605958954115</v>
      </c>
    </row>
    <row r="34" spans="1:6" x14ac:dyDescent="0.2">
      <c r="A34" s="7" t="s">
        <v>38</v>
      </c>
      <c r="B34" s="7" t="s">
        <v>39</v>
      </c>
      <c r="C34" s="7" t="s">
        <v>40</v>
      </c>
      <c r="D34" s="7">
        <v>1000000</v>
      </c>
      <c r="E34" s="14">
        <v>5422.5</v>
      </c>
      <c r="F34" s="14">
        <f t="shared" si="0"/>
        <v>0.80298794816473162</v>
      </c>
    </row>
    <row r="35" spans="1:6" x14ac:dyDescent="0.2">
      <c r="A35" s="7" t="s">
        <v>207</v>
      </c>
      <c r="B35" s="7" t="s">
        <v>208</v>
      </c>
      <c r="C35" s="7" t="s">
        <v>37</v>
      </c>
      <c r="D35" s="7">
        <v>1000000</v>
      </c>
      <c r="E35" s="14">
        <v>5305.5</v>
      </c>
      <c r="F35" s="14">
        <f t="shared" si="0"/>
        <v>0.78566206712549247</v>
      </c>
    </row>
    <row r="36" spans="1:6" x14ac:dyDescent="0.2">
      <c r="A36" s="7" t="s">
        <v>209</v>
      </c>
      <c r="B36" s="7" t="s">
        <v>210</v>
      </c>
      <c r="C36" s="7" t="s">
        <v>34</v>
      </c>
      <c r="D36" s="7">
        <v>393495</v>
      </c>
      <c r="E36" s="14">
        <v>4948.5931200000005</v>
      </c>
      <c r="F36" s="14">
        <f t="shared" si="0"/>
        <v>0.73280970691210834</v>
      </c>
    </row>
    <row r="37" spans="1:6" x14ac:dyDescent="0.2">
      <c r="A37" s="7" t="s">
        <v>148</v>
      </c>
      <c r="B37" s="7" t="s">
        <v>149</v>
      </c>
      <c r="C37" s="7" t="s">
        <v>25</v>
      </c>
      <c r="D37" s="7">
        <v>500000</v>
      </c>
      <c r="E37" s="14">
        <v>1759.25</v>
      </c>
      <c r="F37" s="14">
        <f t="shared" si="0"/>
        <v>0.26051757451522434</v>
      </c>
    </row>
    <row r="38" spans="1:6" x14ac:dyDescent="0.2">
      <c r="A38" s="6" t="s">
        <v>44</v>
      </c>
      <c r="B38" s="7"/>
      <c r="C38" s="7"/>
      <c r="D38" s="7"/>
      <c r="E38" s="17">
        <f>SUM(E8:E37)</f>
        <v>607112.37041700003</v>
      </c>
      <c r="F38" s="17">
        <f>SUM(F8:F37)</f>
        <v>89.903903481156874</v>
      </c>
    </row>
    <row r="39" spans="1:6" x14ac:dyDescent="0.2">
      <c r="A39" s="7"/>
      <c r="B39" s="7"/>
      <c r="C39" s="7"/>
      <c r="D39" s="7"/>
      <c r="E39" s="7"/>
      <c r="F39" s="7"/>
    </row>
    <row r="40" spans="1:6" x14ac:dyDescent="0.2">
      <c r="A40" s="6" t="s">
        <v>45</v>
      </c>
      <c r="B40" s="7"/>
      <c r="C40" s="7"/>
      <c r="D40" s="13"/>
      <c r="E40" s="14"/>
      <c r="F40" s="7"/>
    </row>
    <row r="41" spans="1:6" x14ac:dyDescent="0.2">
      <c r="A41" s="7" t="s">
        <v>620</v>
      </c>
      <c r="B41" s="15" t="s">
        <v>621</v>
      </c>
      <c r="C41" s="7" t="s">
        <v>80</v>
      </c>
      <c r="D41" s="13">
        <v>350000</v>
      </c>
      <c r="E41" s="14">
        <v>16128.7426</v>
      </c>
      <c r="F41" s="14">
        <f t="shared" ref="F41" si="1">E41/$E$48*100</f>
        <v>2.3884160307701423</v>
      </c>
    </row>
    <row r="42" spans="1:6" x14ac:dyDescent="0.2">
      <c r="A42" s="6" t="s">
        <v>44</v>
      </c>
      <c r="B42" s="7"/>
      <c r="C42" s="7"/>
      <c r="D42" s="16"/>
      <c r="E42" s="17">
        <f>SUM(E41)</f>
        <v>16128.7426</v>
      </c>
      <c r="F42" s="17">
        <f>SUM(F41)</f>
        <v>2.3884160307701423</v>
      </c>
    </row>
    <row r="43" spans="1:6" x14ac:dyDescent="0.2">
      <c r="A43" s="6"/>
      <c r="B43" s="7"/>
      <c r="C43" s="7"/>
      <c r="D43" s="16"/>
      <c r="E43" s="17"/>
      <c r="F43" s="17"/>
    </row>
    <row r="44" spans="1:6" x14ac:dyDescent="0.2">
      <c r="A44" s="6" t="s">
        <v>44</v>
      </c>
      <c r="B44" s="7"/>
      <c r="C44" s="7"/>
      <c r="D44" s="7"/>
      <c r="E44" s="6">
        <f>E38+E42</f>
        <v>623241.11301700003</v>
      </c>
      <c r="F44" s="6">
        <f>F38+F42</f>
        <v>92.292319511927019</v>
      </c>
    </row>
    <row r="45" spans="1:6" x14ac:dyDescent="0.2">
      <c r="A45" s="7"/>
      <c r="B45" s="7"/>
      <c r="C45" s="7"/>
      <c r="D45" s="7"/>
      <c r="E45" s="7"/>
      <c r="F45" s="7"/>
    </row>
    <row r="46" spans="1:6" x14ac:dyDescent="0.2">
      <c r="A46" s="6" t="s">
        <v>103</v>
      </c>
      <c r="B46" s="7"/>
      <c r="C46" s="7"/>
      <c r="D46" s="7"/>
      <c r="E46" s="6">
        <v>52049.221339000003</v>
      </c>
      <c r="F46" s="17">
        <f t="shared" ref="F46" si="2">E46/$E$48*100</f>
        <v>7.7076804880729499</v>
      </c>
    </row>
    <row r="47" spans="1:6" x14ac:dyDescent="0.2">
      <c r="A47" s="7"/>
      <c r="B47" s="7"/>
      <c r="C47" s="7"/>
      <c r="D47" s="7"/>
      <c r="E47" s="7"/>
      <c r="F47" s="7"/>
    </row>
    <row r="48" spans="1:6" x14ac:dyDescent="0.2">
      <c r="A48" s="8" t="s">
        <v>104</v>
      </c>
      <c r="B48" s="5"/>
      <c r="C48" s="5"/>
      <c r="D48" s="5"/>
      <c r="E48" s="8">
        <f>E44+E46</f>
        <v>675290.33435600006</v>
      </c>
      <c r="F48" s="8">
        <f>F44+F46</f>
        <v>99.999999999999972</v>
      </c>
    </row>
    <row r="50" spans="1:5" x14ac:dyDescent="0.2">
      <c r="A50" s="4" t="s">
        <v>105</v>
      </c>
      <c r="B50" s="2"/>
      <c r="C50" s="2"/>
      <c r="D50" s="2"/>
    </row>
    <row r="51" spans="1:5" x14ac:dyDescent="0.2">
      <c r="A51" s="4" t="s">
        <v>106</v>
      </c>
      <c r="B51" s="2"/>
      <c r="C51" s="2"/>
      <c r="D51" s="2"/>
    </row>
    <row r="52" spans="1:5" x14ac:dyDescent="0.2">
      <c r="A52" s="4" t="s">
        <v>107</v>
      </c>
      <c r="B52" s="2"/>
      <c r="C52" s="2"/>
      <c r="D52" s="2"/>
    </row>
    <row r="53" spans="1:5" x14ac:dyDescent="0.2">
      <c r="A53" s="2" t="s">
        <v>666</v>
      </c>
      <c r="B53" s="2"/>
      <c r="C53" s="2"/>
      <c r="D53" s="10">
        <v>473.70269999999999</v>
      </c>
      <c r="E53" s="2"/>
    </row>
    <row r="54" spans="1:5" x14ac:dyDescent="0.2">
      <c r="A54" s="2" t="s">
        <v>667</v>
      </c>
      <c r="B54" s="2"/>
      <c r="C54" s="2"/>
      <c r="D54" s="10">
        <v>38.349400000000003</v>
      </c>
      <c r="E54" s="2"/>
    </row>
    <row r="55" spans="1:5" x14ac:dyDescent="0.2">
      <c r="A55" s="2" t="s">
        <v>668</v>
      </c>
      <c r="B55" s="2"/>
      <c r="C55" s="2"/>
      <c r="D55" s="10">
        <v>499.93450000000001</v>
      </c>
      <c r="E55" s="2"/>
    </row>
    <row r="56" spans="1:5" x14ac:dyDescent="0.2">
      <c r="A56" s="2" t="s">
        <v>669</v>
      </c>
      <c r="B56" s="2"/>
      <c r="C56" s="2"/>
      <c r="D56" s="10">
        <v>41.297400000000003</v>
      </c>
      <c r="E56" s="2"/>
    </row>
    <row r="57" spans="1:5" x14ac:dyDescent="0.2">
      <c r="A57" s="2"/>
      <c r="B57" s="2"/>
      <c r="C57" s="2"/>
      <c r="D57" s="10"/>
      <c r="E57" s="2"/>
    </row>
    <row r="58" spans="1:5" x14ac:dyDescent="0.2">
      <c r="A58" s="4" t="s">
        <v>108</v>
      </c>
      <c r="B58" s="2"/>
      <c r="C58" s="2"/>
      <c r="D58" s="2"/>
      <c r="E58" s="2"/>
    </row>
    <row r="59" spans="1:5" x14ac:dyDescent="0.2">
      <c r="A59" s="2" t="s">
        <v>666</v>
      </c>
      <c r="B59" s="2"/>
      <c r="C59" s="2"/>
      <c r="D59" s="10">
        <v>473.16980000000001</v>
      </c>
      <c r="E59" s="2"/>
    </row>
    <row r="60" spans="1:5" x14ac:dyDescent="0.2">
      <c r="A60" s="2" t="s">
        <v>667</v>
      </c>
      <c r="B60" s="2"/>
      <c r="C60" s="2"/>
      <c r="D60" s="10">
        <v>38.3063</v>
      </c>
      <c r="E60" s="2"/>
    </row>
    <row r="61" spans="1:5" x14ac:dyDescent="0.2">
      <c r="A61" s="2" t="s">
        <v>668</v>
      </c>
      <c r="B61" s="2"/>
      <c r="C61" s="2"/>
      <c r="D61" s="10">
        <v>501.24279999999999</v>
      </c>
      <c r="E61" s="2"/>
    </row>
    <row r="62" spans="1:5" x14ac:dyDescent="0.2">
      <c r="A62" s="2" t="s">
        <v>669</v>
      </c>
      <c r="B62" s="2"/>
      <c r="C62" s="2"/>
      <c r="D62" s="10">
        <v>41.4054</v>
      </c>
      <c r="E62" s="2"/>
    </row>
    <row r="63" spans="1:5" x14ac:dyDescent="0.2">
      <c r="A63" s="2"/>
      <c r="B63" s="2"/>
      <c r="C63" s="2"/>
      <c r="D63" s="2"/>
    </row>
    <row r="64" spans="1:5" x14ac:dyDescent="0.2">
      <c r="A64" s="4" t="s">
        <v>109</v>
      </c>
      <c r="B64" s="2"/>
      <c r="C64" s="2"/>
      <c r="D64" s="30" t="s">
        <v>110</v>
      </c>
    </row>
    <row r="65" spans="1:4" x14ac:dyDescent="0.2">
      <c r="A65" s="4"/>
      <c r="B65" s="2"/>
      <c r="C65" s="2"/>
      <c r="D65" s="30"/>
    </row>
    <row r="66" spans="1:4" x14ac:dyDescent="0.2">
      <c r="A66" s="9" t="s">
        <v>674</v>
      </c>
      <c r="B66" s="2"/>
      <c r="C66" s="2"/>
      <c r="D66" s="37">
        <v>0.26875588091911501</v>
      </c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</sheetData>
  <mergeCells count="1">
    <mergeCell ref="A1:F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2B7A-B8B3-4665-AA19-486D72E8A283}">
  <sheetPr codeName="Sheet13"/>
  <dimension ref="A1:F71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6.7109375" style="1" bestFit="1" customWidth="1"/>
    <col min="3" max="3" width="19.710937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111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112</v>
      </c>
      <c r="B8" s="7" t="s">
        <v>113</v>
      </c>
      <c r="C8" s="7" t="s">
        <v>11</v>
      </c>
      <c r="D8" s="7">
        <v>3700000</v>
      </c>
      <c r="E8" s="7">
        <v>12648.45</v>
      </c>
      <c r="F8" s="7">
        <v>10.013966858789617</v>
      </c>
    </row>
    <row r="9" spans="1:6" x14ac:dyDescent="0.2">
      <c r="A9" s="7" t="s">
        <v>114</v>
      </c>
      <c r="B9" s="7" t="s">
        <v>115</v>
      </c>
      <c r="C9" s="7" t="s">
        <v>11</v>
      </c>
      <c r="D9" s="7">
        <v>2200000</v>
      </c>
      <c r="E9" s="7">
        <v>11277.2</v>
      </c>
      <c r="F9" s="7">
        <v>8.9283277445016793</v>
      </c>
    </row>
    <row r="10" spans="1:6" x14ac:dyDescent="0.2">
      <c r="A10" s="7" t="s">
        <v>9</v>
      </c>
      <c r="B10" s="7" t="s">
        <v>10</v>
      </c>
      <c r="C10" s="7" t="s">
        <v>11</v>
      </c>
      <c r="D10" s="7">
        <v>550000</v>
      </c>
      <c r="E10" s="7">
        <v>7012.2250000000004</v>
      </c>
      <c r="F10" s="7">
        <v>5.5516833095261493</v>
      </c>
    </row>
    <row r="11" spans="1:6" x14ac:dyDescent="0.2">
      <c r="A11" s="7" t="s">
        <v>116</v>
      </c>
      <c r="B11" s="7" t="s">
        <v>117</v>
      </c>
      <c r="C11" s="7" t="s">
        <v>118</v>
      </c>
      <c r="D11" s="7">
        <v>5000000</v>
      </c>
      <c r="E11" s="7">
        <v>6570</v>
      </c>
      <c r="F11" s="7">
        <v>5.2015671692774834</v>
      </c>
    </row>
    <row r="12" spans="1:6" x14ac:dyDescent="0.2">
      <c r="A12" s="7" t="s">
        <v>119</v>
      </c>
      <c r="B12" s="7" t="s">
        <v>120</v>
      </c>
      <c r="C12" s="7" t="s">
        <v>43</v>
      </c>
      <c r="D12" s="7">
        <v>1400000</v>
      </c>
      <c r="E12" s="7">
        <v>6194.3</v>
      </c>
      <c r="F12" s="7">
        <v>4.9041198655487843</v>
      </c>
    </row>
    <row r="13" spans="1:6" x14ac:dyDescent="0.2">
      <c r="A13" s="7" t="s">
        <v>121</v>
      </c>
      <c r="B13" s="7" t="s">
        <v>122</v>
      </c>
      <c r="C13" s="7" t="s">
        <v>11</v>
      </c>
      <c r="D13" s="7">
        <v>800000</v>
      </c>
      <c r="E13" s="7">
        <v>5912.4</v>
      </c>
      <c r="F13" s="7">
        <v>4.6809354233845042</v>
      </c>
    </row>
    <row r="14" spans="1:6" x14ac:dyDescent="0.2">
      <c r="A14" s="7" t="s">
        <v>123</v>
      </c>
      <c r="B14" s="7" t="s">
        <v>124</v>
      </c>
      <c r="C14" s="7" t="s">
        <v>125</v>
      </c>
      <c r="D14" s="7">
        <v>5000000</v>
      </c>
      <c r="E14" s="7">
        <v>5817.5</v>
      </c>
      <c r="F14" s="7">
        <v>4.6058016753838293</v>
      </c>
    </row>
    <row r="15" spans="1:6" x14ac:dyDescent="0.2">
      <c r="A15" s="7" t="s">
        <v>126</v>
      </c>
      <c r="B15" s="7" t="s">
        <v>127</v>
      </c>
      <c r="C15" s="7" t="s">
        <v>59</v>
      </c>
      <c r="D15" s="7">
        <v>350000</v>
      </c>
      <c r="E15" s="7">
        <v>5327.5249999999996</v>
      </c>
      <c r="F15" s="7">
        <v>4.2178811466522106</v>
      </c>
    </row>
    <row r="16" spans="1:6" x14ac:dyDescent="0.2">
      <c r="A16" s="7" t="s">
        <v>128</v>
      </c>
      <c r="B16" s="7" t="s">
        <v>129</v>
      </c>
      <c r="C16" s="7" t="s">
        <v>118</v>
      </c>
      <c r="D16" s="7">
        <v>1000000</v>
      </c>
      <c r="E16" s="7">
        <v>5115.5</v>
      </c>
      <c r="F16" s="7">
        <v>4.0500177860637692</v>
      </c>
    </row>
    <row r="17" spans="1:6" x14ac:dyDescent="0.2">
      <c r="A17" s="7" t="s">
        <v>130</v>
      </c>
      <c r="B17" s="7" t="s">
        <v>131</v>
      </c>
      <c r="C17" s="7" t="s">
        <v>59</v>
      </c>
      <c r="D17" s="7">
        <v>110000</v>
      </c>
      <c r="E17" s="7">
        <v>4685.01</v>
      </c>
      <c r="F17" s="7">
        <v>3.7091924206600764</v>
      </c>
    </row>
    <row r="18" spans="1:6" x14ac:dyDescent="0.2">
      <c r="A18" s="7" t="s">
        <v>132</v>
      </c>
      <c r="B18" s="7" t="s">
        <v>133</v>
      </c>
      <c r="C18" s="7" t="s">
        <v>40</v>
      </c>
      <c r="D18" s="7">
        <v>800000</v>
      </c>
      <c r="E18" s="7">
        <v>4152.3999999999996</v>
      </c>
      <c r="F18" s="7">
        <v>3.2875171253740976</v>
      </c>
    </row>
    <row r="19" spans="1:6" x14ac:dyDescent="0.2">
      <c r="A19" s="7" t="s">
        <v>134</v>
      </c>
      <c r="B19" s="7" t="s">
        <v>135</v>
      </c>
      <c r="C19" s="7" t="s">
        <v>136</v>
      </c>
      <c r="D19" s="7">
        <v>1473024</v>
      </c>
      <c r="E19" s="7">
        <v>3999.2601599999998</v>
      </c>
      <c r="F19" s="7">
        <v>3.1662740258227422</v>
      </c>
    </row>
    <row r="20" spans="1:6" x14ac:dyDescent="0.2">
      <c r="A20" s="7" t="s">
        <v>41</v>
      </c>
      <c r="B20" s="7" t="s">
        <v>42</v>
      </c>
      <c r="C20" s="7" t="s">
        <v>43</v>
      </c>
      <c r="D20" s="7">
        <v>50000000</v>
      </c>
      <c r="E20" s="7">
        <v>3425</v>
      </c>
      <c r="F20" s="7">
        <v>2.7116236765259329</v>
      </c>
    </row>
    <row r="21" spans="1:6" x14ac:dyDescent="0.2">
      <c r="A21" s="7" t="s">
        <v>137</v>
      </c>
      <c r="B21" s="7" t="s">
        <v>138</v>
      </c>
      <c r="C21" s="7" t="s">
        <v>136</v>
      </c>
      <c r="D21" s="7">
        <v>2500000</v>
      </c>
      <c r="E21" s="7">
        <v>3151.25</v>
      </c>
      <c r="F21" s="7">
        <v>2.4948917111393709</v>
      </c>
    </row>
    <row r="22" spans="1:6" x14ac:dyDescent="0.2">
      <c r="A22" s="7" t="s">
        <v>139</v>
      </c>
      <c r="B22" s="7" t="s">
        <v>140</v>
      </c>
      <c r="C22" s="7" t="s">
        <v>56</v>
      </c>
      <c r="D22" s="7">
        <v>2300000</v>
      </c>
      <c r="E22" s="7">
        <v>3030.25</v>
      </c>
      <c r="F22" s="7">
        <v>2.3990942031511557</v>
      </c>
    </row>
    <row r="23" spans="1:6" x14ac:dyDescent="0.2">
      <c r="A23" s="7" t="s">
        <v>141</v>
      </c>
      <c r="B23" s="7" t="s">
        <v>142</v>
      </c>
      <c r="C23" s="7" t="s">
        <v>20</v>
      </c>
      <c r="D23" s="7">
        <v>648993</v>
      </c>
      <c r="E23" s="7">
        <v>2692.0229639999998</v>
      </c>
      <c r="F23" s="7">
        <v>2.1313148049442097</v>
      </c>
    </row>
    <row r="24" spans="1:6" x14ac:dyDescent="0.2">
      <c r="A24" s="7" t="s">
        <v>143</v>
      </c>
      <c r="B24" s="7" t="s">
        <v>144</v>
      </c>
      <c r="C24" s="7" t="s">
        <v>145</v>
      </c>
      <c r="D24" s="7">
        <v>2500000</v>
      </c>
      <c r="E24" s="7">
        <v>2635</v>
      </c>
      <c r="F24" s="7">
        <v>2.0861688723053526</v>
      </c>
    </row>
    <row r="25" spans="1:6" x14ac:dyDescent="0.2">
      <c r="A25" s="7" t="s">
        <v>146</v>
      </c>
      <c r="B25" s="7" t="s">
        <v>147</v>
      </c>
      <c r="C25" s="7" t="s">
        <v>59</v>
      </c>
      <c r="D25" s="7">
        <v>825000</v>
      </c>
      <c r="E25" s="7">
        <v>2401.1624999999999</v>
      </c>
      <c r="F25" s="7">
        <v>1.9010362295434162</v>
      </c>
    </row>
    <row r="26" spans="1:6" x14ac:dyDescent="0.2">
      <c r="A26" s="7" t="s">
        <v>148</v>
      </c>
      <c r="B26" s="7" t="s">
        <v>149</v>
      </c>
      <c r="C26" s="7" t="s">
        <v>25</v>
      </c>
      <c r="D26" s="7">
        <v>600000</v>
      </c>
      <c r="E26" s="7">
        <v>2111.1</v>
      </c>
      <c r="F26" s="7">
        <v>1.6713894141646413</v>
      </c>
    </row>
    <row r="27" spans="1:6" x14ac:dyDescent="0.2">
      <c r="A27" s="7" t="s">
        <v>150</v>
      </c>
      <c r="B27" s="7" t="s">
        <v>151</v>
      </c>
      <c r="C27" s="7" t="s">
        <v>40</v>
      </c>
      <c r="D27" s="7">
        <v>500000</v>
      </c>
      <c r="E27" s="7">
        <v>1838.25</v>
      </c>
      <c r="F27" s="7">
        <v>1.4553699922259258</v>
      </c>
    </row>
    <row r="28" spans="1:6" x14ac:dyDescent="0.2">
      <c r="A28" s="7" t="s">
        <v>152</v>
      </c>
      <c r="B28" s="7" t="s">
        <v>153</v>
      </c>
      <c r="C28" s="7" t="s">
        <v>145</v>
      </c>
      <c r="D28" s="7">
        <v>2000000</v>
      </c>
      <c r="E28" s="7">
        <v>1800</v>
      </c>
      <c r="F28" s="7">
        <v>1.4250868956924612</v>
      </c>
    </row>
    <row r="29" spans="1:6" x14ac:dyDescent="0.2">
      <c r="A29" s="7" t="s">
        <v>154</v>
      </c>
      <c r="B29" s="7" t="s">
        <v>623</v>
      </c>
      <c r="C29" s="7" t="s">
        <v>37</v>
      </c>
      <c r="D29" s="7">
        <v>2200000</v>
      </c>
      <c r="E29" s="7">
        <v>1569.7</v>
      </c>
      <c r="F29" s="7">
        <v>1.2427549445380313</v>
      </c>
    </row>
    <row r="30" spans="1:6" x14ac:dyDescent="0.2">
      <c r="A30" s="7" t="s">
        <v>155</v>
      </c>
      <c r="B30" s="7" t="s">
        <v>156</v>
      </c>
      <c r="C30" s="7" t="s">
        <v>28</v>
      </c>
      <c r="D30" s="7">
        <v>3500000</v>
      </c>
      <c r="E30" s="7">
        <v>1554</v>
      </c>
      <c r="F30" s="7">
        <v>1.2303250199478248</v>
      </c>
    </row>
    <row r="31" spans="1:6" x14ac:dyDescent="0.2">
      <c r="A31" s="7" t="s">
        <v>157</v>
      </c>
      <c r="B31" s="7" t="s">
        <v>158</v>
      </c>
      <c r="C31" s="7" t="s">
        <v>40</v>
      </c>
      <c r="D31" s="7">
        <v>1600000</v>
      </c>
      <c r="E31" s="7">
        <v>1530.4</v>
      </c>
      <c r="F31" s="7">
        <v>1.2116405473154126</v>
      </c>
    </row>
    <row r="32" spans="1:6" x14ac:dyDescent="0.2">
      <c r="A32" s="7" t="s">
        <v>159</v>
      </c>
      <c r="B32" s="7" t="s">
        <v>160</v>
      </c>
      <c r="C32" s="7" t="s">
        <v>40</v>
      </c>
      <c r="D32" s="7">
        <v>35000</v>
      </c>
      <c r="E32" s="7">
        <v>1521.7650000000001</v>
      </c>
      <c r="F32" s="7">
        <v>1.2048040887907989</v>
      </c>
    </row>
    <row r="33" spans="1:6" x14ac:dyDescent="0.2">
      <c r="A33" s="7" t="s">
        <v>161</v>
      </c>
      <c r="B33" s="7" t="s">
        <v>162</v>
      </c>
      <c r="C33" s="7" t="s">
        <v>145</v>
      </c>
      <c r="D33" s="7">
        <v>1500000</v>
      </c>
      <c r="E33" s="7">
        <v>1518</v>
      </c>
      <c r="F33" s="7">
        <v>1.2018232820339754</v>
      </c>
    </row>
    <row r="34" spans="1:6" x14ac:dyDescent="0.2">
      <c r="A34" s="7" t="s">
        <v>26</v>
      </c>
      <c r="B34" s="7" t="s">
        <v>27</v>
      </c>
      <c r="C34" s="7" t="s">
        <v>28</v>
      </c>
      <c r="D34" s="7">
        <v>700000</v>
      </c>
      <c r="E34" s="7">
        <v>1401.05</v>
      </c>
      <c r="F34" s="7">
        <v>1.109232219561068</v>
      </c>
    </row>
    <row r="35" spans="1:6" x14ac:dyDescent="0.2">
      <c r="A35" s="7" t="s">
        <v>163</v>
      </c>
      <c r="B35" s="7" t="s">
        <v>164</v>
      </c>
      <c r="C35" s="7" t="s">
        <v>20</v>
      </c>
      <c r="D35" s="7">
        <v>2100000</v>
      </c>
      <c r="E35" s="7">
        <v>1359.75</v>
      </c>
      <c r="F35" s="7">
        <v>1.0765343924543467</v>
      </c>
    </row>
    <row r="36" spans="1:6" x14ac:dyDescent="0.2">
      <c r="A36" s="7" t="s">
        <v>165</v>
      </c>
      <c r="B36" s="7" t="s">
        <v>166</v>
      </c>
      <c r="C36" s="7" t="s">
        <v>20</v>
      </c>
      <c r="D36" s="7">
        <v>2000000</v>
      </c>
      <c r="E36" s="7">
        <v>1210</v>
      </c>
      <c r="F36" s="7">
        <v>0.95797507988215436</v>
      </c>
    </row>
    <row r="37" spans="1:6" x14ac:dyDescent="0.2">
      <c r="A37" s="7" t="s">
        <v>167</v>
      </c>
      <c r="B37" s="7" t="s">
        <v>168</v>
      </c>
      <c r="C37" s="7" t="s">
        <v>20</v>
      </c>
      <c r="D37" s="7">
        <v>550000</v>
      </c>
      <c r="E37" s="7">
        <v>1182.2249999999999</v>
      </c>
      <c r="F37" s="7">
        <v>0.93598519736667762</v>
      </c>
    </row>
    <row r="38" spans="1:6" x14ac:dyDescent="0.2">
      <c r="A38" s="7" t="s">
        <v>169</v>
      </c>
      <c r="B38" s="7" t="s">
        <v>170</v>
      </c>
      <c r="C38" s="7" t="s">
        <v>145</v>
      </c>
      <c r="D38" s="7">
        <v>200000</v>
      </c>
      <c r="E38" s="7">
        <v>1158</v>
      </c>
      <c r="F38" s="7">
        <v>0.91680590289548325</v>
      </c>
    </row>
    <row r="39" spans="1:6" x14ac:dyDescent="0.2">
      <c r="A39" s="7" t="s">
        <v>171</v>
      </c>
      <c r="B39" s="7" t="s">
        <v>172</v>
      </c>
      <c r="C39" s="7" t="s">
        <v>40</v>
      </c>
      <c r="D39" s="7">
        <v>250000</v>
      </c>
      <c r="E39" s="7">
        <v>904.5</v>
      </c>
      <c r="F39" s="7">
        <v>0.71610616508546177</v>
      </c>
    </row>
    <row r="40" spans="1:6" x14ac:dyDescent="0.2">
      <c r="A40" s="7" t="s">
        <v>173</v>
      </c>
      <c r="B40" s="7" t="s">
        <v>174</v>
      </c>
      <c r="C40" s="7" t="s">
        <v>25</v>
      </c>
      <c r="D40" s="7">
        <v>600000</v>
      </c>
      <c r="E40" s="7">
        <v>890.1</v>
      </c>
      <c r="F40" s="7">
        <v>0.70470546991992211</v>
      </c>
    </row>
    <row r="41" spans="1:6" x14ac:dyDescent="0.2">
      <c r="A41" s="7" t="s">
        <v>175</v>
      </c>
      <c r="B41" s="7" t="s">
        <v>176</v>
      </c>
      <c r="C41" s="7" t="s">
        <v>11</v>
      </c>
      <c r="D41" s="7">
        <v>1100000</v>
      </c>
      <c r="E41" s="7">
        <v>721.6</v>
      </c>
      <c r="F41" s="7">
        <v>0.57130150218426667</v>
      </c>
    </row>
    <row r="42" spans="1:6" x14ac:dyDescent="0.2">
      <c r="A42" s="7" t="s">
        <v>177</v>
      </c>
      <c r="B42" s="7" t="s">
        <v>178</v>
      </c>
      <c r="C42" s="7" t="s">
        <v>179</v>
      </c>
      <c r="D42" s="7">
        <v>139053</v>
      </c>
      <c r="E42" s="7">
        <v>557.95016250000003</v>
      </c>
      <c r="F42" s="7">
        <v>0.44173748057123846</v>
      </c>
    </row>
    <row r="43" spans="1:6" x14ac:dyDescent="0.2">
      <c r="A43" s="7" t="s">
        <v>180</v>
      </c>
      <c r="B43" s="7" t="s">
        <v>181</v>
      </c>
      <c r="C43" s="7" t="s">
        <v>72</v>
      </c>
      <c r="D43" s="7">
        <v>400000</v>
      </c>
      <c r="E43" s="7">
        <v>299.39999999999998</v>
      </c>
      <c r="F43" s="7">
        <v>0.23703945365017937</v>
      </c>
    </row>
    <row r="44" spans="1:6" x14ac:dyDescent="0.2">
      <c r="A44" s="6" t="s">
        <v>44</v>
      </c>
      <c r="B44" s="7"/>
      <c r="C44" s="7"/>
      <c r="D44" s="7"/>
      <c r="E44" s="6">
        <f xml:space="preserve"> SUM(E8:E43)</f>
        <v>119174.24578650002</v>
      </c>
      <c r="F44" s="6">
        <f>SUM(F8:F43)</f>
        <v>94.352031096874242</v>
      </c>
    </row>
    <row r="45" spans="1:6" x14ac:dyDescent="0.2">
      <c r="A45" s="7"/>
      <c r="B45" s="7"/>
      <c r="C45" s="7"/>
      <c r="D45" s="7"/>
      <c r="E45" s="7"/>
      <c r="F45" s="7"/>
    </row>
    <row r="46" spans="1:6" x14ac:dyDescent="0.2">
      <c r="A46" s="6" t="s">
        <v>44</v>
      </c>
      <c r="B46" s="7"/>
      <c r="C46" s="7"/>
      <c r="D46" s="7"/>
      <c r="E46" s="6">
        <v>119174.24578650002</v>
      </c>
      <c r="F46" s="6">
        <v>94.352031096874242</v>
      </c>
    </row>
    <row r="47" spans="1:6" x14ac:dyDescent="0.2">
      <c r="A47" s="7"/>
      <c r="B47" s="7"/>
      <c r="C47" s="7"/>
      <c r="D47" s="7"/>
      <c r="E47" s="7"/>
      <c r="F47" s="7"/>
    </row>
    <row r="48" spans="1:6" x14ac:dyDescent="0.2">
      <c r="A48" s="6" t="s">
        <v>103</v>
      </c>
      <c r="B48" s="7"/>
      <c r="C48" s="7"/>
      <c r="D48" s="7"/>
      <c r="E48" s="6">
        <v>7133.8414916000002</v>
      </c>
      <c r="F48" s="6">
        <v>5.65</v>
      </c>
    </row>
    <row r="49" spans="1:6" x14ac:dyDescent="0.2">
      <c r="A49" s="7"/>
      <c r="B49" s="7"/>
      <c r="C49" s="7"/>
      <c r="D49" s="7"/>
      <c r="E49" s="7"/>
      <c r="F49" s="7"/>
    </row>
    <row r="50" spans="1:6" x14ac:dyDescent="0.2">
      <c r="A50" s="8" t="s">
        <v>104</v>
      </c>
      <c r="B50" s="5"/>
      <c r="C50" s="5"/>
      <c r="D50" s="5"/>
      <c r="E50" s="8">
        <v>126308.08727810002</v>
      </c>
      <c r="F50" s="8">
        <f xml:space="preserve"> ROUND(SUM(F46:F49),2)</f>
        <v>100</v>
      </c>
    </row>
    <row r="52" spans="1:6" x14ac:dyDescent="0.2">
      <c r="A52" s="4" t="s">
        <v>105</v>
      </c>
      <c r="B52" s="2"/>
      <c r="C52" s="2"/>
      <c r="D52" s="2"/>
    </row>
    <row r="53" spans="1:6" x14ac:dyDescent="0.2">
      <c r="A53" s="4" t="s">
        <v>106</v>
      </c>
      <c r="B53" s="2"/>
      <c r="C53" s="2"/>
      <c r="D53" s="2"/>
    </row>
    <row r="54" spans="1:6" x14ac:dyDescent="0.2">
      <c r="A54" s="4" t="s">
        <v>107</v>
      </c>
      <c r="B54" s="2"/>
      <c r="C54" s="2"/>
      <c r="D54" s="2"/>
    </row>
    <row r="55" spans="1:6" x14ac:dyDescent="0.2">
      <c r="A55" s="2" t="s">
        <v>666</v>
      </c>
      <c r="B55" s="2"/>
      <c r="C55" s="2"/>
      <c r="D55" s="10">
        <v>44.634500000000003</v>
      </c>
      <c r="E55" s="2"/>
    </row>
    <row r="56" spans="1:6" x14ac:dyDescent="0.2">
      <c r="A56" s="2" t="s">
        <v>667</v>
      </c>
      <c r="B56" s="2"/>
      <c r="C56" s="2"/>
      <c r="D56" s="10">
        <v>23.198499999999999</v>
      </c>
      <c r="E56" s="2"/>
    </row>
    <row r="57" spans="1:6" x14ac:dyDescent="0.2">
      <c r="A57" s="2" t="s">
        <v>668</v>
      </c>
      <c r="B57" s="2"/>
      <c r="C57" s="2"/>
      <c r="D57" s="10">
        <v>48.142000000000003</v>
      </c>
      <c r="E57" s="2"/>
    </row>
    <row r="58" spans="1:6" x14ac:dyDescent="0.2">
      <c r="A58" s="2" t="s">
        <v>669</v>
      </c>
      <c r="B58" s="2"/>
      <c r="C58" s="2"/>
      <c r="D58" s="10">
        <v>25.614999999999998</v>
      </c>
      <c r="E58" s="2"/>
    </row>
    <row r="59" spans="1:6" x14ac:dyDescent="0.2">
      <c r="A59" s="2"/>
      <c r="B59" s="2"/>
      <c r="C59" s="2"/>
      <c r="D59" s="10"/>
      <c r="E59" s="2"/>
    </row>
    <row r="60" spans="1:6" x14ac:dyDescent="0.2">
      <c r="A60" s="4" t="s">
        <v>108</v>
      </c>
      <c r="B60" s="2"/>
      <c r="C60" s="2"/>
      <c r="D60" s="2"/>
      <c r="E60" s="2"/>
    </row>
    <row r="61" spans="1:6" x14ac:dyDescent="0.2">
      <c r="A61" s="2" t="s">
        <v>666</v>
      </c>
      <c r="B61" s="2"/>
      <c r="C61" s="2"/>
      <c r="D61" s="10">
        <v>42.326700000000002</v>
      </c>
      <c r="E61" s="2"/>
    </row>
    <row r="62" spans="1:6" x14ac:dyDescent="0.2">
      <c r="A62" s="2" t="s">
        <v>667</v>
      </c>
      <c r="B62" s="2"/>
      <c r="C62" s="2"/>
      <c r="D62" s="10">
        <v>21.998999999999999</v>
      </c>
      <c r="E62" s="2"/>
    </row>
    <row r="63" spans="1:6" x14ac:dyDescent="0.2">
      <c r="A63" s="2" t="s">
        <v>668</v>
      </c>
      <c r="B63" s="2"/>
      <c r="C63" s="2"/>
      <c r="D63" s="10">
        <v>45.906199999999998</v>
      </c>
      <c r="E63" s="2"/>
    </row>
    <row r="64" spans="1:6" x14ac:dyDescent="0.2">
      <c r="A64" s="2" t="s">
        <v>669</v>
      </c>
      <c r="B64" s="2"/>
      <c r="C64" s="2"/>
      <c r="D64" s="10">
        <v>24.425000000000001</v>
      </c>
      <c r="E64" s="2"/>
    </row>
    <row r="65" spans="1:4" x14ac:dyDescent="0.2">
      <c r="A65" s="2"/>
      <c r="B65" s="2"/>
      <c r="C65" s="2"/>
      <c r="D65" s="2"/>
    </row>
    <row r="66" spans="1:4" x14ac:dyDescent="0.2">
      <c r="A66" s="4" t="s">
        <v>109</v>
      </c>
      <c r="B66" s="2"/>
      <c r="C66" s="2"/>
      <c r="D66" s="30" t="s">
        <v>110</v>
      </c>
    </row>
    <row r="67" spans="1:4" x14ac:dyDescent="0.2">
      <c r="A67" s="4"/>
      <c r="B67" s="2"/>
      <c r="C67" s="2"/>
      <c r="D67" s="30"/>
    </row>
    <row r="68" spans="1:4" x14ac:dyDescent="0.2">
      <c r="A68" s="9" t="s">
        <v>674</v>
      </c>
      <c r="B68" s="2"/>
      <c r="C68" s="2"/>
      <c r="D68" s="37">
        <v>0.15277548822553483</v>
      </c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71" spans="1:4" x14ac:dyDescent="0.2">
      <c r="A71" s="2"/>
      <c r="B71" s="2"/>
      <c r="C71" s="2"/>
      <c r="D71" s="2"/>
    </row>
  </sheetData>
  <mergeCells count="1">
    <mergeCell ref="A1:F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6ECA-052A-4C41-85CD-B1C43D8FF241}">
  <sheetPr codeName="Sheet14"/>
  <dimension ref="A1:F85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45" style="1" bestFit="1" customWidth="1"/>
    <col min="3" max="3" width="40.14062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98" t="s">
        <v>0</v>
      </c>
      <c r="B1" s="98"/>
      <c r="C1" s="98"/>
      <c r="D1" s="98"/>
      <c r="E1" s="98"/>
      <c r="F1" s="98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49254</v>
      </c>
      <c r="E8" s="7">
        <v>627.96387300000004</v>
      </c>
      <c r="F8" s="7">
        <f>E8/$E$63*100</f>
        <v>4.8815506393228469</v>
      </c>
    </row>
    <row r="9" spans="1:6" x14ac:dyDescent="0.2">
      <c r="A9" s="7" t="s">
        <v>12</v>
      </c>
      <c r="B9" s="7" t="s">
        <v>13</v>
      </c>
      <c r="C9" s="7" t="s">
        <v>14</v>
      </c>
      <c r="D9" s="7">
        <v>41457</v>
      </c>
      <c r="E9" s="7">
        <v>215.825142</v>
      </c>
      <c r="F9" s="7">
        <f t="shared" ref="F9:F19" si="0">E9/$E$63*100</f>
        <v>1.6777419931481381</v>
      </c>
    </row>
    <row r="10" spans="1:6" x14ac:dyDescent="0.2">
      <c r="A10" s="7" t="s">
        <v>15</v>
      </c>
      <c r="B10" s="7" t="s">
        <v>16</v>
      </c>
      <c r="C10" s="7" t="s">
        <v>17</v>
      </c>
      <c r="D10" s="7">
        <v>134100</v>
      </c>
      <c r="E10" s="7">
        <v>200.34540000000001</v>
      </c>
      <c r="F10" s="7">
        <f t="shared" si="0"/>
        <v>1.5574084075619927</v>
      </c>
    </row>
    <row r="11" spans="1:6" x14ac:dyDescent="0.2">
      <c r="A11" s="7" t="s">
        <v>18</v>
      </c>
      <c r="B11" s="7" t="s">
        <v>19</v>
      </c>
      <c r="C11" s="7" t="s">
        <v>20</v>
      </c>
      <c r="D11" s="7">
        <v>27999</v>
      </c>
      <c r="E11" s="7">
        <v>144.726831</v>
      </c>
      <c r="F11" s="7">
        <f t="shared" si="0"/>
        <v>1.1250509539984628</v>
      </c>
    </row>
    <row r="12" spans="1:6" x14ac:dyDescent="0.2">
      <c r="A12" s="7" t="s">
        <v>21</v>
      </c>
      <c r="B12" s="7" t="s">
        <v>22</v>
      </c>
      <c r="C12" s="7" t="s">
        <v>11</v>
      </c>
      <c r="D12" s="7">
        <v>8892</v>
      </c>
      <c r="E12" s="7">
        <v>143.62358399999999</v>
      </c>
      <c r="F12" s="7">
        <f t="shared" si="0"/>
        <v>1.116474734362686</v>
      </c>
    </row>
    <row r="13" spans="1:6" x14ac:dyDescent="0.2">
      <c r="A13" s="7" t="s">
        <v>23</v>
      </c>
      <c r="B13" s="7" t="s">
        <v>24</v>
      </c>
      <c r="C13" s="7" t="s">
        <v>25</v>
      </c>
      <c r="D13" s="7">
        <v>15620</v>
      </c>
      <c r="E13" s="7">
        <v>120.07875</v>
      </c>
      <c r="F13" s="7">
        <f t="shared" si="0"/>
        <v>0.93344621248870518</v>
      </c>
    </row>
    <row r="14" spans="1:6" x14ac:dyDescent="0.2">
      <c r="A14" s="7" t="s">
        <v>26</v>
      </c>
      <c r="B14" s="7" t="s">
        <v>27</v>
      </c>
      <c r="C14" s="7" t="s">
        <v>28</v>
      </c>
      <c r="D14" s="7">
        <v>56959</v>
      </c>
      <c r="E14" s="7">
        <v>114.0034385</v>
      </c>
      <c r="F14" s="7">
        <f t="shared" si="0"/>
        <v>0.88621906772442283</v>
      </c>
    </row>
    <row r="15" spans="1:6" x14ac:dyDescent="0.2">
      <c r="A15" s="7" t="s">
        <v>29</v>
      </c>
      <c r="B15" s="7" t="s">
        <v>30</v>
      </c>
      <c r="C15" s="7" t="s">
        <v>31</v>
      </c>
      <c r="D15" s="7">
        <v>37307</v>
      </c>
      <c r="E15" s="7">
        <v>110.503334</v>
      </c>
      <c r="F15" s="7">
        <f t="shared" si="0"/>
        <v>0.85901059587707529</v>
      </c>
    </row>
    <row r="16" spans="1:6" x14ac:dyDescent="0.2">
      <c r="A16" s="7" t="s">
        <v>32</v>
      </c>
      <c r="B16" s="7" t="s">
        <v>33</v>
      </c>
      <c r="C16" s="7" t="s">
        <v>34</v>
      </c>
      <c r="D16" s="7">
        <v>30332</v>
      </c>
      <c r="E16" s="7">
        <v>98.017858000000004</v>
      </c>
      <c r="F16" s="7">
        <f t="shared" si="0"/>
        <v>0.7619532873747914</v>
      </c>
    </row>
    <row r="17" spans="1:6" x14ac:dyDescent="0.2">
      <c r="A17" s="7" t="s">
        <v>35</v>
      </c>
      <c r="B17" s="7" t="s">
        <v>36</v>
      </c>
      <c r="C17" s="7" t="s">
        <v>37</v>
      </c>
      <c r="D17" s="7">
        <v>54279</v>
      </c>
      <c r="E17" s="7">
        <v>87.660584999999998</v>
      </c>
      <c r="F17" s="7">
        <f t="shared" si="0"/>
        <v>0.68143981389541608</v>
      </c>
    </row>
    <row r="18" spans="1:6" x14ac:dyDescent="0.2">
      <c r="A18" s="7" t="s">
        <v>38</v>
      </c>
      <c r="B18" s="7" t="s">
        <v>39</v>
      </c>
      <c r="C18" s="7" t="s">
        <v>40</v>
      </c>
      <c r="D18" s="7">
        <v>15402</v>
      </c>
      <c r="E18" s="7">
        <v>83.517345000000006</v>
      </c>
      <c r="F18" s="7">
        <f t="shared" si="0"/>
        <v>0.64923185299116215</v>
      </c>
    </row>
    <row r="19" spans="1:6" x14ac:dyDescent="0.2">
      <c r="A19" s="7" t="s">
        <v>41</v>
      </c>
      <c r="B19" s="7" t="s">
        <v>42</v>
      </c>
      <c r="C19" s="7" t="s">
        <v>43</v>
      </c>
      <c r="D19" s="7">
        <v>668809</v>
      </c>
      <c r="E19" s="7">
        <v>45.813416500000002</v>
      </c>
      <c r="F19" s="7">
        <f t="shared" si="0"/>
        <v>0.35613595338969262</v>
      </c>
    </row>
    <row r="20" spans="1:6" x14ac:dyDescent="0.2">
      <c r="A20" s="6" t="s">
        <v>44</v>
      </c>
      <c r="B20" s="7"/>
      <c r="C20" s="7"/>
      <c r="D20" s="7"/>
      <c r="E20" s="6">
        <f xml:space="preserve"> SUM(E8:E19)</f>
        <v>1992.0795569999996</v>
      </c>
      <c r="F20" s="6">
        <f>SUM(F8:F19)</f>
        <v>15.485663512135392</v>
      </c>
    </row>
    <row r="21" spans="1:6" x14ac:dyDescent="0.2">
      <c r="A21" s="7"/>
      <c r="B21" s="7"/>
      <c r="C21" s="7"/>
      <c r="D21" s="7"/>
      <c r="E21" s="7"/>
      <c r="F21" s="7"/>
    </row>
    <row r="22" spans="1:6" x14ac:dyDescent="0.2">
      <c r="A22" s="6" t="s">
        <v>45</v>
      </c>
      <c r="B22" s="7"/>
      <c r="C22" s="7"/>
      <c r="D22" s="7"/>
      <c r="E22" s="7"/>
      <c r="F22" s="7"/>
    </row>
    <row r="23" spans="1:6" x14ac:dyDescent="0.2">
      <c r="A23" s="7" t="s">
        <v>98</v>
      </c>
      <c r="B23" s="7" t="s">
        <v>99</v>
      </c>
      <c r="C23" s="7" t="s">
        <v>14</v>
      </c>
      <c r="D23" s="7">
        <v>9063</v>
      </c>
      <c r="E23" s="7">
        <v>1307.4188696000001</v>
      </c>
      <c r="F23" s="7">
        <f t="shared" ref="F23:F55" si="1">E23/$E$63*100</f>
        <v>10.163373552476058</v>
      </c>
    </row>
    <row r="24" spans="1:6" x14ac:dyDescent="0.2">
      <c r="A24" s="7" t="s">
        <v>91</v>
      </c>
      <c r="B24" s="7" t="s">
        <v>92</v>
      </c>
      <c r="C24" s="7" t="s">
        <v>77</v>
      </c>
      <c r="D24" s="7">
        <v>146714</v>
      </c>
      <c r="E24" s="7">
        <v>1053.5054404</v>
      </c>
      <c r="F24" s="7">
        <f t="shared" si="1"/>
        <v>8.1895478024015524</v>
      </c>
    </row>
    <row r="25" spans="1:6" x14ac:dyDescent="0.2">
      <c r="A25" s="7" t="s">
        <v>634</v>
      </c>
      <c r="B25" s="7" t="s">
        <v>631</v>
      </c>
      <c r="C25" s="7" t="s">
        <v>77</v>
      </c>
      <c r="D25" s="7">
        <v>32100</v>
      </c>
      <c r="E25" s="7">
        <v>983.23185439999997</v>
      </c>
      <c r="F25" s="7">
        <f t="shared" si="1"/>
        <v>7.643267859533232</v>
      </c>
    </row>
    <row r="26" spans="1:6" x14ac:dyDescent="0.2">
      <c r="A26" s="7" t="s">
        <v>78</v>
      </c>
      <c r="B26" s="7" t="s">
        <v>79</v>
      </c>
      <c r="C26" s="7" t="s">
        <v>80</v>
      </c>
      <c r="D26" s="7">
        <v>31700</v>
      </c>
      <c r="E26" s="7">
        <v>965.44855740000003</v>
      </c>
      <c r="F26" s="7">
        <f t="shared" si="1"/>
        <v>7.5050273196357749</v>
      </c>
    </row>
    <row r="27" spans="1:6" x14ac:dyDescent="0.2">
      <c r="A27" s="7" t="s">
        <v>50</v>
      </c>
      <c r="B27" s="7" t="s">
        <v>51</v>
      </c>
      <c r="C27" s="7" t="s">
        <v>25</v>
      </c>
      <c r="D27" s="7">
        <v>132124</v>
      </c>
      <c r="E27" s="7">
        <v>950.80459089999999</v>
      </c>
      <c r="F27" s="7">
        <f t="shared" si="1"/>
        <v>7.391190732685657</v>
      </c>
    </row>
    <row r="28" spans="1:6" x14ac:dyDescent="0.2">
      <c r="A28" s="7" t="s">
        <v>48</v>
      </c>
      <c r="B28" s="7" t="s">
        <v>49</v>
      </c>
      <c r="C28" s="7" t="s">
        <v>25</v>
      </c>
      <c r="D28" s="7">
        <v>80310</v>
      </c>
      <c r="E28" s="7">
        <v>653.86296549999997</v>
      </c>
      <c r="F28" s="7">
        <f t="shared" si="1"/>
        <v>5.0828802650977618</v>
      </c>
    </row>
    <row r="29" spans="1:6" x14ac:dyDescent="0.2">
      <c r="A29" s="7" t="s">
        <v>100</v>
      </c>
      <c r="B29" s="7" t="s">
        <v>101</v>
      </c>
      <c r="C29" s="7" t="s">
        <v>102</v>
      </c>
      <c r="D29" s="7">
        <v>3660</v>
      </c>
      <c r="E29" s="7">
        <v>326.6993276</v>
      </c>
      <c r="F29" s="7">
        <f t="shared" si="1"/>
        <v>2.5396354473279135</v>
      </c>
    </row>
    <row r="30" spans="1:6" x14ac:dyDescent="0.2">
      <c r="A30" s="7" t="s">
        <v>62</v>
      </c>
      <c r="B30" s="7" t="s">
        <v>63</v>
      </c>
      <c r="C30" s="7" t="s">
        <v>11</v>
      </c>
      <c r="D30" s="7">
        <v>195429</v>
      </c>
      <c r="E30" s="7">
        <v>312.52276899999998</v>
      </c>
      <c r="F30" s="7">
        <f t="shared" si="1"/>
        <v>2.4294323103757534</v>
      </c>
    </row>
    <row r="31" spans="1:6" x14ac:dyDescent="0.2">
      <c r="A31" s="7" t="s">
        <v>658</v>
      </c>
      <c r="B31" s="7" t="s">
        <v>651</v>
      </c>
      <c r="C31" s="7" t="s">
        <v>11</v>
      </c>
      <c r="D31" s="7">
        <v>131360</v>
      </c>
      <c r="E31" s="7">
        <v>281.69559419999996</v>
      </c>
      <c r="F31" s="7">
        <f t="shared" si="1"/>
        <v>2.1897936602500043</v>
      </c>
    </row>
    <row r="32" spans="1:6" x14ac:dyDescent="0.2">
      <c r="A32" s="7" t="s">
        <v>636</v>
      </c>
      <c r="B32" s="7" t="s">
        <v>637</v>
      </c>
      <c r="C32" s="7" t="s">
        <v>80</v>
      </c>
      <c r="D32" s="7">
        <v>14600</v>
      </c>
      <c r="E32" s="7">
        <v>273.83914720000001</v>
      </c>
      <c r="F32" s="7">
        <f t="shared" si="1"/>
        <v>2.1287206502813945</v>
      </c>
    </row>
    <row r="33" spans="1:6" x14ac:dyDescent="0.2">
      <c r="A33" s="7" t="s">
        <v>664</v>
      </c>
      <c r="B33" s="7" t="s">
        <v>657</v>
      </c>
      <c r="C33" s="7" t="s">
        <v>145</v>
      </c>
      <c r="D33" s="7">
        <v>10238</v>
      </c>
      <c r="E33" s="7">
        <v>243.65333889999999</v>
      </c>
      <c r="F33" s="7">
        <f t="shared" si="1"/>
        <v>1.8940677376840773</v>
      </c>
    </row>
    <row r="34" spans="1:6" x14ac:dyDescent="0.2">
      <c r="A34" s="7" t="s">
        <v>83</v>
      </c>
      <c r="B34" s="7" t="s">
        <v>84</v>
      </c>
      <c r="C34" s="7" t="s">
        <v>11</v>
      </c>
      <c r="D34" s="7">
        <v>17142</v>
      </c>
      <c r="E34" s="7">
        <v>227.60211809999998</v>
      </c>
      <c r="F34" s="7">
        <f t="shared" si="1"/>
        <v>1.7692916947823984</v>
      </c>
    </row>
    <row r="35" spans="1:6" x14ac:dyDescent="0.2">
      <c r="A35" s="7" t="s">
        <v>46</v>
      </c>
      <c r="B35" s="7" t="s">
        <v>47</v>
      </c>
      <c r="C35" s="7" t="s">
        <v>11</v>
      </c>
      <c r="D35" s="7">
        <v>67000</v>
      </c>
      <c r="E35" s="7">
        <v>227.54642719999998</v>
      </c>
      <c r="F35" s="7">
        <f t="shared" si="1"/>
        <v>1.7688587750553437</v>
      </c>
    </row>
    <row r="36" spans="1:6" x14ac:dyDescent="0.2">
      <c r="A36" s="7" t="s">
        <v>85</v>
      </c>
      <c r="B36" s="7" t="s">
        <v>86</v>
      </c>
      <c r="C36" s="7" t="s">
        <v>59</v>
      </c>
      <c r="D36" s="7">
        <v>23512</v>
      </c>
      <c r="E36" s="7">
        <v>212.9747107</v>
      </c>
      <c r="F36" s="7">
        <f t="shared" si="1"/>
        <v>1.6555838319335663</v>
      </c>
    </row>
    <row r="37" spans="1:6" x14ac:dyDescent="0.2">
      <c r="A37" s="7" t="s">
        <v>52</v>
      </c>
      <c r="B37" s="7" t="s">
        <v>53</v>
      </c>
      <c r="C37" s="7" t="s">
        <v>14</v>
      </c>
      <c r="D37" s="7">
        <v>37521</v>
      </c>
      <c r="E37" s="7">
        <v>202.68161949999998</v>
      </c>
      <c r="F37" s="7">
        <f t="shared" si="1"/>
        <v>1.5755692831858414</v>
      </c>
    </row>
    <row r="38" spans="1:6" x14ac:dyDescent="0.2">
      <c r="A38" s="7" t="s">
        <v>87</v>
      </c>
      <c r="B38" s="7" t="s">
        <v>88</v>
      </c>
      <c r="C38" s="7" t="s">
        <v>17</v>
      </c>
      <c r="D38" s="7">
        <v>193900</v>
      </c>
      <c r="E38" s="7">
        <v>177.48106530000001</v>
      </c>
      <c r="F38" s="7">
        <f t="shared" si="1"/>
        <v>1.3796698266158296</v>
      </c>
    </row>
    <row r="39" spans="1:6" x14ac:dyDescent="0.2">
      <c r="A39" s="7" t="s">
        <v>54</v>
      </c>
      <c r="B39" s="7" t="s">
        <v>55</v>
      </c>
      <c r="C39" s="7" t="s">
        <v>56</v>
      </c>
      <c r="D39" s="7">
        <v>170000</v>
      </c>
      <c r="E39" s="7">
        <v>177.26408240000001</v>
      </c>
      <c r="F39" s="7">
        <f t="shared" si="1"/>
        <v>1.3779830846554093</v>
      </c>
    </row>
    <row r="40" spans="1:6" x14ac:dyDescent="0.2">
      <c r="A40" s="7" t="s">
        <v>659</v>
      </c>
      <c r="B40" s="7" t="s">
        <v>652</v>
      </c>
      <c r="C40" s="7" t="s">
        <v>34</v>
      </c>
      <c r="D40" s="7">
        <v>1500</v>
      </c>
      <c r="E40" s="7">
        <v>173.29311150000001</v>
      </c>
      <c r="F40" s="7">
        <f t="shared" si="1"/>
        <v>1.3471142777557052</v>
      </c>
    </row>
    <row r="41" spans="1:6" x14ac:dyDescent="0.2">
      <c r="A41" s="7" t="s">
        <v>75</v>
      </c>
      <c r="B41" s="7" t="s">
        <v>76</v>
      </c>
      <c r="C41" s="7" t="s">
        <v>77</v>
      </c>
      <c r="D41" s="7">
        <v>14600</v>
      </c>
      <c r="E41" s="7">
        <v>171.93844960000001</v>
      </c>
      <c r="F41" s="7">
        <f t="shared" si="1"/>
        <v>1.3365836549789212</v>
      </c>
    </row>
    <row r="42" spans="1:6" x14ac:dyDescent="0.2">
      <c r="A42" s="7" t="s">
        <v>89</v>
      </c>
      <c r="B42" s="7" t="s">
        <v>90</v>
      </c>
      <c r="C42" s="7" t="s">
        <v>14</v>
      </c>
      <c r="D42" s="7">
        <v>91900</v>
      </c>
      <c r="E42" s="7">
        <v>166.05141929999999</v>
      </c>
      <c r="F42" s="7">
        <f t="shared" si="1"/>
        <v>1.2908201361519742</v>
      </c>
    </row>
    <row r="43" spans="1:6" x14ac:dyDescent="0.2">
      <c r="A43" s="7" t="s">
        <v>663</v>
      </c>
      <c r="B43" s="7" t="s">
        <v>656</v>
      </c>
      <c r="C43" s="7" t="s">
        <v>14</v>
      </c>
      <c r="D43" s="7">
        <v>300100</v>
      </c>
      <c r="E43" s="7">
        <v>165.33916719999999</v>
      </c>
      <c r="F43" s="7">
        <f t="shared" si="1"/>
        <v>1.285283361118239</v>
      </c>
    </row>
    <row r="44" spans="1:6" x14ac:dyDescent="0.2">
      <c r="A44" s="7" t="s">
        <v>81</v>
      </c>
      <c r="B44" s="7" t="s">
        <v>82</v>
      </c>
      <c r="C44" s="7" t="s">
        <v>34</v>
      </c>
      <c r="D44" s="7">
        <v>101700</v>
      </c>
      <c r="E44" s="7">
        <v>162.42904659999999</v>
      </c>
      <c r="F44" s="7">
        <f t="shared" si="1"/>
        <v>1.2626611981463947</v>
      </c>
    </row>
    <row r="45" spans="1:6" x14ac:dyDescent="0.2">
      <c r="A45" s="7" t="s">
        <v>64</v>
      </c>
      <c r="B45" s="7" t="s">
        <v>65</v>
      </c>
      <c r="C45" s="7" t="s">
        <v>14</v>
      </c>
      <c r="D45" s="7">
        <v>1925400</v>
      </c>
      <c r="E45" s="7">
        <v>154.93197610000001</v>
      </c>
      <c r="F45" s="7">
        <f t="shared" si="1"/>
        <v>1.2043818434480338</v>
      </c>
    </row>
    <row r="46" spans="1:6" x14ac:dyDescent="0.2">
      <c r="A46" s="7" t="s">
        <v>68</v>
      </c>
      <c r="B46" s="7" t="s">
        <v>69</v>
      </c>
      <c r="C46" s="7" t="s">
        <v>34</v>
      </c>
      <c r="D46" s="7">
        <v>53000</v>
      </c>
      <c r="E46" s="7">
        <v>145.70222719999998</v>
      </c>
      <c r="F46" s="7">
        <f t="shared" si="1"/>
        <v>1.1326333104817363</v>
      </c>
    </row>
    <row r="47" spans="1:6" x14ac:dyDescent="0.2">
      <c r="A47" s="7" t="s">
        <v>60</v>
      </c>
      <c r="B47" s="7" t="s">
        <v>61</v>
      </c>
      <c r="C47" s="7" t="s">
        <v>665</v>
      </c>
      <c r="D47" s="7">
        <v>244200</v>
      </c>
      <c r="E47" s="7">
        <v>142.4013649</v>
      </c>
      <c r="F47" s="7">
        <f t="shared" si="1"/>
        <v>1.106973671187675</v>
      </c>
    </row>
    <row r="48" spans="1:6" x14ac:dyDescent="0.2">
      <c r="A48" s="7" t="s">
        <v>662</v>
      </c>
      <c r="B48" s="7" t="s">
        <v>655</v>
      </c>
      <c r="C48" s="7" t="s">
        <v>11</v>
      </c>
      <c r="D48" s="7">
        <v>5267</v>
      </c>
      <c r="E48" s="7">
        <v>139.68005600000001</v>
      </c>
      <c r="F48" s="7">
        <f t="shared" si="1"/>
        <v>1.0858192580569854</v>
      </c>
    </row>
    <row r="49" spans="1:6" x14ac:dyDescent="0.2">
      <c r="A49" s="7" t="s">
        <v>661</v>
      </c>
      <c r="B49" s="7" t="s">
        <v>654</v>
      </c>
      <c r="C49" s="7" t="s">
        <v>77</v>
      </c>
      <c r="D49" s="7">
        <v>903</v>
      </c>
      <c r="E49" s="7">
        <v>127.023084</v>
      </c>
      <c r="F49" s="7">
        <f t="shared" si="1"/>
        <v>0.98742880533345523</v>
      </c>
    </row>
    <row r="50" spans="1:6" x14ac:dyDescent="0.2">
      <c r="A50" s="7" t="s">
        <v>57</v>
      </c>
      <c r="B50" s="7" t="s">
        <v>58</v>
      </c>
      <c r="C50" s="7" t="s">
        <v>665</v>
      </c>
      <c r="D50" s="7">
        <v>125600</v>
      </c>
      <c r="E50" s="7">
        <v>124.09502619999999</v>
      </c>
      <c r="F50" s="7">
        <f t="shared" si="1"/>
        <v>0.96466720543873608</v>
      </c>
    </row>
    <row r="51" spans="1:6" x14ac:dyDescent="0.2">
      <c r="A51" s="7" t="s">
        <v>93</v>
      </c>
      <c r="B51" s="7" t="s">
        <v>94</v>
      </c>
      <c r="C51" s="7" t="s">
        <v>95</v>
      </c>
      <c r="D51" s="7">
        <v>1000</v>
      </c>
      <c r="E51" s="7">
        <v>104.4140664</v>
      </c>
      <c r="F51" s="7">
        <f t="shared" si="1"/>
        <v>0.81167496173656184</v>
      </c>
    </row>
    <row r="52" spans="1:6" x14ac:dyDescent="0.2">
      <c r="A52" s="7" t="s">
        <v>96</v>
      </c>
      <c r="B52" s="7" t="s">
        <v>97</v>
      </c>
      <c r="C52" s="7" t="s">
        <v>77</v>
      </c>
      <c r="D52" s="7">
        <v>16010</v>
      </c>
      <c r="E52" s="7">
        <v>96.681657399999992</v>
      </c>
      <c r="F52" s="7">
        <f t="shared" si="1"/>
        <v>0.75156617567355244</v>
      </c>
    </row>
    <row r="53" spans="1:6" x14ac:dyDescent="0.2">
      <c r="A53" s="7" t="s">
        <v>73</v>
      </c>
      <c r="B53" s="7" t="s">
        <v>74</v>
      </c>
      <c r="C53" s="7" t="s">
        <v>34</v>
      </c>
      <c r="D53" s="7">
        <v>16000</v>
      </c>
      <c r="E53" s="7">
        <v>50.080407699999995</v>
      </c>
      <c r="F53" s="7">
        <f t="shared" si="1"/>
        <v>0.38930590872619159</v>
      </c>
    </row>
    <row r="54" spans="1:6" x14ac:dyDescent="0.2">
      <c r="A54" s="7" t="s">
        <v>66</v>
      </c>
      <c r="B54" s="7" t="s">
        <v>67</v>
      </c>
      <c r="C54" s="7" t="s">
        <v>20</v>
      </c>
      <c r="D54" s="7">
        <v>10000</v>
      </c>
      <c r="E54" s="7">
        <v>31.070780799999998</v>
      </c>
      <c r="F54" s="7">
        <f t="shared" si="1"/>
        <v>0.24153234986895497</v>
      </c>
    </row>
    <row r="55" spans="1:6" x14ac:dyDescent="0.2">
      <c r="A55" s="7" t="s">
        <v>660</v>
      </c>
      <c r="B55" s="7" t="s">
        <v>653</v>
      </c>
      <c r="C55" s="7" t="s">
        <v>17</v>
      </c>
      <c r="D55" s="7">
        <v>9695</v>
      </c>
      <c r="E55" s="7">
        <v>0.80212220000000001</v>
      </c>
      <c r="F55" s="7">
        <f t="shared" si="1"/>
        <v>6.2353907709990957E-3</v>
      </c>
    </row>
    <row r="56" spans="1:6" x14ac:dyDescent="0.2">
      <c r="A56" s="7" t="s">
        <v>70</v>
      </c>
      <c r="B56" s="7" t="s">
        <v>71</v>
      </c>
      <c r="C56" s="7" t="s">
        <v>72</v>
      </c>
      <c r="D56" s="7">
        <v>32</v>
      </c>
      <c r="E56" s="7">
        <v>8.8264899999999993E-2</v>
      </c>
      <c r="F56" s="20" t="s">
        <v>624</v>
      </c>
    </row>
    <row r="57" spans="1:6" x14ac:dyDescent="0.2">
      <c r="A57" s="6" t="s">
        <v>44</v>
      </c>
      <c r="B57" s="7"/>
      <c r="C57" s="7"/>
      <c r="D57" s="7"/>
      <c r="E57" s="6">
        <f>SUM(E23:E56)</f>
        <v>10534.254706300002</v>
      </c>
      <c r="F57" s="6">
        <f>SUM(F23:F56)</f>
        <v>81.888575342851667</v>
      </c>
    </row>
    <row r="58" spans="1:6" x14ac:dyDescent="0.2">
      <c r="A58" s="7"/>
      <c r="B58" s="7"/>
      <c r="C58" s="7"/>
      <c r="D58" s="7"/>
      <c r="E58" s="6"/>
      <c r="F58" s="6"/>
    </row>
    <row r="59" spans="1:6" x14ac:dyDescent="0.2">
      <c r="A59" s="6" t="s">
        <v>44</v>
      </c>
      <c r="B59" s="7"/>
      <c r="C59" s="7"/>
      <c r="D59" s="7"/>
      <c r="E59" s="17">
        <f>E57+E20</f>
        <v>12526.334263300001</v>
      </c>
      <c r="F59" s="17">
        <f>F57+F20</f>
        <v>97.374238854987055</v>
      </c>
    </row>
    <row r="60" spans="1:6" x14ac:dyDescent="0.2">
      <c r="A60" s="7"/>
      <c r="B60" s="7"/>
      <c r="C60" s="7"/>
      <c r="D60" s="7"/>
      <c r="E60" s="7"/>
      <c r="F60" s="7"/>
    </row>
    <row r="61" spans="1:6" x14ac:dyDescent="0.2">
      <c r="A61" s="6" t="s">
        <v>103</v>
      </c>
      <c r="B61" s="7"/>
      <c r="C61" s="7"/>
      <c r="D61" s="7"/>
      <c r="E61" s="6">
        <v>337.69029360000002</v>
      </c>
      <c r="F61" s="6">
        <f t="shared" ref="F61" si="2">E61/$E$63*100</f>
        <v>2.6250750074856612</v>
      </c>
    </row>
    <row r="62" spans="1:6" x14ac:dyDescent="0.2">
      <c r="A62" s="7"/>
      <c r="B62" s="7"/>
      <c r="C62" s="7"/>
      <c r="D62" s="7"/>
      <c r="E62" s="7"/>
      <c r="F62" s="7"/>
    </row>
    <row r="63" spans="1:6" x14ac:dyDescent="0.2">
      <c r="A63" s="8" t="s">
        <v>104</v>
      </c>
      <c r="B63" s="5"/>
      <c r="C63" s="5"/>
      <c r="D63" s="5"/>
      <c r="E63" s="8">
        <f>E59+E61</f>
        <v>12864.024556900002</v>
      </c>
      <c r="F63" s="8">
        <f>F59+F61</f>
        <v>99.999313862472718</v>
      </c>
    </row>
    <row r="64" spans="1:6" x14ac:dyDescent="0.2">
      <c r="F64" s="11" t="s">
        <v>625</v>
      </c>
    </row>
    <row r="65" spans="1:5" x14ac:dyDescent="0.2">
      <c r="A65" s="4" t="s">
        <v>105</v>
      </c>
      <c r="B65" s="2"/>
      <c r="C65" s="2"/>
      <c r="D65" s="2"/>
    </row>
    <row r="66" spans="1:5" x14ac:dyDescent="0.2">
      <c r="A66" s="4" t="s">
        <v>106</v>
      </c>
      <c r="B66" s="2"/>
      <c r="C66" s="2"/>
      <c r="D66" s="2"/>
    </row>
    <row r="67" spans="1:5" x14ac:dyDescent="0.2">
      <c r="A67" s="4" t="s">
        <v>107</v>
      </c>
      <c r="B67" s="2"/>
      <c r="C67" s="2"/>
      <c r="D67" s="2"/>
    </row>
    <row r="68" spans="1:5" x14ac:dyDescent="0.2">
      <c r="A68" s="2" t="s">
        <v>666</v>
      </c>
      <c r="B68" s="2"/>
      <c r="C68" s="2"/>
      <c r="D68" s="10">
        <v>20.896799999999999</v>
      </c>
      <c r="E68" s="2"/>
    </row>
    <row r="69" spans="1:5" x14ac:dyDescent="0.2">
      <c r="A69" s="2" t="s">
        <v>667</v>
      </c>
      <c r="B69" s="2"/>
      <c r="C69" s="2"/>
      <c r="D69" s="10">
        <v>12.3119</v>
      </c>
      <c r="E69" s="2"/>
    </row>
    <row r="70" spans="1:5" x14ac:dyDescent="0.2">
      <c r="A70" s="2" t="s">
        <v>668</v>
      </c>
      <c r="B70" s="2"/>
      <c r="C70" s="2"/>
      <c r="D70" s="10">
        <v>21.7775</v>
      </c>
      <c r="E70" s="2"/>
    </row>
    <row r="71" spans="1:5" x14ac:dyDescent="0.2">
      <c r="A71" s="2" t="s">
        <v>669</v>
      </c>
      <c r="B71" s="2"/>
      <c r="C71" s="2"/>
      <c r="D71" s="10">
        <v>12.8795</v>
      </c>
      <c r="E71" s="2"/>
    </row>
    <row r="72" spans="1:5" x14ac:dyDescent="0.2">
      <c r="A72" s="2"/>
      <c r="B72" s="2"/>
      <c r="C72" s="2"/>
      <c r="D72" s="10"/>
      <c r="E72" s="2"/>
    </row>
    <row r="73" spans="1:5" x14ac:dyDescent="0.2">
      <c r="A73" s="4" t="s">
        <v>108</v>
      </c>
      <c r="B73" s="2"/>
      <c r="C73" s="2"/>
      <c r="D73" s="2"/>
      <c r="E73" s="2"/>
    </row>
    <row r="74" spans="1:5" x14ac:dyDescent="0.2">
      <c r="A74" s="2" t="s">
        <v>666</v>
      </c>
      <c r="B74" s="2"/>
      <c r="C74" s="2"/>
      <c r="D74" s="10">
        <v>23.444299999999998</v>
      </c>
      <c r="E74" s="2"/>
    </row>
    <row r="75" spans="1:5" x14ac:dyDescent="0.2">
      <c r="A75" s="2" t="s">
        <v>667</v>
      </c>
      <c r="B75" s="2"/>
      <c r="C75" s="2"/>
      <c r="D75" s="10">
        <v>13.812799999999999</v>
      </c>
      <c r="E75" s="2"/>
    </row>
    <row r="76" spans="1:5" x14ac:dyDescent="0.2">
      <c r="A76" s="2" t="s">
        <v>668</v>
      </c>
      <c r="B76" s="2"/>
      <c r="C76" s="2"/>
      <c r="D76" s="10">
        <v>24.496400000000001</v>
      </c>
      <c r="E76" s="2"/>
    </row>
    <row r="77" spans="1:5" x14ac:dyDescent="0.2">
      <c r="A77" s="2" t="s">
        <v>669</v>
      </c>
      <c r="B77" s="2"/>
      <c r="C77" s="2"/>
      <c r="D77" s="10">
        <v>14.4831</v>
      </c>
      <c r="E77" s="2"/>
    </row>
    <row r="78" spans="1:5" x14ac:dyDescent="0.2">
      <c r="A78" s="2"/>
      <c r="B78" s="2"/>
      <c r="C78" s="2"/>
      <c r="D78" s="2"/>
    </row>
    <row r="79" spans="1:5" x14ac:dyDescent="0.2">
      <c r="A79" s="4" t="s">
        <v>109</v>
      </c>
      <c r="B79" s="2"/>
      <c r="C79" s="2"/>
      <c r="D79" s="30" t="s">
        <v>110</v>
      </c>
    </row>
    <row r="80" spans="1:5" x14ac:dyDescent="0.2">
      <c r="A80" s="4"/>
      <c r="B80" s="2"/>
      <c r="C80" s="2"/>
      <c r="D80" s="30"/>
    </row>
    <row r="81" spans="1:4" x14ac:dyDescent="0.2">
      <c r="A81" s="9" t="s">
        <v>674</v>
      </c>
      <c r="B81" s="2"/>
      <c r="C81" s="2"/>
      <c r="D81" s="37">
        <v>0.14193434919443296</v>
      </c>
    </row>
    <row r="82" spans="1:4" x14ac:dyDescent="0.2">
      <c r="A82" s="2"/>
      <c r="B82" s="2"/>
      <c r="C82" s="2"/>
      <c r="D82" s="2"/>
    </row>
    <row r="83" spans="1:4" x14ac:dyDescent="0.2">
      <c r="A83" s="2"/>
      <c r="B83" s="2"/>
      <c r="C83" s="2"/>
      <c r="D83" s="2"/>
    </row>
    <row r="84" spans="1:4" x14ac:dyDescent="0.2">
      <c r="A84" s="2"/>
      <c r="B84" s="2"/>
      <c r="C84" s="2"/>
      <c r="D84" s="2"/>
    </row>
    <row r="85" spans="1:4" x14ac:dyDescent="0.2">
      <c r="A85" s="2"/>
      <c r="B85" s="2"/>
      <c r="C85" s="2"/>
      <c r="D85" s="2"/>
    </row>
  </sheetData>
  <sortState xmlns:xlrd2="http://schemas.microsoft.com/office/spreadsheetml/2017/richdata2" ref="A23:F56">
    <sortCondition descending="1" ref="E23:E56"/>
  </sortState>
  <mergeCells count="1">
    <mergeCell ref="A1:F1"/>
  </mergeCells>
  <pageMargins left="0.7" right="0.7" top="0.75" bottom="0.75" header="0.3" footer="0.3"/>
  <pageSetup paperSize="0" orientation="portrait" horizontalDpi="0" verticalDpi="0" copie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187E-0B0D-4D5D-8D34-E32E025548D4}">
  <sheetPr codeName="Sheet15"/>
  <dimension ref="A1:E33"/>
  <sheetViews>
    <sheetView showGridLines="0" workbookViewId="0">
      <selection sqref="A1:E1"/>
    </sheetView>
  </sheetViews>
  <sheetFormatPr defaultColWidth="9.140625" defaultRowHeight="11.25" x14ac:dyDescent="0.2"/>
  <cols>
    <col min="1" max="1" width="58.7109375" style="1" bestFit="1" customWidth="1"/>
    <col min="2" max="2" width="33.42578125" style="1" bestFit="1" customWidth="1"/>
    <col min="3" max="3" width="7.42578125" style="1" bestFit="1" customWidth="1"/>
    <col min="4" max="4" width="23" style="1" bestFit="1" customWidth="1"/>
    <col min="5" max="5" width="13.5703125" style="1" bestFit="1" customWidth="1"/>
    <col min="6" max="16384" width="9.140625" style="2"/>
  </cols>
  <sheetData>
    <row r="1" spans="1:5" x14ac:dyDescent="0.2">
      <c r="A1" s="98" t="s">
        <v>182</v>
      </c>
      <c r="B1" s="98"/>
      <c r="C1" s="98"/>
      <c r="D1" s="98"/>
      <c r="E1" s="98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603</v>
      </c>
      <c r="B5" s="7"/>
      <c r="C5" s="7"/>
      <c r="D5" s="7"/>
      <c r="E5" s="7"/>
    </row>
    <row r="6" spans="1:5" x14ac:dyDescent="0.2">
      <c r="A6" s="7" t="s">
        <v>618</v>
      </c>
      <c r="B6" s="7" t="s">
        <v>604</v>
      </c>
      <c r="C6" s="21">
        <v>76819.024000000005</v>
      </c>
      <c r="D6" s="7">
        <v>1961.636565</v>
      </c>
      <c r="E6" s="7">
        <v>98.683241368254087</v>
      </c>
    </row>
    <row r="7" spans="1:5" x14ac:dyDescent="0.2">
      <c r="A7" s="6" t="s">
        <v>44</v>
      </c>
      <c r="B7" s="7"/>
      <c r="C7" s="7"/>
      <c r="D7" s="6">
        <f>D6</f>
        <v>1961.636565</v>
      </c>
      <c r="E7" s="6">
        <f>E6</f>
        <v>98.683241368254087</v>
      </c>
    </row>
    <row r="8" spans="1:5" x14ac:dyDescent="0.2">
      <c r="A8" s="7"/>
      <c r="B8" s="7"/>
      <c r="C8" s="7"/>
      <c r="D8" s="7"/>
      <c r="E8" s="7"/>
    </row>
    <row r="9" spans="1:5" x14ac:dyDescent="0.2">
      <c r="A9" s="6" t="s">
        <v>103</v>
      </c>
      <c r="B9" s="7"/>
      <c r="C9" s="7"/>
      <c r="D9" s="6">
        <v>26.174676100000003</v>
      </c>
      <c r="E9" s="6">
        <v>1.3167586317459226</v>
      </c>
    </row>
    <row r="10" spans="1:5" x14ac:dyDescent="0.2">
      <c r="A10" s="7"/>
      <c r="B10" s="7"/>
      <c r="C10" s="7"/>
      <c r="D10" s="7"/>
      <c r="E10" s="7"/>
    </row>
    <row r="11" spans="1:5" x14ac:dyDescent="0.2">
      <c r="A11" s="8" t="s">
        <v>104</v>
      </c>
      <c r="B11" s="5"/>
      <c r="C11" s="5"/>
      <c r="D11" s="8">
        <v>1987.8112411</v>
      </c>
      <c r="E11" s="8">
        <v>100.00000000000001</v>
      </c>
    </row>
    <row r="13" spans="1:5" x14ac:dyDescent="0.2">
      <c r="A13" s="4" t="s">
        <v>105</v>
      </c>
      <c r="B13" s="2"/>
      <c r="C13" s="2"/>
      <c r="D13" s="2"/>
    </row>
    <row r="14" spans="1:5" x14ac:dyDescent="0.2">
      <c r="A14" s="4" t="s">
        <v>106</v>
      </c>
      <c r="B14" s="2"/>
      <c r="C14" s="2"/>
      <c r="D14" s="2"/>
    </row>
    <row r="15" spans="1:5" x14ac:dyDescent="0.2">
      <c r="A15" s="4" t="s">
        <v>107</v>
      </c>
      <c r="B15" s="2"/>
      <c r="C15" s="2"/>
      <c r="D15" s="2"/>
    </row>
    <row r="16" spans="1:5" x14ac:dyDescent="0.2">
      <c r="A16" s="2" t="s">
        <v>666</v>
      </c>
      <c r="B16" s="2"/>
      <c r="C16" s="2"/>
      <c r="D16" s="10">
        <v>8.9613999999999994</v>
      </c>
      <c r="E16" s="2"/>
    </row>
    <row r="17" spans="1:5" x14ac:dyDescent="0.2">
      <c r="A17" s="2" t="s">
        <v>667</v>
      </c>
      <c r="B17" s="2"/>
      <c r="C17" s="2"/>
      <c r="D17" s="10">
        <v>8.9613999999999994</v>
      </c>
      <c r="E17" s="2"/>
    </row>
    <row r="18" spans="1:5" x14ac:dyDescent="0.2">
      <c r="A18" s="2" t="s">
        <v>668</v>
      </c>
      <c r="B18" s="2"/>
      <c r="C18" s="2"/>
      <c r="D18" s="10">
        <v>9.5681999999999992</v>
      </c>
      <c r="E18" s="2"/>
    </row>
    <row r="19" spans="1:5" x14ac:dyDescent="0.2">
      <c r="A19" s="2" t="s">
        <v>669</v>
      </c>
      <c r="B19" s="2"/>
      <c r="C19" s="2"/>
      <c r="D19" s="10">
        <v>9.5681999999999992</v>
      </c>
      <c r="E19" s="2"/>
    </row>
    <row r="20" spans="1:5" x14ac:dyDescent="0.2">
      <c r="A20" s="2"/>
      <c r="B20" s="2"/>
      <c r="C20" s="2"/>
      <c r="D20" s="10"/>
      <c r="E20" s="2"/>
    </row>
    <row r="21" spans="1:5" x14ac:dyDescent="0.2">
      <c r="A21" s="4" t="s">
        <v>108</v>
      </c>
      <c r="B21" s="2"/>
      <c r="C21" s="2"/>
      <c r="D21" s="2"/>
      <c r="E21" s="2"/>
    </row>
    <row r="22" spans="1:5" x14ac:dyDescent="0.2">
      <c r="A22" s="2" t="s">
        <v>666</v>
      </c>
      <c r="B22" s="2"/>
      <c r="C22" s="2"/>
      <c r="D22" s="10">
        <v>9.7620000000000005</v>
      </c>
      <c r="E22" s="2"/>
    </row>
    <row r="23" spans="1:5" x14ac:dyDescent="0.2">
      <c r="A23" s="2" t="s">
        <v>667</v>
      </c>
      <c r="B23" s="2"/>
      <c r="C23" s="2"/>
      <c r="D23" s="10">
        <v>9.7620000000000005</v>
      </c>
      <c r="E23" s="2"/>
    </row>
    <row r="24" spans="1:5" x14ac:dyDescent="0.2">
      <c r="A24" s="2" t="s">
        <v>668</v>
      </c>
      <c r="B24" s="2"/>
      <c r="C24" s="2"/>
      <c r="D24" s="10">
        <v>10.4695</v>
      </c>
      <c r="E24" s="2"/>
    </row>
    <row r="25" spans="1:5" x14ac:dyDescent="0.2">
      <c r="A25" s="2" t="s">
        <v>669</v>
      </c>
      <c r="B25" s="2"/>
      <c r="C25" s="2"/>
      <c r="D25" s="10">
        <v>10.4695</v>
      </c>
      <c r="E25" s="2"/>
    </row>
    <row r="26" spans="1:5" x14ac:dyDescent="0.2">
      <c r="A26" s="2"/>
      <c r="B26" s="2"/>
      <c r="C26" s="2"/>
      <c r="D26" s="2"/>
    </row>
    <row r="27" spans="1:5" x14ac:dyDescent="0.2">
      <c r="A27" s="4" t="s">
        <v>109</v>
      </c>
      <c r="B27" s="2"/>
      <c r="C27" s="2"/>
      <c r="D27" s="30" t="s">
        <v>110</v>
      </c>
    </row>
    <row r="28" spans="1:5" x14ac:dyDescent="0.2">
      <c r="A28" s="4"/>
      <c r="B28" s="2"/>
      <c r="C28" s="2"/>
      <c r="D28" s="30"/>
    </row>
    <row r="29" spans="1:5" x14ac:dyDescent="0.2">
      <c r="A29" s="9" t="s">
        <v>674</v>
      </c>
      <c r="B29" s="2"/>
      <c r="C29" s="2"/>
      <c r="D29" s="37">
        <v>3.8864769193890002E-2</v>
      </c>
    </row>
    <row r="30" spans="1:5" x14ac:dyDescent="0.2">
      <c r="A30" s="2"/>
      <c r="B30" s="2"/>
      <c r="C30" s="2"/>
      <c r="D30" s="2"/>
    </row>
    <row r="31" spans="1:5" x14ac:dyDescent="0.2">
      <c r="A31" s="2"/>
      <c r="B31" s="2"/>
      <c r="C31" s="2"/>
      <c r="D31" s="2"/>
    </row>
    <row r="32" spans="1:5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00A5-5A4E-4CE3-9A19-B08CAC3E6FE1}">
  <sheetPr codeName="Sheet16"/>
  <dimension ref="A1:E31"/>
  <sheetViews>
    <sheetView showGridLines="0" workbookViewId="0">
      <selection sqref="A1:E1"/>
    </sheetView>
  </sheetViews>
  <sheetFormatPr defaultColWidth="9.140625" defaultRowHeight="11.25" x14ac:dyDescent="0.2"/>
  <cols>
    <col min="1" max="1" width="58.7109375" style="1" bestFit="1" customWidth="1"/>
    <col min="2" max="2" width="33.5703125" style="1" bestFit="1" customWidth="1"/>
    <col min="3" max="3" width="10" style="1" bestFit="1" customWidth="1"/>
    <col min="4" max="4" width="23" style="1" bestFit="1" customWidth="1"/>
    <col min="5" max="5" width="13.5703125" style="1" bestFit="1" customWidth="1"/>
    <col min="6" max="16384" width="9.140625" style="2"/>
  </cols>
  <sheetData>
    <row r="1" spans="1:5" x14ac:dyDescent="0.2">
      <c r="A1" s="98" t="s">
        <v>596</v>
      </c>
      <c r="B1" s="98"/>
      <c r="C1" s="98"/>
      <c r="D1" s="98"/>
      <c r="E1" s="98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603</v>
      </c>
      <c r="B5" s="7"/>
      <c r="C5" s="7"/>
      <c r="D5" s="7"/>
      <c r="E5" s="7"/>
    </row>
    <row r="6" spans="1:5" x14ac:dyDescent="0.2">
      <c r="A6" s="7" t="s">
        <v>619</v>
      </c>
      <c r="B6" s="7" t="s">
        <v>613</v>
      </c>
      <c r="C6" s="21">
        <v>3007565.6469999999</v>
      </c>
      <c r="D6" s="7">
        <v>108499.4733</v>
      </c>
      <c r="E6" s="7">
        <v>99.698708434066958</v>
      </c>
    </row>
    <row r="7" spans="1:5" x14ac:dyDescent="0.2">
      <c r="A7" s="6" t="s">
        <v>44</v>
      </c>
      <c r="B7" s="7"/>
      <c r="C7" s="7"/>
      <c r="D7" s="6">
        <f>SUM(D6)</f>
        <v>108499.4733</v>
      </c>
      <c r="E7" s="6">
        <f>SUM(E6)</f>
        <v>99.698708434066958</v>
      </c>
    </row>
    <row r="8" spans="1:5" x14ac:dyDescent="0.2">
      <c r="A8" s="7"/>
      <c r="B8" s="7"/>
      <c r="C8" s="7"/>
      <c r="D8" s="7"/>
      <c r="E8" s="7"/>
    </row>
    <row r="9" spans="1:5" x14ac:dyDescent="0.2">
      <c r="A9" s="6" t="s">
        <v>103</v>
      </c>
      <c r="B9" s="7"/>
      <c r="C9" s="7"/>
      <c r="D9" s="6">
        <v>327.88765999999998</v>
      </c>
      <c r="E9" s="6">
        <v>0.30129156593305306</v>
      </c>
    </row>
    <row r="10" spans="1:5" x14ac:dyDescent="0.2">
      <c r="A10" s="7"/>
      <c r="B10" s="7"/>
      <c r="C10" s="7"/>
      <c r="D10" s="7"/>
      <c r="E10" s="7"/>
    </row>
    <row r="11" spans="1:5" x14ac:dyDescent="0.2">
      <c r="A11" s="8" t="s">
        <v>104</v>
      </c>
      <c r="B11" s="5"/>
      <c r="C11" s="5"/>
      <c r="D11" s="8">
        <v>108827.36095999999</v>
      </c>
      <c r="E11" s="8">
        <v>100.00000000000001</v>
      </c>
    </row>
    <row r="13" spans="1:5" x14ac:dyDescent="0.2">
      <c r="A13" s="4" t="s">
        <v>105</v>
      </c>
    </row>
    <row r="14" spans="1:5" x14ac:dyDescent="0.2">
      <c r="A14" s="4" t="s">
        <v>106</v>
      </c>
      <c r="B14" s="2"/>
      <c r="C14" s="2"/>
      <c r="D14" s="2"/>
    </row>
    <row r="15" spans="1:5" x14ac:dyDescent="0.2">
      <c r="A15" s="4" t="s">
        <v>107</v>
      </c>
      <c r="B15" s="2"/>
      <c r="C15" s="2"/>
      <c r="D15" s="2"/>
    </row>
    <row r="16" spans="1:5" x14ac:dyDescent="0.2">
      <c r="A16" s="2" t="s">
        <v>666</v>
      </c>
      <c r="B16" s="2"/>
      <c r="C16" s="2"/>
      <c r="D16" s="10">
        <v>30.238199999999999</v>
      </c>
      <c r="E16" s="2"/>
    </row>
    <row r="17" spans="1:5" x14ac:dyDescent="0.2">
      <c r="A17" s="2" t="s">
        <v>667</v>
      </c>
      <c r="B17" s="2"/>
      <c r="C17" s="2"/>
      <c r="D17" s="10">
        <v>30.238199999999999</v>
      </c>
      <c r="E17" s="2"/>
    </row>
    <row r="18" spans="1:5" x14ac:dyDescent="0.2">
      <c r="A18" s="2" t="s">
        <v>668</v>
      </c>
      <c r="B18" s="2"/>
      <c r="C18" s="2"/>
      <c r="D18" s="10">
        <v>32.181800000000003</v>
      </c>
      <c r="E18" s="2"/>
    </row>
    <row r="19" spans="1:5" x14ac:dyDescent="0.2">
      <c r="A19" s="2" t="s">
        <v>669</v>
      </c>
      <c r="B19" s="2"/>
      <c r="C19" s="2"/>
      <c r="D19" s="10">
        <v>32.181800000000003</v>
      </c>
      <c r="E19" s="2"/>
    </row>
    <row r="20" spans="1:5" x14ac:dyDescent="0.2">
      <c r="A20" s="2"/>
      <c r="B20" s="2"/>
      <c r="C20" s="2"/>
      <c r="D20" s="10"/>
      <c r="E20" s="2"/>
    </row>
    <row r="21" spans="1:5" x14ac:dyDescent="0.2">
      <c r="A21" s="4" t="s">
        <v>108</v>
      </c>
      <c r="B21" s="2"/>
      <c r="C21" s="2"/>
      <c r="D21" s="2"/>
      <c r="E21" s="2"/>
    </row>
    <row r="22" spans="1:5" x14ac:dyDescent="0.2">
      <c r="A22" s="2" t="s">
        <v>666</v>
      </c>
      <c r="B22" s="2"/>
      <c r="C22" s="2"/>
      <c r="D22" s="10">
        <v>34.418500000000002</v>
      </c>
      <c r="E22" s="2"/>
    </row>
    <row r="23" spans="1:5" x14ac:dyDescent="0.2">
      <c r="A23" s="2" t="s">
        <v>667</v>
      </c>
      <c r="B23" s="2"/>
      <c r="C23" s="2"/>
      <c r="D23" s="10">
        <v>34.418500000000002</v>
      </c>
      <c r="E23" s="2"/>
    </row>
    <row r="24" spans="1:5" x14ac:dyDescent="0.2">
      <c r="A24" s="2" t="s">
        <v>668</v>
      </c>
      <c r="B24" s="2"/>
      <c r="C24" s="2"/>
      <c r="D24" s="10">
        <v>36.793300000000002</v>
      </c>
      <c r="E24" s="2"/>
    </row>
    <row r="25" spans="1:5" x14ac:dyDescent="0.2">
      <c r="A25" s="2" t="s">
        <v>669</v>
      </c>
      <c r="B25" s="2"/>
      <c r="C25" s="2"/>
      <c r="D25" s="10">
        <v>36.793300000000002</v>
      </c>
      <c r="E25" s="2"/>
    </row>
    <row r="26" spans="1:5" x14ac:dyDescent="0.2">
      <c r="A26" s="2"/>
      <c r="B26" s="2"/>
      <c r="C26" s="2"/>
      <c r="D26" s="2"/>
    </row>
    <row r="27" spans="1:5" x14ac:dyDescent="0.2">
      <c r="A27" s="4" t="s">
        <v>109</v>
      </c>
      <c r="B27" s="2"/>
      <c r="C27" s="2"/>
      <c r="D27" s="30" t="s">
        <v>110</v>
      </c>
    </row>
    <row r="28" spans="1:5" x14ac:dyDescent="0.2">
      <c r="A28" s="4"/>
      <c r="B28" s="2"/>
      <c r="C28" s="2"/>
      <c r="D28" s="30"/>
    </row>
    <row r="29" spans="1:5" x14ac:dyDescent="0.2">
      <c r="A29" s="9" t="s">
        <v>674</v>
      </c>
      <c r="B29" s="2"/>
      <c r="C29" s="2"/>
      <c r="D29" s="37">
        <v>3.7833896885689278E-2</v>
      </c>
    </row>
    <row r="30" spans="1:5" x14ac:dyDescent="0.2">
      <c r="A30" s="2"/>
      <c r="B30" s="2"/>
      <c r="C30" s="2"/>
      <c r="D30" s="2"/>
    </row>
    <row r="31" spans="1:5" x14ac:dyDescent="0.2">
      <c r="A31" s="2"/>
      <c r="B31" s="2"/>
      <c r="C31" s="2"/>
      <c r="D31" s="2"/>
    </row>
  </sheetData>
  <mergeCells count="1">
    <mergeCell ref="A1:E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231C-1851-4CF3-84BE-BABEB438F4D8}">
  <sheetPr codeName="Sheet17"/>
  <dimension ref="A1:E35"/>
  <sheetViews>
    <sheetView showGridLines="0" workbookViewId="0">
      <selection sqref="A1:E1"/>
    </sheetView>
  </sheetViews>
  <sheetFormatPr defaultColWidth="9.140625" defaultRowHeight="11.25" x14ac:dyDescent="0.2"/>
  <cols>
    <col min="1" max="1" width="59" style="1" bestFit="1" customWidth="1"/>
    <col min="2" max="2" width="38.140625" style="1" bestFit="1" customWidth="1"/>
    <col min="3" max="3" width="9.5703125" style="1" bestFit="1" customWidth="1"/>
    <col min="4" max="4" width="24" style="1" bestFit="1" customWidth="1"/>
    <col min="5" max="5" width="14.140625" style="1" bestFit="1" customWidth="1"/>
    <col min="6" max="6" width="27" style="2" bestFit="1" customWidth="1"/>
    <col min="7" max="16384" width="9.140625" style="2"/>
  </cols>
  <sheetData>
    <row r="1" spans="1:5" x14ac:dyDescent="0.2">
      <c r="A1" s="98" t="s">
        <v>443</v>
      </c>
      <c r="B1" s="98"/>
      <c r="C1" s="98"/>
      <c r="D1" s="98"/>
      <c r="E1" s="98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611</v>
      </c>
      <c r="B5" s="7"/>
      <c r="C5" s="7"/>
      <c r="D5" s="7"/>
      <c r="E5" s="7"/>
    </row>
    <row r="6" spans="1:5" x14ac:dyDescent="0.2">
      <c r="A6" s="7" t="s">
        <v>397</v>
      </c>
      <c r="B6" s="7" t="s">
        <v>607</v>
      </c>
      <c r="C6" s="21">
        <v>216498.94</v>
      </c>
      <c r="D6" s="7">
        <v>1085.1853337999999</v>
      </c>
      <c r="E6" s="7">
        <v>36.994257118303139</v>
      </c>
    </row>
    <row r="7" spans="1:5" x14ac:dyDescent="0.2">
      <c r="A7" s="7" t="s">
        <v>184</v>
      </c>
      <c r="B7" s="7" t="s">
        <v>601</v>
      </c>
      <c r="C7" s="21">
        <v>25076.47</v>
      </c>
      <c r="D7" s="7">
        <v>1085.1360674</v>
      </c>
      <c r="E7" s="7">
        <v>36.992577613602769</v>
      </c>
    </row>
    <row r="8" spans="1:5" x14ac:dyDescent="0.2">
      <c r="A8" s="7" t="s">
        <v>617</v>
      </c>
      <c r="B8" s="7" t="s">
        <v>612</v>
      </c>
      <c r="C8" s="21">
        <v>21036</v>
      </c>
      <c r="D8" s="7">
        <v>702.8863859999999</v>
      </c>
      <c r="E8" s="7">
        <v>23.961584144880437</v>
      </c>
    </row>
    <row r="9" spans="1:5" x14ac:dyDescent="0.2">
      <c r="A9" s="6" t="s">
        <v>44</v>
      </c>
      <c r="B9" s="7"/>
      <c r="C9" s="7"/>
      <c r="D9" s="6">
        <f>SUM(D6:D8)</f>
        <v>2873.2077872</v>
      </c>
      <c r="E9" s="6">
        <f>SUM(E6:E8)</f>
        <v>97.948418876786334</v>
      </c>
    </row>
    <row r="10" spans="1:5" x14ac:dyDescent="0.2">
      <c r="A10" s="7"/>
      <c r="B10" s="7"/>
      <c r="C10" s="7"/>
      <c r="D10" s="7"/>
      <c r="E10" s="7"/>
    </row>
    <row r="11" spans="1:5" x14ac:dyDescent="0.2">
      <c r="A11" s="6" t="s">
        <v>44</v>
      </c>
      <c r="B11" s="7"/>
      <c r="C11" s="7"/>
      <c r="D11" s="6">
        <v>2873.2077872</v>
      </c>
      <c r="E11" s="6">
        <v>97.948418876786349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6" t="s">
        <v>103</v>
      </c>
      <c r="B13" s="7"/>
      <c r="C13" s="7"/>
      <c r="D13" s="6">
        <v>60.180847499999999</v>
      </c>
      <c r="E13" s="6">
        <v>2.0515811232136567</v>
      </c>
    </row>
    <row r="14" spans="1:5" x14ac:dyDescent="0.2">
      <c r="A14" s="7"/>
      <c r="B14" s="7"/>
      <c r="C14" s="7"/>
      <c r="D14" s="7"/>
      <c r="E14" s="7"/>
    </row>
    <row r="15" spans="1:5" x14ac:dyDescent="0.2">
      <c r="A15" s="8" t="s">
        <v>104</v>
      </c>
      <c r="B15" s="5"/>
      <c r="C15" s="5"/>
      <c r="D15" s="8">
        <v>2933.3886346999998</v>
      </c>
      <c r="E15" s="8">
        <v>100</v>
      </c>
    </row>
    <row r="17" spans="1:5" x14ac:dyDescent="0.2">
      <c r="A17" s="4" t="s">
        <v>105</v>
      </c>
      <c r="B17" s="2"/>
      <c r="C17" s="2"/>
      <c r="D17" s="2"/>
    </row>
    <row r="18" spans="1:5" x14ac:dyDescent="0.2">
      <c r="A18" s="4" t="s">
        <v>106</v>
      </c>
      <c r="B18" s="2"/>
      <c r="C18" s="2"/>
      <c r="D18" s="2"/>
    </row>
    <row r="19" spans="1:5" x14ac:dyDescent="0.2">
      <c r="A19" s="4" t="s">
        <v>107</v>
      </c>
      <c r="B19" s="2"/>
      <c r="C19" s="2"/>
      <c r="D19" s="2"/>
    </row>
    <row r="20" spans="1:5" x14ac:dyDescent="0.2">
      <c r="A20" s="2" t="s">
        <v>666</v>
      </c>
      <c r="B20" s="2"/>
      <c r="C20" s="2"/>
      <c r="D20" s="10">
        <v>12.556100000000001</v>
      </c>
      <c r="E20" s="2"/>
    </row>
    <row r="21" spans="1:5" x14ac:dyDescent="0.2">
      <c r="A21" s="2" t="s">
        <v>667</v>
      </c>
      <c r="B21" s="2"/>
      <c r="C21" s="2"/>
      <c r="D21" s="10">
        <v>12.556100000000001</v>
      </c>
      <c r="E21" s="2"/>
    </row>
    <row r="22" spans="1:5" x14ac:dyDescent="0.2">
      <c r="A22" s="2" t="s">
        <v>668</v>
      </c>
      <c r="B22" s="2"/>
      <c r="C22" s="2"/>
      <c r="D22" s="10">
        <v>13.426600000000001</v>
      </c>
      <c r="E22" s="2"/>
    </row>
    <row r="23" spans="1:5" x14ac:dyDescent="0.2">
      <c r="A23" s="2" t="s">
        <v>669</v>
      </c>
      <c r="B23" s="2"/>
      <c r="C23" s="2"/>
      <c r="D23" s="10">
        <v>13.426600000000001</v>
      </c>
      <c r="E23" s="2"/>
    </row>
    <row r="24" spans="1:5" x14ac:dyDescent="0.2">
      <c r="A24" s="2"/>
      <c r="B24" s="2"/>
      <c r="C24" s="2"/>
      <c r="D24" s="10"/>
      <c r="E24" s="2"/>
    </row>
    <row r="25" spans="1:5" x14ac:dyDescent="0.2">
      <c r="A25" s="4" t="s">
        <v>108</v>
      </c>
      <c r="B25" s="2"/>
      <c r="C25" s="2"/>
      <c r="D25" s="2"/>
      <c r="E25" s="2"/>
    </row>
    <row r="26" spans="1:5" x14ac:dyDescent="0.2">
      <c r="A26" s="2" t="s">
        <v>666</v>
      </c>
      <c r="B26" s="2"/>
      <c r="C26" s="2"/>
      <c r="D26" s="10">
        <v>13.149100000000001</v>
      </c>
      <c r="E26" s="2"/>
    </row>
    <row r="27" spans="1:5" x14ac:dyDescent="0.2">
      <c r="A27" s="2" t="s">
        <v>667</v>
      </c>
      <c r="B27" s="2"/>
      <c r="C27" s="2"/>
      <c r="D27" s="10">
        <v>13.149100000000001</v>
      </c>
      <c r="E27" s="2"/>
    </row>
    <row r="28" spans="1:5" x14ac:dyDescent="0.2">
      <c r="A28" s="2" t="s">
        <v>668</v>
      </c>
      <c r="B28" s="2"/>
      <c r="C28" s="2"/>
      <c r="D28" s="10">
        <v>14.103</v>
      </c>
      <c r="E28" s="2"/>
    </row>
    <row r="29" spans="1:5" x14ac:dyDescent="0.2">
      <c r="A29" s="2" t="s">
        <v>669</v>
      </c>
      <c r="B29" s="2"/>
      <c r="C29" s="2"/>
      <c r="D29" s="10">
        <v>14.103</v>
      </c>
      <c r="E29" s="2"/>
    </row>
    <row r="30" spans="1:5" x14ac:dyDescent="0.2">
      <c r="A30" s="2"/>
      <c r="B30" s="2"/>
      <c r="C30" s="2"/>
      <c r="D30" s="2"/>
    </row>
    <row r="31" spans="1:5" x14ac:dyDescent="0.2">
      <c r="A31" s="4" t="s">
        <v>109</v>
      </c>
      <c r="B31" s="2"/>
      <c r="C31" s="2"/>
      <c r="D31" s="30" t="s">
        <v>110</v>
      </c>
    </row>
    <row r="32" spans="1:5" x14ac:dyDescent="0.2">
      <c r="A32" s="4"/>
      <c r="B32" s="2"/>
      <c r="C32" s="2"/>
      <c r="D32" s="30"/>
    </row>
    <row r="33" spans="1:4" x14ac:dyDescent="0.2">
      <c r="A33" s="9" t="s">
        <v>674</v>
      </c>
      <c r="B33" s="2"/>
      <c r="C33" s="2"/>
      <c r="D33" s="37">
        <v>0.47019615022048122</v>
      </c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</sheetData>
  <mergeCells count="1">
    <mergeCell ref="A1:E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1F63-A340-41F8-9626-01C2A39B070D}">
  <sheetPr codeName="Sheet18"/>
  <dimension ref="A1:E38"/>
  <sheetViews>
    <sheetView showGridLines="0" workbookViewId="0">
      <selection sqref="A1:E1"/>
    </sheetView>
  </sheetViews>
  <sheetFormatPr defaultColWidth="9.140625" defaultRowHeight="11.25" x14ac:dyDescent="0.2"/>
  <cols>
    <col min="1" max="1" width="44.7109375" style="1" customWidth="1"/>
    <col min="2" max="2" width="27" style="1" bestFit="1" customWidth="1"/>
    <col min="3" max="3" width="11.7109375" style="1" bestFit="1" customWidth="1"/>
    <col min="4" max="4" width="23" style="1" bestFit="1" customWidth="1"/>
    <col min="5" max="5" width="13.5703125" style="1" bestFit="1" customWidth="1"/>
    <col min="6" max="16384" width="9.140625" style="2"/>
  </cols>
  <sheetData>
    <row r="1" spans="1:5" x14ac:dyDescent="0.2">
      <c r="A1" s="98" t="s">
        <v>615</v>
      </c>
      <c r="B1" s="98"/>
      <c r="C1" s="98"/>
      <c r="D1" s="98"/>
      <c r="E1" s="98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602</v>
      </c>
      <c r="B5" s="7"/>
      <c r="C5" s="7"/>
      <c r="D5" s="7"/>
      <c r="E5" s="7"/>
    </row>
    <row r="6" spans="1:5" x14ac:dyDescent="0.2">
      <c r="A6" s="7" t="s">
        <v>183</v>
      </c>
      <c r="B6" s="7" t="s">
        <v>600</v>
      </c>
      <c r="C6" s="21">
        <v>8524574.25</v>
      </c>
      <c r="D6" s="7">
        <v>53809.610366300003</v>
      </c>
      <c r="E6" s="7">
        <v>51.397383081505552</v>
      </c>
    </row>
    <row r="7" spans="1:5" x14ac:dyDescent="0.2">
      <c r="A7" s="7" t="s">
        <v>184</v>
      </c>
      <c r="B7" s="7" t="s">
        <v>601</v>
      </c>
      <c r="C7" s="21">
        <v>1179257.31</v>
      </c>
      <c r="D7" s="7">
        <v>51030.094693699997</v>
      </c>
      <c r="E7" s="7">
        <v>48.742470123891167</v>
      </c>
    </row>
    <row r="8" spans="1:5" x14ac:dyDescent="0.2">
      <c r="A8" s="6" t="s">
        <v>44</v>
      </c>
      <c r="B8" s="7"/>
      <c r="C8" s="7"/>
      <c r="D8" s="6">
        <v>104839.70506000001</v>
      </c>
      <c r="E8" s="6">
        <v>100.13985320539672</v>
      </c>
    </row>
    <row r="9" spans="1:5" x14ac:dyDescent="0.2">
      <c r="A9" s="7"/>
      <c r="B9" s="7"/>
      <c r="C9" s="7"/>
      <c r="D9" s="7"/>
      <c r="E9" s="7"/>
    </row>
    <row r="10" spans="1:5" x14ac:dyDescent="0.2">
      <c r="A10" s="6" t="s">
        <v>44</v>
      </c>
      <c r="B10" s="7"/>
      <c r="C10" s="7"/>
      <c r="D10" s="6">
        <v>104839.70506000001</v>
      </c>
      <c r="E10" s="6">
        <v>100.13985320539672</v>
      </c>
    </row>
    <row r="11" spans="1:5" x14ac:dyDescent="0.2">
      <c r="A11" s="7"/>
      <c r="B11" s="7"/>
      <c r="C11" s="7"/>
      <c r="D11" s="7"/>
      <c r="E11" s="7"/>
    </row>
    <row r="12" spans="1:5" x14ac:dyDescent="0.2">
      <c r="A12" s="6" t="s">
        <v>103</v>
      </c>
      <c r="B12" s="7"/>
      <c r="C12" s="7"/>
      <c r="D12" s="6">
        <v>-146.41691929999996</v>
      </c>
      <c r="E12" s="6">
        <v>-0.13985320539672658</v>
      </c>
    </row>
    <row r="13" spans="1:5" x14ac:dyDescent="0.2">
      <c r="A13" s="7"/>
      <c r="B13" s="7"/>
      <c r="C13" s="7"/>
      <c r="D13" s="7"/>
      <c r="E13" s="7"/>
    </row>
    <row r="14" spans="1:5" x14ac:dyDescent="0.2">
      <c r="A14" s="8" t="s">
        <v>104</v>
      </c>
      <c r="B14" s="5"/>
      <c r="C14" s="5"/>
      <c r="D14" s="8">
        <v>104693.28814070001</v>
      </c>
      <c r="E14" s="8">
        <v>99.999999999999986</v>
      </c>
    </row>
    <row r="16" spans="1:5" x14ac:dyDescent="0.2">
      <c r="A16" s="4" t="s">
        <v>105</v>
      </c>
      <c r="B16" s="2"/>
      <c r="C16" s="2"/>
      <c r="D16" s="2"/>
    </row>
    <row r="17" spans="1:5" x14ac:dyDescent="0.2">
      <c r="A17" s="4" t="s">
        <v>106</v>
      </c>
      <c r="B17" s="2"/>
      <c r="C17" s="2"/>
      <c r="D17" s="2"/>
    </row>
    <row r="18" spans="1:5" x14ac:dyDescent="0.2">
      <c r="A18" s="4" t="s">
        <v>107</v>
      </c>
      <c r="B18" s="2"/>
      <c r="C18" s="2"/>
      <c r="D18" s="2"/>
    </row>
    <row r="19" spans="1:5" x14ac:dyDescent="0.2">
      <c r="A19" s="2" t="s">
        <v>666</v>
      </c>
      <c r="B19" s="2"/>
      <c r="C19" s="2"/>
      <c r="D19" s="10">
        <v>84.54</v>
      </c>
      <c r="E19" s="2"/>
    </row>
    <row r="20" spans="1:5" x14ac:dyDescent="0.2">
      <c r="A20" s="2" t="s">
        <v>667</v>
      </c>
      <c r="B20" s="2"/>
      <c r="C20" s="2"/>
      <c r="D20" s="10">
        <v>37.116300000000003</v>
      </c>
      <c r="E20" s="2"/>
    </row>
    <row r="21" spans="1:5" x14ac:dyDescent="0.2">
      <c r="A21" s="2" t="s">
        <v>668</v>
      </c>
      <c r="B21" s="2"/>
      <c r="C21" s="2"/>
      <c r="D21" s="10">
        <v>90.056700000000006</v>
      </c>
      <c r="E21" s="2"/>
    </row>
    <row r="22" spans="1:5" x14ac:dyDescent="0.2">
      <c r="A22" s="2" t="s">
        <v>669</v>
      </c>
      <c r="B22" s="2"/>
      <c r="C22" s="2"/>
      <c r="D22" s="10">
        <v>40.287799999999997</v>
      </c>
      <c r="E22" s="2"/>
    </row>
    <row r="23" spans="1:5" x14ac:dyDescent="0.2">
      <c r="A23" s="2"/>
      <c r="B23" s="2"/>
      <c r="C23" s="2"/>
      <c r="D23" s="10"/>
      <c r="E23" s="2"/>
    </row>
    <row r="24" spans="1:5" x14ac:dyDescent="0.2">
      <c r="A24" s="4" t="s">
        <v>108</v>
      </c>
      <c r="B24" s="2"/>
      <c r="C24" s="2"/>
      <c r="D24" s="2"/>
      <c r="E24" s="2"/>
    </row>
    <row r="25" spans="1:5" x14ac:dyDescent="0.2">
      <c r="A25" s="2" t="s">
        <v>666</v>
      </c>
      <c r="B25" s="2"/>
      <c r="C25" s="2"/>
      <c r="D25" s="10">
        <v>86.608800000000002</v>
      </c>
      <c r="E25" s="2"/>
    </row>
    <row r="26" spans="1:5" x14ac:dyDescent="0.2">
      <c r="A26" s="2" t="s">
        <v>667</v>
      </c>
      <c r="B26" s="2"/>
      <c r="C26" s="2"/>
      <c r="D26" s="10">
        <v>36.492699999999999</v>
      </c>
      <c r="E26" s="2"/>
    </row>
    <row r="27" spans="1:5" x14ac:dyDescent="0.2">
      <c r="A27" s="2" t="s">
        <v>668</v>
      </c>
      <c r="B27" s="2"/>
      <c r="C27" s="2"/>
      <c r="D27" s="10">
        <v>92.744</v>
      </c>
      <c r="E27" s="2"/>
    </row>
    <row r="28" spans="1:5" x14ac:dyDescent="0.2">
      <c r="A28" s="2" t="s">
        <v>669</v>
      </c>
      <c r="B28" s="2"/>
      <c r="C28" s="2"/>
      <c r="D28" s="10">
        <v>39.9512</v>
      </c>
      <c r="E28" s="2"/>
    </row>
    <row r="29" spans="1:5" x14ac:dyDescent="0.2">
      <c r="A29" s="2"/>
      <c r="B29" s="2"/>
      <c r="C29" s="2"/>
      <c r="D29" s="2"/>
    </row>
    <row r="30" spans="1:5" x14ac:dyDescent="0.2">
      <c r="A30" s="4" t="s">
        <v>109</v>
      </c>
      <c r="B30" s="2"/>
      <c r="C30" s="2"/>
      <c r="D30" s="30" t="s">
        <v>325</v>
      </c>
    </row>
    <row r="31" spans="1:5" x14ac:dyDescent="0.2">
      <c r="A31" s="31" t="s">
        <v>670</v>
      </c>
      <c r="B31" s="32"/>
      <c r="C31" s="88" t="s">
        <v>671</v>
      </c>
      <c r="D31" s="89"/>
    </row>
    <row r="32" spans="1:5" x14ac:dyDescent="0.2">
      <c r="A32" s="92"/>
      <c r="B32" s="93"/>
      <c r="C32" s="33" t="s">
        <v>672</v>
      </c>
      <c r="D32" s="33" t="s">
        <v>673</v>
      </c>
    </row>
    <row r="33" spans="1:4" x14ac:dyDescent="0.2">
      <c r="A33" s="34" t="s">
        <v>667</v>
      </c>
      <c r="B33" s="35"/>
      <c r="C33" s="36">
        <v>1.0804840500000001</v>
      </c>
      <c r="D33" s="36">
        <v>1.0005336149999999</v>
      </c>
    </row>
    <row r="34" spans="1:4" x14ac:dyDescent="0.2">
      <c r="A34" s="34" t="s">
        <v>669</v>
      </c>
      <c r="B34" s="35"/>
      <c r="C34" s="36">
        <v>1.0804840500000001</v>
      </c>
      <c r="D34" s="36">
        <v>1.0005336149999999</v>
      </c>
    </row>
    <row r="35" spans="1:4" x14ac:dyDescent="0.2">
      <c r="A35" s="4"/>
      <c r="B35" s="2"/>
      <c r="C35" s="2"/>
      <c r="D35" s="30"/>
    </row>
    <row r="36" spans="1:4" x14ac:dyDescent="0.2">
      <c r="A36" s="9" t="s">
        <v>674</v>
      </c>
      <c r="B36" s="2"/>
      <c r="C36" s="2"/>
      <c r="D36" s="37">
        <v>0.86430343586950242</v>
      </c>
    </row>
    <row r="38" spans="1:4" x14ac:dyDescent="0.2">
      <c r="A38" s="9" t="s">
        <v>616</v>
      </c>
    </row>
  </sheetData>
  <mergeCells count="3">
    <mergeCell ref="A1:E1"/>
    <mergeCell ref="C31:D31"/>
    <mergeCell ref="A32:B3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5173-D2F2-4C85-85B8-A4F6D06077B3}">
  <sheetPr codeName="Sheet19"/>
  <dimension ref="A1:E40"/>
  <sheetViews>
    <sheetView showGridLines="0" workbookViewId="0">
      <selection sqref="A1:E1"/>
    </sheetView>
  </sheetViews>
  <sheetFormatPr defaultColWidth="9.140625" defaultRowHeight="11.25" x14ac:dyDescent="0.2"/>
  <cols>
    <col min="1" max="1" width="58.7109375" style="1" bestFit="1" customWidth="1"/>
    <col min="2" max="2" width="25.140625" style="1" customWidth="1"/>
    <col min="3" max="3" width="11.7109375" style="1" bestFit="1" customWidth="1"/>
    <col min="4" max="4" width="23" style="1" bestFit="1" customWidth="1"/>
    <col min="5" max="5" width="14.140625" style="1" bestFit="1" customWidth="1"/>
    <col min="6" max="16384" width="9.140625" style="2"/>
  </cols>
  <sheetData>
    <row r="1" spans="1:5" x14ac:dyDescent="0.2">
      <c r="A1" s="98" t="s">
        <v>407</v>
      </c>
      <c r="B1" s="98"/>
      <c r="C1" s="98"/>
      <c r="D1" s="98"/>
      <c r="E1" s="98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602</v>
      </c>
      <c r="B5" s="7"/>
      <c r="C5" s="7"/>
      <c r="D5" s="7"/>
      <c r="E5" s="7"/>
    </row>
    <row r="6" spans="1:5" x14ac:dyDescent="0.2">
      <c r="A6" s="7" t="s">
        <v>406</v>
      </c>
      <c r="B6" s="7" t="s">
        <v>609</v>
      </c>
      <c r="C6" s="21">
        <v>6331154.04</v>
      </c>
      <c r="D6" s="7">
        <v>2351.8401208999999</v>
      </c>
      <c r="E6" s="7">
        <v>79.585183003294986</v>
      </c>
    </row>
    <row r="7" spans="1:5" x14ac:dyDescent="0.2">
      <c r="A7" s="7" t="s">
        <v>397</v>
      </c>
      <c r="B7" s="7" t="s">
        <v>607</v>
      </c>
      <c r="C7" s="21">
        <v>89870.37</v>
      </c>
      <c r="D7" s="7">
        <v>450.468774</v>
      </c>
      <c r="E7" s="7">
        <v>15.243655169187543</v>
      </c>
    </row>
    <row r="8" spans="1:5" x14ac:dyDescent="0.2">
      <c r="A8" s="7" t="s">
        <v>399</v>
      </c>
      <c r="B8" s="7" t="s">
        <v>608</v>
      </c>
      <c r="C8" s="21">
        <v>57297.22</v>
      </c>
      <c r="D8" s="7">
        <v>146.29922390000002</v>
      </c>
      <c r="E8" s="7">
        <v>4.9506981379609689</v>
      </c>
    </row>
    <row r="9" spans="1:5" x14ac:dyDescent="0.2">
      <c r="A9" s="6" t="s">
        <v>44</v>
      </c>
      <c r="B9" s="7"/>
      <c r="C9" s="7"/>
      <c r="D9" s="6">
        <v>2948.6081187999998</v>
      </c>
      <c r="E9" s="6">
        <v>99.779536310443504</v>
      </c>
    </row>
    <row r="10" spans="1:5" x14ac:dyDescent="0.2">
      <c r="A10" s="7"/>
      <c r="B10" s="7"/>
      <c r="C10" s="7"/>
      <c r="D10" s="7"/>
      <c r="E10" s="7"/>
    </row>
    <row r="11" spans="1:5" x14ac:dyDescent="0.2">
      <c r="A11" s="6" t="s">
        <v>44</v>
      </c>
      <c r="B11" s="7"/>
      <c r="C11" s="7"/>
      <c r="D11" s="6">
        <v>2948.6081187999998</v>
      </c>
      <c r="E11" s="6">
        <v>99.779536310443504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6" t="s">
        <v>103</v>
      </c>
      <c r="B13" s="7"/>
      <c r="C13" s="7"/>
      <c r="D13" s="6">
        <v>6.5149733999999997</v>
      </c>
      <c r="E13" s="6">
        <v>0.22046368955649151</v>
      </c>
    </row>
    <row r="14" spans="1:5" x14ac:dyDescent="0.2">
      <c r="A14" s="7"/>
      <c r="B14" s="7"/>
      <c r="C14" s="7"/>
      <c r="D14" s="7"/>
      <c r="E14" s="7"/>
    </row>
    <row r="15" spans="1:5" x14ac:dyDescent="0.2">
      <c r="A15" s="8" t="s">
        <v>104</v>
      </c>
      <c r="B15" s="5"/>
      <c r="C15" s="5"/>
      <c r="D15" s="8">
        <v>2955.1230922</v>
      </c>
      <c r="E15" s="8">
        <v>100</v>
      </c>
    </row>
    <row r="17" spans="1:5" x14ac:dyDescent="0.2">
      <c r="A17" s="4" t="s">
        <v>105</v>
      </c>
      <c r="B17" s="2"/>
      <c r="C17" s="2"/>
      <c r="D17" s="2"/>
    </row>
    <row r="18" spans="1:5" x14ac:dyDescent="0.2">
      <c r="A18" s="4" t="s">
        <v>106</v>
      </c>
      <c r="B18" s="2"/>
      <c r="C18" s="2"/>
      <c r="D18" s="2"/>
    </row>
    <row r="19" spans="1:5" x14ac:dyDescent="0.2">
      <c r="A19" s="4" t="s">
        <v>107</v>
      </c>
      <c r="B19" s="2"/>
      <c r="C19" s="2"/>
      <c r="D19" s="2"/>
    </row>
    <row r="20" spans="1:5" x14ac:dyDescent="0.2">
      <c r="A20" s="2" t="s">
        <v>666</v>
      </c>
      <c r="B20" s="2"/>
      <c r="C20" s="2"/>
      <c r="D20" s="10">
        <v>38.133699999999997</v>
      </c>
      <c r="E20" s="2"/>
    </row>
    <row r="21" spans="1:5" x14ac:dyDescent="0.2">
      <c r="A21" s="2" t="s">
        <v>667</v>
      </c>
      <c r="B21" s="2"/>
      <c r="C21" s="2"/>
      <c r="D21" s="10">
        <v>14.410500000000001</v>
      </c>
      <c r="E21" s="2"/>
    </row>
    <row r="22" spans="1:5" x14ac:dyDescent="0.2">
      <c r="A22" s="2" t="s">
        <v>668</v>
      </c>
      <c r="B22" s="2"/>
      <c r="C22" s="2"/>
      <c r="D22" s="10">
        <v>39.138300000000001</v>
      </c>
      <c r="E22" s="2"/>
    </row>
    <row r="23" spans="1:5" x14ac:dyDescent="0.2">
      <c r="A23" s="2" t="s">
        <v>669</v>
      </c>
      <c r="B23" s="2"/>
      <c r="C23" s="2"/>
      <c r="D23" s="10">
        <v>14.806699999999999</v>
      </c>
      <c r="E23" s="2"/>
    </row>
    <row r="24" spans="1:5" x14ac:dyDescent="0.2">
      <c r="A24" s="2"/>
      <c r="B24" s="2"/>
      <c r="C24" s="2"/>
      <c r="D24" s="10"/>
      <c r="E24" s="2"/>
    </row>
    <row r="25" spans="1:5" x14ac:dyDescent="0.2">
      <c r="A25" s="4" t="s">
        <v>108</v>
      </c>
      <c r="B25" s="2"/>
      <c r="C25" s="2"/>
      <c r="D25" s="2"/>
      <c r="E25" s="2"/>
    </row>
    <row r="26" spans="1:5" x14ac:dyDescent="0.2">
      <c r="A26" s="2" t="s">
        <v>666</v>
      </c>
      <c r="B26" s="2"/>
      <c r="C26" s="2"/>
      <c r="D26" s="10">
        <v>39.241900000000001</v>
      </c>
      <c r="E26" s="2"/>
    </row>
    <row r="27" spans="1:5" x14ac:dyDescent="0.2">
      <c r="A27" s="2" t="s">
        <v>667</v>
      </c>
      <c r="B27" s="2"/>
      <c r="C27" s="2"/>
      <c r="D27" s="10">
        <v>14.2653</v>
      </c>
      <c r="E27" s="2"/>
    </row>
    <row r="28" spans="1:5" x14ac:dyDescent="0.2">
      <c r="A28" s="2" t="s">
        <v>668</v>
      </c>
      <c r="B28" s="2"/>
      <c r="C28" s="2"/>
      <c r="D28" s="10">
        <v>40.357399999999998</v>
      </c>
      <c r="E28" s="2"/>
    </row>
    <row r="29" spans="1:5" x14ac:dyDescent="0.2">
      <c r="A29" s="2" t="s">
        <v>669</v>
      </c>
      <c r="B29" s="2"/>
      <c r="C29" s="2"/>
      <c r="D29" s="10">
        <v>14.6996</v>
      </c>
      <c r="E29" s="2"/>
    </row>
    <row r="30" spans="1:5" x14ac:dyDescent="0.2">
      <c r="A30" s="2"/>
      <c r="B30" s="2"/>
      <c r="C30" s="2"/>
      <c r="D30" s="2"/>
    </row>
    <row r="31" spans="1:5" x14ac:dyDescent="0.2">
      <c r="A31" s="4" t="s">
        <v>109</v>
      </c>
      <c r="B31" s="2"/>
      <c r="C31" s="2"/>
      <c r="D31" s="30" t="s">
        <v>325</v>
      </c>
    </row>
    <row r="32" spans="1:5" x14ac:dyDescent="0.2">
      <c r="A32" s="31" t="s">
        <v>670</v>
      </c>
      <c r="B32" s="32"/>
      <c r="C32" s="88" t="s">
        <v>671</v>
      </c>
      <c r="D32" s="89"/>
    </row>
    <row r="33" spans="1:4" x14ac:dyDescent="0.2">
      <c r="A33" s="92"/>
      <c r="B33" s="93"/>
      <c r="C33" s="33" t="s">
        <v>672</v>
      </c>
      <c r="D33" s="33" t="s">
        <v>673</v>
      </c>
    </row>
    <row r="34" spans="1:4" x14ac:dyDescent="0.2">
      <c r="A34" s="34" t="s">
        <v>667</v>
      </c>
      <c r="B34" s="35"/>
      <c r="C34" s="36">
        <v>0.396177485</v>
      </c>
      <c r="D34" s="36">
        <v>0.36686232560000004</v>
      </c>
    </row>
    <row r="35" spans="1:4" x14ac:dyDescent="0.2">
      <c r="A35" s="34" t="s">
        <v>669</v>
      </c>
      <c r="B35" s="35"/>
      <c r="C35" s="36">
        <v>0.396177485</v>
      </c>
      <c r="D35" s="36">
        <v>0.36686232560000004</v>
      </c>
    </row>
    <row r="36" spans="1:4" x14ac:dyDescent="0.2">
      <c r="A36" s="4"/>
      <c r="B36" s="2"/>
      <c r="C36" s="2"/>
      <c r="D36" s="30"/>
    </row>
    <row r="37" spans="1:4" x14ac:dyDescent="0.2">
      <c r="A37" s="9" t="s">
        <v>674</v>
      </c>
      <c r="B37" s="2"/>
      <c r="C37" s="2"/>
      <c r="D37" s="37">
        <v>7.1702046171690334E-2</v>
      </c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</sheetData>
  <mergeCells count="3">
    <mergeCell ref="A1:E1"/>
    <mergeCell ref="C32:D32"/>
    <mergeCell ref="A33:B3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94D6-7D2B-4BA7-BE9C-A99D6339698E}">
  <sheetPr codeName="Sheet20"/>
  <dimension ref="A1:E41"/>
  <sheetViews>
    <sheetView showGridLines="0" workbookViewId="0">
      <selection sqref="A1:E1"/>
    </sheetView>
  </sheetViews>
  <sheetFormatPr defaultColWidth="9.140625" defaultRowHeight="11.25" x14ac:dyDescent="0.2"/>
  <cols>
    <col min="1" max="1" width="59" style="1" bestFit="1" customWidth="1"/>
    <col min="2" max="2" width="26.425781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98" t="s">
        <v>405</v>
      </c>
      <c r="B1" s="98"/>
      <c r="C1" s="98"/>
      <c r="D1" s="98"/>
      <c r="E1" s="98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602</v>
      </c>
      <c r="B5" s="7"/>
      <c r="C5" s="7"/>
      <c r="D5" s="7"/>
      <c r="E5" s="7"/>
    </row>
    <row r="6" spans="1:5" x14ac:dyDescent="0.2">
      <c r="A6" s="7" t="s">
        <v>401</v>
      </c>
      <c r="B6" s="7" t="s">
        <v>605</v>
      </c>
      <c r="C6" s="21">
        <v>412907.48</v>
      </c>
      <c r="D6" s="7">
        <v>302.58685659999998</v>
      </c>
      <c r="E6" s="7">
        <v>49.937089522295672</v>
      </c>
    </row>
    <row r="7" spans="1:5" x14ac:dyDescent="0.2">
      <c r="A7" s="7" t="s">
        <v>400</v>
      </c>
      <c r="B7" s="7" t="s">
        <v>606</v>
      </c>
      <c r="C7" s="21">
        <v>245733.65</v>
      </c>
      <c r="D7" s="7">
        <v>181.5949565</v>
      </c>
      <c r="E7" s="7">
        <v>29.969324184908725</v>
      </c>
    </row>
    <row r="8" spans="1:5" x14ac:dyDescent="0.2">
      <c r="A8" s="7" t="s">
        <v>397</v>
      </c>
      <c r="B8" s="7" t="s">
        <v>607</v>
      </c>
      <c r="C8" s="21">
        <v>12283.1</v>
      </c>
      <c r="D8" s="7">
        <v>61.568149400000003</v>
      </c>
      <c r="E8" s="7">
        <v>10.160831910733677</v>
      </c>
    </row>
    <row r="9" spans="1:5" x14ac:dyDescent="0.2">
      <c r="A9" s="7" t="s">
        <v>399</v>
      </c>
      <c r="B9" s="7" t="s">
        <v>608</v>
      </c>
      <c r="C9" s="21">
        <v>23482.93</v>
      </c>
      <c r="D9" s="7">
        <v>59.959886100000006</v>
      </c>
      <c r="E9" s="7">
        <v>9.8954139435095101</v>
      </c>
    </row>
    <row r="10" spans="1:5" x14ac:dyDescent="0.2">
      <c r="A10" s="6" t="s">
        <v>44</v>
      </c>
      <c r="B10" s="7"/>
      <c r="C10" s="7"/>
      <c r="D10" s="6">
        <f>SUM(D6:D9)</f>
        <v>605.70984859999999</v>
      </c>
      <c r="E10" s="6">
        <f>SUM(E6:E9)</f>
        <v>99.96265956144758</v>
      </c>
    </row>
    <row r="11" spans="1:5" x14ac:dyDescent="0.2">
      <c r="A11" s="7"/>
      <c r="B11" s="7"/>
      <c r="C11" s="7"/>
      <c r="D11" s="7"/>
      <c r="E11" s="7"/>
    </row>
    <row r="12" spans="1:5" x14ac:dyDescent="0.2">
      <c r="A12" s="6" t="s">
        <v>44</v>
      </c>
      <c r="B12" s="7"/>
      <c r="C12" s="7"/>
      <c r="D12" s="6">
        <v>605.70984859999999</v>
      </c>
      <c r="E12" s="6">
        <v>99.96265956144758</v>
      </c>
    </row>
    <row r="13" spans="1:5" x14ac:dyDescent="0.2">
      <c r="A13" s="7"/>
      <c r="B13" s="7"/>
      <c r="C13" s="7"/>
      <c r="D13" s="7"/>
      <c r="E13" s="7"/>
    </row>
    <row r="14" spans="1:5" x14ac:dyDescent="0.2">
      <c r="A14" s="6" t="s">
        <v>103</v>
      </c>
      <c r="B14" s="7"/>
      <c r="C14" s="7"/>
      <c r="D14" s="6">
        <v>0.22625920000000002</v>
      </c>
      <c r="E14" s="6">
        <v>3.7340438552422583E-2</v>
      </c>
    </row>
    <row r="15" spans="1:5" x14ac:dyDescent="0.2">
      <c r="A15" s="7"/>
      <c r="B15" s="7"/>
      <c r="C15" s="7"/>
      <c r="D15" s="7"/>
      <c r="E15" s="7"/>
    </row>
    <row r="16" spans="1:5" x14ac:dyDescent="0.2">
      <c r="A16" s="8" t="s">
        <v>104</v>
      </c>
      <c r="B16" s="5"/>
      <c r="C16" s="5"/>
      <c r="D16" s="8">
        <v>605.93610779999995</v>
      </c>
      <c r="E16" s="8">
        <v>100</v>
      </c>
    </row>
    <row r="18" spans="1:5" x14ac:dyDescent="0.2">
      <c r="A18" s="4" t="s">
        <v>105</v>
      </c>
      <c r="B18" s="2"/>
      <c r="C18" s="2"/>
      <c r="D18" s="2"/>
    </row>
    <row r="19" spans="1:5" x14ac:dyDescent="0.2">
      <c r="A19" s="4" t="s">
        <v>106</v>
      </c>
      <c r="B19" s="2"/>
      <c r="C19" s="2"/>
      <c r="D19" s="2"/>
    </row>
    <row r="20" spans="1:5" x14ac:dyDescent="0.2">
      <c r="A20" s="4" t="s">
        <v>107</v>
      </c>
      <c r="B20" s="2"/>
      <c r="C20" s="2"/>
      <c r="D20" s="2"/>
    </row>
    <row r="21" spans="1:5" x14ac:dyDescent="0.2">
      <c r="A21" s="2" t="s">
        <v>666</v>
      </c>
      <c r="B21" s="2"/>
      <c r="C21" s="2"/>
      <c r="D21" s="10">
        <v>36.234999999999999</v>
      </c>
      <c r="E21" s="2"/>
    </row>
    <row r="22" spans="1:5" x14ac:dyDescent="0.2">
      <c r="A22" s="2" t="s">
        <v>667</v>
      </c>
      <c r="B22" s="2"/>
      <c r="C22" s="2"/>
      <c r="D22" s="10">
        <v>13.5154</v>
      </c>
      <c r="E22" s="2"/>
    </row>
    <row r="23" spans="1:5" x14ac:dyDescent="0.2">
      <c r="A23" s="2" t="s">
        <v>668</v>
      </c>
      <c r="B23" s="2"/>
      <c r="C23" s="2"/>
      <c r="D23" s="10">
        <v>37.864400000000003</v>
      </c>
      <c r="E23" s="2"/>
    </row>
    <row r="24" spans="1:5" x14ac:dyDescent="0.2">
      <c r="A24" s="2" t="s">
        <v>669</v>
      </c>
      <c r="B24" s="2"/>
      <c r="C24" s="2"/>
      <c r="D24" s="10">
        <v>14.110900000000001</v>
      </c>
      <c r="E24" s="2"/>
    </row>
    <row r="25" spans="1:5" x14ac:dyDescent="0.2">
      <c r="A25" s="2"/>
      <c r="B25" s="2"/>
      <c r="C25" s="2"/>
      <c r="D25" s="10"/>
      <c r="E25" s="2"/>
    </row>
    <row r="26" spans="1:5" x14ac:dyDescent="0.2">
      <c r="A26" s="4" t="s">
        <v>108</v>
      </c>
      <c r="B26" s="2"/>
      <c r="C26" s="2"/>
      <c r="D26" s="2"/>
      <c r="E26" s="2"/>
    </row>
    <row r="27" spans="1:5" x14ac:dyDescent="0.2">
      <c r="A27" s="2" t="s">
        <v>666</v>
      </c>
      <c r="B27" s="2"/>
      <c r="C27" s="2"/>
      <c r="D27" s="10">
        <v>37.0792</v>
      </c>
      <c r="E27" s="2"/>
    </row>
    <row r="28" spans="1:5" x14ac:dyDescent="0.2">
      <c r="A28" s="2" t="s">
        <v>667</v>
      </c>
      <c r="B28" s="2"/>
      <c r="C28" s="2"/>
      <c r="D28" s="10">
        <v>13.267799999999999</v>
      </c>
      <c r="E28" s="2"/>
    </row>
    <row r="29" spans="1:5" x14ac:dyDescent="0.2">
      <c r="A29" s="2" t="s">
        <v>668</v>
      </c>
      <c r="B29" s="2"/>
      <c r="C29" s="2"/>
      <c r="D29" s="10">
        <v>38.863599999999998</v>
      </c>
      <c r="E29" s="2"/>
    </row>
    <row r="30" spans="1:5" x14ac:dyDescent="0.2">
      <c r="A30" s="2" t="s">
        <v>669</v>
      </c>
      <c r="B30" s="2"/>
      <c r="C30" s="2"/>
      <c r="D30" s="10">
        <v>13.909800000000001</v>
      </c>
      <c r="E30" s="2"/>
    </row>
    <row r="31" spans="1:5" x14ac:dyDescent="0.2">
      <c r="A31" s="2"/>
      <c r="B31" s="2"/>
      <c r="C31" s="2"/>
      <c r="D31" s="2"/>
    </row>
    <row r="32" spans="1:5" x14ac:dyDescent="0.2">
      <c r="A32" s="4" t="s">
        <v>109</v>
      </c>
      <c r="B32" s="2"/>
      <c r="C32" s="2"/>
      <c r="D32" s="30" t="s">
        <v>325</v>
      </c>
    </row>
    <row r="33" spans="1:4" x14ac:dyDescent="0.2">
      <c r="A33" s="31" t="s">
        <v>670</v>
      </c>
      <c r="B33" s="32"/>
      <c r="C33" s="88" t="s">
        <v>671</v>
      </c>
      <c r="D33" s="89"/>
    </row>
    <row r="34" spans="1:4" x14ac:dyDescent="0.2">
      <c r="A34" s="92"/>
      <c r="B34" s="93"/>
      <c r="C34" s="33" t="s">
        <v>672</v>
      </c>
      <c r="D34" s="33" t="s">
        <v>673</v>
      </c>
    </row>
    <row r="35" spans="1:4" x14ac:dyDescent="0.2">
      <c r="A35" s="34" t="s">
        <v>667</v>
      </c>
      <c r="B35" s="35"/>
      <c r="C35" s="36">
        <v>0.396177485</v>
      </c>
      <c r="D35" s="36">
        <v>0.36686232560000004</v>
      </c>
    </row>
    <row r="36" spans="1:4" x14ac:dyDescent="0.2">
      <c r="A36" s="34" t="s">
        <v>669</v>
      </c>
      <c r="B36" s="35"/>
      <c r="C36" s="36">
        <v>0.396177485</v>
      </c>
      <c r="D36" s="36">
        <v>0.36686232560000004</v>
      </c>
    </row>
    <row r="37" spans="1:4" x14ac:dyDescent="0.2">
      <c r="A37" s="4"/>
      <c r="B37" s="2"/>
      <c r="C37" s="2"/>
      <c r="D37" s="30"/>
    </row>
    <row r="38" spans="1:4" x14ac:dyDescent="0.2">
      <c r="A38" s="9" t="s">
        <v>674</v>
      </c>
      <c r="B38" s="2"/>
      <c r="C38" s="2"/>
      <c r="D38" s="37">
        <v>4.5804208194585777E-2</v>
      </c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</sheetData>
  <mergeCells count="3">
    <mergeCell ref="A1:E1"/>
    <mergeCell ref="C33:D33"/>
    <mergeCell ref="A34:B3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A764-29E0-49C0-B267-6A3124ACFF88}">
  <sheetPr codeName="Sheet21"/>
  <dimension ref="A1:E42"/>
  <sheetViews>
    <sheetView showGridLines="0" workbookViewId="0">
      <selection sqref="A1:E1"/>
    </sheetView>
  </sheetViews>
  <sheetFormatPr defaultColWidth="9.140625" defaultRowHeight="11.25" x14ac:dyDescent="0.2"/>
  <cols>
    <col min="1" max="1" width="59" style="1" bestFit="1" customWidth="1"/>
    <col min="2" max="2" width="29.7109375" style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98" t="s">
        <v>404</v>
      </c>
      <c r="B1" s="98"/>
      <c r="C1" s="98"/>
      <c r="D1" s="98"/>
      <c r="E1" s="98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602</v>
      </c>
      <c r="B5" s="7"/>
      <c r="C5" s="7"/>
      <c r="D5" s="7"/>
      <c r="E5" s="7"/>
    </row>
    <row r="6" spans="1:5" x14ac:dyDescent="0.2">
      <c r="A6" s="7" t="s">
        <v>401</v>
      </c>
      <c r="B6" s="7" t="s">
        <v>605</v>
      </c>
      <c r="C6" s="21">
        <v>637781.99</v>
      </c>
      <c r="D6" s="7">
        <v>467.37939420000004</v>
      </c>
      <c r="E6" s="7">
        <v>34.779838090325647</v>
      </c>
    </row>
    <row r="7" spans="1:5" x14ac:dyDescent="0.2">
      <c r="A7" s="7" t="s">
        <v>400</v>
      </c>
      <c r="B7" s="7" t="s">
        <v>606</v>
      </c>
      <c r="C7" s="21">
        <v>543137.81999999995</v>
      </c>
      <c r="D7" s="7">
        <v>401.37395700000002</v>
      </c>
      <c r="E7" s="7">
        <v>29.868071659487228</v>
      </c>
    </row>
    <row r="8" spans="1:5" x14ac:dyDescent="0.2">
      <c r="A8" s="7" t="s">
        <v>397</v>
      </c>
      <c r="B8" s="7" t="s">
        <v>607</v>
      </c>
      <c r="C8" s="21">
        <v>54293.19</v>
      </c>
      <c r="D8" s="7">
        <v>272.14071580000001</v>
      </c>
      <c r="E8" s="7">
        <v>20.251235186588222</v>
      </c>
    </row>
    <row r="9" spans="1:5" x14ac:dyDescent="0.2">
      <c r="A9" s="7" t="s">
        <v>398</v>
      </c>
      <c r="B9" s="7" t="s">
        <v>610</v>
      </c>
      <c r="C9" s="21">
        <v>12915.81</v>
      </c>
      <c r="D9" s="7">
        <v>134.052998</v>
      </c>
      <c r="E9" s="7">
        <v>9.9754966175672877</v>
      </c>
    </row>
    <row r="10" spans="1:5" x14ac:dyDescent="0.2">
      <c r="A10" s="7" t="s">
        <v>399</v>
      </c>
      <c r="B10" s="7" t="s">
        <v>608</v>
      </c>
      <c r="C10" s="21">
        <v>25947.96</v>
      </c>
      <c r="D10" s="7">
        <v>66.253943300000003</v>
      </c>
      <c r="E10" s="7">
        <v>4.9302589061801125</v>
      </c>
    </row>
    <row r="11" spans="1:5" x14ac:dyDescent="0.2">
      <c r="A11" s="6" t="s">
        <v>44</v>
      </c>
      <c r="B11" s="7"/>
      <c r="C11" s="7"/>
      <c r="D11" s="6">
        <v>1341.2010082999998</v>
      </c>
      <c r="E11" s="6">
        <v>99.804900460148488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6" t="s">
        <v>44</v>
      </c>
      <c r="B13" s="7"/>
      <c r="C13" s="7"/>
      <c r="D13" s="6">
        <v>1341.2010082999998</v>
      </c>
      <c r="E13" s="6">
        <v>99.804900460148488</v>
      </c>
    </row>
    <row r="14" spans="1:5" x14ac:dyDescent="0.2">
      <c r="A14" s="7"/>
      <c r="B14" s="7"/>
      <c r="C14" s="7"/>
      <c r="D14" s="7"/>
      <c r="E14" s="7"/>
    </row>
    <row r="15" spans="1:5" x14ac:dyDescent="0.2">
      <c r="A15" s="6" t="s">
        <v>103</v>
      </c>
      <c r="B15" s="7"/>
      <c r="C15" s="7"/>
      <c r="D15" s="6">
        <v>2.6217921000000008</v>
      </c>
      <c r="E15" s="6">
        <v>0.19509953985150444</v>
      </c>
    </row>
    <row r="16" spans="1:5" x14ac:dyDescent="0.2">
      <c r="A16" s="7"/>
      <c r="B16" s="7"/>
      <c r="C16" s="7"/>
      <c r="D16" s="7"/>
      <c r="E16" s="7"/>
    </row>
    <row r="17" spans="1:5" x14ac:dyDescent="0.2">
      <c r="A17" s="8" t="s">
        <v>104</v>
      </c>
      <c r="B17" s="5"/>
      <c r="C17" s="5"/>
      <c r="D17" s="8">
        <v>1343.8228003999998</v>
      </c>
      <c r="E17" s="8">
        <v>99.999999999999986</v>
      </c>
    </row>
    <row r="19" spans="1:5" x14ac:dyDescent="0.2">
      <c r="A19" s="4" t="s">
        <v>105</v>
      </c>
      <c r="B19" s="2"/>
      <c r="C19" s="2"/>
      <c r="D19" s="2"/>
    </row>
    <row r="20" spans="1:5" x14ac:dyDescent="0.2">
      <c r="A20" s="4" t="s">
        <v>106</v>
      </c>
      <c r="B20" s="2"/>
      <c r="C20" s="2"/>
      <c r="D20" s="2"/>
    </row>
    <row r="21" spans="1:5" x14ac:dyDescent="0.2">
      <c r="A21" s="4" t="s">
        <v>107</v>
      </c>
      <c r="B21" s="2"/>
      <c r="C21" s="2"/>
      <c r="D21" s="2"/>
    </row>
    <row r="22" spans="1:5" x14ac:dyDescent="0.2">
      <c r="A22" s="2" t="s">
        <v>666</v>
      </c>
      <c r="B22" s="2"/>
      <c r="C22" s="2"/>
      <c r="D22" s="10">
        <v>48.569200000000002</v>
      </c>
      <c r="E22" s="2"/>
    </row>
    <row r="23" spans="1:5" x14ac:dyDescent="0.2">
      <c r="A23" s="2" t="s">
        <v>667</v>
      </c>
      <c r="B23" s="2"/>
      <c r="C23" s="2"/>
      <c r="D23" s="10">
        <v>15.108700000000001</v>
      </c>
      <c r="E23" s="2"/>
    </row>
    <row r="24" spans="1:5" x14ac:dyDescent="0.2">
      <c r="A24" s="2" t="s">
        <v>668</v>
      </c>
      <c r="B24" s="2"/>
      <c r="C24" s="2"/>
      <c r="D24" s="10">
        <v>50.714399999999998</v>
      </c>
      <c r="E24" s="2"/>
    </row>
    <row r="25" spans="1:5" x14ac:dyDescent="0.2">
      <c r="A25" s="2" t="s">
        <v>669</v>
      </c>
      <c r="B25" s="2"/>
      <c r="C25" s="2"/>
      <c r="D25" s="10">
        <v>15.6762</v>
      </c>
      <c r="E25" s="2"/>
    </row>
    <row r="26" spans="1:5" x14ac:dyDescent="0.2">
      <c r="A26" s="2"/>
      <c r="B26" s="2"/>
      <c r="C26" s="2"/>
      <c r="D26" s="10"/>
      <c r="E26" s="2"/>
    </row>
    <row r="27" spans="1:5" x14ac:dyDescent="0.2">
      <c r="A27" s="4" t="s">
        <v>108</v>
      </c>
      <c r="B27" s="2"/>
      <c r="C27" s="2"/>
      <c r="D27" s="2"/>
      <c r="E27" s="2"/>
    </row>
    <row r="28" spans="1:5" x14ac:dyDescent="0.2">
      <c r="A28" s="2" t="s">
        <v>666</v>
      </c>
      <c r="B28" s="2"/>
      <c r="C28" s="2"/>
      <c r="D28" s="10">
        <v>49.6235</v>
      </c>
      <c r="E28" s="2"/>
    </row>
    <row r="29" spans="1:5" x14ac:dyDescent="0.2">
      <c r="A29" s="2" t="s">
        <v>667</v>
      </c>
      <c r="B29" s="2"/>
      <c r="C29" s="2"/>
      <c r="D29" s="10">
        <v>14.173999999999999</v>
      </c>
      <c r="E29" s="2"/>
    </row>
    <row r="30" spans="1:5" x14ac:dyDescent="0.2">
      <c r="A30" s="2" t="s">
        <v>668</v>
      </c>
      <c r="B30" s="2"/>
      <c r="C30" s="2"/>
      <c r="D30" s="10">
        <v>51.9636</v>
      </c>
      <c r="E30" s="2"/>
    </row>
    <row r="31" spans="1:5" x14ac:dyDescent="0.2">
      <c r="A31" s="2" t="s">
        <v>669</v>
      </c>
      <c r="B31" s="2"/>
      <c r="C31" s="2"/>
      <c r="D31" s="10">
        <v>14.7904</v>
      </c>
      <c r="E31" s="2"/>
    </row>
    <row r="32" spans="1:5" x14ac:dyDescent="0.2">
      <c r="A32" s="2"/>
      <c r="B32" s="2"/>
      <c r="C32" s="2"/>
      <c r="D32" s="2"/>
    </row>
    <row r="33" spans="1:4" x14ac:dyDescent="0.2">
      <c r="A33" s="4" t="s">
        <v>109</v>
      </c>
      <c r="B33" s="2"/>
      <c r="C33" s="2"/>
      <c r="D33" s="30" t="s">
        <v>325</v>
      </c>
    </row>
    <row r="34" spans="1:4" x14ac:dyDescent="0.2">
      <c r="A34" s="31" t="s">
        <v>670</v>
      </c>
      <c r="B34" s="32"/>
      <c r="C34" s="88" t="s">
        <v>671</v>
      </c>
      <c r="D34" s="89"/>
    </row>
    <row r="35" spans="1:4" x14ac:dyDescent="0.2">
      <c r="A35" s="92"/>
      <c r="B35" s="93"/>
      <c r="C35" s="33" t="s">
        <v>672</v>
      </c>
      <c r="D35" s="33" t="s">
        <v>673</v>
      </c>
    </row>
    <row r="36" spans="1:4" x14ac:dyDescent="0.2">
      <c r="A36" s="34" t="s">
        <v>667</v>
      </c>
      <c r="B36" s="35"/>
      <c r="C36" s="36">
        <v>0.90040337500000001</v>
      </c>
      <c r="D36" s="36">
        <v>0.83377801250000005</v>
      </c>
    </row>
    <row r="37" spans="1:4" x14ac:dyDescent="0.2">
      <c r="A37" s="34" t="s">
        <v>669</v>
      </c>
      <c r="B37" s="35"/>
      <c r="C37" s="36">
        <v>0.90040337500000001</v>
      </c>
      <c r="D37" s="36">
        <v>0.83377801250000005</v>
      </c>
    </row>
    <row r="38" spans="1:4" x14ac:dyDescent="0.2">
      <c r="A38" s="4"/>
      <c r="B38" s="2"/>
      <c r="C38" s="2"/>
      <c r="D38" s="30"/>
    </row>
    <row r="39" spans="1:4" x14ac:dyDescent="0.2">
      <c r="A39" s="9" t="s">
        <v>674</v>
      </c>
      <c r="B39" s="2"/>
      <c r="C39" s="2"/>
      <c r="D39" s="37">
        <v>6.2011583196108042E-2</v>
      </c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D2E8-7638-4FC1-B788-97C55AF2AE00}">
  <sheetPr codeName="Sheet22"/>
  <dimension ref="A1:E43"/>
  <sheetViews>
    <sheetView showGridLines="0" workbookViewId="0">
      <selection sqref="A1:E1"/>
    </sheetView>
  </sheetViews>
  <sheetFormatPr defaultColWidth="9.140625" defaultRowHeight="11.25" x14ac:dyDescent="0.2"/>
  <cols>
    <col min="1" max="1" width="59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98" t="s">
        <v>403</v>
      </c>
      <c r="B1" s="98"/>
      <c r="C1" s="98"/>
      <c r="D1" s="98"/>
      <c r="E1" s="98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602</v>
      </c>
      <c r="B5" s="7"/>
      <c r="C5" s="7"/>
      <c r="D5" s="7"/>
      <c r="E5" s="7"/>
    </row>
    <row r="6" spans="1:5" x14ac:dyDescent="0.2">
      <c r="A6" s="7" t="s">
        <v>397</v>
      </c>
      <c r="B6" s="7" t="s">
        <v>607</v>
      </c>
      <c r="C6" s="21">
        <v>41554.1</v>
      </c>
      <c r="D6" s="7">
        <v>208.28694940000003</v>
      </c>
      <c r="E6" s="7">
        <v>35.431189354127248</v>
      </c>
    </row>
    <row r="7" spans="1:5" x14ac:dyDescent="0.2">
      <c r="A7" s="7" t="s">
        <v>401</v>
      </c>
      <c r="B7" s="7" t="s">
        <v>605</v>
      </c>
      <c r="C7" s="21">
        <v>199264.11</v>
      </c>
      <c r="D7" s="7">
        <v>146.0247244</v>
      </c>
      <c r="E7" s="7">
        <v>24.839912800607973</v>
      </c>
    </row>
    <row r="8" spans="1:5" x14ac:dyDescent="0.2">
      <c r="A8" s="7" t="s">
        <v>400</v>
      </c>
      <c r="B8" s="7" t="s">
        <v>606</v>
      </c>
      <c r="C8" s="21">
        <v>158257.38</v>
      </c>
      <c r="D8" s="7">
        <v>116.9507802</v>
      </c>
      <c r="E8" s="7">
        <v>19.894214449420112</v>
      </c>
    </row>
    <row r="9" spans="1:5" x14ac:dyDescent="0.2">
      <c r="A9" s="7" t="s">
        <v>398</v>
      </c>
      <c r="B9" s="7" t="s">
        <v>610</v>
      </c>
      <c r="C9" s="21">
        <v>5649.33</v>
      </c>
      <c r="D9" s="7">
        <v>58.6343028</v>
      </c>
      <c r="E9" s="7">
        <v>9.9741394798786818</v>
      </c>
    </row>
    <row r="10" spans="1:5" x14ac:dyDescent="0.2">
      <c r="A10" s="7" t="s">
        <v>399</v>
      </c>
      <c r="B10" s="7" t="s">
        <v>608</v>
      </c>
      <c r="C10" s="21">
        <v>22700.91</v>
      </c>
      <c r="D10" s="7">
        <v>57.963123899999999</v>
      </c>
      <c r="E10" s="7">
        <v>9.8599668600150832</v>
      </c>
    </row>
    <row r="11" spans="1:5" x14ac:dyDescent="0.2">
      <c r="A11" s="6" t="s">
        <v>44</v>
      </c>
      <c r="B11" s="7"/>
      <c r="C11" s="7"/>
      <c r="D11" s="6">
        <v>587.85988070000008</v>
      </c>
      <c r="E11" s="6">
        <v>99.999422944049087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6" t="s">
        <v>44</v>
      </c>
      <c r="B13" s="7"/>
      <c r="C13" s="7"/>
      <c r="D13" s="6">
        <v>587.85988070000008</v>
      </c>
      <c r="E13" s="6">
        <v>99.999422944049087</v>
      </c>
    </row>
    <row r="14" spans="1:5" x14ac:dyDescent="0.2">
      <c r="A14" s="7"/>
      <c r="B14" s="7"/>
      <c r="C14" s="7"/>
      <c r="D14" s="7"/>
      <c r="E14" s="7"/>
    </row>
    <row r="15" spans="1:5" x14ac:dyDescent="0.2">
      <c r="A15" s="6" t="s">
        <v>103</v>
      </c>
      <c r="B15" s="7"/>
      <c r="C15" s="7"/>
      <c r="D15" s="6">
        <v>3.3922999999996682E-3</v>
      </c>
      <c r="E15" s="20" t="s">
        <v>624</v>
      </c>
    </row>
    <row r="16" spans="1:5" x14ac:dyDescent="0.2">
      <c r="A16" s="7"/>
      <c r="B16" s="7"/>
      <c r="C16" s="7"/>
      <c r="D16" s="7"/>
      <c r="E16" s="7"/>
    </row>
    <row r="17" spans="1:5" x14ac:dyDescent="0.2">
      <c r="A17" s="8" t="s">
        <v>104</v>
      </c>
      <c r="B17" s="5"/>
      <c r="C17" s="5"/>
      <c r="D17" s="8">
        <v>587.86327300000005</v>
      </c>
      <c r="E17" s="8">
        <v>99.999999999999986</v>
      </c>
    </row>
    <row r="18" spans="1:5" x14ac:dyDescent="0.2">
      <c r="E18" s="11" t="s">
        <v>625</v>
      </c>
    </row>
    <row r="19" spans="1:5" x14ac:dyDescent="0.2">
      <c r="A19" s="4" t="s">
        <v>105</v>
      </c>
      <c r="B19" s="2"/>
      <c r="C19" s="2"/>
      <c r="D19" s="2"/>
    </row>
    <row r="20" spans="1:5" x14ac:dyDescent="0.2">
      <c r="A20" s="4" t="s">
        <v>106</v>
      </c>
      <c r="B20" s="2"/>
      <c r="C20" s="2"/>
      <c r="D20" s="2"/>
    </row>
    <row r="21" spans="1:5" x14ac:dyDescent="0.2">
      <c r="A21" s="4" t="s">
        <v>107</v>
      </c>
      <c r="B21" s="2"/>
      <c r="C21" s="2"/>
      <c r="D21" s="2"/>
    </row>
    <row r="22" spans="1:5" x14ac:dyDescent="0.2">
      <c r="A22" s="2" t="s">
        <v>666</v>
      </c>
      <c r="B22" s="2"/>
      <c r="C22" s="2"/>
      <c r="D22" s="10">
        <v>60.556199999999997</v>
      </c>
      <c r="E22" s="2"/>
    </row>
    <row r="23" spans="1:5" x14ac:dyDescent="0.2">
      <c r="A23" s="2" t="s">
        <v>667</v>
      </c>
      <c r="B23" s="2"/>
      <c r="C23" s="2"/>
      <c r="D23" s="10">
        <v>23.368600000000001</v>
      </c>
      <c r="E23" s="2"/>
    </row>
    <row r="24" spans="1:5" x14ac:dyDescent="0.2">
      <c r="A24" s="2" t="s">
        <v>668</v>
      </c>
      <c r="B24" s="2"/>
      <c r="C24" s="2"/>
      <c r="D24" s="10">
        <v>62.826700000000002</v>
      </c>
      <c r="E24" s="2"/>
    </row>
    <row r="25" spans="1:5" x14ac:dyDescent="0.2">
      <c r="A25" s="2" t="s">
        <v>669</v>
      </c>
      <c r="B25" s="2"/>
      <c r="C25" s="2"/>
      <c r="D25" s="10">
        <v>24.434100000000001</v>
      </c>
      <c r="E25" s="2"/>
    </row>
    <row r="26" spans="1:5" x14ac:dyDescent="0.2">
      <c r="A26" s="2"/>
      <c r="B26" s="2"/>
      <c r="C26" s="2"/>
      <c r="D26" s="10"/>
      <c r="E26" s="2"/>
    </row>
    <row r="27" spans="1:5" x14ac:dyDescent="0.2">
      <c r="A27" s="4" t="s">
        <v>108</v>
      </c>
      <c r="B27" s="2"/>
      <c r="C27" s="2"/>
      <c r="D27" s="2"/>
      <c r="E27" s="2"/>
    </row>
    <row r="28" spans="1:5" x14ac:dyDescent="0.2">
      <c r="A28" s="2" t="s">
        <v>666</v>
      </c>
      <c r="B28" s="2"/>
      <c r="C28" s="2"/>
      <c r="D28" s="10">
        <v>61.271500000000003</v>
      </c>
      <c r="E28" s="2"/>
    </row>
    <row r="29" spans="1:5" x14ac:dyDescent="0.2">
      <c r="A29" s="2" t="s">
        <v>667</v>
      </c>
      <c r="B29" s="2"/>
      <c r="C29" s="2"/>
      <c r="D29" s="10">
        <v>21.619299999999999</v>
      </c>
      <c r="E29" s="2"/>
    </row>
    <row r="30" spans="1:5" x14ac:dyDescent="0.2">
      <c r="A30" s="2" t="s">
        <v>668</v>
      </c>
      <c r="B30" s="2"/>
      <c r="C30" s="2"/>
      <c r="D30" s="10">
        <v>63.697400000000002</v>
      </c>
      <c r="E30" s="2"/>
    </row>
    <row r="31" spans="1:5" x14ac:dyDescent="0.2">
      <c r="A31" s="2" t="s">
        <v>669</v>
      </c>
      <c r="B31" s="2"/>
      <c r="C31" s="2"/>
      <c r="D31" s="10">
        <v>22.738700000000001</v>
      </c>
      <c r="E31" s="2"/>
    </row>
    <row r="32" spans="1:5" x14ac:dyDescent="0.2">
      <c r="A32" s="2"/>
      <c r="B32" s="2"/>
      <c r="C32" s="2"/>
      <c r="D32" s="2"/>
    </row>
    <row r="33" spans="1:4" x14ac:dyDescent="0.2">
      <c r="A33" s="4" t="s">
        <v>109</v>
      </c>
      <c r="B33" s="2"/>
      <c r="C33" s="2"/>
      <c r="D33" s="30" t="s">
        <v>325</v>
      </c>
    </row>
    <row r="34" spans="1:4" x14ac:dyDescent="0.2">
      <c r="A34" s="31" t="s">
        <v>670</v>
      </c>
      <c r="B34" s="32"/>
      <c r="C34" s="88" t="s">
        <v>671</v>
      </c>
      <c r="D34" s="89"/>
    </row>
    <row r="35" spans="1:4" x14ac:dyDescent="0.2">
      <c r="A35" s="92"/>
      <c r="B35" s="93"/>
      <c r="C35" s="33" t="s">
        <v>672</v>
      </c>
      <c r="D35" s="33" t="s">
        <v>673</v>
      </c>
    </row>
    <row r="36" spans="1:4" x14ac:dyDescent="0.2">
      <c r="A36" s="34" t="s">
        <v>667</v>
      </c>
      <c r="B36" s="35"/>
      <c r="C36" s="36">
        <v>1.4406454</v>
      </c>
      <c r="D36" s="36">
        <v>1.3340448200000001</v>
      </c>
    </row>
    <row r="37" spans="1:4" x14ac:dyDescent="0.2">
      <c r="A37" s="34" t="s">
        <v>669</v>
      </c>
      <c r="B37" s="35"/>
      <c r="C37" s="36">
        <v>1.4406454</v>
      </c>
      <c r="D37" s="36">
        <v>1.3340448200000001</v>
      </c>
    </row>
    <row r="38" spans="1:4" x14ac:dyDescent="0.2">
      <c r="A38" s="4"/>
      <c r="B38" s="2"/>
      <c r="C38" s="2"/>
      <c r="D38" s="30"/>
    </row>
    <row r="39" spans="1:4" x14ac:dyDescent="0.2">
      <c r="A39" s="9" t="s">
        <v>674</v>
      </c>
      <c r="B39" s="2"/>
      <c r="C39" s="2"/>
      <c r="D39" s="37">
        <v>7.4140859100878892E-2</v>
      </c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F384-1B1F-4F40-A342-FF54D4645E9F}">
  <sheetPr codeName="Sheet23"/>
  <dimension ref="A1:E43"/>
  <sheetViews>
    <sheetView showGridLines="0" workbookViewId="0">
      <selection sqref="A1:E1"/>
    </sheetView>
  </sheetViews>
  <sheetFormatPr defaultColWidth="9.140625" defaultRowHeight="11.25" x14ac:dyDescent="0.2"/>
  <cols>
    <col min="1" max="1" width="59" style="1" bestFit="1" customWidth="1"/>
    <col min="2" max="2" width="31.7109375" style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98" t="s">
        <v>402</v>
      </c>
      <c r="B1" s="98"/>
      <c r="C1" s="98"/>
      <c r="D1" s="98"/>
      <c r="E1" s="98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602</v>
      </c>
      <c r="B5" s="7"/>
      <c r="C5" s="7"/>
      <c r="D5" s="7"/>
      <c r="E5" s="7"/>
    </row>
    <row r="6" spans="1:5" x14ac:dyDescent="0.2">
      <c r="A6" s="7" t="s">
        <v>397</v>
      </c>
      <c r="B6" s="7" t="s">
        <v>607</v>
      </c>
      <c r="C6" s="7">
        <v>120301.5</v>
      </c>
      <c r="D6" s="7">
        <v>603.00262710000004</v>
      </c>
      <c r="E6" s="7">
        <v>50.459204639679655</v>
      </c>
    </row>
    <row r="7" spans="1:5" x14ac:dyDescent="0.2">
      <c r="A7" s="7" t="s">
        <v>398</v>
      </c>
      <c r="B7" s="7" t="s">
        <v>610</v>
      </c>
      <c r="C7" s="7">
        <v>17171.259999999998</v>
      </c>
      <c r="D7" s="7">
        <v>178.2203394</v>
      </c>
      <c r="E7" s="7">
        <v>14.913461687533273</v>
      </c>
    </row>
    <row r="8" spans="1:5" x14ac:dyDescent="0.2">
      <c r="A8" s="7" t="s">
        <v>399</v>
      </c>
      <c r="B8" s="7" t="s">
        <v>608</v>
      </c>
      <c r="C8" s="7">
        <v>68989.02</v>
      </c>
      <c r="D8" s="7">
        <v>176.15236039999999</v>
      </c>
      <c r="E8" s="7">
        <v>14.740413394106428</v>
      </c>
    </row>
    <row r="9" spans="1:5" x14ac:dyDescent="0.2">
      <c r="A9" s="7" t="s">
        <v>400</v>
      </c>
      <c r="B9" s="7" t="s">
        <v>606</v>
      </c>
      <c r="C9" s="7">
        <v>160491.63</v>
      </c>
      <c r="D9" s="7">
        <v>118.6018694</v>
      </c>
      <c r="E9" s="7">
        <v>9.9245935751299825</v>
      </c>
    </row>
    <row r="10" spans="1:5" x14ac:dyDescent="0.2">
      <c r="A10" s="7" t="s">
        <v>401</v>
      </c>
      <c r="B10" s="7" t="s">
        <v>605</v>
      </c>
      <c r="C10" s="7">
        <v>161548.93</v>
      </c>
      <c r="D10" s="7">
        <v>118.3862891</v>
      </c>
      <c r="E10" s="7">
        <v>9.9065538353591975</v>
      </c>
    </row>
    <row r="11" spans="1:5" x14ac:dyDescent="0.2">
      <c r="A11" s="6" t="s">
        <v>44</v>
      </c>
      <c r="B11" s="7"/>
      <c r="C11" s="7"/>
      <c r="D11" s="6">
        <v>1194.3634854000002</v>
      </c>
      <c r="E11" s="6">
        <v>99.944227131808532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6" t="s">
        <v>44</v>
      </c>
      <c r="B13" s="7"/>
      <c r="C13" s="7"/>
      <c r="D13" s="6">
        <v>1194.3634854000002</v>
      </c>
      <c r="E13" s="6">
        <v>99.944227131808532</v>
      </c>
    </row>
    <row r="14" spans="1:5" x14ac:dyDescent="0.2">
      <c r="A14" s="7"/>
      <c r="B14" s="7"/>
      <c r="C14" s="7"/>
      <c r="D14" s="7"/>
      <c r="E14" s="7"/>
    </row>
    <row r="15" spans="1:5" x14ac:dyDescent="0.2">
      <c r="A15" s="6" t="s">
        <v>103</v>
      </c>
      <c r="B15" s="7"/>
      <c r="C15" s="7"/>
      <c r="D15" s="6">
        <v>0.66650250000000033</v>
      </c>
      <c r="E15" s="6">
        <v>5.5772868191469462E-2</v>
      </c>
    </row>
    <row r="16" spans="1:5" x14ac:dyDescent="0.2">
      <c r="A16" s="7"/>
      <c r="B16" s="7"/>
      <c r="C16" s="7"/>
      <c r="D16" s="7"/>
      <c r="E16" s="7"/>
    </row>
    <row r="17" spans="1:5" x14ac:dyDescent="0.2">
      <c r="A17" s="8" t="s">
        <v>104</v>
      </c>
      <c r="B17" s="5"/>
      <c r="C17" s="5"/>
      <c r="D17" s="8">
        <v>1195.0299879000002</v>
      </c>
      <c r="E17" s="8">
        <v>100</v>
      </c>
    </row>
    <row r="19" spans="1:5" x14ac:dyDescent="0.2">
      <c r="A19" s="4" t="s">
        <v>105</v>
      </c>
      <c r="B19" s="2"/>
      <c r="C19" s="2"/>
      <c r="D19" s="2"/>
    </row>
    <row r="20" spans="1:5" x14ac:dyDescent="0.2">
      <c r="A20" s="4" t="s">
        <v>106</v>
      </c>
      <c r="B20" s="2"/>
      <c r="C20" s="2"/>
      <c r="D20" s="2"/>
    </row>
    <row r="21" spans="1:5" x14ac:dyDescent="0.2">
      <c r="A21" s="4" t="s">
        <v>107</v>
      </c>
      <c r="B21" s="2"/>
      <c r="C21" s="2"/>
      <c r="D21" s="2"/>
    </row>
    <row r="22" spans="1:5" x14ac:dyDescent="0.2">
      <c r="A22" s="2" t="s">
        <v>666</v>
      </c>
      <c r="B22" s="2"/>
      <c r="C22" s="2"/>
      <c r="D22" s="10">
        <v>83.848799999999997</v>
      </c>
      <c r="E22" s="2"/>
    </row>
    <row r="23" spans="1:5" x14ac:dyDescent="0.2">
      <c r="A23" s="2" t="s">
        <v>667</v>
      </c>
      <c r="B23" s="2"/>
      <c r="C23" s="2"/>
      <c r="D23" s="10">
        <v>29.956</v>
      </c>
      <c r="E23" s="2"/>
    </row>
    <row r="24" spans="1:5" x14ac:dyDescent="0.2">
      <c r="A24" s="2" t="s">
        <v>668</v>
      </c>
      <c r="B24" s="2"/>
      <c r="C24" s="2"/>
      <c r="D24" s="10">
        <v>86.171700000000001</v>
      </c>
      <c r="E24" s="2"/>
    </row>
    <row r="25" spans="1:5" x14ac:dyDescent="0.2">
      <c r="A25" s="2" t="s">
        <v>669</v>
      </c>
      <c r="B25" s="2"/>
      <c r="C25" s="2"/>
      <c r="D25" s="10">
        <v>30.971</v>
      </c>
      <c r="E25" s="2"/>
    </row>
    <row r="26" spans="1:5" x14ac:dyDescent="0.2">
      <c r="A26" s="2"/>
      <c r="B26" s="2"/>
      <c r="C26" s="2"/>
      <c r="D26" s="10"/>
      <c r="E26" s="2"/>
    </row>
    <row r="27" spans="1:5" x14ac:dyDescent="0.2">
      <c r="A27" s="4" t="s">
        <v>108</v>
      </c>
      <c r="B27" s="2"/>
      <c r="C27" s="2"/>
      <c r="D27" s="2"/>
      <c r="E27" s="2"/>
    </row>
    <row r="28" spans="1:5" x14ac:dyDescent="0.2">
      <c r="A28" s="2" t="s">
        <v>666</v>
      </c>
      <c r="B28" s="2"/>
      <c r="C28" s="2"/>
      <c r="D28" s="10">
        <v>83.717399999999998</v>
      </c>
      <c r="E28" s="2"/>
    </row>
    <row r="29" spans="1:5" x14ac:dyDescent="0.2">
      <c r="A29" s="2" t="s">
        <v>667</v>
      </c>
      <c r="B29" s="2"/>
      <c r="C29" s="2"/>
      <c r="D29" s="10">
        <v>27.371500000000001</v>
      </c>
      <c r="E29" s="2"/>
    </row>
    <row r="30" spans="1:5" x14ac:dyDescent="0.2">
      <c r="A30" s="2" t="s">
        <v>668</v>
      </c>
      <c r="B30" s="2"/>
      <c r="C30" s="2"/>
      <c r="D30" s="10">
        <v>86.215599999999995</v>
      </c>
      <c r="E30" s="2"/>
    </row>
    <row r="31" spans="1:5" x14ac:dyDescent="0.2">
      <c r="A31" s="2" t="s">
        <v>669</v>
      </c>
      <c r="B31" s="2"/>
      <c r="C31" s="2"/>
      <c r="D31" s="10">
        <v>28.439</v>
      </c>
      <c r="E31" s="2"/>
    </row>
    <row r="32" spans="1:5" x14ac:dyDescent="0.2">
      <c r="A32" s="2"/>
      <c r="B32" s="2"/>
      <c r="C32" s="2"/>
      <c r="D32" s="2"/>
    </row>
    <row r="33" spans="1:4" x14ac:dyDescent="0.2">
      <c r="A33" s="4" t="s">
        <v>109</v>
      </c>
      <c r="B33" s="2"/>
      <c r="C33" s="2"/>
      <c r="D33" s="30" t="s">
        <v>325</v>
      </c>
    </row>
    <row r="34" spans="1:4" x14ac:dyDescent="0.2">
      <c r="A34" s="31" t="s">
        <v>670</v>
      </c>
      <c r="B34" s="32"/>
      <c r="C34" s="88" t="s">
        <v>671</v>
      </c>
      <c r="D34" s="89"/>
    </row>
    <row r="35" spans="1:4" x14ac:dyDescent="0.2">
      <c r="A35" s="92"/>
      <c r="B35" s="93"/>
      <c r="C35" s="33" t="s">
        <v>672</v>
      </c>
      <c r="D35" s="33" t="s">
        <v>673</v>
      </c>
    </row>
    <row r="36" spans="1:4" x14ac:dyDescent="0.2">
      <c r="A36" s="34" t="s">
        <v>667</v>
      </c>
      <c r="B36" s="35"/>
      <c r="C36" s="36">
        <v>1.80080675</v>
      </c>
      <c r="D36" s="36">
        <v>1.6675560250000001</v>
      </c>
    </row>
    <row r="37" spans="1:4" x14ac:dyDescent="0.2">
      <c r="A37" s="34" t="s">
        <v>669</v>
      </c>
      <c r="B37" s="35"/>
      <c r="C37" s="36">
        <v>1.80080675</v>
      </c>
      <c r="D37" s="36">
        <v>1.6675560250000001</v>
      </c>
    </row>
    <row r="38" spans="1:4" x14ac:dyDescent="0.2">
      <c r="A38" s="4"/>
      <c r="B38" s="2"/>
      <c r="C38" s="2"/>
      <c r="D38" s="30"/>
    </row>
    <row r="39" spans="1:4" x14ac:dyDescent="0.2">
      <c r="A39" s="9" t="s">
        <v>674</v>
      </c>
      <c r="B39" s="2"/>
      <c r="C39" s="2"/>
      <c r="D39" s="37">
        <v>6.3418216121563883E-2</v>
      </c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AB1744-BB5F-413A-9C6A-0E9C2D9FE46B}"/>
</file>

<file path=customXml/itemProps2.xml><?xml version="1.0" encoding="utf-8"?>
<ds:datastoreItem xmlns:ds="http://schemas.openxmlformats.org/officeDocument/2006/customXml" ds:itemID="{63562A95-D0E6-4072-B643-E797044891EF}"/>
</file>

<file path=customXml/itemProps3.xml><?xml version="1.0" encoding="utf-8"?>
<ds:datastoreItem xmlns:ds="http://schemas.openxmlformats.org/officeDocument/2006/customXml" ds:itemID="{16304020-DD63-4DEB-B55B-447C66CBD3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FIIOF</vt:lpstr>
      <vt:lpstr>FIUBF</vt:lpstr>
      <vt:lpstr>FBPF</vt:lpstr>
      <vt:lpstr>FISTIP</vt:lpstr>
      <vt:lpstr>FISF</vt:lpstr>
      <vt:lpstr>FIONF</vt:lpstr>
      <vt:lpstr>FILF</vt:lpstr>
      <vt:lpstr>FILDF</vt:lpstr>
      <vt:lpstr>FIGSF</vt:lpstr>
      <vt:lpstr>FIFRF</vt:lpstr>
      <vt:lpstr>FIDA</vt:lpstr>
      <vt:lpstr>FICRF</vt:lpstr>
      <vt:lpstr>FICDF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FIESF</vt:lpstr>
      <vt:lpstr>FIPP</vt:lpstr>
      <vt:lpstr>FIDHY</vt:lpstr>
      <vt:lpstr>FIEHF</vt:lpstr>
      <vt:lpstr>TIVF</vt:lpstr>
      <vt:lpstr>FITX</vt:lpstr>
      <vt:lpstr>FITF</vt:lpstr>
      <vt:lpstr>FISMF</vt:lpstr>
      <vt:lpstr>FIPF</vt:lpstr>
      <vt:lpstr>FIOF</vt:lpstr>
      <vt:lpstr>FIIF-NSE</vt:lpstr>
      <vt:lpstr>FIFEF</vt:lpstr>
      <vt:lpstr>TIEIF</vt:lpstr>
      <vt:lpstr>FIEF</vt:lpstr>
      <vt:lpstr>FIEAF</vt:lpstr>
      <vt:lpstr>FIBF</vt:lpstr>
      <vt:lpstr>FBIF</vt:lpstr>
      <vt:lpstr>FAEF</vt:lpstr>
      <vt:lpstr>FEGF</vt:lpstr>
      <vt:lpstr>FIUS</vt:lpstr>
      <vt:lpstr>FIMAS</vt:lpstr>
      <vt:lpstr>FF</vt:lpstr>
      <vt:lpstr>FIFOF-50's+</vt:lpstr>
      <vt:lpstr>FIFOF-50's</vt:lpstr>
      <vt:lpstr>FIFOF-40's</vt:lpstr>
      <vt:lpstr>FIFOF-30's</vt:lpstr>
      <vt:lpstr>FIFOF-20's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ISIN_As_on_29_Nov_2019</dc:title>
  <dc:creator>Uchwani, Hussain</dc:creator>
  <cp:keywords>ISIN_As_on_29_Nov_2019; ISIN Portfolio as on 29-11-19; fund information; International Securities Identification Number of funds</cp:keywords>
  <cp:lastModifiedBy>Bhogte, Amey</cp:lastModifiedBy>
  <dcterms:created xsi:type="dcterms:W3CDTF">2019-11-30T13:29:00Z</dcterms:created>
  <dcterms:modified xsi:type="dcterms:W3CDTF">2019-12-10T08:39:38Z</dcterms:modified>
</cp:coreProperties>
</file>