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filterPrivacy="1" defaultThemeVersion="124226"/>
  <xr:revisionPtr revIDLastSave="0" documentId="13_ncr:1_{000C06C8-005E-4D6D-A078-22E6A5F6735B}" xr6:coauthVersionLast="46" xr6:coauthVersionMax="46" xr10:uidLastSave="{00000000-0000-0000-0000-000000000000}"/>
  <bookViews>
    <workbookView xWindow="-108" yWindow="-108" windowWidth="23256" windowHeight="12576" xr2:uid="{00000000-000D-0000-FFFF-FFFF00000000}"/>
  </bookViews>
  <sheets>
    <sheet name="FILF" sheetId="64" r:id="rId1"/>
    <sheet name="FIONF" sheetId="65" r:id="rId2"/>
    <sheet name="FISF" sheetId="66" r:id="rId3"/>
    <sheet name="FIFRF" sheetId="67" r:id="rId4"/>
    <sheet name="FICDF" sheetId="68" r:id="rId5"/>
    <sheet name="FBPF" sheetId="69" r:id="rId6"/>
    <sheet name="FIGSF" sheetId="70" r:id="rId7"/>
    <sheet name="FIDA" sheetId="71" r:id="rId8"/>
    <sheet name="FILDF" sheetId="72" r:id="rId9"/>
    <sheet name="FIUBF" sheetId="73" r:id="rId10"/>
    <sheet name="FISTIP" sheetId="74" r:id="rId11"/>
    <sheet name="FIIOF" sheetId="75" r:id="rId12"/>
    <sheet name="FICRF" sheetId="76" r:id="rId13"/>
    <sheet name="FMPS6C" sheetId="77" r:id="rId14"/>
    <sheet name="FMPS5F" sheetId="78" r:id="rId15"/>
    <sheet name="FMPS5E" sheetId="79" r:id="rId16"/>
    <sheet name="FMPS5D" sheetId="80" r:id="rId17"/>
    <sheet name="FMPS5C" sheetId="81" r:id="rId18"/>
    <sheet name="FMPS5B" sheetId="82" r:id="rId19"/>
    <sheet name="FMPS5A" sheetId="83" r:id="rId20"/>
    <sheet name="FMPS4F" sheetId="84" r:id="rId21"/>
    <sheet name="FMPS4E" sheetId="85" r:id="rId22"/>
    <sheet name="FMPS4D" sheetId="86" r:id="rId23"/>
    <sheet name="FMPS4C" sheetId="87" r:id="rId24"/>
    <sheet name="FMPS4B" sheetId="88" r:id="rId25"/>
    <sheet name="FMPS4A" sheetId="89" r:id="rId26"/>
    <sheet name="FMPS3F" sheetId="90" r:id="rId27"/>
    <sheet name="FMPS3E" sheetId="91" r:id="rId28"/>
    <sheet name="FMPS3D" sheetId="92" r:id="rId29"/>
    <sheet name="FMPS3C" sheetId="93" r:id="rId30"/>
    <sheet name="FMPS3B" sheetId="94" r:id="rId31"/>
    <sheet name="FMPS3A" sheetId="95" r:id="rId32"/>
    <sheet name="FMPS2C" sheetId="96" r:id="rId33"/>
    <sheet name="FMPS2B" sheetId="97" r:id="rId34"/>
    <sheet name="FMPS2A" sheetId="98" r:id="rId35"/>
    <sheet name="FIPP" sheetId="99" r:id="rId36"/>
    <sheet name="FIDHY" sheetId="100" r:id="rId37"/>
    <sheet name="FIESF" sheetId="39" r:id="rId38"/>
    <sheet name="FIEHF" sheetId="40" r:id="rId39"/>
    <sheet name="TIVF" sheetId="41" r:id="rId40"/>
    <sheet name="TIEIF" sheetId="42" r:id="rId41"/>
    <sheet name="FITF" sheetId="43" r:id="rId42"/>
    <sheet name="FISCF" sheetId="44" r:id="rId43"/>
    <sheet name="FIPF" sheetId="45" r:id="rId44"/>
    <sheet name="FIOF" sheetId="46" r:id="rId45"/>
    <sheet name="FIFEF" sheetId="47" r:id="rId46"/>
    <sheet name="FIEF" sheetId="48" r:id="rId47"/>
    <sheet name="FIEAF" sheetId="49" r:id="rId48"/>
    <sheet name="FIBF" sheetId="50" r:id="rId49"/>
    <sheet name="FBIF" sheetId="51" r:id="rId50"/>
    <sheet name="FAEF" sheetId="52" r:id="rId51"/>
    <sheet name="FIIF-NSE" sheetId="53" r:id="rId52"/>
    <sheet name="FITX" sheetId="54" r:id="rId53"/>
    <sheet name="FIUS" sheetId="55" r:id="rId54"/>
    <sheet name="FEGF" sheetId="56" r:id="rId55"/>
    <sheet name="FIMAS" sheetId="57" r:id="rId56"/>
    <sheet name="FIFOF-50's+" sheetId="58" r:id="rId57"/>
    <sheet name="FIFOF-50's" sheetId="59" r:id="rId58"/>
    <sheet name="FIFOF-40's" sheetId="60" r:id="rId59"/>
    <sheet name="FIFOF-30's" sheetId="61" r:id="rId60"/>
    <sheet name="FIFOF-20's" sheetId="62" r:id="rId61"/>
    <sheet name="FF" sheetId="63"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5" i="100" l="1"/>
  <c r="F61" i="100"/>
  <c r="E61" i="100"/>
  <c r="F52" i="100"/>
  <c r="E52" i="100"/>
  <c r="F48" i="100"/>
  <c r="E48" i="100"/>
  <c r="F42" i="100"/>
  <c r="E42" i="100"/>
  <c r="F33" i="100"/>
  <c r="E33" i="100"/>
  <c r="F73" i="99"/>
  <c r="E73" i="99"/>
  <c r="F63" i="99"/>
  <c r="E63" i="99"/>
  <c r="F59" i="99"/>
  <c r="E59" i="99"/>
  <c r="F54" i="99"/>
  <c r="E54" i="99"/>
  <c r="F50" i="99"/>
  <c r="E50" i="99"/>
  <c r="F39" i="99"/>
  <c r="E39" i="99"/>
  <c r="F28" i="98"/>
  <c r="E28" i="98"/>
  <c r="F23" i="98"/>
  <c r="E23" i="98"/>
  <c r="F18" i="98"/>
  <c r="F32" i="98" s="1"/>
  <c r="E18" i="98"/>
  <c r="E32" i="98" s="1"/>
  <c r="F36" i="97"/>
  <c r="E36" i="97"/>
  <c r="F31" i="97"/>
  <c r="E31" i="97"/>
  <c r="F26" i="97"/>
  <c r="E26" i="97"/>
  <c r="F21" i="97"/>
  <c r="F38" i="97" s="1"/>
  <c r="E21" i="97"/>
  <c r="E38" i="97" s="1"/>
  <c r="F17" i="97"/>
  <c r="E17" i="97"/>
  <c r="F40" i="96"/>
  <c r="E40" i="96"/>
  <c r="F35" i="96"/>
  <c r="E35" i="96"/>
  <c r="F30" i="96"/>
  <c r="E30" i="96"/>
  <c r="F25" i="96"/>
  <c r="E25" i="96"/>
  <c r="F20" i="96"/>
  <c r="F44" i="96" s="1"/>
  <c r="E20" i="96"/>
  <c r="F38" i="95"/>
  <c r="E38" i="95"/>
  <c r="F34" i="95"/>
  <c r="E34" i="95"/>
  <c r="F29" i="95"/>
  <c r="E29" i="95"/>
  <c r="F24" i="95"/>
  <c r="E24" i="95"/>
  <c r="F19" i="95"/>
  <c r="E19" i="95"/>
  <c r="F38" i="94"/>
  <c r="E38" i="94"/>
  <c r="F34" i="94"/>
  <c r="E34" i="94"/>
  <c r="F30" i="94"/>
  <c r="E30" i="94"/>
  <c r="F25" i="94"/>
  <c r="E25" i="94"/>
  <c r="F21" i="94"/>
  <c r="F40" i="94" s="1"/>
  <c r="E21" i="94"/>
  <c r="E42" i="94" s="1"/>
  <c r="F39" i="93"/>
  <c r="E39" i="93"/>
  <c r="F35" i="93"/>
  <c r="E35" i="93"/>
  <c r="F31" i="93"/>
  <c r="E31" i="93"/>
  <c r="F26" i="93"/>
  <c r="E26" i="93"/>
  <c r="F22" i="93"/>
  <c r="F43" i="93" s="1"/>
  <c r="E22" i="93"/>
  <c r="F36" i="92"/>
  <c r="E36" i="92"/>
  <c r="F32" i="92"/>
  <c r="E32" i="92"/>
  <c r="F28" i="92"/>
  <c r="E28" i="92"/>
  <c r="F23" i="92"/>
  <c r="E23" i="92"/>
  <c r="E38" i="92" s="1"/>
  <c r="F19" i="92"/>
  <c r="F40" i="92" s="1"/>
  <c r="E19" i="92"/>
  <c r="F35" i="91"/>
  <c r="E35" i="91"/>
  <c r="F31" i="91"/>
  <c r="E31" i="91"/>
  <c r="F26" i="91"/>
  <c r="E26" i="91"/>
  <c r="F21" i="91"/>
  <c r="F39" i="91" s="1"/>
  <c r="E21" i="91"/>
  <c r="F34" i="90"/>
  <c r="E34" i="90"/>
  <c r="F29" i="90"/>
  <c r="E29" i="90"/>
  <c r="F25" i="90"/>
  <c r="F36" i="90" s="1"/>
  <c r="E25" i="90"/>
  <c r="E38" i="90" s="1"/>
  <c r="F33" i="89"/>
  <c r="E33" i="89"/>
  <c r="F28" i="89"/>
  <c r="E28" i="89"/>
  <c r="F24" i="89"/>
  <c r="E24" i="89"/>
  <c r="F34" i="88"/>
  <c r="E34" i="88"/>
  <c r="F29" i="88"/>
  <c r="E29" i="88"/>
  <c r="F25" i="88"/>
  <c r="F38" i="88" s="1"/>
  <c r="E25" i="88"/>
  <c r="E38" i="88" s="1"/>
  <c r="F28" i="87"/>
  <c r="F32" i="87" s="1"/>
  <c r="E28" i="87"/>
  <c r="F23" i="87"/>
  <c r="F30" i="87" s="1"/>
  <c r="E23" i="87"/>
  <c r="E32" i="87" s="1"/>
  <c r="F29" i="86"/>
  <c r="F27" i="86"/>
  <c r="E27" i="86"/>
  <c r="F22" i="86"/>
  <c r="E22" i="86"/>
  <c r="F17" i="86"/>
  <c r="E17" i="86"/>
  <c r="E31" i="86" s="1"/>
  <c r="F29" i="85"/>
  <c r="E29" i="85"/>
  <c r="F24" i="85"/>
  <c r="E24" i="85"/>
  <c r="F20" i="85"/>
  <c r="F31" i="85" s="1"/>
  <c r="E20" i="85"/>
  <c r="F27" i="84"/>
  <c r="E27" i="84"/>
  <c r="F23" i="84"/>
  <c r="F31" i="84" s="1"/>
  <c r="E23" i="84"/>
  <c r="F19" i="83"/>
  <c r="F21" i="83" s="1"/>
  <c r="E19" i="83"/>
  <c r="E23" i="83" s="1"/>
  <c r="F26" i="82"/>
  <c r="E26" i="82"/>
  <c r="F24" i="82"/>
  <c r="F28" i="82" s="1"/>
  <c r="E24" i="82"/>
  <c r="E28" i="82" s="1"/>
  <c r="F26" i="81"/>
  <c r="F24" i="81"/>
  <c r="F28" i="81" s="1"/>
  <c r="E24" i="81"/>
  <c r="E28" i="81" s="1"/>
  <c r="F21" i="80"/>
  <c r="F25" i="80" s="1"/>
  <c r="E21" i="80"/>
  <c r="E25" i="80" s="1"/>
  <c r="F20" i="79"/>
  <c r="F22" i="79" s="1"/>
  <c r="E20" i="79"/>
  <c r="E24" i="79" s="1"/>
  <c r="F23" i="78"/>
  <c r="E23" i="78"/>
  <c r="F21" i="78"/>
  <c r="F25" i="78" s="1"/>
  <c r="E21" i="78"/>
  <c r="E25" i="78" s="1"/>
  <c r="F24" i="77"/>
  <c r="F22" i="77"/>
  <c r="F26" i="77" s="1"/>
  <c r="E22" i="77"/>
  <c r="E26" i="77" s="1"/>
  <c r="F135" i="76"/>
  <c r="F137" i="76" s="1"/>
  <c r="E135" i="76"/>
  <c r="E139" i="76" s="1"/>
  <c r="F102" i="76"/>
  <c r="F104" i="76" s="1"/>
  <c r="E102" i="76"/>
  <c r="E106" i="76" s="1"/>
  <c r="F57" i="76"/>
  <c r="E57" i="76"/>
  <c r="F45" i="76"/>
  <c r="F59" i="76" s="1"/>
  <c r="E45" i="76"/>
  <c r="E59" i="76" s="1"/>
  <c r="F86" i="75"/>
  <c r="E84" i="75"/>
  <c r="E88" i="75" s="1"/>
  <c r="F41" i="75"/>
  <c r="E41" i="75"/>
  <c r="F28" i="75"/>
  <c r="E28" i="75"/>
  <c r="F164" i="74"/>
  <c r="F166" i="74" s="1"/>
  <c r="E164" i="74"/>
  <c r="E166" i="74" s="1"/>
  <c r="F126" i="74"/>
  <c r="F128" i="74" s="1"/>
  <c r="E126" i="74"/>
  <c r="E130" i="74" s="1"/>
  <c r="F74" i="74"/>
  <c r="E74" i="74"/>
  <c r="F52" i="74"/>
  <c r="E52" i="74"/>
  <c r="F47" i="73"/>
  <c r="E47" i="73"/>
  <c r="E49" i="73" s="1"/>
  <c r="F41" i="73"/>
  <c r="E41" i="73"/>
  <c r="F82" i="72"/>
  <c r="F84" i="72" s="1"/>
  <c r="E82" i="72"/>
  <c r="E86" i="72" s="1"/>
  <c r="F36" i="72"/>
  <c r="E36" i="72"/>
  <c r="F30" i="72"/>
  <c r="F38" i="72" s="1"/>
  <c r="E30" i="72"/>
  <c r="F130" i="71"/>
  <c r="E130" i="71"/>
  <c r="F128" i="71"/>
  <c r="E128" i="71"/>
  <c r="E132" i="71" s="1"/>
  <c r="E95" i="71"/>
  <c r="F93" i="71"/>
  <c r="F95" i="71" s="1"/>
  <c r="E93" i="71"/>
  <c r="E97" i="71" s="1"/>
  <c r="F46" i="71"/>
  <c r="E46" i="71"/>
  <c r="F32" i="71"/>
  <c r="F50" i="71" s="1"/>
  <c r="E32" i="71"/>
  <c r="F18" i="70"/>
  <c r="E18" i="70"/>
  <c r="F8" i="70"/>
  <c r="F22" i="70" s="1"/>
  <c r="E8" i="70"/>
  <c r="F56" i="69"/>
  <c r="E56" i="69"/>
  <c r="F50" i="69"/>
  <c r="E50" i="69"/>
  <c r="F43" i="69"/>
  <c r="E43" i="69"/>
  <c r="E60" i="69" s="1"/>
  <c r="F66" i="68"/>
  <c r="E66" i="68"/>
  <c r="F60" i="68"/>
  <c r="E60" i="68"/>
  <c r="F55" i="68"/>
  <c r="E55" i="68"/>
  <c r="F51" i="68"/>
  <c r="E51" i="68"/>
  <c r="E70" i="68" s="1"/>
  <c r="F28" i="67"/>
  <c r="E28" i="67"/>
  <c r="F21" i="67"/>
  <c r="E21" i="67"/>
  <c r="F17" i="67"/>
  <c r="F32" i="67" s="1"/>
  <c r="E17" i="67"/>
  <c r="F11" i="67"/>
  <c r="E11" i="67"/>
  <c r="E30" i="67" s="1"/>
  <c r="E38" i="66"/>
  <c r="F36" i="66"/>
  <c r="E36" i="66"/>
  <c r="F29" i="66"/>
  <c r="E29" i="66"/>
  <c r="F13" i="66"/>
  <c r="E13" i="66"/>
  <c r="F37" i="64"/>
  <c r="E37" i="64"/>
  <c r="F32" i="64"/>
  <c r="E32" i="64"/>
  <c r="F23" i="64"/>
  <c r="E23" i="64"/>
  <c r="E41" i="64" s="1"/>
  <c r="F8" i="64"/>
  <c r="E8" i="64"/>
  <c r="E36" i="88" l="1"/>
  <c r="E75" i="99"/>
  <c r="E30" i="87"/>
  <c r="E43" i="93"/>
  <c r="F42" i="94"/>
  <c r="F41" i="64"/>
  <c r="F40" i="66"/>
  <c r="F38" i="66"/>
  <c r="E32" i="67"/>
  <c r="E58" i="69"/>
  <c r="E20" i="70"/>
  <c r="E50" i="71"/>
  <c r="E40" i="72"/>
  <c r="F40" i="72"/>
  <c r="F51" i="73"/>
  <c r="F45" i="75"/>
  <c r="E24" i="77"/>
  <c r="E26" i="81"/>
  <c r="E31" i="84"/>
  <c r="E33" i="85"/>
  <c r="E29" i="86"/>
  <c r="F36" i="88"/>
  <c r="F37" i="89"/>
  <c r="E39" i="91"/>
  <c r="E41" i="93"/>
  <c r="F42" i="95"/>
  <c r="F42" i="96"/>
  <c r="F40" i="97"/>
  <c r="F30" i="98"/>
  <c r="F63" i="100"/>
  <c r="E65" i="100"/>
  <c r="F75" i="99"/>
  <c r="F41" i="93"/>
  <c r="E39" i="64"/>
  <c r="E40" i="66"/>
  <c r="F30" i="67"/>
  <c r="F68" i="68"/>
  <c r="F60" i="69"/>
  <c r="E51" i="73"/>
  <c r="F24" i="79"/>
  <c r="F23" i="83"/>
  <c r="F31" i="86"/>
  <c r="E37" i="89"/>
  <c r="F38" i="90"/>
  <c r="F38" i="92"/>
  <c r="E42" i="95"/>
  <c r="E42" i="96"/>
  <c r="E40" i="97"/>
  <c r="E30" i="98"/>
  <c r="E63" i="100"/>
  <c r="E61" i="76"/>
  <c r="E104" i="76"/>
  <c r="F61" i="76"/>
  <c r="E45" i="75"/>
  <c r="E78" i="74"/>
  <c r="E168" i="74"/>
  <c r="E128" i="74"/>
  <c r="F78" i="74"/>
  <c r="E76" i="74"/>
  <c r="F39" i="64"/>
  <c r="E86" i="75"/>
  <c r="E23" i="80"/>
  <c r="E37" i="91"/>
  <c r="E40" i="92"/>
  <c r="E40" i="95"/>
  <c r="E48" i="71"/>
  <c r="F49" i="73"/>
  <c r="E137" i="76"/>
  <c r="F37" i="91"/>
  <c r="F70" i="68"/>
  <c r="F58" i="69"/>
  <c r="F20" i="70"/>
  <c r="F48" i="71"/>
  <c r="E43" i="75"/>
  <c r="E22" i="79"/>
  <c r="E21" i="83"/>
  <c r="E29" i="84"/>
  <c r="E35" i="89"/>
  <c r="E40" i="94"/>
  <c r="E68" i="68"/>
  <c r="F33" i="85"/>
  <c r="E44" i="96"/>
  <c r="E77" i="99"/>
  <c r="E84" i="72"/>
  <c r="F76" i="74"/>
  <c r="F23" i="80"/>
  <c r="F40" i="95"/>
  <c r="F77" i="99"/>
  <c r="E22" i="70"/>
  <c r="E38" i="72"/>
  <c r="F43" i="75"/>
  <c r="F29" i="84"/>
  <c r="F35" i="89"/>
  <c r="E31" i="85"/>
  <c r="E36" i="90"/>
  <c r="G38" i="39"/>
  <c r="D78" i="39" s="1"/>
  <c r="F51" i="42" l="1"/>
  <c r="E51" i="42"/>
  <c r="F51" i="40" l="1"/>
  <c r="E51" i="40"/>
  <c r="E7" i="56" l="1"/>
  <c r="E9" i="56" s="1"/>
  <c r="D7" i="56"/>
  <c r="D11" i="56" s="1"/>
  <c r="E7" i="55"/>
  <c r="E9" i="55" s="1"/>
  <c r="D7" i="55"/>
  <c r="D9" i="55" s="1"/>
  <c r="F65" i="54"/>
  <c r="E65" i="54"/>
  <c r="F59" i="54"/>
  <c r="F69" i="54" s="1"/>
  <c r="E59" i="54"/>
  <c r="E69" i="54" s="1"/>
  <c r="F58" i="53"/>
  <c r="F60" i="53" s="1"/>
  <c r="E58" i="53"/>
  <c r="E62" i="53" s="1"/>
  <c r="F71" i="52"/>
  <c r="E71" i="52"/>
  <c r="F21" i="52"/>
  <c r="E21" i="52"/>
  <c r="E75" i="52" s="1"/>
  <c r="F34" i="51"/>
  <c r="F38" i="51" s="1"/>
  <c r="E34" i="51"/>
  <c r="E38" i="51" s="1"/>
  <c r="F33" i="50"/>
  <c r="F37" i="50" s="1"/>
  <c r="E33" i="50"/>
  <c r="E37" i="50" s="1"/>
  <c r="F57" i="49"/>
  <c r="F61" i="49" s="1"/>
  <c r="E57" i="49"/>
  <c r="E61" i="49" s="1"/>
  <c r="F59" i="48"/>
  <c r="E59" i="48"/>
  <c r="F53" i="48"/>
  <c r="F63" i="48" s="1"/>
  <c r="E53" i="48"/>
  <c r="E63" i="48" s="1"/>
  <c r="F36" i="47"/>
  <c r="F34" i="47"/>
  <c r="F38" i="47"/>
  <c r="E34" i="47"/>
  <c r="E38" i="47"/>
  <c r="F47" i="46"/>
  <c r="E47" i="46"/>
  <c r="F40" i="46"/>
  <c r="F51" i="46" s="1"/>
  <c r="E40" i="46"/>
  <c r="E51" i="46" s="1"/>
  <c r="F61" i="45"/>
  <c r="E61" i="45"/>
  <c r="F57" i="45"/>
  <c r="F65" i="45" s="1"/>
  <c r="E57" i="45"/>
  <c r="E65" i="45" s="1"/>
  <c r="F65" i="44"/>
  <c r="F69" i="44" s="1"/>
  <c r="E65" i="44"/>
  <c r="E69" i="44" s="1"/>
  <c r="F44" i="43"/>
  <c r="E44" i="43"/>
  <c r="F40" i="43"/>
  <c r="E40" i="43"/>
  <c r="F23" i="43"/>
  <c r="F46" i="43" s="1"/>
  <c r="E23" i="43"/>
  <c r="F19" i="43"/>
  <c r="E19" i="43"/>
  <c r="E48" i="43" s="1"/>
  <c r="E46" i="43"/>
  <c r="F63" i="42"/>
  <c r="E63" i="42"/>
  <c r="F46" i="42"/>
  <c r="F67" i="42"/>
  <c r="E46" i="42"/>
  <c r="E67" i="42"/>
  <c r="F39" i="41"/>
  <c r="F43" i="41"/>
  <c r="E39" i="41"/>
  <c r="E43" i="41"/>
  <c r="F86" i="40"/>
  <c r="E86" i="40"/>
  <c r="F77" i="40"/>
  <c r="E77" i="40"/>
  <c r="F73" i="40"/>
  <c r="E73" i="40"/>
  <c r="F69" i="40"/>
  <c r="E69" i="40"/>
  <c r="F64" i="40"/>
  <c r="E64" i="40"/>
  <c r="F60" i="40"/>
  <c r="E60" i="40"/>
  <c r="F46" i="40"/>
  <c r="E46" i="40"/>
  <c r="F41" i="40"/>
  <c r="E41" i="40"/>
  <c r="F47" i="39"/>
  <c r="E47" i="39"/>
  <c r="F42" i="39"/>
  <c r="E42" i="39"/>
  <c r="F38" i="39"/>
  <c r="E38" i="39"/>
  <c r="D9" i="56"/>
  <c r="F67" i="54"/>
  <c r="E60" i="53"/>
  <c r="E73" i="52"/>
  <c r="E36" i="51"/>
  <c r="E59" i="49"/>
  <c r="E36" i="47"/>
  <c r="E49" i="46"/>
  <c r="E63" i="45"/>
  <c r="F65" i="42"/>
  <c r="E41" i="41"/>
  <c r="F41" i="41"/>
  <c r="F67" i="44" l="1"/>
  <c r="E67" i="44"/>
  <c r="E88" i="40"/>
  <c r="F48" i="43"/>
  <c r="E67" i="54"/>
  <c r="F49" i="46"/>
  <c r="F63" i="45"/>
  <c r="F61" i="48"/>
  <c r="E61" i="48"/>
  <c r="E35" i="50"/>
  <c r="F36" i="51"/>
  <c r="F62" i="53"/>
  <c r="F59" i="49"/>
  <c r="F35" i="50"/>
  <c r="F73" i="52"/>
  <c r="E65" i="42"/>
  <c r="E51" i="39"/>
  <c r="D11" i="55"/>
  <c r="F51" i="39"/>
  <c r="F75" i="52"/>
  <c r="E11" i="55"/>
  <c r="E11" i="56"/>
  <c r="F90" i="40"/>
  <c r="F88" i="40"/>
  <c r="E90" i="40"/>
  <c r="E49" i="39"/>
  <c r="F49" i="39"/>
</calcChain>
</file>

<file path=xl/sharedStrings.xml><?xml version="1.0" encoding="utf-8"?>
<sst xmlns="http://schemas.openxmlformats.org/spreadsheetml/2006/main" count="7481" uniqueCount="1490">
  <si>
    <t>Name of the Instrument</t>
  </si>
  <si>
    <t>Quantity</t>
  </si>
  <si>
    <t>ISIN Number</t>
  </si>
  <si>
    <t xml:space="preserve">Market Value(Rs. in Lakhs) </t>
  </si>
  <si>
    <t>% to Net Assets</t>
  </si>
  <si>
    <t>Industry Classification / Rating</t>
  </si>
  <si>
    <t>YTM</t>
  </si>
  <si>
    <t>Portfolio Statement as on February 26,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</si>
  <si>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</si>
  <si>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</si>
  <si>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</si>
  <si>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</si>
  <si>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</si>
  <si>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</si>
  <si>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</si>
  <si>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</si>
  <si>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</si>
  <si>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</si>
  <si>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</si>
  <si>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</si>
  <si>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</si>
  <si>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</si>
  <si>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</si>
  <si>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</si>
  <si>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</si>
  <si>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</si>
  <si>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</si>
  <si>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</si>
  <si>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</si>
  <si>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</si>
  <si>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</si>
  <si>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</si>
  <si>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</si>
  <si>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Indostar Capital Finance Ltd (1Y SBI MCLR + 200 Bps) (02-May-2023) **</t>
  </si>
  <si>
    <t>INE896L07561</t>
  </si>
  <si>
    <t>CARE AA-</t>
  </si>
  <si>
    <t>Indostar Capital Finance Ltd (1Y SBI MCLR + 325 Bps) (02-Nov-2021) **</t>
  </si>
  <si>
    <t>INE896L07660</t>
  </si>
  <si>
    <t>CRISIL AA</t>
  </si>
  <si>
    <t>CRISIL AAA</t>
  </si>
  <si>
    <t>Sub Total</t>
  </si>
  <si>
    <t>(b) Privately Placed / Unlisted</t>
  </si>
  <si>
    <t>0.00% KKR India Financial Services Pvt Ltd (10-Mar-2021) **</t>
  </si>
  <si>
    <t>INE321N07244</t>
  </si>
  <si>
    <t>Total</t>
  </si>
  <si>
    <t>Net Assets</t>
  </si>
  <si>
    <t>Call, Cash &amp; Other Assets</t>
  </si>
  <si>
    <t>** Non- Traded Scrips</t>
  </si>
  <si>
    <t>Notes</t>
  </si>
  <si>
    <t>a) NAV at the beginning and at the end of the Half-year ended 26-Feb-2021</t>
  </si>
  <si>
    <t xml:space="preserve">      Plan/Option</t>
  </si>
  <si>
    <t>As on 26-Feb-2021</t>
  </si>
  <si>
    <t>As on 31-Aug-2020</t>
  </si>
  <si>
    <t>b) Aggregate Dividends declared during the Half - year ended 26-Feb-2021</t>
  </si>
  <si>
    <t>Nil</t>
  </si>
  <si>
    <t>(In Years)</t>
  </si>
  <si>
    <t>https://www.franklintempletonindia.com/downloadsServlet/pdf/product-labels-jg9o5k7l</t>
  </si>
  <si>
    <t>* Less than 0.01%</t>
  </si>
  <si>
    <t>Money Market Instruments</t>
  </si>
  <si>
    <t>Certificate of Deposit</t>
  </si>
  <si>
    <t>CRISIL A1+</t>
  </si>
  <si>
    <t>IND A1+</t>
  </si>
  <si>
    <t>Commercial Paper</t>
  </si>
  <si>
    <t>Bajaj Finance Ltd (15-Mar-2021) **@</t>
  </si>
  <si>
    <t>INE296A14RD7</t>
  </si>
  <si>
    <t>Treasury Bill</t>
  </si>
  <si>
    <t>@ Listed</t>
  </si>
  <si>
    <t>Plan Name</t>
  </si>
  <si>
    <t>Dividend per unit (Rs.)+++</t>
  </si>
  <si>
    <t>+++ Dividend payouts/ re-investments are subject to deduction of TDS at the applicable rates.</t>
  </si>
  <si>
    <t xml:space="preserve">      Growth Plan</t>
  </si>
  <si>
    <t xml:space="preserve">      Monthly Dividend Plan</t>
  </si>
  <si>
    <t xml:space="preserve">      Quarterly Dividend Plan</t>
  </si>
  <si>
    <t xml:space="preserve">      Direct Growth Plan</t>
  </si>
  <si>
    <t xml:space="preserve">      Direct Monthly Dividend Plan</t>
  </si>
  <si>
    <t xml:space="preserve">      Direct Quarterly Dividend Plan</t>
  </si>
  <si>
    <t xml:space="preserve">      Dividend Plan</t>
  </si>
  <si>
    <t xml:space="preserve">      Direct Dividend Plan</t>
  </si>
  <si>
    <t>Government Securities</t>
  </si>
  <si>
    <t>5.15% GOI 2025 (09-Nov-2025)</t>
  </si>
  <si>
    <t>IN0020200278</t>
  </si>
  <si>
    <t>SOVEREIGN</t>
  </si>
  <si>
    <t>7.27% GOI 2026 (08-Apr-2026)</t>
  </si>
  <si>
    <t>IN0020190016</t>
  </si>
  <si>
    <t>7.32% GOI 2024 (28-Jan-2024)</t>
  </si>
  <si>
    <t>IN0020180488</t>
  </si>
  <si>
    <t>5.22% GOI 2025 (15-Jun-2025)</t>
  </si>
  <si>
    <t>IN0020200112</t>
  </si>
  <si>
    <t xml:space="preserve">      Growth Option</t>
  </si>
  <si>
    <t xml:space="preserve">      Direct Growth Option</t>
  </si>
  <si>
    <t>8.85% REC Ltd (16-Apr-2029) **</t>
  </si>
  <si>
    <t>INE020B08BQ7</t>
  </si>
  <si>
    <t>8.85% Power Finance Corporation Ltd (25-May-2029) **</t>
  </si>
  <si>
    <t>INE134E08KC1</t>
  </si>
  <si>
    <t>6.18% GOI 2024 (04-Nov-2024)</t>
  </si>
  <si>
    <t>IN0020190396</t>
  </si>
  <si>
    <t>91 DTB (01-Apr-2021)</t>
  </si>
  <si>
    <t>IN002020X415</t>
  </si>
  <si>
    <t>Equity &amp; Equity related</t>
  </si>
  <si>
    <t>HDFC Bank Ltd</t>
  </si>
  <si>
    <t>INE040A01034</t>
  </si>
  <si>
    <t>Banks</t>
  </si>
  <si>
    <t>Axis Bank Ltd</t>
  </si>
  <si>
    <t>INE238A01034</t>
  </si>
  <si>
    <t>Infosys Ltd</t>
  </si>
  <si>
    <t>INE009A01021</t>
  </si>
  <si>
    <t>Software</t>
  </si>
  <si>
    <t>ICICI Bank Ltd</t>
  </si>
  <si>
    <t>INE090A01021</t>
  </si>
  <si>
    <t>Bharti Airtel Ltd</t>
  </si>
  <si>
    <t>INE397D01024</t>
  </si>
  <si>
    <t>Telecom - Services</t>
  </si>
  <si>
    <t>Balkrishna Industries Ltd</t>
  </si>
  <si>
    <t>INE787D01026</t>
  </si>
  <si>
    <t>Auto Ancillaries</t>
  </si>
  <si>
    <t>Voltas Ltd</t>
  </si>
  <si>
    <t>INE226A01021</t>
  </si>
  <si>
    <t>Consumer Durables</t>
  </si>
  <si>
    <t>Kotak Mahindra Bank Ltd</t>
  </si>
  <si>
    <t>INE237A01028</t>
  </si>
  <si>
    <t>Tata Steel Ltd</t>
  </si>
  <si>
    <t>INE081A01012</t>
  </si>
  <si>
    <t>Ferrous Metals</t>
  </si>
  <si>
    <t>Petronet LNG Ltd</t>
  </si>
  <si>
    <t>INE347G01014</t>
  </si>
  <si>
    <t>Gas</t>
  </si>
  <si>
    <t>Hindalco Industries Ltd</t>
  </si>
  <si>
    <t>INE038A01020</t>
  </si>
  <si>
    <t>Non - Ferrous Metals</t>
  </si>
  <si>
    <t>Gujarat State Petronet Ltd</t>
  </si>
  <si>
    <t>INE246F01010</t>
  </si>
  <si>
    <t>Colgate Palmolive (India) Ltd</t>
  </si>
  <si>
    <t>INE259A01022</t>
  </si>
  <si>
    <t>Consumer Non Durables</t>
  </si>
  <si>
    <t>Mahindra &amp; Mahindra Ltd</t>
  </si>
  <si>
    <t>INE101A01026</t>
  </si>
  <si>
    <t>Auto</t>
  </si>
  <si>
    <t>Hindustan Petroleum Corporation Ltd</t>
  </si>
  <si>
    <t>INE094A01015</t>
  </si>
  <si>
    <t>Petroleum Products</t>
  </si>
  <si>
    <t>State Bank of India</t>
  </si>
  <si>
    <t>INE062A01020</t>
  </si>
  <si>
    <t>Cadila Healthcare Ltd</t>
  </si>
  <si>
    <t>INE010B01027</t>
  </si>
  <si>
    <t>Pharmaceuticals</t>
  </si>
  <si>
    <t>Power Grid Corporation of India Ltd</t>
  </si>
  <si>
    <t>INE752E01010</t>
  </si>
  <si>
    <t>Power</t>
  </si>
  <si>
    <t>Industrial Products</t>
  </si>
  <si>
    <t>NTPC Ltd</t>
  </si>
  <si>
    <t>INE733E01010</t>
  </si>
  <si>
    <t>Bharat Petroleum Corporation Ltd</t>
  </si>
  <si>
    <t>INE029A01011</t>
  </si>
  <si>
    <t>Bajaj Auto Ltd</t>
  </si>
  <si>
    <t>INE917I01010</t>
  </si>
  <si>
    <t>Karur Vysya Bank Ltd</t>
  </si>
  <si>
    <t>INE036D01028</t>
  </si>
  <si>
    <t>United Breweries Ltd</t>
  </si>
  <si>
    <t>INE686F01025</t>
  </si>
  <si>
    <t>Kansai Nerolac Paints Ltd</t>
  </si>
  <si>
    <t>INE531A01024</t>
  </si>
  <si>
    <t>TVS Motor Co Ltd</t>
  </si>
  <si>
    <t>INE494B01023</t>
  </si>
  <si>
    <t>Tata Motors Ltd</t>
  </si>
  <si>
    <t>INE155A01022</t>
  </si>
  <si>
    <t>Aditya Birla Fashion and Retail Ltd</t>
  </si>
  <si>
    <t>INE647O01011</t>
  </si>
  <si>
    <t>Retailing</t>
  </si>
  <si>
    <t>Jagran Prakashan Ltd</t>
  </si>
  <si>
    <t>INE199G01027</t>
  </si>
  <si>
    <t>Media &amp; Entertainment</t>
  </si>
  <si>
    <t>Aditya Birla Fashion and Retail Ltd – Partly Paid</t>
  </si>
  <si>
    <t>IN9647O01027</t>
  </si>
  <si>
    <t>Coal India Ltd</t>
  </si>
  <si>
    <t>INE522F01014</t>
  </si>
  <si>
    <t>Minerals/Mining</t>
  </si>
  <si>
    <t>6.95% Housing Development Finance Corporation Ltd (27-Apr-2023) **</t>
  </si>
  <si>
    <t>INE001A07SK8</t>
  </si>
  <si>
    <t>Dr. Reddy's Laboratories Ltd</t>
  </si>
  <si>
    <t>INE089A01023</t>
  </si>
  <si>
    <t>Grasim Industries Ltd</t>
  </si>
  <si>
    <t>INE047A01021</t>
  </si>
  <si>
    <t>Cement</t>
  </si>
  <si>
    <t>National Bank For Agriculture &amp; Rural Development (18-Feb-2022) **</t>
  </si>
  <si>
    <t>INE261F16595</t>
  </si>
  <si>
    <t>Housing Development Finance Corporation Ltd</t>
  </si>
  <si>
    <t>INE001A01036</t>
  </si>
  <si>
    <t>Finance</t>
  </si>
  <si>
    <t>Sun TV Network Ltd</t>
  </si>
  <si>
    <t>INE424H01027</t>
  </si>
  <si>
    <t>Maruti Suzuki India Ltd</t>
  </si>
  <si>
    <t>INE585B01010</t>
  </si>
  <si>
    <t>Larsen &amp; Toubro Ltd</t>
  </si>
  <si>
    <t>INE018A01030</t>
  </si>
  <si>
    <t>Construction Project</t>
  </si>
  <si>
    <t>Dabur India Ltd</t>
  </si>
  <si>
    <t>INE016A01026</t>
  </si>
  <si>
    <t>Tata Power Co Ltd</t>
  </si>
  <si>
    <t>INE245A01021</t>
  </si>
  <si>
    <t>Tech Mahindra Ltd</t>
  </si>
  <si>
    <t>INE669C01036</t>
  </si>
  <si>
    <t>Indian Hotels Co Ltd</t>
  </si>
  <si>
    <t>INE053A01029</t>
  </si>
  <si>
    <t>Hotels/ Resorts And Other Recreational Activities</t>
  </si>
  <si>
    <t>Cholamandalam Financial Holdings Ltd</t>
  </si>
  <si>
    <t>INE149A01033</t>
  </si>
  <si>
    <t>Indian Oil Corporation Ltd</t>
  </si>
  <si>
    <t>INE242A01010</t>
  </si>
  <si>
    <t>Himatsingka Seide Ltd</t>
  </si>
  <si>
    <t>INE049A01027</t>
  </si>
  <si>
    <t>Textile Products</t>
  </si>
  <si>
    <t>Mahindra CIE Automotive Ltd</t>
  </si>
  <si>
    <t>INE536H01010</t>
  </si>
  <si>
    <t>PNB Housing Finance Ltd</t>
  </si>
  <si>
    <t>INE572E01012</t>
  </si>
  <si>
    <t>GAIL (India) Ltd</t>
  </si>
  <si>
    <t>INE129A01019</t>
  </si>
  <si>
    <t>Nestle India Ltd</t>
  </si>
  <si>
    <t>INE239A01016</t>
  </si>
  <si>
    <t>Federal Bank Ltd</t>
  </si>
  <si>
    <t>INE171A01029</t>
  </si>
  <si>
    <t>(b) Units of Real Estate Investment Trusts (REITs)</t>
  </si>
  <si>
    <t>Embassy Office Parks REIT</t>
  </si>
  <si>
    <t>INE041025011</t>
  </si>
  <si>
    <t>c) Portfolio Turnover Ratio during the Half - year 26-Feb-2021</t>
  </si>
  <si>
    <t>d) Average Maturity as on 26-Feb-2021</t>
  </si>
  <si>
    <t xml:space="preserve">e) During the month additional instances of fair valuation/deviation from valuation price provided by the valuation agencies </t>
  </si>
  <si>
    <t>Tata Consultancy Services Ltd</t>
  </si>
  <si>
    <t>INE467B01029</t>
  </si>
  <si>
    <t>NHPC Ltd</t>
  </si>
  <si>
    <t>INE848E01016</t>
  </si>
  <si>
    <t>Titan Co Ltd</t>
  </si>
  <si>
    <t>INE280A01028</t>
  </si>
  <si>
    <t>Brookfield India Real Estate Trust</t>
  </si>
  <si>
    <t>INE0FDU25010</t>
  </si>
  <si>
    <t>Construction</t>
  </si>
  <si>
    <t xml:space="preserve">(b) Unlisted </t>
  </si>
  <si>
    <t>INE671B01018</t>
  </si>
  <si>
    <t>Commercial Services</t>
  </si>
  <si>
    <t>(c) Units of Real Estate Investment Trusts (REITs)</t>
  </si>
  <si>
    <t>5.85% GOI 2030 (01-Dec-2030)</t>
  </si>
  <si>
    <t>IN0020200294</t>
  </si>
  <si>
    <t>Tata Motors Ltd DVR</t>
  </si>
  <si>
    <t>IN9155A01020</t>
  </si>
  <si>
    <t>Bharat Electronics Ltd</t>
  </si>
  <si>
    <t>INE263A01024</t>
  </si>
  <si>
    <t>Industrial Capital Goods</t>
  </si>
  <si>
    <t>Oil &amp; Natural Gas Corporation Ltd</t>
  </si>
  <si>
    <t>INE213A01029</t>
  </si>
  <si>
    <t>Oil</t>
  </si>
  <si>
    <t>ITC Ltd</t>
  </si>
  <si>
    <t>INE154A01025</t>
  </si>
  <si>
    <t>Finolex Cables Ltd</t>
  </si>
  <si>
    <t>INE235A01022</t>
  </si>
  <si>
    <t>Bosch Ltd</t>
  </si>
  <si>
    <t>INE323A01026</t>
  </si>
  <si>
    <t>Sundaram Clayton Ltd</t>
  </si>
  <si>
    <t>INE105A01035</t>
  </si>
  <si>
    <t>Tata Chemicals Ltd</t>
  </si>
  <si>
    <t>INE092A01019</t>
  </si>
  <si>
    <t>Chemicals</t>
  </si>
  <si>
    <t>Equitas Holdings Ltd</t>
  </si>
  <si>
    <t>INE988K01017</t>
  </si>
  <si>
    <t>Century Textile &amp; Industries Ltd</t>
  </si>
  <si>
    <t>INE055A01016</t>
  </si>
  <si>
    <t>Paper</t>
  </si>
  <si>
    <t>ACC Ltd</t>
  </si>
  <si>
    <t>INE012A01025</t>
  </si>
  <si>
    <t>HCL Technologies Ltd</t>
  </si>
  <si>
    <t>INE860A01027</t>
  </si>
  <si>
    <t>Gulf Oil Lubricants India Ltd</t>
  </si>
  <si>
    <t>INE635Q01029</t>
  </si>
  <si>
    <t>Industry Classification</t>
  </si>
  <si>
    <t>Redington (India) Ltd</t>
  </si>
  <si>
    <t>INE891D01026</t>
  </si>
  <si>
    <t>Transportation</t>
  </si>
  <si>
    <t>Tata Investment Corporation Ltd</t>
  </si>
  <si>
    <t>INE672A01018</t>
  </si>
  <si>
    <t>Finolex Industries Ltd</t>
  </si>
  <si>
    <t>INE183A01016</t>
  </si>
  <si>
    <t>Tata Consumer Products Ltd</t>
  </si>
  <si>
    <t>INE192A01025</t>
  </si>
  <si>
    <t>National Aluminium Co Ltd</t>
  </si>
  <si>
    <t>INE139A01034</t>
  </si>
  <si>
    <t>Hindustan Unilever Ltd</t>
  </si>
  <si>
    <t>INE030A01027</t>
  </si>
  <si>
    <t>K.P.R. Mill Ltd</t>
  </si>
  <si>
    <t>INE930H01023</t>
  </si>
  <si>
    <t>Vardhman Textiles Ltd</t>
  </si>
  <si>
    <t>INE825A01012</t>
  </si>
  <si>
    <t>Textiles - Cotton</t>
  </si>
  <si>
    <t>Ashok Leyland Ltd</t>
  </si>
  <si>
    <t>INE208A01029</t>
  </si>
  <si>
    <t>J.K. Cement Ltd</t>
  </si>
  <si>
    <t>INE823G01014</t>
  </si>
  <si>
    <t>NMDC Ltd</t>
  </si>
  <si>
    <t>INE584A01023</t>
  </si>
  <si>
    <t>Cyient Ltd</t>
  </si>
  <si>
    <t>INE136B01020</t>
  </si>
  <si>
    <t>CESC Ltd</t>
  </si>
  <si>
    <t>INE486A01013</t>
  </si>
  <si>
    <t>Dalmia Bharat Ltd</t>
  </si>
  <si>
    <t>INE00R701025</t>
  </si>
  <si>
    <t>Foreign Equity Securities</t>
  </si>
  <si>
    <t>Unilever PLC, (ADR)</t>
  </si>
  <si>
    <t>US9047677045</t>
  </si>
  <si>
    <t>Xinyi Solar Holdings Ltd</t>
  </si>
  <si>
    <t>KYG9829N1025</t>
  </si>
  <si>
    <t>Novatek Microelectronics Corp. Ltd</t>
  </si>
  <si>
    <t>TW0003034005</t>
  </si>
  <si>
    <t>Semiconductors</t>
  </si>
  <si>
    <t>Aramex PJSC</t>
  </si>
  <si>
    <t>AEA002301017</t>
  </si>
  <si>
    <t>Travelsky Technology Ltd, H</t>
  </si>
  <si>
    <t>CNE1000004J3</t>
  </si>
  <si>
    <t>Xtep International Holdings Ltd</t>
  </si>
  <si>
    <t>KYG982771092</t>
  </si>
  <si>
    <t>Primax Electronics Ltd</t>
  </si>
  <si>
    <t>TW0004915004</t>
  </si>
  <si>
    <t>Hardware</t>
  </si>
  <si>
    <t>Mahle-Metal Leve S A</t>
  </si>
  <si>
    <t>BRLEVEACNOR2</t>
  </si>
  <si>
    <t>Fanhua Inc, (ADR)</t>
  </si>
  <si>
    <t>US30712A1034</t>
  </si>
  <si>
    <t>Info Edge (India) Ltd</t>
  </si>
  <si>
    <t>INE663F01024</t>
  </si>
  <si>
    <t>Larsen &amp; Toubro Infotech Ltd</t>
  </si>
  <si>
    <t>INE214T01019</t>
  </si>
  <si>
    <t>Happiest Minds Technologies Ltd</t>
  </si>
  <si>
    <t>INE419U01012</t>
  </si>
  <si>
    <t>JustDial Ltd</t>
  </si>
  <si>
    <t>INE599M01018</t>
  </si>
  <si>
    <t>Indiamart Intermesh Ltd</t>
  </si>
  <si>
    <t>INE933S01016</t>
  </si>
  <si>
    <t>Xelpmoc Design and Tech Ltd</t>
  </si>
  <si>
    <t>INE01P501012</t>
  </si>
  <si>
    <t>Makemytrip Ltd</t>
  </si>
  <si>
    <t>MU0295S00016</t>
  </si>
  <si>
    <t>Taiwan Semiconductor Manufacturing Co. Ltd</t>
  </si>
  <si>
    <t>TW0002330008</t>
  </si>
  <si>
    <t>Nvidia Corp</t>
  </si>
  <si>
    <t>US67066G1040</t>
  </si>
  <si>
    <t>Samsung Electronics Co. Ltd</t>
  </si>
  <si>
    <t>KR7005930003</t>
  </si>
  <si>
    <t>Intel Corp</t>
  </si>
  <si>
    <t>US4581401001</t>
  </si>
  <si>
    <t>Qualcomm Inc.</t>
  </si>
  <si>
    <t>US7475251036</t>
  </si>
  <si>
    <t>Telecom -  Equipment &amp; Accessories</t>
  </si>
  <si>
    <t>Mediatek Inc</t>
  </si>
  <si>
    <t>TW0002454006</t>
  </si>
  <si>
    <t>Alibaba Group Holding Ltd</t>
  </si>
  <si>
    <t>KYG017191142</t>
  </si>
  <si>
    <t>Sunny Optical Technology Group Co. Ltd</t>
  </si>
  <si>
    <t>KYG8586D1097</t>
  </si>
  <si>
    <t>Alphabet Inc</t>
  </si>
  <si>
    <t>US02079K3059</t>
  </si>
  <si>
    <t>Salesforce.Com Inc</t>
  </si>
  <si>
    <t>US79466L3024</t>
  </si>
  <si>
    <t xml:space="preserve">Software                                </t>
  </si>
  <si>
    <t>Wix.Com Ltd</t>
  </si>
  <si>
    <t>IL0011301780</t>
  </si>
  <si>
    <t>Amazon.com INC</t>
  </si>
  <si>
    <t>US0231351067</t>
  </si>
  <si>
    <t>Microsoft Corp</t>
  </si>
  <si>
    <t>US5949181045</t>
  </si>
  <si>
    <t>Foreign Mutual Fund Units</t>
  </si>
  <si>
    <t>Franklin Technology Fund, Class I (Acc)</t>
  </si>
  <si>
    <t>LU0626261944</t>
  </si>
  <si>
    <t>Foreign Mutual Fund</t>
  </si>
  <si>
    <t>Deepak Nitrite Ltd</t>
  </si>
  <si>
    <t>INE288B01029</t>
  </si>
  <si>
    <t>Brigade Enterprises Ltd</t>
  </si>
  <si>
    <t>INE791I01019</t>
  </si>
  <si>
    <t>Quess Corp Ltd</t>
  </si>
  <si>
    <t>INE615P01015</t>
  </si>
  <si>
    <t>Services</t>
  </si>
  <si>
    <t>Nesco Ltd</t>
  </si>
  <si>
    <t>INE317F01035</t>
  </si>
  <si>
    <t>Jyothy Labs Ltd</t>
  </si>
  <si>
    <t>INE668F01031</t>
  </si>
  <si>
    <t>J.B. Chemicals &amp; Pharmaceuticals Ltd</t>
  </si>
  <si>
    <t>INE572A01028</t>
  </si>
  <si>
    <t>Blue Star Ltd</t>
  </si>
  <si>
    <t>INE472A01039</t>
  </si>
  <si>
    <t>Teamlease Services Ltd</t>
  </si>
  <si>
    <t>INE985S01024</t>
  </si>
  <si>
    <t>CCL Products (India) Ltd</t>
  </si>
  <si>
    <t>INE421D01022</t>
  </si>
  <si>
    <t>Sobha Ltd</t>
  </si>
  <si>
    <t>INE671H01015</t>
  </si>
  <si>
    <t>TTK Prestige Ltd</t>
  </si>
  <si>
    <t>INE690A01010</t>
  </si>
  <si>
    <t>Carborundum Universal Ltd</t>
  </si>
  <si>
    <t>INE120A01034</t>
  </si>
  <si>
    <t>DCB Bank Ltd</t>
  </si>
  <si>
    <t>INE503A01015</t>
  </si>
  <si>
    <t>Eris Lifesciences Ltd</t>
  </si>
  <si>
    <t>INE406M01024</t>
  </si>
  <si>
    <t>Tube Investments of India Ltd</t>
  </si>
  <si>
    <t>INE974X01010</t>
  </si>
  <si>
    <t>KNR Constructions Ltd</t>
  </si>
  <si>
    <t>INE634I01029</t>
  </si>
  <si>
    <t>Ahluwalia Contracts (India) Ltd</t>
  </si>
  <si>
    <t>INE758C01029</t>
  </si>
  <si>
    <t>Atul Ltd</t>
  </si>
  <si>
    <t>INE100A01010</t>
  </si>
  <si>
    <t>Lemon Tree Hotels Ltd</t>
  </si>
  <si>
    <t>INE970X01018</t>
  </si>
  <si>
    <t>Navneet Education Ltd</t>
  </si>
  <si>
    <t>INE060A01024</t>
  </si>
  <si>
    <t>Cholamandalam Investment and Finance Co Ltd</t>
  </si>
  <si>
    <t>INE121A01024</t>
  </si>
  <si>
    <t>GHCL Ltd</t>
  </si>
  <si>
    <t>INE539A01019</t>
  </si>
  <si>
    <t>KPIT Technologies Ltd</t>
  </si>
  <si>
    <t>INE04I401011</t>
  </si>
  <si>
    <t>Metropolis Healthcare Ltd</t>
  </si>
  <si>
    <t>INE112L01020</t>
  </si>
  <si>
    <t>Healthcare Services</t>
  </si>
  <si>
    <t>V.I.P. Industries Ltd</t>
  </si>
  <si>
    <t>INE054A01027</t>
  </si>
  <si>
    <t>TV Today Network Ltd</t>
  </si>
  <si>
    <t>INE038F01029</t>
  </si>
  <si>
    <t>Ashoka Buildcon Ltd</t>
  </si>
  <si>
    <t>INE442H01029</t>
  </si>
  <si>
    <t>City Union Bank Ltd</t>
  </si>
  <si>
    <t>INE491A01021</t>
  </si>
  <si>
    <t>Ramkrishna Forgings Ltd</t>
  </si>
  <si>
    <t>INE399G01015</t>
  </si>
  <si>
    <t>Multi Commodity Exchange Of India Ltd</t>
  </si>
  <si>
    <t>INE745G01035</t>
  </si>
  <si>
    <t>Equitas Small Finance Bank Ltd</t>
  </si>
  <si>
    <t>INE063P01018</t>
  </si>
  <si>
    <t>Mrs Bectors Food Specialities Ltd</t>
  </si>
  <si>
    <t>INE495P01012</t>
  </si>
  <si>
    <t>Music Broadcast Ltd</t>
  </si>
  <si>
    <t>INE919I01024</t>
  </si>
  <si>
    <t>Techno Electric &amp; Engineering Co Ltd</t>
  </si>
  <si>
    <t>INE285K01026</t>
  </si>
  <si>
    <t>M M Forgings Ltd</t>
  </si>
  <si>
    <t>INE227C01017</t>
  </si>
  <si>
    <t>JK Lakshmi Cement Ltd</t>
  </si>
  <si>
    <t>INE786A01032</t>
  </si>
  <si>
    <t>Borosil Renewables Ltd</t>
  </si>
  <si>
    <t>INE666D01022</t>
  </si>
  <si>
    <t>CARE Ratings Ltd</t>
  </si>
  <si>
    <t>INE752H01013</t>
  </si>
  <si>
    <t>Shankara Building Products Ltd</t>
  </si>
  <si>
    <t>INE274V01019</t>
  </si>
  <si>
    <t>HT Media Ltd</t>
  </si>
  <si>
    <t>INE501G01024</t>
  </si>
  <si>
    <t>Pennar Industries Ltd</t>
  </si>
  <si>
    <t>INE932A01024</t>
  </si>
  <si>
    <t>Indoco Remedies Ltd</t>
  </si>
  <si>
    <t>INE873D01024</t>
  </si>
  <si>
    <t>Crompton Greaves Consumer Electricals Ltd</t>
  </si>
  <si>
    <t>INE299U01018</t>
  </si>
  <si>
    <t>The Ramco Cements Ltd</t>
  </si>
  <si>
    <t>INE331A01037</t>
  </si>
  <si>
    <t>Sundaram Finance Ltd</t>
  </si>
  <si>
    <t>INE660A01013</t>
  </si>
  <si>
    <t>Trent Ltd</t>
  </si>
  <si>
    <t>INE849A01020</t>
  </si>
  <si>
    <t>Apollo Hospitals Enterprise Ltd</t>
  </si>
  <si>
    <t>INE437A01024</t>
  </si>
  <si>
    <t>Aarti Industries Ltd</t>
  </si>
  <si>
    <t>INE769A01020</t>
  </si>
  <si>
    <t>Emami Ltd</t>
  </si>
  <si>
    <t>INE548C01032</t>
  </si>
  <si>
    <t>Oberoi Realty Ltd</t>
  </si>
  <si>
    <t>INE093I01010</t>
  </si>
  <si>
    <t>Mphasis Ltd</t>
  </si>
  <si>
    <t>INE356A01018</t>
  </si>
  <si>
    <t>Sundram Fasteners Ltd</t>
  </si>
  <si>
    <t>INE387A01021</t>
  </si>
  <si>
    <t>Apollo Tyres Ltd</t>
  </si>
  <si>
    <t>INE438A01022</t>
  </si>
  <si>
    <t>Schaeffler India Ltd</t>
  </si>
  <si>
    <t>INE513A01014</t>
  </si>
  <si>
    <t>RBL Bank Ltd</t>
  </si>
  <si>
    <t>INE976G01028</t>
  </si>
  <si>
    <t>Coromandel International Ltd</t>
  </si>
  <si>
    <t>INE169A01031</t>
  </si>
  <si>
    <t>Fertilisers</t>
  </si>
  <si>
    <t>PI Industries Ltd</t>
  </si>
  <si>
    <t>INE603J01030</t>
  </si>
  <si>
    <t>Pesticides</t>
  </si>
  <si>
    <t>IPCA Laboratories Ltd</t>
  </si>
  <si>
    <t>INE571A01020</t>
  </si>
  <si>
    <t>Container Corporation Of India Ltd</t>
  </si>
  <si>
    <t>INE111A01025</t>
  </si>
  <si>
    <t>Kajaria Ceramics Ltd</t>
  </si>
  <si>
    <t>INE217B01036</t>
  </si>
  <si>
    <t>AIA Engineering Ltd</t>
  </si>
  <si>
    <t>INE212H01026</t>
  </si>
  <si>
    <t>Phoenix Mills Ltd</t>
  </si>
  <si>
    <t>INE211B01039</t>
  </si>
  <si>
    <t>EPL Ltd</t>
  </si>
  <si>
    <t>INE255A01020</t>
  </si>
  <si>
    <t>Bharat Forge Ltd</t>
  </si>
  <si>
    <t>INE465A01025</t>
  </si>
  <si>
    <t>SKF India Ltd</t>
  </si>
  <si>
    <t>INE640A01023</t>
  </si>
  <si>
    <t>Asian Paints Ltd</t>
  </si>
  <si>
    <t>INE021A01026</t>
  </si>
  <si>
    <t>GTPL Hathway Ltd</t>
  </si>
  <si>
    <t>INE869I01013</t>
  </si>
  <si>
    <t>Caplin Point Laboratories Ltd</t>
  </si>
  <si>
    <t>INE475E01026</t>
  </si>
  <si>
    <t>Kalyani Invest Co Ltd</t>
  </si>
  <si>
    <t>INE029L01018</t>
  </si>
  <si>
    <t>Majesco Ltd</t>
  </si>
  <si>
    <t>INE898S01029</t>
  </si>
  <si>
    <t>INE696201123</t>
  </si>
  <si>
    <t>Lupin Ltd</t>
  </si>
  <si>
    <t>INE326A01037</t>
  </si>
  <si>
    <t>Interglobe Aviation Ltd</t>
  </si>
  <si>
    <t>INE646L01027</t>
  </si>
  <si>
    <t>KEI Industries Ltd</t>
  </si>
  <si>
    <t>INE878B01027</t>
  </si>
  <si>
    <t>Cipla Ltd</t>
  </si>
  <si>
    <t>INE059A01026</t>
  </si>
  <si>
    <t>Ultratech Cement Ltd</t>
  </si>
  <si>
    <t>INE481G01011</t>
  </si>
  <si>
    <t>Orient Cement Ltd</t>
  </si>
  <si>
    <t>INE876N01018</t>
  </si>
  <si>
    <t>Somany Ceramics Ltd</t>
  </si>
  <si>
    <t>INE355A01028</t>
  </si>
  <si>
    <t>ITD Cementation India Ltd</t>
  </si>
  <si>
    <t>INE686A01026</t>
  </si>
  <si>
    <t>United Spirits Ltd</t>
  </si>
  <si>
    <t>INE854D01024</t>
  </si>
  <si>
    <t>Hindustan Aeronautics Ltd</t>
  </si>
  <si>
    <t>INE066F01012</t>
  </si>
  <si>
    <t>Aerospace &amp; Defense</t>
  </si>
  <si>
    <t>Spicejet Ltd</t>
  </si>
  <si>
    <t>INE285B01017</t>
  </si>
  <si>
    <t>Marico Ltd</t>
  </si>
  <si>
    <t>INE196A01026</t>
  </si>
  <si>
    <t>Sun Pharmaceutical Industries Ltd</t>
  </si>
  <si>
    <t>INE044A01036</t>
  </si>
  <si>
    <t>Aditya Birla Capital Ltd</t>
  </si>
  <si>
    <t>INE674K01013</t>
  </si>
  <si>
    <t>ICICI Prudential Life Insurance Co Ltd</t>
  </si>
  <si>
    <t>INE726G01019</t>
  </si>
  <si>
    <t>Gujarat Pipavav Port Ltd</t>
  </si>
  <si>
    <t>INE517F01014</t>
  </si>
  <si>
    <t>Bata India Ltd</t>
  </si>
  <si>
    <t>INE176A01028</t>
  </si>
  <si>
    <t>Arvind Fashions Ltd</t>
  </si>
  <si>
    <t>INE955V01021</t>
  </si>
  <si>
    <t>INE955V20021</t>
  </si>
  <si>
    <t>IndusInd Bank Ltd</t>
  </si>
  <si>
    <t>INE095A01012</t>
  </si>
  <si>
    <t>Ambuja Cements Ltd</t>
  </si>
  <si>
    <t>INE079A01024</t>
  </si>
  <si>
    <t>Gateway Distriparks Ltd</t>
  </si>
  <si>
    <t>INE852F01015</t>
  </si>
  <si>
    <t>Puravankara Ltd</t>
  </si>
  <si>
    <t>INE323I01011</t>
  </si>
  <si>
    <t>NRB Bearings Ltd</t>
  </si>
  <si>
    <t>INE349A01021</t>
  </si>
  <si>
    <t>The New India Assurance Co Ltd</t>
  </si>
  <si>
    <t>INE470Y01017</t>
  </si>
  <si>
    <t>Godrej Properties Ltd</t>
  </si>
  <si>
    <t>INE484J01027</t>
  </si>
  <si>
    <t>Motilal Oswal Financial Services Ltd</t>
  </si>
  <si>
    <t>INE338I01027</t>
  </si>
  <si>
    <t>Narayana Hrudayalaya Ltd</t>
  </si>
  <si>
    <t>INE410P01011</t>
  </si>
  <si>
    <t>Tencent Holdings Ltd</t>
  </si>
  <si>
    <t>KYG875721634</t>
  </si>
  <si>
    <t>AIA Group Ltd</t>
  </si>
  <si>
    <t>HK0000069689</t>
  </si>
  <si>
    <t>Meituan Dianping</t>
  </si>
  <si>
    <t>KYG596691041</t>
  </si>
  <si>
    <t>Naver Corp</t>
  </si>
  <si>
    <t>KR7035420009</t>
  </si>
  <si>
    <t>Ping An Insurance (Group) Co. Of China Ltd, H</t>
  </si>
  <si>
    <t>CNE1000003X6</t>
  </si>
  <si>
    <t>JD.Com Inc</t>
  </si>
  <si>
    <t>KYG8208B1014</t>
  </si>
  <si>
    <t>China Merchants Bank Co Ltd</t>
  </si>
  <si>
    <t>CNE1000002M1</t>
  </si>
  <si>
    <t>New Oriental Education &amp; Technology Group Inc</t>
  </si>
  <si>
    <t>KYG6470A1085</t>
  </si>
  <si>
    <t>Diversified Consumer Services</t>
  </si>
  <si>
    <t>Kweichow Moutai Co. Ltd, A</t>
  </si>
  <si>
    <t>CNE0000018R8</t>
  </si>
  <si>
    <t>China Resources Land Ltd</t>
  </si>
  <si>
    <t>KYG2108Y1052</t>
  </si>
  <si>
    <t>China Mengniu Dairy Co. Ltd</t>
  </si>
  <si>
    <t>KYG210961051</t>
  </si>
  <si>
    <t>Techtronic Industries Co. Ltd</t>
  </si>
  <si>
    <t>HK0669013440</t>
  </si>
  <si>
    <t>LG Chem Ltd</t>
  </si>
  <si>
    <t>KR7051910008</t>
  </si>
  <si>
    <t>Bank Central Asia Tbk Pt</t>
  </si>
  <si>
    <t>ID1000109507</t>
  </si>
  <si>
    <t>Midea Group Co Ltd</t>
  </si>
  <si>
    <t>CNE100001QQ5</t>
  </si>
  <si>
    <t>Semen Indonesia (Persero) Tbk PT</t>
  </si>
  <si>
    <t>ID1000106800</t>
  </si>
  <si>
    <t>Country Garden Services Holdings Co Ltd</t>
  </si>
  <si>
    <t>KYG2453A1085</t>
  </si>
  <si>
    <t>Sea Ltd (ADR)</t>
  </si>
  <si>
    <t>US81141R1005</t>
  </si>
  <si>
    <t>China Resources Cement Holdings Ltd</t>
  </si>
  <si>
    <t>KYG2113L1068</t>
  </si>
  <si>
    <t>Budweiser Brewing Co APAC Ltd</t>
  </si>
  <si>
    <t>KYG1674K1013</t>
  </si>
  <si>
    <t>Yum China Holdings INC</t>
  </si>
  <si>
    <t>US98850P1093</t>
  </si>
  <si>
    <t>SM Investments Corp</t>
  </si>
  <si>
    <t>PHY806761029</t>
  </si>
  <si>
    <t>Kuaishou Technology</t>
  </si>
  <si>
    <t>KYG532631028</t>
  </si>
  <si>
    <t>Indocement Tunggal Prakarsa Tbk Pt</t>
  </si>
  <si>
    <t>ID1000061302</t>
  </si>
  <si>
    <t>Trip.Com Group Ltd, (ADR)</t>
  </si>
  <si>
    <t>US89677Q1076</t>
  </si>
  <si>
    <t>The Siam Cement PCL, Fgn.</t>
  </si>
  <si>
    <t>TH0003010Z12</t>
  </si>
  <si>
    <t>Alibaba Health Information Technology Ltd</t>
  </si>
  <si>
    <t>BMG0171K1018</t>
  </si>
  <si>
    <t>SK Hynix Inc</t>
  </si>
  <si>
    <t>KR7000660001</t>
  </si>
  <si>
    <t>ACE Hardware Indonesia Tbk Pt</t>
  </si>
  <si>
    <t>ID1000125503</t>
  </si>
  <si>
    <t>Tal Education Group, (ADR)</t>
  </si>
  <si>
    <t>US8740801043</t>
  </si>
  <si>
    <t>Minor International Pcl, Fgn.</t>
  </si>
  <si>
    <t>TH0128B10Z17</t>
  </si>
  <si>
    <t>Samsonite International S.A.</t>
  </si>
  <si>
    <t>LU0633102719</t>
  </si>
  <si>
    <t>Singapore Technologies Engineering Ltd</t>
  </si>
  <si>
    <t>SG1F60858221</t>
  </si>
  <si>
    <t>Beijing Oriental Yuhong Waterproof Technology Co Ltd</t>
  </si>
  <si>
    <t>CNE100000CS3</t>
  </si>
  <si>
    <t>Engineering Services</t>
  </si>
  <si>
    <t>Laobaixing Pharmacy Chain Jsc</t>
  </si>
  <si>
    <t>CNE1000023Q8</t>
  </si>
  <si>
    <t>Largan Precision Co. Ltd</t>
  </si>
  <si>
    <t>TW0003008009</t>
  </si>
  <si>
    <t>Longi Green Energy Technology Co Ltd</t>
  </si>
  <si>
    <t>CNE100001FR6</t>
  </si>
  <si>
    <t>Bangkok Dusit Medical Services Pcl</t>
  </si>
  <si>
    <t>TH0264A10Z12</t>
  </si>
  <si>
    <t>China Resources Mixc Lifestyle Services Ltd</t>
  </si>
  <si>
    <t>KYG2122G1064</t>
  </si>
  <si>
    <t>Minor International PCL- Warrants (31-July-2023)</t>
  </si>
  <si>
    <t>TH0128053707</t>
  </si>
  <si>
    <t>Minor International PCL- Warrants (30-Sep-2021)</t>
  </si>
  <si>
    <t>TH0128051909</t>
  </si>
  <si>
    <t>Reliance Industries Ltd</t>
  </si>
  <si>
    <t>INE002A01018</t>
  </si>
  <si>
    <t>Bajaj Finance Ltd</t>
  </si>
  <si>
    <t>INE296A01024</t>
  </si>
  <si>
    <t>Bajaj Finserv Ltd</t>
  </si>
  <si>
    <t>INE918I01018</t>
  </si>
  <si>
    <t>Wipro Ltd</t>
  </si>
  <si>
    <t>INE075A01022</t>
  </si>
  <si>
    <t>HDFC Life Insurance Co Ltd</t>
  </si>
  <si>
    <t>INE795G01014</t>
  </si>
  <si>
    <t>Adani Ports and Special Economic Zone Ltd</t>
  </si>
  <si>
    <t>INE742F01042</t>
  </si>
  <si>
    <t>Divi's Laboratories Ltd</t>
  </si>
  <si>
    <t>INE361B01024</t>
  </si>
  <si>
    <t>Hero MotoCorp Ltd</t>
  </si>
  <si>
    <t>INE158A01026</t>
  </si>
  <si>
    <t>Britannia Industries Ltd</t>
  </si>
  <si>
    <t>INE216A01030</t>
  </si>
  <si>
    <t>JSW Steel Ltd</t>
  </si>
  <si>
    <t>INE019A01038</t>
  </si>
  <si>
    <t>Shree Cement Ltd</t>
  </si>
  <si>
    <t>INE070A01015</t>
  </si>
  <si>
    <t>Eicher Motors Ltd</t>
  </si>
  <si>
    <t>INE066A01021</t>
  </si>
  <si>
    <t>SBI Life Insurance Co Ltd</t>
  </si>
  <si>
    <t>INE123W01016</t>
  </si>
  <si>
    <t>UPL Ltd</t>
  </si>
  <si>
    <t>INE628A01036</t>
  </si>
  <si>
    <t>Yes Bank Ltd</t>
  </si>
  <si>
    <t>INE528G01035</t>
  </si>
  <si>
    <t>Prestige Estates Projects Ltd</t>
  </si>
  <si>
    <t>INE811K01011</t>
  </si>
  <si>
    <t>Franklin U.S. Opportunities Fund, Class I (Acc)</t>
  </si>
  <si>
    <t>LU0195948665</t>
  </si>
  <si>
    <t>Templeton European Opportunities Fund, Class I (Acc)</t>
  </si>
  <si>
    <t>LU0195949390</t>
  </si>
  <si>
    <t>Mutual Fund Units</t>
  </si>
  <si>
    <t>Franklin India Bluechip Fund Direct-Growth Plan</t>
  </si>
  <si>
    <t>INF090I01FN7</t>
  </si>
  <si>
    <t>Nippon India ETF Gold Bees</t>
  </si>
  <si>
    <t>INF204KB17I5</t>
  </si>
  <si>
    <t>Franklin India Short-Term Income Plan (No. of Segregated Portfolios in the Scheme- 3) - (under winding up) Direct-Growth Plan ^^</t>
  </si>
  <si>
    <t>INF090I01GK1</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</si>
  <si>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</si>
  <si>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</si>
  <si>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</si>
  <si>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</si>
  <si>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</si>
  <si>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</si>
  <si>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</si>
  <si>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</si>
  <si>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Dividend Option</t>
  </si>
  <si>
    <t xml:space="preserve">      Direct Dividend Option</t>
  </si>
  <si>
    <t>Franklin India Corporate Debt Fund Direct-Growth Plan</t>
  </si>
  <si>
    <t>INF090I01FW8</t>
  </si>
  <si>
    <t>Franklin India Dynamic Accrual Fund (No. of Segregated Portfolios in the Scheme- 3) - (under winding up) Direct-Growth Plan ^^</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</si>
  <si>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</si>
  <si>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</si>
  <si>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</si>
  <si>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</si>
  <si>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</si>
  <si>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</si>
  <si>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</si>
  <si>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INF090I01FK3</t>
  </si>
  <si>
    <t>d) Outstanding derivative exposure as % to net assets</t>
  </si>
  <si>
    <t>% to Net Assets(Hedged &amp; Unhedged)</t>
  </si>
  <si>
    <t>% to Net Assets Derivative</t>
  </si>
  <si>
    <t xml:space="preserve">c) Total outstanding position (as at February 26, 2021) in Derivative Instruments (Gross Notional) </t>
  </si>
  <si>
    <t>Rs. 4,220.05 Lacs</t>
  </si>
  <si>
    <t>e) Portfolio Turnover Ratio during the Half - year 26-Feb-2021</t>
  </si>
  <si>
    <t>f) Average Maturity as on 26-Feb-2021</t>
  </si>
  <si>
    <t xml:space="preserve">g) During the month additional instances of fair valuation/deviation from valuation price provided by the valuation agencies </t>
  </si>
  <si>
    <t>h) For product labeling and risk-o-meter refer the link below</t>
  </si>
  <si>
    <t>f) For product labeling and risk-o-meter refer the link below</t>
  </si>
  <si>
    <t>d) For product labeling and risk-o-meter refer the link below</t>
  </si>
  <si>
    <t>Franklin India Flexi Cap Fund ^</t>
  </si>
  <si>
    <t>^ Franklin India Equity Fund is renamed as Franklin India Flexi Cap Fund effective Jan 29, 2021.</t>
  </si>
  <si>
    <t>^^ Securities are fair Valued</t>
  </si>
  <si>
    <t>Franklin India Flexi Cap Fund-Direct Growth Plan (Formerly known as Franklin India Equity Fund)</t>
  </si>
  <si>
    <t>Franklin India Liquid Fund</t>
  </si>
  <si>
    <t>Rating</t>
  </si>
  <si>
    <t>INE860H07CR1</t>
  </si>
  <si>
    <t>8.90% Aditya Birla Finance Ltd (19-Mar-2021) **</t>
  </si>
  <si>
    <t>ICRA AAA</t>
  </si>
  <si>
    <t>INE916D14X57</t>
  </si>
  <si>
    <t>Kotak Mahindra Prime Ltd (31-Mar-2021) **@</t>
  </si>
  <si>
    <t>ICRA A1+</t>
  </si>
  <si>
    <t>INE700G14447</t>
  </si>
  <si>
    <t>HDFC Securities Ltd (25-May-2021) **@</t>
  </si>
  <si>
    <t>INE261F14GR3</t>
  </si>
  <si>
    <t>National Bank For Agriculture &amp; Rural Development (10-Mar-2021) **@</t>
  </si>
  <si>
    <t>INE002A14GZ5</t>
  </si>
  <si>
    <t>Reliance Industries Ltd (18-Mar-2021) **@</t>
  </si>
  <si>
    <t>INE178A14GH1</t>
  </si>
  <si>
    <t>Chennai Petroleum Corporation Ltd (31-Mar-2021) **@</t>
  </si>
  <si>
    <t>INE929O14164</t>
  </si>
  <si>
    <t>Reliance Retail Ventures Ltd (05-May-2021) **@</t>
  </si>
  <si>
    <t>INE929O14180</t>
  </si>
  <si>
    <t>Reliance Retail Ventures Ltd (12-May-2021) **@</t>
  </si>
  <si>
    <t>INE891K14KH0</t>
  </si>
  <si>
    <t>Axis Finance Ltd (20-May-2021) **@</t>
  </si>
  <si>
    <t>INE860H14R32</t>
  </si>
  <si>
    <t>Aditya Birla Finance Ltd (30-Apr-2021) **@</t>
  </si>
  <si>
    <t>INE879F14DH0</t>
  </si>
  <si>
    <t>Infina Finance Pvt Ltd (08-Mar-2021)@</t>
  </si>
  <si>
    <t>INE975F14UH0</t>
  </si>
  <si>
    <t>Kotak Mahindra Investments Ltd (16-Apr-2021) **@</t>
  </si>
  <si>
    <t>IN002020X407</t>
  </si>
  <si>
    <t>91 DTB (25-Mar-2021)</t>
  </si>
  <si>
    <t>IN002020Z055</t>
  </si>
  <si>
    <t>364 DTB (07-May-2021)</t>
  </si>
  <si>
    <t>IN002020Z071</t>
  </si>
  <si>
    <t>364 DTB (20-May-2021)</t>
  </si>
  <si>
    <t>IN002020Z089</t>
  </si>
  <si>
    <t>364 DTB (27-May-2021)</t>
  </si>
  <si>
    <t>IN002020Y272</t>
  </si>
  <si>
    <t>182 DTB (15-Apr-2021)</t>
  </si>
  <si>
    <t>IN002020X480</t>
  </si>
  <si>
    <t>91 DTB (20-May-2021)</t>
  </si>
  <si>
    <t>IN0020110022</t>
  </si>
  <si>
    <t>7.80% GOI 2021 (11-Apr-2021)</t>
  </si>
  <si>
    <t>IN1520100133</t>
  </si>
  <si>
    <t>8.46% Gujarat SDL (03-Mar-2021)</t>
  </si>
  <si>
    <t xml:space="preserve">      Regular Plan Growth Option</t>
  </si>
  <si>
    <t xml:space="preserve">      Regular Plan Daily Dividend Reinvestment Option</t>
  </si>
  <si>
    <t xml:space="preserve">      Regular Plan Weekly Dividend Option</t>
  </si>
  <si>
    <t xml:space="preserve">      Institutional Plan Daily Dividend Reinvestment Option</t>
  </si>
  <si>
    <t xml:space="preserve">      Institutional Plan Weekly Dividend Option</t>
  </si>
  <si>
    <t xml:space="preserve">      Super Institutional Plan Growth Option</t>
  </si>
  <si>
    <t xml:space="preserve">      Super Institutional Plan Daily Dividend Reinvestment Option</t>
  </si>
  <si>
    <t xml:space="preserve">      Super Institutional Plan Weekly Dividend Option</t>
  </si>
  <si>
    <t xml:space="preserve">      Direct Super Institutional Growth Option</t>
  </si>
  <si>
    <t xml:space="preserve">      Direct Super Institutional Daily Dividend Reinvestment Option</t>
  </si>
  <si>
    <t xml:space="preserve">      Direct Super Institutional Weekly Dividend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</si>
  <si>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</si>
  <si>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</si>
  <si>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</si>
  <si>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</si>
  <si>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26-Feb-2021</t>
  </si>
  <si>
    <t xml:space="preserve">e) For product labeling and risk-o-meter refer the link below </t>
  </si>
  <si>
    <t>Franklin India Overnight Fund</t>
  </si>
  <si>
    <t xml:space="preserve">      Daily Dividend Plan</t>
  </si>
  <si>
    <t xml:space="preserve">      Weekly Dividend Plan</t>
  </si>
  <si>
    <t xml:space="preserve">      Direct Daily Dividend Plan</t>
  </si>
  <si>
    <t xml:space="preserve">      Direct Weekly Dividend Plan</t>
  </si>
  <si>
    <t>Franklin India Savings Fund</t>
  </si>
  <si>
    <t>INE238A164V6</t>
  </si>
  <si>
    <t>Axis Bank Ltd (MIBOR+30 Bps ) (23-Dec-2021) **</t>
  </si>
  <si>
    <t>INE028A16BY9</t>
  </si>
  <si>
    <t>Bank of Baroda (09-Mar-2021) **</t>
  </si>
  <si>
    <t>INE237A164M6</t>
  </si>
  <si>
    <t>Kotak Mahindra Bank Ltd (25-Feb-2022) **</t>
  </si>
  <si>
    <t>INE261F16587</t>
  </si>
  <si>
    <t>National Bank For Agriculture &amp; Rural Development (08-Feb-2022)</t>
  </si>
  <si>
    <t>INE261F16603</t>
  </si>
  <si>
    <t>National Bank For Agriculture &amp; Rural Development (24-Feb-2022) **</t>
  </si>
  <si>
    <t>INE261F16512</t>
  </si>
  <si>
    <t>National Bank For Agriculture &amp; Rural Development (05-Mar-2021)</t>
  </si>
  <si>
    <t>INE002A14FM5</t>
  </si>
  <si>
    <t>Reliance Industries Ltd (05-Mar-2021) **@</t>
  </si>
  <si>
    <t>CARE A1+</t>
  </si>
  <si>
    <t>INE002A14EY3</t>
  </si>
  <si>
    <t>Reliance Industries Ltd (15-Mar-2021) **@</t>
  </si>
  <si>
    <t>INE975F14SW3</t>
  </si>
  <si>
    <t>Kotak Mahindra Investments Ltd (23-Mar-2021) **@</t>
  </si>
  <si>
    <t>INE115A14CY7</t>
  </si>
  <si>
    <t>LIC Housing Finance Ltd (20-Jul-2021) **@</t>
  </si>
  <si>
    <t>INE763G14JQ2</t>
  </si>
  <si>
    <t>ICICI Securities Ltd (11-Aug-2021) **@</t>
  </si>
  <si>
    <t>INE377Y14801</t>
  </si>
  <si>
    <t>Bajaj Housing Finance Ltd (24-Feb-2022) **@</t>
  </si>
  <si>
    <t>INE001A14WM2</t>
  </si>
  <si>
    <t>Housing Development Finance Corporation Ltd (10-Mar-2021)@</t>
  </si>
  <si>
    <t>INE134E14AR8</t>
  </si>
  <si>
    <t>Power Finance Corporation Ltd (30-Jul-2021) **@</t>
  </si>
  <si>
    <t>IN002020Y223</t>
  </si>
  <si>
    <t>182 DTB (04-Mar-2021)</t>
  </si>
  <si>
    <t>IN002019Z537</t>
  </si>
  <si>
    <t>364 DTB (25-Mar-2021)</t>
  </si>
  <si>
    <t>IN002019Z511</t>
  </si>
  <si>
    <t>364 DTB (11-Mar-2021)</t>
  </si>
  <si>
    <t>IN002020Y249</t>
  </si>
  <si>
    <t>182 DTB (18-Mar-2021)</t>
  </si>
  <si>
    <t xml:space="preserve">      Retail Plan Growth Option</t>
  </si>
  <si>
    <t xml:space="preserve">      Retail Plan Daily Dividend Option</t>
  </si>
  <si>
    <t xml:space="preserve">      Retail Plan Monthly Dividend Option</t>
  </si>
  <si>
    <t xml:space="preserve">      Retail Plan Quarterly Dividend Option</t>
  </si>
  <si>
    <t xml:space="preserve">      Direct Retail Plan Growth Option</t>
  </si>
  <si>
    <t xml:space="preserve">      Direct Retail Plan Daily Dividend Option</t>
  </si>
  <si>
    <t xml:space="preserve">      Direct Retail Plan Monthly Dividend Option</t>
  </si>
  <si>
    <t xml:space="preserve">      Direct Retail Plan Quarterly Dividend Option</t>
  </si>
  <si>
    <t>Franklin India Floating Rate Fund</t>
  </si>
  <si>
    <t>INE831R07268</t>
  </si>
  <si>
    <t>Aditya Birla Housing Finance Ltd (364DTB +250 Bps) (17-Feb-2023) **</t>
  </si>
  <si>
    <t>INE756I07CA5</t>
  </si>
  <si>
    <t>HDB Financial Services Ltd (91DTB + 205 Bps) (12-Jul-2021) **</t>
  </si>
  <si>
    <t>INE651J07739</t>
  </si>
  <si>
    <t>JM Financial Credit Solutions Ltd (1Y SBI MCLR + 460 Bps) (23-Jul-2024) **</t>
  </si>
  <si>
    <t>ICRA AA</t>
  </si>
  <si>
    <t>IN002020Y454</t>
  </si>
  <si>
    <t>182 DTB (12-Aug-2021)</t>
  </si>
  <si>
    <t>IN0020160084</t>
  </si>
  <si>
    <t>GOI FRB 2024 (07-Nov-2024)</t>
  </si>
  <si>
    <t>IN0020180041</t>
  </si>
  <si>
    <t>GOI FRB 2031 (07-Dec-2031)</t>
  </si>
  <si>
    <t>IN0020190099</t>
  </si>
  <si>
    <t>6.17% GOI 2021 (15-Jul-2021)</t>
  </si>
  <si>
    <t>IN0020160050</t>
  </si>
  <si>
    <t>6.84% GOI 2022 (19-Dec-2022)</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</si>
  <si>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</si>
  <si>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</si>
  <si>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</si>
  <si>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</si>
  <si>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</si>
  <si>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</si>
  <si>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</si>
  <si>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 **</t>
  </si>
  <si>
    <t>INE163N08065</t>
  </si>
  <si>
    <t>8.60% ONGC Petro Additions Ltd (11-Mar-2022) **</t>
  </si>
  <si>
    <t>CARE AAA(CE)</t>
  </si>
  <si>
    <t>INE295J08022</t>
  </si>
  <si>
    <t>9.90% Coastal Gujarat Power Ltd (25-Aug-2028) **</t>
  </si>
  <si>
    <t>CARE AA(CE)</t>
  </si>
  <si>
    <t>INE163N08073</t>
  </si>
  <si>
    <t>8.85% ONGC Petro Additions Ltd (19-Apr-2022) **</t>
  </si>
  <si>
    <t>INE261F08BI5</t>
  </si>
  <si>
    <t>7.90% National Bank For Agriculture &amp; Rural Development (18-Apr-2022) **</t>
  </si>
  <si>
    <t>INE906B07FG1</t>
  </si>
  <si>
    <t>7.60% National Highways Authority Of India (18-Mar-2022) **</t>
  </si>
  <si>
    <t>INE020B08AM8</t>
  </si>
  <si>
    <t>7.09% REC Ltd (17-Oct-2022) **</t>
  </si>
  <si>
    <t>INE053F07CC9</t>
  </si>
  <si>
    <t>6.19% Indian Railway Finance Corporation Ltd (28-Apr-2023) **</t>
  </si>
  <si>
    <t>INE020B08CM4</t>
  </si>
  <si>
    <t>6.99% REC Ltd (30-Sep-2024) **</t>
  </si>
  <si>
    <t>INE134E08JC3</t>
  </si>
  <si>
    <t>7.44% Power Finance Corporation Ltd (11-Jun-2027) **</t>
  </si>
  <si>
    <t>INE557F08FJ5</t>
  </si>
  <si>
    <t>5.80% National Housing Bank (15-May-2023) **</t>
  </si>
  <si>
    <t>INE115A07NM3</t>
  </si>
  <si>
    <t>0.00% LIC Housing Finance Ltd (25-Feb-2022) **</t>
  </si>
  <si>
    <t>INE848E07989</t>
  </si>
  <si>
    <t>7.52% NHPC Ltd (06-Jun-2023) **</t>
  </si>
  <si>
    <t>CARE AAA</t>
  </si>
  <si>
    <t>INE094A08036</t>
  </si>
  <si>
    <t>7.00% Hindustan Petroleum Corporation Ltd (14-Aug-2024) **</t>
  </si>
  <si>
    <t>INE941D08065</t>
  </si>
  <si>
    <t>10.25% Sikka Ports &amp; Terminals Ltd (22-Aug-2021) **</t>
  </si>
  <si>
    <t>INE906B07FE6</t>
  </si>
  <si>
    <t>7.17% National Highways Authority Of India (23-Dec-2021)</t>
  </si>
  <si>
    <t>INE514E08EQ7</t>
  </si>
  <si>
    <t>8.02% Export-Import Bank of India (29-Oct-2025) **</t>
  </si>
  <si>
    <t>INE115A07PA3</t>
  </si>
  <si>
    <t>5.23% LIC Housing Finance Ltd (26-Jul-2023) **</t>
  </si>
  <si>
    <t>INE261F08AL1</t>
  </si>
  <si>
    <t>8.39% National Bank For Agriculture &amp; Rural Development (19-Jul-2021) **</t>
  </si>
  <si>
    <t>INE020B08930</t>
  </si>
  <si>
    <t>8.30% REC Ltd (10-Apr-2025) **</t>
  </si>
  <si>
    <t>INE134E08KH0</t>
  </si>
  <si>
    <t>7.42% Power Finance Corporation Ltd (19-Nov-2024)</t>
  </si>
  <si>
    <t>INE134E08KN8</t>
  </si>
  <si>
    <t>6.98% Power Finance Corporation Ltd (20-Apr-2023)</t>
  </si>
  <si>
    <t>INE721A08DC8</t>
  </si>
  <si>
    <t>10.25% Shriram Transport Finance Co Ltd (26-Apr-2024) **</t>
  </si>
  <si>
    <t>CRISIL AA+</t>
  </si>
  <si>
    <t>INE261F08AI7</t>
  </si>
  <si>
    <t>8.60% National Bank For Agriculture &amp; Rural Development (31-Jan-2022) **</t>
  </si>
  <si>
    <t>INE134E08JW1</t>
  </si>
  <si>
    <t>8.18% Power Finance Corporation Ltd (19-Mar-2022)</t>
  </si>
  <si>
    <t>INE535H07AG6</t>
  </si>
  <si>
    <t>0.00% Fullerton India Credit Co Ltd (08-Apr-2021) **</t>
  </si>
  <si>
    <t>INE031A08699</t>
  </si>
  <si>
    <t>8.41% Housing &amp; Urban Development Corporation Ltd (15-Mar-2029) **</t>
  </si>
  <si>
    <t>INE941D07125</t>
  </si>
  <si>
    <t>10.40% Sikka Ports &amp; Terminals Ltd (18-Jul-2021)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</si>
  <si>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</si>
  <si>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</si>
  <si>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</si>
  <si>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</si>
  <si>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</si>
  <si>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</si>
  <si>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</si>
  <si>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</si>
  <si>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INE752E07MZ9</t>
  </si>
  <si>
    <t>8.40% Power Grid Corporation of India Ltd (14-Sep-2021)</t>
  </si>
  <si>
    <t>INE756I07CD9</t>
  </si>
  <si>
    <t>0.00% HDB Financial Services Ltd (29-Oct-2021) **</t>
  </si>
  <si>
    <t>INE848E07815</t>
  </si>
  <si>
    <t>8.50% NHPC Ltd (14-Jul-2021) **</t>
  </si>
  <si>
    <t>INE860H07GE0</t>
  </si>
  <si>
    <t>0.00% Aditya Birla Finance Ltd (08-Apr-2022) **</t>
  </si>
  <si>
    <t>INE029A07075</t>
  </si>
  <si>
    <t>7.35% Bharat Petroleum Corporation Ltd (10-Mar-2022) **</t>
  </si>
  <si>
    <t>INE053F07AK6</t>
  </si>
  <si>
    <t>7.65% Indian Railway Finance Corporation Ltd (15-Mar-2021)</t>
  </si>
  <si>
    <t>INE053F07942</t>
  </si>
  <si>
    <t>6.70% Indian Railway Finance Corporation Ltd (24-Nov-2021) **</t>
  </si>
  <si>
    <t>INE053F09HR2</t>
  </si>
  <si>
    <t>9.57% Indian Railway Finance Corporation Ltd (31-May-2021) **</t>
  </si>
  <si>
    <t>INE801J08019</t>
  </si>
  <si>
    <t>7.48% Bennett Coleman and Co Ltd (26-Apr-2021) **</t>
  </si>
  <si>
    <t>IN0020180025</t>
  </si>
  <si>
    <t>7.37% GOI 2023 (16-APR-2023)</t>
  </si>
  <si>
    <t xml:space="preserve">      Half Yearly Dividend Plan</t>
  </si>
  <si>
    <t xml:space="preserve">      Annual Dividend Plan</t>
  </si>
  <si>
    <t xml:space="preserve">      Direct Half Yearly Dividend Plan</t>
  </si>
  <si>
    <t xml:space="preserve">      Direct Annual Dividend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</si>
  <si>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</si>
  <si>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</si>
  <si>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 xml:space="preserve">f) For product labeling and risk-o-meter refer the link below </t>
  </si>
  <si>
    <t>Franklin India Banking &amp; PSU Debt Fund</t>
  </si>
  <si>
    <t>INE557F08FG1</t>
  </si>
  <si>
    <t>7.05% National Housing Bank (18-Dec-2024) **</t>
  </si>
  <si>
    <t>INE031A08756</t>
  </si>
  <si>
    <t>6.99% Housing &amp; Urban Development Corporation Ltd (11-Nov-2022) **</t>
  </si>
  <si>
    <t>IND AAA</t>
  </si>
  <si>
    <t>INE020B08997</t>
  </si>
  <si>
    <t>7.24% REC Ltd (21-Oct-2021) **</t>
  </si>
  <si>
    <t>INE242A08460</t>
  </si>
  <si>
    <t>5.05% Indian Oil Corporation Ltd (25-Nov-2022) **</t>
  </si>
  <si>
    <t>INE514E08FG5</t>
  </si>
  <si>
    <t>7.62% Export-Import Bank of India (01-Sep-2026) **</t>
  </si>
  <si>
    <t>INE861G08076</t>
  </si>
  <si>
    <t>6.65% Food Corporation Of India (23-Oct-2030)</t>
  </si>
  <si>
    <t>ICRA AAA (CE)</t>
  </si>
  <si>
    <t>INE556F08JM3</t>
  </si>
  <si>
    <t>7.29% Small Industries Development Bank Of India (01-Aug-2022) **</t>
  </si>
  <si>
    <t>INE733E07JO9</t>
  </si>
  <si>
    <t>9.17% NTPC Ltd (21-Sep-2024) **</t>
  </si>
  <si>
    <t>INE906B07FT4</t>
  </si>
  <si>
    <t>7.27% National Highways Authority Of India (06-Jun-2022) **</t>
  </si>
  <si>
    <t>INE261F08BQ8</t>
  </si>
  <si>
    <t>6.70% National Bank For Agriculture &amp; Rural Development (11-Nov-2022) **</t>
  </si>
  <si>
    <t>INE094A08077</t>
  </si>
  <si>
    <t>5.36% Hindustan Petroleum Corporation Ltd (11-Apr-2025) **</t>
  </si>
  <si>
    <t>INE206D08261</t>
  </si>
  <si>
    <t>8.14% Nuclear Power Corporation of India Ltd (25-Mar-2026) **</t>
  </si>
  <si>
    <t>INE020B08906</t>
  </si>
  <si>
    <t>8.27% REC Ltd (06-Feb-2025) **</t>
  </si>
  <si>
    <t>INE848E07AZ0</t>
  </si>
  <si>
    <t>7.13% NHPC Ltd (11-Feb-2027) **</t>
  </si>
  <si>
    <t>INE976G08064</t>
  </si>
  <si>
    <t>10.20% RBL Bank Ltd (15-Apr-2023) **</t>
  </si>
  <si>
    <t>ICRA AA-</t>
  </si>
  <si>
    <t>INE848E07BK0</t>
  </si>
  <si>
    <t>6.80% NHPC Ltd (23-Apr-2027) **</t>
  </si>
  <si>
    <t>INE514E08EP9</t>
  </si>
  <si>
    <t>8.25% Export-Import Bank of India (28-Sep-2025) **</t>
  </si>
  <si>
    <t>INE733E07JX0</t>
  </si>
  <si>
    <t>8.19% NTPC Ltd (15-Dec-2025) **</t>
  </si>
  <si>
    <t>INE752E07MQ8</t>
  </si>
  <si>
    <t>8.40% Power Grid Corporation of India Ltd (27-May-2024) **</t>
  </si>
  <si>
    <t>INE861G08035</t>
  </si>
  <si>
    <t>9.95% Food Corporation Of India (07-Mar-2022) **</t>
  </si>
  <si>
    <t>CRISIL AAA(CE)</t>
  </si>
  <si>
    <t>INE020B08BM6</t>
  </si>
  <si>
    <t>8.35% REC Ltd (11-Mar-2022) **</t>
  </si>
  <si>
    <t>INE752E07NN3</t>
  </si>
  <si>
    <t>8.13% Power Grid Corporation of India Ltd (23-Apr-2021) **</t>
  </si>
  <si>
    <t>INE261F16538</t>
  </si>
  <si>
    <t>National Bank For Agriculture &amp; Rural Development (10-Jun-2021) **</t>
  </si>
  <si>
    <t>Franklin India Government Securities Fund</t>
  </si>
  <si>
    <t>IN0020170026</t>
  </si>
  <si>
    <t>6.79% GOI 2027 (15-May-2027)</t>
  </si>
  <si>
    <t>IN0020170174</t>
  </si>
  <si>
    <t>7.17% GOI 2028 (08-Jan-2028)</t>
  </si>
  <si>
    <t>IN0020200245</t>
  </si>
  <si>
    <t>6.22% GOI 2035 (16-Mar-2035)</t>
  </si>
  <si>
    <t xml:space="preserve">      Quarterly Dividend Option</t>
  </si>
  <si>
    <t xml:space="preserve">      Direct Quarterly Dividend Option</t>
  </si>
  <si>
    <t>Franklin India Dynamic Accrual Fund (No. of segregated Portfolios in the scheme - 3) - (under winding up)</t>
  </si>
  <si>
    <t>Main Portfolio</t>
  </si>
  <si>
    <t>INE540P07301</t>
  </si>
  <si>
    <t>10.15% Uttar Pradesh Power Corporation Ltd (20-Jan-2023) **</t>
  </si>
  <si>
    <t>CRISIL A+(CE)</t>
  </si>
  <si>
    <t>INE657N07605</t>
  </si>
  <si>
    <t>Edelweiss Rural &amp; Corporate Services Ltd (1Y SBI MCLR + 250 Bps) (29-Nov-2021) - Series II **</t>
  </si>
  <si>
    <t>CRISIL AA-</t>
  </si>
  <si>
    <t>INE01E708040</t>
  </si>
  <si>
    <t>10.32% Andhra Pradesh Capital Region Development Authority (16-Aug-2027) **</t>
  </si>
  <si>
    <t>INE641O08035</t>
  </si>
  <si>
    <t>9.55% Piramal Capital &amp; Housing Finance Ltd (08-Mar-2027) **</t>
  </si>
  <si>
    <t>CARE AA</t>
  </si>
  <si>
    <t>INE205A07162</t>
  </si>
  <si>
    <t>8.90% Vedanta Ltd (09-Dec-2021) **</t>
  </si>
  <si>
    <t>INE516Y07105</t>
  </si>
  <si>
    <t>9.50% Piramal Capital &amp; Housing Finance Ltd (15-Apr-2022) **</t>
  </si>
  <si>
    <t>INE155A08365</t>
  </si>
  <si>
    <t>7.40% Tata Motors Ltd (29-Jun-2021) **</t>
  </si>
  <si>
    <t>INE764L07181</t>
  </si>
  <si>
    <t>0.00% Sadbhav Infrastructure Project Ltd (06-Jun-2023) **</t>
  </si>
  <si>
    <t>CARE BBB+(CE)</t>
  </si>
  <si>
    <t>INE146O08100</t>
  </si>
  <si>
    <t>9.40% Hinduja Leyland Finance Ltd (28-Aug-2024) **</t>
  </si>
  <si>
    <t>INE657N07381</t>
  </si>
  <si>
    <t>8.70% Edelweiss Rural &amp; Corporate Services Ltd (30-Jun-2027) **</t>
  </si>
  <si>
    <t>ICRA A+</t>
  </si>
  <si>
    <t>INE516Y07089</t>
  </si>
  <si>
    <t>9.50% Piramal Capital &amp; Housing Finance Ltd (21-Apr-2022) **</t>
  </si>
  <si>
    <t>INE245A08042</t>
  </si>
  <si>
    <t>10.75% The Tata Power Co Ltd (21-Aug-2022) **</t>
  </si>
  <si>
    <t>INE540P07210</t>
  </si>
  <si>
    <t>9.75% Uttar Pradesh Power Corporation Ltd (20-Oct-2022) **</t>
  </si>
  <si>
    <t>INE540P07228</t>
  </si>
  <si>
    <t>9.75% Uttar Pradesh Power Corporation Ltd (20-Oct-2023) **</t>
  </si>
  <si>
    <t>INE205A07139</t>
  </si>
  <si>
    <t>8.50% Vedanta Ltd (05-Apr-2021) **</t>
  </si>
  <si>
    <t>INE616U07036</t>
  </si>
  <si>
    <t>INE764L07173</t>
  </si>
  <si>
    <t>0.00% Sadbhav Infrastructure Project Ltd (23-Apr-2023) **</t>
  </si>
  <si>
    <t>INE146O08159</t>
  </si>
  <si>
    <t>11.60% Hinduja Leyland Finance Ltd (29-Sep-2024) **</t>
  </si>
  <si>
    <t>INE540P07293</t>
  </si>
  <si>
    <t>10.15% Uttar Pradesh Power Corporation Ltd (20-Jan-2022) **</t>
  </si>
  <si>
    <t>INE146O08068</t>
  </si>
  <si>
    <t>11.50% Hinduja Leyland Finance Ltd (31-May-2021) **</t>
  </si>
  <si>
    <t>INE146O08092</t>
  </si>
  <si>
    <t>11.10% Hinduja Leyland Finance Ltd (08-Apr-2022)</t>
  </si>
  <si>
    <t>INE245A08034</t>
  </si>
  <si>
    <t>11.40% Tata Power Co Ltd (02-Jun-2021) **</t>
  </si>
  <si>
    <t>INE575P08024</t>
  </si>
  <si>
    <t>10.20% Star Health &amp; Allied Insurance Co Ltd (31-Oct-2024) **</t>
  </si>
  <si>
    <t>IND A+</t>
  </si>
  <si>
    <t>INE659X07014</t>
  </si>
  <si>
    <t>9.95% Molagavalli Renewable Pvt Ltd (31-Mar-2023) **</t>
  </si>
  <si>
    <t>CARE A+(CE)</t>
  </si>
  <si>
    <t>INE964Q07012</t>
  </si>
  <si>
    <t>9.60% Renew Wind Energy (Rajasthan One) Pvt Ltd (31-Mar-2023) **</t>
  </si>
  <si>
    <t>INE003S07189</t>
  </si>
  <si>
    <t>9.45% Renew Power Pvt Ltd (31-Jul-2025) **</t>
  </si>
  <si>
    <t>CARE A+</t>
  </si>
  <si>
    <t>INE458O07036</t>
  </si>
  <si>
    <t>9.41% Renew Wind Energy Delhi Pvt Ltd (30-Sep-2030) **</t>
  </si>
  <si>
    <t>CARE A+(SO)</t>
  </si>
  <si>
    <t>INE575P08016</t>
  </si>
  <si>
    <t>10.25% Star Health &amp; Allied Insurance Co Ltd (06-Sep-2024) **</t>
  </si>
  <si>
    <t>INE01EA07016</t>
  </si>
  <si>
    <t>11.90% Vishal Mega Mart Pvt Ltd (20-Oct-2023) **</t>
  </si>
  <si>
    <t>INE209W07028</t>
  </si>
  <si>
    <t>9.95% Narmada Wind Energy Pvt Ltd (31-Mar-2023) **</t>
  </si>
  <si>
    <t>INE971Z07133</t>
  </si>
  <si>
    <t>12.25% Rivaaz Trade Ventures Pvt Ltd (30-Jun-2023) $$ @@@ **</t>
  </si>
  <si>
    <t>BWR D(CE)</t>
  </si>
  <si>
    <t>INE971Z07190</t>
  </si>
  <si>
    <t>13.00% Rivaaz Trade Ventures Pvt Ltd (31-Dec-2023) $$ @@@ **</t>
  </si>
  <si>
    <t>INE946S07189</t>
  </si>
  <si>
    <t>13.55% Nufuture Digital (India) Ltd (31-Dec-2023) $$ @@@ **</t>
  </si>
  <si>
    <t xml:space="preserve"> $$ Indicates securties below investment grade or default</t>
  </si>
  <si>
    <t>Refer below link for rationale of devation under Valuation policy</t>
  </si>
  <si>
    <t>https://www.franklintempletonindia.com/investor/reports?firstFilter-4</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</si>
  <si>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</si>
  <si>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</si>
  <si>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</si>
  <si>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</si>
  <si>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</si>
  <si>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For product labeling and risk-o-meter refer the link below </t>
  </si>
  <si>
    <t>Franklin India Dynamic Accrual Fund - Segregated Portfolio 2 - 10.90% Vodafone Idea Ltd (02-Sep-2023) P/C 03 Sep 2021</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</si>
  <si>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</si>
  <si>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</si>
  <si>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</si>
  <si>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</si>
  <si>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</si>
  <si>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</si>
  <si>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</si>
  <si>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</si>
  <si>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</si>
  <si>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t>
  </si>
  <si>
    <t>INE265J07316</t>
  </si>
  <si>
    <t>11.50% JM Financial Asset Reconstruction Co Ltd (29-May-2022) **</t>
  </si>
  <si>
    <t>INE694L07123</t>
  </si>
  <si>
    <t>9.23% Talwandi Sabo Power Ltd (30-Jul-2021) **</t>
  </si>
  <si>
    <t>CRISIL AA-(CE)</t>
  </si>
  <si>
    <t>INE657N07597</t>
  </si>
  <si>
    <t>Edelweiss Rural &amp; Corporate Services Ltd (1Y SBI MCLR + 250 Bps) (29-Nov-2021) **</t>
  </si>
  <si>
    <t>INE157D08027</t>
  </si>
  <si>
    <t>11.25% Clix Capital Services Pvt Ltd (27-Jun-2023) **</t>
  </si>
  <si>
    <t>INE721A08DE4</t>
  </si>
  <si>
    <t>10.25% Shriram Transport Finance Co Ltd (27-Dec-2024) **</t>
  </si>
  <si>
    <t>INE721A07NQ9</t>
  </si>
  <si>
    <t>0.00% Shriram Transport Finance Co Ltd (31-May-2021)</t>
  </si>
  <si>
    <t>INE945W07035</t>
  </si>
  <si>
    <t>10.25% Incred Financial Services Pvt Ltd (26-Apr-2021) **</t>
  </si>
  <si>
    <t>CARE A</t>
  </si>
  <si>
    <t>INE721A08DF1</t>
  </si>
  <si>
    <t>9.90% Shriram Transport Finance Co Ltd (21-Jun-2024) **</t>
  </si>
  <si>
    <t>INE146O08084</t>
  </si>
  <si>
    <t>11.30% Hinduja Leyland Finance Ltd (21-Jul-2021) **</t>
  </si>
  <si>
    <t>INE540P07202</t>
  </si>
  <si>
    <t>9.75% Uttar Pradesh Power Corporation Ltd (20-Oct-2021) **</t>
  </si>
  <si>
    <t>INE128S07333</t>
  </si>
  <si>
    <t>10.21% Five-Star Business Finance Ltd Series C (28-Mar-2023) **</t>
  </si>
  <si>
    <t>INE721A08DA2</t>
  </si>
  <si>
    <t>9.00% Shriram Transport Finance Co Ltd (28-Mar-2028) **</t>
  </si>
  <si>
    <t>INE252T07040</t>
  </si>
  <si>
    <t>9.70% Xander Finance Pvt Ltd (15-Mar-2021) **</t>
  </si>
  <si>
    <t>INE540P07319</t>
  </si>
  <si>
    <t>10.15% Uttar Pradesh Power Corporation Ltd (19-Jan-2024) **</t>
  </si>
  <si>
    <t>INE540P07327</t>
  </si>
  <si>
    <t>10.15% Uttar Pradesh Power Corporation Ltd (20-Jan-2025) **</t>
  </si>
  <si>
    <t>INE209W07010</t>
  </si>
  <si>
    <t>9.60% Narmada Wind Energy Pvt Ltd (31-Mar-2023)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</si>
  <si>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</si>
  <si>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</si>
  <si>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</si>
  <si>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h) For product labeling and risk-o-meter refer the link below </t>
  </si>
  <si>
    <t>Franklin India Low Duration Fund-Segregated Portfolio 2 - 10.90% Vodafone Idea Ltd (02-Sep-2023) P/C 03 Sep 2021</t>
  </si>
  <si>
    <t>Franklin India Ultra Short Bond Fund - (No. of segregated Portfolio in the scheme -1) - (under winding up)</t>
  </si>
  <si>
    <t>INE371K08128</t>
  </si>
  <si>
    <t>0.00% Tata Realty &amp; Infrastructure Ltd (04-Jun-2021) **</t>
  </si>
  <si>
    <t>INE157D08019</t>
  </si>
  <si>
    <t>11.25% Clix Capital Services Pvt Ltd (25-May-2023) **</t>
  </si>
  <si>
    <t>INE572E09361</t>
  </si>
  <si>
    <t>8.47% PNB Housing Finance Ltd (01-Jul-2021) **</t>
  </si>
  <si>
    <t>INE157D08068</t>
  </si>
  <si>
    <t>13.65% Clix Capital Services Pvt Ltd (06-Jul-2021) **</t>
  </si>
  <si>
    <t>INE157D08035</t>
  </si>
  <si>
    <t>13.65% Clix Capital Services Pvt Ltd (06-Sep-2021) **</t>
  </si>
  <si>
    <t>INE157D08050</t>
  </si>
  <si>
    <t>13.65% Clix Capital Services Pvt Ltd (06-May-2021) **</t>
  </si>
  <si>
    <t>INE572E09429</t>
  </si>
  <si>
    <t>7.80% PNB Housing Finance Ltd (07-May-2021) **</t>
  </si>
  <si>
    <t>INE157D08043</t>
  </si>
  <si>
    <t>13.65% Clix Capital Services Pvt Ltd (12-Nov-2021) **</t>
  </si>
  <si>
    <t>INE850M08069</t>
  </si>
  <si>
    <t>Northern ARC Capital Ltd (6M SBI MCLR + 305 Bps) Series B (16-Jul-2021) **</t>
  </si>
  <si>
    <t>INE850M08077</t>
  </si>
  <si>
    <t>Northern ARC Capital Ltd (6M SBI MCLR + 305 Bps) Series C (16-Jul-2021) **</t>
  </si>
  <si>
    <t>INE949L08152</t>
  </si>
  <si>
    <t>11.75% AU Small Finance Bank Ltd (04-May-2021) **</t>
  </si>
  <si>
    <t>IND AA-</t>
  </si>
  <si>
    <t>INE081A08165</t>
  </si>
  <si>
    <t>11.80% Tata Steel Ltd (18-Mar-2021) **</t>
  </si>
  <si>
    <t>INE721A07NI6</t>
  </si>
  <si>
    <t>8.55% Shriram Transport Finance Co Ltd (21-May-2021) **</t>
  </si>
  <si>
    <t>INE572E09569</t>
  </si>
  <si>
    <t>7.58% PNB Housing Finance Ltd (15-Mar-2021) **</t>
  </si>
  <si>
    <t>INE850M08051</t>
  </si>
  <si>
    <t>Northern ARC Capital Ltd (6M SBI MCLR + 305 Bps) Series A (16-Jul-2021) **</t>
  </si>
  <si>
    <t>INE721A07NV9</t>
  </si>
  <si>
    <t>9.10% Shriram Transport Finance Co Ltd (12-Jul-2021) **</t>
  </si>
  <si>
    <t>INE252T07057</t>
  </si>
  <si>
    <t>9.70% Xander Finance Pvt Ltd (30-Apr-2021) **</t>
  </si>
  <si>
    <t>INE155A08316</t>
  </si>
  <si>
    <t>7.50% Tata Motors Ltd (20-Oct-2021) **</t>
  </si>
  <si>
    <t>INE587B08037</t>
  </si>
  <si>
    <t>13.65% Clix Finance India Pvt Ltd (06-Jan-2022) **</t>
  </si>
  <si>
    <t>INE003S07155</t>
  </si>
  <si>
    <t>11.96% Renew Power Pvt Ltd (28-Sep-2022) **</t>
  </si>
  <si>
    <t xml:space="preserve">      Retail Plan Weekly Dividend Option</t>
  </si>
  <si>
    <t xml:space="preserve">      Institutional Plan Growth Option</t>
  </si>
  <si>
    <t xml:space="preserve">      Institutional Plan Daily Dividend Option</t>
  </si>
  <si>
    <t xml:space="preserve">      Super Institutional Plan Daily Dividend Option</t>
  </si>
  <si>
    <t xml:space="preserve">      Direct Super Institutional Plan Growth Option</t>
  </si>
  <si>
    <t xml:space="preserve">      Direct Super Institutional Plan Daily Dividend Option</t>
  </si>
  <si>
    <t xml:space="preserve">      Direct Super Institutional Plan Weekly Dividend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</si>
  <si>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</si>
  <si>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Short-Term Income Plan (No. of segregated Portfolios in the scheme - 3) - (under winding up)</t>
  </si>
  <si>
    <t>INE01E708024</t>
  </si>
  <si>
    <t>10.32% Andhra Pradesh Capital Region Development Authority (16-Aug-2025) **</t>
  </si>
  <si>
    <t>INE01E708016</t>
  </si>
  <si>
    <t>10.32% Andhra Pradesh Capital Region Development Authority (16-Aug-2024) **</t>
  </si>
  <si>
    <t>INE572E09403</t>
  </si>
  <si>
    <t>7.91% PNB Housing Finance Ltd (29-Mar-2022) **</t>
  </si>
  <si>
    <t>INE852O07097</t>
  </si>
  <si>
    <t>10.00% Aptus Value Housing Finance India Ltd (20-Aug-2025) **</t>
  </si>
  <si>
    <t>INE540P07335</t>
  </si>
  <si>
    <t>10.15% Uttar Pradesh Power Corporation Ltd (20-Jan-2026)</t>
  </si>
  <si>
    <t>INE016P07146</t>
  </si>
  <si>
    <t>10.50% Vistaar Financial Services Pvt Ltd (24-Aug-2025) **</t>
  </si>
  <si>
    <t>ICRA A-</t>
  </si>
  <si>
    <t>INE01E708032</t>
  </si>
  <si>
    <t>10.32% Andhra Pradesh Capital Region Development Authority (16-Aug-2026) **</t>
  </si>
  <si>
    <t>INE608A08025</t>
  </si>
  <si>
    <t>10.90% Punjab &amp; Sind Bank (07-May-2022) **</t>
  </si>
  <si>
    <t>INE205A07154</t>
  </si>
  <si>
    <t>9.18% Vedanta Ltd (02-Jul-2021) **</t>
  </si>
  <si>
    <t>INE503A08028</t>
  </si>
  <si>
    <t>9.85% DCB Bank Ltd (18-Nov-2026) **</t>
  </si>
  <si>
    <t>INE146O08027</t>
  </si>
  <si>
    <t>12.00% Hinduja Leyland Finance Ltd (28-Mar-2021) **</t>
  </si>
  <si>
    <t>INE540P07343</t>
  </si>
  <si>
    <t>10.15% Uttar Pradesh Power Corporation Ltd (20-Jan-2027) **</t>
  </si>
  <si>
    <t>INE540P07350</t>
  </si>
  <si>
    <t>10.15% Uttar Pradesh Power Corporation Ltd (20-Jan-2028) **</t>
  </si>
  <si>
    <t>INE028A08083</t>
  </si>
  <si>
    <t>8.50% Bank of Baroda (02-Dec-2021) **</t>
  </si>
  <si>
    <t>INE128S07317</t>
  </si>
  <si>
    <t>10.21% Five-Star Business Finance Ltd Series A (28-Mar-2023) **</t>
  </si>
  <si>
    <t>INE535H07AU7</t>
  </si>
  <si>
    <t>9.30% Fullerton India Credit Co Ltd (15-Mar-2021) **</t>
  </si>
  <si>
    <t>INE774D07RY7</t>
  </si>
  <si>
    <t>0.00% Mahindra &amp; Mahindra Financial Services Ltd (07-Apr-2021) **</t>
  </si>
  <si>
    <t>INE110L07070</t>
  </si>
  <si>
    <t>8.32% Reliance Industries Ltd (08-Jul-2021) **</t>
  </si>
  <si>
    <t>INE00MX08011</t>
  </si>
  <si>
    <t>11.70% Svatantra Microfin Pvt Ltd (30-Nov-2023) **</t>
  </si>
  <si>
    <t>INE895D08634</t>
  </si>
  <si>
    <t>8.01% Tata Sons Pvt Ltd (02-Sep-2021) **</t>
  </si>
  <si>
    <t>INE971Z07125</t>
  </si>
  <si>
    <t>12.25% Rivaaz Trade Ventures Pvt Ltd (30-Jun-2022) $$ @@@ **</t>
  </si>
  <si>
    <t>INE971Z07117</t>
  </si>
  <si>
    <t>12.25% Rivaaz Trade Ventures Pvt Ltd (30-Jun-2021)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</si>
  <si>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</si>
  <si>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</si>
  <si>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</si>
  <si>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</si>
  <si>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</si>
  <si>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</si>
  <si>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</si>
  <si>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</si>
  <si>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</si>
  <si>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</si>
  <si>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xml:space="preserve">      Direct Retail Plan Weekly Dividend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</si>
  <si>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</si>
  <si>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</si>
  <si>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and by Future Ideas Co Ltd. on January 31,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</si>
  <si>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</si>
  <si>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</si>
  <si>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</si>
  <si>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Short Term Income Plan - Segregated Portfolio 2 - 10.90% Vodafone Idea Ltd (02-Sep-2023) P/C 03 Sep 2021</t>
  </si>
  <si>
    <t>Franklin India Short Term Income Plan - Segregated Portfolio 3 - 9.50% Yes Bank Ltd CO 23 Dec 2021</t>
  </si>
  <si>
    <t>Franklin India Income Opportunities Fund (No. of segregated Portfolio in the scheme - 2) - (under winding up)</t>
  </si>
  <si>
    <t>INE503A08044</t>
  </si>
  <si>
    <t>9.85% DCB Bank Ltd (12-Jan-2028) **</t>
  </si>
  <si>
    <t>INE01E708057</t>
  </si>
  <si>
    <t>10.32% Andhra Pradesh Capital Region Development Authority (16-Aug-2028) **</t>
  </si>
  <si>
    <t>INE146O08134</t>
  </si>
  <si>
    <t>10.15% Hinduja Leyland Finance Ltd (27-Mar-2025) **</t>
  </si>
  <si>
    <t>INE922K07039</t>
  </si>
  <si>
    <t>0.00% India Shelter Finance Corporation Ltd (02-May-2025) **</t>
  </si>
  <si>
    <t>ICRA A</t>
  </si>
  <si>
    <t>INE146O08118</t>
  </si>
  <si>
    <t>9.20% Hinduja Leyland Finance Ltd (13-Sep-2024)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</si>
  <si>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</si>
  <si>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</si>
  <si>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</si>
  <si>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</si>
  <si>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Income Opportunities Fund-Segregated Portfolio 2 - 10.90% Vodafone Idea Ltd (02-Sep-2023) P/C 03 Sep 2021</t>
  </si>
  <si>
    <t>Franklin India Credit Risk Fund (No. of segregated Portfolios in the scheme -3) - (under winding up)</t>
  </si>
  <si>
    <t>INE128S07341</t>
  </si>
  <si>
    <t>10.21% Five-Star Business Finance Ltd Series D (28-Mar-2023) **</t>
  </si>
  <si>
    <t>INE128S07325</t>
  </si>
  <si>
    <t>10.21% Five-Star Business Finance Ltd Series B (28-Mar-2023) **</t>
  </si>
  <si>
    <t>INE852O07071</t>
  </si>
  <si>
    <t>10.00% Aptus Value Housing Finance India Ltd (20-Jun-2025) **</t>
  </si>
  <si>
    <t>INE027E07709</t>
  </si>
  <si>
    <t>8.9492% L&amp;T Finance Ltd (16-Aug-2021) **</t>
  </si>
  <si>
    <t>INE001A07OO9</t>
  </si>
  <si>
    <t>8.75% Housing Development Finance Corporation Ltd (04-Mar-2021)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</si>
  <si>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</si>
  <si>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</si>
  <si>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</si>
  <si>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</si>
  <si>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below link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</si>
  <si>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Credit Risk Fund-Segregated Portfolio 2 - 10.90% Vodafone Idea Ltd (02-Sep-2023) P/C 03 Sep 2021</t>
  </si>
  <si>
    <t>Franklin India Credit Risk Fund - Segregated Portfolio 3 - 9.50% Yes Bank Ltd CO 23 Dec 2021</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</si>
  <si>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</si>
  <si>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</si>
  <si>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</si>
  <si>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</si>
  <si>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</si>
  <si>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</si>
  <si>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</si>
  <si>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</si>
  <si>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</si>
  <si>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</si>
  <si>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</si>
  <si>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</si>
  <si>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</si>
  <si>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Dividend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</si>
  <si>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</si>
  <si>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</si>
  <si>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</si>
  <si>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</si>
  <si>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</si>
  <si>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</si>
  <si>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</si>
  <si>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</si>
  <si>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</si>
  <si>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</si>
  <si>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</si>
  <si>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</si>
  <si>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</si>
  <si>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</si>
  <si>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</si>
  <si>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</si>
  <si>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</si>
  <si>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</si>
  <si>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</si>
  <si>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</si>
  <si>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</si>
  <si>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Housing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</si>
  <si>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</si>
  <si>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</si>
  <si>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</si>
  <si>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</si>
  <si>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</si>
  <si>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</si>
  <si>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</si>
  <si>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</si>
  <si>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</si>
  <si>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INE895D08790</t>
  </si>
  <si>
    <t>8.25% Tata Sons Pvt Ltd (23-Mar-2022) **</t>
  </si>
  <si>
    <t>Franklin India Fixed Maturity Plans - Series 4 - Plan E (1098 days)</t>
  </si>
  <si>
    <t>INE481G08057</t>
  </si>
  <si>
    <t>8.36% Ultratech Cement Ltd (07-Jun-2021) **</t>
  </si>
  <si>
    <t>INE660A07PT8</t>
  </si>
  <si>
    <t>0.00% Sundaram Finance Ltd (31-Aug-2021) **</t>
  </si>
  <si>
    <t>INE556F08JH3</t>
  </si>
  <si>
    <t>8.40% Small Industries Development Bank Of India (10-Aug-2021) **</t>
  </si>
  <si>
    <t>INE261F08AM9</t>
  </si>
  <si>
    <t>8.37% National Bank For Agriculture &amp; Rural Development (03-Aug-2021)</t>
  </si>
  <si>
    <t>INE020B08AO4</t>
  </si>
  <si>
    <t>7.18% REC Ltd (21-May-2021) **</t>
  </si>
  <si>
    <t>INE860H07FW4</t>
  </si>
  <si>
    <t>0.00% Aditya Birla Finance Ltd (26-Jul-2021) **</t>
  </si>
  <si>
    <t>Franklin India Fixed Maturity Plans - Series 4 - Plan D (1098 Days)</t>
  </si>
  <si>
    <t>INE377Y07045</t>
  </si>
  <si>
    <t>8.1352% Bajaj Housing Finance Ltd (04-Jun-2021) **</t>
  </si>
  <si>
    <t>Franklin India Fixed Maturity Plans - Series 4 - Plan C (1098 Days)</t>
  </si>
  <si>
    <t>INE115A07MX2</t>
  </si>
  <si>
    <t>0.00% LIC Housing Finance Ltd (25-Mar-2021) **</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</si>
  <si>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</si>
  <si>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</si>
  <si>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</si>
  <si>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</si>
  <si>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</si>
  <si>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</si>
  <si>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</si>
  <si>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</si>
  <si>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</si>
  <si>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INE134E08DN3</t>
  </si>
  <si>
    <t>9.70% Power Finance Corporation Ltd (09-Jun-2021) **</t>
  </si>
  <si>
    <t>INE027E07642</t>
  </si>
  <si>
    <t>8.25% L&amp;T Finance Ltd (21-Jun-2021) **</t>
  </si>
  <si>
    <t>INE134E08ID3</t>
  </si>
  <si>
    <t>8.05% Power Finance Corporation Ltd (27-Apr-2021) **</t>
  </si>
  <si>
    <t>INE752E07MN5</t>
  </si>
  <si>
    <t>8.40% Power Grid Corporation of India Ltd (27-May-2021) **</t>
  </si>
  <si>
    <t>INE660A07PN1</t>
  </si>
  <si>
    <t>0.00% Sundaram Finance Ltd (15-Jun-2021) **</t>
  </si>
  <si>
    <t>INE071G07314</t>
  </si>
  <si>
    <t>8.22% ICICI Home Finance Co Ltd (27-May-2021) **</t>
  </si>
  <si>
    <t>INE377Y07029</t>
  </si>
  <si>
    <t>0.00% Bajaj Housing Finance Ltd (06-Apr-2021) **</t>
  </si>
  <si>
    <t>Franklin India Fixed Maturity Plans-Series 4 - Plan A (1098 Days)</t>
  </si>
  <si>
    <t>INE891K07390</t>
  </si>
  <si>
    <t>0.00% Axis Finance Ltd (14-Jun-2021) **</t>
  </si>
  <si>
    <t>INE110L07112</t>
  </si>
  <si>
    <t>8.70% Reliance Industries Ltd (15-Jun-2021) **</t>
  </si>
  <si>
    <t>INE556F08JF7</t>
  </si>
  <si>
    <t>8.50% Small Industries Development Bank of India (21-Jun-2021) **</t>
  </si>
  <si>
    <t>INE476M07BM9</t>
  </si>
  <si>
    <t>8.80% L&amp;T Housing Finance Ltd (23-Jun-2021) **</t>
  </si>
  <si>
    <t>INE020B08AW7</t>
  </si>
  <si>
    <t>7.73% REC Ltd (15-Jun-2021) **</t>
  </si>
  <si>
    <t>Franklin India Fixed Maturity Plans - Series 3 - Plan F (1098 days)</t>
  </si>
  <si>
    <t>INE031A08566</t>
  </si>
  <si>
    <t>7.73% Housing &amp; Urban Development Corporation Ltd (15-Apr-2021) **</t>
  </si>
  <si>
    <t>INE774D07SB3</t>
  </si>
  <si>
    <t>8.10% Mahindra &amp; Mahindra Financial Services Ltd (19-Apr-2021) **</t>
  </si>
  <si>
    <t>INE556F08JD2</t>
  </si>
  <si>
    <t>7.65% Small Industries Development Bank Of India (15-Apr-2021) **</t>
  </si>
  <si>
    <t>INE883A07174</t>
  </si>
  <si>
    <t>10.09% MRF Ltd (27-May-2021) **</t>
  </si>
  <si>
    <t>INE756I07BW1</t>
  </si>
  <si>
    <t>0.00% HDB Financial Services Ltd (06-Apr-2021) **</t>
  </si>
  <si>
    <t>INE134E08DM5</t>
  </si>
  <si>
    <t>9.18% Power Finance Corporation Ltd (15-Apr-2021) **</t>
  </si>
  <si>
    <t>Franklin India Fixed Maturity Plans - Series 3 - Plan E (1104 Days)</t>
  </si>
  <si>
    <t>INE134E08JM2</t>
  </si>
  <si>
    <t>7.75% Power Finance Corporation Ltd (15-Apr-2021) **</t>
  </si>
  <si>
    <t>INE020B08AS5</t>
  </si>
  <si>
    <t>7.70% REC Ltd (15-Mar-2021) **</t>
  </si>
  <si>
    <t>INE031A08590</t>
  </si>
  <si>
    <t>7.68% Housing &amp; Urban Development Corporation Ltd (05-Apr-2021) **</t>
  </si>
  <si>
    <t>INE916DA7PO3</t>
  </si>
  <si>
    <t>0.00% Kotak Mahindra Prime Ltd (27-May-2021) **</t>
  </si>
  <si>
    <t>INE895D08899</t>
  </si>
  <si>
    <t>8.25% Tata Sons Pvt Ltd (24-Mar-2021) **</t>
  </si>
  <si>
    <t>INE002A14EM8</t>
  </si>
  <si>
    <t>Reliance Industries Ltd (02-Mar-2021)@</t>
  </si>
  <si>
    <t>Franklin India Fixed Maturity Plans - Series 3 - Plan D (1132 Days)</t>
  </si>
  <si>
    <t>INE916DA7PI5</t>
  </si>
  <si>
    <t>0.00% Kotak Mahindra Prime Ltd (26-Apr-2021) **</t>
  </si>
  <si>
    <t>INE242A14SY5</t>
  </si>
  <si>
    <t>Indian Oil Corporation Ltd (15-Apr-2021) **@</t>
  </si>
  <si>
    <t>Franklin India Fixed Maturity Plans - Series 3 - Plan C (1132 Days)</t>
  </si>
  <si>
    <t>INE134E08JK6</t>
  </si>
  <si>
    <t>7.73% Power Finance Corporation Ltd (05-Apr-2021) **</t>
  </si>
  <si>
    <t>INE020B08AR7</t>
  </si>
  <si>
    <t>7.60% REC Ltd (17-Apr-2021) **</t>
  </si>
  <si>
    <t>INE752E07GX6</t>
  </si>
  <si>
    <t>8.84% Power Grid Corporation of India Ltd (29-Mar-2021) **</t>
  </si>
  <si>
    <t>INE895D08881</t>
  </si>
  <si>
    <t>8.25% Tata Sons Pvt Ltd (23-Mar-2021) **</t>
  </si>
  <si>
    <t>Franklin India Fixed Maturity Plans - Series 3 - Plan B (1139 Days)</t>
  </si>
  <si>
    <t>Franklin India Fixed Maturity Plans-Series 3-Plan A (1157 Days)</t>
  </si>
  <si>
    <t>INE115A07AL2</t>
  </si>
  <si>
    <t>9.60% LIC Housing Finance Ltd (07-Mar-2021) **</t>
  </si>
  <si>
    <t>Franklin India Fixed Maturity Plans- Series 2 - Plan C (1205 Days)</t>
  </si>
  <si>
    <t>INE756I07BU5</t>
  </si>
  <si>
    <t>7.9407% HDB Financial Services Ltd (15-Apr-2021) **</t>
  </si>
  <si>
    <t>Franklin India Fixed Maturity Plans - Series 2 - Plan B (1224 Days)</t>
  </si>
  <si>
    <t>Franklin India Fixed Maturity Plans - Series 2- Plan A (1224 Days)</t>
  </si>
  <si>
    <t>INE537P07117</t>
  </si>
  <si>
    <t>8.62% India Infradebt Ltd (08-Mar-2021) **</t>
  </si>
  <si>
    <t>INE752E07ER3</t>
  </si>
  <si>
    <t>9.47% Power Grid Corporation of India Ltd (31-Mar-2021) **</t>
  </si>
  <si>
    <t>INE514E08951</t>
  </si>
  <si>
    <t>9.15% Export-Import Bank of India (18-Mar-2021) **</t>
  </si>
  <si>
    <t>Franklin India Pension Plan</t>
  </si>
  <si>
    <t>INE298A01020</t>
  </si>
  <si>
    <t>Cummins India Ltd</t>
  </si>
  <si>
    <t>INE685A01028</t>
  </si>
  <si>
    <t>Torrent Pharmaceuticals Ltd</t>
  </si>
  <si>
    <t>INE110L08037</t>
  </si>
  <si>
    <t>9.25% Reliance Industries Ltd (17-Jun-2024) **</t>
  </si>
  <si>
    <t>INE020B08BS3</t>
  </si>
  <si>
    <t>8.80% REC Ltd (14-May-2029) **</t>
  </si>
  <si>
    <t>Franklin India Debt Hybrid Fund (No. of segregated Portfolio in the scheme - 1)</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</si>
  <si>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</si>
  <si>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 xml:space="preserve">d) During the month additional instances of fair valuation/deviation from valuation price provided by the valuation agencies </t>
  </si>
  <si>
    <t xml:space="preserve">b) During the month additional instances of fair valuation/deviation from valuation price provided by the valuation agencies </t>
  </si>
  <si>
    <t>e) For product labeling and risk-o-meter refer the link below</t>
  </si>
  <si>
    <t>Franklin India Feeder - Templeton European Opportunities Fund</t>
  </si>
  <si>
    <t>Arvind Fashions Ltd - Rights Entitlements ##</t>
  </si>
  <si>
    <t>## Awaiting Listing</t>
  </si>
  <si>
    <t>^^ Securities are fair valued</t>
  </si>
  <si>
    <t>Globsyn Technologies Ltd ** ^^</t>
  </si>
  <si>
    <t>Numero Uno International Ltd ** ^^</t>
  </si>
  <si>
    <t>Brillio Technologies Pvt Ltd ** ^^</t>
  </si>
  <si>
    <t>Quantum Information Services ** ^^</t>
  </si>
  <si>
    <t>Chennai Interactive Business Services Pvt Ltd ** ^^</t>
  </si>
  <si>
    <t>Quantum Information Systems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</si>
</sst>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8"/>
      <name val="Arial"/>
      <family val="2"/>
    </font>
    <font>
      <u/>
      <sz val="8"/>
      <color theme="10"/>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5">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8" fillId="2" borderId="0" xfId="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6" fillId="3" borderId="0" xfId="0" applyFont="1" applyFill="1"/>
    <xf numFmtId="0" fontId="9" fillId="3" borderId="0" xfId="0" applyFont="1" applyFill="1" applyAlignment="1">
      <alignment horizontal="right"/>
    </xf>
    <xf numFmtId="2" fontId="6" fillId="0" borderId="1" xfId="0" applyNumberFormat="1" applyFont="1" applyBorder="1" applyAlignment="1">
      <alignment horizontal="center" vertical="center" wrapText="1"/>
    </xf>
    <xf numFmtId="0" fontId="10" fillId="2" borderId="0" xfId="1" applyFont="1" applyFill="1"/>
    <xf numFmtId="0" fontId="7" fillId="2" borderId="4" xfId="0" applyFont="1" applyFill="1" applyBorder="1" applyAlignment="1">
      <alignment wrapText="1"/>
    </xf>
    <xf numFmtId="0" fontId="6" fillId="0" borderId="1" xfId="0" applyFont="1" applyBorder="1" applyAlignment="1">
      <alignment vertical="center" wrapText="1"/>
    </xf>
    <xf numFmtId="0" fontId="7" fillId="2" borderId="3" xfId="0" applyFont="1" applyFill="1" applyBorder="1" applyAlignment="1">
      <alignment wrapText="1"/>
    </xf>
    <xf numFmtId="0" fontId="6" fillId="2" borderId="4" xfId="0" applyFont="1" applyFill="1" applyBorder="1" applyAlignment="1">
      <alignment wrapText="1"/>
    </xf>
    <xf numFmtId="0" fontId="6" fillId="2" borderId="5" xfId="0" applyFont="1" applyFill="1" applyBorder="1" applyAlignment="1">
      <alignment wrapText="1"/>
    </xf>
    <xf numFmtId="0" fontId="10" fillId="0" borderId="0" xfId="1" applyFont="1" applyAlignment="1">
      <alignment vertical="center"/>
    </xf>
    <xf numFmtId="0" fontId="11" fillId="2" borderId="0" xfId="0" applyFont="1" applyFill="1"/>
    <xf numFmtId="0" fontId="6" fillId="2" borderId="0" xfId="0" quotePrefix="1" applyFont="1" applyFill="1" applyAlignment="1">
      <alignment horizontal="justify" vertical="top" wrapText="1"/>
    </xf>
    <xf numFmtId="0" fontId="10" fillId="3" borderId="0" xfId="1" applyFont="1" applyFill="1" applyBorder="1"/>
    <xf numFmtId="0" fontId="6" fillId="3" borderId="0" xfId="0" applyFont="1" applyFill="1" applyBorder="1" applyAlignment="1">
      <alignment horizontal="justify" vertical="top" wrapText="1"/>
    </xf>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3" borderId="0" xfId="0" applyFont="1" applyFill="1"/>
    <xf numFmtId="0" fontId="7" fillId="3" borderId="0" xfId="0" applyNumberFormat="1" applyFont="1" applyFill="1"/>
    <xf numFmtId="0" fontId="10" fillId="3" borderId="0" xfId="1" applyFont="1" applyFill="1"/>
    <xf numFmtId="0" fontId="7" fillId="2" borderId="6" xfId="0" applyFont="1" applyFill="1" applyBorder="1"/>
    <xf numFmtId="0" fontId="7" fillId="2" borderId="7" xfId="0" applyFont="1" applyFill="1" applyBorder="1"/>
    <xf numFmtId="0" fontId="6" fillId="2" borderId="0" xfId="0" applyFont="1" applyFill="1" applyAlignment="1">
      <alignment vertical="top" wrapText="1"/>
    </xf>
    <xf numFmtId="0" fontId="0" fillId="0" borderId="0" xfId="0" applyAlignment="1">
      <alignment vertical="top" wrapText="1"/>
    </xf>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vertical="top" wrapText="1"/>
    </xf>
    <xf numFmtId="0" fontId="6" fillId="2" borderId="0" xfId="0" applyFont="1" applyFill="1" applyAlignment="1">
      <alignment wrapText="1"/>
    </xf>
    <xf numFmtId="0" fontId="0" fillId="0" borderId="0" xfId="0" applyAlignment="1">
      <alignment wrapText="1"/>
    </xf>
    <xf numFmtId="0" fontId="6" fillId="0" borderId="0" xfId="0" applyFont="1" applyFill="1" applyAlignment="1">
      <alignment horizontal="justify"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6" fillId="3" borderId="0" xfId="0" applyFont="1" applyFill="1" applyBorder="1" applyAlignment="1">
      <alignment horizontal="justify" vertical="top" wrapText="1"/>
    </xf>
    <xf numFmtId="0" fontId="6" fillId="2" borderId="0" xfId="0" applyFont="1" applyFill="1" applyAlignment="1">
      <alignment horizontal="justify" vertical="top"/>
    </xf>
    <xf numFmtId="0" fontId="6" fillId="2" borderId="0" xfId="0" quotePrefix="1" applyFont="1" applyFill="1" applyAlignment="1">
      <alignment horizontal="left" vertical="top" wrapText="1"/>
    </xf>
  </cellXfs>
  <cellStyles count="2">
    <cellStyle name="Hyperlink" xfId="1" builtinId="8"/>
    <cellStyle name="Normal" xfId="0" builtinId="0"/>
  </cellStyles>
  <dxfs count="184">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9.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franklintempletonindia.com/downloadsServlet/pdf/product-labels-jg9o5k7l" TargetMode="External"/><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12.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www.franklintempletonindia.com/downloadsServlet/pdf/product-labels-jg9o5k7l"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www.franklintempletonindia.com/downloadsServlet/pdf/product-labels-jg9o5k7l" TargetMode="External"/></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https://www.franklintempletonindia.com/downloadsServlet/pdf/product-labels-jg9o5k7l"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s://www.franklintempletonindia.com/downloadsServlet/pdf/product-labels-jg9o5k7l" TargetMode="External"/></Relationships>
</file>

<file path=xl/worksheets/_rels/sheet56.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s://www.franklintempletonindia.com/downloadsServlet/pdf/product-labels-jg9o5k7l" TargetMode="External"/></Relationships>
</file>

<file path=xl/worksheets/_rels/sheet58.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60.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61.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workbookViewId="0">
      <selection sqref="A1:G1"/>
    </sheetView>
  </sheetViews>
  <sheetFormatPr defaultColWidth="9.21875" defaultRowHeight="10.199999999999999" x14ac:dyDescent="0.2"/>
  <cols>
    <col min="1" max="1" width="38.77734375" style="9" bestFit="1" customWidth="1"/>
    <col min="2" max="2" width="50.777343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2" t="s">
        <v>734</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735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736</v>
      </c>
      <c r="B7" s="27" t="s">
        <v>737</v>
      </c>
      <c r="C7" s="27" t="s">
        <v>738</v>
      </c>
      <c r="D7" s="31">
        <v>150</v>
      </c>
      <c r="E7" s="29">
        <v>1504.146</v>
      </c>
      <c r="F7" s="30">
        <v>0.68468189057429996</v>
      </c>
      <c r="G7" s="29">
        <v>3.5499000000000001</v>
      </c>
    </row>
    <row r="8" spans="1:9" x14ac:dyDescent="0.2">
      <c r="A8" s="26" t="s">
        <v>40</v>
      </c>
      <c r="B8" s="26"/>
      <c r="C8" s="26"/>
      <c r="D8" s="32"/>
      <c r="E8" s="33">
        <f>SUM(E6:E7)</f>
        <v>1504.146</v>
      </c>
      <c r="F8" s="34">
        <f>SUM(F6:F7)</f>
        <v>0.68468189057429996</v>
      </c>
      <c r="G8" s="33"/>
      <c r="H8" s="18"/>
      <c r="I8" s="18"/>
    </row>
    <row r="9" spans="1:9" x14ac:dyDescent="0.2">
      <c r="A9" s="27"/>
      <c r="B9" s="27"/>
      <c r="C9" s="27"/>
      <c r="D9" s="28"/>
      <c r="E9" s="29"/>
      <c r="F9" s="30"/>
      <c r="G9" s="29"/>
    </row>
    <row r="10" spans="1:9" x14ac:dyDescent="0.2">
      <c r="A10" s="26" t="s">
        <v>58</v>
      </c>
      <c r="B10" s="27"/>
      <c r="C10" s="27"/>
      <c r="D10" s="28"/>
      <c r="E10" s="29"/>
      <c r="F10" s="30"/>
      <c r="G10" s="29"/>
    </row>
    <row r="11" spans="1:9" x14ac:dyDescent="0.2">
      <c r="A11" s="26" t="s">
        <v>62</v>
      </c>
      <c r="B11" s="27"/>
      <c r="C11" s="27"/>
      <c r="D11" s="28"/>
      <c r="E11" s="29"/>
      <c r="F11" s="30"/>
      <c r="G11" s="29"/>
    </row>
    <row r="12" spans="1:9" x14ac:dyDescent="0.2">
      <c r="A12" s="27" t="s">
        <v>739</v>
      </c>
      <c r="B12" s="27" t="s">
        <v>740</v>
      </c>
      <c r="C12" s="27" t="s">
        <v>741</v>
      </c>
      <c r="D12" s="31">
        <v>2000</v>
      </c>
      <c r="E12" s="29">
        <v>9970.2800000000007</v>
      </c>
      <c r="F12" s="30">
        <v>4.5384358698923704</v>
      </c>
      <c r="G12" s="29">
        <v>3.4</v>
      </c>
    </row>
    <row r="13" spans="1:9" x14ac:dyDescent="0.2">
      <c r="A13" s="27" t="s">
        <v>742</v>
      </c>
      <c r="B13" s="27" t="s">
        <v>743</v>
      </c>
      <c r="C13" s="27" t="s">
        <v>60</v>
      </c>
      <c r="D13" s="31">
        <v>2000</v>
      </c>
      <c r="E13" s="29">
        <v>9912.58</v>
      </c>
      <c r="F13" s="30">
        <v>4.5121710358362703</v>
      </c>
      <c r="G13" s="29">
        <v>3.7</v>
      </c>
    </row>
    <row r="14" spans="1:9" x14ac:dyDescent="0.2">
      <c r="A14" s="27" t="s">
        <v>744</v>
      </c>
      <c r="B14" s="27" t="s">
        <v>745</v>
      </c>
      <c r="C14" s="27" t="s">
        <v>741</v>
      </c>
      <c r="D14" s="31">
        <v>1500</v>
      </c>
      <c r="E14" s="29">
        <v>7492.9425000000001</v>
      </c>
      <c r="F14" s="30">
        <v>3.4107606820511598</v>
      </c>
      <c r="G14" s="29">
        <v>3.1254</v>
      </c>
    </row>
    <row r="15" spans="1:9" x14ac:dyDescent="0.2">
      <c r="A15" s="27" t="s">
        <v>746</v>
      </c>
      <c r="B15" s="27" t="s">
        <v>747</v>
      </c>
      <c r="C15" s="27" t="s">
        <v>60</v>
      </c>
      <c r="D15" s="31">
        <v>1500</v>
      </c>
      <c r="E15" s="29">
        <v>7487.7224999999999</v>
      </c>
      <c r="F15" s="30">
        <v>3.40838455668248</v>
      </c>
      <c r="G15" s="29">
        <v>3.1499000000000001</v>
      </c>
    </row>
    <row r="16" spans="1:9" x14ac:dyDescent="0.2">
      <c r="A16" s="27" t="s">
        <v>748</v>
      </c>
      <c r="B16" s="27" t="s">
        <v>749</v>
      </c>
      <c r="C16" s="27" t="s">
        <v>60</v>
      </c>
      <c r="D16" s="31">
        <v>1000</v>
      </c>
      <c r="E16" s="29">
        <v>4986.38</v>
      </c>
      <c r="F16" s="30">
        <v>2.2697823785203499</v>
      </c>
      <c r="G16" s="29">
        <v>3.1154999999999999</v>
      </c>
    </row>
    <row r="17" spans="1:9" x14ac:dyDescent="0.2">
      <c r="A17" s="27" t="s">
        <v>750</v>
      </c>
      <c r="B17" s="27" t="s">
        <v>751</v>
      </c>
      <c r="C17" s="27" t="s">
        <v>60</v>
      </c>
      <c r="D17" s="31">
        <v>1000</v>
      </c>
      <c r="E17" s="29">
        <v>4968.58</v>
      </c>
      <c r="F17" s="30">
        <v>2.26167988205244</v>
      </c>
      <c r="G17" s="29">
        <v>3.4449999999999998</v>
      </c>
    </row>
    <row r="18" spans="1:9" x14ac:dyDescent="0.2">
      <c r="A18" s="27" t="s">
        <v>752</v>
      </c>
      <c r="B18" s="27" t="s">
        <v>753</v>
      </c>
      <c r="C18" s="27" t="s">
        <v>60</v>
      </c>
      <c r="D18" s="31">
        <v>1000</v>
      </c>
      <c r="E18" s="29">
        <v>4965.32</v>
      </c>
      <c r="F18" s="30">
        <v>2.2601959416880901</v>
      </c>
      <c r="G18" s="29">
        <v>3.4449999999999998</v>
      </c>
    </row>
    <row r="19" spans="1:9" x14ac:dyDescent="0.2">
      <c r="A19" s="27" t="s">
        <v>754</v>
      </c>
      <c r="B19" s="27" t="s">
        <v>755</v>
      </c>
      <c r="C19" s="27" t="s">
        <v>61</v>
      </c>
      <c r="D19" s="31">
        <v>1000</v>
      </c>
      <c r="E19" s="29">
        <v>4959.8850000000002</v>
      </c>
      <c r="F19" s="30">
        <v>2.2577219490867999</v>
      </c>
      <c r="G19" s="29">
        <v>3.6000999999999999</v>
      </c>
    </row>
    <row r="20" spans="1:9" x14ac:dyDescent="0.2">
      <c r="A20" s="27" t="s">
        <v>756</v>
      </c>
      <c r="B20" s="27" t="s">
        <v>757</v>
      </c>
      <c r="C20" s="27" t="s">
        <v>741</v>
      </c>
      <c r="D20" s="31">
        <v>800</v>
      </c>
      <c r="E20" s="29">
        <v>3975.8560000000002</v>
      </c>
      <c r="F20" s="30">
        <v>1.80979546050129</v>
      </c>
      <c r="G20" s="29">
        <v>3.5750000000000002</v>
      </c>
    </row>
    <row r="21" spans="1:9" x14ac:dyDescent="0.2">
      <c r="A21" s="27" t="s">
        <v>758</v>
      </c>
      <c r="B21" s="27" t="s">
        <v>759</v>
      </c>
      <c r="C21" s="27" t="s">
        <v>60</v>
      </c>
      <c r="D21" s="31">
        <v>700</v>
      </c>
      <c r="E21" s="29">
        <v>3497.2420000000002</v>
      </c>
      <c r="F21" s="30">
        <v>1.5919320759792199</v>
      </c>
      <c r="G21" s="29">
        <v>3.2002000000000002</v>
      </c>
    </row>
    <row r="22" spans="1:9" x14ac:dyDescent="0.2">
      <c r="A22" s="27" t="s">
        <v>760</v>
      </c>
      <c r="B22" s="27" t="s">
        <v>761</v>
      </c>
      <c r="C22" s="27" t="s">
        <v>60</v>
      </c>
      <c r="D22" s="31">
        <v>500</v>
      </c>
      <c r="E22" s="29">
        <v>2488.3024999999998</v>
      </c>
      <c r="F22" s="30">
        <v>1.13266641670473</v>
      </c>
      <c r="G22" s="29">
        <v>3.5750999999999999</v>
      </c>
    </row>
    <row r="23" spans="1:9" x14ac:dyDescent="0.2">
      <c r="A23" s="26" t="s">
        <v>40</v>
      </c>
      <c r="B23" s="26"/>
      <c r="C23" s="26"/>
      <c r="D23" s="32"/>
      <c r="E23" s="33">
        <f>SUM(E11:E22)</f>
        <v>64705.090499999998</v>
      </c>
      <c r="F23" s="34">
        <f>SUM(F11:F22)</f>
        <v>29.4535262489952</v>
      </c>
      <c r="G23" s="33"/>
      <c r="H23" s="18"/>
      <c r="I23" s="18"/>
    </row>
    <row r="24" spans="1:9" x14ac:dyDescent="0.2">
      <c r="A24" s="27"/>
      <c r="B24" s="27"/>
      <c r="C24" s="27"/>
      <c r="D24" s="28"/>
      <c r="E24" s="29"/>
      <c r="F24" s="30"/>
      <c r="G24" s="29"/>
    </row>
    <row r="25" spans="1:9" x14ac:dyDescent="0.2">
      <c r="A25" s="26" t="s">
        <v>65</v>
      </c>
      <c r="B25" s="27"/>
      <c r="C25" s="27"/>
      <c r="D25" s="28"/>
      <c r="E25" s="29"/>
      <c r="F25" s="30"/>
      <c r="G25" s="29"/>
    </row>
    <row r="26" spans="1:9" x14ac:dyDescent="0.2">
      <c r="A26" s="27" t="s">
        <v>762</v>
      </c>
      <c r="B26" s="27" t="s">
        <v>763</v>
      </c>
      <c r="C26" s="27" t="s">
        <v>81</v>
      </c>
      <c r="D26" s="31">
        <v>15000000</v>
      </c>
      <c r="E26" s="29">
        <v>14967.48</v>
      </c>
      <c r="F26" s="30">
        <v>6.8131434737937804</v>
      </c>
      <c r="G26" s="29">
        <v>3.0501999999999998</v>
      </c>
    </row>
    <row r="27" spans="1:9" x14ac:dyDescent="0.2">
      <c r="A27" s="27" t="s">
        <v>764</v>
      </c>
      <c r="B27" s="27" t="s">
        <v>765</v>
      </c>
      <c r="C27" s="27" t="s">
        <v>81</v>
      </c>
      <c r="D27" s="31">
        <v>10000000</v>
      </c>
      <c r="E27" s="29">
        <v>9940.52</v>
      </c>
      <c r="F27" s="30">
        <v>4.52488922411231</v>
      </c>
      <c r="G27" s="29">
        <v>3.1652</v>
      </c>
    </row>
    <row r="28" spans="1:9" x14ac:dyDescent="0.2">
      <c r="A28" s="27" t="s">
        <v>766</v>
      </c>
      <c r="B28" s="27" t="s">
        <v>767</v>
      </c>
      <c r="C28" s="27" t="s">
        <v>81</v>
      </c>
      <c r="D28" s="31">
        <v>10000000</v>
      </c>
      <c r="E28" s="29">
        <v>9929.11</v>
      </c>
      <c r="F28" s="30">
        <v>4.5196954328370902</v>
      </c>
      <c r="G28" s="29">
        <v>3.1781999999999999</v>
      </c>
    </row>
    <row r="29" spans="1:9" x14ac:dyDescent="0.2">
      <c r="A29" s="27" t="s">
        <v>768</v>
      </c>
      <c r="B29" s="27" t="s">
        <v>769</v>
      </c>
      <c r="C29" s="27" t="s">
        <v>81</v>
      </c>
      <c r="D29" s="31">
        <v>6500000</v>
      </c>
      <c r="E29" s="29">
        <v>6450.0410000000002</v>
      </c>
      <c r="F29" s="30">
        <v>2.9360356415944602</v>
      </c>
      <c r="G29" s="29">
        <v>3.1764999999999999</v>
      </c>
    </row>
    <row r="30" spans="1:9" x14ac:dyDescent="0.2">
      <c r="A30" s="27" t="s">
        <v>770</v>
      </c>
      <c r="B30" s="27" t="s">
        <v>771</v>
      </c>
      <c r="C30" s="27" t="s">
        <v>81</v>
      </c>
      <c r="D30" s="31">
        <v>5000000</v>
      </c>
      <c r="E30" s="29">
        <v>4980.12</v>
      </c>
      <c r="F30" s="30">
        <v>2.26693284886366</v>
      </c>
      <c r="G30" s="29">
        <v>3.1000999999999999</v>
      </c>
    </row>
    <row r="31" spans="1:9" x14ac:dyDescent="0.2">
      <c r="A31" s="27" t="s">
        <v>772</v>
      </c>
      <c r="B31" s="27" t="s">
        <v>773</v>
      </c>
      <c r="C31" s="27" t="s">
        <v>81</v>
      </c>
      <c r="D31" s="31">
        <v>5000000</v>
      </c>
      <c r="E31" s="29">
        <v>4964.5550000000003</v>
      </c>
      <c r="F31" s="30">
        <v>2.25984771641855</v>
      </c>
      <c r="G31" s="29">
        <v>3.1781999999999999</v>
      </c>
    </row>
    <row r="32" spans="1:9" x14ac:dyDescent="0.2">
      <c r="A32" s="26" t="s">
        <v>40</v>
      </c>
      <c r="B32" s="26"/>
      <c r="C32" s="26"/>
      <c r="D32" s="32"/>
      <c r="E32" s="33">
        <f>SUM(E25:E31)</f>
        <v>51231.826000000001</v>
      </c>
      <c r="F32" s="34">
        <f>SUM(F25:F31)</f>
        <v>23.32054433761985</v>
      </c>
      <c r="G32" s="33"/>
      <c r="H32" s="18"/>
      <c r="I32" s="18"/>
    </row>
    <row r="33" spans="1:9" x14ac:dyDescent="0.2">
      <c r="A33" s="27"/>
      <c r="B33" s="27"/>
      <c r="C33" s="27"/>
      <c r="D33" s="28"/>
      <c r="E33" s="29"/>
      <c r="F33" s="30"/>
      <c r="G33" s="29"/>
    </row>
    <row r="34" spans="1:9" x14ac:dyDescent="0.2">
      <c r="A34" s="26" t="s">
        <v>78</v>
      </c>
      <c r="B34" s="27"/>
      <c r="C34" s="27"/>
      <c r="D34" s="28"/>
      <c r="E34" s="29"/>
      <c r="F34" s="30"/>
      <c r="G34" s="29"/>
    </row>
    <row r="35" spans="1:9" x14ac:dyDescent="0.2">
      <c r="A35" s="27" t="s">
        <v>774</v>
      </c>
      <c r="B35" s="27" t="s">
        <v>775</v>
      </c>
      <c r="C35" s="27" t="s">
        <v>81</v>
      </c>
      <c r="D35" s="31">
        <v>10000000</v>
      </c>
      <c r="E35" s="29">
        <v>10057.379999999999</v>
      </c>
      <c r="F35" s="30">
        <v>4.5780834790134399</v>
      </c>
      <c r="G35" s="29">
        <v>3.1120999999999999</v>
      </c>
    </row>
    <row r="36" spans="1:9" x14ac:dyDescent="0.2">
      <c r="A36" s="27" t="s">
        <v>776</v>
      </c>
      <c r="B36" s="27" t="s">
        <v>777</v>
      </c>
      <c r="C36" s="27" t="s">
        <v>81</v>
      </c>
      <c r="D36" s="31">
        <v>3266000</v>
      </c>
      <c r="E36" s="29">
        <v>3269.3672459999998</v>
      </c>
      <c r="F36" s="30">
        <v>1.48820430129321</v>
      </c>
      <c r="G36" s="29">
        <v>3.3235999999999999</v>
      </c>
    </row>
    <row r="37" spans="1:9" x14ac:dyDescent="0.2">
      <c r="A37" s="26" t="s">
        <v>40</v>
      </c>
      <c r="B37" s="26"/>
      <c r="C37" s="26"/>
      <c r="D37" s="32"/>
      <c r="E37" s="33">
        <f>SUM(E35:E36)</f>
        <v>13326.747245999999</v>
      </c>
      <c r="F37" s="34">
        <f>SUM(F35:F36)</f>
        <v>6.0662877803066504</v>
      </c>
      <c r="G37" s="33"/>
      <c r="H37" s="18"/>
      <c r="I37" s="18"/>
    </row>
    <row r="38" spans="1:9" x14ac:dyDescent="0.2">
      <c r="A38" s="27"/>
      <c r="B38" s="27"/>
      <c r="C38" s="27"/>
      <c r="D38" s="28"/>
      <c r="E38" s="29"/>
      <c r="F38" s="30"/>
      <c r="G38" s="29"/>
    </row>
    <row r="39" spans="1:9" x14ac:dyDescent="0.2">
      <c r="A39" s="26" t="s">
        <v>44</v>
      </c>
      <c r="B39" s="26"/>
      <c r="C39" s="26"/>
      <c r="D39" s="32"/>
      <c r="E39" s="33">
        <f>E8+E23+E32+E37</f>
        <v>130767.809746</v>
      </c>
      <c r="F39" s="34">
        <f>F8+F23+F32+F37</f>
        <v>59.525040257496002</v>
      </c>
      <c r="G39" s="33"/>
      <c r="H39" s="18"/>
      <c r="I39" s="18"/>
    </row>
    <row r="40" spans="1:9" x14ac:dyDescent="0.2">
      <c r="A40" s="26"/>
      <c r="B40" s="26"/>
      <c r="C40" s="26"/>
      <c r="D40" s="32"/>
      <c r="E40" s="33"/>
      <c r="F40" s="34"/>
      <c r="G40" s="33"/>
      <c r="H40" s="18"/>
      <c r="I40" s="18"/>
    </row>
    <row r="41" spans="1:9" x14ac:dyDescent="0.2">
      <c r="A41" s="26" t="s">
        <v>46</v>
      </c>
      <c r="B41" s="26"/>
      <c r="C41" s="26"/>
      <c r="D41" s="32"/>
      <c r="E41" s="33">
        <f>E43-(E8+E23+E32+E37)</f>
        <v>88917.56834079999</v>
      </c>
      <c r="F41" s="34">
        <f>F43-(F8+F23+F32+F37)</f>
        <v>40.474959742503998</v>
      </c>
      <c r="G41" s="33"/>
      <c r="H41" s="18"/>
      <c r="I41" s="18"/>
    </row>
    <row r="42" spans="1:9" x14ac:dyDescent="0.2">
      <c r="A42" s="26"/>
      <c r="B42" s="26"/>
      <c r="C42" s="26"/>
      <c r="D42" s="32"/>
      <c r="E42" s="33"/>
      <c r="F42" s="34"/>
      <c r="G42" s="33"/>
      <c r="H42" s="18"/>
      <c r="I42" s="18"/>
    </row>
    <row r="43" spans="1:9" x14ac:dyDescent="0.2">
      <c r="A43" s="35" t="s">
        <v>45</v>
      </c>
      <c r="B43" s="35"/>
      <c r="C43" s="35"/>
      <c r="D43" s="36"/>
      <c r="E43" s="37">
        <v>219685.37808679999</v>
      </c>
      <c r="F43" s="38">
        <v>100</v>
      </c>
      <c r="G43" s="37"/>
      <c r="H43" s="18"/>
      <c r="I43" s="18"/>
    </row>
    <row r="45" spans="1:9" x14ac:dyDescent="0.2">
      <c r="A45" s="18" t="s">
        <v>66</v>
      </c>
    </row>
    <row r="46" spans="1:9" x14ac:dyDescent="0.2">
      <c r="A46" s="18" t="s">
        <v>47</v>
      </c>
    </row>
    <row r="48" spans="1:9" x14ac:dyDescent="0.2">
      <c r="A48" s="18" t="s">
        <v>48</v>
      </c>
    </row>
    <row r="49" spans="1:4" x14ac:dyDescent="0.2">
      <c r="A49" s="18" t="s">
        <v>49</v>
      </c>
    </row>
    <row r="50" spans="1:4" x14ac:dyDescent="0.2">
      <c r="A50" s="18" t="s">
        <v>50</v>
      </c>
      <c r="B50" s="18"/>
      <c r="C50" s="39" t="s">
        <v>52</v>
      </c>
      <c r="D50" s="19" t="s">
        <v>51</v>
      </c>
    </row>
    <row r="51" spans="1:4" x14ac:dyDescent="0.2">
      <c r="A51" s="9" t="s">
        <v>778</v>
      </c>
      <c r="C51" s="40">
        <v>4692.2461000000003</v>
      </c>
      <c r="D51" s="40">
        <v>4747.4727000000003</v>
      </c>
    </row>
    <row r="52" spans="1:4" x14ac:dyDescent="0.2">
      <c r="A52" s="9" t="s">
        <v>779</v>
      </c>
      <c r="C52" s="40">
        <v>1510.5263</v>
      </c>
      <c r="D52" s="40">
        <v>1510.4899</v>
      </c>
    </row>
    <row r="53" spans="1:4" x14ac:dyDescent="0.2">
      <c r="A53" s="9" t="s">
        <v>780</v>
      </c>
      <c r="C53" s="40">
        <v>1244.394</v>
      </c>
      <c r="D53" s="40">
        <v>1244.6681000000001</v>
      </c>
    </row>
    <row r="54" spans="1:4" x14ac:dyDescent="0.2">
      <c r="A54" s="9" t="s">
        <v>781</v>
      </c>
      <c r="C54" s="40">
        <v>1000</v>
      </c>
      <c r="D54" s="40">
        <v>1000</v>
      </c>
    </row>
    <row r="55" spans="1:4" x14ac:dyDescent="0.2">
      <c r="A55" s="9" t="s">
        <v>782</v>
      </c>
      <c r="C55" s="40">
        <v>1054.8077000000001</v>
      </c>
      <c r="D55" s="40">
        <v>1055.0717999999999</v>
      </c>
    </row>
    <row r="56" spans="1:4" x14ac:dyDescent="0.2">
      <c r="A56" s="9" t="s">
        <v>783</v>
      </c>
      <c r="C56" s="40">
        <v>3021.2723000000001</v>
      </c>
      <c r="D56" s="40">
        <v>3066.9159</v>
      </c>
    </row>
    <row r="57" spans="1:4" x14ac:dyDescent="0.2">
      <c r="A57" s="9" t="s">
        <v>784</v>
      </c>
      <c r="C57" s="40">
        <v>1000</v>
      </c>
      <c r="D57" s="40">
        <v>1000</v>
      </c>
    </row>
    <row r="58" spans="1:4" x14ac:dyDescent="0.2">
      <c r="A58" s="9" t="s">
        <v>785</v>
      </c>
      <c r="C58" s="40">
        <v>1022.0229</v>
      </c>
      <c r="D58" s="40">
        <v>1022.3233</v>
      </c>
    </row>
    <row r="59" spans="1:4" x14ac:dyDescent="0.2">
      <c r="A59" s="9" t="s">
        <v>786</v>
      </c>
      <c r="C59" s="40">
        <v>3035.4766</v>
      </c>
      <c r="D59" s="40">
        <v>3082.5506</v>
      </c>
    </row>
    <row r="60" spans="1:4" x14ac:dyDescent="0.2">
      <c r="A60" s="9" t="s">
        <v>787</v>
      </c>
      <c r="C60" s="40">
        <v>1002.2243</v>
      </c>
      <c r="D60" s="40">
        <v>1002.2204</v>
      </c>
    </row>
    <row r="61" spans="1:4" x14ac:dyDescent="0.2">
      <c r="A61" s="9" t="s">
        <v>788</v>
      </c>
      <c r="C61" s="40">
        <v>1021.4896</v>
      </c>
      <c r="D61" s="40">
        <v>1021.7979</v>
      </c>
    </row>
    <row r="62" spans="1:4" x14ac:dyDescent="0.2">
      <c r="A62" s="9" t="s">
        <v>789</v>
      </c>
      <c r="C62" s="40">
        <v>12.814399999999999</v>
      </c>
      <c r="D62" s="40">
        <v>13.0123</v>
      </c>
    </row>
    <row r="63" spans="1:4" x14ac:dyDescent="0.2">
      <c r="A63" s="9" t="s">
        <v>790</v>
      </c>
      <c r="C63" s="40">
        <v>12.814399999999999</v>
      </c>
      <c r="D63" s="40">
        <v>13.0123</v>
      </c>
    </row>
    <row r="64" spans="1:4" x14ac:dyDescent="0.2">
      <c r="A64" s="9" t="s">
        <v>791</v>
      </c>
      <c r="C64" s="40">
        <v>10</v>
      </c>
      <c r="D64" s="40">
        <v>10</v>
      </c>
    </row>
    <row r="65" spans="1:5" x14ac:dyDescent="0.2">
      <c r="A65" s="9" t="s">
        <v>792</v>
      </c>
      <c r="C65" s="40">
        <v>10</v>
      </c>
      <c r="D65" s="40">
        <v>10</v>
      </c>
    </row>
    <row r="67" spans="1:5" x14ac:dyDescent="0.2">
      <c r="A67" s="18" t="s">
        <v>53</v>
      </c>
    </row>
    <row r="68" spans="1:5" x14ac:dyDescent="0.2">
      <c r="A68" s="74" t="s">
        <v>67</v>
      </c>
      <c r="B68" s="75"/>
      <c r="C68" s="44" t="s">
        <v>68</v>
      </c>
    </row>
    <row r="69" spans="1:5" x14ac:dyDescent="0.2">
      <c r="A69" s="68" t="s">
        <v>779</v>
      </c>
      <c r="B69" s="69"/>
      <c r="C69" s="45">
        <v>17.711817270000001</v>
      </c>
    </row>
    <row r="70" spans="1:5" x14ac:dyDescent="0.2">
      <c r="A70" s="68" t="s">
        <v>780</v>
      </c>
      <c r="B70" s="69"/>
      <c r="C70" s="45">
        <v>14.288858632</v>
      </c>
    </row>
    <row r="71" spans="1:5" x14ac:dyDescent="0.2">
      <c r="A71" s="68" t="s">
        <v>781</v>
      </c>
      <c r="B71" s="69"/>
      <c r="C71" s="45">
        <v>12.926721454000001</v>
      </c>
    </row>
    <row r="72" spans="1:5" x14ac:dyDescent="0.2">
      <c r="A72" s="68" t="s">
        <v>782</v>
      </c>
      <c r="B72" s="69"/>
      <c r="C72" s="45">
        <v>13.397644192</v>
      </c>
    </row>
    <row r="73" spans="1:5" x14ac:dyDescent="0.2">
      <c r="A73" s="68" t="s">
        <v>784</v>
      </c>
      <c r="B73" s="69"/>
      <c r="C73" s="45">
        <v>14.990180424</v>
      </c>
    </row>
    <row r="74" spans="1:5" x14ac:dyDescent="0.2">
      <c r="A74" s="68" t="s">
        <v>785</v>
      </c>
      <c r="B74" s="69"/>
      <c r="C74" s="45">
        <v>15.026533988000001</v>
      </c>
    </row>
    <row r="75" spans="1:5" x14ac:dyDescent="0.2">
      <c r="A75" s="68" t="s">
        <v>787</v>
      </c>
      <c r="B75" s="69"/>
      <c r="C75" s="45">
        <v>15.367228036</v>
      </c>
    </row>
    <row r="76" spans="1:5" x14ac:dyDescent="0.2">
      <c r="A76" s="68" t="s">
        <v>788</v>
      </c>
      <c r="B76" s="69"/>
      <c r="C76" s="45">
        <v>15.365432351000001</v>
      </c>
    </row>
    <row r="77" spans="1:5" x14ac:dyDescent="0.2">
      <c r="A77" s="9" t="s">
        <v>69</v>
      </c>
    </row>
    <row r="79" spans="1:5" x14ac:dyDescent="0.2">
      <c r="A79" s="18" t="s">
        <v>793</v>
      </c>
      <c r="D79" s="42">
        <v>8.4566744027397306E-2</v>
      </c>
      <c r="E79" s="13" t="s">
        <v>55</v>
      </c>
    </row>
    <row r="81" spans="1:7" x14ac:dyDescent="0.2">
      <c r="A81" s="18" t="s">
        <v>1477</v>
      </c>
      <c r="D81" s="41" t="s">
        <v>54</v>
      </c>
    </row>
    <row r="83" spans="1:7" ht="14.4" x14ac:dyDescent="0.2">
      <c r="A83" s="70" t="s">
        <v>794</v>
      </c>
      <c r="B83" s="71"/>
      <c r="C83" s="71"/>
      <c r="D83" s="71"/>
      <c r="E83" s="71"/>
      <c r="F83" s="71"/>
      <c r="G83" s="71"/>
    </row>
    <row r="84" spans="1:7" x14ac:dyDescent="0.2">
      <c r="A84" s="50" t="s">
        <v>56</v>
      </c>
    </row>
    <row r="86" spans="1:7" x14ac:dyDescent="0.2">
      <c r="A86" s="50"/>
    </row>
  </sheetData>
  <mergeCells count="11">
    <mergeCell ref="A72:B72"/>
    <mergeCell ref="A1:G1"/>
    <mergeCell ref="A68:B68"/>
    <mergeCell ref="A69:B69"/>
    <mergeCell ref="A70:B70"/>
    <mergeCell ref="A71:B71"/>
    <mergeCell ref="A73:B73"/>
    <mergeCell ref="A74:B74"/>
    <mergeCell ref="A75:B75"/>
    <mergeCell ref="A76:B76"/>
    <mergeCell ref="A83:G83"/>
  </mergeCells>
  <conditionalFormatting sqref="F2:F3 F5:F82 F87:F65535">
    <cfRule type="cellIs" dxfId="183" priority="3" stopIfTrue="1" operator="between">
      <formula>0.009</formula>
      <formula>-0.009</formula>
    </cfRule>
  </conditionalFormatting>
  <conditionalFormatting sqref="F85:F86">
    <cfRule type="cellIs" dxfId="182" priority="2" stopIfTrue="1" operator="between">
      <formula>0.009</formula>
      <formula>-0.009</formula>
    </cfRule>
  </conditionalFormatting>
  <conditionalFormatting sqref="F84">
    <cfRule type="cellIs" dxfId="181" priority="1" stopIfTrue="1" operator="between">
      <formula>0.009</formula>
      <formula>-0.009</formula>
    </cfRule>
  </conditionalFormatting>
  <hyperlinks>
    <hyperlink ref="A84" r:id="rId1" xr:uid="{00000000-0004-0000-00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selection sqref="A1:G1"/>
    </sheetView>
  </sheetViews>
  <sheetFormatPr defaultColWidth="9.21875" defaultRowHeight="10.199999999999999" x14ac:dyDescent="0.2"/>
  <cols>
    <col min="1" max="1" width="35.77734375" style="9" bestFit="1" customWidth="1"/>
    <col min="2" max="2" width="20"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2" t="s">
        <v>795</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735</v>
      </c>
      <c r="D4" s="16" t="s">
        <v>1</v>
      </c>
      <c r="E4" s="15" t="s">
        <v>3</v>
      </c>
      <c r="F4" s="15" t="s">
        <v>4</v>
      </c>
      <c r="G4" s="15" t="s">
        <v>6</v>
      </c>
    </row>
    <row r="5" spans="1:9" x14ac:dyDescent="0.2">
      <c r="A5" s="26" t="s">
        <v>46</v>
      </c>
      <c r="B5" s="26"/>
      <c r="C5" s="26"/>
      <c r="D5" s="32"/>
      <c r="E5" s="33">
        <v>28546.218264300001</v>
      </c>
      <c r="F5" s="34">
        <v>100</v>
      </c>
      <c r="G5" s="33"/>
      <c r="H5" s="18"/>
      <c r="I5" s="18"/>
    </row>
    <row r="6" spans="1:9" x14ac:dyDescent="0.2">
      <c r="A6" s="26"/>
      <c r="B6" s="26"/>
      <c r="C6" s="26"/>
      <c r="D6" s="32"/>
      <c r="E6" s="33"/>
      <c r="F6" s="34"/>
      <c r="G6" s="33"/>
      <c r="H6" s="18"/>
      <c r="I6" s="18"/>
    </row>
    <row r="7" spans="1:9" x14ac:dyDescent="0.2">
      <c r="A7" s="35" t="s">
        <v>45</v>
      </c>
      <c r="B7" s="35"/>
      <c r="C7" s="35"/>
      <c r="D7" s="36"/>
      <c r="E7" s="37">
        <v>28546.218264300001</v>
      </c>
      <c r="F7" s="38">
        <v>100</v>
      </c>
      <c r="G7" s="37"/>
      <c r="H7" s="18"/>
      <c r="I7" s="18"/>
    </row>
    <row r="9" spans="1:9" x14ac:dyDescent="0.2">
      <c r="A9" s="18" t="s">
        <v>48</v>
      </c>
    </row>
    <row r="10" spans="1:9" x14ac:dyDescent="0.2">
      <c r="A10" s="18" t="s">
        <v>49</v>
      </c>
    </row>
    <row r="11" spans="1:9" x14ac:dyDescent="0.2">
      <c r="A11" s="18" t="s">
        <v>50</v>
      </c>
      <c r="B11" s="18"/>
      <c r="C11" s="39" t="s">
        <v>52</v>
      </c>
      <c r="D11" s="19" t="s">
        <v>51</v>
      </c>
    </row>
    <row r="12" spans="1:9" x14ac:dyDescent="0.2">
      <c r="A12" s="9" t="s">
        <v>70</v>
      </c>
      <c r="C12" s="40">
        <v>1056.3827000000001</v>
      </c>
      <c r="D12" s="40">
        <v>1071.385</v>
      </c>
    </row>
    <row r="13" spans="1:9" x14ac:dyDescent="0.2">
      <c r="A13" s="9" t="s">
        <v>796</v>
      </c>
      <c r="C13" s="40">
        <v>1000</v>
      </c>
      <c r="D13" s="40">
        <v>1000</v>
      </c>
    </row>
    <row r="14" spans="1:9" x14ac:dyDescent="0.2">
      <c r="A14" s="9" t="s">
        <v>797</v>
      </c>
      <c r="C14" s="40">
        <v>1000.0782</v>
      </c>
      <c r="D14" s="40">
        <v>1000.3806</v>
      </c>
    </row>
    <row r="15" spans="1:9" x14ac:dyDescent="0.2">
      <c r="A15" s="9" t="s">
        <v>73</v>
      </c>
      <c r="C15" s="40">
        <v>1057.2349999999999</v>
      </c>
      <c r="D15" s="40">
        <v>1072.5155999999999</v>
      </c>
    </row>
    <row r="16" spans="1:9" x14ac:dyDescent="0.2">
      <c r="A16" s="9" t="s">
        <v>798</v>
      </c>
      <c r="C16" s="40">
        <v>1000</v>
      </c>
      <c r="D16" s="40">
        <v>1000</v>
      </c>
    </row>
    <row r="17" spans="1:7" x14ac:dyDescent="0.2">
      <c r="A17" s="9" t="s">
        <v>799</v>
      </c>
      <c r="C17" s="40">
        <v>1000.0795000000001</v>
      </c>
      <c r="D17" s="40">
        <v>1000.3864</v>
      </c>
    </row>
    <row r="19" spans="1:7" x14ac:dyDescent="0.2">
      <c r="A19" s="18" t="s">
        <v>53</v>
      </c>
    </row>
    <row r="20" spans="1:7" x14ac:dyDescent="0.2">
      <c r="A20" s="74" t="s">
        <v>67</v>
      </c>
      <c r="B20" s="75"/>
      <c r="C20" s="44" t="s">
        <v>68</v>
      </c>
    </row>
    <row r="21" spans="1:7" x14ac:dyDescent="0.2">
      <c r="A21" s="68" t="s">
        <v>796</v>
      </c>
      <c r="B21" s="69"/>
      <c r="C21" s="45">
        <v>14.102517274</v>
      </c>
    </row>
    <row r="22" spans="1:7" x14ac:dyDescent="0.2">
      <c r="A22" s="68" t="s">
        <v>797</v>
      </c>
      <c r="B22" s="69"/>
      <c r="C22" s="45">
        <v>13.836803951</v>
      </c>
    </row>
    <row r="23" spans="1:7" x14ac:dyDescent="0.2">
      <c r="A23" s="68" t="s">
        <v>798</v>
      </c>
      <c r="B23" s="69"/>
      <c r="C23" s="45">
        <v>14.35191876</v>
      </c>
    </row>
    <row r="24" spans="1:7" x14ac:dyDescent="0.2">
      <c r="A24" s="68" t="s">
        <v>799</v>
      </c>
      <c r="B24" s="69"/>
      <c r="C24" s="45">
        <v>14.066030433</v>
      </c>
    </row>
    <row r="25" spans="1:7" x14ac:dyDescent="0.2">
      <c r="A25" s="9" t="s">
        <v>69</v>
      </c>
    </row>
    <row r="27" spans="1:7" x14ac:dyDescent="0.2">
      <c r="A27" s="18" t="s">
        <v>793</v>
      </c>
      <c r="D27" s="42">
        <v>8.21917808219178E-3</v>
      </c>
      <c r="E27" s="13" t="s">
        <v>55</v>
      </c>
    </row>
    <row r="29" spans="1:7" ht="27" customHeight="1" x14ac:dyDescent="0.2">
      <c r="A29" s="76" t="s">
        <v>1477</v>
      </c>
      <c r="B29" s="76"/>
      <c r="C29" s="76"/>
      <c r="D29" s="41" t="s">
        <v>54</v>
      </c>
    </row>
    <row r="31" spans="1:7" ht="14.4" x14ac:dyDescent="0.2">
      <c r="A31" s="70" t="s">
        <v>794</v>
      </c>
      <c r="B31" s="71"/>
      <c r="C31" s="71"/>
      <c r="D31" s="71"/>
      <c r="E31" s="71"/>
      <c r="F31" s="71"/>
      <c r="G31" s="71"/>
    </row>
    <row r="32" spans="1:7" x14ac:dyDescent="0.2">
      <c r="A32" s="50" t="s">
        <v>56</v>
      </c>
    </row>
    <row r="34" spans="1:1" x14ac:dyDescent="0.2">
      <c r="A34" s="50"/>
    </row>
  </sheetData>
  <mergeCells count="8">
    <mergeCell ref="A29:C29"/>
    <mergeCell ref="A31:G31"/>
    <mergeCell ref="A1:G1"/>
    <mergeCell ref="A20:B20"/>
    <mergeCell ref="A21:B21"/>
    <mergeCell ref="A22:B22"/>
    <mergeCell ref="A23:B23"/>
    <mergeCell ref="A24:B24"/>
  </mergeCells>
  <conditionalFormatting sqref="F2:F3 F5:F30 F35:F65532">
    <cfRule type="cellIs" dxfId="180" priority="3" stopIfTrue="1" operator="between">
      <formula>0.009</formula>
      <formula>-0.009</formula>
    </cfRule>
  </conditionalFormatting>
  <conditionalFormatting sqref="F32">
    <cfRule type="cellIs" dxfId="179" priority="1" stopIfTrue="1" operator="between">
      <formula>0.009</formula>
      <formula>-0.009</formula>
    </cfRule>
  </conditionalFormatting>
  <conditionalFormatting sqref="F33:F34">
    <cfRule type="cellIs" dxfId="178" priority="2" stopIfTrue="1" operator="between">
      <formula>0.009</formula>
      <formula>-0.009</formula>
    </cfRule>
  </conditionalFormatting>
  <hyperlinks>
    <hyperlink ref="A32" r:id="rId1" xr:uid="{00000000-0004-0000-01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
  <sheetViews>
    <sheetView workbookViewId="0">
      <selection sqref="A1:G1"/>
    </sheetView>
  </sheetViews>
  <sheetFormatPr defaultColWidth="9.21875" defaultRowHeight="10.199999999999999" x14ac:dyDescent="0.2"/>
  <cols>
    <col min="1" max="1" width="35.77734375" style="9" bestFit="1" customWidth="1"/>
    <col min="2" max="2" width="49"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2" t="s">
        <v>800</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735</v>
      </c>
      <c r="D4" s="16" t="s">
        <v>1</v>
      </c>
      <c r="E4" s="15" t="s">
        <v>3</v>
      </c>
      <c r="F4" s="15" t="s">
        <v>4</v>
      </c>
      <c r="G4" s="15" t="s">
        <v>6</v>
      </c>
    </row>
    <row r="5" spans="1:9" x14ac:dyDescent="0.2">
      <c r="A5" s="21" t="s">
        <v>58</v>
      </c>
      <c r="B5" s="22"/>
      <c r="C5" s="22"/>
      <c r="D5" s="23"/>
      <c r="E5" s="24"/>
      <c r="F5" s="25"/>
      <c r="G5" s="24"/>
    </row>
    <row r="6" spans="1:9" x14ac:dyDescent="0.2">
      <c r="A6" s="26" t="s">
        <v>59</v>
      </c>
      <c r="B6" s="27"/>
      <c r="C6" s="27"/>
      <c r="D6" s="28"/>
      <c r="E6" s="29"/>
      <c r="F6" s="30"/>
      <c r="G6" s="29"/>
    </row>
    <row r="7" spans="1:9" x14ac:dyDescent="0.2">
      <c r="A7" s="27" t="s">
        <v>801</v>
      </c>
      <c r="B7" s="27" t="s">
        <v>802</v>
      </c>
      <c r="C7" s="27" t="s">
        <v>60</v>
      </c>
      <c r="D7" s="31">
        <v>5000</v>
      </c>
      <c r="E7" s="29">
        <v>5001.9449999999997</v>
      </c>
      <c r="F7" s="30">
        <v>4.3434902710609098</v>
      </c>
      <c r="G7" s="29">
        <v>4</v>
      </c>
    </row>
    <row r="8" spans="1:9" x14ac:dyDescent="0.2">
      <c r="A8" s="27" t="s">
        <v>803</v>
      </c>
      <c r="B8" s="27" t="s">
        <v>804</v>
      </c>
      <c r="C8" s="27" t="s">
        <v>60</v>
      </c>
      <c r="D8" s="31">
        <v>5000</v>
      </c>
      <c r="E8" s="29">
        <v>4995.79</v>
      </c>
      <c r="F8" s="30">
        <v>4.3381455136478602</v>
      </c>
      <c r="G8" s="29">
        <v>3.0758999999999999</v>
      </c>
    </row>
    <row r="9" spans="1:9" x14ac:dyDescent="0.2">
      <c r="A9" s="27" t="s">
        <v>805</v>
      </c>
      <c r="B9" s="27" t="s">
        <v>806</v>
      </c>
      <c r="C9" s="27" t="s">
        <v>60</v>
      </c>
      <c r="D9" s="31">
        <v>5000</v>
      </c>
      <c r="E9" s="29">
        <v>4806.4049999999997</v>
      </c>
      <c r="F9" s="30">
        <v>4.1736911054156902</v>
      </c>
      <c r="G9" s="29">
        <v>4.05</v>
      </c>
    </row>
    <row r="10" spans="1:9" x14ac:dyDescent="0.2">
      <c r="A10" s="27" t="s">
        <v>807</v>
      </c>
      <c r="B10" s="27" t="s">
        <v>808</v>
      </c>
      <c r="C10" s="27" t="s">
        <v>60</v>
      </c>
      <c r="D10" s="31">
        <v>2500</v>
      </c>
      <c r="E10" s="29">
        <v>2403.1824999999999</v>
      </c>
      <c r="F10" s="30">
        <v>2.0868281855026098</v>
      </c>
      <c r="G10" s="29">
        <v>4.25</v>
      </c>
    </row>
    <row r="11" spans="1:9" x14ac:dyDescent="0.2">
      <c r="A11" s="27" t="s">
        <v>809</v>
      </c>
      <c r="B11" s="27" t="s">
        <v>810</v>
      </c>
      <c r="C11" s="27" t="s">
        <v>61</v>
      </c>
      <c r="D11" s="31">
        <v>2500</v>
      </c>
      <c r="E11" s="29">
        <v>2398.8850000000002</v>
      </c>
      <c r="F11" s="30">
        <v>2.08309640727636</v>
      </c>
      <c r="G11" s="29">
        <v>4.25</v>
      </c>
    </row>
    <row r="12" spans="1:9" x14ac:dyDescent="0.2">
      <c r="A12" s="27" t="s">
        <v>811</v>
      </c>
      <c r="B12" s="27" t="s">
        <v>812</v>
      </c>
      <c r="C12" s="27" t="s">
        <v>60</v>
      </c>
      <c r="D12" s="31">
        <v>22</v>
      </c>
      <c r="E12" s="29">
        <v>21.988802</v>
      </c>
      <c r="F12" s="30">
        <v>1.9094201867330501E-2</v>
      </c>
      <c r="G12" s="29">
        <v>3.0979999999999999</v>
      </c>
    </row>
    <row r="13" spans="1:9" x14ac:dyDescent="0.2">
      <c r="A13" s="26" t="s">
        <v>40</v>
      </c>
      <c r="B13" s="26"/>
      <c r="C13" s="26"/>
      <c r="D13" s="32"/>
      <c r="E13" s="33">
        <f>SUM(E6:E12)</f>
        <v>19628.196301999997</v>
      </c>
      <c r="F13" s="34">
        <f>SUM(F6:F12)</f>
        <v>17.044345684770761</v>
      </c>
      <c r="G13" s="33"/>
      <c r="H13" s="18"/>
      <c r="I13" s="18"/>
    </row>
    <row r="14" spans="1:9" x14ac:dyDescent="0.2">
      <c r="A14" s="27"/>
      <c r="B14" s="27"/>
      <c r="C14" s="27"/>
      <c r="D14" s="28"/>
      <c r="E14" s="29"/>
      <c r="F14" s="30"/>
      <c r="G14" s="29"/>
    </row>
    <row r="15" spans="1:9" x14ac:dyDescent="0.2">
      <c r="A15" s="26" t="s">
        <v>62</v>
      </c>
      <c r="B15" s="27"/>
      <c r="C15" s="27"/>
      <c r="D15" s="28"/>
      <c r="E15" s="29"/>
      <c r="F15" s="30"/>
      <c r="G15" s="29"/>
    </row>
    <row r="16" spans="1:9" x14ac:dyDescent="0.2">
      <c r="A16" s="27" t="s">
        <v>813</v>
      </c>
      <c r="B16" s="27" t="s">
        <v>814</v>
      </c>
      <c r="C16" s="27" t="s">
        <v>815</v>
      </c>
      <c r="D16" s="31">
        <v>1000</v>
      </c>
      <c r="E16" s="29">
        <v>4997.43</v>
      </c>
      <c r="F16" s="30">
        <v>4.3395696244776598</v>
      </c>
      <c r="G16" s="29">
        <v>3.1284000000000001</v>
      </c>
    </row>
    <row r="17" spans="1:9" x14ac:dyDescent="0.2">
      <c r="A17" s="27" t="s">
        <v>816</v>
      </c>
      <c r="B17" s="27" t="s">
        <v>817</v>
      </c>
      <c r="C17" s="27" t="s">
        <v>60</v>
      </c>
      <c r="D17" s="31">
        <v>1000</v>
      </c>
      <c r="E17" s="29">
        <v>4993.1049999999996</v>
      </c>
      <c r="F17" s="30">
        <v>4.3358139663442099</v>
      </c>
      <c r="G17" s="29">
        <v>3.1501999999999999</v>
      </c>
    </row>
    <row r="18" spans="1:9" x14ac:dyDescent="0.2">
      <c r="A18" s="27" t="s">
        <v>64</v>
      </c>
      <c r="B18" s="27" t="s">
        <v>63</v>
      </c>
      <c r="C18" s="27" t="s">
        <v>60</v>
      </c>
      <c r="D18" s="31">
        <v>1000</v>
      </c>
      <c r="E18" s="29">
        <v>4992.7250000000004</v>
      </c>
      <c r="F18" s="30">
        <v>4.3354839894446204</v>
      </c>
      <c r="G18" s="29">
        <v>3.3241000000000001</v>
      </c>
    </row>
    <row r="19" spans="1:9" x14ac:dyDescent="0.2">
      <c r="A19" s="27" t="s">
        <v>818</v>
      </c>
      <c r="B19" s="27" t="s">
        <v>819</v>
      </c>
      <c r="C19" s="27" t="s">
        <v>60</v>
      </c>
      <c r="D19" s="31">
        <v>1000</v>
      </c>
      <c r="E19" s="29">
        <v>4988.6850000000004</v>
      </c>
      <c r="F19" s="30">
        <v>4.33197581398586</v>
      </c>
      <c r="G19" s="29">
        <v>3.4495</v>
      </c>
    </row>
    <row r="20" spans="1:9" x14ac:dyDescent="0.2">
      <c r="A20" s="27" t="s">
        <v>748</v>
      </c>
      <c r="B20" s="27" t="s">
        <v>749</v>
      </c>
      <c r="C20" s="27" t="s">
        <v>60</v>
      </c>
      <c r="D20" s="31">
        <v>1000</v>
      </c>
      <c r="E20" s="29">
        <v>4986.38</v>
      </c>
      <c r="F20" s="30">
        <v>4.3299742435817796</v>
      </c>
      <c r="G20" s="29">
        <v>3.1154999999999999</v>
      </c>
    </row>
    <row r="21" spans="1:9" x14ac:dyDescent="0.2">
      <c r="A21" s="27" t="s">
        <v>739</v>
      </c>
      <c r="B21" s="27" t="s">
        <v>740</v>
      </c>
      <c r="C21" s="27" t="s">
        <v>741</v>
      </c>
      <c r="D21" s="31">
        <v>1000</v>
      </c>
      <c r="E21" s="29">
        <v>4985.1400000000003</v>
      </c>
      <c r="F21" s="30">
        <v>4.3288974768568202</v>
      </c>
      <c r="G21" s="29">
        <v>3.4</v>
      </c>
    </row>
    <row r="22" spans="1:9" x14ac:dyDescent="0.2">
      <c r="A22" s="27" t="s">
        <v>752</v>
      </c>
      <c r="B22" s="27" t="s">
        <v>753</v>
      </c>
      <c r="C22" s="27" t="s">
        <v>60</v>
      </c>
      <c r="D22" s="31">
        <v>1000</v>
      </c>
      <c r="E22" s="29">
        <v>4965.32</v>
      </c>
      <c r="F22" s="30">
        <v>4.3116865764625798</v>
      </c>
      <c r="G22" s="29">
        <v>3.4449999999999998</v>
      </c>
    </row>
    <row r="23" spans="1:9" x14ac:dyDescent="0.2">
      <c r="A23" s="27" t="s">
        <v>820</v>
      </c>
      <c r="B23" s="27" t="s">
        <v>821</v>
      </c>
      <c r="C23" s="27" t="s">
        <v>60</v>
      </c>
      <c r="D23" s="31">
        <v>1000</v>
      </c>
      <c r="E23" s="29">
        <v>4924.09</v>
      </c>
      <c r="F23" s="30">
        <v>4.2758840828574298</v>
      </c>
      <c r="G23" s="29">
        <v>3.9350000000000001</v>
      </c>
    </row>
    <row r="24" spans="1:9" x14ac:dyDescent="0.2">
      <c r="A24" s="27" t="s">
        <v>822</v>
      </c>
      <c r="B24" s="27" t="s">
        <v>823</v>
      </c>
      <c r="C24" s="27" t="s">
        <v>60</v>
      </c>
      <c r="D24" s="31">
        <v>1000</v>
      </c>
      <c r="E24" s="29">
        <v>4905.2049999999999</v>
      </c>
      <c r="F24" s="30">
        <v>4.2594850993082298</v>
      </c>
      <c r="G24" s="29">
        <v>4.2750000000000004</v>
      </c>
    </row>
    <row r="25" spans="1:9" x14ac:dyDescent="0.2">
      <c r="A25" s="27" t="s">
        <v>824</v>
      </c>
      <c r="B25" s="27" t="s">
        <v>825</v>
      </c>
      <c r="C25" s="27" t="s">
        <v>61</v>
      </c>
      <c r="D25" s="31">
        <v>1000</v>
      </c>
      <c r="E25" s="29">
        <v>4786.1549999999997</v>
      </c>
      <c r="F25" s="30">
        <v>4.1561068101087697</v>
      </c>
      <c r="G25" s="29">
        <v>4.5049999999999999</v>
      </c>
    </row>
    <row r="26" spans="1:9" x14ac:dyDescent="0.2">
      <c r="A26" s="27" t="s">
        <v>826</v>
      </c>
      <c r="B26" s="27" t="s">
        <v>827</v>
      </c>
      <c r="C26" s="27" t="s">
        <v>60</v>
      </c>
      <c r="D26" s="31">
        <v>500</v>
      </c>
      <c r="E26" s="29">
        <v>2497.5149999999999</v>
      </c>
      <c r="F26" s="30">
        <v>2.1687427799243499</v>
      </c>
      <c r="G26" s="29">
        <v>3.3016000000000001</v>
      </c>
    </row>
    <row r="27" spans="1:9" x14ac:dyDescent="0.2">
      <c r="A27" s="27" t="s">
        <v>828</v>
      </c>
      <c r="B27" s="27" t="s">
        <v>829</v>
      </c>
      <c r="C27" s="27" t="s">
        <v>815</v>
      </c>
      <c r="D27" s="31">
        <v>500</v>
      </c>
      <c r="E27" s="29">
        <v>2460.65</v>
      </c>
      <c r="F27" s="30">
        <v>2.1367306788631302</v>
      </c>
      <c r="G27" s="29">
        <v>3.8149999999999999</v>
      </c>
    </row>
    <row r="28" spans="1:9" x14ac:dyDescent="0.2">
      <c r="A28" s="27" t="s">
        <v>756</v>
      </c>
      <c r="B28" s="27" t="s">
        <v>757</v>
      </c>
      <c r="C28" s="27" t="s">
        <v>741</v>
      </c>
      <c r="D28" s="31">
        <v>200</v>
      </c>
      <c r="E28" s="29">
        <v>993.96400000000006</v>
      </c>
      <c r="F28" s="30">
        <v>0.86311883952837998</v>
      </c>
      <c r="G28" s="29">
        <v>3.5750000000000002</v>
      </c>
    </row>
    <row r="29" spans="1:9" x14ac:dyDescent="0.2">
      <c r="A29" s="26" t="s">
        <v>40</v>
      </c>
      <c r="B29" s="26"/>
      <c r="C29" s="26"/>
      <c r="D29" s="32"/>
      <c r="E29" s="33">
        <f>SUM(E15:E28)</f>
        <v>55476.364000000001</v>
      </c>
      <c r="F29" s="34">
        <f>SUM(F15:F28)</f>
        <v>48.173469981743821</v>
      </c>
      <c r="G29" s="33"/>
      <c r="H29" s="18"/>
      <c r="I29" s="18"/>
    </row>
    <row r="30" spans="1:9" x14ac:dyDescent="0.2">
      <c r="A30" s="27"/>
      <c r="B30" s="27"/>
      <c r="C30" s="27"/>
      <c r="D30" s="28"/>
      <c r="E30" s="29"/>
      <c r="F30" s="30"/>
      <c r="G30" s="29"/>
    </row>
    <row r="31" spans="1:9" x14ac:dyDescent="0.2">
      <c r="A31" s="26" t="s">
        <v>65</v>
      </c>
      <c r="B31" s="27"/>
      <c r="C31" s="27"/>
      <c r="D31" s="28"/>
      <c r="E31" s="29"/>
      <c r="F31" s="30"/>
      <c r="G31" s="29"/>
    </row>
    <row r="32" spans="1:9" x14ac:dyDescent="0.2">
      <c r="A32" s="27" t="s">
        <v>830</v>
      </c>
      <c r="B32" s="27" t="s">
        <v>831</v>
      </c>
      <c r="C32" s="27" t="s">
        <v>81</v>
      </c>
      <c r="D32" s="31">
        <v>10000000</v>
      </c>
      <c r="E32" s="29">
        <v>9996.17</v>
      </c>
      <c r="F32" s="30">
        <v>8.6802768008986302</v>
      </c>
      <c r="G32" s="29">
        <v>2.7970000000000002</v>
      </c>
    </row>
    <row r="33" spans="1:9" x14ac:dyDescent="0.2">
      <c r="A33" s="27" t="s">
        <v>832</v>
      </c>
      <c r="B33" s="27" t="s">
        <v>833</v>
      </c>
      <c r="C33" s="27" t="s">
        <v>81</v>
      </c>
      <c r="D33" s="31">
        <v>5200000</v>
      </c>
      <c r="E33" s="29">
        <v>5188.7263999999996</v>
      </c>
      <c r="F33" s="30">
        <v>4.5056838165147504</v>
      </c>
      <c r="G33" s="29">
        <v>3.0501999999999998</v>
      </c>
    </row>
    <row r="34" spans="1:9" x14ac:dyDescent="0.2">
      <c r="A34" s="27" t="s">
        <v>834</v>
      </c>
      <c r="B34" s="27" t="s">
        <v>835</v>
      </c>
      <c r="C34" s="27" t="s">
        <v>81</v>
      </c>
      <c r="D34" s="31">
        <v>5000000</v>
      </c>
      <c r="E34" s="29">
        <v>4995.1549999999997</v>
      </c>
      <c r="F34" s="30">
        <v>4.3375941048814504</v>
      </c>
      <c r="G34" s="29">
        <v>2.9502000000000002</v>
      </c>
    </row>
    <row r="35" spans="1:9" x14ac:dyDescent="0.2">
      <c r="A35" s="27" t="s">
        <v>836</v>
      </c>
      <c r="B35" s="27" t="s">
        <v>837</v>
      </c>
      <c r="C35" s="27" t="s">
        <v>81</v>
      </c>
      <c r="D35" s="31">
        <v>2500000</v>
      </c>
      <c r="E35" s="29">
        <v>2495.9074999999998</v>
      </c>
      <c r="F35" s="30">
        <v>2.1673468908030702</v>
      </c>
      <c r="G35" s="29">
        <v>3.1499000000000001</v>
      </c>
    </row>
    <row r="36" spans="1:9" x14ac:dyDescent="0.2">
      <c r="A36" s="26" t="s">
        <v>40</v>
      </c>
      <c r="B36" s="26"/>
      <c r="C36" s="26"/>
      <c r="D36" s="32"/>
      <c r="E36" s="33">
        <f>SUM(E31:E35)</f>
        <v>22675.958900000001</v>
      </c>
      <c r="F36" s="34">
        <f>SUM(F31:F35)</f>
        <v>19.690901613097903</v>
      </c>
      <c r="G36" s="33"/>
      <c r="H36" s="18"/>
      <c r="I36" s="18"/>
    </row>
    <row r="37" spans="1:9" x14ac:dyDescent="0.2">
      <c r="A37" s="27"/>
      <c r="B37" s="27"/>
      <c r="C37" s="27"/>
      <c r="D37" s="28"/>
      <c r="E37" s="29"/>
      <c r="F37" s="30"/>
      <c r="G37" s="29"/>
    </row>
    <row r="38" spans="1:9" x14ac:dyDescent="0.2">
      <c r="A38" s="26" t="s">
        <v>44</v>
      </c>
      <c r="B38" s="26"/>
      <c r="C38" s="26"/>
      <c r="D38" s="32"/>
      <c r="E38" s="33">
        <f>E13+E29+E36</f>
        <v>97780.519201999996</v>
      </c>
      <c r="F38" s="34">
        <f>F13+F29+F36</f>
        <v>84.908717279612489</v>
      </c>
      <c r="G38" s="33"/>
      <c r="H38" s="18"/>
      <c r="I38" s="18"/>
    </row>
    <row r="39" spans="1:9" x14ac:dyDescent="0.2">
      <c r="A39" s="26"/>
      <c r="B39" s="26"/>
      <c r="C39" s="26"/>
      <c r="D39" s="32"/>
      <c r="E39" s="33"/>
      <c r="F39" s="34"/>
      <c r="G39" s="33"/>
      <c r="H39" s="18"/>
      <c r="I39" s="18"/>
    </row>
    <row r="40" spans="1:9" x14ac:dyDescent="0.2">
      <c r="A40" s="26" t="s">
        <v>46</v>
      </c>
      <c r="B40" s="26"/>
      <c r="C40" s="26"/>
      <c r="D40" s="32"/>
      <c r="E40" s="33">
        <f>E42-(E13+E29+E36)</f>
        <v>17379.057264100004</v>
      </c>
      <c r="F40" s="34">
        <f>F42-(F13+F29+F36)</f>
        <v>15.091282720387511</v>
      </c>
      <c r="G40" s="33"/>
      <c r="H40" s="18"/>
      <c r="I40" s="18"/>
    </row>
    <row r="41" spans="1:9" x14ac:dyDescent="0.2">
      <c r="A41" s="26"/>
      <c r="B41" s="26"/>
      <c r="C41" s="26"/>
      <c r="D41" s="32"/>
      <c r="E41" s="33"/>
      <c r="F41" s="34"/>
      <c r="G41" s="33"/>
      <c r="H41" s="18"/>
      <c r="I41" s="18"/>
    </row>
    <row r="42" spans="1:9" x14ac:dyDescent="0.2">
      <c r="A42" s="35" t="s">
        <v>45</v>
      </c>
      <c r="B42" s="35"/>
      <c r="C42" s="35"/>
      <c r="D42" s="36"/>
      <c r="E42" s="37">
        <v>115159.5764661</v>
      </c>
      <c r="F42" s="38">
        <v>100</v>
      </c>
      <c r="G42" s="37"/>
      <c r="H42" s="18"/>
      <c r="I42" s="18"/>
    </row>
    <row r="44" spans="1:9" x14ac:dyDescent="0.2">
      <c r="A44" s="18" t="s">
        <v>66</v>
      </c>
    </row>
    <row r="45" spans="1:9" x14ac:dyDescent="0.2">
      <c r="A45" s="18" t="s">
        <v>47</v>
      </c>
    </row>
    <row r="47" spans="1:9" x14ac:dyDescent="0.2">
      <c r="A47" s="18" t="s">
        <v>48</v>
      </c>
    </row>
    <row r="48" spans="1:9" x14ac:dyDescent="0.2">
      <c r="A48" s="18" t="s">
        <v>49</v>
      </c>
    </row>
    <row r="49" spans="1:4" x14ac:dyDescent="0.2">
      <c r="A49" s="18" t="s">
        <v>50</v>
      </c>
      <c r="B49" s="18"/>
      <c r="C49" s="39" t="s">
        <v>52</v>
      </c>
      <c r="D49" s="19" t="s">
        <v>51</v>
      </c>
    </row>
    <row r="50" spans="1:4" x14ac:dyDescent="0.2">
      <c r="A50" s="9" t="s">
        <v>838</v>
      </c>
      <c r="C50" s="40">
        <v>38.143500000000003</v>
      </c>
      <c r="D50" s="40">
        <v>38.783099999999997</v>
      </c>
    </row>
    <row r="51" spans="1:4" x14ac:dyDescent="0.2">
      <c r="A51" s="9" t="s">
        <v>839</v>
      </c>
      <c r="C51" s="40">
        <v>10.110799999999999</v>
      </c>
      <c r="D51" s="40">
        <v>10.1099</v>
      </c>
    </row>
    <row r="52" spans="1:4" x14ac:dyDescent="0.2">
      <c r="A52" s="9" t="s">
        <v>840</v>
      </c>
      <c r="C52" s="40">
        <v>10.181100000000001</v>
      </c>
      <c r="D52" s="40">
        <v>10.120200000000001</v>
      </c>
    </row>
    <row r="53" spans="1:4" x14ac:dyDescent="0.2">
      <c r="A53" s="9" t="s">
        <v>841</v>
      </c>
      <c r="C53" s="40">
        <v>10.9177</v>
      </c>
      <c r="D53" s="40">
        <v>10.6563</v>
      </c>
    </row>
    <row r="54" spans="1:4" x14ac:dyDescent="0.2">
      <c r="A54" s="9" t="s">
        <v>842</v>
      </c>
      <c r="C54" s="40">
        <v>39.109000000000002</v>
      </c>
      <c r="D54" s="40">
        <v>39.794199999999996</v>
      </c>
    </row>
    <row r="55" spans="1:4" x14ac:dyDescent="0.2">
      <c r="A55" s="9" t="s">
        <v>843</v>
      </c>
      <c r="C55" s="40">
        <v>10.1205</v>
      </c>
      <c r="D55" s="40">
        <v>10.1198</v>
      </c>
    </row>
    <row r="56" spans="1:4" x14ac:dyDescent="0.2">
      <c r="A56" s="9" t="s">
        <v>844</v>
      </c>
      <c r="C56" s="40">
        <v>10.5113</v>
      </c>
      <c r="D56" s="40">
        <v>10.463800000000001</v>
      </c>
    </row>
    <row r="57" spans="1:4" x14ac:dyDescent="0.2">
      <c r="A57" s="9" t="s">
        <v>845</v>
      </c>
      <c r="C57" s="40">
        <v>11.296099999999999</v>
      </c>
      <c r="D57" s="40">
        <v>11.049300000000001</v>
      </c>
    </row>
    <row r="59" spans="1:4" x14ac:dyDescent="0.2">
      <c r="A59" s="18" t="s">
        <v>53</v>
      </c>
    </row>
    <row r="60" spans="1:4" x14ac:dyDescent="0.2">
      <c r="A60" s="74" t="s">
        <v>67</v>
      </c>
      <c r="B60" s="75"/>
      <c r="C60" s="44" t="s">
        <v>68</v>
      </c>
    </row>
    <row r="61" spans="1:4" x14ac:dyDescent="0.2">
      <c r="A61" s="68" t="s">
        <v>839</v>
      </c>
      <c r="B61" s="69"/>
      <c r="C61" s="45">
        <v>0.1690362547</v>
      </c>
    </row>
    <row r="62" spans="1:4" x14ac:dyDescent="0.2">
      <c r="A62" s="68" t="s">
        <v>840</v>
      </c>
      <c r="B62" s="69"/>
      <c r="C62" s="45">
        <v>0.23</v>
      </c>
    </row>
    <row r="63" spans="1:4" x14ac:dyDescent="0.2">
      <c r="A63" s="68" t="s">
        <v>841</v>
      </c>
      <c r="B63" s="69"/>
      <c r="C63" s="45">
        <v>0.44</v>
      </c>
    </row>
    <row r="64" spans="1:4" x14ac:dyDescent="0.2">
      <c r="A64" s="68" t="s">
        <v>843</v>
      </c>
      <c r="B64" s="69"/>
      <c r="C64" s="45">
        <v>0.1765508237</v>
      </c>
    </row>
    <row r="65" spans="1:7" x14ac:dyDescent="0.2">
      <c r="A65" s="68" t="s">
        <v>844</v>
      </c>
      <c r="B65" s="69"/>
      <c r="C65" s="45">
        <v>0.23</v>
      </c>
    </row>
    <row r="66" spans="1:7" x14ac:dyDescent="0.2">
      <c r="A66" s="68" t="s">
        <v>845</v>
      </c>
      <c r="B66" s="69"/>
      <c r="C66" s="45">
        <v>0.44</v>
      </c>
    </row>
    <row r="67" spans="1:7" x14ac:dyDescent="0.2">
      <c r="A67" s="9" t="s">
        <v>69</v>
      </c>
    </row>
    <row r="69" spans="1:7" x14ac:dyDescent="0.2">
      <c r="A69" s="18" t="s">
        <v>793</v>
      </c>
      <c r="D69" s="42">
        <v>0.24000060553424701</v>
      </c>
      <c r="E69" s="13" t="s">
        <v>55</v>
      </c>
    </row>
    <row r="71" spans="1:7" ht="12.75" customHeight="1" x14ac:dyDescent="0.2">
      <c r="A71" s="18" t="s">
        <v>1477</v>
      </c>
      <c r="D71" s="41" t="s">
        <v>54</v>
      </c>
    </row>
    <row r="73" spans="1:7" ht="14.4" x14ac:dyDescent="0.2">
      <c r="A73" s="70" t="s">
        <v>794</v>
      </c>
      <c r="B73" s="71"/>
      <c r="C73" s="71"/>
      <c r="D73" s="71"/>
      <c r="E73" s="71"/>
      <c r="F73" s="71"/>
      <c r="G73" s="71"/>
    </row>
    <row r="74" spans="1:7" x14ac:dyDescent="0.2">
      <c r="A74" s="50" t="s">
        <v>56</v>
      </c>
    </row>
    <row r="76" spans="1:7" x14ac:dyDescent="0.2">
      <c r="A76" s="50"/>
    </row>
  </sheetData>
  <mergeCells count="9">
    <mergeCell ref="A65:B65"/>
    <mergeCell ref="A66:B66"/>
    <mergeCell ref="A73:G73"/>
    <mergeCell ref="A1:G1"/>
    <mergeCell ref="A60:B60"/>
    <mergeCell ref="A61:B61"/>
    <mergeCell ref="A62:B62"/>
    <mergeCell ref="A63:B63"/>
    <mergeCell ref="A64:B64"/>
  </mergeCells>
  <conditionalFormatting sqref="F2:F3 F77:F65535 F5:F72">
    <cfRule type="cellIs" dxfId="177" priority="3" stopIfTrue="1" operator="between">
      <formula>0.009</formula>
      <formula>-0.009</formula>
    </cfRule>
  </conditionalFormatting>
  <conditionalFormatting sqref="F75:F76">
    <cfRule type="cellIs" dxfId="176" priority="2" stopIfTrue="1" operator="between">
      <formula>0.009</formula>
      <formula>-0.009</formula>
    </cfRule>
  </conditionalFormatting>
  <conditionalFormatting sqref="F74">
    <cfRule type="cellIs" dxfId="175" priority="1" stopIfTrue="1" operator="between">
      <formula>0.009</formula>
      <formula>-0.009</formula>
    </cfRule>
  </conditionalFormatting>
  <hyperlinks>
    <hyperlink ref="A74" r:id="rId1" xr:uid="{00000000-0004-0000-02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9"/>
  <sheetViews>
    <sheetView workbookViewId="0">
      <selection sqref="A1:G1"/>
    </sheetView>
  </sheetViews>
  <sheetFormatPr defaultColWidth="9.21875" defaultRowHeight="10.199999999999999" x14ac:dyDescent="0.2"/>
  <cols>
    <col min="1" max="1" width="38.77734375" style="9" bestFit="1" customWidth="1"/>
    <col min="2" max="2" width="53.777343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2" t="s">
        <v>846</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735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847</v>
      </c>
      <c r="B7" s="27" t="s">
        <v>848</v>
      </c>
      <c r="C7" s="27" t="s">
        <v>738</v>
      </c>
      <c r="D7" s="31">
        <v>250</v>
      </c>
      <c r="E7" s="29">
        <v>2525.37</v>
      </c>
      <c r="F7" s="30">
        <v>8.0226847455459094</v>
      </c>
      <c r="G7" s="29">
        <v>6.5144500000000001</v>
      </c>
    </row>
    <row r="8" spans="1:9" x14ac:dyDescent="0.2">
      <c r="A8" s="27" t="s">
        <v>849</v>
      </c>
      <c r="B8" s="27" t="s">
        <v>850</v>
      </c>
      <c r="C8" s="27" t="s">
        <v>39</v>
      </c>
      <c r="D8" s="31">
        <v>250</v>
      </c>
      <c r="E8" s="29">
        <v>2504.9124999999999</v>
      </c>
      <c r="F8" s="30">
        <v>7.9576946359057299</v>
      </c>
      <c r="G8" s="29">
        <v>4.7</v>
      </c>
    </row>
    <row r="9" spans="1:9" x14ac:dyDescent="0.2">
      <c r="A9" s="27" t="s">
        <v>34</v>
      </c>
      <c r="B9" s="27" t="s">
        <v>33</v>
      </c>
      <c r="C9" s="27" t="s">
        <v>35</v>
      </c>
      <c r="D9" s="31">
        <v>100</v>
      </c>
      <c r="E9" s="29">
        <v>1002.383</v>
      </c>
      <c r="F9" s="30">
        <v>3.1844057715481502</v>
      </c>
      <c r="G9" s="29">
        <v>7.8986999999999998</v>
      </c>
    </row>
    <row r="10" spans="1:9" x14ac:dyDescent="0.2">
      <c r="A10" s="27" t="s">
        <v>851</v>
      </c>
      <c r="B10" s="27" t="s">
        <v>852</v>
      </c>
      <c r="C10" s="27" t="s">
        <v>853</v>
      </c>
      <c r="D10" s="31">
        <v>100</v>
      </c>
      <c r="E10" s="29">
        <v>985.87</v>
      </c>
      <c r="F10" s="30">
        <v>3.1319466890362002</v>
      </c>
      <c r="G10" s="29">
        <v>7.2350000000000003</v>
      </c>
    </row>
    <row r="11" spans="1:9" x14ac:dyDescent="0.2">
      <c r="A11" s="26" t="s">
        <v>40</v>
      </c>
      <c r="B11" s="26"/>
      <c r="C11" s="26"/>
      <c r="D11" s="32"/>
      <c r="E11" s="33">
        <f>SUM(E6:E10)</f>
        <v>7018.535499999999</v>
      </c>
      <c r="F11" s="34">
        <f>SUM(F6:F10)</f>
        <v>22.296731842035992</v>
      </c>
      <c r="G11" s="33"/>
      <c r="H11" s="18"/>
      <c r="I11" s="18"/>
    </row>
    <row r="12" spans="1:9" x14ac:dyDescent="0.2">
      <c r="A12" s="27"/>
      <c r="B12" s="27"/>
      <c r="C12" s="27"/>
      <c r="D12" s="28"/>
      <c r="E12" s="29"/>
      <c r="F12" s="30"/>
      <c r="G12" s="29"/>
    </row>
    <row r="13" spans="1:9" x14ac:dyDescent="0.2">
      <c r="A13" s="26" t="s">
        <v>58</v>
      </c>
      <c r="B13" s="27"/>
      <c r="C13" s="27"/>
      <c r="D13" s="28"/>
      <c r="E13" s="29"/>
      <c r="F13" s="30"/>
      <c r="G13" s="29"/>
    </row>
    <row r="14" spans="1:9" x14ac:dyDescent="0.2">
      <c r="A14" s="26" t="s">
        <v>59</v>
      </c>
      <c r="B14" s="27"/>
      <c r="C14" s="27"/>
      <c r="D14" s="28"/>
      <c r="E14" s="29"/>
      <c r="F14" s="30"/>
      <c r="G14" s="29"/>
    </row>
    <row r="15" spans="1:9" x14ac:dyDescent="0.2">
      <c r="A15" s="27" t="s">
        <v>805</v>
      </c>
      <c r="B15" s="27" t="s">
        <v>806</v>
      </c>
      <c r="C15" s="27" t="s">
        <v>60</v>
      </c>
      <c r="D15" s="31">
        <v>1500</v>
      </c>
      <c r="E15" s="29">
        <v>1441.9214999999999</v>
      </c>
      <c r="F15" s="30">
        <v>4.5807472260796098</v>
      </c>
      <c r="G15" s="29">
        <v>4.05</v>
      </c>
    </row>
    <row r="16" spans="1:9" x14ac:dyDescent="0.2">
      <c r="A16" s="27" t="s">
        <v>801</v>
      </c>
      <c r="B16" s="27" t="s">
        <v>802</v>
      </c>
      <c r="C16" s="27" t="s">
        <v>60</v>
      </c>
      <c r="D16" s="31">
        <v>1000</v>
      </c>
      <c r="E16" s="29">
        <v>1000.389</v>
      </c>
      <c r="F16" s="30">
        <v>3.1780711618146702</v>
      </c>
      <c r="G16" s="29">
        <v>4</v>
      </c>
    </row>
    <row r="17" spans="1:9" x14ac:dyDescent="0.2">
      <c r="A17" s="26" t="s">
        <v>40</v>
      </c>
      <c r="B17" s="26"/>
      <c r="C17" s="26"/>
      <c r="D17" s="32"/>
      <c r="E17" s="33">
        <f>SUM(E14:E16)</f>
        <v>2442.3105</v>
      </c>
      <c r="F17" s="34">
        <f>SUM(F14:F16)</f>
        <v>7.75881838789428</v>
      </c>
      <c r="G17" s="33"/>
      <c r="H17" s="18"/>
      <c r="I17" s="18"/>
    </row>
    <row r="18" spans="1:9" x14ac:dyDescent="0.2">
      <c r="A18" s="27"/>
      <c r="B18" s="27"/>
      <c r="C18" s="27"/>
      <c r="D18" s="28"/>
      <c r="E18" s="29"/>
      <c r="F18" s="30"/>
      <c r="G18" s="29"/>
    </row>
    <row r="19" spans="1:9" x14ac:dyDescent="0.2">
      <c r="A19" s="26" t="s">
        <v>65</v>
      </c>
      <c r="B19" s="27"/>
      <c r="C19" s="27"/>
      <c r="D19" s="28"/>
      <c r="E19" s="29"/>
      <c r="F19" s="30"/>
      <c r="G19" s="29"/>
    </row>
    <row r="20" spans="1:9" x14ac:dyDescent="0.2">
      <c r="A20" s="27" t="s">
        <v>854</v>
      </c>
      <c r="B20" s="27" t="s">
        <v>855</v>
      </c>
      <c r="C20" s="27" t="s">
        <v>81</v>
      </c>
      <c r="D20" s="31">
        <v>2500000</v>
      </c>
      <c r="E20" s="29">
        <v>2461.6</v>
      </c>
      <c r="F20" s="30">
        <v>7.8200979538189701</v>
      </c>
      <c r="G20" s="29">
        <v>3.43</v>
      </c>
    </row>
    <row r="21" spans="1:9" x14ac:dyDescent="0.2">
      <c r="A21" s="26" t="s">
        <v>40</v>
      </c>
      <c r="B21" s="26"/>
      <c r="C21" s="26"/>
      <c r="D21" s="32"/>
      <c r="E21" s="33">
        <f>SUM(E19:E20)</f>
        <v>2461.6</v>
      </c>
      <c r="F21" s="34">
        <f>SUM(F19:F20)</f>
        <v>7.8200979538189701</v>
      </c>
      <c r="G21" s="33"/>
      <c r="H21" s="18"/>
      <c r="I21" s="18"/>
    </row>
    <row r="22" spans="1:9" x14ac:dyDescent="0.2">
      <c r="A22" s="27"/>
      <c r="B22" s="27"/>
      <c r="C22" s="27"/>
      <c r="D22" s="28"/>
      <c r="E22" s="29"/>
      <c r="F22" s="30"/>
      <c r="G22" s="29"/>
    </row>
    <row r="23" spans="1:9" x14ac:dyDescent="0.2">
      <c r="A23" s="26" t="s">
        <v>78</v>
      </c>
      <c r="B23" s="27"/>
      <c r="C23" s="27"/>
      <c r="D23" s="28"/>
      <c r="E23" s="29"/>
      <c r="F23" s="30"/>
      <c r="G23" s="29"/>
    </row>
    <row r="24" spans="1:9" x14ac:dyDescent="0.2">
      <c r="A24" s="27" t="s">
        <v>856</v>
      </c>
      <c r="B24" s="27" t="s">
        <v>857</v>
      </c>
      <c r="C24" s="27" t="s">
        <v>81</v>
      </c>
      <c r="D24" s="31">
        <v>5500000</v>
      </c>
      <c r="E24" s="29">
        <v>5440.6440000000002</v>
      </c>
      <c r="F24" s="30">
        <v>17.284030310309301</v>
      </c>
      <c r="G24" s="29">
        <v>3.6739967897150199</v>
      </c>
    </row>
    <row r="25" spans="1:9" x14ac:dyDescent="0.2">
      <c r="A25" s="27" t="s">
        <v>858</v>
      </c>
      <c r="B25" s="27" t="s">
        <v>859</v>
      </c>
      <c r="C25" s="27" t="s">
        <v>81</v>
      </c>
      <c r="D25" s="31">
        <v>3000000</v>
      </c>
      <c r="E25" s="29">
        <v>3000</v>
      </c>
      <c r="F25" s="30">
        <v>9.5305061185639008</v>
      </c>
      <c r="G25" s="29">
        <v>4.2893436360677804</v>
      </c>
    </row>
    <row r="26" spans="1:9" x14ac:dyDescent="0.2">
      <c r="A26" s="27" t="s">
        <v>860</v>
      </c>
      <c r="B26" s="27" t="s">
        <v>861</v>
      </c>
      <c r="C26" s="27" t="s">
        <v>81</v>
      </c>
      <c r="D26" s="31">
        <v>2500000</v>
      </c>
      <c r="E26" s="29">
        <v>2525.6025</v>
      </c>
      <c r="F26" s="30">
        <v>8.0234233597700904</v>
      </c>
      <c r="G26" s="29">
        <v>3.4864000000000002</v>
      </c>
    </row>
    <row r="27" spans="1:9" x14ac:dyDescent="0.2">
      <c r="A27" s="27" t="s">
        <v>862</v>
      </c>
      <c r="B27" s="27" t="s">
        <v>863</v>
      </c>
      <c r="C27" s="27" t="s">
        <v>81</v>
      </c>
      <c r="D27" s="31">
        <v>500000</v>
      </c>
      <c r="E27" s="29">
        <v>521.55399999999997</v>
      </c>
      <c r="F27" s="30">
        <v>1.65689119605383</v>
      </c>
      <c r="G27" s="29">
        <v>4.3345000000000002</v>
      </c>
    </row>
    <row r="28" spans="1:9" x14ac:dyDescent="0.2">
      <c r="A28" s="26" t="s">
        <v>40</v>
      </c>
      <c r="B28" s="26"/>
      <c r="C28" s="26"/>
      <c r="D28" s="32"/>
      <c r="E28" s="33">
        <f>SUM(E24:E27)</f>
        <v>11487.800500000001</v>
      </c>
      <c r="F28" s="34">
        <f>SUM(F24:F27)</f>
        <v>36.494850984697123</v>
      </c>
      <c r="G28" s="33"/>
      <c r="H28" s="18"/>
      <c r="I28" s="18"/>
    </row>
    <row r="29" spans="1:9" x14ac:dyDescent="0.2">
      <c r="A29" s="27"/>
      <c r="B29" s="27"/>
      <c r="C29" s="27"/>
      <c r="D29" s="28"/>
      <c r="E29" s="29"/>
      <c r="F29" s="30"/>
      <c r="G29" s="29"/>
    </row>
    <row r="30" spans="1:9" x14ac:dyDescent="0.2">
      <c r="A30" s="26" t="s">
        <v>44</v>
      </c>
      <c r="B30" s="26"/>
      <c r="C30" s="26"/>
      <c r="D30" s="32"/>
      <c r="E30" s="33">
        <f>E11+E17+E21+E28</f>
        <v>23410.246500000001</v>
      </c>
      <c r="F30" s="34">
        <f>F11+F17+F21+F28</f>
        <v>74.370499168446372</v>
      </c>
      <c r="G30" s="33"/>
      <c r="H30" s="18"/>
      <c r="I30" s="18"/>
    </row>
    <row r="31" spans="1:9" x14ac:dyDescent="0.2">
      <c r="A31" s="26"/>
      <c r="B31" s="26"/>
      <c r="C31" s="26"/>
      <c r="D31" s="32"/>
      <c r="E31" s="33"/>
      <c r="F31" s="34"/>
      <c r="G31" s="33"/>
      <c r="H31" s="18"/>
      <c r="I31" s="18"/>
    </row>
    <row r="32" spans="1:9" x14ac:dyDescent="0.2">
      <c r="A32" s="26" t="s">
        <v>46</v>
      </c>
      <c r="B32" s="26"/>
      <c r="C32" s="26"/>
      <c r="D32" s="32"/>
      <c r="E32" s="33">
        <f>E34-(E11+E17+E21+E28)</f>
        <v>8067.6200757999977</v>
      </c>
      <c r="F32" s="34">
        <f>F34-(F11+F17+F21+F28)</f>
        <v>25.629500831553628</v>
      </c>
      <c r="G32" s="33"/>
      <c r="H32" s="18"/>
      <c r="I32" s="18"/>
    </row>
    <row r="33" spans="1:9" x14ac:dyDescent="0.2">
      <c r="A33" s="26"/>
      <c r="B33" s="26"/>
      <c r="C33" s="26"/>
      <c r="D33" s="32"/>
      <c r="E33" s="33"/>
      <c r="F33" s="34"/>
      <c r="G33" s="33"/>
      <c r="H33" s="18"/>
      <c r="I33" s="18"/>
    </row>
    <row r="34" spans="1:9" x14ac:dyDescent="0.2">
      <c r="A34" s="35" t="s">
        <v>45</v>
      </c>
      <c r="B34" s="35"/>
      <c r="C34" s="35"/>
      <c r="D34" s="36"/>
      <c r="E34" s="37">
        <v>31477.866575799999</v>
      </c>
      <c r="F34" s="38">
        <v>100</v>
      </c>
      <c r="G34" s="37"/>
      <c r="H34" s="18"/>
      <c r="I34" s="18"/>
    </row>
    <row r="36" spans="1:9" x14ac:dyDescent="0.2">
      <c r="A36" s="18" t="s">
        <v>47</v>
      </c>
    </row>
    <row r="38" spans="1:9" x14ac:dyDescent="0.2">
      <c r="A38" s="18" t="s">
        <v>48</v>
      </c>
    </row>
    <row r="39" spans="1:9" x14ac:dyDescent="0.2">
      <c r="A39" s="18" t="s">
        <v>49</v>
      </c>
    </row>
    <row r="40" spans="1:9" x14ac:dyDescent="0.2">
      <c r="A40" s="18" t="s">
        <v>50</v>
      </c>
      <c r="B40" s="18"/>
      <c r="C40" s="39" t="s">
        <v>52</v>
      </c>
      <c r="D40" s="19" t="s">
        <v>51</v>
      </c>
    </row>
    <row r="41" spans="1:9" x14ac:dyDescent="0.2">
      <c r="A41" s="9" t="s">
        <v>70</v>
      </c>
      <c r="C41" s="40">
        <v>30.534600000000001</v>
      </c>
      <c r="D41" s="40">
        <v>31.2606</v>
      </c>
    </row>
    <row r="42" spans="1:9" x14ac:dyDescent="0.2">
      <c r="A42" s="9" t="s">
        <v>796</v>
      </c>
      <c r="C42" s="40">
        <v>10.1089</v>
      </c>
      <c r="D42" s="40">
        <v>10.1441</v>
      </c>
    </row>
    <row r="43" spans="1:9" x14ac:dyDescent="0.2">
      <c r="A43" s="9" t="s">
        <v>73</v>
      </c>
      <c r="C43" s="40">
        <v>32.223799999999997</v>
      </c>
      <c r="D43" s="40">
        <v>33.096800000000002</v>
      </c>
    </row>
    <row r="44" spans="1:9" x14ac:dyDescent="0.2">
      <c r="A44" s="9" t="s">
        <v>798</v>
      </c>
      <c r="C44" s="40">
        <v>10.010300000000001</v>
      </c>
      <c r="D44" s="40">
        <v>10.0474</v>
      </c>
    </row>
    <row r="46" spans="1:9" x14ac:dyDescent="0.2">
      <c r="A46" s="18" t="s">
        <v>53</v>
      </c>
    </row>
    <row r="47" spans="1:9" x14ac:dyDescent="0.2">
      <c r="A47" s="74" t="s">
        <v>67</v>
      </c>
      <c r="B47" s="75"/>
      <c r="C47" s="44" t="s">
        <v>68</v>
      </c>
    </row>
    <row r="48" spans="1:9" x14ac:dyDescent="0.2">
      <c r="A48" s="68" t="s">
        <v>796</v>
      </c>
      <c r="B48" s="69"/>
      <c r="C48" s="45">
        <v>0.20347633170000001</v>
      </c>
    </row>
    <row r="49" spans="1:7" x14ac:dyDescent="0.2">
      <c r="A49" s="68" t="s">
        <v>798</v>
      </c>
      <c r="B49" s="69"/>
      <c r="C49" s="45">
        <v>0.2316508347</v>
      </c>
    </row>
    <row r="50" spans="1:7" x14ac:dyDescent="0.2">
      <c r="A50" s="9" t="s">
        <v>69</v>
      </c>
    </row>
    <row r="52" spans="1:7" x14ac:dyDescent="0.2">
      <c r="A52" s="18" t="s">
        <v>793</v>
      </c>
      <c r="D52" s="42">
        <v>2.1953605332602701</v>
      </c>
      <c r="E52" s="13" t="s">
        <v>55</v>
      </c>
    </row>
    <row r="54" spans="1:7" x14ac:dyDescent="0.2">
      <c r="A54" s="18" t="s">
        <v>1477</v>
      </c>
      <c r="D54" s="41" t="s">
        <v>54</v>
      </c>
    </row>
    <row r="56" spans="1:7" ht="14.4" x14ac:dyDescent="0.2">
      <c r="A56" s="70" t="s">
        <v>794</v>
      </c>
      <c r="B56" s="71"/>
      <c r="C56" s="71"/>
      <c r="D56" s="71"/>
      <c r="E56" s="71"/>
      <c r="F56" s="71"/>
      <c r="G56" s="71"/>
    </row>
    <row r="57" spans="1:7" x14ac:dyDescent="0.2">
      <c r="A57" s="50" t="s">
        <v>56</v>
      </c>
    </row>
    <row r="59" spans="1:7" x14ac:dyDescent="0.2">
      <c r="A59" s="50"/>
    </row>
  </sheetData>
  <mergeCells count="5">
    <mergeCell ref="A1:G1"/>
    <mergeCell ref="A47:B47"/>
    <mergeCell ref="A48:B48"/>
    <mergeCell ref="A49:B49"/>
    <mergeCell ref="A56:G56"/>
  </mergeCells>
  <conditionalFormatting sqref="F2:F3 F5:F55 F60:F65536">
    <cfRule type="cellIs" dxfId="174" priority="3" stopIfTrue="1" operator="between">
      <formula>0.009</formula>
      <formula>-0.009</formula>
    </cfRule>
  </conditionalFormatting>
  <conditionalFormatting sqref="F58:F59">
    <cfRule type="cellIs" dxfId="173" priority="2" stopIfTrue="1" operator="between">
      <formula>0.009</formula>
      <formula>-0.009</formula>
    </cfRule>
  </conditionalFormatting>
  <conditionalFormatting sqref="F57">
    <cfRule type="cellIs" dxfId="172" priority="1" stopIfTrue="1" operator="between">
      <formula>0.009</formula>
      <formula>-0.009</formula>
    </cfRule>
  </conditionalFormatting>
  <hyperlinks>
    <hyperlink ref="A57" r:id="rId1" xr:uid="{00000000-0004-0000-0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0"/>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864</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865</v>
      </c>
      <c r="B7" s="27" t="s">
        <v>866</v>
      </c>
      <c r="C7" s="27" t="s">
        <v>867</v>
      </c>
      <c r="D7" s="31">
        <v>550</v>
      </c>
      <c r="E7" s="29">
        <v>5865.1009999999997</v>
      </c>
      <c r="F7" s="30">
        <v>6.8281168499462197</v>
      </c>
      <c r="G7" s="29">
        <v>5.14</v>
      </c>
    </row>
    <row r="8" spans="1:7" x14ac:dyDescent="0.2">
      <c r="A8" s="27" t="s">
        <v>868</v>
      </c>
      <c r="B8" s="27" t="s">
        <v>869</v>
      </c>
      <c r="C8" s="27" t="s">
        <v>39</v>
      </c>
      <c r="D8" s="31">
        <v>500</v>
      </c>
      <c r="E8" s="29">
        <v>5305.1850000000004</v>
      </c>
      <c r="F8" s="30">
        <v>6.1762658632105296</v>
      </c>
      <c r="G8" s="29">
        <v>5.5149999999999997</v>
      </c>
    </row>
    <row r="9" spans="1:7" x14ac:dyDescent="0.2">
      <c r="A9" s="27" t="s">
        <v>870</v>
      </c>
      <c r="B9" s="27" t="s">
        <v>871</v>
      </c>
      <c r="C9" s="27" t="s">
        <v>39</v>
      </c>
      <c r="D9" s="31">
        <v>500</v>
      </c>
      <c r="E9" s="29">
        <v>5099.2849999999999</v>
      </c>
      <c r="F9" s="30">
        <v>5.9365582674838899</v>
      </c>
      <c r="G9" s="29">
        <v>4.4001000000000001</v>
      </c>
    </row>
    <row r="10" spans="1:7" x14ac:dyDescent="0.2">
      <c r="A10" s="27" t="s">
        <v>872</v>
      </c>
      <c r="B10" s="27" t="s">
        <v>873</v>
      </c>
      <c r="C10" s="27" t="s">
        <v>874</v>
      </c>
      <c r="D10" s="31">
        <v>430</v>
      </c>
      <c r="E10" s="29">
        <v>4411.3527999999997</v>
      </c>
      <c r="F10" s="30">
        <v>5.1356715570179299</v>
      </c>
      <c r="G10" s="29">
        <v>5.9432</v>
      </c>
    </row>
    <row r="11" spans="1:7" x14ac:dyDescent="0.2">
      <c r="A11" s="27" t="s">
        <v>875</v>
      </c>
      <c r="B11" s="27" t="s">
        <v>876</v>
      </c>
      <c r="C11" s="27" t="s">
        <v>877</v>
      </c>
      <c r="D11" s="31">
        <v>310</v>
      </c>
      <c r="E11" s="29">
        <v>3400.6379999999999</v>
      </c>
      <c r="F11" s="30">
        <v>3.95900320017804</v>
      </c>
      <c r="G11" s="29">
        <v>8.1050000000000004</v>
      </c>
    </row>
    <row r="12" spans="1:7" x14ac:dyDescent="0.2">
      <c r="A12" s="27" t="s">
        <v>878</v>
      </c>
      <c r="B12" s="27" t="s">
        <v>879</v>
      </c>
      <c r="C12" s="27" t="s">
        <v>867</v>
      </c>
      <c r="D12" s="31">
        <v>264</v>
      </c>
      <c r="E12" s="29">
        <v>2715.0947999999999</v>
      </c>
      <c r="F12" s="30">
        <v>3.1608977497712898</v>
      </c>
      <c r="G12" s="29">
        <v>6.1935000000000002</v>
      </c>
    </row>
    <row r="13" spans="1:7" x14ac:dyDescent="0.2">
      <c r="A13" s="27" t="s">
        <v>880</v>
      </c>
      <c r="B13" s="27" t="s">
        <v>881</v>
      </c>
      <c r="C13" s="27" t="s">
        <v>39</v>
      </c>
      <c r="D13" s="31">
        <v>250</v>
      </c>
      <c r="E13" s="29">
        <v>2592.5349999999999</v>
      </c>
      <c r="F13" s="30">
        <v>3.0182143355375</v>
      </c>
      <c r="G13" s="29">
        <v>4.47</v>
      </c>
    </row>
    <row r="14" spans="1:7" x14ac:dyDescent="0.2">
      <c r="A14" s="27" t="s">
        <v>882</v>
      </c>
      <c r="B14" s="27" t="s">
        <v>883</v>
      </c>
      <c r="C14" s="27" t="s">
        <v>39</v>
      </c>
      <c r="D14" s="31">
        <v>250</v>
      </c>
      <c r="E14" s="29">
        <v>2588.5425</v>
      </c>
      <c r="F14" s="30">
        <v>3.0135662900011302</v>
      </c>
      <c r="G14" s="29">
        <v>4.085</v>
      </c>
    </row>
    <row r="15" spans="1:7" x14ac:dyDescent="0.2">
      <c r="A15" s="27" t="s">
        <v>884</v>
      </c>
      <c r="B15" s="27" t="s">
        <v>885</v>
      </c>
      <c r="C15" s="27" t="s">
        <v>39</v>
      </c>
      <c r="D15" s="31">
        <v>250</v>
      </c>
      <c r="E15" s="29">
        <v>2579.1525000000001</v>
      </c>
      <c r="F15" s="30">
        <v>3.0026345060095201</v>
      </c>
      <c r="G15" s="29">
        <v>5</v>
      </c>
    </row>
    <row r="16" spans="1:7" x14ac:dyDescent="0.2">
      <c r="A16" s="27" t="s">
        <v>886</v>
      </c>
      <c r="B16" s="27" t="s">
        <v>887</v>
      </c>
      <c r="C16" s="27" t="s">
        <v>39</v>
      </c>
      <c r="D16" s="31">
        <v>250</v>
      </c>
      <c r="E16" s="29">
        <v>2559.3525</v>
      </c>
      <c r="F16" s="30">
        <v>2.97958345989302</v>
      </c>
      <c r="G16" s="29">
        <v>5</v>
      </c>
    </row>
    <row r="17" spans="1:7" x14ac:dyDescent="0.2">
      <c r="A17" s="27" t="s">
        <v>888</v>
      </c>
      <c r="B17" s="27" t="s">
        <v>889</v>
      </c>
      <c r="C17" s="27" t="s">
        <v>39</v>
      </c>
      <c r="D17" s="31">
        <v>250</v>
      </c>
      <c r="E17" s="29">
        <v>2557.3150000000001</v>
      </c>
      <c r="F17" s="30">
        <v>2.97721141411209</v>
      </c>
      <c r="G17" s="29">
        <v>6.27</v>
      </c>
    </row>
    <row r="18" spans="1:7" x14ac:dyDescent="0.2">
      <c r="A18" s="27" t="s">
        <v>890</v>
      </c>
      <c r="B18" s="27" t="s">
        <v>891</v>
      </c>
      <c r="C18" s="27" t="s">
        <v>39</v>
      </c>
      <c r="D18" s="31">
        <v>250</v>
      </c>
      <c r="E18" s="29">
        <v>2555.0625</v>
      </c>
      <c r="F18" s="30">
        <v>2.9745890665677699</v>
      </c>
      <c r="G18" s="29">
        <v>6.9847999999999999</v>
      </c>
    </row>
    <row r="19" spans="1:7" x14ac:dyDescent="0.2">
      <c r="A19" s="27" t="s">
        <v>892</v>
      </c>
      <c r="B19" s="27" t="s">
        <v>893</v>
      </c>
      <c r="C19" s="27" t="s">
        <v>39</v>
      </c>
      <c r="D19" s="31">
        <v>250</v>
      </c>
      <c r="E19" s="29">
        <v>2534.0949999999998</v>
      </c>
      <c r="F19" s="30">
        <v>2.95017882366637</v>
      </c>
      <c r="G19" s="29">
        <v>5.12</v>
      </c>
    </row>
    <row r="20" spans="1:7" x14ac:dyDescent="0.2">
      <c r="A20" s="27" t="s">
        <v>894</v>
      </c>
      <c r="B20" s="27" t="s">
        <v>895</v>
      </c>
      <c r="C20" s="27" t="s">
        <v>39</v>
      </c>
      <c r="D20" s="31">
        <v>166</v>
      </c>
      <c r="E20" s="29">
        <v>2108.4224399999998</v>
      </c>
      <c r="F20" s="30">
        <v>2.4546132776517799</v>
      </c>
      <c r="G20" s="29">
        <v>4.51</v>
      </c>
    </row>
    <row r="21" spans="1:7" x14ac:dyDescent="0.2">
      <c r="A21" s="27" t="s">
        <v>896</v>
      </c>
      <c r="B21" s="27" t="s">
        <v>897</v>
      </c>
      <c r="C21" s="27" t="s">
        <v>898</v>
      </c>
      <c r="D21" s="31">
        <v>200</v>
      </c>
      <c r="E21" s="29">
        <v>2100.64</v>
      </c>
      <c r="F21" s="30">
        <v>2.44555300576598</v>
      </c>
      <c r="G21" s="29">
        <v>5.0999999999999996</v>
      </c>
    </row>
    <row r="22" spans="1:7" x14ac:dyDescent="0.2">
      <c r="A22" s="27" t="s">
        <v>899</v>
      </c>
      <c r="B22" s="27" t="s">
        <v>900</v>
      </c>
      <c r="C22" s="27" t="s">
        <v>39</v>
      </c>
      <c r="D22" s="31">
        <v>200</v>
      </c>
      <c r="E22" s="29">
        <v>2072.6779999999999</v>
      </c>
      <c r="F22" s="30">
        <v>2.4129998061947799</v>
      </c>
      <c r="G22" s="29">
        <v>5.7949000000000002</v>
      </c>
    </row>
    <row r="23" spans="1:7" x14ac:dyDescent="0.2">
      <c r="A23" s="27" t="s">
        <v>901</v>
      </c>
      <c r="B23" s="27" t="s">
        <v>902</v>
      </c>
      <c r="C23" s="27" t="s">
        <v>39</v>
      </c>
      <c r="D23" s="31">
        <v>187</v>
      </c>
      <c r="E23" s="29">
        <v>1922.4086199999999</v>
      </c>
      <c r="F23" s="30">
        <v>2.2380570583019601</v>
      </c>
      <c r="G23" s="29">
        <v>4.1050000000000004</v>
      </c>
    </row>
    <row r="24" spans="1:7" x14ac:dyDescent="0.2">
      <c r="A24" s="27" t="s">
        <v>903</v>
      </c>
      <c r="B24" s="27" t="s">
        <v>904</v>
      </c>
      <c r="C24" s="27" t="s">
        <v>39</v>
      </c>
      <c r="D24" s="31">
        <v>180</v>
      </c>
      <c r="E24" s="29">
        <v>1847.0411999999999</v>
      </c>
      <c r="F24" s="30">
        <v>2.1503147414281298</v>
      </c>
      <c r="G24" s="29">
        <v>3.83</v>
      </c>
    </row>
    <row r="25" spans="1:7" x14ac:dyDescent="0.2">
      <c r="A25" s="27" t="s">
        <v>905</v>
      </c>
      <c r="B25" s="27" t="s">
        <v>906</v>
      </c>
      <c r="C25" s="27" t="s">
        <v>39</v>
      </c>
      <c r="D25" s="31">
        <v>140</v>
      </c>
      <c r="E25" s="29">
        <v>1513.5862</v>
      </c>
      <c r="F25" s="30">
        <v>1.76210834835855</v>
      </c>
      <c r="G25" s="29">
        <v>5.9649999999999999</v>
      </c>
    </row>
    <row r="26" spans="1:7" x14ac:dyDescent="0.2">
      <c r="A26" s="27" t="s">
        <v>907</v>
      </c>
      <c r="B26" s="27" t="s">
        <v>908</v>
      </c>
      <c r="C26" s="27" t="s">
        <v>898</v>
      </c>
      <c r="D26" s="31">
        <v>150</v>
      </c>
      <c r="E26" s="29">
        <v>1492.902</v>
      </c>
      <c r="F26" s="30">
        <v>1.7380279216876899</v>
      </c>
      <c r="G26" s="29">
        <v>5.4549000000000003</v>
      </c>
    </row>
    <row r="27" spans="1:7" x14ac:dyDescent="0.2">
      <c r="A27" s="27" t="s">
        <v>909</v>
      </c>
      <c r="B27" s="27" t="s">
        <v>910</v>
      </c>
      <c r="C27" s="27" t="s">
        <v>39</v>
      </c>
      <c r="D27" s="31">
        <v>118</v>
      </c>
      <c r="E27" s="29">
        <v>1200.1249</v>
      </c>
      <c r="F27" s="30">
        <v>1.3971785058313599</v>
      </c>
      <c r="G27" s="29">
        <v>3.75</v>
      </c>
    </row>
    <row r="28" spans="1:7" x14ac:dyDescent="0.2">
      <c r="A28" s="27" t="s">
        <v>911</v>
      </c>
      <c r="B28" s="27" t="s">
        <v>912</v>
      </c>
      <c r="C28" s="27" t="s">
        <v>39</v>
      </c>
      <c r="D28" s="31">
        <v>100</v>
      </c>
      <c r="E28" s="29">
        <v>1063.7760000000001</v>
      </c>
      <c r="F28" s="30">
        <v>1.2384419006882199</v>
      </c>
      <c r="G28" s="29">
        <v>6.4850000000000003</v>
      </c>
    </row>
    <row r="29" spans="1:7" x14ac:dyDescent="0.2">
      <c r="A29" s="27" t="s">
        <v>913</v>
      </c>
      <c r="B29" s="27" t="s">
        <v>914</v>
      </c>
      <c r="C29" s="27" t="s">
        <v>39</v>
      </c>
      <c r="D29" s="31">
        <v>100</v>
      </c>
      <c r="E29" s="29">
        <v>1037.405</v>
      </c>
      <c r="F29" s="30">
        <v>1.2077409341660901</v>
      </c>
      <c r="G29" s="29">
        <v>6.25</v>
      </c>
    </row>
    <row r="30" spans="1:7" x14ac:dyDescent="0.2">
      <c r="A30" s="27" t="s">
        <v>915</v>
      </c>
      <c r="B30" s="27" t="s">
        <v>916</v>
      </c>
      <c r="C30" s="27" t="s">
        <v>39</v>
      </c>
      <c r="D30" s="31">
        <v>100</v>
      </c>
      <c r="E30" s="29">
        <v>1029.123</v>
      </c>
      <c r="F30" s="30">
        <v>1.1980990774016</v>
      </c>
      <c r="G30" s="29">
        <v>5.4905999999999997</v>
      </c>
    </row>
    <row r="31" spans="1:7" x14ac:dyDescent="0.2">
      <c r="A31" s="27" t="s">
        <v>917</v>
      </c>
      <c r="B31" s="27" t="s">
        <v>918</v>
      </c>
      <c r="C31" s="27" t="s">
        <v>919</v>
      </c>
      <c r="D31" s="31">
        <v>100</v>
      </c>
      <c r="E31" s="29">
        <v>1023.059</v>
      </c>
      <c r="F31" s="30">
        <v>1.1910394034798599</v>
      </c>
      <c r="G31" s="29">
        <v>9.8186999999999998</v>
      </c>
    </row>
    <row r="32" spans="1:7" x14ac:dyDescent="0.2">
      <c r="A32" s="27" t="s">
        <v>920</v>
      </c>
      <c r="B32" s="27" t="s">
        <v>921</v>
      </c>
      <c r="C32" s="27" t="s">
        <v>39</v>
      </c>
      <c r="D32" s="31">
        <v>76</v>
      </c>
      <c r="E32" s="29">
        <v>789.37855999999999</v>
      </c>
      <c r="F32" s="30">
        <v>0.91898997928974802</v>
      </c>
      <c r="G32" s="29">
        <v>4.2350000000000003</v>
      </c>
    </row>
    <row r="33" spans="1:7" x14ac:dyDescent="0.2">
      <c r="A33" s="27" t="s">
        <v>922</v>
      </c>
      <c r="B33" s="27" t="s">
        <v>923</v>
      </c>
      <c r="C33" s="27" t="s">
        <v>738</v>
      </c>
      <c r="D33" s="31">
        <v>59</v>
      </c>
      <c r="E33" s="29">
        <v>613.38170000000002</v>
      </c>
      <c r="F33" s="30">
        <v>0.71409544715745898</v>
      </c>
      <c r="G33" s="29">
        <v>4.25</v>
      </c>
    </row>
    <row r="34" spans="1:7" x14ac:dyDescent="0.2">
      <c r="A34" s="27" t="s">
        <v>924</v>
      </c>
      <c r="B34" s="27" t="s">
        <v>925</v>
      </c>
      <c r="C34" s="27" t="s">
        <v>898</v>
      </c>
      <c r="D34" s="31">
        <v>44</v>
      </c>
      <c r="E34" s="29">
        <v>560.88472000000002</v>
      </c>
      <c r="F34" s="30">
        <v>0.65297876498791196</v>
      </c>
      <c r="G34" s="29">
        <v>4.4250999999999996</v>
      </c>
    </row>
    <row r="35" spans="1:7" x14ac:dyDescent="0.2">
      <c r="A35" s="27" t="s">
        <v>926</v>
      </c>
      <c r="B35" s="27" t="s">
        <v>927</v>
      </c>
      <c r="C35" s="27" t="s">
        <v>898</v>
      </c>
      <c r="D35" s="31">
        <v>50</v>
      </c>
      <c r="E35" s="29">
        <v>543.81299999999999</v>
      </c>
      <c r="F35" s="30">
        <v>0.63310396675518499</v>
      </c>
      <c r="G35" s="29">
        <v>7.0890000000000004</v>
      </c>
    </row>
    <row r="36" spans="1:7" x14ac:dyDescent="0.2">
      <c r="A36" s="27" t="s">
        <v>928</v>
      </c>
      <c r="B36" s="27" t="s">
        <v>929</v>
      </c>
      <c r="C36" s="27" t="s">
        <v>898</v>
      </c>
      <c r="D36" s="31">
        <v>53</v>
      </c>
      <c r="E36" s="29">
        <v>542.6087</v>
      </c>
      <c r="F36" s="30">
        <v>0.63170192762194799</v>
      </c>
      <c r="G36" s="29">
        <v>3.8999000000000001</v>
      </c>
    </row>
    <row r="37" spans="1:7" x14ac:dyDescent="0.2">
      <c r="A37" s="27" t="s">
        <v>930</v>
      </c>
      <c r="B37" s="27" t="s">
        <v>931</v>
      </c>
      <c r="C37" s="27" t="s">
        <v>39</v>
      </c>
      <c r="D37" s="31">
        <v>45</v>
      </c>
      <c r="E37" s="29">
        <v>487.90125</v>
      </c>
      <c r="F37" s="30">
        <v>0.56801182899234404</v>
      </c>
      <c r="G37" s="29">
        <v>6.5446</v>
      </c>
    </row>
    <row r="38" spans="1:7" x14ac:dyDescent="0.2">
      <c r="A38" s="27" t="s">
        <v>932</v>
      </c>
      <c r="B38" s="27" t="s">
        <v>933</v>
      </c>
      <c r="C38" s="27" t="s">
        <v>39</v>
      </c>
      <c r="D38" s="31">
        <v>31</v>
      </c>
      <c r="E38" s="29">
        <v>382.52915000000002</v>
      </c>
      <c r="F38" s="30">
        <v>0.44533823624019497</v>
      </c>
      <c r="G38" s="29">
        <v>4.9000000000000004</v>
      </c>
    </row>
    <row r="39" spans="1:7" x14ac:dyDescent="0.2">
      <c r="A39" s="27" t="s">
        <v>934</v>
      </c>
      <c r="B39" s="27" t="s">
        <v>935</v>
      </c>
      <c r="C39" s="27" t="s">
        <v>898</v>
      </c>
      <c r="D39" s="31">
        <v>34</v>
      </c>
      <c r="E39" s="29">
        <v>353.82031999999998</v>
      </c>
      <c r="F39" s="30">
        <v>0.41191558147853902</v>
      </c>
      <c r="G39" s="29">
        <v>4.1398999999999999</v>
      </c>
    </row>
    <row r="40" spans="1:7" x14ac:dyDescent="0.2">
      <c r="A40" s="27" t="s">
        <v>936</v>
      </c>
      <c r="B40" s="27" t="s">
        <v>937</v>
      </c>
      <c r="C40" s="27" t="s">
        <v>39</v>
      </c>
      <c r="D40" s="31">
        <v>33</v>
      </c>
      <c r="E40" s="29">
        <v>335.00081999999998</v>
      </c>
      <c r="F40" s="30">
        <v>0.39000602782250499</v>
      </c>
      <c r="G40" s="29">
        <v>4.0250000000000004</v>
      </c>
    </row>
    <row r="41" spans="1:7" x14ac:dyDescent="0.2">
      <c r="A41" s="27" t="s">
        <v>91</v>
      </c>
      <c r="B41" s="27" t="s">
        <v>90</v>
      </c>
      <c r="C41" s="27" t="s">
        <v>39</v>
      </c>
      <c r="D41" s="31">
        <v>25</v>
      </c>
      <c r="E41" s="29">
        <v>271.11</v>
      </c>
      <c r="F41" s="30">
        <v>0.31562470265881498</v>
      </c>
      <c r="G41" s="29">
        <v>7.4237000000000002</v>
      </c>
    </row>
    <row r="42" spans="1:7" x14ac:dyDescent="0.2">
      <c r="A42" s="27" t="s">
        <v>93</v>
      </c>
      <c r="B42" s="27" t="s">
        <v>92</v>
      </c>
      <c r="C42" s="27" t="s">
        <v>39</v>
      </c>
      <c r="D42" s="31">
        <v>20</v>
      </c>
      <c r="E42" s="29">
        <v>218.2028</v>
      </c>
      <c r="F42" s="30">
        <v>0.25403044472472802</v>
      </c>
      <c r="G42" s="29">
        <v>7.33</v>
      </c>
    </row>
    <row r="43" spans="1:7" x14ac:dyDescent="0.2">
      <c r="A43" s="27" t="s">
        <v>938</v>
      </c>
      <c r="B43" s="27" t="s">
        <v>939</v>
      </c>
      <c r="C43" s="27" t="s">
        <v>898</v>
      </c>
      <c r="D43" s="31">
        <v>19</v>
      </c>
      <c r="E43" s="29">
        <v>194.65044</v>
      </c>
      <c r="F43" s="30">
        <v>0.22661092267864499</v>
      </c>
      <c r="G43" s="29">
        <v>3.68</v>
      </c>
    </row>
    <row r="44" spans="1:7" x14ac:dyDescent="0.2">
      <c r="A44" s="27" t="s">
        <v>940</v>
      </c>
      <c r="B44" s="27" t="s">
        <v>941</v>
      </c>
      <c r="C44" s="27" t="s">
        <v>39</v>
      </c>
      <c r="D44" s="31">
        <v>15</v>
      </c>
      <c r="E44" s="29">
        <v>191.15219999999999</v>
      </c>
      <c r="F44" s="30">
        <v>0.22253829179144399</v>
      </c>
      <c r="G44" s="29">
        <v>4.5999999999999996</v>
      </c>
    </row>
    <row r="45" spans="1:7" x14ac:dyDescent="0.2">
      <c r="A45" s="27" t="s">
        <v>942</v>
      </c>
      <c r="B45" s="27" t="s">
        <v>943</v>
      </c>
      <c r="C45" s="27" t="s">
        <v>898</v>
      </c>
      <c r="D45" s="31">
        <v>70</v>
      </c>
      <c r="E45" s="29">
        <v>71.222130000000007</v>
      </c>
      <c r="F45" s="30">
        <v>8.2916394098253396E-2</v>
      </c>
      <c r="G45" s="29">
        <v>3.5950000000000002</v>
      </c>
    </row>
    <row r="46" spans="1:7" x14ac:dyDescent="0.2">
      <c r="A46" s="27" t="s">
        <v>944</v>
      </c>
      <c r="B46" s="27" t="s">
        <v>945</v>
      </c>
      <c r="C46" s="27" t="s">
        <v>738</v>
      </c>
      <c r="D46" s="31">
        <v>3</v>
      </c>
      <c r="E46" s="29">
        <v>38.585549999999998</v>
      </c>
      <c r="F46" s="30">
        <v>4.49210753778055E-2</v>
      </c>
      <c r="G46" s="29">
        <v>5.7095000000000002</v>
      </c>
    </row>
    <row r="47" spans="1:7" x14ac:dyDescent="0.2">
      <c r="A47" s="27" t="s">
        <v>946</v>
      </c>
      <c r="B47" s="27" t="s">
        <v>947</v>
      </c>
      <c r="C47" s="27" t="s">
        <v>39</v>
      </c>
      <c r="D47" s="31">
        <v>3</v>
      </c>
      <c r="E47" s="29">
        <v>30.78837</v>
      </c>
      <c r="F47" s="30">
        <v>3.5843643268782401E-2</v>
      </c>
      <c r="G47" s="29">
        <v>4.7598000000000003</v>
      </c>
    </row>
    <row r="48" spans="1:7" x14ac:dyDescent="0.2">
      <c r="A48" s="27" t="s">
        <v>948</v>
      </c>
      <c r="B48" s="27" t="s">
        <v>949</v>
      </c>
      <c r="C48" s="27" t="s">
        <v>39</v>
      </c>
      <c r="D48" s="31">
        <v>3</v>
      </c>
      <c r="E48" s="29">
        <v>30.057929999999999</v>
      </c>
      <c r="F48" s="30">
        <v>3.49932692220482E-2</v>
      </c>
      <c r="G48" s="29">
        <v>3.1497000000000002</v>
      </c>
    </row>
    <row r="49" spans="1:9" x14ac:dyDescent="0.2">
      <c r="A49" s="27" t="s">
        <v>950</v>
      </c>
      <c r="B49" s="27" t="s">
        <v>951</v>
      </c>
      <c r="C49" s="27" t="s">
        <v>39</v>
      </c>
      <c r="D49" s="31">
        <v>2</v>
      </c>
      <c r="E49" s="29">
        <v>20.39838</v>
      </c>
      <c r="F49" s="30">
        <v>2.3747676670803498E-2</v>
      </c>
      <c r="G49" s="29">
        <v>3.8915999999999999</v>
      </c>
    </row>
    <row r="50" spans="1:9" x14ac:dyDescent="0.2">
      <c r="A50" s="27" t="s">
        <v>952</v>
      </c>
      <c r="B50" s="27" t="s">
        <v>953</v>
      </c>
      <c r="C50" s="27" t="s">
        <v>39</v>
      </c>
      <c r="D50" s="31">
        <v>2</v>
      </c>
      <c r="E50" s="29">
        <v>20.312719999999999</v>
      </c>
      <c r="F50" s="30">
        <v>2.3647951791493399E-2</v>
      </c>
      <c r="G50" s="29">
        <v>3.4350999999999998</v>
      </c>
    </row>
    <row r="51" spans="1:9" x14ac:dyDescent="0.2">
      <c r="A51" s="26" t="s">
        <v>40</v>
      </c>
      <c r="B51" s="26"/>
      <c r="C51" s="26"/>
      <c r="D51" s="32"/>
      <c r="E51" s="33">
        <f>SUM(E6:E50)</f>
        <v>68869.676699999982</v>
      </c>
      <c r="F51" s="34">
        <f>SUM(F6:F50)</f>
        <v>80.177681496979929</v>
      </c>
      <c r="G51" s="33"/>
      <c r="H51" s="18"/>
      <c r="I51" s="18"/>
    </row>
    <row r="52" spans="1:9" x14ac:dyDescent="0.2">
      <c r="A52" s="27"/>
      <c r="B52" s="27"/>
      <c r="C52" s="27"/>
      <c r="D52" s="28"/>
      <c r="E52" s="29"/>
      <c r="F52" s="30"/>
      <c r="G52" s="29"/>
    </row>
    <row r="53" spans="1:9" x14ac:dyDescent="0.2">
      <c r="A53" s="26" t="s">
        <v>41</v>
      </c>
      <c r="B53" s="27"/>
      <c r="C53" s="27"/>
      <c r="D53" s="28"/>
      <c r="E53" s="29"/>
      <c r="F53" s="30"/>
      <c r="G53" s="29"/>
    </row>
    <row r="54" spans="1:9" x14ac:dyDescent="0.2">
      <c r="A54" s="27" t="s">
        <v>954</v>
      </c>
      <c r="B54" s="27" t="s">
        <v>955</v>
      </c>
      <c r="C54" s="27" t="s">
        <v>39</v>
      </c>
      <c r="D54" s="31">
        <v>49</v>
      </c>
      <c r="E54" s="29">
        <v>492.92284999999998</v>
      </c>
      <c r="F54" s="30">
        <v>0.57385794682964797</v>
      </c>
      <c r="G54" s="29">
        <v>3.4870000000000001</v>
      </c>
    </row>
    <row r="55" spans="1:9" x14ac:dyDescent="0.2">
      <c r="A55" s="26" t="s">
        <v>40</v>
      </c>
      <c r="B55" s="26"/>
      <c r="C55" s="26"/>
      <c r="D55" s="32"/>
      <c r="E55" s="33">
        <f>SUM(E53:E54)</f>
        <v>492.92284999999998</v>
      </c>
      <c r="F55" s="34">
        <f>SUM(F53:F54)</f>
        <v>0.57385794682964797</v>
      </c>
      <c r="G55" s="33"/>
      <c r="H55" s="18"/>
      <c r="I55" s="18"/>
    </row>
    <row r="56" spans="1:9" x14ac:dyDescent="0.2">
      <c r="A56" s="27"/>
      <c r="B56" s="27"/>
      <c r="C56" s="27"/>
      <c r="D56" s="28"/>
      <c r="E56" s="29"/>
      <c r="F56" s="30"/>
      <c r="G56" s="29"/>
    </row>
    <row r="57" spans="1:9" x14ac:dyDescent="0.2">
      <c r="A57" s="26" t="s">
        <v>58</v>
      </c>
      <c r="B57" s="27"/>
      <c r="C57" s="27"/>
      <c r="D57" s="28"/>
      <c r="E57" s="29"/>
      <c r="F57" s="30"/>
      <c r="G57" s="29"/>
    </row>
    <row r="58" spans="1:9" x14ac:dyDescent="0.2">
      <c r="A58" s="26" t="s">
        <v>59</v>
      </c>
      <c r="B58" s="27"/>
      <c r="C58" s="27"/>
      <c r="D58" s="28"/>
      <c r="E58" s="29"/>
      <c r="F58" s="30"/>
      <c r="G58" s="29"/>
    </row>
    <row r="59" spans="1:9" x14ac:dyDescent="0.2">
      <c r="A59" s="27" t="s">
        <v>803</v>
      </c>
      <c r="B59" s="27" t="s">
        <v>804</v>
      </c>
      <c r="C59" s="27" t="s">
        <v>60</v>
      </c>
      <c r="D59" s="31">
        <v>1000</v>
      </c>
      <c r="E59" s="29">
        <v>999.15800000000002</v>
      </c>
      <c r="F59" s="30">
        <v>1.16321399675105</v>
      </c>
      <c r="G59" s="29">
        <v>3.0758999999999999</v>
      </c>
    </row>
    <row r="60" spans="1:9" x14ac:dyDescent="0.2">
      <c r="A60" s="26" t="s">
        <v>40</v>
      </c>
      <c r="B60" s="26"/>
      <c r="C60" s="26"/>
      <c r="D60" s="32"/>
      <c r="E60" s="33">
        <f>SUM(E58:E59)</f>
        <v>999.15800000000002</v>
      </c>
      <c r="F60" s="34">
        <f>SUM(F58:F59)</f>
        <v>1.16321399675105</v>
      </c>
      <c r="G60" s="33"/>
      <c r="H60" s="18"/>
      <c r="I60" s="18"/>
    </row>
    <row r="61" spans="1:9" x14ac:dyDescent="0.2">
      <c r="A61" s="27"/>
      <c r="B61" s="27"/>
      <c r="C61" s="27"/>
      <c r="D61" s="28"/>
      <c r="E61" s="29"/>
      <c r="F61" s="30"/>
      <c r="G61" s="29"/>
    </row>
    <row r="62" spans="1:9" x14ac:dyDescent="0.2">
      <c r="A62" s="26" t="s">
        <v>78</v>
      </c>
      <c r="B62" s="27"/>
      <c r="C62" s="27"/>
      <c r="D62" s="28"/>
      <c r="E62" s="29"/>
      <c r="F62" s="30"/>
      <c r="G62" s="29"/>
    </row>
    <row r="63" spans="1:9" x14ac:dyDescent="0.2">
      <c r="A63" s="27" t="s">
        <v>95</v>
      </c>
      <c r="B63" s="27" t="s">
        <v>94</v>
      </c>
      <c r="C63" s="27" t="s">
        <v>81</v>
      </c>
      <c r="D63" s="31">
        <v>4500000</v>
      </c>
      <c r="E63" s="29">
        <v>4624.1099999999997</v>
      </c>
      <c r="F63" s="30">
        <v>5.3833622655440703</v>
      </c>
      <c r="G63" s="29">
        <v>5.3429000000000002</v>
      </c>
    </row>
    <row r="64" spans="1:9" x14ac:dyDescent="0.2">
      <c r="A64" s="27" t="s">
        <v>85</v>
      </c>
      <c r="B64" s="27" t="s">
        <v>84</v>
      </c>
      <c r="C64" s="27" t="s">
        <v>81</v>
      </c>
      <c r="D64" s="31">
        <v>2000000</v>
      </c>
      <c r="E64" s="29">
        <v>2122.2539999999999</v>
      </c>
      <c r="F64" s="30">
        <v>2.4707159002489099</v>
      </c>
      <c r="G64" s="29">
        <v>5.0399000000000003</v>
      </c>
    </row>
    <row r="65" spans="1:9" x14ac:dyDescent="0.2">
      <c r="A65" s="27" t="s">
        <v>956</v>
      </c>
      <c r="B65" s="27" t="s">
        <v>957</v>
      </c>
      <c r="C65" s="27" t="s">
        <v>81</v>
      </c>
      <c r="D65" s="31">
        <v>2000000</v>
      </c>
      <c r="E65" s="29">
        <v>2106.5700000000002</v>
      </c>
      <c r="F65" s="30">
        <v>2.4524566776584402</v>
      </c>
      <c r="G65" s="29">
        <v>4.7142999999999997</v>
      </c>
    </row>
    <row r="66" spans="1:9" x14ac:dyDescent="0.2">
      <c r="A66" s="26" t="s">
        <v>40</v>
      </c>
      <c r="B66" s="26"/>
      <c r="C66" s="26"/>
      <c r="D66" s="32"/>
      <c r="E66" s="33">
        <f>SUM(E63:E65)</f>
        <v>8852.9339999999993</v>
      </c>
      <c r="F66" s="34">
        <f>SUM(F63:F65)</f>
        <v>10.30653484345142</v>
      </c>
      <c r="G66" s="33"/>
      <c r="H66" s="18"/>
      <c r="I66" s="18"/>
    </row>
    <row r="67" spans="1:9" x14ac:dyDescent="0.2">
      <c r="A67" s="27"/>
      <c r="B67" s="27"/>
      <c r="C67" s="27"/>
      <c r="D67" s="28"/>
      <c r="E67" s="29"/>
      <c r="F67" s="30"/>
      <c r="G67" s="29"/>
    </row>
    <row r="68" spans="1:9" x14ac:dyDescent="0.2">
      <c r="A68" s="26" t="s">
        <v>44</v>
      </c>
      <c r="B68" s="26"/>
      <c r="C68" s="26"/>
      <c r="D68" s="32"/>
      <c r="E68" s="33">
        <f>E51+E55+E60+E66</f>
        <v>79214.691549999974</v>
      </c>
      <c r="F68" s="34">
        <f>F51+F55+F60+F66</f>
        <v>92.221288284012047</v>
      </c>
      <c r="G68" s="33"/>
      <c r="H68" s="18"/>
      <c r="I68" s="18"/>
    </row>
    <row r="69" spans="1:9" x14ac:dyDescent="0.2">
      <c r="A69" s="26"/>
      <c r="B69" s="26"/>
      <c r="C69" s="26"/>
      <c r="D69" s="32"/>
      <c r="E69" s="33"/>
      <c r="F69" s="34"/>
      <c r="G69" s="33"/>
      <c r="H69" s="18"/>
      <c r="I69" s="18"/>
    </row>
    <row r="70" spans="1:9" x14ac:dyDescent="0.2">
      <c r="A70" s="26" t="s">
        <v>46</v>
      </c>
      <c r="B70" s="26"/>
      <c r="C70" s="26"/>
      <c r="D70" s="32"/>
      <c r="E70" s="33">
        <f>E72-(E51+E55+E60+E66)</f>
        <v>6681.6269942000217</v>
      </c>
      <c r="F70" s="34">
        <f>F72-(F51+F55+F60+F66)</f>
        <v>7.7787117159879529</v>
      </c>
      <c r="G70" s="33"/>
      <c r="H70" s="18"/>
      <c r="I70" s="18"/>
    </row>
    <row r="71" spans="1:9" x14ac:dyDescent="0.2">
      <c r="A71" s="26"/>
      <c r="B71" s="26"/>
      <c r="C71" s="26"/>
      <c r="D71" s="32"/>
      <c r="E71" s="33"/>
      <c r="F71" s="34"/>
      <c r="G71" s="33"/>
      <c r="H71" s="18"/>
      <c r="I71" s="18"/>
    </row>
    <row r="72" spans="1:9" x14ac:dyDescent="0.2">
      <c r="A72" s="35" t="s">
        <v>45</v>
      </c>
      <c r="B72" s="35"/>
      <c r="C72" s="35"/>
      <c r="D72" s="36"/>
      <c r="E72" s="37">
        <v>85896.318544199996</v>
      </c>
      <c r="F72" s="38">
        <v>100</v>
      </c>
      <c r="G72" s="37"/>
      <c r="H72" s="18"/>
      <c r="I72" s="18"/>
    </row>
    <row r="74" spans="1:9" x14ac:dyDescent="0.2">
      <c r="A74" s="18" t="s">
        <v>47</v>
      </c>
    </row>
    <row r="76" spans="1:9" x14ac:dyDescent="0.2">
      <c r="A76" s="18" t="s">
        <v>48</v>
      </c>
    </row>
    <row r="77" spans="1:9" x14ac:dyDescent="0.2">
      <c r="A77" s="18" t="s">
        <v>49</v>
      </c>
    </row>
    <row r="78" spans="1:9" x14ac:dyDescent="0.2">
      <c r="A78" s="18" t="s">
        <v>50</v>
      </c>
      <c r="B78" s="18"/>
      <c r="C78" s="39" t="s">
        <v>52</v>
      </c>
      <c r="D78" s="19" t="s">
        <v>51</v>
      </c>
    </row>
    <row r="79" spans="1:9" x14ac:dyDescent="0.2">
      <c r="A79" s="9" t="s">
        <v>70</v>
      </c>
      <c r="C79" s="40">
        <v>74.243499999999997</v>
      </c>
      <c r="D79" s="40">
        <v>76.493600000000001</v>
      </c>
    </row>
    <row r="80" spans="1:9" x14ac:dyDescent="0.2">
      <c r="A80" s="9" t="s">
        <v>71</v>
      </c>
      <c r="C80" s="40">
        <v>16.1068</v>
      </c>
      <c r="D80" s="40">
        <v>15.9818</v>
      </c>
    </row>
    <row r="81" spans="1:4" x14ac:dyDescent="0.2">
      <c r="A81" s="9" t="s">
        <v>72</v>
      </c>
      <c r="C81" s="40">
        <v>13.515599999999999</v>
      </c>
      <c r="D81" s="40">
        <v>13.368499999999999</v>
      </c>
    </row>
    <row r="82" spans="1:4" x14ac:dyDescent="0.2">
      <c r="A82" s="9" t="s">
        <v>958</v>
      </c>
      <c r="C82" s="40">
        <v>14.2956</v>
      </c>
      <c r="D82" s="40">
        <v>14.164400000000001</v>
      </c>
    </row>
    <row r="83" spans="1:4" x14ac:dyDescent="0.2">
      <c r="A83" s="9" t="s">
        <v>959</v>
      </c>
      <c r="C83" s="40">
        <v>17.8506</v>
      </c>
      <c r="D83" s="40">
        <v>18.3916</v>
      </c>
    </row>
    <row r="84" spans="1:4" x14ac:dyDescent="0.2">
      <c r="A84" s="9" t="s">
        <v>73</v>
      </c>
      <c r="C84" s="40">
        <v>78.306899999999999</v>
      </c>
      <c r="D84" s="40">
        <v>80.902500000000003</v>
      </c>
    </row>
    <row r="85" spans="1:4" x14ac:dyDescent="0.2">
      <c r="A85" s="9" t="s">
        <v>74</v>
      </c>
      <c r="C85" s="40">
        <v>17.358899999999998</v>
      </c>
      <c r="D85" s="40">
        <v>17.3203</v>
      </c>
    </row>
    <row r="86" spans="1:4" x14ac:dyDescent="0.2">
      <c r="A86" s="9" t="s">
        <v>75</v>
      </c>
      <c r="C86" s="40">
        <v>14.595599999999999</v>
      </c>
      <c r="D86" s="40">
        <v>14.5219</v>
      </c>
    </row>
    <row r="87" spans="1:4" x14ac:dyDescent="0.2">
      <c r="A87" s="9" t="s">
        <v>960</v>
      </c>
      <c r="C87" s="40">
        <v>15.713699999999999</v>
      </c>
      <c r="D87" s="40">
        <v>15.67</v>
      </c>
    </row>
    <row r="88" spans="1:4" x14ac:dyDescent="0.2">
      <c r="A88" s="9" t="s">
        <v>961</v>
      </c>
      <c r="C88" s="40">
        <v>19.281500000000001</v>
      </c>
      <c r="D88" s="40">
        <v>19.921099999999999</v>
      </c>
    </row>
    <row r="90" spans="1:4" x14ac:dyDescent="0.2">
      <c r="A90" s="18" t="s">
        <v>53</v>
      </c>
    </row>
    <row r="91" spans="1:4" x14ac:dyDescent="0.2">
      <c r="A91" s="74" t="s">
        <v>67</v>
      </c>
      <c r="B91" s="75"/>
      <c r="C91" s="44" t="s">
        <v>68</v>
      </c>
    </row>
    <row r="92" spans="1:4" x14ac:dyDescent="0.2">
      <c r="A92" s="68" t="s">
        <v>71</v>
      </c>
      <c r="B92" s="69"/>
      <c r="C92" s="45">
        <v>0.61</v>
      </c>
    </row>
    <row r="93" spans="1:4" x14ac:dyDescent="0.2">
      <c r="A93" s="68" t="s">
        <v>72</v>
      </c>
      <c r="B93" s="69"/>
      <c r="C93" s="45">
        <v>0.55000000000000004</v>
      </c>
    </row>
    <row r="94" spans="1:4" x14ac:dyDescent="0.2">
      <c r="A94" s="68" t="s">
        <v>958</v>
      </c>
      <c r="B94" s="69"/>
      <c r="C94" s="45">
        <v>0.55000000000000004</v>
      </c>
    </row>
    <row r="95" spans="1:4" x14ac:dyDescent="0.2">
      <c r="A95" s="68" t="s">
        <v>74</v>
      </c>
      <c r="B95" s="69"/>
      <c r="C95" s="45">
        <v>0.61</v>
      </c>
    </row>
    <row r="96" spans="1:4" x14ac:dyDescent="0.2">
      <c r="A96" s="68" t="s">
        <v>75</v>
      </c>
      <c r="B96" s="69"/>
      <c r="C96" s="45">
        <v>0.55000000000000004</v>
      </c>
    </row>
    <row r="97" spans="1:7" x14ac:dyDescent="0.2">
      <c r="A97" s="68" t="s">
        <v>960</v>
      </c>
      <c r="B97" s="69"/>
      <c r="C97" s="45">
        <v>0.55000000000000004</v>
      </c>
    </row>
    <row r="98" spans="1:7" x14ac:dyDescent="0.2">
      <c r="A98" s="9" t="s">
        <v>69</v>
      </c>
    </row>
    <row r="100" spans="1:7" x14ac:dyDescent="0.2">
      <c r="A100" s="18" t="s">
        <v>793</v>
      </c>
      <c r="D100" s="42">
        <v>2.2134212073972601</v>
      </c>
      <c r="E100" s="13" t="s">
        <v>55</v>
      </c>
    </row>
    <row r="102" spans="1:7" x14ac:dyDescent="0.2">
      <c r="A102" s="18" t="s">
        <v>1477</v>
      </c>
      <c r="D102" s="41" t="s">
        <v>54</v>
      </c>
    </row>
    <row r="104" spans="1:7" x14ac:dyDescent="0.2">
      <c r="A104" s="18" t="s">
        <v>962</v>
      </c>
    </row>
    <row r="105" spans="1:7" x14ac:dyDescent="0.2">
      <c r="A105" s="56" t="s">
        <v>963</v>
      </c>
    </row>
    <row r="106" spans="1:7" x14ac:dyDescent="0.2">
      <c r="A106" s="56"/>
    </row>
    <row r="107" spans="1:7" ht="14.4" x14ac:dyDescent="0.2">
      <c r="A107" s="70" t="s">
        <v>964</v>
      </c>
      <c r="B107" s="71"/>
      <c r="C107" s="71"/>
      <c r="D107" s="71"/>
      <c r="E107" s="71"/>
      <c r="F107" s="71"/>
      <c r="G107" s="71"/>
    </row>
    <row r="108" spans="1:7" x14ac:dyDescent="0.2">
      <c r="A108" s="50" t="s">
        <v>56</v>
      </c>
    </row>
    <row r="110" spans="1:7" x14ac:dyDescent="0.2">
      <c r="A110" s="50"/>
    </row>
  </sheetData>
  <mergeCells count="9">
    <mergeCell ref="A96:B96"/>
    <mergeCell ref="A97:B97"/>
    <mergeCell ref="A107:G107"/>
    <mergeCell ref="A1:G1"/>
    <mergeCell ref="A91:B91"/>
    <mergeCell ref="A92:B92"/>
    <mergeCell ref="A93:B93"/>
    <mergeCell ref="A94:B94"/>
    <mergeCell ref="A95:B95"/>
  </mergeCells>
  <conditionalFormatting sqref="F2:F3 F5:F106 F111:F65539">
    <cfRule type="cellIs" dxfId="171" priority="3" stopIfTrue="1" operator="between">
      <formula>0.009</formula>
      <formula>-0.009</formula>
    </cfRule>
  </conditionalFormatting>
  <conditionalFormatting sqref="F109:F110">
    <cfRule type="cellIs" dxfId="170" priority="2" stopIfTrue="1" operator="between">
      <formula>0.009</formula>
      <formula>-0.009</formula>
    </cfRule>
  </conditionalFormatting>
  <conditionalFormatting sqref="F108">
    <cfRule type="cellIs" dxfId="169" priority="1" stopIfTrue="1" operator="between">
      <formula>0.009</formula>
      <formula>-0.009</formula>
    </cfRule>
  </conditionalFormatting>
  <hyperlinks>
    <hyperlink ref="A105" r:id="rId1" xr:uid="{00000000-0004-0000-0400-000000000000}"/>
    <hyperlink ref="A108" r:id="rId2" xr:uid="{00000000-0004-0000-04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7"/>
  <sheetViews>
    <sheetView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965</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966</v>
      </c>
      <c r="B7" s="27" t="s">
        <v>967</v>
      </c>
      <c r="C7" s="27" t="s">
        <v>39</v>
      </c>
      <c r="D7" s="31">
        <v>750</v>
      </c>
      <c r="E7" s="29">
        <v>7808.52</v>
      </c>
      <c r="F7" s="30">
        <v>7.8713688212767599</v>
      </c>
      <c r="G7" s="29">
        <v>5.8049999999999997</v>
      </c>
    </row>
    <row r="8" spans="1:7" x14ac:dyDescent="0.2">
      <c r="A8" s="27" t="s">
        <v>968</v>
      </c>
      <c r="B8" s="27" t="s">
        <v>969</v>
      </c>
      <c r="C8" s="27" t="s">
        <v>970</v>
      </c>
      <c r="D8" s="31">
        <v>500</v>
      </c>
      <c r="E8" s="29">
        <v>5172.2299999999996</v>
      </c>
      <c r="F8" s="30">
        <v>5.2138599835144603</v>
      </c>
      <c r="G8" s="29">
        <v>4.8150000000000004</v>
      </c>
    </row>
    <row r="9" spans="1:7" x14ac:dyDescent="0.2">
      <c r="A9" s="27" t="s">
        <v>971</v>
      </c>
      <c r="B9" s="27" t="s">
        <v>972</v>
      </c>
      <c r="C9" s="27" t="s">
        <v>39</v>
      </c>
      <c r="D9" s="31">
        <v>500</v>
      </c>
      <c r="E9" s="29">
        <v>5091.74</v>
      </c>
      <c r="F9" s="30">
        <v>5.1327221396689398</v>
      </c>
      <c r="G9" s="29">
        <v>4.2249999999999996</v>
      </c>
    </row>
    <row r="10" spans="1:7" x14ac:dyDescent="0.2">
      <c r="A10" s="27" t="s">
        <v>973</v>
      </c>
      <c r="B10" s="27" t="s">
        <v>974</v>
      </c>
      <c r="C10" s="27" t="s">
        <v>39</v>
      </c>
      <c r="D10" s="31">
        <v>500</v>
      </c>
      <c r="E10" s="29">
        <v>5033.0150000000003</v>
      </c>
      <c r="F10" s="30">
        <v>5.0735244768558303</v>
      </c>
      <c r="G10" s="29">
        <v>4.6500000000000004</v>
      </c>
    </row>
    <row r="11" spans="1:7" x14ac:dyDescent="0.2">
      <c r="A11" s="27" t="s">
        <v>975</v>
      </c>
      <c r="B11" s="27" t="s">
        <v>976</v>
      </c>
      <c r="C11" s="27" t="s">
        <v>39</v>
      </c>
      <c r="D11" s="31">
        <v>400</v>
      </c>
      <c r="E11" s="29">
        <v>4244.7759999999998</v>
      </c>
      <c r="F11" s="30">
        <v>4.2789411386157497</v>
      </c>
      <c r="G11" s="29">
        <v>6.26</v>
      </c>
    </row>
    <row r="12" spans="1:7" x14ac:dyDescent="0.2">
      <c r="A12" s="27" t="s">
        <v>913</v>
      </c>
      <c r="B12" s="27" t="s">
        <v>914</v>
      </c>
      <c r="C12" s="27" t="s">
        <v>39</v>
      </c>
      <c r="D12" s="31">
        <v>400</v>
      </c>
      <c r="E12" s="29">
        <v>4149.62</v>
      </c>
      <c r="F12" s="30">
        <v>4.1830192518103901</v>
      </c>
      <c r="G12" s="29">
        <v>6.25</v>
      </c>
    </row>
    <row r="13" spans="1:7" x14ac:dyDescent="0.2">
      <c r="A13" s="27" t="s">
        <v>977</v>
      </c>
      <c r="B13" s="27" t="s">
        <v>978</v>
      </c>
      <c r="C13" s="27" t="s">
        <v>979</v>
      </c>
      <c r="D13" s="31">
        <v>400</v>
      </c>
      <c r="E13" s="29">
        <v>3843.944</v>
      </c>
      <c r="F13" s="30">
        <v>3.8748829422648399</v>
      </c>
      <c r="G13" s="29">
        <v>7.2173999999999996</v>
      </c>
    </row>
    <row r="14" spans="1:7" x14ac:dyDescent="0.2">
      <c r="A14" s="27" t="s">
        <v>896</v>
      </c>
      <c r="B14" s="27" t="s">
        <v>897</v>
      </c>
      <c r="C14" s="27" t="s">
        <v>898</v>
      </c>
      <c r="D14" s="31">
        <v>300</v>
      </c>
      <c r="E14" s="29">
        <v>3150.96</v>
      </c>
      <c r="F14" s="30">
        <v>3.17632128765633</v>
      </c>
      <c r="G14" s="29">
        <v>5.0999999999999996</v>
      </c>
    </row>
    <row r="15" spans="1:7" x14ac:dyDescent="0.2">
      <c r="A15" s="27" t="s">
        <v>980</v>
      </c>
      <c r="B15" s="27" t="s">
        <v>981</v>
      </c>
      <c r="C15" s="27" t="s">
        <v>898</v>
      </c>
      <c r="D15" s="31">
        <v>300</v>
      </c>
      <c r="E15" s="29">
        <v>3109.779</v>
      </c>
      <c r="F15" s="30">
        <v>3.1348088321040599</v>
      </c>
      <c r="G15" s="29">
        <v>4.55</v>
      </c>
    </row>
    <row r="16" spans="1:7" x14ac:dyDescent="0.2">
      <c r="A16" s="27" t="s">
        <v>872</v>
      </c>
      <c r="B16" s="27" t="s">
        <v>873</v>
      </c>
      <c r="C16" s="27" t="s">
        <v>874</v>
      </c>
      <c r="D16" s="31">
        <v>300</v>
      </c>
      <c r="E16" s="29">
        <v>3077.6880000000001</v>
      </c>
      <c r="F16" s="30">
        <v>3.10245953968455</v>
      </c>
      <c r="G16" s="29">
        <v>5.9432</v>
      </c>
    </row>
    <row r="17" spans="1:7" x14ac:dyDescent="0.2">
      <c r="A17" s="27" t="s">
        <v>982</v>
      </c>
      <c r="B17" s="27" t="s">
        <v>983</v>
      </c>
      <c r="C17" s="27" t="s">
        <v>39</v>
      </c>
      <c r="D17" s="31">
        <v>250</v>
      </c>
      <c r="E17" s="29">
        <v>2767.5275000000001</v>
      </c>
      <c r="F17" s="30">
        <v>2.7898026355219701</v>
      </c>
      <c r="G17" s="29">
        <v>5.7450000000000001</v>
      </c>
    </row>
    <row r="18" spans="1:7" x14ac:dyDescent="0.2">
      <c r="A18" s="27" t="s">
        <v>984</v>
      </c>
      <c r="B18" s="27" t="s">
        <v>985</v>
      </c>
      <c r="C18" s="27" t="s">
        <v>898</v>
      </c>
      <c r="D18" s="31">
        <v>250</v>
      </c>
      <c r="E18" s="29">
        <v>2586.8724999999999</v>
      </c>
      <c r="F18" s="30">
        <v>2.6076935886849602</v>
      </c>
      <c r="G18" s="29">
        <v>4.375</v>
      </c>
    </row>
    <row r="19" spans="1:7" x14ac:dyDescent="0.2">
      <c r="A19" s="27" t="s">
        <v>986</v>
      </c>
      <c r="B19" s="27" t="s">
        <v>987</v>
      </c>
      <c r="C19" s="27" t="s">
        <v>39</v>
      </c>
      <c r="D19" s="31">
        <v>250</v>
      </c>
      <c r="E19" s="29">
        <v>2576.6125000000002</v>
      </c>
      <c r="F19" s="30">
        <v>2.59735100851531</v>
      </c>
      <c r="G19" s="29">
        <v>4.7649999999999997</v>
      </c>
    </row>
    <row r="20" spans="1:7" x14ac:dyDescent="0.2">
      <c r="A20" s="27" t="s">
        <v>988</v>
      </c>
      <c r="B20" s="27" t="s">
        <v>989</v>
      </c>
      <c r="C20" s="27" t="s">
        <v>39</v>
      </c>
      <c r="D20" s="31">
        <v>250</v>
      </c>
      <c r="E20" s="29">
        <v>2448.5425</v>
      </c>
      <c r="F20" s="30">
        <v>2.4682502051696198</v>
      </c>
      <c r="G20" s="29">
        <v>5.9348000000000001</v>
      </c>
    </row>
    <row r="21" spans="1:7" x14ac:dyDescent="0.2">
      <c r="A21" s="27" t="s">
        <v>905</v>
      </c>
      <c r="B21" s="27" t="s">
        <v>906</v>
      </c>
      <c r="C21" s="27" t="s">
        <v>39</v>
      </c>
      <c r="D21" s="31">
        <v>210</v>
      </c>
      <c r="E21" s="29">
        <v>2270.3793000000001</v>
      </c>
      <c r="F21" s="30">
        <v>2.2886530142065502</v>
      </c>
      <c r="G21" s="29">
        <v>5.9649999999999999</v>
      </c>
    </row>
    <row r="22" spans="1:7" x14ac:dyDescent="0.2">
      <c r="A22" s="27" t="s">
        <v>915</v>
      </c>
      <c r="B22" s="27" t="s">
        <v>916</v>
      </c>
      <c r="C22" s="27" t="s">
        <v>39</v>
      </c>
      <c r="D22" s="31">
        <v>150</v>
      </c>
      <c r="E22" s="29">
        <v>1543.6845000000001</v>
      </c>
      <c r="F22" s="30">
        <v>1.5561092298141299</v>
      </c>
      <c r="G22" s="29">
        <v>5.4905999999999997</v>
      </c>
    </row>
    <row r="23" spans="1:7" x14ac:dyDescent="0.2">
      <c r="A23" s="27" t="s">
        <v>903</v>
      </c>
      <c r="B23" s="27" t="s">
        <v>904</v>
      </c>
      <c r="C23" s="27" t="s">
        <v>39</v>
      </c>
      <c r="D23" s="31">
        <v>120</v>
      </c>
      <c r="E23" s="29">
        <v>1231.3607999999999</v>
      </c>
      <c r="F23" s="30">
        <v>1.2412717145966701</v>
      </c>
      <c r="G23" s="29">
        <v>3.83</v>
      </c>
    </row>
    <row r="24" spans="1:7" x14ac:dyDescent="0.2">
      <c r="A24" s="27" t="s">
        <v>928</v>
      </c>
      <c r="B24" s="27" t="s">
        <v>929</v>
      </c>
      <c r="C24" s="27" t="s">
        <v>898</v>
      </c>
      <c r="D24" s="31">
        <v>120</v>
      </c>
      <c r="E24" s="29">
        <v>1228.548</v>
      </c>
      <c r="F24" s="30">
        <v>1.23843627507414</v>
      </c>
      <c r="G24" s="29">
        <v>3.8999000000000001</v>
      </c>
    </row>
    <row r="25" spans="1:7" x14ac:dyDescent="0.2">
      <c r="A25" s="27" t="s">
        <v>930</v>
      </c>
      <c r="B25" s="27" t="s">
        <v>931</v>
      </c>
      <c r="C25" s="27" t="s">
        <v>39</v>
      </c>
      <c r="D25" s="31">
        <v>110</v>
      </c>
      <c r="E25" s="29">
        <v>1192.6475</v>
      </c>
      <c r="F25" s="30">
        <v>1.20224682094349</v>
      </c>
      <c r="G25" s="29">
        <v>6.5446</v>
      </c>
    </row>
    <row r="26" spans="1:7" x14ac:dyDescent="0.2">
      <c r="A26" s="27" t="s">
        <v>990</v>
      </c>
      <c r="B26" s="27" t="s">
        <v>991</v>
      </c>
      <c r="C26" s="27" t="s">
        <v>898</v>
      </c>
      <c r="D26" s="31">
        <v>100</v>
      </c>
      <c r="E26" s="29">
        <v>1089.0029999999999</v>
      </c>
      <c r="F26" s="30">
        <v>1.0977681123281799</v>
      </c>
      <c r="G26" s="29">
        <v>6.1649000000000003</v>
      </c>
    </row>
    <row r="27" spans="1:7" x14ac:dyDescent="0.2">
      <c r="A27" s="27" t="s">
        <v>992</v>
      </c>
      <c r="B27" s="27" t="s">
        <v>993</v>
      </c>
      <c r="C27" s="27" t="s">
        <v>39</v>
      </c>
      <c r="D27" s="31">
        <v>100</v>
      </c>
      <c r="E27" s="29">
        <v>1062.127</v>
      </c>
      <c r="F27" s="30">
        <v>1.0706757941372</v>
      </c>
      <c r="G27" s="29">
        <v>6.4348999999999998</v>
      </c>
    </row>
    <row r="28" spans="1:7" x14ac:dyDescent="0.2">
      <c r="A28" s="27" t="s">
        <v>994</v>
      </c>
      <c r="B28" s="27" t="s">
        <v>995</v>
      </c>
      <c r="C28" s="27" t="s">
        <v>898</v>
      </c>
      <c r="D28" s="31">
        <v>500</v>
      </c>
      <c r="E28" s="29">
        <v>1028.5070000000001</v>
      </c>
      <c r="F28" s="30">
        <v>1.03678519517974</v>
      </c>
      <c r="G28" s="29">
        <v>6.5350000000000001</v>
      </c>
    </row>
    <row r="29" spans="1:7" x14ac:dyDescent="0.2">
      <c r="A29" s="27" t="s">
        <v>996</v>
      </c>
      <c r="B29" s="27" t="s">
        <v>997</v>
      </c>
      <c r="C29" s="27" t="s">
        <v>998</v>
      </c>
      <c r="D29" s="31">
        <v>100</v>
      </c>
      <c r="E29" s="29">
        <v>1022.083</v>
      </c>
      <c r="F29" s="30">
        <v>1.03030949001309</v>
      </c>
      <c r="G29" s="29">
        <v>9.3588000000000005</v>
      </c>
    </row>
    <row r="30" spans="1:7" x14ac:dyDescent="0.2">
      <c r="A30" s="27" t="s">
        <v>999</v>
      </c>
      <c r="B30" s="27" t="s">
        <v>1000</v>
      </c>
      <c r="C30" s="27" t="s">
        <v>898</v>
      </c>
      <c r="D30" s="31">
        <v>500</v>
      </c>
      <c r="E30" s="29">
        <v>1012.801</v>
      </c>
      <c r="F30" s="30">
        <v>1.02095278152043</v>
      </c>
      <c r="G30" s="29">
        <v>6.5350000000000001</v>
      </c>
    </row>
    <row r="31" spans="1:7" x14ac:dyDescent="0.2">
      <c r="A31" s="27" t="s">
        <v>1001</v>
      </c>
      <c r="B31" s="27" t="s">
        <v>1002</v>
      </c>
      <c r="C31" s="27" t="s">
        <v>39</v>
      </c>
      <c r="D31" s="31">
        <v>50</v>
      </c>
      <c r="E31" s="29">
        <v>544.38099999999997</v>
      </c>
      <c r="F31" s="30">
        <v>0.54876258628977903</v>
      </c>
      <c r="G31" s="29">
        <v>5.9649999999999999</v>
      </c>
    </row>
    <row r="32" spans="1:7" x14ac:dyDescent="0.2">
      <c r="A32" s="27" t="s">
        <v>1003</v>
      </c>
      <c r="B32" s="27" t="s">
        <v>1004</v>
      </c>
      <c r="C32" s="27" t="s">
        <v>39</v>
      </c>
      <c r="D32" s="31">
        <v>50</v>
      </c>
      <c r="E32" s="29">
        <v>543.45249999999999</v>
      </c>
      <c r="F32" s="30">
        <v>0.54782661302588798</v>
      </c>
      <c r="G32" s="29">
        <v>6.04</v>
      </c>
    </row>
    <row r="33" spans="1:9" x14ac:dyDescent="0.2">
      <c r="A33" s="27" t="s">
        <v>1005</v>
      </c>
      <c r="B33" s="27" t="s">
        <v>1006</v>
      </c>
      <c r="C33" s="27" t="s">
        <v>39</v>
      </c>
      <c r="D33" s="31">
        <v>50</v>
      </c>
      <c r="E33" s="29">
        <v>538.84050000000002</v>
      </c>
      <c r="F33" s="30">
        <v>0.54317749219329403</v>
      </c>
      <c r="G33" s="29">
        <v>5.6950000000000003</v>
      </c>
    </row>
    <row r="34" spans="1:9" x14ac:dyDescent="0.2">
      <c r="A34" s="27" t="s">
        <v>911</v>
      </c>
      <c r="B34" s="27" t="s">
        <v>912</v>
      </c>
      <c r="C34" s="27" t="s">
        <v>39</v>
      </c>
      <c r="D34" s="31">
        <v>50</v>
      </c>
      <c r="E34" s="29">
        <v>531.88800000000003</v>
      </c>
      <c r="F34" s="30">
        <v>0.53616903326254595</v>
      </c>
      <c r="G34" s="29">
        <v>6.4850000000000003</v>
      </c>
    </row>
    <row r="35" spans="1:9" x14ac:dyDescent="0.2">
      <c r="A35" s="27" t="s">
        <v>878</v>
      </c>
      <c r="B35" s="27" t="s">
        <v>879</v>
      </c>
      <c r="C35" s="27" t="s">
        <v>867</v>
      </c>
      <c r="D35" s="31">
        <v>50</v>
      </c>
      <c r="E35" s="29">
        <v>514.22249999999997</v>
      </c>
      <c r="F35" s="30">
        <v>0.51836134807863599</v>
      </c>
      <c r="G35" s="29">
        <v>6.1935000000000002</v>
      </c>
    </row>
    <row r="36" spans="1:9" x14ac:dyDescent="0.2">
      <c r="A36" s="27" t="s">
        <v>880</v>
      </c>
      <c r="B36" s="27" t="s">
        <v>881</v>
      </c>
      <c r="C36" s="27" t="s">
        <v>39</v>
      </c>
      <c r="D36" s="31">
        <v>32</v>
      </c>
      <c r="E36" s="29">
        <v>331.84447999999998</v>
      </c>
      <c r="F36" s="30">
        <v>0.33451541308529698</v>
      </c>
      <c r="G36" s="29">
        <v>4.47</v>
      </c>
    </row>
    <row r="37" spans="1:9" x14ac:dyDescent="0.2">
      <c r="A37" s="27" t="s">
        <v>91</v>
      </c>
      <c r="B37" s="27" t="s">
        <v>90</v>
      </c>
      <c r="C37" s="27" t="s">
        <v>39</v>
      </c>
      <c r="D37" s="31">
        <v>30</v>
      </c>
      <c r="E37" s="29">
        <v>325.33199999999999</v>
      </c>
      <c r="F37" s="30">
        <v>0.32795051576529399</v>
      </c>
      <c r="G37" s="29">
        <v>7.4237000000000002</v>
      </c>
    </row>
    <row r="38" spans="1:9" x14ac:dyDescent="0.2">
      <c r="A38" s="27" t="s">
        <v>1007</v>
      </c>
      <c r="B38" s="27" t="s">
        <v>1008</v>
      </c>
      <c r="C38" s="27" t="s">
        <v>1009</v>
      </c>
      <c r="D38" s="31">
        <v>27</v>
      </c>
      <c r="E38" s="29">
        <v>285.20720999999998</v>
      </c>
      <c r="F38" s="30">
        <v>0.28750277138271202</v>
      </c>
      <c r="G38" s="29">
        <v>4.1999000000000004</v>
      </c>
    </row>
    <row r="39" spans="1:9" x14ac:dyDescent="0.2">
      <c r="A39" s="27" t="s">
        <v>950</v>
      </c>
      <c r="B39" s="27" t="s">
        <v>951</v>
      </c>
      <c r="C39" s="27" t="s">
        <v>39</v>
      </c>
      <c r="D39" s="31">
        <v>23</v>
      </c>
      <c r="E39" s="29">
        <v>234.58136999999999</v>
      </c>
      <c r="F39" s="30">
        <v>0.23646945667941999</v>
      </c>
      <c r="G39" s="29">
        <v>3.8915999999999999</v>
      </c>
    </row>
    <row r="40" spans="1:9" x14ac:dyDescent="0.2">
      <c r="A40" s="27" t="s">
        <v>1010</v>
      </c>
      <c r="B40" s="27" t="s">
        <v>1011</v>
      </c>
      <c r="C40" s="27" t="s">
        <v>898</v>
      </c>
      <c r="D40" s="31">
        <v>5</v>
      </c>
      <c r="E40" s="29">
        <v>51.967750000000002</v>
      </c>
      <c r="F40" s="30">
        <v>5.2386025400704E-2</v>
      </c>
      <c r="G40" s="29">
        <v>4.3650000000000002</v>
      </c>
    </row>
    <row r="41" spans="1:9" x14ac:dyDescent="0.2">
      <c r="A41" s="27" t="s">
        <v>948</v>
      </c>
      <c r="B41" s="27" t="s">
        <v>949</v>
      </c>
      <c r="C41" s="27" t="s">
        <v>39</v>
      </c>
      <c r="D41" s="31">
        <v>2</v>
      </c>
      <c r="E41" s="29">
        <v>20.038620000000002</v>
      </c>
      <c r="F41" s="30">
        <v>2.0199905832271998E-2</v>
      </c>
      <c r="G41" s="29">
        <v>3.1497000000000002</v>
      </c>
    </row>
    <row r="42" spans="1:9" x14ac:dyDescent="0.2">
      <c r="A42" s="27" t="s">
        <v>1012</v>
      </c>
      <c r="B42" s="27" t="s">
        <v>1013</v>
      </c>
      <c r="C42" s="27" t="s">
        <v>39</v>
      </c>
      <c r="D42" s="31">
        <v>1</v>
      </c>
      <c r="E42" s="29">
        <v>10.06897</v>
      </c>
      <c r="F42" s="30">
        <v>1.01500126170351E-2</v>
      </c>
      <c r="G42" s="29">
        <v>3.3048999999999999</v>
      </c>
    </row>
    <row r="43" spans="1:9" x14ac:dyDescent="0.2">
      <c r="A43" s="26" t="s">
        <v>40</v>
      </c>
      <c r="B43" s="26"/>
      <c r="C43" s="26"/>
      <c r="D43" s="32"/>
      <c r="E43" s="33">
        <f>SUM(E6:E42)</f>
        <v>71674.793000000005</v>
      </c>
      <c r="F43" s="34">
        <f>SUM(F6:F42)</f>
        <v>72.251685452770317</v>
      </c>
      <c r="G43" s="33"/>
      <c r="H43" s="18"/>
      <c r="I43" s="18"/>
    </row>
    <row r="44" spans="1:9" x14ac:dyDescent="0.2">
      <c r="A44" s="27"/>
      <c r="B44" s="27"/>
      <c r="C44" s="27"/>
      <c r="D44" s="28"/>
      <c r="E44" s="29"/>
      <c r="F44" s="30"/>
      <c r="G44" s="29"/>
    </row>
    <row r="45" spans="1:9" x14ac:dyDescent="0.2">
      <c r="A45" s="26" t="s">
        <v>58</v>
      </c>
      <c r="B45" s="27"/>
      <c r="C45" s="27"/>
      <c r="D45" s="28"/>
      <c r="E45" s="29"/>
      <c r="F45" s="30"/>
      <c r="G45" s="29"/>
    </row>
    <row r="46" spans="1:9" x14ac:dyDescent="0.2">
      <c r="A46" s="26" t="s">
        <v>59</v>
      </c>
      <c r="B46" s="27"/>
      <c r="C46" s="27"/>
      <c r="D46" s="28"/>
      <c r="E46" s="29"/>
      <c r="F46" s="30"/>
      <c r="G46" s="29"/>
    </row>
    <row r="47" spans="1:9" x14ac:dyDescent="0.2">
      <c r="A47" s="27" t="s">
        <v>803</v>
      </c>
      <c r="B47" s="27" t="s">
        <v>804</v>
      </c>
      <c r="C47" s="27" t="s">
        <v>60</v>
      </c>
      <c r="D47" s="31">
        <v>6500</v>
      </c>
      <c r="E47" s="29">
        <v>6494.527</v>
      </c>
      <c r="F47" s="30">
        <v>6.5467998208034404</v>
      </c>
      <c r="G47" s="29">
        <v>3.0758999999999999</v>
      </c>
    </row>
    <row r="48" spans="1:9" x14ac:dyDescent="0.2">
      <c r="A48" s="27" t="s">
        <v>811</v>
      </c>
      <c r="B48" s="27" t="s">
        <v>812</v>
      </c>
      <c r="C48" s="27" t="s">
        <v>60</v>
      </c>
      <c r="D48" s="31">
        <v>2500</v>
      </c>
      <c r="E48" s="29">
        <v>2498.7275</v>
      </c>
      <c r="F48" s="30">
        <v>2.5188391316621899</v>
      </c>
      <c r="G48" s="29">
        <v>3.0979999999999999</v>
      </c>
    </row>
    <row r="49" spans="1:9" x14ac:dyDescent="0.2">
      <c r="A49" s="27" t="s">
        <v>1014</v>
      </c>
      <c r="B49" s="27" t="s">
        <v>1015</v>
      </c>
      <c r="C49" s="27" t="s">
        <v>60</v>
      </c>
      <c r="D49" s="31">
        <v>2500</v>
      </c>
      <c r="E49" s="29">
        <v>2475.8625000000002</v>
      </c>
      <c r="F49" s="30">
        <v>2.4957900970053699</v>
      </c>
      <c r="G49" s="29">
        <v>3.4550000000000001</v>
      </c>
    </row>
    <row r="50" spans="1:9" x14ac:dyDescent="0.2">
      <c r="A50" s="26" t="s">
        <v>40</v>
      </c>
      <c r="B50" s="26"/>
      <c r="C50" s="26"/>
      <c r="D50" s="32"/>
      <c r="E50" s="33">
        <f>SUM(E46:E49)</f>
        <v>11469.116999999998</v>
      </c>
      <c r="F50" s="34">
        <f>SUM(F46:F49)</f>
        <v>11.561429049471</v>
      </c>
      <c r="G50" s="33"/>
      <c r="H50" s="18"/>
      <c r="I50" s="18"/>
    </row>
    <row r="51" spans="1:9" x14ac:dyDescent="0.2">
      <c r="A51" s="27"/>
      <c r="B51" s="27"/>
      <c r="C51" s="27"/>
      <c r="D51" s="28"/>
      <c r="E51" s="29"/>
      <c r="F51" s="30"/>
      <c r="G51" s="29"/>
    </row>
    <row r="52" spans="1:9" x14ac:dyDescent="0.2">
      <c r="A52" s="26" t="s">
        <v>78</v>
      </c>
      <c r="B52" s="27"/>
      <c r="C52" s="27"/>
      <c r="D52" s="28"/>
      <c r="E52" s="29"/>
      <c r="F52" s="30"/>
      <c r="G52" s="29"/>
    </row>
    <row r="53" spans="1:9" x14ac:dyDescent="0.2">
      <c r="A53" s="27" t="s">
        <v>95</v>
      </c>
      <c r="B53" s="27" t="s">
        <v>94</v>
      </c>
      <c r="C53" s="27" t="s">
        <v>81</v>
      </c>
      <c r="D53" s="31">
        <v>5500000</v>
      </c>
      <c r="E53" s="29">
        <v>5651.69</v>
      </c>
      <c r="F53" s="30">
        <v>5.6971790369393496</v>
      </c>
      <c r="G53" s="29">
        <v>5.3429000000000002</v>
      </c>
    </row>
    <row r="54" spans="1:9" x14ac:dyDescent="0.2">
      <c r="A54" s="27" t="s">
        <v>85</v>
      </c>
      <c r="B54" s="27" t="s">
        <v>84</v>
      </c>
      <c r="C54" s="27" t="s">
        <v>81</v>
      </c>
      <c r="D54" s="31">
        <v>3000000</v>
      </c>
      <c r="E54" s="29">
        <v>3183.3809999999999</v>
      </c>
      <c r="F54" s="30">
        <v>3.20900323616317</v>
      </c>
      <c r="G54" s="29">
        <v>5.0399000000000003</v>
      </c>
    </row>
    <row r="55" spans="1:9" x14ac:dyDescent="0.2">
      <c r="A55" s="27" t="s">
        <v>956</v>
      </c>
      <c r="B55" s="27" t="s">
        <v>957</v>
      </c>
      <c r="C55" s="27" t="s">
        <v>81</v>
      </c>
      <c r="D55" s="31">
        <v>3000000</v>
      </c>
      <c r="E55" s="29">
        <v>3159.855</v>
      </c>
      <c r="F55" s="30">
        <v>3.1852878812829402</v>
      </c>
      <c r="G55" s="29">
        <v>4.7142999999999997</v>
      </c>
    </row>
    <row r="56" spans="1:9" x14ac:dyDescent="0.2">
      <c r="A56" s="26" t="s">
        <v>40</v>
      </c>
      <c r="B56" s="26"/>
      <c r="C56" s="26"/>
      <c r="D56" s="32"/>
      <c r="E56" s="33">
        <f>SUM(E53:E55)</f>
        <v>11994.925999999999</v>
      </c>
      <c r="F56" s="34">
        <f>SUM(F53:F55)</f>
        <v>12.09147015438546</v>
      </c>
      <c r="G56" s="33"/>
      <c r="H56" s="18"/>
      <c r="I56" s="18"/>
    </row>
    <row r="57" spans="1:9" x14ac:dyDescent="0.2">
      <c r="A57" s="27"/>
      <c r="B57" s="27"/>
      <c r="C57" s="27"/>
      <c r="D57" s="28"/>
      <c r="E57" s="29"/>
      <c r="F57" s="30"/>
      <c r="G57" s="29"/>
    </row>
    <row r="58" spans="1:9" x14ac:dyDescent="0.2">
      <c r="A58" s="26" t="s">
        <v>44</v>
      </c>
      <c r="B58" s="26"/>
      <c r="C58" s="26"/>
      <c r="D58" s="32"/>
      <c r="E58" s="33">
        <f>E43+E50+E56</f>
        <v>95138.83600000001</v>
      </c>
      <c r="F58" s="34">
        <f>F43+F50+F56</f>
        <v>95.904584656626781</v>
      </c>
      <c r="G58" s="33"/>
      <c r="H58" s="18"/>
      <c r="I58" s="18"/>
    </row>
    <row r="59" spans="1:9" x14ac:dyDescent="0.2">
      <c r="A59" s="26"/>
      <c r="B59" s="26"/>
      <c r="C59" s="26"/>
      <c r="D59" s="32"/>
      <c r="E59" s="33"/>
      <c r="F59" s="34"/>
      <c r="G59" s="33"/>
      <c r="H59" s="18"/>
      <c r="I59" s="18"/>
    </row>
    <row r="60" spans="1:9" x14ac:dyDescent="0.2">
      <c r="A60" s="26" t="s">
        <v>46</v>
      </c>
      <c r="B60" s="26"/>
      <c r="C60" s="26"/>
      <c r="D60" s="32"/>
      <c r="E60" s="33">
        <f>E62-(E43+E50+E56)</f>
        <v>4062.7155635999952</v>
      </c>
      <c r="F60" s="34">
        <f>F62-(F43+F50+F56)</f>
        <v>4.0954153433732188</v>
      </c>
      <c r="G60" s="33"/>
      <c r="H60" s="18"/>
      <c r="I60" s="18"/>
    </row>
    <row r="61" spans="1:9" x14ac:dyDescent="0.2">
      <c r="A61" s="26"/>
      <c r="B61" s="26"/>
      <c r="C61" s="26"/>
      <c r="D61" s="32"/>
      <c r="E61" s="33"/>
      <c r="F61" s="34"/>
      <c r="G61" s="33"/>
      <c r="H61" s="18"/>
      <c r="I61" s="18"/>
    </row>
    <row r="62" spans="1:9" x14ac:dyDescent="0.2">
      <c r="A62" s="35" t="s">
        <v>45</v>
      </c>
      <c r="B62" s="35"/>
      <c r="C62" s="35"/>
      <c r="D62" s="36"/>
      <c r="E62" s="37">
        <v>99201.551563600005</v>
      </c>
      <c r="F62" s="38">
        <v>100</v>
      </c>
      <c r="G62" s="37"/>
      <c r="H62" s="18"/>
      <c r="I62" s="18"/>
    </row>
    <row r="64" spans="1:9" x14ac:dyDescent="0.2">
      <c r="A64" s="18" t="s">
        <v>47</v>
      </c>
    </row>
    <row r="66" spans="1:5" x14ac:dyDescent="0.2">
      <c r="A66" s="18" t="s">
        <v>48</v>
      </c>
    </row>
    <row r="67" spans="1:5" x14ac:dyDescent="0.2">
      <c r="A67" s="18" t="s">
        <v>49</v>
      </c>
    </row>
    <row r="68" spans="1:5" x14ac:dyDescent="0.2">
      <c r="A68" s="18" t="s">
        <v>50</v>
      </c>
      <c r="B68" s="18"/>
      <c r="C68" s="39" t="s">
        <v>52</v>
      </c>
      <c r="D68" s="19" t="s">
        <v>51</v>
      </c>
    </row>
    <row r="69" spans="1:5" x14ac:dyDescent="0.2">
      <c r="A69" s="9" t="s">
        <v>70</v>
      </c>
      <c r="C69" s="40">
        <v>16.985499999999998</v>
      </c>
      <c r="D69" s="40">
        <v>17.3413</v>
      </c>
    </row>
    <row r="70" spans="1:5" x14ac:dyDescent="0.2">
      <c r="A70" s="9" t="s">
        <v>76</v>
      </c>
      <c r="C70" s="40">
        <v>10.885300000000001</v>
      </c>
      <c r="D70" s="40">
        <v>10.710599999999999</v>
      </c>
    </row>
    <row r="71" spans="1:5" x14ac:dyDescent="0.2">
      <c r="A71" s="9" t="s">
        <v>73</v>
      </c>
      <c r="C71" s="40">
        <v>17.462</v>
      </c>
      <c r="D71" s="40">
        <v>17.855</v>
      </c>
    </row>
    <row r="72" spans="1:5" x14ac:dyDescent="0.2">
      <c r="A72" s="9" t="s">
        <v>77</v>
      </c>
      <c r="C72" s="40">
        <v>11.2613</v>
      </c>
      <c r="D72" s="40">
        <v>11.111499999999999</v>
      </c>
    </row>
    <row r="74" spans="1:5" x14ac:dyDescent="0.2">
      <c r="A74" s="18" t="s">
        <v>53</v>
      </c>
    </row>
    <row r="75" spans="1:5" x14ac:dyDescent="0.2">
      <c r="A75" s="74" t="s">
        <v>67</v>
      </c>
      <c r="B75" s="75"/>
      <c r="C75" s="44" t="s">
        <v>68</v>
      </c>
    </row>
    <row r="76" spans="1:5" x14ac:dyDescent="0.2">
      <c r="A76" s="68" t="s">
        <v>76</v>
      </c>
      <c r="B76" s="69"/>
      <c r="C76" s="45">
        <v>0.4</v>
      </c>
    </row>
    <row r="77" spans="1:5" x14ac:dyDescent="0.2">
      <c r="A77" s="68" t="s">
        <v>77</v>
      </c>
      <c r="B77" s="69"/>
      <c r="C77" s="45">
        <v>0.4</v>
      </c>
    </row>
    <row r="78" spans="1:5" x14ac:dyDescent="0.2">
      <c r="A78" s="9" t="s">
        <v>69</v>
      </c>
    </row>
    <row r="80" spans="1:5" x14ac:dyDescent="0.2">
      <c r="A80" s="18" t="s">
        <v>793</v>
      </c>
      <c r="D80" s="42">
        <v>2.6627334607671198</v>
      </c>
      <c r="E80" s="13" t="s">
        <v>55</v>
      </c>
    </row>
    <row r="82" spans="1:7" x14ac:dyDescent="0.2">
      <c r="A82" s="18" t="s">
        <v>1477</v>
      </c>
      <c r="D82" s="41" t="s">
        <v>54</v>
      </c>
    </row>
    <row r="84" spans="1:7" ht="14.4" x14ac:dyDescent="0.2">
      <c r="A84" s="70" t="s">
        <v>794</v>
      </c>
      <c r="B84" s="71"/>
      <c r="C84" s="71"/>
      <c r="D84" s="71"/>
      <c r="E84" s="71"/>
      <c r="F84" s="71"/>
      <c r="G84" s="71"/>
    </row>
    <row r="85" spans="1:7" x14ac:dyDescent="0.2">
      <c r="A85" s="50" t="s">
        <v>56</v>
      </c>
    </row>
    <row r="87" spans="1:7" x14ac:dyDescent="0.2">
      <c r="A87" s="50"/>
    </row>
  </sheetData>
  <mergeCells count="5">
    <mergeCell ref="A1:G1"/>
    <mergeCell ref="A75:B75"/>
    <mergeCell ref="A76:B76"/>
    <mergeCell ref="A77:B77"/>
    <mergeCell ref="A84:G84"/>
  </mergeCells>
  <conditionalFormatting sqref="F2:F3 F5:F83 F88:F65536">
    <cfRule type="cellIs" dxfId="168" priority="3" stopIfTrue="1" operator="between">
      <formula>0.009</formula>
      <formula>-0.009</formula>
    </cfRule>
  </conditionalFormatting>
  <conditionalFormatting sqref="F86:F87">
    <cfRule type="cellIs" dxfId="167" priority="2" stopIfTrue="1" operator="between">
      <formula>0.009</formula>
      <formula>-0.009</formula>
    </cfRule>
  </conditionalFormatting>
  <conditionalFormatting sqref="F85">
    <cfRule type="cellIs" dxfId="166" priority="1" stopIfTrue="1" operator="between">
      <formula>0.009</formula>
      <formula>-0.009</formula>
    </cfRule>
  </conditionalFormatting>
  <hyperlinks>
    <hyperlink ref="A85" r:id="rId1" xr:uid="{00000000-0004-0000-05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7"/>
  <sheetViews>
    <sheetView workbookViewId="0">
      <selection sqref="A1:G1"/>
    </sheetView>
  </sheetViews>
  <sheetFormatPr defaultColWidth="9.21875" defaultRowHeight="10.199999999999999" x14ac:dyDescent="0.2"/>
  <cols>
    <col min="1" max="1" width="35.77734375" style="9" bestFit="1" customWidth="1"/>
    <col min="2" max="2" width="23.4414062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72" t="s">
        <v>1016</v>
      </c>
      <c r="B1" s="73"/>
      <c r="C1" s="73"/>
      <c r="D1" s="73"/>
      <c r="E1" s="73"/>
      <c r="F1" s="73"/>
      <c r="G1" s="7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735</v>
      </c>
      <c r="D4" s="16" t="s">
        <v>1</v>
      </c>
      <c r="E4" s="15" t="s">
        <v>3</v>
      </c>
      <c r="F4" s="15" t="s">
        <v>4</v>
      </c>
      <c r="G4" s="15" t="s">
        <v>6</v>
      </c>
    </row>
    <row r="5" spans="1:9" x14ac:dyDescent="0.2">
      <c r="A5" s="21" t="s">
        <v>58</v>
      </c>
      <c r="B5" s="22"/>
      <c r="C5" s="22"/>
      <c r="D5" s="23"/>
      <c r="E5" s="24"/>
      <c r="F5" s="25"/>
      <c r="G5" s="24"/>
    </row>
    <row r="6" spans="1:9" x14ac:dyDescent="0.2">
      <c r="A6" s="26" t="s">
        <v>65</v>
      </c>
      <c r="B6" s="27"/>
      <c r="C6" s="27"/>
      <c r="D6" s="28"/>
      <c r="E6" s="29"/>
      <c r="F6" s="30"/>
      <c r="G6" s="29"/>
    </row>
    <row r="7" spans="1:9" x14ac:dyDescent="0.2">
      <c r="A7" s="27" t="s">
        <v>832</v>
      </c>
      <c r="B7" s="27" t="s">
        <v>833</v>
      </c>
      <c r="C7" s="27" t="s">
        <v>81</v>
      </c>
      <c r="D7" s="31">
        <v>2500000</v>
      </c>
      <c r="E7" s="29">
        <v>2494.58</v>
      </c>
      <c r="F7" s="30">
        <v>10.743510963605001</v>
      </c>
      <c r="G7" s="29">
        <v>3.0501999999999998</v>
      </c>
    </row>
    <row r="8" spans="1:9" x14ac:dyDescent="0.2">
      <c r="A8" s="26" t="s">
        <v>40</v>
      </c>
      <c r="B8" s="26"/>
      <c r="C8" s="26"/>
      <c r="D8" s="32"/>
      <c r="E8" s="33">
        <f>SUM(E6:E7)</f>
        <v>2494.58</v>
      </c>
      <c r="F8" s="34">
        <f>SUM(F6:F7)</f>
        <v>10.743510963605001</v>
      </c>
      <c r="G8" s="33"/>
      <c r="H8" s="18"/>
      <c r="I8" s="18"/>
    </row>
    <row r="9" spans="1:9" x14ac:dyDescent="0.2">
      <c r="A9" s="27"/>
      <c r="B9" s="27"/>
      <c r="C9" s="27"/>
      <c r="D9" s="28"/>
      <c r="E9" s="29"/>
      <c r="F9" s="30"/>
      <c r="G9" s="29"/>
    </row>
    <row r="10" spans="1:9" x14ac:dyDescent="0.2">
      <c r="A10" s="26" t="s">
        <v>78</v>
      </c>
      <c r="B10" s="27"/>
      <c r="C10" s="27"/>
      <c r="D10" s="28"/>
      <c r="E10" s="29"/>
      <c r="F10" s="30"/>
      <c r="G10" s="29"/>
    </row>
    <row r="11" spans="1:9" x14ac:dyDescent="0.2">
      <c r="A11" s="27" t="s">
        <v>80</v>
      </c>
      <c r="B11" s="27" t="s">
        <v>79</v>
      </c>
      <c r="C11" s="27" t="s">
        <v>81</v>
      </c>
      <c r="D11" s="31">
        <v>5500000</v>
      </c>
      <c r="E11" s="29">
        <v>5362.7475000000004</v>
      </c>
      <c r="F11" s="30">
        <v>23.095966680280899</v>
      </c>
      <c r="G11" s="29">
        <v>5.7614999999999998</v>
      </c>
    </row>
    <row r="12" spans="1:9" x14ac:dyDescent="0.2">
      <c r="A12" s="27" t="s">
        <v>1017</v>
      </c>
      <c r="B12" s="27" t="s">
        <v>1018</v>
      </c>
      <c r="C12" s="27" t="s">
        <v>81</v>
      </c>
      <c r="D12" s="31">
        <v>5200000</v>
      </c>
      <c r="E12" s="29">
        <v>5348.3768</v>
      </c>
      <c r="F12" s="30">
        <v>23.0340757916325</v>
      </c>
      <c r="G12" s="29">
        <v>6.2268999999999997</v>
      </c>
    </row>
    <row r="13" spans="1:9" x14ac:dyDescent="0.2">
      <c r="A13" s="27" t="s">
        <v>1019</v>
      </c>
      <c r="B13" s="27" t="s">
        <v>1020</v>
      </c>
      <c r="C13" s="27" t="s">
        <v>81</v>
      </c>
      <c r="D13" s="31">
        <v>3450000</v>
      </c>
      <c r="E13" s="29">
        <v>3599.6023500000001</v>
      </c>
      <c r="F13" s="30">
        <v>15.502556467158101</v>
      </c>
      <c r="G13" s="29">
        <v>6.3780000000000001</v>
      </c>
    </row>
    <row r="14" spans="1:9" x14ac:dyDescent="0.2">
      <c r="A14" s="27" t="s">
        <v>1021</v>
      </c>
      <c r="B14" s="27" t="s">
        <v>1022</v>
      </c>
      <c r="C14" s="27" t="s">
        <v>81</v>
      </c>
      <c r="D14" s="31">
        <v>3000000</v>
      </c>
      <c r="E14" s="29">
        <v>2842.5479999999998</v>
      </c>
      <c r="F14" s="30">
        <v>12.2421191553582</v>
      </c>
      <c r="G14" s="29">
        <v>6.8052000000000001</v>
      </c>
    </row>
    <row r="15" spans="1:9" x14ac:dyDescent="0.2">
      <c r="A15" s="27" t="s">
        <v>83</v>
      </c>
      <c r="B15" s="27" t="s">
        <v>82</v>
      </c>
      <c r="C15" s="27" t="s">
        <v>81</v>
      </c>
      <c r="D15" s="31">
        <v>1900000</v>
      </c>
      <c r="E15" s="29">
        <v>2002.3986</v>
      </c>
      <c r="F15" s="30">
        <v>8.6238129515218098</v>
      </c>
      <c r="G15" s="29">
        <v>6.0274999999999999</v>
      </c>
    </row>
    <row r="16" spans="1:9" x14ac:dyDescent="0.2">
      <c r="A16" s="27" t="s">
        <v>85</v>
      </c>
      <c r="B16" s="27" t="s">
        <v>84</v>
      </c>
      <c r="C16" s="27" t="s">
        <v>81</v>
      </c>
      <c r="D16" s="31">
        <v>300000</v>
      </c>
      <c r="E16" s="29">
        <v>318.3381</v>
      </c>
      <c r="F16" s="30">
        <v>1.3709998747216701</v>
      </c>
      <c r="G16" s="29">
        <v>5.0399000000000003</v>
      </c>
    </row>
    <row r="17" spans="1:9" x14ac:dyDescent="0.2">
      <c r="A17" s="27" t="s">
        <v>87</v>
      </c>
      <c r="B17" s="27" t="s">
        <v>86</v>
      </c>
      <c r="C17" s="27" t="s">
        <v>81</v>
      </c>
      <c r="D17" s="31">
        <v>200000</v>
      </c>
      <c r="E17" s="29">
        <v>196.50479999999999</v>
      </c>
      <c r="F17" s="30">
        <v>0.84629535761571295</v>
      </c>
      <c r="G17" s="29">
        <v>5.6814999999999998</v>
      </c>
    </row>
    <row r="18" spans="1:9" x14ac:dyDescent="0.2">
      <c r="A18" s="26" t="s">
        <v>40</v>
      </c>
      <c r="B18" s="26"/>
      <c r="C18" s="26"/>
      <c r="D18" s="32"/>
      <c r="E18" s="33">
        <f>SUM(E11:E17)</f>
        <v>19670.516149999999</v>
      </c>
      <c r="F18" s="34">
        <f>SUM(F11:F17)</f>
        <v>84.715826278288901</v>
      </c>
      <c r="G18" s="33"/>
      <c r="H18" s="18"/>
      <c r="I18" s="18"/>
    </row>
    <row r="19" spans="1:9" x14ac:dyDescent="0.2">
      <c r="A19" s="27"/>
      <c r="B19" s="27"/>
      <c r="C19" s="27"/>
      <c r="D19" s="28"/>
      <c r="E19" s="29"/>
      <c r="F19" s="30"/>
      <c r="G19" s="29"/>
    </row>
    <row r="20" spans="1:9" x14ac:dyDescent="0.2">
      <c r="A20" s="26" t="s">
        <v>44</v>
      </c>
      <c r="B20" s="26"/>
      <c r="C20" s="26"/>
      <c r="D20" s="32"/>
      <c r="E20" s="33">
        <f>E8+E18</f>
        <v>22165.096149999998</v>
      </c>
      <c r="F20" s="34">
        <f>F8+F18</f>
        <v>95.459337241893905</v>
      </c>
      <c r="G20" s="33"/>
      <c r="H20" s="18"/>
      <c r="I20" s="18"/>
    </row>
    <row r="21" spans="1:9" x14ac:dyDescent="0.2">
      <c r="A21" s="26"/>
      <c r="B21" s="26"/>
      <c r="C21" s="26"/>
      <c r="D21" s="32"/>
      <c r="E21" s="33"/>
      <c r="F21" s="34"/>
      <c r="G21" s="33"/>
      <c r="H21" s="18"/>
      <c r="I21" s="18"/>
    </row>
    <row r="22" spans="1:9" x14ac:dyDescent="0.2">
      <c r="A22" s="26" t="s">
        <v>46</v>
      </c>
      <c r="B22" s="26"/>
      <c r="C22" s="26"/>
      <c r="D22" s="32"/>
      <c r="E22" s="33">
        <f>E24-(E8+E18)</f>
        <v>1054.3151621000034</v>
      </c>
      <c r="F22" s="34">
        <f>F24-(F8+F18)</f>
        <v>4.5406627581060945</v>
      </c>
      <c r="G22" s="33"/>
      <c r="H22" s="18"/>
      <c r="I22" s="18"/>
    </row>
    <row r="23" spans="1:9" x14ac:dyDescent="0.2">
      <c r="A23" s="26"/>
      <c r="B23" s="26"/>
      <c r="C23" s="26"/>
      <c r="D23" s="32"/>
      <c r="E23" s="33"/>
      <c r="F23" s="34"/>
      <c r="G23" s="33"/>
      <c r="H23" s="18"/>
      <c r="I23" s="18"/>
    </row>
    <row r="24" spans="1:9" x14ac:dyDescent="0.2">
      <c r="A24" s="35" t="s">
        <v>45</v>
      </c>
      <c r="B24" s="35"/>
      <c r="C24" s="35"/>
      <c r="D24" s="36"/>
      <c r="E24" s="37">
        <v>23219.411312100001</v>
      </c>
      <c r="F24" s="38">
        <v>100</v>
      </c>
      <c r="G24" s="37"/>
      <c r="H24" s="18"/>
      <c r="I24" s="18"/>
    </row>
    <row r="26" spans="1:9" x14ac:dyDescent="0.2">
      <c r="A26" s="18" t="s">
        <v>48</v>
      </c>
    </row>
    <row r="27" spans="1:9" x14ac:dyDescent="0.2">
      <c r="A27" s="18" t="s">
        <v>49</v>
      </c>
    </row>
    <row r="28" spans="1:9" x14ac:dyDescent="0.2">
      <c r="A28" s="18" t="s">
        <v>50</v>
      </c>
      <c r="B28" s="18"/>
      <c r="C28" s="39" t="s">
        <v>52</v>
      </c>
      <c r="D28" s="19" t="s">
        <v>51</v>
      </c>
    </row>
    <row r="29" spans="1:9" x14ac:dyDescent="0.2">
      <c r="A29" s="9" t="s">
        <v>88</v>
      </c>
      <c r="C29" s="40">
        <v>46.4788</v>
      </c>
      <c r="D29" s="40">
        <v>46.606099999999998</v>
      </c>
    </row>
    <row r="30" spans="1:9" x14ac:dyDescent="0.2">
      <c r="A30" s="9" t="s">
        <v>1023</v>
      </c>
      <c r="C30" s="40">
        <v>10.906599999999999</v>
      </c>
      <c r="D30" s="40">
        <v>10.5007</v>
      </c>
    </row>
    <row r="31" spans="1:9" x14ac:dyDescent="0.2">
      <c r="A31" s="9" t="s">
        <v>89</v>
      </c>
      <c r="C31" s="40">
        <v>49.764899999999997</v>
      </c>
      <c r="D31" s="40">
        <v>50.011400000000002</v>
      </c>
    </row>
    <row r="32" spans="1:9" x14ac:dyDescent="0.2">
      <c r="A32" s="9" t="s">
        <v>1024</v>
      </c>
      <c r="C32" s="40">
        <v>11.9648</v>
      </c>
      <c r="D32" s="40">
        <v>11.5875</v>
      </c>
    </row>
    <row r="34" spans="1:7" x14ac:dyDescent="0.2">
      <c r="A34" s="18" t="s">
        <v>53</v>
      </c>
    </row>
    <row r="35" spans="1:7" x14ac:dyDescent="0.2">
      <c r="A35" s="74" t="s">
        <v>67</v>
      </c>
      <c r="B35" s="75"/>
      <c r="C35" s="44" t="s">
        <v>68</v>
      </c>
    </row>
    <row r="36" spans="1:7" x14ac:dyDescent="0.2">
      <c r="A36" s="68" t="s">
        <v>1023</v>
      </c>
      <c r="B36" s="69"/>
      <c r="C36" s="45">
        <v>0.44</v>
      </c>
    </row>
    <row r="37" spans="1:7" x14ac:dyDescent="0.2">
      <c r="A37" s="68" t="s">
        <v>1024</v>
      </c>
      <c r="B37" s="69"/>
      <c r="C37" s="45">
        <v>0.44</v>
      </c>
    </row>
    <row r="38" spans="1:7" x14ac:dyDescent="0.2">
      <c r="A38" s="9" t="s">
        <v>69</v>
      </c>
    </row>
    <row r="40" spans="1:7" x14ac:dyDescent="0.2">
      <c r="A40" s="18" t="s">
        <v>793</v>
      </c>
      <c r="D40" s="42">
        <v>5.8295949885479503</v>
      </c>
      <c r="E40" s="13" t="s">
        <v>55</v>
      </c>
    </row>
    <row r="42" spans="1:7" ht="25.5" customHeight="1" x14ac:dyDescent="0.3">
      <c r="A42" s="77" t="s">
        <v>1477</v>
      </c>
      <c r="B42" s="78"/>
      <c r="C42" s="78"/>
      <c r="D42" s="41" t="s">
        <v>54</v>
      </c>
    </row>
    <row r="44" spans="1:7" ht="14.4" x14ac:dyDescent="0.2">
      <c r="A44" s="70" t="s">
        <v>794</v>
      </c>
      <c r="B44" s="71"/>
      <c r="C44" s="71"/>
      <c r="D44" s="71"/>
      <c r="E44" s="71"/>
      <c r="F44" s="71"/>
      <c r="G44" s="71"/>
    </row>
    <row r="45" spans="1:7" x14ac:dyDescent="0.2">
      <c r="A45" s="50" t="s">
        <v>56</v>
      </c>
    </row>
    <row r="47" spans="1:7" x14ac:dyDescent="0.2">
      <c r="A47" s="50"/>
    </row>
  </sheetData>
  <mergeCells count="6">
    <mergeCell ref="A44:G44"/>
    <mergeCell ref="A1:G1"/>
    <mergeCell ref="A35:B35"/>
    <mergeCell ref="A36:B36"/>
    <mergeCell ref="A37:B37"/>
    <mergeCell ref="A42:C42"/>
  </mergeCells>
  <conditionalFormatting sqref="F2:F3 F5:F43 F48:F65534">
    <cfRule type="cellIs" dxfId="165" priority="3" stopIfTrue="1" operator="between">
      <formula>0.009</formula>
      <formula>-0.009</formula>
    </cfRule>
  </conditionalFormatting>
  <conditionalFormatting sqref="F46:F47">
    <cfRule type="cellIs" dxfId="164" priority="2" stopIfTrue="1" operator="between">
      <formula>0.009</formula>
      <formula>-0.009</formula>
    </cfRule>
  </conditionalFormatting>
  <conditionalFormatting sqref="F45">
    <cfRule type="cellIs" dxfId="163" priority="1" stopIfTrue="1" operator="between">
      <formula>0.009</formula>
      <formula>-0.009</formula>
    </cfRule>
  </conditionalFormatting>
  <hyperlinks>
    <hyperlink ref="A45" r:id="rId1" xr:uid="{00000000-0004-0000-06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4"/>
  <sheetViews>
    <sheetView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5546875" style="9" bestFit="1" customWidth="1"/>
    <col min="4" max="4" width="15.21875" style="10" bestFit="1" customWidth="1"/>
    <col min="5" max="5" width="23" style="13" bestFit="1" customWidth="1"/>
    <col min="6" max="6" width="14.77734375" style="14" bestFit="1" customWidth="1"/>
    <col min="7" max="7" width="14.21875" style="13" customWidth="1"/>
    <col min="8" max="16384" width="9.21875" style="9"/>
  </cols>
  <sheetData>
    <row r="1" spans="1:7" s="1" customFormat="1" ht="13.8" x14ac:dyDescent="0.2">
      <c r="A1" s="72" t="s">
        <v>1025</v>
      </c>
      <c r="B1" s="73"/>
      <c r="C1" s="73"/>
      <c r="D1" s="73"/>
      <c r="E1" s="73"/>
      <c r="F1" s="73"/>
      <c r="G1" s="73"/>
    </row>
    <row r="2" spans="1:7" s="1" customFormat="1" ht="12" x14ac:dyDescent="0.25">
      <c r="A2" s="57" t="s">
        <v>1026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917</v>
      </c>
      <c r="B7" s="27" t="s">
        <v>918</v>
      </c>
      <c r="C7" s="27" t="s">
        <v>919</v>
      </c>
      <c r="D7" s="31">
        <v>2750</v>
      </c>
      <c r="E7" s="29">
        <v>28134.122500000001</v>
      </c>
      <c r="F7" s="30">
        <v>17.882144476564999</v>
      </c>
      <c r="G7" s="29">
        <v>9.8186999999999998</v>
      </c>
    </row>
    <row r="8" spans="1:7" x14ac:dyDescent="0.2">
      <c r="A8" s="27" t="s">
        <v>1027</v>
      </c>
      <c r="B8" s="27" t="s">
        <v>1028</v>
      </c>
      <c r="C8" s="27" t="s">
        <v>1029</v>
      </c>
      <c r="D8" s="31">
        <v>1112</v>
      </c>
      <c r="E8" s="29">
        <v>11293.049440000001</v>
      </c>
      <c r="F8" s="30">
        <v>7.17790084503513</v>
      </c>
      <c r="G8" s="29">
        <v>9.3452999999999999</v>
      </c>
    </row>
    <row r="9" spans="1:7" x14ac:dyDescent="0.2">
      <c r="A9" s="27" t="s">
        <v>1030</v>
      </c>
      <c r="B9" s="27" t="s">
        <v>1031</v>
      </c>
      <c r="C9" s="27" t="s">
        <v>1032</v>
      </c>
      <c r="D9" s="31">
        <v>1000</v>
      </c>
      <c r="E9" s="29">
        <v>9956.76</v>
      </c>
      <c r="F9" s="30">
        <v>6.3285507070101001</v>
      </c>
      <c r="G9" s="29">
        <v>18.1313</v>
      </c>
    </row>
    <row r="10" spans="1:7" x14ac:dyDescent="0.2">
      <c r="A10" s="27" t="s">
        <v>1033</v>
      </c>
      <c r="B10" s="27" t="s">
        <v>1034</v>
      </c>
      <c r="C10" s="27" t="s">
        <v>1029</v>
      </c>
      <c r="D10" s="31">
        <v>4810</v>
      </c>
      <c r="E10" s="29">
        <v>9502.5975199999993</v>
      </c>
      <c r="F10" s="30">
        <v>6.0398834815370002</v>
      </c>
      <c r="G10" s="29">
        <v>11.0221</v>
      </c>
    </row>
    <row r="11" spans="1:7" x14ac:dyDescent="0.2">
      <c r="A11" s="27" t="s">
        <v>1035</v>
      </c>
      <c r="B11" s="27" t="s">
        <v>1036</v>
      </c>
      <c r="C11" s="27" t="s">
        <v>1037</v>
      </c>
      <c r="D11" s="31">
        <v>990</v>
      </c>
      <c r="E11" s="29">
        <v>8862.2819999999992</v>
      </c>
      <c r="F11" s="30">
        <v>5.6328967472172504</v>
      </c>
      <c r="G11" s="29">
        <v>12.095800000000001</v>
      </c>
    </row>
    <row r="12" spans="1:7" x14ac:dyDescent="0.2">
      <c r="A12" s="27" t="s">
        <v>1038</v>
      </c>
      <c r="B12" s="27" t="s">
        <v>1039</v>
      </c>
      <c r="C12" s="27" t="s">
        <v>1032</v>
      </c>
      <c r="D12" s="31">
        <v>800</v>
      </c>
      <c r="E12" s="29">
        <v>8009.24</v>
      </c>
      <c r="F12" s="30">
        <v>5.0907003347086297</v>
      </c>
      <c r="G12" s="29">
        <v>8.5748999999999995</v>
      </c>
    </row>
    <row r="13" spans="1:7" x14ac:dyDescent="0.2">
      <c r="A13" s="27" t="s">
        <v>1040</v>
      </c>
      <c r="B13" s="27" t="s">
        <v>1041</v>
      </c>
      <c r="C13" s="27" t="s">
        <v>1037</v>
      </c>
      <c r="D13" s="31">
        <v>937</v>
      </c>
      <c r="E13" s="29">
        <v>7470.0488480000004</v>
      </c>
      <c r="F13" s="30">
        <v>4.7479885945237603</v>
      </c>
      <c r="G13" s="29">
        <v>10.279400000000001</v>
      </c>
    </row>
    <row r="14" spans="1:7" x14ac:dyDescent="0.2">
      <c r="A14" s="27" t="s">
        <v>1042</v>
      </c>
      <c r="B14" s="27" t="s">
        <v>1043</v>
      </c>
      <c r="C14" s="27" t="s">
        <v>35</v>
      </c>
      <c r="D14" s="31">
        <v>600</v>
      </c>
      <c r="E14" s="29">
        <v>6055.8540000000003</v>
      </c>
      <c r="F14" s="30">
        <v>3.8491215127461098</v>
      </c>
      <c r="G14" s="29">
        <v>4.3849</v>
      </c>
    </row>
    <row r="15" spans="1:7" x14ac:dyDescent="0.2">
      <c r="A15" s="27" t="s">
        <v>1044</v>
      </c>
      <c r="B15" s="27" t="s">
        <v>1045</v>
      </c>
      <c r="C15" s="27" t="s">
        <v>1046</v>
      </c>
      <c r="D15" s="31">
        <v>385</v>
      </c>
      <c r="E15" s="29">
        <v>5428.3344500000003</v>
      </c>
      <c r="F15" s="30">
        <v>3.4502679407191499</v>
      </c>
      <c r="G15" s="29">
        <v>11.059900000000001</v>
      </c>
    </row>
    <row r="16" spans="1:7" x14ac:dyDescent="0.2">
      <c r="A16" s="27" t="s">
        <v>1047</v>
      </c>
      <c r="B16" s="27" t="s">
        <v>1048</v>
      </c>
      <c r="C16" s="27" t="s">
        <v>35</v>
      </c>
      <c r="D16" s="31">
        <v>450</v>
      </c>
      <c r="E16" s="29">
        <v>4436.3609999999999</v>
      </c>
      <c r="F16" s="30">
        <v>2.8197662234604399</v>
      </c>
      <c r="G16" s="29">
        <v>9.8582000000000001</v>
      </c>
    </row>
    <row r="17" spans="1:9" x14ac:dyDescent="0.2">
      <c r="A17" s="27" t="s">
        <v>1049</v>
      </c>
      <c r="B17" s="27" t="s">
        <v>1050</v>
      </c>
      <c r="C17" s="27" t="s">
        <v>1051</v>
      </c>
      <c r="D17" s="31">
        <v>450</v>
      </c>
      <c r="E17" s="29">
        <v>3878.6669999999999</v>
      </c>
      <c r="F17" s="30">
        <v>2.4652940098090901</v>
      </c>
      <c r="G17" s="29">
        <v>21.466999999999999</v>
      </c>
    </row>
    <row r="18" spans="1:9" x14ac:dyDescent="0.2">
      <c r="A18" s="27" t="s">
        <v>1052</v>
      </c>
      <c r="B18" s="27" t="s">
        <v>1053</v>
      </c>
      <c r="C18" s="27" t="s">
        <v>1037</v>
      </c>
      <c r="D18" s="31">
        <v>475</v>
      </c>
      <c r="E18" s="29">
        <v>3786.6734000000001</v>
      </c>
      <c r="F18" s="30">
        <v>2.4068225630412199</v>
      </c>
      <c r="G18" s="29">
        <v>10.279500000000001</v>
      </c>
    </row>
    <row r="19" spans="1:9" x14ac:dyDescent="0.2">
      <c r="A19" s="27" t="s">
        <v>1054</v>
      </c>
      <c r="B19" s="27" t="s">
        <v>1055</v>
      </c>
      <c r="C19" s="27" t="s">
        <v>38</v>
      </c>
      <c r="D19" s="31">
        <v>290</v>
      </c>
      <c r="E19" s="29">
        <v>3091.4609</v>
      </c>
      <c r="F19" s="30">
        <v>1.9649431204919099</v>
      </c>
      <c r="G19" s="29">
        <v>6.1093999999999999</v>
      </c>
    </row>
    <row r="20" spans="1:9" x14ac:dyDescent="0.2">
      <c r="A20" s="27" t="s">
        <v>1056</v>
      </c>
      <c r="B20" s="27" t="s">
        <v>1057</v>
      </c>
      <c r="C20" s="27" t="s">
        <v>1029</v>
      </c>
      <c r="D20" s="31">
        <v>300</v>
      </c>
      <c r="E20" s="29">
        <v>3033.2280000000001</v>
      </c>
      <c r="F20" s="30">
        <v>1.9279300901018801</v>
      </c>
      <c r="G20" s="29">
        <v>9.1053999999999995</v>
      </c>
    </row>
    <row r="21" spans="1:9" x14ac:dyDescent="0.2">
      <c r="A21" s="27" t="s">
        <v>1058</v>
      </c>
      <c r="B21" s="27" t="s">
        <v>1059</v>
      </c>
      <c r="C21" s="27" t="s">
        <v>1029</v>
      </c>
      <c r="D21" s="31">
        <v>270</v>
      </c>
      <c r="E21" s="29">
        <v>2726.9135999999999</v>
      </c>
      <c r="F21" s="30">
        <v>1.73323560990076</v>
      </c>
      <c r="G21" s="29">
        <v>9.58</v>
      </c>
    </row>
    <row r="22" spans="1:9" x14ac:dyDescent="0.2">
      <c r="A22" s="27" t="s">
        <v>1060</v>
      </c>
      <c r="B22" s="27" t="s">
        <v>1061</v>
      </c>
      <c r="C22" s="27" t="s">
        <v>1032</v>
      </c>
      <c r="D22" s="31">
        <v>250</v>
      </c>
      <c r="E22" s="29">
        <v>2499.9924999999998</v>
      </c>
      <c r="F22" s="30">
        <v>1.5890037826958701</v>
      </c>
      <c r="G22" s="29">
        <v>7.9</v>
      </c>
    </row>
    <row r="23" spans="1:9" x14ac:dyDescent="0.2">
      <c r="A23" s="27" t="s">
        <v>1062</v>
      </c>
      <c r="B23" s="27" t="s">
        <v>1050</v>
      </c>
      <c r="C23" s="27" t="s">
        <v>1051</v>
      </c>
      <c r="D23" s="31">
        <v>250</v>
      </c>
      <c r="E23" s="29">
        <v>2153.6550000000002</v>
      </c>
      <c r="F23" s="30">
        <v>1.3688704832602001</v>
      </c>
      <c r="G23" s="29">
        <v>21.516200000000001</v>
      </c>
    </row>
    <row r="24" spans="1:9" x14ac:dyDescent="0.2">
      <c r="A24" s="27" t="s">
        <v>1063</v>
      </c>
      <c r="B24" s="27" t="s">
        <v>1064</v>
      </c>
      <c r="C24" s="27" t="s">
        <v>1046</v>
      </c>
      <c r="D24" s="31">
        <v>150</v>
      </c>
      <c r="E24" s="29">
        <v>2099.259</v>
      </c>
      <c r="F24" s="30">
        <v>1.33429619963194</v>
      </c>
      <c r="G24" s="29">
        <v>10.8949</v>
      </c>
    </row>
    <row r="25" spans="1:9" x14ac:dyDescent="0.2">
      <c r="A25" s="27" t="s">
        <v>1065</v>
      </c>
      <c r="B25" s="27" t="s">
        <v>1066</v>
      </c>
      <c r="C25" s="27" t="s">
        <v>35</v>
      </c>
      <c r="D25" s="31">
        <v>200</v>
      </c>
      <c r="E25" s="29">
        <v>2097.61</v>
      </c>
      <c r="F25" s="30">
        <v>1.33324808959254</v>
      </c>
      <c r="G25" s="29">
        <v>9.9357000000000006</v>
      </c>
    </row>
    <row r="26" spans="1:9" x14ac:dyDescent="0.2">
      <c r="A26" s="27" t="s">
        <v>875</v>
      </c>
      <c r="B26" s="27" t="s">
        <v>876</v>
      </c>
      <c r="C26" s="27" t="s">
        <v>877</v>
      </c>
      <c r="D26" s="31">
        <v>170</v>
      </c>
      <c r="E26" s="29">
        <v>1864.866</v>
      </c>
      <c r="F26" s="30">
        <v>1.1853152072339901</v>
      </c>
      <c r="G26" s="29">
        <v>8.1050000000000004</v>
      </c>
    </row>
    <row r="27" spans="1:9" x14ac:dyDescent="0.2">
      <c r="A27" s="27" t="s">
        <v>1067</v>
      </c>
      <c r="B27" s="27" t="s">
        <v>1068</v>
      </c>
      <c r="C27" s="27" t="s">
        <v>1029</v>
      </c>
      <c r="D27" s="31">
        <v>160</v>
      </c>
      <c r="E27" s="29">
        <v>1614.2016000000001</v>
      </c>
      <c r="F27" s="30">
        <v>1.0259920573496599</v>
      </c>
      <c r="G27" s="29">
        <v>8.6254000000000008</v>
      </c>
    </row>
    <row r="28" spans="1:9" x14ac:dyDescent="0.2">
      <c r="A28" s="27" t="s">
        <v>1069</v>
      </c>
      <c r="B28" s="27" t="s">
        <v>1070</v>
      </c>
      <c r="C28" s="27" t="s">
        <v>998</v>
      </c>
      <c r="D28" s="31">
        <v>140</v>
      </c>
      <c r="E28" s="29">
        <v>1411.3778</v>
      </c>
      <c r="F28" s="30">
        <v>0.89707655643485995</v>
      </c>
      <c r="G28" s="29">
        <v>8.0203000000000007</v>
      </c>
    </row>
    <row r="29" spans="1:9" x14ac:dyDescent="0.2">
      <c r="A29" s="27" t="s">
        <v>1071</v>
      </c>
      <c r="B29" s="27" t="s">
        <v>1072</v>
      </c>
      <c r="C29" s="27" t="s">
        <v>35</v>
      </c>
      <c r="D29" s="31">
        <v>100</v>
      </c>
      <c r="E29" s="29">
        <v>1020.566</v>
      </c>
      <c r="F29" s="30">
        <v>0.64867523982203701</v>
      </c>
      <c r="G29" s="29">
        <v>9.0390999999999995</v>
      </c>
    </row>
    <row r="30" spans="1:9" x14ac:dyDescent="0.2">
      <c r="A30" s="27" t="s">
        <v>1073</v>
      </c>
      <c r="B30" s="27" t="s">
        <v>1074</v>
      </c>
      <c r="C30" s="27" t="s">
        <v>1037</v>
      </c>
      <c r="D30" s="31">
        <v>20</v>
      </c>
      <c r="E30" s="29">
        <v>203.3202</v>
      </c>
      <c r="F30" s="30">
        <v>0.12923101445243601</v>
      </c>
      <c r="G30" s="29">
        <v>5.125</v>
      </c>
    </row>
    <row r="31" spans="1:9" x14ac:dyDescent="0.2">
      <c r="A31" s="27" t="s">
        <v>91</v>
      </c>
      <c r="B31" s="27" t="s">
        <v>90</v>
      </c>
      <c r="C31" s="27" t="s">
        <v>39</v>
      </c>
      <c r="D31" s="31">
        <v>5</v>
      </c>
      <c r="E31" s="29">
        <v>54.222000000000001</v>
      </c>
      <c r="F31" s="30">
        <v>3.4463688633200103E-2</v>
      </c>
      <c r="G31" s="29">
        <v>7.4237000000000002</v>
      </c>
    </row>
    <row r="32" spans="1:9" x14ac:dyDescent="0.2">
      <c r="A32" s="26" t="s">
        <v>40</v>
      </c>
      <c r="B32" s="26"/>
      <c r="C32" s="26"/>
      <c r="D32" s="32"/>
      <c r="E32" s="33">
        <f>SUM(E6:E31)</f>
        <v>130684.66275800002</v>
      </c>
      <c r="F32" s="34">
        <f>SUM(F6:F31)</f>
        <v>83.063618575974132</v>
      </c>
      <c r="G32" s="33"/>
      <c r="H32" s="18"/>
      <c r="I32" s="18"/>
    </row>
    <row r="33" spans="1:9" x14ac:dyDescent="0.2">
      <c r="A33" s="27"/>
      <c r="B33" s="27"/>
      <c r="C33" s="27"/>
      <c r="D33" s="28"/>
      <c r="E33" s="29"/>
      <c r="F33" s="30"/>
      <c r="G33" s="29"/>
    </row>
    <row r="34" spans="1:9" x14ac:dyDescent="0.2">
      <c r="A34" s="26" t="s">
        <v>41</v>
      </c>
      <c r="B34" s="27"/>
      <c r="C34" s="27"/>
      <c r="D34" s="28"/>
      <c r="E34" s="29"/>
      <c r="F34" s="30"/>
      <c r="G34" s="29"/>
    </row>
    <row r="35" spans="1:9" x14ac:dyDescent="0.2">
      <c r="A35" s="27" t="s">
        <v>1075</v>
      </c>
      <c r="B35" s="27" t="s">
        <v>1076</v>
      </c>
      <c r="C35" s="27" t="s">
        <v>1077</v>
      </c>
      <c r="D35" s="31">
        <v>390</v>
      </c>
      <c r="E35" s="29">
        <v>4040.6651999999999</v>
      </c>
      <c r="F35" s="30">
        <v>2.5682606197448901</v>
      </c>
      <c r="G35" s="29">
        <v>7.8250000000000002</v>
      </c>
    </row>
    <row r="36" spans="1:9" x14ac:dyDescent="0.2">
      <c r="A36" s="27" t="s">
        <v>1078</v>
      </c>
      <c r="B36" s="27" t="s">
        <v>1079</v>
      </c>
      <c r="C36" s="27" t="s">
        <v>1080</v>
      </c>
      <c r="D36" s="31">
        <v>440</v>
      </c>
      <c r="E36" s="29">
        <v>3929.1046489999999</v>
      </c>
      <c r="F36" s="30">
        <v>2.4973523520046301</v>
      </c>
      <c r="G36" s="29">
        <v>11.962899999999999</v>
      </c>
    </row>
    <row r="37" spans="1:9" x14ac:dyDescent="0.2">
      <c r="A37" s="27" t="s">
        <v>1081</v>
      </c>
      <c r="B37" s="27" t="s">
        <v>1082</v>
      </c>
      <c r="C37" s="27" t="s">
        <v>1080</v>
      </c>
      <c r="D37" s="31">
        <v>450</v>
      </c>
      <c r="E37" s="29">
        <v>3816.1935840000001</v>
      </c>
      <c r="F37" s="30">
        <v>2.4255856929473598</v>
      </c>
      <c r="G37" s="29">
        <v>11.9596</v>
      </c>
    </row>
    <row r="38" spans="1:9" x14ac:dyDescent="0.2">
      <c r="A38" s="27" t="s">
        <v>1083</v>
      </c>
      <c r="B38" s="27" t="s">
        <v>1084</v>
      </c>
      <c r="C38" s="27" t="s">
        <v>1085</v>
      </c>
      <c r="D38" s="31">
        <v>400</v>
      </c>
      <c r="E38" s="29">
        <v>3777.88</v>
      </c>
      <c r="F38" s="30">
        <v>2.40123344792877</v>
      </c>
      <c r="G38" s="29">
        <v>12.355</v>
      </c>
    </row>
    <row r="39" spans="1:9" x14ac:dyDescent="0.2">
      <c r="A39" s="27" t="s">
        <v>1086</v>
      </c>
      <c r="B39" s="27" t="s">
        <v>1087</v>
      </c>
      <c r="C39" s="27" t="s">
        <v>1088</v>
      </c>
      <c r="D39" s="31">
        <v>400</v>
      </c>
      <c r="E39" s="29">
        <v>2943.8754560000002</v>
      </c>
      <c r="F39" s="30">
        <v>1.8711373075597399</v>
      </c>
      <c r="G39" s="29">
        <v>11.425000000000001</v>
      </c>
    </row>
    <row r="40" spans="1:9" x14ac:dyDescent="0.2">
      <c r="A40" s="27" t="s">
        <v>1089</v>
      </c>
      <c r="B40" s="27" t="s">
        <v>1090</v>
      </c>
      <c r="C40" s="27" t="s">
        <v>1077</v>
      </c>
      <c r="D40" s="31">
        <v>100</v>
      </c>
      <c r="E40" s="29">
        <v>1034.912</v>
      </c>
      <c r="F40" s="30">
        <v>0.65779360648375895</v>
      </c>
      <c r="G40" s="29">
        <v>7.73</v>
      </c>
    </row>
    <row r="41" spans="1:9" x14ac:dyDescent="0.2">
      <c r="A41" s="27" t="s">
        <v>1091</v>
      </c>
      <c r="B41" s="27" t="s">
        <v>1092</v>
      </c>
      <c r="C41" s="27" t="s">
        <v>1077</v>
      </c>
      <c r="D41" s="31">
        <v>10</v>
      </c>
      <c r="E41" s="29">
        <v>977.78909999999996</v>
      </c>
      <c r="F41" s="30">
        <v>0.62148609588980397</v>
      </c>
      <c r="G41" s="29">
        <v>9.5150000000000006</v>
      </c>
    </row>
    <row r="42" spans="1:9" x14ac:dyDescent="0.2">
      <c r="A42" s="27" t="s">
        <v>1093</v>
      </c>
      <c r="B42" s="27" t="s">
        <v>1094</v>
      </c>
      <c r="C42" s="27" t="s">
        <v>1080</v>
      </c>
      <c r="D42" s="31">
        <v>50</v>
      </c>
      <c r="E42" s="29">
        <v>437.08084600000001</v>
      </c>
      <c r="F42" s="30">
        <v>0.27781008048540601</v>
      </c>
      <c r="G42" s="29">
        <v>11.962899999999999</v>
      </c>
    </row>
    <row r="43" spans="1:9" x14ac:dyDescent="0.2">
      <c r="A43" s="27" t="s">
        <v>1095</v>
      </c>
      <c r="B43" s="27" t="s">
        <v>1096</v>
      </c>
      <c r="C43" s="27" t="s">
        <v>1097</v>
      </c>
      <c r="D43" s="31">
        <v>600</v>
      </c>
      <c r="E43" s="29">
        <v>0</v>
      </c>
      <c r="F43" s="29">
        <v>0</v>
      </c>
      <c r="G43" s="29">
        <v>0</v>
      </c>
    </row>
    <row r="44" spans="1:9" x14ac:dyDescent="0.2">
      <c r="A44" s="27" t="s">
        <v>1098</v>
      </c>
      <c r="B44" s="27" t="s">
        <v>1099</v>
      </c>
      <c r="C44" s="27" t="s">
        <v>1097</v>
      </c>
      <c r="D44" s="31">
        <v>250</v>
      </c>
      <c r="E44" s="29">
        <v>0</v>
      </c>
      <c r="F44" s="29">
        <v>0</v>
      </c>
      <c r="G44" s="29">
        <v>0</v>
      </c>
    </row>
    <row r="45" spans="1:9" x14ac:dyDescent="0.2">
      <c r="A45" s="27" t="s">
        <v>1100</v>
      </c>
      <c r="B45" s="27" t="s">
        <v>1101</v>
      </c>
      <c r="C45" s="27" t="s">
        <v>1097</v>
      </c>
      <c r="D45" s="31">
        <v>250</v>
      </c>
      <c r="E45" s="29">
        <v>0</v>
      </c>
      <c r="F45" s="29">
        <v>0</v>
      </c>
      <c r="G45" s="29">
        <v>0</v>
      </c>
    </row>
    <row r="46" spans="1:9" x14ac:dyDescent="0.2">
      <c r="A46" s="26" t="s">
        <v>40</v>
      </c>
      <c r="B46" s="26"/>
      <c r="C46" s="26"/>
      <c r="D46" s="32"/>
      <c r="E46" s="33">
        <f>SUM(E34:E45)</f>
        <v>20957.500835000003</v>
      </c>
      <c r="F46" s="34">
        <f>SUM(F34:F45)</f>
        <v>13.320659203044357</v>
      </c>
      <c r="G46" s="33"/>
      <c r="H46" s="18"/>
      <c r="I46" s="18"/>
    </row>
    <row r="47" spans="1:9" x14ac:dyDescent="0.2">
      <c r="A47" s="27"/>
      <c r="B47" s="27"/>
      <c r="C47" s="27"/>
      <c r="D47" s="28"/>
      <c r="E47" s="29"/>
      <c r="F47" s="30"/>
      <c r="G47" s="29"/>
    </row>
    <row r="48" spans="1:9" x14ac:dyDescent="0.2">
      <c r="A48" s="26" t="s">
        <v>44</v>
      </c>
      <c r="B48" s="26"/>
      <c r="C48" s="26"/>
      <c r="D48" s="32"/>
      <c r="E48" s="33">
        <f>E32+E46</f>
        <v>151642.16359300003</v>
      </c>
      <c r="F48" s="34">
        <f>F32+F46</f>
        <v>96.38427777901849</v>
      </c>
      <c r="G48" s="33"/>
      <c r="H48" s="18"/>
      <c r="I48" s="18"/>
    </row>
    <row r="49" spans="1:9" x14ac:dyDescent="0.2">
      <c r="A49" s="26"/>
      <c r="B49" s="26"/>
      <c r="C49" s="26"/>
      <c r="D49" s="32"/>
      <c r="E49" s="33"/>
      <c r="F49" s="34"/>
      <c r="G49" s="33"/>
      <c r="H49" s="18"/>
      <c r="I49" s="18"/>
    </row>
    <row r="50" spans="1:9" x14ac:dyDescent="0.2">
      <c r="A50" s="26" t="s">
        <v>46</v>
      </c>
      <c r="B50" s="26"/>
      <c r="C50" s="26"/>
      <c r="D50" s="32"/>
      <c r="E50" s="33">
        <f>E52-(E32+E46)</f>
        <v>5688.6450069999555</v>
      </c>
      <c r="F50" s="34">
        <f>F52-(F32+F46)</f>
        <v>3.6157222209815103</v>
      </c>
      <c r="G50" s="33"/>
      <c r="H50" s="18"/>
      <c r="I50" s="18"/>
    </row>
    <row r="51" spans="1:9" x14ac:dyDescent="0.2">
      <c r="A51" s="26"/>
      <c r="B51" s="26"/>
      <c r="C51" s="26"/>
      <c r="D51" s="32"/>
      <c r="E51" s="33"/>
      <c r="F51" s="34"/>
      <c r="G51" s="33"/>
      <c r="H51" s="18"/>
      <c r="I51" s="18"/>
    </row>
    <row r="52" spans="1:9" x14ac:dyDescent="0.2">
      <c r="A52" s="35" t="s">
        <v>45</v>
      </c>
      <c r="B52" s="35"/>
      <c r="C52" s="35"/>
      <c r="D52" s="36"/>
      <c r="E52" s="37">
        <v>157330.80859999999</v>
      </c>
      <c r="F52" s="38">
        <v>100</v>
      </c>
      <c r="G52" s="37"/>
      <c r="H52" s="18"/>
      <c r="I52" s="18"/>
    </row>
    <row r="53" spans="1:9" x14ac:dyDescent="0.2">
      <c r="F53" s="20"/>
    </row>
    <row r="54" spans="1:9" x14ac:dyDescent="0.2">
      <c r="A54" s="18" t="s">
        <v>47</v>
      </c>
    </row>
    <row r="55" spans="1:9" x14ac:dyDescent="0.2">
      <c r="A55" s="18" t="s">
        <v>1102</v>
      </c>
    </row>
    <row r="57" spans="1:9" x14ac:dyDescent="0.2">
      <c r="A57" s="18" t="s">
        <v>48</v>
      </c>
    </row>
    <row r="58" spans="1:9" x14ac:dyDescent="0.2">
      <c r="A58" s="18" t="s">
        <v>49</v>
      </c>
    </row>
    <row r="59" spans="1:9" x14ac:dyDescent="0.2">
      <c r="A59" s="18" t="s">
        <v>50</v>
      </c>
      <c r="B59" s="18"/>
      <c r="C59" s="39" t="s">
        <v>52</v>
      </c>
      <c r="D59" s="19" t="s">
        <v>51</v>
      </c>
    </row>
    <row r="60" spans="1:9" x14ac:dyDescent="0.2">
      <c r="A60" s="9" t="s">
        <v>70</v>
      </c>
      <c r="C60" s="40">
        <v>64.400400000000005</v>
      </c>
      <c r="D60" s="40">
        <v>69.442499999999995</v>
      </c>
    </row>
    <row r="61" spans="1:9" x14ac:dyDescent="0.2">
      <c r="A61" s="9" t="s">
        <v>76</v>
      </c>
      <c r="C61" s="40">
        <v>10.6447</v>
      </c>
      <c r="D61" s="40">
        <v>11.478</v>
      </c>
    </row>
    <row r="62" spans="1:9" x14ac:dyDescent="0.2">
      <c r="A62" s="9" t="s">
        <v>73</v>
      </c>
      <c r="C62" s="40">
        <v>68.552199999999999</v>
      </c>
      <c r="D62" s="40">
        <v>74.209900000000005</v>
      </c>
    </row>
    <row r="63" spans="1:9" x14ac:dyDescent="0.2">
      <c r="A63" s="9" t="s">
        <v>77</v>
      </c>
      <c r="C63" s="40">
        <v>11.5542</v>
      </c>
      <c r="D63" s="40">
        <v>12.5078</v>
      </c>
    </row>
    <row r="65" spans="1:7" x14ac:dyDescent="0.2">
      <c r="A65" s="18" t="s">
        <v>53</v>
      </c>
      <c r="D65" s="41" t="s">
        <v>54</v>
      </c>
    </row>
    <row r="67" spans="1:7" x14ac:dyDescent="0.2">
      <c r="A67" s="18" t="s">
        <v>793</v>
      </c>
      <c r="D67" s="42">
        <v>2.5272992522739699</v>
      </c>
      <c r="E67" s="13" t="s">
        <v>55</v>
      </c>
    </row>
    <row r="69" spans="1:7" x14ac:dyDescent="0.2">
      <c r="A69" s="18" t="s">
        <v>1477</v>
      </c>
      <c r="D69" s="41" t="s">
        <v>54</v>
      </c>
    </row>
    <row r="70" spans="1:7" x14ac:dyDescent="0.2">
      <c r="A70" s="9" t="s">
        <v>1103</v>
      </c>
    </row>
    <row r="71" spans="1:7" x14ac:dyDescent="0.2">
      <c r="A71" s="50" t="s">
        <v>1104</v>
      </c>
    </row>
    <row r="73" spans="1:7" ht="24.75" customHeight="1" x14ac:dyDescent="0.2">
      <c r="A73" s="79" t="s">
        <v>1105</v>
      </c>
      <c r="B73" s="79"/>
      <c r="C73" s="79"/>
      <c r="D73" s="79"/>
      <c r="E73" s="79"/>
      <c r="F73" s="79"/>
      <c r="G73" s="79"/>
    </row>
    <row r="75" spans="1:7" ht="50.25" customHeight="1" x14ac:dyDescent="0.2">
      <c r="A75" s="80" t="s">
        <v>1106</v>
      </c>
      <c r="B75" s="80"/>
      <c r="C75" s="80"/>
      <c r="D75" s="80"/>
      <c r="E75" s="80"/>
      <c r="F75" s="80"/>
      <c r="G75" s="80"/>
    </row>
    <row r="77" spans="1:7" ht="40.049999999999997" customHeight="1" x14ac:dyDescent="0.2">
      <c r="A77" s="80" t="s">
        <v>1107</v>
      </c>
      <c r="B77" s="80"/>
      <c r="C77" s="80"/>
      <c r="D77" s="80"/>
      <c r="E77" s="80"/>
      <c r="F77" s="80"/>
      <c r="G77" s="80"/>
    </row>
    <row r="78" spans="1:7" x14ac:dyDescent="0.2">
      <c r="A78" s="50" t="s">
        <v>1108</v>
      </c>
      <c r="B78" s="58"/>
      <c r="C78" s="58"/>
      <c r="D78" s="58"/>
      <c r="E78" s="58"/>
      <c r="F78" s="58"/>
      <c r="G78" s="58"/>
    </row>
    <row r="80" spans="1:7" ht="26.25" customHeight="1" x14ac:dyDescent="0.2">
      <c r="A80" s="81" t="s">
        <v>1109</v>
      </c>
      <c r="B80" s="81"/>
      <c r="C80" s="81"/>
      <c r="D80" s="81"/>
      <c r="E80" s="81"/>
      <c r="F80" s="81"/>
      <c r="G80" s="81"/>
    </row>
    <row r="82" spans="1:9" ht="14.4" x14ac:dyDescent="0.2">
      <c r="A82" s="70" t="s">
        <v>1110</v>
      </c>
      <c r="B82" s="71"/>
      <c r="C82" s="71"/>
      <c r="D82" s="71"/>
      <c r="E82" s="71"/>
      <c r="F82" s="71"/>
      <c r="G82" s="71"/>
    </row>
    <row r="83" spans="1:9" x14ac:dyDescent="0.2">
      <c r="A83" s="50" t="s">
        <v>56</v>
      </c>
    </row>
    <row r="85" spans="1:9" x14ac:dyDescent="0.2">
      <c r="A85" s="50"/>
    </row>
    <row r="87" spans="1:9" s="1" customFormat="1" ht="13.8" x14ac:dyDescent="0.2">
      <c r="A87" s="72" t="s">
        <v>1111</v>
      </c>
      <c r="B87" s="73"/>
      <c r="C87" s="73"/>
      <c r="D87" s="73"/>
      <c r="E87" s="73"/>
      <c r="F87" s="73"/>
      <c r="G87" s="73"/>
    </row>
    <row r="88" spans="1:9" x14ac:dyDescent="0.2">
      <c r="A88" s="18" t="s">
        <v>7</v>
      </c>
    </row>
    <row r="89" spans="1:9" s="1" customFormat="1" ht="17.55" customHeight="1" x14ac:dyDescent="0.2">
      <c r="A89" s="8" t="s">
        <v>2</v>
      </c>
      <c r="B89" s="8" t="s">
        <v>0</v>
      </c>
      <c r="C89" s="17" t="s">
        <v>735</v>
      </c>
      <c r="D89" s="16" t="s">
        <v>1</v>
      </c>
      <c r="E89" s="15" t="s">
        <v>3</v>
      </c>
      <c r="F89" s="15" t="s">
        <v>4</v>
      </c>
      <c r="G89" s="15" t="s">
        <v>6</v>
      </c>
    </row>
    <row r="90" spans="1:9" x14ac:dyDescent="0.2">
      <c r="A90" s="21" t="s">
        <v>31</v>
      </c>
      <c r="B90" s="22"/>
      <c r="C90" s="22"/>
      <c r="D90" s="23"/>
      <c r="E90" s="24"/>
      <c r="F90" s="25"/>
      <c r="G90" s="24"/>
    </row>
    <row r="91" spans="1:9" x14ac:dyDescent="0.2">
      <c r="A91" s="26" t="s">
        <v>32</v>
      </c>
      <c r="B91" s="27"/>
      <c r="C91" s="27"/>
      <c r="D91" s="28"/>
      <c r="E91" s="29"/>
      <c r="F91" s="30"/>
      <c r="G91" s="29"/>
    </row>
    <row r="92" spans="1:9" x14ac:dyDescent="0.2">
      <c r="A92" s="27" t="s">
        <v>1112</v>
      </c>
      <c r="B92" s="27" t="s">
        <v>1113</v>
      </c>
      <c r="C92" s="27" t="s">
        <v>1114</v>
      </c>
      <c r="D92" s="31">
        <v>940</v>
      </c>
      <c r="E92" s="29">
        <v>0</v>
      </c>
      <c r="F92" s="30">
        <v>100</v>
      </c>
      <c r="G92" s="29">
        <v>0</v>
      </c>
    </row>
    <row r="93" spans="1:9" x14ac:dyDescent="0.2">
      <c r="A93" s="26" t="s">
        <v>40</v>
      </c>
      <c r="B93" s="26"/>
      <c r="C93" s="26"/>
      <c r="D93" s="32"/>
      <c r="E93" s="33">
        <f>SUM(E91:E92)</f>
        <v>0</v>
      </c>
      <c r="F93" s="34">
        <f>SUM(F91:F92)</f>
        <v>100</v>
      </c>
      <c r="G93" s="33"/>
      <c r="H93" s="18"/>
      <c r="I93" s="18"/>
    </row>
    <row r="94" spans="1:9" x14ac:dyDescent="0.2">
      <c r="A94" s="27"/>
      <c r="B94" s="27"/>
      <c r="C94" s="27"/>
      <c r="D94" s="28"/>
      <c r="E94" s="29"/>
      <c r="F94" s="30"/>
      <c r="G94" s="29"/>
    </row>
    <row r="95" spans="1:9" x14ac:dyDescent="0.2">
      <c r="A95" s="26" t="s">
        <v>44</v>
      </c>
      <c r="B95" s="26"/>
      <c r="C95" s="26"/>
      <c r="D95" s="32"/>
      <c r="E95" s="33">
        <f>E93</f>
        <v>0</v>
      </c>
      <c r="F95" s="34">
        <f>F93</f>
        <v>100</v>
      </c>
      <c r="G95" s="33"/>
      <c r="H95" s="18"/>
      <c r="I95" s="18"/>
    </row>
    <row r="96" spans="1:9" x14ac:dyDescent="0.2">
      <c r="A96" s="26"/>
      <c r="B96" s="26"/>
      <c r="C96" s="26"/>
      <c r="D96" s="32"/>
      <c r="E96" s="33"/>
      <c r="F96" s="34"/>
      <c r="G96" s="33"/>
      <c r="H96" s="18"/>
      <c r="I96" s="18"/>
    </row>
    <row r="97" spans="1:9" x14ac:dyDescent="0.2">
      <c r="A97" s="26" t="s">
        <v>46</v>
      </c>
      <c r="B97" s="26"/>
      <c r="C97" s="26"/>
      <c r="D97" s="32"/>
      <c r="E97" s="33">
        <f>E99-(E93)</f>
        <v>3.9999999999999998E-7</v>
      </c>
      <c r="F97" s="34">
        <v>0</v>
      </c>
      <c r="G97" s="33"/>
      <c r="H97" s="18"/>
      <c r="I97" s="18"/>
    </row>
    <row r="98" spans="1:9" x14ac:dyDescent="0.2">
      <c r="A98" s="26"/>
      <c r="B98" s="26"/>
      <c r="C98" s="26"/>
      <c r="D98" s="32"/>
      <c r="E98" s="33"/>
      <c r="F98" s="34"/>
      <c r="G98" s="33"/>
      <c r="H98" s="18"/>
      <c r="I98" s="18"/>
    </row>
    <row r="99" spans="1:9" x14ac:dyDescent="0.2">
      <c r="A99" s="35" t="s">
        <v>45</v>
      </c>
      <c r="B99" s="35"/>
      <c r="C99" s="35"/>
      <c r="D99" s="36"/>
      <c r="E99" s="37">
        <v>3.9999999999999998E-7</v>
      </c>
      <c r="F99" s="38">
        <v>100</v>
      </c>
      <c r="G99" s="37"/>
      <c r="H99" s="18"/>
      <c r="I99" s="18"/>
    </row>
    <row r="101" spans="1:9" x14ac:dyDescent="0.2">
      <c r="A101" s="18" t="s">
        <v>47</v>
      </c>
    </row>
    <row r="102" spans="1:9" x14ac:dyDescent="0.2">
      <c r="A102" s="18" t="s">
        <v>1102</v>
      </c>
    </row>
    <row r="103" spans="1:9" x14ac:dyDescent="0.2">
      <c r="A103" s="18" t="s">
        <v>1115</v>
      </c>
    </row>
    <row r="105" spans="1:9" x14ac:dyDescent="0.2">
      <c r="A105" s="18" t="s">
        <v>48</v>
      </c>
    </row>
    <row r="106" spans="1:9" x14ac:dyDescent="0.2">
      <c r="A106" s="18" t="s">
        <v>49</v>
      </c>
    </row>
    <row r="107" spans="1:9" x14ac:dyDescent="0.2">
      <c r="A107" s="18" t="s">
        <v>50</v>
      </c>
      <c r="B107" s="18"/>
      <c r="C107" s="39" t="s">
        <v>52</v>
      </c>
      <c r="D107" s="19" t="s">
        <v>51</v>
      </c>
    </row>
    <row r="108" spans="1:9" x14ac:dyDescent="0.2">
      <c r="A108" s="9" t="s">
        <v>70</v>
      </c>
      <c r="C108" s="40">
        <v>0</v>
      </c>
      <c r="D108" s="40">
        <v>0</v>
      </c>
    </row>
    <row r="109" spans="1:9" x14ac:dyDescent="0.2">
      <c r="A109" s="9" t="s">
        <v>76</v>
      </c>
      <c r="C109" s="40">
        <v>0</v>
      </c>
      <c r="D109" s="40">
        <v>0</v>
      </c>
    </row>
    <row r="110" spans="1:9" x14ac:dyDescent="0.2">
      <c r="A110" s="9" t="s">
        <v>73</v>
      </c>
      <c r="C110" s="40">
        <v>0</v>
      </c>
      <c r="D110" s="40">
        <v>0</v>
      </c>
    </row>
    <row r="111" spans="1:9" x14ac:dyDescent="0.2">
      <c r="A111" s="9" t="s">
        <v>77</v>
      </c>
      <c r="C111" s="40">
        <v>0</v>
      </c>
      <c r="D111" s="40">
        <v>0</v>
      </c>
    </row>
    <row r="113" spans="1:9" x14ac:dyDescent="0.2">
      <c r="A113" s="18" t="s">
        <v>1478</v>
      </c>
      <c r="D113" s="41" t="s">
        <v>54</v>
      </c>
    </row>
    <row r="114" spans="1:9" x14ac:dyDescent="0.2">
      <c r="A114" s="9" t="s">
        <v>1103</v>
      </c>
    </row>
    <row r="115" spans="1:9" x14ac:dyDescent="0.2">
      <c r="A115" s="50" t="s">
        <v>1104</v>
      </c>
    </row>
    <row r="117" spans="1:9" ht="14.4" x14ac:dyDescent="0.2">
      <c r="A117" s="70" t="s">
        <v>1116</v>
      </c>
      <c r="B117" s="71"/>
      <c r="C117" s="71"/>
      <c r="D117" s="71"/>
      <c r="E117" s="71"/>
      <c r="F117" s="71"/>
      <c r="G117" s="71"/>
    </row>
    <row r="118" spans="1:9" x14ac:dyDescent="0.2">
      <c r="A118" s="50" t="s">
        <v>56</v>
      </c>
    </row>
    <row r="120" spans="1:9" x14ac:dyDescent="0.2">
      <c r="A120" s="50"/>
    </row>
    <row r="122" spans="1:9" s="1" customFormat="1" ht="13.8" x14ac:dyDescent="0.2">
      <c r="A122" s="72" t="s">
        <v>1117</v>
      </c>
      <c r="B122" s="73"/>
      <c r="C122" s="73"/>
      <c r="D122" s="73"/>
      <c r="E122" s="73"/>
      <c r="F122" s="73"/>
      <c r="G122" s="73"/>
    </row>
    <row r="123" spans="1:9" x14ac:dyDescent="0.2">
      <c r="A123" s="18" t="s">
        <v>7</v>
      </c>
    </row>
    <row r="124" spans="1:9" s="1" customFormat="1" ht="17.55" customHeight="1" x14ac:dyDescent="0.2">
      <c r="A124" s="8" t="s">
        <v>2</v>
      </c>
      <c r="B124" s="8" t="s">
        <v>0</v>
      </c>
      <c r="C124" s="17" t="s">
        <v>735</v>
      </c>
      <c r="D124" s="16" t="s">
        <v>1</v>
      </c>
      <c r="E124" s="15" t="s">
        <v>3</v>
      </c>
      <c r="F124" s="15" t="s">
        <v>4</v>
      </c>
      <c r="G124" s="15" t="s">
        <v>6</v>
      </c>
    </row>
    <row r="125" spans="1:9" x14ac:dyDescent="0.2">
      <c r="A125" s="21" t="s">
        <v>31</v>
      </c>
      <c r="B125" s="22"/>
      <c r="C125" s="22"/>
      <c r="D125" s="23"/>
      <c r="E125" s="24"/>
      <c r="F125" s="25"/>
      <c r="G125" s="24"/>
    </row>
    <row r="126" spans="1:9" x14ac:dyDescent="0.2">
      <c r="A126" s="26" t="s">
        <v>32</v>
      </c>
      <c r="B126" s="27"/>
      <c r="C126" s="27"/>
      <c r="D126" s="28"/>
      <c r="E126" s="29"/>
      <c r="F126" s="30"/>
      <c r="G126" s="29"/>
    </row>
    <row r="127" spans="1:9" ht="20.399999999999999" x14ac:dyDescent="0.2">
      <c r="A127" s="27" t="s">
        <v>1118</v>
      </c>
      <c r="B127" s="27" t="s">
        <v>1119</v>
      </c>
      <c r="C127" s="51" t="s">
        <v>1120</v>
      </c>
      <c r="D127" s="31">
        <v>682</v>
      </c>
      <c r="E127" s="29">
        <v>0</v>
      </c>
      <c r="F127" s="30">
        <v>100</v>
      </c>
      <c r="G127" s="29">
        <v>0</v>
      </c>
    </row>
    <row r="128" spans="1:9" x14ac:dyDescent="0.2">
      <c r="A128" s="26" t="s">
        <v>40</v>
      </c>
      <c r="B128" s="26"/>
      <c r="C128" s="26"/>
      <c r="D128" s="32"/>
      <c r="E128" s="33">
        <f>SUM(E126:E127)</f>
        <v>0</v>
      </c>
      <c r="F128" s="34">
        <f>SUM(F126:F127)</f>
        <v>100</v>
      </c>
      <c r="G128" s="33"/>
      <c r="H128" s="18"/>
      <c r="I128" s="18"/>
    </row>
    <row r="129" spans="1:9" x14ac:dyDescent="0.2">
      <c r="A129" s="27"/>
      <c r="B129" s="27"/>
      <c r="C129" s="27"/>
      <c r="D129" s="28"/>
      <c r="E129" s="29"/>
      <c r="F129" s="30"/>
      <c r="G129" s="29"/>
    </row>
    <row r="130" spans="1:9" x14ac:dyDescent="0.2">
      <c r="A130" s="26" t="s">
        <v>44</v>
      </c>
      <c r="B130" s="26"/>
      <c r="C130" s="26"/>
      <c r="D130" s="32"/>
      <c r="E130" s="33">
        <f>E128</f>
        <v>0</v>
      </c>
      <c r="F130" s="34">
        <f>F128</f>
        <v>100</v>
      </c>
      <c r="G130" s="33"/>
      <c r="H130" s="18"/>
      <c r="I130" s="18"/>
    </row>
    <row r="131" spans="1:9" x14ac:dyDescent="0.2">
      <c r="A131" s="26"/>
      <c r="B131" s="26"/>
      <c r="C131" s="26"/>
      <c r="D131" s="32"/>
      <c r="E131" s="33"/>
      <c r="F131" s="34"/>
      <c r="G131" s="33"/>
      <c r="H131" s="18"/>
      <c r="I131" s="18"/>
    </row>
    <row r="132" spans="1:9" x14ac:dyDescent="0.2">
      <c r="A132" s="26" t="s">
        <v>46</v>
      </c>
      <c r="B132" s="26"/>
      <c r="C132" s="26"/>
      <c r="D132" s="32"/>
      <c r="E132" s="33">
        <f>E134-(E128)</f>
        <v>3.9999999999999998E-7</v>
      </c>
      <c r="F132" s="34">
        <v>0</v>
      </c>
      <c r="G132" s="33"/>
      <c r="H132" s="18"/>
      <c r="I132" s="18"/>
    </row>
    <row r="133" spans="1:9" x14ac:dyDescent="0.2">
      <c r="A133" s="26"/>
      <c r="B133" s="26"/>
      <c r="C133" s="26"/>
      <c r="D133" s="32"/>
      <c r="E133" s="33"/>
      <c r="F133" s="34"/>
      <c r="G133" s="33"/>
      <c r="H133" s="18"/>
      <c r="I133" s="18"/>
    </row>
    <row r="134" spans="1:9" x14ac:dyDescent="0.2">
      <c r="A134" s="35" t="s">
        <v>45</v>
      </c>
      <c r="B134" s="35"/>
      <c r="C134" s="35"/>
      <c r="D134" s="36"/>
      <c r="E134" s="37">
        <v>3.9999999999999998E-7</v>
      </c>
      <c r="F134" s="38">
        <v>100</v>
      </c>
      <c r="G134" s="37"/>
      <c r="H134" s="18"/>
      <c r="I134" s="18"/>
    </row>
    <row r="136" spans="1:9" x14ac:dyDescent="0.2">
      <c r="A136" s="18" t="s">
        <v>47</v>
      </c>
    </row>
    <row r="137" spans="1:9" x14ac:dyDescent="0.2">
      <c r="A137" s="47" t="s">
        <v>1102</v>
      </c>
    </row>
    <row r="139" spans="1:9" x14ac:dyDescent="0.2">
      <c r="A139" s="18" t="s">
        <v>48</v>
      </c>
    </row>
    <row r="140" spans="1:9" x14ac:dyDescent="0.2">
      <c r="A140" s="18" t="s">
        <v>49</v>
      </c>
    </row>
    <row r="141" spans="1:9" x14ac:dyDescent="0.2">
      <c r="A141" s="18" t="s">
        <v>50</v>
      </c>
      <c r="B141" s="18"/>
      <c r="C141" s="39" t="s">
        <v>52</v>
      </c>
      <c r="D141" s="19" t="s">
        <v>51</v>
      </c>
    </row>
    <row r="142" spans="1:9" x14ac:dyDescent="0.2">
      <c r="A142" s="9" t="s">
        <v>70</v>
      </c>
      <c r="C142" s="40">
        <v>0</v>
      </c>
      <c r="D142" s="40">
        <v>0</v>
      </c>
    </row>
    <row r="143" spans="1:9" x14ac:dyDescent="0.2">
      <c r="A143" s="9" t="s">
        <v>76</v>
      </c>
      <c r="C143" s="40">
        <v>0</v>
      </c>
      <c r="D143" s="40">
        <v>0</v>
      </c>
    </row>
    <row r="144" spans="1:9" x14ac:dyDescent="0.2">
      <c r="A144" s="9" t="s">
        <v>73</v>
      </c>
      <c r="C144" s="40">
        <v>0</v>
      </c>
      <c r="D144" s="40">
        <v>0</v>
      </c>
    </row>
    <row r="145" spans="1:7" x14ac:dyDescent="0.2">
      <c r="A145" s="9" t="s">
        <v>77</v>
      </c>
      <c r="C145" s="40">
        <v>0</v>
      </c>
      <c r="D145" s="40">
        <v>0</v>
      </c>
    </row>
    <row r="147" spans="1:7" x14ac:dyDescent="0.2">
      <c r="A147" s="18" t="s">
        <v>1478</v>
      </c>
      <c r="D147" s="41" t="s">
        <v>54</v>
      </c>
    </row>
    <row r="148" spans="1:7" x14ac:dyDescent="0.2">
      <c r="A148" s="9" t="s">
        <v>1103</v>
      </c>
    </row>
    <row r="149" spans="1:7" x14ac:dyDescent="0.2">
      <c r="A149" s="50" t="s">
        <v>1104</v>
      </c>
    </row>
    <row r="151" spans="1:7" ht="14.4" x14ac:dyDescent="0.2">
      <c r="A151" s="70" t="s">
        <v>1116</v>
      </c>
      <c r="B151" s="71"/>
      <c r="C151" s="71"/>
      <c r="D151" s="71"/>
      <c r="E151" s="71"/>
      <c r="F151" s="71"/>
      <c r="G151" s="71"/>
    </row>
    <row r="152" spans="1:7" x14ac:dyDescent="0.2">
      <c r="A152" s="50" t="s">
        <v>56</v>
      </c>
    </row>
    <row r="154" spans="1:7" x14ac:dyDescent="0.2">
      <c r="A154" s="50"/>
    </row>
  </sheetData>
  <mergeCells count="10">
    <mergeCell ref="A87:G87"/>
    <mergeCell ref="A117:G117"/>
    <mergeCell ref="A122:G122"/>
    <mergeCell ref="A151:G151"/>
    <mergeCell ref="A1:G1"/>
    <mergeCell ref="A73:G73"/>
    <mergeCell ref="A75:G75"/>
    <mergeCell ref="A77:G77"/>
    <mergeCell ref="A80:G80"/>
    <mergeCell ref="A82:G82"/>
  </mergeCells>
  <conditionalFormatting sqref="F2:F3 F5:F42 F90:F91 F125:F126 F46:F72 F81 F86 F88 F100:F116 F121 F123 F135:F150 F155:F65549">
    <cfRule type="cellIs" dxfId="162" priority="14" stopIfTrue="1" operator="between">
      <formula>0.009</formula>
      <formula>-0.009</formula>
    </cfRule>
  </conditionalFormatting>
  <conditionalFormatting sqref="F74 F76 F79">
    <cfRule type="cellIs" dxfId="161" priority="13" stopIfTrue="1" operator="between">
      <formula>0.009</formula>
      <formula>-0.009</formula>
    </cfRule>
  </conditionalFormatting>
  <conditionalFormatting sqref="F84:F85">
    <cfRule type="cellIs" dxfId="160" priority="12" stopIfTrue="1" operator="between">
      <formula>0.009</formula>
      <formula>-0.009</formula>
    </cfRule>
  </conditionalFormatting>
  <conditionalFormatting sqref="F83">
    <cfRule type="cellIs" dxfId="159" priority="11" stopIfTrue="1" operator="between">
      <formula>0.009</formula>
      <formula>-0.009</formula>
    </cfRule>
  </conditionalFormatting>
  <conditionalFormatting sqref="F95:F96 F98:F99">
    <cfRule type="cellIs" dxfId="158" priority="8" stopIfTrue="1" operator="between">
      <formula>0.009</formula>
      <formula>-0.009</formula>
    </cfRule>
  </conditionalFormatting>
  <conditionalFormatting sqref="F93:F94">
    <cfRule type="cellIs" dxfId="157" priority="10" stopIfTrue="1" operator="between">
      <formula>0.009</formula>
      <formula>-0.009</formula>
    </cfRule>
  </conditionalFormatting>
  <conditionalFormatting sqref="F92">
    <cfRule type="cellIs" dxfId="156" priority="9" stopIfTrue="1" operator="between">
      <formula>0.009</formula>
      <formula>-0.009</formula>
    </cfRule>
  </conditionalFormatting>
  <conditionalFormatting sqref="F119:F120">
    <cfRule type="cellIs" dxfId="155" priority="7" stopIfTrue="1" operator="between">
      <formula>0.009</formula>
      <formula>-0.009</formula>
    </cfRule>
  </conditionalFormatting>
  <conditionalFormatting sqref="F118">
    <cfRule type="cellIs" dxfId="154" priority="6" stopIfTrue="1" operator="between">
      <formula>0.009</formula>
      <formula>-0.009</formula>
    </cfRule>
  </conditionalFormatting>
  <conditionalFormatting sqref="F128:F129">
    <cfRule type="cellIs" dxfId="153" priority="5" stopIfTrue="1" operator="between">
      <formula>0.009</formula>
      <formula>-0.009</formula>
    </cfRule>
  </conditionalFormatting>
  <conditionalFormatting sqref="F127">
    <cfRule type="cellIs" dxfId="152" priority="4" stopIfTrue="1" operator="between">
      <formula>0.009</formula>
      <formula>-0.009</formula>
    </cfRule>
  </conditionalFormatting>
  <conditionalFormatting sqref="F130:F131 F133:F134">
    <cfRule type="cellIs" dxfId="151" priority="3" stopIfTrue="1" operator="between">
      <formula>0.009</formula>
      <formula>-0.009</formula>
    </cfRule>
  </conditionalFormatting>
  <conditionalFormatting sqref="F153:F154">
    <cfRule type="cellIs" dxfId="150" priority="2" stopIfTrue="1" operator="between">
      <formula>0.009</formula>
      <formula>-0.009</formula>
    </cfRule>
  </conditionalFormatting>
  <conditionalFormatting sqref="F152">
    <cfRule type="cellIs" dxfId="149" priority="1" stopIfTrue="1" operator="between">
      <formula>0.009</formula>
      <formula>-0.009</formula>
    </cfRule>
  </conditionalFormatting>
  <hyperlinks>
    <hyperlink ref="A71" r:id="rId1" xr:uid="{00000000-0004-0000-0700-000000000000}"/>
    <hyperlink ref="A78" r:id="rId2" xr:uid="{00000000-0004-0000-0700-000001000000}"/>
    <hyperlink ref="A83" r:id="rId3" xr:uid="{00000000-0004-0000-0700-000002000000}"/>
    <hyperlink ref="A115" r:id="rId4" xr:uid="{00000000-0004-0000-0700-000003000000}"/>
    <hyperlink ref="A118" r:id="rId5" xr:uid="{00000000-0004-0000-0700-000004000000}"/>
    <hyperlink ref="A149" r:id="rId6" xr:uid="{00000000-0004-0000-0700-000005000000}"/>
    <hyperlink ref="A152" r:id="rId7" xr:uid="{00000000-0004-0000-0700-000006000000}"/>
  </hyperlinks>
  <pageMargins left="0.7" right="0.7" top="0.75" bottom="0.75" header="0.3" footer="0.3"/>
  <pageSetup paperSize="9" orientation="portrait" r:id="rId8"/>
  <headerFooter>
    <oddFooter>&amp;R&amp;1#&amp;"Calibri"&amp;10&amp;KFF0000|PUBLIC|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1"/>
  <sheetViews>
    <sheetView workbookViewId="0">
      <selection sqref="A1:G1"/>
    </sheetView>
  </sheetViews>
  <sheetFormatPr defaultColWidth="9.21875" defaultRowHeight="10.199999999999999" x14ac:dyDescent="0.2"/>
  <cols>
    <col min="1" max="1" width="38.77734375" style="9" bestFit="1" customWidth="1"/>
    <col min="2" max="2" width="62" style="9" bestFit="1" customWidth="1"/>
    <col min="3" max="3" width="15.5546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1121</v>
      </c>
      <c r="B1" s="73"/>
      <c r="C1" s="73"/>
      <c r="D1" s="73"/>
      <c r="E1" s="73"/>
      <c r="F1" s="73"/>
      <c r="G1" s="73"/>
    </row>
    <row r="2" spans="1:7" s="1" customFormat="1" ht="12" x14ac:dyDescent="0.25">
      <c r="A2" s="57" t="s">
        <v>1026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1122</v>
      </c>
      <c r="B7" s="27" t="s">
        <v>1123</v>
      </c>
      <c r="C7" s="27" t="s">
        <v>998</v>
      </c>
      <c r="D7" s="31">
        <v>1283</v>
      </c>
      <c r="E7" s="29">
        <v>12964.52255</v>
      </c>
      <c r="F7" s="30">
        <v>13.228471613664301</v>
      </c>
      <c r="G7" s="29">
        <v>10.5837</v>
      </c>
    </row>
    <row r="8" spans="1:7" x14ac:dyDescent="0.2">
      <c r="A8" s="27" t="s">
        <v>1124</v>
      </c>
      <c r="B8" s="27" t="s">
        <v>1125</v>
      </c>
      <c r="C8" s="27" t="s">
        <v>1126</v>
      </c>
      <c r="D8" s="31">
        <v>1000</v>
      </c>
      <c r="E8" s="29">
        <v>9991.7199999999993</v>
      </c>
      <c r="F8" s="30">
        <v>10.1951447792948</v>
      </c>
      <c r="G8" s="29">
        <v>8.9550000000000001</v>
      </c>
    </row>
    <row r="9" spans="1:7" x14ac:dyDescent="0.2">
      <c r="A9" s="27" t="s">
        <v>1127</v>
      </c>
      <c r="B9" s="27" t="s">
        <v>1128</v>
      </c>
      <c r="C9" s="27" t="s">
        <v>1051</v>
      </c>
      <c r="D9" s="31">
        <v>2000</v>
      </c>
      <c r="E9" s="29">
        <v>9821.4599999999991</v>
      </c>
      <c r="F9" s="30">
        <v>10.021418398839501</v>
      </c>
      <c r="G9" s="29">
        <v>18.325900000000001</v>
      </c>
    </row>
    <row r="10" spans="1:7" x14ac:dyDescent="0.2">
      <c r="A10" s="27" t="s">
        <v>1054</v>
      </c>
      <c r="B10" s="27" t="s">
        <v>1055</v>
      </c>
      <c r="C10" s="27" t="s">
        <v>38</v>
      </c>
      <c r="D10" s="31">
        <v>780</v>
      </c>
      <c r="E10" s="29">
        <v>8314.9637999999995</v>
      </c>
      <c r="F10" s="30">
        <v>8.4842509373356396</v>
      </c>
      <c r="G10" s="29">
        <v>6.1093999999999999</v>
      </c>
    </row>
    <row r="11" spans="1:7" x14ac:dyDescent="0.2">
      <c r="A11" s="27" t="s">
        <v>1129</v>
      </c>
      <c r="B11" s="27" t="s">
        <v>1130</v>
      </c>
      <c r="C11" s="27" t="s">
        <v>1085</v>
      </c>
      <c r="D11" s="31">
        <v>650</v>
      </c>
      <c r="E11" s="29">
        <v>6481.2605000000003</v>
      </c>
      <c r="F11" s="30">
        <v>6.6132146567182204</v>
      </c>
      <c r="G11" s="29">
        <v>12.8499</v>
      </c>
    </row>
    <row r="12" spans="1:7" x14ac:dyDescent="0.2">
      <c r="A12" s="27" t="s">
        <v>1131</v>
      </c>
      <c r="B12" s="27" t="s">
        <v>1132</v>
      </c>
      <c r="C12" s="27" t="s">
        <v>919</v>
      </c>
      <c r="D12" s="31">
        <v>500</v>
      </c>
      <c r="E12" s="29">
        <v>5116.8999999999996</v>
      </c>
      <c r="F12" s="30">
        <v>5.2210766836113898</v>
      </c>
      <c r="G12" s="29">
        <v>9.9445999999999994</v>
      </c>
    </row>
    <row r="13" spans="1:7" x14ac:dyDescent="0.2">
      <c r="A13" s="27" t="s">
        <v>851</v>
      </c>
      <c r="B13" s="27" t="s">
        <v>852</v>
      </c>
      <c r="C13" s="27" t="s">
        <v>853</v>
      </c>
      <c r="D13" s="31">
        <v>500</v>
      </c>
      <c r="E13" s="29">
        <v>4929.3500000000004</v>
      </c>
      <c r="F13" s="30">
        <v>5.0297082902460097</v>
      </c>
      <c r="G13" s="29">
        <v>7.2350000000000003</v>
      </c>
    </row>
    <row r="14" spans="1:7" x14ac:dyDescent="0.2">
      <c r="A14" s="27" t="s">
        <v>1063</v>
      </c>
      <c r="B14" s="27" t="s">
        <v>1064</v>
      </c>
      <c r="C14" s="27" t="s">
        <v>1046</v>
      </c>
      <c r="D14" s="31">
        <v>232</v>
      </c>
      <c r="E14" s="29">
        <v>3246.85392</v>
      </c>
      <c r="F14" s="30">
        <v>3.3129577081444301</v>
      </c>
      <c r="G14" s="29">
        <v>10.8949</v>
      </c>
    </row>
    <row r="15" spans="1:7" x14ac:dyDescent="0.2">
      <c r="A15" s="27" t="s">
        <v>1133</v>
      </c>
      <c r="B15" s="27" t="s">
        <v>1134</v>
      </c>
      <c r="C15" s="27" t="s">
        <v>919</v>
      </c>
      <c r="D15" s="31">
        <v>250</v>
      </c>
      <c r="E15" s="29">
        <v>3193.3525</v>
      </c>
      <c r="F15" s="30">
        <v>3.2583670347871001</v>
      </c>
      <c r="G15" s="29">
        <v>6.3998999999999997</v>
      </c>
    </row>
    <row r="16" spans="1:7" x14ac:dyDescent="0.2">
      <c r="A16" s="27" t="s">
        <v>1135</v>
      </c>
      <c r="B16" s="27" t="s">
        <v>1136</v>
      </c>
      <c r="C16" s="27" t="s">
        <v>1137</v>
      </c>
      <c r="D16" s="31">
        <v>300</v>
      </c>
      <c r="E16" s="29">
        <v>3000.3359999999998</v>
      </c>
      <c r="F16" s="30">
        <v>3.06142084711444</v>
      </c>
      <c r="G16" s="29">
        <v>9.3729999999999993</v>
      </c>
    </row>
    <row r="17" spans="1:9" x14ac:dyDescent="0.2">
      <c r="A17" s="27" t="s">
        <v>1138</v>
      </c>
      <c r="B17" s="27" t="s">
        <v>1139</v>
      </c>
      <c r="C17" s="27" t="s">
        <v>919</v>
      </c>
      <c r="D17" s="31">
        <v>250</v>
      </c>
      <c r="E17" s="29">
        <v>2535.2600000000002</v>
      </c>
      <c r="F17" s="30">
        <v>2.5868762088163901</v>
      </c>
      <c r="G17" s="29">
        <v>9.4</v>
      </c>
    </row>
    <row r="18" spans="1:9" x14ac:dyDescent="0.2">
      <c r="A18" s="27" t="s">
        <v>1140</v>
      </c>
      <c r="B18" s="27" t="s">
        <v>1141</v>
      </c>
      <c r="C18" s="27" t="s">
        <v>998</v>
      </c>
      <c r="D18" s="31">
        <v>250</v>
      </c>
      <c r="E18" s="29">
        <v>2527.0574999999999</v>
      </c>
      <c r="F18" s="30">
        <v>2.5785067113672899</v>
      </c>
      <c r="G18" s="29">
        <v>8.3678000000000008</v>
      </c>
    </row>
    <row r="19" spans="1:9" x14ac:dyDescent="0.2">
      <c r="A19" s="27" t="s">
        <v>1142</v>
      </c>
      <c r="B19" s="27" t="s">
        <v>1143</v>
      </c>
      <c r="C19" s="27" t="s">
        <v>1029</v>
      </c>
      <c r="D19" s="31">
        <v>300</v>
      </c>
      <c r="E19" s="29">
        <v>2263.9747499999999</v>
      </c>
      <c r="F19" s="30">
        <v>2.3100677714065001</v>
      </c>
      <c r="G19" s="29">
        <v>8.3552</v>
      </c>
    </row>
    <row r="20" spans="1:9" x14ac:dyDescent="0.2">
      <c r="A20" s="27" t="s">
        <v>1067</v>
      </c>
      <c r="B20" s="27" t="s">
        <v>1068</v>
      </c>
      <c r="C20" s="27" t="s">
        <v>1029</v>
      </c>
      <c r="D20" s="31">
        <v>176</v>
      </c>
      <c r="E20" s="29">
        <v>1775.62176</v>
      </c>
      <c r="F20" s="30">
        <v>1.8117722390605699</v>
      </c>
      <c r="G20" s="29">
        <v>8.6254000000000008</v>
      </c>
    </row>
    <row r="21" spans="1:9" x14ac:dyDescent="0.2">
      <c r="A21" s="27" t="s">
        <v>1062</v>
      </c>
      <c r="B21" s="27" t="s">
        <v>1050</v>
      </c>
      <c r="C21" s="27" t="s">
        <v>1051</v>
      </c>
      <c r="D21" s="31">
        <v>200</v>
      </c>
      <c r="E21" s="29">
        <v>1722.924</v>
      </c>
      <c r="F21" s="30">
        <v>1.7580015876867801</v>
      </c>
      <c r="G21" s="29">
        <v>21.516200000000001</v>
      </c>
    </row>
    <row r="22" spans="1:9" x14ac:dyDescent="0.2">
      <c r="A22" s="27" t="s">
        <v>1144</v>
      </c>
      <c r="B22" s="27" t="s">
        <v>1145</v>
      </c>
      <c r="C22" s="27" t="s">
        <v>1137</v>
      </c>
      <c r="D22" s="31">
        <v>150</v>
      </c>
      <c r="E22" s="29">
        <v>1423.9784999999999</v>
      </c>
      <c r="F22" s="30">
        <v>1.45296975596825</v>
      </c>
      <c r="G22" s="29">
        <v>14.404999999999999</v>
      </c>
    </row>
    <row r="23" spans="1:9" x14ac:dyDescent="0.2">
      <c r="A23" s="27" t="s">
        <v>1052</v>
      </c>
      <c r="B23" s="27" t="s">
        <v>1053</v>
      </c>
      <c r="C23" s="27" t="s">
        <v>1037</v>
      </c>
      <c r="D23" s="31">
        <v>150</v>
      </c>
      <c r="E23" s="29">
        <v>1195.7916</v>
      </c>
      <c r="F23" s="30">
        <v>1.2201371223237401</v>
      </c>
      <c r="G23" s="29">
        <v>10.279500000000001</v>
      </c>
    </row>
    <row r="24" spans="1:9" x14ac:dyDescent="0.2">
      <c r="A24" s="27" t="s">
        <v>37</v>
      </c>
      <c r="B24" s="27" t="s">
        <v>36</v>
      </c>
      <c r="C24" s="27" t="s">
        <v>35</v>
      </c>
      <c r="D24" s="31">
        <v>116</v>
      </c>
      <c r="E24" s="29">
        <v>1165.2826399999999</v>
      </c>
      <c r="F24" s="30">
        <v>1.18900702017259</v>
      </c>
      <c r="G24" s="29">
        <v>7.8985000000000003</v>
      </c>
    </row>
    <row r="25" spans="1:9" x14ac:dyDescent="0.2">
      <c r="A25" s="27" t="s">
        <v>1146</v>
      </c>
      <c r="B25" s="27" t="s">
        <v>1147</v>
      </c>
      <c r="C25" s="27" t="s">
        <v>919</v>
      </c>
      <c r="D25" s="31">
        <v>115</v>
      </c>
      <c r="E25" s="29">
        <v>1034.7941499999999</v>
      </c>
      <c r="F25" s="30">
        <v>1.0558618712311101</v>
      </c>
      <c r="G25" s="29">
        <v>11.1099</v>
      </c>
    </row>
    <row r="26" spans="1:9" x14ac:dyDescent="0.2">
      <c r="A26" s="27" t="s">
        <v>1148</v>
      </c>
      <c r="B26" s="27" t="s">
        <v>1149</v>
      </c>
      <c r="C26" s="27" t="s">
        <v>1051</v>
      </c>
      <c r="D26" s="31">
        <v>400</v>
      </c>
      <c r="E26" s="29">
        <v>1000.516</v>
      </c>
      <c r="F26" s="30">
        <v>1.0208858408763399</v>
      </c>
      <c r="G26" s="29">
        <v>8.3892000000000007</v>
      </c>
    </row>
    <row r="27" spans="1:9" x14ac:dyDescent="0.2">
      <c r="A27" s="27" t="s">
        <v>1150</v>
      </c>
      <c r="B27" s="27" t="s">
        <v>1151</v>
      </c>
      <c r="C27" s="27" t="s">
        <v>1029</v>
      </c>
      <c r="D27" s="31">
        <v>62</v>
      </c>
      <c r="E27" s="29">
        <v>628.71968000000004</v>
      </c>
      <c r="F27" s="30">
        <v>0.64151999487494604</v>
      </c>
      <c r="G27" s="29">
        <v>9.8553999999999995</v>
      </c>
    </row>
    <row r="28" spans="1:9" x14ac:dyDescent="0.2">
      <c r="A28" s="27" t="s">
        <v>1152</v>
      </c>
      <c r="B28" s="27" t="s">
        <v>1153</v>
      </c>
      <c r="C28" s="27" t="s">
        <v>1029</v>
      </c>
      <c r="D28" s="31">
        <v>62</v>
      </c>
      <c r="E28" s="29">
        <v>627.77418</v>
      </c>
      <c r="F28" s="30">
        <v>0.64055524512327</v>
      </c>
      <c r="G28" s="29">
        <v>10.0808</v>
      </c>
    </row>
    <row r="29" spans="1:9" x14ac:dyDescent="0.2">
      <c r="A29" s="27" t="s">
        <v>1027</v>
      </c>
      <c r="B29" s="27" t="s">
        <v>1028</v>
      </c>
      <c r="C29" s="27" t="s">
        <v>1029</v>
      </c>
      <c r="D29" s="31">
        <v>55</v>
      </c>
      <c r="E29" s="29">
        <v>558.55909999999994</v>
      </c>
      <c r="F29" s="30">
        <v>0.56993099209071196</v>
      </c>
      <c r="G29" s="29">
        <v>9.3452999999999999</v>
      </c>
    </row>
    <row r="30" spans="1:9" x14ac:dyDescent="0.2">
      <c r="A30" s="26" t="s">
        <v>40</v>
      </c>
      <c r="B30" s="26"/>
      <c r="C30" s="26"/>
      <c r="D30" s="32"/>
      <c r="E30" s="33">
        <f>SUM(E6:E29)</f>
        <v>85520.973129999969</v>
      </c>
      <c r="F30" s="34">
        <f>SUM(F6:F29)</f>
        <v>87.262123310754333</v>
      </c>
      <c r="G30" s="33"/>
      <c r="H30" s="18"/>
      <c r="I30" s="18"/>
    </row>
    <row r="31" spans="1:9" x14ac:dyDescent="0.2">
      <c r="A31" s="27"/>
      <c r="B31" s="27"/>
      <c r="C31" s="27"/>
      <c r="D31" s="28"/>
      <c r="E31" s="29"/>
      <c r="F31" s="30"/>
      <c r="G31" s="29"/>
    </row>
    <row r="32" spans="1:9" x14ac:dyDescent="0.2">
      <c r="A32" s="26" t="s">
        <v>41</v>
      </c>
      <c r="B32" s="27"/>
      <c r="C32" s="27"/>
      <c r="D32" s="28"/>
      <c r="E32" s="29"/>
      <c r="F32" s="30"/>
      <c r="G32" s="29"/>
    </row>
    <row r="33" spans="1:9" x14ac:dyDescent="0.2">
      <c r="A33" s="27" t="s">
        <v>1081</v>
      </c>
      <c r="B33" s="27" t="s">
        <v>1082</v>
      </c>
      <c r="C33" s="27" t="s">
        <v>1080</v>
      </c>
      <c r="D33" s="31">
        <v>180</v>
      </c>
      <c r="E33" s="29">
        <v>1526.4774339999999</v>
      </c>
      <c r="F33" s="30">
        <v>1.5575555001497701</v>
      </c>
      <c r="G33" s="29">
        <v>11.9596</v>
      </c>
    </row>
    <row r="34" spans="1:9" x14ac:dyDescent="0.2">
      <c r="A34" s="27" t="s">
        <v>1093</v>
      </c>
      <c r="B34" s="27" t="s">
        <v>1094</v>
      </c>
      <c r="C34" s="27" t="s">
        <v>1080</v>
      </c>
      <c r="D34" s="31">
        <v>120</v>
      </c>
      <c r="E34" s="29">
        <v>1048.9940300000001</v>
      </c>
      <c r="F34" s="30">
        <v>1.0703508513515101</v>
      </c>
      <c r="G34" s="29">
        <v>11.962899999999999</v>
      </c>
    </row>
    <row r="35" spans="1:9" x14ac:dyDescent="0.2">
      <c r="A35" s="27" t="s">
        <v>1154</v>
      </c>
      <c r="B35" s="27" t="s">
        <v>1155</v>
      </c>
      <c r="C35" s="27" t="s">
        <v>1080</v>
      </c>
      <c r="D35" s="31">
        <v>40</v>
      </c>
      <c r="E35" s="29">
        <v>331.00069810000002</v>
      </c>
      <c r="F35" s="30">
        <v>0.33773965234986097</v>
      </c>
      <c r="G35" s="29">
        <v>11.962899999999999</v>
      </c>
    </row>
    <row r="36" spans="1:9" x14ac:dyDescent="0.2">
      <c r="A36" s="26" t="s">
        <v>40</v>
      </c>
      <c r="B36" s="26"/>
      <c r="C36" s="26"/>
      <c r="D36" s="32"/>
      <c r="E36" s="33">
        <f>SUM(E32:E35)</f>
        <v>2906.4721621000003</v>
      </c>
      <c r="F36" s="34">
        <f>SUM(F32:F35)</f>
        <v>2.9656460038511407</v>
      </c>
      <c r="G36" s="33"/>
      <c r="H36" s="18"/>
      <c r="I36" s="18"/>
    </row>
    <row r="37" spans="1:9" x14ac:dyDescent="0.2">
      <c r="A37" s="27"/>
      <c r="B37" s="27"/>
      <c r="C37" s="27"/>
      <c r="D37" s="28"/>
      <c r="E37" s="29"/>
      <c r="F37" s="30"/>
      <c r="G37" s="29"/>
    </row>
    <row r="38" spans="1:9" x14ac:dyDescent="0.2">
      <c r="A38" s="26" t="s">
        <v>44</v>
      </c>
      <c r="B38" s="26"/>
      <c r="C38" s="26"/>
      <c r="D38" s="32"/>
      <c r="E38" s="33">
        <f>E30+E36</f>
        <v>88427.445292099976</v>
      </c>
      <c r="F38" s="34">
        <f>F30+F36</f>
        <v>90.227769314605467</v>
      </c>
      <c r="G38" s="33"/>
      <c r="H38" s="18"/>
      <c r="I38" s="18"/>
    </row>
    <row r="39" spans="1:9" x14ac:dyDescent="0.2">
      <c r="A39" s="26"/>
      <c r="B39" s="26"/>
      <c r="C39" s="26"/>
      <c r="D39" s="32"/>
      <c r="E39" s="33"/>
      <c r="F39" s="34"/>
      <c r="G39" s="33"/>
      <c r="H39" s="18"/>
      <c r="I39" s="18"/>
    </row>
    <row r="40" spans="1:9" x14ac:dyDescent="0.2">
      <c r="A40" s="26" t="s">
        <v>46</v>
      </c>
      <c r="B40" s="26"/>
      <c r="C40" s="26"/>
      <c r="D40" s="32"/>
      <c r="E40" s="33">
        <f>E42-(E30+E36)</f>
        <v>9577.2443548000301</v>
      </c>
      <c r="F40" s="34">
        <f>F42-(F30+F36)</f>
        <v>9.7722306853945327</v>
      </c>
      <c r="G40" s="33"/>
      <c r="H40" s="18"/>
      <c r="I40" s="18"/>
    </row>
    <row r="41" spans="1:9" x14ac:dyDescent="0.2">
      <c r="A41" s="26"/>
      <c r="B41" s="26"/>
      <c r="C41" s="26"/>
      <c r="D41" s="32"/>
      <c r="E41" s="33"/>
      <c r="F41" s="34"/>
      <c r="G41" s="33"/>
      <c r="H41" s="18"/>
      <c r="I41" s="18"/>
    </row>
    <row r="42" spans="1:9" x14ac:dyDescent="0.2">
      <c r="A42" s="35" t="s">
        <v>45</v>
      </c>
      <c r="B42" s="35"/>
      <c r="C42" s="35"/>
      <c r="D42" s="36"/>
      <c r="E42" s="37">
        <v>98004.689646900006</v>
      </c>
      <c r="F42" s="38">
        <v>100</v>
      </c>
      <c r="G42" s="37"/>
      <c r="H42" s="18"/>
      <c r="I42" s="18"/>
    </row>
    <row r="44" spans="1:9" x14ac:dyDescent="0.2">
      <c r="A44" s="18" t="s">
        <v>47</v>
      </c>
    </row>
    <row r="46" spans="1:9" x14ac:dyDescent="0.2">
      <c r="A46" s="18" t="s">
        <v>48</v>
      </c>
    </row>
    <row r="47" spans="1:9" x14ac:dyDescent="0.2">
      <c r="A47" s="18" t="s">
        <v>49</v>
      </c>
    </row>
    <row r="48" spans="1:9" x14ac:dyDescent="0.2">
      <c r="A48" s="18" t="s">
        <v>50</v>
      </c>
      <c r="B48" s="18"/>
      <c r="C48" s="39" t="s">
        <v>52</v>
      </c>
      <c r="D48" s="19" t="s">
        <v>51</v>
      </c>
    </row>
    <row r="49" spans="1:7" x14ac:dyDescent="0.2">
      <c r="A49" s="9" t="s">
        <v>70</v>
      </c>
      <c r="C49" s="40">
        <v>21.471499999999999</v>
      </c>
      <c r="D49" s="40">
        <v>22.956499999999998</v>
      </c>
    </row>
    <row r="50" spans="1:7" x14ac:dyDescent="0.2">
      <c r="A50" s="9" t="s">
        <v>71</v>
      </c>
      <c r="C50" s="40">
        <v>9.9004999999999992</v>
      </c>
      <c r="D50" s="40">
        <v>10.5852</v>
      </c>
    </row>
    <row r="51" spans="1:7" x14ac:dyDescent="0.2">
      <c r="A51" s="9" t="s">
        <v>72</v>
      </c>
      <c r="C51" s="40">
        <v>9.7236999999999991</v>
      </c>
      <c r="D51" s="40">
        <v>10.3962</v>
      </c>
    </row>
    <row r="52" spans="1:7" x14ac:dyDescent="0.2">
      <c r="A52" s="9" t="s">
        <v>73</v>
      </c>
      <c r="C52" s="40">
        <v>22.01</v>
      </c>
      <c r="D52" s="40">
        <v>23.573799999999999</v>
      </c>
    </row>
    <row r="53" spans="1:7" x14ac:dyDescent="0.2">
      <c r="A53" s="9" t="s">
        <v>74</v>
      </c>
      <c r="C53" s="40">
        <v>10.229100000000001</v>
      </c>
      <c r="D53" s="40">
        <v>10.9558</v>
      </c>
    </row>
    <row r="54" spans="1:7" x14ac:dyDescent="0.2">
      <c r="A54" s="9" t="s">
        <v>75</v>
      </c>
      <c r="C54" s="40">
        <v>10.052</v>
      </c>
      <c r="D54" s="40">
        <v>10.7662</v>
      </c>
    </row>
    <row r="56" spans="1:7" x14ac:dyDescent="0.2">
      <c r="A56" s="18" t="s">
        <v>53</v>
      </c>
      <c r="D56" s="41" t="s">
        <v>54</v>
      </c>
    </row>
    <row r="58" spans="1:7" x14ac:dyDescent="0.2">
      <c r="A58" s="18" t="s">
        <v>793</v>
      </c>
      <c r="D58" s="42">
        <v>1.40895663660274</v>
      </c>
      <c r="E58" s="13" t="s">
        <v>55</v>
      </c>
    </row>
    <row r="60" spans="1:7" x14ac:dyDescent="0.2">
      <c r="A60" s="18" t="s">
        <v>1477</v>
      </c>
      <c r="D60" s="41" t="s">
        <v>54</v>
      </c>
    </row>
    <row r="61" spans="1:7" x14ac:dyDescent="0.2">
      <c r="A61" s="9" t="s">
        <v>1103</v>
      </c>
    </row>
    <row r="62" spans="1:7" x14ac:dyDescent="0.2">
      <c r="A62" s="50" t="s">
        <v>1104</v>
      </c>
    </row>
    <row r="63" spans="1:7" ht="14.4" x14ac:dyDescent="0.3">
      <c r="A63" s="43"/>
    </row>
    <row r="64" spans="1:7" ht="28.5" customHeight="1" x14ac:dyDescent="0.2">
      <c r="A64" s="79" t="s">
        <v>1156</v>
      </c>
      <c r="B64" s="79"/>
      <c r="C64" s="79"/>
      <c r="D64" s="79"/>
      <c r="E64" s="79"/>
      <c r="F64" s="79"/>
      <c r="G64" s="79"/>
    </row>
    <row r="66" spans="1:7" ht="45" customHeight="1" x14ac:dyDescent="0.2">
      <c r="A66" s="82" t="s">
        <v>1157</v>
      </c>
      <c r="B66" s="82"/>
      <c r="C66" s="82"/>
      <c r="D66" s="82"/>
      <c r="E66" s="82"/>
      <c r="F66" s="82"/>
      <c r="G66" s="82"/>
    </row>
    <row r="67" spans="1:7" x14ac:dyDescent="0.2">
      <c r="A67" s="59" t="s">
        <v>1108</v>
      </c>
      <c r="B67" s="60"/>
      <c r="C67" s="60"/>
      <c r="D67" s="60"/>
      <c r="E67" s="60"/>
      <c r="F67" s="60"/>
      <c r="G67" s="60"/>
    </row>
    <row r="69" spans="1:7" ht="27.75" customHeight="1" x14ac:dyDescent="0.2">
      <c r="A69" s="81" t="s">
        <v>1158</v>
      </c>
      <c r="B69" s="81"/>
      <c r="C69" s="81"/>
      <c r="D69" s="81"/>
      <c r="E69" s="81"/>
      <c r="F69" s="81"/>
      <c r="G69" s="81"/>
    </row>
    <row r="70" spans="1:7" ht="15" customHeight="1" x14ac:dyDescent="0.3">
      <c r="A70" s="43"/>
    </row>
    <row r="71" spans="1:7" ht="14.4" x14ac:dyDescent="0.2">
      <c r="A71" s="70" t="s">
        <v>1159</v>
      </c>
      <c r="B71" s="71"/>
      <c r="C71" s="71"/>
      <c r="D71" s="71"/>
      <c r="E71" s="71"/>
      <c r="F71" s="71"/>
      <c r="G71" s="71"/>
    </row>
    <row r="72" spans="1:7" x14ac:dyDescent="0.2">
      <c r="A72" s="50" t="s">
        <v>56</v>
      </c>
    </row>
    <row r="74" spans="1:7" x14ac:dyDescent="0.2">
      <c r="A74" s="50"/>
    </row>
    <row r="76" spans="1:7" s="1" customFormat="1" ht="13.8" x14ac:dyDescent="0.2">
      <c r="A76" s="72" t="s">
        <v>1160</v>
      </c>
      <c r="B76" s="73"/>
      <c r="C76" s="73"/>
      <c r="D76" s="73"/>
      <c r="E76" s="73"/>
      <c r="F76" s="73"/>
      <c r="G76" s="73"/>
    </row>
    <row r="77" spans="1:7" x14ac:dyDescent="0.2">
      <c r="A77" s="18" t="s">
        <v>7</v>
      </c>
    </row>
    <row r="78" spans="1:7" s="1" customFormat="1" ht="17.55" customHeight="1" x14ac:dyDescent="0.2">
      <c r="A78" s="8" t="s">
        <v>2</v>
      </c>
      <c r="B78" s="8" t="s">
        <v>0</v>
      </c>
      <c r="C78" s="17" t="s">
        <v>735</v>
      </c>
      <c r="D78" s="16" t="s">
        <v>1</v>
      </c>
      <c r="E78" s="15" t="s">
        <v>3</v>
      </c>
      <c r="F78" s="15" t="s">
        <v>4</v>
      </c>
      <c r="G78" s="15" t="s">
        <v>6</v>
      </c>
    </row>
    <row r="79" spans="1:7" x14ac:dyDescent="0.2">
      <c r="A79" s="21" t="s">
        <v>31</v>
      </c>
      <c r="B79" s="22"/>
      <c r="C79" s="22"/>
      <c r="D79" s="23"/>
      <c r="E79" s="24"/>
      <c r="F79" s="25"/>
      <c r="G79" s="24"/>
    </row>
    <row r="80" spans="1:7" x14ac:dyDescent="0.2">
      <c r="A80" s="26" t="s">
        <v>32</v>
      </c>
      <c r="B80" s="27"/>
      <c r="C80" s="27"/>
      <c r="D80" s="28"/>
      <c r="E80" s="29"/>
      <c r="F80" s="30"/>
      <c r="G80" s="29"/>
    </row>
    <row r="81" spans="1:9" x14ac:dyDescent="0.2">
      <c r="A81" s="27" t="s">
        <v>1112</v>
      </c>
      <c r="B81" s="27" t="s">
        <v>1113</v>
      </c>
      <c r="C81" s="27" t="s">
        <v>1114</v>
      </c>
      <c r="D81" s="31">
        <v>1510</v>
      </c>
      <c r="E81" s="29">
        <v>0</v>
      </c>
      <c r="F81" s="30">
        <v>100</v>
      </c>
      <c r="G81" s="29">
        <v>0</v>
      </c>
    </row>
    <row r="82" spans="1:9" x14ac:dyDescent="0.2">
      <c r="A82" s="26" t="s">
        <v>40</v>
      </c>
      <c r="B82" s="26"/>
      <c r="C82" s="26"/>
      <c r="D82" s="32"/>
      <c r="E82" s="33">
        <f>SUM(E80:E81)</f>
        <v>0</v>
      </c>
      <c r="F82" s="34">
        <f>SUM(F80:F81)</f>
        <v>100</v>
      </c>
      <c r="G82" s="33"/>
      <c r="H82" s="18"/>
      <c r="I82" s="18"/>
    </row>
    <row r="83" spans="1:9" x14ac:dyDescent="0.2">
      <c r="A83" s="27"/>
      <c r="B83" s="27"/>
      <c r="C83" s="27"/>
      <c r="D83" s="28"/>
      <c r="E83" s="29"/>
      <c r="F83" s="30"/>
      <c r="G83" s="29"/>
    </row>
    <row r="84" spans="1:9" x14ac:dyDescent="0.2">
      <c r="A84" s="26" t="s">
        <v>44</v>
      </c>
      <c r="B84" s="26"/>
      <c r="C84" s="26"/>
      <c r="D84" s="32"/>
      <c r="E84" s="33">
        <f>E82</f>
        <v>0</v>
      </c>
      <c r="F84" s="34">
        <f>F82</f>
        <v>100</v>
      </c>
      <c r="G84" s="33"/>
      <c r="H84" s="18"/>
      <c r="I84" s="18"/>
    </row>
    <row r="85" spans="1:9" x14ac:dyDescent="0.2">
      <c r="A85" s="26"/>
      <c r="B85" s="26"/>
      <c r="C85" s="26"/>
      <c r="D85" s="32"/>
      <c r="E85" s="33"/>
      <c r="F85" s="34"/>
      <c r="G85" s="33"/>
      <c r="H85" s="18"/>
      <c r="I85" s="18"/>
    </row>
    <row r="86" spans="1:9" x14ac:dyDescent="0.2">
      <c r="A86" s="26" t="s">
        <v>46</v>
      </c>
      <c r="B86" s="26"/>
      <c r="C86" s="26"/>
      <c r="D86" s="32"/>
      <c r="E86" s="33">
        <f>E88-(E82)</f>
        <v>5.9999999999999997E-7</v>
      </c>
      <c r="F86" s="34">
        <v>0</v>
      </c>
      <c r="G86" s="33"/>
      <c r="H86" s="18"/>
      <c r="I86" s="18"/>
    </row>
    <row r="87" spans="1:9" x14ac:dyDescent="0.2">
      <c r="A87" s="26"/>
      <c r="B87" s="26"/>
      <c r="C87" s="26"/>
      <c r="D87" s="32"/>
      <c r="E87" s="33"/>
      <c r="F87" s="34"/>
      <c r="G87" s="33"/>
      <c r="H87" s="18"/>
      <c r="I87" s="18"/>
    </row>
    <row r="88" spans="1:9" x14ac:dyDescent="0.2">
      <c r="A88" s="35" t="s">
        <v>45</v>
      </c>
      <c r="B88" s="35"/>
      <c r="C88" s="35"/>
      <c r="D88" s="36"/>
      <c r="E88" s="37">
        <v>5.9999999999999997E-7</v>
      </c>
      <c r="F88" s="38">
        <v>100</v>
      </c>
      <c r="G88" s="37"/>
      <c r="H88" s="18"/>
      <c r="I88" s="18"/>
    </row>
    <row r="90" spans="1:9" x14ac:dyDescent="0.2">
      <c r="A90" s="18" t="s">
        <v>47</v>
      </c>
    </row>
    <row r="91" spans="1:9" x14ac:dyDescent="0.2">
      <c r="A91" s="47" t="s">
        <v>1102</v>
      </c>
    </row>
    <row r="92" spans="1:9" x14ac:dyDescent="0.2">
      <c r="A92" s="18" t="s">
        <v>1115</v>
      </c>
    </row>
    <row r="94" spans="1:9" x14ac:dyDescent="0.2">
      <c r="A94" s="18" t="s">
        <v>48</v>
      </c>
    </row>
    <row r="95" spans="1:9" x14ac:dyDescent="0.2">
      <c r="A95" s="18" t="s">
        <v>49</v>
      </c>
    </row>
    <row r="96" spans="1:9" x14ac:dyDescent="0.2">
      <c r="A96" s="18" t="s">
        <v>50</v>
      </c>
      <c r="B96" s="18"/>
      <c r="C96" s="39" t="s">
        <v>52</v>
      </c>
      <c r="D96" s="19" t="s">
        <v>51</v>
      </c>
    </row>
    <row r="97" spans="1:7" x14ac:dyDescent="0.2">
      <c r="A97" s="9" t="s">
        <v>70</v>
      </c>
      <c r="C97" s="40">
        <v>0</v>
      </c>
      <c r="D97" s="40">
        <v>0</v>
      </c>
    </row>
    <row r="98" spans="1:7" x14ac:dyDescent="0.2">
      <c r="A98" s="9" t="s">
        <v>71</v>
      </c>
      <c r="C98" s="40">
        <v>0</v>
      </c>
      <c r="D98" s="40">
        <v>0</v>
      </c>
    </row>
    <row r="99" spans="1:7" x14ac:dyDescent="0.2">
      <c r="A99" s="9" t="s">
        <v>72</v>
      </c>
      <c r="C99" s="40">
        <v>0</v>
      </c>
      <c r="D99" s="40">
        <v>0</v>
      </c>
    </row>
    <row r="100" spans="1:7" x14ac:dyDescent="0.2">
      <c r="A100" s="9" t="s">
        <v>73</v>
      </c>
      <c r="C100" s="40">
        <v>0</v>
      </c>
      <c r="D100" s="40">
        <v>0</v>
      </c>
    </row>
    <row r="101" spans="1:7" x14ac:dyDescent="0.2">
      <c r="A101" s="9" t="s">
        <v>74</v>
      </c>
      <c r="C101" s="40">
        <v>0</v>
      </c>
      <c r="D101" s="40">
        <v>0</v>
      </c>
    </row>
    <row r="102" spans="1:7" x14ac:dyDescent="0.2">
      <c r="A102" s="9" t="s">
        <v>75</v>
      </c>
      <c r="C102" s="40">
        <v>0</v>
      </c>
      <c r="D102" s="40">
        <v>0</v>
      </c>
    </row>
    <row r="104" spans="1:7" x14ac:dyDescent="0.2">
      <c r="A104" s="18" t="s">
        <v>1478</v>
      </c>
      <c r="D104" s="41" t="s">
        <v>54</v>
      </c>
    </row>
    <row r="105" spans="1:7" x14ac:dyDescent="0.2">
      <c r="A105" s="9" t="s">
        <v>1103</v>
      </c>
    </row>
    <row r="106" spans="1:7" x14ac:dyDescent="0.2">
      <c r="A106" s="50" t="s">
        <v>1104</v>
      </c>
    </row>
    <row r="108" spans="1:7" ht="14.4" x14ac:dyDescent="0.2">
      <c r="A108" s="70" t="s">
        <v>1116</v>
      </c>
      <c r="B108" s="71"/>
      <c r="C108" s="71"/>
      <c r="D108" s="71"/>
      <c r="E108" s="71"/>
      <c r="F108" s="71"/>
      <c r="G108" s="71"/>
    </row>
    <row r="109" spans="1:7" x14ac:dyDescent="0.2">
      <c r="A109" s="50" t="s">
        <v>56</v>
      </c>
    </row>
    <row r="111" spans="1:7" x14ac:dyDescent="0.2">
      <c r="A111" s="50"/>
    </row>
  </sheetData>
  <mergeCells count="7">
    <mergeCell ref="A108:G108"/>
    <mergeCell ref="A1:G1"/>
    <mergeCell ref="A64:G64"/>
    <mergeCell ref="A66:G66"/>
    <mergeCell ref="A69:G69"/>
    <mergeCell ref="A71:G71"/>
    <mergeCell ref="A76:G76"/>
  </mergeCells>
  <conditionalFormatting sqref="F2:F3 F5:F63 F79:F80 F70 F77 F89:F107 F112:F65544 F75">
    <cfRule type="cellIs" dxfId="148" priority="9" stopIfTrue="1" operator="between">
      <formula>0.009</formula>
      <formula>-0.009</formula>
    </cfRule>
  </conditionalFormatting>
  <conditionalFormatting sqref="F65 F68">
    <cfRule type="cellIs" dxfId="147" priority="8" stopIfTrue="1" operator="between">
      <formula>0.009</formula>
      <formula>-0.009</formula>
    </cfRule>
  </conditionalFormatting>
  <conditionalFormatting sqref="F72">
    <cfRule type="cellIs" dxfId="146" priority="6" stopIfTrue="1" operator="between">
      <formula>0.009</formula>
      <formula>-0.009</formula>
    </cfRule>
  </conditionalFormatting>
  <conditionalFormatting sqref="F73:F74">
    <cfRule type="cellIs" dxfId="145" priority="7" stopIfTrue="1" operator="between">
      <formula>0.009</formula>
      <formula>-0.009</formula>
    </cfRule>
  </conditionalFormatting>
  <conditionalFormatting sqref="F82:F83">
    <cfRule type="cellIs" dxfId="144" priority="5" stopIfTrue="1" operator="between">
      <formula>0.009</formula>
      <formula>-0.009</formula>
    </cfRule>
  </conditionalFormatting>
  <conditionalFormatting sqref="F81">
    <cfRule type="cellIs" dxfId="143" priority="4" stopIfTrue="1" operator="between">
      <formula>0.009</formula>
      <formula>-0.009</formula>
    </cfRule>
  </conditionalFormatting>
  <conditionalFormatting sqref="F84:F85 F87:F88">
    <cfRule type="cellIs" dxfId="142" priority="3" stopIfTrue="1" operator="between">
      <formula>0.009</formula>
      <formula>-0.009</formula>
    </cfRule>
  </conditionalFormatting>
  <conditionalFormatting sqref="F110:F111">
    <cfRule type="cellIs" dxfId="141" priority="2" stopIfTrue="1" operator="between">
      <formula>0.009</formula>
      <formula>-0.009</formula>
    </cfRule>
  </conditionalFormatting>
  <conditionalFormatting sqref="F109">
    <cfRule type="cellIs" dxfId="140" priority="1" stopIfTrue="1" operator="between">
      <formula>0.009</formula>
      <formula>-0.009</formula>
    </cfRule>
  </conditionalFormatting>
  <hyperlinks>
    <hyperlink ref="A62" r:id="rId1" xr:uid="{00000000-0004-0000-0800-000000000000}"/>
    <hyperlink ref="A67" r:id="rId2" xr:uid="{00000000-0004-0000-0800-000001000000}"/>
    <hyperlink ref="A72" r:id="rId3" xr:uid="{00000000-0004-0000-0800-000002000000}"/>
    <hyperlink ref="A106" r:id="rId4" xr:uid="{00000000-0004-0000-0800-000003000000}"/>
    <hyperlink ref="A109" r:id="rId5" xr:uid="{00000000-0004-0000-0800-000004000000}"/>
  </hyperlinks>
  <pageMargins left="0.7" right="0.7" top="0.75" bottom="0.75" header="0.3" footer="0.3"/>
  <pageSetup paperSize="9" orientation="portrait" r:id="rId6"/>
  <headerFooter>
    <oddFooter>&amp;R&amp;1#&amp;"Calibri"&amp;10&amp;KFF0000|PUBLIC|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3"/>
  <sheetViews>
    <sheetView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5546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1161</v>
      </c>
      <c r="B1" s="73"/>
      <c r="C1" s="73"/>
      <c r="D1" s="73"/>
      <c r="E1" s="73"/>
      <c r="F1" s="73"/>
      <c r="G1" s="73"/>
    </row>
    <row r="2" spans="1:7" s="1" customFormat="1" ht="12" x14ac:dyDescent="0.25">
      <c r="A2" s="57" t="s">
        <v>1026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851</v>
      </c>
      <c r="B7" s="27" t="s">
        <v>852</v>
      </c>
      <c r="C7" s="27" t="s">
        <v>853</v>
      </c>
      <c r="D7" s="31">
        <v>5400</v>
      </c>
      <c r="E7" s="29">
        <v>53236.98</v>
      </c>
      <c r="F7" s="30">
        <v>10.261096981936101</v>
      </c>
      <c r="G7" s="29">
        <v>7.2350000000000003</v>
      </c>
    </row>
    <row r="8" spans="1:7" x14ac:dyDescent="0.2">
      <c r="A8" s="27" t="s">
        <v>34</v>
      </c>
      <c r="B8" s="27" t="s">
        <v>33</v>
      </c>
      <c r="C8" s="27" t="s">
        <v>35</v>
      </c>
      <c r="D8" s="31">
        <v>4400</v>
      </c>
      <c r="E8" s="29">
        <v>44104.851999999999</v>
      </c>
      <c r="F8" s="30">
        <v>8.5009360738708004</v>
      </c>
      <c r="G8" s="29">
        <v>7.8986999999999998</v>
      </c>
    </row>
    <row r="9" spans="1:7" x14ac:dyDescent="0.2">
      <c r="A9" s="27" t="s">
        <v>1127</v>
      </c>
      <c r="B9" s="27" t="s">
        <v>1128</v>
      </c>
      <c r="C9" s="27" t="s">
        <v>1051</v>
      </c>
      <c r="D9" s="31">
        <v>7500</v>
      </c>
      <c r="E9" s="29">
        <v>36830.474999999999</v>
      </c>
      <c r="F9" s="30">
        <v>7.0988451235545798</v>
      </c>
      <c r="G9" s="29">
        <v>18.325900000000001</v>
      </c>
    </row>
    <row r="10" spans="1:7" x14ac:dyDescent="0.2">
      <c r="A10" s="27" t="s">
        <v>1030</v>
      </c>
      <c r="B10" s="27" t="s">
        <v>1031</v>
      </c>
      <c r="C10" s="27" t="s">
        <v>1032</v>
      </c>
      <c r="D10" s="31">
        <v>3650</v>
      </c>
      <c r="E10" s="29">
        <v>36342.173999999999</v>
      </c>
      <c r="F10" s="30">
        <v>7.0047281410101903</v>
      </c>
      <c r="G10" s="29">
        <v>18.1313</v>
      </c>
    </row>
    <row r="11" spans="1:7" x14ac:dyDescent="0.2">
      <c r="A11" s="27" t="s">
        <v>1162</v>
      </c>
      <c r="B11" s="27" t="s">
        <v>1163</v>
      </c>
      <c r="C11" s="27" t="s">
        <v>853</v>
      </c>
      <c r="D11" s="31">
        <v>2000</v>
      </c>
      <c r="E11" s="29">
        <v>23687.5</v>
      </c>
      <c r="F11" s="30">
        <v>4.5656183870612397</v>
      </c>
      <c r="G11" s="29">
        <v>4.5598999999999998</v>
      </c>
    </row>
    <row r="12" spans="1:7" x14ac:dyDescent="0.2">
      <c r="A12" s="27" t="s">
        <v>1129</v>
      </c>
      <c r="B12" s="27" t="s">
        <v>1130</v>
      </c>
      <c r="C12" s="27" t="s">
        <v>1085</v>
      </c>
      <c r="D12" s="31">
        <v>2350</v>
      </c>
      <c r="E12" s="29">
        <v>23432.249500000002</v>
      </c>
      <c r="F12" s="30">
        <v>4.5164204397849703</v>
      </c>
      <c r="G12" s="29">
        <v>12.8499</v>
      </c>
    </row>
    <row r="13" spans="1:7" x14ac:dyDescent="0.2">
      <c r="A13" s="27" t="s">
        <v>1164</v>
      </c>
      <c r="B13" s="27" t="s">
        <v>1165</v>
      </c>
      <c r="C13" s="27" t="s">
        <v>1085</v>
      </c>
      <c r="D13" s="31">
        <v>2000</v>
      </c>
      <c r="E13" s="29">
        <v>19964.939999999999</v>
      </c>
      <c r="F13" s="30">
        <v>3.8481180859345399</v>
      </c>
      <c r="G13" s="29">
        <v>12.685</v>
      </c>
    </row>
    <row r="14" spans="1:7" x14ac:dyDescent="0.2">
      <c r="A14" s="27" t="s">
        <v>1166</v>
      </c>
      <c r="B14" s="27" t="s">
        <v>1167</v>
      </c>
      <c r="C14" s="27" t="s">
        <v>1037</v>
      </c>
      <c r="D14" s="31">
        <v>1910</v>
      </c>
      <c r="E14" s="29">
        <v>19168.397099999998</v>
      </c>
      <c r="F14" s="30">
        <v>3.6945893931504501</v>
      </c>
      <c r="G14" s="29">
        <v>7.5438000000000001</v>
      </c>
    </row>
    <row r="15" spans="1:7" x14ac:dyDescent="0.2">
      <c r="A15" s="27" t="s">
        <v>37</v>
      </c>
      <c r="B15" s="27" t="s">
        <v>36</v>
      </c>
      <c r="C15" s="27" t="s">
        <v>35</v>
      </c>
      <c r="D15" s="31">
        <v>1301</v>
      </c>
      <c r="E15" s="29">
        <v>13069.24754</v>
      </c>
      <c r="F15" s="30">
        <v>2.5190162268571501</v>
      </c>
      <c r="G15" s="29">
        <v>7.8985000000000003</v>
      </c>
    </row>
    <row r="16" spans="1:7" x14ac:dyDescent="0.2">
      <c r="A16" s="27" t="s">
        <v>1168</v>
      </c>
      <c r="B16" s="27" t="s">
        <v>1169</v>
      </c>
      <c r="C16" s="27" t="s">
        <v>1085</v>
      </c>
      <c r="D16" s="31">
        <v>1000</v>
      </c>
      <c r="E16" s="29">
        <v>10039.879999999999</v>
      </c>
      <c r="F16" s="30">
        <v>1.93512446361534</v>
      </c>
      <c r="G16" s="29">
        <v>12.8505</v>
      </c>
    </row>
    <row r="17" spans="1:7" x14ac:dyDescent="0.2">
      <c r="A17" s="27" t="s">
        <v>1170</v>
      </c>
      <c r="B17" s="27" t="s">
        <v>1171</v>
      </c>
      <c r="C17" s="27" t="s">
        <v>1085</v>
      </c>
      <c r="D17" s="31">
        <v>1000</v>
      </c>
      <c r="E17" s="29">
        <v>10032.299999999999</v>
      </c>
      <c r="F17" s="30">
        <v>1.93366346573148</v>
      </c>
      <c r="G17" s="29">
        <v>13.4802</v>
      </c>
    </row>
    <row r="18" spans="1:7" x14ac:dyDescent="0.2">
      <c r="A18" s="27" t="s">
        <v>1172</v>
      </c>
      <c r="B18" s="27" t="s">
        <v>1173</v>
      </c>
      <c r="C18" s="27" t="s">
        <v>1085</v>
      </c>
      <c r="D18" s="31">
        <v>1000</v>
      </c>
      <c r="E18" s="29">
        <v>10031.18</v>
      </c>
      <c r="F18" s="30">
        <v>1.93344759269323</v>
      </c>
      <c r="G18" s="29">
        <v>12.6305</v>
      </c>
    </row>
    <row r="19" spans="1:7" x14ac:dyDescent="0.2">
      <c r="A19" s="27" t="s">
        <v>1174</v>
      </c>
      <c r="B19" s="27" t="s">
        <v>1175</v>
      </c>
      <c r="C19" s="27" t="s">
        <v>1037</v>
      </c>
      <c r="D19" s="31">
        <v>1000</v>
      </c>
      <c r="E19" s="29">
        <v>10013.040000000001</v>
      </c>
      <c r="F19" s="30">
        <v>1.9299512204487499</v>
      </c>
      <c r="G19" s="29">
        <v>7.0937000000000001</v>
      </c>
    </row>
    <row r="20" spans="1:7" x14ac:dyDescent="0.2">
      <c r="A20" s="27" t="s">
        <v>1067</v>
      </c>
      <c r="B20" s="27" t="s">
        <v>1068</v>
      </c>
      <c r="C20" s="27" t="s">
        <v>1029</v>
      </c>
      <c r="D20" s="31">
        <v>938</v>
      </c>
      <c r="E20" s="29">
        <v>9463.2568800000008</v>
      </c>
      <c r="F20" s="30">
        <v>1.8239839414379599</v>
      </c>
      <c r="G20" s="29">
        <v>8.6254000000000008</v>
      </c>
    </row>
    <row r="21" spans="1:7" x14ac:dyDescent="0.2">
      <c r="A21" s="27" t="s">
        <v>1176</v>
      </c>
      <c r="B21" s="27" t="s">
        <v>1177</v>
      </c>
      <c r="C21" s="27" t="s">
        <v>1085</v>
      </c>
      <c r="D21" s="31">
        <v>900</v>
      </c>
      <c r="E21" s="29">
        <v>9031.482</v>
      </c>
      <c r="F21" s="30">
        <v>1.7407620171656999</v>
      </c>
      <c r="G21" s="29">
        <v>13.6404</v>
      </c>
    </row>
    <row r="22" spans="1:7" x14ac:dyDescent="0.2">
      <c r="A22" s="27" t="s">
        <v>1178</v>
      </c>
      <c r="B22" s="27" t="s">
        <v>1179</v>
      </c>
      <c r="C22" s="27" t="s">
        <v>1051</v>
      </c>
      <c r="D22" s="31">
        <v>800</v>
      </c>
      <c r="E22" s="29">
        <v>7988.3680000000004</v>
      </c>
      <c r="F22" s="30">
        <v>1.5397082775055</v>
      </c>
      <c r="G22" s="29">
        <v>10.8987</v>
      </c>
    </row>
    <row r="23" spans="1:7" x14ac:dyDescent="0.2">
      <c r="A23" s="27" t="s">
        <v>1180</v>
      </c>
      <c r="B23" s="27" t="s">
        <v>1181</v>
      </c>
      <c r="C23" s="27" t="s">
        <v>1051</v>
      </c>
      <c r="D23" s="31">
        <v>780</v>
      </c>
      <c r="E23" s="29">
        <v>7788.6588000000002</v>
      </c>
      <c r="F23" s="30">
        <v>1.50121557056787</v>
      </c>
      <c r="G23" s="29">
        <v>10.8987</v>
      </c>
    </row>
    <row r="24" spans="1:7" x14ac:dyDescent="0.2">
      <c r="A24" s="27" t="s">
        <v>1182</v>
      </c>
      <c r="B24" s="27" t="s">
        <v>1183</v>
      </c>
      <c r="C24" s="27" t="s">
        <v>1184</v>
      </c>
      <c r="D24" s="31">
        <v>750</v>
      </c>
      <c r="E24" s="29">
        <v>7563.3074999999999</v>
      </c>
      <c r="F24" s="30">
        <v>1.45778050824267</v>
      </c>
      <c r="G24" s="29">
        <v>6.7739000000000003</v>
      </c>
    </row>
    <row r="25" spans="1:7" x14ac:dyDescent="0.2">
      <c r="A25" s="27" t="s">
        <v>1185</v>
      </c>
      <c r="B25" s="27" t="s">
        <v>1186</v>
      </c>
      <c r="C25" s="27" t="s">
        <v>35</v>
      </c>
      <c r="D25" s="31">
        <v>750</v>
      </c>
      <c r="E25" s="29">
        <v>7527.8549999999996</v>
      </c>
      <c r="F25" s="30">
        <v>1.4509472592350801</v>
      </c>
      <c r="G25" s="29">
        <v>5.3</v>
      </c>
    </row>
    <row r="26" spans="1:7" x14ac:dyDescent="0.2">
      <c r="A26" s="27" t="s">
        <v>1124</v>
      </c>
      <c r="B26" s="27" t="s">
        <v>1125</v>
      </c>
      <c r="C26" s="27" t="s">
        <v>1126</v>
      </c>
      <c r="D26" s="31">
        <v>750</v>
      </c>
      <c r="E26" s="29">
        <v>7493.79</v>
      </c>
      <c r="F26" s="30">
        <v>1.4443814422279899</v>
      </c>
      <c r="G26" s="29">
        <v>8.9550000000000001</v>
      </c>
    </row>
    <row r="27" spans="1:7" x14ac:dyDescent="0.2">
      <c r="A27" s="27" t="s">
        <v>1073</v>
      </c>
      <c r="B27" s="27" t="s">
        <v>1074</v>
      </c>
      <c r="C27" s="27" t="s">
        <v>1037</v>
      </c>
      <c r="D27" s="31">
        <v>670</v>
      </c>
      <c r="E27" s="29">
        <v>6811.2267000000002</v>
      </c>
      <c r="F27" s="30">
        <v>1.31282160886385</v>
      </c>
      <c r="G27" s="29">
        <v>5.125</v>
      </c>
    </row>
    <row r="28" spans="1:7" x14ac:dyDescent="0.2">
      <c r="A28" s="27" t="s">
        <v>1187</v>
      </c>
      <c r="B28" s="27" t="s">
        <v>1188</v>
      </c>
      <c r="C28" s="27" t="s">
        <v>919</v>
      </c>
      <c r="D28" s="31">
        <v>550</v>
      </c>
      <c r="E28" s="29">
        <v>5521.2905000000001</v>
      </c>
      <c r="F28" s="30">
        <v>1.0641944243633401</v>
      </c>
      <c r="G28" s="29">
        <v>6.4001000000000001</v>
      </c>
    </row>
    <row r="29" spans="1:7" x14ac:dyDescent="0.2">
      <c r="A29" s="27" t="s">
        <v>1189</v>
      </c>
      <c r="B29" s="27" t="s">
        <v>1190</v>
      </c>
      <c r="C29" s="27" t="s">
        <v>1037</v>
      </c>
      <c r="D29" s="31">
        <v>550</v>
      </c>
      <c r="E29" s="29">
        <v>5500.3684999999996</v>
      </c>
      <c r="F29" s="30">
        <v>1.0601618389113401</v>
      </c>
      <c r="G29" s="29">
        <v>6.9248000000000003</v>
      </c>
    </row>
    <row r="30" spans="1:7" x14ac:dyDescent="0.2">
      <c r="A30" s="27" t="s">
        <v>1191</v>
      </c>
      <c r="B30" s="27" t="s">
        <v>1192</v>
      </c>
      <c r="C30" s="27" t="s">
        <v>1051</v>
      </c>
      <c r="D30" s="31">
        <v>550</v>
      </c>
      <c r="E30" s="29">
        <v>5492.0029999999997</v>
      </c>
      <c r="F30" s="30">
        <v>1.05854944078503</v>
      </c>
      <c r="G30" s="29">
        <v>10.8987</v>
      </c>
    </row>
    <row r="31" spans="1:7" x14ac:dyDescent="0.2">
      <c r="A31" s="27" t="s">
        <v>1054</v>
      </c>
      <c r="B31" s="27" t="s">
        <v>1055</v>
      </c>
      <c r="C31" s="27" t="s">
        <v>38</v>
      </c>
      <c r="D31" s="31">
        <v>500</v>
      </c>
      <c r="E31" s="29">
        <v>5330.1049999999996</v>
      </c>
      <c r="F31" s="30">
        <v>1.0273446076186601</v>
      </c>
      <c r="G31" s="29">
        <v>6.1093999999999999</v>
      </c>
    </row>
    <row r="32" spans="1:7" x14ac:dyDescent="0.2">
      <c r="A32" s="27" t="s">
        <v>1042</v>
      </c>
      <c r="B32" s="27" t="s">
        <v>1043</v>
      </c>
      <c r="C32" s="27" t="s">
        <v>35</v>
      </c>
      <c r="D32" s="31">
        <v>502</v>
      </c>
      <c r="E32" s="29">
        <v>5066.7311799999998</v>
      </c>
      <c r="F32" s="30">
        <v>0.97658094090573</v>
      </c>
      <c r="G32" s="29">
        <v>4.3849</v>
      </c>
    </row>
    <row r="33" spans="1:9" x14ac:dyDescent="0.2">
      <c r="A33" s="27" t="s">
        <v>1148</v>
      </c>
      <c r="B33" s="27" t="s">
        <v>1149</v>
      </c>
      <c r="C33" s="27" t="s">
        <v>1051</v>
      </c>
      <c r="D33" s="31">
        <v>1600</v>
      </c>
      <c r="E33" s="29">
        <v>4002.0639999999999</v>
      </c>
      <c r="F33" s="30">
        <v>0.77137295977185605</v>
      </c>
      <c r="G33" s="29">
        <v>8.3892000000000007</v>
      </c>
    </row>
    <row r="34" spans="1:9" x14ac:dyDescent="0.2">
      <c r="A34" s="27" t="s">
        <v>1193</v>
      </c>
      <c r="B34" s="27" t="s">
        <v>1194</v>
      </c>
      <c r="C34" s="27" t="s">
        <v>919</v>
      </c>
      <c r="D34" s="31">
        <v>300000</v>
      </c>
      <c r="E34" s="29">
        <v>3021.654</v>
      </c>
      <c r="F34" s="30">
        <v>0.58240502635301905</v>
      </c>
      <c r="G34" s="29">
        <v>6.7150999999999996</v>
      </c>
    </row>
    <row r="35" spans="1:9" x14ac:dyDescent="0.2">
      <c r="A35" s="27" t="s">
        <v>1140</v>
      </c>
      <c r="B35" s="27" t="s">
        <v>1141</v>
      </c>
      <c r="C35" s="27" t="s">
        <v>998</v>
      </c>
      <c r="D35" s="31">
        <v>280</v>
      </c>
      <c r="E35" s="29">
        <v>2830.3044</v>
      </c>
      <c r="F35" s="30">
        <v>0.54552358035336401</v>
      </c>
      <c r="G35" s="29">
        <v>8.3678000000000008</v>
      </c>
    </row>
    <row r="36" spans="1:9" x14ac:dyDescent="0.2">
      <c r="A36" s="27" t="s">
        <v>1195</v>
      </c>
      <c r="B36" s="27" t="s">
        <v>1196</v>
      </c>
      <c r="C36" s="27" t="s">
        <v>1051</v>
      </c>
      <c r="D36" s="31">
        <v>500</v>
      </c>
      <c r="E36" s="29">
        <v>1251.605</v>
      </c>
      <c r="F36" s="30">
        <v>0.24123908396148899</v>
      </c>
      <c r="G36" s="29">
        <v>8.8703000000000003</v>
      </c>
    </row>
    <row r="37" spans="1:9" x14ac:dyDescent="0.2">
      <c r="A37" s="27" t="s">
        <v>1027</v>
      </c>
      <c r="B37" s="27" t="s">
        <v>1028</v>
      </c>
      <c r="C37" s="27" t="s">
        <v>1029</v>
      </c>
      <c r="D37" s="31">
        <v>61</v>
      </c>
      <c r="E37" s="29">
        <v>619.49282000000005</v>
      </c>
      <c r="F37" s="30">
        <v>0.119403390380767</v>
      </c>
      <c r="G37" s="29">
        <v>9.3452999999999999</v>
      </c>
    </row>
    <row r="38" spans="1:9" x14ac:dyDescent="0.2">
      <c r="A38" s="27" t="s">
        <v>1062</v>
      </c>
      <c r="B38" s="27" t="s">
        <v>1050</v>
      </c>
      <c r="C38" s="27" t="s">
        <v>1051</v>
      </c>
      <c r="D38" s="31">
        <v>70</v>
      </c>
      <c r="E38" s="29">
        <v>603.02340000000004</v>
      </c>
      <c r="F38" s="30">
        <v>0.116229012047206</v>
      </c>
      <c r="G38" s="29">
        <v>21.516200000000001</v>
      </c>
    </row>
    <row r="39" spans="1:9" x14ac:dyDescent="0.2">
      <c r="A39" s="27" t="s">
        <v>1197</v>
      </c>
      <c r="B39" s="27" t="s">
        <v>1198</v>
      </c>
      <c r="C39" s="27" t="s">
        <v>35</v>
      </c>
      <c r="D39" s="31">
        <v>34</v>
      </c>
      <c r="E39" s="29">
        <v>344.06265999999999</v>
      </c>
      <c r="F39" s="30">
        <v>6.6315939073232702E-2</v>
      </c>
      <c r="G39" s="29">
        <v>5.4340999999999999</v>
      </c>
    </row>
    <row r="40" spans="1:9" x14ac:dyDescent="0.2">
      <c r="A40" s="27" t="s">
        <v>901</v>
      </c>
      <c r="B40" s="27" t="s">
        <v>902</v>
      </c>
      <c r="C40" s="27" t="s">
        <v>39</v>
      </c>
      <c r="D40" s="31">
        <v>22</v>
      </c>
      <c r="E40" s="29">
        <v>226.16571999999999</v>
      </c>
      <c r="F40" s="30">
        <v>4.3592036717886799E-2</v>
      </c>
      <c r="G40" s="29">
        <v>4.1050000000000004</v>
      </c>
    </row>
    <row r="41" spans="1:9" x14ac:dyDescent="0.2">
      <c r="A41" s="26" t="s">
        <v>40</v>
      </c>
      <c r="B41" s="26"/>
      <c r="C41" s="26"/>
      <c r="D41" s="32"/>
      <c r="E41" s="33">
        <f>SUM(E6:E40)</f>
        <v>413430.03019999992</v>
      </c>
      <c r="F41" s="34">
        <f>SUM(F6:F40)</f>
        <v>79.686068502138326</v>
      </c>
      <c r="G41" s="33"/>
      <c r="H41" s="18"/>
      <c r="I41" s="18"/>
    </row>
    <row r="42" spans="1:9" x14ac:dyDescent="0.2">
      <c r="A42" s="27"/>
      <c r="B42" s="27"/>
      <c r="C42" s="27"/>
      <c r="D42" s="28"/>
      <c r="E42" s="29"/>
      <c r="F42" s="30"/>
      <c r="G42" s="29"/>
    </row>
    <row r="43" spans="1:9" x14ac:dyDescent="0.2">
      <c r="A43" s="26" t="s">
        <v>41</v>
      </c>
      <c r="B43" s="27"/>
      <c r="C43" s="27"/>
      <c r="D43" s="28"/>
      <c r="E43" s="29"/>
      <c r="F43" s="30"/>
      <c r="G43" s="29"/>
    </row>
    <row r="44" spans="1:9" x14ac:dyDescent="0.2">
      <c r="A44" s="27" t="s">
        <v>1199</v>
      </c>
      <c r="B44" s="27" t="s">
        <v>1200</v>
      </c>
      <c r="C44" s="27" t="s">
        <v>1085</v>
      </c>
      <c r="D44" s="31">
        <v>1000</v>
      </c>
      <c r="E44" s="29">
        <v>10034.4</v>
      </c>
      <c r="F44" s="30">
        <v>1.9340682276782</v>
      </c>
      <c r="G44" s="29">
        <v>13.766500000000001</v>
      </c>
    </row>
    <row r="45" spans="1:9" x14ac:dyDescent="0.2">
      <c r="A45" s="27" t="s">
        <v>1201</v>
      </c>
      <c r="B45" s="27" t="s">
        <v>1202</v>
      </c>
      <c r="C45" s="27" t="s">
        <v>1085</v>
      </c>
      <c r="D45" s="31">
        <v>850</v>
      </c>
      <c r="E45" s="29">
        <v>8526.1205000000009</v>
      </c>
      <c r="F45" s="30">
        <v>1.6433567292918101</v>
      </c>
      <c r="G45" s="29">
        <v>12.45</v>
      </c>
    </row>
    <row r="46" spans="1:9" x14ac:dyDescent="0.2">
      <c r="A46" s="27" t="s">
        <v>43</v>
      </c>
      <c r="B46" s="27" t="s">
        <v>42</v>
      </c>
      <c r="C46" s="27" t="s">
        <v>38</v>
      </c>
      <c r="D46" s="31">
        <v>7</v>
      </c>
      <c r="E46" s="29">
        <v>999.37739999999997</v>
      </c>
      <c r="F46" s="30">
        <v>0.19262378187033</v>
      </c>
      <c r="G46" s="29">
        <v>10.2447</v>
      </c>
    </row>
    <row r="47" spans="1:9" x14ac:dyDescent="0.2">
      <c r="A47" s="26" t="s">
        <v>40</v>
      </c>
      <c r="B47" s="26"/>
      <c r="C47" s="26"/>
      <c r="D47" s="32"/>
      <c r="E47" s="33">
        <f>SUM(E43:E46)</f>
        <v>19559.8979</v>
      </c>
      <c r="F47" s="34">
        <f>SUM(F43:F46)</f>
        <v>3.7700487388403401</v>
      </c>
      <c r="G47" s="33"/>
      <c r="H47" s="18"/>
      <c r="I47" s="18"/>
    </row>
    <row r="48" spans="1:9" x14ac:dyDescent="0.2">
      <c r="A48" s="27"/>
      <c r="B48" s="27"/>
      <c r="C48" s="27"/>
      <c r="D48" s="28"/>
      <c r="E48" s="29"/>
      <c r="F48" s="30"/>
      <c r="G48" s="29"/>
    </row>
    <row r="49" spans="1:9" x14ac:dyDescent="0.2">
      <c r="A49" s="26" t="s">
        <v>44</v>
      </c>
      <c r="B49" s="26"/>
      <c r="C49" s="26"/>
      <c r="D49" s="32"/>
      <c r="E49" s="33">
        <f>E41+E47</f>
        <v>432989.9280999999</v>
      </c>
      <c r="F49" s="34">
        <f>F41+F47</f>
        <v>83.456117240978671</v>
      </c>
      <c r="G49" s="33"/>
      <c r="H49" s="18"/>
      <c r="I49" s="18"/>
    </row>
    <row r="50" spans="1:9" x14ac:dyDescent="0.2">
      <c r="A50" s="26"/>
      <c r="B50" s="26"/>
      <c r="C50" s="26"/>
      <c r="D50" s="32"/>
      <c r="E50" s="33"/>
      <c r="F50" s="34"/>
      <c r="G50" s="33"/>
      <c r="H50" s="18"/>
      <c r="I50" s="18"/>
    </row>
    <row r="51" spans="1:9" x14ac:dyDescent="0.2">
      <c r="A51" s="26" t="s">
        <v>46</v>
      </c>
      <c r="B51" s="26"/>
      <c r="C51" s="26"/>
      <c r="D51" s="32"/>
      <c r="E51" s="33">
        <f>E53-(E41+E47)</f>
        <v>85833.547535400081</v>
      </c>
      <c r="F51" s="34">
        <f>F53-(F41+F47)</f>
        <v>16.543882759021329</v>
      </c>
      <c r="G51" s="33"/>
      <c r="H51" s="18"/>
      <c r="I51" s="18"/>
    </row>
    <row r="52" spans="1:9" x14ac:dyDescent="0.2">
      <c r="A52" s="26"/>
      <c r="B52" s="26"/>
      <c r="C52" s="26"/>
      <c r="D52" s="32"/>
      <c r="E52" s="33"/>
      <c r="F52" s="34"/>
      <c r="G52" s="33"/>
      <c r="H52" s="18"/>
      <c r="I52" s="18"/>
    </row>
    <row r="53" spans="1:9" x14ac:dyDescent="0.2">
      <c r="A53" s="35" t="s">
        <v>45</v>
      </c>
      <c r="B53" s="35"/>
      <c r="C53" s="35"/>
      <c r="D53" s="36"/>
      <c r="E53" s="37">
        <v>518823.47563539998</v>
      </c>
      <c r="F53" s="38">
        <v>100</v>
      </c>
      <c r="G53" s="37"/>
      <c r="H53" s="18"/>
      <c r="I53" s="18"/>
    </row>
    <row r="55" spans="1:9" x14ac:dyDescent="0.2">
      <c r="A55" s="18" t="s">
        <v>47</v>
      </c>
    </row>
    <row r="57" spans="1:9" x14ac:dyDescent="0.2">
      <c r="A57" s="18" t="s">
        <v>48</v>
      </c>
    </row>
    <row r="58" spans="1:9" x14ac:dyDescent="0.2">
      <c r="A58" s="18" t="s">
        <v>49</v>
      </c>
    </row>
    <row r="59" spans="1:9" x14ac:dyDescent="0.2">
      <c r="A59" s="18" t="s">
        <v>50</v>
      </c>
      <c r="B59" s="18"/>
      <c r="C59" s="39" t="s">
        <v>52</v>
      </c>
      <c r="D59" s="19" t="s">
        <v>51</v>
      </c>
    </row>
    <row r="60" spans="1:9" x14ac:dyDescent="0.2">
      <c r="A60" s="9" t="s">
        <v>838</v>
      </c>
      <c r="C60" s="40">
        <v>26.906300000000002</v>
      </c>
      <c r="D60" s="40">
        <v>27.8247</v>
      </c>
    </row>
    <row r="61" spans="1:9" x14ac:dyDescent="0.2">
      <c r="A61" s="9" t="s">
        <v>839</v>
      </c>
      <c r="C61" s="40">
        <v>10.1441</v>
      </c>
      <c r="D61" s="40">
        <v>10.490399999999999</v>
      </c>
    </row>
    <row r="62" spans="1:9" x14ac:dyDescent="0.2">
      <c r="A62" s="9" t="s">
        <v>1203</v>
      </c>
      <c r="C62" s="40">
        <v>10.228</v>
      </c>
      <c r="D62" s="40">
        <v>10.5771</v>
      </c>
    </row>
    <row r="63" spans="1:9" x14ac:dyDescent="0.2">
      <c r="A63" s="9" t="s">
        <v>1204</v>
      </c>
      <c r="C63" s="40">
        <v>27.587</v>
      </c>
      <c r="D63" s="40">
        <v>28.5412</v>
      </c>
    </row>
    <row r="64" spans="1:9" x14ac:dyDescent="0.2">
      <c r="A64" s="9" t="s">
        <v>1205</v>
      </c>
      <c r="C64" s="40">
        <v>10.103300000000001</v>
      </c>
      <c r="D64" s="40">
        <v>10.452500000000001</v>
      </c>
    </row>
    <row r="65" spans="1:7" x14ac:dyDescent="0.2">
      <c r="A65" s="9" t="s">
        <v>783</v>
      </c>
      <c r="C65" s="40">
        <v>28.506699999999999</v>
      </c>
      <c r="D65" s="40">
        <v>29.5015</v>
      </c>
    </row>
    <row r="66" spans="1:7" x14ac:dyDescent="0.2">
      <c r="A66" s="9" t="s">
        <v>1206</v>
      </c>
      <c r="C66" s="40">
        <v>10.189</v>
      </c>
      <c r="D66" s="40">
        <v>10.544499999999999</v>
      </c>
    </row>
    <row r="67" spans="1:7" x14ac:dyDescent="0.2">
      <c r="A67" s="9" t="s">
        <v>785</v>
      </c>
      <c r="C67" s="40">
        <v>10.215400000000001</v>
      </c>
      <c r="D67" s="40">
        <v>10.571899999999999</v>
      </c>
    </row>
    <row r="68" spans="1:7" x14ac:dyDescent="0.2">
      <c r="A68" s="9" t="s">
        <v>1207</v>
      </c>
      <c r="C68" s="40">
        <v>28.6708</v>
      </c>
      <c r="D68" s="40">
        <v>29.6844</v>
      </c>
    </row>
    <row r="69" spans="1:7" x14ac:dyDescent="0.2">
      <c r="A69" s="9" t="s">
        <v>1208</v>
      </c>
      <c r="C69" s="40">
        <v>10.1761</v>
      </c>
      <c r="D69" s="40">
        <v>10.5359</v>
      </c>
    </row>
    <row r="70" spans="1:7" x14ac:dyDescent="0.2">
      <c r="A70" s="9" t="s">
        <v>1209</v>
      </c>
      <c r="C70" s="40">
        <v>10.213699999999999</v>
      </c>
      <c r="D70" s="40">
        <v>10.5748</v>
      </c>
    </row>
    <row r="72" spans="1:7" x14ac:dyDescent="0.2">
      <c r="A72" s="18" t="s">
        <v>53</v>
      </c>
      <c r="D72" s="41" t="s">
        <v>54</v>
      </c>
    </row>
    <row r="74" spans="1:7" x14ac:dyDescent="0.2">
      <c r="A74" s="18" t="s">
        <v>793</v>
      </c>
      <c r="D74" s="42">
        <v>1.0186327076986299</v>
      </c>
      <c r="E74" s="13" t="s">
        <v>55</v>
      </c>
    </row>
    <row r="76" spans="1:7" x14ac:dyDescent="0.2">
      <c r="A76" s="18" t="s">
        <v>1477</v>
      </c>
      <c r="D76" s="41" t="s">
        <v>54</v>
      </c>
    </row>
    <row r="78" spans="1:7" ht="25.05" customHeight="1" x14ac:dyDescent="0.2">
      <c r="A78" s="83" t="s">
        <v>1210</v>
      </c>
      <c r="B78" s="83"/>
      <c r="C78" s="83"/>
      <c r="D78" s="83"/>
      <c r="E78" s="83"/>
      <c r="F78" s="83"/>
      <c r="G78" s="83"/>
    </row>
    <row r="79" spans="1:7" ht="14.4" x14ac:dyDescent="0.3">
      <c r="A79" s="43"/>
    </row>
    <row r="80" spans="1:7" ht="14.4" x14ac:dyDescent="0.2">
      <c r="A80" s="70" t="s">
        <v>964</v>
      </c>
      <c r="B80" s="71"/>
      <c r="C80" s="71"/>
      <c r="D80" s="71"/>
      <c r="E80" s="71"/>
      <c r="F80" s="71"/>
      <c r="G80" s="71"/>
    </row>
    <row r="81" spans="1:1" x14ac:dyDescent="0.2">
      <c r="A81" s="50" t="s">
        <v>56</v>
      </c>
    </row>
    <row r="83" spans="1:1" x14ac:dyDescent="0.2">
      <c r="A83" s="50"/>
    </row>
  </sheetData>
  <mergeCells count="3">
    <mergeCell ref="A1:G1"/>
    <mergeCell ref="A78:G78"/>
    <mergeCell ref="A80:G80"/>
  </mergeCells>
  <conditionalFormatting sqref="F2:F3 F5:F77 F79 F84:F65519">
    <cfRule type="cellIs" dxfId="139" priority="3" stopIfTrue="1" operator="between">
      <formula>0.009</formula>
      <formula>-0.009</formula>
    </cfRule>
  </conditionalFormatting>
  <conditionalFormatting sqref="F82:F83">
    <cfRule type="cellIs" dxfId="138" priority="2" stopIfTrue="1" operator="between">
      <formula>0.009</formula>
      <formula>-0.009</formula>
    </cfRule>
  </conditionalFormatting>
  <conditionalFormatting sqref="F81">
    <cfRule type="cellIs" dxfId="137" priority="1" stopIfTrue="1" operator="between">
      <formula>0.009</formula>
      <formula>-0.009</formula>
    </cfRule>
  </conditionalFormatting>
  <hyperlinks>
    <hyperlink ref="A81" r:id="rId1" xr:uid="{00000000-0004-0000-09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95"/>
  <sheetViews>
    <sheetView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5546875" style="9" bestFit="1" customWidth="1"/>
    <col min="4" max="4" width="15.21875" style="10" bestFit="1" customWidth="1"/>
    <col min="5" max="5" width="23" style="13" bestFit="1" customWidth="1"/>
    <col min="6" max="6" width="14.77734375" style="14" bestFit="1" customWidth="1"/>
    <col min="7" max="7" width="14.21875" style="13" customWidth="1"/>
    <col min="8" max="16384" width="9.21875" style="9"/>
  </cols>
  <sheetData>
    <row r="1" spans="1:7" s="1" customFormat="1" ht="13.8" x14ac:dyDescent="0.2">
      <c r="A1" s="72" t="s">
        <v>1211</v>
      </c>
      <c r="B1" s="73"/>
      <c r="C1" s="73"/>
      <c r="D1" s="73"/>
      <c r="E1" s="73"/>
      <c r="F1" s="73"/>
      <c r="G1" s="73"/>
    </row>
    <row r="2" spans="1:7" s="1" customFormat="1" ht="12" x14ac:dyDescent="0.25">
      <c r="A2" s="57" t="s">
        <v>1026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917</v>
      </c>
      <c r="B7" s="27" t="s">
        <v>918</v>
      </c>
      <c r="C7" s="27" t="s">
        <v>919</v>
      </c>
      <c r="D7" s="31">
        <v>7200</v>
      </c>
      <c r="E7" s="29">
        <v>73660.248000000007</v>
      </c>
      <c r="F7" s="30">
        <v>14.182575884505299</v>
      </c>
      <c r="G7" s="29">
        <v>9.8186999999999998</v>
      </c>
    </row>
    <row r="8" spans="1:7" x14ac:dyDescent="0.2">
      <c r="A8" s="27" t="s">
        <v>1040</v>
      </c>
      <c r="B8" s="27" t="s">
        <v>1041</v>
      </c>
      <c r="C8" s="27" t="s">
        <v>1037</v>
      </c>
      <c r="D8" s="31">
        <v>4813</v>
      </c>
      <c r="E8" s="29">
        <v>38370.69915</v>
      </c>
      <c r="F8" s="30">
        <v>7.3879109453500096</v>
      </c>
      <c r="G8" s="29">
        <v>10.279400000000001</v>
      </c>
    </row>
    <row r="9" spans="1:7" x14ac:dyDescent="0.2">
      <c r="A9" s="27" t="s">
        <v>1062</v>
      </c>
      <c r="B9" s="27" t="s">
        <v>1050</v>
      </c>
      <c r="C9" s="27" t="s">
        <v>1051</v>
      </c>
      <c r="D9" s="31">
        <v>3100</v>
      </c>
      <c r="E9" s="29">
        <v>26705.322</v>
      </c>
      <c r="F9" s="30">
        <v>5.1418542031673304</v>
      </c>
      <c r="G9" s="29">
        <v>21.516200000000001</v>
      </c>
    </row>
    <row r="10" spans="1:7" x14ac:dyDescent="0.2">
      <c r="A10" s="27" t="s">
        <v>1212</v>
      </c>
      <c r="B10" s="27" t="s">
        <v>1213</v>
      </c>
      <c r="C10" s="27" t="s">
        <v>1029</v>
      </c>
      <c r="D10" s="31">
        <v>11135</v>
      </c>
      <c r="E10" s="29">
        <v>22442.525689999999</v>
      </c>
      <c r="F10" s="30">
        <v>4.3210935651259801</v>
      </c>
      <c r="G10" s="29">
        <v>10.4716</v>
      </c>
    </row>
    <row r="11" spans="1:7" x14ac:dyDescent="0.2">
      <c r="A11" s="27" t="s">
        <v>1214</v>
      </c>
      <c r="B11" s="27" t="s">
        <v>1215</v>
      </c>
      <c r="C11" s="27" t="s">
        <v>1029</v>
      </c>
      <c r="D11" s="31">
        <v>10675</v>
      </c>
      <c r="E11" s="29">
        <v>21578.487700000001</v>
      </c>
      <c r="F11" s="30">
        <v>4.1547313182832797</v>
      </c>
      <c r="G11" s="29">
        <v>10.285299999999999</v>
      </c>
    </row>
    <row r="12" spans="1:7" x14ac:dyDescent="0.2">
      <c r="A12" s="27" t="s">
        <v>1030</v>
      </c>
      <c r="B12" s="27" t="s">
        <v>1031</v>
      </c>
      <c r="C12" s="27" t="s">
        <v>1032</v>
      </c>
      <c r="D12" s="31">
        <v>2020</v>
      </c>
      <c r="E12" s="29">
        <v>20112.655200000001</v>
      </c>
      <c r="F12" s="30">
        <v>3.8724992972178098</v>
      </c>
      <c r="G12" s="29">
        <v>18.1313</v>
      </c>
    </row>
    <row r="13" spans="1:7" x14ac:dyDescent="0.2">
      <c r="A13" s="27" t="s">
        <v>1067</v>
      </c>
      <c r="B13" s="27" t="s">
        <v>1068</v>
      </c>
      <c r="C13" s="27" t="s">
        <v>1029</v>
      </c>
      <c r="D13" s="31">
        <v>1349</v>
      </c>
      <c r="E13" s="29">
        <v>13609.73724</v>
      </c>
      <c r="F13" s="30">
        <v>2.6204246715878199</v>
      </c>
      <c r="G13" s="29">
        <v>8.6254000000000008</v>
      </c>
    </row>
    <row r="14" spans="1:7" x14ac:dyDescent="0.2">
      <c r="A14" s="27" t="s">
        <v>1138</v>
      </c>
      <c r="B14" s="27" t="s">
        <v>1139</v>
      </c>
      <c r="C14" s="27" t="s">
        <v>919</v>
      </c>
      <c r="D14" s="31">
        <v>1300</v>
      </c>
      <c r="E14" s="29">
        <v>13183.352000000001</v>
      </c>
      <c r="F14" s="30">
        <v>2.5383282737813202</v>
      </c>
      <c r="G14" s="29">
        <v>9.4</v>
      </c>
    </row>
    <row r="15" spans="1:7" x14ac:dyDescent="0.2">
      <c r="A15" s="27" t="s">
        <v>1216</v>
      </c>
      <c r="B15" s="27" t="s">
        <v>1217</v>
      </c>
      <c r="C15" s="27" t="s">
        <v>1037</v>
      </c>
      <c r="D15" s="31">
        <v>1250</v>
      </c>
      <c r="E15" s="29">
        <v>12486.95</v>
      </c>
      <c r="F15" s="30">
        <v>2.4042427326747902</v>
      </c>
      <c r="G15" s="29">
        <v>8.1624999999999996</v>
      </c>
    </row>
    <row r="16" spans="1:7" x14ac:dyDescent="0.2">
      <c r="A16" s="27" t="s">
        <v>1218</v>
      </c>
      <c r="B16" s="27" t="s">
        <v>1219</v>
      </c>
      <c r="C16" s="27" t="s">
        <v>1051</v>
      </c>
      <c r="D16" s="31">
        <v>12500</v>
      </c>
      <c r="E16" s="29">
        <v>12190.924999999999</v>
      </c>
      <c r="F16" s="30">
        <v>2.3472459516401898</v>
      </c>
      <c r="G16" s="29">
        <v>11.7348</v>
      </c>
    </row>
    <row r="17" spans="1:7" x14ac:dyDescent="0.2">
      <c r="A17" s="27" t="s">
        <v>1060</v>
      </c>
      <c r="B17" s="27" t="s">
        <v>1061</v>
      </c>
      <c r="C17" s="27" t="s">
        <v>1032</v>
      </c>
      <c r="D17" s="31">
        <v>1000</v>
      </c>
      <c r="E17" s="29">
        <v>9999.9699999999993</v>
      </c>
      <c r="F17" s="30">
        <v>1.92539853202471</v>
      </c>
      <c r="G17" s="29">
        <v>7.9</v>
      </c>
    </row>
    <row r="18" spans="1:7" x14ac:dyDescent="0.2">
      <c r="A18" s="27" t="s">
        <v>1027</v>
      </c>
      <c r="B18" s="27" t="s">
        <v>1028</v>
      </c>
      <c r="C18" s="27" t="s">
        <v>1029</v>
      </c>
      <c r="D18" s="31">
        <v>879</v>
      </c>
      <c r="E18" s="29">
        <v>8926.7899799999996</v>
      </c>
      <c r="F18" s="30">
        <v>1.7187679886224501</v>
      </c>
      <c r="G18" s="29">
        <v>9.3452999999999999</v>
      </c>
    </row>
    <row r="19" spans="1:7" x14ac:dyDescent="0.2">
      <c r="A19" s="27" t="s">
        <v>1049</v>
      </c>
      <c r="B19" s="27" t="s">
        <v>1050</v>
      </c>
      <c r="C19" s="27" t="s">
        <v>1051</v>
      </c>
      <c r="D19" s="31">
        <v>1000</v>
      </c>
      <c r="E19" s="29">
        <v>8619.26</v>
      </c>
      <c r="F19" s="30">
        <v>1.6595560337820301</v>
      </c>
      <c r="G19" s="29">
        <v>21.466999999999999</v>
      </c>
    </row>
    <row r="20" spans="1:7" x14ac:dyDescent="0.2">
      <c r="A20" s="27" t="s">
        <v>1150</v>
      </c>
      <c r="B20" s="27" t="s">
        <v>1151</v>
      </c>
      <c r="C20" s="27" t="s">
        <v>1029</v>
      </c>
      <c r="D20" s="31">
        <v>822</v>
      </c>
      <c r="E20" s="29">
        <v>8335.6060799999996</v>
      </c>
      <c r="F20" s="30">
        <v>1.6049411858203799</v>
      </c>
      <c r="G20" s="29">
        <v>9.8553999999999995</v>
      </c>
    </row>
    <row r="21" spans="1:7" x14ac:dyDescent="0.2">
      <c r="A21" s="27" t="s">
        <v>1152</v>
      </c>
      <c r="B21" s="27" t="s">
        <v>1153</v>
      </c>
      <c r="C21" s="27" t="s">
        <v>1029</v>
      </c>
      <c r="D21" s="31">
        <v>822</v>
      </c>
      <c r="E21" s="29">
        <v>8323.0705799999996</v>
      </c>
      <c r="F21" s="30">
        <v>1.6025275952497899</v>
      </c>
      <c r="G21" s="29">
        <v>10.0808</v>
      </c>
    </row>
    <row r="22" spans="1:7" x14ac:dyDescent="0.2">
      <c r="A22" s="27" t="s">
        <v>1220</v>
      </c>
      <c r="B22" s="27" t="s">
        <v>1221</v>
      </c>
      <c r="C22" s="27" t="s">
        <v>1029</v>
      </c>
      <c r="D22" s="31">
        <v>754</v>
      </c>
      <c r="E22" s="29">
        <v>7656.5910199999998</v>
      </c>
      <c r="F22" s="30">
        <v>1.4742033336321601</v>
      </c>
      <c r="G22" s="29">
        <v>10.0807</v>
      </c>
    </row>
    <row r="23" spans="1:7" x14ac:dyDescent="0.2">
      <c r="A23" s="27" t="s">
        <v>1222</v>
      </c>
      <c r="B23" s="27" t="s">
        <v>1223</v>
      </c>
      <c r="C23" s="27" t="s">
        <v>1224</v>
      </c>
      <c r="D23" s="31">
        <v>690</v>
      </c>
      <c r="E23" s="29">
        <v>6754.6998000000003</v>
      </c>
      <c r="F23" s="30">
        <v>1.3005528095771901</v>
      </c>
      <c r="G23" s="29">
        <v>12.1006</v>
      </c>
    </row>
    <row r="24" spans="1:7" x14ac:dyDescent="0.2">
      <c r="A24" s="27" t="s">
        <v>1065</v>
      </c>
      <c r="B24" s="27" t="s">
        <v>1066</v>
      </c>
      <c r="C24" s="27" t="s">
        <v>35</v>
      </c>
      <c r="D24" s="31">
        <v>550</v>
      </c>
      <c r="E24" s="29">
        <v>5768.4274999999998</v>
      </c>
      <c r="F24" s="30">
        <v>1.1106555160256399</v>
      </c>
      <c r="G24" s="29">
        <v>9.9357000000000006</v>
      </c>
    </row>
    <row r="25" spans="1:7" x14ac:dyDescent="0.2">
      <c r="A25" s="27" t="s">
        <v>875</v>
      </c>
      <c r="B25" s="27" t="s">
        <v>876</v>
      </c>
      <c r="C25" s="27" t="s">
        <v>877</v>
      </c>
      <c r="D25" s="31">
        <v>460</v>
      </c>
      <c r="E25" s="29">
        <v>5046.1080000000002</v>
      </c>
      <c r="F25" s="30">
        <v>0.97157980830323898</v>
      </c>
      <c r="G25" s="29">
        <v>8.1050000000000004</v>
      </c>
    </row>
    <row r="26" spans="1:7" x14ac:dyDescent="0.2">
      <c r="A26" s="27" t="s">
        <v>1174</v>
      </c>
      <c r="B26" s="27" t="s">
        <v>1175</v>
      </c>
      <c r="C26" s="27" t="s">
        <v>1037</v>
      </c>
      <c r="D26" s="31">
        <v>500</v>
      </c>
      <c r="E26" s="29">
        <v>5006.5200000000004</v>
      </c>
      <c r="F26" s="30">
        <v>0.96395751772778804</v>
      </c>
      <c r="G26" s="29">
        <v>7.0937000000000001</v>
      </c>
    </row>
    <row r="27" spans="1:7" x14ac:dyDescent="0.2">
      <c r="A27" s="27" t="s">
        <v>1225</v>
      </c>
      <c r="B27" s="27" t="s">
        <v>1226</v>
      </c>
      <c r="C27" s="27" t="s">
        <v>1029</v>
      </c>
      <c r="D27" s="31">
        <v>2125</v>
      </c>
      <c r="E27" s="29">
        <v>4238.5122499999998</v>
      </c>
      <c r="F27" s="30">
        <v>0.81608497466679897</v>
      </c>
      <c r="G27" s="29">
        <v>10.8</v>
      </c>
    </row>
    <row r="28" spans="1:7" x14ac:dyDescent="0.2">
      <c r="A28" s="27" t="s">
        <v>1069</v>
      </c>
      <c r="B28" s="27" t="s">
        <v>1070</v>
      </c>
      <c r="C28" s="27" t="s">
        <v>998</v>
      </c>
      <c r="D28" s="31">
        <v>370</v>
      </c>
      <c r="E28" s="29">
        <v>3730.0699</v>
      </c>
      <c r="F28" s="30">
        <v>0.71818926554875195</v>
      </c>
      <c r="G28" s="29">
        <v>8.0203000000000007</v>
      </c>
    </row>
    <row r="29" spans="1:7" x14ac:dyDescent="0.2">
      <c r="A29" s="27" t="s">
        <v>1227</v>
      </c>
      <c r="B29" s="27" t="s">
        <v>1228</v>
      </c>
      <c r="C29" s="27" t="s">
        <v>1137</v>
      </c>
      <c r="D29" s="31">
        <v>272</v>
      </c>
      <c r="E29" s="29">
        <v>2724.3628800000001</v>
      </c>
      <c r="F29" s="30">
        <v>0.52455000263546903</v>
      </c>
      <c r="G29" s="29">
        <v>10.6693</v>
      </c>
    </row>
    <row r="30" spans="1:7" x14ac:dyDescent="0.2">
      <c r="A30" s="27" t="s">
        <v>1142</v>
      </c>
      <c r="B30" s="27" t="s">
        <v>1143</v>
      </c>
      <c r="C30" s="27" t="s">
        <v>1029</v>
      </c>
      <c r="D30" s="31">
        <v>350</v>
      </c>
      <c r="E30" s="29">
        <v>2641.3038750000001</v>
      </c>
      <c r="F30" s="30">
        <v>0.50855778602897606</v>
      </c>
      <c r="G30" s="29">
        <v>8.3552</v>
      </c>
    </row>
    <row r="31" spans="1:7" x14ac:dyDescent="0.2">
      <c r="A31" s="27" t="s">
        <v>1166</v>
      </c>
      <c r="B31" s="27" t="s">
        <v>1167</v>
      </c>
      <c r="C31" s="27" t="s">
        <v>1037</v>
      </c>
      <c r="D31" s="31">
        <v>250</v>
      </c>
      <c r="E31" s="29">
        <v>2508.9524999999999</v>
      </c>
      <c r="F31" s="30">
        <v>0.48307479526635799</v>
      </c>
      <c r="G31" s="29">
        <v>7.5438000000000001</v>
      </c>
    </row>
    <row r="32" spans="1:7" x14ac:dyDescent="0.2">
      <c r="A32" s="27" t="s">
        <v>1144</v>
      </c>
      <c r="B32" s="27" t="s">
        <v>1145</v>
      </c>
      <c r="C32" s="27" t="s">
        <v>1137</v>
      </c>
      <c r="D32" s="31">
        <v>240</v>
      </c>
      <c r="E32" s="29">
        <v>2278.3656000000001</v>
      </c>
      <c r="F32" s="30">
        <v>0.43867749419804197</v>
      </c>
      <c r="G32" s="29">
        <v>14.404999999999999</v>
      </c>
    </row>
    <row r="33" spans="1:7" x14ac:dyDescent="0.2">
      <c r="A33" s="27" t="s">
        <v>1229</v>
      </c>
      <c r="B33" s="27" t="s">
        <v>1230</v>
      </c>
      <c r="C33" s="27" t="s">
        <v>1032</v>
      </c>
      <c r="D33" s="31">
        <v>200</v>
      </c>
      <c r="E33" s="29">
        <v>2002.9059999999999</v>
      </c>
      <c r="F33" s="30">
        <v>0.38564038413950102</v>
      </c>
      <c r="G33" s="29">
        <v>8.2500999999999998</v>
      </c>
    </row>
    <row r="34" spans="1:7" x14ac:dyDescent="0.2">
      <c r="A34" s="27" t="s">
        <v>1122</v>
      </c>
      <c r="B34" s="27" t="s">
        <v>1123</v>
      </c>
      <c r="C34" s="27" t="s">
        <v>998</v>
      </c>
      <c r="D34" s="31">
        <v>197</v>
      </c>
      <c r="E34" s="29">
        <v>1990.65545</v>
      </c>
      <c r="F34" s="30">
        <v>0.38328165796467301</v>
      </c>
      <c r="G34" s="29">
        <v>10.5837</v>
      </c>
    </row>
    <row r="35" spans="1:7" x14ac:dyDescent="0.2">
      <c r="A35" s="27" t="s">
        <v>1071</v>
      </c>
      <c r="B35" s="27" t="s">
        <v>1072</v>
      </c>
      <c r="C35" s="27" t="s">
        <v>35</v>
      </c>
      <c r="D35" s="31">
        <v>150</v>
      </c>
      <c r="E35" s="29">
        <v>1530.8489999999999</v>
      </c>
      <c r="F35" s="30">
        <v>0.29475032598612699</v>
      </c>
      <c r="G35" s="29">
        <v>9.0390999999999995</v>
      </c>
    </row>
    <row r="36" spans="1:7" x14ac:dyDescent="0.2">
      <c r="A36" s="27" t="s">
        <v>1231</v>
      </c>
      <c r="B36" s="27" t="s">
        <v>1232</v>
      </c>
      <c r="C36" s="27" t="s">
        <v>1051</v>
      </c>
      <c r="D36" s="31">
        <v>1400</v>
      </c>
      <c r="E36" s="29">
        <v>1410.7534000000001</v>
      </c>
      <c r="F36" s="30">
        <v>0.27162706742208897</v>
      </c>
      <c r="G36" s="29">
        <v>8.8826999999999998</v>
      </c>
    </row>
    <row r="37" spans="1:7" x14ac:dyDescent="0.2">
      <c r="A37" s="27" t="s">
        <v>1195</v>
      </c>
      <c r="B37" s="27" t="s">
        <v>1196</v>
      </c>
      <c r="C37" s="27" t="s">
        <v>1051</v>
      </c>
      <c r="D37" s="31">
        <v>500</v>
      </c>
      <c r="E37" s="29">
        <v>1251.605</v>
      </c>
      <c r="F37" s="30">
        <v>0.24098456592117601</v>
      </c>
      <c r="G37" s="29">
        <v>8.8703000000000003</v>
      </c>
    </row>
    <row r="38" spans="1:7" x14ac:dyDescent="0.2">
      <c r="A38" s="27" t="s">
        <v>1176</v>
      </c>
      <c r="B38" s="27" t="s">
        <v>1177</v>
      </c>
      <c r="C38" s="27" t="s">
        <v>1085</v>
      </c>
      <c r="D38" s="31">
        <v>100</v>
      </c>
      <c r="E38" s="29">
        <v>1003.498</v>
      </c>
      <c r="F38" s="30">
        <v>0.19321393725078501</v>
      </c>
      <c r="G38" s="29">
        <v>13.6404</v>
      </c>
    </row>
    <row r="39" spans="1:7" x14ac:dyDescent="0.2">
      <c r="A39" s="27" t="s">
        <v>1233</v>
      </c>
      <c r="B39" s="27" t="s">
        <v>1234</v>
      </c>
      <c r="C39" s="27" t="s">
        <v>1184</v>
      </c>
      <c r="D39" s="31">
        <v>100</v>
      </c>
      <c r="E39" s="29">
        <v>1002.722</v>
      </c>
      <c r="F39" s="30">
        <v>0.193064525876466</v>
      </c>
      <c r="G39" s="29">
        <v>7.8</v>
      </c>
    </row>
    <row r="40" spans="1:7" x14ac:dyDescent="0.2">
      <c r="A40" s="27" t="s">
        <v>1038</v>
      </c>
      <c r="B40" s="27" t="s">
        <v>1039</v>
      </c>
      <c r="C40" s="27" t="s">
        <v>1032</v>
      </c>
      <c r="D40" s="31">
        <v>100</v>
      </c>
      <c r="E40" s="29">
        <v>1001.155</v>
      </c>
      <c r="F40" s="30">
        <v>0.192762815021365</v>
      </c>
      <c r="G40" s="29">
        <v>8.5748999999999995</v>
      </c>
    </row>
    <row r="41" spans="1:7" x14ac:dyDescent="0.2">
      <c r="A41" s="27" t="s">
        <v>1235</v>
      </c>
      <c r="B41" s="27" t="s">
        <v>1236</v>
      </c>
      <c r="C41" s="27" t="s">
        <v>1029</v>
      </c>
      <c r="D41" s="31">
        <v>62</v>
      </c>
      <c r="E41" s="29">
        <v>624.49004000000002</v>
      </c>
      <c r="F41" s="30">
        <v>0.120239581346749</v>
      </c>
      <c r="G41" s="29">
        <v>10.3553</v>
      </c>
    </row>
    <row r="42" spans="1:7" x14ac:dyDescent="0.2">
      <c r="A42" s="27" t="s">
        <v>1237</v>
      </c>
      <c r="B42" s="27" t="s">
        <v>1238</v>
      </c>
      <c r="C42" s="27" t="s">
        <v>1029</v>
      </c>
      <c r="D42" s="31">
        <v>62</v>
      </c>
      <c r="E42" s="29">
        <v>615.9049</v>
      </c>
      <c r="F42" s="30">
        <v>0.118586594792467</v>
      </c>
      <c r="G42" s="29">
        <v>10.692299999999999</v>
      </c>
    </row>
    <row r="43" spans="1:7" x14ac:dyDescent="0.2">
      <c r="A43" s="27" t="s">
        <v>1239</v>
      </c>
      <c r="B43" s="27" t="s">
        <v>1240</v>
      </c>
      <c r="C43" s="27" t="s">
        <v>1037</v>
      </c>
      <c r="D43" s="31">
        <v>55</v>
      </c>
      <c r="E43" s="29">
        <v>561.42570000000001</v>
      </c>
      <c r="F43" s="30">
        <v>0.108097146153533</v>
      </c>
      <c r="G43" s="29">
        <v>5.5449999999999999</v>
      </c>
    </row>
    <row r="44" spans="1:7" x14ac:dyDescent="0.2">
      <c r="A44" s="27" t="s">
        <v>1140</v>
      </c>
      <c r="B44" s="27" t="s">
        <v>1141</v>
      </c>
      <c r="C44" s="27" t="s">
        <v>998</v>
      </c>
      <c r="D44" s="31">
        <v>50</v>
      </c>
      <c r="E44" s="29">
        <v>505.41149999999999</v>
      </c>
      <c r="F44" s="30">
        <v>9.7312147953284495E-2</v>
      </c>
      <c r="G44" s="29">
        <v>8.3678000000000008</v>
      </c>
    </row>
    <row r="45" spans="1:7" x14ac:dyDescent="0.2">
      <c r="A45" s="27" t="s">
        <v>1241</v>
      </c>
      <c r="B45" s="27" t="s">
        <v>1242</v>
      </c>
      <c r="C45" s="27" t="s">
        <v>1137</v>
      </c>
      <c r="D45" s="31">
        <v>50</v>
      </c>
      <c r="E45" s="29">
        <v>474.65899999999999</v>
      </c>
      <c r="F45" s="30">
        <v>9.1391048354376697E-2</v>
      </c>
      <c r="G45" s="29">
        <v>14.404999999999999</v>
      </c>
    </row>
    <row r="46" spans="1:7" x14ac:dyDescent="0.2">
      <c r="A46" s="27" t="s">
        <v>1243</v>
      </c>
      <c r="B46" s="27" t="s">
        <v>1244</v>
      </c>
      <c r="C46" s="27" t="s">
        <v>39</v>
      </c>
      <c r="D46" s="31">
        <v>28</v>
      </c>
      <c r="E46" s="29">
        <v>280.62580000000003</v>
      </c>
      <c r="F46" s="30">
        <v>5.40318124322633E-2</v>
      </c>
      <c r="G46" s="29">
        <v>4.125</v>
      </c>
    </row>
    <row r="47" spans="1:7" x14ac:dyDescent="0.2">
      <c r="A47" s="27" t="s">
        <v>1245</v>
      </c>
      <c r="B47" s="27" t="s">
        <v>1246</v>
      </c>
      <c r="C47" s="27" t="s">
        <v>970</v>
      </c>
      <c r="D47" s="31">
        <v>18</v>
      </c>
      <c r="E47" s="29">
        <v>227.5659</v>
      </c>
      <c r="F47" s="30">
        <v>4.3815636426797498E-2</v>
      </c>
      <c r="G47" s="29">
        <v>3.7498999999999998</v>
      </c>
    </row>
    <row r="48" spans="1:7" x14ac:dyDescent="0.2">
      <c r="A48" s="27" t="s">
        <v>909</v>
      </c>
      <c r="B48" s="27" t="s">
        <v>910</v>
      </c>
      <c r="C48" s="27" t="s">
        <v>39</v>
      </c>
      <c r="D48" s="31">
        <v>12</v>
      </c>
      <c r="E48" s="29">
        <v>122.0466</v>
      </c>
      <c r="F48" s="30">
        <v>2.3498904944575499E-2</v>
      </c>
      <c r="G48" s="29">
        <v>3.75</v>
      </c>
    </row>
    <row r="49" spans="1:9" x14ac:dyDescent="0.2">
      <c r="A49" s="27" t="s">
        <v>1247</v>
      </c>
      <c r="B49" s="27" t="s">
        <v>1248</v>
      </c>
      <c r="C49" s="27" t="s">
        <v>39</v>
      </c>
      <c r="D49" s="31">
        <v>12</v>
      </c>
      <c r="E49" s="29">
        <v>121.83444</v>
      </c>
      <c r="F49" s="30">
        <v>2.3458055566771999E-2</v>
      </c>
      <c r="G49" s="29">
        <v>3.8</v>
      </c>
    </row>
    <row r="50" spans="1:9" x14ac:dyDescent="0.2">
      <c r="A50" s="27" t="s">
        <v>1193</v>
      </c>
      <c r="B50" s="27" t="s">
        <v>1194</v>
      </c>
      <c r="C50" s="27" t="s">
        <v>919</v>
      </c>
      <c r="D50" s="31">
        <v>4000</v>
      </c>
      <c r="E50" s="29">
        <v>40.288719999999998</v>
      </c>
      <c r="F50" s="29">
        <v>7.75720750613798E-3</v>
      </c>
      <c r="G50" s="29">
        <v>6.7150999999999996</v>
      </c>
    </row>
    <row r="51" spans="1:9" x14ac:dyDescent="0.2">
      <c r="A51" s="27" t="s">
        <v>1042</v>
      </c>
      <c r="B51" s="27" t="s">
        <v>1043</v>
      </c>
      <c r="C51" s="27" t="s">
        <v>35</v>
      </c>
      <c r="D51" s="31">
        <v>3</v>
      </c>
      <c r="E51" s="29">
        <v>30.27927</v>
      </c>
      <c r="F51" s="29">
        <v>5.8299836908290601E-3</v>
      </c>
      <c r="G51" s="29">
        <v>4.3849</v>
      </c>
    </row>
    <row r="52" spans="1:9" x14ac:dyDescent="0.2">
      <c r="A52" s="26" t="s">
        <v>40</v>
      </c>
      <c r="B52" s="26"/>
      <c r="C52" s="26"/>
      <c r="D52" s="32"/>
      <c r="E52" s="33">
        <f>SUM(E6:E51)</f>
        <v>361698.18766500003</v>
      </c>
      <c r="F52" s="34">
        <f>SUM(F6:F51)</f>
        <v>69.64152488119359</v>
      </c>
      <c r="G52" s="33"/>
      <c r="H52" s="18"/>
      <c r="I52" s="18"/>
    </row>
    <row r="53" spans="1:9" x14ac:dyDescent="0.2">
      <c r="A53" s="27"/>
      <c r="B53" s="27"/>
      <c r="C53" s="27"/>
      <c r="D53" s="28"/>
      <c r="E53" s="29"/>
      <c r="F53" s="30"/>
      <c r="G53" s="29"/>
    </row>
    <row r="54" spans="1:9" x14ac:dyDescent="0.2">
      <c r="A54" s="26" t="s">
        <v>41</v>
      </c>
      <c r="B54" s="27"/>
      <c r="C54" s="27"/>
      <c r="D54" s="28"/>
      <c r="E54" s="29"/>
      <c r="F54" s="30"/>
      <c r="G54" s="29"/>
    </row>
    <row r="55" spans="1:9" x14ac:dyDescent="0.2">
      <c r="A55" s="27" t="s">
        <v>1091</v>
      </c>
      <c r="B55" s="27" t="s">
        <v>1092</v>
      </c>
      <c r="C55" s="27" t="s">
        <v>1077</v>
      </c>
      <c r="D55" s="31">
        <v>350</v>
      </c>
      <c r="E55" s="29">
        <v>34222.618499999997</v>
      </c>
      <c r="F55" s="30">
        <v>6.5892377099072998</v>
      </c>
      <c r="G55" s="29">
        <v>9.5150000000000006</v>
      </c>
    </row>
    <row r="56" spans="1:9" x14ac:dyDescent="0.2">
      <c r="A56" s="27" t="s">
        <v>1083</v>
      </c>
      <c r="B56" s="27" t="s">
        <v>1084</v>
      </c>
      <c r="C56" s="27" t="s">
        <v>1085</v>
      </c>
      <c r="D56" s="31">
        <v>2560</v>
      </c>
      <c r="E56" s="29">
        <v>24178.432000000001</v>
      </c>
      <c r="F56" s="30">
        <v>4.6553257139230704</v>
      </c>
      <c r="G56" s="29">
        <v>12.355</v>
      </c>
    </row>
    <row r="57" spans="1:9" x14ac:dyDescent="0.2">
      <c r="A57" s="27" t="s">
        <v>1089</v>
      </c>
      <c r="B57" s="27" t="s">
        <v>1090</v>
      </c>
      <c r="C57" s="27" t="s">
        <v>1077</v>
      </c>
      <c r="D57" s="31">
        <v>1480</v>
      </c>
      <c r="E57" s="29">
        <v>15316.6976</v>
      </c>
      <c r="F57" s="30">
        <v>2.9490835547012999</v>
      </c>
      <c r="G57" s="29">
        <v>7.73</v>
      </c>
    </row>
    <row r="58" spans="1:9" x14ac:dyDescent="0.2">
      <c r="A58" s="27" t="s">
        <v>1154</v>
      </c>
      <c r="B58" s="27" t="s">
        <v>1155</v>
      </c>
      <c r="C58" s="27" t="s">
        <v>1080</v>
      </c>
      <c r="D58" s="31">
        <v>1660</v>
      </c>
      <c r="E58" s="29">
        <v>13736.528969999999</v>
      </c>
      <c r="F58" s="30">
        <v>2.6448372059069101</v>
      </c>
      <c r="G58" s="29">
        <v>11.962899999999999</v>
      </c>
    </row>
    <row r="59" spans="1:9" x14ac:dyDescent="0.2">
      <c r="A59" s="27" t="s">
        <v>1201</v>
      </c>
      <c r="B59" s="27" t="s">
        <v>1202</v>
      </c>
      <c r="C59" s="27" t="s">
        <v>1085</v>
      </c>
      <c r="D59" s="31">
        <v>1150</v>
      </c>
      <c r="E59" s="29">
        <v>11535.3395</v>
      </c>
      <c r="F59" s="30">
        <v>2.2210192370283801</v>
      </c>
      <c r="G59" s="29">
        <v>12.45</v>
      </c>
    </row>
    <row r="60" spans="1:9" x14ac:dyDescent="0.2">
      <c r="A60" s="27" t="s">
        <v>1081</v>
      </c>
      <c r="B60" s="27" t="s">
        <v>1082</v>
      </c>
      <c r="C60" s="27" t="s">
        <v>1080</v>
      </c>
      <c r="D60" s="31">
        <v>1280</v>
      </c>
      <c r="E60" s="29">
        <v>10854.950639999999</v>
      </c>
      <c r="F60" s="30">
        <v>2.0900168727962898</v>
      </c>
      <c r="G60" s="29">
        <v>11.9596</v>
      </c>
    </row>
    <row r="61" spans="1:9" x14ac:dyDescent="0.2">
      <c r="A61" s="27" t="s">
        <v>1078</v>
      </c>
      <c r="B61" s="27" t="s">
        <v>1079</v>
      </c>
      <c r="C61" s="27" t="s">
        <v>1080</v>
      </c>
      <c r="D61" s="31">
        <v>385</v>
      </c>
      <c r="E61" s="29">
        <v>3437.9665679999998</v>
      </c>
      <c r="F61" s="30">
        <v>0.661947564160415</v>
      </c>
      <c r="G61" s="29">
        <v>11.962899999999999</v>
      </c>
    </row>
    <row r="62" spans="1:9" x14ac:dyDescent="0.2">
      <c r="A62" s="27" t="s">
        <v>1249</v>
      </c>
      <c r="B62" s="27" t="s">
        <v>1250</v>
      </c>
      <c r="C62" s="27" t="s">
        <v>1224</v>
      </c>
      <c r="D62" s="31">
        <v>300</v>
      </c>
      <c r="E62" s="29">
        <v>2926.605</v>
      </c>
      <c r="F62" s="30">
        <v>0.56348978755098</v>
      </c>
      <c r="G62" s="29">
        <v>12.7994</v>
      </c>
    </row>
    <row r="63" spans="1:9" x14ac:dyDescent="0.2">
      <c r="A63" s="27" t="s">
        <v>43</v>
      </c>
      <c r="B63" s="27" t="s">
        <v>42</v>
      </c>
      <c r="C63" s="27" t="s">
        <v>38</v>
      </c>
      <c r="D63" s="31">
        <v>15</v>
      </c>
      <c r="E63" s="29">
        <v>2141.5230000000001</v>
      </c>
      <c r="F63" s="30">
        <v>0.41232976103899799</v>
      </c>
      <c r="G63" s="29">
        <v>10.2447</v>
      </c>
    </row>
    <row r="64" spans="1:9" x14ac:dyDescent="0.2">
      <c r="A64" s="27" t="s">
        <v>1093</v>
      </c>
      <c r="B64" s="27" t="s">
        <v>1094</v>
      </c>
      <c r="C64" s="27" t="s">
        <v>1080</v>
      </c>
      <c r="D64" s="31">
        <v>150</v>
      </c>
      <c r="E64" s="29">
        <v>1311.242538</v>
      </c>
      <c r="F64" s="30">
        <v>0.25246720318096499</v>
      </c>
      <c r="G64" s="29">
        <v>11.962899999999999</v>
      </c>
    </row>
    <row r="65" spans="1:9" x14ac:dyDescent="0.2">
      <c r="A65" s="27" t="s">
        <v>1251</v>
      </c>
      <c r="B65" s="27" t="s">
        <v>1252</v>
      </c>
      <c r="C65" s="27" t="s">
        <v>39</v>
      </c>
      <c r="D65" s="31">
        <v>13</v>
      </c>
      <c r="E65" s="29">
        <v>132.19674000000001</v>
      </c>
      <c r="F65" s="30">
        <v>2.5453217273097E-2</v>
      </c>
      <c r="G65" s="29">
        <v>4.67</v>
      </c>
    </row>
    <row r="66" spans="1:9" x14ac:dyDescent="0.2">
      <c r="A66" s="27" t="s">
        <v>1098</v>
      </c>
      <c r="B66" s="27" t="s">
        <v>1099</v>
      </c>
      <c r="C66" s="27" t="s">
        <v>1097</v>
      </c>
      <c r="D66" s="31">
        <v>1000</v>
      </c>
      <c r="E66" s="29">
        <v>0</v>
      </c>
      <c r="F66" s="29">
        <v>0</v>
      </c>
      <c r="G66" s="29">
        <v>0</v>
      </c>
    </row>
    <row r="67" spans="1:9" x14ac:dyDescent="0.2">
      <c r="A67" s="27" t="s">
        <v>1253</v>
      </c>
      <c r="B67" s="27" t="s">
        <v>1254</v>
      </c>
      <c r="C67" s="27" t="s">
        <v>1097</v>
      </c>
      <c r="D67" s="31">
        <v>800</v>
      </c>
      <c r="E67" s="29">
        <v>0</v>
      </c>
      <c r="F67" s="29">
        <v>0</v>
      </c>
      <c r="G67" s="29">
        <v>0</v>
      </c>
    </row>
    <row r="68" spans="1:9" x14ac:dyDescent="0.2">
      <c r="A68" s="27" t="s">
        <v>1255</v>
      </c>
      <c r="B68" s="27" t="s">
        <v>1256</v>
      </c>
      <c r="C68" s="27" t="s">
        <v>1097</v>
      </c>
      <c r="D68" s="31">
        <v>600</v>
      </c>
      <c r="E68" s="29">
        <v>0</v>
      </c>
      <c r="F68" s="29">
        <v>0</v>
      </c>
      <c r="G68" s="29">
        <v>0</v>
      </c>
    </row>
    <row r="69" spans="1:9" x14ac:dyDescent="0.2">
      <c r="A69" s="27" t="s">
        <v>1257</v>
      </c>
      <c r="B69" s="27" t="s">
        <v>1258</v>
      </c>
      <c r="C69" s="27" t="s">
        <v>1097</v>
      </c>
      <c r="D69" s="31">
        <v>500</v>
      </c>
      <c r="E69" s="29">
        <v>0</v>
      </c>
      <c r="F69" s="29">
        <v>0</v>
      </c>
      <c r="G69" s="29">
        <v>0</v>
      </c>
    </row>
    <row r="70" spans="1:9" x14ac:dyDescent="0.2">
      <c r="A70" s="27" t="s">
        <v>1259</v>
      </c>
      <c r="B70" s="27" t="s">
        <v>1260</v>
      </c>
      <c r="C70" s="27" t="s">
        <v>1097</v>
      </c>
      <c r="D70" s="31">
        <v>375</v>
      </c>
      <c r="E70" s="29">
        <v>0</v>
      </c>
      <c r="F70" s="29">
        <v>0</v>
      </c>
      <c r="G70" s="29">
        <v>0</v>
      </c>
    </row>
    <row r="71" spans="1:9" x14ac:dyDescent="0.2">
      <c r="A71" s="27" t="s">
        <v>1261</v>
      </c>
      <c r="B71" s="27" t="s">
        <v>1262</v>
      </c>
      <c r="C71" s="27" t="s">
        <v>1097</v>
      </c>
      <c r="D71" s="31">
        <v>350</v>
      </c>
      <c r="E71" s="29">
        <v>0</v>
      </c>
      <c r="F71" s="29">
        <v>0</v>
      </c>
      <c r="G71" s="29">
        <v>0</v>
      </c>
    </row>
    <row r="72" spans="1:9" x14ac:dyDescent="0.2">
      <c r="A72" s="27" t="s">
        <v>1263</v>
      </c>
      <c r="B72" s="27" t="s">
        <v>1264</v>
      </c>
      <c r="C72" s="27" t="s">
        <v>1097</v>
      </c>
      <c r="D72" s="31">
        <v>300</v>
      </c>
      <c r="E72" s="29">
        <v>0</v>
      </c>
      <c r="F72" s="29">
        <v>0</v>
      </c>
      <c r="G72" s="29">
        <v>0</v>
      </c>
    </row>
    <row r="73" spans="1:9" x14ac:dyDescent="0.2">
      <c r="A73" s="27" t="s">
        <v>1265</v>
      </c>
      <c r="B73" s="27" t="s">
        <v>1266</v>
      </c>
      <c r="C73" s="27" t="s">
        <v>1097</v>
      </c>
      <c r="D73" s="31">
        <v>200</v>
      </c>
      <c r="E73" s="29">
        <v>0</v>
      </c>
      <c r="F73" s="29">
        <v>0</v>
      </c>
      <c r="G73" s="29">
        <v>0</v>
      </c>
    </row>
    <row r="74" spans="1:9" x14ac:dyDescent="0.2">
      <c r="A74" s="26" t="s">
        <v>40</v>
      </c>
      <c r="B74" s="26"/>
      <c r="C74" s="26"/>
      <c r="D74" s="32"/>
      <c r="E74" s="33">
        <f>SUM(E54:E73)</f>
        <v>119794.101056</v>
      </c>
      <c r="F74" s="34">
        <f>SUM(F54:F73)</f>
        <v>23.065207827467706</v>
      </c>
      <c r="G74" s="33"/>
      <c r="H74" s="18"/>
      <c r="I74" s="18"/>
    </row>
    <row r="75" spans="1:9" x14ac:dyDescent="0.2">
      <c r="A75" s="27"/>
      <c r="B75" s="27"/>
      <c r="C75" s="27"/>
      <c r="D75" s="28"/>
      <c r="E75" s="29"/>
      <c r="F75" s="30"/>
      <c r="G75" s="29"/>
    </row>
    <row r="76" spans="1:9" x14ac:dyDescent="0.2">
      <c r="A76" s="26" t="s">
        <v>44</v>
      </c>
      <c r="B76" s="26"/>
      <c r="C76" s="26"/>
      <c r="D76" s="32"/>
      <c r="E76" s="33">
        <f>E52+E74</f>
        <v>481492.28872100002</v>
      </c>
      <c r="F76" s="34">
        <f>F52+F74</f>
        <v>92.706732708661292</v>
      </c>
      <c r="G76" s="33"/>
      <c r="H76" s="18"/>
      <c r="I76" s="18"/>
    </row>
    <row r="77" spans="1:9" x14ac:dyDescent="0.2">
      <c r="A77" s="26"/>
      <c r="B77" s="26"/>
      <c r="C77" s="26"/>
      <c r="D77" s="32"/>
      <c r="E77" s="33"/>
      <c r="F77" s="34"/>
      <c r="G77" s="33"/>
      <c r="H77" s="18"/>
      <c r="I77" s="18"/>
    </row>
    <row r="78" spans="1:9" x14ac:dyDescent="0.2">
      <c r="A78" s="26" t="s">
        <v>46</v>
      </c>
      <c r="B78" s="26"/>
      <c r="C78" s="26"/>
      <c r="D78" s="32"/>
      <c r="E78" s="33">
        <f>E80-(E52+E74)</f>
        <v>37879.147045299993</v>
      </c>
      <c r="F78" s="34">
        <f>F80-(F52+F74)</f>
        <v>7.293267291338708</v>
      </c>
      <c r="G78" s="33"/>
      <c r="H78" s="18"/>
      <c r="I78" s="18"/>
    </row>
    <row r="79" spans="1:9" x14ac:dyDescent="0.2">
      <c r="A79" s="26"/>
      <c r="B79" s="26"/>
      <c r="C79" s="26"/>
      <c r="D79" s="32"/>
      <c r="E79" s="33"/>
      <c r="F79" s="34"/>
      <c r="G79" s="33"/>
      <c r="H79" s="18"/>
      <c r="I79" s="18"/>
    </row>
    <row r="80" spans="1:9" x14ac:dyDescent="0.2">
      <c r="A80" s="35" t="s">
        <v>45</v>
      </c>
      <c r="B80" s="35"/>
      <c r="C80" s="35"/>
      <c r="D80" s="36"/>
      <c r="E80" s="37">
        <v>519371.43576630001</v>
      </c>
      <c r="F80" s="38">
        <v>100</v>
      </c>
      <c r="G80" s="37"/>
      <c r="H80" s="18"/>
      <c r="I80" s="18"/>
    </row>
    <row r="81" spans="1:6" x14ac:dyDescent="0.2">
      <c r="F81" s="20"/>
    </row>
    <row r="82" spans="1:6" x14ac:dyDescent="0.2">
      <c r="A82" s="18" t="s">
        <v>47</v>
      </c>
    </row>
    <row r="83" spans="1:6" x14ac:dyDescent="0.2">
      <c r="A83" s="18" t="s">
        <v>1102</v>
      </c>
    </row>
    <row r="85" spans="1:6" x14ac:dyDescent="0.2">
      <c r="A85" s="18" t="s">
        <v>48</v>
      </c>
    </row>
    <row r="86" spans="1:6" x14ac:dyDescent="0.2">
      <c r="A86" s="18" t="s">
        <v>49</v>
      </c>
    </row>
    <row r="87" spans="1:6" x14ac:dyDescent="0.2">
      <c r="A87" s="18" t="s">
        <v>50</v>
      </c>
      <c r="B87" s="18"/>
      <c r="C87" s="39" t="s">
        <v>52</v>
      </c>
      <c r="D87" s="19" t="s">
        <v>51</v>
      </c>
    </row>
    <row r="88" spans="1:6" x14ac:dyDescent="0.2">
      <c r="A88" s="9" t="s">
        <v>838</v>
      </c>
      <c r="C88" s="40">
        <v>3561.5126</v>
      </c>
      <c r="D88" s="40">
        <v>3928.0680000000002</v>
      </c>
    </row>
    <row r="89" spans="1:6" x14ac:dyDescent="0.2">
      <c r="A89" s="9" t="s">
        <v>1203</v>
      </c>
      <c r="C89" s="40">
        <v>900.15300000000002</v>
      </c>
      <c r="D89" s="40">
        <v>992.79780000000005</v>
      </c>
    </row>
    <row r="90" spans="1:6" x14ac:dyDescent="0.2">
      <c r="A90" s="9" t="s">
        <v>840</v>
      </c>
      <c r="C90" s="40">
        <v>993.81330000000003</v>
      </c>
      <c r="D90" s="40">
        <v>1096.0977</v>
      </c>
    </row>
    <row r="91" spans="1:6" x14ac:dyDescent="0.2">
      <c r="A91" s="9" t="s">
        <v>841</v>
      </c>
      <c r="C91" s="40">
        <v>1033.8729000000001</v>
      </c>
      <c r="D91" s="40">
        <v>1140.2804000000001</v>
      </c>
    </row>
    <row r="92" spans="1:6" x14ac:dyDescent="0.2">
      <c r="A92" s="9" t="s">
        <v>1204</v>
      </c>
      <c r="C92" s="40">
        <v>2950.6442000000002</v>
      </c>
      <c r="D92" s="40">
        <v>3253.5129999999999</v>
      </c>
    </row>
    <row r="93" spans="1:6" x14ac:dyDescent="0.2">
      <c r="A93" s="9" t="s">
        <v>842</v>
      </c>
      <c r="C93" s="40">
        <v>3778.4472000000001</v>
      </c>
      <c r="D93" s="40">
        <v>4182.6857</v>
      </c>
    </row>
    <row r="94" spans="1:6" x14ac:dyDescent="0.2">
      <c r="A94" s="9" t="s">
        <v>1267</v>
      </c>
      <c r="C94" s="40">
        <v>906.72090000000003</v>
      </c>
      <c r="D94" s="40">
        <v>1003.7267000000001</v>
      </c>
    </row>
    <row r="95" spans="1:6" x14ac:dyDescent="0.2">
      <c r="A95" s="9" t="s">
        <v>844</v>
      </c>
      <c r="C95" s="40">
        <v>1071.5065</v>
      </c>
      <c r="D95" s="40">
        <v>1186.1420000000001</v>
      </c>
    </row>
    <row r="96" spans="1:6" x14ac:dyDescent="0.2">
      <c r="A96" s="9" t="s">
        <v>845</v>
      </c>
      <c r="C96" s="40">
        <v>1116.2113999999999</v>
      </c>
      <c r="D96" s="40">
        <v>1235.6297</v>
      </c>
    </row>
    <row r="98" spans="1:7" x14ac:dyDescent="0.2">
      <c r="A98" s="18" t="s">
        <v>53</v>
      </c>
      <c r="D98" s="41" t="s">
        <v>54</v>
      </c>
    </row>
    <row r="100" spans="1:7" x14ac:dyDescent="0.2">
      <c r="A100" s="18" t="s">
        <v>793</v>
      </c>
      <c r="D100" s="42">
        <v>2.5266833187945199</v>
      </c>
      <c r="E100" s="13" t="s">
        <v>55</v>
      </c>
    </row>
    <row r="102" spans="1:7" x14ac:dyDescent="0.2">
      <c r="A102" s="18" t="s">
        <v>1477</v>
      </c>
      <c r="D102" s="41" t="s">
        <v>54</v>
      </c>
    </row>
    <row r="103" spans="1:7" x14ac:dyDescent="0.2">
      <c r="A103" s="9" t="s">
        <v>1103</v>
      </c>
    </row>
    <row r="104" spans="1:7" x14ac:dyDescent="0.2">
      <c r="A104" s="50" t="s">
        <v>1104</v>
      </c>
    </row>
    <row r="106" spans="1:7" ht="26.25" customHeight="1" x14ac:dyDescent="0.2">
      <c r="A106" s="79" t="s">
        <v>1268</v>
      </c>
      <c r="B106" s="79"/>
      <c r="C106" s="79"/>
      <c r="D106" s="79"/>
      <c r="E106" s="79"/>
      <c r="F106" s="79"/>
      <c r="G106" s="79"/>
    </row>
    <row r="108" spans="1:7" x14ac:dyDescent="0.2">
      <c r="A108" s="18" t="s">
        <v>1269</v>
      </c>
    </row>
    <row r="109" spans="1:7" x14ac:dyDescent="0.2">
      <c r="A109" s="56" t="s">
        <v>963</v>
      </c>
    </row>
    <row r="111" spans="1:7" ht="60.75" customHeight="1" x14ac:dyDescent="0.2">
      <c r="A111" s="84" t="s">
        <v>1270</v>
      </c>
      <c r="B111" s="84"/>
      <c r="C111" s="84"/>
      <c r="D111" s="84"/>
      <c r="E111" s="84"/>
      <c r="F111" s="84"/>
      <c r="G111" s="84"/>
    </row>
    <row r="113" spans="1:9" ht="40.049999999999997" customHeight="1" x14ac:dyDescent="0.2">
      <c r="A113" s="80" t="s">
        <v>1271</v>
      </c>
      <c r="B113" s="80"/>
      <c r="C113" s="80"/>
      <c r="D113" s="80"/>
      <c r="E113" s="80"/>
      <c r="F113" s="80"/>
      <c r="G113" s="80"/>
    </row>
    <row r="114" spans="1:9" x14ac:dyDescent="0.2">
      <c r="A114" s="56" t="s">
        <v>1108</v>
      </c>
      <c r="B114" s="58"/>
      <c r="C114" s="58"/>
      <c r="D114" s="58"/>
      <c r="E114" s="58"/>
      <c r="F114" s="58"/>
      <c r="G114" s="58"/>
    </row>
    <row r="116" spans="1:9" ht="32.25" customHeight="1" x14ac:dyDescent="0.2">
      <c r="A116" s="81" t="s">
        <v>1272</v>
      </c>
      <c r="B116" s="81"/>
      <c r="C116" s="81"/>
      <c r="D116" s="81"/>
      <c r="E116" s="81"/>
      <c r="F116" s="81"/>
      <c r="G116" s="81"/>
    </row>
    <row r="117" spans="1:9" ht="14.4" x14ac:dyDescent="0.2">
      <c r="A117" s="70" t="s">
        <v>1273</v>
      </c>
      <c r="B117" s="71"/>
      <c r="C117" s="71"/>
      <c r="D117" s="71"/>
      <c r="E117" s="71"/>
      <c r="F117" s="71"/>
      <c r="G117" s="71"/>
    </row>
    <row r="118" spans="1:9" x14ac:dyDescent="0.2">
      <c r="A118" s="50" t="s">
        <v>56</v>
      </c>
    </row>
    <row r="120" spans="1:9" s="1" customFormat="1" ht="13.8" x14ac:dyDescent="0.2">
      <c r="A120" s="72" t="s">
        <v>1274</v>
      </c>
      <c r="B120" s="73"/>
      <c r="C120" s="73"/>
      <c r="D120" s="73"/>
      <c r="E120" s="73"/>
      <c r="F120" s="73"/>
      <c r="G120" s="73"/>
    </row>
    <row r="121" spans="1:9" x14ac:dyDescent="0.2">
      <c r="A121" s="18" t="s">
        <v>7</v>
      </c>
    </row>
    <row r="122" spans="1:9" s="1" customFormat="1" ht="17.55" customHeight="1" x14ac:dyDescent="0.2">
      <c r="A122" s="8" t="s">
        <v>2</v>
      </c>
      <c r="B122" s="8" t="s">
        <v>0</v>
      </c>
      <c r="C122" s="17" t="s">
        <v>735</v>
      </c>
      <c r="D122" s="16" t="s">
        <v>1</v>
      </c>
      <c r="E122" s="15" t="s">
        <v>3</v>
      </c>
      <c r="F122" s="15" t="s">
        <v>4</v>
      </c>
      <c r="G122" s="15" t="s">
        <v>6</v>
      </c>
    </row>
    <row r="123" spans="1:9" x14ac:dyDescent="0.2">
      <c r="A123" s="21" t="s">
        <v>31</v>
      </c>
      <c r="B123" s="22"/>
      <c r="C123" s="22"/>
      <c r="D123" s="23"/>
      <c r="E123" s="24"/>
      <c r="F123" s="25"/>
      <c r="G123" s="24"/>
    </row>
    <row r="124" spans="1:9" x14ac:dyDescent="0.2">
      <c r="A124" s="26" t="s">
        <v>32</v>
      </c>
      <c r="B124" s="27"/>
      <c r="C124" s="27"/>
      <c r="D124" s="28"/>
      <c r="E124" s="29"/>
      <c r="F124" s="30"/>
      <c r="G124" s="29"/>
    </row>
    <row r="125" spans="1:9" x14ac:dyDescent="0.2">
      <c r="A125" s="27" t="s">
        <v>1112</v>
      </c>
      <c r="B125" s="27" t="s">
        <v>1113</v>
      </c>
      <c r="C125" s="27" t="s">
        <v>1114</v>
      </c>
      <c r="D125" s="31">
        <v>5230</v>
      </c>
      <c r="E125" s="29">
        <v>0</v>
      </c>
      <c r="F125" s="30">
        <v>100</v>
      </c>
      <c r="G125" s="29">
        <v>0</v>
      </c>
    </row>
    <row r="126" spans="1:9" x14ac:dyDescent="0.2">
      <c r="A126" s="26" t="s">
        <v>40</v>
      </c>
      <c r="B126" s="26"/>
      <c r="C126" s="26"/>
      <c r="D126" s="32"/>
      <c r="E126" s="33">
        <f>SUM(E124:E125)</f>
        <v>0</v>
      </c>
      <c r="F126" s="34">
        <f>SUM(F124:F125)</f>
        <v>100</v>
      </c>
      <c r="G126" s="33"/>
      <c r="H126" s="18"/>
      <c r="I126" s="18"/>
    </row>
    <row r="127" spans="1:9" x14ac:dyDescent="0.2">
      <c r="A127" s="27"/>
      <c r="B127" s="27"/>
      <c r="C127" s="27"/>
      <c r="D127" s="28"/>
      <c r="E127" s="29"/>
      <c r="F127" s="30"/>
      <c r="G127" s="29"/>
    </row>
    <row r="128" spans="1:9" x14ac:dyDescent="0.2">
      <c r="A128" s="26" t="s">
        <v>44</v>
      </c>
      <c r="B128" s="26"/>
      <c r="C128" s="26"/>
      <c r="D128" s="32"/>
      <c r="E128" s="33">
        <f>E126</f>
        <v>0</v>
      </c>
      <c r="F128" s="34">
        <f>F126</f>
        <v>100</v>
      </c>
      <c r="G128" s="33"/>
      <c r="H128" s="18"/>
      <c r="I128" s="18"/>
    </row>
    <row r="129" spans="1:9" x14ac:dyDescent="0.2">
      <c r="A129" s="26"/>
      <c r="B129" s="26"/>
      <c r="C129" s="26"/>
      <c r="D129" s="32"/>
      <c r="E129" s="33"/>
      <c r="F129" s="34"/>
      <c r="G129" s="33"/>
      <c r="H129" s="18"/>
      <c r="I129" s="18"/>
    </row>
    <row r="130" spans="1:9" x14ac:dyDescent="0.2">
      <c r="A130" s="26" t="s">
        <v>46</v>
      </c>
      <c r="B130" s="26"/>
      <c r="C130" s="26"/>
      <c r="D130" s="32"/>
      <c r="E130" s="33">
        <f>E132-(E126)</f>
        <v>8.9999999999999996E-7</v>
      </c>
      <c r="F130" s="34">
        <v>0</v>
      </c>
      <c r="G130" s="33"/>
      <c r="H130" s="18"/>
      <c r="I130" s="18"/>
    </row>
    <row r="131" spans="1:9" x14ac:dyDescent="0.2">
      <c r="A131" s="26"/>
      <c r="B131" s="26"/>
      <c r="C131" s="26"/>
      <c r="D131" s="32"/>
      <c r="E131" s="33"/>
      <c r="F131" s="34"/>
      <c r="G131" s="33"/>
      <c r="H131" s="18"/>
      <c r="I131" s="18"/>
    </row>
    <row r="132" spans="1:9" x14ac:dyDescent="0.2">
      <c r="A132" s="35" t="s">
        <v>45</v>
      </c>
      <c r="B132" s="35"/>
      <c r="C132" s="35"/>
      <c r="D132" s="36"/>
      <c r="E132" s="37">
        <v>8.9999999999999996E-7</v>
      </c>
      <c r="F132" s="38">
        <v>100</v>
      </c>
      <c r="G132" s="37"/>
      <c r="H132" s="18"/>
      <c r="I132" s="18"/>
    </row>
    <row r="134" spans="1:9" x14ac:dyDescent="0.2">
      <c r="A134" s="18" t="s">
        <v>47</v>
      </c>
    </row>
    <row r="135" spans="1:9" x14ac:dyDescent="0.2">
      <c r="A135" s="47" t="s">
        <v>1102</v>
      </c>
    </row>
    <row r="136" spans="1:9" x14ac:dyDescent="0.2">
      <c r="A136" s="18" t="s">
        <v>1115</v>
      </c>
    </row>
    <row r="138" spans="1:9" x14ac:dyDescent="0.2">
      <c r="A138" s="18" t="s">
        <v>48</v>
      </c>
    </row>
    <row r="139" spans="1:9" x14ac:dyDescent="0.2">
      <c r="A139" s="18" t="s">
        <v>49</v>
      </c>
    </row>
    <row r="140" spans="1:9" x14ac:dyDescent="0.2">
      <c r="A140" s="18" t="s">
        <v>50</v>
      </c>
      <c r="B140" s="18"/>
      <c r="C140" s="39" t="s">
        <v>52</v>
      </c>
      <c r="D140" s="19" t="s">
        <v>51</v>
      </c>
    </row>
    <row r="141" spans="1:9" x14ac:dyDescent="0.2">
      <c r="A141" s="9" t="s">
        <v>838</v>
      </c>
      <c r="C141" s="40">
        <v>0</v>
      </c>
      <c r="D141" s="40">
        <v>0</v>
      </c>
    </row>
    <row r="142" spans="1:9" x14ac:dyDescent="0.2">
      <c r="A142" s="9" t="s">
        <v>1203</v>
      </c>
      <c r="C142" s="40">
        <v>0</v>
      </c>
      <c r="D142" s="40">
        <v>0</v>
      </c>
    </row>
    <row r="143" spans="1:9" x14ac:dyDescent="0.2">
      <c r="A143" s="9" t="s">
        <v>840</v>
      </c>
      <c r="C143" s="40">
        <v>0</v>
      </c>
      <c r="D143" s="40">
        <v>0</v>
      </c>
    </row>
    <row r="144" spans="1:9" x14ac:dyDescent="0.2">
      <c r="A144" s="9" t="s">
        <v>841</v>
      </c>
      <c r="C144" s="40">
        <v>0</v>
      </c>
      <c r="D144" s="40">
        <v>0</v>
      </c>
    </row>
    <row r="145" spans="1:7" x14ac:dyDescent="0.2">
      <c r="A145" s="9" t="s">
        <v>1204</v>
      </c>
      <c r="C145" s="40">
        <v>0</v>
      </c>
      <c r="D145" s="40">
        <v>0</v>
      </c>
    </row>
    <row r="146" spans="1:7" x14ac:dyDescent="0.2">
      <c r="A146" s="9" t="s">
        <v>842</v>
      </c>
      <c r="C146" s="40">
        <v>0</v>
      </c>
      <c r="D146" s="40">
        <v>0</v>
      </c>
    </row>
    <row r="147" spans="1:7" x14ac:dyDescent="0.2">
      <c r="A147" s="9" t="s">
        <v>1267</v>
      </c>
      <c r="C147" s="40">
        <v>0</v>
      </c>
      <c r="D147" s="40">
        <v>0</v>
      </c>
    </row>
    <row r="148" spans="1:7" x14ac:dyDescent="0.2">
      <c r="A148" s="9" t="s">
        <v>844</v>
      </c>
      <c r="C148" s="40">
        <v>0</v>
      </c>
      <c r="D148" s="40">
        <v>0</v>
      </c>
    </row>
    <row r="149" spans="1:7" x14ac:dyDescent="0.2">
      <c r="A149" s="9" t="s">
        <v>845</v>
      </c>
      <c r="C149" s="40">
        <v>0</v>
      </c>
      <c r="D149" s="40">
        <v>0</v>
      </c>
    </row>
    <row r="151" spans="1:7" x14ac:dyDescent="0.2">
      <c r="A151" s="18" t="s">
        <v>1478</v>
      </c>
      <c r="D151" s="41" t="s">
        <v>54</v>
      </c>
    </row>
    <row r="152" spans="1:7" x14ac:dyDescent="0.2">
      <c r="A152" s="9" t="s">
        <v>1103</v>
      </c>
    </row>
    <row r="153" spans="1:7" x14ac:dyDescent="0.2">
      <c r="A153" s="50" t="s">
        <v>1104</v>
      </c>
    </row>
    <row r="155" spans="1:7" ht="14.4" x14ac:dyDescent="0.2">
      <c r="A155" s="70" t="s">
        <v>1116</v>
      </c>
      <c r="B155" s="71"/>
      <c r="C155" s="71"/>
      <c r="D155" s="71"/>
      <c r="E155" s="71"/>
      <c r="F155" s="71"/>
      <c r="G155" s="71"/>
    </row>
    <row r="156" spans="1:7" x14ac:dyDescent="0.2">
      <c r="A156" s="50" t="s">
        <v>56</v>
      </c>
    </row>
    <row r="158" spans="1:7" s="1" customFormat="1" ht="13.8" x14ac:dyDescent="0.2">
      <c r="A158" s="72" t="s">
        <v>1275</v>
      </c>
      <c r="B158" s="73"/>
      <c r="C158" s="73"/>
      <c r="D158" s="73"/>
      <c r="E158" s="73"/>
      <c r="F158" s="73"/>
      <c r="G158" s="73"/>
    </row>
    <row r="159" spans="1:7" x14ac:dyDescent="0.2">
      <c r="A159" s="18" t="s">
        <v>7</v>
      </c>
    </row>
    <row r="160" spans="1:7" s="1" customFormat="1" ht="17.55" customHeight="1" x14ac:dyDescent="0.2">
      <c r="A160" s="8" t="s">
        <v>2</v>
      </c>
      <c r="B160" s="8" t="s">
        <v>0</v>
      </c>
      <c r="C160" s="17" t="s">
        <v>735</v>
      </c>
      <c r="D160" s="16" t="s">
        <v>1</v>
      </c>
      <c r="E160" s="15" t="s">
        <v>3</v>
      </c>
      <c r="F160" s="15" t="s">
        <v>4</v>
      </c>
      <c r="G160" s="15" t="s">
        <v>6</v>
      </c>
    </row>
    <row r="161" spans="1:9" x14ac:dyDescent="0.2">
      <c r="A161" s="21" t="s">
        <v>31</v>
      </c>
      <c r="B161" s="22"/>
      <c r="C161" s="22"/>
      <c r="D161" s="23"/>
      <c r="E161" s="24"/>
      <c r="F161" s="25"/>
      <c r="G161" s="24"/>
    </row>
    <row r="162" spans="1:9" x14ac:dyDescent="0.2">
      <c r="A162" s="26" t="s">
        <v>32</v>
      </c>
      <c r="B162" s="27"/>
      <c r="C162" s="27"/>
      <c r="D162" s="28"/>
      <c r="E162" s="29"/>
      <c r="F162" s="30"/>
      <c r="G162" s="29"/>
    </row>
    <row r="163" spans="1:9" ht="20.399999999999999" x14ac:dyDescent="0.2">
      <c r="A163" s="27" t="s">
        <v>1118</v>
      </c>
      <c r="B163" s="27" t="s">
        <v>1119</v>
      </c>
      <c r="C163" s="51" t="s">
        <v>1120</v>
      </c>
      <c r="D163" s="31">
        <v>3523</v>
      </c>
      <c r="E163" s="29">
        <v>0</v>
      </c>
      <c r="F163" s="30">
        <v>100</v>
      </c>
      <c r="G163" s="29">
        <v>0</v>
      </c>
    </row>
    <row r="164" spans="1:9" x14ac:dyDescent="0.2">
      <c r="A164" s="26" t="s">
        <v>40</v>
      </c>
      <c r="B164" s="26"/>
      <c r="C164" s="26"/>
      <c r="D164" s="32"/>
      <c r="E164" s="33">
        <f>SUM(E162:E163)</f>
        <v>0</v>
      </c>
      <c r="F164" s="34">
        <f>SUM(F162:F163)</f>
        <v>100</v>
      </c>
      <c r="G164" s="33"/>
      <c r="H164" s="18"/>
      <c r="I164" s="18"/>
    </row>
    <row r="165" spans="1:9" x14ac:dyDescent="0.2">
      <c r="A165" s="27"/>
      <c r="B165" s="27"/>
      <c r="C165" s="27"/>
      <c r="D165" s="28"/>
      <c r="E165" s="29"/>
      <c r="F165" s="30"/>
      <c r="G165" s="29"/>
    </row>
    <row r="166" spans="1:9" x14ac:dyDescent="0.2">
      <c r="A166" s="26" t="s">
        <v>44</v>
      </c>
      <c r="B166" s="26"/>
      <c r="C166" s="26"/>
      <c r="D166" s="32"/>
      <c r="E166" s="33">
        <f>E164</f>
        <v>0</v>
      </c>
      <c r="F166" s="34">
        <f>F164</f>
        <v>100</v>
      </c>
      <c r="G166" s="33"/>
      <c r="H166" s="18"/>
      <c r="I166" s="18"/>
    </row>
    <row r="167" spans="1:9" x14ac:dyDescent="0.2">
      <c r="A167" s="26"/>
      <c r="B167" s="26"/>
      <c r="C167" s="26"/>
      <c r="D167" s="32"/>
      <c r="E167" s="33"/>
      <c r="F167" s="34"/>
      <c r="G167" s="33"/>
      <c r="H167" s="18"/>
      <c r="I167" s="18"/>
    </row>
    <row r="168" spans="1:9" x14ac:dyDescent="0.2">
      <c r="A168" s="26" t="s">
        <v>46</v>
      </c>
      <c r="B168" s="26"/>
      <c r="C168" s="26"/>
      <c r="D168" s="32"/>
      <c r="E168" s="33">
        <f>E170-(E164)</f>
        <v>8.9999999999999996E-7</v>
      </c>
      <c r="F168" s="34">
        <v>0</v>
      </c>
      <c r="G168" s="33"/>
      <c r="H168" s="18"/>
      <c r="I168" s="18"/>
    </row>
    <row r="169" spans="1:9" x14ac:dyDescent="0.2">
      <c r="A169" s="26"/>
      <c r="B169" s="26"/>
      <c r="C169" s="26"/>
      <c r="D169" s="32"/>
      <c r="E169" s="33"/>
      <c r="F169" s="34"/>
      <c r="G169" s="33"/>
      <c r="H169" s="18"/>
      <c r="I169" s="18"/>
    </row>
    <row r="170" spans="1:9" x14ac:dyDescent="0.2">
      <c r="A170" s="35" t="s">
        <v>45</v>
      </c>
      <c r="B170" s="35"/>
      <c r="C170" s="35"/>
      <c r="D170" s="36"/>
      <c r="E170" s="37">
        <v>8.9999999999999996E-7</v>
      </c>
      <c r="F170" s="38">
        <v>100</v>
      </c>
      <c r="G170" s="37"/>
      <c r="H170" s="18"/>
      <c r="I170" s="18"/>
    </row>
    <row r="172" spans="1:9" x14ac:dyDescent="0.2">
      <c r="A172" s="18" t="s">
        <v>47</v>
      </c>
    </row>
    <row r="173" spans="1:9" s="13" customFormat="1" x14ac:dyDescent="0.2">
      <c r="A173" s="18" t="s">
        <v>1102</v>
      </c>
      <c r="B173" s="9"/>
      <c r="C173" s="9"/>
      <c r="D173" s="10"/>
      <c r="F173" s="14"/>
      <c r="H173" s="9"/>
      <c r="I173" s="9"/>
    </row>
    <row r="175" spans="1:9" s="13" customFormat="1" x14ac:dyDescent="0.2">
      <c r="A175" s="18" t="s">
        <v>48</v>
      </c>
      <c r="B175" s="9"/>
      <c r="C175" s="9"/>
      <c r="D175" s="10"/>
      <c r="F175" s="14"/>
      <c r="H175" s="9"/>
      <c r="I175" s="9"/>
    </row>
    <row r="176" spans="1:9" s="13" customFormat="1" x14ac:dyDescent="0.2">
      <c r="A176" s="18" t="s">
        <v>49</v>
      </c>
      <c r="B176" s="9"/>
      <c r="C176" s="9"/>
      <c r="D176" s="10"/>
      <c r="F176" s="14"/>
      <c r="H176" s="9"/>
      <c r="I176" s="9"/>
    </row>
    <row r="177" spans="1:9" s="13" customFormat="1" x14ac:dyDescent="0.2">
      <c r="A177" s="18" t="s">
        <v>50</v>
      </c>
      <c r="B177" s="18"/>
      <c r="C177" s="39" t="s">
        <v>52</v>
      </c>
      <c r="D177" s="19" t="s">
        <v>51</v>
      </c>
      <c r="F177" s="14"/>
      <c r="H177" s="9"/>
      <c r="I177" s="9"/>
    </row>
    <row r="178" spans="1:9" s="13" customFormat="1" x14ac:dyDescent="0.2">
      <c r="A178" s="9" t="s">
        <v>838</v>
      </c>
      <c r="B178" s="9"/>
      <c r="C178" s="40">
        <v>0</v>
      </c>
      <c r="D178" s="40">
        <v>0</v>
      </c>
      <c r="F178" s="14"/>
      <c r="H178" s="9"/>
      <c r="I178" s="9"/>
    </row>
    <row r="179" spans="1:9" s="13" customFormat="1" x14ac:dyDescent="0.2">
      <c r="A179" s="9" t="s">
        <v>1203</v>
      </c>
      <c r="B179" s="9"/>
      <c r="C179" s="40">
        <v>0</v>
      </c>
      <c r="D179" s="40">
        <v>0</v>
      </c>
      <c r="F179" s="14"/>
      <c r="H179" s="9"/>
      <c r="I179" s="9"/>
    </row>
    <row r="180" spans="1:9" s="13" customFormat="1" x14ac:dyDescent="0.2">
      <c r="A180" s="9" t="s">
        <v>840</v>
      </c>
      <c r="B180" s="9"/>
      <c r="C180" s="40">
        <v>0</v>
      </c>
      <c r="D180" s="40">
        <v>0</v>
      </c>
      <c r="F180" s="14"/>
      <c r="H180" s="9"/>
      <c r="I180" s="9"/>
    </row>
    <row r="181" spans="1:9" s="13" customFormat="1" x14ac:dyDescent="0.2">
      <c r="A181" s="9" t="s">
        <v>841</v>
      </c>
      <c r="B181" s="9"/>
      <c r="C181" s="40">
        <v>0</v>
      </c>
      <c r="D181" s="40">
        <v>0</v>
      </c>
      <c r="F181" s="14"/>
      <c r="H181" s="9"/>
      <c r="I181" s="9"/>
    </row>
    <row r="182" spans="1:9" s="13" customFormat="1" x14ac:dyDescent="0.2">
      <c r="A182" s="9" t="s">
        <v>1204</v>
      </c>
      <c r="B182" s="9"/>
      <c r="C182" s="40">
        <v>0</v>
      </c>
      <c r="D182" s="40">
        <v>0</v>
      </c>
      <c r="F182" s="14"/>
      <c r="H182" s="9"/>
      <c r="I182" s="9"/>
    </row>
    <row r="183" spans="1:9" s="13" customFormat="1" x14ac:dyDescent="0.2">
      <c r="A183" s="9" t="s">
        <v>842</v>
      </c>
      <c r="B183" s="9"/>
      <c r="C183" s="40">
        <v>0</v>
      </c>
      <c r="D183" s="40">
        <v>0</v>
      </c>
      <c r="F183" s="14"/>
      <c r="H183" s="9"/>
      <c r="I183" s="9"/>
    </row>
    <row r="184" spans="1:9" s="13" customFormat="1" x14ac:dyDescent="0.2">
      <c r="A184" s="9" t="s">
        <v>1267</v>
      </c>
      <c r="B184" s="9"/>
      <c r="C184" s="40">
        <v>0</v>
      </c>
      <c r="D184" s="40">
        <v>0</v>
      </c>
      <c r="F184" s="14"/>
      <c r="H184" s="9"/>
      <c r="I184" s="9"/>
    </row>
    <row r="185" spans="1:9" s="13" customFormat="1" x14ac:dyDescent="0.2">
      <c r="A185" s="9" t="s">
        <v>844</v>
      </c>
      <c r="B185" s="9"/>
      <c r="C185" s="40">
        <v>0</v>
      </c>
      <c r="D185" s="40">
        <v>0</v>
      </c>
      <c r="F185" s="14"/>
      <c r="H185" s="9"/>
      <c r="I185" s="9"/>
    </row>
    <row r="186" spans="1:9" s="13" customFormat="1" x14ac:dyDescent="0.2">
      <c r="A186" s="9" t="s">
        <v>845</v>
      </c>
      <c r="B186" s="9"/>
      <c r="C186" s="40">
        <v>0</v>
      </c>
      <c r="D186" s="40">
        <v>0</v>
      </c>
      <c r="F186" s="14"/>
      <c r="H186" s="9"/>
      <c r="I186" s="9"/>
    </row>
    <row r="188" spans="1:9" s="13" customFormat="1" x14ac:dyDescent="0.2">
      <c r="A188" s="18" t="s">
        <v>1478</v>
      </c>
      <c r="B188" s="9"/>
      <c r="C188" s="9"/>
      <c r="D188" s="41" t="s">
        <v>54</v>
      </c>
      <c r="F188" s="14"/>
      <c r="H188" s="9"/>
      <c r="I188" s="9"/>
    </row>
    <row r="189" spans="1:9" x14ac:dyDescent="0.2">
      <c r="A189" s="9" t="s">
        <v>1103</v>
      </c>
    </row>
    <row r="190" spans="1:9" x14ac:dyDescent="0.2">
      <c r="A190" s="50" t="s">
        <v>1104</v>
      </c>
    </row>
    <row r="192" spans="1:9" ht="14.4" x14ac:dyDescent="0.2">
      <c r="A192" s="70" t="s">
        <v>1116</v>
      </c>
      <c r="B192" s="71"/>
      <c r="C192" s="71"/>
      <c r="D192" s="71"/>
      <c r="E192" s="71"/>
      <c r="F192" s="71"/>
      <c r="G192" s="71"/>
    </row>
    <row r="193" spans="1:1" x14ac:dyDescent="0.2">
      <c r="A193" s="50" t="s">
        <v>56</v>
      </c>
    </row>
    <row r="195" spans="1:1" x14ac:dyDescent="0.2">
      <c r="A195" s="50"/>
    </row>
  </sheetData>
  <mergeCells count="10">
    <mergeCell ref="A120:G120"/>
    <mergeCell ref="A155:G155"/>
    <mergeCell ref="A158:G158"/>
    <mergeCell ref="A192:G192"/>
    <mergeCell ref="A1:G1"/>
    <mergeCell ref="A106:G106"/>
    <mergeCell ref="A111:G111"/>
    <mergeCell ref="A113:G113"/>
    <mergeCell ref="A116:G116"/>
    <mergeCell ref="A117:G117"/>
  </mergeCells>
  <conditionalFormatting sqref="F2:F3 F5:F49 F123:F124 F161:F162 F52:F65 F74:F105 F119 F121 F133:F154 F157 F159 F171:F191 F196:F65547">
    <cfRule type="cellIs" dxfId="136" priority="12" stopIfTrue="1" operator="between">
      <formula>0.009</formula>
      <formula>-0.009</formula>
    </cfRule>
  </conditionalFormatting>
  <conditionalFormatting sqref="F118">
    <cfRule type="cellIs" dxfId="135" priority="9" stopIfTrue="1" operator="between">
      <formula>0.009</formula>
      <formula>-0.009</formula>
    </cfRule>
  </conditionalFormatting>
  <conditionalFormatting sqref="F107:F110 F112 F115">
    <cfRule type="cellIs" dxfId="134" priority="11" stopIfTrue="1" operator="between">
      <formula>0.009</formula>
      <formula>-0.009</formula>
    </cfRule>
  </conditionalFormatting>
  <conditionalFormatting sqref="F127:F129 F131:F132">
    <cfRule type="cellIs" dxfId="133" priority="8" stopIfTrue="1" operator="between">
      <formula>0.009</formula>
      <formula>-0.009</formula>
    </cfRule>
  </conditionalFormatting>
  <conditionalFormatting sqref="F125:F126">
    <cfRule type="cellIs" dxfId="132" priority="7" stopIfTrue="1" operator="between">
      <formula>0.009</formula>
      <formula>-0.009</formula>
    </cfRule>
  </conditionalFormatting>
  <conditionalFormatting sqref="F156">
    <cfRule type="cellIs" dxfId="131" priority="5" stopIfTrue="1" operator="between">
      <formula>0.009</formula>
      <formula>-0.009</formula>
    </cfRule>
  </conditionalFormatting>
  <conditionalFormatting sqref="F165:F167 F169:F170">
    <cfRule type="cellIs" dxfId="130" priority="4" stopIfTrue="1" operator="between">
      <formula>0.009</formula>
      <formula>-0.009</formula>
    </cfRule>
  </conditionalFormatting>
  <conditionalFormatting sqref="F163:F164">
    <cfRule type="cellIs" dxfId="129" priority="3" stopIfTrue="1" operator="between">
      <formula>0.009</formula>
      <formula>-0.009</formula>
    </cfRule>
  </conditionalFormatting>
  <conditionalFormatting sqref="F194:F195">
    <cfRule type="cellIs" dxfId="128" priority="2" stopIfTrue="1" operator="between">
      <formula>0.009</formula>
      <formula>-0.009</formula>
    </cfRule>
  </conditionalFormatting>
  <conditionalFormatting sqref="F193">
    <cfRule type="cellIs" dxfId="127" priority="1" stopIfTrue="1" operator="between">
      <formula>0.009</formula>
      <formula>-0.009</formula>
    </cfRule>
  </conditionalFormatting>
  <hyperlinks>
    <hyperlink ref="A104" r:id="rId1" xr:uid="{00000000-0004-0000-0A00-000000000000}"/>
    <hyperlink ref="A109" r:id="rId2" xr:uid="{00000000-0004-0000-0A00-000001000000}"/>
    <hyperlink ref="A114" r:id="rId3" xr:uid="{00000000-0004-0000-0A00-000002000000}"/>
    <hyperlink ref="A118" r:id="rId4" xr:uid="{00000000-0004-0000-0A00-000003000000}"/>
    <hyperlink ref="A153" r:id="rId5" xr:uid="{00000000-0004-0000-0A00-000004000000}"/>
    <hyperlink ref="A156" r:id="rId6" xr:uid="{00000000-0004-0000-0A00-000005000000}"/>
    <hyperlink ref="A190" r:id="rId7" xr:uid="{00000000-0004-0000-0A00-000006000000}"/>
    <hyperlink ref="A193" r:id="rId8" xr:uid="{00000000-0004-0000-0A00-000007000000}"/>
  </hyperlinks>
  <pageMargins left="0.7" right="0.7" top="0.75" bottom="0.75" header="0.3" footer="0.3"/>
  <pageSetup paperSize="9" orientation="portrait" r:id="rId9"/>
  <headerFooter>
    <oddFooter>&amp;R&amp;1#&amp;"Calibri"&amp;10&amp;KFF0000|PUBLIC|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1"/>
  <sheetViews>
    <sheetView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5546875" style="9" bestFit="1" customWidth="1"/>
    <col min="4" max="4" width="15.21875" style="10" bestFit="1" customWidth="1"/>
    <col min="5" max="5" width="23" style="13" bestFit="1" customWidth="1"/>
    <col min="6" max="6" width="14.77734375" style="14" bestFit="1" customWidth="1"/>
    <col min="7" max="7" width="14.21875" style="13" customWidth="1"/>
    <col min="8" max="16384" width="9.21875" style="9"/>
  </cols>
  <sheetData>
    <row r="1" spans="1:7" s="1" customFormat="1" ht="13.8" x14ac:dyDescent="0.2">
      <c r="A1" s="72" t="s">
        <v>1276</v>
      </c>
      <c r="B1" s="73"/>
      <c r="C1" s="73"/>
      <c r="D1" s="73"/>
      <c r="E1" s="73"/>
      <c r="F1" s="73"/>
      <c r="G1" s="73"/>
    </row>
    <row r="2" spans="1:7" s="1" customFormat="1" ht="12" x14ac:dyDescent="0.25">
      <c r="A2" s="57" t="s">
        <v>1026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1035</v>
      </c>
      <c r="B7" s="27" t="s">
        <v>1036</v>
      </c>
      <c r="C7" s="27" t="s">
        <v>1037</v>
      </c>
      <c r="D7" s="31">
        <v>2797</v>
      </c>
      <c r="E7" s="29">
        <v>25038.184600000001</v>
      </c>
      <c r="F7" s="30">
        <v>14.2589801314681</v>
      </c>
      <c r="G7" s="29">
        <v>12.095800000000001</v>
      </c>
    </row>
    <row r="8" spans="1:7" x14ac:dyDescent="0.2">
      <c r="A8" s="27" t="s">
        <v>875</v>
      </c>
      <c r="B8" s="27" t="s">
        <v>876</v>
      </c>
      <c r="C8" s="27" t="s">
        <v>877</v>
      </c>
      <c r="D8" s="31">
        <v>1910</v>
      </c>
      <c r="E8" s="29">
        <v>20952.317999999999</v>
      </c>
      <c r="F8" s="30">
        <v>11.9321225098006</v>
      </c>
      <c r="G8" s="29">
        <v>8.1050000000000004</v>
      </c>
    </row>
    <row r="9" spans="1:7" x14ac:dyDescent="0.2">
      <c r="A9" s="27" t="s">
        <v>1138</v>
      </c>
      <c r="B9" s="27" t="s">
        <v>1139</v>
      </c>
      <c r="C9" s="27" t="s">
        <v>919</v>
      </c>
      <c r="D9" s="31">
        <v>1550</v>
      </c>
      <c r="E9" s="29">
        <v>15718.611999999999</v>
      </c>
      <c r="F9" s="30">
        <v>8.9515825441376702</v>
      </c>
      <c r="G9" s="29">
        <v>9.4</v>
      </c>
    </row>
    <row r="10" spans="1:7" x14ac:dyDescent="0.2">
      <c r="A10" s="27" t="s">
        <v>1277</v>
      </c>
      <c r="B10" s="27" t="s">
        <v>1278</v>
      </c>
      <c r="C10" s="27" t="s">
        <v>1032</v>
      </c>
      <c r="D10" s="31">
        <v>12100</v>
      </c>
      <c r="E10" s="29">
        <v>12105.493399999999</v>
      </c>
      <c r="F10" s="30">
        <v>6.8939498861358599</v>
      </c>
      <c r="G10" s="29">
        <v>10.0503</v>
      </c>
    </row>
    <row r="11" spans="1:7" x14ac:dyDescent="0.2">
      <c r="A11" s="27" t="s">
        <v>1279</v>
      </c>
      <c r="B11" s="27" t="s">
        <v>1280</v>
      </c>
      <c r="C11" s="27" t="s">
        <v>1029</v>
      </c>
      <c r="D11" s="31">
        <v>5858</v>
      </c>
      <c r="E11" s="29">
        <v>11317.46854</v>
      </c>
      <c r="F11" s="30">
        <v>6.4451781001077704</v>
      </c>
      <c r="G11" s="29">
        <v>11.479799999999999</v>
      </c>
    </row>
    <row r="12" spans="1:7" x14ac:dyDescent="0.2">
      <c r="A12" s="27" t="s">
        <v>1044</v>
      </c>
      <c r="B12" s="27" t="s">
        <v>1045</v>
      </c>
      <c r="C12" s="27" t="s">
        <v>1046</v>
      </c>
      <c r="D12" s="31">
        <v>723</v>
      </c>
      <c r="E12" s="29">
        <v>10193.98911</v>
      </c>
      <c r="F12" s="30">
        <v>5.8053685002343398</v>
      </c>
      <c r="G12" s="29">
        <v>11.059900000000001</v>
      </c>
    </row>
    <row r="13" spans="1:7" x14ac:dyDescent="0.2">
      <c r="A13" s="27" t="s">
        <v>1281</v>
      </c>
      <c r="B13" s="27" t="s">
        <v>1282</v>
      </c>
      <c r="C13" s="27" t="s">
        <v>35</v>
      </c>
      <c r="D13" s="31">
        <v>1000</v>
      </c>
      <c r="E13" s="29">
        <v>10026.4</v>
      </c>
      <c r="F13" s="30">
        <v>5.7099282825062403</v>
      </c>
      <c r="G13" s="29">
        <v>10.063499999999999</v>
      </c>
    </row>
    <row r="14" spans="1:7" x14ac:dyDescent="0.2">
      <c r="A14" s="27" t="s">
        <v>1030</v>
      </c>
      <c r="B14" s="27" t="s">
        <v>1031</v>
      </c>
      <c r="C14" s="27" t="s">
        <v>1032</v>
      </c>
      <c r="D14" s="31">
        <v>780</v>
      </c>
      <c r="E14" s="29">
        <v>7766.2727999999997</v>
      </c>
      <c r="F14" s="30">
        <v>4.4228098530258997</v>
      </c>
      <c r="G14" s="29">
        <v>18.1313</v>
      </c>
    </row>
    <row r="15" spans="1:7" x14ac:dyDescent="0.2">
      <c r="A15" s="27" t="s">
        <v>1038</v>
      </c>
      <c r="B15" s="27" t="s">
        <v>1039</v>
      </c>
      <c r="C15" s="27" t="s">
        <v>1032</v>
      </c>
      <c r="D15" s="31">
        <v>650</v>
      </c>
      <c r="E15" s="29">
        <v>6507.5074999999997</v>
      </c>
      <c r="F15" s="30">
        <v>3.70595638742435</v>
      </c>
      <c r="G15" s="29">
        <v>8.5748999999999995</v>
      </c>
    </row>
    <row r="16" spans="1:7" x14ac:dyDescent="0.2">
      <c r="A16" s="27" t="s">
        <v>1237</v>
      </c>
      <c r="B16" s="27" t="s">
        <v>1238</v>
      </c>
      <c r="C16" s="27" t="s">
        <v>1029</v>
      </c>
      <c r="D16" s="31">
        <v>646</v>
      </c>
      <c r="E16" s="29">
        <v>6417.3316999999997</v>
      </c>
      <c r="F16" s="30">
        <v>3.6546022273252401</v>
      </c>
      <c r="G16" s="29">
        <v>10.692299999999999</v>
      </c>
    </row>
    <row r="17" spans="1:9" x14ac:dyDescent="0.2">
      <c r="A17" s="27" t="s">
        <v>917</v>
      </c>
      <c r="B17" s="27" t="s">
        <v>918</v>
      </c>
      <c r="C17" s="27" t="s">
        <v>919</v>
      </c>
      <c r="D17" s="31">
        <v>620</v>
      </c>
      <c r="E17" s="29">
        <v>6342.9657999999999</v>
      </c>
      <c r="F17" s="30">
        <v>3.6122516373164602</v>
      </c>
      <c r="G17" s="29">
        <v>9.8186999999999998</v>
      </c>
    </row>
    <row r="18" spans="1:9" x14ac:dyDescent="0.2">
      <c r="A18" s="27" t="s">
        <v>1027</v>
      </c>
      <c r="B18" s="27" t="s">
        <v>1028</v>
      </c>
      <c r="C18" s="27" t="s">
        <v>1029</v>
      </c>
      <c r="D18" s="31">
        <v>501</v>
      </c>
      <c r="E18" s="29">
        <v>5087.9656199999999</v>
      </c>
      <c r="F18" s="30">
        <v>2.8975423675553902</v>
      </c>
      <c r="G18" s="29">
        <v>9.3452999999999999</v>
      </c>
    </row>
    <row r="19" spans="1:9" x14ac:dyDescent="0.2">
      <c r="A19" s="27" t="s">
        <v>1235</v>
      </c>
      <c r="B19" s="27" t="s">
        <v>1236</v>
      </c>
      <c r="C19" s="27" t="s">
        <v>1029</v>
      </c>
      <c r="D19" s="31">
        <v>350</v>
      </c>
      <c r="E19" s="29">
        <v>3525.3470000000002</v>
      </c>
      <c r="F19" s="30">
        <v>2.0076476642611998</v>
      </c>
      <c r="G19" s="29">
        <v>10.3553</v>
      </c>
    </row>
    <row r="20" spans="1:9" x14ac:dyDescent="0.2">
      <c r="A20" s="27" t="s">
        <v>1067</v>
      </c>
      <c r="B20" s="27" t="s">
        <v>1068</v>
      </c>
      <c r="C20" s="27" t="s">
        <v>1029</v>
      </c>
      <c r="D20" s="31">
        <v>240</v>
      </c>
      <c r="E20" s="29">
        <v>2421.3024</v>
      </c>
      <c r="F20" s="30">
        <v>1.37890599360291</v>
      </c>
      <c r="G20" s="29">
        <v>8.6254000000000008</v>
      </c>
    </row>
    <row r="21" spans="1:9" x14ac:dyDescent="0.2">
      <c r="A21" s="27" t="s">
        <v>1054</v>
      </c>
      <c r="B21" s="27" t="s">
        <v>1055</v>
      </c>
      <c r="C21" s="27" t="s">
        <v>38</v>
      </c>
      <c r="D21" s="31">
        <v>204</v>
      </c>
      <c r="E21" s="29">
        <v>2174.6828399999999</v>
      </c>
      <c r="F21" s="30">
        <v>1.23845877419582</v>
      </c>
      <c r="G21" s="29">
        <v>6.1093999999999999</v>
      </c>
    </row>
    <row r="22" spans="1:9" x14ac:dyDescent="0.2">
      <c r="A22" s="27" t="s">
        <v>1071</v>
      </c>
      <c r="B22" s="27" t="s">
        <v>1072</v>
      </c>
      <c r="C22" s="27" t="s">
        <v>35</v>
      </c>
      <c r="D22" s="31">
        <v>200</v>
      </c>
      <c r="E22" s="29">
        <v>2041.1320000000001</v>
      </c>
      <c r="F22" s="30">
        <v>1.1624029896202499</v>
      </c>
      <c r="G22" s="29">
        <v>9.0390999999999995</v>
      </c>
    </row>
    <row r="23" spans="1:9" x14ac:dyDescent="0.2">
      <c r="A23" s="27" t="s">
        <v>1040</v>
      </c>
      <c r="B23" s="27" t="s">
        <v>1041</v>
      </c>
      <c r="C23" s="27" t="s">
        <v>1037</v>
      </c>
      <c r="D23" s="31">
        <v>250</v>
      </c>
      <c r="E23" s="29">
        <v>1993.076</v>
      </c>
      <c r="F23" s="30">
        <v>1.13503560815292</v>
      </c>
      <c r="G23" s="29">
        <v>10.279400000000001</v>
      </c>
    </row>
    <row r="24" spans="1:9" x14ac:dyDescent="0.2">
      <c r="A24" s="27" t="s">
        <v>1283</v>
      </c>
      <c r="B24" s="27" t="s">
        <v>1284</v>
      </c>
      <c r="C24" s="27" t="s">
        <v>1285</v>
      </c>
      <c r="D24" s="31">
        <v>150</v>
      </c>
      <c r="E24" s="29">
        <v>1905.6465000000001</v>
      </c>
      <c r="F24" s="30">
        <v>1.08524543672794</v>
      </c>
      <c r="G24" s="29">
        <v>11.6509</v>
      </c>
    </row>
    <row r="25" spans="1:9" x14ac:dyDescent="0.2">
      <c r="A25" s="27" t="s">
        <v>1056</v>
      </c>
      <c r="B25" s="27" t="s">
        <v>1057</v>
      </c>
      <c r="C25" s="27" t="s">
        <v>1029</v>
      </c>
      <c r="D25" s="31">
        <v>150</v>
      </c>
      <c r="E25" s="29">
        <v>1516.614</v>
      </c>
      <c r="F25" s="30">
        <v>0.8636955609436</v>
      </c>
      <c r="G25" s="29">
        <v>9.1053999999999995</v>
      </c>
    </row>
    <row r="26" spans="1:9" x14ac:dyDescent="0.2">
      <c r="A26" s="27" t="s">
        <v>1286</v>
      </c>
      <c r="B26" s="27" t="s">
        <v>1287</v>
      </c>
      <c r="C26" s="27" t="s">
        <v>35</v>
      </c>
      <c r="D26" s="31">
        <v>150</v>
      </c>
      <c r="E26" s="29">
        <v>1466.9894999999999</v>
      </c>
      <c r="F26" s="30">
        <v>0.83543493538953995</v>
      </c>
      <c r="G26" s="29">
        <v>9.9357000000000006</v>
      </c>
    </row>
    <row r="27" spans="1:9" x14ac:dyDescent="0.2">
      <c r="A27" s="27" t="s">
        <v>1073</v>
      </c>
      <c r="B27" s="27" t="s">
        <v>1074</v>
      </c>
      <c r="C27" s="27" t="s">
        <v>1037</v>
      </c>
      <c r="D27" s="31">
        <v>30</v>
      </c>
      <c r="E27" s="29">
        <v>304.9803</v>
      </c>
      <c r="F27" s="30">
        <v>0.17368304082993299</v>
      </c>
      <c r="G27" s="29">
        <v>5.125</v>
      </c>
    </row>
    <row r="28" spans="1:9" x14ac:dyDescent="0.2">
      <c r="A28" s="26" t="s">
        <v>40</v>
      </c>
      <c r="B28" s="26"/>
      <c r="C28" s="26"/>
      <c r="D28" s="32"/>
      <c r="E28" s="33">
        <f>SUM(E6:E27)</f>
        <v>154824.27961</v>
      </c>
      <c r="F28" s="34">
        <f>SUM(F6:F27)</f>
        <v>88.170782430762031</v>
      </c>
      <c r="G28" s="33"/>
      <c r="H28" s="18"/>
      <c r="I28" s="18"/>
    </row>
    <row r="29" spans="1:9" x14ac:dyDescent="0.2">
      <c r="A29" s="27"/>
      <c r="B29" s="27"/>
      <c r="C29" s="27"/>
      <c r="D29" s="28"/>
      <c r="E29" s="29"/>
      <c r="F29" s="30"/>
      <c r="G29" s="29"/>
    </row>
    <row r="30" spans="1:9" x14ac:dyDescent="0.2">
      <c r="A30" s="26" t="s">
        <v>41</v>
      </c>
      <c r="B30" s="27"/>
      <c r="C30" s="27"/>
      <c r="D30" s="28"/>
      <c r="E30" s="29"/>
      <c r="F30" s="30"/>
      <c r="G30" s="29"/>
    </row>
    <row r="31" spans="1:9" x14ac:dyDescent="0.2">
      <c r="A31" s="27" t="s">
        <v>1081</v>
      </c>
      <c r="B31" s="27" t="s">
        <v>1082</v>
      </c>
      <c r="C31" s="27" t="s">
        <v>1080</v>
      </c>
      <c r="D31" s="31">
        <v>770</v>
      </c>
      <c r="E31" s="29">
        <v>6529.9312440000003</v>
      </c>
      <c r="F31" s="30">
        <v>3.7187264714091501</v>
      </c>
      <c r="G31" s="29">
        <v>11.9596</v>
      </c>
    </row>
    <row r="32" spans="1:9" x14ac:dyDescent="0.2">
      <c r="A32" s="27" t="s">
        <v>1089</v>
      </c>
      <c r="B32" s="27" t="s">
        <v>1090</v>
      </c>
      <c r="C32" s="27" t="s">
        <v>1077</v>
      </c>
      <c r="D32" s="31">
        <v>370</v>
      </c>
      <c r="E32" s="29">
        <v>3829.1743999999999</v>
      </c>
      <c r="F32" s="30">
        <v>2.1806741407892001</v>
      </c>
      <c r="G32" s="29">
        <v>7.73</v>
      </c>
    </row>
    <row r="33" spans="1:9" x14ac:dyDescent="0.2">
      <c r="A33" s="27" t="s">
        <v>1249</v>
      </c>
      <c r="B33" s="27" t="s">
        <v>1250</v>
      </c>
      <c r="C33" s="27" t="s">
        <v>1224</v>
      </c>
      <c r="D33" s="31">
        <v>300</v>
      </c>
      <c r="E33" s="29">
        <v>2926.605</v>
      </c>
      <c r="F33" s="30">
        <v>1.6666704561182599</v>
      </c>
      <c r="G33" s="29">
        <v>12.7994</v>
      </c>
    </row>
    <row r="34" spans="1:9" x14ac:dyDescent="0.2">
      <c r="A34" s="27" t="s">
        <v>1093</v>
      </c>
      <c r="B34" s="27" t="s">
        <v>1094</v>
      </c>
      <c r="C34" s="27" t="s">
        <v>1080</v>
      </c>
      <c r="D34" s="31">
        <v>250</v>
      </c>
      <c r="E34" s="29">
        <v>2185.4042300000001</v>
      </c>
      <c r="F34" s="30">
        <v>1.2445644918999601</v>
      </c>
      <c r="G34" s="29">
        <v>11.962899999999999</v>
      </c>
    </row>
    <row r="35" spans="1:9" x14ac:dyDescent="0.2">
      <c r="A35" s="27" t="s">
        <v>1078</v>
      </c>
      <c r="B35" s="27" t="s">
        <v>1079</v>
      </c>
      <c r="C35" s="27" t="s">
        <v>1080</v>
      </c>
      <c r="D35" s="31">
        <v>110</v>
      </c>
      <c r="E35" s="29">
        <v>982.27616220000004</v>
      </c>
      <c r="F35" s="30">
        <v>0.55939583896288403</v>
      </c>
      <c r="G35" s="29">
        <v>11.962899999999999</v>
      </c>
    </row>
    <row r="36" spans="1:9" x14ac:dyDescent="0.2">
      <c r="A36" s="27" t="s">
        <v>1091</v>
      </c>
      <c r="B36" s="27" t="s">
        <v>1092</v>
      </c>
      <c r="C36" s="27" t="s">
        <v>1077</v>
      </c>
      <c r="D36" s="31">
        <v>10</v>
      </c>
      <c r="E36" s="29">
        <v>977.78909999999996</v>
      </c>
      <c r="F36" s="30">
        <v>0.55684050470919999</v>
      </c>
      <c r="G36" s="29">
        <v>9.5150000000000006</v>
      </c>
    </row>
    <row r="37" spans="1:9" x14ac:dyDescent="0.2">
      <c r="A37" s="27" t="s">
        <v>1083</v>
      </c>
      <c r="B37" s="27" t="s">
        <v>1084</v>
      </c>
      <c r="C37" s="27" t="s">
        <v>1085</v>
      </c>
      <c r="D37" s="31">
        <v>50</v>
      </c>
      <c r="E37" s="29">
        <v>472.23500000000001</v>
      </c>
      <c r="F37" s="30">
        <v>0.26893281561570798</v>
      </c>
      <c r="G37" s="29">
        <v>12.355</v>
      </c>
    </row>
    <row r="38" spans="1:9" x14ac:dyDescent="0.2">
      <c r="A38" s="27" t="s">
        <v>1095</v>
      </c>
      <c r="B38" s="27" t="s">
        <v>1096</v>
      </c>
      <c r="C38" s="27" t="s">
        <v>1097</v>
      </c>
      <c r="D38" s="31">
        <v>1400</v>
      </c>
      <c r="E38" s="29">
        <v>0</v>
      </c>
      <c r="F38" s="29">
        <v>0</v>
      </c>
      <c r="G38" s="29">
        <v>0</v>
      </c>
    </row>
    <row r="39" spans="1:9" x14ac:dyDescent="0.2">
      <c r="A39" s="27" t="s">
        <v>1100</v>
      </c>
      <c r="B39" s="27" t="s">
        <v>1101</v>
      </c>
      <c r="C39" s="27" t="s">
        <v>1097</v>
      </c>
      <c r="D39" s="31">
        <v>688</v>
      </c>
      <c r="E39" s="29">
        <v>0</v>
      </c>
      <c r="F39" s="29">
        <v>0</v>
      </c>
      <c r="G39" s="29">
        <v>0</v>
      </c>
    </row>
    <row r="40" spans="1:9" x14ac:dyDescent="0.2">
      <c r="A40" s="27" t="s">
        <v>1288</v>
      </c>
      <c r="B40" s="27" t="s">
        <v>1289</v>
      </c>
      <c r="C40" s="27" t="s">
        <v>1097</v>
      </c>
      <c r="D40" s="31">
        <v>400</v>
      </c>
      <c r="E40" s="29">
        <v>0</v>
      </c>
      <c r="F40" s="29">
        <v>0</v>
      </c>
      <c r="G40" s="29">
        <v>0</v>
      </c>
    </row>
    <row r="41" spans="1:9" x14ac:dyDescent="0.2">
      <c r="A41" s="26" t="s">
        <v>40</v>
      </c>
      <c r="B41" s="26"/>
      <c r="C41" s="26"/>
      <c r="D41" s="32"/>
      <c r="E41" s="33">
        <f>SUM(E30:E40)</f>
        <v>17903.415136199998</v>
      </c>
      <c r="F41" s="34">
        <f>SUM(F30:F40)</f>
        <v>10.195804719504361</v>
      </c>
      <c r="G41" s="33"/>
      <c r="H41" s="18"/>
      <c r="I41" s="18"/>
    </row>
    <row r="42" spans="1:9" x14ac:dyDescent="0.2">
      <c r="A42" s="27"/>
      <c r="B42" s="27"/>
      <c r="C42" s="27"/>
      <c r="D42" s="28"/>
      <c r="E42" s="29"/>
      <c r="F42" s="30"/>
      <c r="G42" s="29"/>
    </row>
    <row r="43" spans="1:9" x14ac:dyDescent="0.2">
      <c r="A43" s="26" t="s">
        <v>44</v>
      </c>
      <c r="B43" s="26"/>
      <c r="C43" s="26"/>
      <c r="D43" s="32"/>
      <c r="E43" s="33">
        <f>E28+E41</f>
        <v>172727.6947462</v>
      </c>
      <c r="F43" s="34">
        <f>F28+F41</f>
        <v>98.366587150266398</v>
      </c>
      <c r="G43" s="33"/>
      <c r="H43" s="18"/>
      <c r="I43" s="18"/>
    </row>
    <row r="44" spans="1:9" x14ac:dyDescent="0.2">
      <c r="A44" s="26"/>
      <c r="B44" s="26"/>
      <c r="C44" s="26"/>
      <c r="D44" s="32"/>
      <c r="E44" s="33"/>
      <c r="F44" s="34"/>
      <c r="G44" s="33"/>
      <c r="H44" s="18"/>
      <c r="I44" s="18"/>
    </row>
    <row r="45" spans="1:9" x14ac:dyDescent="0.2">
      <c r="A45" s="26" t="s">
        <v>46</v>
      </c>
      <c r="B45" s="26"/>
      <c r="C45" s="26"/>
      <c r="D45" s="32"/>
      <c r="E45" s="33">
        <f>E47-(E28+E41)</f>
        <v>2868.2060064999969</v>
      </c>
      <c r="F45" s="34">
        <f>F47-(F28+F41)</f>
        <v>1.6334128497336025</v>
      </c>
      <c r="G45" s="33"/>
      <c r="H45" s="18"/>
      <c r="I45" s="18"/>
    </row>
    <row r="46" spans="1:9" x14ac:dyDescent="0.2">
      <c r="A46" s="26"/>
      <c r="B46" s="26"/>
      <c r="C46" s="26"/>
      <c r="D46" s="32"/>
      <c r="E46" s="33"/>
      <c r="F46" s="34"/>
      <c r="G46" s="33"/>
      <c r="H46" s="18"/>
      <c r="I46" s="18"/>
    </row>
    <row r="47" spans="1:9" x14ac:dyDescent="0.2">
      <c r="A47" s="35" t="s">
        <v>45</v>
      </c>
      <c r="B47" s="35"/>
      <c r="C47" s="35"/>
      <c r="D47" s="36"/>
      <c r="E47" s="37">
        <v>175595.90075269999</v>
      </c>
      <c r="F47" s="38">
        <v>100</v>
      </c>
      <c r="G47" s="37"/>
      <c r="H47" s="18"/>
      <c r="I47" s="18"/>
    </row>
    <row r="48" spans="1:9" x14ac:dyDescent="0.2">
      <c r="F48" s="20"/>
    </row>
    <row r="49" spans="1:5" x14ac:dyDescent="0.2">
      <c r="A49" s="18" t="s">
        <v>47</v>
      </c>
    </row>
    <row r="50" spans="1:5" x14ac:dyDescent="0.2">
      <c r="A50" s="18" t="s">
        <v>1102</v>
      </c>
    </row>
    <row r="52" spans="1:5" x14ac:dyDescent="0.2">
      <c r="A52" s="18" t="s">
        <v>48</v>
      </c>
    </row>
    <row r="53" spans="1:5" x14ac:dyDescent="0.2">
      <c r="A53" s="18" t="s">
        <v>49</v>
      </c>
    </row>
    <row r="54" spans="1:5" x14ac:dyDescent="0.2">
      <c r="A54" s="18" t="s">
        <v>50</v>
      </c>
      <c r="B54" s="18"/>
      <c r="C54" s="39" t="s">
        <v>52</v>
      </c>
      <c r="D54" s="19" t="s">
        <v>51</v>
      </c>
    </row>
    <row r="55" spans="1:5" x14ac:dyDescent="0.2">
      <c r="A55" s="9" t="s">
        <v>70</v>
      </c>
      <c r="C55" s="40">
        <v>19.866199999999999</v>
      </c>
      <c r="D55" s="40">
        <v>22.3584</v>
      </c>
    </row>
    <row r="56" spans="1:5" x14ac:dyDescent="0.2">
      <c r="A56" s="9" t="s">
        <v>76</v>
      </c>
      <c r="C56" s="40">
        <v>9.2100000000000009</v>
      </c>
      <c r="D56" s="40">
        <v>10.365399999999999</v>
      </c>
    </row>
    <row r="57" spans="1:5" x14ac:dyDescent="0.2">
      <c r="A57" s="9" t="s">
        <v>73</v>
      </c>
      <c r="C57" s="40">
        <v>21.096599999999999</v>
      </c>
      <c r="D57" s="40">
        <v>23.822500000000002</v>
      </c>
    </row>
    <row r="58" spans="1:5" x14ac:dyDescent="0.2">
      <c r="A58" s="9" t="s">
        <v>77</v>
      </c>
      <c r="C58" s="40">
        <v>9.9075000000000006</v>
      </c>
      <c r="D58" s="40">
        <v>11.1876</v>
      </c>
    </row>
    <row r="60" spans="1:5" x14ac:dyDescent="0.2">
      <c r="A60" s="18" t="s">
        <v>53</v>
      </c>
      <c r="D60" s="41" t="s">
        <v>54</v>
      </c>
    </row>
    <row r="62" spans="1:5" x14ac:dyDescent="0.2">
      <c r="A62" s="18" t="s">
        <v>793</v>
      </c>
      <c r="D62" s="42">
        <v>3.7874456375342498</v>
      </c>
      <c r="E62" s="13" t="s">
        <v>55</v>
      </c>
    </row>
    <row r="64" spans="1:5" x14ac:dyDescent="0.2">
      <c r="A64" s="18" t="s">
        <v>1477</v>
      </c>
      <c r="D64" s="41" t="s">
        <v>54</v>
      </c>
    </row>
    <row r="65" spans="1:7" x14ac:dyDescent="0.2">
      <c r="A65" s="9" t="s">
        <v>1103</v>
      </c>
    </row>
    <row r="66" spans="1:7" x14ac:dyDescent="0.2">
      <c r="A66" s="50" t="s">
        <v>1104</v>
      </c>
    </row>
    <row r="68" spans="1:7" ht="41.25" customHeight="1" x14ac:dyDescent="0.2">
      <c r="A68" s="80" t="s">
        <v>1290</v>
      </c>
      <c r="B68" s="80"/>
      <c r="C68" s="80"/>
      <c r="D68" s="80"/>
      <c r="E68" s="80"/>
      <c r="F68" s="80"/>
      <c r="G68" s="80"/>
    </row>
    <row r="70" spans="1:7" ht="40.049999999999997" customHeight="1" x14ac:dyDescent="0.2">
      <c r="A70" s="80" t="s">
        <v>1291</v>
      </c>
      <c r="B70" s="80"/>
      <c r="C70" s="80"/>
      <c r="D70" s="80"/>
      <c r="E70" s="80"/>
      <c r="F70" s="80"/>
      <c r="G70" s="80"/>
    </row>
    <row r="71" spans="1:7" x14ac:dyDescent="0.2">
      <c r="A71" s="56" t="s">
        <v>1108</v>
      </c>
      <c r="B71" s="58"/>
      <c r="C71" s="58"/>
      <c r="D71" s="58"/>
      <c r="E71" s="58"/>
      <c r="F71" s="58"/>
      <c r="G71" s="58"/>
    </row>
    <row r="73" spans="1:7" ht="27.75" customHeight="1" x14ac:dyDescent="0.2">
      <c r="A73" s="81" t="s">
        <v>1158</v>
      </c>
      <c r="B73" s="81"/>
      <c r="C73" s="81"/>
      <c r="D73" s="81"/>
      <c r="E73" s="81"/>
      <c r="F73" s="81"/>
      <c r="G73" s="81"/>
    </row>
    <row r="75" spans="1:7" ht="14.4" x14ac:dyDescent="0.2">
      <c r="A75" s="70" t="s">
        <v>1159</v>
      </c>
      <c r="B75" s="71"/>
      <c r="C75" s="71"/>
      <c r="D75" s="71"/>
      <c r="E75" s="71"/>
      <c r="F75" s="71"/>
      <c r="G75" s="71"/>
    </row>
    <row r="76" spans="1:7" x14ac:dyDescent="0.2">
      <c r="A76" s="50" t="s">
        <v>56</v>
      </c>
    </row>
    <row r="78" spans="1:7" s="1" customFormat="1" ht="13.8" x14ac:dyDescent="0.2">
      <c r="A78" s="72" t="s">
        <v>1292</v>
      </c>
      <c r="B78" s="73"/>
      <c r="C78" s="73"/>
      <c r="D78" s="73"/>
      <c r="E78" s="73"/>
      <c r="F78" s="73"/>
      <c r="G78" s="73"/>
    </row>
    <row r="79" spans="1:7" x14ac:dyDescent="0.2">
      <c r="A79" s="18" t="s">
        <v>7</v>
      </c>
    </row>
    <row r="80" spans="1:7" s="1" customFormat="1" ht="17.55" customHeight="1" x14ac:dyDescent="0.2">
      <c r="A80" s="8" t="s">
        <v>2</v>
      </c>
      <c r="B80" s="8" t="s">
        <v>0</v>
      </c>
      <c r="C80" s="17" t="s">
        <v>735</v>
      </c>
      <c r="D80" s="16" t="s">
        <v>1</v>
      </c>
      <c r="E80" s="15" t="s">
        <v>3</v>
      </c>
      <c r="F80" s="15" t="s">
        <v>4</v>
      </c>
      <c r="G80" s="15" t="s">
        <v>6</v>
      </c>
    </row>
    <row r="81" spans="1:9" x14ac:dyDescent="0.2">
      <c r="A81" s="21" t="s">
        <v>31</v>
      </c>
      <c r="B81" s="22"/>
      <c r="C81" s="22"/>
      <c r="D81" s="23"/>
      <c r="E81" s="24"/>
      <c r="F81" s="25"/>
      <c r="G81" s="24"/>
    </row>
    <row r="82" spans="1:9" x14ac:dyDescent="0.2">
      <c r="A82" s="26" t="s">
        <v>32</v>
      </c>
      <c r="B82" s="27"/>
      <c r="C82" s="27"/>
      <c r="D82" s="28"/>
      <c r="E82" s="29"/>
      <c r="F82" s="30"/>
      <c r="G82" s="29"/>
    </row>
    <row r="83" spans="1:9" x14ac:dyDescent="0.2">
      <c r="A83" s="27" t="s">
        <v>1112</v>
      </c>
      <c r="B83" s="27" t="s">
        <v>1113</v>
      </c>
      <c r="C83" s="27" t="s">
        <v>1114</v>
      </c>
      <c r="D83" s="31">
        <v>1450</v>
      </c>
      <c r="E83" s="29">
        <v>0</v>
      </c>
      <c r="F83" s="30">
        <v>100</v>
      </c>
      <c r="G83" s="29">
        <v>0</v>
      </c>
    </row>
    <row r="84" spans="1:9" x14ac:dyDescent="0.2">
      <c r="A84" s="26" t="s">
        <v>40</v>
      </c>
      <c r="B84" s="26"/>
      <c r="C84" s="26"/>
      <c r="D84" s="32"/>
      <c r="E84" s="33">
        <f>SUM(E82:E83)</f>
        <v>0</v>
      </c>
      <c r="F84" s="34">
        <v>100</v>
      </c>
      <c r="G84" s="33"/>
      <c r="H84" s="18"/>
      <c r="I84" s="18"/>
    </row>
    <row r="85" spans="1:9" x14ac:dyDescent="0.2">
      <c r="A85" s="27"/>
      <c r="B85" s="27"/>
      <c r="C85" s="27"/>
      <c r="D85" s="28"/>
      <c r="E85" s="29"/>
      <c r="F85" s="30"/>
      <c r="G85" s="29"/>
    </row>
    <row r="86" spans="1:9" x14ac:dyDescent="0.2">
      <c r="A86" s="26" t="s">
        <v>44</v>
      </c>
      <c r="B86" s="26"/>
      <c r="C86" s="26"/>
      <c r="D86" s="32"/>
      <c r="E86" s="33">
        <f>E84</f>
        <v>0</v>
      </c>
      <c r="F86" s="34">
        <f>F84</f>
        <v>100</v>
      </c>
      <c r="G86" s="33"/>
      <c r="H86" s="18"/>
      <c r="I86" s="18"/>
    </row>
    <row r="87" spans="1:9" x14ac:dyDescent="0.2">
      <c r="A87" s="26"/>
      <c r="B87" s="26"/>
      <c r="C87" s="26"/>
      <c r="D87" s="32"/>
      <c r="E87" s="33"/>
      <c r="F87" s="34"/>
      <c r="G87" s="33"/>
      <c r="H87" s="18"/>
      <c r="I87" s="18"/>
    </row>
    <row r="88" spans="1:9" x14ac:dyDescent="0.2">
      <c r="A88" s="26" t="s">
        <v>46</v>
      </c>
      <c r="B88" s="26"/>
      <c r="C88" s="26"/>
      <c r="D88" s="32"/>
      <c r="E88" s="33">
        <f>E90-(E84)</f>
        <v>3.9999999999999998E-7</v>
      </c>
      <c r="F88" s="34">
        <v>0</v>
      </c>
      <c r="G88" s="33"/>
      <c r="H88" s="18"/>
      <c r="I88" s="18"/>
    </row>
    <row r="89" spans="1:9" x14ac:dyDescent="0.2">
      <c r="A89" s="26"/>
      <c r="B89" s="26"/>
      <c r="C89" s="26"/>
      <c r="D89" s="32"/>
      <c r="E89" s="33"/>
      <c r="F89" s="34"/>
      <c r="G89" s="33"/>
      <c r="H89" s="18"/>
      <c r="I89" s="18"/>
    </row>
    <row r="90" spans="1:9" x14ac:dyDescent="0.2">
      <c r="A90" s="35" t="s">
        <v>45</v>
      </c>
      <c r="B90" s="35"/>
      <c r="C90" s="35"/>
      <c r="D90" s="36"/>
      <c r="E90" s="37">
        <v>3.9999999999999998E-7</v>
      </c>
      <c r="F90" s="38">
        <v>100</v>
      </c>
      <c r="G90" s="37"/>
      <c r="H90" s="18"/>
      <c r="I90" s="18"/>
    </row>
    <row r="92" spans="1:9" x14ac:dyDescent="0.2">
      <c r="A92" s="18" t="s">
        <v>47</v>
      </c>
    </row>
    <row r="93" spans="1:9" x14ac:dyDescent="0.2">
      <c r="A93" s="47" t="s">
        <v>1102</v>
      </c>
    </row>
    <row r="94" spans="1:9" x14ac:dyDescent="0.2">
      <c r="A94" s="18" t="s">
        <v>1115</v>
      </c>
    </row>
    <row r="95" spans="1:9" x14ac:dyDescent="0.2">
      <c r="A95" s="18"/>
    </row>
    <row r="96" spans="1:9" x14ac:dyDescent="0.2">
      <c r="A96" s="18" t="s">
        <v>48</v>
      </c>
    </row>
    <row r="97" spans="1:7" x14ac:dyDescent="0.2">
      <c r="A97" s="18" t="s">
        <v>49</v>
      </c>
    </row>
    <row r="98" spans="1:7" x14ac:dyDescent="0.2">
      <c r="A98" s="18" t="s">
        <v>50</v>
      </c>
      <c r="B98" s="18"/>
      <c r="C98" s="39" t="s">
        <v>52</v>
      </c>
      <c r="D98" s="19" t="s">
        <v>51</v>
      </c>
    </row>
    <row r="99" spans="1:7" x14ac:dyDescent="0.2">
      <c r="A99" s="9" t="s">
        <v>70</v>
      </c>
      <c r="C99" s="40">
        <v>0</v>
      </c>
      <c r="D99" s="40">
        <v>0</v>
      </c>
    </row>
    <row r="100" spans="1:7" x14ac:dyDescent="0.2">
      <c r="A100" s="9" t="s">
        <v>76</v>
      </c>
      <c r="C100" s="40">
        <v>0</v>
      </c>
      <c r="D100" s="40">
        <v>0</v>
      </c>
    </row>
    <row r="101" spans="1:7" x14ac:dyDescent="0.2">
      <c r="A101" s="9" t="s">
        <v>73</v>
      </c>
      <c r="C101" s="40">
        <v>0</v>
      </c>
      <c r="D101" s="40">
        <v>0</v>
      </c>
    </row>
    <row r="102" spans="1:7" x14ac:dyDescent="0.2">
      <c r="A102" s="9" t="s">
        <v>77</v>
      </c>
      <c r="C102" s="40">
        <v>0</v>
      </c>
      <c r="D102" s="40">
        <v>0</v>
      </c>
    </row>
    <row r="104" spans="1:7" x14ac:dyDescent="0.2">
      <c r="A104" s="18" t="s">
        <v>1478</v>
      </c>
      <c r="D104" s="41" t="s">
        <v>54</v>
      </c>
    </row>
    <row r="105" spans="1:7" x14ac:dyDescent="0.2">
      <c r="A105" s="9" t="s">
        <v>1103</v>
      </c>
    </row>
    <row r="106" spans="1:7" x14ac:dyDescent="0.2">
      <c r="A106" s="50" t="s">
        <v>1104</v>
      </c>
    </row>
    <row r="108" spans="1:7" ht="14.4" x14ac:dyDescent="0.2">
      <c r="A108" s="70" t="s">
        <v>1116</v>
      </c>
      <c r="B108" s="71"/>
      <c r="C108" s="71"/>
      <c r="D108" s="71"/>
      <c r="E108" s="71"/>
      <c r="F108" s="71"/>
      <c r="G108" s="71"/>
    </row>
    <row r="109" spans="1:7" x14ac:dyDescent="0.2">
      <c r="A109" s="50" t="s">
        <v>56</v>
      </c>
    </row>
    <row r="111" spans="1:7" x14ac:dyDescent="0.2">
      <c r="A111" s="50"/>
    </row>
  </sheetData>
  <mergeCells count="7">
    <mergeCell ref="A108:G108"/>
    <mergeCell ref="A1:G1"/>
    <mergeCell ref="A68:G68"/>
    <mergeCell ref="A70:G70"/>
    <mergeCell ref="A73:G73"/>
    <mergeCell ref="A75:G75"/>
    <mergeCell ref="A78:G78"/>
  </mergeCells>
  <conditionalFormatting sqref="F2:F3 F5:F37 F81:F82 F41:F67 F74 F77 F79 F91:F107 F112:F65543">
    <cfRule type="cellIs" dxfId="126" priority="7" stopIfTrue="1" operator="between">
      <formula>0.009</formula>
      <formula>-0.009</formula>
    </cfRule>
  </conditionalFormatting>
  <conditionalFormatting sqref="F69 F72">
    <cfRule type="cellIs" dxfId="125" priority="6" stopIfTrue="1" operator="between">
      <formula>0.009</formula>
      <formula>-0.009</formula>
    </cfRule>
  </conditionalFormatting>
  <conditionalFormatting sqref="F76">
    <cfRule type="cellIs" dxfId="124" priority="4" stopIfTrue="1" operator="between">
      <formula>0.009</formula>
      <formula>-0.009</formula>
    </cfRule>
  </conditionalFormatting>
  <conditionalFormatting sqref="F83:F87 F89:F90">
    <cfRule type="cellIs" dxfId="123" priority="3" stopIfTrue="1" operator="between">
      <formula>0.009</formula>
      <formula>-0.009</formula>
    </cfRule>
  </conditionalFormatting>
  <conditionalFormatting sqref="F110:F111">
    <cfRule type="cellIs" dxfId="122" priority="2" stopIfTrue="1" operator="between">
      <formula>0.009</formula>
      <formula>-0.009</formula>
    </cfRule>
  </conditionalFormatting>
  <conditionalFormatting sqref="F109">
    <cfRule type="cellIs" dxfId="121" priority="1" stopIfTrue="1" operator="between">
      <formula>0.009</formula>
      <formula>-0.009</formula>
    </cfRule>
  </conditionalFormatting>
  <hyperlinks>
    <hyperlink ref="A66" r:id="rId1" xr:uid="{00000000-0004-0000-0B00-000000000000}"/>
    <hyperlink ref="A71" r:id="rId2" xr:uid="{00000000-0004-0000-0B00-000001000000}"/>
    <hyperlink ref="A76" r:id="rId3" xr:uid="{00000000-0004-0000-0B00-000002000000}"/>
    <hyperlink ref="A106" r:id="rId4" xr:uid="{00000000-0004-0000-0B00-000003000000}"/>
    <hyperlink ref="A109" r:id="rId5" xr:uid="{00000000-0004-0000-0B00-000004000000}"/>
  </hyperlinks>
  <pageMargins left="0.7" right="0.7" top="0.75" bottom="0.75" header="0.3" footer="0.3"/>
  <pageSetup paperSize="9" orientation="portrait" r:id="rId6"/>
  <headerFooter>
    <oddFooter>&amp;R&amp;1#&amp;"Calibri"&amp;10&amp;KFF0000|PUBLIC|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1"/>
  <sheetViews>
    <sheetView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5546875" style="9" bestFit="1" customWidth="1"/>
    <col min="4" max="4" width="15.21875" style="10" bestFit="1" customWidth="1"/>
    <col min="5" max="5" width="23" style="13" bestFit="1" customWidth="1"/>
    <col min="6" max="6" width="14.77734375" style="14" bestFit="1" customWidth="1"/>
    <col min="7" max="7" width="14.21875" style="13" customWidth="1"/>
    <col min="8" max="16384" width="9.21875" style="9"/>
  </cols>
  <sheetData>
    <row r="1" spans="1:7" s="1" customFormat="1" ht="13.8" x14ac:dyDescent="0.2">
      <c r="A1" s="72" t="s">
        <v>1293</v>
      </c>
      <c r="B1" s="73"/>
      <c r="C1" s="73"/>
      <c r="D1" s="73"/>
      <c r="E1" s="73"/>
      <c r="F1" s="73"/>
      <c r="G1" s="73"/>
    </row>
    <row r="2" spans="1:7" s="1" customFormat="1" ht="12" x14ac:dyDescent="0.25">
      <c r="A2" s="57" t="s">
        <v>1026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917</v>
      </c>
      <c r="B7" s="27" t="s">
        <v>918</v>
      </c>
      <c r="C7" s="27" t="s">
        <v>919</v>
      </c>
      <c r="D7" s="31">
        <v>3930</v>
      </c>
      <c r="E7" s="29">
        <v>40206.218699999998</v>
      </c>
      <c r="F7" s="30">
        <v>14.489769570313101</v>
      </c>
      <c r="G7" s="29">
        <v>9.8186999999999998</v>
      </c>
    </row>
    <row r="8" spans="1:7" x14ac:dyDescent="0.2">
      <c r="A8" s="27" t="s">
        <v>1225</v>
      </c>
      <c r="B8" s="27" t="s">
        <v>1226</v>
      </c>
      <c r="C8" s="27" t="s">
        <v>1029</v>
      </c>
      <c r="D8" s="31">
        <v>10140</v>
      </c>
      <c r="E8" s="29">
        <v>20225.18316</v>
      </c>
      <c r="F8" s="30">
        <v>7.28887851136761</v>
      </c>
      <c r="G8" s="29">
        <v>10.8</v>
      </c>
    </row>
    <row r="9" spans="1:7" x14ac:dyDescent="0.2">
      <c r="A9" s="27" t="s">
        <v>1040</v>
      </c>
      <c r="B9" s="27" t="s">
        <v>1041</v>
      </c>
      <c r="C9" s="27" t="s">
        <v>1037</v>
      </c>
      <c r="D9" s="31">
        <v>2125</v>
      </c>
      <c r="E9" s="29">
        <v>16941.146000000001</v>
      </c>
      <c r="F9" s="30">
        <v>6.1053565775144998</v>
      </c>
      <c r="G9" s="29">
        <v>10.279400000000001</v>
      </c>
    </row>
    <row r="10" spans="1:7" x14ac:dyDescent="0.2">
      <c r="A10" s="27" t="s">
        <v>875</v>
      </c>
      <c r="B10" s="27" t="s">
        <v>876</v>
      </c>
      <c r="C10" s="27" t="s">
        <v>877</v>
      </c>
      <c r="D10" s="31">
        <v>1150</v>
      </c>
      <c r="E10" s="29">
        <v>12615.27</v>
      </c>
      <c r="F10" s="30">
        <v>4.5463702202685301</v>
      </c>
      <c r="G10" s="29">
        <v>8.1050000000000004</v>
      </c>
    </row>
    <row r="11" spans="1:7" x14ac:dyDescent="0.2">
      <c r="A11" s="27" t="s">
        <v>1033</v>
      </c>
      <c r="B11" s="27" t="s">
        <v>1034</v>
      </c>
      <c r="C11" s="27" t="s">
        <v>1029</v>
      </c>
      <c r="D11" s="31">
        <v>5580</v>
      </c>
      <c r="E11" s="29">
        <v>11023.80336</v>
      </c>
      <c r="F11" s="30">
        <v>3.9728274789203999</v>
      </c>
      <c r="G11" s="29">
        <v>11.0221</v>
      </c>
    </row>
    <row r="12" spans="1:7" x14ac:dyDescent="0.2">
      <c r="A12" s="27" t="s">
        <v>1138</v>
      </c>
      <c r="B12" s="27" t="s">
        <v>1139</v>
      </c>
      <c r="C12" s="27" t="s">
        <v>919</v>
      </c>
      <c r="D12" s="31">
        <v>1000</v>
      </c>
      <c r="E12" s="29">
        <v>10141.040000000001</v>
      </c>
      <c r="F12" s="30">
        <v>3.6546916759254402</v>
      </c>
      <c r="G12" s="29">
        <v>9.4</v>
      </c>
    </row>
    <row r="13" spans="1:7" x14ac:dyDescent="0.2">
      <c r="A13" s="27" t="s">
        <v>1286</v>
      </c>
      <c r="B13" s="27" t="s">
        <v>1287</v>
      </c>
      <c r="C13" s="27" t="s">
        <v>35</v>
      </c>
      <c r="D13" s="31">
        <v>850</v>
      </c>
      <c r="E13" s="29">
        <v>8312.9405000000006</v>
      </c>
      <c r="F13" s="30">
        <v>2.9958696985529598</v>
      </c>
      <c r="G13" s="29">
        <v>9.9357000000000006</v>
      </c>
    </row>
    <row r="14" spans="1:7" x14ac:dyDescent="0.2">
      <c r="A14" s="27" t="s">
        <v>1063</v>
      </c>
      <c r="B14" s="27" t="s">
        <v>1064</v>
      </c>
      <c r="C14" s="27" t="s">
        <v>1046</v>
      </c>
      <c r="D14" s="31">
        <v>510</v>
      </c>
      <c r="E14" s="29">
        <v>7137.4805999999999</v>
      </c>
      <c r="F14" s="30">
        <v>2.5722500784830098</v>
      </c>
      <c r="G14" s="29">
        <v>10.8949</v>
      </c>
    </row>
    <row r="15" spans="1:7" x14ac:dyDescent="0.2">
      <c r="A15" s="27" t="s">
        <v>1235</v>
      </c>
      <c r="B15" s="27" t="s">
        <v>1236</v>
      </c>
      <c r="C15" s="27" t="s">
        <v>1029</v>
      </c>
      <c r="D15" s="31">
        <v>648</v>
      </c>
      <c r="E15" s="29">
        <v>6526.9281600000004</v>
      </c>
      <c r="F15" s="30">
        <v>2.3522153561878598</v>
      </c>
      <c r="G15" s="29">
        <v>10.3553</v>
      </c>
    </row>
    <row r="16" spans="1:7" x14ac:dyDescent="0.2">
      <c r="A16" s="27" t="s">
        <v>1294</v>
      </c>
      <c r="B16" s="27" t="s">
        <v>1295</v>
      </c>
      <c r="C16" s="27" t="s">
        <v>1137</v>
      </c>
      <c r="D16" s="31">
        <v>650</v>
      </c>
      <c r="E16" s="29">
        <v>6437.4440000000004</v>
      </c>
      <c r="F16" s="30">
        <v>2.31996649269071</v>
      </c>
      <c r="G16" s="29">
        <v>11.975</v>
      </c>
    </row>
    <row r="17" spans="1:7" x14ac:dyDescent="0.2">
      <c r="A17" s="27" t="s">
        <v>1296</v>
      </c>
      <c r="B17" s="27" t="s">
        <v>1297</v>
      </c>
      <c r="C17" s="27" t="s">
        <v>1137</v>
      </c>
      <c r="D17" s="31">
        <v>650</v>
      </c>
      <c r="E17" s="29">
        <v>6170.5735000000004</v>
      </c>
      <c r="F17" s="30">
        <v>2.2237900260857</v>
      </c>
      <c r="G17" s="29">
        <v>14.404999999999999</v>
      </c>
    </row>
    <row r="18" spans="1:7" x14ac:dyDescent="0.2">
      <c r="A18" s="27" t="s">
        <v>1027</v>
      </c>
      <c r="B18" s="27" t="s">
        <v>1028</v>
      </c>
      <c r="C18" s="27" t="s">
        <v>1029</v>
      </c>
      <c r="D18" s="31">
        <v>606</v>
      </c>
      <c r="E18" s="29">
        <v>6154.3057200000003</v>
      </c>
      <c r="F18" s="30">
        <v>2.2179273413756699</v>
      </c>
      <c r="G18" s="29">
        <v>9.3452999999999999</v>
      </c>
    </row>
    <row r="19" spans="1:7" x14ac:dyDescent="0.2">
      <c r="A19" s="27" t="s">
        <v>1056</v>
      </c>
      <c r="B19" s="27" t="s">
        <v>1057</v>
      </c>
      <c r="C19" s="27" t="s">
        <v>1029</v>
      </c>
      <c r="D19" s="31">
        <v>550</v>
      </c>
      <c r="E19" s="29">
        <v>5560.9179999999997</v>
      </c>
      <c r="F19" s="30">
        <v>2.0040785486600901</v>
      </c>
      <c r="G19" s="29">
        <v>9.1053999999999995</v>
      </c>
    </row>
    <row r="20" spans="1:7" x14ac:dyDescent="0.2">
      <c r="A20" s="27" t="s">
        <v>1030</v>
      </c>
      <c r="B20" s="27" t="s">
        <v>1031</v>
      </c>
      <c r="C20" s="27" t="s">
        <v>1032</v>
      </c>
      <c r="D20" s="31">
        <v>550</v>
      </c>
      <c r="E20" s="29">
        <v>5476.2179999999998</v>
      </c>
      <c r="F20" s="30">
        <v>1.9735538307859</v>
      </c>
      <c r="G20" s="29">
        <v>18.1313</v>
      </c>
    </row>
    <row r="21" spans="1:7" x14ac:dyDescent="0.2">
      <c r="A21" s="27" t="s">
        <v>1047</v>
      </c>
      <c r="B21" s="27" t="s">
        <v>1048</v>
      </c>
      <c r="C21" s="27" t="s">
        <v>35</v>
      </c>
      <c r="D21" s="31">
        <v>550</v>
      </c>
      <c r="E21" s="29">
        <v>5422.2190000000001</v>
      </c>
      <c r="F21" s="30">
        <v>1.9540933320788401</v>
      </c>
      <c r="G21" s="29">
        <v>9.8582000000000001</v>
      </c>
    </row>
    <row r="22" spans="1:7" x14ac:dyDescent="0.2">
      <c r="A22" s="27" t="s">
        <v>1298</v>
      </c>
      <c r="B22" s="27" t="s">
        <v>1299</v>
      </c>
      <c r="C22" s="27" t="s">
        <v>1051</v>
      </c>
      <c r="D22" s="31">
        <v>5000</v>
      </c>
      <c r="E22" s="29">
        <v>4892.7250000000004</v>
      </c>
      <c r="F22" s="30">
        <v>1.7632709593978799</v>
      </c>
      <c r="G22" s="29">
        <v>11.635</v>
      </c>
    </row>
    <row r="23" spans="1:7" x14ac:dyDescent="0.2">
      <c r="A23" s="27" t="s">
        <v>1049</v>
      </c>
      <c r="B23" s="27" t="s">
        <v>1050</v>
      </c>
      <c r="C23" s="27" t="s">
        <v>1051</v>
      </c>
      <c r="D23" s="31">
        <v>550</v>
      </c>
      <c r="E23" s="29">
        <v>4740.5929999999998</v>
      </c>
      <c r="F23" s="30">
        <v>1.70844467392402</v>
      </c>
      <c r="G23" s="29">
        <v>21.466999999999999</v>
      </c>
    </row>
    <row r="24" spans="1:7" x14ac:dyDescent="0.2">
      <c r="A24" s="27" t="s">
        <v>1135</v>
      </c>
      <c r="B24" s="27" t="s">
        <v>1136</v>
      </c>
      <c r="C24" s="27" t="s">
        <v>1137</v>
      </c>
      <c r="D24" s="31">
        <v>450</v>
      </c>
      <c r="E24" s="29">
        <v>4500.5039999999999</v>
      </c>
      <c r="F24" s="30">
        <v>1.62191989246361</v>
      </c>
      <c r="G24" s="29">
        <v>9.3729999999999993</v>
      </c>
    </row>
    <row r="25" spans="1:7" x14ac:dyDescent="0.2">
      <c r="A25" s="27" t="s">
        <v>1283</v>
      </c>
      <c r="B25" s="27" t="s">
        <v>1284</v>
      </c>
      <c r="C25" s="27" t="s">
        <v>1285</v>
      </c>
      <c r="D25" s="31">
        <v>350</v>
      </c>
      <c r="E25" s="29">
        <v>4446.5084999999999</v>
      </c>
      <c r="F25" s="30">
        <v>1.6024606551085201</v>
      </c>
      <c r="G25" s="29">
        <v>11.6509</v>
      </c>
    </row>
    <row r="26" spans="1:7" x14ac:dyDescent="0.2">
      <c r="A26" s="27" t="s">
        <v>1067</v>
      </c>
      <c r="B26" s="27" t="s">
        <v>1068</v>
      </c>
      <c r="C26" s="27" t="s">
        <v>1029</v>
      </c>
      <c r="D26" s="31">
        <v>351</v>
      </c>
      <c r="E26" s="29">
        <v>3541.1547599999999</v>
      </c>
      <c r="F26" s="30">
        <v>1.27618358911273</v>
      </c>
      <c r="G26" s="29">
        <v>8.6254000000000008</v>
      </c>
    </row>
    <row r="27" spans="1:7" x14ac:dyDescent="0.2">
      <c r="A27" s="27" t="s">
        <v>1237</v>
      </c>
      <c r="B27" s="27" t="s">
        <v>1238</v>
      </c>
      <c r="C27" s="27" t="s">
        <v>1029</v>
      </c>
      <c r="D27" s="31">
        <v>352</v>
      </c>
      <c r="E27" s="29">
        <v>3496.7503999999999</v>
      </c>
      <c r="F27" s="30">
        <v>1.26018086701847</v>
      </c>
      <c r="G27" s="29">
        <v>10.692299999999999</v>
      </c>
    </row>
    <row r="28" spans="1:7" x14ac:dyDescent="0.2">
      <c r="A28" s="27" t="s">
        <v>1054</v>
      </c>
      <c r="B28" s="27" t="s">
        <v>1055</v>
      </c>
      <c r="C28" s="27" t="s">
        <v>38</v>
      </c>
      <c r="D28" s="31">
        <v>310</v>
      </c>
      <c r="E28" s="29">
        <v>3304.6651000000002</v>
      </c>
      <c r="F28" s="30">
        <v>1.1909559604036</v>
      </c>
      <c r="G28" s="29">
        <v>6.1093999999999999</v>
      </c>
    </row>
    <row r="29" spans="1:7" x14ac:dyDescent="0.2">
      <c r="A29" s="27" t="s">
        <v>1062</v>
      </c>
      <c r="B29" s="27" t="s">
        <v>1050</v>
      </c>
      <c r="C29" s="27" t="s">
        <v>1051</v>
      </c>
      <c r="D29" s="31">
        <v>380</v>
      </c>
      <c r="E29" s="29">
        <v>3273.5556000000001</v>
      </c>
      <c r="F29" s="30">
        <v>1.1797445234413</v>
      </c>
      <c r="G29" s="29">
        <v>21.516200000000001</v>
      </c>
    </row>
    <row r="30" spans="1:7" x14ac:dyDescent="0.2">
      <c r="A30" s="27" t="s">
        <v>1220</v>
      </c>
      <c r="B30" s="27" t="s">
        <v>1221</v>
      </c>
      <c r="C30" s="27" t="s">
        <v>1029</v>
      </c>
      <c r="D30" s="31">
        <v>306</v>
      </c>
      <c r="E30" s="29">
        <v>3107.3167800000001</v>
      </c>
      <c r="F30" s="30">
        <v>1.1198343335919601</v>
      </c>
      <c r="G30" s="29">
        <v>10.0807</v>
      </c>
    </row>
    <row r="31" spans="1:7" x14ac:dyDescent="0.2">
      <c r="A31" s="27" t="s">
        <v>1060</v>
      </c>
      <c r="B31" s="27" t="s">
        <v>1061</v>
      </c>
      <c r="C31" s="27" t="s">
        <v>1032</v>
      </c>
      <c r="D31" s="31">
        <v>300</v>
      </c>
      <c r="E31" s="29">
        <v>2999.991</v>
      </c>
      <c r="F31" s="30">
        <v>1.0811555950426399</v>
      </c>
      <c r="G31" s="29">
        <v>7.9</v>
      </c>
    </row>
    <row r="32" spans="1:7" x14ac:dyDescent="0.2">
      <c r="A32" s="27" t="s">
        <v>1140</v>
      </c>
      <c r="B32" s="27" t="s">
        <v>1141</v>
      </c>
      <c r="C32" s="27" t="s">
        <v>998</v>
      </c>
      <c r="D32" s="31">
        <v>270</v>
      </c>
      <c r="E32" s="29">
        <v>2729.2221</v>
      </c>
      <c r="F32" s="30">
        <v>0.98357419856560602</v>
      </c>
      <c r="G32" s="29">
        <v>8.3678000000000008</v>
      </c>
    </row>
    <row r="33" spans="1:9" x14ac:dyDescent="0.2">
      <c r="A33" s="27" t="s">
        <v>1142</v>
      </c>
      <c r="B33" s="27" t="s">
        <v>1143</v>
      </c>
      <c r="C33" s="27" t="s">
        <v>1029</v>
      </c>
      <c r="D33" s="31">
        <v>350</v>
      </c>
      <c r="E33" s="29">
        <v>2641.3038750000001</v>
      </c>
      <c r="F33" s="30">
        <v>0.95188967655705103</v>
      </c>
      <c r="G33" s="29">
        <v>8.3552</v>
      </c>
    </row>
    <row r="34" spans="1:9" x14ac:dyDescent="0.2">
      <c r="A34" s="27" t="s">
        <v>1065</v>
      </c>
      <c r="B34" s="27" t="s">
        <v>1066</v>
      </c>
      <c r="C34" s="27" t="s">
        <v>35</v>
      </c>
      <c r="D34" s="31">
        <v>250</v>
      </c>
      <c r="E34" s="29">
        <v>2622.0124999999998</v>
      </c>
      <c r="F34" s="30">
        <v>0.94493732969423805</v>
      </c>
      <c r="G34" s="29">
        <v>9.9357000000000006</v>
      </c>
    </row>
    <row r="35" spans="1:9" x14ac:dyDescent="0.2">
      <c r="A35" s="27" t="s">
        <v>1144</v>
      </c>
      <c r="B35" s="27" t="s">
        <v>1145</v>
      </c>
      <c r="C35" s="27" t="s">
        <v>1137</v>
      </c>
      <c r="D35" s="31">
        <v>260</v>
      </c>
      <c r="E35" s="29">
        <v>2468.2294000000002</v>
      </c>
      <c r="F35" s="30">
        <v>0.88951601043427997</v>
      </c>
      <c r="G35" s="29">
        <v>14.404999999999999</v>
      </c>
    </row>
    <row r="36" spans="1:9" x14ac:dyDescent="0.2">
      <c r="A36" s="27" t="s">
        <v>1150</v>
      </c>
      <c r="B36" s="27" t="s">
        <v>1151</v>
      </c>
      <c r="C36" s="27" t="s">
        <v>1029</v>
      </c>
      <c r="D36" s="31">
        <v>176</v>
      </c>
      <c r="E36" s="29">
        <v>1784.7526399999999</v>
      </c>
      <c r="F36" s="30">
        <v>0.64320036376880096</v>
      </c>
      <c r="G36" s="29">
        <v>9.8553999999999995</v>
      </c>
    </row>
    <row r="37" spans="1:9" x14ac:dyDescent="0.2">
      <c r="A37" s="27" t="s">
        <v>1152</v>
      </c>
      <c r="B37" s="27" t="s">
        <v>1153</v>
      </c>
      <c r="C37" s="27" t="s">
        <v>1029</v>
      </c>
      <c r="D37" s="31">
        <v>176</v>
      </c>
      <c r="E37" s="29">
        <v>1782.06864</v>
      </c>
      <c r="F37" s="30">
        <v>0.64223308699460502</v>
      </c>
      <c r="G37" s="29">
        <v>10.0808</v>
      </c>
    </row>
    <row r="38" spans="1:9" x14ac:dyDescent="0.2">
      <c r="A38" s="27" t="s">
        <v>1071</v>
      </c>
      <c r="B38" s="27" t="s">
        <v>1072</v>
      </c>
      <c r="C38" s="27" t="s">
        <v>35</v>
      </c>
      <c r="D38" s="31">
        <v>150</v>
      </c>
      <c r="E38" s="29">
        <v>1530.8489999999999</v>
      </c>
      <c r="F38" s="30">
        <v>0.551696975596072</v>
      </c>
      <c r="G38" s="29">
        <v>9.0390999999999995</v>
      </c>
    </row>
    <row r="39" spans="1:9" x14ac:dyDescent="0.2">
      <c r="A39" s="27" t="s">
        <v>1069</v>
      </c>
      <c r="B39" s="27" t="s">
        <v>1070</v>
      </c>
      <c r="C39" s="27" t="s">
        <v>998</v>
      </c>
      <c r="D39" s="31">
        <v>90</v>
      </c>
      <c r="E39" s="29">
        <v>907.3143</v>
      </c>
      <c r="F39" s="30">
        <v>0.32698362491994098</v>
      </c>
      <c r="G39" s="29">
        <v>8.0203000000000007</v>
      </c>
    </row>
    <row r="40" spans="1:9" x14ac:dyDescent="0.2">
      <c r="A40" s="27" t="s">
        <v>1035</v>
      </c>
      <c r="B40" s="27" t="s">
        <v>1036</v>
      </c>
      <c r="C40" s="27" t="s">
        <v>1037</v>
      </c>
      <c r="D40" s="31">
        <v>95</v>
      </c>
      <c r="E40" s="29">
        <v>850.42100000000005</v>
      </c>
      <c r="F40" s="30">
        <v>0.30648006020410001</v>
      </c>
      <c r="G40" s="29">
        <v>12.095800000000001</v>
      </c>
    </row>
    <row r="41" spans="1:9" x14ac:dyDescent="0.2">
      <c r="A41" s="27" t="s">
        <v>1300</v>
      </c>
      <c r="B41" s="27" t="s">
        <v>1301</v>
      </c>
      <c r="C41" s="27" t="s">
        <v>898</v>
      </c>
      <c r="D41" s="31">
        <v>74</v>
      </c>
      <c r="E41" s="29">
        <v>756.92675999999994</v>
      </c>
      <c r="F41" s="30">
        <v>0.27278601889522303</v>
      </c>
      <c r="G41" s="29">
        <v>4.5999999999999996</v>
      </c>
    </row>
    <row r="42" spans="1:9" x14ac:dyDescent="0.2">
      <c r="A42" s="27" t="s">
        <v>1073</v>
      </c>
      <c r="B42" s="27" t="s">
        <v>1074</v>
      </c>
      <c r="C42" s="27" t="s">
        <v>1037</v>
      </c>
      <c r="D42" s="31">
        <v>40</v>
      </c>
      <c r="E42" s="29">
        <v>406.6404</v>
      </c>
      <c r="F42" s="30">
        <v>0.146547620852989</v>
      </c>
      <c r="G42" s="29">
        <v>5.125</v>
      </c>
    </row>
    <row r="43" spans="1:9" x14ac:dyDescent="0.2">
      <c r="A43" s="27" t="s">
        <v>1277</v>
      </c>
      <c r="B43" s="27" t="s">
        <v>1278</v>
      </c>
      <c r="C43" s="27" t="s">
        <v>1032</v>
      </c>
      <c r="D43" s="31">
        <v>400</v>
      </c>
      <c r="E43" s="29">
        <v>400.1816</v>
      </c>
      <c r="F43" s="30">
        <v>0.144219957950913</v>
      </c>
      <c r="G43" s="29">
        <v>10.0503</v>
      </c>
    </row>
    <row r="44" spans="1:9" x14ac:dyDescent="0.2">
      <c r="A44" s="27" t="s">
        <v>1302</v>
      </c>
      <c r="B44" s="27" t="s">
        <v>1303</v>
      </c>
      <c r="C44" s="27" t="s">
        <v>39</v>
      </c>
      <c r="D44" s="31">
        <v>3</v>
      </c>
      <c r="E44" s="29">
        <v>300.20999999999998</v>
      </c>
      <c r="F44" s="30">
        <v>0.108191564970612</v>
      </c>
      <c r="G44" s="29">
        <v>3.3487</v>
      </c>
    </row>
    <row r="45" spans="1:9" x14ac:dyDescent="0.2">
      <c r="A45" s="26" t="s">
        <v>40</v>
      </c>
      <c r="B45" s="26"/>
      <c r="C45" s="26"/>
      <c r="D45" s="32"/>
      <c r="E45" s="33">
        <f>SUM(E6:E44)</f>
        <v>225835.58505500003</v>
      </c>
      <c r="F45" s="34">
        <f>SUM(F6:F44)</f>
        <v>81.388046278119475</v>
      </c>
      <c r="G45" s="33"/>
      <c r="H45" s="18"/>
      <c r="I45" s="18"/>
    </row>
    <row r="46" spans="1:9" x14ac:dyDescent="0.2">
      <c r="A46" s="27"/>
      <c r="B46" s="27"/>
      <c r="C46" s="27"/>
      <c r="D46" s="28"/>
      <c r="E46" s="29"/>
      <c r="F46" s="30"/>
      <c r="G46" s="29"/>
    </row>
    <row r="47" spans="1:9" x14ac:dyDescent="0.2">
      <c r="A47" s="26" t="s">
        <v>41</v>
      </c>
      <c r="B47" s="27"/>
      <c r="C47" s="27"/>
      <c r="D47" s="28"/>
      <c r="E47" s="29"/>
      <c r="F47" s="30"/>
      <c r="G47" s="29"/>
    </row>
    <row r="48" spans="1:9" x14ac:dyDescent="0.2">
      <c r="A48" s="27" t="s">
        <v>1091</v>
      </c>
      <c r="B48" s="27" t="s">
        <v>1092</v>
      </c>
      <c r="C48" s="27" t="s">
        <v>1077</v>
      </c>
      <c r="D48" s="31">
        <v>230</v>
      </c>
      <c r="E48" s="29">
        <v>22489.149300000001</v>
      </c>
      <c r="F48" s="30">
        <v>8.1047808454906498</v>
      </c>
      <c r="G48" s="29">
        <v>9.5150000000000006</v>
      </c>
    </row>
    <row r="49" spans="1:9" x14ac:dyDescent="0.2">
      <c r="A49" s="27" t="s">
        <v>1086</v>
      </c>
      <c r="B49" s="27" t="s">
        <v>1087</v>
      </c>
      <c r="C49" s="27" t="s">
        <v>1088</v>
      </c>
      <c r="D49" s="31">
        <v>1000</v>
      </c>
      <c r="E49" s="29">
        <v>7359.6886400000003</v>
      </c>
      <c r="F49" s="30">
        <v>2.65233080729501</v>
      </c>
      <c r="G49" s="29">
        <v>11.425000000000001</v>
      </c>
    </row>
    <row r="50" spans="1:9" x14ac:dyDescent="0.2">
      <c r="A50" s="27" t="s">
        <v>1078</v>
      </c>
      <c r="B50" s="27" t="s">
        <v>1079</v>
      </c>
      <c r="C50" s="27" t="s">
        <v>1080</v>
      </c>
      <c r="D50" s="31">
        <v>580</v>
      </c>
      <c r="E50" s="29">
        <v>5179.2743099999998</v>
      </c>
      <c r="F50" s="30">
        <v>1.8665393991239101</v>
      </c>
      <c r="G50" s="29">
        <v>11.962899999999999</v>
      </c>
    </row>
    <row r="51" spans="1:9" x14ac:dyDescent="0.2">
      <c r="A51" s="27" t="s">
        <v>1083</v>
      </c>
      <c r="B51" s="27" t="s">
        <v>1084</v>
      </c>
      <c r="C51" s="27" t="s">
        <v>1085</v>
      </c>
      <c r="D51" s="31">
        <v>200</v>
      </c>
      <c r="E51" s="29">
        <v>1888.94</v>
      </c>
      <c r="F51" s="30">
        <v>0.68074805881079303</v>
      </c>
      <c r="G51" s="29">
        <v>12.355</v>
      </c>
    </row>
    <row r="52" spans="1:9" x14ac:dyDescent="0.2">
      <c r="A52" s="27" t="s">
        <v>1075</v>
      </c>
      <c r="B52" s="27" t="s">
        <v>1076</v>
      </c>
      <c r="C52" s="27" t="s">
        <v>1077</v>
      </c>
      <c r="D52" s="31">
        <v>110</v>
      </c>
      <c r="E52" s="29">
        <v>1139.6748</v>
      </c>
      <c r="F52" s="30">
        <v>0.41072316101918499</v>
      </c>
      <c r="G52" s="29">
        <v>7.8250000000000002</v>
      </c>
    </row>
    <row r="53" spans="1:9" x14ac:dyDescent="0.2">
      <c r="A53" s="27" t="s">
        <v>1093</v>
      </c>
      <c r="B53" s="27" t="s">
        <v>1094</v>
      </c>
      <c r="C53" s="27" t="s">
        <v>1080</v>
      </c>
      <c r="D53" s="31">
        <v>130</v>
      </c>
      <c r="E53" s="29">
        <v>1136.4102</v>
      </c>
      <c r="F53" s="30">
        <v>0.40954664397110802</v>
      </c>
      <c r="G53" s="29">
        <v>11.962899999999999</v>
      </c>
    </row>
    <row r="54" spans="1:9" x14ac:dyDescent="0.2">
      <c r="A54" s="27" t="s">
        <v>1089</v>
      </c>
      <c r="B54" s="27" t="s">
        <v>1090</v>
      </c>
      <c r="C54" s="27" t="s">
        <v>1077</v>
      </c>
      <c r="D54" s="31">
        <v>50</v>
      </c>
      <c r="E54" s="29">
        <v>517.45600000000002</v>
      </c>
      <c r="F54" s="30">
        <v>0.18648404264825699</v>
      </c>
      <c r="G54" s="29">
        <v>7.73</v>
      </c>
    </row>
    <row r="55" spans="1:9" x14ac:dyDescent="0.2">
      <c r="A55" s="27" t="s">
        <v>1304</v>
      </c>
      <c r="B55" s="27" t="s">
        <v>1305</v>
      </c>
      <c r="C55" s="27" t="s">
        <v>1097</v>
      </c>
      <c r="D55" s="31">
        <v>750</v>
      </c>
      <c r="E55" s="29">
        <v>0</v>
      </c>
      <c r="F55" s="29">
        <v>0</v>
      </c>
      <c r="G55" s="29">
        <v>0</v>
      </c>
    </row>
    <row r="56" spans="1:9" x14ac:dyDescent="0.2">
      <c r="A56" s="27" t="s">
        <v>1261</v>
      </c>
      <c r="B56" s="27" t="s">
        <v>1262</v>
      </c>
      <c r="C56" s="27" t="s">
        <v>1097</v>
      </c>
      <c r="D56" s="31">
        <v>150</v>
      </c>
      <c r="E56" s="29">
        <v>0</v>
      </c>
      <c r="F56" s="29">
        <v>0</v>
      </c>
      <c r="G56" s="29">
        <v>0</v>
      </c>
    </row>
    <row r="57" spans="1:9" x14ac:dyDescent="0.2">
      <c r="A57" s="26" t="s">
        <v>40</v>
      </c>
      <c r="B57" s="26"/>
      <c r="C57" s="26"/>
      <c r="D57" s="32"/>
      <c r="E57" s="33">
        <f>SUM(E47:E56)</f>
        <v>39710.593249999998</v>
      </c>
      <c r="F57" s="34">
        <f>SUM(F47:F56)</f>
        <v>14.311152958358914</v>
      </c>
      <c r="G57" s="33"/>
      <c r="H57" s="18"/>
      <c r="I57" s="18"/>
    </row>
    <row r="58" spans="1:9" x14ac:dyDescent="0.2">
      <c r="A58" s="27"/>
      <c r="B58" s="27"/>
      <c r="C58" s="27"/>
      <c r="D58" s="28"/>
      <c r="E58" s="29"/>
      <c r="F58" s="30"/>
      <c r="G58" s="29"/>
    </row>
    <row r="59" spans="1:9" x14ac:dyDescent="0.2">
      <c r="A59" s="26" t="s">
        <v>44</v>
      </c>
      <c r="B59" s="26"/>
      <c r="C59" s="26"/>
      <c r="D59" s="32"/>
      <c r="E59" s="33">
        <f>E45+E57</f>
        <v>265546.17830500001</v>
      </c>
      <c r="F59" s="34">
        <f>F45+F57</f>
        <v>95.699199236478393</v>
      </c>
      <c r="G59" s="33"/>
      <c r="H59" s="18"/>
      <c r="I59" s="18"/>
    </row>
    <row r="60" spans="1:9" x14ac:dyDescent="0.2">
      <c r="A60" s="26"/>
      <c r="B60" s="26"/>
      <c r="C60" s="26"/>
      <c r="D60" s="32"/>
      <c r="E60" s="33"/>
      <c r="F60" s="34"/>
      <c r="G60" s="33"/>
      <c r="H60" s="18"/>
      <c r="I60" s="18"/>
    </row>
    <row r="61" spans="1:9" x14ac:dyDescent="0.2">
      <c r="A61" s="26" t="s">
        <v>46</v>
      </c>
      <c r="B61" s="26"/>
      <c r="C61" s="26"/>
      <c r="D61" s="32"/>
      <c r="E61" s="33">
        <f>E63-(E45+E57)</f>
        <v>11933.863768099982</v>
      </c>
      <c r="F61" s="34">
        <f>F63-(F45+F57)</f>
        <v>4.3008007635216075</v>
      </c>
      <c r="G61" s="33"/>
      <c r="H61" s="18"/>
      <c r="I61" s="18"/>
    </row>
    <row r="62" spans="1:9" x14ac:dyDescent="0.2">
      <c r="A62" s="26"/>
      <c r="B62" s="26"/>
      <c r="C62" s="26"/>
      <c r="D62" s="32"/>
      <c r="E62" s="33"/>
      <c r="F62" s="34"/>
      <c r="G62" s="33"/>
      <c r="H62" s="18"/>
      <c r="I62" s="18"/>
    </row>
    <row r="63" spans="1:9" x14ac:dyDescent="0.2">
      <c r="A63" s="35" t="s">
        <v>45</v>
      </c>
      <c r="B63" s="35"/>
      <c r="C63" s="35"/>
      <c r="D63" s="36"/>
      <c r="E63" s="37">
        <v>277480.04207309999</v>
      </c>
      <c r="F63" s="38">
        <v>100</v>
      </c>
      <c r="G63" s="37"/>
      <c r="H63" s="18"/>
      <c r="I63" s="18"/>
    </row>
    <row r="64" spans="1:9" x14ac:dyDescent="0.2">
      <c r="F64" s="20"/>
    </row>
    <row r="65" spans="1:5" x14ac:dyDescent="0.2">
      <c r="A65" s="18" t="s">
        <v>47</v>
      </c>
    </row>
    <row r="66" spans="1:5" x14ac:dyDescent="0.2">
      <c r="A66" s="47" t="s">
        <v>1102</v>
      </c>
    </row>
    <row r="68" spans="1:5" x14ac:dyDescent="0.2">
      <c r="A68" s="18" t="s">
        <v>48</v>
      </c>
    </row>
    <row r="69" spans="1:5" x14ac:dyDescent="0.2">
      <c r="A69" s="18" t="s">
        <v>49</v>
      </c>
    </row>
    <row r="70" spans="1:5" x14ac:dyDescent="0.2">
      <c r="A70" s="18" t="s">
        <v>50</v>
      </c>
      <c r="B70" s="18"/>
      <c r="C70" s="39" t="s">
        <v>52</v>
      </c>
      <c r="D70" s="19" t="s">
        <v>51</v>
      </c>
    </row>
    <row r="71" spans="1:5" x14ac:dyDescent="0.2">
      <c r="A71" s="9" t="s">
        <v>70</v>
      </c>
      <c r="C71" s="40">
        <v>18.474</v>
      </c>
      <c r="D71" s="40">
        <v>20.2851</v>
      </c>
    </row>
    <row r="72" spans="1:5" x14ac:dyDescent="0.2">
      <c r="A72" s="9" t="s">
        <v>76</v>
      </c>
      <c r="C72" s="40">
        <v>9.9067000000000007</v>
      </c>
      <c r="D72" s="40">
        <v>10.878</v>
      </c>
    </row>
    <row r="73" spans="1:5" x14ac:dyDescent="0.2">
      <c r="A73" s="9" t="s">
        <v>73</v>
      </c>
      <c r="C73" s="40">
        <v>19.616800000000001</v>
      </c>
      <c r="D73" s="40">
        <v>21.601400000000002</v>
      </c>
    </row>
    <row r="74" spans="1:5" x14ac:dyDescent="0.2">
      <c r="A74" s="9" t="s">
        <v>77</v>
      </c>
      <c r="C74" s="40">
        <v>10.7507</v>
      </c>
      <c r="D74" s="40">
        <v>11.8383</v>
      </c>
    </row>
    <row r="76" spans="1:5" x14ac:dyDescent="0.2">
      <c r="A76" s="18" t="s">
        <v>53</v>
      </c>
      <c r="D76" s="41" t="s">
        <v>54</v>
      </c>
    </row>
    <row r="78" spans="1:5" x14ac:dyDescent="0.2">
      <c r="A78" s="18" t="s">
        <v>793</v>
      </c>
      <c r="D78" s="42">
        <v>3.0348497400548</v>
      </c>
      <c r="E78" s="13" t="s">
        <v>55</v>
      </c>
    </row>
    <row r="80" spans="1:5" x14ac:dyDescent="0.2">
      <c r="A80" s="18" t="s">
        <v>1477</v>
      </c>
      <c r="D80" s="41" t="s">
        <v>54</v>
      </c>
    </row>
    <row r="81" spans="1:7" x14ac:dyDescent="0.2">
      <c r="A81" s="9" t="s">
        <v>1103</v>
      </c>
    </row>
    <row r="82" spans="1:7" x14ac:dyDescent="0.2">
      <c r="A82" s="50" t="s">
        <v>1104</v>
      </c>
    </row>
    <row r="84" spans="1:7" ht="30.75" customHeight="1" x14ac:dyDescent="0.2">
      <c r="A84" s="79" t="s">
        <v>1306</v>
      </c>
      <c r="B84" s="79"/>
      <c r="C84" s="79"/>
      <c r="D84" s="79"/>
      <c r="E84" s="79"/>
      <c r="F84" s="79"/>
      <c r="G84" s="79"/>
    </row>
    <row r="86" spans="1:7" ht="39" customHeight="1" x14ac:dyDescent="0.2">
      <c r="A86" s="80" t="s">
        <v>1307</v>
      </c>
      <c r="B86" s="80"/>
      <c r="C86" s="80"/>
      <c r="D86" s="80"/>
      <c r="E86" s="80"/>
      <c r="F86" s="80"/>
      <c r="G86" s="80"/>
    </row>
    <row r="88" spans="1:7" ht="45" customHeight="1" x14ac:dyDescent="0.2">
      <c r="A88" s="80" t="s">
        <v>1308</v>
      </c>
      <c r="B88" s="80"/>
      <c r="C88" s="80"/>
      <c r="D88" s="80"/>
      <c r="E88" s="80"/>
      <c r="F88" s="80"/>
      <c r="G88" s="80"/>
    </row>
    <row r="89" spans="1:7" x14ac:dyDescent="0.2">
      <c r="A89" s="56" t="s">
        <v>1108</v>
      </c>
      <c r="B89" s="58"/>
      <c r="C89" s="58"/>
      <c r="D89" s="58"/>
      <c r="E89" s="58"/>
      <c r="F89" s="58"/>
      <c r="G89" s="58"/>
    </row>
    <row r="91" spans="1:7" ht="26.25" customHeight="1" x14ac:dyDescent="0.2">
      <c r="A91" s="81" t="s">
        <v>1109</v>
      </c>
      <c r="B91" s="81"/>
      <c r="C91" s="81"/>
      <c r="D91" s="81"/>
      <c r="E91" s="81"/>
      <c r="F91" s="81"/>
      <c r="G91" s="81"/>
    </row>
    <row r="93" spans="1:7" ht="14.4" x14ac:dyDescent="0.2">
      <c r="A93" s="70" t="s">
        <v>1110</v>
      </c>
      <c r="B93" s="71"/>
      <c r="C93" s="71"/>
      <c r="D93" s="71"/>
      <c r="E93" s="71"/>
      <c r="F93" s="71"/>
      <c r="G93" s="71"/>
    </row>
    <row r="94" spans="1:7" x14ac:dyDescent="0.2">
      <c r="A94" s="50" t="s">
        <v>56</v>
      </c>
    </row>
    <row r="96" spans="1:7" s="1" customFormat="1" ht="13.8" x14ac:dyDescent="0.2">
      <c r="A96" s="72" t="s">
        <v>1309</v>
      </c>
      <c r="B96" s="73"/>
      <c r="C96" s="73"/>
      <c r="D96" s="73"/>
      <c r="E96" s="73"/>
      <c r="F96" s="73"/>
      <c r="G96" s="73"/>
    </row>
    <row r="97" spans="1:9" x14ac:dyDescent="0.2">
      <c r="A97" s="18" t="s">
        <v>7</v>
      </c>
    </row>
    <row r="98" spans="1:9" s="1" customFormat="1" ht="17.55" customHeight="1" x14ac:dyDescent="0.2">
      <c r="A98" s="8" t="s">
        <v>2</v>
      </c>
      <c r="B98" s="8" t="s">
        <v>0</v>
      </c>
      <c r="C98" s="17" t="s">
        <v>735</v>
      </c>
      <c r="D98" s="16" t="s">
        <v>1</v>
      </c>
      <c r="E98" s="15" t="s">
        <v>3</v>
      </c>
      <c r="F98" s="15" t="s">
        <v>4</v>
      </c>
      <c r="G98" s="15" t="s">
        <v>6</v>
      </c>
    </row>
    <row r="99" spans="1:9" x14ac:dyDescent="0.2">
      <c r="A99" s="21" t="s">
        <v>31</v>
      </c>
      <c r="B99" s="22"/>
      <c r="C99" s="22"/>
      <c r="D99" s="23"/>
      <c r="E99" s="24"/>
      <c r="F99" s="25"/>
      <c r="G99" s="24"/>
    </row>
    <row r="100" spans="1:9" x14ac:dyDescent="0.2">
      <c r="A100" s="26" t="s">
        <v>32</v>
      </c>
      <c r="B100" s="27"/>
      <c r="C100" s="27"/>
      <c r="D100" s="28"/>
      <c r="E100" s="29"/>
      <c r="F100" s="30"/>
      <c r="G100" s="29"/>
    </row>
    <row r="101" spans="1:9" x14ac:dyDescent="0.2">
      <c r="A101" s="27" t="s">
        <v>1112</v>
      </c>
      <c r="B101" s="27" t="s">
        <v>1113</v>
      </c>
      <c r="C101" s="27" t="s">
        <v>1114</v>
      </c>
      <c r="D101" s="31">
        <v>3370</v>
      </c>
      <c r="E101" s="29">
        <v>0</v>
      </c>
      <c r="F101" s="61">
        <v>100</v>
      </c>
      <c r="G101" s="29">
        <v>0</v>
      </c>
    </row>
    <row r="102" spans="1:9" x14ac:dyDescent="0.2">
      <c r="A102" s="26" t="s">
        <v>40</v>
      </c>
      <c r="B102" s="26"/>
      <c r="C102" s="26"/>
      <c r="D102" s="32"/>
      <c r="E102" s="33">
        <f>SUM(E100:E101)</f>
        <v>0</v>
      </c>
      <c r="F102" s="62">
        <f>SUM(F100:F101)</f>
        <v>100</v>
      </c>
      <c r="G102" s="33"/>
      <c r="H102" s="18"/>
      <c r="I102" s="18"/>
    </row>
    <row r="103" spans="1:9" x14ac:dyDescent="0.2">
      <c r="A103" s="27"/>
      <c r="B103" s="27"/>
      <c r="C103" s="27"/>
      <c r="D103" s="28"/>
      <c r="E103" s="29"/>
      <c r="F103" s="63"/>
      <c r="G103" s="29"/>
    </row>
    <row r="104" spans="1:9" x14ac:dyDescent="0.2">
      <c r="A104" s="26" t="s">
        <v>44</v>
      </c>
      <c r="B104" s="26"/>
      <c r="C104" s="26"/>
      <c r="D104" s="32"/>
      <c r="E104" s="33">
        <f>E102</f>
        <v>0</v>
      </c>
      <c r="F104" s="62">
        <f>F102</f>
        <v>100</v>
      </c>
      <c r="G104" s="33"/>
      <c r="H104" s="18"/>
      <c r="I104" s="18"/>
    </row>
    <row r="105" spans="1:9" x14ac:dyDescent="0.2">
      <c r="A105" s="26"/>
      <c r="B105" s="26"/>
      <c r="C105" s="26"/>
      <c r="D105" s="32"/>
      <c r="E105" s="33"/>
      <c r="F105" s="62"/>
      <c r="G105" s="33"/>
      <c r="H105" s="18"/>
      <c r="I105" s="18"/>
    </row>
    <row r="106" spans="1:9" x14ac:dyDescent="0.2">
      <c r="A106" s="26" t="s">
        <v>46</v>
      </c>
      <c r="B106" s="26"/>
      <c r="C106" s="26"/>
      <c r="D106" s="32"/>
      <c r="E106" s="33">
        <f>E108-(E102)</f>
        <v>3.9999999999999998E-7</v>
      </c>
      <c r="F106" s="34">
        <v>0</v>
      </c>
      <c r="G106" s="33"/>
      <c r="H106" s="18"/>
      <c r="I106" s="18"/>
    </row>
    <row r="107" spans="1:9" x14ac:dyDescent="0.2">
      <c r="A107" s="26"/>
      <c r="B107" s="26"/>
      <c r="C107" s="26"/>
      <c r="D107" s="32"/>
      <c r="E107" s="33"/>
      <c r="F107" s="62"/>
      <c r="G107" s="33"/>
      <c r="H107" s="18"/>
      <c r="I107" s="18"/>
    </row>
    <row r="108" spans="1:9" x14ac:dyDescent="0.2">
      <c r="A108" s="35" t="s">
        <v>45</v>
      </c>
      <c r="B108" s="35"/>
      <c r="C108" s="35"/>
      <c r="D108" s="36"/>
      <c r="E108" s="37">
        <v>3.9999999999999998E-7</v>
      </c>
      <c r="F108" s="64">
        <v>100</v>
      </c>
      <c r="G108" s="37"/>
      <c r="H108" s="18"/>
      <c r="I108" s="18"/>
    </row>
    <row r="110" spans="1:9" x14ac:dyDescent="0.2">
      <c r="A110" s="18" t="s">
        <v>47</v>
      </c>
    </row>
    <row r="111" spans="1:9" x14ac:dyDescent="0.2">
      <c r="A111" s="47" t="s">
        <v>1102</v>
      </c>
    </row>
    <row r="112" spans="1:9" x14ac:dyDescent="0.2">
      <c r="A112" s="18" t="s">
        <v>1115</v>
      </c>
    </row>
    <row r="113" spans="1:7" x14ac:dyDescent="0.2">
      <c r="A113" s="18"/>
    </row>
    <row r="114" spans="1:7" x14ac:dyDescent="0.2">
      <c r="A114" s="18" t="s">
        <v>48</v>
      </c>
    </row>
    <row r="115" spans="1:7" x14ac:dyDescent="0.2">
      <c r="A115" s="18" t="s">
        <v>49</v>
      </c>
    </row>
    <row r="116" spans="1:7" x14ac:dyDescent="0.2">
      <c r="A116" s="18" t="s">
        <v>50</v>
      </c>
      <c r="B116" s="18"/>
      <c r="C116" s="39" t="s">
        <v>52</v>
      </c>
      <c r="D116" s="19" t="s">
        <v>51</v>
      </c>
    </row>
    <row r="117" spans="1:7" x14ac:dyDescent="0.2">
      <c r="A117" s="9" t="s">
        <v>70</v>
      </c>
      <c r="C117" s="40">
        <v>0</v>
      </c>
      <c r="D117" s="40">
        <v>0</v>
      </c>
    </row>
    <row r="118" spans="1:7" x14ac:dyDescent="0.2">
      <c r="A118" s="9" t="s">
        <v>76</v>
      </c>
      <c r="C118" s="40">
        <v>0</v>
      </c>
      <c r="D118" s="40">
        <v>0</v>
      </c>
    </row>
    <row r="119" spans="1:7" x14ac:dyDescent="0.2">
      <c r="A119" s="9" t="s">
        <v>73</v>
      </c>
      <c r="C119" s="40">
        <v>0</v>
      </c>
      <c r="D119" s="40">
        <v>0</v>
      </c>
    </row>
    <row r="120" spans="1:7" x14ac:dyDescent="0.2">
      <c r="A120" s="9" t="s">
        <v>77</v>
      </c>
      <c r="C120" s="40">
        <v>0</v>
      </c>
      <c r="D120" s="40">
        <v>0</v>
      </c>
    </row>
    <row r="122" spans="1:7" x14ac:dyDescent="0.2">
      <c r="A122" s="18" t="s">
        <v>1478</v>
      </c>
      <c r="D122" s="41" t="s">
        <v>54</v>
      </c>
    </row>
    <row r="123" spans="1:7" x14ac:dyDescent="0.2">
      <c r="A123" s="9" t="s">
        <v>1103</v>
      </c>
    </row>
    <row r="124" spans="1:7" x14ac:dyDescent="0.2">
      <c r="A124" s="50" t="s">
        <v>1104</v>
      </c>
    </row>
    <row r="126" spans="1:7" ht="14.4" x14ac:dyDescent="0.2">
      <c r="A126" s="70" t="s">
        <v>1116</v>
      </c>
      <c r="B126" s="71"/>
      <c r="C126" s="71"/>
      <c r="D126" s="71"/>
      <c r="E126" s="71"/>
      <c r="F126" s="71"/>
      <c r="G126" s="71"/>
    </row>
    <row r="127" spans="1:7" x14ac:dyDescent="0.2">
      <c r="A127" s="50" t="s">
        <v>56</v>
      </c>
    </row>
    <row r="129" spans="1:9" s="1" customFormat="1" ht="13.8" x14ac:dyDescent="0.2">
      <c r="A129" s="72" t="s">
        <v>1310</v>
      </c>
      <c r="B129" s="73"/>
      <c r="C129" s="73"/>
      <c r="D129" s="73"/>
      <c r="E129" s="73"/>
      <c r="F129" s="73"/>
      <c r="G129" s="73"/>
    </row>
    <row r="130" spans="1:9" x14ac:dyDescent="0.2">
      <c r="A130" s="18" t="s">
        <v>7</v>
      </c>
    </row>
    <row r="131" spans="1:9" s="1" customFormat="1" ht="17.55" customHeight="1" x14ac:dyDescent="0.2">
      <c r="A131" s="8" t="s">
        <v>2</v>
      </c>
      <c r="B131" s="8" t="s">
        <v>0</v>
      </c>
      <c r="C131" s="17" t="s">
        <v>735</v>
      </c>
      <c r="D131" s="16" t="s">
        <v>1</v>
      </c>
      <c r="E131" s="15" t="s">
        <v>3</v>
      </c>
      <c r="F131" s="15" t="s">
        <v>4</v>
      </c>
      <c r="G131" s="15" t="s">
        <v>6</v>
      </c>
    </row>
    <row r="132" spans="1:9" x14ac:dyDescent="0.2">
      <c r="A132" s="21" t="s">
        <v>31</v>
      </c>
      <c r="B132" s="22"/>
      <c r="C132" s="22"/>
      <c r="D132" s="23"/>
      <c r="E132" s="24"/>
      <c r="F132" s="25"/>
      <c r="G132" s="24"/>
    </row>
    <row r="133" spans="1:9" x14ac:dyDescent="0.2">
      <c r="A133" s="26" t="s">
        <v>32</v>
      </c>
      <c r="B133" s="27"/>
      <c r="C133" s="27"/>
      <c r="D133" s="28"/>
      <c r="E133" s="29"/>
      <c r="F133" s="30"/>
      <c r="G133" s="29"/>
    </row>
    <row r="134" spans="1:9" ht="20.399999999999999" x14ac:dyDescent="0.2">
      <c r="A134" s="27" t="s">
        <v>1118</v>
      </c>
      <c r="B134" s="27" t="s">
        <v>1119</v>
      </c>
      <c r="C134" s="51" t="s">
        <v>1120</v>
      </c>
      <c r="D134" s="31">
        <v>1695</v>
      </c>
      <c r="E134" s="29">
        <v>0</v>
      </c>
      <c r="F134" s="61">
        <v>100</v>
      </c>
      <c r="G134" s="29">
        <v>0</v>
      </c>
    </row>
    <row r="135" spans="1:9" x14ac:dyDescent="0.2">
      <c r="A135" s="26" t="s">
        <v>40</v>
      </c>
      <c r="B135" s="26"/>
      <c r="C135" s="26"/>
      <c r="D135" s="32"/>
      <c r="E135" s="33">
        <f>SUM(E133:E134)</f>
        <v>0</v>
      </c>
      <c r="F135" s="62">
        <f>SUM(F133:F134)</f>
        <v>100</v>
      </c>
      <c r="G135" s="33"/>
      <c r="H135" s="18"/>
      <c r="I135" s="18"/>
    </row>
    <row r="136" spans="1:9" x14ac:dyDescent="0.2">
      <c r="A136" s="27"/>
      <c r="B136" s="27"/>
      <c r="C136" s="27"/>
      <c r="D136" s="28"/>
      <c r="E136" s="29"/>
      <c r="F136" s="63"/>
      <c r="G136" s="29"/>
    </row>
    <row r="137" spans="1:9" x14ac:dyDescent="0.2">
      <c r="A137" s="26" t="s">
        <v>44</v>
      </c>
      <c r="B137" s="26"/>
      <c r="C137" s="26"/>
      <c r="D137" s="32"/>
      <c r="E137" s="33">
        <f>E135</f>
        <v>0</v>
      </c>
      <c r="F137" s="62">
        <f>F135</f>
        <v>100</v>
      </c>
      <c r="G137" s="33"/>
      <c r="H137" s="18"/>
      <c r="I137" s="18"/>
    </row>
    <row r="138" spans="1:9" x14ac:dyDescent="0.2">
      <c r="A138" s="26"/>
      <c r="B138" s="26"/>
      <c r="C138" s="26"/>
      <c r="D138" s="32"/>
      <c r="E138" s="33"/>
      <c r="F138" s="62"/>
      <c r="G138" s="33"/>
      <c r="H138" s="18"/>
      <c r="I138" s="18"/>
    </row>
    <row r="139" spans="1:9" x14ac:dyDescent="0.2">
      <c r="A139" s="26" t="s">
        <v>46</v>
      </c>
      <c r="B139" s="26"/>
      <c r="C139" s="26"/>
      <c r="D139" s="32"/>
      <c r="E139" s="33">
        <f>E141-(E135)</f>
        <v>3.9999999999999998E-7</v>
      </c>
      <c r="F139" s="34">
        <v>0</v>
      </c>
      <c r="G139" s="33"/>
      <c r="H139" s="18"/>
      <c r="I139" s="18"/>
    </row>
    <row r="140" spans="1:9" x14ac:dyDescent="0.2">
      <c r="A140" s="26"/>
      <c r="B140" s="26"/>
      <c r="C140" s="26"/>
      <c r="D140" s="32"/>
      <c r="E140" s="33"/>
      <c r="F140" s="62"/>
      <c r="G140" s="33"/>
      <c r="H140" s="18"/>
      <c r="I140" s="18"/>
    </row>
    <row r="141" spans="1:9" x14ac:dyDescent="0.2">
      <c r="A141" s="35" t="s">
        <v>45</v>
      </c>
      <c r="B141" s="35"/>
      <c r="C141" s="35"/>
      <c r="D141" s="36"/>
      <c r="E141" s="37">
        <v>3.9999999999999998E-7</v>
      </c>
      <c r="F141" s="64">
        <v>100</v>
      </c>
      <c r="G141" s="37"/>
      <c r="H141" s="18"/>
      <c r="I141" s="18"/>
    </row>
    <row r="143" spans="1:9" x14ac:dyDescent="0.2">
      <c r="A143" s="18" t="s">
        <v>47</v>
      </c>
    </row>
    <row r="144" spans="1:9" x14ac:dyDescent="0.2">
      <c r="A144" s="18" t="s">
        <v>1102</v>
      </c>
    </row>
    <row r="146" spans="1:7" x14ac:dyDescent="0.2">
      <c r="A146" s="18" t="s">
        <v>48</v>
      </c>
    </row>
    <row r="147" spans="1:7" x14ac:dyDescent="0.2">
      <c r="A147" s="18" t="s">
        <v>49</v>
      </c>
    </row>
    <row r="148" spans="1:7" x14ac:dyDescent="0.2">
      <c r="A148" s="18" t="s">
        <v>50</v>
      </c>
      <c r="B148" s="18"/>
      <c r="C148" s="39" t="s">
        <v>52</v>
      </c>
      <c r="D148" s="19" t="s">
        <v>51</v>
      </c>
    </row>
    <row r="149" spans="1:7" x14ac:dyDescent="0.2">
      <c r="A149" s="9" t="s">
        <v>70</v>
      </c>
      <c r="C149" s="40">
        <v>0</v>
      </c>
      <c r="D149" s="40">
        <v>0</v>
      </c>
    </row>
    <row r="150" spans="1:7" x14ac:dyDescent="0.2">
      <c r="A150" s="9" t="s">
        <v>76</v>
      </c>
      <c r="C150" s="40">
        <v>0</v>
      </c>
      <c r="D150" s="40">
        <v>0</v>
      </c>
    </row>
    <row r="151" spans="1:7" x14ac:dyDescent="0.2">
      <c r="A151" s="9" t="s">
        <v>73</v>
      </c>
      <c r="C151" s="40">
        <v>0</v>
      </c>
      <c r="D151" s="40">
        <v>0</v>
      </c>
    </row>
    <row r="152" spans="1:7" x14ac:dyDescent="0.2">
      <c r="A152" s="9" t="s">
        <v>77</v>
      </c>
      <c r="C152" s="40">
        <v>0</v>
      </c>
      <c r="D152" s="40">
        <v>0</v>
      </c>
    </row>
    <row r="154" spans="1:7" x14ac:dyDescent="0.2">
      <c r="A154" s="18" t="s">
        <v>1478</v>
      </c>
      <c r="D154" s="41" t="s">
        <v>54</v>
      </c>
    </row>
    <row r="155" spans="1:7" x14ac:dyDescent="0.2">
      <c r="A155" s="65" t="s">
        <v>1103</v>
      </c>
      <c r="B155" s="65"/>
      <c r="C155" s="65"/>
      <c r="D155" s="66"/>
    </row>
    <row r="156" spans="1:7" x14ac:dyDescent="0.2">
      <c r="A156" s="67" t="s">
        <v>1104</v>
      </c>
      <c r="B156" s="65"/>
      <c r="C156" s="65"/>
      <c r="D156" s="66"/>
    </row>
    <row r="158" spans="1:7" ht="14.4" x14ac:dyDescent="0.2">
      <c r="A158" s="70" t="s">
        <v>1116</v>
      </c>
      <c r="B158" s="71"/>
      <c r="C158" s="71"/>
      <c r="D158" s="71"/>
      <c r="E158" s="71"/>
      <c r="F158" s="71"/>
      <c r="G158" s="71"/>
    </row>
    <row r="159" spans="1:7" x14ac:dyDescent="0.2">
      <c r="A159" s="50" t="s">
        <v>56</v>
      </c>
    </row>
    <row r="161" spans="1:1" x14ac:dyDescent="0.2">
      <c r="A161" s="50"/>
    </row>
  </sheetData>
  <mergeCells count="10">
    <mergeCell ref="A96:G96"/>
    <mergeCell ref="A126:G126"/>
    <mergeCell ref="A129:G129"/>
    <mergeCell ref="A158:G158"/>
    <mergeCell ref="A1:G1"/>
    <mergeCell ref="A84:G84"/>
    <mergeCell ref="A86:G86"/>
    <mergeCell ref="A88:G88"/>
    <mergeCell ref="A91:G91"/>
    <mergeCell ref="A93:G93"/>
  </mergeCells>
  <conditionalFormatting sqref="F2:F3 F5:F54 F99:F100 F132:F133 F57:F83 F92 F95 F97 F109:F125 F128 F130 F142:F157 F162:F65545">
    <cfRule type="cellIs" dxfId="120" priority="10" stopIfTrue="1" operator="between">
      <formula>0.009</formula>
      <formula>-0.009</formula>
    </cfRule>
  </conditionalFormatting>
  <conditionalFormatting sqref="F85 F87 F90">
    <cfRule type="cellIs" dxfId="119" priority="9" stopIfTrue="1" operator="between">
      <formula>0.009</formula>
      <formula>-0.009</formula>
    </cfRule>
  </conditionalFormatting>
  <conditionalFormatting sqref="F94">
    <cfRule type="cellIs" dxfId="118" priority="7" stopIfTrue="1" operator="between">
      <formula>0.009</formula>
      <formula>-0.009</formula>
    </cfRule>
  </conditionalFormatting>
  <conditionalFormatting sqref="F102:F105 F107:F108">
    <cfRule type="cellIs" dxfId="117" priority="6" stopIfTrue="1" operator="between">
      <formula>0.009</formula>
      <formula>-0.009</formula>
    </cfRule>
  </conditionalFormatting>
  <conditionalFormatting sqref="F127">
    <cfRule type="cellIs" dxfId="116" priority="4" stopIfTrue="1" operator="between">
      <formula>0.009</formula>
      <formula>-0.009</formula>
    </cfRule>
  </conditionalFormatting>
  <conditionalFormatting sqref="F135:F138 F140:F141">
    <cfRule type="cellIs" dxfId="115" priority="3" stopIfTrue="1" operator="between">
      <formula>0.009</formula>
      <formula>-0.009</formula>
    </cfRule>
  </conditionalFormatting>
  <conditionalFormatting sqref="F160:F161">
    <cfRule type="cellIs" dxfId="114" priority="2" stopIfTrue="1" operator="between">
      <formula>0.009</formula>
      <formula>-0.009</formula>
    </cfRule>
  </conditionalFormatting>
  <conditionalFormatting sqref="F159">
    <cfRule type="cellIs" dxfId="113" priority="1" stopIfTrue="1" operator="between">
      <formula>0.009</formula>
      <formula>-0.009</formula>
    </cfRule>
  </conditionalFormatting>
  <hyperlinks>
    <hyperlink ref="A82" r:id="rId1" xr:uid="{00000000-0004-0000-0C00-000000000000}"/>
    <hyperlink ref="A89" r:id="rId2" xr:uid="{00000000-0004-0000-0C00-000001000000}"/>
    <hyperlink ref="A94" r:id="rId3" xr:uid="{00000000-0004-0000-0C00-000002000000}"/>
    <hyperlink ref="A124" r:id="rId4" xr:uid="{00000000-0004-0000-0C00-000003000000}"/>
    <hyperlink ref="A127" r:id="rId5" xr:uid="{00000000-0004-0000-0C00-000004000000}"/>
    <hyperlink ref="A156" r:id="rId6" xr:uid="{00000000-0004-0000-0C00-000005000000}"/>
    <hyperlink ref="A159" r:id="rId7" xr:uid="{00000000-0004-0000-0C00-000006000000}"/>
  </hyperlinks>
  <pageMargins left="0.7" right="0.7" top="0.75" bottom="0.75" header="0.3" footer="0.3"/>
  <pageSetup paperSize="9" orientation="portrait" r:id="rId8"/>
  <headerFooter>
    <oddFooter>&amp;R&amp;1#&amp;"Calibri"&amp;10&amp;KFF0000|PUBLIC|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2"/>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1311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1312</v>
      </c>
      <c r="B7" s="27" t="s">
        <v>1313</v>
      </c>
      <c r="C7" s="27" t="s">
        <v>970</v>
      </c>
      <c r="D7" s="31">
        <v>40</v>
      </c>
      <c r="E7" s="29">
        <v>519.69039999999995</v>
      </c>
      <c r="F7" s="30">
        <v>10.117537010685201</v>
      </c>
      <c r="G7" s="29">
        <v>5.34</v>
      </c>
    </row>
    <row r="8" spans="1:7" x14ac:dyDescent="0.2">
      <c r="A8" s="27" t="s">
        <v>1314</v>
      </c>
      <c r="B8" s="27" t="s">
        <v>1315</v>
      </c>
      <c r="C8" s="27" t="s">
        <v>39</v>
      </c>
      <c r="D8" s="31">
        <v>40</v>
      </c>
      <c r="E8" s="29">
        <v>515.76880000000006</v>
      </c>
      <c r="F8" s="30">
        <v>10.0411897602047</v>
      </c>
      <c r="G8" s="29">
        <v>5.2298999999999998</v>
      </c>
    </row>
    <row r="9" spans="1:7" x14ac:dyDescent="0.2">
      <c r="A9" s="27" t="s">
        <v>1010</v>
      </c>
      <c r="B9" s="27" t="s">
        <v>1011</v>
      </c>
      <c r="C9" s="27" t="s">
        <v>898</v>
      </c>
      <c r="D9" s="31">
        <v>42</v>
      </c>
      <c r="E9" s="29">
        <v>436.52910000000003</v>
      </c>
      <c r="F9" s="30">
        <v>8.4985201294676305</v>
      </c>
      <c r="G9" s="29">
        <v>4.3650000000000002</v>
      </c>
    </row>
    <row r="10" spans="1:7" x14ac:dyDescent="0.2">
      <c r="A10" s="27" t="s">
        <v>922</v>
      </c>
      <c r="B10" s="27" t="s">
        <v>923</v>
      </c>
      <c r="C10" s="27" t="s">
        <v>738</v>
      </c>
      <c r="D10" s="31">
        <v>41</v>
      </c>
      <c r="E10" s="29">
        <v>426.24829999999997</v>
      </c>
      <c r="F10" s="30">
        <v>8.2983694734242395</v>
      </c>
      <c r="G10" s="29">
        <v>4.25</v>
      </c>
    </row>
    <row r="11" spans="1:7" x14ac:dyDescent="0.2">
      <c r="A11" s="27" t="s">
        <v>901</v>
      </c>
      <c r="B11" s="27" t="s">
        <v>902</v>
      </c>
      <c r="C11" s="27" t="s">
        <v>39</v>
      </c>
      <c r="D11" s="31">
        <v>41</v>
      </c>
      <c r="E11" s="29">
        <v>421.49065999999999</v>
      </c>
      <c r="F11" s="30">
        <v>8.2057458675552102</v>
      </c>
      <c r="G11" s="29">
        <v>4.1050000000000004</v>
      </c>
    </row>
    <row r="12" spans="1:7" x14ac:dyDescent="0.2">
      <c r="A12" s="27" t="s">
        <v>878</v>
      </c>
      <c r="B12" s="27" t="s">
        <v>879</v>
      </c>
      <c r="C12" s="27" t="s">
        <v>867</v>
      </c>
      <c r="D12" s="31">
        <v>40</v>
      </c>
      <c r="E12" s="29">
        <v>411.37799999999999</v>
      </c>
      <c r="F12" s="30">
        <v>8.0088686271319194</v>
      </c>
      <c r="G12" s="29">
        <v>6.1935000000000002</v>
      </c>
    </row>
    <row r="13" spans="1:7" x14ac:dyDescent="0.2">
      <c r="A13" s="27" t="s">
        <v>1007</v>
      </c>
      <c r="B13" s="27" t="s">
        <v>1008</v>
      </c>
      <c r="C13" s="27" t="s">
        <v>1009</v>
      </c>
      <c r="D13" s="31">
        <v>37</v>
      </c>
      <c r="E13" s="29">
        <v>390.83951000000002</v>
      </c>
      <c r="F13" s="30">
        <v>7.60901722961027</v>
      </c>
      <c r="G13" s="29">
        <v>4.1999000000000004</v>
      </c>
    </row>
    <row r="14" spans="1:7" x14ac:dyDescent="0.2">
      <c r="A14" s="27" t="s">
        <v>932</v>
      </c>
      <c r="B14" s="27" t="s">
        <v>933</v>
      </c>
      <c r="C14" s="27" t="s">
        <v>39</v>
      </c>
      <c r="D14" s="31">
        <v>30</v>
      </c>
      <c r="E14" s="29">
        <v>370.18950000000001</v>
      </c>
      <c r="F14" s="30">
        <v>7.2069947168872703</v>
      </c>
      <c r="G14" s="29">
        <v>4.9000000000000004</v>
      </c>
    </row>
    <row r="15" spans="1:7" x14ac:dyDescent="0.2">
      <c r="A15" s="27" t="s">
        <v>920</v>
      </c>
      <c r="B15" s="27" t="s">
        <v>921</v>
      </c>
      <c r="C15" s="27" t="s">
        <v>39</v>
      </c>
      <c r="D15" s="31">
        <v>30</v>
      </c>
      <c r="E15" s="29">
        <v>311.59679999999997</v>
      </c>
      <c r="F15" s="30">
        <v>6.0662889990099096</v>
      </c>
      <c r="G15" s="29">
        <v>4.2350000000000003</v>
      </c>
    </row>
    <row r="16" spans="1:7" x14ac:dyDescent="0.2">
      <c r="A16" s="27" t="s">
        <v>1316</v>
      </c>
      <c r="B16" s="27" t="s">
        <v>1317</v>
      </c>
      <c r="C16" s="27" t="s">
        <v>970</v>
      </c>
      <c r="D16" s="31">
        <v>21</v>
      </c>
      <c r="E16" s="29">
        <v>266.20965000000001</v>
      </c>
      <c r="F16" s="30">
        <v>5.1826741199693904</v>
      </c>
      <c r="G16" s="29">
        <v>5.4493999999999998</v>
      </c>
    </row>
    <row r="17" spans="1:9" x14ac:dyDescent="0.2">
      <c r="A17" s="27" t="s">
        <v>1318</v>
      </c>
      <c r="B17" s="27" t="s">
        <v>1319</v>
      </c>
      <c r="C17" s="27" t="s">
        <v>39</v>
      </c>
      <c r="D17" s="31">
        <v>19</v>
      </c>
      <c r="E17" s="29">
        <v>241.15217999999999</v>
      </c>
      <c r="F17" s="30">
        <v>4.6948454432820199</v>
      </c>
      <c r="G17" s="29">
        <v>5.24</v>
      </c>
    </row>
    <row r="18" spans="1:9" x14ac:dyDescent="0.2">
      <c r="A18" s="27" t="s">
        <v>1320</v>
      </c>
      <c r="B18" s="27" t="s">
        <v>1321</v>
      </c>
      <c r="C18" s="27" t="s">
        <v>738</v>
      </c>
      <c r="D18" s="31">
        <v>18</v>
      </c>
      <c r="E18" s="29">
        <v>187.12062</v>
      </c>
      <c r="F18" s="30">
        <v>3.6429377920245498</v>
      </c>
      <c r="G18" s="29">
        <v>4.5650000000000004</v>
      </c>
    </row>
    <row r="19" spans="1:9" x14ac:dyDescent="0.2">
      <c r="A19" s="27" t="s">
        <v>1322</v>
      </c>
      <c r="B19" s="27" t="s">
        <v>1323</v>
      </c>
      <c r="C19" s="27" t="s">
        <v>39</v>
      </c>
      <c r="D19" s="31">
        <v>12</v>
      </c>
      <c r="E19" s="29">
        <v>150.70547999999999</v>
      </c>
      <c r="F19" s="30">
        <v>2.9339935307888498</v>
      </c>
      <c r="G19" s="29">
        <v>6.4524999999999997</v>
      </c>
    </row>
    <row r="20" spans="1:9" x14ac:dyDescent="0.2">
      <c r="A20" s="27" t="s">
        <v>880</v>
      </c>
      <c r="B20" s="27" t="s">
        <v>881</v>
      </c>
      <c r="C20" s="27" t="s">
        <v>39</v>
      </c>
      <c r="D20" s="31">
        <v>10</v>
      </c>
      <c r="E20" s="29">
        <v>103.70140000000001</v>
      </c>
      <c r="F20" s="30">
        <v>2.0188996228521199</v>
      </c>
      <c r="G20" s="29">
        <v>4.47</v>
      </c>
    </row>
    <row r="21" spans="1:9" x14ac:dyDescent="0.2">
      <c r="A21" s="27" t="s">
        <v>872</v>
      </c>
      <c r="B21" s="27" t="s">
        <v>873</v>
      </c>
      <c r="C21" s="27" t="s">
        <v>874</v>
      </c>
      <c r="D21" s="31">
        <v>5</v>
      </c>
      <c r="E21" s="29">
        <v>51.294800000000002</v>
      </c>
      <c r="F21" s="30">
        <v>0.99862733168766105</v>
      </c>
      <c r="G21" s="29">
        <v>5.9432</v>
      </c>
    </row>
    <row r="22" spans="1:9" x14ac:dyDescent="0.2">
      <c r="A22" s="26" t="s">
        <v>40</v>
      </c>
      <c r="B22" s="26"/>
      <c r="C22" s="26"/>
      <c r="D22" s="32"/>
      <c r="E22" s="33">
        <f>SUM(E6:E21)</f>
        <v>4803.9151999999985</v>
      </c>
      <c r="F22" s="34">
        <f>SUM(F6:F21)</f>
        <v>93.524509654580939</v>
      </c>
      <c r="G22" s="33"/>
      <c r="H22" s="18"/>
      <c r="I22" s="18"/>
    </row>
    <row r="23" spans="1:9" x14ac:dyDescent="0.2">
      <c r="A23" s="27"/>
      <c r="B23" s="27"/>
      <c r="C23" s="27"/>
      <c r="D23" s="28"/>
      <c r="E23" s="29"/>
      <c r="F23" s="30"/>
      <c r="G23" s="29"/>
    </row>
    <row r="24" spans="1:9" x14ac:dyDescent="0.2">
      <c r="A24" s="26" t="s">
        <v>44</v>
      </c>
      <c r="B24" s="26"/>
      <c r="C24" s="26"/>
      <c r="D24" s="32"/>
      <c r="E24" s="33">
        <f>E22</f>
        <v>4803.9151999999985</v>
      </c>
      <c r="F24" s="34">
        <f>F22</f>
        <v>93.524509654580939</v>
      </c>
      <c r="G24" s="33"/>
      <c r="H24" s="18"/>
      <c r="I24" s="18"/>
    </row>
    <row r="25" spans="1:9" x14ac:dyDescent="0.2">
      <c r="A25" s="26"/>
      <c r="B25" s="26"/>
      <c r="C25" s="26"/>
      <c r="D25" s="32"/>
      <c r="E25" s="33"/>
      <c r="F25" s="34"/>
      <c r="G25" s="33"/>
      <c r="H25" s="18"/>
      <c r="I25" s="18"/>
    </row>
    <row r="26" spans="1:9" x14ac:dyDescent="0.2">
      <c r="A26" s="26" t="s">
        <v>46</v>
      </c>
      <c r="B26" s="26"/>
      <c r="C26" s="26"/>
      <c r="D26" s="32"/>
      <c r="E26" s="33">
        <f>E28-(E22)</f>
        <v>332.61555300000146</v>
      </c>
      <c r="F26" s="34">
        <f>F28-(F22)</f>
        <v>6.4754903454190611</v>
      </c>
      <c r="G26" s="33"/>
      <c r="H26" s="18"/>
      <c r="I26" s="18"/>
    </row>
    <row r="27" spans="1:9" x14ac:dyDescent="0.2">
      <c r="A27" s="26"/>
      <c r="B27" s="26"/>
      <c r="C27" s="26"/>
      <c r="D27" s="32"/>
      <c r="E27" s="33"/>
      <c r="F27" s="34"/>
      <c r="G27" s="33"/>
      <c r="H27" s="18"/>
      <c r="I27" s="18"/>
    </row>
    <row r="28" spans="1:9" x14ac:dyDescent="0.2">
      <c r="A28" s="35" t="s">
        <v>45</v>
      </c>
      <c r="B28" s="35"/>
      <c r="C28" s="35"/>
      <c r="D28" s="36"/>
      <c r="E28" s="37">
        <v>5136.530753</v>
      </c>
      <c r="F28" s="38">
        <v>100</v>
      </c>
      <c r="G28" s="37"/>
      <c r="H28" s="18"/>
      <c r="I28" s="18"/>
    </row>
    <row r="30" spans="1:9" x14ac:dyDescent="0.2">
      <c r="A30" s="18" t="s">
        <v>47</v>
      </c>
    </row>
    <row r="32" spans="1:9" x14ac:dyDescent="0.2">
      <c r="A32" s="18" t="s">
        <v>48</v>
      </c>
    </row>
    <row r="33" spans="1:5" x14ac:dyDescent="0.2">
      <c r="A33" s="18" t="s">
        <v>49</v>
      </c>
    </row>
    <row r="34" spans="1:5" x14ac:dyDescent="0.2">
      <c r="A34" s="18" t="s">
        <v>50</v>
      </c>
      <c r="B34" s="18"/>
      <c r="C34" s="39" t="s">
        <v>52</v>
      </c>
      <c r="D34" s="19" t="s">
        <v>51</v>
      </c>
    </row>
    <row r="35" spans="1:5" x14ac:dyDescent="0.2">
      <c r="A35" s="9" t="s">
        <v>70</v>
      </c>
      <c r="C35" s="40">
        <v>11.668900000000001</v>
      </c>
      <c r="D35" s="40">
        <v>11.9666</v>
      </c>
    </row>
    <row r="36" spans="1:5" x14ac:dyDescent="0.2">
      <c r="A36" s="9" t="s">
        <v>1324</v>
      </c>
      <c r="C36" s="40">
        <v>10.8489</v>
      </c>
      <c r="D36" s="40">
        <v>11.1257</v>
      </c>
    </row>
    <row r="37" spans="1:5" x14ac:dyDescent="0.2">
      <c r="A37" s="9" t="s">
        <v>72</v>
      </c>
      <c r="C37" s="40">
        <v>10.6409</v>
      </c>
      <c r="D37" s="40">
        <v>10.5373</v>
      </c>
    </row>
    <row r="38" spans="1:5" x14ac:dyDescent="0.2">
      <c r="A38" s="9" t="s">
        <v>73</v>
      </c>
      <c r="C38" s="40">
        <v>11.7028</v>
      </c>
      <c r="D38" s="40">
        <v>12.013199999999999</v>
      </c>
    </row>
    <row r="40" spans="1:5" x14ac:dyDescent="0.2">
      <c r="A40" s="18" t="s">
        <v>53</v>
      </c>
    </row>
    <row r="41" spans="1:5" x14ac:dyDescent="0.2">
      <c r="A41" s="74" t="s">
        <v>67</v>
      </c>
      <c r="B41" s="75"/>
      <c r="C41" s="44" t="s">
        <v>68</v>
      </c>
    </row>
    <row r="42" spans="1:5" x14ac:dyDescent="0.2">
      <c r="A42" s="68" t="s">
        <v>72</v>
      </c>
      <c r="B42" s="69"/>
      <c r="C42" s="45">
        <v>0.37</v>
      </c>
    </row>
    <row r="43" spans="1:5" x14ac:dyDescent="0.2">
      <c r="A43" s="9" t="s">
        <v>69</v>
      </c>
    </row>
    <row r="45" spans="1:5" x14ac:dyDescent="0.2">
      <c r="A45" s="18" t="s">
        <v>793</v>
      </c>
      <c r="D45" s="42">
        <v>0.96879766712328796</v>
      </c>
      <c r="E45" s="13" t="s">
        <v>55</v>
      </c>
    </row>
    <row r="47" spans="1:5" x14ac:dyDescent="0.2">
      <c r="A47" s="18" t="s">
        <v>1477</v>
      </c>
      <c r="D47" s="41" t="s">
        <v>54</v>
      </c>
    </row>
    <row r="49" spans="1:7" ht="14.4" x14ac:dyDescent="0.2">
      <c r="A49" s="70" t="s">
        <v>794</v>
      </c>
      <c r="B49" s="71"/>
      <c r="C49" s="71"/>
      <c r="D49" s="71"/>
      <c r="E49" s="71"/>
      <c r="F49" s="71"/>
      <c r="G49" s="71"/>
    </row>
    <row r="50" spans="1:7" x14ac:dyDescent="0.2">
      <c r="A50" s="50" t="s">
        <v>56</v>
      </c>
    </row>
    <row r="52" spans="1:7" x14ac:dyDescent="0.2">
      <c r="A52" s="50"/>
    </row>
  </sheetData>
  <mergeCells count="4">
    <mergeCell ref="A1:G1"/>
    <mergeCell ref="A41:B41"/>
    <mergeCell ref="A42:B42"/>
    <mergeCell ref="A49:G49"/>
  </mergeCells>
  <conditionalFormatting sqref="F2:F3 F5:F48 F53:F65536">
    <cfRule type="cellIs" dxfId="112" priority="3" stopIfTrue="1" operator="between">
      <formula>0.009</formula>
      <formula>-0.009</formula>
    </cfRule>
  </conditionalFormatting>
  <conditionalFormatting sqref="F50">
    <cfRule type="cellIs" dxfId="111" priority="1" stopIfTrue="1" operator="between">
      <formula>0.009</formula>
      <formula>-0.009</formula>
    </cfRule>
  </conditionalFormatting>
  <conditionalFormatting sqref="F51:F52">
    <cfRule type="cellIs" dxfId="110" priority="2" stopIfTrue="1" operator="between">
      <formula>0.009</formula>
      <formula>-0.009</formula>
    </cfRule>
  </conditionalFormatting>
  <hyperlinks>
    <hyperlink ref="A50" r:id="rId1" xr:uid="{00000000-0004-0000-0D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4"/>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1325</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932</v>
      </c>
      <c r="B7" s="27" t="s">
        <v>933</v>
      </c>
      <c r="C7" s="27" t="s">
        <v>39</v>
      </c>
      <c r="D7" s="31">
        <v>39</v>
      </c>
      <c r="E7" s="29">
        <v>481.24635000000001</v>
      </c>
      <c r="F7" s="30">
        <v>11.9898592661077</v>
      </c>
      <c r="G7" s="29">
        <v>4.9000000000000004</v>
      </c>
    </row>
    <row r="8" spans="1:7" x14ac:dyDescent="0.2">
      <c r="A8" s="27" t="s">
        <v>1326</v>
      </c>
      <c r="B8" s="27" t="s">
        <v>1327</v>
      </c>
      <c r="C8" s="27" t="s">
        <v>39</v>
      </c>
      <c r="D8" s="31">
        <v>39</v>
      </c>
      <c r="E8" s="29">
        <v>406.54847999999998</v>
      </c>
      <c r="F8" s="30">
        <v>10.1288229200076</v>
      </c>
      <c r="G8" s="29">
        <v>4.3650000000000002</v>
      </c>
    </row>
    <row r="9" spans="1:7" x14ac:dyDescent="0.2">
      <c r="A9" s="27" t="s">
        <v>1328</v>
      </c>
      <c r="B9" s="27" t="s">
        <v>1329</v>
      </c>
      <c r="C9" s="27" t="s">
        <v>39</v>
      </c>
      <c r="D9" s="31">
        <v>39</v>
      </c>
      <c r="E9" s="29">
        <v>402.68709000000001</v>
      </c>
      <c r="F9" s="30">
        <v>10.032619545849</v>
      </c>
      <c r="G9" s="29">
        <v>4.17</v>
      </c>
    </row>
    <row r="10" spans="1:7" x14ac:dyDescent="0.2">
      <c r="A10" s="27" t="s">
        <v>901</v>
      </c>
      <c r="B10" s="27" t="s">
        <v>902</v>
      </c>
      <c r="C10" s="27" t="s">
        <v>39</v>
      </c>
      <c r="D10" s="31">
        <v>38</v>
      </c>
      <c r="E10" s="29">
        <v>390.64988</v>
      </c>
      <c r="F10" s="30">
        <v>9.7327223022509806</v>
      </c>
      <c r="G10" s="29">
        <v>4.1050000000000004</v>
      </c>
    </row>
    <row r="11" spans="1:7" x14ac:dyDescent="0.2">
      <c r="A11" s="27" t="s">
        <v>1320</v>
      </c>
      <c r="B11" s="27" t="s">
        <v>1321</v>
      </c>
      <c r="C11" s="27" t="s">
        <v>738</v>
      </c>
      <c r="D11" s="31">
        <v>37</v>
      </c>
      <c r="E11" s="29">
        <v>384.63682999999997</v>
      </c>
      <c r="F11" s="30">
        <v>9.5829120787343296</v>
      </c>
      <c r="G11" s="29">
        <v>4.5650000000000004</v>
      </c>
    </row>
    <row r="12" spans="1:7" x14ac:dyDescent="0.2">
      <c r="A12" s="27" t="s">
        <v>1316</v>
      </c>
      <c r="B12" s="27" t="s">
        <v>1317</v>
      </c>
      <c r="C12" s="27" t="s">
        <v>970</v>
      </c>
      <c r="D12" s="31">
        <v>29</v>
      </c>
      <c r="E12" s="29">
        <v>367.62285000000003</v>
      </c>
      <c r="F12" s="30">
        <v>9.1590226803911108</v>
      </c>
      <c r="G12" s="29">
        <v>5.4493999999999998</v>
      </c>
    </row>
    <row r="13" spans="1:7" x14ac:dyDescent="0.2">
      <c r="A13" s="27" t="s">
        <v>872</v>
      </c>
      <c r="B13" s="27" t="s">
        <v>873</v>
      </c>
      <c r="C13" s="27" t="s">
        <v>874</v>
      </c>
      <c r="D13" s="31">
        <v>34</v>
      </c>
      <c r="E13" s="29">
        <v>348.80464000000001</v>
      </c>
      <c r="F13" s="30">
        <v>8.6901823670254892</v>
      </c>
      <c r="G13" s="29">
        <v>5.9432</v>
      </c>
    </row>
    <row r="14" spans="1:7" x14ac:dyDescent="0.2">
      <c r="A14" s="27" t="s">
        <v>940</v>
      </c>
      <c r="B14" s="27" t="s">
        <v>941</v>
      </c>
      <c r="C14" s="27" t="s">
        <v>39</v>
      </c>
      <c r="D14" s="31">
        <v>27</v>
      </c>
      <c r="E14" s="29">
        <v>344.07396</v>
      </c>
      <c r="F14" s="30">
        <v>8.5723213433876193</v>
      </c>
      <c r="G14" s="29">
        <v>4.5999999999999996</v>
      </c>
    </row>
    <row r="15" spans="1:7" x14ac:dyDescent="0.2">
      <c r="A15" s="27" t="s">
        <v>1322</v>
      </c>
      <c r="B15" s="27" t="s">
        <v>1323</v>
      </c>
      <c r="C15" s="27" t="s">
        <v>39</v>
      </c>
      <c r="D15" s="31">
        <v>24</v>
      </c>
      <c r="E15" s="29">
        <v>301.41095999999999</v>
      </c>
      <c r="F15" s="30">
        <v>7.5094075864937597</v>
      </c>
      <c r="G15" s="29">
        <v>6.4524999999999997</v>
      </c>
    </row>
    <row r="16" spans="1:7" x14ac:dyDescent="0.2">
      <c r="A16" s="27" t="s">
        <v>920</v>
      </c>
      <c r="B16" s="27" t="s">
        <v>921</v>
      </c>
      <c r="C16" s="27" t="s">
        <v>39</v>
      </c>
      <c r="D16" s="31">
        <v>13</v>
      </c>
      <c r="E16" s="29">
        <v>135.02528000000001</v>
      </c>
      <c r="F16" s="30">
        <v>3.3640444328913701</v>
      </c>
      <c r="G16" s="29">
        <v>4.2350000000000003</v>
      </c>
    </row>
    <row r="17" spans="1:9" x14ac:dyDescent="0.2">
      <c r="A17" s="27" t="s">
        <v>880</v>
      </c>
      <c r="B17" s="27" t="s">
        <v>881</v>
      </c>
      <c r="C17" s="27" t="s">
        <v>39</v>
      </c>
      <c r="D17" s="31">
        <v>12</v>
      </c>
      <c r="E17" s="29">
        <v>124.44168000000001</v>
      </c>
      <c r="F17" s="30">
        <v>3.1003626937389002</v>
      </c>
      <c r="G17" s="29">
        <v>4.47</v>
      </c>
    </row>
    <row r="18" spans="1:9" x14ac:dyDescent="0.2">
      <c r="A18" s="27" t="s">
        <v>1314</v>
      </c>
      <c r="B18" s="27" t="s">
        <v>1315</v>
      </c>
      <c r="C18" s="27" t="s">
        <v>39</v>
      </c>
      <c r="D18" s="31">
        <v>4</v>
      </c>
      <c r="E18" s="29">
        <v>51.576880000000003</v>
      </c>
      <c r="F18" s="30">
        <v>1.28499578767699</v>
      </c>
      <c r="G18" s="29">
        <v>5.2298999999999998</v>
      </c>
    </row>
    <row r="19" spans="1:9" x14ac:dyDescent="0.2">
      <c r="A19" s="27" t="s">
        <v>1330</v>
      </c>
      <c r="B19" s="27" t="s">
        <v>1331</v>
      </c>
      <c r="C19" s="27" t="s">
        <v>970</v>
      </c>
      <c r="D19" s="31">
        <v>1</v>
      </c>
      <c r="E19" s="29">
        <v>12.62886</v>
      </c>
      <c r="F19" s="30">
        <v>0.31463771952011199</v>
      </c>
      <c r="G19" s="29">
        <v>5.8243999999999998</v>
      </c>
    </row>
    <row r="20" spans="1:9" x14ac:dyDescent="0.2">
      <c r="A20" s="27" t="s">
        <v>878</v>
      </c>
      <c r="B20" s="27" t="s">
        <v>879</v>
      </c>
      <c r="C20" s="27" t="s">
        <v>867</v>
      </c>
      <c r="D20" s="31">
        <v>1</v>
      </c>
      <c r="E20" s="29">
        <v>10.28445</v>
      </c>
      <c r="F20" s="30">
        <v>0.25622866153545198</v>
      </c>
      <c r="G20" s="29">
        <v>6.1935000000000002</v>
      </c>
    </row>
    <row r="21" spans="1:9" x14ac:dyDescent="0.2">
      <c r="A21" s="26" t="s">
        <v>40</v>
      </c>
      <c r="B21" s="26"/>
      <c r="C21" s="26"/>
      <c r="D21" s="32"/>
      <c r="E21" s="33">
        <f>SUM(E6:E20)</f>
        <v>3761.6381900000001</v>
      </c>
      <c r="F21" s="34">
        <f>SUM(F6:F20)</f>
        <v>93.718139385610414</v>
      </c>
      <c r="G21" s="33"/>
      <c r="H21" s="18"/>
      <c r="I21" s="18"/>
    </row>
    <row r="22" spans="1:9" x14ac:dyDescent="0.2">
      <c r="A22" s="27"/>
      <c r="B22" s="27"/>
      <c r="C22" s="27"/>
      <c r="D22" s="28"/>
      <c r="E22" s="29"/>
      <c r="F22" s="30"/>
      <c r="G22" s="29"/>
    </row>
    <row r="23" spans="1:9" x14ac:dyDescent="0.2">
      <c r="A23" s="26" t="s">
        <v>44</v>
      </c>
      <c r="B23" s="26"/>
      <c r="C23" s="26"/>
      <c r="D23" s="32"/>
      <c r="E23" s="33">
        <f>E21</f>
        <v>3761.6381900000001</v>
      </c>
      <c r="F23" s="34">
        <f>F21</f>
        <v>93.718139385610414</v>
      </c>
      <c r="G23" s="33"/>
      <c r="H23" s="18"/>
      <c r="I23" s="18"/>
    </row>
    <row r="24" spans="1:9" x14ac:dyDescent="0.2">
      <c r="A24" s="26"/>
      <c r="B24" s="26"/>
      <c r="C24" s="26"/>
      <c r="D24" s="32"/>
      <c r="E24" s="33"/>
      <c r="F24" s="34"/>
      <c r="G24" s="33"/>
      <c r="H24" s="18"/>
      <c r="I24" s="18"/>
    </row>
    <row r="25" spans="1:9" x14ac:dyDescent="0.2">
      <c r="A25" s="26" t="s">
        <v>46</v>
      </c>
      <c r="B25" s="26"/>
      <c r="C25" s="26"/>
      <c r="D25" s="32"/>
      <c r="E25" s="33">
        <f>E27-(E21)</f>
        <v>252.139948</v>
      </c>
      <c r="F25" s="34">
        <f>F27-(F21)</f>
        <v>6.2818606143895863</v>
      </c>
      <c r="G25" s="33"/>
      <c r="H25" s="18"/>
      <c r="I25" s="18"/>
    </row>
    <row r="26" spans="1:9" x14ac:dyDescent="0.2">
      <c r="A26" s="26"/>
      <c r="B26" s="26"/>
      <c r="C26" s="26"/>
      <c r="D26" s="32"/>
      <c r="E26" s="33"/>
      <c r="F26" s="34"/>
      <c r="G26" s="33"/>
      <c r="H26" s="18"/>
      <c r="I26" s="18"/>
    </row>
    <row r="27" spans="1:9" x14ac:dyDescent="0.2">
      <c r="A27" s="35" t="s">
        <v>45</v>
      </c>
      <c r="B27" s="35"/>
      <c r="C27" s="35"/>
      <c r="D27" s="36"/>
      <c r="E27" s="37">
        <v>4013.7781380000001</v>
      </c>
      <c r="F27" s="38">
        <v>100</v>
      </c>
      <c r="G27" s="37"/>
      <c r="H27" s="18"/>
      <c r="I27" s="18"/>
    </row>
    <row r="29" spans="1:9" x14ac:dyDescent="0.2">
      <c r="A29" s="18" t="s">
        <v>47</v>
      </c>
    </row>
    <row r="31" spans="1:9" x14ac:dyDescent="0.2">
      <c r="A31" s="18" t="s">
        <v>48</v>
      </c>
    </row>
    <row r="32" spans="1:9" x14ac:dyDescent="0.2">
      <c r="A32" s="18" t="s">
        <v>49</v>
      </c>
    </row>
    <row r="33" spans="1:5" x14ac:dyDescent="0.2">
      <c r="A33" s="18" t="s">
        <v>50</v>
      </c>
      <c r="B33" s="18"/>
      <c r="C33" s="39" t="s">
        <v>52</v>
      </c>
      <c r="D33" s="19" t="s">
        <v>51</v>
      </c>
    </row>
    <row r="34" spans="1:5" x14ac:dyDescent="0.2">
      <c r="A34" s="9" t="s">
        <v>70</v>
      </c>
      <c r="C34" s="40">
        <v>11.811</v>
      </c>
      <c r="D34" s="40">
        <v>12.1006</v>
      </c>
    </row>
    <row r="35" spans="1:5" x14ac:dyDescent="0.2">
      <c r="A35" s="9" t="s">
        <v>1324</v>
      </c>
      <c r="C35" s="40">
        <v>10.964399999999999</v>
      </c>
      <c r="D35" s="40">
        <v>11.2341</v>
      </c>
    </row>
    <row r="36" spans="1:5" x14ac:dyDescent="0.2">
      <c r="A36" s="9" t="s">
        <v>72</v>
      </c>
      <c r="C36" s="40">
        <v>10.5375</v>
      </c>
      <c r="D36" s="40">
        <v>10.604100000000001</v>
      </c>
    </row>
    <row r="37" spans="1:5" x14ac:dyDescent="0.2">
      <c r="A37" s="9" t="s">
        <v>73</v>
      </c>
      <c r="C37" s="40">
        <v>11.8475</v>
      </c>
      <c r="D37" s="40">
        <v>12.149900000000001</v>
      </c>
    </row>
    <row r="38" spans="1:5" x14ac:dyDescent="0.2">
      <c r="A38" s="9" t="s">
        <v>77</v>
      </c>
      <c r="C38" s="40">
        <v>10.999499999999999</v>
      </c>
      <c r="D38" s="40">
        <v>11.2799</v>
      </c>
    </row>
    <row r="39" spans="1:5" x14ac:dyDescent="0.2">
      <c r="A39" s="9" t="s">
        <v>75</v>
      </c>
      <c r="C39" s="40">
        <v>10.5724</v>
      </c>
      <c r="D39" s="40">
        <v>10.651</v>
      </c>
    </row>
    <row r="41" spans="1:5" x14ac:dyDescent="0.2">
      <c r="A41" s="18" t="s">
        <v>53</v>
      </c>
    </row>
    <row r="42" spans="1:5" x14ac:dyDescent="0.2">
      <c r="A42" s="74" t="s">
        <v>67</v>
      </c>
      <c r="B42" s="75"/>
      <c r="C42" s="44" t="s">
        <v>68</v>
      </c>
    </row>
    <row r="43" spans="1:5" x14ac:dyDescent="0.2">
      <c r="A43" s="68" t="s">
        <v>72</v>
      </c>
      <c r="B43" s="69"/>
      <c r="C43" s="45">
        <v>0.19</v>
      </c>
    </row>
    <row r="44" spans="1:5" x14ac:dyDescent="0.2">
      <c r="A44" s="68" t="s">
        <v>75</v>
      </c>
      <c r="B44" s="69"/>
      <c r="C44" s="45">
        <v>0.19</v>
      </c>
    </row>
    <row r="45" spans="1:5" x14ac:dyDescent="0.2">
      <c r="A45" s="9" t="s">
        <v>69</v>
      </c>
    </row>
    <row r="47" spans="1:5" x14ac:dyDescent="0.2">
      <c r="A47" s="18" t="s">
        <v>793</v>
      </c>
      <c r="D47" s="42">
        <v>0.90279784287671305</v>
      </c>
      <c r="E47" s="13" t="s">
        <v>55</v>
      </c>
    </row>
    <row r="49" spans="1:7" x14ac:dyDescent="0.2">
      <c r="A49" s="18" t="s">
        <v>1477</v>
      </c>
      <c r="D49" s="41" t="s">
        <v>54</v>
      </c>
    </row>
    <row r="51" spans="1:7" ht="14.4" x14ac:dyDescent="0.2">
      <c r="A51" s="70" t="s">
        <v>794</v>
      </c>
      <c r="B51" s="71"/>
      <c r="C51" s="71"/>
      <c r="D51" s="71"/>
      <c r="E51" s="71"/>
      <c r="F51" s="71"/>
      <c r="G51" s="71"/>
    </row>
    <row r="52" spans="1:7" x14ac:dyDescent="0.2">
      <c r="A52" s="50" t="s">
        <v>56</v>
      </c>
    </row>
    <row r="54" spans="1:7" x14ac:dyDescent="0.2">
      <c r="A54" s="50"/>
    </row>
  </sheetData>
  <mergeCells count="5">
    <mergeCell ref="A1:G1"/>
    <mergeCell ref="A42:B42"/>
    <mergeCell ref="A43:B43"/>
    <mergeCell ref="A44:B44"/>
    <mergeCell ref="A51:G51"/>
  </mergeCells>
  <conditionalFormatting sqref="F2:F3 F5:F50 F55:F65536">
    <cfRule type="cellIs" dxfId="109" priority="3" stopIfTrue="1" operator="between">
      <formula>0.009</formula>
      <formula>-0.009</formula>
    </cfRule>
  </conditionalFormatting>
  <conditionalFormatting sqref="F52">
    <cfRule type="cellIs" dxfId="108" priority="1" stopIfTrue="1" operator="between">
      <formula>0.009</formula>
      <formula>-0.009</formula>
    </cfRule>
  </conditionalFormatting>
  <conditionalFormatting sqref="F53:F54">
    <cfRule type="cellIs" dxfId="107" priority="2" stopIfTrue="1" operator="between">
      <formula>0.009</formula>
      <formula>-0.009</formula>
    </cfRule>
  </conditionalFormatting>
  <hyperlinks>
    <hyperlink ref="A52" r:id="rId1" xr:uid="{00000000-0004-0000-0E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5"/>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1332</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1333</v>
      </c>
      <c r="B7" s="27" t="s">
        <v>1334</v>
      </c>
      <c r="C7" s="27" t="s">
        <v>39</v>
      </c>
      <c r="D7" s="31">
        <v>23</v>
      </c>
      <c r="E7" s="29">
        <v>293.92550999999997</v>
      </c>
      <c r="F7" s="30">
        <v>11.9805277405792</v>
      </c>
      <c r="G7" s="29">
        <v>5.2298999999999998</v>
      </c>
    </row>
    <row r="8" spans="1:7" x14ac:dyDescent="0.2">
      <c r="A8" s="27" t="s">
        <v>1335</v>
      </c>
      <c r="B8" s="27" t="s">
        <v>1336</v>
      </c>
      <c r="C8" s="27" t="s">
        <v>39</v>
      </c>
      <c r="D8" s="31">
        <v>23</v>
      </c>
      <c r="E8" s="29">
        <v>291.69198</v>
      </c>
      <c r="F8" s="30">
        <v>11.889488115864699</v>
      </c>
      <c r="G8" s="29">
        <v>5.2750000000000004</v>
      </c>
    </row>
    <row r="9" spans="1:7" x14ac:dyDescent="0.2">
      <c r="A9" s="27" t="s">
        <v>1320</v>
      </c>
      <c r="B9" s="27" t="s">
        <v>1321</v>
      </c>
      <c r="C9" s="27" t="s">
        <v>738</v>
      </c>
      <c r="D9" s="31">
        <v>24</v>
      </c>
      <c r="E9" s="29">
        <v>249.49415999999999</v>
      </c>
      <c r="F9" s="30">
        <v>10.1694871771848</v>
      </c>
      <c r="G9" s="29">
        <v>4.5650000000000004</v>
      </c>
    </row>
    <row r="10" spans="1:7" x14ac:dyDescent="0.2">
      <c r="A10" s="27" t="s">
        <v>1328</v>
      </c>
      <c r="B10" s="27" t="s">
        <v>1329</v>
      </c>
      <c r="C10" s="27" t="s">
        <v>39</v>
      </c>
      <c r="D10" s="31">
        <v>24</v>
      </c>
      <c r="E10" s="29">
        <v>247.80744000000001</v>
      </c>
      <c r="F10" s="30">
        <v>10.1007357586687</v>
      </c>
      <c r="G10" s="29">
        <v>4.17</v>
      </c>
    </row>
    <row r="11" spans="1:7" x14ac:dyDescent="0.2">
      <c r="A11" s="27" t="s">
        <v>1326</v>
      </c>
      <c r="B11" s="27" t="s">
        <v>1327</v>
      </c>
      <c r="C11" s="27" t="s">
        <v>39</v>
      </c>
      <c r="D11" s="31">
        <v>23</v>
      </c>
      <c r="E11" s="29">
        <v>239.75935999999999</v>
      </c>
      <c r="F11" s="30">
        <v>9.7726926238676093</v>
      </c>
      <c r="G11" s="29">
        <v>4.3650000000000002</v>
      </c>
    </row>
    <row r="12" spans="1:7" x14ac:dyDescent="0.2">
      <c r="A12" s="27" t="s">
        <v>901</v>
      </c>
      <c r="B12" s="27" t="s">
        <v>902</v>
      </c>
      <c r="C12" s="27" t="s">
        <v>39</v>
      </c>
      <c r="D12" s="31">
        <v>23</v>
      </c>
      <c r="E12" s="29">
        <v>236.44597999999999</v>
      </c>
      <c r="F12" s="30">
        <v>9.6376378577634991</v>
      </c>
      <c r="G12" s="29">
        <v>4.1050000000000004</v>
      </c>
    </row>
    <row r="13" spans="1:7" x14ac:dyDescent="0.2">
      <c r="A13" s="27" t="s">
        <v>1330</v>
      </c>
      <c r="B13" s="27" t="s">
        <v>1331</v>
      </c>
      <c r="C13" s="27" t="s">
        <v>970</v>
      </c>
      <c r="D13" s="31">
        <v>18</v>
      </c>
      <c r="E13" s="29">
        <v>227.31948</v>
      </c>
      <c r="F13" s="30">
        <v>9.2656378689758796</v>
      </c>
      <c r="G13" s="29">
        <v>5.8243999999999998</v>
      </c>
    </row>
    <row r="14" spans="1:7" x14ac:dyDescent="0.2">
      <c r="A14" s="27" t="s">
        <v>872</v>
      </c>
      <c r="B14" s="27" t="s">
        <v>873</v>
      </c>
      <c r="C14" s="27" t="s">
        <v>874</v>
      </c>
      <c r="D14" s="31">
        <v>21</v>
      </c>
      <c r="E14" s="29">
        <v>215.43816000000001</v>
      </c>
      <c r="F14" s="30">
        <v>8.7813502552376193</v>
      </c>
      <c r="G14" s="29">
        <v>5.9432</v>
      </c>
    </row>
    <row r="15" spans="1:7" x14ac:dyDescent="0.2">
      <c r="A15" s="27" t="s">
        <v>1322</v>
      </c>
      <c r="B15" s="27" t="s">
        <v>1323</v>
      </c>
      <c r="C15" s="27" t="s">
        <v>39</v>
      </c>
      <c r="D15" s="31">
        <v>14</v>
      </c>
      <c r="E15" s="29">
        <v>175.82306</v>
      </c>
      <c r="F15" s="30">
        <v>7.1666220729310899</v>
      </c>
      <c r="G15" s="29">
        <v>6.4524999999999997</v>
      </c>
    </row>
    <row r="16" spans="1:7" x14ac:dyDescent="0.2">
      <c r="A16" s="27" t="s">
        <v>880</v>
      </c>
      <c r="B16" s="27" t="s">
        <v>881</v>
      </c>
      <c r="C16" s="27" t="s">
        <v>39</v>
      </c>
      <c r="D16" s="31">
        <v>6</v>
      </c>
      <c r="E16" s="29">
        <v>62.220840000000003</v>
      </c>
      <c r="F16" s="30">
        <v>2.5361476779002401</v>
      </c>
      <c r="G16" s="29">
        <v>4.47</v>
      </c>
    </row>
    <row r="17" spans="1:9" x14ac:dyDescent="0.2">
      <c r="A17" s="27" t="s">
        <v>920</v>
      </c>
      <c r="B17" s="27" t="s">
        <v>921</v>
      </c>
      <c r="C17" s="27" t="s">
        <v>39</v>
      </c>
      <c r="D17" s="31">
        <v>3</v>
      </c>
      <c r="E17" s="29">
        <v>31.159680000000002</v>
      </c>
      <c r="F17" s="30">
        <v>1.27008169732383</v>
      </c>
      <c r="G17" s="29">
        <v>4.2350000000000003</v>
      </c>
    </row>
    <row r="18" spans="1:9" x14ac:dyDescent="0.2">
      <c r="A18" s="27" t="s">
        <v>882</v>
      </c>
      <c r="B18" s="27" t="s">
        <v>883</v>
      </c>
      <c r="C18" s="27" t="s">
        <v>39</v>
      </c>
      <c r="D18" s="31">
        <v>2</v>
      </c>
      <c r="E18" s="29">
        <v>20.70834</v>
      </c>
      <c r="F18" s="30">
        <v>0.84408067143048104</v>
      </c>
      <c r="G18" s="29">
        <v>4.085</v>
      </c>
    </row>
    <row r="19" spans="1:9" x14ac:dyDescent="0.2">
      <c r="A19" s="27" t="s">
        <v>1337</v>
      </c>
      <c r="B19" s="27" t="s">
        <v>1338</v>
      </c>
      <c r="C19" s="27" t="s">
        <v>738</v>
      </c>
      <c r="D19" s="31">
        <v>1</v>
      </c>
      <c r="E19" s="29">
        <v>10.52393</v>
      </c>
      <c r="F19" s="30">
        <v>0.42895982490568502</v>
      </c>
      <c r="G19" s="29">
        <v>5.47</v>
      </c>
    </row>
    <row r="20" spans="1:9" x14ac:dyDescent="0.2">
      <c r="A20" s="26" t="s">
        <v>40</v>
      </c>
      <c r="B20" s="26"/>
      <c r="C20" s="26"/>
      <c r="D20" s="32"/>
      <c r="E20" s="33">
        <f>SUM(E6:E19)</f>
        <v>2302.31792</v>
      </c>
      <c r="F20" s="34">
        <f>SUM(F6:F19)</f>
        <v>93.843449342633349</v>
      </c>
      <c r="G20" s="33"/>
      <c r="H20" s="18"/>
      <c r="I20" s="18"/>
    </row>
    <row r="21" spans="1:9" x14ac:dyDescent="0.2">
      <c r="A21" s="27"/>
      <c r="B21" s="27"/>
      <c r="C21" s="27"/>
      <c r="D21" s="28"/>
      <c r="E21" s="29"/>
      <c r="F21" s="30"/>
      <c r="G21" s="29"/>
    </row>
    <row r="22" spans="1:9" x14ac:dyDescent="0.2">
      <c r="A22" s="26" t="s">
        <v>44</v>
      </c>
      <c r="B22" s="26"/>
      <c r="C22" s="26"/>
      <c r="D22" s="32"/>
      <c r="E22" s="33">
        <f>E20</f>
        <v>2302.31792</v>
      </c>
      <c r="F22" s="34">
        <f>F20</f>
        <v>93.843449342633349</v>
      </c>
      <c r="G22" s="33"/>
      <c r="H22" s="18"/>
      <c r="I22" s="18"/>
    </row>
    <row r="23" spans="1:9" x14ac:dyDescent="0.2">
      <c r="A23" s="26"/>
      <c r="B23" s="26"/>
      <c r="C23" s="26"/>
      <c r="D23" s="32"/>
      <c r="E23" s="33"/>
      <c r="F23" s="34"/>
      <c r="G23" s="33"/>
      <c r="H23" s="18"/>
      <c r="I23" s="18"/>
    </row>
    <row r="24" spans="1:9" x14ac:dyDescent="0.2">
      <c r="A24" s="26" t="s">
        <v>46</v>
      </c>
      <c r="B24" s="26"/>
      <c r="C24" s="26"/>
      <c r="D24" s="32"/>
      <c r="E24" s="33">
        <f>E26-(E20)</f>
        <v>151.04236900000024</v>
      </c>
      <c r="F24" s="34">
        <f>F26-(F20)</f>
        <v>6.1565506573666511</v>
      </c>
      <c r="G24" s="33"/>
      <c r="H24" s="18"/>
      <c r="I24" s="18"/>
    </row>
    <row r="25" spans="1:9" x14ac:dyDescent="0.2">
      <c r="A25" s="26"/>
      <c r="B25" s="26"/>
      <c r="C25" s="26"/>
      <c r="D25" s="32"/>
      <c r="E25" s="33"/>
      <c r="F25" s="34"/>
      <c r="G25" s="33"/>
      <c r="H25" s="18"/>
      <c r="I25" s="18"/>
    </row>
    <row r="26" spans="1:9" x14ac:dyDescent="0.2">
      <c r="A26" s="35" t="s">
        <v>45</v>
      </c>
      <c r="B26" s="35"/>
      <c r="C26" s="35"/>
      <c r="D26" s="36"/>
      <c r="E26" s="37">
        <v>2453.3602890000002</v>
      </c>
      <c r="F26" s="38">
        <v>100</v>
      </c>
      <c r="G26" s="37"/>
      <c r="H26" s="18"/>
      <c r="I26" s="18"/>
    </row>
    <row r="28" spans="1:9" x14ac:dyDescent="0.2">
      <c r="A28" s="18" t="s">
        <v>47</v>
      </c>
    </row>
    <row r="30" spans="1:9" x14ac:dyDescent="0.2">
      <c r="A30" s="18" t="s">
        <v>48</v>
      </c>
    </row>
    <row r="31" spans="1:9" x14ac:dyDescent="0.2">
      <c r="A31" s="18" t="s">
        <v>49</v>
      </c>
    </row>
    <row r="32" spans="1:9" x14ac:dyDescent="0.2">
      <c r="A32" s="18" t="s">
        <v>50</v>
      </c>
      <c r="B32" s="18"/>
      <c r="C32" s="39" t="s">
        <v>52</v>
      </c>
      <c r="D32" s="19" t="s">
        <v>51</v>
      </c>
    </row>
    <row r="33" spans="1:5" x14ac:dyDescent="0.2">
      <c r="A33" s="9" t="s">
        <v>70</v>
      </c>
      <c r="C33" s="40">
        <v>11.8635</v>
      </c>
      <c r="D33" s="40">
        <v>12.169499999999999</v>
      </c>
    </row>
    <row r="34" spans="1:5" x14ac:dyDescent="0.2">
      <c r="A34" s="9" t="s">
        <v>1324</v>
      </c>
      <c r="C34" s="40">
        <v>11.067</v>
      </c>
      <c r="D34" s="40">
        <v>10.4702</v>
      </c>
    </row>
    <row r="35" spans="1:5" x14ac:dyDescent="0.2">
      <c r="A35" s="9" t="s">
        <v>72</v>
      </c>
      <c r="C35" s="40">
        <v>10.5989</v>
      </c>
      <c r="D35" s="40">
        <v>10.4641</v>
      </c>
    </row>
    <row r="36" spans="1:5" x14ac:dyDescent="0.2">
      <c r="A36" s="9" t="s">
        <v>73</v>
      </c>
      <c r="C36" s="40">
        <v>11.911099999999999</v>
      </c>
      <c r="D36" s="40">
        <v>12.2333</v>
      </c>
    </row>
    <row r="37" spans="1:5" x14ac:dyDescent="0.2">
      <c r="A37" s="9" t="s">
        <v>77</v>
      </c>
      <c r="C37" s="40">
        <v>11.1135</v>
      </c>
      <c r="D37" s="40">
        <v>10.5318</v>
      </c>
    </row>
    <row r="38" spans="1:5" x14ac:dyDescent="0.2">
      <c r="A38" s="9" t="s">
        <v>75</v>
      </c>
      <c r="C38" s="40">
        <v>10.6442</v>
      </c>
      <c r="D38" s="40">
        <v>10.5238</v>
      </c>
    </row>
    <row r="40" spans="1:5" x14ac:dyDescent="0.2">
      <c r="A40" s="18" t="s">
        <v>53</v>
      </c>
    </row>
    <row r="41" spans="1:5" x14ac:dyDescent="0.2">
      <c r="A41" s="74" t="s">
        <v>67</v>
      </c>
      <c r="B41" s="75"/>
      <c r="C41" s="44" t="s">
        <v>68</v>
      </c>
    </row>
    <row r="42" spans="1:5" x14ac:dyDescent="0.2">
      <c r="A42" s="68" t="s">
        <v>1324</v>
      </c>
      <c r="B42" s="69"/>
      <c r="C42" s="45">
        <v>0.88</v>
      </c>
    </row>
    <row r="43" spans="1:5" x14ac:dyDescent="0.2">
      <c r="A43" s="68" t="s">
        <v>72</v>
      </c>
      <c r="B43" s="69"/>
      <c r="C43" s="45">
        <v>0.40500000000000003</v>
      </c>
    </row>
    <row r="44" spans="1:5" x14ac:dyDescent="0.2">
      <c r="A44" s="68" t="s">
        <v>77</v>
      </c>
      <c r="B44" s="69"/>
      <c r="C44" s="45">
        <v>0.88</v>
      </c>
    </row>
    <row r="45" spans="1:5" x14ac:dyDescent="0.2">
      <c r="A45" s="68" t="s">
        <v>75</v>
      </c>
      <c r="B45" s="69"/>
      <c r="C45" s="45">
        <v>0.40500000000000003</v>
      </c>
    </row>
    <row r="46" spans="1:5" x14ac:dyDescent="0.2">
      <c r="A46" s="9" t="s">
        <v>69</v>
      </c>
    </row>
    <row r="48" spans="1:5" x14ac:dyDescent="0.2">
      <c r="A48" s="18" t="s">
        <v>793</v>
      </c>
      <c r="D48" s="42">
        <v>0.94884969558904098</v>
      </c>
      <c r="E48" s="13" t="s">
        <v>55</v>
      </c>
    </row>
    <row r="50" spans="1:7" x14ac:dyDescent="0.2">
      <c r="A50" s="18" t="s">
        <v>1477</v>
      </c>
      <c r="D50" s="41" t="s">
        <v>54</v>
      </c>
    </row>
    <row r="52" spans="1:7" ht="14.4" x14ac:dyDescent="0.2">
      <c r="A52" s="70" t="s">
        <v>794</v>
      </c>
      <c r="B52" s="71"/>
      <c r="C52" s="71"/>
      <c r="D52" s="71"/>
      <c r="E52" s="71"/>
      <c r="F52" s="71"/>
      <c r="G52" s="71"/>
    </row>
    <row r="53" spans="1:7" x14ac:dyDescent="0.2">
      <c r="A53" s="50" t="s">
        <v>56</v>
      </c>
    </row>
    <row r="55" spans="1:7" x14ac:dyDescent="0.2">
      <c r="A55" s="50"/>
    </row>
  </sheetData>
  <mergeCells count="7">
    <mergeCell ref="A52:G52"/>
    <mergeCell ref="A1:G1"/>
    <mergeCell ref="A41:B41"/>
    <mergeCell ref="A42:B42"/>
    <mergeCell ref="A43:B43"/>
    <mergeCell ref="A44:B44"/>
    <mergeCell ref="A45:B45"/>
  </mergeCells>
  <conditionalFormatting sqref="F2:F3 F5:F51 F57:F65536">
    <cfRule type="cellIs" dxfId="106" priority="4" stopIfTrue="1" operator="between">
      <formula>0.009</formula>
      <formula>-0.009</formula>
    </cfRule>
  </conditionalFormatting>
  <conditionalFormatting sqref="F56">
    <cfRule type="cellIs" dxfId="105" priority="3" stopIfTrue="1" operator="between">
      <formula>0.009</formula>
      <formula>-0.009</formula>
    </cfRule>
  </conditionalFormatting>
  <conditionalFormatting sqref="F53">
    <cfRule type="cellIs" dxfId="104" priority="1" stopIfTrue="1" operator="between">
      <formula>0.009</formula>
      <formula>-0.009</formula>
    </cfRule>
  </conditionalFormatting>
  <conditionalFormatting sqref="F54:F55">
    <cfRule type="cellIs" dxfId="103" priority="2" stopIfTrue="1" operator="between">
      <formula>0.009</formula>
      <formula>-0.009</formula>
    </cfRule>
  </conditionalFormatting>
  <hyperlinks>
    <hyperlink ref="A53" r:id="rId1" xr:uid="{00000000-0004-0000-0F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4"/>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1339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1333</v>
      </c>
      <c r="B7" s="27" t="s">
        <v>1334</v>
      </c>
      <c r="C7" s="27" t="s">
        <v>39</v>
      </c>
      <c r="D7" s="31">
        <v>68</v>
      </c>
      <c r="E7" s="29">
        <v>868.99716000000001</v>
      </c>
      <c r="F7" s="30">
        <v>11.8624772735548</v>
      </c>
      <c r="G7" s="29">
        <v>5.2298999999999998</v>
      </c>
    </row>
    <row r="8" spans="1:7" x14ac:dyDescent="0.2">
      <c r="A8" s="27" t="s">
        <v>1320</v>
      </c>
      <c r="B8" s="27" t="s">
        <v>1321</v>
      </c>
      <c r="C8" s="27" t="s">
        <v>738</v>
      </c>
      <c r="D8" s="31">
        <v>71</v>
      </c>
      <c r="E8" s="29">
        <v>738.08689000000004</v>
      </c>
      <c r="F8" s="30">
        <v>10.0754517523782</v>
      </c>
      <c r="G8" s="29">
        <v>4.5650000000000004</v>
      </c>
    </row>
    <row r="9" spans="1:7" x14ac:dyDescent="0.2">
      <c r="A9" s="27" t="s">
        <v>1328</v>
      </c>
      <c r="B9" s="27" t="s">
        <v>1329</v>
      </c>
      <c r="C9" s="27" t="s">
        <v>39</v>
      </c>
      <c r="D9" s="31">
        <v>71</v>
      </c>
      <c r="E9" s="29">
        <v>733.09700999999995</v>
      </c>
      <c r="F9" s="30">
        <v>10.0073360659038</v>
      </c>
      <c r="G9" s="29">
        <v>4.17</v>
      </c>
    </row>
    <row r="10" spans="1:7" x14ac:dyDescent="0.2">
      <c r="A10" s="27" t="s">
        <v>1326</v>
      </c>
      <c r="B10" s="27" t="s">
        <v>1327</v>
      </c>
      <c r="C10" s="27" t="s">
        <v>39</v>
      </c>
      <c r="D10" s="31">
        <v>70</v>
      </c>
      <c r="E10" s="29">
        <v>729.70240000000001</v>
      </c>
      <c r="F10" s="30">
        <v>9.96099703761789</v>
      </c>
      <c r="G10" s="29">
        <v>4.3650000000000002</v>
      </c>
    </row>
    <row r="11" spans="1:7" x14ac:dyDescent="0.2">
      <c r="A11" s="27" t="s">
        <v>1340</v>
      </c>
      <c r="B11" s="27" t="s">
        <v>1341</v>
      </c>
      <c r="C11" s="27" t="s">
        <v>898</v>
      </c>
      <c r="D11" s="31">
        <v>70000</v>
      </c>
      <c r="E11" s="29">
        <v>725.21259999999995</v>
      </c>
      <c r="F11" s="30">
        <v>9.8997078264278304</v>
      </c>
      <c r="G11" s="29">
        <v>5.68</v>
      </c>
    </row>
    <row r="12" spans="1:7" x14ac:dyDescent="0.2">
      <c r="A12" s="27" t="s">
        <v>872</v>
      </c>
      <c r="B12" s="27" t="s">
        <v>873</v>
      </c>
      <c r="C12" s="27" t="s">
        <v>874</v>
      </c>
      <c r="D12" s="31">
        <v>70</v>
      </c>
      <c r="E12" s="29">
        <v>718.12720000000002</v>
      </c>
      <c r="F12" s="30">
        <v>9.8029866858500494</v>
      </c>
      <c r="G12" s="29">
        <v>5.9432</v>
      </c>
    </row>
    <row r="13" spans="1:7" x14ac:dyDescent="0.2">
      <c r="A13" s="27" t="s">
        <v>901</v>
      </c>
      <c r="B13" s="27" t="s">
        <v>902</v>
      </c>
      <c r="C13" s="27" t="s">
        <v>39</v>
      </c>
      <c r="D13" s="31">
        <v>69</v>
      </c>
      <c r="E13" s="29">
        <v>709.33794</v>
      </c>
      <c r="F13" s="30">
        <v>9.6830065503552891</v>
      </c>
      <c r="G13" s="29">
        <v>4.1050000000000004</v>
      </c>
    </row>
    <row r="14" spans="1:7" x14ac:dyDescent="0.2">
      <c r="A14" s="27" t="s">
        <v>944</v>
      </c>
      <c r="B14" s="27" t="s">
        <v>945</v>
      </c>
      <c r="C14" s="27" t="s">
        <v>738</v>
      </c>
      <c r="D14" s="31">
        <v>47</v>
      </c>
      <c r="E14" s="29">
        <v>604.50694999999996</v>
      </c>
      <c r="F14" s="30">
        <v>8.2519831895433295</v>
      </c>
      <c r="G14" s="29">
        <v>5.7095000000000002</v>
      </c>
    </row>
    <row r="15" spans="1:7" x14ac:dyDescent="0.2">
      <c r="A15" s="27" t="s">
        <v>1337</v>
      </c>
      <c r="B15" s="27" t="s">
        <v>1338</v>
      </c>
      <c r="C15" s="27" t="s">
        <v>738</v>
      </c>
      <c r="D15" s="31">
        <v>31</v>
      </c>
      <c r="E15" s="29">
        <v>326.24182999999999</v>
      </c>
      <c r="F15" s="30">
        <v>4.4534510263047498</v>
      </c>
      <c r="G15" s="29">
        <v>5.47</v>
      </c>
    </row>
    <row r="16" spans="1:7" x14ac:dyDescent="0.2">
      <c r="A16" s="27" t="s">
        <v>1330</v>
      </c>
      <c r="B16" s="27" t="s">
        <v>1331</v>
      </c>
      <c r="C16" s="27" t="s">
        <v>970</v>
      </c>
      <c r="D16" s="31">
        <v>20</v>
      </c>
      <c r="E16" s="29">
        <v>252.5772</v>
      </c>
      <c r="F16" s="30">
        <v>3.4478723668304001</v>
      </c>
      <c r="G16" s="29">
        <v>5.8243999999999998</v>
      </c>
    </row>
    <row r="17" spans="1:9" x14ac:dyDescent="0.2">
      <c r="A17" s="27" t="s">
        <v>880</v>
      </c>
      <c r="B17" s="27" t="s">
        <v>881</v>
      </c>
      <c r="C17" s="27" t="s">
        <v>39</v>
      </c>
      <c r="D17" s="31">
        <v>22</v>
      </c>
      <c r="E17" s="29">
        <v>228.14308</v>
      </c>
      <c r="F17" s="30">
        <v>3.1143279013924299</v>
      </c>
      <c r="G17" s="29">
        <v>4.47</v>
      </c>
    </row>
    <row r="18" spans="1:9" x14ac:dyDescent="0.2">
      <c r="A18" s="27" t="s">
        <v>1007</v>
      </c>
      <c r="B18" s="27" t="s">
        <v>1008</v>
      </c>
      <c r="C18" s="27" t="s">
        <v>1009</v>
      </c>
      <c r="D18" s="31">
        <v>11</v>
      </c>
      <c r="E18" s="29">
        <v>116.19553000000001</v>
      </c>
      <c r="F18" s="30">
        <v>1.5861580421202399</v>
      </c>
      <c r="G18" s="29">
        <v>4.1999000000000004</v>
      </c>
    </row>
    <row r="19" spans="1:9" x14ac:dyDescent="0.2">
      <c r="A19" s="27" t="s">
        <v>1318</v>
      </c>
      <c r="B19" s="27" t="s">
        <v>1319</v>
      </c>
      <c r="C19" s="27" t="s">
        <v>39</v>
      </c>
      <c r="D19" s="31">
        <v>2</v>
      </c>
      <c r="E19" s="29">
        <v>25.384440000000001</v>
      </c>
      <c r="F19" s="30">
        <v>0.34651706180710001</v>
      </c>
      <c r="G19" s="29">
        <v>5.24</v>
      </c>
    </row>
    <row r="20" spans="1:9" x14ac:dyDescent="0.2">
      <c r="A20" s="27" t="s">
        <v>920</v>
      </c>
      <c r="B20" s="27" t="s">
        <v>921</v>
      </c>
      <c r="C20" s="27" t="s">
        <v>39</v>
      </c>
      <c r="D20" s="31">
        <v>1</v>
      </c>
      <c r="E20" s="29">
        <v>10.386559999999999</v>
      </c>
      <c r="F20" s="30">
        <v>0.141784504739248</v>
      </c>
      <c r="G20" s="29">
        <v>4.2350000000000003</v>
      </c>
    </row>
    <row r="21" spans="1:9" x14ac:dyDescent="0.2">
      <c r="A21" s="26" t="s">
        <v>40</v>
      </c>
      <c r="B21" s="26"/>
      <c r="C21" s="26"/>
      <c r="D21" s="32"/>
      <c r="E21" s="33">
        <f>SUM(E6:E20)</f>
        <v>6785.9967899999992</v>
      </c>
      <c r="F21" s="34">
        <f>SUM(F6:F20)</f>
        <v>92.63405728482536</v>
      </c>
      <c r="G21" s="33"/>
      <c r="H21" s="18"/>
      <c r="I21" s="18"/>
    </row>
    <row r="22" spans="1:9" x14ac:dyDescent="0.2">
      <c r="A22" s="27"/>
      <c r="B22" s="27"/>
      <c r="C22" s="27"/>
      <c r="D22" s="28"/>
      <c r="E22" s="29"/>
      <c r="F22" s="30"/>
      <c r="G22" s="29"/>
    </row>
    <row r="23" spans="1:9" x14ac:dyDescent="0.2">
      <c r="A23" s="26" t="s">
        <v>44</v>
      </c>
      <c r="B23" s="26"/>
      <c r="C23" s="26"/>
      <c r="D23" s="32"/>
      <c r="E23" s="33">
        <f>E21</f>
        <v>6785.9967899999992</v>
      </c>
      <c r="F23" s="34">
        <f>F21</f>
        <v>92.63405728482536</v>
      </c>
      <c r="G23" s="33"/>
      <c r="H23" s="18"/>
      <c r="I23" s="18"/>
    </row>
    <row r="24" spans="1:9" x14ac:dyDescent="0.2">
      <c r="A24" s="26"/>
      <c r="B24" s="26"/>
      <c r="C24" s="26"/>
      <c r="D24" s="32"/>
      <c r="E24" s="33"/>
      <c r="F24" s="34"/>
      <c r="G24" s="33"/>
      <c r="H24" s="18"/>
      <c r="I24" s="18"/>
    </row>
    <row r="25" spans="1:9" x14ac:dyDescent="0.2">
      <c r="A25" s="26" t="s">
        <v>46</v>
      </c>
      <c r="B25" s="26"/>
      <c r="C25" s="26"/>
      <c r="D25" s="32"/>
      <c r="E25" s="33">
        <f>E27-(E21)</f>
        <v>539.59920450000118</v>
      </c>
      <c r="F25" s="34">
        <f>F27-(F21)</f>
        <v>7.3659427151746399</v>
      </c>
      <c r="G25" s="33"/>
      <c r="H25" s="18"/>
      <c r="I25" s="18"/>
    </row>
    <row r="26" spans="1:9" x14ac:dyDescent="0.2">
      <c r="A26" s="26"/>
      <c r="B26" s="26"/>
      <c r="C26" s="26"/>
      <c r="D26" s="32"/>
      <c r="E26" s="33"/>
      <c r="F26" s="34"/>
      <c r="G26" s="33"/>
      <c r="H26" s="18"/>
      <c r="I26" s="18"/>
    </row>
    <row r="27" spans="1:9" x14ac:dyDescent="0.2">
      <c r="A27" s="35" t="s">
        <v>45</v>
      </c>
      <c r="B27" s="35"/>
      <c r="C27" s="35"/>
      <c r="D27" s="36"/>
      <c r="E27" s="37">
        <v>7325.5959945000004</v>
      </c>
      <c r="F27" s="38">
        <v>100</v>
      </c>
      <c r="G27" s="37"/>
      <c r="H27" s="18"/>
      <c r="I27" s="18"/>
    </row>
    <row r="29" spans="1:9" x14ac:dyDescent="0.2">
      <c r="A29" s="18" t="s">
        <v>47</v>
      </c>
    </row>
    <row r="31" spans="1:9" x14ac:dyDescent="0.2">
      <c r="A31" s="18" t="s">
        <v>48</v>
      </c>
    </row>
    <row r="32" spans="1:9" x14ac:dyDescent="0.2">
      <c r="A32" s="18" t="s">
        <v>49</v>
      </c>
    </row>
    <row r="33" spans="1:5" x14ac:dyDescent="0.2">
      <c r="A33" s="18" t="s">
        <v>50</v>
      </c>
      <c r="B33" s="18"/>
      <c r="C33" s="39" t="s">
        <v>52</v>
      </c>
      <c r="D33" s="19" t="s">
        <v>51</v>
      </c>
    </row>
    <row r="34" spans="1:5" x14ac:dyDescent="0.2">
      <c r="A34" s="9" t="s">
        <v>70</v>
      </c>
      <c r="C34" s="40">
        <v>11.877599999999999</v>
      </c>
      <c r="D34" s="40">
        <v>12.196</v>
      </c>
    </row>
    <row r="35" spans="1:5" x14ac:dyDescent="0.2">
      <c r="A35" s="9" t="s">
        <v>1324</v>
      </c>
      <c r="C35" s="40">
        <v>11.050800000000001</v>
      </c>
      <c r="D35" s="40">
        <v>10.4748</v>
      </c>
    </row>
    <row r="36" spans="1:5" x14ac:dyDescent="0.2">
      <c r="A36" s="9" t="s">
        <v>72</v>
      </c>
      <c r="C36" s="40">
        <v>10.591699999999999</v>
      </c>
      <c r="D36" s="40">
        <v>10.467700000000001</v>
      </c>
    </row>
    <row r="37" spans="1:5" x14ac:dyDescent="0.2">
      <c r="A37" s="9" t="s">
        <v>73</v>
      </c>
      <c r="C37" s="40">
        <v>11.926399999999999</v>
      </c>
      <c r="D37" s="40">
        <v>12.261200000000001</v>
      </c>
    </row>
    <row r="38" spans="1:5" x14ac:dyDescent="0.2">
      <c r="A38" s="9" t="s">
        <v>77</v>
      </c>
      <c r="C38" s="40">
        <v>11.0984</v>
      </c>
      <c r="D38" s="40">
        <v>10.5375</v>
      </c>
    </row>
    <row r="40" spans="1:5" x14ac:dyDescent="0.2">
      <c r="A40" s="18" t="s">
        <v>53</v>
      </c>
    </row>
    <row r="41" spans="1:5" x14ac:dyDescent="0.2">
      <c r="A41" s="74" t="s">
        <v>67</v>
      </c>
      <c r="B41" s="75"/>
      <c r="C41" s="44" t="s">
        <v>68</v>
      </c>
    </row>
    <row r="42" spans="1:5" x14ac:dyDescent="0.2">
      <c r="A42" s="68" t="s">
        <v>1324</v>
      </c>
      <c r="B42" s="69"/>
      <c r="C42" s="45">
        <v>0.87</v>
      </c>
    </row>
    <row r="43" spans="1:5" x14ac:dyDescent="0.2">
      <c r="A43" s="68" t="s">
        <v>72</v>
      </c>
      <c r="B43" s="69"/>
      <c r="C43" s="45">
        <v>0.40500000000000003</v>
      </c>
    </row>
    <row r="44" spans="1:5" x14ac:dyDescent="0.2">
      <c r="A44" s="68" t="s">
        <v>77</v>
      </c>
      <c r="B44" s="69"/>
      <c r="C44" s="45">
        <v>0.87</v>
      </c>
    </row>
    <row r="45" spans="1:5" x14ac:dyDescent="0.2">
      <c r="A45" s="9" t="s">
        <v>69</v>
      </c>
    </row>
    <row r="47" spans="1:5" x14ac:dyDescent="0.2">
      <c r="A47" s="18" t="s">
        <v>793</v>
      </c>
      <c r="D47" s="42">
        <v>0.93764976989041104</v>
      </c>
      <c r="E47" s="13" t="s">
        <v>55</v>
      </c>
    </row>
    <row r="49" spans="1:7" x14ac:dyDescent="0.2">
      <c r="A49" s="18" t="s">
        <v>1477</v>
      </c>
      <c r="D49" s="41" t="s">
        <v>54</v>
      </c>
    </row>
    <row r="51" spans="1:7" ht="14.4" x14ac:dyDescent="0.2">
      <c r="A51" s="70" t="s">
        <v>794</v>
      </c>
      <c r="B51" s="71"/>
      <c r="C51" s="71"/>
      <c r="D51" s="71"/>
      <c r="E51" s="71"/>
      <c r="F51" s="71"/>
      <c r="G51" s="71"/>
    </row>
    <row r="52" spans="1:7" x14ac:dyDescent="0.2">
      <c r="A52" s="50" t="s">
        <v>56</v>
      </c>
    </row>
    <row r="54" spans="1:7" x14ac:dyDescent="0.2">
      <c r="A54" s="50"/>
    </row>
  </sheetData>
  <mergeCells count="6">
    <mergeCell ref="A51:G51"/>
    <mergeCell ref="A1:G1"/>
    <mergeCell ref="A41:B41"/>
    <mergeCell ref="A42:B42"/>
    <mergeCell ref="A43:B43"/>
    <mergeCell ref="A44:B44"/>
  </mergeCells>
  <conditionalFormatting sqref="F2:F3 F5:F50 F55:F65536">
    <cfRule type="cellIs" dxfId="102" priority="3" stopIfTrue="1" operator="between">
      <formula>0.009</formula>
      <formula>-0.009</formula>
    </cfRule>
  </conditionalFormatting>
  <conditionalFormatting sqref="F52">
    <cfRule type="cellIs" dxfId="101" priority="1" stopIfTrue="1" operator="between">
      <formula>0.009</formula>
      <formula>-0.009</formula>
    </cfRule>
  </conditionalFormatting>
  <conditionalFormatting sqref="F53:F54">
    <cfRule type="cellIs" dxfId="100" priority="2" stopIfTrue="1" operator="between">
      <formula>0.009</formula>
      <formula>-0.009</formula>
    </cfRule>
  </conditionalFormatting>
  <hyperlinks>
    <hyperlink ref="A52" r:id="rId1" xr:uid="{00000000-0004-0000-10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9"/>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1342</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894</v>
      </c>
      <c r="B7" s="27" t="s">
        <v>895</v>
      </c>
      <c r="C7" s="27" t="s">
        <v>39</v>
      </c>
      <c r="D7" s="31">
        <v>37</v>
      </c>
      <c r="E7" s="29">
        <v>469.94958000000003</v>
      </c>
      <c r="F7" s="30">
        <v>12.0293736341517</v>
      </c>
      <c r="G7" s="29">
        <v>4.51</v>
      </c>
    </row>
    <row r="8" spans="1:7" x14ac:dyDescent="0.2">
      <c r="A8" s="27" t="s">
        <v>1010</v>
      </c>
      <c r="B8" s="27" t="s">
        <v>1011</v>
      </c>
      <c r="C8" s="27" t="s">
        <v>898</v>
      </c>
      <c r="D8" s="31">
        <v>37</v>
      </c>
      <c r="E8" s="29">
        <v>384.56135</v>
      </c>
      <c r="F8" s="30">
        <v>9.8436776226160205</v>
      </c>
      <c r="G8" s="29">
        <v>4.3650000000000002</v>
      </c>
    </row>
    <row r="9" spans="1:7" x14ac:dyDescent="0.2">
      <c r="A9" s="27" t="s">
        <v>946</v>
      </c>
      <c r="B9" s="27" t="s">
        <v>947</v>
      </c>
      <c r="C9" s="27" t="s">
        <v>39</v>
      </c>
      <c r="D9" s="31">
        <v>37</v>
      </c>
      <c r="E9" s="29">
        <v>379.72323</v>
      </c>
      <c r="F9" s="30">
        <v>9.7198355007295305</v>
      </c>
      <c r="G9" s="29">
        <v>4.7598000000000003</v>
      </c>
    </row>
    <row r="10" spans="1:7" x14ac:dyDescent="0.2">
      <c r="A10" s="27" t="s">
        <v>1337</v>
      </c>
      <c r="B10" s="27" t="s">
        <v>1338</v>
      </c>
      <c r="C10" s="27" t="s">
        <v>738</v>
      </c>
      <c r="D10" s="31">
        <v>36</v>
      </c>
      <c r="E10" s="29">
        <v>378.86147999999997</v>
      </c>
      <c r="F10" s="30">
        <v>9.6977771498544705</v>
      </c>
      <c r="G10" s="29">
        <v>5.47</v>
      </c>
    </row>
    <row r="11" spans="1:7" x14ac:dyDescent="0.2">
      <c r="A11" s="27" t="s">
        <v>901</v>
      </c>
      <c r="B11" s="27" t="s">
        <v>902</v>
      </c>
      <c r="C11" s="27" t="s">
        <v>39</v>
      </c>
      <c r="D11" s="31">
        <v>36</v>
      </c>
      <c r="E11" s="29">
        <v>370.08936</v>
      </c>
      <c r="F11" s="30">
        <v>9.4732358085394797</v>
      </c>
      <c r="G11" s="29">
        <v>4.1050000000000004</v>
      </c>
    </row>
    <row r="12" spans="1:7" x14ac:dyDescent="0.2">
      <c r="A12" s="27" t="s">
        <v>872</v>
      </c>
      <c r="B12" s="27" t="s">
        <v>873</v>
      </c>
      <c r="C12" s="27" t="s">
        <v>874</v>
      </c>
      <c r="D12" s="31">
        <v>33</v>
      </c>
      <c r="E12" s="29">
        <v>338.54568</v>
      </c>
      <c r="F12" s="30">
        <v>8.6658072488286297</v>
      </c>
      <c r="G12" s="29">
        <v>5.9432</v>
      </c>
    </row>
    <row r="13" spans="1:7" x14ac:dyDescent="0.2">
      <c r="A13" s="27" t="s">
        <v>920</v>
      </c>
      <c r="B13" s="27" t="s">
        <v>921</v>
      </c>
      <c r="C13" s="27" t="s">
        <v>39</v>
      </c>
      <c r="D13" s="31">
        <v>27</v>
      </c>
      <c r="E13" s="29">
        <v>280.43711999999999</v>
      </c>
      <c r="F13" s="30">
        <v>7.1783932594757198</v>
      </c>
      <c r="G13" s="29">
        <v>4.2350000000000003</v>
      </c>
    </row>
    <row r="14" spans="1:7" x14ac:dyDescent="0.2">
      <c r="A14" s="27" t="s">
        <v>1343</v>
      </c>
      <c r="B14" s="27" t="s">
        <v>1344</v>
      </c>
      <c r="C14" s="27" t="s">
        <v>39</v>
      </c>
      <c r="D14" s="31">
        <v>21</v>
      </c>
      <c r="E14" s="29">
        <v>267.38522999999998</v>
      </c>
      <c r="F14" s="30">
        <v>6.8443019694231797</v>
      </c>
      <c r="G14" s="29">
        <v>6.4775</v>
      </c>
    </row>
    <row r="15" spans="1:7" x14ac:dyDescent="0.2">
      <c r="A15" s="27" t="s">
        <v>934</v>
      </c>
      <c r="B15" s="27" t="s">
        <v>935</v>
      </c>
      <c r="C15" s="27" t="s">
        <v>898</v>
      </c>
      <c r="D15" s="31">
        <v>20</v>
      </c>
      <c r="E15" s="29">
        <v>208.12960000000001</v>
      </c>
      <c r="F15" s="30">
        <v>5.32752624808505</v>
      </c>
      <c r="G15" s="29">
        <v>4.1398999999999999</v>
      </c>
    </row>
    <row r="16" spans="1:7" x14ac:dyDescent="0.2">
      <c r="A16" s="27" t="s">
        <v>944</v>
      </c>
      <c r="B16" s="27" t="s">
        <v>945</v>
      </c>
      <c r="C16" s="27" t="s">
        <v>738</v>
      </c>
      <c r="D16" s="31">
        <v>12</v>
      </c>
      <c r="E16" s="29">
        <v>154.34219999999999</v>
      </c>
      <c r="F16" s="30">
        <v>3.9507216738377999</v>
      </c>
      <c r="G16" s="29">
        <v>5.7095000000000002</v>
      </c>
    </row>
    <row r="17" spans="1:9" x14ac:dyDescent="0.2">
      <c r="A17" s="27" t="s">
        <v>880</v>
      </c>
      <c r="B17" s="27" t="s">
        <v>881</v>
      </c>
      <c r="C17" s="27" t="s">
        <v>39</v>
      </c>
      <c r="D17" s="31">
        <v>10</v>
      </c>
      <c r="E17" s="29">
        <v>103.70140000000001</v>
      </c>
      <c r="F17" s="30">
        <v>2.6544611168385801</v>
      </c>
      <c r="G17" s="29">
        <v>4.47</v>
      </c>
    </row>
    <row r="18" spans="1:9" x14ac:dyDescent="0.2">
      <c r="A18" s="27" t="s">
        <v>940</v>
      </c>
      <c r="B18" s="27" t="s">
        <v>941</v>
      </c>
      <c r="C18" s="27" t="s">
        <v>39</v>
      </c>
      <c r="D18" s="31">
        <v>8</v>
      </c>
      <c r="E18" s="29">
        <v>101.94784</v>
      </c>
      <c r="F18" s="30">
        <v>2.6095749645200601</v>
      </c>
      <c r="G18" s="29">
        <v>4.5999999999999996</v>
      </c>
    </row>
    <row r="19" spans="1:9" x14ac:dyDescent="0.2">
      <c r="A19" s="27" t="s">
        <v>1314</v>
      </c>
      <c r="B19" s="27" t="s">
        <v>1315</v>
      </c>
      <c r="C19" s="27" t="s">
        <v>39</v>
      </c>
      <c r="D19" s="31">
        <v>3</v>
      </c>
      <c r="E19" s="29">
        <v>38.682659999999998</v>
      </c>
      <c r="F19" s="30">
        <v>0.99016615846928902</v>
      </c>
      <c r="G19" s="29">
        <v>5.2298999999999998</v>
      </c>
    </row>
    <row r="20" spans="1:9" x14ac:dyDescent="0.2">
      <c r="A20" s="27" t="s">
        <v>1330</v>
      </c>
      <c r="B20" s="27" t="s">
        <v>1331</v>
      </c>
      <c r="C20" s="27" t="s">
        <v>970</v>
      </c>
      <c r="D20" s="31">
        <v>3</v>
      </c>
      <c r="E20" s="29">
        <v>37.886580000000002</v>
      </c>
      <c r="F20" s="30">
        <v>0.96978877295768695</v>
      </c>
      <c r="G20" s="29">
        <v>5.8243999999999998</v>
      </c>
    </row>
    <row r="21" spans="1:9" x14ac:dyDescent="0.2">
      <c r="A21" s="27" t="s">
        <v>1345</v>
      </c>
      <c r="B21" s="27" t="s">
        <v>1346</v>
      </c>
      <c r="C21" s="27" t="s">
        <v>738</v>
      </c>
      <c r="D21" s="31">
        <v>3</v>
      </c>
      <c r="E21" s="29">
        <v>31.399349999999998</v>
      </c>
      <c r="F21" s="30">
        <v>0.80373412190197502</v>
      </c>
      <c r="G21" s="29">
        <v>5.5247000000000002</v>
      </c>
    </row>
    <row r="22" spans="1:9" x14ac:dyDescent="0.2">
      <c r="A22" s="27" t="s">
        <v>882</v>
      </c>
      <c r="B22" s="27" t="s">
        <v>883</v>
      </c>
      <c r="C22" s="27" t="s">
        <v>39</v>
      </c>
      <c r="D22" s="31">
        <v>3</v>
      </c>
      <c r="E22" s="29">
        <v>31.06251</v>
      </c>
      <c r="F22" s="30">
        <v>0.79511197521354204</v>
      </c>
      <c r="G22" s="29">
        <v>4.085</v>
      </c>
    </row>
    <row r="23" spans="1:9" x14ac:dyDescent="0.2">
      <c r="A23" s="27" t="s">
        <v>1318</v>
      </c>
      <c r="B23" s="27" t="s">
        <v>1319</v>
      </c>
      <c r="C23" s="27" t="s">
        <v>39</v>
      </c>
      <c r="D23" s="31">
        <v>2</v>
      </c>
      <c r="E23" s="29">
        <v>25.384440000000001</v>
      </c>
      <c r="F23" s="30">
        <v>0.649769520495596</v>
      </c>
      <c r="G23" s="29">
        <v>5.24</v>
      </c>
    </row>
    <row r="24" spans="1:9" x14ac:dyDescent="0.2">
      <c r="A24" s="26" t="s">
        <v>40</v>
      </c>
      <c r="B24" s="26"/>
      <c r="C24" s="26"/>
      <c r="D24" s="32"/>
      <c r="E24" s="33">
        <f>SUM(E6:E23)</f>
        <v>3602.08961</v>
      </c>
      <c r="F24" s="34">
        <f>SUM(F6:F23)</f>
        <v>92.203256745938319</v>
      </c>
      <c r="G24" s="33"/>
      <c r="H24" s="18"/>
      <c r="I24" s="18"/>
    </row>
    <row r="25" spans="1:9" x14ac:dyDescent="0.2">
      <c r="A25" s="27"/>
      <c r="B25" s="27"/>
      <c r="C25" s="27"/>
      <c r="D25" s="28"/>
      <c r="E25" s="29"/>
      <c r="F25" s="30"/>
      <c r="G25" s="29"/>
    </row>
    <row r="26" spans="1:9" x14ac:dyDescent="0.2">
      <c r="A26" s="26" t="s">
        <v>44</v>
      </c>
      <c r="B26" s="26"/>
      <c r="C26" s="26"/>
      <c r="D26" s="32"/>
      <c r="E26" s="33">
        <f>E24</f>
        <v>3602.08961</v>
      </c>
      <c r="F26" s="34">
        <f>F24</f>
        <v>92.203256745938319</v>
      </c>
      <c r="G26" s="33"/>
      <c r="H26" s="18"/>
      <c r="I26" s="18"/>
    </row>
    <row r="27" spans="1:9" x14ac:dyDescent="0.2">
      <c r="A27" s="26"/>
      <c r="B27" s="26"/>
      <c r="C27" s="26"/>
      <c r="D27" s="32"/>
      <c r="E27" s="33"/>
      <c r="F27" s="34"/>
      <c r="G27" s="33"/>
      <c r="H27" s="18"/>
      <c r="I27" s="18"/>
    </row>
    <row r="28" spans="1:9" x14ac:dyDescent="0.2">
      <c r="A28" s="26" t="s">
        <v>46</v>
      </c>
      <c r="B28" s="26"/>
      <c r="C28" s="26"/>
      <c r="D28" s="32"/>
      <c r="E28" s="33">
        <f>E30-(E24)</f>
        <v>304.5940985000002</v>
      </c>
      <c r="F28" s="34">
        <f>F30-(F24)</f>
        <v>7.7967432540616812</v>
      </c>
      <c r="G28" s="33"/>
      <c r="H28" s="18"/>
      <c r="I28" s="18"/>
    </row>
    <row r="29" spans="1:9" x14ac:dyDescent="0.2">
      <c r="A29" s="26"/>
      <c r="B29" s="26"/>
      <c r="C29" s="26"/>
      <c r="D29" s="32"/>
      <c r="E29" s="33"/>
      <c r="F29" s="34"/>
      <c r="G29" s="33"/>
      <c r="H29" s="18"/>
      <c r="I29" s="18"/>
    </row>
    <row r="30" spans="1:9" x14ac:dyDescent="0.2">
      <c r="A30" s="35" t="s">
        <v>45</v>
      </c>
      <c r="B30" s="35"/>
      <c r="C30" s="35"/>
      <c r="D30" s="36"/>
      <c r="E30" s="37">
        <v>3906.6837085000002</v>
      </c>
      <c r="F30" s="38">
        <v>100</v>
      </c>
      <c r="G30" s="37"/>
      <c r="H30" s="18"/>
      <c r="I30" s="18"/>
    </row>
    <row r="32" spans="1:9" x14ac:dyDescent="0.2">
      <c r="A32" s="18" t="s">
        <v>47</v>
      </c>
    </row>
    <row r="34" spans="1:4" x14ac:dyDescent="0.2">
      <c r="A34" s="18" t="s">
        <v>48</v>
      </c>
    </row>
    <row r="35" spans="1:4" x14ac:dyDescent="0.2">
      <c r="A35" s="18" t="s">
        <v>49</v>
      </c>
    </row>
    <row r="36" spans="1:4" x14ac:dyDescent="0.2">
      <c r="A36" s="18" t="s">
        <v>50</v>
      </c>
      <c r="B36" s="18"/>
      <c r="C36" s="39" t="s">
        <v>52</v>
      </c>
      <c r="D36" s="19" t="s">
        <v>51</v>
      </c>
    </row>
    <row r="37" spans="1:4" x14ac:dyDescent="0.2">
      <c r="A37" s="9" t="s">
        <v>70</v>
      </c>
      <c r="C37" s="40">
        <v>11.984999999999999</v>
      </c>
      <c r="D37" s="40">
        <v>12.288399999999999</v>
      </c>
    </row>
    <row r="38" spans="1:4" x14ac:dyDescent="0.2">
      <c r="A38" s="9" t="s">
        <v>1324</v>
      </c>
      <c r="C38" s="40">
        <v>11.120100000000001</v>
      </c>
      <c r="D38" s="40">
        <v>10.5777</v>
      </c>
    </row>
    <row r="39" spans="1:4" x14ac:dyDescent="0.2">
      <c r="A39" s="9" t="s">
        <v>72</v>
      </c>
      <c r="C39" s="40">
        <v>10.681900000000001</v>
      </c>
      <c r="D39" s="40">
        <v>10.562200000000001</v>
      </c>
    </row>
    <row r="40" spans="1:4" x14ac:dyDescent="0.2">
      <c r="A40" s="9" t="s">
        <v>73</v>
      </c>
      <c r="C40" s="40">
        <v>12.036</v>
      </c>
      <c r="D40" s="40">
        <v>12.3558</v>
      </c>
    </row>
    <row r="41" spans="1:4" x14ac:dyDescent="0.2">
      <c r="A41" s="9" t="s">
        <v>77</v>
      </c>
      <c r="C41" s="40">
        <v>11.1699</v>
      </c>
      <c r="D41" s="40">
        <v>10.6426</v>
      </c>
    </row>
    <row r="42" spans="1:4" x14ac:dyDescent="0.2">
      <c r="A42" s="9" t="s">
        <v>75</v>
      </c>
      <c r="C42" s="40">
        <v>10.732799999999999</v>
      </c>
      <c r="D42" s="40">
        <v>10.6289</v>
      </c>
    </row>
    <row r="44" spans="1:4" x14ac:dyDescent="0.2">
      <c r="A44" s="18" t="s">
        <v>53</v>
      </c>
    </row>
    <row r="45" spans="1:4" x14ac:dyDescent="0.2">
      <c r="A45" s="74" t="s">
        <v>67</v>
      </c>
      <c r="B45" s="75"/>
      <c r="C45" s="44" t="s">
        <v>68</v>
      </c>
    </row>
    <row r="46" spans="1:4" x14ac:dyDescent="0.2">
      <c r="A46" s="68" t="s">
        <v>1324</v>
      </c>
      <c r="B46" s="69"/>
      <c r="C46" s="45">
        <v>0.82</v>
      </c>
    </row>
    <row r="47" spans="1:4" x14ac:dyDescent="0.2">
      <c r="A47" s="68" t="s">
        <v>72</v>
      </c>
      <c r="B47" s="69"/>
      <c r="C47" s="45">
        <v>0.38500000000000001</v>
      </c>
    </row>
    <row r="48" spans="1:4" x14ac:dyDescent="0.2">
      <c r="A48" s="68" t="s">
        <v>77</v>
      </c>
      <c r="B48" s="69"/>
      <c r="C48" s="45">
        <v>0.82</v>
      </c>
    </row>
    <row r="49" spans="1:7" x14ac:dyDescent="0.2">
      <c r="A49" s="68" t="s">
        <v>75</v>
      </c>
      <c r="B49" s="69"/>
      <c r="C49" s="45">
        <v>0.38500000000000001</v>
      </c>
    </row>
    <row r="50" spans="1:7" x14ac:dyDescent="0.2">
      <c r="A50" s="9" t="s">
        <v>69</v>
      </c>
    </row>
    <row r="52" spans="1:7" x14ac:dyDescent="0.2">
      <c r="A52" s="18" t="s">
        <v>793</v>
      </c>
      <c r="D52" s="42">
        <v>0.89677624747945195</v>
      </c>
      <c r="E52" s="13" t="s">
        <v>55</v>
      </c>
    </row>
    <row r="54" spans="1:7" x14ac:dyDescent="0.2">
      <c r="A54" s="18" t="s">
        <v>1477</v>
      </c>
      <c r="D54" s="41" t="s">
        <v>54</v>
      </c>
    </row>
    <row r="56" spans="1:7" ht="14.4" x14ac:dyDescent="0.2">
      <c r="A56" s="70" t="s">
        <v>794</v>
      </c>
      <c r="B56" s="71"/>
      <c r="C56" s="71"/>
      <c r="D56" s="71"/>
      <c r="E56" s="71"/>
      <c r="F56" s="71"/>
      <c r="G56" s="71"/>
    </row>
    <row r="57" spans="1:7" x14ac:dyDescent="0.2">
      <c r="A57" s="50" t="s">
        <v>56</v>
      </c>
    </row>
    <row r="59" spans="1:7" x14ac:dyDescent="0.2">
      <c r="A59" s="50"/>
    </row>
  </sheetData>
  <mergeCells count="7">
    <mergeCell ref="A56:G56"/>
    <mergeCell ref="A1:G1"/>
    <mergeCell ref="A45:B45"/>
    <mergeCell ref="A46:B46"/>
    <mergeCell ref="A47:B47"/>
    <mergeCell ref="A48:B48"/>
    <mergeCell ref="A49:B49"/>
  </mergeCells>
  <conditionalFormatting sqref="F2:F3 F5:F55 F60:F65536">
    <cfRule type="cellIs" dxfId="99" priority="3" stopIfTrue="1" operator="between">
      <formula>0.009</formula>
      <formula>-0.009</formula>
    </cfRule>
  </conditionalFormatting>
  <conditionalFormatting sqref="F57">
    <cfRule type="cellIs" dxfId="98" priority="1" stopIfTrue="1" operator="between">
      <formula>0.009</formula>
      <formula>-0.009</formula>
    </cfRule>
  </conditionalFormatting>
  <conditionalFormatting sqref="F58:F59">
    <cfRule type="cellIs" dxfId="97" priority="2" stopIfTrue="1" operator="between">
      <formula>0.009</formula>
      <formula>-0.009</formula>
    </cfRule>
  </conditionalFormatting>
  <hyperlinks>
    <hyperlink ref="A57" r:id="rId1" xr:uid="{00000000-0004-0000-11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5"/>
  <sheetViews>
    <sheetView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1347</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894</v>
      </c>
      <c r="B7" s="27" t="s">
        <v>895</v>
      </c>
      <c r="C7" s="27" t="s">
        <v>39</v>
      </c>
      <c r="D7" s="31">
        <v>47</v>
      </c>
      <c r="E7" s="29">
        <v>596.96298000000002</v>
      </c>
      <c r="F7" s="30">
        <v>12.049167234930501</v>
      </c>
      <c r="G7" s="29">
        <v>4.51</v>
      </c>
    </row>
    <row r="8" spans="1:7" x14ac:dyDescent="0.2">
      <c r="A8" s="27" t="s">
        <v>944</v>
      </c>
      <c r="B8" s="27" t="s">
        <v>945</v>
      </c>
      <c r="C8" s="27" t="s">
        <v>738</v>
      </c>
      <c r="D8" s="31">
        <v>38</v>
      </c>
      <c r="E8" s="29">
        <v>488.75029999999998</v>
      </c>
      <c r="F8" s="30">
        <v>9.8649904568998004</v>
      </c>
      <c r="G8" s="29">
        <v>5.7095000000000002</v>
      </c>
    </row>
    <row r="9" spans="1:7" x14ac:dyDescent="0.2">
      <c r="A9" s="27" t="s">
        <v>1010</v>
      </c>
      <c r="B9" s="27" t="s">
        <v>1011</v>
      </c>
      <c r="C9" s="27" t="s">
        <v>898</v>
      </c>
      <c r="D9" s="31">
        <v>47</v>
      </c>
      <c r="E9" s="29">
        <v>488.49684999999999</v>
      </c>
      <c r="F9" s="30">
        <v>9.8598747938888405</v>
      </c>
      <c r="G9" s="29">
        <v>4.3650000000000002</v>
      </c>
    </row>
    <row r="10" spans="1:7" x14ac:dyDescent="0.2">
      <c r="A10" s="27" t="s">
        <v>950</v>
      </c>
      <c r="B10" s="27" t="s">
        <v>951</v>
      </c>
      <c r="C10" s="27" t="s">
        <v>39</v>
      </c>
      <c r="D10" s="31">
        <v>47</v>
      </c>
      <c r="E10" s="29">
        <v>479.36192999999997</v>
      </c>
      <c r="F10" s="30">
        <v>9.6754945518213908</v>
      </c>
      <c r="G10" s="29">
        <v>3.8915999999999999</v>
      </c>
    </row>
    <row r="11" spans="1:7" x14ac:dyDescent="0.2">
      <c r="A11" s="27" t="s">
        <v>901</v>
      </c>
      <c r="B11" s="27" t="s">
        <v>902</v>
      </c>
      <c r="C11" s="27" t="s">
        <v>39</v>
      </c>
      <c r="D11" s="31">
        <v>46</v>
      </c>
      <c r="E11" s="29">
        <v>472.89195999999998</v>
      </c>
      <c r="F11" s="30">
        <v>9.5449039571835304</v>
      </c>
      <c r="G11" s="29">
        <v>4.1050000000000004</v>
      </c>
    </row>
    <row r="12" spans="1:7" x14ac:dyDescent="0.2">
      <c r="A12" s="27" t="s">
        <v>882</v>
      </c>
      <c r="B12" s="27" t="s">
        <v>883</v>
      </c>
      <c r="C12" s="27" t="s">
        <v>39</v>
      </c>
      <c r="D12" s="31">
        <v>45</v>
      </c>
      <c r="E12" s="29">
        <v>465.93765000000002</v>
      </c>
      <c r="F12" s="30">
        <v>9.4045373900748892</v>
      </c>
      <c r="G12" s="29">
        <v>4.085</v>
      </c>
    </row>
    <row r="13" spans="1:7" x14ac:dyDescent="0.2">
      <c r="A13" s="27" t="s">
        <v>1343</v>
      </c>
      <c r="B13" s="27" t="s">
        <v>1344</v>
      </c>
      <c r="C13" s="27" t="s">
        <v>39</v>
      </c>
      <c r="D13" s="31">
        <v>29</v>
      </c>
      <c r="E13" s="29">
        <v>369.24626999999998</v>
      </c>
      <c r="F13" s="30">
        <v>7.4529078136542202</v>
      </c>
      <c r="G13" s="29">
        <v>6.4775</v>
      </c>
    </row>
    <row r="14" spans="1:7" x14ac:dyDescent="0.2">
      <c r="A14" s="27" t="s">
        <v>1348</v>
      </c>
      <c r="B14" s="27" t="s">
        <v>1349</v>
      </c>
      <c r="C14" s="27" t="s">
        <v>39</v>
      </c>
      <c r="D14" s="31">
        <v>35</v>
      </c>
      <c r="E14" s="29">
        <v>368.14400000000001</v>
      </c>
      <c r="F14" s="30">
        <v>7.4306594732830202</v>
      </c>
      <c r="G14" s="29">
        <v>5.1619000000000002</v>
      </c>
    </row>
    <row r="15" spans="1:7" x14ac:dyDescent="0.2">
      <c r="A15" s="27" t="s">
        <v>920</v>
      </c>
      <c r="B15" s="27" t="s">
        <v>921</v>
      </c>
      <c r="C15" s="27" t="s">
        <v>39</v>
      </c>
      <c r="D15" s="31">
        <v>24</v>
      </c>
      <c r="E15" s="29">
        <v>249.27744000000001</v>
      </c>
      <c r="F15" s="30">
        <v>5.0314435954728003</v>
      </c>
      <c r="G15" s="29">
        <v>4.2350000000000003</v>
      </c>
    </row>
    <row r="16" spans="1:7" x14ac:dyDescent="0.2">
      <c r="A16" s="27" t="s">
        <v>1007</v>
      </c>
      <c r="B16" s="27" t="s">
        <v>1008</v>
      </c>
      <c r="C16" s="27" t="s">
        <v>1009</v>
      </c>
      <c r="D16" s="31">
        <v>22</v>
      </c>
      <c r="E16" s="29">
        <v>232.39106000000001</v>
      </c>
      <c r="F16" s="30">
        <v>4.6906070219677201</v>
      </c>
      <c r="G16" s="29">
        <v>4.1999000000000004</v>
      </c>
    </row>
    <row r="17" spans="1:9" x14ac:dyDescent="0.2">
      <c r="A17" s="27" t="s">
        <v>946</v>
      </c>
      <c r="B17" s="27" t="s">
        <v>947</v>
      </c>
      <c r="C17" s="27" t="s">
        <v>39</v>
      </c>
      <c r="D17" s="31">
        <v>10</v>
      </c>
      <c r="E17" s="29">
        <v>102.6279</v>
      </c>
      <c r="F17" s="30">
        <v>2.07145295688139</v>
      </c>
      <c r="G17" s="29">
        <v>4.7598000000000003</v>
      </c>
    </row>
    <row r="18" spans="1:9" x14ac:dyDescent="0.2">
      <c r="A18" s="27" t="s">
        <v>880</v>
      </c>
      <c r="B18" s="27" t="s">
        <v>881</v>
      </c>
      <c r="C18" s="27" t="s">
        <v>39</v>
      </c>
      <c r="D18" s="31">
        <v>8</v>
      </c>
      <c r="E18" s="29">
        <v>82.961119999999994</v>
      </c>
      <c r="F18" s="30">
        <v>1.6744964802962099</v>
      </c>
      <c r="G18" s="29">
        <v>4.47</v>
      </c>
    </row>
    <row r="19" spans="1:9" x14ac:dyDescent="0.2">
      <c r="A19" s="27" t="s">
        <v>1330</v>
      </c>
      <c r="B19" s="27" t="s">
        <v>1331</v>
      </c>
      <c r="C19" s="27" t="s">
        <v>970</v>
      </c>
      <c r="D19" s="31">
        <v>5</v>
      </c>
      <c r="E19" s="29">
        <v>63.144300000000001</v>
      </c>
      <c r="F19" s="30">
        <v>1.2745115796504201</v>
      </c>
      <c r="G19" s="29">
        <v>5.8243999999999998</v>
      </c>
    </row>
    <row r="20" spans="1:9" x14ac:dyDescent="0.2">
      <c r="A20" s="27" t="s">
        <v>872</v>
      </c>
      <c r="B20" s="27" t="s">
        <v>873</v>
      </c>
      <c r="C20" s="27" t="s">
        <v>874</v>
      </c>
      <c r="D20" s="31">
        <v>6</v>
      </c>
      <c r="E20" s="29">
        <v>61.553759999999997</v>
      </c>
      <c r="F20" s="30">
        <v>1.24240794325098</v>
      </c>
      <c r="G20" s="29">
        <v>5.9432</v>
      </c>
    </row>
    <row r="21" spans="1:9" x14ac:dyDescent="0.2">
      <c r="A21" s="27" t="s">
        <v>1337</v>
      </c>
      <c r="B21" s="27" t="s">
        <v>1338</v>
      </c>
      <c r="C21" s="27" t="s">
        <v>738</v>
      </c>
      <c r="D21" s="31">
        <v>4</v>
      </c>
      <c r="E21" s="29">
        <v>42.09572</v>
      </c>
      <c r="F21" s="30">
        <v>0.84966469806018696</v>
      </c>
      <c r="G21" s="29">
        <v>5.47</v>
      </c>
    </row>
    <row r="22" spans="1:9" x14ac:dyDescent="0.2">
      <c r="A22" s="27" t="s">
        <v>1318</v>
      </c>
      <c r="B22" s="27" t="s">
        <v>1319</v>
      </c>
      <c r="C22" s="27" t="s">
        <v>39</v>
      </c>
      <c r="D22" s="31">
        <v>1</v>
      </c>
      <c r="E22" s="29">
        <v>12.692220000000001</v>
      </c>
      <c r="F22" s="30">
        <v>0.25618118122254402</v>
      </c>
      <c r="G22" s="29">
        <v>5.24</v>
      </c>
    </row>
    <row r="23" spans="1:9" x14ac:dyDescent="0.2">
      <c r="A23" s="27" t="s">
        <v>878</v>
      </c>
      <c r="B23" s="27" t="s">
        <v>879</v>
      </c>
      <c r="C23" s="27" t="s">
        <v>867</v>
      </c>
      <c r="D23" s="31">
        <v>1</v>
      </c>
      <c r="E23" s="29">
        <v>10.28445</v>
      </c>
      <c r="F23" s="30">
        <v>0.207582483539065</v>
      </c>
      <c r="G23" s="29">
        <v>6.1935000000000002</v>
      </c>
    </row>
    <row r="24" spans="1:9" x14ac:dyDescent="0.2">
      <c r="A24" s="26" t="s">
        <v>40</v>
      </c>
      <c r="B24" s="26"/>
      <c r="C24" s="26"/>
      <c r="D24" s="32"/>
      <c r="E24" s="33">
        <f>SUM(E6:E23)</f>
        <v>4586.8199100000002</v>
      </c>
      <c r="F24" s="34">
        <f>SUM(F6:F23)</f>
        <v>92.5808836120775</v>
      </c>
      <c r="G24" s="33"/>
      <c r="H24" s="18"/>
      <c r="I24" s="18"/>
    </row>
    <row r="25" spans="1:9" x14ac:dyDescent="0.2">
      <c r="A25" s="27"/>
      <c r="B25" s="27"/>
      <c r="C25" s="27"/>
      <c r="D25" s="28"/>
      <c r="E25" s="29"/>
      <c r="F25" s="30"/>
      <c r="G25" s="29"/>
    </row>
    <row r="26" spans="1:9" x14ac:dyDescent="0.2">
      <c r="A26" s="26" t="s">
        <v>44</v>
      </c>
      <c r="B26" s="26"/>
      <c r="C26" s="26"/>
      <c r="D26" s="32"/>
      <c r="E26" s="33">
        <f>E24</f>
        <v>4586.8199100000002</v>
      </c>
      <c r="F26" s="34">
        <f>F24</f>
        <v>92.5808836120775</v>
      </c>
      <c r="G26" s="33"/>
      <c r="H26" s="18"/>
      <c r="I26" s="18"/>
    </row>
    <row r="27" spans="1:9" x14ac:dyDescent="0.2">
      <c r="A27" s="26"/>
      <c r="B27" s="26"/>
      <c r="C27" s="26"/>
      <c r="D27" s="32"/>
      <c r="E27" s="33"/>
      <c r="F27" s="34"/>
      <c r="G27" s="33"/>
      <c r="H27" s="18"/>
      <c r="I27" s="18"/>
    </row>
    <row r="28" spans="1:9" x14ac:dyDescent="0.2">
      <c r="A28" s="26" t="s">
        <v>46</v>
      </c>
      <c r="B28" s="26"/>
      <c r="C28" s="26"/>
      <c r="D28" s="32"/>
      <c r="E28" s="33">
        <f>E30-(E24)</f>
        <v>367.57211029999962</v>
      </c>
      <c r="F28" s="34">
        <f>F30-(F24)</f>
        <v>7.4191163879225002</v>
      </c>
      <c r="G28" s="33"/>
      <c r="H28" s="18"/>
      <c r="I28" s="18"/>
    </row>
    <row r="29" spans="1:9" x14ac:dyDescent="0.2">
      <c r="A29" s="26"/>
      <c r="B29" s="26"/>
      <c r="C29" s="26"/>
      <c r="D29" s="32"/>
      <c r="E29" s="33"/>
      <c r="F29" s="34"/>
      <c r="G29" s="33"/>
      <c r="H29" s="18"/>
      <c r="I29" s="18"/>
    </row>
    <row r="30" spans="1:9" x14ac:dyDescent="0.2">
      <c r="A30" s="35" t="s">
        <v>45</v>
      </c>
      <c r="B30" s="35"/>
      <c r="C30" s="35"/>
      <c r="D30" s="36"/>
      <c r="E30" s="37">
        <v>4954.3920202999998</v>
      </c>
      <c r="F30" s="38">
        <v>100</v>
      </c>
      <c r="G30" s="37"/>
      <c r="H30" s="18"/>
      <c r="I30" s="18"/>
    </row>
    <row r="32" spans="1:9" x14ac:dyDescent="0.2">
      <c r="A32" s="18" t="s">
        <v>47</v>
      </c>
    </row>
    <row r="34" spans="1:5" x14ac:dyDescent="0.2">
      <c r="A34" s="18" t="s">
        <v>48</v>
      </c>
    </row>
    <row r="35" spans="1:5" x14ac:dyDescent="0.2">
      <c r="A35" s="18" t="s">
        <v>49</v>
      </c>
    </row>
    <row r="36" spans="1:5" x14ac:dyDescent="0.2">
      <c r="A36" s="18" t="s">
        <v>50</v>
      </c>
      <c r="B36" s="18"/>
      <c r="C36" s="39" t="s">
        <v>52</v>
      </c>
      <c r="D36" s="19" t="s">
        <v>51</v>
      </c>
    </row>
    <row r="37" spans="1:5" x14ac:dyDescent="0.2">
      <c r="A37" s="9" t="s">
        <v>70</v>
      </c>
      <c r="C37" s="40">
        <v>12.068199999999999</v>
      </c>
      <c r="D37" s="40">
        <v>12.3795</v>
      </c>
    </row>
    <row r="38" spans="1:5" x14ac:dyDescent="0.2">
      <c r="A38" s="9" t="s">
        <v>1324</v>
      </c>
      <c r="C38" s="40">
        <v>11.228300000000001</v>
      </c>
      <c r="D38" s="40">
        <v>10.6715</v>
      </c>
    </row>
    <row r="39" spans="1:5" x14ac:dyDescent="0.2">
      <c r="A39" s="9" t="s">
        <v>72</v>
      </c>
      <c r="C39" s="40">
        <v>10.577299999999999</v>
      </c>
      <c r="D39" s="40">
        <v>10.6587</v>
      </c>
    </row>
    <row r="40" spans="1:5" x14ac:dyDescent="0.2">
      <c r="A40" s="9" t="s">
        <v>73</v>
      </c>
      <c r="C40" s="40">
        <v>12.131500000000001</v>
      </c>
      <c r="D40" s="40">
        <v>12.4628</v>
      </c>
    </row>
    <row r="42" spans="1:5" x14ac:dyDescent="0.2">
      <c r="A42" s="18" t="s">
        <v>53</v>
      </c>
    </row>
    <row r="43" spans="1:5" x14ac:dyDescent="0.2">
      <c r="A43" s="74" t="s">
        <v>67</v>
      </c>
      <c r="B43" s="75"/>
      <c r="C43" s="44" t="s">
        <v>68</v>
      </c>
    </row>
    <row r="44" spans="1:5" x14ac:dyDescent="0.2">
      <c r="A44" s="68" t="s">
        <v>1324</v>
      </c>
      <c r="B44" s="69"/>
      <c r="C44" s="45">
        <v>0.84</v>
      </c>
    </row>
    <row r="45" spans="1:5" x14ac:dyDescent="0.2">
      <c r="A45" s="68" t="s">
        <v>72</v>
      </c>
      <c r="B45" s="69"/>
      <c r="C45" s="45">
        <v>0.19</v>
      </c>
    </row>
    <row r="46" spans="1:5" x14ac:dyDescent="0.2">
      <c r="A46" s="9" t="s">
        <v>69</v>
      </c>
    </row>
    <row r="48" spans="1:5" x14ac:dyDescent="0.2">
      <c r="A48" s="18" t="s">
        <v>793</v>
      </c>
      <c r="D48" s="42">
        <v>0.895285720410959</v>
      </c>
      <c r="E48" s="13" t="s">
        <v>55</v>
      </c>
    </row>
    <row r="50" spans="1:7" x14ac:dyDescent="0.2">
      <c r="A50" s="18" t="s">
        <v>1477</v>
      </c>
      <c r="D50" s="41" t="s">
        <v>54</v>
      </c>
    </row>
    <row r="52" spans="1:7" ht="14.4" x14ac:dyDescent="0.2">
      <c r="A52" s="70" t="s">
        <v>794</v>
      </c>
      <c r="B52" s="71"/>
      <c r="C52" s="71"/>
      <c r="D52" s="71"/>
      <c r="E52" s="71"/>
      <c r="F52" s="71"/>
      <c r="G52" s="71"/>
    </row>
    <row r="53" spans="1:7" x14ac:dyDescent="0.2">
      <c r="A53" s="50" t="s">
        <v>56</v>
      </c>
    </row>
    <row r="55" spans="1:7" x14ac:dyDescent="0.2">
      <c r="A55" s="50"/>
    </row>
  </sheetData>
  <mergeCells count="5">
    <mergeCell ref="A1:G1"/>
    <mergeCell ref="A43:B43"/>
    <mergeCell ref="A44:B44"/>
    <mergeCell ref="A45:B45"/>
    <mergeCell ref="A52:G52"/>
  </mergeCells>
  <conditionalFormatting sqref="F2:F3 F5:F51 F56:F65536">
    <cfRule type="cellIs" dxfId="96" priority="3" stopIfTrue="1" operator="between">
      <formula>0.009</formula>
      <formula>-0.009</formula>
    </cfRule>
  </conditionalFormatting>
  <conditionalFormatting sqref="F53">
    <cfRule type="cellIs" dxfId="95" priority="1" stopIfTrue="1" operator="between">
      <formula>0.009</formula>
      <formula>-0.009</formula>
    </cfRule>
  </conditionalFormatting>
  <conditionalFormatting sqref="F54:F55">
    <cfRule type="cellIs" dxfId="94" priority="2" stopIfTrue="1" operator="between">
      <formula>0.009</formula>
      <formula>-0.009</formula>
    </cfRule>
  </conditionalFormatting>
  <hyperlinks>
    <hyperlink ref="A53" r:id="rId1" xr:uid="{00000000-0004-0000-12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4"/>
  <sheetViews>
    <sheetView workbookViewId="0">
      <selection sqref="A1:G1"/>
    </sheetView>
  </sheetViews>
  <sheetFormatPr defaultColWidth="9.21875" defaultRowHeight="10.199999999999999" x14ac:dyDescent="0.2"/>
  <cols>
    <col min="1" max="1" width="38.77734375" style="9" bestFit="1" customWidth="1"/>
    <col min="2" max="2" width="53.777343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1350</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944</v>
      </c>
      <c r="B7" s="27" t="s">
        <v>945</v>
      </c>
      <c r="C7" s="27" t="s">
        <v>738</v>
      </c>
      <c r="D7" s="31">
        <v>26</v>
      </c>
      <c r="E7" s="29">
        <v>334.40809999999999</v>
      </c>
      <c r="F7" s="30">
        <v>11.954160487408201</v>
      </c>
      <c r="G7" s="29">
        <v>5.7095000000000002</v>
      </c>
    </row>
    <row r="8" spans="1:7" x14ac:dyDescent="0.2">
      <c r="A8" s="27" t="s">
        <v>950</v>
      </c>
      <c r="B8" s="27" t="s">
        <v>951</v>
      </c>
      <c r="C8" s="27" t="s">
        <v>39</v>
      </c>
      <c r="D8" s="31">
        <v>28</v>
      </c>
      <c r="E8" s="29">
        <v>285.57731999999999</v>
      </c>
      <c r="F8" s="30">
        <v>10.208595769193201</v>
      </c>
      <c r="G8" s="29">
        <v>3.8915999999999999</v>
      </c>
    </row>
    <row r="9" spans="1:7" x14ac:dyDescent="0.2">
      <c r="A9" s="27" t="s">
        <v>1010</v>
      </c>
      <c r="B9" s="27" t="s">
        <v>1011</v>
      </c>
      <c r="C9" s="27" t="s">
        <v>898</v>
      </c>
      <c r="D9" s="31">
        <v>27</v>
      </c>
      <c r="E9" s="29">
        <v>280.62585000000001</v>
      </c>
      <c r="F9" s="30">
        <v>10.0315944733855</v>
      </c>
      <c r="G9" s="29">
        <v>4.3650000000000002</v>
      </c>
    </row>
    <row r="10" spans="1:7" x14ac:dyDescent="0.2">
      <c r="A10" s="27" t="s">
        <v>1345</v>
      </c>
      <c r="B10" s="27" t="s">
        <v>1346</v>
      </c>
      <c r="C10" s="27" t="s">
        <v>738</v>
      </c>
      <c r="D10" s="31">
        <v>26</v>
      </c>
      <c r="E10" s="29">
        <v>272.1277</v>
      </c>
      <c r="F10" s="30">
        <v>9.7278092213354501</v>
      </c>
      <c r="G10" s="29">
        <v>5.5247000000000002</v>
      </c>
    </row>
    <row r="11" spans="1:7" x14ac:dyDescent="0.2">
      <c r="A11" s="27" t="s">
        <v>934</v>
      </c>
      <c r="B11" s="27" t="s">
        <v>935</v>
      </c>
      <c r="C11" s="27" t="s">
        <v>898</v>
      </c>
      <c r="D11" s="31">
        <v>26</v>
      </c>
      <c r="E11" s="29">
        <v>270.56848000000002</v>
      </c>
      <c r="F11" s="30">
        <v>9.6720714383236803</v>
      </c>
      <c r="G11" s="29">
        <v>4.1398999999999999</v>
      </c>
    </row>
    <row r="12" spans="1:7" x14ac:dyDescent="0.2">
      <c r="A12" s="27" t="s">
        <v>920</v>
      </c>
      <c r="B12" s="27" t="s">
        <v>921</v>
      </c>
      <c r="C12" s="27" t="s">
        <v>39</v>
      </c>
      <c r="D12" s="31">
        <v>26</v>
      </c>
      <c r="E12" s="29">
        <v>270.05056000000002</v>
      </c>
      <c r="F12" s="30">
        <v>9.6535572372632501</v>
      </c>
      <c r="G12" s="29">
        <v>4.2350000000000003</v>
      </c>
    </row>
    <row r="13" spans="1:7" x14ac:dyDescent="0.2">
      <c r="A13" s="27" t="s">
        <v>901</v>
      </c>
      <c r="B13" s="27" t="s">
        <v>902</v>
      </c>
      <c r="C13" s="27" t="s">
        <v>39</v>
      </c>
      <c r="D13" s="31">
        <v>26</v>
      </c>
      <c r="E13" s="29">
        <v>267.28676000000002</v>
      </c>
      <c r="F13" s="30">
        <v>9.5547590659417398</v>
      </c>
      <c r="G13" s="29">
        <v>4.1050000000000004</v>
      </c>
    </row>
    <row r="14" spans="1:7" x14ac:dyDescent="0.2">
      <c r="A14" s="27" t="s">
        <v>878</v>
      </c>
      <c r="B14" s="27" t="s">
        <v>879</v>
      </c>
      <c r="C14" s="27" t="s">
        <v>867</v>
      </c>
      <c r="D14" s="31">
        <v>24</v>
      </c>
      <c r="E14" s="29">
        <v>246.82679999999999</v>
      </c>
      <c r="F14" s="30">
        <v>8.8233723399445196</v>
      </c>
      <c r="G14" s="29">
        <v>6.1935000000000002</v>
      </c>
    </row>
    <row r="15" spans="1:7" x14ac:dyDescent="0.2">
      <c r="A15" s="27" t="s">
        <v>1343</v>
      </c>
      <c r="B15" s="27" t="s">
        <v>1344</v>
      </c>
      <c r="C15" s="27" t="s">
        <v>39</v>
      </c>
      <c r="D15" s="31">
        <v>10</v>
      </c>
      <c r="E15" s="29">
        <v>127.3263</v>
      </c>
      <c r="F15" s="30">
        <v>4.5515614737438499</v>
      </c>
      <c r="G15" s="29">
        <v>6.4775</v>
      </c>
    </row>
    <row r="16" spans="1:7" x14ac:dyDescent="0.2">
      <c r="A16" s="27" t="s">
        <v>1328</v>
      </c>
      <c r="B16" s="27" t="s">
        <v>1329</v>
      </c>
      <c r="C16" s="27" t="s">
        <v>39</v>
      </c>
      <c r="D16" s="31">
        <v>12</v>
      </c>
      <c r="E16" s="29">
        <v>123.90372000000001</v>
      </c>
      <c r="F16" s="30">
        <v>4.4292137477139102</v>
      </c>
      <c r="G16" s="29">
        <v>4.17</v>
      </c>
    </row>
    <row r="17" spans="1:9" x14ac:dyDescent="0.2">
      <c r="A17" s="27" t="s">
        <v>1318</v>
      </c>
      <c r="B17" s="27" t="s">
        <v>1319</v>
      </c>
      <c r="C17" s="27" t="s">
        <v>39</v>
      </c>
      <c r="D17" s="31">
        <v>2</v>
      </c>
      <c r="E17" s="29">
        <v>25.384440000000001</v>
      </c>
      <c r="F17" s="30">
        <v>0.90742320429135503</v>
      </c>
      <c r="G17" s="29">
        <v>5.24</v>
      </c>
    </row>
    <row r="18" spans="1:9" x14ac:dyDescent="0.2">
      <c r="A18" s="27" t="s">
        <v>1337</v>
      </c>
      <c r="B18" s="27" t="s">
        <v>1338</v>
      </c>
      <c r="C18" s="27" t="s">
        <v>738</v>
      </c>
      <c r="D18" s="31">
        <v>2</v>
      </c>
      <c r="E18" s="29">
        <v>21.04786</v>
      </c>
      <c r="F18" s="30">
        <v>0.75240251763189703</v>
      </c>
      <c r="G18" s="29">
        <v>5.47</v>
      </c>
    </row>
    <row r="19" spans="1:9" x14ac:dyDescent="0.2">
      <c r="A19" s="26" t="s">
        <v>40</v>
      </c>
      <c r="B19" s="26"/>
      <c r="C19" s="26"/>
      <c r="D19" s="32"/>
      <c r="E19" s="33">
        <f>SUM(E6:E18)</f>
        <v>2525.1338899999996</v>
      </c>
      <c r="F19" s="34">
        <f>SUM(F6:F18)</f>
        <v>90.266520976176551</v>
      </c>
      <c r="G19" s="33"/>
      <c r="H19" s="18"/>
      <c r="I19" s="18"/>
    </row>
    <row r="20" spans="1:9" x14ac:dyDescent="0.2">
      <c r="A20" s="27"/>
      <c r="B20" s="27"/>
      <c r="C20" s="27"/>
      <c r="D20" s="28"/>
      <c r="E20" s="29"/>
      <c r="F20" s="30"/>
      <c r="G20" s="29"/>
    </row>
    <row r="21" spans="1:9" x14ac:dyDescent="0.2">
      <c r="A21" s="26" t="s">
        <v>44</v>
      </c>
      <c r="B21" s="26"/>
      <c r="C21" s="26"/>
      <c r="D21" s="32"/>
      <c r="E21" s="33">
        <f>E19</f>
        <v>2525.1338899999996</v>
      </c>
      <c r="F21" s="34">
        <f>F19</f>
        <v>90.266520976176551</v>
      </c>
      <c r="G21" s="33"/>
      <c r="H21" s="18"/>
      <c r="I21" s="18"/>
    </row>
    <row r="22" spans="1:9" x14ac:dyDescent="0.2">
      <c r="A22" s="26"/>
      <c r="B22" s="26"/>
      <c r="C22" s="26"/>
      <c r="D22" s="32"/>
      <c r="E22" s="33"/>
      <c r="F22" s="34"/>
      <c r="G22" s="33"/>
      <c r="H22" s="18"/>
      <c r="I22" s="18"/>
    </row>
    <row r="23" spans="1:9" x14ac:dyDescent="0.2">
      <c r="A23" s="26" t="s">
        <v>46</v>
      </c>
      <c r="B23" s="26"/>
      <c r="C23" s="26"/>
      <c r="D23" s="32"/>
      <c r="E23" s="33">
        <f>E25-(E19)</f>
        <v>272.28630820000035</v>
      </c>
      <c r="F23" s="34">
        <f>F25-(F19)</f>
        <v>9.733479023823449</v>
      </c>
      <c r="G23" s="33"/>
      <c r="H23" s="18"/>
      <c r="I23" s="18"/>
    </row>
    <row r="24" spans="1:9" x14ac:dyDescent="0.2">
      <c r="A24" s="26"/>
      <c r="B24" s="26"/>
      <c r="C24" s="26"/>
      <c r="D24" s="32"/>
      <c r="E24" s="33"/>
      <c r="F24" s="34"/>
      <c r="G24" s="33"/>
      <c r="H24" s="18"/>
      <c r="I24" s="18"/>
    </row>
    <row r="25" spans="1:9" x14ac:dyDescent="0.2">
      <c r="A25" s="35" t="s">
        <v>45</v>
      </c>
      <c r="B25" s="35"/>
      <c r="C25" s="35"/>
      <c r="D25" s="36"/>
      <c r="E25" s="37">
        <v>2797.4201982</v>
      </c>
      <c r="F25" s="38">
        <v>100</v>
      </c>
      <c r="G25" s="37"/>
      <c r="H25" s="18"/>
      <c r="I25" s="18"/>
    </row>
    <row r="27" spans="1:9" x14ac:dyDescent="0.2">
      <c r="A27" s="18" t="s">
        <v>47</v>
      </c>
    </row>
    <row r="29" spans="1:9" x14ac:dyDescent="0.2">
      <c r="A29" s="18" t="s">
        <v>48</v>
      </c>
    </row>
    <row r="30" spans="1:9" x14ac:dyDescent="0.2">
      <c r="A30" s="18" t="s">
        <v>49</v>
      </c>
    </row>
    <row r="31" spans="1:9" x14ac:dyDescent="0.2">
      <c r="A31" s="18" t="s">
        <v>50</v>
      </c>
      <c r="B31" s="18"/>
      <c r="C31" s="39" t="s">
        <v>52</v>
      </c>
      <c r="D31" s="19" t="s">
        <v>51</v>
      </c>
    </row>
    <row r="32" spans="1:9" x14ac:dyDescent="0.2">
      <c r="A32" s="9" t="s">
        <v>70</v>
      </c>
      <c r="C32" s="40">
        <v>12.194100000000001</v>
      </c>
      <c r="D32" s="40">
        <v>12.531700000000001</v>
      </c>
    </row>
    <row r="33" spans="1:5" x14ac:dyDescent="0.2">
      <c r="A33" s="9" t="s">
        <v>1324</v>
      </c>
      <c r="C33" s="40">
        <v>11.3329</v>
      </c>
      <c r="D33" s="40">
        <v>10.7149</v>
      </c>
    </row>
    <row r="34" spans="1:5" x14ac:dyDescent="0.2">
      <c r="A34" s="9" t="s">
        <v>72</v>
      </c>
      <c r="C34" s="40">
        <v>10.600899999999999</v>
      </c>
      <c r="D34" s="40">
        <v>10.4857</v>
      </c>
    </row>
    <row r="35" spans="1:5" x14ac:dyDescent="0.2">
      <c r="A35" s="9" t="s">
        <v>73</v>
      </c>
      <c r="C35" s="40">
        <v>12.2614</v>
      </c>
      <c r="D35" s="40">
        <v>12.619400000000001</v>
      </c>
    </row>
    <row r="36" spans="1:5" x14ac:dyDescent="0.2">
      <c r="A36" s="9" t="s">
        <v>77</v>
      </c>
      <c r="C36" s="40">
        <v>11.395</v>
      </c>
      <c r="D36" s="40">
        <v>10.7926</v>
      </c>
    </row>
    <row r="37" spans="1:5" x14ac:dyDescent="0.2">
      <c r="A37" s="9" t="s">
        <v>75</v>
      </c>
      <c r="C37" s="40">
        <v>10.664400000000001</v>
      </c>
      <c r="D37" s="40">
        <v>10.566800000000001</v>
      </c>
    </row>
    <row r="39" spans="1:5" x14ac:dyDescent="0.2">
      <c r="A39" s="18" t="s">
        <v>53</v>
      </c>
    </row>
    <row r="40" spans="1:5" x14ac:dyDescent="0.2">
      <c r="A40" s="74" t="s">
        <v>67</v>
      </c>
      <c r="B40" s="75"/>
      <c r="C40" s="44" t="s">
        <v>68</v>
      </c>
    </row>
    <row r="41" spans="1:5" x14ac:dyDescent="0.2">
      <c r="A41" s="68" t="s">
        <v>1324</v>
      </c>
      <c r="B41" s="69"/>
      <c r="C41" s="45">
        <v>0.92</v>
      </c>
    </row>
    <row r="42" spans="1:5" x14ac:dyDescent="0.2">
      <c r="A42" s="68" t="s">
        <v>72</v>
      </c>
      <c r="B42" s="69"/>
      <c r="C42" s="45">
        <v>0.40500000000000003</v>
      </c>
    </row>
    <row r="43" spans="1:5" x14ac:dyDescent="0.2">
      <c r="A43" s="68" t="s">
        <v>77</v>
      </c>
      <c r="B43" s="69"/>
      <c r="C43" s="45">
        <v>0.92</v>
      </c>
    </row>
    <row r="44" spans="1:5" x14ac:dyDescent="0.2">
      <c r="A44" s="68" t="s">
        <v>75</v>
      </c>
      <c r="B44" s="69"/>
      <c r="C44" s="45">
        <v>0.40500000000000003</v>
      </c>
    </row>
    <row r="45" spans="1:5" x14ac:dyDescent="0.2">
      <c r="A45" s="9" t="s">
        <v>69</v>
      </c>
    </row>
    <row r="47" spans="1:5" x14ac:dyDescent="0.2">
      <c r="A47" s="18" t="s">
        <v>793</v>
      </c>
      <c r="D47" s="42">
        <v>0.84352849235616501</v>
      </c>
      <c r="E47" s="13" t="s">
        <v>55</v>
      </c>
    </row>
    <row r="49" spans="1:7" x14ac:dyDescent="0.2">
      <c r="A49" s="18" t="s">
        <v>1477</v>
      </c>
      <c r="D49" s="41" t="s">
        <v>54</v>
      </c>
    </row>
    <row r="51" spans="1:7" ht="14.4" x14ac:dyDescent="0.2">
      <c r="A51" s="70" t="s">
        <v>794</v>
      </c>
      <c r="B51" s="71"/>
      <c r="C51" s="71"/>
      <c r="D51" s="71"/>
      <c r="E51" s="71"/>
      <c r="F51" s="71"/>
      <c r="G51" s="71"/>
    </row>
    <row r="52" spans="1:7" x14ac:dyDescent="0.2">
      <c r="A52" s="50" t="s">
        <v>56</v>
      </c>
    </row>
    <row r="54" spans="1:7" x14ac:dyDescent="0.2">
      <c r="A54" s="50"/>
    </row>
  </sheetData>
  <mergeCells count="7">
    <mergeCell ref="A51:G51"/>
    <mergeCell ref="A1:G1"/>
    <mergeCell ref="A40:B40"/>
    <mergeCell ref="A41:B41"/>
    <mergeCell ref="A42:B42"/>
    <mergeCell ref="A43:B43"/>
    <mergeCell ref="A44:B44"/>
  </mergeCells>
  <conditionalFormatting sqref="F2:F3 F5:F50 F55:F65536">
    <cfRule type="cellIs" dxfId="93" priority="3" stopIfTrue="1" operator="between">
      <formula>0.009</formula>
      <formula>-0.009</formula>
    </cfRule>
  </conditionalFormatting>
  <conditionalFormatting sqref="F52">
    <cfRule type="cellIs" dxfId="92" priority="1" stopIfTrue="1" operator="between">
      <formula>0.009</formula>
      <formula>-0.009</formula>
    </cfRule>
  </conditionalFormatting>
  <conditionalFormatting sqref="F53:F54">
    <cfRule type="cellIs" dxfId="91" priority="2" stopIfTrue="1" operator="between">
      <formula>0.009</formula>
      <formula>-0.009</formula>
    </cfRule>
  </conditionalFormatting>
  <hyperlinks>
    <hyperlink ref="A52" r:id="rId1" xr:uid="{00000000-0004-0000-1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62"/>
  <sheetViews>
    <sheetView workbookViewId="0">
      <selection sqref="A1:G1"/>
    </sheetView>
  </sheetViews>
  <sheetFormatPr defaultColWidth="9.21875" defaultRowHeight="10.199999999999999" x14ac:dyDescent="0.2"/>
  <cols>
    <col min="1" max="1" width="38.77734375" style="9" bestFit="1" customWidth="1"/>
    <col min="2" max="2" width="53.777343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1351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944</v>
      </c>
      <c r="B7" s="27" t="s">
        <v>945</v>
      </c>
      <c r="C7" s="27" t="s">
        <v>738</v>
      </c>
      <c r="D7" s="31">
        <v>50</v>
      </c>
      <c r="E7" s="29">
        <v>643.09249999999997</v>
      </c>
      <c r="F7" s="30">
        <v>12.020396668468001</v>
      </c>
      <c r="G7" s="29">
        <v>5.7095000000000002</v>
      </c>
    </row>
    <row r="8" spans="1:7" x14ac:dyDescent="0.2">
      <c r="A8" s="27" t="s">
        <v>1010</v>
      </c>
      <c r="B8" s="27" t="s">
        <v>1011</v>
      </c>
      <c r="C8" s="27" t="s">
        <v>898</v>
      </c>
      <c r="D8" s="31">
        <v>50</v>
      </c>
      <c r="E8" s="29">
        <v>519.67750000000001</v>
      </c>
      <c r="F8" s="30">
        <v>9.7135788236960998</v>
      </c>
      <c r="G8" s="29">
        <v>4.3650000000000002</v>
      </c>
    </row>
    <row r="9" spans="1:7" x14ac:dyDescent="0.2">
      <c r="A9" s="27" t="s">
        <v>920</v>
      </c>
      <c r="B9" s="27" t="s">
        <v>921</v>
      </c>
      <c r="C9" s="27" t="s">
        <v>39</v>
      </c>
      <c r="D9" s="31">
        <v>50</v>
      </c>
      <c r="E9" s="29">
        <v>519.32799999999997</v>
      </c>
      <c r="F9" s="30">
        <v>9.7070461264004102</v>
      </c>
      <c r="G9" s="29">
        <v>4.2350000000000003</v>
      </c>
    </row>
    <row r="10" spans="1:7" x14ac:dyDescent="0.2">
      <c r="A10" s="27" t="s">
        <v>1352</v>
      </c>
      <c r="B10" s="27" t="s">
        <v>1353</v>
      </c>
      <c r="C10" s="27" t="s">
        <v>39</v>
      </c>
      <c r="D10" s="31">
        <v>50</v>
      </c>
      <c r="E10" s="29">
        <v>517.34400000000005</v>
      </c>
      <c r="F10" s="30">
        <v>9.6699620879607799</v>
      </c>
      <c r="G10" s="29">
        <v>4.54</v>
      </c>
    </row>
    <row r="11" spans="1:7" x14ac:dyDescent="0.2">
      <c r="A11" s="27" t="s">
        <v>1354</v>
      </c>
      <c r="B11" s="27" t="s">
        <v>1355</v>
      </c>
      <c r="C11" s="27" t="s">
        <v>39</v>
      </c>
      <c r="D11" s="31">
        <v>50</v>
      </c>
      <c r="E11" s="29">
        <v>512.01900000000001</v>
      </c>
      <c r="F11" s="30">
        <v>9.5704295755156892</v>
      </c>
      <c r="G11" s="29">
        <v>4.1699000000000002</v>
      </c>
    </row>
    <row r="12" spans="1:7" x14ac:dyDescent="0.2">
      <c r="A12" s="27" t="s">
        <v>1007</v>
      </c>
      <c r="B12" s="27" t="s">
        <v>1008</v>
      </c>
      <c r="C12" s="27" t="s">
        <v>1009</v>
      </c>
      <c r="D12" s="31">
        <v>48</v>
      </c>
      <c r="E12" s="29">
        <v>507.03503999999998</v>
      </c>
      <c r="F12" s="30">
        <v>9.4772716298394801</v>
      </c>
      <c r="G12" s="29">
        <v>4.1999000000000004</v>
      </c>
    </row>
    <row r="13" spans="1:7" x14ac:dyDescent="0.2">
      <c r="A13" s="27" t="s">
        <v>901</v>
      </c>
      <c r="B13" s="27" t="s">
        <v>902</v>
      </c>
      <c r="C13" s="27" t="s">
        <v>39</v>
      </c>
      <c r="D13" s="31">
        <v>49</v>
      </c>
      <c r="E13" s="29">
        <v>503.73273999999998</v>
      </c>
      <c r="F13" s="30">
        <v>9.4155465188822198</v>
      </c>
      <c r="G13" s="29">
        <v>4.1050000000000004</v>
      </c>
    </row>
    <row r="14" spans="1:7" x14ac:dyDescent="0.2">
      <c r="A14" s="27" t="s">
        <v>934</v>
      </c>
      <c r="B14" s="27" t="s">
        <v>935</v>
      </c>
      <c r="C14" s="27" t="s">
        <v>898</v>
      </c>
      <c r="D14" s="31">
        <v>20</v>
      </c>
      <c r="E14" s="29">
        <v>208.12960000000001</v>
      </c>
      <c r="F14" s="30">
        <v>3.8902651647307001</v>
      </c>
      <c r="G14" s="29">
        <v>4.1398999999999999</v>
      </c>
    </row>
    <row r="15" spans="1:7" x14ac:dyDescent="0.2">
      <c r="A15" s="27" t="s">
        <v>1345</v>
      </c>
      <c r="B15" s="27" t="s">
        <v>1346</v>
      </c>
      <c r="C15" s="27" t="s">
        <v>738</v>
      </c>
      <c r="D15" s="31">
        <v>15</v>
      </c>
      <c r="E15" s="29">
        <v>156.99674999999999</v>
      </c>
      <c r="F15" s="30">
        <v>2.9345128588193901</v>
      </c>
      <c r="G15" s="29">
        <v>5.5247000000000002</v>
      </c>
    </row>
    <row r="16" spans="1:7" x14ac:dyDescent="0.2">
      <c r="A16" s="27" t="s">
        <v>1337</v>
      </c>
      <c r="B16" s="27" t="s">
        <v>1338</v>
      </c>
      <c r="C16" s="27" t="s">
        <v>738</v>
      </c>
      <c r="D16" s="31">
        <v>6</v>
      </c>
      <c r="E16" s="29">
        <v>63.14358</v>
      </c>
      <c r="F16" s="30">
        <v>1.1802514858549</v>
      </c>
      <c r="G16" s="29">
        <v>5.47</v>
      </c>
    </row>
    <row r="17" spans="1:9" x14ac:dyDescent="0.2">
      <c r="A17" s="27" t="s">
        <v>1328</v>
      </c>
      <c r="B17" s="27" t="s">
        <v>1329</v>
      </c>
      <c r="C17" s="27" t="s">
        <v>39</v>
      </c>
      <c r="D17" s="31">
        <v>4</v>
      </c>
      <c r="E17" s="29">
        <v>41.30124</v>
      </c>
      <c r="F17" s="30">
        <v>0.77198425996197695</v>
      </c>
      <c r="G17" s="29">
        <v>4.17</v>
      </c>
    </row>
    <row r="18" spans="1:9" x14ac:dyDescent="0.2">
      <c r="A18" s="27" t="s">
        <v>1314</v>
      </c>
      <c r="B18" s="27" t="s">
        <v>1315</v>
      </c>
      <c r="C18" s="27" t="s">
        <v>39</v>
      </c>
      <c r="D18" s="31">
        <v>3</v>
      </c>
      <c r="E18" s="29">
        <v>38.682659999999998</v>
      </c>
      <c r="F18" s="30">
        <v>0.72303893668715002</v>
      </c>
      <c r="G18" s="29">
        <v>5.2298999999999998</v>
      </c>
    </row>
    <row r="19" spans="1:9" x14ac:dyDescent="0.2">
      <c r="A19" s="27" t="s">
        <v>1318</v>
      </c>
      <c r="B19" s="27" t="s">
        <v>1319</v>
      </c>
      <c r="C19" s="27" t="s">
        <v>39</v>
      </c>
      <c r="D19" s="31">
        <v>3</v>
      </c>
      <c r="E19" s="29">
        <v>38.076659999999997</v>
      </c>
      <c r="F19" s="30">
        <v>0.71171185639762402</v>
      </c>
      <c r="G19" s="29">
        <v>5.24</v>
      </c>
    </row>
    <row r="20" spans="1:9" x14ac:dyDescent="0.2">
      <c r="A20" s="27" t="s">
        <v>1330</v>
      </c>
      <c r="B20" s="27" t="s">
        <v>1331</v>
      </c>
      <c r="C20" s="27" t="s">
        <v>970</v>
      </c>
      <c r="D20" s="31">
        <v>3</v>
      </c>
      <c r="E20" s="29">
        <v>37.886580000000002</v>
      </c>
      <c r="F20" s="30">
        <v>0.70815896626324604</v>
      </c>
      <c r="G20" s="29">
        <v>5.8243999999999998</v>
      </c>
    </row>
    <row r="21" spans="1:9" x14ac:dyDescent="0.2">
      <c r="A21" s="27" t="s">
        <v>928</v>
      </c>
      <c r="B21" s="27" t="s">
        <v>929</v>
      </c>
      <c r="C21" s="27" t="s">
        <v>898</v>
      </c>
      <c r="D21" s="31">
        <v>2</v>
      </c>
      <c r="E21" s="29">
        <v>20.4758</v>
      </c>
      <c r="F21" s="30">
        <v>0.38272447292452799</v>
      </c>
      <c r="G21" s="29">
        <v>3.8999000000000001</v>
      </c>
    </row>
    <row r="22" spans="1:9" x14ac:dyDescent="0.2">
      <c r="A22" s="27" t="s">
        <v>872</v>
      </c>
      <c r="B22" s="27" t="s">
        <v>873</v>
      </c>
      <c r="C22" s="27" t="s">
        <v>874</v>
      </c>
      <c r="D22" s="31">
        <v>1</v>
      </c>
      <c r="E22" s="29">
        <v>10.25896</v>
      </c>
      <c r="F22" s="30">
        <v>0.19175588053965301</v>
      </c>
      <c r="G22" s="29">
        <v>5.9432</v>
      </c>
    </row>
    <row r="23" spans="1:9" x14ac:dyDescent="0.2">
      <c r="A23" s="26" t="s">
        <v>40</v>
      </c>
      <c r="B23" s="26"/>
      <c r="C23" s="26"/>
      <c r="D23" s="32"/>
      <c r="E23" s="33">
        <f>SUM(E6:E22)</f>
        <v>4337.1806100000003</v>
      </c>
      <c r="F23" s="34">
        <f>SUM(F6:F22)</f>
        <v>81.068635312941851</v>
      </c>
      <c r="G23" s="33"/>
      <c r="H23" s="18"/>
      <c r="I23" s="18"/>
    </row>
    <row r="24" spans="1:9" x14ac:dyDescent="0.2">
      <c r="A24" s="27"/>
      <c r="B24" s="27"/>
      <c r="C24" s="27"/>
      <c r="D24" s="28"/>
      <c r="E24" s="29"/>
      <c r="F24" s="30"/>
      <c r="G24" s="29"/>
    </row>
    <row r="25" spans="1:9" x14ac:dyDescent="0.2">
      <c r="A25" s="26" t="s">
        <v>41</v>
      </c>
      <c r="B25" s="27"/>
      <c r="C25" s="27"/>
      <c r="D25" s="28"/>
      <c r="E25" s="29"/>
      <c r="F25" s="30"/>
      <c r="G25" s="29"/>
    </row>
    <row r="26" spans="1:9" x14ac:dyDescent="0.2">
      <c r="A26" s="27" t="s">
        <v>1356</v>
      </c>
      <c r="B26" s="27" t="s">
        <v>1357</v>
      </c>
      <c r="C26" s="27" t="s">
        <v>39</v>
      </c>
      <c r="D26" s="31">
        <v>50</v>
      </c>
      <c r="E26" s="29">
        <v>515.08849999999995</v>
      </c>
      <c r="F26" s="30">
        <v>9.6278032932528195</v>
      </c>
      <c r="G26" s="29">
        <v>5.26</v>
      </c>
    </row>
    <row r="27" spans="1:9" x14ac:dyDescent="0.2">
      <c r="A27" s="26" t="s">
        <v>40</v>
      </c>
      <c r="B27" s="26"/>
      <c r="C27" s="26"/>
      <c r="D27" s="32"/>
      <c r="E27" s="33">
        <f>SUM(E25:E26)</f>
        <v>515.08849999999995</v>
      </c>
      <c r="F27" s="34">
        <f>SUM(F25:F26)</f>
        <v>9.6278032932528195</v>
      </c>
      <c r="G27" s="33"/>
      <c r="H27" s="18"/>
      <c r="I27" s="18"/>
    </row>
    <row r="28" spans="1:9" x14ac:dyDescent="0.2">
      <c r="A28" s="27"/>
      <c r="B28" s="27"/>
      <c r="C28" s="27"/>
      <c r="D28" s="28"/>
      <c r="E28" s="29"/>
      <c r="F28" s="30"/>
      <c r="G28" s="29"/>
    </row>
    <row r="29" spans="1:9" x14ac:dyDescent="0.2">
      <c r="A29" s="26" t="s">
        <v>44</v>
      </c>
      <c r="B29" s="26"/>
      <c r="C29" s="26"/>
      <c r="D29" s="32"/>
      <c r="E29" s="33">
        <f>E23+E27</f>
        <v>4852.2691100000002</v>
      </c>
      <c r="F29" s="34">
        <f>F23+F27</f>
        <v>90.696438606194675</v>
      </c>
      <c r="G29" s="33"/>
      <c r="H29" s="18"/>
      <c r="I29" s="18"/>
    </row>
    <row r="30" spans="1:9" x14ac:dyDescent="0.2">
      <c r="A30" s="26"/>
      <c r="B30" s="26"/>
      <c r="C30" s="26"/>
      <c r="D30" s="32"/>
      <c r="E30" s="33"/>
      <c r="F30" s="34"/>
      <c r="G30" s="33"/>
      <c r="H30" s="18"/>
      <c r="I30" s="18"/>
    </row>
    <row r="31" spans="1:9" x14ac:dyDescent="0.2">
      <c r="A31" s="26" t="s">
        <v>46</v>
      </c>
      <c r="B31" s="26"/>
      <c r="C31" s="26"/>
      <c r="D31" s="32"/>
      <c r="E31" s="33">
        <f>E33-(E23+E27)</f>
        <v>497.74152390000017</v>
      </c>
      <c r="F31" s="34">
        <f>F33-(F23+F27)</f>
        <v>9.3035613938053245</v>
      </c>
      <c r="G31" s="33"/>
      <c r="H31" s="18"/>
      <c r="I31" s="18"/>
    </row>
    <row r="32" spans="1:9" x14ac:dyDescent="0.2">
      <c r="A32" s="26"/>
      <c r="B32" s="26"/>
      <c r="C32" s="26"/>
      <c r="D32" s="32"/>
      <c r="E32" s="33"/>
      <c r="F32" s="34"/>
      <c r="G32" s="33"/>
      <c r="H32" s="18"/>
      <c r="I32" s="18"/>
    </row>
    <row r="33" spans="1:9" x14ac:dyDescent="0.2">
      <c r="A33" s="35" t="s">
        <v>45</v>
      </c>
      <c r="B33" s="35"/>
      <c r="C33" s="35"/>
      <c r="D33" s="36"/>
      <c r="E33" s="37">
        <v>5350.0106339000004</v>
      </c>
      <c r="F33" s="38">
        <v>100</v>
      </c>
      <c r="G33" s="37"/>
      <c r="H33" s="18"/>
      <c r="I33" s="18"/>
    </row>
    <row r="35" spans="1:9" x14ac:dyDescent="0.2">
      <c r="A35" s="18" t="s">
        <v>47</v>
      </c>
    </row>
    <row r="37" spans="1:9" x14ac:dyDescent="0.2">
      <c r="A37" s="18" t="s">
        <v>48</v>
      </c>
    </row>
    <row r="38" spans="1:9" x14ac:dyDescent="0.2">
      <c r="A38" s="18" t="s">
        <v>49</v>
      </c>
    </row>
    <row r="39" spans="1:9" x14ac:dyDescent="0.2">
      <c r="A39" s="18" t="s">
        <v>50</v>
      </c>
      <c r="B39" s="18"/>
      <c r="C39" s="39" t="s">
        <v>52</v>
      </c>
      <c r="D39" s="19" t="s">
        <v>51</v>
      </c>
    </row>
    <row r="40" spans="1:9" x14ac:dyDescent="0.2">
      <c r="A40" s="9" t="s">
        <v>70</v>
      </c>
      <c r="C40" s="40">
        <v>12.1584</v>
      </c>
      <c r="D40" s="40">
        <v>12.5205</v>
      </c>
    </row>
    <row r="41" spans="1:9" x14ac:dyDescent="0.2">
      <c r="A41" s="9" t="s">
        <v>1324</v>
      </c>
      <c r="C41" s="40">
        <v>11.3306</v>
      </c>
      <c r="D41" s="40">
        <v>10.767899999999999</v>
      </c>
    </row>
    <row r="42" spans="1:9" x14ac:dyDescent="0.2">
      <c r="A42" s="9" t="s">
        <v>72</v>
      </c>
      <c r="C42" s="40">
        <v>10.6401</v>
      </c>
      <c r="D42" s="40">
        <v>10.5252</v>
      </c>
    </row>
    <row r="43" spans="1:9" x14ac:dyDescent="0.2">
      <c r="A43" s="9" t="s">
        <v>73</v>
      </c>
      <c r="C43" s="40">
        <v>12.286899999999999</v>
      </c>
      <c r="D43" s="40">
        <v>12.652799999999999</v>
      </c>
    </row>
    <row r="44" spans="1:9" x14ac:dyDescent="0.2">
      <c r="A44" s="9" t="s">
        <v>77</v>
      </c>
      <c r="C44" s="40">
        <v>11.3466</v>
      </c>
      <c r="D44" s="40">
        <v>10.7819</v>
      </c>
    </row>
    <row r="45" spans="1:9" x14ac:dyDescent="0.2">
      <c r="A45" s="9" t="s">
        <v>75</v>
      </c>
      <c r="C45" s="40">
        <v>10.667</v>
      </c>
      <c r="D45" s="40">
        <v>10.5519</v>
      </c>
    </row>
    <row r="47" spans="1:9" x14ac:dyDescent="0.2">
      <c r="A47" s="18" t="s">
        <v>53</v>
      </c>
    </row>
    <row r="48" spans="1:9" x14ac:dyDescent="0.2">
      <c r="A48" s="74" t="s">
        <v>67</v>
      </c>
      <c r="B48" s="75"/>
      <c r="C48" s="44" t="s">
        <v>68</v>
      </c>
    </row>
    <row r="49" spans="1:7" x14ac:dyDescent="0.2">
      <c r="A49" s="68" t="s">
        <v>1324</v>
      </c>
      <c r="B49" s="69"/>
      <c r="C49" s="45">
        <v>0.89</v>
      </c>
    </row>
    <row r="50" spans="1:7" x14ac:dyDescent="0.2">
      <c r="A50" s="68" t="s">
        <v>72</v>
      </c>
      <c r="B50" s="69"/>
      <c r="C50" s="45">
        <v>0.43</v>
      </c>
    </row>
    <row r="51" spans="1:7" x14ac:dyDescent="0.2">
      <c r="A51" s="68" t="s">
        <v>77</v>
      </c>
      <c r="B51" s="69"/>
      <c r="C51" s="45">
        <v>0.89</v>
      </c>
    </row>
    <row r="52" spans="1:7" x14ac:dyDescent="0.2">
      <c r="A52" s="68" t="s">
        <v>75</v>
      </c>
      <c r="B52" s="69"/>
      <c r="C52" s="45">
        <v>0.43</v>
      </c>
    </row>
    <row r="53" spans="1:7" x14ac:dyDescent="0.2">
      <c r="A53" s="9" t="s">
        <v>69</v>
      </c>
    </row>
    <row r="55" spans="1:7" x14ac:dyDescent="0.2">
      <c r="A55" s="18" t="s">
        <v>793</v>
      </c>
      <c r="D55" s="42">
        <v>0.86443488038356198</v>
      </c>
      <c r="E55" s="13" t="s">
        <v>55</v>
      </c>
    </row>
    <row r="57" spans="1:7" x14ac:dyDescent="0.2">
      <c r="A57" s="18" t="s">
        <v>1477</v>
      </c>
      <c r="D57" s="41" t="s">
        <v>54</v>
      </c>
    </row>
    <row r="59" spans="1:7" ht="14.4" x14ac:dyDescent="0.2">
      <c r="A59" s="70" t="s">
        <v>794</v>
      </c>
      <c r="B59" s="71"/>
      <c r="C59" s="71"/>
      <c r="D59" s="71"/>
      <c r="E59" s="71"/>
      <c r="F59" s="71"/>
      <c r="G59" s="71"/>
    </row>
    <row r="60" spans="1:7" x14ac:dyDescent="0.2">
      <c r="A60" s="50" t="s">
        <v>56</v>
      </c>
    </row>
    <row r="62" spans="1:7" x14ac:dyDescent="0.2">
      <c r="A62" s="50"/>
    </row>
  </sheetData>
  <mergeCells count="7">
    <mergeCell ref="A59:G59"/>
    <mergeCell ref="A1:G1"/>
    <mergeCell ref="A48:B48"/>
    <mergeCell ref="A49:B49"/>
    <mergeCell ref="A50:B50"/>
    <mergeCell ref="A51:B51"/>
    <mergeCell ref="A52:B52"/>
  </mergeCells>
  <conditionalFormatting sqref="F2:F3 F5:F58 F63:F65536">
    <cfRule type="cellIs" dxfId="90" priority="3" stopIfTrue="1" operator="between">
      <formula>0.009</formula>
      <formula>-0.009</formula>
    </cfRule>
  </conditionalFormatting>
  <conditionalFormatting sqref="F60">
    <cfRule type="cellIs" dxfId="89" priority="1" stopIfTrue="1" operator="between">
      <formula>0.009</formula>
      <formula>-0.009</formula>
    </cfRule>
  </conditionalFormatting>
  <conditionalFormatting sqref="F61:F62">
    <cfRule type="cellIs" dxfId="88" priority="2" stopIfTrue="1" operator="between">
      <formula>0.009</formula>
      <formula>-0.009</formula>
    </cfRule>
  </conditionalFormatting>
  <hyperlinks>
    <hyperlink ref="A60" r:id="rId1" xr:uid="{00000000-0004-0000-14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62"/>
  <sheetViews>
    <sheetView workbookViewId="0">
      <selection sqref="A1:G1"/>
    </sheetView>
  </sheetViews>
  <sheetFormatPr defaultColWidth="9.21875" defaultRowHeight="10.199999999999999" x14ac:dyDescent="0.2"/>
  <cols>
    <col min="1" max="1" width="38.77734375" style="9" bestFit="1" customWidth="1"/>
    <col min="2" max="2" width="52.777343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1358</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938</v>
      </c>
      <c r="B7" s="27" t="s">
        <v>939</v>
      </c>
      <c r="C7" s="27" t="s">
        <v>898</v>
      </c>
      <c r="D7" s="31">
        <v>31</v>
      </c>
      <c r="E7" s="29">
        <v>317.58756</v>
      </c>
      <c r="F7" s="30">
        <v>9.7170997474990308</v>
      </c>
      <c r="G7" s="29">
        <v>3.68</v>
      </c>
    </row>
    <row r="8" spans="1:7" x14ac:dyDescent="0.2">
      <c r="A8" s="27" t="s">
        <v>936</v>
      </c>
      <c r="B8" s="27" t="s">
        <v>937</v>
      </c>
      <c r="C8" s="27" t="s">
        <v>39</v>
      </c>
      <c r="D8" s="31">
        <v>31</v>
      </c>
      <c r="E8" s="29">
        <v>314.69774000000001</v>
      </c>
      <c r="F8" s="30">
        <v>9.6286810789834298</v>
      </c>
      <c r="G8" s="29">
        <v>4.0250000000000004</v>
      </c>
    </row>
    <row r="9" spans="1:7" x14ac:dyDescent="0.2">
      <c r="A9" s="27" t="s">
        <v>1359</v>
      </c>
      <c r="B9" s="27" t="s">
        <v>1360</v>
      </c>
      <c r="C9" s="27" t="s">
        <v>39</v>
      </c>
      <c r="D9" s="31">
        <v>31</v>
      </c>
      <c r="E9" s="29">
        <v>313.87686000000002</v>
      </c>
      <c r="F9" s="30">
        <v>9.6035649414346995</v>
      </c>
      <c r="G9" s="29">
        <v>3.5802</v>
      </c>
    </row>
    <row r="10" spans="1:7" x14ac:dyDescent="0.2">
      <c r="A10" s="27" t="s">
        <v>901</v>
      </c>
      <c r="B10" s="27" t="s">
        <v>902</v>
      </c>
      <c r="C10" s="27" t="s">
        <v>39</v>
      </c>
      <c r="D10" s="31">
        <v>30</v>
      </c>
      <c r="E10" s="29">
        <v>308.40780000000001</v>
      </c>
      <c r="F10" s="30">
        <v>9.43623029663609</v>
      </c>
      <c r="G10" s="29">
        <v>4.1050000000000004</v>
      </c>
    </row>
    <row r="11" spans="1:7" x14ac:dyDescent="0.2">
      <c r="A11" s="27" t="s">
        <v>1300</v>
      </c>
      <c r="B11" s="27" t="s">
        <v>1301</v>
      </c>
      <c r="C11" s="27" t="s">
        <v>898</v>
      </c>
      <c r="D11" s="31">
        <v>26</v>
      </c>
      <c r="E11" s="29">
        <v>265.94724000000002</v>
      </c>
      <c r="F11" s="30">
        <v>8.1370814985702307</v>
      </c>
      <c r="G11" s="29">
        <v>4.5999999999999996</v>
      </c>
    </row>
    <row r="12" spans="1:7" x14ac:dyDescent="0.2">
      <c r="A12" s="27" t="s">
        <v>1247</v>
      </c>
      <c r="B12" s="27" t="s">
        <v>1248</v>
      </c>
      <c r="C12" s="27" t="s">
        <v>39</v>
      </c>
      <c r="D12" s="31">
        <v>22</v>
      </c>
      <c r="E12" s="29">
        <v>223.36313999999999</v>
      </c>
      <c r="F12" s="30">
        <v>6.8341527964589996</v>
      </c>
      <c r="G12" s="29">
        <v>3.8</v>
      </c>
    </row>
    <row r="13" spans="1:7" x14ac:dyDescent="0.2">
      <c r="A13" s="27" t="s">
        <v>924</v>
      </c>
      <c r="B13" s="27" t="s">
        <v>925</v>
      </c>
      <c r="C13" s="27" t="s">
        <v>898</v>
      </c>
      <c r="D13" s="31">
        <v>16</v>
      </c>
      <c r="E13" s="29">
        <v>203.95808</v>
      </c>
      <c r="F13" s="30">
        <v>6.2404239248803899</v>
      </c>
      <c r="G13" s="29">
        <v>4.4250999999999996</v>
      </c>
    </row>
    <row r="14" spans="1:7" x14ac:dyDescent="0.2">
      <c r="A14" s="27" t="s">
        <v>1361</v>
      </c>
      <c r="B14" s="27" t="s">
        <v>1362</v>
      </c>
      <c r="C14" s="27" t="s">
        <v>39</v>
      </c>
      <c r="D14" s="31">
        <v>20</v>
      </c>
      <c r="E14" s="29">
        <v>195.73400000000001</v>
      </c>
      <c r="F14" s="30">
        <v>5.9887950333349798</v>
      </c>
      <c r="G14" s="29">
        <v>4.3000999999999996</v>
      </c>
    </row>
    <row r="15" spans="1:7" x14ac:dyDescent="0.2">
      <c r="A15" s="27" t="s">
        <v>1363</v>
      </c>
      <c r="B15" s="27" t="s">
        <v>1364</v>
      </c>
      <c r="C15" s="27" t="s">
        <v>898</v>
      </c>
      <c r="D15" s="31">
        <v>19</v>
      </c>
      <c r="E15" s="29">
        <v>193.84788</v>
      </c>
      <c r="F15" s="30">
        <v>5.9310861729005504</v>
      </c>
      <c r="G15" s="29">
        <v>3.65</v>
      </c>
    </row>
    <row r="16" spans="1:7" x14ac:dyDescent="0.2">
      <c r="A16" s="27" t="s">
        <v>1365</v>
      </c>
      <c r="B16" s="27" t="s">
        <v>1366</v>
      </c>
      <c r="C16" s="27" t="s">
        <v>39</v>
      </c>
      <c r="D16" s="31">
        <v>19</v>
      </c>
      <c r="E16" s="29">
        <v>193.572</v>
      </c>
      <c r="F16" s="30">
        <v>5.92264518271082</v>
      </c>
      <c r="G16" s="29">
        <v>3.7498999999999998</v>
      </c>
    </row>
    <row r="17" spans="1:9" x14ac:dyDescent="0.2">
      <c r="A17" s="27" t="s">
        <v>1367</v>
      </c>
      <c r="B17" s="27" t="s">
        <v>1368</v>
      </c>
      <c r="C17" s="27" t="s">
        <v>39</v>
      </c>
      <c r="D17" s="31">
        <v>16</v>
      </c>
      <c r="E17" s="29">
        <v>161.25056000000001</v>
      </c>
      <c r="F17" s="30">
        <v>4.9337189903158603</v>
      </c>
      <c r="G17" s="29">
        <v>3.5200999999999998</v>
      </c>
    </row>
    <row r="18" spans="1:9" x14ac:dyDescent="0.2">
      <c r="A18" s="27" t="s">
        <v>1302</v>
      </c>
      <c r="B18" s="27" t="s">
        <v>1303</v>
      </c>
      <c r="C18" s="27" t="s">
        <v>39</v>
      </c>
      <c r="D18" s="31">
        <v>1</v>
      </c>
      <c r="E18" s="29">
        <v>100.07</v>
      </c>
      <c r="F18" s="30">
        <v>3.0618018279186598</v>
      </c>
      <c r="G18" s="29">
        <v>3.3487</v>
      </c>
    </row>
    <row r="19" spans="1:9" x14ac:dyDescent="0.2">
      <c r="A19" s="27" t="s">
        <v>1369</v>
      </c>
      <c r="B19" s="27" t="s">
        <v>1370</v>
      </c>
      <c r="C19" s="27" t="s">
        <v>970</v>
      </c>
      <c r="D19" s="31">
        <v>7</v>
      </c>
      <c r="E19" s="29">
        <v>88.375280000000004</v>
      </c>
      <c r="F19" s="30">
        <v>2.70398315026305</v>
      </c>
      <c r="G19" s="29">
        <v>4.5948000000000002</v>
      </c>
    </row>
    <row r="20" spans="1:9" x14ac:dyDescent="0.2">
      <c r="A20" s="26" t="s">
        <v>40</v>
      </c>
      <c r="B20" s="26"/>
      <c r="C20" s="26"/>
      <c r="D20" s="32"/>
      <c r="E20" s="33">
        <f>SUM(E6:E19)</f>
        <v>2880.6881400000002</v>
      </c>
      <c r="F20" s="34">
        <f>SUM(F6:F19)</f>
        <v>88.139264641906792</v>
      </c>
      <c r="G20" s="33"/>
      <c r="H20" s="18"/>
      <c r="I20" s="18"/>
    </row>
    <row r="21" spans="1:9" x14ac:dyDescent="0.2">
      <c r="A21" s="27"/>
      <c r="B21" s="27"/>
      <c r="C21" s="27"/>
      <c r="D21" s="28"/>
      <c r="E21" s="29"/>
      <c r="F21" s="30"/>
      <c r="G21" s="29"/>
    </row>
    <row r="22" spans="1:9" x14ac:dyDescent="0.2">
      <c r="A22" s="26" t="s">
        <v>41</v>
      </c>
      <c r="B22" s="27"/>
      <c r="C22" s="27"/>
      <c r="D22" s="28"/>
      <c r="E22" s="29"/>
      <c r="F22" s="30"/>
      <c r="G22" s="29"/>
    </row>
    <row r="23" spans="1:9" x14ac:dyDescent="0.2">
      <c r="A23" s="27" t="s">
        <v>1251</v>
      </c>
      <c r="B23" s="27" t="s">
        <v>1252</v>
      </c>
      <c r="C23" s="27" t="s">
        <v>39</v>
      </c>
      <c r="D23" s="31">
        <v>3</v>
      </c>
      <c r="E23" s="29">
        <v>30.50694</v>
      </c>
      <c r="F23" s="30">
        <v>0.93340866049969995</v>
      </c>
      <c r="G23" s="29">
        <v>4.67</v>
      </c>
    </row>
    <row r="24" spans="1:9" x14ac:dyDescent="0.2">
      <c r="A24" s="26" t="s">
        <v>40</v>
      </c>
      <c r="B24" s="26"/>
      <c r="C24" s="26"/>
      <c r="D24" s="32"/>
      <c r="E24" s="33">
        <f>SUM(E22:E23)</f>
        <v>30.50694</v>
      </c>
      <c r="F24" s="34">
        <f>SUM(F22:F23)</f>
        <v>0.93340866049969995</v>
      </c>
      <c r="G24" s="33"/>
      <c r="H24" s="18"/>
      <c r="I24" s="18"/>
    </row>
    <row r="25" spans="1:9" x14ac:dyDescent="0.2">
      <c r="A25" s="27"/>
      <c r="B25" s="27"/>
      <c r="C25" s="27"/>
      <c r="D25" s="28"/>
      <c r="E25" s="29"/>
      <c r="F25" s="30"/>
      <c r="G25" s="29"/>
    </row>
    <row r="26" spans="1:9" x14ac:dyDescent="0.2">
      <c r="A26" s="26" t="s">
        <v>58</v>
      </c>
      <c r="B26" s="27"/>
      <c r="C26" s="27"/>
      <c r="D26" s="28"/>
      <c r="E26" s="29"/>
      <c r="F26" s="30"/>
      <c r="G26" s="29"/>
    </row>
    <row r="27" spans="1:9" x14ac:dyDescent="0.2">
      <c r="A27" s="26" t="s">
        <v>59</v>
      </c>
      <c r="B27" s="27"/>
      <c r="C27" s="27"/>
      <c r="D27" s="28"/>
      <c r="E27" s="29"/>
      <c r="F27" s="30"/>
      <c r="G27" s="29"/>
    </row>
    <row r="28" spans="1:9" x14ac:dyDescent="0.2">
      <c r="A28" s="27" t="s">
        <v>811</v>
      </c>
      <c r="B28" s="27" t="s">
        <v>812</v>
      </c>
      <c r="C28" s="27" t="s">
        <v>60</v>
      </c>
      <c r="D28" s="31">
        <v>16</v>
      </c>
      <c r="E28" s="29">
        <v>15.991856</v>
      </c>
      <c r="F28" s="30">
        <v>0.48929643182384402</v>
      </c>
      <c r="G28" s="29">
        <v>3.0979999999999999</v>
      </c>
    </row>
    <row r="29" spans="1:9" x14ac:dyDescent="0.2">
      <c r="A29" s="26" t="s">
        <v>40</v>
      </c>
      <c r="B29" s="26"/>
      <c r="C29" s="26"/>
      <c r="D29" s="32"/>
      <c r="E29" s="33">
        <f>SUM(E27:E28)</f>
        <v>15.991856</v>
      </c>
      <c r="F29" s="34">
        <f>SUM(F27:F28)</f>
        <v>0.48929643182384402</v>
      </c>
      <c r="G29" s="33"/>
      <c r="H29" s="18"/>
      <c r="I29" s="18"/>
    </row>
    <row r="30" spans="1:9" x14ac:dyDescent="0.2">
      <c r="A30" s="27"/>
      <c r="B30" s="27"/>
      <c r="C30" s="27"/>
      <c r="D30" s="28"/>
      <c r="E30" s="29"/>
      <c r="F30" s="30"/>
      <c r="G30" s="29"/>
    </row>
    <row r="31" spans="1:9" x14ac:dyDescent="0.2">
      <c r="A31" s="26" t="s">
        <v>44</v>
      </c>
      <c r="B31" s="26"/>
      <c r="C31" s="26"/>
      <c r="D31" s="32"/>
      <c r="E31" s="33">
        <f>E20+E24+E29</f>
        <v>2927.1869360000005</v>
      </c>
      <c r="F31" s="34">
        <f>F20+F24+F29</f>
        <v>89.561969734230331</v>
      </c>
      <c r="G31" s="33"/>
      <c r="H31" s="18"/>
      <c r="I31" s="18"/>
    </row>
    <row r="32" spans="1:9" x14ac:dyDescent="0.2">
      <c r="A32" s="26"/>
      <c r="B32" s="26"/>
      <c r="C32" s="26"/>
      <c r="D32" s="32"/>
      <c r="E32" s="33"/>
      <c r="F32" s="34"/>
      <c r="G32" s="33"/>
      <c r="H32" s="18"/>
      <c r="I32" s="18"/>
    </row>
    <row r="33" spans="1:9" x14ac:dyDescent="0.2">
      <c r="A33" s="26" t="s">
        <v>46</v>
      </c>
      <c r="B33" s="26"/>
      <c r="C33" s="26"/>
      <c r="D33" s="32"/>
      <c r="E33" s="33">
        <f>E35-(E20+E24+E29)</f>
        <v>341.14999839999928</v>
      </c>
      <c r="F33" s="34">
        <f>F35-(F20+F24+F29)</f>
        <v>10.438030265769669</v>
      </c>
      <c r="G33" s="33"/>
      <c r="H33" s="18"/>
      <c r="I33" s="18"/>
    </row>
    <row r="34" spans="1:9" x14ac:dyDescent="0.2">
      <c r="A34" s="26"/>
      <c r="B34" s="26"/>
      <c r="C34" s="26"/>
      <c r="D34" s="32"/>
      <c r="E34" s="33"/>
      <c r="F34" s="34"/>
      <c r="G34" s="33"/>
      <c r="H34" s="18"/>
      <c r="I34" s="18"/>
    </row>
    <row r="35" spans="1:9" x14ac:dyDescent="0.2">
      <c r="A35" s="35" t="s">
        <v>45</v>
      </c>
      <c r="B35" s="35"/>
      <c r="C35" s="35"/>
      <c r="D35" s="36"/>
      <c r="E35" s="37">
        <v>3268.3369343999998</v>
      </c>
      <c r="F35" s="38">
        <v>100</v>
      </c>
      <c r="G35" s="37"/>
      <c r="H35" s="18"/>
      <c r="I35" s="18"/>
    </row>
    <row r="37" spans="1:9" x14ac:dyDescent="0.2">
      <c r="A37" s="18" t="s">
        <v>47</v>
      </c>
    </row>
    <row r="39" spans="1:9" x14ac:dyDescent="0.2">
      <c r="A39" s="18" t="s">
        <v>48</v>
      </c>
    </row>
    <row r="40" spans="1:9" x14ac:dyDescent="0.2">
      <c r="A40" s="18" t="s">
        <v>49</v>
      </c>
    </row>
    <row r="41" spans="1:9" x14ac:dyDescent="0.2">
      <c r="A41" s="18" t="s">
        <v>50</v>
      </c>
      <c r="B41" s="18"/>
      <c r="C41" s="39" t="s">
        <v>52</v>
      </c>
      <c r="D41" s="19" t="s">
        <v>51</v>
      </c>
    </row>
    <row r="42" spans="1:9" x14ac:dyDescent="0.2">
      <c r="A42" s="9" t="s">
        <v>70</v>
      </c>
      <c r="C42" s="40">
        <v>12.105</v>
      </c>
      <c r="D42" s="40">
        <v>12.393700000000001</v>
      </c>
    </row>
    <row r="43" spans="1:9" x14ac:dyDescent="0.2">
      <c r="A43" s="9" t="s">
        <v>1324</v>
      </c>
      <c r="C43" s="40">
        <v>11.309699999999999</v>
      </c>
      <c r="D43" s="40">
        <v>10.666</v>
      </c>
    </row>
    <row r="44" spans="1:9" x14ac:dyDescent="0.2">
      <c r="A44" s="9" t="s">
        <v>72</v>
      </c>
      <c r="C44" s="40">
        <v>10.6031</v>
      </c>
      <c r="D44" s="40">
        <v>10.4405</v>
      </c>
    </row>
    <row r="45" spans="1:9" x14ac:dyDescent="0.2">
      <c r="A45" s="9" t="s">
        <v>73</v>
      </c>
      <c r="C45" s="40">
        <v>12.2263</v>
      </c>
      <c r="D45" s="40">
        <v>12.517899999999999</v>
      </c>
    </row>
    <row r="46" spans="1:9" x14ac:dyDescent="0.2">
      <c r="A46" s="9" t="s">
        <v>75</v>
      </c>
      <c r="C46" s="40">
        <v>10.721399999999999</v>
      </c>
      <c r="D46" s="40">
        <v>10.5616</v>
      </c>
    </row>
    <row r="48" spans="1:9" x14ac:dyDescent="0.2">
      <c r="A48" s="18" t="s">
        <v>53</v>
      </c>
    </row>
    <row r="49" spans="1:7" x14ac:dyDescent="0.2">
      <c r="A49" s="74" t="s">
        <v>67</v>
      </c>
      <c r="B49" s="75"/>
      <c r="C49" s="44" t="s">
        <v>68</v>
      </c>
    </row>
    <row r="50" spans="1:7" x14ac:dyDescent="0.2">
      <c r="A50" s="68" t="s">
        <v>1324</v>
      </c>
      <c r="B50" s="69"/>
      <c r="C50" s="45">
        <v>0.89500000000000002</v>
      </c>
    </row>
    <row r="51" spans="1:7" x14ac:dyDescent="0.2">
      <c r="A51" s="68" t="s">
        <v>72</v>
      </c>
      <c r="B51" s="69"/>
      <c r="C51" s="45">
        <v>0.41</v>
      </c>
    </row>
    <row r="52" spans="1:7" x14ac:dyDescent="0.2">
      <c r="A52" s="68" t="s">
        <v>75</v>
      </c>
      <c r="B52" s="69"/>
      <c r="C52" s="45">
        <v>0.41</v>
      </c>
    </row>
    <row r="53" spans="1:7" x14ac:dyDescent="0.2">
      <c r="A53" s="9" t="s">
        <v>69</v>
      </c>
    </row>
    <row r="55" spans="1:7" x14ac:dyDescent="0.2">
      <c r="A55" s="18" t="s">
        <v>793</v>
      </c>
      <c r="D55" s="42">
        <v>0.35137351367123298</v>
      </c>
      <c r="E55" s="13" t="s">
        <v>55</v>
      </c>
    </row>
    <row r="57" spans="1:7" x14ac:dyDescent="0.2">
      <c r="A57" s="18" t="s">
        <v>1477</v>
      </c>
      <c r="D57" s="41" t="s">
        <v>54</v>
      </c>
    </row>
    <row r="59" spans="1:7" ht="14.4" x14ac:dyDescent="0.2">
      <c r="A59" s="70" t="s">
        <v>794</v>
      </c>
      <c r="B59" s="71"/>
      <c r="C59" s="71"/>
      <c r="D59" s="71"/>
      <c r="E59" s="71"/>
      <c r="F59" s="71"/>
      <c r="G59" s="71"/>
    </row>
    <row r="60" spans="1:7" x14ac:dyDescent="0.2">
      <c r="A60" s="50" t="s">
        <v>56</v>
      </c>
    </row>
    <row r="62" spans="1:7" x14ac:dyDescent="0.2">
      <c r="A62" s="50"/>
    </row>
  </sheetData>
  <mergeCells count="6">
    <mergeCell ref="A59:G59"/>
    <mergeCell ref="A1:G1"/>
    <mergeCell ref="A49:B49"/>
    <mergeCell ref="A50:B50"/>
    <mergeCell ref="A51:B51"/>
    <mergeCell ref="A52:B52"/>
  </mergeCells>
  <conditionalFormatting sqref="F2:F3 F5:F58 F63:F65536">
    <cfRule type="cellIs" dxfId="87" priority="3" stopIfTrue="1" operator="between">
      <formula>0.009</formula>
      <formula>-0.009</formula>
    </cfRule>
  </conditionalFormatting>
  <conditionalFormatting sqref="F60">
    <cfRule type="cellIs" dxfId="86" priority="1" stopIfTrue="1" operator="between">
      <formula>0.009</formula>
      <formula>-0.009</formula>
    </cfRule>
  </conditionalFormatting>
  <conditionalFormatting sqref="F61:F62">
    <cfRule type="cellIs" dxfId="85" priority="2" stopIfTrue="1" operator="between">
      <formula>0.009</formula>
      <formula>-0.009</formula>
    </cfRule>
  </conditionalFormatting>
  <hyperlinks>
    <hyperlink ref="A60" r:id="rId1" xr:uid="{00000000-0004-0000-15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8"/>
  <sheetViews>
    <sheetView workbookViewId="0">
      <selection sqref="A1:G1"/>
    </sheetView>
  </sheetViews>
  <sheetFormatPr defaultColWidth="9.21875" defaultRowHeight="10.199999999999999" x14ac:dyDescent="0.2"/>
  <cols>
    <col min="1" max="1" width="38.77734375" style="9" bestFit="1" customWidth="1"/>
    <col min="2" max="2" width="52.777343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1371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936</v>
      </c>
      <c r="B7" s="27" t="s">
        <v>937</v>
      </c>
      <c r="C7" s="27" t="s">
        <v>39</v>
      </c>
      <c r="D7" s="31">
        <v>44</v>
      </c>
      <c r="E7" s="29">
        <v>446.66775999999999</v>
      </c>
      <c r="F7" s="30">
        <v>10.9592721377622</v>
      </c>
      <c r="G7" s="29">
        <v>4.0250000000000004</v>
      </c>
    </row>
    <row r="8" spans="1:7" x14ac:dyDescent="0.2">
      <c r="A8" s="27" t="s">
        <v>1363</v>
      </c>
      <c r="B8" s="27" t="s">
        <v>1364</v>
      </c>
      <c r="C8" s="27" t="s">
        <v>898</v>
      </c>
      <c r="D8" s="31">
        <v>41</v>
      </c>
      <c r="E8" s="29">
        <v>418.30331999999999</v>
      </c>
      <c r="F8" s="30">
        <v>10.2633329076839</v>
      </c>
      <c r="G8" s="29">
        <v>3.65</v>
      </c>
    </row>
    <row r="9" spans="1:7" x14ac:dyDescent="0.2">
      <c r="A9" s="27" t="s">
        <v>1365</v>
      </c>
      <c r="B9" s="27" t="s">
        <v>1366</v>
      </c>
      <c r="C9" s="27" t="s">
        <v>39</v>
      </c>
      <c r="D9" s="31">
        <v>41</v>
      </c>
      <c r="E9" s="29">
        <v>417.70800000000003</v>
      </c>
      <c r="F9" s="30">
        <v>10.2487263601035</v>
      </c>
      <c r="G9" s="29">
        <v>3.7498999999999998</v>
      </c>
    </row>
    <row r="10" spans="1:7" x14ac:dyDescent="0.2">
      <c r="A10" s="27" t="s">
        <v>901</v>
      </c>
      <c r="B10" s="27" t="s">
        <v>902</v>
      </c>
      <c r="C10" s="27" t="s">
        <v>39</v>
      </c>
      <c r="D10" s="31">
        <v>40</v>
      </c>
      <c r="E10" s="29">
        <v>411.21039999999999</v>
      </c>
      <c r="F10" s="30">
        <v>10.089303690685099</v>
      </c>
      <c r="G10" s="29">
        <v>4.1050000000000004</v>
      </c>
    </row>
    <row r="11" spans="1:7" x14ac:dyDescent="0.2">
      <c r="A11" s="27" t="s">
        <v>1361</v>
      </c>
      <c r="B11" s="27" t="s">
        <v>1362</v>
      </c>
      <c r="C11" s="27" t="s">
        <v>39</v>
      </c>
      <c r="D11" s="31">
        <v>33</v>
      </c>
      <c r="E11" s="29">
        <v>322.96109999999999</v>
      </c>
      <c r="F11" s="30">
        <v>7.9240520623450301</v>
      </c>
      <c r="G11" s="29">
        <v>4.3000999999999996</v>
      </c>
    </row>
    <row r="12" spans="1:7" x14ac:dyDescent="0.2">
      <c r="A12" s="27" t="s">
        <v>1247</v>
      </c>
      <c r="B12" s="27" t="s">
        <v>1248</v>
      </c>
      <c r="C12" s="27" t="s">
        <v>39</v>
      </c>
      <c r="D12" s="31">
        <v>30</v>
      </c>
      <c r="E12" s="29">
        <v>304.58609999999999</v>
      </c>
      <c r="F12" s="30">
        <v>7.4732099744106399</v>
      </c>
      <c r="G12" s="29">
        <v>3.8</v>
      </c>
    </row>
    <row r="13" spans="1:7" x14ac:dyDescent="0.2">
      <c r="A13" s="27" t="s">
        <v>1372</v>
      </c>
      <c r="B13" s="27" t="s">
        <v>1373</v>
      </c>
      <c r="C13" s="27" t="s">
        <v>39</v>
      </c>
      <c r="D13" s="31">
        <v>26</v>
      </c>
      <c r="E13" s="29">
        <v>262.79552000000001</v>
      </c>
      <c r="F13" s="30">
        <v>6.4478520237608699</v>
      </c>
      <c r="G13" s="29">
        <v>3.8201000000000001</v>
      </c>
    </row>
    <row r="14" spans="1:7" x14ac:dyDescent="0.2">
      <c r="A14" s="27" t="s">
        <v>1193</v>
      </c>
      <c r="B14" s="27" t="s">
        <v>1194</v>
      </c>
      <c r="C14" s="27" t="s">
        <v>919</v>
      </c>
      <c r="D14" s="31">
        <v>26000</v>
      </c>
      <c r="E14" s="29">
        <v>261.87668000000002</v>
      </c>
      <c r="F14" s="30">
        <v>6.4253077111580001</v>
      </c>
      <c r="G14" s="29">
        <v>6.7150999999999996</v>
      </c>
    </row>
    <row r="15" spans="1:7" x14ac:dyDescent="0.2">
      <c r="A15" s="27" t="s">
        <v>1302</v>
      </c>
      <c r="B15" s="27" t="s">
        <v>1303</v>
      </c>
      <c r="C15" s="27" t="s">
        <v>39</v>
      </c>
      <c r="D15" s="31">
        <v>2</v>
      </c>
      <c r="E15" s="29">
        <v>200.14</v>
      </c>
      <c r="F15" s="30">
        <v>4.91055975396955</v>
      </c>
      <c r="G15" s="29">
        <v>3.3487</v>
      </c>
    </row>
    <row r="16" spans="1:7" x14ac:dyDescent="0.2">
      <c r="A16" s="27" t="s">
        <v>942</v>
      </c>
      <c r="B16" s="27" t="s">
        <v>943</v>
      </c>
      <c r="C16" s="27" t="s">
        <v>898</v>
      </c>
      <c r="D16" s="31">
        <v>150</v>
      </c>
      <c r="E16" s="29">
        <v>152.61885000000001</v>
      </c>
      <c r="F16" s="30">
        <v>3.7445986934501598</v>
      </c>
      <c r="G16" s="29">
        <v>3.5950000000000002</v>
      </c>
    </row>
    <row r="17" spans="1:9" x14ac:dyDescent="0.2">
      <c r="A17" s="26" t="s">
        <v>40</v>
      </c>
      <c r="B17" s="26"/>
      <c r="C17" s="26"/>
      <c r="D17" s="32"/>
      <c r="E17" s="33">
        <f>SUM(E6:E16)</f>
        <v>3198.8677299999995</v>
      </c>
      <c r="F17" s="34">
        <f>SUM(F6:F16)</f>
        <v>78.486215315328948</v>
      </c>
      <c r="G17" s="33"/>
      <c r="H17" s="18"/>
      <c r="I17" s="18"/>
    </row>
    <row r="18" spans="1:9" x14ac:dyDescent="0.2">
      <c r="A18" s="27"/>
      <c r="B18" s="27"/>
      <c r="C18" s="27"/>
      <c r="D18" s="28"/>
      <c r="E18" s="29"/>
      <c r="F18" s="30"/>
      <c r="G18" s="29"/>
    </row>
    <row r="19" spans="1:9" x14ac:dyDescent="0.2">
      <c r="A19" s="26" t="s">
        <v>41</v>
      </c>
      <c r="B19" s="27"/>
      <c r="C19" s="27"/>
      <c r="D19" s="28"/>
      <c r="E19" s="29"/>
      <c r="F19" s="30"/>
      <c r="G19" s="29"/>
    </row>
    <row r="20" spans="1:9" x14ac:dyDescent="0.2">
      <c r="A20" s="27" t="s">
        <v>1251</v>
      </c>
      <c r="B20" s="27" t="s">
        <v>1252</v>
      </c>
      <c r="C20" s="27" t="s">
        <v>39</v>
      </c>
      <c r="D20" s="31">
        <v>34</v>
      </c>
      <c r="E20" s="29">
        <v>345.74531999999999</v>
      </c>
      <c r="F20" s="30">
        <v>8.4830771135970995</v>
      </c>
      <c r="G20" s="29">
        <v>4.67</v>
      </c>
    </row>
    <row r="21" spans="1:9" x14ac:dyDescent="0.2">
      <c r="A21" s="27" t="s">
        <v>954</v>
      </c>
      <c r="B21" s="27" t="s">
        <v>955</v>
      </c>
      <c r="C21" s="27" t="s">
        <v>39</v>
      </c>
      <c r="D21" s="31">
        <v>7</v>
      </c>
      <c r="E21" s="29">
        <v>70.417550000000006</v>
      </c>
      <c r="F21" s="30">
        <v>1.72773851805306</v>
      </c>
      <c r="G21" s="29">
        <v>3.4870000000000001</v>
      </c>
    </row>
    <row r="22" spans="1:9" x14ac:dyDescent="0.2">
      <c r="A22" s="26" t="s">
        <v>40</v>
      </c>
      <c r="B22" s="26"/>
      <c r="C22" s="26"/>
      <c r="D22" s="32"/>
      <c r="E22" s="33">
        <f>SUM(E19:E21)</f>
        <v>416.16287</v>
      </c>
      <c r="F22" s="34">
        <f>SUM(F19:F21)</f>
        <v>10.21081563165016</v>
      </c>
      <c r="G22" s="33"/>
      <c r="H22" s="18"/>
      <c r="I22" s="18"/>
    </row>
    <row r="23" spans="1:9" x14ac:dyDescent="0.2">
      <c r="A23" s="27"/>
      <c r="B23" s="27"/>
      <c r="C23" s="27"/>
      <c r="D23" s="28"/>
      <c r="E23" s="29"/>
      <c r="F23" s="30"/>
      <c r="G23" s="29"/>
    </row>
    <row r="24" spans="1:9" x14ac:dyDescent="0.2">
      <c r="A24" s="26" t="s">
        <v>58</v>
      </c>
      <c r="B24" s="27"/>
      <c r="C24" s="27"/>
      <c r="D24" s="28"/>
      <c r="E24" s="29"/>
      <c r="F24" s="30"/>
      <c r="G24" s="29"/>
    </row>
    <row r="25" spans="1:9" x14ac:dyDescent="0.2">
      <c r="A25" s="26" t="s">
        <v>59</v>
      </c>
      <c r="B25" s="27"/>
      <c r="C25" s="27"/>
      <c r="D25" s="28"/>
      <c r="E25" s="29"/>
      <c r="F25" s="30"/>
      <c r="G25" s="29"/>
    </row>
    <row r="26" spans="1:9" x14ac:dyDescent="0.2">
      <c r="A26" s="27" t="s">
        <v>811</v>
      </c>
      <c r="B26" s="27" t="s">
        <v>812</v>
      </c>
      <c r="C26" s="27" t="s">
        <v>60</v>
      </c>
      <c r="D26" s="31">
        <v>33</v>
      </c>
      <c r="E26" s="29">
        <v>32.983203000000003</v>
      </c>
      <c r="F26" s="30">
        <v>0.80926346162090401</v>
      </c>
      <c r="G26" s="29">
        <v>3.0979999999999999</v>
      </c>
    </row>
    <row r="27" spans="1:9" x14ac:dyDescent="0.2">
      <c r="A27" s="26" t="s">
        <v>40</v>
      </c>
      <c r="B27" s="26"/>
      <c r="C27" s="26"/>
      <c r="D27" s="32"/>
      <c r="E27" s="33">
        <f>SUM(E25:E26)</f>
        <v>32.983203000000003</v>
      </c>
      <c r="F27" s="34">
        <f>SUM(F25:F26)</f>
        <v>0.80926346162090401</v>
      </c>
      <c r="G27" s="33"/>
      <c r="H27" s="18"/>
      <c r="I27" s="18"/>
    </row>
    <row r="28" spans="1:9" x14ac:dyDescent="0.2">
      <c r="A28" s="27"/>
      <c r="B28" s="27"/>
      <c r="C28" s="27"/>
      <c r="D28" s="28"/>
      <c r="E28" s="29"/>
      <c r="F28" s="30"/>
      <c r="G28" s="29"/>
    </row>
    <row r="29" spans="1:9" x14ac:dyDescent="0.2">
      <c r="A29" s="26" t="s">
        <v>44</v>
      </c>
      <c r="B29" s="26"/>
      <c r="C29" s="26"/>
      <c r="D29" s="32"/>
      <c r="E29" s="33">
        <f>E17+E22+E27</f>
        <v>3648.0138029999998</v>
      </c>
      <c r="F29" s="34">
        <f>F17+F22+F27</f>
        <v>89.506294408600013</v>
      </c>
      <c r="G29" s="33"/>
      <c r="H29" s="18"/>
      <c r="I29" s="18"/>
    </row>
    <row r="30" spans="1:9" x14ac:dyDescent="0.2">
      <c r="A30" s="26"/>
      <c r="B30" s="26"/>
      <c r="C30" s="26"/>
      <c r="D30" s="32"/>
      <c r="E30" s="33"/>
      <c r="F30" s="34"/>
      <c r="G30" s="33"/>
      <c r="H30" s="18"/>
      <c r="I30" s="18"/>
    </row>
    <row r="31" spans="1:9" x14ac:dyDescent="0.2">
      <c r="A31" s="26" t="s">
        <v>46</v>
      </c>
      <c r="B31" s="26"/>
      <c r="C31" s="26"/>
      <c r="D31" s="32"/>
      <c r="E31" s="33">
        <f>E33-(E17+E22+E27)</f>
        <v>427.69263430000001</v>
      </c>
      <c r="F31" s="34">
        <f>F33-(F17+F22+F27)</f>
        <v>10.493705591399987</v>
      </c>
      <c r="G31" s="33"/>
      <c r="H31" s="18"/>
      <c r="I31" s="18"/>
    </row>
    <row r="32" spans="1:9" x14ac:dyDescent="0.2">
      <c r="A32" s="26"/>
      <c r="B32" s="26"/>
      <c r="C32" s="26"/>
      <c r="D32" s="32"/>
      <c r="E32" s="33"/>
      <c r="F32" s="34"/>
      <c r="G32" s="33"/>
      <c r="H32" s="18"/>
      <c r="I32" s="18"/>
    </row>
    <row r="33" spans="1:9" x14ac:dyDescent="0.2">
      <c r="A33" s="35" t="s">
        <v>45</v>
      </c>
      <c r="B33" s="35"/>
      <c r="C33" s="35"/>
      <c r="D33" s="36"/>
      <c r="E33" s="37">
        <v>4075.7064372999998</v>
      </c>
      <c r="F33" s="38">
        <v>100</v>
      </c>
      <c r="G33" s="37"/>
      <c r="H33" s="18"/>
      <c r="I33" s="18"/>
    </row>
    <row r="35" spans="1:9" x14ac:dyDescent="0.2">
      <c r="A35" s="18" t="s">
        <v>47</v>
      </c>
    </row>
    <row r="37" spans="1:9" x14ac:dyDescent="0.2">
      <c r="A37" s="18" t="s">
        <v>48</v>
      </c>
    </row>
    <row r="38" spans="1:9" x14ac:dyDescent="0.2">
      <c r="A38" s="18" t="s">
        <v>49</v>
      </c>
    </row>
    <row r="39" spans="1:9" x14ac:dyDescent="0.2">
      <c r="A39" s="18" t="s">
        <v>50</v>
      </c>
      <c r="B39" s="18"/>
      <c r="C39" s="39" t="s">
        <v>52</v>
      </c>
      <c r="D39" s="19" t="s">
        <v>51</v>
      </c>
    </row>
    <row r="40" spans="1:9" x14ac:dyDescent="0.2">
      <c r="A40" s="9" t="s">
        <v>70</v>
      </c>
      <c r="C40" s="40">
        <v>11.4678</v>
      </c>
      <c r="D40" s="40">
        <v>11.780799999999999</v>
      </c>
    </row>
    <row r="41" spans="1:9" x14ac:dyDescent="0.2">
      <c r="A41" s="9" t="s">
        <v>1324</v>
      </c>
      <c r="C41" s="40">
        <v>11.210699999999999</v>
      </c>
      <c r="D41" s="40">
        <v>10.6325</v>
      </c>
    </row>
    <row r="42" spans="1:9" x14ac:dyDescent="0.2">
      <c r="A42" s="9" t="s">
        <v>72</v>
      </c>
      <c r="C42" s="40">
        <v>10.5245</v>
      </c>
      <c r="D42" s="40">
        <v>10.406000000000001</v>
      </c>
    </row>
    <row r="43" spans="1:9" x14ac:dyDescent="0.2">
      <c r="A43" s="9" t="s">
        <v>73</v>
      </c>
      <c r="C43" s="40">
        <v>11.5824</v>
      </c>
      <c r="D43" s="40">
        <v>11.8985</v>
      </c>
    </row>
    <row r="45" spans="1:9" x14ac:dyDescent="0.2">
      <c r="A45" s="18" t="s">
        <v>53</v>
      </c>
    </row>
    <row r="46" spans="1:9" x14ac:dyDescent="0.2">
      <c r="A46" s="74" t="s">
        <v>67</v>
      </c>
      <c r="B46" s="75"/>
      <c r="C46" s="44" t="s">
        <v>68</v>
      </c>
    </row>
    <row r="47" spans="1:9" x14ac:dyDescent="0.2">
      <c r="A47" s="68" t="s">
        <v>1324</v>
      </c>
      <c r="B47" s="69"/>
      <c r="C47" s="45">
        <v>0.86499999999999999</v>
      </c>
    </row>
    <row r="48" spans="1:9" x14ac:dyDescent="0.2">
      <c r="A48" s="68" t="s">
        <v>72</v>
      </c>
      <c r="B48" s="69"/>
      <c r="C48" s="45">
        <v>0.4</v>
      </c>
    </row>
    <row r="49" spans="1:7" x14ac:dyDescent="0.2">
      <c r="A49" s="9" t="s">
        <v>69</v>
      </c>
    </row>
    <row r="51" spans="1:7" x14ac:dyDescent="0.2">
      <c r="A51" s="18" t="s">
        <v>793</v>
      </c>
      <c r="D51" s="42">
        <v>0.36129582709588998</v>
      </c>
      <c r="E51" s="13" t="s">
        <v>55</v>
      </c>
    </row>
    <row r="53" spans="1:7" x14ac:dyDescent="0.2">
      <c r="A53" s="18" t="s">
        <v>1477</v>
      </c>
      <c r="D53" s="41" t="s">
        <v>54</v>
      </c>
    </row>
    <row r="55" spans="1:7" ht="14.4" x14ac:dyDescent="0.2">
      <c r="A55" s="70" t="s">
        <v>794</v>
      </c>
      <c r="B55" s="71"/>
      <c r="C55" s="71"/>
      <c r="D55" s="71"/>
      <c r="E55" s="71"/>
      <c r="F55" s="71"/>
      <c r="G55" s="71"/>
    </row>
    <row r="56" spans="1:7" x14ac:dyDescent="0.2">
      <c r="A56" s="50" t="s">
        <v>56</v>
      </c>
    </row>
    <row r="58" spans="1:7" x14ac:dyDescent="0.2">
      <c r="A58" s="50"/>
    </row>
  </sheetData>
  <mergeCells count="5">
    <mergeCell ref="A1:G1"/>
    <mergeCell ref="A46:B46"/>
    <mergeCell ref="A47:B47"/>
    <mergeCell ref="A48:B48"/>
    <mergeCell ref="A55:G55"/>
  </mergeCells>
  <conditionalFormatting sqref="F2:F3 F5:F54 F59:F65536">
    <cfRule type="cellIs" dxfId="84" priority="3" stopIfTrue="1" operator="between">
      <formula>0.009</formula>
      <formula>-0.009</formula>
    </cfRule>
  </conditionalFormatting>
  <conditionalFormatting sqref="F56">
    <cfRule type="cellIs" dxfId="83" priority="1" stopIfTrue="1" operator="between">
      <formula>0.009</formula>
      <formula>-0.009</formula>
    </cfRule>
  </conditionalFormatting>
  <conditionalFormatting sqref="F57:F58">
    <cfRule type="cellIs" dxfId="82" priority="2" stopIfTrue="1" operator="between">
      <formula>0.009</formula>
      <formula>-0.009</formula>
    </cfRule>
  </conditionalFormatting>
  <hyperlinks>
    <hyperlink ref="A56" r:id="rId1" xr:uid="{00000000-0004-0000-16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60"/>
  <sheetViews>
    <sheetView workbookViewId="0">
      <selection sqref="A1:G1"/>
    </sheetView>
  </sheetViews>
  <sheetFormatPr defaultColWidth="9.21875" defaultRowHeight="10.199999999999999" x14ac:dyDescent="0.2"/>
  <cols>
    <col min="1" max="1" width="38.77734375" style="9" bestFit="1" customWidth="1"/>
    <col min="2" max="2" width="53.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1374</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1375</v>
      </c>
      <c r="B7" s="27" t="s">
        <v>1376</v>
      </c>
      <c r="C7" s="27" t="s">
        <v>39</v>
      </c>
      <c r="D7" s="31">
        <v>90</v>
      </c>
      <c r="E7" s="29">
        <v>1140.3774000000001</v>
      </c>
      <c r="F7" s="30">
        <v>11.865340714824301</v>
      </c>
      <c r="G7" s="29">
        <v>3.4500999999999999</v>
      </c>
    </row>
    <row r="8" spans="1:7" x14ac:dyDescent="0.2">
      <c r="A8" s="27" t="s">
        <v>901</v>
      </c>
      <c r="B8" s="27" t="s">
        <v>902</v>
      </c>
      <c r="C8" s="27" t="s">
        <v>39</v>
      </c>
      <c r="D8" s="31">
        <v>98</v>
      </c>
      <c r="E8" s="29">
        <v>1007.46548</v>
      </c>
      <c r="F8" s="30">
        <v>10.482425536163699</v>
      </c>
      <c r="G8" s="29">
        <v>4.1050000000000004</v>
      </c>
    </row>
    <row r="9" spans="1:7" x14ac:dyDescent="0.2">
      <c r="A9" s="27" t="s">
        <v>936</v>
      </c>
      <c r="B9" s="27" t="s">
        <v>937</v>
      </c>
      <c r="C9" s="27" t="s">
        <v>39</v>
      </c>
      <c r="D9" s="31">
        <v>92</v>
      </c>
      <c r="E9" s="29">
        <v>933.94168000000002</v>
      </c>
      <c r="F9" s="30">
        <v>9.7174288450256707</v>
      </c>
      <c r="G9" s="29">
        <v>4.0250000000000004</v>
      </c>
    </row>
    <row r="10" spans="1:7" x14ac:dyDescent="0.2">
      <c r="A10" s="27" t="s">
        <v>1363</v>
      </c>
      <c r="B10" s="27" t="s">
        <v>1364</v>
      </c>
      <c r="C10" s="27" t="s">
        <v>898</v>
      </c>
      <c r="D10" s="31">
        <v>90</v>
      </c>
      <c r="E10" s="29">
        <v>918.22680000000003</v>
      </c>
      <c r="F10" s="30">
        <v>9.5539194616473502</v>
      </c>
      <c r="G10" s="29">
        <v>3.65</v>
      </c>
    </row>
    <row r="11" spans="1:7" x14ac:dyDescent="0.2">
      <c r="A11" s="27" t="s">
        <v>1365</v>
      </c>
      <c r="B11" s="27" t="s">
        <v>1366</v>
      </c>
      <c r="C11" s="27" t="s">
        <v>39</v>
      </c>
      <c r="D11" s="31">
        <v>90</v>
      </c>
      <c r="E11" s="29">
        <v>916.92</v>
      </c>
      <c r="F11" s="30">
        <v>9.5403225355366299</v>
      </c>
      <c r="G11" s="29">
        <v>3.7498999999999998</v>
      </c>
    </row>
    <row r="12" spans="1:7" x14ac:dyDescent="0.2">
      <c r="A12" s="27" t="s">
        <v>1377</v>
      </c>
      <c r="B12" s="27" t="s">
        <v>1378</v>
      </c>
      <c r="C12" s="27" t="s">
        <v>39</v>
      </c>
      <c r="D12" s="31">
        <v>60</v>
      </c>
      <c r="E12" s="29">
        <v>753.39599999999996</v>
      </c>
      <c r="F12" s="30">
        <v>7.8388963453552698</v>
      </c>
      <c r="G12" s="29">
        <v>4.6497999999999999</v>
      </c>
    </row>
    <row r="13" spans="1:7" x14ac:dyDescent="0.2">
      <c r="A13" s="27" t="s">
        <v>1361</v>
      </c>
      <c r="B13" s="27" t="s">
        <v>1362</v>
      </c>
      <c r="C13" s="27" t="s">
        <v>39</v>
      </c>
      <c r="D13" s="31">
        <v>75</v>
      </c>
      <c r="E13" s="29">
        <v>734.00250000000005</v>
      </c>
      <c r="F13" s="30">
        <v>7.6371118438797598</v>
      </c>
      <c r="G13" s="29">
        <v>4.3000999999999996</v>
      </c>
    </row>
    <row r="14" spans="1:7" x14ac:dyDescent="0.2">
      <c r="A14" s="27" t="s">
        <v>1369</v>
      </c>
      <c r="B14" s="27" t="s">
        <v>1370</v>
      </c>
      <c r="C14" s="27" t="s">
        <v>970</v>
      </c>
      <c r="D14" s="31">
        <v>58</v>
      </c>
      <c r="E14" s="29">
        <v>732.25232000000005</v>
      </c>
      <c r="F14" s="30">
        <v>7.6189016601175501</v>
      </c>
      <c r="G14" s="29">
        <v>4.5948000000000002</v>
      </c>
    </row>
    <row r="15" spans="1:7" x14ac:dyDescent="0.2">
      <c r="A15" s="27" t="s">
        <v>1247</v>
      </c>
      <c r="B15" s="27" t="s">
        <v>1248</v>
      </c>
      <c r="C15" s="27" t="s">
        <v>39</v>
      </c>
      <c r="D15" s="31">
        <v>71</v>
      </c>
      <c r="E15" s="29">
        <v>720.85377000000005</v>
      </c>
      <c r="F15" s="30">
        <v>7.5003026073785497</v>
      </c>
      <c r="G15" s="29">
        <v>3.8</v>
      </c>
    </row>
    <row r="16" spans="1:7" x14ac:dyDescent="0.2">
      <c r="A16" s="27" t="s">
        <v>942</v>
      </c>
      <c r="B16" s="27" t="s">
        <v>943</v>
      </c>
      <c r="C16" s="27" t="s">
        <v>898</v>
      </c>
      <c r="D16" s="31">
        <v>470</v>
      </c>
      <c r="E16" s="29">
        <v>478.20573000000002</v>
      </c>
      <c r="F16" s="30">
        <v>4.97561063401578</v>
      </c>
      <c r="G16" s="29">
        <v>3.5950000000000002</v>
      </c>
    </row>
    <row r="17" spans="1:9" x14ac:dyDescent="0.2">
      <c r="A17" s="27" t="s">
        <v>1302</v>
      </c>
      <c r="B17" s="27" t="s">
        <v>1303</v>
      </c>
      <c r="C17" s="27" t="s">
        <v>39</v>
      </c>
      <c r="D17" s="31">
        <v>2</v>
      </c>
      <c r="E17" s="29">
        <v>200.14</v>
      </c>
      <c r="F17" s="30">
        <v>2.0824064828581599</v>
      </c>
      <c r="G17" s="29">
        <v>3.3487</v>
      </c>
    </row>
    <row r="18" spans="1:9" x14ac:dyDescent="0.2">
      <c r="A18" s="27" t="s">
        <v>1379</v>
      </c>
      <c r="B18" s="27" t="s">
        <v>1380</v>
      </c>
      <c r="C18" s="27" t="s">
        <v>970</v>
      </c>
      <c r="D18" s="31">
        <v>10</v>
      </c>
      <c r="E18" s="29">
        <v>126.3737</v>
      </c>
      <c r="F18" s="30">
        <v>1.3148866400658099</v>
      </c>
      <c r="G18" s="29">
        <v>4.8243</v>
      </c>
    </row>
    <row r="19" spans="1:9" x14ac:dyDescent="0.2">
      <c r="A19" s="27" t="s">
        <v>909</v>
      </c>
      <c r="B19" s="27" t="s">
        <v>910</v>
      </c>
      <c r="C19" s="27" t="s">
        <v>39</v>
      </c>
      <c r="D19" s="31">
        <v>8</v>
      </c>
      <c r="E19" s="29">
        <v>81.364400000000003</v>
      </c>
      <c r="F19" s="30">
        <v>0.84657616685252401</v>
      </c>
      <c r="G19" s="29">
        <v>3.75</v>
      </c>
    </row>
    <row r="20" spans="1:9" x14ac:dyDescent="0.2">
      <c r="A20" s="27" t="s">
        <v>924</v>
      </c>
      <c r="B20" s="27" t="s">
        <v>925</v>
      </c>
      <c r="C20" s="27" t="s">
        <v>898</v>
      </c>
      <c r="D20" s="31">
        <v>6</v>
      </c>
      <c r="E20" s="29">
        <v>76.484279999999998</v>
      </c>
      <c r="F20" s="30">
        <v>0.79579974272378595</v>
      </c>
      <c r="G20" s="29">
        <v>4.4250999999999996</v>
      </c>
    </row>
    <row r="21" spans="1:9" x14ac:dyDescent="0.2">
      <c r="A21" s="27" t="s">
        <v>1372</v>
      </c>
      <c r="B21" s="27" t="s">
        <v>1373</v>
      </c>
      <c r="C21" s="27" t="s">
        <v>39</v>
      </c>
      <c r="D21" s="31">
        <v>4</v>
      </c>
      <c r="E21" s="29">
        <v>40.430079999999997</v>
      </c>
      <c r="F21" s="30">
        <v>0.42066483808570998</v>
      </c>
      <c r="G21" s="29">
        <v>3.8201000000000001</v>
      </c>
    </row>
    <row r="22" spans="1:9" x14ac:dyDescent="0.2">
      <c r="A22" s="27" t="s">
        <v>1243</v>
      </c>
      <c r="B22" s="27" t="s">
        <v>1244</v>
      </c>
      <c r="C22" s="27" t="s">
        <v>39</v>
      </c>
      <c r="D22" s="31">
        <v>1</v>
      </c>
      <c r="E22" s="29">
        <v>10.022349999999999</v>
      </c>
      <c r="F22" s="30">
        <v>0.104280037041438</v>
      </c>
      <c r="G22" s="29">
        <v>4.125</v>
      </c>
    </row>
    <row r="23" spans="1:9" x14ac:dyDescent="0.2">
      <c r="A23" s="26" t="s">
        <v>40</v>
      </c>
      <c r="B23" s="26"/>
      <c r="C23" s="26"/>
      <c r="D23" s="32"/>
      <c r="E23" s="33">
        <f>SUM(E6:E22)</f>
        <v>8870.4564899999987</v>
      </c>
      <c r="F23" s="34">
        <f>SUM(F6:F22)</f>
        <v>92.294874091571984</v>
      </c>
      <c r="G23" s="33"/>
      <c r="H23" s="18"/>
      <c r="I23" s="18"/>
    </row>
    <row r="24" spans="1:9" x14ac:dyDescent="0.2">
      <c r="A24" s="27"/>
      <c r="B24" s="27"/>
      <c r="C24" s="27"/>
      <c r="D24" s="28"/>
      <c r="E24" s="29"/>
      <c r="F24" s="30"/>
      <c r="G24" s="29"/>
    </row>
    <row r="25" spans="1:9" x14ac:dyDescent="0.2">
      <c r="A25" s="26" t="s">
        <v>58</v>
      </c>
      <c r="B25" s="27"/>
      <c r="C25" s="27"/>
      <c r="D25" s="28"/>
      <c r="E25" s="29"/>
      <c r="F25" s="30"/>
      <c r="G25" s="29"/>
    </row>
    <row r="26" spans="1:9" x14ac:dyDescent="0.2">
      <c r="A26" s="26" t="s">
        <v>59</v>
      </c>
      <c r="B26" s="27"/>
      <c r="C26" s="27"/>
      <c r="D26" s="28"/>
      <c r="E26" s="29"/>
      <c r="F26" s="30"/>
      <c r="G26" s="29"/>
    </row>
    <row r="27" spans="1:9" x14ac:dyDescent="0.2">
      <c r="A27" s="27" t="s">
        <v>811</v>
      </c>
      <c r="B27" s="27" t="s">
        <v>812</v>
      </c>
      <c r="C27" s="27" t="s">
        <v>60</v>
      </c>
      <c r="D27" s="31">
        <v>48</v>
      </c>
      <c r="E27" s="29">
        <v>47.975568000000003</v>
      </c>
      <c r="F27" s="30">
        <v>0.49917374748677101</v>
      </c>
      <c r="G27" s="29">
        <v>3.0979999999999999</v>
      </c>
    </row>
    <row r="28" spans="1:9" x14ac:dyDescent="0.2">
      <c r="A28" s="26" t="s">
        <v>40</v>
      </c>
      <c r="B28" s="26"/>
      <c r="C28" s="26"/>
      <c r="D28" s="32"/>
      <c r="E28" s="33">
        <f>SUM(E26:E27)</f>
        <v>47.975568000000003</v>
      </c>
      <c r="F28" s="34">
        <f>SUM(F26:F27)</f>
        <v>0.49917374748677101</v>
      </c>
      <c r="G28" s="33"/>
      <c r="H28" s="18"/>
      <c r="I28" s="18"/>
    </row>
    <row r="29" spans="1:9" x14ac:dyDescent="0.2">
      <c r="A29" s="27"/>
      <c r="B29" s="27"/>
      <c r="C29" s="27"/>
      <c r="D29" s="28"/>
      <c r="E29" s="29"/>
      <c r="F29" s="30"/>
      <c r="G29" s="29"/>
    </row>
    <row r="30" spans="1:9" x14ac:dyDescent="0.2">
      <c r="A30" s="26" t="s">
        <v>44</v>
      </c>
      <c r="B30" s="26"/>
      <c r="C30" s="26"/>
      <c r="D30" s="32"/>
      <c r="E30" s="33">
        <f>E23+E28</f>
        <v>8918.4320579999985</v>
      </c>
      <c r="F30" s="34">
        <f>F23+F28</f>
        <v>92.794047839058749</v>
      </c>
      <c r="G30" s="33"/>
      <c r="H30" s="18"/>
      <c r="I30" s="18"/>
    </row>
    <row r="31" spans="1:9" x14ac:dyDescent="0.2">
      <c r="A31" s="26"/>
      <c r="B31" s="26"/>
      <c r="C31" s="26"/>
      <c r="D31" s="32"/>
      <c r="E31" s="33"/>
      <c r="F31" s="34"/>
      <c r="G31" s="33"/>
      <c r="H31" s="18"/>
      <c r="I31" s="18"/>
    </row>
    <row r="32" spans="1:9" x14ac:dyDescent="0.2">
      <c r="A32" s="26" t="s">
        <v>46</v>
      </c>
      <c r="B32" s="26"/>
      <c r="C32" s="26"/>
      <c r="D32" s="32"/>
      <c r="E32" s="33">
        <f>E34-(E23+E28)</f>
        <v>692.56376090000231</v>
      </c>
      <c r="F32" s="34">
        <f>F34-(F23+F28)</f>
        <v>7.2059521609412513</v>
      </c>
      <c r="G32" s="33"/>
      <c r="H32" s="18"/>
      <c r="I32" s="18"/>
    </row>
    <row r="33" spans="1:9" x14ac:dyDescent="0.2">
      <c r="A33" s="26"/>
      <c r="B33" s="26"/>
      <c r="C33" s="26"/>
      <c r="D33" s="32"/>
      <c r="E33" s="33"/>
      <c r="F33" s="34"/>
      <c r="G33" s="33"/>
      <c r="H33" s="18"/>
      <c r="I33" s="18"/>
    </row>
    <row r="34" spans="1:9" x14ac:dyDescent="0.2">
      <c r="A34" s="35" t="s">
        <v>45</v>
      </c>
      <c r="B34" s="35"/>
      <c r="C34" s="35"/>
      <c r="D34" s="36"/>
      <c r="E34" s="37">
        <v>9610.9958189000008</v>
      </c>
      <c r="F34" s="38">
        <v>100</v>
      </c>
      <c r="G34" s="37"/>
      <c r="H34" s="18"/>
      <c r="I34" s="18"/>
    </row>
    <row r="36" spans="1:9" x14ac:dyDescent="0.2">
      <c r="A36" s="18" t="s">
        <v>47</v>
      </c>
    </row>
    <row r="38" spans="1:9" x14ac:dyDescent="0.2">
      <c r="A38" s="18" t="s">
        <v>48</v>
      </c>
    </row>
    <row r="39" spans="1:9" x14ac:dyDescent="0.2">
      <c r="A39" s="18" t="s">
        <v>49</v>
      </c>
    </row>
    <row r="40" spans="1:9" x14ac:dyDescent="0.2">
      <c r="A40" s="18" t="s">
        <v>50</v>
      </c>
      <c r="B40" s="18"/>
      <c r="C40" s="39" t="s">
        <v>52</v>
      </c>
      <c r="D40" s="19" t="s">
        <v>51</v>
      </c>
    </row>
    <row r="41" spans="1:9" x14ac:dyDescent="0.2">
      <c r="A41" s="9" t="s">
        <v>70</v>
      </c>
      <c r="C41" s="40">
        <v>12.069100000000001</v>
      </c>
      <c r="D41" s="40">
        <v>12.346299999999999</v>
      </c>
    </row>
    <row r="42" spans="1:9" x14ac:dyDescent="0.2">
      <c r="A42" s="9" t="s">
        <v>1324</v>
      </c>
      <c r="C42" s="40">
        <v>10.4351</v>
      </c>
      <c r="D42" s="40">
        <v>10.6747</v>
      </c>
    </row>
    <row r="43" spans="1:9" x14ac:dyDescent="0.2">
      <c r="A43" s="9" t="s">
        <v>72</v>
      </c>
      <c r="C43" s="40">
        <v>10.418699999999999</v>
      </c>
      <c r="D43" s="40">
        <v>10.4663</v>
      </c>
    </row>
    <row r="44" spans="1:9" x14ac:dyDescent="0.2">
      <c r="A44" s="9" t="s">
        <v>73</v>
      </c>
      <c r="C44" s="40">
        <v>12.178100000000001</v>
      </c>
      <c r="D44" s="40">
        <v>12.457800000000001</v>
      </c>
    </row>
    <row r="45" spans="1:9" x14ac:dyDescent="0.2">
      <c r="A45" s="9" t="s">
        <v>75</v>
      </c>
      <c r="C45" s="40">
        <v>10.427199999999999</v>
      </c>
      <c r="D45" s="40">
        <v>10.4747</v>
      </c>
    </row>
    <row r="47" spans="1:9" x14ac:dyDescent="0.2">
      <c r="A47" s="18" t="s">
        <v>53</v>
      </c>
    </row>
    <row r="48" spans="1:9" x14ac:dyDescent="0.2">
      <c r="A48" s="74" t="s">
        <v>67</v>
      </c>
      <c r="B48" s="75"/>
      <c r="C48" s="44" t="s">
        <v>68</v>
      </c>
    </row>
    <row r="49" spans="1:7" x14ac:dyDescent="0.2">
      <c r="A49" s="68" t="s">
        <v>72</v>
      </c>
      <c r="B49" s="69"/>
      <c r="C49" s="45">
        <v>0.19</v>
      </c>
    </row>
    <row r="50" spans="1:7" x14ac:dyDescent="0.2">
      <c r="A50" s="68" t="s">
        <v>75</v>
      </c>
      <c r="B50" s="69"/>
      <c r="C50" s="45">
        <v>0.19</v>
      </c>
    </row>
    <row r="51" spans="1:7" x14ac:dyDescent="0.2">
      <c r="A51" s="9" t="s">
        <v>69</v>
      </c>
    </row>
    <row r="53" spans="1:7" x14ac:dyDescent="0.2">
      <c r="A53" s="18" t="s">
        <v>793</v>
      </c>
      <c r="D53" s="42">
        <v>0.35696319290410999</v>
      </c>
      <c r="E53" s="13" t="s">
        <v>55</v>
      </c>
    </row>
    <row r="55" spans="1:7" x14ac:dyDescent="0.2">
      <c r="A55" s="18" t="s">
        <v>1477</v>
      </c>
      <c r="D55" s="41" t="s">
        <v>54</v>
      </c>
    </row>
    <row r="57" spans="1:7" ht="14.4" x14ac:dyDescent="0.2">
      <c r="A57" s="70" t="s">
        <v>794</v>
      </c>
      <c r="B57" s="71"/>
      <c r="C57" s="71"/>
      <c r="D57" s="71"/>
      <c r="E57" s="71"/>
      <c r="F57" s="71"/>
      <c r="G57" s="71"/>
    </row>
    <row r="58" spans="1:7" x14ac:dyDescent="0.2">
      <c r="A58" s="50" t="s">
        <v>56</v>
      </c>
    </row>
    <row r="60" spans="1:7" x14ac:dyDescent="0.2">
      <c r="A60" s="50"/>
    </row>
  </sheetData>
  <mergeCells count="5">
    <mergeCell ref="A1:G1"/>
    <mergeCell ref="A48:B48"/>
    <mergeCell ref="A49:B49"/>
    <mergeCell ref="A50:B50"/>
    <mergeCell ref="A57:G57"/>
  </mergeCells>
  <conditionalFormatting sqref="F2:F3 F5:F56 F61:F65536">
    <cfRule type="cellIs" dxfId="81" priority="3" stopIfTrue="1" operator="between">
      <formula>0.009</formula>
      <formula>-0.009</formula>
    </cfRule>
  </conditionalFormatting>
  <conditionalFormatting sqref="F58">
    <cfRule type="cellIs" dxfId="80" priority="1" stopIfTrue="1" operator="between">
      <formula>0.009</formula>
      <formula>-0.009</formula>
    </cfRule>
  </conditionalFormatting>
  <conditionalFormatting sqref="F59:F60">
    <cfRule type="cellIs" dxfId="79" priority="2" stopIfTrue="1" operator="between">
      <formula>0.009</formula>
      <formula>-0.009</formula>
    </cfRule>
  </conditionalFormatting>
  <hyperlinks>
    <hyperlink ref="A58" r:id="rId1" xr:uid="{00000000-0004-0000-17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5"/>
  <sheetViews>
    <sheetView workbookViewId="0">
      <selection sqref="A1:G1"/>
    </sheetView>
  </sheetViews>
  <sheetFormatPr defaultColWidth="9.21875" defaultRowHeight="10.199999999999999" x14ac:dyDescent="0.2"/>
  <cols>
    <col min="1" max="1" width="38.77734375" style="9" bestFit="1" customWidth="1"/>
    <col min="2" max="2" width="53.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1381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1379</v>
      </c>
      <c r="B7" s="27" t="s">
        <v>1380</v>
      </c>
      <c r="C7" s="27" t="s">
        <v>970</v>
      </c>
      <c r="D7" s="31">
        <v>103</v>
      </c>
      <c r="E7" s="29">
        <v>1301.6491100000001</v>
      </c>
      <c r="F7" s="30">
        <v>11.0986357685307</v>
      </c>
      <c r="G7" s="29">
        <v>4.8243</v>
      </c>
    </row>
    <row r="8" spans="1:7" x14ac:dyDescent="0.2">
      <c r="A8" s="27" t="s">
        <v>1247</v>
      </c>
      <c r="B8" s="27" t="s">
        <v>1248</v>
      </c>
      <c r="C8" s="27" t="s">
        <v>39</v>
      </c>
      <c r="D8" s="31">
        <v>115</v>
      </c>
      <c r="E8" s="29">
        <v>1167.58005</v>
      </c>
      <c r="F8" s="30">
        <v>9.9554830914092207</v>
      </c>
      <c r="G8" s="29">
        <v>3.8</v>
      </c>
    </row>
    <row r="9" spans="1:7" x14ac:dyDescent="0.2">
      <c r="A9" s="27" t="s">
        <v>909</v>
      </c>
      <c r="B9" s="27" t="s">
        <v>910</v>
      </c>
      <c r="C9" s="27" t="s">
        <v>39</v>
      </c>
      <c r="D9" s="31">
        <v>112</v>
      </c>
      <c r="E9" s="29">
        <v>1139.1016</v>
      </c>
      <c r="F9" s="30">
        <v>9.7126588606898405</v>
      </c>
      <c r="G9" s="29">
        <v>3.75</v>
      </c>
    </row>
    <row r="10" spans="1:7" x14ac:dyDescent="0.2">
      <c r="A10" s="27" t="s">
        <v>1369</v>
      </c>
      <c r="B10" s="27" t="s">
        <v>1370</v>
      </c>
      <c r="C10" s="27" t="s">
        <v>970</v>
      </c>
      <c r="D10" s="31">
        <v>85</v>
      </c>
      <c r="E10" s="29">
        <v>1073.1284000000001</v>
      </c>
      <c r="F10" s="30">
        <v>9.1501320539958098</v>
      </c>
      <c r="G10" s="29">
        <v>4.5948000000000002</v>
      </c>
    </row>
    <row r="11" spans="1:7" x14ac:dyDescent="0.2">
      <c r="A11" s="27" t="s">
        <v>1382</v>
      </c>
      <c r="B11" s="27" t="s">
        <v>1383</v>
      </c>
      <c r="C11" s="27" t="s">
        <v>39</v>
      </c>
      <c r="D11" s="31">
        <v>100</v>
      </c>
      <c r="E11" s="29">
        <v>1019.158</v>
      </c>
      <c r="F11" s="30">
        <v>8.6899482707626206</v>
      </c>
      <c r="G11" s="29">
        <v>4.09</v>
      </c>
    </row>
    <row r="12" spans="1:7" x14ac:dyDescent="0.2">
      <c r="A12" s="27" t="s">
        <v>1384</v>
      </c>
      <c r="B12" s="27" t="s">
        <v>1385</v>
      </c>
      <c r="C12" s="27" t="s">
        <v>39</v>
      </c>
      <c r="D12" s="31">
        <v>70</v>
      </c>
      <c r="E12" s="29">
        <v>891.32190000000003</v>
      </c>
      <c r="F12" s="30">
        <v>7.5999415238832997</v>
      </c>
      <c r="G12" s="29">
        <v>5.3376000000000001</v>
      </c>
    </row>
    <row r="13" spans="1:7" x14ac:dyDescent="0.2">
      <c r="A13" s="27" t="s">
        <v>1386</v>
      </c>
      <c r="B13" s="27" t="s">
        <v>1387</v>
      </c>
      <c r="C13" s="27" t="s">
        <v>39</v>
      </c>
      <c r="D13" s="31">
        <v>77</v>
      </c>
      <c r="E13" s="29">
        <v>782.49401999999998</v>
      </c>
      <c r="F13" s="30">
        <v>6.6720101848595501</v>
      </c>
      <c r="G13" s="29">
        <v>3.5849000000000002</v>
      </c>
    </row>
    <row r="14" spans="1:7" x14ac:dyDescent="0.2">
      <c r="A14" s="27" t="s">
        <v>928</v>
      </c>
      <c r="B14" s="27" t="s">
        <v>929</v>
      </c>
      <c r="C14" s="27" t="s">
        <v>898</v>
      </c>
      <c r="D14" s="31">
        <v>75</v>
      </c>
      <c r="E14" s="29">
        <v>767.84249999999997</v>
      </c>
      <c r="F14" s="30">
        <v>6.5470825967053701</v>
      </c>
      <c r="G14" s="29">
        <v>3.8999000000000001</v>
      </c>
    </row>
    <row r="15" spans="1:7" x14ac:dyDescent="0.2">
      <c r="A15" s="27" t="s">
        <v>1388</v>
      </c>
      <c r="B15" s="27" t="s">
        <v>1389</v>
      </c>
      <c r="C15" s="27" t="s">
        <v>898</v>
      </c>
      <c r="D15" s="31">
        <v>21</v>
      </c>
      <c r="E15" s="29">
        <v>531.26430000000005</v>
      </c>
      <c r="F15" s="30">
        <v>4.5298759221856804</v>
      </c>
      <c r="G15" s="29">
        <v>4.3798000000000004</v>
      </c>
    </row>
    <row r="16" spans="1:7" x14ac:dyDescent="0.2">
      <c r="A16" s="27" t="s">
        <v>1390</v>
      </c>
      <c r="B16" s="27" t="s">
        <v>1391</v>
      </c>
      <c r="C16" s="27" t="s">
        <v>39</v>
      </c>
      <c r="D16" s="31">
        <v>33</v>
      </c>
      <c r="E16" s="29">
        <v>332.33078999999998</v>
      </c>
      <c r="F16" s="30">
        <v>2.8336503014073098</v>
      </c>
      <c r="G16" s="29">
        <v>3.4251999999999998</v>
      </c>
    </row>
    <row r="17" spans="1:9" x14ac:dyDescent="0.2">
      <c r="A17" s="27" t="s">
        <v>1392</v>
      </c>
      <c r="B17" s="27" t="s">
        <v>1393</v>
      </c>
      <c r="C17" s="27" t="s">
        <v>39</v>
      </c>
      <c r="D17" s="31">
        <v>32</v>
      </c>
      <c r="E17" s="29">
        <v>323.73536000000001</v>
      </c>
      <c r="F17" s="30">
        <v>2.7603605445050898</v>
      </c>
      <c r="G17" s="29">
        <v>3.3601000000000001</v>
      </c>
    </row>
    <row r="18" spans="1:9" x14ac:dyDescent="0.2">
      <c r="A18" s="27" t="s">
        <v>1394</v>
      </c>
      <c r="B18" s="27" t="s">
        <v>1395</v>
      </c>
      <c r="C18" s="27" t="s">
        <v>738</v>
      </c>
      <c r="D18" s="31">
        <v>32</v>
      </c>
      <c r="E18" s="29">
        <v>316.33568000000002</v>
      </c>
      <c r="F18" s="30">
        <v>2.6972664644702</v>
      </c>
      <c r="G18" s="29">
        <v>3.915</v>
      </c>
    </row>
    <row r="19" spans="1:9" x14ac:dyDescent="0.2">
      <c r="A19" s="27" t="s">
        <v>942</v>
      </c>
      <c r="B19" s="27" t="s">
        <v>943</v>
      </c>
      <c r="C19" s="27" t="s">
        <v>898</v>
      </c>
      <c r="D19" s="31">
        <v>310</v>
      </c>
      <c r="E19" s="29">
        <v>315.41228999999998</v>
      </c>
      <c r="F19" s="30">
        <v>2.6893930912211599</v>
      </c>
      <c r="G19" s="29">
        <v>3.5950000000000002</v>
      </c>
    </row>
    <row r="20" spans="1:9" x14ac:dyDescent="0.2">
      <c r="A20" s="27" t="s">
        <v>1302</v>
      </c>
      <c r="B20" s="27" t="s">
        <v>1303</v>
      </c>
      <c r="C20" s="27" t="s">
        <v>39</v>
      </c>
      <c r="D20" s="31">
        <v>2</v>
      </c>
      <c r="E20" s="29">
        <v>200.14</v>
      </c>
      <c r="F20" s="30">
        <v>1.70651287328405</v>
      </c>
      <c r="G20" s="29">
        <v>3.3487</v>
      </c>
    </row>
    <row r="21" spans="1:9" x14ac:dyDescent="0.2">
      <c r="A21" s="27" t="s">
        <v>1396</v>
      </c>
      <c r="B21" s="27" t="s">
        <v>1397</v>
      </c>
      <c r="C21" s="27" t="s">
        <v>738</v>
      </c>
      <c r="D21" s="31">
        <v>26</v>
      </c>
      <c r="E21" s="29">
        <v>131.35655</v>
      </c>
      <c r="F21" s="30">
        <v>1.1200242008852801</v>
      </c>
      <c r="G21" s="29">
        <v>3.9</v>
      </c>
    </row>
    <row r="22" spans="1:9" x14ac:dyDescent="0.2">
      <c r="A22" s="27" t="s">
        <v>1243</v>
      </c>
      <c r="B22" s="27" t="s">
        <v>1244</v>
      </c>
      <c r="C22" s="27" t="s">
        <v>39</v>
      </c>
      <c r="D22" s="31">
        <v>4</v>
      </c>
      <c r="E22" s="29">
        <v>40.089399999999998</v>
      </c>
      <c r="F22" s="30">
        <v>0.34182610763582399</v>
      </c>
      <c r="G22" s="29">
        <v>4.125</v>
      </c>
    </row>
    <row r="23" spans="1:9" x14ac:dyDescent="0.2">
      <c r="A23" s="27" t="s">
        <v>1398</v>
      </c>
      <c r="B23" s="27" t="s">
        <v>1399</v>
      </c>
      <c r="C23" s="27" t="s">
        <v>39</v>
      </c>
      <c r="D23" s="31">
        <v>2</v>
      </c>
      <c r="E23" s="29">
        <v>25.53172</v>
      </c>
      <c r="F23" s="30">
        <v>0.21769865522676099</v>
      </c>
      <c r="G23" s="29">
        <v>3.63</v>
      </c>
    </row>
    <row r="24" spans="1:9" x14ac:dyDescent="0.2">
      <c r="A24" s="27" t="s">
        <v>1245</v>
      </c>
      <c r="B24" s="27" t="s">
        <v>1246</v>
      </c>
      <c r="C24" s="27" t="s">
        <v>970</v>
      </c>
      <c r="D24" s="31">
        <v>2</v>
      </c>
      <c r="E24" s="29">
        <v>25.2851</v>
      </c>
      <c r="F24" s="30">
        <v>0.21559582618304499</v>
      </c>
      <c r="G24" s="29">
        <v>3.7498999999999998</v>
      </c>
    </row>
    <row r="25" spans="1:9" x14ac:dyDescent="0.2">
      <c r="A25" s="26" t="s">
        <v>40</v>
      </c>
      <c r="B25" s="26"/>
      <c r="C25" s="26"/>
      <c r="D25" s="32"/>
      <c r="E25" s="33">
        <f>SUM(E6:E24)</f>
        <v>10383.756770000002</v>
      </c>
      <c r="F25" s="34">
        <f>SUM(F6:F24)</f>
        <v>88.538096337840827</v>
      </c>
      <c r="G25" s="33"/>
      <c r="H25" s="18"/>
      <c r="I25" s="18"/>
    </row>
    <row r="26" spans="1:9" x14ac:dyDescent="0.2">
      <c r="A26" s="27"/>
      <c r="B26" s="27"/>
      <c r="C26" s="27"/>
      <c r="D26" s="28"/>
      <c r="E26" s="29"/>
      <c r="F26" s="30"/>
      <c r="G26" s="29"/>
    </row>
    <row r="27" spans="1:9" x14ac:dyDescent="0.2">
      <c r="A27" s="26" t="s">
        <v>41</v>
      </c>
      <c r="B27" s="27"/>
      <c r="C27" s="27"/>
      <c r="D27" s="28"/>
      <c r="E27" s="29"/>
      <c r="F27" s="30"/>
      <c r="G27" s="29"/>
    </row>
    <row r="28" spans="1:9" x14ac:dyDescent="0.2">
      <c r="A28" s="27" t="s">
        <v>954</v>
      </c>
      <c r="B28" s="27" t="s">
        <v>955</v>
      </c>
      <c r="C28" s="27" t="s">
        <v>39</v>
      </c>
      <c r="D28" s="31">
        <v>29</v>
      </c>
      <c r="E28" s="29">
        <v>291.72985</v>
      </c>
      <c r="F28" s="30">
        <v>2.4874624989818401</v>
      </c>
      <c r="G28" s="29">
        <v>3.4870000000000001</v>
      </c>
    </row>
    <row r="29" spans="1:9" x14ac:dyDescent="0.2">
      <c r="A29" s="26" t="s">
        <v>40</v>
      </c>
      <c r="B29" s="26"/>
      <c r="C29" s="26"/>
      <c r="D29" s="32"/>
      <c r="E29" s="33">
        <f>SUM(E27:E28)</f>
        <v>291.72985</v>
      </c>
      <c r="F29" s="34">
        <f>SUM(F27:F28)</f>
        <v>2.4874624989818401</v>
      </c>
      <c r="G29" s="33"/>
      <c r="H29" s="18"/>
      <c r="I29" s="18"/>
    </row>
    <row r="30" spans="1:9" x14ac:dyDescent="0.2">
      <c r="A30" s="27"/>
      <c r="B30" s="27"/>
      <c r="C30" s="27"/>
      <c r="D30" s="28"/>
      <c r="E30" s="29"/>
      <c r="F30" s="30"/>
      <c r="G30" s="29"/>
    </row>
    <row r="31" spans="1:9" x14ac:dyDescent="0.2">
      <c r="A31" s="26" t="s">
        <v>58</v>
      </c>
      <c r="B31" s="27"/>
      <c r="C31" s="27"/>
      <c r="D31" s="28"/>
      <c r="E31" s="29"/>
      <c r="F31" s="30"/>
      <c r="G31" s="29"/>
    </row>
    <row r="32" spans="1:9" x14ac:dyDescent="0.2">
      <c r="A32" s="26" t="s">
        <v>59</v>
      </c>
      <c r="B32" s="27"/>
      <c r="C32" s="27"/>
      <c r="D32" s="28"/>
      <c r="E32" s="29"/>
      <c r="F32" s="30"/>
      <c r="G32" s="29"/>
    </row>
    <row r="33" spans="1:9" x14ac:dyDescent="0.2">
      <c r="A33" s="27" t="s">
        <v>811</v>
      </c>
      <c r="B33" s="27" t="s">
        <v>812</v>
      </c>
      <c r="C33" s="27" t="s">
        <v>60</v>
      </c>
      <c r="D33" s="31">
        <v>16</v>
      </c>
      <c r="E33" s="29">
        <v>15.991856</v>
      </c>
      <c r="F33" s="30">
        <v>0.13635609139454799</v>
      </c>
      <c r="G33" s="29">
        <v>3.0979999999999999</v>
      </c>
    </row>
    <row r="34" spans="1:9" x14ac:dyDescent="0.2">
      <c r="A34" s="26" t="s">
        <v>40</v>
      </c>
      <c r="B34" s="26"/>
      <c r="C34" s="26"/>
      <c r="D34" s="32"/>
      <c r="E34" s="33">
        <f>SUM(E32:E33)</f>
        <v>15.991856</v>
      </c>
      <c r="F34" s="34">
        <f>SUM(F32:F33)</f>
        <v>0.13635609139454799</v>
      </c>
      <c r="G34" s="33"/>
      <c r="H34" s="18"/>
      <c r="I34" s="18"/>
    </row>
    <row r="35" spans="1:9" x14ac:dyDescent="0.2">
      <c r="A35" s="27"/>
      <c r="B35" s="27"/>
      <c r="C35" s="27"/>
      <c r="D35" s="28"/>
      <c r="E35" s="29"/>
      <c r="F35" s="30"/>
      <c r="G35" s="29"/>
    </row>
    <row r="36" spans="1:9" x14ac:dyDescent="0.2">
      <c r="A36" s="26" t="s">
        <v>44</v>
      </c>
      <c r="B36" s="26"/>
      <c r="C36" s="26"/>
      <c r="D36" s="32"/>
      <c r="E36" s="33">
        <f>E25+E29+E34</f>
        <v>10691.478476000002</v>
      </c>
      <c r="F36" s="34">
        <f>F25+F29+F34</f>
        <v>91.161914928217215</v>
      </c>
      <c r="G36" s="33"/>
      <c r="H36" s="18"/>
      <c r="I36" s="18"/>
    </row>
    <row r="37" spans="1:9" x14ac:dyDescent="0.2">
      <c r="A37" s="26"/>
      <c r="B37" s="26"/>
      <c r="C37" s="26"/>
      <c r="D37" s="32"/>
      <c r="E37" s="33"/>
      <c r="F37" s="34"/>
      <c r="G37" s="33"/>
      <c r="H37" s="18"/>
      <c r="I37" s="18"/>
    </row>
    <row r="38" spans="1:9" x14ac:dyDescent="0.2">
      <c r="A38" s="26" t="s">
        <v>46</v>
      </c>
      <c r="B38" s="26"/>
      <c r="C38" s="26"/>
      <c r="D38" s="32"/>
      <c r="E38" s="33">
        <f>E40-(E25+E29+E34)</f>
        <v>1036.5314987999973</v>
      </c>
      <c r="F38" s="34">
        <f>F40-(F25+F29+F34)</f>
        <v>8.8380850717827855</v>
      </c>
      <c r="G38" s="33"/>
      <c r="H38" s="18"/>
      <c r="I38" s="18"/>
    </row>
    <row r="39" spans="1:9" x14ac:dyDescent="0.2">
      <c r="A39" s="26"/>
      <c r="B39" s="26"/>
      <c r="C39" s="26"/>
      <c r="D39" s="32"/>
      <c r="E39" s="33"/>
      <c r="F39" s="34"/>
      <c r="G39" s="33"/>
      <c r="H39" s="18"/>
      <c r="I39" s="18"/>
    </row>
    <row r="40" spans="1:9" x14ac:dyDescent="0.2">
      <c r="A40" s="35" t="s">
        <v>45</v>
      </c>
      <c r="B40" s="35"/>
      <c r="C40" s="35"/>
      <c r="D40" s="36"/>
      <c r="E40" s="37">
        <v>11728.009974799999</v>
      </c>
      <c r="F40" s="38">
        <v>100</v>
      </c>
      <c r="G40" s="37"/>
      <c r="H40" s="18"/>
      <c r="I40" s="18"/>
    </row>
    <row r="42" spans="1:9" x14ac:dyDescent="0.2">
      <c r="A42" s="18" t="s">
        <v>47</v>
      </c>
    </row>
    <row r="44" spans="1:9" x14ac:dyDescent="0.2">
      <c r="A44" s="18" t="s">
        <v>48</v>
      </c>
    </row>
    <row r="45" spans="1:9" x14ac:dyDescent="0.2">
      <c r="A45" s="18" t="s">
        <v>49</v>
      </c>
    </row>
    <row r="46" spans="1:9" x14ac:dyDescent="0.2">
      <c r="A46" s="18" t="s">
        <v>50</v>
      </c>
      <c r="B46" s="18"/>
      <c r="C46" s="39" t="s">
        <v>52</v>
      </c>
      <c r="D46" s="19" t="s">
        <v>51</v>
      </c>
    </row>
    <row r="47" spans="1:9" x14ac:dyDescent="0.2">
      <c r="A47" s="9" t="s">
        <v>70</v>
      </c>
      <c r="C47" s="40">
        <v>12.0633</v>
      </c>
      <c r="D47" s="40">
        <v>12.3734</v>
      </c>
    </row>
    <row r="48" spans="1:9" x14ac:dyDescent="0.2">
      <c r="A48" s="9" t="s">
        <v>1324</v>
      </c>
      <c r="C48" s="40">
        <v>10.4214</v>
      </c>
      <c r="D48" s="40">
        <v>10.689299999999999</v>
      </c>
    </row>
    <row r="49" spans="1:7" x14ac:dyDescent="0.2">
      <c r="A49" s="9" t="s">
        <v>72</v>
      </c>
      <c r="C49" s="40">
        <v>10.404400000000001</v>
      </c>
      <c r="D49" s="40">
        <v>10.2631</v>
      </c>
    </row>
    <row r="50" spans="1:7" x14ac:dyDescent="0.2">
      <c r="A50" s="9" t="s">
        <v>73</v>
      </c>
      <c r="C50" s="40">
        <v>12.1846</v>
      </c>
      <c r="D50" s="40">
        <v>12.4978</v>
      </c>
    </row>
    <row r="51" spans="1:7" x14ac:dyDescent="0.2">
      <c r="A51" s="9" t="s">
        <v>77</v>
      </c>
      <c r="C51" s="40">
        <v>10.5443</v>
      </c>
      <c r="D51" s="40">
        <v>10.8171</v>
      </c>
    </row>
    <row r="53" spans="1:7" x14ac:dyDescent="0.2">
      <c r="A53" s="18" t="s">
        <v>53</v>
      </c>
    </row>
    <row r="54" spans="1:7" x14ac:dyDescent="0.2">
      <c r="A54" s="74" t="s">
        <v>67</v>
      </c>
      <c r="B54" s="75"/>
      <c r="C54" s="44" t="s">
        <v>68</v>
      </c>
    </row>
    <row r="55" spans="1:7" x14ac:dyDescent="0.2">
      <c r="A55" s="68" t="s">
        <v>72</v>
      </c>
      <c r="B55" s="69"/>
      <c r="C55" s="45">
        <v>0.40500000000000003</v>
      </c>
    </row>
    <row r="56" spans="1:7" x14ac:dyDescent="0.2">
      <c r="A56" s="9" t="s">
        <v>69</v>
      </c>
    </row>
    <row r="58" spans="1:7" x14ac:dyDescent="0.2">
      <c r="A58" s="18" t="s">
        <v>793</v>
      </c>
      <c r="D58" s="42">
        <v>0.315757074082192</v>
      </c>
      <c r="E58" s="13" t="s">
        <v>55</v>
      </c>
    </row>
    <row r="60" spans="1:7" x14ac:dyDescent="0.2">
      <c r="A60" s="18" t="s">
        <v>1477</v>
      </c>
      <c r="D60" s="41" t="s">
        <v>54</v>
      </c>
    </row>
    <row r="62" spans="1:7" ht="14.4" x14ac:dyDescent="0.2">
      <c r="A62" s="70" t="s">
        <v>794</v>
      </c>
      <c r="B62" s="71"/>
      <c r="C62" s="71"/>
      <c r="D62" s="71"/>
      <c r="E62" s="71"/>
      <c r="F62" s="71"/>
      <c r="G62" s="71"/>
    </row>
    <row r="63" spans="1:7" x14ac:dyDescent="0.2">
      <c r="A63" s="50" t="s">
        <v>56</v>
      </c>
    </row>
    <row r="65" spans="1:1" x14ac:dyDescent="0.2">
      <c r="A65" s="50"/>
    </row>
  </sheetData>
  <mergeCells count="4">
    <mergeCell ref="A1:G1"/>
    <mergeCell ref="A54:B54"/>
    <mergeCell ref="A55:B55"/>
    <mergeCell ref="A62:G62"/>
  </mergeCells>
  <conditionalFormatting sqref="F2:F3 F5:F61 F66:F65536">
    <cfRule type="cellIs" dxfId="78" priority="3" stopIfTrue="1" operator="between">
      <formula>0.009</formula>
      <formula>-0.009</formula>
    </cfRule>
  </conditionalFormatting>
  <conditionalFormatting sqref="F63">
    <cfRule type="cellIs" dxfId="77" priority="1" stopIfTrue="1" operator="between">
      <formula>0.009</formula>
      <formula>-0.009</formula>
    </cfRule>
  </conditionalFormatting>
  <conditionalFormatting sqref="F64:F65">
    <cfRule type="cellIs" dxfId="76" priority="2" stopIfTrue="1" operator="between">
      <formula>0.009</formula>
      <formula>-0.009</formula>
    </cfRule>
  </conditionalFormatting>
  <hyperlinks>
    <hyperlink ref="A63" r:id="rId1" xr:uid="{00000000-0004-0000-18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6"/>
  <sheetViews>
    <sheetView workbookViewId="0">
      <selection sqref="A1:G1"/>
    </sheetView>
  </sheetViews>
  <sheetFormatPr defaultColWidth="9.21875" defaultRowHeight="10.199999999999999" x14ac:dyDescent="0.2"/>
  <cols>
    <col min="1" max="1" width="38.77734375" style="9" bestFit="1" customWidth="1"/>
    <col min="2" max="2" width="51"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1400</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1401</v>
      </c>
      <c r="B7" s="27" t="s">
        <v>1402</v>
      </c>
      <c r="C7" s="27" t="s">
        <v>39</v>
      </c>
      <c r="D7" s="31">
        <v>99</v>
      </c>
      <c r="E7" s="29">
        <v>1258.9810199999999</v>
      </c>
      <c r="F7" s="30">
        <v>10.070481364460599</v>
      </c>
      <c r="G7" s="29">
        <v>4.3148999999999997</v>
      </c>
    </row>
    <row r="8" spans="1:7" x14ac:dyDescent="0.2">
      <c r="A8" s="27" t="s">
        <v>1403</v>
      </c>
      <c r="B8" s="27" t="s">
        <v>1404</v>
      </c>
      <c r="C8" s="27" t="s">
        <v>39</v>
      </c>
      <c r="D8" s="31">
        <v>119</v>
      </c>
      <c r="E8" s="29">
        <v>1206.90752</v>
      </c>
      <c r="F8" s="30">
        <v>9.6539498973442406</v>
      </c>
      <c r="G8" s="29">
        <v>3.6248</v>
      </c>
    </row>
    <row r="9" spans="1:7" x14ac:dyDescent="0.2">
      <c r="A9" s="27" t="s">
        <v>1359</v>
      </c>
      <c r="B9" s="27" t="s">
        <v>1360</v>
      </c>
      <c r="C9" s="27" t="s">
        <v>39</v>
      </c>
      <c r="D9" s="31">
        <v>119</v>
      </c>
      <c r="E9" s="29">
        <v>1204.8821399999999</v>
      </c>
      <c r="F9" s="30">
        <v>9.6377490561703603</v>
      </c>
      <c r="G9" s="29">
        <v>3.5802</v>
      </c>
    </row>
    <row r="10" spans="1:7" x14ac:dyDescent="0.2">
      <c r="A10" s="27" t="s">
        <v>1405</v>
      </c>
      <c r="B10" s="27" t="s">
        <v>1406</v>
      </c>
      <c r="C10" s="27" t="s">
        <v>898</v>
      </c>
      <c r="D10" s="31">
        <v>100</v>
      </c>
      <c r="E10" s="29">
        <v>1014.783</v>
      </c>
      <c r="F10" s="30">
        <v>8.1171623147038492</v>
      </c>
      <c r="G10" s="29">
        <v>3.51</v>
      </c>
    </row>
    <row r="11" spans="1:7" x14ac:dyDescent="0.2">
      <c r="A11" s="27" t="s">
        <v>1407</v>
      </c>
      <c r="B11" s="27" t="s">
        <v>1408</v>
      </c>
      <c r="C11" s="27" t="s">
        <v>898</v>
      </c>
      <c r="D11" s="31">
        <v>100</v>
      </c>
      <c r="E11" s="29">
        <v>1012.822</v>
      </c>
      <c r="F11" s="30">
        <v>8.1014764436367006</v>
      </c>
      <c r="G11" s="29">
        <v>4.4549000000000003</v>
      </c>
    </row>
    <row r="12" spans="1:7" x14ac:dyDescent="0.2">
      <c r="A12" s="27" t="s">
        <v>1409</v>
      </c>
      <c r="B12" s="27" t="s">
        <v>1410</v>
      </c>
      <c r="C12" s="27" t="s">
        <v>39</v>
      </c>
      <c r="D12" s="31">
        <v>100</v>
      </c>
      <c r="E12" s="29">
        <v>1011.487</v>
      </c>
      <c r="F12" s="30">
        <v>8.0907978929612003</v>
      </c>
      <c r="G12" s="29">
        <v>3.61</v>
      </c>
    </row>
    <row r="13" spans="1:7" x14ac:dyDescent="0.2">
      <c r="A13" s="27" t="s">
        <v>1394</v>
      </c>
      <c r="B13" s="27" t="s">
        <v>1395</v>
      </c>
      <c r="C13" s="27" t="s">
        <v>738</v>
      </c>
      <c r="D13" s="31">
        <v>96</v>
      </c>
      <c r="E13" s="29">
        <v>949.00703999999996</v>
      </c>
      <c r="F13" s="30">
        <v>7.5910260434759396</v>
      </c>
      <c r="G13" s="29">
        <v>3.915</v>
      </c>
    </row>
    <row r="14" spans="1:7" x14ac:dyDescent="0.2">
      <c r="A14" s="27" t="s">
        <v>924</v>
      </c>
      <c r="B14" s="27" t="s">
        <v>925</v>
      </c>
      <c r="C14" s="27" t="s">
        <v>898</v>
      </c>
      <c r="D14" s="31">
        <v>74</v>
      </c>
      <c r="E14" s="29">
        <v>943.30611999999996</v>
      </c>
      <c r="F14" s="30">
        <v>7.5454248726018296</v>
      </c>
      <c r="G14" s="29">
        <v>4.4250999999999996</v>
      </c>
    </row>
    <row r="15" spans="1:7" x14ac:dyDescent="0.2">
      <c r="A15" s="27" t="s">
        <v>1392</v>
      </c>
      <c r="B15" s="27" t="s">
        <v>1393</v>
      </c>
      <c r="C15" s="27" t="s">
        <v>39</v>
      </c>
      <c r="D15" s="31">
        <v>67</v>
      </c>
      <c r="E15" s="29">
        <v>677.82091000000003</v>
      </c>
      <c r="F15" s="30">
        <v>5.4218314129920104</v>
      </c>
      <c r="G15" s="29">
        <v>3.3601000000000001</v>
      </c>
    </row>
    <row r="16" spans="1:7" x14ac:dyDescent="0.2">
      <c r="A16" s="27" t="s">
        <v>1302</v>
      </c>
      <c r="B16" s="27" t="s">
        <v>1303</v>
      </c>
      <c r="C16" s="27" t="s">
        <v>39</v>
      </c>
      <c r="D16" s="31">
        <v>5</v>
      </c>
      <c r="E16" s="29">
        <v>500.35</v>
      </c>
      <c r="F16" s="30">
        <v>4.0022568018601703</v>
      </c>
      <c r="G16" s="29">
        <v>3.3487</v>
      </c>
    </row>
    <row r="17" spans="1:9" x14ac:dyDescent="0.2">
      <c r="A17" s="27" t="s">
        <v>952</v>
      </c>
      <c r="B17" s="27" t="s">
        <v>953</v>
      </c>
      <c r="C17" s="27" t="s">
        <v>39</v>
      </c>
      <c r="D17" s="31">
        <v>46</v>
      </c>
      <c r="E17" s="29">
        <v>467.19256000000001</v>
      </c>
      <c r="F17" s="30">
        <v>3.7370332787817899</v>
      </c>
      <c r="G17" s="29">
        <v>3.4350999999999998</v>
      </c>
    </row>
    <row r="18" spans="1:9" x14ac:dyDescent="0.2">
      <c r="A18" s="27" t="s">
        <v>1386</v>
      </c>
      <c r="B18" s="27" t="s">
        <v>1387</v>
      </c>
      <c r="C18" s="27" t="s">
        <v>39</v>
      </c>
      <c r="D18" s="31">
        <v>23</v>
      </c>
      <c r="E18" s="29">
        <v>233.73197999999999</v>
      </c>
      <c r="F18" s="30">
        <v>1.86960209207004</v>
      </c>
      <c r="G18" s="29">
        <v>3.5849000000000002</v>
      </c>
    </row>
    <row r="19" spans="1:9" x14ac:dyDescent="0.2">
      <c r="A19" s="27" t="s">
        <v>1367</v>
      </c>
      <c r="B19" s="27" t="s">
        <v>1368</v>
      </c>
      <c r="C19" s="27" t="s">
        <v>39</v>
      </c>
      <c r="D19" s="31">
        <v>20</v>
      </c>
      <c r="E19" s="29">
        <v>201.56319999999999</v>
      </c>
      <c r="F19" s="30">
        <v>1.6122867756664401</v>
      </c>
      <c r="G19" s="29">
        <v>3.5200999999999998</v>
      </c>
    </row>
    <row r="20" spans="1:9" x14ac:dyDescent="0.2">
      <c r="A20" s="27" t="s">
        <v>1390</v>
      </c>
      <c r="B20" s="27" t="s">
        <v>1391</v>
      </c>
      <c r="C20" s="27" t="s">
        <v>39</v>
      </c>
      <c r="D20" s="31">
        <v>17</v>
      </c>
      <c r="E20" s="29">
        <v>171.20070999999999</v>
      </c>
      <c r="F20" s="30">
        <v>1.36941981828878</v>
      </c>
      <c r="G20" s="29">
        <v>3.4251999999999998</v>
      </c>
    </row>
    <row r="21" spans="1:9" x14ac:dyDescent="0.2">
      <c r="A21" s="27" t="s">
        <v>1245</v>
      </c>
      <c r="B21" s="27" t="s">
        <v>1246</v>
      </c>
      <c r="C21" s="27" t="s">
        <v>970</v>
      </c>
      <c r="D21" s="31">
        <v>2</v>
      </c>
      <c r="E21" s="29">
        <v>25.2851</v>
      </c>
      <c r="F21" s="30">
        <v>0.202253349576726</v>
      </c>
      <c r="G21" s="29">
        <v>3.7498999999999998</v>
      </c>
    </row>
    <row r="22" spans="1:9" x14ac:dyDescent="0.2">
      <c r="A22" s="27" t="s">
        <v>1396</v>
      </c>
      <c r="B22" s="27" t="s">
        <v>1397</v>
      </c>
      <c r="C22" s="27" t="s">
        <v>738</v>
      </c>
      <c r="D22" s="31">
        <v>4</v>
      </c>
      <c r="E22" s="29">
        <v>20.2087</v>
      </c>
      <c r="F22" s="30">
        <v>0.161647660701013</v>
      </c>
      <c r="G22" s="29">
        <v>3.9</v>
      </c>
    </row>
    <row r="23" spans="1:9" x14ac:dyDescent="0.2">
      <c r="A23" s="27" t="s">
        <v>1398</v>
      </c>
      <c r="B23" s="27" t="s">
        <v>1399</v>
      </c>
      <c r="C23" s="27" t="s">
        <v>39</v>
      </c>
      <c r="D23" s="31">
        <v>1</v>
      </c>
      <c r="E23" s="29">
        <v>12.76586</v>
      </c>
      <c r="F23" s="30">
        <v>0.102113020918546</v>
      </c>
      <c r="G23" s="29">
        <v>3.63</v>
      </c>
    </row>
    <row r="24" spans="1:9" x14ac:dyDescent="0.2">
      <c r="A24" s="26" t="s">
        <v>40</v>
      </c>
      <c r="B24" s="26"/>
      <c r="C24" s="26"/>
      <c r="D24" s="32"/>
      <c r="E24" s="33">
        <f>SUM(E6:E23)</f>
        <v>10912.294859999998</v>
      </c>
      <c r="F24" s="34">
        <f>SUM(F6:F23)</f>
        <v>87.286512096210217</v>
      </c>
      <c r="G24" s="33"/>
      <c r="H24" s="18"/>
      <c r="I24" s="18"/>
    </row>
    <row r="25" spans="1:9" x14ac:dyDescent="0.2">
      <c r="A25" s="27"/>
      <c r="B25" s="27"/>
      <c r="C25" s="27"/>
      <c r="D25" s="28"/>
      <c r="E25" s="29"/>
      <c r="F25" s="30"/>
      <c r="G25" s="29"/>
    </row>
    <row r="26" spans="1:9" x14ac:dyDescent="0.2">
      <c r="A26" s="26" t="s">
        <v>41</v>
      </c>
      <c r="B26" s="27"/>
      <c r="C26" s="27"/>
      <c r="D26" s="28"/>
      <c r="E26" s="29"/>
      <c r="F26" s="30"/>
      <c r="G26" s="29"/>
    </row>
    <row r="27" spans="1:9" x14ac:dyDescent="0.2">
      <c r="A27" s="27" t="s">
        <v>954</v>
      </c>
      <c r="B27" s="27" t="s">
        <v>955</v>
      </c>
      <c r="C27" s="27" t="s">
        <v>39</v>
      </c>
      <c r="D27" s="31">
        <v>37</v>
      </c>
      <c r="E27" s="29">
        <v>372.20704999999998</v>
      </c>
      <c r="F27" s="30">
        <v>2.97725231850267</v>
      </c>
      <c r="G27" s="29">
        <v>3.4870000000000001</v>
      </c>
    </row>
    <row r="28" spans="1:9" x14ac:dyDescent="0.2">
      <c r="A28" s="26" t="s">
        <v>40</v>
      </c>
      <c r="B28" s="26"/>
      <c r="C28" s="26"/>
      <c r="D28" s="32"/>
      <c r="E28" s="33">
        <f>SUM(E26:E27)</f>
        <v>372.20704999999998</v>
      </c>
      <c r="F28" s="34">
        <f>SUM(F26:F27)</f>
        <v>2.97725231850267</v>
      </c>
      <c r="G28" s="33"/>
      <c r="H28" s="18"/>
      <c r="I28" s="18"/>
    </row>
    <row r="29" spans="1:9" x14ac:dyDescent="0.2">
      <c r="A29" s="27"/>
      <c r="B29" s="27"/>
      <c r="C29" s="27"/>
      <c r="D29" s="28"/>
      <c r="E29" s="29"/>
      <c r="F29" s="30"/>
      <c r="G29" s="29"/>
    </row>
    <row r="30" spans="1:9" x14ac:dyDescent="0.2">
      <c r="A30" s="26" t="s">
        <v>58</v>
      </c>
      <c r="B30" s="27"/>
      <c r="C30" s="27"/>
      <c r="D30" s="28"/>
      <c r="E30" s="29"/>
      <c r="F30" s="30"/>
      <c r="G30" s="29"/>
    </row>
    <row r="31" spans="1:9" x14ac:dyDescent="0.2">
      <c r="A31" s="26" t="s">
        <v>59</v>
      </c>
      <c r="B31" s="27"/>
      <c r="C31" s="27"/>
      <c r="D31" s="28"/>
      <c r="E31" s="29"/>
      <c r="F31" s="30"/>
      <c r="G31" s="29"/>
    </row>
    <row r="32" spans="1:9" x14ac:dyDescent="0.2">
      <c r="A32" s="27" t="s">
        <v>811</v>
      </c>
      <c r="B32" s="27" t="s">
        <v>812</v>
      </c>
      <c r="C32" s="27" t="s">
        <v>60</v>
      </c>
      <c r="D32" s="31">
        <v>112</v>
      </c>
      <c r="E32" s="29">
        <v>111.942992</v>
      </c>
      <c r="F32" s="30">
        <v>0.89542240662052297</v>
      </c>
      <c r="G32" s="29">
        <v>3.0979999999999999</v>
      </c>
    </row>
    <row r="33" spans="1:9" x14ac:dyDescent="0.2">
      <c r="A33" s="26" t="s">
        <v>40</v>
      </c>
      <c r="B33" s="26"/>
      <c r="C33" s="26"/>
      <c r="D33" s="32"/>
      <c r="E33" s="33">
        <f>SUM(E31:E32)</f>
        <v>111.942992</v>
      </c>
      <c r="F33" s="34">
        <f>SUM(F31:F32)</f>
        <v>0.89542240662052297</v>
      </c>
      <c r="G33" s="33"/>
      <c r="H33" s="18"/>
      <c r="I33" s="18"/>
    </row>
    <row r="34" spans="1:9" x14ac:dyDescent="0.2">
      <c r="A34" s="27"/>
      <c r="B34" s="27"/>
      <c r="C34" s="27"/>
      <c r="D34" s="28"/>
      <c r="E34" s="29"/>
      <c r="F34" s="30"/>
      <c r="G34" s="29"/>
    </row>
    <row r="35" spans="1:9" x14ac:dyDescent="0.2">
      <c r="A35" s="26" t="s">
        <v>44</v>
      </c>
      <c r="B35" s="26"/>
      <c r="C35" s="26"/>
      <c r="D35" s="32"/>
      <c r="E35" s="33">
        <f>E24+E28+E33</f>
        <v>11396.444901999999</v>
      </c>
      <c r="F35" s="34">
        <f>F24+F28+F33</f>
        <v>91.159186821333407</v>
      </c>
      <c r="G35" s="33"/>
      <c r="H35" s="18"/>
      <c r="I35" s="18"/>
    </row>
    <row r="36" spans="1:9" x14ac:dyDescent="0.2">
      <c r="A36" s="26"/>
      <c r="B36" s="26"/>
      <c r="C36" s="26"/>
      <c r="D36" s="32"/>
      <c r="E36" s="33"/>
      <c r="F36" s="34"/>
      <c r="G36" s="33"/>
      <c r="H36" s="18"/>
      <c r="I36" s="18"/>
    </row>
    <row r="37" spans="1:9" x14ac:dyDescent="0.2">
      <c r="A37" s="26" t="s">
        <v>46</v>
      </c>
      <c r="B37" s="26"/>
      <c r="C37" s="26"/>
      <c r="D37" s="32"/>
      <c r="E37" s="33">
        <f>E39-(E24+E28+E33)</f>
        <v>1105.2516350000005</v>
      </c>
      <c r="F37" s="34">
        <f>F39-(F24+F28+F33)</f>
        <v>8.8408131786665933</v>
      </c>
      <c r="G37" s="33"/>
      <c r="H37" s="18"/>
      <c r="I37" s="18"/>
    </row>
    <row r="38" spans="1:9" x14ac:dyDescent="0.2">
      <c r="A38" s="26"/>
      <c r="B38" s="26"/>
      <c r="C38" s="26"/>
      <c r="D38" s="32"/>
      <c r="E38" s="33"/>
      <c r="F38" s="34"/>
      <c r="G38" s="33"/>
      <c r="H38" s="18"/>
      <c r="I38" s="18"/>
    </row>
    <row r="39" spans="1:9" x14ac:dyDescent="0.2">
      <c r="A39" s="35" t="s">
        <v>45</v>
      </c>
      <c r="B39" s="35"/>
      <c r="C39" s="35"/>
      <c r="D39" s="36"/>
      <c r="E39" s="37">
        <v>12501.696537</v>
      </c>
      <c r="F39" s="38">
        <v>100</v>
      </c>
      <c r="G39" s="37"/>
      <c r="H39" s="18"/>
      <c r="I39" s="18"/>
    </row>
    <row r="41" spans="1:9" x14ac:dyDescent="0.2">
      <c r="A41" s="18" t="s">
        <v>47</v>
      </c>
    </row>
    <row r="43" spans="1:9" x14ac:dyDescent="0.2">
      <c r="A43" s="18" t="s">
        <v>48</v>
      </c>
    </row>
    <row r="44" spans="1:9" x14ac:dyDescent="0.2">
      <c r="A44" s="18" t="s">
        <v>49</v>
      </c>
    </row>
    <row r="45" spans="1:9" x14ac:dyDescent="0.2">
      <c r="A45" s="18" t="s">
        <v>50</v>
      </c>
      <c r="B45" s="18"/>
      <c r="C45" s="39" t="s">
        <v>52</v>
      </c>
      <c r="D45" s="19" t="s">
        <v>51</v>
      </c>
    </row>
    <row r="46" spans="1:9" x14ac:dyDescent="0.2">
      <c r="A46" s="9" t="s">
        <v>70</v>
      </c>
      <c r="C46" s="40">
        <v>12.1248</v>
      </c>
      <c r="D46" s="40">
        <v>12.3988</v>
      </c>
    </row>
    <row r="47" spans="1:9" x14ac:dyDescent="0.2">
      <c r="A47" s="9" t="s">
        <v>1324</v>
      </c>
      <c r="C47" s="40">
        <v>10.507999999999999</v>
      </c>
      <c r="D47" s="40">
        <v>10.745699999999999</v>
      </c>
    </row>
    <row r="48" spans="1:9" x14ac:dyDescent="0.2">
      <c r="A48" s="9" t="s">
        <v>72</v>
      </c>
      <c r="C48" s="40">
        <v>10.4848</v>
      </c>
      <c r="D48" s="40">
        <v>10.3368</v>
      </c>
    </row>
    <row r="49" spans="1:7" x14ac:dyDescent="0.2">
      <c r="A49" s="9" t="s">
        <v>73</v>
      </c>
      <c r="C49" s="40">
        <v>12.2463</v>
      </c>
      <c r="D49" s="40">
        <v>12.523199999999999</v>
      </c>
    </row>
    <row r="50" spans="1:7" x14ac:dyDescent="0.2">
      <c r="A50" s="9" t="s">
        <v>77</v>
      </c>
      <c r="C50" s="40">
        <v>10.6302</v>
      </c>
      <c r="D50" s="40">
        <v>10.871700000000001</v>
      </c>
    </row>
    <row r="51" spans="1:7" x14ac:dyDescent="0.2">
      <c r="A51" s="9" t="s">
        <v>75</v>
      </c>
      <c r="C51" s="40">
        <v>10.5555</v>
      </c>
      <c r="D51" s="40">
        <v>10.408200000000001</v>
      </c>
    </row>
    <row r="53" spans="1:7" x14ac:dyDescent="0.2">
      <c r="A53" s="18" t="s">
        <v>53</v>
      </c>
    </row>
    <row r="54" spans="1:7" x14ac:dyDescent="0.2">
      <c r="A54" s="74" t="s">
        <v>67</v>
      </c>
      <c r="B54" s="75"/>
      <c r="C54" s="44" t="s">
        <v>68</v>
      </c>
    </row>
    <row r="55" spans="1:7" x14ac:dyDescent="0.2">
      <c r="A55" s="68" t="s">
        <v>72</v>
      </c>
      <c r="B55" s="69"/>
      <c r="C55" s="45">
        <v>0.38</v>
      </c>
    </row>
    <row r="56" spans="1:7" x14ac:dyDescent="0.2">
      <c r="A56" s="68" t="s">
        <v>75</v>
      </c>
      <c r="B56" s="69"/>
      <c r="C56" s="45">
        <v>0.38</v>
      </c>
    </row>
    <row r="57" spans="1:7" x14ac:dyDescent="0.2">
      <c r="A57" s="9" t="s">
        <v>69</v>
      </c>
    </row>
    <row r="59" spans="1:7" x14ac:dyDescent="0.2">
      <c r="A59" s="18" t="s">
        <v>793</v>
      </c>
      <c r="D59" s="42">
        <v>0.23274808567123301</v>
      </c>
      <c r="E59" s="13" t="s">
        <v>55</v>
      </c>
    </row>
    <row r="61" spans="1:7" x14ac:dyDescent="0.2">
      <c r="A61" s="18" t="s">
        <v>1477</v>
      </c>
      <c r="D61" s="41" t="s">
        <v>54</v>
      </c>
    </row>
    <row r="63" spans="1:7" ht="14.4" x14ac:dyDescent="0.2">
      <c r="A63" s="70" t="s">
        <v>794</v>
      </c>
      <c r="B63" s="71"/>
      <c r="C63" s="71"/>
      <c r="D63" s="71"/>
      <c r="E63" s="71"/>
      <c r="F63" s="71"/>
      <c r="G63" s="71"/>
    </row>
    <row r="64" spans="1:7" x14ac:dyDescent="0.2">
      <c r="A64" s="50" t="s">
        <v>56</v>
      </c>
    </row>
    <row r="66" spans="1:1" x14ac:dyDescent="0.2">
      <c r="A66" s="50"/>
    </row>
  </sheetData>
  <mergeCells count="5">
    <mergeCell ref="A1:G1"/>
    <mergeCell ref="A54:B54"/>
    <mergeCell ref="A55:B55"/>
    <mergeCell ref="A56:B56"/>
    <mergeCell ref="A63:G63"/>
  </mergeCells>
  <conditionalFormatting sqref="F2:F3 F5:F62 F68:F65536">
    <cfRule type="cellIs" dxfId="75" priority="4" stopIfTrue="1" operator="between">
      <formula>0.009</formula>
      <formula>-0.009</formula>
    </cfRule>
  </conditionalFormatting>
  <conditionalFormatting sqref="F67">
    <cfRule type="cellIs" dxfId="74" priority="3" stopIfTrue="1" operator="between">
      <formula>0.009</formula>
      <formula>-0.009</formula>
    </cfRule>
  </conditionalFormatting>
  <conditionalFormatting sqref="F64">
    <cfRule type="cellIs" dxfId="73" priority="1" stopIfTrue="1" operator="between">
      <formula>0.009</formula>
      <formula>-0.009</formula>
    </cfRule>
  </conditionalFormatting>
  <conditionalFormatting sqref="F65:F66">
    <cfRule type="cellIs" dxfId="72" priority="2" stopIfTrue="1" operator="between">
      <formula>0.009</formula>
      <formula>-0.009</formula>
    </cfRule>
  </conditionalFormatting>
  <hyperlinks>
    <hyperlink ref="A64" r:id="rId1" xr:uid="{00000000-0004-0000-19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0"/>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15.5546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1411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1367</v>
      </c>
      <c r="B7" s="27" t="s">
        <v>1368</v>
      </c>
      <c r="C7" s="27" t="s">
        <v>39</v>
      </c>
      <c r="D7" s="31">
        <v>105</v>
      </c>
      <c r="E7" s="29">
        <v>1058.2067999999999</v>
      </c>
      <c r="F7" s="30">
        <v>9.9034397121679891</v>
      </c>
      <c r="G7" s="29">
        <v>3.5200999999999998</v>
      </c>
    </row>
    <row r="8" spans="1:7" x14ac:dyDescent="0.2">
      <c r="A8" s="27" t="s">
        <v>1412</v>
      </c>
      <c r="B8" s="27" t="s">
        <v>1413</v>
      </c>
      <c r="C8" s="27" t="s">
        <v>898</v>
      </c>
      <c r="D8" s="31">
        <v>100</v>
      </c>
      <c r="E8" s="29">
        <v>1006.999</v>
      </c>
      <c r="F8" s="30">
        <v>9.4242012872280299</v>
      </c>
      <c r="G8" s="29">
        <v>3.3599000000000001</v>
      </c>
    </row>
    <row r="9" spans="1:7" x14ac:dyDescent="0.2">
      <c r="A9" s="27" t="s">
        <v>1396</v>
      </c>
      <c r="B9" s="27" t="s">
        <v>1397</v>
      </c>
      <c r="C9" s="27" t="s">
        <v>738</v>
      </c>
      <c r="D9" s="31">
        <v>170</v>
      </c>
      <c r="E9" s="29">
        <v>858.86974999999995</v>
      </c>
      <c r="F9" s="30">
        <v>8.0379041126269399</v>
      </c>
      <c r="G9" s="29">
        <v>3.9</v>
      </c>
    </row>
    <row r="10" spans="1:7" x14ac:dyDescent="0.2">
      <c r="A10" s="27" t="s">
        <v>924</v>
      </c>
      <c r="B10" s="27" t="s">
        <v>925</v>
      </c>
      <c r="C10" s="27" t="s">
        <v>898</v>
      </c>
      <c r="D10" s="31">
        <v>63</v>
      </c>
      <c r="E10" s="29">
        <v>803.08493999999996</v>
      </c>
      <c r="F10" s="30">
        <v>7.5158308253547803</v>
      </c>
      <c r="G10" s="29">
        <v>4.4250999999999996</v>
      </c>
    </row>
    <row r="11" spans="1:7" x14ac:dyDescent="0.2">
      <c r="A11" s="27" t="s">
        <v>1414</v>
      </c>
      <c r="B11" s="27" t="s">
        <v>1415</v>
      </c>
      <c r="C11" s="27" t="s">
        <v>738</v>
      </c>
      <c r="D11" s="31">
        <v>78</v>
      </c>
      <c r="E11" s="29">
        <v>784.43273999999997</v>
      </c>
      <c r="F11" s="30">
        <v>7.34127048592085</v>
      </c>
      <c r="G11" s="29">
        <v>3.7501000000000002</v>
      </c>
    </row>
    <row r="12" spans="1:7" x14ac:dyDescent="0.2">
      <c r="A12" s="27" t="s">
        <v>1401</v>
      </c>
      <c r="B12" s="27" t="s">
        <v>1402</v>
      </c>
      <c r="C12" s="27" t="s">
        <v>39</v>
      </c>
      <c r="D12" s="31">
        <v>50</v>
      </c>
      <c r="E12" s="29">
        <v>635.84900000000005</v>
      </c>
      <c r="F12" s="30">
        <v>5.9507198758714299</v>
      </c>
      <c r="G12" s="29">
        <v>4.3148999999999997</v>
      </c>
    </row>
    <row r="13" spans="1:7" x14ac:dyDescent="0.2">
      <c r="A13" s="27" t="s">
        <v>1416</v>
      </c>
      <c r="B13" s="27" t="s">
        <v>1417</v>
      </c>
      <c r="C13" s="27" t="s">
        <v>898</v>
      </c>
      <c r="D13" s="31">
        <v>52</v>
      </c>
      <c r="E13" s="29">
        <v>522.75391999999999</v>
      </c>
      <c r="F13" s="30">
        <v>4.8922969792100099</v>
      </c>
      <c r="G13" s="29">
        <v>3.2997000000000001</v>
      </c>
    </row>
    <row r="14" spans="1:7" x14ac:dyDescent="0.2">
      <c r="A14" s="27" t="s">
        <v>1418</v>
      </c>
      <c r="B14" s="27" t="s">
        <v>1419</v>
      </c>
      <c r="C14" s="27" t="s">
        <v>898</v>
      </c>
      <c r="D14" s="31">
        <v>50</v>
      </c>
      <c r="E14" s="29">
        <v>507.03100000000001</v>
      </c>
      <c r="F14" s="30">
        <v>4.7451508917729903</v>
      </c>
      <c r="G14" s="29">
        <v>3.9649000000000001</v>
      </c>
    </row>
    <row r="15" spans="1:7" x14ac:dyDescent="0.2">
      <c r="A15" s="27" t="s">
        <v>1390</v>
      </c>
      <c r="B15" s="27" t="s">
        <v>1391</v>
      </c>
      <c r="C15" s="27" t="s">
        <v>39</v>
      </c>
      <c r="D15" s="31">
        <v>50</v>
      </c>
      <c r="E15" s="29">
        <v>503.53149999999999</v>
      </c>
      <c r="F15" s="30">
        <v>4.7124001220059402</v>
      </c>
      <c r="G15" s="29">
        <v>3.4251999999999998</v>
      </c>
    </row>
    <row r="16" spans="1:7" x14ac:dyDescent="0.2">
      <c r="A16" s="27" t="s">
        <v>1398</v>
      </c>
      <c r="B16" s="27" t="s">
        <v>1399</v>
      </c>
      <c r="C16" s="27" t="s">
        <v>39</v>
      </c>
      <c r="D16" s="31">
        <v>39</v>
      </c>
      <c r="E16" s="29">
        <v>497.86854</v>
      </c>
      <c r="F16" s="30">
        <v>4.6594021796827398</v>
      </c>
      <c r="G16" s="29">
        <v>3.63</v>
      </c>
    </row>
    <row r="17" spans="1:9" x14ac:dyDescent="0.2">
      <c r="A17" s="27" t="s">
        <v>1403</v>
      </c>
      <c r="B17" s="27" t="s">
        <v>1404</v>
      </c>
      <c r="C17" s="27" t="s">
        <v>39</v>
      </c>
      <c r="D17" s="31">
        <v>31</v>
      </c>
      <c r="E17" s="29">
        <v>314.40447999999998</v>
      </c>
      <c r="F17" s="30">
        <v>2.9424171276498399</v>
      </c>
      <c r="G17" s="29">
        <v>3.6248</v>
      </c>
    </row>
    <row r="18" spans="1:9" x14ac:dyDescent="0.2">
      <c r="A18" s="27" t="s">
        <v>948</v>
      </c>
      <c r="B18" s="27" t="s">
        <v>949</v>
      </c>
      <c r="C18" s="27" t="s">
        <v>39</v>
      </c>
      <c r="D18" s="31">
        <v>28</v>
      </c>
      <c r="E18" s="29">
        <v>280.54068000000001</v>
      </c>
      <c r="F18" s="30">
        <v>2.6254959911338802</v>
      </c>
      <c r="G18" s="29">
        <v>3.1497000000000002</v>
      </c>
    </row>
    <row r="19" spans="1:9" x14ac:dyDescent="0.2">
      <c r="A19" s="27" t="s">
        <v>1420</v>
      </c>
      <c r="B19" s="27" t="s">
        <v>1421</v>
      </c>
      <c r="C19" s="27" t="s">
        <v>39</v>
      </c>
      <c r="D19" s="31">
        <v>21</v>
      </c>
      <c r="E19" s="29">
        <v>266.17079999999999</v>
      </c>
      <c r="F19" s="30">
        <v>2.4910125988034899</v>
      </c>
      <c r="G19" s="29">
        <v>3.7250999999999999</v>
      </c>
    </row>
    <row r="20" spans="1:9" x14ac:dyDescent="0.2">
      <c r="A20" s="27" t="s">
        <v>1422</v>
      </c>
      <c r="B20" s="27" t="s">
        <v>1423</v>
      </c>
      <c r="C20" s="27" t="s">
        <v>39</v>
      </c>
      <c r="D20" s="31">
        <v>26</v>
      </c>
      <c r="E20" s="29">
        <v>261.84521999999998</v>
      </c>
      <c r="F20" s="30">
        <v>2.4505307943488601</v>
      </c>
      <c r="G20" s="29">
        <v>3.375</v>
      </c>
    </row>
    <row r="21" spans="1:9" x14ac:dyDescent="0.2">
      <c r="A21" s="27" t="s">
        <v>1302</v>
      </c>
      <c r="B21" s="27" t="s">
        <v>1303</v>
      </c>
      <c r="C21" s="27" t="s">
        <v>39</v>
      </c>
      <c r="D21" s="31">
        <v>1</v>
      </c>
      <c r="E21" s="29">
        <v>100.07</v>
      </c>
      <c r="F21" s="30">
        <v>0.93652508375173005</v>
      </c>
      <c r="G21" s="29">
        <v>3.3487</v>
      </c>
    </row>
    <row r="22" spans="1:9" x14ac:dyDescent="0.2">
      <c r="A22" s="27" t="s">
        <v>1245</v>
      </c>
      <c r="B22" s="27" t="s">
        <v>1246</v>
      </c>
      <c r="C22" s="27" t="s">
        <v>970</v>
      </c>
      <c r="D22" s="31">
        <v>6</v>
      </c>
      <c r="E22" s="29">
        <v>75.8553</v>
      </c>
      <c r="F22" s="30">
        <v>0.70990697697124605</v>
      </c>
      <c r="G22" s="29">
        <v>3.7498999999999998</v>
      </c>
    </row>
    <row r="23" spans="1:9" x14ac:dyDescent="0.2">
      <c r="A23" s="27" t="s">
        <v>952</v>
      </c>
      <c r="B23" s="27" t="s">
        <v>953</v>
      </c>
      <c r="C23" s="27" t="s">
        <v>39</v>
      </c>
      <c r="D23" s="31">
        <v>2</v>
      </c>
      <c r="E23" s="29">
        <v>20.312719999999999</v>
      </c>
      <c r="F23" s="30">
        <v>0.19010064753897701</v>
      </c>
      <c r="G23" s="29">
        <v>3.4350999999999998</v>
      </c>
    </row>
    <row r="24" spans="1:9" x14ac:dyDescent="0.2">
      <c r="A24" s="27" t="s">
        <v>1243</v>
      </c>
      <c r="B24" s="27" t="s">
        <v>1244</v>
      </c>
      <c r="C24" s="27" t="s">
        <v>39</v>
      </c>
      <c r="D24" s="31">
        <v>1</v>
      </c>
      <c r="E24" s="29">
        <v>10.022349999999999</v>
      </c>
      <c r="F24" s="30">
        <v>9.3796164416300107E-2</v>
      </c>
      <c r="G24" s="29">
        <v>4.125</v>
      </c>
    </row>
    <row r="25" spans="1:9" x14ac:dyDescent="0.2">
      <c r="A25" s="26" t="s">
        <v>40</v>
      </c>
      <c r="B25" s="26"/>
      <c r="C25" s="26"/>
      <c r="D25" s="32"/>
      <c r="E25" s="33">
        <f>SUM(E6:E24)</f>
        <v>8507.8487399999976</v>
      </c>
      <c r="F25" s="34">
        <f>SUM(F6:F24)</f>
        <v>79.622401856456023</v>
      </c>
      <c r="G25" s="33"/>
      <c r="H25" s="18"/>
      <c r="I25" s="18"/>
    </row>
    <row r="26" spans="1:9" x14ac:dyDescent="0.2">
      <c r="A26" s="27"/>
      <c r="B26" s="27"/>
      <c r="C26" s="27"/>
      <c r="D26" s="28"/>
      <c r="E26" s="29"/>
      <c r="F26" s="30"/>
      <c r="G26" s="29"/>
    </row>
    <row r="27" spans="1:9" x14ac:dyDescent="0.2">
      <c r="A27" s="26" t="s">
        <v>41</v>
      </c>
      <c r="B27" s="27"/>
      <c r="C27" s="27"/>
      <c r="D27" s="28"/>
      <c r="E27" s="29"/>
      <c r="F27" s="30"/>
      <c r="G27" s="29"/>
    </row>
    <row r="28" spans="1:9" x14ac:dyDescent="0.2">
      <c r="A28" s="27" t="s">
        <v>954</v>
      </c>
      <c r="B28" s="27" t="s">
        <v>955</v>
      </c>
      <c r="C28" s="27" t="s">
        <v>39</v>
      </c>
      <c r="D28" s="31">
        <v>3</v>
      </c>
      <c r="E28" s="29">
        <v>30.17895</v>
      </c>
      <c r="F28" s="30">
        <v>0.282435731750667</v>
      </c>
      <c r="G28" s="29">
        <v>3.4870000000000001</v>
      </c>
    </row>
    <row r="29" spans="1:9" x14ac:dyDescent="0.2">
      <c r="A29" s="26" t="s">
        <v>40</v>
      </c>
      <c r="B29" s="26"/>
      <c r="C29" s="26"/>
      <c r="D29" s="32"/>
      <c r="E29" s="33">
        <f>SUM(E27:E28)</f>
        <v>30.17895</v>
      </c>
      <c r="F29" s="34">
        <f>SUM(F27:F28)</f>
        <v>0.282435731750667</v>
      </c>
      <c r="G29" s="33"/>
      <c r="H29" s="18"/>
      <c r="I29" s="18"/>
    </row>
    <row r="30" spans="1:9" x14ac:dyDescent="0.2">
      <c r="A30" s="27"/>
      <c r="B30" s="27"/>
      <c r="C30" s="27"/>
      <c r="D30" s="28"/>
      <c r="E30" s="29"/>
      <c r="F30" s="30"/>
      <c r="G30" s="29"/>
    </row>
    <row r="31" spans="1:9" x14ac:dyDescent="0.2">
      <c r="A31" s="26" t="s">
        <v>58</v>
      </c>
      <c r="B31" s="27"/>
      <c r="C31" s="27"/>
      <c r="D31" s="28"/>
      <c r="E31" s="29"/>
      <c r="F31" s="30"/>
      <c r="G31" s="29"/>
    </row>
    <row r="32" spans="1:9" x14ac:dyDescent="0.2">
      <c r="A32" s="26" t="s">
        <v>59</v>
      </c>
      <c r="B32" s="27"/>
      <c r="C32" s="27"/>
      <c r="D32" s="28"/>
      <c r="E32" s="29"/>
      <c r="F32" s="30"/>
      <c r="G32" s="29"/>
    </row>
    <row r="33" spans="1:9" x14ac:dyDescent="0.2">
      <c r="A33" s="27" t="s">
        <v>811</v>
      </c>
      <c r="B33" s="27" t="s">
        <v>812</v>
      </c>
      <c r="C33" s="27" t="s">
        <v>60</v>
      </c>
      <c r="D33" s="31">
        <v>91</v>
      </c>
      <c r="E33" s="29">
        <v>90.953681000000003</v>
      </c>
      <c r="F33" s="30">
        <v>0.85120819142653303</v>
      </c>
      <c r="G33" s="29">
        <v>3.0979999999999999</v>
      </c>
    </row>
    <row r="34" spans="1:9" x14ac:dyDescent="0.2">
      <c r="A34" s="26" t="s">
        <v>40</v>
      </c>
      <c r="B34" s="26"/>
      <c r="C34" s="26"/>
      <c r="D34" s="32"/>
      <c r="E34" s="33">
        <f>SUM(E32:E33)</f>
        <v>90.953681000000003</v>
      </c>
      <c r="F34" s="34">
        <f>SUM(F32:F33)</f>
        <v>0.85120819142653303</v>
      </c>
      <c r="G34" s="33"/>
      <c r="H34" s="18"/>
      <c r="I34" s="18"/>
    </row>
    <row r="35" spans="1:9" x14ac:dyDescent="0.2">
      <c r="A35" s="27"/>
      <c r="B35" s="27"/>
      <c r="C35" s="27"/>
      <c r="D35" s="28"/>
      <c r="E35" s="29"/>
      <c r="F35" s="30"/>
      <c r="G35" s="29"/>
    </row>
    <row r="36" spans="1:9" x14ac:dyDescent="0.2">
      <c r="A36" s="26" t="s">
        <v>44</v>
      </c>
      <c r="B36" s="26"/>
      <c r="C36" s="26"/>
      <c r="D36" s="32"/>
      <c r="E36" s="33">
        <f>E25+E29+E34</f>
        <v>8628.981370999998</v>
      </c>
      <c r="F36" s="34">
        <f>F25+F29+F34</f>
        <v>80.756045779633226</v>
      </c>
      <c r="G36" s="33"/>
      <c r="H36" s="18"/>
      <c r="I36" s="18"/>
    </row>
    <row r="37" spans="1:9" x14ac:dyDescent="0.2">
      <c r="A37" s="26"/>
      <c r="B37" s="26"/>
      <c r="C37" s="26"/>
      <c r="D37" s="32"/>
      <c r="E37" s="33"/>
      <c r="F37" s="34"/>
      <c r="G37" s="33"/>
      <c r="H37" s="18"/>
      <c r="I37" s="18"/>
    </row>
    <row r="38" spans="1:9" x14ac:dyDescent="0.2">
      <c r="A38" s="26" t="s">
        <v>46</v>
      </c>
      <c r="B38" s="26"/>
      <c r="C38" s="26"/>
      <c r="D38" s="32"/>
      <c r="E38" s="33">
        <f>E40-(E25+E29+E34)</f>
        <v>2056.2636626000021</v>
      </c>
      <c r="F38" s="34">
        <f>F40-(F25+F29+F34)</f>
        <v>19.243954220366774</v>
      </c>
      <c r="G38" s="33"/>
      <c r="H38" s="18"/>
      <c r="I38" s="18"/>
    </row>
    <row r="39" spans="1:9" x14ac:dyDescent="0.2">
      <c r="A39" s="26"/>
      <c r="B39" s="26"/>
      <c r="C39" s="26"/>
      <c r="D39" s="32"/>
      <c r="E39" s="33"/>
      <c r="F39" s="34"/>
      <c r="G39" s="33"/>
      <c r="H39" s="18"/>
      <c r="I39" s="18"/>
    </row>
    <row r="40" spans="1:9" x14ac:dyDescent="0.2">
      <c r="A40" s="35" t="s">
        <v>45</v>
      </c>
      <c r="B40" s="35"/>
      <c r="C40" s="35"/>
      <c r="D40" s="36"/>
      <c r="E40" s="37">
        <v>10685.2450336</v>
      </c>
      <c r="F40" s="38">
        <v>100</v>
      </c>
      <c r="G40" s="37"/>
      <c r="H40" s="18"/>
      <c r="I40" s="18"/>
    </row>
    <row r="42" spans="1:9" x14ac:dyDescent="0.2">
      <c r="A42" s="18" t="s">
        <v>47</v>
      </c>
    </row>
    <row r="44" spans="1:9" x14ac:dyDescent="0.2">
      <c r="A44" s="18" t="s">
        <v>48</v>
      </c>
    </row>
    <row r="45" spans="1:9" x14ac:dyDescent="0.2">
      <c r="A45" s="18" t="s">
        <v>49</v>
      </c>
    </row>
    <row r="46" spans="1:9" x14ac:dyDescent="0.2">
      <c r="A46" s="18" t="s">
        <v>50</v>
      </c>
      <c r="B46" s="18"/>
      <c r="C46" s="39" t="s">
        <v>52</v>
      </c>
      <c r="D46" s="19" t="s">
        <v>51</v>
      </c>
    </row>
    <row r="47" spans="1:9" x14ac:dyDescent="0.2">
      <c r="A47" s="9" t="s">
        <v>70</v>
      </c>
      <c r="C47" s="40">
        <v>12.2049</v>
      </c>
      <c r="D47" s="40">
        <v>12.474500000000001</v>
      </c>
    </row>
    <row r="48" spans="1:9" x14ac:dyDescent="0.2">
      <c r="A48" s="9" t="s">
        <v>1324</v>
      </c>
      <c r="C48" s="40">
        <v>10.4861</v>
      </c>
      <c r="D48" s="40">
        <v>10.7178</v>
      </c>
    </row>
    <row r="49" spans="1:7" x14ac:dyDescent="0.2">
      <c r="A49" s="9" t="s">
        <v>73</v>
      </c>
      <c r="C49" s="40">
        <v>12.2967</v>
      </c>
      <c r="D49" s="40">
        <v>12.5684</v>
      </c>
    </row>
    <row r="51" spans="1:7" x14ac:dyDescent="0.2">
      <c r="A51" s="18" t="s">
        <v>53</v>
      </c>
      <c r="D51" s="41" t="s">
        <v>54</v>
      </c>
    </row>
    <row r="53" spans="1:7" x14ac:dyDescent="0.2">
      <c r="A53" s="18" t="s">
        <v>793</v>
      </c>
      <c r="D53" s="42">
        <v>0.140351311753425</v>
      </c>
      <c r="E53" s="13" t="s">
        <v>55</v>
      </c>
    </row>
    <row r="55" spans="1:7" x14ac:dyDescent="0.2">
      <c r="A55" s="18" t="s">
        <v>1477</v>
      </c>
      <c r="D55" s="41" t="s">
        <v>54</v>
      </c>
    </row>
    <row r="57" spans="1:7" ht="14.4" x14ac:dyDescent="0.2">
      <c r="A57" s="70" t="s">
        <v>794</v>
      </c>
      <c r="B57" s="71"/>
      <c r="C57" s="71"/>
      <c r="D57" s="71"/>
      <c r="E57" s="71"/>
      <c r="F57" s="71"/>
      <c r="G57" s="71"/>
    </row>
    <row r="58" spans="1:7" x14ac:dyDescent="0.2">
      <c r="A58" s="50" t="s">
        <v>56</v>
      </c>
    </row>
    <row r="60" spans="1:7" x14ac:dyDescent="0.2">
      <c r="A60" s="50"/>
    </row>
  </sheetData>
  <mergeCells count="2">
    <mergeCell ref="A1:G1"/>
    <mergeCell ref="A57:G57"/>
  </mergeCells>
  <conditionalFormatting sqref="F2:F3 F5:F56 F61:F65536">
    <cfRule type="cellIs" dxfId="71" priority="3" stopIfTrue="1" operator="between">
      <formula>0.009</formula>
      <formula>-0.009</formula>
    </cfRule>
  </conditionalFormatting>
  <conditionalFormatting sqref="F58">
    <cfRule type="cellIs" dxfId="70" priority="1" stopIfTrue="1" operator="between">
      <formula>0.009</formula>
      <formula>-0.009</formula>
    </cfRule>
  </conditionalFormatting>
  <conditionalFormatting sqref="F59:F60">
    <cfRule type="cellIs" dxfId="69" priority="2" stopIfTrue="1" operator="between">
      <formula>0.009</formula>
      <formula>-0.009</formula>
    </cfRule>
  </conditionalFormatting>
  <hyperlinks>
    <hyperlink ref="A58" r:id="rId1" xr:uid="{00000000-0004-0000-1A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9"/>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1424</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1425</v>
      </c>
      <c r="B7" s="27" t="s">
        <v>1426</v>
      </c>
      <c r="C7" s="27" t="s">
        <v>39</v>
      </c>
      <c r="D7" s="31">
        <v>173</v>
      </c>
      <c r="E7" s="29">
        <v>1739.64302</v>
      </c>
      <c r="F7" s="30">
        <v>9.1739548832865001</v>
      </c>
      <c r="G7" s="29">
        <v>3.3751000000000002</v>
      </c>
    </row>
    <row r="8" spans="1:7" x14ac:dyDescent="0.2">
      <c r="A8" s="27" t="s">
        <v>1427</v>
      </c>
      <c r="B8" s="27" t="s">
        <v>1428</v>
      </c>
      <c r="C8" s="27" t="s">
        <v>39</v>
      </c>
      <c r="D8" s="31">
        <v>161</v>
      </c>
      <c r="E8" s="29">
        <v>1612.9720600000001</v>
      </c>
      <c r="F8" s="30">
        <v>8.50595940449994</v>
      </c>
      <c r="G8" s="29">
        <v>3.2450000000000001</v>
      </c>
    </row>
    <row r="9" spans="1:7" x14ac:dyDescent="0.2">
      <c r="A9" s="27" t="s">
        <v>1396</v>
      </c>
      <c r="B9" s="27" t="s">
        <v>1397</v>
      </c>
      <c r="C9" s="27" t="s">
        <v>738</v>
      </c>
      <c r="D9" s="31">
        <v>300</v>
      </c>
      <c r="E9" s="29">
        <v>1515.6524999999999</v>
      </c>
      <c r="F9" s="30">
        <v>7.9927476464340304</v>
      </c>
      <c r="G9" s="29">
        <v>3.9</v>
      </c>
    </row>
    <row r="10" spans="1:7" x14ac:dyDescent="0.2">
      <c r="A10" s="27" t="s">
        <v>1416</v>
      </c>
      <c r="B10" s="27" t="s">
        <v>1417</v>
      </c>
      <c r="C10" s="27" t="s">
        <v>898</v>
      </c>
      <c r="D10" s="31">
        <v>150</v>
      </c>
      <c r="E10" s="29">
        <v>1507.944</v>
      </c>
      <c r="F10" s="30">
        <v>7.9520971046821796</v>
      </c>
      <c r="G10" s="29">
        <v>3.2997000000000001</v>
      </c>
    </row>
    <row r="11" spans="1:7" x14ac:dyDescent="0.2">
      <c r="A11" s="27" t="s">
        <v>1429</v>
      </c>
      <c r="B11" s="27" t="s">
        <v>1430</v>
      </c>
      <c r="C11" s="27" t="s">
        <v>738</v>
      </c>
      <c r="D11" s="31">
        <v>149</v>
      </c>
      <c r="E11" s="29">
        <v>1496.3176000000001</v>
      </c>
      <c r="F11" s="30">
        <v>7.8907856357033097</v>
      </c>
      <c r="G11" s="29">
        <v>3.36</v>
      </c>
    </row>
    <row r="12" spans="1:7" x14ac:dyDescent="0.2">
      <c r="A12" s="27" t="s">
        <v>1431</v>
      </c>
      <c r="B12" s="27" t="s">
        <v>1432</v>
      </c>
      <c r="C12" s="27" t="s">
        <v>39</v>
      </c>
      <c r="D12" s="31">
        <v>128</v>
      </c>
      <c r="E12" s="29">
        <v>1268.3865599999999</v>
      </c>
      <c r="F12" s="30">
        <v>6.6887981857375296</v>
      </c>
      <c r="G12" s="29">
        <v>3.7549999999999999</v>
      </c>
    </row>
    <row r="13" spans="1:7" x14ac:dyDescent="0.2">
      <c r="A13" s="27" t="s">
        <v>1420</v>
      </c>
      <c r="B13" s="27" t="s">
        <v>1421</v>
      </c>
      <c r="C13" s="27" t="s">
        <v>39</v>
      </c>
      <c r="D13" s="31">
        <v>89</v>
      </c>
      <c r="E13" s="29">
        <v>1128.0572</v>
      </c>
      <c r="F13" s="30">
        <v>5.9487755473916097</v>
      </c>
      <c r="G13" s="29">
        <v>3.7250999999999999</v>
      </c>
    </row>
    <row r="14" spans="1:7" x14ac:dyDescent="0.2">
      <c r="A14" s="27" t="s">
        <v>1398</v>
      </c>
      <c r="B14" s="27" t="s">
        <v>1399</v>
      </c>
      <c r="C14" s="27" t="s">
        <v>39</v>
      </c>
      <c r="D14" s="31">
        <v>84</v>
      </c>
      <c r="E14" s="29">
        <v>1072.33224</v>
      </c>
      <c r="F14" s="30">
        <v>5.6549116551817296</v>
      </c>
      <c r="G14" s="29">
        <v>3.63</v>
      </c>
    </row>
    <row r="15" spans="1:7" x14ac:dyDescent="0.2">
      <c r="A15" s="27" t="s">
        <v>1392</v>
      </c>
      <c r="B15" s="27" t="s">
        <v>1393</v>
      </c>
      <c r="C15" s="27" t="s">
        <v>39</v>
      </c>
      <c r="D15" s="31">
        <v>101</v>
      </c>
      <c r="E15" s="29">
        <v>1021.78973</v>
      </c>
      <c r="F15" s="30">
        <v>5.3883772564014301</v>
      </c>
      <c r="G15" s="29">
        <v>3.3601000000000001</v>
      </c>
    </row>
    <row r="16" spans="1:7" x14ac:dyDescent="0.2">
      <c r="A16" s="27" t="s">
        <v>948</v>
      </c>
      <c r="B16" s="27" t="s">
        <v>949</v>
      </c>
      <c r="C16" s="27" t="s">
        <v>39</v>
      </c>
      <c r="D16" s="31">
        <v>29</v>
      </c>
      <c r="E16" s="29">
        <v>290.55999000000003</v>
      </c>
      <c r="F16" s="30">
        <v>1.53225932475973</v>
      </c>
      <c r="G16" s="29">
        <v>3.1497000000000002</v>
      </c>
    </row>
    <row r="17" spans="1:9" x14ac:dyDescent="0.2">
      <c r="A17" s="27" t="s">
        <v>1243</v>
      </c>
      <c r="B17" s="27" t="s">
        <v>1244</v>
      </c>
      <c r="C17" s="27" t="s">
        <v>39</v>
      </c>
      <c r="D17" s="31">
        <v>24</v>
      </c>
      <c r="E17" s="29">
        <v>240.53639999999999</v>
      </c>
      <c r="F17" s="30">
        <v>1.26846143491448</v>
      </c>
      <c r="G17" s="29">
        <v>4.125</v>
      </c>
    </row>
    <row r="18" spans="1:9" x14ac:dyDescent="0.2">
      <c r="A18" s="27" t="s">
        <v>1414</v>
      </c>
      <c r="B18" s="27" t="s">
        <v>1415</v>
      </c>
      <c r="C18" s="27" t="s">
        <v>738</v>
      </c>
      <c r="D18" s="31">
        <v>22</v>
      </c>
      <c r="E18" s="29">
        <v>221.25026</v>
      </c>
      <c r="F18" s="30">
        <v>1.16675655856993</v>
      </c>
      <c r="G18" s="29">
        <v>3.7501000000000002</v>
      </c>
    </row>
    <row r="19" spans="1:9" x14ac:dyDescent="0.2">
      <c r="A19" s="27" t="s">
        <v>1375</v>
      </c>
      <c r="B19" s="27" t="s">
        <v>1376</v>
      </c>
      <c r="C19" s="27" t="s">
        <v>39</v>
      </c>
      <c r="D19" s="31">
        <v>15</v>
      </c>
      <c r="E19" s="29">
        <v>190.06290000000001</v>
      </c>
      <c r="F19" s="30">
        <v>1.00229095828327</v>
      </c>
      <c r="G19" s="29">
        <v>3.4500999999999999</v>
      </c>
    </row>
    <row r="20" spans="1:9" x14ac:dyDescent="0.2">
      <c r="A20" s="27" t="s">
        <v>1367</v>
      </c>
      <c r="B20" s="27" t="s">
        <v>1368</v>
      </c>
      <c r="C20" s="27" t="s">
        <v>39</v>
      </c>
      <c r="D20" s="31">
        <v>9</v>
      </c>
      <c r="E20" s="29">
        <v>90.703440000000001</v>
      </c>
      <c r="F20" s="30">
        <v>0.47832184922564402</v>
      </c>
      <c r="G20" s="29">
        <v>3.5200999999999998</v>
      </c>
    </row>
    <row r="21" spans="1:9" x14ac:dyDescent="0.2">
      <c r="A21" s="26" t="s">
        <v>40</v>
      </c>
      <c r="B21" s="26"/>
      <c r="C21" s="26"/>
      <c r="D21" s="32"/>
      <c r="E21" s="33">
        <f>SUM(E6:E20)</f>
        <v>13396.207900000001</v>
      </c>
      <c r="F21" s="34">
        <f>SUM(F6:F20)</f>
        <v>70.644497445071323</v>
      </c>
      <c r="G21" s="33"/>
      <c r="H21" s="18"/>
      <c r="I21" s="18"/>
    </row>
    <row r="22" spans="1:9" x14ac:dyDescent="0.2">
      <c r="A22" s="27"/>
      <c r="B22" s="27"/>
      <c r="C22" s="27"/>
      <c r="D22" s="28"/>
      <c r="E22" s="29"/>
      <c r="F22" s="30"/>
      <c r="G22" s="29"/>
    </row>
    <row r="23" spans="1:9" x14ac:dyDescent="0.2">
      <c r="A23" s="26" t="s">
        <v>41</v>
      </c>
      <c r="B23" s="27"/>
      <c r="C23" s="27"/>
      <c r="D23" s="28"/>
      <c r="E23" s="29"/>
      <c r="F23" s="30"/>
      <c r="G23" s="29"/>
    </row>
    <row r="24" spans="1:9" x14ac:dyDescent="0.2">
      <c r="A24" s="27" t="s">
        <v>1433</v>
      </c>
      <c r="B24" s="27" t="s">
        <v>1434</v>
      </c>
      <c r="C24" s="27" t="s">
        <v>39</v>
      </c>
      <c r="D24" s="31">
        <v>150</v>
      </c>
      <c r="E24" s="29">
        <v>1504.095</v>
      </c>
      <c r="F24" s="30">
        <v>7.9317995195225803</v>
      </c>
      <c r="G24" s="29">
        <v>3.9499</v>
      </c>
    </row>
    <row r="25" spans="1:9" x14ac:dyDescent="0.2">
      <c r="A25" s="27" t="s">
        <v>954</v>
      </c>
      <c r="B25" s="27" t="s">
        <v>955</v>
      </c>
      <c r="C25" s="27" t="s">
        <v>39</v>
      </c>
      <c r="D25" s="31">
        <v>2</v>
      </c>
      <c r="E25" s="29">
        <v>20.119299999999999</v>
      </c>
      <c r="F25" s="30">
        <v>0.10609852042133699</v>
      </c>
      <c r="G25" s="29">
        <v>3.4870000000000001</v>
      </c>
    </row>
    <row r="26" spans="1:9" x14ac:dyDescent="0.2">
      <c r="A26" s="26" t="s">
        <v>40</v>
      </c>
      <c r="B26" s="26"/>
      <c r="C26" s="26"/>
      <c r="D26" s="32"/>
      <c r="E26" s="33">
        <f>SUM(E23:E25)</f>
        <v>1524.2143000000001</v>
      </c>
      <c r="F26" s="34">
        <f>SUM(F23:F25)</f>
        <v>8.0378980399439168</v>
      </c>
      <c r="G26" s="33"/>
      <c r="H26" s="18"/>
      <c r="I26" s="18"/>
    </row>
    <row r="27" spans="1:9" x14ac:dyDescent="0.2">
      <c r="A27" s="27"/>
      <c r="B27" s="27"/>
      <c r="C27" s="27"/>
      <c r="D27" s="28"/>
      <c r="E27" s="29"/>
      <c r="F27" s="30"/>
      <c r="G27" s="29"/>
    </row>
    <row r="28" spans="1:9" x14ac:dyDescent="0.2">
      <c r="A28" s="26" t="s">
        <v>58</v>
      </c>
      <c r="B28" s="27"/>
      <c r="C28" s="27"/>
      <c r="D28" s="28"/>
      <c r="E28" s="29"/>
      <c r="F28" s="30"/>
      <c r="G28" s="29"/>
    </row>
    <row r="29" spans="1:9" x14ac:dyDescent="0.2">
      <c r="A29" s="26" t="s">
        <v>59</v>
      </c>
      <c r="B29" s="27"/>
      <c r="C29" s="27"/>
      <c r="D29" s="28"/>
      <c r="E29" s="29"/>
      <c r="F29" s="30"/>
      <c r="G29" s="29"/>
    </row>
    <row r="30" spans="1:9" x14ac:dyDescent="0.2">
      <c r="A30" s="27" t="s">
        <v>811</v>
      </c>
      <c r="B30" s="27" t="s">
        <v>812</v>
      </c>
      <c r="C30" s="27" t="s">
        <v>60</v>
      </c>
      <c r="D30" s="31">
        <v>292</v>
      </c>
      <c r="E30" s="29">
        <v>291.85137200000003</v>
      </c>
      <c r="F30" s="30">
        <v>1.5390693887032401</v>
      </c>
      <c r="G30" s="29">
        <v>3.0979999999999999</v>
      </c>
    </row>
    <row r="31" spans="1:9" x14ac:dyDescent="0.2">
      <c r="A31" s="26" t="s">
        <v>40</v>
      </c>
      <c r="B31" s="26"/>
      <c r="C31" s="26"/>
      <c r="D31" s="32"/>
      <c r="E31" s="33">
        <f>SUM(E29:E30)</f>
        <v>291.85137200000003</v>
      </c>
      <c r="F31" s="34">
        <f>SUM(F29:F30)</f>
        <v>1.5390693887032401</v>
      </c>
      <c r="G31" s="33"/>
      <c r="H31" s="18"/>
      <c r="I31" s="18"/>
    </row>
    <row r="32" spans="1:9" x14ac:dyDescent="0.2">
      <c r="A32" s="27"/>
      <c r="B32" s="27"/>
      <c r="C32" s="27"/>
      <c r="D32" s="28"/>
      <c r="E32" s="29"/>
      <c r="F32" s="30"/>
      <c r="G32" s="29"/>
    </row>
    <row r="33" spans="1:9" x14ac:dyDescent="0.2">
      <c r="A33" s="26" t="s">
        <v>62</v>
      </c>
      <c r="B33" s="27"/>
      <c r="C33" s="27"/>
      <c r="D33" s="28"/>
      <c r="E33" s="29"/>
      <c r="F33" s="30"/>
      <c r="G33" s="29"/>
    </row>
    <row r="34" spans="1:9" x14ac:dyDescent="0.2">
      <c r="A34" s="27" t="s">
        <v>1435</v>
      </c>
      <c r="B34" s="27" t="s">
        <v>1436</v>
      </c>
      <c r="C34" s="27" t="s">
        <v>815</v>
      </c>
      <c r="D34" s="31">
        <v>33</v>
      </c>
      <c r="E34" s="29">
        <v>164.95792499999999</v>
      </c>
      <c r="F34" s="30">
        <v>0.86990063144711005</v>
      </c>
      <c r="G34" s="29">
        <v>3.1032999999999999</v>
      </c>
    </row>
    <row r="35" spans="1:9" x14ac:dyDescent="0.2">
      <c r="A35" s="26" t="s">
        <v>40</v>
      </c>
      <c r="B35" s="26"/>
      <c r="C35" s="26"/>
      <c r="D35" s="32"/>
      <c r="E35" s="33">
        <f>SUM(E33:E34)</f>
        <v>164.95792499999999</v>
      </c>
      <c r="F35" s="34">
        <f>SUM(F33:F34)</f>
        <v>0.86990063144711005</v>
      </c>
      <c r="G35" s="33"/>
      <c r="H35" s="18"/>
      <c r="I35" s="18"/>
    </row>
    <row r="36" spans="1:9" x14ac:dyDescent="0.2">
      <c r="A36" s="27"/>
      <c r="B36" s="27"/>
      <c r="C36" s="27"/>
      <c r="D36" s="28"/>
      <c r="E36" s="29"/>
      <c r="F36" s="30"/>
      <c r="G36" s="29"/>
    </row>
    <row r="37" spans="1:9" x14ac:dyDescent="0.2">
      <c r="A37" s="26" t="s">
        <v>44</v>
      </c>
      <c r="B37" s="26"/>
      <c r="C37" s="26"/>
      <c r="D37" s="32"/>
      <c r="E37" s="33">
        <f>E21+E26+E31+E35</f>
        <v>15377.231497000001</v>
      </c>
      <c r="F37" s="34">
        <f>F21+F26+F31+F35</f>
        <v>81.091365505165584</v>
      </c>
      <c r="G37" s="33"/>
      <c r="H37" s="18"/>
      <c r="I37" s="18"/>
    </row>
    <row r="38" spans="1:9" x14ac:dyDescent="0.2">
      <c r="A38" s="26"/>
      <c r="B38" s="26"/>
      <c r="C38" s="26"/>
      <c r="D38" s="32"/>
      <c r="E38" s="33"/>
      <c r="F38" s="34"/>
      <c r="G38" s="33"/>
      <c r="H38" s="18"/>
      <c r="I38" s="18"/>
    </row>
    <row r="39" spans="1:9" x14ac:dyDescent="0.2">
      <c r="A39" s="26" t="s">
        <v>46</v>
      </c>
      <c r="B39" s="26"/>
      <c r="C39" s="26"/>
      <c r="D39" s="32"/>
      <c r="E39" s="33">
        <f>E41-(E21+E26+E31+E35)</f>
        <v>3585.6154117999977</v>
      </c>
      <c r="F39" s="34">
        <f>F41-(F21+F26+F31+F35)</f>
        <v>18.908634494834416</v>
      </c>
      <c r="G39" s="33"/>
      <c r="H39" s="18"/>
      <c r="I39" s="18"/>
    </row>
    <row r="40" spans="1:9" x14ac:dyDescent="0.2">
      <c r="A40" s="26"/>
      <c r="B40" s="26"/>
      <c r="C40" s="26"/>
      <c r="D40" s="32"/>
      <c r="E40" s="33"/>
      <c r="F40" s="34"/>
      <c r="G40" s="33"/>
      <c r="H40" s="18"/>
      <c r="I40" s="18"/>
    </row>
    <row r="41" spans="1:9" x14ac:dyDescent="0.2">
      <c r="A41" s="35" t="s">
        <v>45</v>
      </c>
      <c r="B41" s="35"/>
      <c r="C41" s="35"/>
      <c r="D41" s="36"/>
      <c r="E41" s="37">
        <v>18962.846908799998</v>
      </c>
      <c r="F41" s="38">
        <v>100</v>
      </c>
      <c r="G41" s="37"/>
      <c r="H41" s="18"/>
      <c r="I41" s="18"/>
    </row>
    <row r="43" spans="1:9" x14ac:dyDescent="0.2">
      <c r="A43" s="18" t="s">
        <v>66</v>
      </c>
    </row>
    <row r="44" spans="1:9" x14ac:dyDescent="0.2">
      <c r="A44" s="18" t="s">
        <v>47</v>
      </c>
    </row>
    <row r="46" spans="1:9" x14ac:dyDescent="0.2">
      <c r="A46" s="18" t="s">
        <v>48</v>
      </c>
    </row>
    <row r="47" spans="1:9" x14ac:dyDescent="0.2">
      <c r="A47" s="18" t="s">
        <v>49</v>
      </c>
    </row>
    <row r="48" spans="1:9" x14ac:dyDescent="0.2">
      <c r="A48" s="18" t="s">
        <v>50</v>
      </c>
      <c r="B48" s="18"/>
      <c r="C48" s="39" t="s">
        <v>52</v>
      </c>
      <c r="D48" s="19" t="s">
        <v>51</v>
      </c>
    </row>
    <row r="49" spans="1:5" x14ac:dyDescent="0.2">
      <c r="A49" s="9" t="s">
        <v>70</v>
      </c>
      <c r="C49" s="40">
        <v>12.2392</v>
      </c>
      <c r="D49" s="40">
        <v>12.494899999999999</v>
      </c>
    </row>
    <row r="50" spans="1:5" x14ac:dyDescent="0.2">
      <c r="A50" s="9" t="s">
        <v>1324</v>
      </c>
      <c r="C50" s="40">
        <v>10.477499999999999</v>
      </c>
      <c r="D50" s="40">
        <v>10.6965</v>
      </c>
    </row>
    <row r="51" spans="1:5" x14ac:dyDescent="0.2">
      <c r="A51" s="9" t="s">
        <v>72</v>
      </c>
      <c r="C51" s="40">
        <v>10.455399999999999</v>
      </c>
      <c r="D51" s="40">
        <v>10.2842</v>
      </c>
    </row>
    <row r="52" spans="1:5" x14ac:dyDescent="0.2">
      <c r="A52" s="9" t="s">
        <v>73</v>
      </c>
      <c r="C52" s="40">
        <v>12.312799999999999</v>
      </c>
      <c r="D52" s="40">
        <v>12.5701</v>
      </c>
    </row>
    <row r="53" spans="1:5" x14ac:dyDescent="0.2">
      <c r="A53" s="9" t="s">
        <v>77</v>
      </c>
      <c r="C53" s="40">
        <v>10.5532</v>
      </c>
      <c r="D53" s="40">
        <v>10.7753</v>
      </c>
    </row>
    <row r="54" spans="1:5" x14ac:dyDescent="0.2">
      <c r="A54" s="9" t="s">
        <v>75</v>
      </c>
      <c r="C54" s="40">
        <v>10.5181</v>
      </c>
      <c r="D54" s="40">
        <v>10.349</v>
      </c>
    </row>
    <row r="56" spans="1:5" x14ac:dyDescent="0.2">
      <c r="A56" s="18" t="s">
        <v>53</v>
      </c>
    </row>
    <row r="57" spans="1:5" x14ac:dyDescent="0.2">
      <c r="A57" s="74" t="s">
        <v>67</v>
      </c>
      <c r="B57" s="75"/>
      <c r="C57" s="44" t="s">
        <v>68</v>
      </c>
    </row>
    <row r="58" spans="1:5" x14ac:dyDescent="0.2">
      <c r="A58" s="68" t="s">
        <v>72</v>
      </c>
      <c r="B58" s="69"/>
      <c r="C58" s="45">
        <v>0.38500000000000001</v>
      </c>
    </row>
    <row r="59" spans="1:5" x14ac:dyDescent="0.2">
      <c r="A59" s="68" t="s">
        <v>75</v>
      </c>
      <c r="B59" s="69"/>
      <c r="C59" s="45">
        <v>0.38500000000000001</v>
      </c>
    </row>
    <row r="60" spans="1:5" x14ac:dyDescent="0.2">
      <c r="A60" s="9" t="s">
        <v>69</v>
      </c>
    </row>
    <row r="62" spans="1:5" x14ac:dyDescent="0.2">
      <c r="A62" s="18" t="s">
        <v>793</v>
      </c>
      <c r="D62" s="42">
        <v>0.107605556328767</v>
      </c>
      <c r="E62" s="13" t="s">
        <v>55</v>
      </c>
    </row>
    <row r="64" spans="1:5" x14ac:dyDescent="0.2">
      <c r="A64" s="18" t="s">
        <v>1477</v>
      </c>
      <c r="D64" s="41" t="s">
        <v>54</v>
      </c>
    </row>
    <row r="66" spans="1:7" ht="14.4" x14ac:dyDescent="0.2">
      <c r="A66" s="70" t="s">
        <v>794</v>
      </c>
      <c r="B66" s="71"/>
      <c r="C66" s="71"/>
      <c r="D66" s="71"/>
      <c r="E66" s="71"/>
      <c r="F66" s="71"/>
      <c r="G66" s="71"/>
    </row>
    <row r="67" spans="1:7" x14ac:dyDescent="0.2">
      <c r="A67" s="50" t="s">
        <v>56</v>
      </c>
    </row>
    <row r="69" spans="1:7" x14ac:dyDescent="0.2">
      <c r="A69" s="50"/>
    </row>
  </sheetData>
  <mergeCells count="5">
    <mergeCell ref="A1:G1"/>
    <mergeCell ref="A57:B57"/>
    <mergeCell ref="A58:B58"/>
    <mergeCell ref="A59:B59"/>
    <mergeCell ref="A66:G66"/>
  </mergeCells>
  <conditionalFormatting sqref="F2:F3 F5:F65 F70:F65536">
    <cfRule type="cellIs" dxfId="68" priority="3" stopIfTrue="1" operator="between">
      <formula>0.009</formula>
      <formula>-0.009</formula>
    </cfRule>
  </conditionalFormatting>
  <conditionalFormatting sqref="F67">
    <cfRule type="cellIs" dxfId="67" priority="1" stopIfTrue="1" operator="between">
      <formula>0.009</formula>
      <formula>-0.009</formula>
    </cfRule>
  </conditionalFormatting>
  <conditionalFormatting sqref="F68:F69">
    <cfRule type="cellIs" dxfId="66" priority="2" stopIfTrue="1" operator="between">
      <formula>0.009</formula>
      <formula>-0.009</formula>
    </cfRule>
  </conditionalFormatting>
  <hyperlinks>
    <hyperlink ref="A67" r:id="rId1" xr:uid="{00000000-0004-0000-1B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9"/>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1437</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1427</v>
      </c>
      <c r="B7" s="27" t="s">
        <v>1428</v>
      </c>
      <c r="C7" s="27" t="s">
        <v>39</v>
      </c>
      <c r="D7" s="31">
        <v>61</v>
      </c>
      <c r="E7" s="29">
        <v>611.12606000000005</v>
      </c>
      <c r="F7" s="30">
        <v>10.440429429712299</v>
      </c>
      <c r="G7" s="29">
        <v>3.2450000000000001</v>
      </c>
    </row>
    <row r="8" spans="1:7" x14ac:dyDescent="0.2">
      <c r="A8" s="27" t="s">
        <v>1398</v>
      </c>
      <c r="B8" s="27" t="s">
        <v>1399</v>
      </c>
      <c r="C8" s="27" t="s">
        <v>39</v>
      </c>
      <c r="D8" s="31">
        <v>45</v>
      </c>
      <c r="E8" s="29">
        <v>574.46370000000002</v>
      </c>
      <c r="F8" s="30">
        <v>9.8140925618217594</v>
      </c>
      <c r="G8" s="29">
        <v>3.63</v>
      </c>
    </row>
    <row r="9" spans="1:7" x14ac:dyDescent="0.2">
      <c r="A9" s="27" t="s">
        <v>1420</v>
      </c>
      <c r="B9" s="27" t="s">
        <v>1421</v>
      </c>
      <c r="C9" s="27" t="s">
        <v>39</v>
      </c>
      <c r="D9" s="31">
        <v>45</v>
      </c>
      <c r="E9" s="29">
        <v>570.36599999999999</v>
      </c>
      <c r="F9" s="30">
        <v>9.7440877780720196</v>
      </c>
      <c r="G9" s="29">
        <v>3.7250999999999999</v>
      </c>
    </row>
    <row r="10" spans="1:7" x14ac:dyDescent="0.2">
      <c r="A10" s="27" t="s">
        <v>1416</v>
      </c>
      <c r="B10" s="27" t="s">
        <v>1417</v>
      </c>
      <c r="C10" s="27" t="s">
        <v>898</v>
      </c>
      <c r="D10" s="31">
        <v>46</v>
      </c>
      <c r="E10" s="29">
        <v>462.43615999999997</v>
      </c>
      <c r="F10" s="30">
        <v>7.9002229003737199</v>
      </c>
      <c r="G10" s="29">
        <v>3.2997000000000001</v>
      </c>
    </row>
    <row r="11" spans="1:7" x14ac:dyDescent="0.2">
      <c r="A11" s="27" t="s">
        <v>1425</v>
      </c>
      <c r="B11" s="27" t="s">
        <v>1426</v>
      </c>
      <c r="C11" s="27" t="s">
        <v>39</v>
      </c>
      <c r="D11" s="31">
        <v>45</v>
      </c>
      <c r="E11" s="29">
        <v>452.50830000000002</v>
      </c>
      <c r="F11" s="30">
        <v>7.7306161228161301</v>
      </c>
      <c r="G11" s="29">
        <v>3.3751000000000002</v>
      </c>
    </row>
    <row r="12" spans="1:7" x14ac:dyDescent="0.2">
      <c r="A12" s="27" t="s">
        <v>924</v>
      </c>
      <c r="B12" s="27" t="s">
        <v>925</v>
      </c>
      <c r="C12" s="27" t="s">
        <v>898</v>
      </c>
      <c r="D12" s="31">
        <v>34</v>
      </c>
      <c r="E12" s="29">
        <v>433.41091999999998</v>
      </c>
      <c r="F12" s="30">
        <v>7.4043579884757298</v>
      </c>
      <c r="G12" s="29">
        <v>4.4250999999999996</v>
      </c>
    </row>
    <row r="13" spans="1:7" x14ac:dyDescent="0.2">
      <c r="A13" s="27" t="s">
        <v>948</v>
      </c>
      <c r="B13" s="27" t="s">
        <v>949</v>
      </c>
      <c r="C13" s="27" t="s">
        <v>39</v>
      </c>
      <c r="D13" s="31">
        <v>38</v>
      </c>
      <c r="E13" s="29">
        <v>380.73378000000002</v>
      </c>
      <c r="F13" s="30">
        <v>6.50442588162191</v>
      </c>
      <c r="G13" s="29">
        <v>3.1497000000000002</v>
      </c>
    </row>
    <row r="14" spans="1:7" x14ac:dyDescent="0.2">
      <c r="A14" s="27" t="s">
        <v>1375</v>
      </c>
      <c r="B14" s="27" t="s">
        <v>1376</v>
      </c>
      <c r="C14" s="27" t="s">
        <v>39</v>
      </c>
      <c r="D14" s="31">
        <v>28</v>
      </c>
      <c r="E14" s="29">
        <v>354.78408000000002</v>
      </c>
      <c r="F14" s="30">
        <v>6.0611032526176603</v>
      </c>
      <c r="G14" s="29">
        <v>3.4500999999999999</v>
      </c>
    </row>
    <row r="15" spans="1:7" x14ac:dyDescent="0.2">
      <c r="A15" s="27" t="s">
        <v>1245</v>
      </c>
      <c r="B15" s="27" t="s">
        <v>1246</v>
      </c>
      <c r="C15" s="27" t="s">
        <v>970</v>
      </c>
      <c r="D15" s="31">
        <v>20</v>
      </c>
      <c r="E15" s="29">
        <v>252.851</v>
      </c>
      <c r="F15" s="30">
        <v>4.3196865499929702</v>
      </c>
      <c r="G15" s="29">
        <v>3.7498999999999998</v>
      </c>
    </row>
    <row r="16" spans="1:7" x14ac:dyDescent="0.2">
      <c r="A16" s="27" t="s">
        <v>1412</v>
      </c>
      <c r="B16" s="27" t="s">
        <v>1413</v>
      </c>
      <c r="C16" s="27" t="s">
        <v>898</v>
      </c>
      <c r="D16" s="31">
        <v>20</v>
      </c>
      <c r="E16" s="29">
        <v>201.3998</v>
      </c>
      <c r="F16" s="30">
        <v>3.44069830544974</v>
      </c>
      <c r="G16" s="29">
        <v>3.3599000000000001</v>
      </c>
    </row>
    <row r="17" spans="1:9" x14ac:dyDescent="0.2">
      <c r="A17" s="27" t="s">
        <v>1438</v>
      </c>
      <c r="B17" s="27" t="s">
        <v>1439</v>
      </c>
      <c r="C17" s="27" t="s">
        <v>39</v>
      </c>
      <c r="D17" s="31">
        <v>17</v>
      </c>
      <c r="E17" s="29">
        <v>169.01978</v>
      </c>
      <c r="F17" s="30">
        <v>2.88752059651245</v>
      </c>
      <c r="G17" s="29">
        <v>3.65</v>
      </c>
    </row>
    <row r="18" spans="1:9" x14ac:dyDescent="0.2">
      <c r="A18" s="27" t="s">
        <v>1243</v>
      </c>
      <c r="B18" s="27" t="s">
        <v>1244</v>
      </c>
      <c r="C18" s="27" t="s">
        <v>39</v>
      </c>
      <c r="D18" s="31">
        <v>1</v>
      </c>
      <c r="E18" s="29">
        <v>10.022349999999999</v>
      </c>
      <c r="F18" s="30">
        <v>0.171221037268281</v>
      </c>
      <c r="G18" s="29">
        <v>4.125</v>
      </c>
    </row>
    <row r="19" spans="1:9" x14ac:dyDescent="0.2">
      <c r="A19" s="26" t="s">
        <v>40</v>
      </c>
      <c r="B19" s="26"/>
      <c r="C19" s="26"/>
      <c r="D19" s="32"/>
      <c r="E19" s="33">
        <f>SUM(E6:E18)</f>
        <v>4473.1219299999993</v>
      </c>
      <c r="F19" s="34">
        <f>SUM(F6:F18)</f>
        <v>76.418462404734669</v>
      </c>
      <c r="G19" s="33"/>
      <c r="H19" s="18"/>
      <c r="I19" s="18"/>
    </row>
    <row r="20" spans="1:9" x14ac:dyDescent="0.2">
      <c r="A20" s="27"/>
      <c r="B20" s="27"/>
      <c r="C20" s="27"/>
      <c r="D20" s="28"/>
      <c r="E20" s="29"/>
      <c r="F20" s="30"/>
      <c r="G20" s="29"/>
    </row>
    <row r="21" spans="1:9" x14ac:dyDescent="0.2">
      <c r="A21" s="26" t="s">
        <v>41</v>
      </c>
      <c r="B21" s="27"/>
      <c r="C21" s="27"/>
      <c r="D21" s="28"/>
      <c r="E21" s="29"/>
      <c r="F21" s="30"/>
      <c r="G21" s="29"/>
    </row>
    <row r="22" spans="1:9" x14ac:dyDescent="0.2">
      <c r="A22" s="27" t="s">
        <v>954</v>
      </c>
      <c r="B22" s="27" t="s">
        <v>955</v>
      </c>
      <c r="C22" s="27" t="s">
        <v>39</v>
      </c>
      <c r="D22" s="31">
        <v>6</v>
      </c>
      <c r="E22" s="29">
        <v>60.357900000000001</v>
      </c>
      <c r="F22" s="30">
        <v>1.0311496051659701</v>
      </c>
      <c r="G22" s="29">
        <v>3.4870000000000001</v>
      </c>
    </row>
    <row r="23" spans="1:9" x14ac:dyDescent="0.2">
      <c r="A23" s="26" t="s">
        <v>40</v>
      </c>
      <c r="B23" s="26"/>
      <c r="C23" s="26"/>
      <c r="D23" s="32"/>
      <c r="E23" s="33">
        <f>SUM(E21:E22)</f>
        <v>60.357900000000001</v>
      </c>
      <c r="F23" s="34">
        <f>SUM(F21:F22)</f>
        <v>1.0311496051659701</v>
      </c>
      <c r="G23" s="33"/>
      <c r="H23" s="18"/>
      <c r="I23" s="18"/>
    </row>
    <row r="24" spans="1:9" x14ac:dyDescent="0.2">
      <c r="A24" s="27"/>
      <c r="B24" s="27"/>
      <c r="C24" s="27"/>
      <c r="D24" s="28"/>
      <c r="E24" s="29"/>
      <c r="F24" s="30"/>
      <c r="G24" s="29"/>
    </row>
    <row r="25" spans="1:9" x14ac:dyDescent="0.2">
      <c r="A25" s="26" t="s">
        <v>58</v>
      </c>
      <c r="B25" s="27"/>
      <c r="C25" s="27"/>
      <c r="D25" s="28"/>
      <c r="E25" s="29"/>
      <c r="F25" s="30"/>
      <c r="G25" s="29"/>
    </row>
    <row r="26" spans="1:9" x14ac:dyDescent="0.2">
      <c r="A26" s="26" t="s">
        <v>59</v>
      </c>
      <c r="B26" s="27"/>
      <c r="C26" s="27"/>
      <c r="D26" s="28"/>
      <c r="E26" s="29"/>
      <c r="F26" s="30"/>
      <c r="G26" s="29"/>
    </row>
    <row r="27" spans="1:9" x14ac:dyDescent="0.2">
      <c r="A27" s="27" t="s">
        <v>811</v>
      </c>
      <c r="B27" s="27" t="s">
        <v>812</v>
      </c>
      <c r="C27" s="27" t="s">
        <v>60</v>
      </c>
      <c r="D27" s="31">
        <v>87</v>
      </c>
      <c r="E27" s="29">
        <v>86.955717000000007</v>
      </c>
      <c r="F27" s="30">
        <v>1.48554461390263</v>
      </c>
      <c r="G27" s="29">
        <v>3.0979999999999999</v>
      </c>
    </row>
    <row r="28" spans="1:9" x14ac:dyDescent="0.2">
      <c r="A28" s="26" t="s">
        <v>40</v>
      </c>
      <c r="B28" s="26"/>
      <c r="C28" s="26"/>
      <c r="D28" s="32"/>
      <c r="E28" s="33">
        <f>SUM(E26:E27)</f>
        <v>86.955717000000007</v>
      </c>
      <c r="F28" s="34">
        <f>SUM(F26:F27)</f>
        <v>1.48554461390263</v>
      </c>
      <c r="G28" s="33"/>
      <c r="H28" s="18"/>
      <c r="I28" s="18"/>
    </row>
    <row r="29" spans="1:9" x14ac:dyDescent="0.2">
      <c r="A29" s="27"/>
      <c r="B29" s="27"/>
      <c r="C29" s="27"/>
      <c r="D29" s="28"/>
      <c r="E29" s="29"/>
      <c r="F29" s="30"/>
      <c r="G29" s="29"/>
    </row>
    <row r="30" spans="1:9" x14ac:dyDescent="0.2">
      <c r="A30" s="26" t="s">
        <v>62</v>
      </c>
      <c r="B30" s="27"/>
      <c r="C30" s="27"/>
      <c r="D30" s="28"/>
      <c r="E30" s="29"/>
      <c r="F30" s="30"/>
      <c r="G30" s="29"/>
    </row>
    <row r="31" spans="1:9" x14ac:dyDescent="0.2">
      <c r="A31" s="27" t="s">
        <v>1440</v>
      </c>
      <c r="B31" s="27" t="s">
        <v>1441</v>
      </c>
      <c r="C31" s="27" t="s">
        <v>741</v>
      </c>
      <c r="D31" s="31">
        <v>46</v>
      </c>
      <c r="E31" s="29">
        <v>229.00341</v>
      </c>
      <c r="F31" s="30">
        <v>3.91227620250474</v>
      </c>
      <c r="G31" s="29">
        <v>3.3795999999999999</v>
      </c>
    </row>
    <row r="32" spans="1:9" x14ac:dyDescent="0.2">
      <c r="A32" s="26" t="s">
        <v>40</v>
      </c>
      <c r="B32" s="26"/>
      <c r="C32" s="26"/>
      <c r="D32" s="32"/>
      <c r="E32" s="33">
        <f>SUM(E30:E31)</f>
        <v>229.00341</v>
      </c>
      <c r="F32" s="34">
        <f>SUM(F30:F31)</f>
        <v>3.91227620250474</v>
      </c>
      <c r="G32" s="33"/>
      <c r="H32" s="18"/>
      <c r="I32" s="18"/>
    </row>
    <row r="33" spans="1:9" x14ac:dyDescent="0.2">
      <c r="A33" s="27"/>
      <c r="B33" s="27"/>
      <c r="C33" s="27"/>
      <c r="D33" s="28"/>
      <c r="E33" s="29"/>
      <c r="F33" s="30"/>
      <c r="G33" s="29"/>
    </row>
    <row r="34" spans="1:9" x14ac:dyDescent="0.2">
      <c r="A34" s="26" t="s">
        <v>65</v>
      </c>
      <c r="B34" s="27"/>
      <c r="C34" s="27"/>
      <c r="D34" s="28"/>
      <c r="E34" s="29"/>
      <c r="F34" s="30"/>
      <c r="G34" s="29"/>
    </row>
    <row r="35" spans="1:9" x14ac:dyDescent="0.2">
      <c r="A35" s="27" t="s">
        <v>832</v>
      </c>
      <c r="B35" s="27" t="s">
        <v>833</v>
      </c>
      <c r="C35" s="27" t="s">
        <v>81</v>
      </c>
      <c r="D35" s="31">
        <v>40000</v>
      </c>
      <c r="E35" s="29">
        <v>39.91328</v>
      </c>
      <c r="F35" s="30">
        <v>0.68187532887789004</v>
      </c>
      <c r="G35" s="29">
        <v>3.0501999999999998</v>
      </c>
    </row>
    <row r="36" spans="1:9" x14ac:dyDescent="0.2">
      <c r="A36" s="26" t="s">
        <v>40</v>
      </c>
      <c r="B36" s="26"/>
      <c r="C36" s="26"/>
      <c r="D36" s="32"/>
      <c r="E36" s="33">
        <f>SUM(E34:E35)</f>
        <v>39.91328</v>
      </c>
      <c r="F36" s="34">
        <f>SUM(F34:F35)</f>
        <v>0.68187532887789004</v>
      </c>
      <c r="G36" s="33"/>
      <c r="H36" s="18"/>
      <c r="I36" s="18"/>
    </row>
    <row r="37" spans="1:9" x14ac:dyDescent="0.2">
      <c r="A37" s="27"/>
      <c r="B37" s="27"/>
      <c r="C37" s="27"/>
      <c r="D37" s="28"/>
      <c r="E37" s="29"/>
      <c r="F37" s="30"/>
      <c r="G37" s="29"/>
    </row>
    <row r="38" spans="1:9" x14ac:dyDescent="0.2">
      <c r="A38" s="26" t="s">
        <v>44</v>
      </c>
      <c r="B38" s="26"/>
      <c r="C38" s="26"/>
      <c r="D38" s="32"/>
      <c r="E38" s="33">
        <f>E19+E23+E28+E32+E36</f>
        <v>4889.3522369999991</v>
      </c>
      <c r="F38" s="34">
        <f>F19+F23+F28+F32+F36</f>
        <v>83.529308155185902</v>
      </c>
      <c r="G38" s="33"/>
      <c r="H38" s="18"/>
      <c r="I38" s="18"/>
    </row>
    <row r="39" spans="1:9" x14ac:dyDescent="0.2">
      <c r="A39" s="26"/>
      <c r="B39" s="26"/>
      <c r="C39" s="26"/>
      <c r="D39" s="32"/>
      <c r="E39" s="33"/>
      <c r="F39" s="34"/>
      <c r="G39" s="33"/>
      <c r="H39" s="18"/>
      <c r="I39" s="18"/>
    </row>
    <row r="40" spans="1:9" x14ac:dyDescent="0.2">
      <c r="A40" s="26" t="s">
        <v>46</v>
      </c>
      <c r="B40" s="26"/>
      <c r="C40" s="26"/>
      <c r="D40" s="32"/>
      <c r="E40" s="33">
        <f>E42-(E19+E23+E28+E32+E36)</f>
        <v>964.10488480000095</v>
      </c>
      <c r="F40" s="34">
        <f>F42-(F19+F23+F28+F32+F36)</f>
        <v>16.470691844814098</v>
      </c>
      <c r="G40" s="33"/>
      <c r="H40" s="18"/>
      <c r="I40" s="18"/>
    </row>
    <row r="41" spans="1:9" x14ac:dyDescent="0.2">
      <c r="A41" s="26"/>
      <c r="B41" s="26"/>
      <c r="C41" s="26"/>
      <c r="D41" s="32"/>
      <c r="E41" s="33"/>
      <c r="F41" s="34"/>
      <c r="G41" s="33"/>
      <c r="H41" s="18"/>
      <c r="I41" s="18"/>
    </row>
    <row r="42" spans="1:9" x14ac:dyDescent="0.2">
      <c r="A42" s="35" t="s">
        <v>45</v>
      </c>
      <c r="B42" s="35"/>
      <c r="C42" s="35"/>
      <c r="D42" s="36"/>
      <c r="E42" s="37">
        <v>5853.4571218000001</v>
      </c>
      <c r="F42" s="38">
        <v>100</v>
      </c>
      <c r="G42" s="37"/>
      <c r="H42" s="18"/>
      <c r="I42" s="18"/>
    </row>
    <row r="44" spans="1:9" x14ac:dyDescent="0.2">
      <c r="A44" s="18" t="s">
        <v>66</v>
      </c>
    </row>
    <row r="45" spans="1:9" x14ac:dyDescent="0.2">
      <c r="A45" s="18" t="s">
        <v>47</v>
      </c>
    </row>
    <row r="47" spans="1:9" x14ac:dyDescent="0.2">
      <c r="A47" s="18" t="s">
        <v>48</v>
      </c>
    </row>
    <row r="48" spans="1:9" x14ac:dyDescent="0.2">
      <c r="A48" s="18" t="s">
        <v>49</v>
      </c>
    </row>
    <row r="49" spans="1:5" x14ac:dyDescent="0.2">
      <c r="A49" s="18" t="s">
        <v>50</v>
      </c>
      <c r="B49" s="18"/>
      <c r="C49" s="39" t="s">
        <v>52</v>
      </c>
      <c r="D49" s="19" t="s">
        <v>51</v>
      </c>
    </row>
    <row r="50" spans="1:5" x14ac:dyDescent="0.2">
      <c r="A50" s="9" t="s">
        <v>70</v>
      </c>
      <c r="C50" s="40">
        <v>12.169700000000001</v>
      </c>
      <c r="D50" s="40">
        <v>12.4238</v>
      </c>
    </row>
    <row r="51" spans="1:5" x14ac:dyDescent="0.2">
      <c r="A51" s="9" t="s">
        <v>1324</v>
      </c>
      <c r="C51" s="40">
        <v>10.581099999999999</v>
      </c>
      <c r="D51" s="40">
        <v>10.8018</v>
      </c>
    </row>
    <row r="52" spans="1:5" x14ac:dyDescent="0.2">
      <c r="A52" s="9" t="s">
        <v>72</v>
      </c>
      <c r="C52" s="40">
        <v>10.3758</v>
      </c>
      <c r="D52" s="40">
        <v>10.2279</v>
      </c>
    </row>
    <row r="53" spans="1:5" x14ac:dyDescent="0.2">
      <c r="A53" s="9" t="s">
        <v>73</v>
      </c>
      <c r="C53" s="40">
        <v>12.242900000000001</v>
      </c>
      <c r="D53" s="40">
        <v>12.4985</v>
      </c>
    </row>
    <row r="54" spans="1:5" x14ac:dyDescent="0.2">
      <c r="A54" s="9" t="s">
        <v>75</v>
      </c>
      <c r="C54" s="40">
        <v>10.4367</v>
      </c>
      <c r="D54" s="40">
        <v>10.290100000000001</v>
      </c>
    </row>
    <row r="56" spans="1:5" x14ac:dyDescent="0.2">
      <c r="A56" s="18" t="s">
        <v>53</v>
      </c>
    </row>
    <row r="57" spans="1:5" x14ac:dyDescent="0.2">
      <c r="A57" s="74" t="s">
        <v>67</v>
      </c>
      <c r="B57" s="75"/>
      <c r="C57" s="44" t="s">
        <v>68</v>
      </c>
    </row>
    <row r="58" spans="1:5" x14ac:dyDescent="0.2">
      <c r="A58" s="68" t="s">
        <v>72</v>
      </c>
      <c r="B58" s="69"/>
      <c r="C58" s="45">
        <v>0.36</v>
      </c>
    </row>
    <row r="59" spans="1:5" x14ac:dyDescent="0.2">
      <c r="A59" s="68" t="s">
        <v>75</v>
      </c>
      <c r="B59" s="69"/>
      <c r="C59" s="45">
        <v>0.36</v>
      </c>
    </row>
    <row r="60" spans="1:5" x14ac:dyDescent="0.2">
      <c r="A60" s="9" t="s">
        <v>69</v>
      </c>
    </row>
    <row r="62" spans="1:5" x14ac:dyDescent="0.2">
      <c r="A62" s="18" t="s">
        <v>793</v>
      </c>
      <c r="D62" s="42">
        <v>8.3753214876712306E-2</v>
      </c>
      <c r="E62" s="13" t="s">
        <v>55</v>
      </c>
    </row>
    <row r="64" spans="1:5" x14ac:dyDescent="0.2">
      <c r="A64" s="18" t="s">
        <v>1477</v>
      </c>
      <c r="D64" s="41" t="s">
        <v>54</v>
      </c>
    </row>
    <row r="66" spans="1:7" ht="14.4" x14ac:dyDescent="0.2">
      <c r="A66" s="70" t="s">
        <v>794</v>
      </c>
      <c r="B66" s="71"/>
      <c r="C66" s="71"/>
      <c r="D66" s="71"/>
      <c r="E66" s="71"/>
      <c r="F66" s="71"/>
      <c r="G66" s="71"/>
    </row>
    <row r="67" spans="1:7" x14ac:dyDescent="0.2">
      <c r="A67" s="50" t="s">
        <v>56</v>
      </c>
    </row>
    <row r="69" spans="1:7" x14ac:dyDescent="0.2">
      <c r="A69" s="50"/>
    </row>
  </sheetData>
  <mergeCells count="5">
    <mergeCell ref="A1:G1"/>
    <mergeCell ref="A57:B57"/>
    <mergeCell ref="A58:B58"/>
    <mergeCell ref="A59:B59"/>
    <mergeCell ref="A66:G66"/>
  </mergeCells>
  <conditionalFormatting sqref="F2:F3 F5:F65 F70:F65536">
    <cfRule type="cellIs" dxfId="65" priority="3" stopIfTrue="1" operator="between">
      <formula>0.009</formula>
      <formula>-0.009</formula>
    </cfRule>
  </conditionalFormatting>
  <conditionalFormatting sqref="F67">
    <cfRule type="cellIs" dxfId="64" priority="1" stopIfTrue="1" operator="between">
      <formula>0.009</formula>
      <formula>-0.009</formula>
    </cfRule>
  </conditionalFormatting>
  <conditionalFormatting sqref="F68:F69">
    <cfRule type="cellIs" dxfId="63" priority="2" stopIfTrue="1" operator="between">
      <formula>0.009</formula>
      <formula>-0.009</formula>
    </cfRule>
  </conditionalFormatting>
  <hyperlinks>
    <hyperlink ref="A67" r:id="rId1" xr:uid="{00000000-0004-0000-1C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73"/>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1442</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1427</v>
      </c>
      <c r="B7" s="27" t="s">
        <v>1428</v>
      </c>
      <c r="C7" s="27" t="s">
        <v>39</v>
      </c>
      <c r="D7" s="31">
        <v>132</v>
      </c>
      <c r="E7" s="29">
        <v>1322.4367199999999</v>
      </c>
      <c r="F7" s="30">
        <v>10.3362083934261</v>
      </c>
      <c r="G7" s="29">
        <v>3.2450000000000001</v>
      </c>
    </row>
    <row r="8" spans="1:7" x14ac:dyDescent="0.2">
      <c r="A8" s="27" t="s">
        <v>1398</v>
      </c>
      <c r="B8" s="27" t="s">
        <v>1399</v>
      </c>
      <c r="C8" s="27" t="s">
        <v>39</v>
      </c>
      <c r="D8" s="31">
        <v>100</v>
      </c>
      <c r="E8" s="29">
        <v>1276.586</v>
      </c>
      <c r="F8" s="30">
        <v>9.9778376753862297</v>
      </c>
      <c r="G8" s="29">
        <v>3.63</v>
      </c>
    </row>
    <row r="9" spans="1:7" x14ac:dyDescent="0.2">
      <c r="A9" s="27" t="s">
        <v>948</v>
      </c>
      <c r="B9" s="27" t="s">
        <v>949</v>
      </c>
      <c r="C9" s="27" t="s">
        <v>39</v>
      </c>
      <c r="D9" s="31">
        <v>110</v>
      </c>
      <c r="E9" s="29">
        <v>1102.1241</v>
      </c>
      <c r="F9" s="30">
        <v>8.6142377935612195</v>
      </c>
      <c r="G9" s="29">
        <v>3.1497000000000002</v>
      </c>
    </row>
    <row r="10" spans="1:7" x14ac:dyDescent="0.2">
      <c r="A10" s="27" t="s">
        <v>1420</v>
      </c>
      <c r="B10" s="27" t="s">
        <v>1421</v>
      </c>
      <c r="C10" s="27" t="s">
        <v>39</v>
      </c>
      <c r="D10" s="31">
        <v>84</v>
      </c>
      <c r="E10" s="29">
        <v>1064.6831999999999</v>
      </c>
      <c r="F10" s="30">
        <v>8.3215985020286691</v>
      </c>
      <c r="G10" s="29">
        <v>3.7250999999999999</v>
      </c>
    </row>
    <row r="11" spans="1:7" x14ac:dyDescent="0.2">
      <c r="A11" s="27" t="s">
        <v>1412</v>
      </c>
      <c r="B11" s="27" t="s">
        <v>1413</v>
      </c>
      <c r="C11" s="27" t="s">
        <v>898</v>
      </c>
      <c r="D11" s="31">
        <v>101</v>
      </c>
      <c r="E11" s="29">
        <v>1017.06899</v>
      </c>
      <c r="F11" s="30">
        <v>7.9494442888211401</v>
      </c>
      <c r="G11" s="29">
        <v>3.3599000000000001</v>
      </c>
    </row>
    <row r="12" spans="1:7" x14ac:dyDescent="0.2">
      <c r="A12" s="27" t="s">
        <v>1375</v>
      </c>
      <c r="B12" s="27" t="s">
        <v>1376</v>
      </c>
      <c r="C12" s="27" t="s">
        <v>39</v>
      </c>
      <c r="D12" s="31">
        <v>77</v>
      </c>
      <c r="E12" s="29">
        <v>975.65621999999996</v>
      </c>
      <c r="F12" s="30">
        <v>7.6257607322506402</v>
      </c>
      <c r="G12" s="29">
        <v>3.4500999999999999</v>
      </c>
    </row>
    <row r="13" spans="1:7" x14ac:dyDescent="0.2">
      <c r="A13" s="27" t="s">
        <v>924</v>
      </c>
      <c r="B13" s="27" t="s">
        <v>925</v>
      </c>
      <c r="C13" s="27" t="s">
        <v>898</v>
      </c>
      <c r="D13" s="31">
        <v>70</v>
      </c>
      <c r="E13" s="29">
        <v>892.31659999999999</v>
      </c>
      <c r="F13" s="30">
        <v>6.9743755531178797</v>
      </c>
      <c r="G13" s="29">
        <v>4.4250999999999996</v>
      </c>
    </row>
    <row r="14" spans="1:7" x14ac:dyDescent="0.2">
      <c r="A14" s="27" t="s">
        <v>1443</v>
      </c>
      <c r="B14" s="27" t="s">
        <v>1444</v>
      </c>
      <c r="C14" s="27" t="s">
        <v>39</v>
      </c>
      <c r="D14" s="31">
        <v>75</v>
      </c>
      <c r="E14" s="29">
        <v>753.29174999999998</v>
      </c>
      <c r="F14" s="30">
        <v>5.8877528060840598</v>
      </c>
      <c r="G14" s="29">
        <v>3.3748</v>
      </c>
    </row>
    <row r="15" spans="1:7" x14ac:dyDescent="0.2">
      <c r="A15" s="27" t="s">
        <v>1425</v>
      </c>
      <c r="B15" s="27" t="s">
        <v>1426</v>
      </c>
      <c r="C15" s="27" t="s">
        <v>39</v>
      </c>
      <c r="D15" s="31">
        <v>27</v>
      </c>
      <c r="E15" s="29">
        <v>271.50497999999999</v>
      </c>
      <c r="F15" s="30">
        <v>2.1220917497912302</v>
      </c>
      <c r="G15" s="29">
        <v>3.3751000000000002</v>
      </c>
    </row>
    <row r="16" spans="1:7" x14ac:dyDescent="0.2">
      <c r="A16" s="27" t="s">
        <v>1245</v>
      </c>
      <c r="B16" s="27" t="s">
        <v>1246</v>
      </c>
      <c r="C16" s="27" t="s">
        <v>970</v>
      </c>
      <c r="D16" s="31">
        <v>9</v>
      </c>
      <c r="E16" s="29">
        <v>113.78295</v>
      </c>
      <c r="F16" s="30">
        <v>0.88933123606759601</v>
      </c>
      <c r="G16" s="29">
        <v>3.7498999999999998</v>
      </c>
    </row>
    <row r="17" spans="1:9" x14ac:dyDescent="0.2">
      <c r="A17" s="27" t="s">
        <v>1422</v>
      </c>
      <c r="B17" s="27" t="s">
        <v>1423</v>
      </c>
      <c r="C17" s="27" t="s">
        <v>39</v>
      </c>
      <c r="D17" s="31">
        <v>11</v>
      </c>
      <c r="E17" s="29">
        <v>110.78067</v>
      </c>
      <c r="F17" s="30">
        <v>0.86586531798917499</v>
      </c>
      <c r="G17" s="29">
        <v>3.375</v>
      </c>
    </row>
    <row r="18" spans="1:9" x14ac:dyDescent="0.2">
      <c r="A18" s="27" t="s">
        <v>1445</v>
      </c>
      <c r="B18" s="27" t="s">
        <v>1446</v>
      </c>
      <c r="C18" s="27" t="s">
        <v>39</v>
      </c>
      <c r="D18" s="31">
        <v>8</v>
      </c>
      <c r="E18" s="29">
        <v>80.422240000000002</v>
      </c>
      <c r="F18" s="30">
        <v>0.62858284221427596</v>
      </c>
      <c r="G18" s="29">
        <v>3.4249999999999998</v>
      </c>
    </row>
    <row r="19" spans="1:9" x14ac:dyDescent="0.2">
      <c r="A19" s="27" t="s">
        <v>1447</v>
      </c>
      <c r="B19" s="27" t="s">
        <v>1448</v>
      </c>
      <c r="C19" s="27" t="s">
        <v>39</v>
      </c>
      <c r="D19" s="31">
        <v>3</v>
      </c>
      <c r="E19" s="29">
        <v>37.666912500000002</v>
      </c>
      <c r="F19" s="30">
        <v>0.29440581257978399</v>
      </c>
      <c r="G19" s="29">
        <v>3.1551999999999998</v>
      </c>
    </row>
    <row r="20" spans="1:9" x14ac:dyDescent="0.2">
      <c r="A20" s="27" t="s">
        <v>1416</v>
      </c>
      <c r="B20" s="27" t="s">
        <v>1417</v>
      </c>
      <c r="C20" s="27" t="s">
        <v>898</v>
      </c>
      <c r="D20" s="31">
        <v>1</v>
      </c>
      <c r="E20" s="29">
        <v>10.052960000000001</v>
      </c>
      <c r="F20" s="30">
        <v>7.8574262162635897E-2</v>
      </c>
      <c r="G20" s="29">
        <v>3.2997000000000001</v>
      </c>
    </row>
    <row r="21" spans="1:9" x14ac:dyDescent="0.2">
      <c r="A21" s="27" t="s">
        <v>1243</v>
      </c>
      <c r="B21" s="27" t="s">
        <v>1244</v>
      </c>
      <c r="C21" s="27" t="s">
        <v>39</v>
      </c>
      <c r="D21" s="31">
        <v>1</v>
      </c>
      <c r="E21" s="29">
        <v>10.022349999999999</v>
      </c>
      <c r="F21" s="30">
        <v>7.8335013407563006E-2</v>
      </c>
      <c r="G21" s="29">
        <v>4.125</v>
      </c>
    </row>
    <row r="22" spans="1:9" x14ac:dyDescent="0.2">
      <c r="A22" s="26" t="s">
        <v>40</v>
      </c>
      <c r="B22" s="26"/>
      <c r="C22" s="26"/>
      <c r="D22" s="32"/>
      <c r="E22" s="33">
        <f>SUM(E6:E21)</f>
        <v>9038.3966424999999</v>
      </c>
      <c r="F22" s="34">
        <f>SUM(F6:F21)</f>
        <v>70.644401978888183</v>
      </c>
      <c r="G22" s="33"/>
      <c r="H22" s="18"/>
      <c r="I22" s="18"/>
    </row>
    <row r="23" spans="1:9" x14ac:dyDescent="0.2">
      <c r="A23" s="27"/>
      <c r="B23" s="27"/>
      <c r="C23" s="27"/>
      <c r="D23" s="28"/>
      <c r="E23" s="29"/>
      <c r="F23" s="30"/>
      <c r="G23" s="29"/>
    </row>
    <row r="24" spans="1:9" x14ac:dyDescent="0.2">
      <c r="A24" s="26" t="s">
        <v>41</v>
      </c>
      <c r="B24" s="27"/>
      <c r="C24" s="27"/>
      <c r="D24" s="28"/>
      <c r="E24" s="29"/>
      <c r="F24" s="30"/>
      <c r="G24" s="29"/>
    </row>
    <row r="25" spans="1:9" x14ac:dyDescent="0.2">
      <c r="A25" s="27" t="s">
        <v>1449</v>
      </c>
      <c r="B25" s="27" t="s">
        <v>1450</v>
      </c>
      <c r="C25" s="27" t="s">
        <v>39</v>
      </c>
      <c r="D25" s="31">
        <v>72</v>
      </c>
      <c r="E25" s="29">
        <v>721.88711999999998</v>
      </c>
      <c r="F25" s="30">
        <v>5.6422931970991899</v>
      </c>
      <c r="G25" s="29">
        <v>3.9499</v>
      </c>
    </row>
    <row r="26" spans="1:9" x14ac:dyDescent="0.2">
      <c r="A26" s="26" t="s">
        <v>40</v>
      </c>
      <c r="B26" s="26"/>
      <c r="C26" s="26"/>
      <c r="D26" s="32"/>
      <c r="E26" s="33">
        <f>SUM(E24:E25)</f>
        <v>721.88711999999998</v>
      </c>
      <c r="F26" s="34">
        <f>SUM(F24:F25)</f>
        <v>5.6422931970991899</v>
      </c>
      <c r="G26" s="33"/>
      <c r="H26" s="18"/>
      <c r="I26" s="18"/>
    </row>
    <row r="27" spans="1:9" x14ac:dyDescent="0.2">
      <c r="A27" s="27"/>
      <c r="B27" s="27"/>
      <c r="C27" s="27"/>
      <c r="D27" s="28"/>
      <c r="E27" s="29"/>
      <c r="F27" s="30"/>
      <c r="G27" s="29"/>
    </row>
    <row r="28" spans="1:9" x14ac:dyDescent="0.2">
      <c r="A28" s="26" t="s">
        <v>58</v>
      </c>
      <c r="B28" s="27"/>
      <c r="C28" s="27"/>
      <c r="D28" s="28"/>
      <c r="E28" s="29"/>
      <c r="F28" s="30"/>
      <c r="G28" s="29"/>
    </row>
    <row r="29" spans="1:9" x14ac:dyDescent="0.2">
      <c r="A29" s="26" t="s">
        <v>59</v>
      </c>
      <c r="B29" s="27"/>
      <c r="C29" s="27"/>
      <c r="D29" s="28"/>
      <c r="E29" s="29"/>
      <c r="F29" s="30"/>
      <c r="G29" s="29"/>
    </row>
    <row r="30" spans="1:9" x14ac:dyDescent="0.2">
      <c r="A30" s="27" t="s">
        <v>811</v>
      </c>
      <c r="B30" s="27" t="s">
        <v>812</v>
      </c>
      <c r="C30" s="27" t="s">
        <v>60</v>
      </c>
      <c r="D30" s="31">
        <v>117</v>
      </c>
      <c r="E30" s="29">
        <v>116.94044700000001</v>
      </c>
      <c r="F30" s="30">
        <v>0.91401033526382602</v>
      </c>
      <c r="G30" s="29">
        <v>3.0979999999999999</v>
      </c>
    </row>
    <row r="31" spans="1:9" x14ac:dyDescent="0.2">
      <c r="A31" s="26" t="s">
        <v>40</v>
      </c>
      <c r="B31" s="26"/>
      <c r="C31" s="26"/>
      <c r="D31" s="32"/>
      <c r="E31" s="33">
        <f>SUM(E29:E30)</f>
        <v>116.94044700000001</v>
      </c>
      <c r="F31" s="34">
        <f>SUM(F29:F30)</f>
        <v>0.91401033526382602</v>
      </c>
      <c r="G31" s="33"/>
      <c r="H31" s="18"/>
      <c r="I31" s="18"/>
    </row>
    <row r="32" spans="1:9" x14ac:dyDescent="0.2">
      <c r="A32" s="27"/>
      <c r="B32" s="27"/>
      <c r="C32" s="27"/>
      <c r="D32" s="28"/>
      <c r="E32" s="29"/>
      <c r="F32" s="30"/>
      <c r="G32" s="29"/>
    </row>
    <row r="33" spans="1:9" x14ac:dyDescent="0.2">
      <c r="A33" s="26" t="s">
        <v>62</v>
      </c>
      <c r="B33" s="27"/>
      <c r="C33" s="27"/>
      <c r="D33" s="28"/>
      <c r="E33" s="29"/>
      <c r="F33" s="30"/>
      <c r="G33" s="29"/>
    </row>
    <row r="34" spans="1:9" x14ac:dyDescent="0.2">
      <c r="A34" s="27" t="s">
        <v>1440</v>
      </c>
      <c r="B34" s="27" t="s">
        <v>1441</v>
      </c>
      <c r="C34" s="27" t="s">
        <v>741</v>
      </c>
      <c r="D34" s="31">
        <v>111</v>
      </c>
      <c r="E34" s="29">
        <v>552.59518500000001</v>
      </c>
      <c r="F34" s="30">
        <v>4.3191019297799196</v>
      </c>
      <c r="G34" s="29">
        <v>3.3795999999999999</v>
      </c>
    </row>
    <row r="35" spans="1:9" x14ac:dyDescent="0.2">
      <c r="A35" s="26" t="s">
        <v>40</v>
      </c>
      <c r="B35" s="26"/>
      <c r="C35" s="26"/>
      <c r="D35" s="32"/>
      <c r="E35" s="33">
        <f>SUM(E33:E34)</f>
        <v>552.59518500000001</v>
      </c>
      <c r="F35" s="34">
        <f>SUM(F33:F34)</f>
        <v>4.3191019297799196</v>
      </c>
      <c r="G35" s="33"/>
      <c r="H35" s="18"/>
      <c r="I35" s="18"/>
    </row>
    <row r="36" spans="1:9" x14ac:dyDescent="0.2">
      <c r="A36" s="27"/>
      <c r="B36" s="27"/>
      <c r="C36" s="27"/>
      <c r="D36" s="28"/>
      <c r="E36" s="29"/>
      <c r="F36" s="30"/>
      <c r="G36" s="29"/>
    </row>
    <row r="37" spans="1:9" x14ac:dyDescent="0.2">
      <c r="A37" s="26" t="s">
        <v>65</v>
      </c>
      <c r="B37" s="27"/>
      <c r="C37" s="27"/>
      <c r="D37" s="28"/>
      <c r="E37" s="29"/>
      <c r="F37" s="30"/>
      <c r="G37" s="29"/>
    </row>
    <row r="38" spans="1:9" x14ac:dyDescent="0.2">
      <c r="A38" s="27" t="s">
        <v>832</v>
      </c>
      <c r="B38" s="27" t="s">
        <v>833</v>
      </c>
      <c r="C38" s="27" t="s">
        <v>81</v>
      </c>
      <c r="D38" s="31">
        <v>77000</v>
      </c>
      <c r="E38" s="29">
        <v>76.833063999999993</v>
      </c>
      <c r="F38" s="30">
        <v>0.60052972592098097</v>
      </c>
      <c r="G38" s="29">
        <v>3.0501999999999998</v>
      </c>
    </row>
    <row r="39" spans="1:9" x14ac:dyDescent="0.2">
      <c r="A39" s="26" t="s">
        <v>40</v>
      </c>
      <c r="B39" s="26"/>
      <c r="C39" s="26"/>
      <c r="D39" s="32"/>
      <c r="E39" s="33">
        <f>SUM(E37:E38)</f>
        <v>76.833063999999993</v>
      </c>
      <c r="F39" s="34">
        <f>SUM(F37:F38)</f>
        <v>0.60052972592098097</v>
      </c>
      <c r="G39" s="33"/>
      <c r="H39" s="18"/>
      <c r="I39" s="18"/>
    </row>
    <row r="40" spans="1:9" x14ac:dyDescent="0.2">
      <c r="A40" s="27"/>
      <c r="B40" s="27"/>
      <c r="C40" s="27"/>
      <c r="D40" s="28"/>
      <c r="E40" s="29"/>
      <c r="F40" s="30"/>
      <c r="G40" s="29"/>
    </row>
    <row r="41" spans="1:9" x14ac:dyDescent="0.2">
      <c r="A41" s="26" t="s">
        <v>44</v>
      </c>
      <c r="B41" s="26"/>
      <c r="C41" s="26"/>
      <c r="D41" s="32"/>
      <c r="E41" s="33">
        <f>E22+E26+E31+E35+E39</f>
        <v>10506.652458500001</v>
      </c>
      <c r="F41" s="34">
        <f>F22+F26+F31+F35+F39</f>
        <v>82.120337166952098</v>
      </c>
      <c r="G41" s="33"/>
      <c r="H41" s="18"/>
      <c r="I41" s="18"/>
    </row>
    <row r="42" spans="1:9" x14ac:dyDescent="0.2">
      <c r="A42" s="26"/>
      <c r="B42" s="26"/>
      <c r="C42" s="26"/>
      <c r="D42" s="32"/>
      <c r="E42" s="33"/>
      <c r="F42" s="34"/>
      <c r="G42" s="33"/>
      <c r="H42" s="18"/>
      <c r="I42" s="18"/>
    </row>
    <row r="43" spans="1:9" x14ac:dyDescent="0.2">
      <c r="A43" s="26" t="s">
        <v>46</v>
      </c>
      <c r="B43" s="26"/>
      <c r="C43" s="26"/>
      <c r="D43" s="32"/>
      <c r="E43" s="33">
        <f>E45-(E22+E26+E31+E35+E39)</f>
        <v>2287.5624959999986</v>
      </c>
      <c r="F43" s="34">
        <f>F45-(F22+F26+F31+F35+F39)</f>
        <v>17.879662833047902</v>
      </c>
      <c r="G43" s="33"/>
      <c r="H43" s="18"/>
      <c r="I43" s="18"/>
    </row>
    <row r="44" spans="1:9" x14ac:dyDescent="0.2">
      <c r="A44" s="26"/>
      <c r="B44" s="26"/>
      <c r="C44" s="26"/>
      <c r="D44" s="32"/>
      <c r="E44" s="33"/>
      <c r="F44" s="34"/>
      <c r="G44" s="33"/>
      <c r="H44" s="18"/>
      <c r="I44" s="18"/>
    </row>
    <row r="45" spans="1:9" x14ac:dyDescent="0.2">
      <c r="A45" s="35" t="s">
        <v>45</v>
      </c>
      <c r="B45" s="35"/>
      <c r="C45" s="35"/>
      <c r="D45" s="36"/>
      <c r="E45" s="37">
        <v>12794.214954499999</v>
      </c>
      <c r="F45" s="38">
        <v>100</v>
      </c>
      <c r="G45" s="37"/>
      <c r="H45" s="18"/>
      <c r="I45" s="18"/>
    </row>
    <row r="47" spans="1:9" x14ac:dyDescent="0.2">
      <c r="A47" s="18" t="s">
        <v>66</v>
      </c>
    </row>
    <row r="48" spans="1:9" x14ac:dyDescent="0.2">
      <c r="A48" s="18" t="s">
        <v>47</v>
      </c>
    </row>
    <row r="50" spans="1:4" x14ac:dyDescent="0.2">
      <c r="A50" s="18" t="s">
        <v>48</v>
      </c>
    </row>
    <row r="51" spans="1:4" x14ac:dyDescent="0.2">
      <c r="A51" s="18" t="s">
        <v>49</v>
      </c>
    </row>
    <row r="52" spans="1:4" x14ac:dyDescent="0.2">
      <c r="A52" s="18" t="s">
        <v>50</v>
      </c>
      <c r="B52" s="18"/>
      <c r="C52" s="39" t="s">
        <v>52</v>
      </c>
      <c r="D52" s="19" t="s">
        <v>51</v>
      </c>
    </row>
    <row r="53" spans="1:4" x14ac:dyDescent="0.2">
      <c r="A53" s="9" t="s">
        <v>70</v>
      </c>
      <c r="C53" s="40">
        <v>12.190099999999999</v>
      </c>
      <c r="D53" s="40">
        <v>12.4435</v>
      </c>
    </row>
    <row r="54" spans="1:4" x14ac:dyDescent="0.2">
      <c r="A54" s="9" t="s">
        <v>1324</v>
      </c>
      <c r="C54" s="40">
        <v>10.575699999999999</v>
      </c>
      <c r="D54" s="40">
        <v>10.795500000000001</v>
      </c>
    </row>
    <row r="55" spans="1:4" x14ac:dyDescent="0.2">
      <c r="A55" s="9" t="s">
        <v>72</v>
      </c>
      <c r="C55" s="40">
        <v>10.373100000000001</v>
      </c>
      <c r="D55" s="40">
        <v>10.2242</v>
      </c>
    </row>
    <row r="56" spans="1:4" x14ac:dyDescent="0.2">
      <c r="A56" s="9" t="s">
        <v>73</v>
      </c>
      <c r="C56" s="40">
        <v>12.263500000000001</v>
      </c>
      <c r="D56" s="40">
        <v>12.5184</v>
      </c>
    </row>
    <row r="57" spans="1:4" x14ac:dyDescent="0.2">
      <c r="A57" s="9" t="s">
        <v>77</v>
      </c>
      <c r="C57" s="40">
        <v>10.6495</v>
      </c>
      <c r="D57" s="40">
        <v>10.8711</v>
      </c>
    </row>
    <row r="58" spans="1:4" x14ac:dyDescent="0.2">
      <c r="A58" s="9" t="s">
        <v>75</v>
      </c>
      <c r="C58" s="40">
        <v>10.4099</v>
      </c>
      <c r="D58" s="40">
        <v>10.262</v>
      </c>
    </row>
    <row r="60" spans="1:4" x14ac:dyDescent="0.2">
      <c r="A60" s="18" t="s">
        <v>53</v>
      </c>
    </row>
    <row r="61" spans="1:4" x14ac:dyDescent="0.2">
      <c r="A61" s="74" t="s">
        <v>67</v>
      </c>
      <c r="B61" s="75"/>
      <c r="C61" s="44" t="s">
        <v>68</v>
      </c>
    </row>
    <row r="62" spans="1:4" x14ac:dyDescent="0.2">
      <c r="A62" s="68" t="s">
        <v>72</v>
      </c>
      <c r="B62" s="69"/>
      <c r="C62" s="45">
        <v>0.36</v>
      </c>
    </row>
    <row r="63" spans="1:4" x14ac:dyDescent="0.2">
      <c r="A63" s="68" t="s">
        <v>75</v>
      </c>
      <c r="B63" s="69"/>
      <c r="C63" s="45">
        <v>0.36</v>
      </c>
    </row>
    <row r="64" spans="1:4" x14ac:dyDescent="0.2">
      <c r="A64" s="9" t="s">
        <v>69</v>
      </c>
    </row>
    <row r="66" spans="1:7" x14ac:dyDescent="0.2">
      <c r="A66" s="18" t="s">
        <v>793</v>
      </c>
      <c r="D66" s="42">
        <v>7.47569664109589E-2</v>
      </c>
      <c r="E66" s="13" t="s">
        <v>55</v>
      </c>
    </row>
    <row r="68" spans="1:7" x14ac:dyDescent="0.2">
      <c r="A68" s="18" t="s">
        <v>1477</v>
      </c>
      <c r="D68" s="41" t="s">
        <v>54</v>
      </c>
    </row>
    <row r="70" spans="1:7" ht="14.4" x14ac:dyDescent="0.2">
      <c r="A70" s="70" t="s">
        <v>794</v>
      </c>
      <c r="B70" s="71"/>
      <c r="C70" s="71"/>
      <c r="D70" s="71"/>
      <c r="E70" s="71"/>
      <c r="F70" s="71"/>
      <c r="G70" s="71"/>
    </row>
    <row r="71" spans="1:7" x14ac:dyDescent="0.2">
      <c r="A71" s="50" t="s">
        <v>56</v>
      </c>
    </row>
    <row r="73" spans="1:7" x14ac:dyDescent="0.2">
      <c r="A73" s="50"/>
    </row>
  </sheetData>
  <mergeCells count="5">
    <mergeCell ref="A1:G1"/>
    <mergeCell ref="A61:B61"/>
    <mergeCell ref="A62:B62"/>
    <mergeCell ref="A63:B63"/>
    <mergeCell ref="A70:G70"/>
  </mergeCells>
  <conditionalFormatting sqref="F2:F3 F5:F69 F74:F65536">
    <cfRule type="cellIs" dxfId="62" priority="3" stopIfTrue="1" operator="between">
      <formula>0.009</formula>
      <formula>-0.009</formula>
    </cfRule>
  </conditionalFormatting>
  <conditionalFormatting sqref="F71">
    <cfRule type="cellIs" dxfId="61" priority="1" stopIfTrue="1" operator="between">
      <formula>0.009</formula>
      <formula>-0.009</formula>
    </cfRule>
  </conditionalFormatting>
  <conditionalFormatting sqref="F72:F73">
    <cfRule type="cellIs" dxfId="60" priority="2" stopIfTrue="1" operator="between">
      <formula>0.009</formula>
      <formula>-0.009</formula>
    </cfRule>
  </conditionalFormatting>
  <hyperlinks>
    <hyperlink ref="A71" r:id="rId1" xr:uid="{00000000-0004-0000-1D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9"/>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1451</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1398</v>
      </c>
      <c r="B7" s="27" t="s">
        <v>1399</v>
      </c>
      <c r="C7" s="27" t="s">
        <v>39</v>
      </c>
      <c r="D7" s="31">
        <v>61</v>
      </c>
      <c r="E7" s="29">
        <v>778.71745999999996</v>
      </c>
      <c r="F7" s="30">
        <v>10.023446446357299</v>
      </c>
      <c r="G7" s="29">
        <v>3.63</v>
      </c>
    </row>
    <row r="8" spans="1:7" x14ac:dyDescent="0.2">
      <c r="A8" s="27" t="s">
        <v>1412</v>
      </c>
      <c r="B8" s="27" t="s">
        <v>1413</v>
      </c>
      <c r="C8" s="27" t="s">
        <v>898</v>
      </c>
      <c r="D8" s="31">
        <v>61</v>
      </c>
      <c r="E8" s="29">
        <v>614.26939000000004</v>
      </c>
      <c r="F8" s="30">
        <v>7.90671411721212</v>
      </c>
      <c r="G8" s="29">
        <v>3.3599000000000001</v>
      </c>
    </row>
    <row r="9" spans="1:7" x14ac:dyDescent="0.2">
      <c r="A9" s="27" t="s">
        <v>1445</v>
      </c>
      <c r="B9" s="27" t="s">
        <v>1446</v>
      </c>
      <c r="C9" s="27" t="s">
        <v>39</v>
      </c>
      <c r="D9" s="31">
        <v>61</v>
      </c>
      <c r="E9" s="29">
        <v>613.21957999999995</v>
      </c>
      <c r="F9" s="30">
        <v>7.8932012388520398</v>
      </c>
      <c r="G9" s="29">
        <v>3.4249999999999998</v>
      </c>
    </row>
    <row r="10" spans="1:7" x14ac:dyDescent="0.2">
      <c r="A10" s="27" t="s">
        <v>1443</v>
      </c>
      <c r="B10" s="27" t="s">
        <v>1444</v>
      </c>
      <c r="C10" s="27" t="s">
        <v>39</v>
      </c>
      <c r="D10" s="31">
        <v>61</v>
      </c>
      <c r="E10" s="29">
        <v>612.67728999999997</v>
      </c>
      <c r="F10" s="30">
        <v>7.8862210245219302</v>
      </c>
      <c r="G10" s="29">
        <v>3.3748</v>
      </c>
    </row>
    <row r="11" spans="1:7" x14ac:dyDescent="0.2">
      <c r="A11" s="27" t="s">
        <v>924</v>
      </c>
      <c r="B11" s="27" t="s">
        <v>925</v>
      </c>
      <c r="C11" s="27" t="s">
        <v>898</v>
      </c>
      <c r="D11" s="31">
        <v>40</v>
      </c>
      <c r="E11" s="29">
        <v>509.89519999999999</v>
      </c>
      <c r="F11" s="30">
        <v>6.5632369800140902</v>
      </c>
      <c r="G11" s="29">
        <v>4.4250999999999996</v>
      </c>
    </row>
    <row r="12" spans="1:7" x14ac:dyDescent="0.2">
      <c r="A12" s="27" t="s">
        <v>1302</v>
      </c>
      <c r="B12" s="27" t="s">
        <v>1303</v>
      </c>
      <c r="C12" s="27" t="s">
        <v>39</v>
      </c>
      <c r="D12" s="31">
        <v>5</v>
      </c>
      <c r="E12" s="29">
        <v>500.35</v>
      </c>
      <c r="F12" s="30">
        <v>6.4403736747277698</v>
      </c>
      <c r="G12" s="29">
        <v>3.3487</v>
      </c>
    </row>
    <row r="13" spans="1:7" x14ac:dyDescent="0.2">
      <c r="A13" s="27" t="s">
        <v>948</v>
      </c>
      <c r="B13" s="27" t="s">
        <v>949</v>
      </c>
      <c r="C13" s="27" t="s">
        <v>39</v>
      </c>
      <c r="D13" s="31">
        <v>38</v>
      </c>
      <c r="E13" s="29">
        <v>380.73378000000002</v>
      </c>
      <c r="F13" s="30">
        <v>4.9007051339893897</v>
      </c>
      <c r="G13" s="29">
        <v>3.1497000000000002</v>
      </c>
    </row>
    <row r="14" spans="1:7" x14ac:dyDescent="0.2">
      <c r="A14" s="27" t="s">
        <v>1375</v>
      </c>
      <c r="B14" s="27" t="s">
        <v>1376</v>
      </c>
      <c r="C14" s="27" t="s">
        <v>39</v>
      </c>
      <c r="D14" s="31">
        <v>30</v>
      </c>
      <c r="E14" s="29">
        <v>380.12580000000003</v>
      </c>
      <c r="F14" s="30">
        <v>4.8928793752469897</v>
      </c>
      <c r="G14" s="29">
        <v>3.4500999999999999</v>
      </c>
    </row>
    <row r="15" spans="1:7" x14ac:dyDescent="0.2">
      <c r="A15" s="27" t="s">
        <v>1427</v>
      </c>
      <c r="B15" s="27" t="s">
        <v>1428</v>
      </c>
      <c r="C15" s="27" t="s">
        <v>39</v>
      </c>
      <c r="D15" s="31">
        <v>21</v>
      </c>
      <c r="E15" s="29">
        <v>210.38766000000001</v>
      </c>
      <c r="F15" s="30">
        <v>2.7080546556442</v>
      </c>
      <c r="G15" s="29">
        <v>3.2450000000000001</v>
      </c>
    </row>
    <row r="16" spans="1:7" x14ac:dyDescent="0.2">
      <c r="A16" s="27" t="s">
        <v>1245</v>
      </c>
      <c r="B16" s="27" t="s">
        <v>1246</v>
      </c>
      <c r="C16" s="27" t="s">
        <v>970</v>
      </c>
      <c r="D16" s="31">
        <v>10</v>
      </c>
      <c r="E16" s="29">
        <v>126.4255</v>
      </c>
      <c r="F16" s="30">
        <v>1.62731580296651</v>
      </c>
      <c r="G16" s="29">
        <v>3.7498999999999998</v>
      </c>
    </row>
    <row r="17" spans="1:9" x14ac:dyDescent="0.2">
      <c r="A17" s="27" t="s">
        <v>1422</v>
      </c>
      <c r="B17" s="27" t="s">
        <v>1423</v>
      </c>
      <c r="C17" s="27" t="s">
        <v>39</v>
      </c>
      <c r="D17" s="31">
        <v>10</v>
      </c>
      <c r="E17" s="29">
        <v>100.7097</v>
      </c>
      <c r="F17" s="30">
        <v>1.2963087851898301</v>
      </c>
      <c r="G17" s="29">
        <v>3.375</v>
      </c>
    </row>
    <row r="18" spans="1:9" x14ac:dyDescent="0.2">
      <c r="A18" s="27" t="s">
        <v>1243</v>
      </c>
      <c r="B18" s="27" t="s">
        <v>1244</v>
      </c>
      <c r="C18" s="27" t="s">
        <v>39</v>
      </c>
      <c r="D18" s="31">
        <v>2</v>
      </c>
      <c r="E18" s="29">
        <v>20.044699999999999</v>
      </c>
      <c r="F18" s="30">
        <v>0.25801010931910801</v>
      </c>
      <c r="G18" s="29">
        <v>4.125</v>
      </c>
    </row>
    <row r="19" spans="1:9" x14ac:dyDescent="0.2">
      <c r="A19" s="27" t="s">
        <v>1420</v>
      </c>
      <c r="B19" s="27" t="s">
        <v>1421</v>
      </c>
      <c r="C19" s="27" t="s">
        <v>39</v>
      </c>
      <c r="D19" s="31">
        <v>1</v>
      </c>
      <c r="E19" s="29">
        <v>12.674799999999999</v>
      </c>
      <c r="F19" s="30">
        <v>0.16314669381920599</v>
      </c>
      <c r="G19" s="29">
        <v>3.7250999999999999</v>
      </c>
    </row>
    <row r="20" spans="1:9" x14ac:dyDescent="0.2">
      <c r="A20" s="27" t="s">
        <v>1416</v>
      </c>
      <c r="B20" s="27" t="s">
        <v>1417</v>
      </c>
      <c r="C20" s="27" t="s">
        <v>898</v>
      </c>
      <c r="D20" s="31">
        <v>1</v>
      </c>
      <c r="E20" s="29">
        <v>10.052960000000001</v>
      </c>
      <c r="F20" s="30">
        <v>0.12939905853320899</v>
      </c>
      <c r="G20" s="29">
        <v>3.2997000000000001</v>
      </c>
    </row>
    <row r="21" spans="1:9" x14ac:dyDescent="0.2">
      <c r="A21" s="26" t="s">
        <v>40</v>
      </c>
      <c r="B21" s="26"/>
      <c r="C21" s="26"/>
      <c r="D21" s="32"/>
      <c r="E21" s="33">
        <f>SUM(E6:E20)</f>
        <v>4870.2838200000006</v>
      </c>
      <c r="F21" s="34">
        <f>SUM(F6:F20)</f>
        <v>62.689013096393694</v>
      </c>
      <c r="G21" s="33"/>
      <c r="H21" s="18"/>
      <c r="I21" s="18"/>
    </row>
    <row r="22" spans="1:9" x14ac:dyDescent="0.2">
      <c r="A22" s="27"/>
      <c r="B22" s="27"/>
      <c r="C22" s="27"/>
      <c r="D22" s="28"/>
      <c r="E22" s="29"/>
      <c r="F22" s="30"/>
      <c r="G22" s="29"/>
    </row>
    <row r="23" spans="1:9" x14ac:dyDescent="0.2">
      <c r="A23" s="26" t="s">
        <v>41</v>
      </c>
      <c r="B23" s="27"/>
      <c r="C23" s="27"/>
      <c r="D23" s="28"/>
      <c r="E23" s="29"/>
      <c r="F23" s="30"/>
      <c r="G23" s="29"/>
    </row>
    <row r="24" spans="1:9" x14ac:dyDescent="0.2">
      <c r="A24" s="27" t="s">
        <v>1449</v>
      </c>
      <c r="B24" s="27" t="s">
        <v>1450</v>
      </c>
      <c r="C24" s="27" t="s">
        <v>39</v>
      </c>
      <c r="D24" s="31">
        <v>61</v>
      </c>
      <c r="E24" s="29">
        <v>611.59880999999996</v>
      </c>
      <c r="F24" s="30">
        <v>7.8723391134582403</v>
      </c>
      <c r="G24" s="29">
        <v>3.9499</v>
      </c>
    </row>
    <row r="25" spans="1:9" x14ac:dyDescent="0.2">
      <c r="A25" s="26" t="s">
        <v>40</v>
      </c>
      <c r="B25" s="26"/>
      <c r="C25" s="26"/>
      <c r="D25" s="32"/>
      <c r="E25" s="33">
        <f>SUM(E23:E24)</f>
        <v>611.59880999999996</v>
      </c>
      <c r="F25" s="34">
        <f>SUM(F23:F24)</f>
        <v>7.8723391134582403</v>
      </c>
      <c r="G25" s="33"/>
      <c r="H25" s="18"/>
      <c r="I25" s="18"/>
    </row>
    <row r="26" spans="1:9" x14ac:dyDescent="0.2">
      <c r="A26" s="27"/>
      <c r="B26" s="27"/>
      <c r="C26" s="27"/>
      <c r="D26" s="28"/>
      <c r="E26" s="29"/>
      <c r="F26" s="30"/>
      <c r="G26" s="29"/>
    </row>
    <row r="27" spans="1:9" x14ac:dyDescent="0.2">
      <c r="A27" s="26" t="s">
        <v>58</v>
      </c>
      <c r="B27" s="27"/>
      <c r="C27" s="27"/>
      <c r="D27" s="28"/>
      <c r="E27" s="29"/>
      <c r="F27" s="30"/>
      <c r="G27" s="29"/>
    </row>
    <row r="28" spans="1:9" x14ac:dyDescent="0.2">
      <c r="A28" s="26" t="s">
        <v>59</v>
      </c>
      <c r="B28" s="27"/>
      <c r="C28" s="27"/>
      <c r="D28" s="28"/>
      <c r="E28" s="29"/>
      <c r="F28" s="30"/>
      <c r="G28" s="29"/>
    </row>
    <row r="29" spans="1:9" x14ac:dyDescent="0.2">
      <c r="A29" s="27" t="s">
        <v>811</v>
      </c>
      <c r="B29" s="27" t="s">
        <v>812</v>
      </c>
      <c r="C29" s="27" t="s">
        <v>60</v>
      </c>
      <c r="D29" s="31">
        <v>56</v>
      </c>
      <c r="E29" s="29">
        <v>55.971496000000002</v>
      </c>
      <c r="F29" s="30">
        <v>0.720450383478626</v>
      </c>
      <c r="G29" s="29">
        <v>3.0979999999999999</v>
      </c>
    </row>
    <row r="30" spans="1:9" x14ac:dyDescent="0.2">
      <c r="A30" s="26" t="s">
        <v>40</v>
      </c>
      <c r="B30" s="26"/>
      <c r="C30" s="26"/>
      <c r="D30" s="32"/>
      <c r="E30" s="33">
        <f>SUM(E28:E29)</f>
        <v>55.971496000000002</v>
      </c>
      <c r="F30" s="34">
        <f>SUM(F28:F29)</f>
        <v>0.720450383478626</v>
      </c>
      <c r="G30" s="33"/>
      <c r="H30" s="18"/>
      <c r="I30" s="18"/>
    </row>
    <row r="31" spans="1:9" x14ac:dyDescent="0.2">
      <c r="A31" s="27"/>
      <c r="B31" s="27"/>
      <c r="C31" s="27"/>
      <c r="D31" s="28"/>
      <c r="E31" s="29"/>
      <c r="F31" s="30"/>
      <c r="G31" s="29"/>
    </row>
    <row r="32" spans="1:9" x14ac:dyDescent="0.2">
      <c r="A32" s="26" t="s">
        <v>62</v>
      </c>
      <c r="B32" s="27"/>
      <c r="C32" s="27"/>
      <c r="D32" s="28"/>
      <c r="E32" s="29"/>
      <c r="F32" s="30"/>
      <c r="G32" s="29"/>
    </row>
    <row r="33" spans="1:9" x14ac:dyDescent="0.2">
      <c r="A33" s="27" t="s">
        <v>1440</v>
      </c>
      <c r="B33" s="27" t="s">
        <v>1441</v>
      </c>
      <c r="C33" s="27" t="s">
        <v>741</v>
      </c>
      <c r="D33" s="31">
        <v>65</v>
      </c>
      <c r="E33" s="29">
        <v>323.59177499999998</v>
      </c>
      <c r="F33" s="30">
        <v>4.1651882663504196</v>
      </c>
      <c r="G33" s="29">
        <v>3.3795999999999999</v>
      </c>
    </row>
    <row r="34" spans="1:9" x14ac:dyDescent="0.2">
      <c r="A34" s="26" t="s">
        <v>40</v>
      </c>
      <c r="B34" s="26"/>
      <c r="C34" s="26"/>
      <c r="D34" s="32"/>
      <c r="E34" s="33">
        <f>SUM(E32:E33)</f>
        <v>323.59177499999998</v>
      </c>
      <c r="F34" s="34">
        <f>SUM(F32:F33)</f>
        <v>4.1651882663504196</v>
      </c>
      <c r="G34" s="33"/>
      <c r="H34" s="18"/>
      <c r="I34" s="18"/>
    </row>
    <row r="35" spans="1:9" x14ac:dyDescent="0.2">
      <c r="A35" s="27"/>
      <c r="B35" s="27"/>
      <c r="C35" s="27"/>
      <c r="D35" s="28"/>
      <c r="E35" s="29"/>
      <c r="F35" s="30"/>
      <c r="G35" s="29"/>
    </row>
    <row r="36" spans="1:9" x14ac:dyDescent="0.2">
      <c r="A36" s="26" t="s">
        <v>65</v>
      </c>
      <c r="B36" s="27"/>
      <c r="C36" s="27"/>
      <c r="D36" s="28"/>
      <c r="E36" s="29"/>
      <c r="F36" s="30"/>
      <c r="G36" s="29"/>
    </row>
    <row r="37" spans="1:9" x14ac:dyDescent="0.2">
      <c r="A37" s="27" t="s">
        <v>832</v>
      </c>
      <c r="B37" s="27" t="s">
        <v>833</v>
      </c>
      <c r="C37" s="27" t="s">
        <v>81</v>
      </c>
      <c r="D37" s="31">
        <v>120000</v>
      </c>
      <c r="E37" s="29">
        <v>119.73984</v>
      </c>
      <c r="F37" s="30">
        <v>1.54125974488281</v>
      </c>
      <c r="G37" s="29">
        <v>3.0501999999999998</v>
      </c>
    </row>
    <row r="38" spans="1:9" x14ac:dyDescent="0.2">
      <c r="A38" s="26" t="s">
        <v>40</v>
      </c>
      <c r="B38" s="26"/>
      <c r="C38" s="26"/>
      <c r="D38" s="32"/>
      <c r="E38" s="33">
        <f>SUM(E36:E37)</f>
        <v>119.73984</v>
      </c>
      <c r="F38" s="34">
        <f>SUM(F36:F37)</f>
        <v>1.54125974488281</v>
      </c>
      <c r="G38" s="33"/>
      <c r="H38" s="18"/>
      <c r="I38" s="18"/>
    </row>
    <row r="39" spans="1:9" x14ac:dyDescent="0.2">
      <c r="A39" s="27"/>
      <c r="B39" s="27"/>
      <c r="C39" s="27"/>
      <c r="D39" s="28"/>
      <c r="E39" s="29"/>
      <c r="F39" s="30"/>
      <c r="G39" s="29"/>
    </row>
    <row r="40" spans="1:9" x14ac:dyDescent="0.2">
      <c r="A40" s="26" t="s">
        <v>44</v>
      </c>
      <c r="B40" s="26"/>
      <c r="C40" s="26"/>
      <c r="D40" s="32"/>
      <c r="E40" s="33">
        <f>E21+E25+E30+E34+E38</f>
        <v>5981.1857410000002</v>
      </c>
      <c r="F40" s="34">
        <f>F21+F25+F30+F34+F38</f>
        <v>76.988250604563774</v>
      </c>
      <c r="G40" s="33"/>
      <c r="H40" s="18"/>
      <c r="I40" s="18"/>
    </row>
    <row r="41" spans="1:9" x14ac:dyDescent="0.2">
      <c r="A41" s="26"/>
      <c r="B41" s="26"/>
      <c r="C41" s="26"/>
      <c r="D41" s="32"/>
      <c r="E41" s="33"/>
      <c r="F41" s="34"/>
      <c r="G41" s="33"/>
      <c r="H41" s="18"/>
      <c r="I41" s="18"/>
    </row>
    <row r="42" spans="1:9" x14ac:dyDescent="0.2">
      <c r="A42" s="26" t="s">
        <v>46</v>
      </c>
      <c r="B42" s="26"/>
      <c r="C42" s="26"/>
      <c r="D42" s="32"/>
      <c r="E42" s="33">
        <f>E44-(E21+E25+E30+E34+E38)</f>
        <v>1787.7734105999998</v>
      </c>
      <c r="F42" s="34">
        <f>F44-(F21+F25+F30+F34+F38)</f>
        <v>23.011749395436226</v>
      </c>
      <c r="G42" s="33"/>
      <c r="H42" s="18"/>
      <c r="I42" s="18"/>
    </row>
    <row r="43" spans="1:9" x14ac:dyDescent="0.2">
      <c r="A43" s="26"/>
      <c r="B43" s="26"/>
      <c r="C43" s="26"/>
      <c r="D43" s="32"/>
      <c r="E43" s="33"/>
      <c r="F43" s="34"/>
      <c r="G43" s="33"/>
      <c r="H43" s="18"/>
      <c r="I43" s="18"/>
    </row>
    <row r="44" spans="1:9" x14ac:dyDescent="0.2">
      <c r="A44" s="35" t="s">
        <v>45</v>
      </c>
      <c r="B44" s="35"/>
      <c r="C44" s="35"/>
      <c r="D44" s="36"/>
      <c r="E44" s="37">
        <v>7768.9591516</v>
      </c>
      <c r="F44" s="38">
        <v>100</v>
      </c>
      <c r="G44" s="37"/>
      <c r="H44" s="18"/>
      <c r="I44" s="18"/>
    </row>
    <row r="46" spans="1:9" x14ac:dyDescent="0.2">
      <c r="A46" s="18" t="s">
        <v>66</v>
      </c>
    </row>
    <row r="47" spans="1:9" x14ac:dyDescent="0.2">
      <c r="A47" s="18" t="s">
        <v>47</v>
      </c>
    </row>
    <row r="49" spans="1:5" x14ac:dyDescent="0.2">
      <c r="A49" s="18" t="s">
        <v>48</v>
      </c>
    </row>
    <row r="50" spans="1:5" x14ac:dyDescent="0.2">
      <c r="A50" s="18" t="s">
        <v>49</v>
      </c>
    </row>
    <row r="51" spans="1:5" x14ac:dyDescent="0.2">
      <c r="A51" s="18" t="s">
        <v>50</v>
      </c>
      <c r="B51" s="18"/>
      <c r="C51" s="39" t="s">
        <v>52</v>
      </c>
      <c r="D51" s="19" t="s">
        <v>51</v>
      </c>
    </row>
    <row r="52" spans="1:5" x14ac:dyDescent="0.2">
      <c r="A52" s="9" t="s">
        <v>70</v>
      </c>
      <c r="C52" s="40">
        <v>12.262600000000001</v>
      </c>
      <c r="D52" s="40">
        <v>12.518700000000001</v>
      </c>
    </row>
    <row r="53" spans="1:5" x14ac:dyDescent="0.2">
      <c r="A53" s="9" t="s">
        <v>1324</v>
      </c>
      <c r="C53" s="40">
        <v>10.5852</v>
      </c>
      <c r="D53" s="40">
        <v>10.807</v>
      </c>
    </row>
    <row r="54" spans="1:5" x14ac:dyDescent="0.2">
      <c r="A54" s="9" t="s">
        <v>72</v>
      </c>
      <c r="C54" s="40">
        <v>10.380599999999999</v>
      </c>
      <c r="D54" s="40">
        <v>10.2387</v>
      </c>
    </row>
    <row r="55" spans="1:5" x14ac:dyDescent="0.2">
      <c r="A55" s="9" t="s">
        <v>73</v>
      </c>
      <c r="C55" s="40">
        <v>12.3241</v>
      </c>
      <c r="D55" s="40">
        <v>12.5814</v>
      </c>
    </row>
    <row r="57" spans="1:5" x14ac:dyDescent="0.2">
      <c r="A57" s="18" t="s">
        <v>53</v>
      </c>
    </row>
    <row r="58" spans="1:5" x14ac:dyDescent="0.2">
      <c r="A58" s="74" t="s">
        <v>67</v>
      </c>
      <c r="B58" s="75"/>
      <c r="C58" s="44" t="s">
        <v>68</v>
      </c>
    </row>
    <row r="59" spans="1:5" x14ac:dyDescent="0.2">
      <c r="A59" s="68" t="s">
        <v>72</v>
      </c>
      <c r="B59" s="69"/>
      <c r="C59" s="45">
        <v>0.35499999999999998</v>
      </c>
    </row>
    <row r="60" spans="1:5" x14ac:dyDescent="0.2">
      <c r="A60" s="9" t="s">
        <v>69</v>
      </c>
    </row>
    <row r="62" spans="1:5" x14ac:dyDescent="0.2">
      <c r="A62" s="18" t="s">
        <v>793</v>
      </c>
      <c r="D62" s="42">
        <v>7.1825614356164399E-2</v>
      </c>
      <c r="E62" s="13" t="s">
        <v>55</v>
      </c>
    </row>
    <row r="64" spans="1:5" x14ac:dyDescent="0.2">
      <c r="A64" s="18" t="s">
        <v>1477</v>
      </c>
      <c r="D64" s="41" t="s">
        <v>54</v>
      </c>
    </row>
    <row r="66" spans="1:7" ht="14.4" x14ac:dyDescent="0.2">
      <c r="A66" s="70" t="s">
        <v>794</v>
      </c>
      <c r="B66" s="71"/>
      <c r="C66" s="71"/>
      <c r="D66" s="71"/>
      <c r="E66" s="71"/>
      <c r="F66" s="71"/>
      <c r="G66" s="71"/>
    </row>
    <row r="67" spans="1:7" x14ac:dyDescent="0.2">
      <c r="A67" s="50" t="s">
        <v>56</v>
      </c>
    </row>
    <row r="69" spans="1:7" x14ac:dyDescent="0.2">
      <c r="A69" s="50"/>
    </row>
  </sheetData>
  <mergeCells count="4">
    <mergeCell ref="A1:G1"/>
    <mergeCell ref="A58:B58"/>
    <mergeCell ref="A59:B59"/>
    <mergeCell ref="A66:G66"/>
  </mergeCells>
  <conditionalFormatting sqref="F2:F3 F5:F65 F70:F65536">
    <cfRule type="cellIs" dxfId="59" priority="3" stopIfTrue="1" operator="between">
      <formula>0.009</formula>
      <formula>-0.009</formula>
    </cfRule>
  </conditionalFormatting>
  <conditionalFormatting sqref="F67">
    <cfRule type="cellIs" dxfId="58" priority="1" stopIfTrue="1" operator="between">
      <formula>0.009</formula>
      <formula>-0.009</formula>
    </cfRule>
  </conditionalFormatting>
  <conditionalFormatting sqref="F68:F69">
    <cfRule type="cellIs" dxfId="57" priority="2" stopIfTrue="1" operator="between">
      <formula>0.009</formula>
      <formula>-0.009</formula>
    </cfRule>
  </conditionalFormatting>
  <hyperlinks>
    <hyperlink ref="A67" r:id="rId1" xr:uid="{00000000-0004-0000-1E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5"/>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15.5546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1452</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1398</v>
      </c>
      <c r="B7" s="27" t="s">
        <v>1399</v>
      </c>
      <c r="C7" s="27" t="s">
        <v>39</v>
      </c>
      <c r="D7" s="31">
        <v>67</v>
      </c>
      <c r="E7" s="29">
        <v>855.31262000000004</v>
      </c>
      <c r="F7" s="30">
        <v>9.9799501121278897</v>
      </c>
      <c r="G7" s="29">
        <v>3.63</v>
      </c>
    </row>
    <row r="8" spans="1:7" x14ac:dyDescent="0.2">
      <c r="A8" s="27" t="s">
        <v>1438</v>
      </c>
      <c r="B8" s="27" t="s">
        <v>1439</v>
      </c>
      <c r="C8" s="27" t="s">
        <v>39</v>
      </c>
      <c r="D8" s="31">
        <v>86</v>
      </c>
      <c r="E8" s="29">
        <v>855.04124000000002</v>
      </c>
      <c r="F8" s="30">
        <v>9.9767835987407398</v>
      </c>
      <c r="G8" s="29">
        <v>3.65</v>
      </c>
    </row>
    <row r="9" spans="1:7" x14ac:dyDescent="0.2">
      <c r="A9" s="27" t="s">
        <v>948</v>
      </c>
      <c r="B9" s="27" t="s">
        <v>949</v>
      </c>
      <c r="C9" s="27" t="s">
        <v>39</v>
      </c>
      <c r="D9" s="31">
        <v>72</v>
      </c>
      <c r="E9" s="29">
        <v>721.39031999999997</v>
      </c>
      <c r="F9" s="30">
        <v>8.4173192779173203</v>
      </c>
      <c r="G9" s="29">
        <v>3.1497000000000002</v>
      </c>
    </row>
    <row r="10" spans="1:7" x14ac:dyDescent="0.2">
      <c r="A10" s="27" t="s">
        <v>1412</v>
      </c>
      <c r="B10" s="27" t="s">
        <v>1413</v>
      </c>
      <c r="C10" s="27" t="s">
        <v>898</v>
      </c>
      <c r="D10" s="31">
        <v>68</v>
      </c>
      <c r="E10" s="29">
        <v>684.75932</v>
      </c>
      <c r="F10" s="30">
        <v>7.9899018120586298</v>
      </c>
      <c r="G10" s="29">
        <v>3.3599000000000001</v>
      </c>
    </row>
    <row r="11" spans="1:7" x14ac:dyDescent="0.2">
      <c r="A11" s="27" t="s">
        <v>1445</v>
      </c>
      <c r="B11" s="27" t="s">
        <v>1446</v>
      </c>
      <c r="C11" s="27" t="s">
        <v>39</v>
      </c>
      <c r="D11" s="31">
        <v>68</v>
      </c>
      <c r="E11" s="29">
        <v>683.58903999999995</v>
      </c>
      <c r="F11" s="30">
        <v>7.9762467627303302</v>
      </c>
      <c r="G11" s="29">
        <v>3.4249999999999998</v>
      </c>
    </row>
    <row r="12" spans="1:7" x14ac:dyDescent="0.2">
      <c r="A12" s="27" t="s">
        <v>1443</v>
      </c>
      <c r="B12" s="27" t="s">
        <v>1444</v>
      </c>
      <c r="C12" s="27" t="s">
        <v>39</v>
      </c>
      <c r="D12" s="31">
        <v>68</v>
      </c>
      <c r="E12" s="29">
        <v>682.98451999999997</v>
      </c>
      <c r="F12" s="30">
        <v>7.96919310854505</v>
      </c>
      <c r="G12" s="29">
        <v>3.3748</v>
      </c>
    </row>
    <row r="13" spans="1:7" x14ac:dyDescent="0.2">
      <c r="A13" s="27" t="s">
        <v>1453</v>
      </c>
      <c r="B13" s="27" t="s">
        <v>1454</v>
      </c>
      <c r="C13" s="27" t="s">
        <v>39</v>
      </c>
      <c r="D13" s="31">
        <v>50</v>
      </c>
      <c r="E13" s="29">
        <v>500.64100000000002</v>
      </c>
      <c r="F13" s="30">
        <v>5.8415742820277998</v>
      </c>
      <c r="G13" s="29">
        <v>3.4249000000000001</v>
      </c>
    </row>
    <row r="14" spans="1:7" x14ac:dyDescent="0.2">
      <c r="A14" s="27" t="s">
        <v>1243</v>
      </c>
      <c r="B14" s="27" t="s">
        <v>1244</v>
      </c>
      <c r="C14" s="27" t="s">
        <v>39</v>
      </c>
      <c r="D14" s="31">
        <v>7</v>
      </c>
      <c r="E14" s="29">
        <v>70.156450000000007</v>
      </c>
      <c r="F14" s="30">
        <v>0.81859878443509304</v>
      </c>
      <c r="G14" s="29">
        <v>4.125</v>
      </c>
    </row>
    <row r="15" spans="1:7" x14ac:dyDescent="0.2">
      <c r="A15" s="27" t="s">
        <v>1427</v>
      </c>
      <c r="B15" s="27" t="s">
        <v>1428</v>
      </c>
      <c r="C15" s="27" t="s">
        <v>39</v>
      </c>
      <c r="D15" s="31">
        <v>6</v>
      </c>
      <c r="E15" s="29">
        <v>60.110759999999999</v>
      </c>
      <c r="F15" s="30">
        <v>0.70138376539105995</v>
      </c>
      <c r="G15" s="29">
        <v>3.2450000000000001</v>
      </c>
    </row>
    <row r="16" spans="1:7" x14ac:dyDescent="0.2">
      <c r="A16" s="27" t="s">
        <v>1420</v>
      </c>
      <c r="B16" s="27" t="s">
        <v>1421</v>
      </c>
      <c r="C16" s="27" t="s">
        <v>39</v>
      </c>
      <c r="D16" s="31">
        <v>4</v>
      </c>
      <c r="E16" s="29">
        <v>50.699199999999998</v>
      </c>
      <c r="F16" s="30">
        <v>0.59156789563656198</v>
      </c>
      <c r="G16" s="29">
        <v>3.7250999999999999</v>
      </c>
    </row>
    <row r="17" spans="1:9" x14ac:dyDescent="0.2">
      <c r="A17" s="27" t="s">
        <v>1245</v>
      </c>
      <c r="B17" s="27" t="s">
        <v>1246</v>
      </c>
      <c r="C17" s="27" t="s">
        <v>970</v>
      </c>
      <c r="D17" s="31">
        <v>3</v>
      </c>
      <c r="E17" s="29">
        <v>37.92765</v>
      </c>
      <c r="F17" s="30">
        <v>0.44254702435028698</v>
      </c>
      <c r="G17" s="29">
        <v>3.7498999999999998</v>
      </c>
    </row>
    <row r="18" spans="1:9" x14ac:dyDescent="0.2">
      <c r="A18" s="27" t="s">
        <v>1422</v>
      </c>
      <c r="B18" s="27" t="s">
        <v>1423</v>
      </c>
      <c r="C18" s="27" t="s">
        <v>39</v>
      </c>
      <c r="D18" s="31">
        <v>3</v>
      </c>
      <c r="E18" s="29">
        <v>30.212910000000001</v>
      </c>
      <c r="F18" s="30">
        <v>0.35252997265749397</v>
      </c>
      <c r="G18" s="29">
        <v>3.375</v>
      </c>
    </row>
    <row r="19" spans="1:9" x14ac:dyDescent="0.2">
      <c r="A19" s="26" t="s">
        <v>40</v>
      </c>
      <c r="B19" s="26"/>
      <c r="C19" s="26"/>
      <c r="D19" s="32"/>
      <c r="E19" s="33">
        <f>SUM(E6:E18)</f>
        <v>5232.8250299999991</v>
      </c>
      <c r="F19" s="34">
        <f>SUM(F6:F18)</f>
        <v>61.057596396618258</v>
      </c>
      <c r="G19" s="33"/>
      <c r="H19" s="18"/>
      <c r="I19" s="18"/>
    </row>
    <row r="20" spans="1:9" x14ac:dyDescent="0.2">
      <c r="A20" s="27"/>
      <c r="B20" s="27"/>
      <c r="C20" s="27"/>
      <c r="D20" s="28"/>
      <c r="E20" s="29"/>
      <c r="F20" s="30"/>
      <c r="G20" s="29"/>
    </row>
    <row r="21" spans="1:9" x14ac:dyDescent="0.2">
      <c r="A21" s="26" t="s">
        <v>41</v>
      </c>
      <c r="B21" s="27"/>
      <c r="C21" s="27"/>
      <c r="D21" s="28"/>
      <c r="E21" s="29"/>
      <c r="F21" s="30"/>
      <c r="G21" s="29"/>
    </row>
    <row r="22" spans="1:9" x14ac:dyDescent="0.2">
      <c r="A22" s="27" t="s">
        <v>1449</v>
      </c>
      <c r="B22" s="27" t="s">
        <v>1450</v>
      </c>
      <c r="C22" s="27" t="s">
        <v>39</v>
      </c>
      <c r="D22" s="31">
        <v>68</v>
      </c>
      <c r="E22" s="29">
        <v>681.78228000000001</v>
      </c>
      <c r="F22" s="30">
        <v>7.9551651438661199</v>
      </c>
      <c r="G22" s="29">
        <v>3.9499</v>
      </c>
    </row>
    <row r="23" spans="1:9" x14ac:dyDescent="0.2">
      <c r="A23" s="27" t="s">
        <v>954</v>
      </c>
      <c r="B23" s="27" t="s">
        <v>955</v>
      </c>
      <c r="C23" s="27" t="s">
        <v>39</v>
      </c>
      <c r="D23" s="31">
        <v>12</v>
      </c>
      <c r="E23" s="29">
        <v>120.7158</v>
      </c>
      <c r="F23" s="30">
        <v>1.4085348837079099</v>
      </c>
      <c r="G23" s="29">
        <v>3.4870000000000001</v>
      </c>
    </row>
    <row r="24" spans="1:9" x14ac:dyDescent="0.2">
      <c r="A24" s="26" t="s">
        <v>40</v>
      </c>
      <c r="B24" s="26"/>
      <c r="C24" s="26"/>
      <c r="D24" s="32"/>
      <c r="E24" s="33">
        <f>SUM(E21:E23)</f>
        <v>802.49808000000007</v>
      </c>
      <c r="F24" s="34">
        <f>SUM(F21:F23)</f>
        <v>9.3637000275740299</v>
      </c>
      <c r="G24" s="33"/>
      <c r="H24" s="18"/>
      <c r="I24" s="18"/>
    </row>
    <row r="25" spans="1:9" x14ac:dyDescent="0.2">
      <c r="A25" s="27"/>
      <c r="B25" s="27"/>
      <c r="C25" s="27"/>
      <c r="D25" s="28"/>
      <c r="E25" s="29"/>
      <c r="F25" s="30"/>
      <c r="G25" s="29"/>
    </row>
    <row r="26" spans="1:9" x14ac:dyDescent="0.2">
      <c r="A26" s="26" t="s">
        <v>58</v>
      </c>
      <c r="B26" s="27"/>
      <c r="C26" s="27"/>
      <c r="D26" s="28"/>
      <c r="E26" s="29"/>
      <c r="F26" s="30"/>
      <c r="G26" s="29"/>
    </row>
    <row r="27" spans="1:9" x14ac:dyDescent="0.2">
      <c r="A27" s="26" t="s">
        <v>59</v>
      </c>
      <c r="B27" s="27"/>
      <c r="C27" s="27"/>
      <c r="D27" s="28"/>
      <c r="E27" s="29"/>
      <c r="F27" s="30"/>
      <c r="G27" s="29"/>
    </row>
    <row r="28" spans="1:9" x14ac:dyDescent="0.2">
      <c r="A28" s="27" t="s">
        <v>811</v>
      </c>
      <c r="B28" s="27" t="s">
        <v>812</v>
      </c>
      <c r="C28" s="27" t="s">
        <v>60</v>
      </c>
      <c r="D28" s="31">
        <v>36</v>
      </c>
      <c r="E28" s="29">
        <v>35.981676</v>
      </c>
      <c r="F28" s="30">
        <v>0.41984103009113699</v>
      </c>
      <c r="G28" s="29">
        <v>3.0979999999999999</v>
      </c>
    </row>
    <row r="29" spans="1:9" x14ac:dyDescent="0.2">
      <c r="A29" s="26" t="s">
        <v>40</v>
      </c>
      <c r="B29" s="26"/>
      <c r="C29" s="26"/>
      <c r="D29" s="32"/>
      <c r="E29" s="33">
        <f>SUM(E27:E28)</f>
        <v>35.981676</v>
      </c>
      <c r="F29" s="34">
        <f>SUM(F27:F28)</f>
        <v>0.41984103009113699</v>
      </c>
      <c r="G29" s="33"/>
      <c r="H29" s="18"/>
      <c r="I29" s="18"/>
    </row>
    <row r="30" spans="1:9" x14ac:dyDescent="0.2">
      <c r="A30" s="27"/>
      <c r="B30" s="27"/>
      <c r="C30" s="27"/>
      <c r="D30" s="28"/>
      <c r="E30" s="29"/>
      <c r="F30" s="30"/>
      <c r="G30" s="29"/>
    </row>
    <row r="31" spans="1:9" x14ac:dyDescent="0.2">
      <c r="A31" s="26" t="s">
        <v>62</v>
      </c>
      <c r="B31" s="27"/>
      <c r="C31" s="27"/>
      <c r="D31" s="28"/>
      <c r="E31" s="29"/>
      <c r="F31" s="30"/>
      <c r="G31" s="29"/>
    </row>
    <row r="32" spans="1:9" x14ac:dyDescent="0.2">
      <c r="A32" s="27" t="s">
        <v>1440</v>
      </c>
      <c r="B32" s="27" t="s">
        <v>1441</v>
      </c>
      <c r="C32" s="27" t="s">
        <v>741</v>
      </c>
      <c r="D32" s="31">
        <v>74</v>
      </c>
      <c r="E32" s="29">
        <v>368.39679000000001</v>
      </c>
      <c r="F32" s="30">
        <v>4.2985237206812803</v>
      </c>
      <c r="G32" s="29">
        <v>3.3795999999999999</v>
      </c>
    </row>
    <row r="33" spans="1:9" x14ac:dyDescent="0.2">
      <c r="A33" s="27" t="s">
        <v>1435</v>
      </c>
      <c r="B33" s="27" t="s">
        <v>1436</v>
      </c>
      <c r="C33" s="27" t="s">
        <v>815</v>
      </c>
      <c r="D33" s="31">
        <v>53</v>
      </c>
      <c r="E33" s="29">
        <v>264.93242500000002</v>
      </c>
      <c r="F33" s="30">
        <v>3.0912818573693701</v>
      </c>
      <c r="G33" s="29">
        <v>3.1032999999999999</v>
      </c>
    </row>
    <row r="34" spans="1:9" x14ac:dyDescent="0.2">
      <c r="A34" s="26" t="s">
        <v>40</v>
      </c>
      <c r="B34" s="26"/>
      <c r="C34" s="26"/>
      <c r="D34" s="32"/>
      <c r="E34" s="33">
        <f>SUM(E31:E33)</f>
        <v>633.32921499999998</v>
      </c>
      <c r="F34" s="34">
        <f>SUM(F31:F33)</f>
        <v>7.38980557805065</v>
      </c>
      <c r="G34" s="33"/>
      <c r="H34" s="18"/>
      <c r="I34" s="18"/>
    </row>
    <row r="35" spans="1:9" x14ac:dyDescent="0.2">
      <c r="A35" s="27"/>
      <c r="B35" s="27"/>
      <c r="C35" s="27"/>
      <c r="D35" s="28"/>
      <c r="E35" s="29"/>
      <c r="F35" s="30"/>
      <c r="G35" s="29"/>
    </row>
    <row r="36" spans="1:9" x14ac:dyDescent="0.2">
      <c r="A36" s="26" t="s">
        <v>65</v>
      </c>
      <c r="B36" s="27"/>
      <c r="C36" s="27"/>
      <c r="D36" s="28"/>
      <c r="E36" s="29"/>
      <c r="F36" s="30"/>
      <c r="G36" s="29"/>
    </row>
    <row r="37" spans="1:9" x14ac:dyDescent="0.2">
      <c r="A37" s="27" t="s">
        <v>832</v>
      </c>
      <c r="B37" s="27" t="s">
        <v>833</v>
      </c>
      <c r="C37" s="27" t="s">
        <v>81</v>
      </c>
      <c r="D37" s="31">
        <v>118000</v>
      </c>
      <c r="E37" s="29">
        <v>117.744176</v>
      </c>
      <c r="F37" s="30">
        <v>1.3738614104321401</v>
      </c>
      <c r="G37" s="29">
        <v>3.0501999999999998</v>
      </c>
    </row>
    <row r="38" spans="1:9" x14ac:dyDescent="0.2">
      <c r="A38" s="26" t="s">
        <v>40</v>
      </c>
      <c r="B38" s="26"/>
      <c r="C38" s="26"/>
      <c r="D38" s="32"/>
      <c r="E38" s="33">
        <f>SUM(E36:E37)</f>
        <v>117.744176</v>
      </c>
      <c r="F38" s="34">
        <f>SUM(F36:F37)</f>
        <v>1.3738614104321401</v>
      </c>
      <c r="G38" s="33"/>
      <c r="H38" s="18"/>
      <c r="I38" s="18"/>
    </row>
    <row r="39" spans="1:9" x14ac:dyDescent="0.2">
      <c r="A39" s="27"/>
      <c r="B39" s="27"/>
      <c r="C39" s="27"/>
      <c r="D39" s="28"/>
      <c r="E39" s="29"/>
      <c r="F39" s="30"/>
      <c r="G39" s="29"/>
    </row>
    <row r="40" spans="1:9" x14ac:dyDescent="0.2">
      <c r="A40" s="26" t="s">
        <v>44</v>
      </c>
      <c r="B40" s="26"/>
      <c r="C40" s="26"/>
      <c r="D40" s="32"/>
      <c r="E40" s="33">
        <f>E19+E24+E29+E34+E38</f>
        <v>6822.3781769999996</v>
      </c>
      <c r="F40" s="34">
        <f>F19+F24+F29+F34+F38</f>
        <v>79.604804442766223</v>
      </c>
      <c r="G40" s="33"/>
      <c r="H40" s="18"/>
      <c r="I40" s="18"/>
    </row>
    <row r="41" spans="1:9" x14ac:dyDescent="0.2">
      <c r="A41" s="26"/>
      <c r="B41" s="26"/>
      <c r="C41" s="26"/>
      <c r="D41" s="32"/>
      <c r="E41" s="33"/>
      <c r="F41" s="34"/>
      <c r="G41" s="33"/>
      <c r="H41" s="18"/>
      <c r="I41" s="18"/>
    </row>
    <row r="42" spans="1:9" x14ac:dyDescent="0.2">
      <c r="A42" s="26" t="s">
        <v>46</v>
      </c>
      <c r="B42" s="26"/>
      <c r="C42" s="26"/>
      <c r="D42" s="32"/>
      <c r="E42" s="33">
        <f>E44-(E19+E24+E29+E34+E38)</f>
        <v>1747.9313976000003</v>
      </c>
      <c r="F42" s="34">
        <f>F44-(F19+F24+F29+F34+F38)</f>
        <v>20.395195557233777</v>
      </c>
      <c r="G42" s="33"/>
      <c r="H42" s="18"/>
      <c r="I42" s="18"/>
    </row>
    <row r="43" spans="1:9" x14ac:dyDescent="0.2">
      <c r="A43" s="26"/>
      <c r="B43" s="26"/>
      <c r="C43" s="26"/>
      <c r="D43" s="32"/>
      <c r="E43" s="33"/>
      <c r="F43" s="34"/>
      <c r="G43" s="33"/>
      <c r="H43" s="18"/>
      <c r="I43" s="18"/>
    </row>
    <row r="44" spans="1:9" x14ac:dyDescent="0.2">
      <c r="A44" s="35" t="s">
        <v>45</v>
      </c>
      <c r="B44" s="35"/>
      <c r="C44" s="35"/>
      <c r="D44" s="36"/>
      <c r="E44" s="37">
        <v>8570.3095745999999</v>
      </c>
      <c r="F44" s="38">
        <v>100</v>
      </c>
      <c r="G44" s="37"/>
      <c r="H44" s="18"/>
      <c r="I44" s="18"/>
    </row>
    <row r="46" spans="1:9" x14ac:dyDescent="0.2">
      <c r="A46" s="18" t="s">
        <v>66</v>
      </c>
    </row>
    <row r="47" spans="1:9" x14ac:dyDescent="0.2">
      <c r="A47" s="18" t="s">
        <v>47</v>
      </c>
    </row>
    <row r="49" spans="1:7" x14ac:dyDescent="0.2">
      <c r="A49" s="18" t="s">
        <v>48</v>
      </c>
    </row>
    <row r="50" spans="1:7" x14ac:dyDescent="0.2">
      <c r="A50" s="18" t="s">
        <v>49</v>
      </c>
    </row>
    <row r="51" spans="1:7" x14ac:dyDescent="0.2">
      <c r="A51" s="18" t="s">
        <v>50</v>
      </c>
      <c r="B51" s="18"/>
      <c r="C51" s="39" t="s">
        <v>52</v>
      </c>
      <c r="D51" s="19" t="s">
        <v>51</v>
      </c>
    </row>
    <row r="52" spans="1:7" x14ac:dyDescent="0.2">
      <c r="A52" s="9" t="s">
        <v>70</v>
      </c>
      <c r="C52" s="40">
        <v>12.2773</v>
      </c>
      <c r="D52" s="40">
        <v>12.5296</v>
      </c>
    </row>
    <row r="53" spans="1:7" x14ac:dyDescent="0.2">
      <c r="A53" s="9" t="s">
        <v>1324</v>
      </c>
      <c r="C53" s="40">
        <v>10.6701</v>
      </c>
      <c r="D53" s="40">
        <v>10.8901</v>
      </c>
    </row>
    <row r="54" spans="1:7" x14ac:dyDescent="0.2">
      <c r="A54" s="9" t="s">
        <v>73</v>
      </c>
      <c r="C54" s="40">
        <v>12.342499999999999</v>
      </c>
      <c r="D54" s="40">
        <v>12.5961</v>
      </c>
    </row>
    <row r="56" spans="1:7" x14ac:dyDescent="0.2">
      <c r="A56" s="18" t="s">
        <v>53</v>
      </c>
      <c r="D56" s="41" t="s">
        <v>54</v>
      </c>
    </row>
    <row r="58" spans="1:7" x14ac:dyDescent="0.2">
      <c r="A58" s="18" t="s">
        <v>793</v>
      </c>
      <c r="D58" s="42">
        <v>7.8984059232876699E-2</v>
      </c>
      <c r="E58" s="13" t="s">
        <v>55</v>
      </c>
    </row>
    <row r="60" spans="1:7" x14ac:dyDescent="0.2">
      <c r="A60" s="18" t="s">
        <v>1477</v>
      </c>
      <c r="D60" s="41" t="s">
        <v>54</v>
      </c>
    </row>
    <row r="62" spans="1:7" ht="14.4" x14ac:dyDescent="0.2">
      <c r="A62" s="70" t="s">
        <v>794</v>
      </c>
      <c r="B62" s="71"/>
      <c r="C62" s="71"/>
      <c r="D62" s="71"/>
      <c r="E62" s="71"/>
      <c r="F62" s="71"/>
      <c r="G62" s="71"/>
    </row>
    <row r="63" spans="1:7" x14ac:dyDescent="0.2">
      <c r="A63" s="50" t="s">
        <v>56</v>
      </c>
    </row>
    <row r="65" spans="1:1" x14ac:dyDescent="0.2">
      <c r="A65" s="50"/>
    </row>
  </sheetData>
  <mergeCells count="2">
    <mergeCell ref="A1:G1"/>
    <mergeCell ref="A62:G62"/>
  </mergeCells>
  <conditionalFormatting sqref="F2:F3 F5:F61 F66:F65536">
    <cfRule type="cellIs" dxfId="56" priority="3" stopIfTrue="1" operator="between">
      <formula>0.009</formula>
      <formula>-0.009</formula>
    </cfRule>
  </conditionalFormatting>
  <conditionalFormatting sqref="F63">
    <cfRule type="cellIs" dxfId="55" priority="1" stopIfTrue="1" operator="between">
      <formula>0.009</formula>
      <formula>-0.009</formula>
    </cfRule>
  </conditionalFormatting>
  <conditionalFormatting sqref="F64:F65">
    <cfRule type="cellIs" dxfId="54" priority="2" stopIfTrue="1" operator="between">
      <formula>0.009</formula>
      <formula>-0.009</formula>
    </cfRule>
  </conditionalFormatting>
  <hyperlinks>
    <hyperlink ref="A63" r:id="rId1" xr:uid="{00000000-0004-0000-1F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4"/>
  <sheetViews>
    <sheetView workbookViewId="0">
      <selection sqref="A1:G1"/>
    </sheetView>
  </sheetViews>
  <sheetFormatPr defaultColWidth="9.21875" defaultRowHeight="10.199999999999999" x14ac:dyDescent="0.2"/>
  <cols>
    <col min="1" max="1" width="38.77734375" style="9" bestFit="1" customWidth="1"/>
    <col min="2" max="2" width="51"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1455</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1438</v>
      </c>
      <c r="B7" s="27" t="s">
        <v>1439</v>
      </c>
      <c r="C7" s="27" t="s">
        <v>39</v>
      </c>
      <c r="D7" s="31">
        <v>107</v>
      </c>
      <c r="E7" s="29">
        <v>1063.8303800000001</v>
      </c>
      <c r="F7" s="30">
        <v>9.9938719965778393</v>
      </c>
      <c r="G7" s="29">
        <v>3.65</v>
      </c>
    </row>
    <row r="8" spans="1:7" x14ac:dyDescent="0.2">
      <c r="A8" s="27" t="s">
        <v>1456</v>
      </c>
      <c r="B8" s="27" t="s">
        <v>1457</v>
      </c>
      <c r="C8" s="27" t="s">
        <v>39</v>
      </c>
      <c r="D8" s="31">
        <v>80</v>
      </c>
      <c r="E8" s="29">
        <v>804.28639999999996</v>
      </c>
      <c r="F8" s="30">
        <v>7.55565500036613</v>
      </c>
      <c r="G8" s="29">
        <v>3.7252999999999998</v>
      </c>
    </row>
    <row r="9" spans="1:7" x14ac:dyDescent="0.2">
      <c r="A9" s="27" t="s">
        <v>1447</v>
      </c>
      <c r="B9" s="27" t="s">
        <v>1448</v>
      </c>
      <c r="C9" s="27" t="s">
        <v>39</v>
      </c>
      <c r="D9" s="31">
        <v>62</v>
      </c>
      <c r="E9" s="29">
        <v>778.44952499999999</v>
      </c>
      <c r="F9" s="30">
        <v>7.31293733935932</v>
      </c>
      <c r="G9" s="29">
        <v>3.1551999999999998</v>
      </c>
    </row>
    <row r="10" spans="1:7" x14ac:dyDescent="0.2">
      <c r="A10" s="27" t="s">
        <v>1302</v>
      </c>
      <c r="B10" s="27" t="s">
        <v>1303</v>
      </c>
      <c r="C10" s="27" t="s">
        <v>39</v>
      </c>
      <c r="D10" s="31">
        <v>5</v>
      </c>
      <c r="E10" s="29">
        <v>500.35</v>
      </c>
      <c r="F10" s="30">
        <v>4.7004052032126804</v>
      </c>
      <c r="G10" s="29">
        <v>3.3487</v>
      </c>
    </row>
    <row r="11" spans="1:7" x14ac:dyDescent="0.2">
      <c r="A11" s="27" t="s">
        <v>1427</v>
      </c>
      <c r="B11" s="27" t="s">
        <v>1428</v>
      </c>
      <c r="C11" s="27" t="s">
        <v>39</v>
      </c>
      <c r="D11" s="31">
        <v>40</v>
      </c>
      <c r="E11" s="29">
        <v>400.73840000000001</v>
      </c>
      <c r="F11" s="30">
        <v>3.7646304796384999</v>
      </c>
      <c r="G11" s="29">
        <v>3.2450000000000001</v>
      </c>
    </row>
    <row r="12" spans="1:7" x14ac:dyDescent="0.2">
      <c r="A12" s="27" t="s">
        <v>1445</v>
      </c>
      <c r="B12" s="27" t="s">
        <v>1446</v>
      </c>
      <c r="C12" s="27" t="s">
        <v>39</v>
      </c>
      <c r="D12" s="31">
        <v>13</v>
      </c>
      <c r="E12" s="29">
        <v>130.68613999999999</v>
      </c>
      <c r="F12" s="30">
        <v>1.2276962375213001</v>
      </c>
      <c r="G12" s="29">
        <v>3.4249999999999998</v>
      </c>
    </row>
    <row r="13" spans="1:7" x14ac:dyDescent="0.2">
      <c r="A13" s="27" t="s">
        <v>1443</v>
      </c>
      <c r="B13" s="27" t="s">
        <v>1444</v>
      </c>
      <c r="C13" s="27" t="s">
        <v>39</v>
      </c>
      <c r="D13" s="31">
        <v>8</v>
      </c>
      <c r="E13" s="29">
        <v>80.351119999999995</v>
      </c>
      <c r="F13" s="30">
        <v>0.75483725898264498</v>
      </c>
      <c r="G13" s="29">
        <v>3.3748</v>
      </c>
    </row>
    <row r="14" spans="1:7" x14ac:dyDescent="0.2">
      <c r="A14" s="27" t="s">
        <v>1245</v>
      </c>
      <c r="B14" s="27" t="s">
        <v>1246</v>
      </c>
      <c r="C14" s="27" t="s">
        <v>970</v>
      </c>
      <c r="D14" s="31">
        <v>6</v>
      </c>
      <c r="E14" s="29">
        <v>75.8553</v>
      </c>
      <c r="F14" s="30">
        <v>0.71260247189219295</v>
      </c>
      <c r="G14" s="29">
        <v>3.7498999999999998</v>
      </c>
    </row>
    <row r="15" spans="1:7" x14ac:dyDescent="0.2">
      <c r="A15" s="27" t="s">
        <v>1425</v>
      </c>
      <c r="B15" s="27" t="s">
        <v>1426</v>
      </c>
      <c r="C15" s="27" t="s">
        <v>39</v>
      </c>
      <c r="D15" s="31">
        <v>5</v>
      </c>
      <c r="E15" s="29">
        <v>50.278700000000001</v>
      </c>
      <c r="F15" s="30">
        <v>0.47232989525486002</v>
      </c>
      <c r="G15" s="29">
        <v>3.3751000000000002</v>
      </c>
    </row>
    <row r="16" spans="1:7" x14ac:dyDescent="0.2">
      <c r="A16" s="27" t="s">
        <v>1422</v>
      </c>
      <c r="B16" s="27" t="s">
        <v>1423</v>
      </c>
      <c r="C16" s="27" t="s">
        <v>39</v>
      </c>
      <c r="D16" s="31">
        <v>3</v>
      </c>
      <c r="E16" s="29">
        <v>30.212910000000001</v>
      </c>
      <c r="F16" s="30">
        <v>0.283827159724586</v>
      </c>
      <c r="G16" s="29">
        <v>3.375</v>
      </c>
    </row>
    <row r="17" spans="1:9" x14ac:dyDescent="0.2">
      <c r="A17" s="27" t="s">
        <v>1243</v>
      </c>
      <c r="B17" s="27" t="s">
        <v>1244</v>
      </c>
      <c r="C17" s="27" t="s">
        <v>39</v>
      </c>
      <c r="D17" s="31">
        <v>3</v>
      </c>
      <c r="E17" s="29">
        <v>30.067049999999998</v>
      </c>
      <c r="F17" s="30">
        <v>0.282456916688829</v>
      </c>
      <c r="G17" s="29">
        <v>4.125</v>
      </c>
    </row>
    <row r="18" spans="1:9" x14ac:dyDescent="0.2">
      <c r="A18" s="27" t="s">
        <v>1398</v>
      </c>
      <c r="B18" s="27" t="s">
        <v>1399</v>
      </c>
      <c r="C18" s="27" t="s">
        <v>39</v>
      </c>
      <c r="D18" s="31">
        <v>1</v>
      </c>
      <c r="E18" s="29">
        <v>12.76586</v>
      </c>
      <c r="F18" s="30">
        <v>0.119925481697781</v>
      </c>
      <c r="G18" s="29">
        <v>3.63</v>
      </c>
    </row>
    <row r="19" spans="1:9" x14ac:dyDescent="0.2">
      <c r="A19" s="27" t="s">
        <v>948</v>
      </c>
      <c r="B19" s="27" t="s">
        <v>949</v>
      </c>
      <c r="C19" s="27" t="s">
        <v>39</v>
      </c>
      <c r="D19" s="31">
        <v>1</v>
      </c>
      <c r="E19" s="29">
        <v>10.019310000000001</v>
      </c>
      <c r="F19" s="30">
        <v>9.4123747090238505E-2</v>
      </c>
      <c r="G19" s="29">
        <v>3.1497000000000002</v>
      </c>
    </row>
    <row r="20" spans="1:9" x14ac:dyDescent="0.2">
      <c r="A20" s="26" t="s">
        <v>40</v>
      </c>
      <c r="B20" s="26"/>
      <c r="C20" s="26"/>
      <c r="D20" s="32"/>
      <c r="E20" s="33">
        <f>SUM(E6:E19)</f>
        <v>3967.8910950000004</v>
      </c>
      <c r="F20" s="34">
        <f>SUM(F6:F19)</f>
        <v>37.275299188006898</v>
      </c>
      <c r="G20" s="33"/>
      <c r="H20" s="18"/>
      <c r="I20" s="18"/>
    </row>
    <row r="21" spans="1:9" x14ac:dyDescent="0.2">
      <c r="A21" s="27"/>
      <c r="B21" s="27"/>
      <c r="C21" s="27"/>
      <c r="D21" s="28"/>
      <c r="E21" s="29"/>
      <c r="F21" s="30"/>
      <c r="G21" s="29"/>
    </row>
    <row r="22" spans="1:9" x14ac:dyDescent="0.2">
      <c r="A22" s="26" t="s">
        <v>41</v>
      </c>
      <c r="B22" s="27"/>
      <c r="C22" s="27"/>
      <c r="D22" s="28"/>
      <c r="E22" s="29"/>
      <c r="F22" s="30"/>
      <c r="G22" s="29"/>
    </row>
    <row r="23" spans="1:9" x14ac:dyDescent="0.2">
      <c r="A23" s="27" t="s">
        <v>1449</v>
      </c>
      <c r="B23" s="27" t="s">
        <v>1450</v>
      </c>
      <c r="C23" s="27" t="s">
        <v>39</v>
      </c>
      <c r="D23" s="31">
        <v>49</v>
      </c>
      <c r="E23" s="29">
        <v>491.28429</v>
      </c>
      <c r="F23" s="30">
        <v>4.6152397980866304</v>
      </c>
      <c r="G23" s="29">
        <v>3.9499</v>
      </c>
    </row>
    <row r="24" spans="1:9" x14ac:dyDescent="0.2">
      <c r="A24" s="27" t="s">
        <v>954</v>
      </c>
      <c r="B24" s="27" t="s">
        <v>955</v>
      </c>
      <c r="C24" s="27" t="s">
        <v>39</v>
      </c>
      <c r="D24" s="31">
        <v>27</v>
      </c>
      <c r="E24" s="29">
        <v>271.61054999999999</v>
      </c>
      <c r="F24" s="30">
        <v>2.5515731837063198</v>
      </c>
      <c r="G24" s="29">
        <v>3.4870000000000001</v>
      </c>
    </row>
    <row r="25" spans="1:9" x14ac:dyDescent="0.2">
      <c r="A25" s="26" t="s">
        <v>40</v>
      </c>
      <c r="B25" s="26"/>
      <c r="C25" s="26"/>
      <c r="D25" s="32"/>
      <c r="E25" s="33">
        <f>SUM(E22:E24)</f>
        <v>762.89483999999993</v>
      </c>
      <c r="F25" s="34">
        <f>SUM(F22:F24)</f>
        <v>7.1668129817929502</v>
      </c>
      <c r="G25" s="33"/>
      <c r="H25" s="18"/>
      <c r="I25" s="18"/>
    </row>
    <row r="26" spans="1:9" x14ac:dyDescent="0.2">
      <c r="A26" s="27"/>
      <c r="B26" s="27"/>
      <c r="C26" s="27"/>
      <c r="D26" s="28"/>
      <c r="E26" s="29"/>
      <c r="F26" s="30"/>
      <c r="G26" s="29"/>
    </row>
    <row r="27" spans="1:9" x14ac:dyDescent="0.2">
      <c r="A27" s="26" t="s">
        <v>58</v>
      </c>
      <c r="B27" s="27"/>
      <c r="C27" s="27"/>
      <c r="D27" s="28"/>
      <c r="E27" s="29"/>
      <c r="F27" s="30"/>
      <c r="G27" s="29"/>
    </row>
    <row r="28" spans="1:9" x14ac:dyDescent="0.2">
      <c r="A28" s="26" t="s">
        <v>59</v>
      </c>
      <c r="B28" s="27"/>
      <c r="C28" s="27"/>
      <c r="D28" s="28"/>
      <c r="E28" s="29"/>
      <c r="F28" s="30"/>
      <c r="G28" s="29"/>
    </row>
    <row r="29" spans="1:9" x14ac:dyDescent="0.2">
      <c r="A29" s="27" t="s">
        <v>811</v>
      </c>
      <c r="B29" s="27" t="s">
        <v>812</v>
      </c>
      <c r="C29" s="27" t="s">
        <v>60</v>
      </c>
      <c r="D29" s="31">
        <v>30</v>
      </c>
      <c r="E29" s="29">
        <v>29.984729999999999</v>
      </c>
      <c r="F29" s="30">
        <v>0.28168358330953802</v>
      </c>
      <c r="G29" s="29">
        <v>3.0979999999999999</v>
      </c>
    </row>
    <row r="30" spans="1:9" x14ac:dyDescent="0.2">
      <c r="A30" s="26" t="s">
        <v>40</v>
      </c>
      <c r="B30" s="26"/>
      <c r="C30" s="26"/>
      <c r="D30" s="32"/>
      <c r="E30" s="33">
        <f>SUM(E28:E29)</f>
        <v>29.984729999999999</v>
      </c>
      <c r="F30" s="34">
        <f>SUM(F28:F29)</f>
        <v>0.28168358330953802</v>
      </c>
      <c r="G30" s="33"/>
      <c r="H30" s="18"/>
      <c r="I30" s="18"/>
    </row>
    <row r="31" spans="1:9" x14ac:dyDescent="0.2">
      <c r="A31" s="27"/>
      <c r="B31" s="27"/>
      <c r="C31" s="27"/>
      <c r="D31" s="28"/>
      <c r="E31" s="29"/>
      <c r="F31" s="30"/>
      <c r="G31" s="29"/>
    </row>
    <row r="32" spans="1:9" x14ac:dyDescent="0.2">
      <c r="A32" s="26" t="s">
        <v>62</v>
      </c>
      <c r="B32" s="27"/>
      <c r="C32" s="27"/>
      <c r="D32" s="28"/>
      <c r="E32" s="29"/>
      <c r="F32" s="30"/>
      <c r="G32" s="29"/>
    </row>
    <row r="33" spans="1:9" x14ac:dyDescent="0.2">
      <c r="A33" s="27" t="s">
        <v>1440</v>
      </c>
      <c r="B33" s="27" t="s">
        <v>1441</v>
      </c>
      <c r="C33" s="27" t="s">
        <v>741</v>
      </c>
      <c r="D33" s="31">
        <v>93</v>
      </c>
      <c r="E33" s="29">
        <v>462.98515500000002</v>
      </c>
      <c r="F33" s="30">
        <v>4.3493910893818901</v>
      </c>
      <c r="G33" s="29">
        <v>3.3795999999999999</v>
      </c>
    </row>
    <row r="34" spans="1:9" x14ac:dyDescent="0.2">
      <c r="A34" s="27" t="s">
        <v>1435</v>
      </c>
      <c r="B34" s="27" t="s">
        <v>1436</v>
      </c>
      <c r="C34" s="27" t="s">
        <v>815</v>
      </c>
      <c r="D34" s="31">
        <v>37</v>
      </c>
      <c r="E34" s="29">
        <v>184.95282499999999</v>
      </c>
      <c r="F34" s="30">
        <v>1.73749019881859</v>
      </c>
      <c r="G34" s="29">
        <v>3.1032999999999999</v>
      </c>
    </row>
    <row r="35" spans="1:9" x14ac:dyDescent="0.2">
      <c r="A35" s="26" t="s">
        <v>40</v>
      </c>
      <c r="B35" s="26"/>
      <c r="C35" s="26"/>
      <c r="D35" s="32"/>
      <c r="E35" s="33">
        <f>SUM(E32:E34)</f>
        <v>647.93798000000004</v>
      </c>
      <c r="F35" s="34">
        <f>SUM(F32:F34)</f>
        <v>6.0868812882004804</v>
      </c>
      <c r="G35" s="33"/>
      <c r="H35" s="18"/>
      <c r="I35" s="18"/>
    </row>
    <row r="36" spans="1:9" x14ac:dyDescent="0.2">
      <c r="A36" s="27"/>
      <c r="B36" s="27"/>
      <c r="C36" s="27"/>
      <c r="D36" s="28"/>
      <c r="E36" s="29"/>
      <c r="F36" s="30"/>
      <c r="G36" s="29"/>
    </row>
    <row r="37" spans="1:9" x14ac:dyDescent="0.2">
      <c r="A37" s="26" t="s">
        <v>65</v>
      </c>
      <c r="B37" s="27"/>
      <c r="C37" s="27"/>
      <c r="D37" s="28"/>
      <c r="E37" s="29"/>
      <c r="F37" s="30"/>
      <c r="G37" s="29"/>
    </row>
    <row r="38" spans="1:9" x14ac:dyDescent="0.2">
      <c r="A38" s="27" t="s">
        <v>97</v>
      </c>
      <c r="B38" s="27" t="s">
        <v>96</v>
      </c>
      <c r="C38" s="27" t="s">
        <v>81</v>
      </c>
      <c r="D38" s="31">
        <v>1800000</v>
      </c>
      <c r="E38" s="29">
        <v>1794.8825999999999</v>
      </c>
      <c r="F38" s="30">
        <v>16.861547940833201</v>
      </c>
      <c r="G38" s="29">
        <v>3.1541000000000001</v>
      </c>
    </row>
    <row r="39" spans="1:9" x14ac:dyDescent="0.2">
      <c r="A39" s="27" t="s">
        <v>832</v>
      </c>
      <c r="B39" s="27" t="s">
        <v>833</v>
      </c>
      <c r="C39" s="27" t="s">
        <v>81</v>
      </c>
      <c r="D39" s="31">
        <v>170000</v>
      </c>
      <c r="E39" s="29">
        <v>169.63144</v>
      </c>
      <c r="F39" s="30">
        <v>1.5935575161476101</v>
      </c>
      <c r="G39" s="29">
        <v>3.0501999999999998</v>
      </c>
    </row>
    <row r="40" spans="1:9" x14ac:dyDescent="0.2">
      <c r="A40" s="26" t="s">
        <v>40</v>
      </c>
      <c r="B40" s="26"/>
      <c r="C40" s="26"/>
      <c r="D40" s="32"/>
      <c r="E40" s="33">
        <f>SUM(E37:E39)</f>
        <v>1964.51404</v>
      </c>
      <c r="F40" s="34">
        <f>SUM(F37:F39)</f>
        <v>18.45510545698081</v>
      </c>
      <c r="G40" s="33"/>
      <c r="H40" s="18"/>
      <c r="I40" s="18"/>
    </row>
    <row r="41" spans="1:9" x14ac:dyDescent="0.2">
      <c r="A41" s="27"/>
      <c r="B41" s="27"/>
      <c r="C41" s="27"/>
      <c r="D41" s="28"/>
      <c r="E41" s="29"/>
      <c r="F41" s="30"/>
      <c r="G41" s="29"/>
    </row>
    <row r="42" spans="1:9" x14ac:dyDescent="0.2">
      <c r="A42" s="26" t="s">
        <v>44</v>
      </c>
      <c r="B42" s="26"/>
      <c r="C42" s="26"/>
      <c r="D42" s="32"/>
      <c r="E42" s="33">
        <f>E20+E25+E30+E35+E40</f>
        <v>7373.2226849999997</v>
      </c>
      <c r="F42" s="34">
        <f>F20+F25+F30+F35+F40</f>
        <v>69.265782498290676</v>
      </c>
      <c r="G42" s="33"/>
      <c r="H42" s="18"/>
      <c r="I42" s="18"/>
    </row>
    <row r="43" spans="1:9" x14ac:dyDescent="0.2">
      <c r="A43" s="26"/>
      <c r="B43" s="26"/>
      <c r="C43" s="26"/>
      <c r="D43" s="32"/>
      <c r="E43" s="33"/>
      <c r="F43" s="34"/>
      <c r="G43" s="33"/>
      <c r="H43" s="18"/>
      <c r="I43" s="18"/>
    </row>
    <row r="44" spans="1:9" x14ac:dyDescent="0.2">
      <c r="A44" s="26" t="s">
        <v>46</v>
      </c>
      <c r="B44" s="26"/>
      <c r="C44" s="26"/>
      <c r="D44" s="32"/>
      <c r="E44" s="33">
        <f>E46-(E20+E25+E30+E35+E40)</f>
        <v>3271.604268600001</v>
      </c>
      <c r="F44" s="34">
        <f>F46-(F20+F25+F30+F35+F40)</f>
        <v>30.734217501709324</v>
      </c>
      <c r="G44" s="33"/>
      <c r="H44" s="18"/>
      <c r="I44" s="18"/>
    </row>
    <row r="45" spans="1:9" x14ac:dyDescent="0.2">
      <c r="A45" s="26"/>
      <c r="B45" s="26"/>
      <c r="C45" s="26"/>
      <c r="D45" s="32"/>
      <c r="E45" s="33"/>
      <c r="F45" s="34"/>
      <c r="G45" s="33"/>
      <c r="H45" s="18"/>
      <c r="I45" s="18"/>
    </row>
    <row r="46" spans="1:9" x14ac:dyDescent="0.2">
      <c r="A46" s="35" t="s">
        <v>45</v>
      </c>
      <c r="B46" s="35"/>
      <c r="C46" s="35"/>
      <c r="D46" s="36"/>
      <c r="E46" s="37">
        <v>10644.826953600001</v>
      </c>
      <c r="F46" s="38">
        <v>100</v>
      </c>
      <c r="G46" s="37"/>
      <c r="H46" s="18"/>
      <c r="I46" s="18"/>
    </row>
    <row r="48" spans="1:9" x14ac:dyDescent="0.2">
      <c r="A48" s="18" t="s">
        <v>66</v>
      </c>
    </row>
    <row r="49" spans="1:4" x14ac:dyDescent="0.2">
      <c r="A49" s="18" t="s">
        <v>47</v>
      </c>
    </row>
    <row r="51" spans="1:4" x14ac:dyDescent="0.2">
      <c r="A51" s="18" t="s">
        <v>48</v>
      </c>
    </row>
    <row r="52" spans="1:4" x14ac:dyDescent="0.2">
      <c r="A52" s="18" t="s">
        <v>49</v>
      </c>
    </row>
    <row r="53" spans="1:4" x14ac:dyDescent="0.2">
      <c r="A53" s="18" t="s">
        <v>50</v>
      </c>
      <c r="B53" s="18"/>
      <c r="C53" s="39" t="s">
        <v>52</v>
      </c>
      <c r="D53" s="19" t="s">
        <v>51</v>
      </c>
    </row>
    <row r="54" spans="1:4" x14ac:dyDescent="0.2">
      <c r="A54" s="9" t="s">
        <v>70</v>
      </c>
      <c r="C54" s="40">
        <v>12.298400000000001</v>
      </c>
      <c r="D54" s="40">
        <v>12.5328</v>
      </c>
    </row>
    <row r="55" spans="1:4" x14ac:dyDescent="0.2">
      <c r="A55" s="9" t="s">
        <v>1324</v>
      </c>
      <c r="C55" s="40">
        <v>10.713100000000001</v>
      </c>
      <c r="D55" s="40">
        <v>10.1248</v>
      </c>
    </row>
    <row r="56" spans="1:4" x14ac:dyDescent="0.2">
      <c r="A56" s="9" t="s">
        <v>72</v>
      </c>
      <c r="C56" s="40">
        <v>10.292199999999999</v>
      </c>
      <c r="D56" s="40">
        <v>10.120699999999999</v>
      </c>
    </row>
    <row r="57" spans="1:4" x14ac:dyDescent="0.2">
      <c r="A57" s="9" t="s">
        <v>73</v>
      </c>
      <c r="C57" s="40">
        <v>12.36</v>
      </c>
      <c r="D57" s="40">
        <v>12.595599999999999</v>
      </c>
    </row>
    <row r="58" spans="1:4" x14ac:dyDescent="0.2">
      <c r="A58" s="9" t="s">
        <v>77</v>
      </c>
      <c r="C58" s="40">
        <v>10.775</v>
      </c>
      <c r="D58" s="40">
        <v>10.187799999999999</v>
      </c>
    </row>
    <row r="60" spans="1:4" x14ac:dyDescent="0.2">
      <c r="A60" s="18" t="s">
        <v>53</v>
      </c>
    </row>
    <row r="61" spans="1:4" x14ac:dyDescent="0.2">
      <c r="A61" s="74" t="s">
        <v>67</v>
      </c>
      <c r="B61" s="75"/>
      <c r="C61" s="44" t="s">
        <v>68</v>
      </c>
    </row>
    <row r="62" spans="1:4" x14ac:dyDescent="0.2">
      <c r="A62" s="68" t="s">
        <v>1324</v>
      </c>
      <c r="B62" s="69"/>
      <c r="C62" s="45">
        <v>0.79</v>
      </c>
    </row>
    <row r="63" spans="1:4" x14ac:dyDescent="0.2">
      <c r="A63" s="68" t="s">
        <v>72</v>
      </c>
      <c r="B63" s="69"/>
      <c r="C63" s="45">
        <v>0.36499999999999999</v>
      </c>
    </row>
    <row r="64" spans="1:4" x14ac:dyDescent="0.2">
      <c r="A64" s="68" t="s">
        <v>77</v>
      </c>
      <c r="B64" s="69"/>
      <c r="C64" s="45">
        <v>0.79</v>
      </c>
    </row>
    <row r="65" spans="1:7" x14ac:dyDescent="0.2">
      <c r="A65" s="9" t="s">
        <v>69</v>
      </c>
    </row>
    <row r="67" spans="1:7" x14ac:dyDescent="0.2">
      <c r="A67" s="18" t="s">
        <v>793</v>
      </c>
      <c r="D67" s="42">
        <v>6.9509432054794498E-2</v>
      </c>
      <c r="E67" s="13" t="s">
        <v>55</v>
      </c>
    </row>
    <row r="69" spans="1:7" x14ac:dyDescent="0.2">
      <c r="A69" s="18" t="s">
        <v>1477</v>
      </c>
      <c r="D69" s="41" t="s">
        <v>54</v>
      </c>
    </row>
    <row r="71" spans="1:7" ht="14.4" x14ac:dyDescent="0.2">
      <c r="A71" s="70" t="s">
        <v>794</v>
      </c>
      <c r="B71" s="71"/>
      <c r="C71" s="71"/>
      <c r="D71" s="71"/>
      <c r="E71" s="71"/>
      <c r="F71" s="71"/>
      <c r="G71" s="71"/>
    </row>
    <row r="72" spans="1:7" x14ac:dyDescent="0.2">
      <c r="A72" s="50" t="s">
        <v>56</v>
      </c>
    </row>
    <row r="74" spans="1:7" x14ac:dyDescent="0.2">
      <c r="A74" s="50"/>
    </row>
  </sheetData>
  <mergeCells count="6">
    <mergeCell ref="A71:G71"/>
    <mergeCell ref="A1:G1"/>
    <mergeCell ref="A61:B61"/>
    <mergeCell ref="A62:B62"/>
    <mergeCell ref="A63:B63"/>
    <mergeCell ref="A64:B64"/>
  </mergeCells>
  <conditionalFormatting sqref="F2:F3 F5:F70 F76:F65536">
    <cfRule type="cellIs" dxfId="53" priority="4" stopIfTrue="1" operator="between">
      <formula>0.009</formula>
      <formula>-0.009</formula>
    </cfRule>
  </conditionalFormatting>
  <conditionalFormatting sqref="F75">
    <cfRule type="cellIs" dxfId="52" priority="3" stopIfTrue="1" operator="between">
      <formula>0.009</formula>
      <formula>-0.009</formula>
    </cfRule>
  </conditionalFormatting>
  <conditionalFormatting sqref="F72">
    <cfRule type="cellIs" dxfId="51" priority="1" stopIfTrue="1" operator="between">
      <formula>0.009</formula>
      <formula>-0.009</formula>
    </cfRule>
  </conditionalFormatting>
  <conditionalFormatting sqref="F73:F74">
    <cfRule type="cellIs" dxfId="50" priority="2" stopIfTrue="1" operator="between">
      <formula>0.009</formula>
      <formula>-0.009</formula>
    </cfRule>
  </conditionalFormatting>
  <hyperlinks>
    <hyperlink ref="A72" r:id="rId1" xr:uid="{00000000-0004-0000-20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8"/>
  <sheetViews>
    <sheetView workbookViewId="0">
      <selection sqref="A1:G1"/>
    </sheetView>
  </sheetViews>
  <sheetFormatPr defaultColWidth="9.21875" defaultRowHeight="10.199999999999999" x14ac:dyDescent="0.2"/>
  <cols>
    <col min="1" max="1" width="38.77734375" style="9" bestFit="1" customWidth="1"/>
    <col min="2" max="2" width="51"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1458</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1427</v>
      </c>
      <c r="B7" s="27" t="s">
        <v>1428</v>
      </c>
      <c r="C7" s="27" t="s">
        <v>39</v>
      </c>
      <c r="D7" s="31">
        <v>113</v>
      </c>
      <c r="E7" s="29">
        <v>1132.0859800000001</v>
      </c>
      <c r="F7" s="30">
        <v>8.8421334251164492</v>
      </c>
      <c r="G7" s="29">
        <v>3.2450000000000001</v>
      </c>
    </row>
    <row r="8" spans="1:7" x14ac:dyDescent="0.2">
      <c r="A8" s="27" t="s">
        <v>1012</v>
      </c>
      <c r="B8" s="27" t="s">
        <v>1013</v>
      </c>
      <c r="C8" s="27" t="s">
        <v>39</v>
      </c>
      <c r="D8" s="31">
        <v>99</v>
      </c>
      <c r="E8" s="29">
        <v>996.82803000000001</v>
      </c>
      <c r="F8" s="30">
        <v>7.7857040886205304</v>
      </c>
      <c r="G8" s="29">
        <v>3.3048999999999999</v>
      </c>
    </row>
    <row r="9" spans="1:7" x14ac:dyDescent="0.2">
      <c r="A9" s="27" t="s">
        <v>1422</v>
      </c>
      <c r="B9" s="27" t="s">
        <v>1423</v>
      </c>
      <c r="C9" s="27" t="s">
        <v>39</v>
      </c>
      <c r="D9" s="31">
        <v>97</v>
      </c>
      <c r="E9" s="29">
        <v>976.88409000000001</v>
      </c>
      <c r="F9" s="30">
        <v>7.6299323702016597</v>
      </c>
      <c r="G9" s="29">
        <v>3.375</v>
      </c>
    </row>
    <row r="10" spans="1:7" x14ac:dyDescent="0.2">
      <c r="A10" s="27" t="s">
        <v>1302</v>
      </c>
      <c r="B10" s="27" t="s">
        <v>1303</v>
      </c>
      <c r="C10" s="27" t="s">
        <v>39</v>
      </c>
      <c r="D10" s="31">
        <v>5</v>
      </c>
      <c r="E10" s="29">
        <v>500.35</v>
      </c>
      <c r="F10" s="30">
        <v>3.9079730139021902</v>
      </c>
      <c r="G10" s="29">
        <v>3.3487</v>
      </c>
    </row>
    <row r="11" spans="1:7" x14ac:dyDescent="0.2">
      <c r="A11" s="27" t="s">
        <v>1245</v>
      </c>
      <c r="B11" s="27" t="s">
        <v>1246</v>
      </c>
      <c r="C11" s="27" t="s">
        <v>970</v>
      </c>
      <c r="D11" s="31">
        <v>24</v>
      </c>
      <c r="E11" s="29">
        <v>303.4212</v>
      </c>
      <c r="F11" s="30">
        <v>2.3698648175193799</v>
      </c>
      <c r="G11" s="29">
        <v>3.7498999999999998</v>
      </c>
    </row>
    <row r="12" spans="1:7" x14ac:dyDescent="0.2">
      <c r="A12" s="27" t="s">
        <v>1438</v>
      </c>
      <c r="B12" s="27" t="s">
        <v>1439</v>
      </c>
      <c r="C12" s="27" t="s">
        <v>39</v>
      </c>
      <c r="D12" s="31">
        <v>18</v>
      </c>
      <c r="E12" s="29">
        <v>178.96212</v>
      </c>
      <c r="F12" s="30">
        <v>1.39777982506391</v>
      </c>
      <c r="G12" s="29">
        <v>3.65</v>
      </c>
    </row>
    <row r="13" spans="1:7" x14ac:dyDescent="0.2">
      <c r="A13" s="27" t="s">
        <v>948</v>
      </c>
      <c r="B13" s="27" t="s">
        <v>949</v>
      </c>
      <c r="C13" s="27" t="s">
        <v>39</v>
      </c>
      <c r="D13" s="31">
        <v>9</v>
      </c>
      <c r="E13" s="29">
        <v>90.173789999999997</v>
      </c>
      <c r="F13" s="30">
        <v>0.70430046543676095</v>
      </c>
      <c r="G13" s="29">
        <v>3.1497000000000002</v>
      </c>
    </row>
    <row r="14" spans="1:7" x14ac:dyDescent="0.2">
      <c r="A14" s="27" t="s">
        <v>1420</v>
      </c>
      <c r="B14" s="27" t="s">
        <v>1421</v>
      </c>
      <c r="C14" s="27" t="s">
        <v>39</v>
      </c>
      <c r="D14" s="31">
        <v>6</v>
      </c>
      <c r="E14" s="29">
        <v>76.0488</v>
      </c>
      <c r="F14" s="30">
        <v>0.59397753200688497</v>
      </c>
      <c r="G14" s="29">
        <v>3.7250999999999999</v>
      </c>
    </row>
    <row r="15" spans="1:7" x14ac:dyDescent="0.2">
      <c r="A15" s="27" t="s">
        <v>924</v>
      </c>
      <c r="B15" s="27" t="s">
        <v>925</v>
      </c>
      <c r="C15" s="27" t="s">
        <v>898</v>
      </c>
      <c r="D15" s="31">
        <v>3</v>
      </c>
      <c r="E15" s="29">
        <v>38.242139999999999</v>
      </c>
      <c r="F15" s="30">
        <v>0.29868941963399498</v>
      </c>
      <c r="G15" s="29">
        <v>4.4250999999999996</v>
      </c>
    </row>
    <row r="16" spans="1:7" x14ac:dyDescent="0.2">
      <c r="A16" s="27" t="s">
        <v>1243</v>
      </c>
      <c r="B16" s="27" t="s">
        <v>1244</v>
      </c>
      <c r="C16" s="27" t="s">
        <v>39</v>
      </c>
      <c r="D16" s="31">
        <v>3</v>
      </c>
      <c r="E16" s="29">
        <v>30.067049999999998</v>
      </c>
      <c r="F16" s="30">
        <v>0.23483805337793101</v>
      </c>
      <c r="G16" s="29">
        <v>4.125</v>
      </c>
    </row>
    <row r="17" spans="1:9" x14ac:dyDescent="0.2">
      <c r="A17" s="26" t="s">
        <v>40</v>
      </c>
      <c r="B17" s="26"/>
      <c r="C17" s="26"/>
      <c r="D17" s="32"/>
      <c r="E17" s="33">
        <f>SUM(E6:E16)</f>
        <v>4323.0631999999996</v>
      </c>
      <c r="F17" s="34">
        <f>SUM(F6:F16)</f>
        <v>33.765193010879685</v>
      </c>
      <c r="G17" s="33"/>
      <c r="H17" s="18"/>
      <c r="I17" s="18"/>
    </row>
    <row r="18" spans="1:9" x14ac:dyDescent="0.2">
      <c r="A18" s="27"/>
      <c r="B18" s="27"/>
      <c r="C18" s="27"/>
      <c r="D18" s="28"/>
      <c r="E18" s="29"/>
      <c r="F18" s="30"/>
      <c r="G18" s="29"/>
    </row>
    <row r="19" spans="1:9" x14ac:dyDescent="0.2">
      <c r="A19" s="26" t="s">
        <v>41</v>
      </c>
      <c r="B19" s="27"/>
      <c r="C19" s="27"/>
      <c r="D19" s="28"/>
      <c r="E19" s="29"/>
      <c r="F19" s="30"/>
      <c r="G19" s="29"/>
    </row>
    <row r="20" spans="1:9" x14ac:dyDescent="0.2">
      <c r="A20" s="27" t="s">
        <v>954</v>
      </c>
      <c r="B20" s="27" t="s">
        <v>955</v>
      </c>
      <c r="C20" s="27" t="s">
        <v>39</v>
      </c>
      <c r="D20" s="31">
        <v>56</v>
      </c>
      <c r="E20" s="29">
        <v>563.34040000000005</v>
      </c>
      <c r="F20" s="30">
        <v>4.3999581909480696</v>
      </c>
      <c r="G20" s="29">
        <v>3.4870000000000001</v>
      </c>
    </row>
    <row r="21" spans="1:9" x14ac:dyDescent="0.2">
      <c r="A21" s="26" t="s">
        <v>40</v>
      </c>
      <c r="B21" s="26"/>
      <c r="C21" s="26"/>
      <c r="D21" s="32"/>
      <c r="E21" s="33">
        <f>SUM(E19:E20)</f>
        <v>563.34040000000005</v>
      </c>
      <c r="F21" s="34">
        <f>SUM(F19:F20)</f>
        <v>4.3999581909480696</v>
      </c>
      <c r="G21" s="33"/>
      <c r="H21" s="18"/>
      <c r="I21" s="18"/>
    </row>
    <row r="22" spans="1:9" x14ac:dyDescent="0.2">
      <c r="A22" s="27"/>
      <c r="B22" s="27"/>
      <c r="C22" s="27"/>
      <c r="D22" s="28"/>
      <c r="E22" s="29"/>
      <c r="F22" s="30"/>
      <c r="G22" s="29"/>
    </row>
    <row r="23" spans="1:9" x14ac:dyDescent="0.2">
      <c r="A23" s="26" t="s">
        <v>58</v>
      </c>
      <c r="B23" s="27"/>
      <c r="C23" s="27"/>
      <c r="D23" s="28"/>
      <c r="E23" s="29"/>
      <c r="F23" s="30"/>
      <c r="G23" s="29"/>
    </row>
    <row r="24" spans="1:9" x14ac:dyDescent="0.2">
      <c r="A24" s="26" t="s">
        <v>59</v>
      </c>
      <c r="B24" s="27"/>
      <c r="C24" s="27"/>
      <c r="D24" s="28"/>
      <c r="E24" s="29"/>
      <c r="F24" s="30"/>
      <c r="G24" s="29"/>
    </row>
    <row r="25" spans="1:9" x14ac:dyDescent="0.2">
      <c r="A25" s="27" t="s">
        <v>811</v>
      </c>
      <c r="B25" s="27" t="s">
        <v>812</v>
      </c>
      <c r="C25" s="27" t="s">
        <v>60</v>
      </c>
      <c r="D25" s="31">
        <v>222</v>
      </c>
      <c r="E25" s="29">
        <v>221.887002</v>
      </c>
      <c r="F25" s="30">
        <v>1.7330437013124</v>
      </c>
      <c r="G25" s="29">
        <v>3.0979999999999999</v>
      </c>
    </row>
    <row r="26" spans="1:9" x14ac:dyDescent="0.2">
      <c r="A26" s="26" t="s">
        <v>40</v>
      </c>
      <c r="B26" s="26"/>
      <c r="C26" s="26"/>
      <c r="D26" s="32"/>
      <c r="E26" s="33">
        <f>SUM(E24:E25)</f>
        <v>221.887002</v>
      </c>
      <c r="F26" s="34">
        <f>SUM(F24:F25)</f>
        <v>1.7330437013124</v>
      </c>
      <c r="G26" s="33"/>
      <c r="H26" s="18"/>
      <c r="I26" s="18"/>
    </row>
    <row r="27" spans="1:9" x14ac:dyDescent="0.2">
      <c r="A27" s="27"/>
      <c r="B27" s="27"/>
      <c r="C27" s="27"/>
      <c r="D27" s="28"/>
      <c r="E27" s="29"/>
      <c r="F27" s="30"/>
      <c r="G27" s="29"/>
    </row>
    <row r="28" spans="1:9" x14ac:dyDescent="0.2">
      <c r="A28" s="26" t="s">
        <v>62</v>
      </c>
      <c r="B28" s="27"/>
      <c r="C28" s="27"/>
      <c r="D28" s="28"/>
      <c r="E28" s="29"/>
      <c r="F28" s="30"/>
      <c r="G28" s="29"/>
    </row>
    <row r="29" spans="1:9" x14ac:dyDescent="0.2">
      <c r="A29" s="27" t="s">
        <v>1440</v>
      </c>
      <c r="B29" s="27" t="s">
        <v>1441</v>
      </c>
      <c r="C29" s="27" t="s">
        <v>741</v>
      </c>
      <c r="D29" s="31">
        <v>111</v>
      </c>
      <c r="E29" s="29">
        <v>552.59518500000001</v>
      </c>
      <c r="F29" s="30">
        <v>4.3160329181418797</v>
      </c>
      <c r="G29" s="29">
        <v>3.3795999999999999</v>
      </c>
    </row>
    <row r="30" spans="1:9" x14ac:dyDescent="0.2">
      <c r="A30" s="27" t="s">
        <v>1435</v>
      </c>
      <c r="B30" s="27" t="s">
        <v>1436</v>
      </c>
      <c r="C30" s="27" t="s">
        <v>815</v>
      </c>
      <c r="D30" s="31">
        <v>77</v>
      </c>
      <c r="E30" s="29">
        <v>384.90182499999997</v>
      </c>
      <c r="F30" s="30">
        <v>3.0062675029513399</v>
      </c>
      <c r="G30" s="29">
        <v>3.1032999999999999</v>
      </c>
    </row>
    <row r="31" spans="1:9" x14ac:dyDescent="0.2">
      <c r="A31" s="26" t="s">
        <v>40</v>
      </c>
      <c r="B31" s="26"/>
      <c r="C31" s="26"/>
      <c r="D31" s="32"/>
      <c r="E31" s="33">
        <f>SUM(E28:E30)</f>
        <v>937.49701000000005</v>
      </c>
      <c r="F31" s="34">
        <f>SUM(F28:F30)</f>
        <v>7.3223004210932192</v>
      </c>
      <c r="G31" s="33"/>
      <c r="H31" s="18"/>
      <c r="I31" s="18"/>
    </row>
    <row r="32" spans="1:9" x14ac:dyDescent="0.2">
      <c r="A32" s="27"/>
      <c r="B32" s="27"/>
      <c r="C32" s="27"/>
      <c r="D32" s="28"/>
      <c r="E32" s="29"/>
      <c r="F32" s="30"/>
      <c r="G32" s="29"/>
    </row>
    <row r="33" spans="1:9" x14ac:dyDescent="0.2">
      <c r="A33" s="26" t="s">
        <v>65</v>
      </c>
      <c r="B33" s="27"/>
      <c r="C33" s="27"/>
      <c r="D33" s="28"/>
      <c r="E33" s="29"/>
      <c r="F33" s="30"/>
      <c r="G33" s="29"/>
    </row>
    <row r="34" spans="1:9" x14ac:dyDescent="0.2">
      <c r="A34" s="27" t="s">
        <v>97</v>
      </c>
      <c r="B34" s="27" t="s">
        <v>96</v>
      </c>
      <c r="C34" s="27" t="s">
        <v>81</v>
      </c>
      <c r="D34" s="31">
        <v>2700000</v>
      </c>
      <c r="E34" s="29">
        <v>2692.3238999999999</v>
      </c>
      <c r="F34" s="30">
        <v>21.028338454849401</v>
      </c>
      <c r="G34" s="29">
        <v>3.1541000000000001</v>
      </c>
    </row>
    <row r="35" spans="1:9" x14ac:dyDescent="0.2">
      <c r="A35" s="27" t="s">
        <v>832</v>
      </c>
      <c r="B35" s="27" t="s">
        <v>833</v>
      </c>
      <c r="C35" s="27" t="s">
        <v>81</v>
      </c>
      <c r="D35" s="31">
        <v>710000</v>
      </c>
      <c r="E35" s="29">
        <v>708.46072000000004</v>
      </c>
      <c r="F35" s="30">
        <v>5.5334173581887001</v>
      </c>
      <c r="G35" s="29">
        <v>3.0501999999999998</v>
      </c>
    </row>
    <row r="36" spans="1:9" x14ac:dyDescent="0.2">
      <c r="A36" s="26" t="s">
        <v>40</v>
      </c>
      <c r="B36" s="26"/>
      <c r="C36" s="26"/>
      <c r="D36" s="32"/>
      <c r="E36" s="33">
        <f>SUM(E33:E35)</f>
        <v>3400.7846199999999</v>
      </c>
      <c r="F36" s="34">
        <f>SUM(F33:F35)</f>
        <v>26.561755813038101</v>
      </c>
      <c r="G36" s="33"/>
      <c r="H36" s="18"/>
      <c r="I36" s="18"/>
    </row>
    <row r="37" spans="1:9" x14ac:dyDescent="0.2">
      <c r="A37" s="27"/>
      <c r="B37" s="27"/>
      <c r="C37" s="27"/>
      <c r="D37" s="28"/>
      <c r="E37" s="29"/>
      <c r="F37" s="30"/>
      <c r="G37" s="29"/>
    </row>
    <row r="38" spans="1:9" x14ac:dyDescent="0.2">
      <c r="A38" s="26" t="s">
        <v>44</v>
      </c>
      <c r="B38" s="26"/>
      <c r="C38" s="26"/>
      <c r="D38" s="32"/>
      <c r="E38" s="33">
        <f>E17+E21+E26+E31+E36</f>
        <v>9446.5722320000004</v>
      </c>
      <c r="F38" s="34">
        <f>F17+F21+F26+F31+F36</f>
        <v>73.782251137271473</v>
      </c>
      <c r="G38" s="33"/>
      <c r="H38" s="18"/>
      <c r="I38" s="18"/>
    </row>
    <row r="39" spans="1:9" x14ac:dyDescent="0.2">
      <c r="A39" s="26"/>
      <c r="B39" s="26"/>
      <c r="C39" s="26"/>
      <c r="D39" s="32"/>
      <c r="E39" s="33"/>
      <c r="F39" s="34"/>
      <c r="G39" s="33"/>
      <c r="H39" s="18"/>
      <c r="I39" s="18"/>
    </row>
    <row r="40" spans="1:9" x14ac:dyDescent="0.2">
      <c r="A40" s="26" t="s">
        <v>46</v>
      </c>
      <c r="B40" s="26"/>
      <c r="C40" s="26"/>
      <c r="D40" s="32"/>
      <c r="E40" s="33">
        <f>E42-(E17+E21+E26+E31+E36)</f>
        <v>3356.7403348999997</v>
      </c>
      <c r="F40" s="34">
        <f>F42-(F17+F21+F26+F31+F36)</f>
        <v>26.217748862728527</v>
      </c>
      <c r="G40" s="33"/>
      <c r="H40" s="18"/>
      <c r="I40" s="18"/>
    </row>
    <row r="41" spans="1:9" x14ac:dyDescent="0.2">
      <c r="A41" s="26"/>
      <c r="B41" s="26"/>
      <c r="C41" s="26"/>
      <c r="D41" s="32"/>
      <c r="E41" s="33"/>
      <c r="F41" s="34"/>
      <c r="G41" s="33"/>
      <c r="H41" s="18"/>
      <c r="I41" s="18"/>
    </row>
    <row r="42" spans="1:9" x14ac:dyDescent="0.2">
      <c r="A42" s="35" t="s">
        <v>45</v>
      </c>
      <c r="B42" s="35"/>
      <c r="C42" s="35"/>
      <c r="D42" s="36"/>
      <c r="E42" s="37">
        <v>12803.3125669</v>
      </c>
      <c r="F42" s="38">
        <v>100</v>
      </c>
      <c r="G42" s="37"/>
      <c r="H42" s="18"/>
      <c r="I42" s="18"/>
    </row>
    <row r="44" spans="1:9" x14ac:dyDescent="0.2">
      <c r="A44" s="18" t="s">
        <v>66</v>
      </c>
    </row>
    <row r="45" spans="1:9" x14ac:dyDescent="0.2">
      <c r="A45" s="18" t="s">
        <v>47</v>
      </c>
    </row>
    <row r="47" spans="1:9" x14ac:dyDescent="0.2">
      <c r="A47" s="18" t="s">
        <v>48</v>
      </c>
    </row>
    <row r="48" spans="1:9" x14ac:dyDescent="0.2">
      <c r="A48" s="18" t="s">
        <v>49</v>
      </c>
    </row>
    <row r="49" spans="1:5" x14ac:dyDescent="0.2">
      <c r="A49" s="18" t="s">
        <v>50</v>
      </c>
      <c r="B49" s="18"/>
      <c r="C49" s="39" t="s">
        <v>52</v>
      </c>
      <c r="D49" s="19" t="s">
        <v>51</v>
      </c>
    </row>
    <row r="50" spans="1:5" x14ac:dyDescent="0.2">
      <c r="A50" s="9" t="s">
        <v>70</v>
      </c>
      <c r="C50" s="40">
        <v>12.2997</v>
      </c>
      <c r="D50" s="40">
        <v>12.534599999999999</v>
      </c>
    </row>
    <row r="51" spans="1:5" x14ac:dyDescent="0.2">
      <c r="A51" s="9" t="s">
        <v>1324</v>
      </c>
      <c r="C51" s="40">
        <v>10.7371</v>
      </c>
      <c r="D51" s="40">
        <v>10.193300000000001</v>
      </c>
    </row>
    <row r="52" spans="1:5" x14ac:dyDescent="0.2">
      <c r="A52" s="9" t="s">
        <v>72</v>
      </c>
      <c r="C52" s="40">
        <v>10.3332</v>
      </c>
      <c r="D52" s="40">
        <v>10.1868</v>
      </c>
    </row>
    <row r="53" spans="1:5" x14ac:dyDescent="0.2">
      <c r="A53" s="9" t="s">
        <v>73</v>
      </c>
      <c r="C53" s="40">
        <v>12.3613</v>
      </c>
      <c r="D53" s="40">
        <v>12.5974</v>
      </c>
    </row>
    <row r="55" spans="1:5" x14ac:dyDescent="0.2">
      <c r="A55" s="18" t="s">
        <v>53</v>
      </c>
    </row>
    <row r="56" spans="1:5" x14ac:dyDescent="0.2">
      <c r="A56" s="74" t="s">
        <v>67</v>
      </c>
      <c r="B56" s="75"/>
      <c r="C56" s="44" t="s">
        <v>68</v>
      </c>
    </row>
    <row r="57" spans="1:5" x14ac:dyDescent="0.2">
      <c r="A57" s="68" t="s">
        <v>1324</v>
      </c>
      <c r="B57" s="69"/>
      <c r="C57" s="45">
        <v>0.745</v>
      </c>
    </row>
    <row r="58" spans="1:5" x14ac:dyDescent="0.2">
      <c r="A58" s="68" t="s">
        <v>72</v>
      </c>
      <c r="B58" s="69"/>
      <c r="C58" s="45">
        <v>0.34</v>
      </c>
    </row>
    <row r="59" spans="1:5" x14ac:dyDescent="0.2">
      <c r="A59" s="9" t="s">
        <v>69</v>
      </c>
    </row>
    <row r="61" spans="1:5" x14ac:dyDescent="0.2">
      <c r="A61" s="18" t="s">
        <v>793</v>
      </c>
      <c r="D61" s="42">
        <v>7.0135064465753405E-2</v>
      </c>
      <c r="E61" s="13" t="s">
        <v>55</v>
      </c>
    </row>
    <row r="63" spans="1:5" x14ac:dyDescent="0.2">
      <c r="A63" s="18" t="s">
        <v>1477</v>
      </c>
      <c r="D63" s="41" t="s">
        <v>54</v>
      </c>
    </row>
    <row r="65" spans="1:7" ht="14.4" x14ac:dyDescent="0.2">
      <c r="A65" s="70" t="s">
        <v>794</v>
      </c>
      <c r="B65" s="71"/>
      <c r="C65" s="71"/>
      <c r="D65" s="71"/>
      <c r="E65" s="71"/>
      <c r="F65" s="71"/>
      <c r="G65" s="71"/>
    </row>
    <row r="66" spans="1:7" x14ac:dyDescent="0.2">
      <c r="A66" s="50" t="s">
        <v>56</v>
      </c>
    </row>
    <row r="68" spans="1:7" x14ac:dyDescent="0.2">
      <c r="A68" s="50"/>
    </row>
  </sheetData>
  <mergeCells count="5">
    <mergeCell ref="A1:G1"/>
    <mergeCell ref="A56:B56"/>
    <mergeCell ref="A57:B57"/>
    <mergeCell ref="A58:B58"/>
    <mergeCell ref="A65:G65"/>
  </mergeCells>
  <conditionalFormatting sqref="F2:F3 F5:F64 F69:F65536">
    <cfRule type="cellIs" dxfId="49" priority="3" stopIfTrue="1" operator="between">
      <formula>0.009</formula>
      <formula>-0.009</formula>
    </cfRule>
  </conditionalFormatting>
  <conditionalFormatting sqref="F66">
    <cfRule type="cellIs" dxfId="48" priority="1" stopIfTrue="1" operator="between">
      <formula>0.009</formula>
      <formula>-0.009</formula>
    </cfRule>
  </conditionalFormatting>
  <conditionalFormatting sqref="F67:F68">
    <cfRule type="cellIs" dxfId="47" priority="2" stopIfTrue="1" operator="between">
      <formula>0.009</formula>
      <formula>-0.009</formula>
    </cfRule>
  </conditionalFormatting>
  <hyperlinks>
    <hyperlink ref="A66" r:id="rId1" xr:uid="{00000000-0004-0000-21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3"/>
  <sheetViews>
    <sheetView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21.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1459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735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1302</v>
      </c>
      <c r="B7" s="27" t="s">
        <v>1303</v>
      </c>
      <c r="C7" s="27" t="s">
        <v>39</v>
      </c>
      <c r="D7" s="31">
        <v>14</v>
      </c>
      <c r="E7" s="29">
        <v>1400.98</v>
      </c>
      <c r="F7" s="30">
        <v>7.1724252563663997</v>
      </c>
      <c r="G7" s="29">
        <v>3.3487</v>
      </c>
    </row>
    <row r="8" spans="1:7" x14ac:dyDescent="0.2">
      <c r="A8" s="27" t="s">
        <v>1427</v>
      </c>
      <c r="B8" s="27" t="s">
        <v>1428</v>
      </c>
      <c r="C8" s="27" t="s">
        <v>39</v>
      </c>
      <c r="D8" s="31">
        <v>116</v>
      </c>
      <c r="E8" s="29">
        <v>1162.1413600000001</v>
      </c>
      <c r="F8" s="30">
        <v>5.9496724021270797</v>
      </c>
      <c r="G8" s="29">
        <v>3.2450000000000001</v>
      </c>
    </row>
    <row r="9" spans="1:7" x14ac:dyDescent="0.2">
      <c r="A9" s="27" t="s">
        <v>1460</v>
      </c>
      <c r="B9" s="27" t="s">
        <v>1461</v>
      </c>
      <c r="C9" s="27" t="s">
        <v>39</v>
      </c>
      <c r="D9" s="31">
        <v>100</v>
      </c>
      <c r="E9" s="29">
        <v>1000.929</v>
      </c>
      <c r="F9" s="30">
        <v>5.1243332805818502</v>
      </c>
      <c r="G9" s="29">
        <v>4.6608000000000001</v>
      </c>
    </row>
    <row r="10" spans="1:7" x14ac:dyDescent="0.2">
      <c r="A10" s="27" t="s">
        <v>1462</v>
      </c>
      <c r="B10" s="27" t="s">
        <v>1463</v>
      </c>
      <c r="C10" s="27" t="s">
        <v>39</v>
      </c>
      <c r="D10" s="31">
        <v>40</v>
      </c>
      <c r="E10" s="29">
        <v>502.64150000000001</v>
      </c>
      <c r="F10" s="30">
        <v>2.5733119598408898</v>
      </c>
      <c r="G10" s="29">
        <v>3.1547999999999998</v>
      </c>
    </row>
    <row r="11" spans="1:7" x14ac:dyDescent="0.2">
      <c r="A11" s="27" t="s">
        <v>1464</v>
      </c>
      <c r="B11" s="27" t="s">
        <v>1465</v>
      </c>
      <c r="C11" s="27" t="s">
        <v>39</v>
      </c>
      <c r="D11" s="31">
        <v>50</v>
      </c>
      <c r="E11" s="29">
        <v>501.48099999999999</v>
      </c>
      <c r="F11" s="30">
        <v>2.5673706905079801</v>
      </c>
      <c r="G11" s="29">
        <v>3.1749999999999998</v>
      </c>
    </row>
    <row r="12" spans="1:7" x14ac:dyDescent="0.2">
      <c r="A12" s="27" t="s">
        <v>1443</v>
      </c>
      <c r="B12" s="27" t="s">
        <v>1444</v>
      </c>
      <c r="C12" s="27" t="s">
        <v>39</v>
      </c>
      <c r="D12" s="31">
        <v>38</v>
      </c>
      <c r="E12" s="29">
        <v>381.66782000000001</v>
      </c>
      <c r="F12" s="30">
        <v>1.9539778667149399</v>
      </c>
      <c r="G12" s="29">
        <v>3.3748</v>
      </c>
    </row>
    <row r="13" spans="1:7" x14ac:dyDescent="0.2">
      <c r="A13" s="27" t="s">
        <v>1243</v>
      </c>
      <c r="B13" s="27" t="s">
        <v>1244</v>
      </c>
      <c r="C13" s="27" t="s">
        <v>39</v>
      </c>
      <c r="D13" s="31">
        <v>25</v>
      </c>
      <c r="E13" s="29">
        <v>250.55875</v>
      </c>
      <c r="F13" s="30">
        <v>1.2827548620991001</v>
      </c>
      <c r="G13" s="29">
        <v>4.125</v>
      </c>
    </row>
    <row r="14" spans="1:7" x14ac:dyDescent="0.2">
      <c r="A14" s="27" t="s">
        <v>948</v>
      </c>
      <c r="B14" s="27" t="s">
        <v>949</v>
      </c>
      <c r="C14" s="27" t="s">
        <v>39</v>
      </c>
      <c r="D14" s="31">
        <v>20</v>
      </c>
      <c r="E14" s="29">
        <v>200.3862</v>
      </c>
      <c r="F14" s="30">
        <v>1.0258926193859199</v>
      </c>
      <c r="G14" s="29">
        <v>3.1497000000000002</v>
      </c>
    </row>
    <row r="15" spans="1:7" x14ac:dyDescent="0.2">
      <c r="A15" s="27" t="s">
        <v>1447</v>
      </c>
      <c r="B15" s="27" t="s">
        <v>1448</v>
      </c>
      <c r="C15" s="27" t="s">
        <v>39</v>
      </c>
      <c r="D15" s="31">
        <v>15</v>
      </c>
      <c r="E15" s="29">
        <v>188.3345625</v>
      </c>
      <c r="F15" s="30">
        <v>0.96419333089816806</v>
      </c>
      <c r="G15" s="29">
        <v>3.1551999999999998</v>
      </c>
    </row>
    <row r="16" spans="1:7" x14ac:dyDescent="0.2">
      <c r="A16" s="27" t="s">
        <v>1375</v>
      </c>
      <c r="B16" s="27" t="s">
        <v>1376</v>
      </c>
      <c r="C16" s="27" t="s">
        <v>39</v>
      </c>
      <c r="D16" s="31">
        <v>10</v>
      </c>
      <c r="E16" s="29">
        <v>126.7086</v>
      </c>
      <c r="F16" s="30">
        <v>0.64869445876374199</v>
      </c>
      <c r="G16" s="29">
        <v>3.4500999999999999</v>
      </c>
    </row>
    <row r="17" spans="1:9" x14ac:dyDescent="0.2">
      <c r="A17" s="27" t="s">
        <v>1429</v>
      </c>
      <c r="B17" s="27" t="s">
        <v>1430</v>
      </c>
      <c r="C17" s="27" t="s">
        <v>738</v>
      </c>
      <c r="D17" s="31">
        <v>1</v>
      </c>
      <c r="E17" s="29">
        <v>10.042400000000001</v>
      </c>
      <c r="F17" s="30">
        <v>5.1412842006691002E-2</v>
      </c>
      <c r="G17" s="29">
        <v>3.36</v>
      </c>
    </row>
    <row r="18" spans="1:9" x14ac:dyDescent="0.2">
      <c r="A18" s="26" t="s">
        <v>40</v>
      </c>
      <c r="B18" s="26"/>
      <c r="C18" s="26"/>
      <c r="D18" s="32"/>
      <c r="E18" s="33">
        <f>SUM(E6:E17)</f>
        <v>5725.8711925000007</v>
      </c>
      <c r="F18" s="34">
        <f>SUM(F6:F17)</f>
        <v>29.314039569292767</v>
      </c>
      <c r="G18" s="33"/>
      <c r="H18" s="18"/>
      <c r="I18" s="18"/>
    </row>
    <row r="19" spans="1:9" x14ac:dyDescent="0.2">
      <c r="A19" s="27"/>
      <c r="B19" s="27"/>
      <c r="C19" s="27"/>
      <c r="D19" s="28"/>
      <c r="E19" s="29"/>
      <c r="F19" s="30"/>
      <c r="G19" s="29"/>
    </row>
    <row r="20" spans="1:9" x14ac:dyDescent="0.2">
      <c r="A20" s="26" t="s">
        <v>58</v>
      </c>
      <c r="B20" s="27"/>
      <c r="C20" s="27"/>
      <c r="D20" s="28"/>
      <c r="E20" s="29"/>
      <c r="F20" s="30"/>
      <c r="G20" s="29"/>
    </row>
    <row r="21" spans="1:9" x14ac:dyDescent="0.2">
      <c r="A21" s="26" t="s">
        <v>59</v>
      </c>
      <c r="B21" s="27"/>
      <c r="C21" s="27"/>
      <c r="D21" s="28"/>
      <c r="E21" s="29"/>
      <c r="F21" s="30"/>
      <c r="G21" s="29"/>
    </row>
    <row r="22" spans="1:9" x14ac:dyDescent="0.2">
      <c r="A22" s="27" t="s">
        <v>811</v>
      </c>
      <c r="B22" s="27" t="s">
        <v>812</v>
      </c>
      <c r="C22" s="27" t="s">
        <v>60</v>
      </c>
      <c r="D22" s="31">
        <v>322</v>
      </c>
      <c r="E22" s="29">
        <v>321.83610199999998</v>
      </c>
      <c r="F22" s="30">
        <v>1.64766476780205</v>
      </c>
      <c r="G22" s="29">
        <v>3.0979999999999999</v>
      </c>
    </row>
    <row r="23" spans="1:9" x14ac:dyDescent="0.2">
      <c r="A23" s="26" t="s">
        <v>40</v>
      </c>
      <c r="B23" s="26"/>
      <c r="C23" s="26"/>
      <c r="D23" s="32"/>
      <c r="E23" s="33">
        <f>SUM(E21:E22)</f>
        <v>321.83610199999998</v>
      </c>
      <c r="F23" s="34">
        <f>SUM(F21:F22)</f>
        <v>1.64766476780205</v>
      </c>
      <c r="G23" s="33"/>
      <c r="H23" s="18"/>
      <c r="I23" s="18"/>
    </row>
    <row r="24" spans="1:9" x14ac:dyDescent="0.2">
      <c r="A24" s="27"/>
      <c r="B24" s="27"/>
      <c r="C24" s="27"/>
      <c r="D24" s="28"/>
      <c r="E24" s="29"/>
      <c r="F24" s="30"/>
      <c r="G24" s="29"/>
    </row>
    <row r="25" spans="1:9" x14ac:dyDescent="0.2">
      <c r="A25" s="26" t="s">
        <v>65</v>
      </c>
      <c r="B25" s="27"/>
      <c r="C25" s="27"/>
      <c r="D25" s="28"/>
      <c r="E25" s="29"/>
      <c r="F25" s="30"/>
      <c r="G25" s="29"/>
    </row>
    <row r="26" spans="1:9" x14ac:dyDescent="0.2">
      <c r="A26" s="27" t="s">
        <v>97</v>
      </c>
      <c r="B26" s="27" t="s">
        <v>96</v>
      </c>
      <c r="C26" s="27" t="s">
        <v>81</v>
      </c>
      <c r="D26" s="31">
        <v>2500000</v>
      </c>
      <c r="E26" s="29">
        <v>2492.8924999999999</v>
      </c>
      <c r="F26" s="30">
        <v>12.762555588521201</v>
      </c>
      <c r="G26" s="29">
        <v>3.1541000000000001</v>
      </c>
    </row>
    <row r="27" spans="1:9" x14ac:dyDescent="0.2">
      <c r="A27" s="27" t="s">
        <v>832</v>
      </c>
      <c r="B27" s="27" t="s">
        <v>833</v>
      </c>
      <c r="C27" s="27" t="s">
        <v>81</v>
      </c>
      <c r="D27" s="31">
        <v>65000</v>
      </c>
      <c r="E27" s="29">
        <v>64.859080000000006</v>
      </c>
      <c r="F27" s="30">
        <v>0.33205106675090901</v>
      </c>
      <c r="G27" s="29">
        <v>3.0501999999999998</v>
      </c>
    </row>
    <row r="28" spans="1:9" x14ac:dyDescent="0.2">
      <c r="A28" s="26" t="s">
        <v>40</v>
      </c>
      <c r="B28" s="26"/>
      <c r="C28" s="26"/>
      <c r="D28" s="32"/>
      <c r="E28" s="33">
        <f>SUM(E25:E27)</f>
        <v>2557.7515800000001</v>
      </c>
      <c r="F28" s="34">
        <f>SUM(F25:F27)</f>
        <v>13.094606655272109</v>
      </c>
      <c r="G28" s="33"/>
      <c r="H28" s="18"/>
      <c r="I28" s="18"/>
    </row>
    <row r="29" spans="1:9" x14ac:dyDescent="0.2">
      <c r="A29" s="27"/>
      <c r="B29" s="27"/>
      <c r="C29" s="27"/>
      <c r="D29" s="28"/>
      <c r="E29" s="29"/>
      <c r="F29" s="30"/>
      <c r="G29" s="29"/>
    </row>
    <row r="30" spans="1:9" x14ac:dyDescent="0.2">
      <c r="A30" s="26" t="s">
        <v>44</v>
      </c>
      <c r="B30" s="26"/>
      <c r="C30" s="26"/>
      <c r="D30" s="32"/>
      <c r="E30" s="33">
        <f>E18+E23+E28</f>
        <v>8605.4588745000001</v>
      </c>
      <c r="F30" s="34">
        <f>F18+F23+F28</f>
        <v>44.056310992366924</v>
      </c>
      <c r="G30" s="33"/>
      <c r="H30" s="18"/>
      <c r="I30" s="18"/>
    </row>
    <row r="31" spans="1:9" x14ac:dyDescent="0.2">
      <c r="A31" s="26"/>
      <c r="B31" s="26"/>
      <c r="C31" s="26"/>
      <c r="D31" s="32"/>
      <c r="E31" s="33"/>
      <c r="F31" s="34"/>
      <c r="G31" s="33"/>
      <c r="H31" s="18"/>
      <c r="I31" s="18"/>
    </row>
    <row r="32" spans="1:9" x14ac:dyDescent="0.2">
      <c r="A32" s="26" t="s">
        <v>46</v>
      </c>
      <c r="B32" s="26"/>
      <c r="C32" s="26"/>
      <c r="D32" s="32"/>
      <c r="E32" s="33">
        <f>E34-(E18+E23+E28)</f>
        <v>10927.404138000002</v>
      </c>
      <c r="F32" s="34">
        <f>F34-(F18+F23+F28)</f>
        <v>55.943689007633076</v>
      </c>
      <c r="G32" s="33"/>
      <c r="H32" s="18"/>
      <c r="I32" s="18"/>
    </row>
    <row r="33" spans="1:9" x14ac:dyDescent="0.2">
      <c r="A33" s="26"/>
      <c r="B33" s="26"/>
      <c r="C33" s="26"/>
      <c r="D33" s="32"/>
      <c r="E33" s="33"/>
      <c r="F33" s="34"/>
      <c r="G33" s="33"/>
      <c r="H33" s="18"/>
      <c r="I33" s="18"/>
    </row>
    <row r="34" spans="1:9" x14ac:dyDescent="0.2">
      <c r="A34" s="35" t="s">
        <v>45</v>
      </c>
      <c r="B34" s="35"/>
      <c r="C34" s="35"/>
      <c r="D34" s="36"/>
      <c r="E34" s="37">
        <v>19532.863012500002</v>
      </c>
      <c r="F34" s="38">
        <v>100</v>
      </c>
      <c r="G34" s="37"/>
      <c r="H34" s="18"/>
      <c r="I34" s="18"/>
    </row>
    <row r="36" spans="1:9" x14ac:dyDescent="0.2">
      <c r="A36" s="18" t="s">
        <v>47</v>
      </c>
    </row>
    <row r="38" spans="1:9" x14ac:dyDescent="0.2">
      <c r="A38" s="18" t="s">
        <v>48</v>
      </c>
    </row>
    <row r="39" spans="1:9" x14ac:dyDescent="0.2">
      <c r="A39" s="18" t="s">
        <v>49</v>
      </c>
    </row>
    <row r="40" spans="1:9" x14ac:dyDescent="0.2">
      <c r="A40" s="18" t="s">
        <v>50</v>
      </c>
      <c r="B40" s="18"/>
      <c r="C40" s="39" t="s">
        <v>52</v>
      </c>
      <c r="D40" s="19" t="s">
        <v>51</v>
      </c>
    </row>
    <row r="41" spans="1:9" x14ac:dyDescent="0.2">
      <c r="A41" s="9" t="s">
        <v>70</v>
      </c>
      <c r="C41" s="40">
        <v>12.278700000000001</v>
      </c>
      <c r="D41" s="40">
        <v>12.5183</v>
      </c>
    </row>
    <row r="42" spans="1:9" x14ac:dyDescent="0.2">
      <c r="A42" s="9" t="s">
        <v>1324</v>
      </c>
      <c r="C42" s="40">
        <v>10.7751</v>
      </c>
      <c r="D42" s="40">
        <v>10.238799999999999</v>
      </c>
    </row>
    <row r="43" spans="1:9" x14ac:dyDescent="0.2">
      <c r="A43" s="9" t="s">
        <v>72</v>
      </c>
      <c r="C43" s="40">
        <v>10.2011</v>
      </c>
      <c r="D43" s="40">
        <v>10.2286</v>
      </c>
    </row>
    <row r="44" spans="1:9" x14ac:dyDescent="0.2">
      <c r="A44" s="9" t="s">
        <v>73</v>
      </c>
      <c r="C44" s="40">
        <v>12.340199999999999</v>
      </c>
      <c r="D44" s="40">
        <v>12.581</v>
      </c>
    </row>
    <row r="45" spans="1:9" x14ac:dyDescent="0.2">
      <c r="A45" s="9" t="s">
        <v>77</v>
      </c>
      <c r="C45" s="40">
        <v>10.801399999999999</v>
      </c>
      <c r="D45" s="40">
        <v>10.265499999999999</v>
      </c>
    </row>
    <row r="46" spans="1:9" x14ac:dyDescent="0.2">
      <c r="A46" s="9" t="s">
        <v>75</v>
      </c>
      <c r="C46" s="40">
        <v>10.2256</v>
      </c>
      <c r="D46" s="40">
        <v>10.253500000000001</v>
      </c>
    </row>
    <row r="48" spans="1:9" x14ac:dyDescent="0.2">
      <c r="A48" s="18" t="s">
        <v>53</v>
      </c>
    </row>
    <row r="49" spans="1:7" x14ac:dyDescent="0.2">
      <c r="A49" s="74" t="s">
        <v>67</v>
      </c>
      <c r="B49" s="75"/>
      <c r="C49" s="44" t="s">
        <v>68</v>
      </c>
    </row>
    <row r="50" spans="1:7" x14ac:dyDescent="0.2">
      <c r="A50" s="68" t="s">
        <v>1324</v>
      </c>
      <c r="B50" s="69"/>
      <c r="C50" s="45">
        <v>0.74</v>
      </c>
    </row>
    <row r="51" spans="1:7" x14ac:dyDescent="0.2">
      <c r="A51" s="68" t="s">
        <v>72</v>
      </c>
      <c r="B51" s="69"/>
      <c r="C51" s="45">
        <v>0.17</v>
      </c>
    </row>
    <row r="52" spans="1:7" x14ac:dyDescent="0.2">
      <c r="A52" s="68" t="s">
        <v>77</v>
      </c>
      <c r="B52" s="69"/>
      <c r="C52" s="45">
        <v>0.74</v>
      </c>
    </row>
    <row r="53" spans="1:7" x14ac:dyDescent="0.2">
      <c r="A53" s="68" t="s">
        <v>75</v>
      </c>
      <c r="B53" s="69"/>
      <c r="C53" s="45">
        <v>0.17</v>
      </c>
    </row>
    <row r="54" spans="1:7" x14ac:dyDescent="0.2">
      <c r="A54" s="9" t="s">
        <v>69</v>
      </c>
    </row>
    <row r="56" spans="1:7" x14ac:dyDescent="0.2">
      <c r="A56" s="18" t="s">
        <v>793</v>
      </c>
      <c r="D56" s="42">
        <v>2.5999220575342499E-2</v>
      </c>
      <c r="E56" s="13" t="s">
        <v>55</v>
      </c>
    </row>
    <row r="58" spans="1:7" x14ac:dyDescent="0.2">
      <c r="A58" s="18" t="s">
        <v>1477</v>
      </c>
      <c r="D58" s="41" t="s">
        <v>54</v>
      </c>
    </row>
    <row r="60" spans="1:7" ht="14.4" x14ac:dyDescent="0.2">
      <c r="A60" s="70" t="s">
        <v>794</v>
      </c>
      <c r="B60" s="71"/>
      <c r="C60" s="71"/>
      <c r="D60" s="71"/>
      <c r="E60" s="71"/>
      <c r="F60" s="71"/>
      <c r="G60" s="71"/>
    </row>
    <row r="61" spans="1:7" x14ac:dyDescent="0.2">
      <c r="A61" s="50" t="s">
        <v>56</v>
      </c>
    </row>
    <row r="63" spans="1:7" x14ac:dyDescent="0.2">
      <c r="A63" s="50"/>
    </row>
  </sheetData>
  <mergeCells count="7">
    <mergeCell ref="A60:G60"/>
    <mergeCell ref="A1:G1"/>
    <mergeCell ref="A49:B49"/>
    <mergeCell ref="A50:B50"/>
    <mergeCell ref="A51:B51"/>
    <mergeCell ref="A52:B52"/>
    <mergeCell ref="A53:B53"/>
  </mergeCells>
  <conditionalFormatting sqref="F2:F3 F5:F59 F64:F65536">
    <cfRule type="cellIs" dxfId="46" priority="3" stopIfTrue="1" operator="between">
      <formula>0.009</formula>
      <formula>-0.009</formula>
    </cfRule>
  </conditionalFormatting>
  <conditionalFormatting sqref="F61">
    <cfRule type="cellIs" dxfId="45" priority="1" stopIfTrue="1" operator="between">
      <formula>0.009</formula>
      <formula>-0.009</formula>
    </cfRule>
  </conditionalFormatting>
  <conditionalFormatting sqref="F62:F63">
    <cfRule type="cellIs" dxfId="44" priority="2" stopIfTrue="1" operator="between">
      <formula>0.009</formula>
      <formula>-0.009</formula>
    </cfRule>
  </conditionalFormatting>
  <hyperlinks>
    <hyperlink ref="A61" r:id="rId1" xr:uid="{00000000-0004-0000-22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04"/>
  <sheetViews>
    <sheetView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1466</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100</v>
      </c>
      <c r="B7" s="27" t="s">
        <v>99</v>
      </c>
      <c r="C7" s="27" t="s">
        <v>101</v>
      </c>
      <c r="D7" s="31">
        <v>108000</v>
      </c>
      <c r="E7" s="29">
        <v>1657.152</v>
      </c>
      <c r="F7" s="30">
        <v>3.6711837672571002</v>
      </c>
      <c r="G7" s="29"/>
    </row>
    <row r="8" spans="1:7" x14ac:dyDescent="0.2">
      <c r="A8" s="27" t="s">
        <v>103</v>
      </c>
      <c r="B8" s="27" t="s">
        <v>102</v>
      </c>
      <c r="C8" s="27" t="s">
        <v>101</v>
      </c>
      <c r="D8" s="31">
        <v>206475</v>
      </c>
      <c r="E8" s="29">
        <v>1496.5308</v>
      </c>
      <c r="F8" s="30">
        <v>3.3153504205771598</v>
      </c>
      <c r="G8" s="29"/>
    </row>
    <row r="9" spans="1:7" x14ac:dyDescent="0.2">
      <c r="A9" s="27" t="s">
        <v>105</v>
      </c>
      <c r="B9" s="27" t="s">
        <v>104</v>
      </c>
      <c r="C9" s="27" t="s">
        <v>106</v>
      </c>
      <c r="D9" s="31">
        <v>109904</v>
      </c>
      <c r="E9" s="29">
        <v>1377.4268320000001</v>
      </c>
      <c r="F9" s="30">
        <v>3.0514925765547001</v>
      </c>
      <c r="G9" s="29"/>
    </row>
    <row r="10" spans="1:7" x14ac:dyDescent="0.2">
      <c r="A10" s="27" t="s">
        <v>108</v>
      </c>
      <c r="B10" s="27" t="s">
        <v>107</v>
      </c>
      <c r="C10" s="27" t="s">
        <v>101</v>
      </c>
      <c r="D10" s="31">
        <v>146474</v>
      </c>
      <c r="E10" s="29">
        <v>875.54833499999995</v>
      </c>
      <c r="F10" s="30">
        <v>1.9396523884960299</v>
      </c>
      <c r="G10" s="29"/>
    </row>
    <row r="11" spans="1:7" x14ac:dyDescent="0.2">
      <c r="A11" s="27" t="s">
        <v>110</v>
      </c>
      <c r="B11" s="27" t="s">
        <v>109</v>
      </c>
      <c r="C11" s="27" t="s">
        <v>111</v>
      </c>
      <c r="D11" s="31">
        <v>145373</v>
      </c>
      <c r="E11" s="29">
        <v>808.70999900000004</v>
      </c>
      <c r="F11" s="30">
        <v>1.79158159344906</v>
      </c>
      <c r="G11" s="29"/>
    </row>
    <row r="12" spans="1:7" x14ac:dyDescent="0.2">
      <c r="A12" s="27" t="s">
        <v>113</v>
      </c>
      <c r="B12" s="27" t="s">
        <v>112</v>
      </c>
      <c r="C12" s="27" t="s">
        <v>114</v>
      </c>
      <c r="D12" s="31">
        <v>40000</v>
      </c>
      <c r="E12" s="29">
        <v>623.20000000000005</v>
      </c>
      <c r="F12" s="30">
        <v>1.3806106644137801</v>
      </c>
      <c r="G12" s="29"/>
    </row>
    <row r="13" spans="1:7" x14ac:dyDescent="0.2">
      <c r="A13" s="27" t="s">
        <v>116</v>
      </c>
      <c r="B13" s="27" t="s">
        <v>115</v>
      </c>
      <c r="C13" s="27" t="s">
        <v>117</v>
      </c>
      <c r="D13" s="31">
        <v>60000</v>
      </c>
      <c r="E13" s="29">
        <v>610.89</v>
      </c>
      <c r="F13" s="30">
        <v>1.3533396161484801</v>
      </c>
      <c r="G13" s="29"/>
    </row>
    <row r="14" spans="1:7" x14ac:dyDescent="0.2">
      <c r="A14" s="27" t="s">
        <v>119</v>
      </c>
      <c r="B14" s="27" t="s">
        <v>118</v>
      </c>
      <c r="C14" s="27" t="s">
        <v>101</v>
      </c>
      <c r="D14" s="31">
        <v>33853</v>
      </c>
      <c r="E14" s="29">
        <v>602.7018855</v>
      </c>
      <c r="F14" s="30">
        <v>1.3352000169826601</v>
      </c>
      <c r="G14" s="29"/>
    </row>
    <row r="15" spans="1:7" x14ac:dyDescent="0.2">
      <c r="A15" s="27" t="s">
        <v>121</v>
      </c>
      <c r="B15" s="27" t="s">
        <v>120</v>
      </c>
      <c r="C15" s="27" t="s">
        <v>122</v>
      </c>
      <c r="D15" s="31">
        <v>74355</v>
      </c>
      <c r="E15" s="29">
        <v>531.74978250000004</v>
      </c>
      <c r="F15" s="30">
        <v>1.17801575821439</v>
      </c>
      <c r="G15" s="29"/>
    </row>
    <row r="16" spans="1:7" x14ac:dyDescent="0.2">
      <c r="A16" s="27" t="s">
        <v>124</v>
      </c>
      <c r="B16" s="27" t="s">
        <v>123</v>
      </c>
      <c r="C16" s="27" t="s">
        <v>125</v>
      </c>
      <c r="D16" s="31">
        <v>190244</v>
      </c>
      <c r="E16" s="29">
        <v>485.40756599999997</v>
      </c>
      <c r="F16" s="30">
        <v>1.0753511909607401</v>
      </c>
      <c r="G16" s="29"/>
    </row>
    <row r="17" spans="1:7" x14ac:dyDescent="0.2">
      <c r="A17" s="27" t="s">
        <v>127</v>
      </c>
      <c r="B17" s="27" t="s">
        <v>126</v>
      </c>
      <c r="C17" s="27" t="s">
        <v>128</v>
      </c>
      <c r="D17" s="31">
        <v>129936</v>
      </c>
      <c r="E17" s="29">
        <v>442.10723999999999</v>
      </c>
      <c r="F17" s="30">
        <v>0.97942549800793</v>
      </c>
      <c r="G17" s="29"/>
    </row>
    <row r="18" spans="1:7" x14ac:dyDescent="0.2">
      <c r="A18" s="27" t="s">
        <v>130</v>
      </c>
      <c r="B18" s="27" t="s">
        <v>129</v>
      </c>
      <c r="C18" s="27" t="s">
        <v>125</v>
      </c>
      <c r="D18" s="31">
        <v>168573</v>
      </c>
      <c r="E18" s="29">
        <v>421.09535399999999</v>
      </c>
      <c r="F18" s="30">
        <v>0.93287666313783002</v>
      </c>
      <c r="G18" s="29"/>
    </row>
    <row r="19" spans="1:7" x14ac:dyDescent="0.2">
      <c r="A19" s="27" t="s">
        <v>132</v>
      </c>
      <c r="B19" s="27" t="s">
        <v>131</v>
      </c>
      <c r="C19" s="27" t="s">
        <v>133</v>
      </c>
      <c r="D19" s="31">
        <v>26468</v>
      </c>
      <c r="E19" s="29">
        <v>418.51201600000002</v>
      </c>
      <c r="F19" s="30">
        <v>0.92715364646166598</v>
      </c>
      <c r="G19" s="29"/>
    </row>
    <row r="20" spans="1:7" x14ac:dyDescent="0.2">
      <c r="A20" s="27" t="s">
        <v>135</v>
      </c>
      <c r="B20" s="27" t="s">
        <v>134</v>
      </c>
      <c r="C20" s="27" t="s">
        <v>136</v>
      </c>
      <c r="D20" s="31">
        <v>51526</v>
      </c>
      <c r="E20" s="29">
        <v>415.50566400000002</v>
      </c>
      <c r="F20" s="30">
        <v>0.92049350263595697</v>
      </c>
      <c r="G20" s="29"/>
    </row>
    <row r="21" spans="1:7" x14ac:dyDescent="0.2">
      <c r="A21" s="27" t="s">
        <v>138</v>
      </c>
      <c r="B21" s="27" t="s">
        <v>137</v>
      </c>
      <c r="C21" s="27" t="s">
        <v>139</v>
      </c>
      <c r="D21" s="31">
        <v>156244</v>
      </c>
      <c r="E21" s="29">
        <v>378.81357800000001</v>
      </c>
      <c r="F21" s="30">
        <v>0.83920742235484702</v>
      </c>
      <c r="G21" s="29"/>
    </row>
    <row r="22" spans="1:7" x14ac:dyDescent="0.2">
      <c r="A22" s="27" t="s">
        <v>141</v>
      </c>
      <c r="B22" s="27" t="s">
        <v>140</v>
      </c>
      <c r="C22" s="27" t="s">
        <v>101</v>
      </c>
      <c r="D22" s="31">
        <v>88509</v>
      </c>
      <c r="E22" s="29">
        <v>345.31786349999999</v>
      </c>
      <c r="F22" s="30">
        <v>0.765002446984406</v>
      </c>
      <c r="G22" s="29"/>
    </row>
    <row r="23" spans="1:7" x14ac:dyDescent="0.2">
      <c r="A23" s="27" t="s">
        <v>143</v>
      </c>
      <c r="B23" s="27" t="s">
        <v>142</v>
      </c>
      <c r="C23" s="27" t="s">
        <v>144</v>
      </c>
      <c r="D23" s="31">
        <v>72000</v>
      </c>
      <c r="E23" s="29">
        <v>313.34399999999999</v>
      </c>
      <c r="F23" s="30">
        <v>0.69416891532424796</v>
      </c>
      <c r="G23" s="29"/>
    </row>
    <row r="24" spans="1:7" x14ac:dyDescent="0.2">
      <c r="A24" s="27" t="s">
        <v>146</v>
      </c>
      <c r="B24" s="27" t="s">
        <v>145</v>
      </c>
      <c r="C24" s="27" t="s">
        <v>147</v>
      </c>
      <c r="D24" s="31">
        <v>130625</v>
      </c>
      <c r="E24" s="29">
        <v>279.92937499999999</v>
      </c>
      <c r="F24" s="30">
        <v>0.62014358216894105</v>
      </c>
      <c r="G24" s="29"/>
    </row>
    <row r="25" spans="1:7" x14ac:dyDescent="0.2">
      <c r="A25" s="27" t="s">
        <v>1467</v>
      </c>
      <c r="B25" s="27" t="s">
        <v>1468</v>
      </c>
      <c r="C25" s="27" t="s">
        <v>148</v>
      </c>
      <c r="D25" s="31">
        <v>32100</v>
      </c>
      <c r="E25" s="29">
        <v>252.86775</v>
      </c>
      <c r="F25" s="30">
        <v>0.56019241389011099</v>
      </c>
      <c r="G25" s="29"/>
    </row>
    <row r="26" spans="1:7" x14ac:dyDescent="0.2">
      <c r="A26" s="27" t="s">
        <v>150</v>
      </c>
      <c r="B26" s="27" t="s">
        <v>149</v>
      </c>
      <c r="C26" s="27" t="s">
        <v>147</v>
      </c>
      <c r="D26" s="31">
        <v>217407</v>
      </c>
      <c r="E26" s="29">
        <v>233.27771100000001</v>
      </c>
      <c r="F26" s="30">
        <v>0.51679347813965903</v>
      </c>
      <c r="G26" s="29"/>
    </row>
    <row r="27" spans="1:7" x14ac:dyDescent="0.2">
      <c r="A27" s="27" t="s">
        <v>152</v>
      </c>
      <c r="B27" s="27" t="s">
        <v>151</v>
      </c>
      <c r="C27" s="27" t="s">
        <v>139</v>
      </c>
      <c r="D27" s="31">
        <v>43000</v>
      </c>
      <c r="E27" s="29">
        <v>193.43549999999999</v>
      </c>
      <c r="F27" s="30">
        <v>0.42852874546888903</v>
      </c>
      <c r="G27" s="29"/>
    </row>
    <row r="28" spans="1:7" x14ac:dyDescent="0.2">
      <c r="A28" s="27" t="s">
        <v>154</v>
      </c>
      <c r="B28" s="27" t="s">
        <v>153</v>
      </c>
      <c r="C28" s="27" t="s">
        <v>136</v>
      </c>
      <c r="D28" s="31">
        <v>4923</v>
      </c>
      <c r="E28" s="29">
        <v>187.01000099999999</v>
      </c>
      <c r="F28" s="30">
        <v>0.41429396940409402</v>
      </c>
      <c r="G28" s="29"/>
    </row>
    <row r="29" spans="1:7" x14ac:dyDescent="0.2">
      <c r="A29" s="27" t="s">
        <v>156</v>
      </c>
      <c r="B29" s="27" t="s">
        <v>155</v>
      </c>
      <c r="C29" s="27" t="s">
        <v>101</v>
      </c>
      <c r="D29" s="31">
        <v>301582</v>
      </c>
      <c r="E29" s="29">
        <v>179.893663</v>
      </c>
      <c r="F29" s="30">
        <v>0.39852873812300799</v>
      </c>
      <c r="G29" s="29"/>
    </row>
    <row r="30" spans="1:7" x14ac:dyDescent="0.2">
      <c r="A30" s="27" t="s">
        <v>158</v>
      </c>
      <c r="B30" s="27" t="s">
        <v>157</v>
      </c>
      <c r="C30" s="27" t="s">
        <v>133</v>
      </c>
      <c r="D30" s="31">
        <v>15000</v>
      </c>
      <c r="E30" s="29">
        <v>174.20249999999999</v>
      </c>
      <c r="F30" s="30">
        <v>0.38592077867063801</v>
      </c>
      <c r="G30" s="29"/>
    </row>
    <row r="31" spans="1:7" x14ac:dyDescent="0.2">
      <c r="A31" s="27" t="s">
        <v>1469</v>
      </c>
      <c r="B31" s="27" t="s">
        <v>1470</v>
      </c>
      <c r="C31" s="27" t="s">
        <v>144</v>
      </c>
      <c r="D31" s="31">
        <v>7072</v>
      </c>
      <c r="E31" s="29">
        <v>171.72230400000001</v>
      </c>
      <c r="F31" s="30">
        <v>0.38042625837629201</v>
      </c>
      <c r="G31" s="29"/>
    </row>
    <row r="32" spans="1:7" x14ac:dyDescent="0.2">
      <c r="A32" s="27" t="s">
        <v>160</v>
      </c>
      <c r="B32" s="27" t="s">
        <v>159</v>
      </c>
      <c r="C32" s="27" t="s">
        <v>133</v>
      </c>
      <c r="D32" s="31">
        <v>27182</v>
      </c>
      <c r="E32" s="29">
        <v>151.93378899999999</v>
      </c>
      <c r="F32" s="30">
        <v>0.33658762737193998</v>
      </c>
      <c r="G32" s="29"/>
    </row>
    <row r="33" spans="1:9" x14ac:dyDescent="0.2">
      <c r="A33" s="27" t="s">
        <v>162</v>
      </c>
      <c r="B33" s="27" t="s">
        <v>161</v>
      </c>
      <c r="C33" s="27" t="s">
        <v>136</v>
      </c>
      <c r="D33" s="31">
        <v>23121</v>
      </c>
      <c r="E33" s="29">
        <v>137.5121475</v>
      </c>
      <c r="F33" s="30">
        <v>0.30463853871139401</v>
      </c>
      <c r="G33" s="29"/>
    </row>
    <row r="34" spans="1:9" x14ac:dyDescent="0.2">
      <c r="A34" s="27" t="s">
        <v>164</v>
      </c>
      <c r="B34" s="27" t="s">
        <v>163</v>
      </c>
      <c r="C34" s="27" t="s">
        <v>136</v>
      </c>
      <c r="D34" s="31">
        <v>39940</v>
      </c>
      <c r="E34" s="29">
        <v>128.98623000000001</v>
      </c>
      <c r="F34" s="30">
        <v>0.28575058520624003</v>
      </c>
      <c r="G34" s="29"/>
    </row>
    <row r="35" spans="1:9" x14ac:dyDescent="0.2">
      <c r="A35" s="27" t="s">
        <v>166</v>
      </c>
      <c r="B35" s="27" t="s">
        <v>165</v>
      </c>
      <c r="C35" s="27" t="s">
        <v>167</v>
      </c>
      <c r="D35" s="31">
        <v>65910</v>
      </c>
      <c r="E35" s="29">
        <v>121.01076</v>
      </c>
      <c r="F35" s="30">
        <v>0.26808206958410802</v>
      </c>
      <c r="G35" s="29"/>
    </row>
    <row r="36" spans="1:9" x14ac:dyDescent="0.2">
      <c r="A36" s="27" t="s">
        <v>169</v>
      </c>
      <c r="B36" s="27" t="s">
        <v>168</v>
      </c>
      <c r="C36" s="27" t="s">
        <v>170</v>
      </c>
      <c r="D36" s="31">
        <v>153047</v>
      </c>
      <c r="E36" s="29">
        <v>91.369058999999993</v>
      </c>
      <c r="F36" s="30">
        <v>0.202415111124602</v>
      </c>
      <c r="G36" s="29"/>
    </row>
    <row r="37" spans="1:9" x14ac:dyDescent="0.2">
      <c r="A37" s="27" t="s">
        <v>172</v>
      </c>
      <c r="B37" s="27" t="s">
        <v>171</v>
      </c>
      <c r="C37" s="27" t="s">
        <v>167</v>
      </c>
      <c r="D37" s="31">
        <v>7703</v>
      </c>
      <c r="E37" s="29">
        <v>11.1038745</v>
      </c>
      <c r="F37" s="30">
        <v>2.4599049343729501E-2</v>
      </c>
      <c r="G37" s="29"/>
    </row>
    <row r="38" spans="1:9" x14ac:dyDescent="0.2">
      <c r="A38" s="27" t="s">
        <v>174</v>
      </c>
      <c r="B38" s="27" t="s">
        <v>173</v>
      </c>
      <c r="C38" s="27" t="s">
        <v>175</v>
      </c>
      <c r="D38" s="31">
        <v>984</v>
      </c>
      <c r="E38" s="29">
        <v>1.4976480000000001</v>
      </c>
      <c r="F38" s="30">
        <v>3.3178254177438499E-3</v>
      </c>
      <c r="G38" s="29"/>
    </row>
    <row r="39" spans="1:9" x14ac:dyDescent="0.2">
      <c r="A39" s="26" t="s">
        <v>40</v>
      </c>
      <c r="B39" s="26"/>
      <c r="C39" s="26"/>
      <c r="D39" s="32"/>
      <c r="E39" s="33">
        <f>SUM(E7:E38)</f>
        <v>14119.7652275</v>
      </c>
      <c r="F39" s="34">
        <f>SUM(F7:F38)</f>
        <v>31.280324858962373</v>
      </c>
      <c r="G39" s="33"/>
      <c r="H39" s="18"/>
      <c r="I39" s="18"/>
    </row>
    <row r="40" spans="1:9" x14ac:dyDescent="0.2">
      <c r="A40" s="27"/>
      <c r="B40" s="27"/>
      <c r="C40" s="27"/>
      <c r="D40" s="28"/>
      <c r="E40" s="29"/>
      <c r="F40" s="30"/>
      <c r="G40" s="29"/>
    </row>
    <row r="41" spans="1:9" x14ac:dyDescent="0.2">
      <c r="A41" s="26" t="s">
        <v>31</v>
      </c>
      <c r="B41" s="27"/>
      <c r="C41" s="27"/>
      <c r="D41" s="28"/>
      <c r="E41" s="29"/>
      <c r="F41" s="30"/>
      <c r="G41" s="29"/>
    </row>
    <row r="42" spans="1:9" x14ac:dyDescent="0.2">
      <c r="A42" s="26" t="s">
        <v>32</v>
      </c>
      <c r="B42" s="27"/>
      <c r="C42" s="27"/>
      <c r="D42" s="28"/>
      <c r="E42" s="29"/>
      <c r="F42" s="30"/>
      <c r="G42" s="29"/>
    </row>
    <row r="43" spans="1:9" x14ac:dyDescent="0.2">
      <c r="A43" s="27" t="s">
        <v>177</v>
      </c>
      <c r="B43" s="27" t="s">
        <v>176</v>
      </c>
      <c r="C43" s="27" t="s">
        <v>39</v>
      </c>
      <c r="D43" s="31">
        <v>200</v>
      </c>
      <c r="E43" s="29">
        <v>2063.44</v>
      </c>
      <c r="F43" s="30">
        <v>4.5712568507348701</v>
      </c>
      <c r="G43" s="29">
        <v>5.3449999999999998</v>
      </c>
    </row>
    <row r="44" spans="1:9" x14ac:dyDescent="0.2">
      <c r="A44" s="27" t="s">
        <v>1471</v>
      </c>
      <c r="B44" s="27" t="s">
        <v>1472</v>
      </c>
      <c r="C44" s="27" t="s">
        <v>39</v>
      </c>
      <c r="D44" s="31">
        <v>150</v>
      </c>
      <c r="E44" s="29">
        <v>1649.2919999999999</v>
      </c>
      <c r="F44" s="30">
        <v>3.65377105894148</v>
      </c>
      <c r="G44" s="29">
        <v>5.83</v>
      </c>
    </row>
    <row r="45" spans="1:9" x14ac:dyDescent="0.2">
      <c r="A45" s="27" t="s">
        <v>1473</v>
      </c>
      <c r="B45" s="27" t="s">
        <v>1474</v>
      </c>
      <c r="C45" s="27" t="s">
        <v>39</v>
      </c>
      <c r="D45" s="31">
        <v>65</v>
      </c>
      <c r="E45" s="29">
        <v>703.22005000000001</v>
      </c>
      <c r="F45" s="30">
        <v>1.5578836656925401</v>
      </c>
      <c r="G45" s="29">
        <v>7.4237000000000002</v>
      </c>
    </row>
    <row r="46" spans="1:9" x14ac:dyDescent="0.2">
      <c r="A46" s="27" t="s">
        <v>34</v>
      </c>
      <c r="B46" s="27" t="s">
        <v>33</v>
      </c>
      <c r="C46" s="27" t="s">
        <v>35</v>
      </c>
      <c r="D46" s="31">
        <v>50</v>
      </c>
      <c r="E46" s="29">
        <v>501.19150000000002</v>
      </c>
      <c r="F46" s="30">
        <v>1.1103182442450901</v>
      </c>
      <c r="G46" s="29">
        <v>7.8986999999999998</v>
      </c>
    </row>
    <row r="47" spans="1:9" x14ac:dyDescent="0.2">
      <c r="A47" s="27" t="s">
        <v>930</v>
      </c>
      <c r="B47" s="27" t="s">
        <v>931</v>
      </c>
      <c r="C47" s="27" t="s">
        <v>39</v>
      </c>
      <c r="D47" s="31">
        <v>45</v>
      </c>
      <c r="E47" s="29">
        <v>487.90125</v>
      </c>
      <c r="F47" s="30">
        <v>1.0808755919942401</v>
      </c>
      <c r="G47" s="29">
        <v>6.5446</v>
      </c>
    </row>
    <row r="48" spans="1:9" x14ac:dyDescent="0.2">
      <c r="A48" s="27" t="s">
        <v>91</v>
      </c>
      <c r="B48" s="27" t="s">
        <v>90</v>
      </c>
      <c r="C48" s="27" t="s">
        <v>39</v>
      </c>
      <c r="D48" s="31">
        <v>30</v>
      </c>
      <c r="E48" s="29">
        <v>325.33199999999999</v>
      </c>
      <c r="F48" s="30">
        <v>0.720726618541501</v>
      </c>
      <c r="G48" s="29">
        <v>7.4237000000000002</v>
      </c>
    </row>
    <row r="49" spans="1:9" x14ac:dyDescent="0.2">
      <c r="A49" s="27" t="s">
        <v>93</v>
      </c>
      <c r="B49" s="27" t="s">
        <v>92</v>
      </c>
      <c r="C49" s="27" t="s">
        <v>39</v>
      </c>
      <c r="D49" s="31">
        <v>5</v>
      </c>
      <c r="E49" s="29">
        <v>54.550699999999999</v>
      </c>
      <c r="F49" s="30">
        <v>0.120849291032151</v>
      </c>
      <c r="G49" s="29">
        <v>7.33</v>
      </c>
    </row>
    <row r="50" spans="1:9" x14ac:dyDescent="0.2">
      <c r="A50" s="26" t="s">
        <v>40</v>
      </c>
      <c r="B50" s="26"/>
      <c r="C50" s="26"/>
      <c r="D50" s="32"/>
      <c r="E50" s="33">
        <f>SUM(E42:E49)</f>
        <v>5784.9274999999998</v>
      </c>
      <c r="F50" s="34">
        <f>SUM(F42:F49)</f>
        <v>12.81568132118187</v>
      </c>
      <c r="G50" s="33"/>
      <c r="H50" s="18"/>
      <c r="I50" s="18"/>
    </row>
    <row r="51" spans="1:9" x14ac:dyDescent="0.2">
      <c r="A51" s="27"/>
      <c r="B51" s="27"/>
      <c r="C51" s="27"/>
      <c r="D51" s="28"/>
      <c r="E51" s="29"/>
      <c r="F51" s="30"/>
      <c r="G51" s="29"/>
    </row>
    <row r="52" spans="1:9" x14ac:dyDescent="0.2">
      <c r="A52" s="26" t="s">
        <v>41</v>
      </c>
      <c r="B52" s="27"/>
      <c r="C52" s="27"/>
      <c r="D52" s="28"/>
      <c r="E52" s="29"/>
      <c r="F52" s="30"/>
      <c r="G52" s="29"/>
    </row>
    <row r="53" spans="1:9" x14ac:dyDescent="0.2">
      <c r="A53" s="27" t="s">
        <v>43</v>
      </c>
      <c r="B53" s="27" t="s">
        <v>42</v>
      </c>
      <c r="C53" s="27" t="s">
        <v>38</v>
      </c>
      <c r="D53" s="31">
        <v>14</v>
      </c>
      <c r="E53" s="29">
        <v>1998.7547999999999</v>
      </c>
      <c r="F53" s="30">
        <v>4.4279560212262998</v>
      </c>
      <c r="G53" s="29">
        <v>10.2447</v>
      </c>
    </row>
    <row r="54" spans="1:9" x14ac:dyDescent="0.2">
      <c r="A54" s="26" t="s">
        <v>40</v>
      </c>
      <c r="B54" s="26"/>
      <c r="C54" s="26"/>
      <c r="D54" s="32"/>
      <c r="E54" s="33">
        <f>SUM(E52:E53)</f>
        <v>1998.7547999999999</v>
      </c>
      <c r="F54" s="34">
        <f>SUM(F52:F53)</f>
        <v>4.4279560212262998</v>
      </c>
      <c r="G54" s="33"/>
      <c r="H54" s="18"/>
      <c r="I54" s="18"/>
    </row>
    <row r="55" spans="1:9" x14ac:dyDescent="0.2">
      <c r="A55" s="27"/>
      <c r="B55" s="27"/>
      <c r="C55" s="27"/>
      <c r="D55" s="28"/>
      <c r="E55" s="29"/>
      <c r="F55" s="30"/>
      <c r="G55" s="29"/>
    </row>
    <row r="56" spans="1:9" x14ac:dyDescent="0.2">
      <c r="A56" s="26" t="s">
        <v>58</v>
      </c>
      <c r="B56" s="27"/>
      <c r="C56" s="27"/>
      <c r="D56" s="28"/>
      <c r="E56" s="29"/>
      <c r="F56" s="30"/>
      <c r="G56" s="29"/>
    </row>
    <row r="57" spans="1:9" x14ac:dyDescent="0.2">
      <c r="A57" s="26" t="s">
        <v>59</v>
      </c>
      <c r="B57" s="27"/>
      <c r="C57" s="27"/>
      <c r="D57" s="28"/>
      <c r="E57" s="29"/>
      <c r="F57" s="30"/>
      <c r="G57" s="29"/>
    </row>
    <row r="58" spans="1:9" x14ac:dyDescent="0.2">
      <c r="A58" s="27" t="s">
        <v>803</v>
      </c>
      <c r="B58" s="27" t="s">
        <v>804</v>
      </c>
      <c r="C58" s="27" t="s">
        <v>60</v>
      </c>
      <c r="D58" s="31">
        <v>500</v>
      </c>
      <c r="E58" s="29">
        <v>499.57900000000001</v>
      </c>
      <c r="F58" s="30">
        <v>1.10674598061164</v>
      </c>
      <c r="G58" s="29">
        <v>3.0758999999999999</v>
      </c>
    </row>
    <row r="59" spans="1:9" x14ac:dyDescent="0.2">
      <c r="A59" s="26" t="s">
        <v>40</v>
      </c>
      <c r="B59" s="26"/>
      <c r="C59" s="26"/>
      <c r="D59" s="32"/>
      <c r="E59" s="33">
        <f>SUM(E57:E58)</f>
        <v>499.57900000000001</v>
      </c>
      <c r="F59" s="34">
        <f>SUM(F57:F58)</f>
        <v>1.10674598061164</v>
      </c>
      <c r="G59" s="33"/>
      <c r="H59" s="18"/>
      <c r="I59" s="18"/>
    </row>
    <row r="60" spans="1:9" x14ac:dyDescent="0.2">
      <c r="A60" s="27"/>
      <c r="B60" s="27"/>
      <c r="C60" s="27"/>
      <c r="D60" s="28"/>
      <c r="E60" s="29"/>
      <c r="F60" s="30"/>
      <c r="G60" s="29"/>
    </row>
    <row r="61" spans="1:9" x14ac:dyDescent="0.2">
      <c r="A61" s="26" t="s">
        <v>65</v>
      </c>
      <c r="B61" s="27"/>
      <c r="C61" s="27"/>
      <c r="D61" s="28"/>
      <c r="E61" s="29"/>
      <c r="F61" s="30"/>
      <c r="G61" s="29"/>
    </row>
    <row r="62" spans="1:9" x14ac:dyDescent="0.2">
      <c r="A62" s="27" t="s">
        <v>97</v>
      </c>
      <c r="B62" s="27" t="s">
        <v>96</v>
      </c>
      <c r="C62" s="27" t="s">
        <v>81</v>
      </c>
      <c r="D62" s="31">
        <v>4000000</v>
      </c>
      <c r="E62" s="29">
        <v>3988.6280000000002</v>
      </c>
      <c r="F62" s="30">
        <v>8.8362361251274102</v>
      </c>
      <c r="G62" s="29">
        <v>3.1541000000000001</v>
      </c>
    </row>
    <row r="63" spans="1:9" x14ac:dyDescent="0.2">
      <c r="A63" s="26" t="s">
        <v>40</v>
      </c>
      <c r="B63" s="26"/>
      <c r="C63" s="26"/>
      <c r="D63" s="32"/>
      <c r="E63" s="33">
        <f>SUM(E61:E62)</f>
        <v>3988.6280000000002</v>
      </c>
      <c r="F63" s="34">
        <f>SUM(F61:F62)</f>
        <v>8.8362361251274102</v>
      </c>
      <c r="G63" s="33"/>
      <c r="H63" s="18"/>
      <c r="I63" s="18"/>
    </row>
    <row r="64" spans="1:9" x14ac:dyDescent="0.2">
      <c r="A64" s="27"/>
      <c r="B64" s="27"/>
      <c r="C64" s="27"/>
      <c r="D64" s="28"/>
      <c r="E64" s="29"/>
      <c r="F64" s="30"/>
      <c r="G64" s="29"/>
    </row>
    <row r="65" spans="1:9" x14ac:dyDescent="0.2">
      <c r="A65" s="26" t="s">
        <v>78</v>
      </c>
      <c r="B65" s="27"/>
      <c r="C65" s="27"/>
      <c r="D65" s="28"/>
      <c r="E65" s="29"/>
      <c r="F65" s="30"/>
      <c r="G65" s="29"/>
    </row>
    <row r="66" spans="1:9" x14ac:dyDescent="0.2">
      <c r="A66" s="27" t="s">
        <v>1017</v>
      </c>
      <c r="B66" s="27" t="s">
        <v>1018</v>
      </c>
      <c r="C66" s="27" t="s">
        <v>81</v>
      </c>
      <c r="D66" s="31">
        <v>5600000</v>
      </c>
      <c r="E66" s="29">
        <v>5759.7903999999999</v>
      </c>
      <c r="F66" s="30">
        <v>12.7599936633955</v>
      </c>
      <c r="G66" s="29">
        <v>6.2268999999999997</v>
      </c>
    </row>
    <row r="67" spans="1:9" x14ac:dyDescent="0.2">
      <c r="A67" s="27" t="s">
        <v>80</v>
      </c>
      <c r="B67" s="27" t="s">
        <v>79</v>
      </c>
      <c r="C67" s="27" t="s">
        <v>81</v>
      </c>
      <c r="D67" s="31">
        <v>5000000</v>
      </c>
      <c r="E67" s="29">
        <v>4875.2250000000004</v>
      </c>
      <c r="F67" s="30">
        <v>10.8003652541988</v>
      </c>
      <c r="G67" s="29">
        <v>5.7614999999999998</v>
      </c>
    </row>
    <row r="68" spans="1:9" x14ac:dyDescent="0.2">
      <c r="A68" s="27" t="s">
        <v>83</v>
      </c>
      <c r="B68" s="27" t="s">
        <v>82</v>
      </c>
      <c r="C68" s="27" t="s">
        <v>81</v>
      </c>
      <c r="D68" s="31">
        <v>2600000</v>
      </c>
      <c r="E68" s="29">
        <v>2740.1244000000002</v>
      </c>
      <c r="F68" s="30">
        <v>6.0703545707002702</v>
      </c>
      <c r="G68" s="29">
        <v>6.0274999999999999</v>
      </c>
    </row>
    <row r="69" spans="1:9" x14ac:dyDescent="0.2">
      <c r="A69" s="27" t="s">
        <v>1019</v>
      </c>
      <c r="B69" s="27" t="s">
        <v>1020</v>
      </c>
      <c r="C69" s="27" t="s">
        <v>81</v>
      </c>
      <c r="D69" s="31">
        <v>2125000</v>
      </c>
      <c r="E69" s="29">
        <v>2217.1463749999998</v>
      </c>
      <c r="F69" s="30">
        <v>4.9117713894277104</v>
      </c>
      <c r="G69" s="29">
        <v>6.3780000000000001</v>
      </c>
    </row>
    <row r="70" spans="1:9" x14ac:dyDescent="0.2">
      <c r="A70" s="27" t="s">
        <v>95</v>
      </c>
      <c r="B70" s="27" t="s">
        <v>94</v>
      </c>
      <c r="C70" s="27" t="s">
        <v>81</v>
      </c>
      <c r="D70" s="31">
        <v>900000</v>
      </c>
      <c r="E70" s="29">
        <v>924.822</v>
      </c>
      <c r="F70" s="30">
        <v>2.0488111615604598</v>
      </c>
      <c r="G70" s="29">
        <v>5.3429000000000002</v>
      </c>
    </row>
    <row r="71" spans="1:9" x14ac:dyDescent="0.2">
      <c r="A71" s="27" t="s">
        <v>85</v>
      </c>
      <c r="B71" s="27" t="s">
        <v>84</v>
      </c>
      <c r="C71" s="27" t="s">
        <v>81</v>
      </c>
      <c r="D71" s="31">
        <v>400000</v>
      </c>
      <c r="E71" s="29">
        <v>424.45080000000002</v>
      </c>
      <c r="F71" s="30">
        <v>0.94031017490205404</v>
      </c>
      <c r="G71" s="29">
        <v>5.0399000000000003</v>
      </c>
    </row>
    <row r="72" spans="1:9" x14ac:dyDescent="0.2">
      <c r="A72" s="27" t="s">
        <v>87</v>
      </c>
      <c r="B72" s="27" t="s">
        <v>86</v>
      </c>
      <c r="C72" s="27" t="s">
        <v>81</v>
      </c>
      <c r="D72" s="31">
        <v>100000</v>
      </c>
      <c r="E72" s="29">
        <v>98.252399999999994</v>
      </c>
      <c r="F72" s="30">
        <v>0.217664170802709</v>
      </c>
      <c r="G72" s="29">
        <v>5.6814999999999998</v>
      </c>
    </row>
    <row r="73" spans="1:9" x14ac:dyDescent="0.2">
      <c r="A73" s="26" t="s">
        <v>40</v>
      </c>
      <c r="B73" s="26"/>
      <c r="C73" s="26"/>
      <c r="D73" s="32"/>
      <c r="E73" s="33">
        <f>SUM(E66:E72)</f>
        <v>17039.811375000001</v>
      </c>
      <c r="F73" s="34">
        <f>SUM(F66:F72)</f>
        <v>37.749270384987497</v>
      </c>
      <c r="G73" s="33"/>
      <c r="H73" s="18"/>
      <c r="I73" s="18"/>
    </row>
    <row r="74" spans="1:9" x14ac:dyDescent="0.2">
      <c r="A74" s="27"/>
      <c r="B74" s="27"/>
      <c r="C74" s="27"/>
      <c r="D74" s="28"/>
      <c r="E74" s="29"/>
      <c r="F74" s="30"/>
      <c r="G74" s="29"/>
    </row>
    <row r="75" spans="1:9" x14ac:dyDescent="0.2">
      <c r="A75" s="26" t="s">
        <v>44</v>
      </c>
      <c r="B75" s="26"/>
      <c r="C75" s="26"/>
      <c r="D75" s="32"/>
      <c r="E75" s="33">
        <f>E39+E50+E54+E59+E63+E73</f>
        <v>43431.4659025</v>
      </c>
      <c r="F75" s="34">
        <f>F39+F50+F54+F59+F63+F73</f>
        <v>96.216214692097097</v>
      </c>
      <c r="G75" s="33"/>
      <c r="H75" s="18"/>
      <c r="I75" s="18"/>
    </row>
    <row r="76" spans="1:9" x14ac:dyDescent="0.2">
      <c r="A76" s="26"/>
      <c r="B76" s="26"/>
      <c r="C76" s="26"/>
      <c r="D76" s="32"/>
      <c r="E76" s="33"/>
      <c r="F76" s="34"/>
      <c r="G76" s="33"/>
      <c r="H76" s="18"/>
      <c r="I76" s="18"/>
    </row>
    <row r="77" spans="1:9" x14ac:dyDescent="0.2">
      <c r="A77" s="26" t="s">
        <v>46</v>
      </c>
      <c r="B77" s="26"/>
      <c r="C77" s="26"/>
      <c r="D77" s="32"/>
      <c r="E77" s="33">
        <f>E79-(E39+E50+E54+E59+E63+E73)</f>
        <v>1707.9797112000015</v>
      </c>
      <c r="F77" s="34">
        <f>F79-(F39+F50+F54+F59+F63+F73)</f>
        <v>3.7837853079029031</v>
      </c>
      <c r="G77" s="33"/>
      <c r="H77" s="18"/>
      <c r="I77" s="18"/>
    </row>
    <row r="78" spans="1:9" x14ac:dyDescent="0.2">
      <c r="A78" s="26"/>
      <c r="B78" s="26"/>
      <c r="C78" s="26"/>
      <c r="D78" s="32"/>
      <c r="E78" s="33"/>
      <c r="F78" s="34"/>
      <c r="G78" s="33"/>
      <c r="H78" s="18"/>
      <c r="I78" s="18"/>
    </row>
    <row r="79" spans="1:9" x14ac:dyDescent="0.2">
      <c r="A79" s="35" t="s">
        <v>45</v>
      </c>
      <c r="B79" s="35"/>
      <c r="C79" s="35"/>
      <c r="D79" s="36"/>
      <c r="E79" s="37">
        <v>45139.445613700002</v>
      </c>
      <c r="F79" s="38">
        <v>100</v>
      </c>
      <c r="G79" s="37"/>
      <c r="H79" s="18"/>
      <c r="I79" s="18"/>
    </row>
    <row r="80" spans="1:9" x14ac:dyDescent="0.2">
      <c r="F80" s="20" t="s">
        <v>57</v>
      </c>
    </row>
    <row r="81" spans="1:4" x14ac:dyDescent="0.2">
      <c r="A81" s="18" t="s">
        <v>47</v>
      </c>
    </row>
    <row r="83" spans="1:4" x14ac:dyDescent="0.2">
      <c r="A83" s="18" t="s">
        <v>48</v>
      </c>
    </row>
    <row r="84" spans="1:4" x14ac:dyDescent="0.2">
      <c r="A84" s="18" t="s">
        <v>49</v>
      </c>
    </row>
    <row r="85" spans="1:4" x14ac:dyDescent="0.2">
      <c r="A85" s="18" t="s">
        <v>50</v>
      </c>
      <c r="B85" s="18"/>
      <c r="C85" s="39" t="s">
        <v>52</v>
      </c>
      <c r="D85" s="19" t="s">
        <v>51</v>
      </c>
    </row>
    <row r="86" spans="1:4" x14ac:dyDescent="0.2">
      <c r="A86" s="9" t="s">
        <v>70</v>
      </c>
      <c r="C86" s="40">
        <v>134.09899999999999</v>
      </c>
      <c r="D86" s="40">
        <v>148.19280000000001</v>
      </c>
    </row>
    <row r="87" spans="1:4" x14ac:dyDescent="0.2">
      <c r="A87" s="9" t="s">
        <v>76</v>
      </c>
      <c r="C87" s="40">
        <v>16.542200000000001</v>
      </c>
      <c r="D87" s="40">
        <v>17.0047</v>
      </c>
    </row>
    <row r="88" spans="1:4" x14ac:dyDescent="0.2">
      <c r="A88" s="9" t="s">
        <v>73</v>
      </c>
      <c r="C88" s="40">
        <v>141.55009999999999</v>
      </c>
      <c r="D88" s="40">
        <v>157.0059</v>
      </c>
    </row>
    <row r="89" spans="1:4" x14ac:dyDescent="0.2">
      <c r="A89" s="9" t="s">
        <v>77</v>
      </c>
      <c r="C89" s="40">
        <v>17.6934</v>
      </c>
      <c r="D89" s="40">
        <v>18.3443</v>
      </c>
    </row>
    <row r="91" spans="1:4" x14ac:dyDescent="0.2">
      <c r="A91" s="18" t="s">
        <v>53</v>
      </c>
    </row>
    <row r="92" spans="1:4" x14ac:dyDescent="0.2">
      <c r="A92" s="74" t="s">
        <v>67</v>
      </c>
      <c r="B92" s="75"/>
      <c r="C92" s="44" t="s">
        <v>68</v>
      </c>
    </row>
    <row r="93" spans="1:4" x14ac:dyDescent="0.2">
      <c r="A93" s="68" t="s">
        <v>76</v>
      </c>
      <c r="B93" s="69"/>
      <c r="C93" s="45">
        <v>1.25</v>
      </c>
    </row>
    <row r="94" spans="1:4" x14ac:dyDescent="0.2">
      <c r="A94" s="68" t="s">
        <v>77</v>
      </c>
      <c r="B94" s="69"/>
      <c r="C94" s="45">
        <v>1.25</v>
      </c>
    </row>
    <row r="95" spans="1:4" x14ac:dyDescent="0.2">
      <c r="A95" s="9" t="s">
        <v>69</v>
      </c>
    </row>
    <row r="97" spans="1:7" x14ac:dyDescent="0.2">
      <c r="A97" s="18" t="s">
        <v>793</v>
      </c>
      <c r="D97" s="42">
        <v>3.7819061729858401</v>
      </c>
      <c r="E97" s="13" t="s">
        <v>55</v>
      </c>
    </row>
    <row r="99" spans="1:7" x14ac:dyDescent="0.2">
      <c r="A99" s="18" t="s">
        <v>1477</v>
      </c>
      <c r="D99" s="41" t="s">
        <v>54</v>
      </c>
    </row>
    <row r="101" spans="1:7" ht="14.4" x14ac:dyDescent="0.2">
      <c r="A101" s="70" t="s">
        <v>794</v>
      </c>
      <c r="B101" s="71"/>
      <c r="C101" s="71"/>
      <c r="D101" s="71"/>
      <c r="E101" s="71"/>
      <c r="F101" s="71"/>
      <c r="G101" s="71"/>
    </row>
    <row r="102" spans="1:7" x14ac:dyDescent="0.2">
      <c r="A102" s="50" t="s">
        <v>56</v>
      </c>
    </row>
    <row r="104" spans="1:7" x14ac:dyDescent="0.2">
      <c r="A104" s="50"/>
    </row>
  </sheetData>
  <mergeCells count="5">
    <mergeCell ref="A1:G1"/>
    <mergeCell ref="A92:B92"/>
    <mergeCell ref="A93:B93"/>
    <mergeCell ref="A94:B94"/>
    <mergeCell ref="A101:G101"/>
  </mergeCells>
  <conditionalFormatting sqref="F2:F3 F5:F79 F81:F100 F105:F65536">
    <cfRule type="cellIs" dxfId="43" priority="4" stopIfTrue="1" operator="between">
      <formula>0.009</formula>
      <formula>-0.009</formula>
    </cfRule>
  </conditionalFormatting>
  <conditionalFormatting sqref="F80">
    <cfRule type="cellIs" dxfId="42" priority="3" stopIfTrue="1" operator="between">
      <formula>0.009</formula>
      <formula>-0.009</formula>
    </cfRule>
  </conditionalFormatting>
  <conditionalFormatting sqref="F102">
    <cfRule type="cellIs" dxfId="41" priority="1" stopIfTrue="1" operator="between">
      <formula>0.009</formula>
      <formula>-0.009</formula>
    </cfRule>
  </conditionalFormatting>
  <conditionalFormatting sqref="F103:F104">
    <cfRule type="cellIs" dxfId="40" priority="2" stopIfTrue="1" operator="between">
      <formula>0.009</formula>
      <formula>-0.009</formula>
    </cfRule>
  </conditionalFormatting>
  <hyperlinks>
    <hyperlink ref="A102" r:id="rId1" xr:uid="{00000000-0004-0000-2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98"/>
  <sheetViews>
    <sheetView workbookViewId="0">
      <selection sqref="A1:G1"/>
    </sheetView>
  </sheetViews>
  <sheetFormatPr defaultColWidth="9.21875" defaultRowHeight="10.199999999999999" x14ac:dyDescent="0.2"/>
  <cols>
    <col min="1" max="1" width="38.77734375" style="9" bestFit="1" customWidth="1"/>
    <col min="2" max="2" width="51" style="9" bestFit="1" customWidth="1"/>
    <col min="3" max="3" width="25.218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1475</v>
      </c>
      <c r="B1" s="73"/>
      <c r="C1" s="73"/>
      <c r="D1" s="73"/>
      <c r="E1" s="73"/>
      <c r="F1" s="73"/>
      <c r="G1" s="73"/>
    </row>
    <row r="2" spans="1:7" s="1" customFormat="1" ht="12" x14ac:dyDescent="0.25">
      <c r="A2" s="57" t="s">
        <v>1026</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103</v>
      </c>
      <c r="B7" s="27" t="s">
        <v>102</v>
      </c>
      <c r="C7" s="27" t="s">
        <v>101</v>
      </c>
      <c r="D7" s="31">
        <v>70488</v>
      </c>
      <c r="E7" s="29">
        <v>510.89702399999999</v>
      </c>
      <c r="F7" s="30">
        <v>2.6918847424246399</v>
      </c>
      <c r="G7" s="29"/>
    </row>
    <row r="8" spans="1:7" x14ac:dyDescent="0.2">
      <c r="A8" s="27" t="s">
        <v>105</v>
      </c>
      <c r="B8" s="27" t="s">
        <v>104</v>
      </c>
      <c r="C8" s="27" t="s">
        <v>106</v>
      </c>
      <c r="D8" s="31">
        <v>34838</v>
      </c>
      <c r="E8" s="29">
        <v>436.62465400000002</v>
      </c>
      <c r="F8" s="30">
        <v>2.30054822998741</v>
      </c>
      <c r="G8" s="29"/>
    </row>
    <row r="9" spans="1:7" x14ac:dyDescent="0.2">
      <c r="A9" s="27" t="s">
        <v>100</v>
      </c>
      <c r="B9" s="27" t="s">
        <v>99</v>
      </c>
      <c r="C9" s="27" t="s">
        <v>101</v>
      </c>
      <c r="D9" s="31">
        <v>18986</v>
      </c>
      <c r="E9" s="29">
        <v>291.32118400000002</v>
      </c>
      <c r="F9" s="30">
        <v>1.5349532557752401</v>
      </c>
      <c r="G9" s="29"/>
    </row>
    <row r="10" spans="1:7" x14ac:dyDescent="0.2">
      <c r="A10" s="27" t="s">
        <v>108</v>
      </c>
      <c r="B10" s="27" t="s">
        <v>107</v>
      </c>
      <c r="C10" s="27" t="s">
        <v>101</v>
      </c>
      <c r="D10" s="31">
        <v>45874</v>
      </c>
      <c r="E10" s="29">
        <v>274.21183500000001</v>
      </c>
      <c r="F10" s="30">
        <v>1.4448051567212901</v>
      </c>
      <c r="G10" s="29"/>
    </row>
    <row r="11" spans="1:7" x14ac:dyDescent="0.2">
      <c r="A11" s="27" t="s">
        <v>130</v>
      </c>
      <c r="B11" s="27" t="s">
        <v>129</v>
      </c>
      <c r="C11" s="27" t="s">
        <v>125</v>
      </c>
      <c r="D11" s="31">
        <v>105586</v>
      </c>
      <c r="E11" s="29">
        <v>263.753828</v>
      </c>
      <c r="F11" s="30">
        <v>1.3897025662637099</v>
      </c>
      <c r="G11" s="29"/>
    </row>
    <row r="12" spans="1:7" x14ac:dyDescent="0.2">
      <c r="A12" s="27" t="s">
        <v>116</v>
      </c>
      <c r="B12" s="27" t="s">
        <v>115</v>
      </c>
      <c r="C12" s="27" t="s">
        <v>117</v>
      </c>
      <c r="D12" s="31">
        <v>24500</v>
      </c>
      <c r="E12" s="29">
        <v>249.44675000000001</v>
      </c>
      <c r="F12" s="30">
        <v>1.3143194593601999</v>
      </c>
      <c r="G12" s="29"/>
    </row>
    <row r="13" spans="1:7" x14ac:dyDescent="0.2">
      <c r="A13" s="27" t="s">
        <v>146</v>
      </c>
      <c r="B13" s="27" t="s">
        <v>145</v>
      </c>
      <c r="C13" s="27" t="s">
        <v>147</v>
      </c>
      <c r="D13" s="31">
        <v>103926</v>
      </c>
      <c r="E13" s="29">
        <v>222.71341799999999</v>
      </c>
      <c r="F13" s="30">
        <v>1.1734631905928701</v>
      </c>
      <c r="G13" s="29"/>
    </row>
    <row r="14" spans="1:7" x14ac:dyDescent="0.2">
      <c r="A14" s="27" t="s">
        <v>110</v>
      </c>
      <c r="B14" s="27" t="s">
        <v>109</v>
      </c>
      <c r="C14" s="27" t="s">
        <v>111</v>
      </c>
      <c r="D14" s="31">
        <v>36903</v>
      </c>
      <c r="E14" s="29">
        <v>205.29138900000001</v>
      </c>
      <c r="F14" s="30">
        <v>1.08166760000595</v>
      </c>
      <c r="G14" s="29"/>
    </row>
    <row r="15" spans="1:7" x14ac:dyDescent="0.2">
      <c r="A15" s="27" t="s">
        <v>179</v>
      </c>
      <c r="B15" s="27" t="s">
        <v>178</v>
      </c>
      <c r="C15" s="27" t="s">
        <v>144</v>
      </c>
      <c r="D15" s="31">
        <v>4300</v>
      </c>
      <c r="E15" s="29">
        <v>190.34164999999999</v>
      </c>
      <c r="F15" s="30">
        <v>1.0028983521402</v>
      </c>
      <c r="G15" s="29"/>
    </row>
    <row r="16" spans="1:7" x14ac:dyDescent="0.2">
      <c r="A16" s="27" t="s">
        <v>160</v>
      </c>
      <c r="B16" s="27" t="s">
        <v>159</v>
      </c>
      <c r="C16" s="27" t="s">
        <v>133</v>
      </c>
      <c r="D16" s="31">
        <v>33697</v>
      </c>
      <c r="E16" s="29">
        <v>188.34938149999999</v>
      </c>
      <c r="F16" s="30">
        <v>0.99240121293986505</v>
      </c>
      <c r="G16" s="29"/>
    </row>
    <row r="17" spans="1:7" x14ac:dyDescent="0.2">
      <c r="A17" s="27" t="s">
        <v>1467</v>
      </c>
      <c r="B17" s="27" t="s">
        <v>1468</v>
      </c>
      <c r="C17" s="27" t="s">
        <v>148</v>
      </c>
      <c r="D17" s="31">
        <v>20015</v>
      </c>
      <c r="E17" s="29">
        <v>157.66816249999999</v>
      </c>
      <c r="F17" s="30">
        <v>0.83074377234947205</v>
      </c>
      <c r="G17" s="29"/>
    </row>
    <row r="18" spans="1:7" x14ac:dyDescent="0.2">
      <c r="A18" s="27" t="s">
        <v>143</v>
      </c>
      <c r="B18" s="27" t="s">
        <v>142</v>
      </c>
      <c r="C18" s="27" t="s">
        <v>144</v>
      </c>
      <c r="D18" s="31">
        <v>35000</v>
      </c>
      <c r="E18" s="29">
        <v>152.32</v>
      </c>
      <c r="F18" s="30">
        <v>0.80256463573786796</v>
      </c>
      <c r="G18" s="29"/>
    </row>
    <row r="19" spans="1:7" x14ac:dyDescent="0.2">
      <c r="A19" s="27" t="s">
        <v>132</v>
      </c>
      <c r="B19" s="27" t="s">
        <v>131</v>
      </c>
      <c r="C19" s="27" t="s">
        <v>133</v>
      </c>
      <c r="D19" s="31">
        <v>9526</v>
      </c>
      <c r="E19" s="29">
        <v>150.625112</v>
      </c>
      <c r="F19" s="30">
        <v>0.79363437595362096</v>
      </c>
      <c r="G19" s="29"/>
    </row>
    <row r="20" spans="1:7" x14ac:dyDescent="0.2">
      <c r="A20" s="27" t="s">
        <v>127</v>
      </c>
      <c r="B20" s="27" t="s">
        <v>126</v>
      </c>
      <c r="C20" s="27" t="s">
        <v>128</v>
      </c>
      <c r="D20" s="31">
        <v>41457</v>
      </c>
      <c r="E20" s="29">
        <v>141.05744250000001</v>
      </c>
      <c r="F20" s="30">
        <v>0.743222918580146</v>
      </c>
      <c r="G20" s="29"/>
    </row>
    <row r="21" spans="1:7" x14ac:dyDescent="0.2">
      <c r="A21" s="27" t="s">
        <v>135</v>
      </c>
      <c r="B21" s="27" t="s">
        <v>134</v>
      </c>
      <c r="C21" s="27" t="s">
        <v>136</v>
      </c>
      <c r="D21" s="31">
        <v>17341</v>
      </c>
      <c r="E21" s="29">
        <v>139.83782400000001</v>
      </c>
      <c r="F21" s="30">
        <v>0.73679682432337301</v>
      </c>
      <c r="G21" s="29"/>
    </row>
    <row r="22" spans="1:7" x14ac:dyDescent="0.2">
      <c r="A22" s="27" t="s">
        <v>152</v>
      </c>
      <c r="B22" s="27" t="s">
        <v>151</v>
      </c>
      <c r="C22" s="27" t="s">
        <v>139</v>
      </c>
      <c r="D22" s="31">
        <v>30000</v>
      </c>
      <c r="E22" s="29">
        <v>134.95500000000001</v>
      </c>
      <c r="F22" s="30">
        <v>0.71106952741599305</v>
      </c>
      <c r="G22" s="29"/>
    </row>
    <row r="23" spans="1:7" x14ac:dyDescent="0.2">
      <c r="A23" s="27" t="s">
        <v>113</v>
      </c>
      <c r="B23" s="27" t="s">
        <v>112</v>
      </c>
      <c r="C23" s="27" t="s">
        <v>114</v>
      </c>
      <c r="D23" s="31">
        <v>7500</v>
      </c>
      <c r="E23" s="29">
        <v>116.85</v>
      </c>
      <c r="F23" s="30">
        <v>0.61567540497616802</v>
      </c>
      <c r="G23" s="29"/>
    </row>
    <row r="24" spans="1:7" x14ac:dyDescent="0.2">
      <c r="A24" s="27" t="s">
        <v>158</v>
      </c>
      <c r="B24" s="27" t="s">
        <v>157</v>
      </c>
      <c r="C24" s="27" t="s">
        <v>133</v>
      </c>
      <c r="D24" s="31">
        <v>10000</v>
      </c>
      <c r="E24" s="29">
        <v>116.13500000000001</v>
      </c>
      <c r="F24" s="30">
        <v>0.61190811430814995</v>
      </c>
      <c r="G24" s="29"/>
    </row>
    <row r="25" spans="1:7" x14ac:dyDescent="0.2">
      <c r="A25" s="27" t="s">
        <v>141</v>
      </c>
      <c r="B25" s="27" t="s">
        <v>140</v>
      </c>
      <c r="C25" s="27" t="s">
        <v>101</v>
      </c>
      <c r="D25" s="31">
        <v>29755</v>
      </c>
      <c r="E25" s="29">
        <v>116.08913250000001</v>
      </c>
      <c r="F25" s="30">
        <v>0.61166644129456205</v>
      </c>
      <c r="G25" s="29"/>
    </row>
    <row r="26" spans="1:7" x14ac:dyDescent="0.2">
      <c r="A26" s="27" t="s">
        <v>119</v>
      </c>
      <c r="B26" s="27" t="s">
        <v>118</v>
      </c>
      <c r="C26" s="27" t="s">
        <v>101</v>
      </c>
      <c r="D26" s="31">
        <v>5409</v>
      </c>
      <c r="E26" s="29">
        <v>96.299131500000001</v>
      </c>
      <c r="F26" s="30">
        <v>0.50739415306046898</v>
      </c>
      <c r="G26" s="29"/>
    </row>
    <row r="27" spans="1:7" x14ac:dyDescent="0.2">
      <c r="A27" s="27" t="s">
        <v>166</v>
      </c>
      <c r="B27" s="27" t="s">
        <v>165</v>
      </c>
      <c r="C27" s="27" t="s">
        <v>167</v>
      </c>
      <c r="D27" s="31">
        <v>35367</v>
      </c>
      <c r="E27" s="29">
        <v>64.933812000000003</v>
      </c>
      <c r="F27" s="30">
        <v>0.34213222935170201</v>
      </c>
      <c r="G27" s="29"/>
    </row>
    <row r="28" spans="1:7" x14ac:dyDescent="0.2">
      <c r="A28" s="27" t="s">
        <v>164</v>
      </c>
      <c r="B28" s="27" t="s">
        <v>163</v>
      </c>
      <c r="C28" s="27" t="s">
        <v>136</v>
      </c>
      <c r="D28" s="31">
        <v>20000</v>
      </c>
      <c r="E28" s="29">
        <v>64.59</v>
      </c>
      <c r="F28" s="30">
        <v>0.340320705240999</v>
      </c>
      <c r="G28" s="29"/>
    </row>
    <row r="29" spans="1:7" x14ac:dyDescent="0.2">
      <c r="A29" s="27" t="s">
        <v>169</v>
      </c>
      <c r="B29" s="27" t="s">
        <v>168</v>
      </c>
      <c r="C29" s="27" t="s">
        <v>170</v>
      </c>
      <c r="D29" s="31">
        <v>97694</v>
      </c>
      <c r="E29" s="29">
        <v>58.323318</v>
      </c>
      <c r="F29" s="30">
        <v>0.30730194633465002</v>
      </c>
      <c r="G29" s="29"/>
    </row>
    <row r="30" spans="1:7" x14ac:dyDescent="0.2">
      <c r="A30" s="27" t="s">
        <v>181</v>
      </c>
      <c r="B30" s="27" t="s">
        <v>180</v>
      </c>
      <c r="C30" s="27" t="s">
        <v>182</v>
      </c>
      <c r="D30" s="31">
        <v>3254</v>
      </c>
      <c r="E30" s="29">
        <v>39.074032000000003</v>
      </c>
      <c r="F30" s="30">
        <v>0.20587865190972801</v>
      </c>
      <c r="G30" s="29"/>
    </row>
    <row r="31" spans="1:7" x14ac:dyDescent="0.2">
      <c r="A31" s="27" t="s">
        <v>172</v>
      </c>
      <c r="B31" s="27" t="s">
        <v>171</v>
      </c>
      <c r="C31" s="27" t="s">
        <v>167</v>
      </c>
      <c r="D31" s="31">
        <v>4133</v>
      </c>
      <c r="E31" s="29">
        <v>5.9577194999999996</v>
      </c>
      <c r="F31" s="30">
        <v>3.13908546503801E-2</v>
      </c>
      <c r="G31" s="29"/>
    </row>
    <row r="32" spans="1:7" x14ac:dyDescent="0.2">
      <c r="A32" s="27" t="s">
        <v>174</v>
      </c>
      <c r="B32" s="27" t="s">
        <v>173</v>
      </c>
      <c r="C32" s="27" t="s">
        <v>175</v>
      </c>
      <c r="D32" s="31">
        <v>581</v>
      </c>
      <c r="E32" s="29">
        <v>0.88428200000000001</v>
      </c>
      <c r="F32" s="30">
        <v>4.6592270300653497E-3</v>
      </c>
      <c r="G32" s="29"/>
    </row>
    <row r="33" spans="1:9" x14ac:dyDescent="0.2">
      <c r="A33" s="26" t="s">
        <v>40</v>
      </c>
      <c r="B33" s="26"/>
      <c r="C33" s="26"/>
      <c r="D33" s="32"/>
      <c r="E33" s="33">
        <f>SUM(E7:E32)</f>
        <v>4388.5510820000009</v>
      </c>
      <c r="F33" s="34">
        <f>SUM(F7:F32)</f>
        <v>23.123003548728722</v>
      </c>
      <c r="G33" s="33"/>
      <c r="H33" s="18"/>
      <c r="I33" s="18"/>
    </row>
    <row r="34" spans="1:9" x14ac:dyDescent="0.2">
      <c r="A34" s="27"/>
      <c r="B34" s="27"/>
      <c r="C34" s="27"/>
      <c r="D34" s="28"/>
      <c r="E34" s="29"/>
      <c r="F34" s="30"/>
      <c r="G34" s="29"/>
    </row>
    <row r="35" spans="1:9" x14ac:dyDescent="0.2">
      <c r="A35" s="26" t="s">
        <v>31</v>
      </c>
      <c r="B35" s="27"/>
      <c r="C35" s="27"/>
      <c r="D35" s="28"/>
      <c r="E35" s="29"/>
      <c r="F35" s="30"/>
      <c r="G35" s="29"/>
    </row>
    <row r="36" spans="1:9" x14ac:dyDescent="0.2">
      <c r="A36" s="26" t="s">
        <v>32</v>
      </c>
      <c r="B36" s="27"/>
      <c r="C36" s="27"/>
      <c r="D36" s="28"/>
      <c r="E36" s="29"/>
      <c r="F36" s="30"/>
      <c r="G36" s="29"/>
    </row>
    <row r="37" spans="1:9" x14ac:dyDescent="0.2">
      <c r="A37" s="27" t="s">
        <v>177</v>
      </c>
      <c r="B37" s="27" t="s">
        <v>176</v>
      </c>
      <c r="C37" s="27" t="s">
        <v>39</v>
      </c>
      <c r="D37" s="31">
        <v>200</v>
      </c>
      <c r="E37" s="29">
        <v>2063.44</v>
      </c>
      <c r="F37" s="30">
        <v>10.872137421001501</v>
      </c>
      <c r="G37" s="29">
        <v>5.3449999999999998</v>
      </c>
    </row>
    <row r="38" spans="1:9" x14ac:dyDescent="0.2">
      <c r="A38" s="27" t="s">
        <v>93</v>
      </c>
      <c r="B38" s="27" t="s">
        <v>92</v>
      </c>
      <c r="C38" s="27" t="s">
        <v>39</v>
      </c>
      <c r="D38" s="31">
        <v>65</v>
      </c>
      <c r="E38" s="29">
        <v>709.15909999999997</v>
      </c>
      <c r="F38" s="30">
        <v>3.7365153280704702</v>
      </c>
      <c r="G38" s="29">
        <v>7.33</v>
      </c>
    </row>
    <row r="39" spans="1:9" x14ac:dyDescent="0.2">
      <c r="A39" s="27" t="s">
        <v>930</v>
      </c>
      <c r="B39" s="27" t="s">
        <v>931</v>
      </c>
      <c r="C39" s="27" t="s">
        <v>39</v>
      </c>
      <c r="D39" s="31">
        <v>50</v>
      </c>
      <c r="E39" s="29">
        <v>542.11249999999995</v>
      </c>
      <c r="F39" s="30">
        <v>2.8563571500226201</v>
      </c>
      <c r="G39" s="29">
        <v>6.5446</v>
      </c>
    </row>
    <row r="40" spans="1:9" x14ac:dyDescent="0.2">
      <c r="A40" s="27" t="s">
        <v>1473</v>
      </c>
      <c r="B40" s="27" t="s">
        <v>1474</v>
      </c>
      <c r="C40" s="27" t="s">
        <v>39</v>
      </c>
      <c r="D40" s="31">
        <v>35</v>
      </c>
      <c r="E40" s="29">
        <v>378.65694999999999</v>
      </c>
      <c r="F40" s="30">
        <v>1.99511999176971</v>
      </c>
      <c r="G40" s="29">
        <v>7.4237000000000002</v>
      </c>
    </row>
    <row r="41" spans="1:9" x14ac:dyDescent="0.2">
      <c r="A41" s="27" t="s">
        <v>91</v>
      </c>
      <c r="B41" s="27" t="s">
        <v>90</v>
      </c>
      <c r="C41" s="27" t="s">
        <v>39</v>
      </c>
      <c r="D41" s="31">
        <v>30</v>
      </c>
      <c r="E41" s="29">
        <v>325.33199999999999</v>
      </c>
      <c r="F41" s="30">
        <v>1.71415413651439</v>
      </c>
      <c r="G41" s="29">
        <v>7.4237000000000002</v>
      </c>
    </row>
    <row r="42" spans="1:9" x14ac:dyDescent="0.2">
      <c r="A42" s="26" t="s">
        <v>40</v>
      </c>
      <c r="B42" s="26"/>
      <c r="C42" s="26"/>
      <c r="D42" s="32"/>
      <c r="E42" s="33">
        <f>SUM(E36:E41)</f>
        <v>4018.7005499999996</v>
      </c>
      <c r="F42" s="34">
        <f>SUM(F36:F41)</f>
        <v>21.174284027378693</v>
      </c>
      <c r="G42" s="33"/>
      <c r="H42" s="18"/>
      <c r="I42" s="18"/>
    </row>
    <row r="43" spans="1:9" x14ac:dyDescent="0.2">
      <c r="A43" s="27"/>
      <c r="B43" s="27"/>
      <c r="C43" s="27"/>
      <c r="D43" s="28"/>
      <c r="E43" s="29"/>
      <c r="F43" s="30"/>
      <c r="G43" s="29"/>
    </row>
    <row r="44" spans="1:9" x14ac:dyDescent="0.2">
      <c r="A44" s="26" t="s">
        <v>58</v>
      </c>
      <c r="B44" s="27"/>
      <c r="C44" s="27"/>
      <c r="D44" s="28"/>
      <c r="E44" s="29"/>
      <c r="F44" s="30"/>
      <c r="G44" s="29"/>
    </row>
    <row r="45" spans="1:9" x14ac:dyDescent="0.2">
      <c r="A45" s="26" t="s">
        <v>59</v>
      </c>
      <c r="B45" s="27"/>
      <c r="C45" s="27"/>
      <c r="D45" s="28"/>
      <c r="E45" s="29"/>
      <c r="F45" s="30"/>
      <c r="G45" s="29"/>
    </row>
    <row r="46" spans="1:9" x14ac:dyDescent="0.2">
      <c r="A46" s="27" t="s">
        <v>803</v>
      </c>
      <c r="B46" s="27" t="s">
        <v>804</v>
      </c>
      <c r="C46" s="27" t="s">
        <v>60</v>
      </c>
      <c r="D46" s="31">
        <v>1000</v>
      </c>
      <c r="E46" s="29">
        <v>999.15800000000002</v>
      </c>
      <c r="F46" s="30">
        <v>5.2645015514349902</v>
      </c>
      <c r="G46" s="29">
        <v>3.0758999999999999</v>
      </c>
    </row>
    <row r="47" spans="1:9" x14ac:dyDescent="0.2">
      <c r="A47" s="27" t="s">
        <v>184</v>
      </c>
      <c r="B47" s="27" t="s">
        <v>183</v>
      </c>
      <c r="C47" s="27" t="s">
        <v>61</v>
      </c>
      <c r="D47" s="31">
        <v>500</v>
      </c>
      <c r="E47" s="29">
        <v>480.09899999999999</v>
      </c>
      <c r="F47" s="30">
        <v>2.5296118635314802</v>
      </c>
      <c r="G47" s="29">
        <v>4.25</v>
      </c>
    </row>
    <row r="48" spans="1:9" x14ac:dyDescent="0.2">
      <c r="A48" s="26" t="s">
        <v>40</v>
      </c>
      <c r="B48" s="26"/>
      <c r="C48" s="26"/>
      <c r="D48" s="32"/>
      <c r="E48" s="33">
        <f>SUM(E45:E47)</f>
        <v>1479.2570000000001</v>
      </c>
      <c r="F48" s="34">
        <f>SUM(F45:F47)</f>
        <v>7.7941134149664704</v>
      </c>
      <c r="G48" s="33"/>
      <c r="H48" s="18"/>
      <c r="I48" s="18"/>
    </row>
    <row r="49" spans="1:9" x14ac:dyDescent="0.2">
      <c r="A49" s="27"/>
      <c r="B49" s="27"/>
      <c r="C49" s="27"/>
      <c r="D49" s="28"/>
      <c r="E49" s="29"/>
      <c r="F49" s="30"/>
      <c r="G49" s="29"/>
    </row>
    <row r="50" spans="1:9" x14ac:dyDescent="0.2">
      <c r="A50" s="26" t="s">
        <v>65</v>
      </c>
      <c r="B50" s="27"/>
      <c r="C50" s="27"/>
      <c r="D50" s="28"/>
      <c r="E50" s="29"/>
      <c r="F50" s="30"/>
      <c r="G50" s="29"/>
    </row>
    <row r="51" spans="1:9" x14ac:dyDescent="0.2">
      <c r="A51" s="27" t="s">
        <v>97</v>
      </c>
      <c r="B51" s="27" t="s">
        <v>96</v>
      </c>
      <c r="C51" s="27" t="s">
        <v>81</v>
      </c>
      <c r="D51" s="31">
        <v>2000000</v>
      </c>
      <c r="E51" s="29">
        <v>1994.3140000000001</v>
      </c>
      <c r="F51" s="30">
        <v>10.507916813005099</v>
      </c>
      <c r="G51" s="29">
        <v>3.1541000000000001</v>
      </c>
    </row>
    <row r="52" spans="1:9" x14ac:dyDescent="0.2">
      <c r="A52" s="26" t="s">
        <v>40</v>
      </c>
      <c r="B52" s="26"/>
      <c r="C52" s="26"/>
      <c r="D52" s="32"/>
      <c r="E52" s="33">
        <f>SUM(E50:E51)</f>
        <v>1994.3140000000001</v>
      </c>
      <c r="F52" s="34">
        <f>SUM(F50:F51)</f>
        <v>10.507916813005099</v>
      </c>
      <c r="G52" s="33"/>
      <c r="H52" s="18"/>
      <c r="I52" s="18"/>
    </row>
    <row r="53" spans="1:9" x14ac:dyDescent="0.2">
      <c r="A53" s="27"/>
      <c r="B53" s="27"/>
      <c r="C53" s="27"/>
      <c r="D53" s="28"/>
      <c r="E53" s="29"/>
      <c r="F53" s="30"/>
      <c r="G53" s="29"/>
    </row>
    <row r="54" spans="1:9" x14ac:dyDescent="0.2">
      <c r="A54" s="26" t="s">
        <v>78</v>
      </c>
      <c r="B54" s="27"/>
      <c r="C54" s="27"/>
      <c r="D54" s="28"/>
      <c r="E54" s="29"/>
      <c r="F54" s="30"/>
      <c r="G54" s="29"/>
    </row>
    <row r="55" spans="1:9" x14ac:dyDescent="0.2">
      <c r="A55" s="27" t="s">
        <v>80</v>
      </c>
      <c r="B55" s="27" t="s">
        <v>79</v>
      </c>
      <c r="C55" s="27" t="s">
        <v>81</v>
      </c>
      <c r="D55" s="31">
        <v>2500000</v>
      </c>
      <c r="E55" s="29">
        <v>2437.6125000000002</v>
      </c>
      <c r="F55" s="30">
        <v>12.8436291237695</v>
      </c>
      <c r="G55" s="29">
        <v>5.7614999999999998</v>
      </c>
    </row>
    <row r="56" spans="1:9" x14ac:dyDescent="0.2">
      <c r="A56" s="27" t="s">
        <v>1019</v>
      </c>
      <c r="B56" s="27" t="s">
        <v>1020</v>
      </c>
      <c r="C56" s="27" t="s">
        <v>81</v>
      </c>
      <c r="D56" s="31">
        <v>925000</v>
      </c>
      <c r="E56" s="29">
        <v>965.11077499999999</v>
      </c>
      <c r="F56" s="30">
        <v>5.0851088339322903</v>
      </c>
      <c r="G56" s="29">
        <v>6.3780000000000001</v>
      </c>
    </row>
    <row r="57" spans="1:9" x14ac:dyDescent="0.2">
      <c r="A57" s="27" t="s">
        <v>95</v>
      </c>
      <c r="B57" s="27" t="s">
        <v>94</v>
      </c>
      <c r="C57" s="27" t="s">
        <v>81</v>
      </c>
      <c r="D57" s="31">
        <v>800000</v>
      </c>
      <c r="E57" s="29">
        <v>822.06399999999996</v>
      </c>
      <c r="F57" s="30">
        <v>4.3314042457537703</v>
      </c>
      <c r="G57" s="29">
        <v>5.3429000000000002</v>
      </c>
    </row>
    <row r="58" spans="1:9" x14ac:dyDescent="0.2">
      <c r="A58" s="27" t="s">
        <v>1017</v>
      </c>
      <c r="B58" s="27" t="s">
        <v>1018</v>
      </c>
      <c r="C58" s="27" t="s">
        <v>81</v>
      </c>
      <c r="D58" s="31">
        <v>700000</v>
      </c>
      <c r="E58" s="29">
        <v>719.97379999999998</v>
      </c>
      <c r="F58" s="30">
        <v>3.7934973118291002</v>
      </c>
      <c r="G58" s="29">
        <v>6.2268999999999997</v>
      </c>
    </row>
    <row r="59" spans="1:9" x14ac:dyDescent="0.2">
      <c r="A59" s="27" t="s">
        <v>87</v>
      </c>
      <c r="B59" s="27" t="s">
        <v>86</v>
      </c>
      <c r="C59" s="27" t="s">
        <v>81</v>
      </c>
      <c r="D59" s="31">
        <v>600000</v>
      </c>
      <c r="E59" s="29">
        <v>589.51440000000002</v>
      </c>
      <c r="F59" s="30">
        <v>3.10611482207345</v>
      </c>
      <c r="G59" s="29">
        <v>5.6814999999999998</v>
      </c>
    </row>
    <row r="60" spans="1:9" x14ac:dyDescent="0.2">
      <c r="A60" s="27" t="s">
        <v>85</v>
      </c>
      <c r="B60" s="27" t="s">
        <v>84</v>
      </c>
      <c r="C60" s="27" t="s">
        <v>81</v>
      </c>
      <c r="D60" s="31">
        <v>200000</v>
      </c>
      <c r="E60" s="29">
        <v>212.22540000000001</v>
      </c>
      <c r="F60" s="30">
        <v>1.11820247403705</v>
      </c>
      <c r="G60" s="29">
        <v>5.0399000000000003</v>
      </c>
    </row>
    <row r="61" spans="1:9" x14ac:dyDescent="0.2">
      <c r="A61" s="26" t="s">
        <v>40</v>
      </c>
      <c r="B61" s="26"/>
      <c r="C61" s="26"/>
      <c r="D61" s="32"/>
      <c r="E61" s="33">
        <f>SUM(E55:E60)</f>
        <v>5746.5008750000006</v>
      </c>
      <c r="F61" s="34">
        <f>SUM(F55:F60)</f>
        <v>30.277956811395164</v>
      </c>
      <c r="G61" s="33"/>
      <c r="H61" s="18"/>
      <c r="I61" s="18"/>
    </row>
    <row r="62" spans="1:9" x14ac:dyDescent="0.2">
      <c r="A62" s="27"/>
      <c r="B62" s="27"/>
      <c r="C62" s="27"/>
      <c r="D62" s="28"/>
      <c r="E62" s="29"/>
      <c r="F62" s="30"/>
      <c r="G62" s="29"/>
    </row>
    <row r="63" spans="1:9" x14ac:dyDescent="0.2">
      <c r="A63" s="26" t="s">
        <v>44</v>
      </c>
      <c r="B63" s="26"/>
      <c r="C63" s="26"/>
      <c r="D63" s="32"/>
      <c r="E63" s="33">
        <f>E33+E42+E48+E52+E61</f>
        <v>17627.323507000001</v>
      </c>
      <c r="F63" s="34">
        <f>F33+F42+F48+F52+F61</f>
        <v>92.877274615474136</v>
      </c>
      <c r="G63" s="33"/>
      <c r="H63" s="18"/>
      <c r="I63" s="18"/>
    </row>
    <row r="64" spans="1:9" x14ac:dyDescent="0.2">
      <c r="A64" s="26"/>
      <c r="B64" s="26"/>
      <c r="C64" s="26"/>
      <c r="D64" s="32"/>
      <c r="E64" s="33"/>
      <c r="F64" s="34"/>
      <c r="G64" s="33"/>
      <c r="H64" s="18"/>
      <c r="I64" s="18"/>
    </row>
    <row r="65" spans="1:9" x14ac:dyDescent="0.2">
      <c r="A65" s="26" t="s">
        <v>46</v>
      </c>
      <c r="B65" s="26"/>
      <c r="C65" s="26"/>
      <c r="D65" s="32"/>
      <c r="E65" s="33">
        <f>E67-(E33+E42+E48+E52+E61)</f>
        <v>1351.8332134999982</v>
      </c>
      <c r="F65" s="34">
        <f>F67-(F33+F42+F48+F52+F61)</f>
        <v>7.1227253845258645</v>
      </c>
      <c r="G65" s="33"/>
      <c r="H65" s="18"/>
      <c r="I65" s="18"/>
    </row>
    <row r="66" spans="1:9" x14ac:dyDescent="0.2">
      <c r="A66" s="26"/>
      <c r="B66" s="26"/>
      <c r="C66" s="26"/>
      <c r="D66" s="32"/>
      <c r="E66" s="33"/>
      <c r="F66" s="34"/>
      <c r="G66" s="33"/>
      <c r="H66" s="18"/>
      <c r="I66" s="18"/>
    </row>
    <row r="67" spans="1:9" x14ac:dyDescent="0.2">
      <c r="A67" s="35" t="s">
        <v>45</v>
      </c>
      <c r="B67" s="35"/>
      <c r="C67" s="35"/>
      <c r="D67" s="36"/>
      <c r="E67" s="37">
        <v>18979.156720499999</v>
      </c>
      <c r="F67" s="38">
        <v>100</v>
      </c>
      <c r="G67" s="37"/>
      <c r="H67" s="18"/>
      <c r="I67" s="18"/>
    </row>
    <row r="68" spans="1:9" x14ac:dyDescent="0.2">
      <c r="F68" s="20" t="s">
        <v>57</v>
      </c>
    </row>
    <row r="69" spans="1:9" x14ac:dyDescent="0.2">
      <c r="A69" s="18" t="s">
        <v>47</v>
      </c>
    </row>
    <row r="71" spans="1:9" x14ac:dyDescent="0.2">
      <c r="A71" s="18" t="s">
        <v>48</v>
      </c>
    </row>
    <row r="72" spans="1:9" x14ac:dyDescent="0.2">
      <c r="A72" s="18" t="s">
        <v>49</v>
      </c>
    </row>
    <row r="73" spans="1:9" x14ac:dyDescent="0.2">
      <c r="A73" s="18" t="s">
        <v>50</v>
      </c>
      <c r="B73" s="18"/>
      <c r="C73" s="39" t="s">
        <v>52</v>
      </c>
      <c r="D73" s="19" t="s">
        <v>51</v>
      </c>
    </row>
    <row r="74" spans="1:9" x14ac:dyDescent="0.2">
      <c r="A74" s="9" t="s">
        <v>70</v>
      </c>
      <c r="C74" s="40">
        <v>58.950600000000001</v>
      </c>
      <c r="D74" s="40">
        <v>63.633699999999997</v>
      </c>
    </row>
    <row r="75" spans="1:9" x14ac:dyDescent="0.2">
      <c r="A75" s="9" t="s">
        <v>71</v>
      </c>
      <c r="C75" s="40">
        <v>12.6637</v>
      </c>
      <c r="D75" s="40">
        <v>13.1432</v>
      </c>
    </row>
    <row r="76" spans="1:9" x14ac:dyDescent="0.2">
      <c r="A76" s="9" t="s">
        <v>72</v>
      </c>
      <c r="C76" s="40">
        <v>12.1937</v>
      </c>
      <c r="D76" s="40">
        <v>12.6151</v>
      </c>
    </row>
    <row r="77" spans="1:9" x14ac:dyDescent="0.2">
      <c r="A77" s="9" t="s">
        <v>73</v>
      </c>
      <c r="C77" s="40">
        <v>62.443399999999997</v>
      </c>
      <c r="D77" s="40">
        <v>67.662099999999995</v>
      </c>
    </row>
    <row r="78" spans="1:9" x14ac:dyDescent="0.2">
      <c r="A78" s="9" t="s">
        <v>74</v>
      </c>
      <c r="C78" s="40">
        <v>13.640700000000001</v>
      </c>
      <c r="D78" s="40">
        <v>14.2468</v>
      </c>
    </row>
    <row r="79" spans="1:9" x14ac:dyDescent="0.2">
      <c r="A79" s="9" t="s">
        <v>75</v>
      </c>
      <c r="C79" s="40">
        <v>13.1363</v>
      </c>
      <c r="D79" s="40">
        <v>13.680199999999999</v>
      </c>
    </row>
    <row r="81" spans="1:7" x14ac:dyDescent="0.2">
      <c r="A81" s="18" t="s">
        <v>53</v>
      </c>
    </row>
    <row r="82" spans="1:7" x14ac:dyDescent="0.2">
      <c r="A82" s="74" t="s">
        <v>67</v>
      </c>
      <c r="B82" s="75"/>
      <c r="C82" s="44" t="s">
        <v>68</v>
      </c>
    </row>
    <row r="83" spans="1:7" x14ac:dyDescent="0.2">
      <c r="A83" s="68" t="s">
        <v>71</v>
      </c>
      <c r="B83" s="69"/>
      <c r="C83" s="45">
        <v>0.51</v>
      </c>
    </row>
    <row r="84" spans="1:7" x14ac:dyDescent="0.2">
      <c r="A84" s="68" t="s">
        <v>72</v>
      </c>
      <c r="B84" s="69"/>
      <c r="C84" s="45">
        <v>0.52</v>
      </c>
    </row>
    <row r="85" spans="1:7" x14ac:dyDescent="0.2">
      <c r="A85" s="68" t="s">
        <v>74</v>
      </c>
      <c r="B85" s="69"/>
      <c r="C85" s="45">
        <v>0.51</v>
      </c>
    </row>
    <row r="86" spans="1:7" x14ac:dyDescent="0.2">
      <c r="A86" s="68" t="s">
        <v>75</v>
      </c>
      <c r="B86" s="69"/>
      <c r="C86" s="45">
        <v>0.52</v>
      </c>
    </row>
    <row r="87" spans="1:7" x14ac:dyDescent="0.2">
      <c r="A87" s="9" t="s">
        <v>69</v>
      </c>
    </row>
    <row r="89" spans="1:7" x14ac:dyDescent="0.2">
      <c r="A89" s="18" t="s">
        <v>793</v>
      </c>
      <c r="D89" s="42">
        <v>3.3216241397896198</v>
      </c>
      <c r="E89" s="13" t="s">
        <v>55</v>
      </c>
    </row>
    <row r="91" spans="1:7" x14ac:dyDescent="0.2">
      <c r="A91" s="18" t="s">
        <v>1477</v>
      </c>
      <c r="D91" s="41" t="s">
        <v>54</v>
      </c>
    </row>
    <row r="93" spans="1:7" ht="27" customHeight="1" x14ac:dyDescent="0.2">
      <c r="A93" s="76" t="s">
        <v>1476</v>
      </c>
      <c r="B93" s="76"/>
      <c r="C93" s="76"/>
      <c r="D93" s="76"/>
      <c r="E93" s="76"/>
      <c r="F93" s="76"/>
      <c r="G93" s="76"/>
    </row>
    <row r="95" spans="1:7" ht="15" customHeight="1" x14ac:dyDescent="0.2">
      <c r="A95" s="70" t="s">
        <v>964</v>
      </c>
      <c r="B95" s="71"/>
      <c r="C95" s="71"/>
      <c r="D95" s="71"/>
      <c r="E95" s="71"/>
      <c r="F95" s="71"/>
      <c r="G95" s="71"/>
    </row>
    <row r="96" spans="1:7" x14ac:dyDescent="0.2">
      <c r="A96" s="50" t="s">
        <v>56</v>
      </c>
    </row>
    <row r="98" spans="1:1" x14ac:dyDescent="0.2">
      <c r="A98" s="50"/>
    </row>
  </sheetData>
  <mergeCells count="8">
    <mergeCell ref="A93:G93"/>
    <mergeCell ref="A95:G95"/>
    <mergeCell ref="A1:G1"/>
    <mergeCell ref="A82:B82"/>
    <mergeCell ref="A83:B83"/>
    <mergeCell ref="A84:B84"/>
    <mergeCell ref="A85:B85"/>
    <mergeCell ref="A86:B86"/>
  </mergeCells>
  <conditionalFormatting sqref="F2:F3 F69:F92 F99:F65519 F5:F67">
    <cfRule type="cellIs" dxfId="39" priority="5" stopIfTrue="1" operator="between">
      <formula>0.009</formula>
      <formula>-0.009</formula>
    </cfRule>
  </conditionalFormatting>
  <conditionalFormatting sqref="F68">
    <cfRule type="cellIs" dxfId="38" priority="4" stopIfTrue="1" operator="between">
      <formula>0.009</formula>
      <formula>-0.009</formula>
    </cfRule>
  </conditionalFormatting>
  <conditionalFormatting sqref="F94">
    <cfRule type="cellIs" dxfId="37" priority="3" stopIfTrue="1" operator="between">
      <formula>0.009</formula>
      <formula>-0.009</formula>
    </cfRule>
  </conditionalFormatting>
  <conditionalFormatting sqref="F96">
    <cfRule type="cellIs" dxfId="36" priority="1" stopIfTrue="1" operator="between">
      <formula>0.009</formula>
      <formula>-0.009</formula>
    </cfRule>
  </conditionalFormatting>
  <conditionalFormatting sqref="F97:F98">
    <cfRule type="cellIs" dxfId="35" priority="2" stopIfTrue="1" operator="between">
      <formula>0.009</formula>
      <formula>-0.009</formula>
    </cfRule>
  </conditionalFormatting>
  <hyperlinks>
    <hyperlink ref="A96" r:id="rId1" xr:uid="{00000000-0004-0000-24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87"/>
  <sheetViews>
    <sheetView workbookViewId="0">
      <selection sqref="A1:H1"/>
    </sheetView>
  </sheetViews>
  <sheetFormatPr defaultColWidth="9.21875" defaultRowHeight="10.199999999999999" x14ac:dyDescent="0.2"/>
  <cols>
    <col min="1" max="1" width="40.5546875" style="9" bestFit="1" customWidth="1"/>
    <col min="2" max="2" width="33.44140625" style="9" bestFit="1" customWidth="1"/>
    <col min="3" max="3" width="35.77734375" style="9" bestFit="1" customWidth="1"/>
    <col min="4" max="4" width="15.21875" style="10" bestFit="1" customWidth="1"/>
    <col min="5" max="5" width="23" style="13" bestFit="1" customWidth="1"/>
    <col min="6" max="6" width="13.5546875" style="14" bestFit="1" customWidth="1"/>
    <col min="7" max="7" width="13.5546875" style="14" customWidth="1"/>
    <col min="8" max="8" width="14.21875" style="13" customWidth="1"/>
    <col min="9" max="16384" width="9.21875" style="9"/>
  </cols>
  <sheetData>
    <row r="1" spans="1:8" s="1" customFormat="1" ht="13.8" x14ac:dyDescent="0.2">
      <c r="A1" s="72" t="s">
        <v>8</v>
      </c>
      <c r="B1" s="73"/>
      <c r="C1" s="73"/>
      <c r="D1" s="73"/>
      <c r="E1" s="73"/>
      <c r="F1" s="73"/>
      <c r="G1" s="73"/>
      <c r="H1" s="73"/>
    </row>
    <row r="2" spans="1:8" s="1" customFormat="1" ht="11.4" x14ac:dyDescent="0.2">
      <c r="D2" s="6"/>
      <c r="E2" s="7"/>
      <c r="F2" s="12"/>
      <c r="G2" s="12"/>
      <c r="H2" s="13"/>
    </row>
    <row r="3" spans="1:8" s="1" customFormat="1" ht="12" x14ac:dyDescent="0.2">
      <c r="A3" s="11" t="s">
        <v>7</v>
      </c>
      <c r="B3" s="2"/>
      <c r="C3" s="3"/>
      <c r="D3" s="4"/>
      <c r="E3" s="5"/>
      <c r="F3" s="12"/>
      <c r="G3" s="12"/>
      <c r="H3" s="13"/>
    </row>
    <row r="4" spans="1:8" s="1" customFormat="1" ht="45.75" customHeight="1" x14ac:dyDescent="0.2">
      <c r="A4" s="8" t="s">
        <v>2</v>
      </c>
      <c r="B4" s="8" t="s">
        <v>0</v>
      </c>
      <c r="C4" s="17" t="s">
        <v>5</v>
      </c>
      <c r="D4" s="16" t="s">
        <v>1</v>
      </c>
      <c r="E4" s="15" t="s">
        <v>3</v>
      </c>
      <c r="F4" s="49" t="s">
        <v>720</v>
      </c>
      <c r="G4" s="49" t="s">
        <v>721</v>
      </c>
      <c r="H4" s="15" t="s">
        <v>6</v>
      </c>
    </row>
    <row r="5" spans="1:8" x14ac:dyDescent="0.2">
      <c r="A5" s="21" t="s">
        <v>98</v>
      </c>
      <c r="B5" s="22"/>
      <c r="C5" s="22"/>
      <c r="D5" s="23"/>
      <c r="E5" s="24"/>
      <c r="F5" s="25"/>
      <c r="G5" s="25"/>
      <c r="H5" s="24"/>
    </row>
    <row r="6" spans="1:8" x14ac:dyDescent="0.2">
      <c r="A6" s="26" t="s">
        <v>32</v>
      </c>
      <c r="B6" s="27"/>
      <c r="C6" s="27"/>
      <c r="D6" s="28"/>
      <c r="E6" s="29"/>
      <c r="F6" s="30"/>
      <c r="G6" s="30"/>
      <c r="H6" s="29"/>
    </row>
    <row r="7" spans="1:8" x14ac:dyDescent="0.2">
      <c r="A7" s="27" t="s">
        <v>186</v>
      </c>
      <c r="B7" s="27" t="s">
        <v>185</v>
      </c>
      <c r="C7" s="27" t="s">
        <v>187</v>
      </c>
      <c r="D7" s="31">
        <v>46100</v>
      </c>
      <c r="E7" s="29">
        <v>1170.6633999999999</v>
      </c>
      <c r="F7" s="30">
        <v>9.4299568231615698</v>
      </c>
      <c r="G7" s="30">
        <v>-8.8777000000000008</v>
      </c>
      <c r="H7" s="29"/>
    </row>
    <row r="8" spans="1:8" x14ac:dyDescent="0.2">
      <c r="A8" s="27" t="s">
        <v>103</v>
      </c>
      <c r="B8" s="27" t="s">
        <v>102</v>
      </c>
      <c r="C8" s="27" t="s">
        <v>101</v>
      </c>
      <c r="D8" s="31">
        <v>136500</v>
      </c>
      <c r="E8" s="29">
        <v>989.35199999999998</v>
      </c>
      <c r="F8" s="30">
        <v>7.9694527418458199</v>
      </c>
      <c r="G8" s="30">
        <v>-4.9344000000000001</v>
      </c>
      <c r="H8" s="29"/>
    </row>
    <row r="9" spans="1:8" x14ac:dyDescent="0.2">
      <c r="A9" s="27" t="s">
        <v>138</v>
      </c>
      <c r="B9" s="27" t="s">
        <v>137</v>
      </c>
      <c r="C9" s="27" t="s">
        <v>139</v>
      </c>
      <c r="D9" s="31">
        <v>329400</v>
      </c>
      <c r="E9" s="29">
        <v>798.63030000000003</v>
      </c>
      <c r="F9" s="30">
        <v>6.4331465788275004</v>
      </c>
      <c r="G9" s="30">
        <v>-6.4424000000000001</v>
      </c>
      <c r="H9" s="29"/>
    </row>
    <row r="10" spans="1:8" x14ac:dyDescent="0.2">
      <c r="A10" s="27" t="s">
        <v>189</v>
      </c>
      <c r="B10" s="27" t="s">
        <v>188</v>
      </c>
      <c r="C10" s="27" t="s">
        <v>170</v>
      </c>
      <c r="D10" s="31">
        <v>123000</v>
      </c>
      <c r="E10" s="29">
        <v>606.63599999999997</v>
      </c>
      <c r="F10" s="30">
        <v>4.8865893367602</v>
      </c>
      <c r="G10" s="30">
        <v>-4.8964999999999996</v>
      </c>
      <c r="H10" s="29"/>
    </row>
    <row r="11" spans="1:8" x14ac:dyDescent="0.2">
      <c r="A11" s="27" t="s">
        <v>108</v>
      </c>
      <c r="B11" s="27" t="s">
        <v>107</v>
      </c>
      <c r="C11" s="27" t="s">
        <v>101</v>
      </c>
      <c r="D11" s="31">
        <v>84061</v>
      </c>
      <c r="E11" s="29">
        <v>502.4746275</v>
      </c>
      <c r="F11" s="30">
        <v>4.0475460683738804</v>
      </c>
      <c r="G11" s="30">
        <v>-2.6576</v>
      </c>
      <c r="H11" s="29"/>
    </row>
    <row r="12" spans="1:8" x14ac:dyDescent="0.2">
      <c r="A12" s="27" t="s">
        <v>105</v>
      </c>
      <c r="B12" s="27" t="s">
        <v>104</v>
      </c>
      <c r="C12" s="27" t="s">
        <v>106</v>
      </c>
      <c r="D12" s="31">
        <v>26745</v>
      </c>
      <c r="E12" s="29">
        <v>335.19508500000001</v>
      </c>
      <c r="F12" s="30">
        <v>2.7000717532349401</v>
      </c>
      <c r="G12" s="30"/>
      <c r="H12" s="29"/>
    </row>
    <row r="13" spans="1:8" x14ac:dyDescent="0.2">
      <c r="A13" s="27" t="s">
        <v>191</v>
      </c>
      <c r="B13" s="27" t="s">
        <v>190</v>
      </c>
      <c r="C13" s="27" t="s">
        <v>136</v>
      </c>
      <c r="D13" s="31">
        <v>4600</v>
      </c>
      <c r="E13" s="29">
        <v>315.84289999999999</v>
      </c>
      <c r="F13" s="30">
        <v>2.5441855531676598</v>
      </c>
      <c r="G13" s="30">
        <v>-2.5575000000000001</v>
      </c>
      <c r="H13" s="29"/>
    </row>
    <row r="14" spans="1:8" x14ac:dyDescent="0.2">
      <c r="A14" s="27" t="s">
        <v>193</v>
      </c>
      <c r="B14" s="27" t="s">
        <v>192</v>
      </c>
      <c r="C14" s="27" t="s">
        <v>194</v>
      </c>
      <c r="D14" s="31">
        <v>16100</v>
      </c>
      <c r="E14" s="29">
        <v>232.24250000000001</v>
      </c>
      <c r="F14" s="30">
        <v>1.8707655398666301</v>
      </c>
      <c r="G14" s="30">
        <v>-1.8813</v>
      </c>
      <c r="H14" s="29"/>
    </row>
    <row r="15" spans="1:8" x14ac:dyDescent="0.2">
      <c r="A15" s="27" t="s">
        <v>141</v>
      </c>
      <c r="B15" s="27" t="s">
        <v>140</v>
      </c>
      <c r="C15" s="27" t="s">
        <v>101</v>
      </c>
      <c r="D15" s="31">
        <v>55462</v>
      </c>
      <c r="E15" s="29">
        <v>216.38499300000001</v>
      </c>
      <c r="F15" s="30">
        <v>1.7430297566064801</v>
      </c>
      <c r="G15" s="30"/>
      <c r="H15" s="29"/>
    </row>
    <row r="16" spans="1:8" x14ac:dyDescent="0.2">
      <c r="A16" s="27" t="s">
        <v>158</v>
      </c>
      <c r="B16" s="27" t="s">
        <v>157</v>
      </c>
      <c r="C16" s="27" t="s">
        <v>133</v>
      </c>
      <c r="D16" s="31">
        <v>18456</v>
      </c>
      <c r="E16" s="29">
        <v>214.33875599999999</v>
      </c>
      <c r="F16" s="30">
        <v>1.7265468576280401</v>
      </c>
      <c r="G16" s="30"/>
      <c r="H16" s="29"/>
    </row>
    <row r="17" spans="1:8" x14ac:dyDescent="0.2">
      <c r="A17" s="27" t="s">
        <v>100</v>
      </c>
      <c r="B17" s="27" t="s">
        <v>99</v>
      </c>
      <c r="C17" s="27" t="s">
        <v>101</v>
      </c>
      <c r="D17" s="31">
        <v>13878</v>
      </c>
      <c r="E17" s="29">
        <v>212.94403199999999</v>
      </c>
      <c r="F17" s="30">
        <v>1.7153120423086099</v>
      </c>
      <c r="G17" s="30"/>
      <c r="H17" s="29"/>
    </row>
    <row r="18" spans="1:8" x14ac:dyDescent="0.2">
      <c r="A18" s="27" t="s">
        <v>196</v>
      </c>
      <c r="B18" s="27" t="s">
        <v>195</v>
      </c>
      <c r="C18" s="27" t="s">
        <v>133</v>
      </c>
      <c r="D18" s="31">
        <v>41250</v>
      </c>
      <c r="E18" s="29">
        <v>207.52875</v>
      </c>
      <c r="F18" s="30">
        <v>1.67169072857723</v>
      </c>
      <c r="G18" s="30">
        <v>-1.6787000000000001</v>
      </c>
      <c r="H18" s="29"/>
    </row>
    <row r="19" spans="1:8" x14ac:dyDescent="0.2">
      <c r="A19" s="27" t="s">
        <v>198</v>
      </c>
      <c r="B19" s="27" t="s">
        <v>197</v>
      </c>
      <c r="C19" s="27" t="s">
        <v>147</v>
      </c>
      <c r="D19" s="31">
        <v>207938</v>
      </c>
      <c r="E19" s="29">
        <v>197.85300699999999</v>
      </c>
      <c r="F19" s="30">
        <v>1.5937504438446499</v>
      </c>
      <c r="G19" s="30"/>
      <c r="H19" s="29"/>
    </row>
    <row r="20" spans="1:8" x14ac:dyDescent="0.2">
      <c r="A20" s="27" t="s">
        <v>200</v>
      </c>
      <c r="B20" s="27" t="s">
        <v>199</v>
      </c>
      <c r="C20" s="27" t="s">
        <v>106</v>
      </c>
      <c r="D20" s="31">
        <v>17733</v>
      </c>
      <c r="E20" s="29">
        <v>162.93967050000001</v>
      </c>
      <c r="F20" s="30">
        <v>1.31251567068311</v>
      </c>
      <c r="G20" s="30"/>
      <c r="H20" s="29"/>
    </row>
    <row r="21" spans="1:8" x14ac:dyDescent="0.2">
      <c r="A21" s="27" t="s">
        <v>150</v>
      </c>
      <c r="B21" s="27" t="s">
        <v>149</v>
      </c>
      <c r="C21" s="27" t="s">
        <v>147</v>
      </c>
      <c r="D21" s="31">
        <v>150349</v>
      </c>
      <c r="E21" s="29">
        <v>161.324477</v>
      </c>
      <c r="F21" s="30">
        <v>1.29950492398509</v>
      </c>
      <c r="G21" s="30"/>
      <c r="H21" s="29"/>
    </row>
    <row r="22" spans="1:8" x14ac:dyDescent="0.2">
      <c r="A22" s="27" t="s">
        <v>110</v>
      </c>
      <c r="B22" s="27" t="s">
        <v>109</v>
      </c>
      <c r="C22" s="27" t="s">
        <v>111</v>
      </c>
      <c r="D22" s="31">
        <v>27951</v>
      </c>
      <c r="E22" s="29">
        <v>155.49141299999999</v>
      </c>
      <c r="F22" s="30">
        <v>1.2525182823366501</v>
      </c>
      <c r="G22" s="30"/>
      <c r="H22" s="29"/>
    </row>
    <row r="23" spans="1:8" x14ac:dyDescent="0.2">
      <c r="A23" s="27" t="s">
        <v>146</v>
      </c>
      <c r="B23" s="27" t="s">
        <v>145</v>
      </c>
      <c r="C23" s="27" t="s">
        <v>147</v>
      </c>
      <c r="D23" s="31">
        <v>70523</v>
      </c>
      <c r="E23" s="29">
        <v>151.13078899999999</v>
      </c>
      <c r="F23" s="30">
        <v>1.21739247585629</v>
      </c>
      <c r="G23" s="30"/>
      <c r="H23" s="29"/>
    </row>
    <row r="24" spans="1:8" x14ac:dyDescent="0.2">
      <c r="A24" s="27" t="s">
        <v>202</v>
      </c>
      <c r="B24" s="27" t="s">
        <v>201</v>
      </c>
      <c r="C24" s="27" t="s">
        <v>203</v>
      </c>
      <c r="D24" s="31">
        <v>122059</v>
      </c>
      <c r="E24" s="29">
        <v>149.94948149999999</v>
      </c>
      <c r="F24" s="30">
        <v>1.2078767784151001</v>
      </c>
      <c r="G24" s="30"/>
      <c r="H24" s="29"/>
    </row>
    <row r="25" spans="1:8" x14ac:dyDescent="0.2">
      <c r="A25" s="27" t="s">
        <v>205</v>
      </c>
      <c r="B25" s="27" t="s">
        <v>204</v>
      </c>
      <c r="C25" s="27" t="s">
        <v>187</v>
      </c>
      <c r="D25" s="31">
        <v>23811</v>
      </c>
      <c r="E25" s="29">
        <v>142.8540945</v>
      </c>
      <c r="F25" s="30">
        <v>1.1507218412626901</v>
      </c>
      <c r="G25" s="30"/>
      <c r="H25" s="29"/>
    </row>
    <row r="26" spans="1:8" x14ac:dyDescent="0.2">
      <c r="A26" s="27" t="s">
        <v>132</v>
      </c>
      <c r="B26" s="27" t="s">
        <v>131</v>
      </c>
      <c r="C26" s="27" t="s">
        <v>133</v>
      </c>
      <c r="D26" s="31">
        <v>7787</v>
      </c>
      <c r="E26" s="29">
        <v>123.128044</v>
      </c>
      <c r="F26" s="30">
        <v>0.99182407055720601</v>
      </c>
      <c r="G26" s="30"/>
      <c r="H26" s="29"/>
    </row>
    <row r="27" spans="1:8" x14ac:dyDescent="0.2">
      <c r="A27" s="27" t="s">
        <v>207</v>
      </c>
      <c r="B27" s="27" t="s">
        <v>206</v>
      </c>
      <c r="C27" s="27" t="s">
        <v>139</v>
      </c>
      <c r="D27" s="31">
        <v>121901</v>
      </c>
      <c r="E27" s="29">
        <v>119.52393050000001</v>
      </c>
      <c r="F27" s="30">
        <v>0.96279212619918297</v>
      </c>
      <c r="G27" s="30"/>
      <c r="H27" s="29"/>
    </row>
    <row r="28" spans="1:8" x14ac:dyDescent="0.2">
      <c r="A28" s="27" t="s">
        <v>209</v>
      </c>
      <c r="B28" s="27" t="s">
        <v>208</v>
      </c>
      <c r="C28" s="27" t="s">
        <v>210</v>
      </c>
      <c r="D28" s="31">
        <v>76471</v>
      </c>
      <c r="E28" s="29">
        <v>118.91240500000001</v>
      </c>
      <c r="F28" s="30">
        <v>0.957866150840884</v>
      </c>
      <c r="G28" s="30"/>
      <c r="H28" s="29"/>
    </row>
    <row r="29" spans="1:8" x14ac:dyDescent="0.2">
      <c r="A29" s="27" t="s">
        <v>212</v>
      </c>
      <c r="B29" s="27" t="s">
        <v>211</v>
      </c>
      <c r="C29" s="27" t="s">
        <v>148</v>
      </c>
      <c r="D29" s="31">
        <v>64953</v>
      </c>
      <c r="E29" s="29">
        <v>117.370071</v>
      </c>
      <c r="F29" s="30">
        <v>0.94544230379236904</v>
      </c>
      <c r="G29" s="30"/>
      <c r="H29" s="29"/>
    </row>
    <row r="30" spans="1:8" x14ac:dyDescent="0.2">
      <c r="A30" s="27" t="s">
        <v>124</v>
      </c>
      <c r="B30" s="27" t="s">
        <v>123</v>
      </c>
      <c r="C30" s="27" t="s">
        <v>125</v>
      </c>
      <c r="D30" s="31">
        <v>43156</v>
      </c>
      <c r="E30" s="29">
        <v>110.112534</v>
      </c>
      <c r="F30" s="30">
        <v>0.886981211942656</v>
      </c>
      <c r="G30" s="30"/>
      <c r="H30" s="29"/>
    </row>
    <row r="31" spans="1:8" x14ac:dyDescent="0.2">
      <c r="A31" s="27" t="s">
        <v>130</v>
      </c>
      <c r="B31" s="27" t="s">
        <v>129</v>
      </c>
      <c r="C31" s="27" t="s">
        <v>125</v>
      </c>
      <c r="D31" s="31">
        <v>42933</v>
      </c>
      <c r="E31" s="29">
        <v>107.246634</v>
      </c>
      <c r="F31" s="30">
        <v>0.863895743259259</v>
      </c>
      <c r="G31" s="30"/>
      <c r="H31" s="29"/>
    </row>
    <row r="32" spans="1:8" x14ac:dyDescent="0.2">
      <c r="A32" s="27" t="s">
        <v>179</v>
      </c>
      <c r="B32" s="27" t="s">
        <v>178</v>
      </c>
      <c r="C32" s="27" t="s">
        <v>144</v>
      </c>
      <c r="D32" s="31">
        <v>2392</v>
      </c>
      <c r="E32" s="29">
        <v>105.883076</v>
      </c>
      <c r="F32" s="30">
        <v>0.85291197707516497</v>
      </c>
      <c r="G32" s="30"/>
      <c r="H32" s="29"/>
    </row>
    <row r="33" spans="1:9" x14ac:dyDescent="0.2">
      <c r="A33" s="27" t="s">
        <v>119</v>
      </c>
      <c r="B33" s="27" t="s">
        <v>118</v>
      </c>
      <c r="C33" s="27" t="s">
        <v>101</v>
      </c>
      <c r="D33" s="31">
        <v>5528</v>
      </c>
      <c r="E33" s="29">
        <v>98.417748000000003</v>
      </c>
      <c r="F33" s="30">
        <v>0.79277708201417796</v>
      </c>
      <c r="G33" s="30"/>
      <c r="H33" s="29"/>
    </row>
    <row r="34" spans="1:9" x14ac:dyDescent="0.2">
      <c r="A34" s="27" t="s">
        <v>214</v>
      </c>
      <c r="B34" s="27" t="s">
        <v>213</v>
      </c>
      <c r="C34" s="27" t="s">
        <v>187</v>
      </c>
      <c r="D34" s="31">
        <v>21957</v>
      </c>
      <c r="E34" s="29">
        <v>96.665692500000006</v>
      </c>
      <c r="F34" s="30">
        <v>0.77866388114296003</v>
      </c>
      <c r="G34" s="30"/>
      <c r="H34" s="29"/>
    </row>
    <row r="35" spans="1:9" x14ac:dyDescent="0.2">
      <c r="A35" s="27" t="s">
        <v>216</v>
      </c>
      <c r="B35" s="27" t="s">
        <v>215</v>
      </c>
      <c r="C35" s="27" t="s">
        <v>125</v>
      </c>
      <c r="D35" s="31">
        <v>47372</v>
      </c>
      <c r="E35" s="29">
        <v>67.173496</v>
      </c>
      <c r="F35" s="30">
        <v>0.54109760921953898</v>
      </c>
      <c r="G35" s="30"/>
      <c r="H35" s="29"/>
    </row>
    <row r="36" spans="1:9" x14ac:dyDescent="0.2">
      <c r="A36" s="27" t="s">
        <v>218</v>
      </c>
      <c r="B36" s="27" t="s">
        <v>217</v>
      </c>
      <c r="C36" s="27" t="s">
        <v>133</v>
      </c>
      <c r="D36" s="31">
        <v>402</v>
      </c>
      <c r="E36" s="29">
        <v>64.728431999999998</v>
      </c>
      <c r="F36" s="30">
        <v>0.52140206910966003</v>
      </c>
      <c r="G36" s="30"/>
      <c r="H36" s="29"/>
    </row>
    <row r="37" spans="1:9" x14ac:dyDescent="0.2">
      <c r="A37" s="27" t="s">
        <v>220</v>
      </c>
      <c r="B37" s="27" t="s">
        <v>219</v>
      </c>
      <c r="C37" s="27" t="s">
        <v>101</v>
      </c>
      <c r="D37" s="31">
        <v>10000</v>
      </c>
      <c r="E37" s="29">
        <v>8.3550000000000004</v>
      </c>
      <c r="F37" s="30">
        <v>6.7301402997236401E-2</v>
      </c>
      <c r="G37" s="30">
        <v>-6.7500000000000004E-2</v>
      </c>
      <c r="H37" s="29"/>
    </row>
    <row r="38" spans="1:9" x14ac:dyDescent="0.2">
      <c r="A38" s="26" t="s">
        <v>40</v>
      </c>
      <c r="B38" s="26"/>
      <c r="C38" s="26"/>
      <c r="D38" s="32"/>
      <c r="E38" s="33">
        <f>SUM(E7:E37)</f>
        <v>8061.2933390000007</v>
      </c>
      <c r="F38" s="34">
        <f>SUM(F7:F37)</f>
        <v>64.935529824892427</v>
      </c>
      <c r="G38" s="34">
        <f>SUM(G7:G37)</f>
        <v>-33.993600000000001</v>
      </c>
      <c r="H38" s="33"/>
      <c r="I38" s="18"/>
    </row>
    <row r="39" spans="1:9" x14ac:dyDescent="0.2">
      <c r="A39" s="27"/>
      <c r="B39" s="27"/>
      <c r="C39" s="27"/>
      <c r="D39" s="28"/>
      <c r="E39" s="29"/>
      <c r="F39" s="30"/>
      <c r="G39" s="30"/>
      <c r="H39" s="29"/>
    </row>
    <row r="40" spans="1:9" x14ac:dyDescent="0.2">
      <c r="A40" s="26" t="s">
        <v>221</v>
      </c>
      <c r="B40" s="27"/>
      <c r="C40" s="27"/>
      <c r="D40" s="28"/>
      <c r="E40" s="29"/>
      <c r="F40" s="30"/>
      <c r="G40" s="30"/>
      <c r="H40" s="29"/>
    </row>
    <row r="41" spans="1:9" x14ac:dyDescent="0.2">
      <c r="A41" s="27" t="s">
        <v>223</v>
      </c>
      <c r="B41" s="27" t="s">
        <v>222</v>
      </c>
      <c r="C41" s="27" t="s">
        <v>235</v>
      </c>
      <c r="D41" s="31">
        <v>44600</v>
      </c>
      <c r="E41" s="29">
        <v>143.01882000000001</v>
      </c>
      <c r="F41" s="30">
        <v>1.1520487421914101</v>
      </c>
      <c r="G41" s="30"/>
      <c r="H41" s="29"/>
    </row>
    <row r="42" spans="1:9" x14ac:dyDescent="0.2">
      <c r="A42" s="26" t="s">
        <v>40</v>
      </c>
      <c r="B42" s="26"/>
      <c r="C42" s="26"/>
      <c r="D42" s="32"/>
      <c r="E42" s="33">
        <f>SUM(E40:E41)</f>
        <v>143.01882000000001</v>
      </c>
      <c r="F42" s="34">
        <f>SUM(F40:F41)</f>
        <v>1.1520487421914101</v>
      </c>
      <c r="G42" s="34"/>
      <c r="H42" s="33"/>
      <c r="I42" s="18"/>
    </row>
    <row r="43" spans="1:9" x14ac:dyDescent="0.2">
      <c r="A43" s="27"/>
      <c r="B43" s="27"/>
      <c r="C43" s="27"/>
      <c r="D43" s="28"/>
      <c r="E43" s="29"/>
      <c r="F43" s="30"/>
      <c r="G43" s="30"/>
      <c r="H43" s="29"/>
    </row>
    <row r="44" spans="1:9" x14ac:dyDescent="0.2">
      <c r="A44" s="26" t="s">
        <v>78</v>
      </c>
      <c r="B44" s="27"/>
      <c r="C44" s="27"/>
      <c r="D44" s="28"/>
      <c r="E44" s="29"/>
      <c r="F44" s="30"/>
      <c r="G44" s="30"/>
      <c r="H44" s="29"/>
    </row>
    <row r="45" spans="1:9" x14ac:dyDescent="0.2">
      <c r="A45" s="27" t="s">
        <v>87</v>
      </c>
      <c r="B45" s="27" t="s">
        <v>86</v>
      </c>
      <c r="C45" s="27" t="s">
        <v>81</v>
      </c>
      <c r="D45" s="31">
        <v>500000</v>
      </c>
      <c r="E45" s="29">
        <v>491.262</v>
      </c>
      <c r="F45" s="30">
        <v>3.9572258335402002</v>
      </c>
      <c r="G45" s="30"/>
      <c r="H45" s="29">
        <v>5.6814999999999998</v>
      </c>
    </row>
    <row r="46" spans="1:9" x14ac:dyDescent="0.2">
      <c r="A46" s="27" t="s">
        <v>80</v>
      </c>
      <c r="B46" s="27" t="s">
        <v>79</v>
      </c>
      <c r="C46" s="27" t="s">
        <v>81</v>
      </c>
      <c r="D46" s="31">
        <v>500000</v>
      </c>
      <c r="E46" s="29">
        <v>487.52249999999998</v>
      </c>
      <c r="F46" s="30">
        <v>3.9271033204931398</v>
      </c>
      <c r="G46" s="30"/>
      <c r="H46" s="29">
        <v>5.7614999999999998</v>
      </c>
    </row>
    <row r="47" spans="1:9" x14ac:dyDescent="0.2">
      <c r="A47" s="26" t="s">
        <v>40</v>
      </c>
      <c r="B47" s="26"/>
      <c r="C47" s="26"/>
      <c r="D47" s="32"/>
      <c r="E47" s="33">
        <f>SUM(E45:E46)</f>
        <v>978.78449999999998</v>
      </c>
      <c r="F47" s="34">
        <f>SUM(F45:F46)</f>
        <v>7.88432915403334</v>
      </c>
      <c r="G47" s="34"/>
      <c r="H47" s="33"/>
      <c r="I47" s="18"/>
    </row>
    <row r="48" spans="1:9" x14ac:dyDescent="0.2">
      <c r="A48" s="27"/>
      <c r="B48" s="27"/>
      <c r="C48" s="27"/>
      <c r="D48" s="28"/>
      <c r="E48" s="29"/>
      <c r="F48" s="30"/>
      <c r="G48" s="30"/>
      <c r="H48" s="29"/>
    </row>
    <row r="49" spans="1:9" x14ac:dyDescent="0.2">
      <c r="A49" s="26" t="s">
        <v>44</v>
      </c>
      <c r="B49" s="26"/>
      <c r="C49" s="26"/>
      <c r="D49" s="32"/>
      <c r="E49" s="33">
        <f>E38+E42+E47</f>
        <v>9183.0966590000007</v>
      </c>
      <c r="F49" s="34">
        <f>F38+F42+F47</f>
        <v>73.971907721117176</v>
      </c>
      <c r="G49" s="34"/>
      <c r="H49" s="33"/>
      <c r="I49" s="18"/>
    </row>
    <row r="50" spans="1:9" x14ac:dyDescent="0.2">
      <c r="A50" s="26"/>
      <c r="B50" s="26"/>
      <c r="C50" s="26"/>
      <c r="D50" s="32"/>
      <c r="E50" s="33"/>
      <c r="F50" s="34"/>
      <c r="G50" s="34"/>
      <c r="H50" s="33"/>
      <c r="I50" s="18"/>
    </row>
    <row r="51" spans="1:9" x14ac:dyDescent="0.2">
      <c r="A51" s="26" t="s">
        <v>46</v>
      </c>
      <c r="B51" s="26"/>
      <c r="C51" s="26"/>
      <c r="D51" s="32"/>
      <c r="E51" s="33">
        <f>E53-(E38+E42+E47)</f>
        <v>3231.2062052999991</v>
      </c>
      <c r="F51" s="34">
        <f>F53-(F38+F42+F47)</f>
        <v>26.028092278882824</v>
      </c>
      <c r="G51" s="34"/>
      <c r="H51" s="33"/>
      <c r="I51" s="18"/>
    </row>
    <row r="52" spans="1:9" x14ac:dyDescent="0.2">
      <c r="A52" s="26"/>
      <c r="B52" s="26"/>
      <c r="C52" s="26"/>
      <c r="D52" s="32"/>
      <c r="E52" s="33"/>
      <c r="F52" s="34"/>
      <c r="G52" s="34"/>
      <c r="H52" s="33"/>
      <c r="I52" s="18"/>
    </row>
    <row r="53" spans="1:9" x14ac:dyDescent="0.2">
      <c r="A53" s="35" t="s">
        <v>45</v>
      </c>
      <c r="B53" s="35"/>
      <c r="C53" s="35"/>
      <c r="D53" s="36"/>
      <c r="E53" s="37">
        <v>12414.3028643</v>
      </c>
      <c r="F53" s="38">
        <v>100</v>
      </c>
      <c r="G53" s="38"/>
      <c r="H53" s="37"/>
      <c r="I53" s="18"/>
    </row>
    <row r="56" spans="1:9" x14ac:dyDescent="0.2">
      <c r="A56" s="18" t="s">
        <v>48</v>
      </c>
    </row>
    <row r="57" spans="1:9" x14ac:dyDescent="0.2">
      <c r="A57" s="18" t="s">
        <v>49</v>
      </c>
    </row>
    <row r="58" spans="1:9" x14ac:dyDescent="0.2">
      <c r="A58" s="18" t="s">
        <v>50</v>
      </c>
      <c r="B58" s="18"/>
      <c r="C58" s="39" t="s">
        <v>52</v>
      </c>
      <c r="D58" s="19" t="s">
        <v>51</v>
      </c>
    </row>
    <row r="59" spans="1:9" x14ac:dyDescent="0.2">
      <c r="A59" s="9" t="s">
        <v>70</v>
      </c>
      <c r="C59" s="40">
        <v>10.3187</v>
      </c>
      <c r="D59" s="40">
        <v>11.6076</v>
      </c>
    </row>
    <row r="60" spans="1:9" x14ac:dyDescent="0.2">
      <c r="A60" s="9" t="s">
        <v>76</v>
      </c>
      <c r="C60" s="40">
        <v>10.3187</v>
      </c>
      <c r="D60" s="40">
        <v>11.6076</v>
      </c>
    </row>
    <row r="61" spans="1:9" x14ac:dyDescent="0.2">
      <c r="A61" s="9" t="s">
        <v>71</v>
      </c>
      <c r="C61" s="40">
        <v>10.256600000000001</v>
      </c>
      <c r="D61" s="40">
        <v>11.467700000000001</v>
      </c>
    </row>
    <row r="62" spans="1:9" x14ac:dyDescent="0.2">
      <c r="A62" s="9" t="s">
        <v>72</v>
      </c>
      <c r="C62" s="40">
        <v>10.3187</v>
      </c>
      <c r="D62" s="40">
        <v>11.3878</v>
      </c>
    </row>
    <row r="63" spans="1:9" x14ac:dyDescent="0.2">
      <c r="A63" s="9" t="s">
        <v>73</v>
      </c>
      <c r="C63" s="40">
        <v>10.696</v>
      </c>
      <c r="D63" s="40">
        <v>12.1092</v>
      </c>
    </row>
    <row r="64" spans="1:9" x14ac:dyDescent="0.2">
      <c r="A64" s="9" t="s">
        <v>77</v>
      </c>
      <c r="C64" s="40">
        <v>10.696</v>
      </c>
      <c r="D64" s="40">
        <v>12.1092</v>
      </c>
    </row>
    <row r="65" spans="1:4" x14ac:dyDescent="0.2">
      <c r="A65" s="9" t="s">
        <v>74</v>
      </c>
      <c r="C65" s="40">
        <v>10.632999999999999</v>
      </c>
      <c r="D65" s="40">
        <v>11.9665</v>
      </c>
    </row>
    <row r="66" spans="1:4" x14ac:dyDescent="0.2">
      <c r="A66" s="9" t="s">
        <v>75</v>
      </c>
      <c r="C66" s="40">
        <v>10.696</v>
      </c>
      <c r="D66" s="40">
        <v>11.8893</v>
      </c>
    </row>
    <row r="68" spans="1:4" x14ac:dyDescent="0.2">
      <c r="A68" s="18" t="s">
        <v>53</v>
      </c>
    </row>
    <row r="69" spans="1:4" x14ac:dyDescent="0.2">
      <c r="A69" s="74" t="s">
        <v>67</v>
      </c>
      <c r="B69" s="75"/>
      <c r="C69" s="44" t="s">
        <v>68</v>
      </c>
    </row>
    <row r="70" spans="1:4" x14ac:dyDescent="0.2">
      <c r="A70" s="68" t="s">
        <v>71</v>
      </c>
      <c r="B70" s="69"/>
      <c r="C70" s="45">
        <v>7.0000000000000007E-2</v>
      </c>
    </row>
    <row r="71" spans="1:4" x14ac:dyDescent="0.2">
      <c r="A71" s="68" t="s">
        <v>72</v>
      </c>
      <c r="B71" s="69"/>
      <c r="C71" s="45">
        <v>0.22</v>
      </c>
    </row>
    <row r="72" spans="1:4" x14ac:dyDescent="0.2">
      <c r="A72" s="68" t="s">
        <v>74</v>
      </c>
      <c r="B72" s="69"/>
      <c r="C72" s="45">
        <v>7.0000000000000007E-2</v>
      </c>
    </row>
    <row r="73" spans="1:4" x14ac:dyDescent="0.2">
      <c r="A73" s="68" t="s">
        <v>75</v>
      </c>
      <c r="B73" s="69"/>
      <c r="C73" s="45">
        <v>0.22</v>
      </c>
    </row>
    <row r="74" spans="1:4" x14ac:dyDescent="0.2">
      <c r="A74" s="9" t="s">
        <v>69</v>
      </c>
    </row>
    <row r="76" spans="1:4" x14ac:dyDescent="0.2">
      <c r="A76" s="47" t="s">
        <v>722</v>
      </c>
      <c r="D76" s="48" t="s">
        <v>723</v>
      </c>
    </row>
    <row r="78" spans="1:4" x14ac:dyDescent="0.2">
      <c r="A78" s="18" t="s">
        <v>719</v>
      </c>
      <c r="D78" s="13">
        <f>-G38</f>
        <v>33.993600000000001</v>
      </c>
    </row>
    <row r="80" spans="1:4" x14ac:dyDescent="0.2">
      <c r="A80" s="18" t="s">
        <v>724</v>
      </c>
      <c r="D80" s="46">
        <v>2.0590000000000002</v>
      </c>
    </row>
    <row r="82" spans="1:5" x14ac:dyDescent="0.2">
      <c r="A82" s="18" t="s">
        <v>725</v>
      </c>
      <c r="D82" s="42">
        <v>2.27419966456941</v>
      </c>
      <c r="E82" s="13" t="s">
        <v>55</v>
      </c>
    </row>
    <row r="84" spans="1:5" x14ac:dyDescent="0.2">
      <c r="A84" s="18" t="s">
        <v>726</v>
      </c>
      <c r="D84" s="41" t="s">
        <v>54</v>
      </c>
    </row>
    <row r="86" spans="1:5" x14ac:dyDescent="0.2">
      <c r="A86" s="18" t="s">
        <v>727</v>
      </c>
    </row>
    <row r="87" spans="1:5" x14ac:dyDescent="0.2">
      <c r="A87" s="50" t="s">
        <v>56</v>
      </c>
    </row>
  </sheetData>
  <mergeCells count="6">
    <mergeCell ref="A73:B73"/>
    <mergeCell ref="A1:H1"/>
    <mergeCell ref="A69:B69"/>
    <mergeCell ref="A70:B70"/>
    <mergeCell ref="A71:B71"/>
    <mergeCell ref="A72:B72"/>
  </mergeCells>
  <conditionalFormatting sqref="F2:G3 F5:G65540">
    <cfRule type="cellIs" dxfId="34" priority="1" stopIfTrue="1" operator="between">
      <formula>0.009</formula>
      <formula>-0.009</formula>
    </cfRule>
  </conditionalFormatting>
  <hyperlinks>
    <hyperlink ref="A87" r:id="rId1" xr:uid="{00000000-0004-0000-25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17"/>
  <sheetViews>
    <sheetView workbookViewId="0">
      <selection sqref="A1:G1"/>
    </sheetView>
  </sheetViews>
  <sheetFormatPr defaultColWidth="9.21875" defaultRowHeight="10.199999999999999" x14ac:dyDescent="0.2"/>
  <cols>
    <col min="1" max="1" width="40.44140625" style="9" bestFit="1" customWidth="1"/>
    <col min="2" max="2" width="51.77734375" style="9" bestFit="1" customWidth="1"/>
    <col min="3" max="3" width="35.77734375" style="9" bestFit="1" customWidth="1"/>
    <col min="4" max="4" width="15.2187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72" t="s">
        <v>9</v>
      </c>
      <c r="B1" s="73"/>
      <c r="C1" s="73"/>
      <c r="D1" s="73"/>
      <c r="E1" s="73"/>
      <c r="F1" s="73"/>
      <c r="G1" s="7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103</v>
      </c>
      <c r="B7" s="27" t="s">
        <v>102</v>
      </c>
      <c r="C7" s="27" t="s">
        <v>101</v>
      </c>
      <c r="D7" s="31">
        <v>1686935</v>
      </c>
      <c r="E7" s="29">
        <v>12226.90488</v>
      </c>
      <c r="F7" s="30">
        <v>8.8971018535558795</v>
      </c>
      <c r="G7" s="29"/>
    </row>
    <row r="8" spans="1:7" x14ac:dyDescent="0.2">
      <c r="A8" s="27" t="s">
        <v>105</v>
      </c>
      <c r="B8" s="27" t="s">
        <v>104</v>
      </c>
      <c r="C8" s="27" t="s">
        <v>106</v>
      </c>
      <c r="D8" s="31">
        <v>853784</v>
      </c>
      <c r="E8" s="29">
        <v>10700.47487</v>
      </c>
      <c r="F8" s="30">
        <v>7.7863707728300504</v>
      </c>
      <c r="G8" s="29"/>
    </row>
    <row r="9" spans="1:7" x14ac:dyDescent="0.2">
      <c r="A9" s="27" t="s">
        <v>100</v>
      </c>
      <c r="B9" s="27" t="s">
        <v>99</v>
      </c>
      <c r="C9" s="27" t="s">
        <v>101</v>
      </c>
      <c r="D9" s="31">
        <v>483868</v>
      </c>
      <c r="E9" s="29">
        <v>7424.4705919999997</v>
      </c>
      <c r="F9" s="30">
        <v>5.4025341420464503</v>
      </c>
      <c r="G9" s="29"/>
    </row>
    <row r="10" spans="1:7" x14ac:dyDescent="0.2">
      <c r="A10" s="27" t="s">
        <v>108</v>
      </c>
      <c r="B10" s="27" t="s">
        <v>107</v>
      </c>
      <c r="C10" s="27" t="s">
        <v>101</v>
      </c>
      <c r="D10" s="31">
        <v>1231302</v>
      </c>
      <c r="E10" s="29">
        <v>7360.1077050000004</v>
      </c>
      <c r="F10" s="30">
        <v>5.3556994633728099</v>
      </c>
      <c r="G10" s="29"/>
    </row>
    <row r="11" spans="1:7" x14ac:dyDescent="0.2">
      <c r="A11" s="27" t="s">
        <v>110</v>
      </c>
      <c r="B11" s="27" t="s">
        <v>109</v>
      </c>
      <c r="C11" s="27" t="s">
        <v>111</v>
      </c>
      <c r="D11" s="31">
        <v>1046271</v>
      </c>
      <c r="E11" s="29">
        <v>5820.405573</v>
      </c>
      <c r="F11" s="30">
        <v>4.2353107119277196</v>
      </c>
      <c r="G11" s="29"/>
    </row>
    <row r="12" spans="1:7" x14ac:dyDescent="0.2">
      <c r="A12" s="27" t="s">
        <v>146</v>
      </c>
      <c r="B12" s="27" t="s">
        <v>145</v>
      </c>
      <c r="C12" s="27" t="s">
        <v>147</v>
      </c>
      <c r="D12" s="31">
        <v>2258769</v>
      </c>
      <c r="E12" s="29">
        <v>4840.5419670000001</v>
      </c>
      <c r="F12" s="30">
        <v>3.5222973703882099</v>
      </c>
      <c r="G12" s="29"/>
    </row>
    <row r="13" spans="1:7" x14ac:dyDescent="0.2">
      <c r="A13" s="27" t="s">
        <v>200</v>
      </c>
      <c r="B13" s="27" t="s">
        <v>199</v>
      </c>
      <c r="C13" s="27" t="s">
        <v>106</v>
      </c>
      <c r="D13" s="31">
        <v>429717</v>
      </c>
      <c r="E13" s="29">
        <v>3948.454655</v>
      </c>
      <c r="F13" s="30">
        <v>2.87315584560938</v>
      </c>
      <c r="G13" s="29"/>
    </row>
    <row r="14" spans="1:7" x14ac:dyDescent="0.2">
      <c r="A14" s="27" t="s">
        <v>127</v>
      </c>
      <c r="B14" s="27" t="s">
        <v>126</v>
      </c>
      <c r="C14" s="27" t="s">
        <v>128</v>
      </c>
      <c r="D14" s="31">
        <v>1044188</v>
      </c>
      <c r="E14" s="29">
        <v>3552.8496700000001</v>
      </c>
      <c r="F14" s="30">
        <v>2.5852875846010801</v>
      </c>
      <c r="G14" s="29"/>
    </row>
    <row r="15" spans="1:7" x14ac:dyDescent="0.2">
      <c r="A15" s="27" t="s">
        <v>124</v>
      </c>
      <c r="B15" s="27" t="s">
        <v>123</v>
      </c>
      <c r="C15" s="27" t="s">
        <v>125</v>
      </c>
      <c r="D15" s="31">
        <v>1379354</v>
      </c>
      <c r="E15" s="29">
        <v>3519.4217309999999</v>
      </c>
      <c r="F15" s="30">
        <v>2.5609632129832098</v>
      </c>
      <c r="G15" s="29"/>
    </row>
    <row r="16" spans="1:7" x14ac:dyDescent="0.2">
      <c r="A16" s="27" t="s">
        <v>179</v>
      </c>
      <c r="B16" s="27" t="s">
        <v>178</v>
      </c>
      <c r="C16" s="27" t="s">
        <v>144</v>
      </c>
      <c r="D16" s="31">
        <v>71688</v>
      </c>
      <c r="E16" s="29">
        <v>3173.3051639999999</v>
      </c>
      <c r="F16" s="30">
        <v>2.3091059866430301</v>
      </c>
      <c r="G16" s="29"/>
    </row>
    <row r="17" spans="1:7" x14ac:dyDescent="0.2">
      <c r="A17" s="27" t="s">
        <v>130</v>
      </c>
      <c r="B17" s="27" t="s">
        <v>129</v>
      </c>
      <c r="C17" s="27" t="s">
        <v>125</v>
      </c>
      <c r="D17" s="31">
        <v>1266102</v>
      </c>
      <c r="E17" s="29">
        <v>3162.722796</v>
      </c>
      <c r="F17" s="30">
        <v>2.3014055582131099</v>
      </c>
      <c r="G17" s="29"/>
    </row>
    <row r="18" spans="1:7" x14ac:dyDescent="0.2">
      <c r="A18" s="27" t="s">
        <v>193</v>
      </c>
      <c r="B18" s="27" t="s">
        <v>192</v>
      </c>
      <c r="C18" s="27" t="s">
        <v>194</v>
      </c>
      <c r="D18" s="31">
        <v>205227</v>
      </c>
      <c r="E18" s="29">
        <v>2960.3994750000002</v>
      </c>
      <c r="F18" s="30">
        <v>2.1541817749291599</v>
      </c>
      <c r="G18" s="29"/>
    </row>
    <row r="19" spans="1:7" x14ac:dyDescent="0.2">
      <c r="A19" s="27" t="s">
        <v>116</v>
      </c>
      <c r="B19" s="27" t="s">
        <v>115</v>
      </c>
      <c r="C19" s="27" t="s">
        <v>117</v>
      </c>
      <c r="D19" s="31">
        <v>274626</v>
      </c>
      <c r="E19" s="29">
        <v>2796.1046190000002</v>
      </c>
      <c r="F19" s="30">
        <v>2.0346300091966598</v>
      </c>
      <c r="G19" s="29"/>
    </row>
    <row r="20" spans="1:7" x14ac:dyDescent="0.2">
      <c r="A20" s="27" t="s">
        <v>228</v>
      </c>
      <c r="B20" s="27" t="s">
        <v>227</v>
      </c>
      <c r="C20" s="27" t="s">
        <v>106</v>
      </c>
      <c r="D20" s="31">
        <v>92416</v>
      </c>
      <c r="E20" s="29">
        <v>2674.796288</v>
      </c>
      <c r="F20" s="30">
        <v>1.9463580722523099</v>
      </c>
      <c r="G20" s="29"/>
    </row>
    <row r="21" spans="1:7" x14ac:dyDescent="0.2">
      <c r="A21" s="27" t="s">
        <v>150</v>
      </c>
      <c r="B21" s="27" t="s">
        <v>149</v>
      </c>
      <c r="C21" s="27" t="s">
        <v>147</v>
      </c>
      <c r="D21" s="31">
        <v>2468370</v>
      </c>
      <c r="E21" s="29">
        <v>2648.5610099999999</v>
      </c>
      <c r="F21" s="30">
        <v>1.9272675548390199</v>
      </c>
      <c r="G21" s="29"/>
    </row>
    <row r="22" spans="1:7" x14ac:dyDescent="0.2">
      <c r="A22" s="27" t="s">
        <v>207</v>
      </c>
      <c r="B22" s="27" t="s">
        <v>206</v>
      </c>
      <c r="C22" s="27" t="s">
        <v>139</v>
      </c>
      <c r="D22" s="31">
        <v>2568360</v>
      </c>
      <c r="E22" s="29">
        <v>2518.2769800000001</v>
      </c>
      <c r="F22" s="30">
        <v>1.83246430772308</v>
      </c>
      <c r="G22" s="29"/>
    </row>
    <row r="23" spans="1:7" x14ac:dyDescent="0.2">
      <c r="A23" s="27" t="s">
        <v>141</v>
      </c>
      <c r="B23" s="27" t="s">
        <v>140</v>
      </c>
      <c r="C23" s="27" t="s">
        <v>101</v>
      </c>
      <c r="D23" s="31">
        <v>615662</v>
      </c>
      <c r="E23" s="29">
        <v>2402.0052930000002</v>
      </c>
      <c r="F23" s="30">
        <v>1.7478573649132201</v>
      </c>
      <c r="G23" s="29"/>
    </row>
    <row r="24" spans="1:7" x14ac:dyDescent="0.2">
      <c r="A24" s="27" t="s">
        <v>135</v>
      </c>
      <c r="B24" s="27" t="s">
        <v>134</v>
      </c>
      <c r="C24" s="27" t="s">
        <v>136</v>
      </c>
      <c r="D24" s="31">
        <v>296320</v>
      </c>
      <c r="E24" s="29">
        <v>2389.52448</v>
      </c>
      <c r="F24" s="30">
        <v>1.73877550277672</v>
      </c>
      <c r="G24" s="29"/>
    </row>
    <row r="25" spans="1:7" x14ac:dyDescent="0.2">
      <c r="A25" s="27" t="s">
        <v>205</v>
      </c>
      <c r="B25" s="27" t="s">
        <v>204</v>
      </c>
      <c r="C25" s="27" t="s">
        <v>187</v>
      </c>
      <c r="D25" s="31">
        <v>345421</v>
      </c>
      <c r="E25" s="29">
        <v>2072.35329</v>
      </c>
      <c r="F25" s="30">
        <v>1.5079808405021</v>
      </c>
      <c r="G25" s="29"/>
    </row>
    <row r="26" spans="1:7" x14ac:dyDescent="0.2">
      <c r="A26" s="27" t="s">
        <v>202</v>
      </c>
      <c r="B26" s="27" t="s">
        <v>201</v>
      </c>
      <c r="C26" s="27" t="s">
        <v>203</v>
      </c>
      <c r="D26" s="31">
        <v>1583382</v>
      </c>
      <c r="E26" s="29">
        <v>1945.1847869999999</v>
      </c>
      <c r="F26" s="30">
        <v>1.41544465617258</v>
      </c>
      <c r="G26" s="29"/>
    </row>
    <row r="27" spans="1:7" x14ac:dyDescent="0.2">
      <c r="A27" s="27" t="s">
        <v>121</v>
      </c>
      <c r="B27" s="27" t="s">
        <v>120</v>
      </c>
      <c r="C27" s="27" t="s">
        <v>122</v>
      </c>
      <c r="D27" s="31">
        <v>235077</v>
      </c>
      <c r="E27" s="29">
        <v>1681.1531660000001</v>
      </c>
      <c r="F27" s="30">
        <v>1.22331784667731</v>
      </c>
      <c r="G27" s="29"/>
    </row>
    <row r="28" spans="1:7" x14ac:dyDescent="0.2">
      <c r="A28" s="27" t="s">
        <v>230</v>
      </c>
      <c r="B28" s="27" t="s">
        <v>229</v>
      </c>
      <c r="C28" s="27" t="s">
        <v>147</v>
      </c>
      <c r="D28" s="31">
        <v>6797235</v>
      </c>
      <c r="E28" s="29">
        <v>1641.5322530000001</v>
      </c>
      <c r="F28" s="30">
        <v>1.1944870590044301</v>
      </c>
      <c r="G28" s="29"/>
    </row>
    <row r="29" spans="1:7" x14ac:dyDescent="0.2">
      <c r="A29" s="27" t="s">
        <v>113</v>
      </c>
      <c r="B29" s="27" t="s">
        <v>112</v>
      </c>
      <c r="C29" s="27" t="s">
        <v>114</v>
      </c>
      <c r="D29" s="31">
        <v>99000</v>
      </c>
      <c r="E29" s="29">
        <v>1542.42</v>
      </c>
      <c r="F29" s="30">
        <v>1.1223664513338101</v>
      </c>
      <c r="G29" s="29"/>
    </row>
    <row r="30" spans="1:7" x14ac:dyDescent="0.2">
      <c r="A30" s="27" t="s">
        <v>143</v>
      </c>
      <c r="B30" s="27" t="s">
        <v>142</v>
      </c>
      <c r="C30" s="27" t="s">
        <v>144</v>
      </c>
      <c r="D30" s="31">
        <v>349001</v>
      </c>
      <c r="E30" s="29">
        <v>1518.8523520000001</v>
      </c>
      <c r="F30" s="30">
        <v>1.1052170773293</v>
      </c>
      <c r="G30" s="29"/>
    </row>
    <row r="31" spans="1:7" x14ac:dyDescent="0.2">
      <c r="A31" s="27" t="s">
        <v>158</v>
      </c>
      <c r="B31" s="27" t="s">
        <v>157</v>
      </c>
      <c r="C31" s="27" t="s">
        <v>133</v>
      </c>
      <c r="D31" s="31">
        <v>128251</v>
      </c>
      <c r="E31" s="29">
        <v>1489.4429889999999</v>
      </c>
      <c r="F31" s="30">
        <v>1.0838168864692801</v>
      </c>
      <c r="G31" s="29"/>
    </row>
    <row r="32" spans="1:7" x14ac:dyDescent="0.2">
      <c r="A32" s="27" t="s">
        <v>214</v>
      </c>
      <c r="B32" s="27" t="s">
        <v>213</v>
      </c>
      <c r="C32" s="27" t="s">
        <v>187</v>
      </c>
      <c r="D32" s="31">
        <v>336933</v>
      </c>
      <c r="E32" s="29">
        <v>1483.3475330000001</v>
      </c>
      <c r="F32" s="30">
        <v>1.07938143093838</v>
      </c>
      <c r="G32" s="29"/>
    </row>
    <row r="33" spans="1:9" x14ac:dyDescent="0.2">
      <c r="A33" s="27" t="s">
        <v>209</v>
      </c>
      <c r="B33" s="27" t="s">
        <v>208</v>
      </c>
      <c r="C33" s="27" t="s">
        <v>210</v>
      </c>
      <c r="D33" s="31">
        <v>921918</v>
      </c>
      <c r="E33" s="29">
        <v>1433.58249</v>
      </c>
      <c r="F33" s="30">
        <v>1.0431691056882</v>
      </c>
      <c r="G33" s="29"/>
    </row>
    <row r="34" spans="1:9" x14ac:dyDescent="0.2">
      <c r="A34" s="27" t="s">
        <v>164</v>
      </c>
      <c r="B34" s="27" t="s">
        <v>163</v>
      </c>
      <c r="C34" s="27" t="s">
        <v>136</v>
      </c>
      <c r="D34" s="31">
        <v>381483</v>
      </c>
      <c r="E34" s="29">
        <v>1231.9993489999999</v>
      </c>
      <c r="F34" s="30">
        <v>0.89648392615675099</v>
      </c>
      <c r="G34" s="29"/>
    </row>
    <row r="35" spans="1:9" x14ac:dyDescent="0.2">
      <c r="A35" s="27" t="s">
        <v>166</v>
      </c>
      <c r="B35" s="27" t="s">
        <v>165</v>
      </c>
      <c r="C35" s="27" t="s">
        <v>167</v>
      </c>
      <c r="D35" s="31">
        <v>649104</v>
      </c>
      <c r="E35" s="29">
        <v>1191.754944</v>
      </c>
      <c r="F35" s="30">
        <v>0.86719944461093901</v>
      </c>
      <c r="G35" s="29"/>
    </row>
    <row r="36" spans="1:9" x14ac:dyDescent="0.2">
      <c r="A36" s="27" t="s">
        <v>232</v>
      </c>
      <c r="B36" s="27" t="s">
        <v>231</v>
      </c>
      <c r="C36" s="27" t="s">
        <v>117</v>
      </c>
      <c r="D36" s="31">
        <v>72561</v>
      </c>
      <c r="E36" s="29">
        <v>1020.860709</v>
      </c>
      <c r="F36" s="30">
        <v>0.74284553575968204</v>
      </c>
      <c r="G36" s="29"/>
    </row>
    <row r="37" spans="1:9" x14ac:dyDescent="0.2">
      <c r="A37" s="27" t="s">
        <v>138</v>
      </c>
      <c r="B37" s="27" t="s">
        <v>137</v>
      </c>
      <c r="C37" s="27" t="s">
        <v>139</v>
      </c>
      <c r="D37" s="31">
        <v>362218</v>
      </c>
      <c r="E37" s="29">
        <v>878.197541</v>
      </c>
      <c r="F37" s="30">
        <v>0.63903441193854404</v>
      </c>
      <c r="G37" s="29"/>
    </row>
    <row r="38" spans="1:9" x14ac:dyDescent="0.2">
      <c r="A38" s="27" t="s">
        <v>169</v>
      </c>
      <c r="B38" s="27" t="s">
        <v>168</v>
      </c>
      <c r="C38" s="27" t="s">
        <v>170</v>
      </c>
      <c r="D38" s="31">
        <v>1265151</v>
      </c>
      <c r="E38" s="29">
        <v>755.29514700000004</v>
      </c>
      <c r="F38" s="30">
        <v>0.54960252969232704</v>
      </c>
      <c r="G38" s="29"/>
    </row>
    <row r="39" spans="1:9" x14ac:dyDescent="0.2">
      <c r="A39" s="27" t="s">
        <v>212</v>
      </c>
      <c r="B39" s="27" t="s">
        <v>211</v>
      </c>
      <c r="C39" s="27" t="s">
        <v>148</v>
      </c>
      <c r="D39" s="31">
        <v>377910</v>
      </c>
      <c r="E39" s="29">
        <v>682.88337000000001</v>
      </c>
      <c r="F39" s="30">
        <v>0.49691094816053599</v>
      </c>
      <c r="G39" s="29"/>
    </row>
    <row r="40" spans="1:9" x14ac:dyDescent="0.2">
      <c r="A40" s="27" t="s">
        <v>172</v>
      </c>
      <c r="B40" s="27" t="s">
        <v>171</v>
      </c>
      <c r="C40" s="27" t="s">
        <v>167</v>
      </c>
      <c r="D40" s="31">
        <v>75869</v>
      </c>
      <c r="E40" s="29">
        <v>109.36516349999999</v>
      </c>
      <c r="F40" s="30">
        <v>7.9581301109319796E-2</v>
      </c>
      <c r="G40" s="29"/>
    </row>
    <row r="41" spans="1:9" x14ac:dyDescent="0.2">
      <c r="A41" s="26" t="s">
        <v>40</v>
      </c>
      <c r="B41" s="26"/>
      <c r="C41" s="26"/>
      <c r="D41" s="32"/>
      <c r="E41" s="33">
        <f>SUM(E7:E40)</f>
        <v>104797.55283150003</v>
      </c>
      <c r="F41" s="34">
        <f>SUM(F7:F40)</f>
        <v>76.257606540344554</v>
      </c>
      <c r="G41" s="33"/>
      <c r="H41" s="18"/>
      <c r="I41" s="18"/>
    </row>
    <row r="42" spans="1:9" x14ac:dyDescent="0.2">
      <c r="A42" s="27"/>
      <c r="B42" s="27"/>
      <c r="C42" s="27"/>
      <c r="D42" s="28"/>
      <c r="E42" s="29"/>
      <c r="F42" s="30"/>
      <c r="G42" s="29"/>
    </row>
    <row r="43" spans="1:9" x14ac:dyDescent="0.2">
      <c r="A43" s="26" t="s">
        <v>236</v>
      </c>
      <c r="B43" s="27"/>
      <c r="C43" s="27"/>
      <c r="D43" s="28"/>
      <c r="E43" s="29"/>
      <c r="F43" s="30"/>
      <c r="G43" s="29"/>
    </row>
    <row r="44" spans="1:9" x14ac:dyDescent="0.2">
      <c r="A44" s="27" t="s">
        <v>237</v>
      </c>
      <c r="B44" s="27" t="s">
        <v>1484</v>
      </c>
      <c r="C44" s="27" t="s">
        <v>238</v>
      </c>
      <c r="D44" s="31">
        <v>270000</v>
      </c>
      <c r="E44" s="29">
        <v>2.7E-2</v>
      </c>
      <c r="F44" s="30">
        <v>1.9646979542545398E-5</v>
      </c>
      <c r="G44" s="29"/>
    </row>
    <row r="45" spans="1:9" x14ac:dyDescent="0.2">
      <c r="A45" s="27"/>
      <c r="B45" s="27" t="s">
        <v>1485</v>
      </c>
      <c r="C45" s="27" t="s">
        <v>187</v>
      </c>
      <c r="D45" s="31">
        <v>27500</v>
      </c>
      <c r="E45" s="29">
        <v>2.7499999999999998E-3</v>
      </c>
      <c r="F45" s="30">
        <v>2.0010812497037E-6</v>
      </c>
      <c r="G45" s="29"/>
    </row>
    <row r="46" spans="1:9" x14ac:dyDescent="0.2">
      <c r="A46" s="26" t="s">
        <v>40</v>
      </c>
      <c r="B46" s="26"/>
      <c r="C46" s="26"/>
      <c r="D46" s="32"/>
      <c r="E46" s="33">
        <f>SUM(E43:E45)</f>
        <v>2.9749999999999999E-2</v>
      </c>
      <c r="F46" s="34">
        <f>SUM(F43:F45)</f>
        <v>2.1648060792249097E-5</v>
      </c>
      <c r="G46" s="33"/>
      <c r="H46" s="18"/>
      <c r="I46" s="18"/>
    </row>
    <row r="47" spans="1:9" x14ac:dyDescent="0.2">
      <c r="A47" s="27"/>
      <c r="B47" s="27"/>
      <c r="C47" s="27"/>
      <c r="D47" s="28"/>
      <c r="E47" s="29"/>
      <c r="F47" s="30"/>
      <c r="G47" s="29"/>
    </row>
    <row r="48" spans="1:9" x14ac:dyDescent="0.2">
      <c r="A48" s="26" t="s">
        <v>239</v>
      </c>
      <c r="B48" s="27"/>
      <c r="C48" s="27"/>
      <c r="D48" s="28"/>
      <c r="E48" s="29"/>
      <c r="F48" s="30"/>
      <c r="G48" s="29"/>
    </row>
    <row r="49" spans="1:9" x14ac:dyDescent="0.2">
      <c r="A49" s="27" t="s">
        <v>223</v>
      </c>
      <c r="B49" s="27" t="s">
        <v>222</v>
      </c>
      <c r="C49" s="27" t="s">
        <v>235</v>
      </c>
      <c r="D49" s="31">
        <v>644200</v>
      </c>
      <c r="E49" s="29">
        <v>2065.75614</v>
      </c>
      <c r="F49" s="30">
        <v>1.5031803193506501</v>
      </c>
      <c r="G49" s="29"/>
    </row>
    <row r="50" spans="1:9" x14ac:dyDescent="0.2">
      <c r="A50" s="27" t="s">
        <v>234</v>
      </c>
      <c r="B50" s="27" t="s">
        <v>233</v>
      </c>
      <c r="C50" s="27" t="s">
        <v>235</v>
      </c>
      <c r="D50" s="31">
        <v>151400</v>
      </c>
      <c r="E50" s="29">
        <v>372.58026000000001</v>
      </c>
      <c r="F50" s="30">
        <v>0.27111395356208301</v>
      </c>
      <c r="G50" s="29"/>
    </row>
    <row r="51" spans="1:9" x14ac:dyDescent="0.2">
      <c r="A51" s="26" t="s">
        <v>40</v>
      </c>
      <c r="B51" s="26"/>
      <c r="C51" s="26"/>
      <c r="D51" s="32"/>
      <c r="E51" s="33">
        <f>SUM(E48:E50)</f>
        <v>2438.3364000000001</v>
      </c>
      <c r="F51" s="33">
        <f>SUM(F48:F50)</f>
        <v>1.7742942729127331</v>
      </c>
      <c r="G51" s="33"/>
      <c r="H51" s="18"/>
      <c r="I51" s="18"/>
    </row>
    <row r="52" spans="1:9" x14ac:dyDescent="0.2">
      <c r="A52" s="27"/>
      <c r="B52" s="27"/>
      <c r="C52" s="27"/>
      <c r="D52" s="28"/>
      <c r="E52" s="29"/>
      <c r="F52" s="30"/>
      <c r="G52" s="29"/>
    </row>
    <row r="53" spans="1:9" x14ac:dyDescent="0.2">
      <c r="A53" s="26" t="s">
        <v>31</v>
      </c>
      <c r="B53" s="27"/>
      <c r="C53" s="27"/>
      <c r="D53" s="28"/>
      <c r="E53" s="29"/>
      <c r="F53" s="30"/>
      <c r="G53" s="29"/>
    </row>
    <row r="54" spans="1:9" x14ac:dyDescent="0.2">
      <c r="A54" s="26" t="s">
        <v>32</v>
      </c>
      <c r="B54" s="27"/>
      <c r="C54" s="27"/>
      <c r="D54" s="28"/>
      <c r="E54" s="29"/>
      <c r="F54" s="30"/>
      <c r="G54" s="29"/>
    </row>
    <row r="55" spans="1:9" x14ac:dyDescent="0.2">
      <c r="A55" s="27" t="s">
        <v>34</v>
      </c>
      <c r="B55" s="27" t="s">
        <v>33</v>
      </c>
      <c r="C55" s="27" t="s">
        <v>35</v>
      </c>
      <c r="D55" s="31">
        <v>450</v>
      </c>
      <c r="E55" s="29">
        <v>4510.7235000000001</v>
      </c>
      <c r="F55" s="30">
        <v>3.28229971579922</v>
      </c>
      <c r="G55" s="29">
        <v>7.8986999999999998</v>
      </c>
    </row>
    <row r="56" spans="1:9" x14ac:dyDescent="0.2">
      <c r="A56" s="27" t="s">
        <v>37</v>
      </c>
      <c r="B56" s="27" t="s">
        <v>36</v>
      </c>
      <c r="C56" s="27" t="s">
        <v>35</v>
      </c>
      <c r="D56" s="31">
        <v>83</v>
      </c>
      <c r="E56" s="29">
        <v>833.77981999999997</v>
      </c>
      <c r="F56" s="30">
        <v>0.60671315061211895</v>
      </c>
      <c r="G56" s="29">
        <v>7.8985000000000003</v>
      </c>
    </row>
    <row r="57" spans="1:9" x14ac:dyDescent="0.2">
      <c r="A57" s="27" t="s">
        <v>93</v>
      </c>
      <c r="B57" s="27" t="s">
        <v>92</v>
      </c>
      <c r="C57" s="27" t="s">
        <v>39</v>
      </c>
      <c r="D57" s="31">
        <v>60</v>
      </c>
      <c r="E57" s="29">
        <v>654.60839999999996</v>
      </c>
      <c r="F57" s="30">
        <v>0.47633621641401402</v>
      </c>
      <c r="G57" s="29">
        <v>7.33</v>
      </c>
    </row>
    <row r="58" spans="1:9" x14ac:dyDescent="0.2">
      <c r="A58" s="27" t="s">
        <v>177</v>
      </c>
      <c r="B58" s="27" t="s">
        <v>176</v>
      </c>
      <c r="C58" s="27" t="s">
        <v>39</v>
      </c>
      <c r="D58" s="31">
        <v>50</v>
      </c>
      <c r="E58" s="29">
        <v>515.86</v>
      </c>
      <c r="F58" s="30">
        <v>0.375373735808055</v>
      </c>
      <c r="G58" s="29">
        <v>5.3449999999999998</v>
      </c>
    </row>
    <row r="59" spans="1:9" x14ac:dyDescent="0.2">
      <c r="A59" s="27" t="s">
        <v>91</v>
      </c>
      <c r="B59" s="27" t="s">
        <v>90</v>
      </c>
      <c r="C59" s="27" t="s">
        <v>39</v>
      </c>
      <c r="D59" s="31">
        <v>30</v>
      </c>
      <c r="E59" s="29">
        <v>325.33199999999999</v>
      </c>
      <c r="F59" s="30">
        <v>0.23673300550131099</v>
      </c>
      <c r="G59" s="29">
        <v>7.4237000000000002</v>
      </c>
    </row>
    <row r="60" spans="1:9" x14ac:dyDescent="0.2">
      <c r="A60" s="26" t="s">
        <v>40</v>
      </c>
      <c r="B60" s="26"/>
      <c r="C60" s="26"/>
      <c r="D60" s="32"/>
      <c r="E60" s="33">
        <f>SUM(E54:E59)</f>
        <v>6840.3037199999999</v>
      </c>
      <c r="F60" s="34">
        <f>SUM(F54:F59)</f>
        <v>4.9774558241347187</v>
      </c>
      <c r="G60" s="33"/>
      <c r="H60" s="18"/>
      <c r="I60" s="18"/>
    </row>
    <row r="61" spans="1:9" x14ac:dyDescent="0.2">
      <c r="A61" s="27"/>
      <c r="B61" s="27"/>
      <c r="C61" s="27"/>
      <c r="D61" s="28"/>
      <c r="E61" s="29"/>
      <c r="F61" s="30"/>
      <c r="G61" s="29"/>
    </row>
    <row r="62" spans="1:9" x14ac:dyDescent="0.2">
      <c r="A62" s="26" t="s">
        <v>41</v>
      </c>
      <c r="B62" s="27"/>
      <c r="C62" s="27"/>
      <c r="D62" s="28"/>
      <c r="E62" s="29"/>
      <c r="F62" s="30"/>
      <c r="G62" s="29"/>
    </row>
    <row r="63" spans="1:9" x14ac:dyDescent="0.2">
      <c r="A63" s="27" t="s">
        <v>43</v>
      </c>
      <c r="B63" s="27" t="s">
        <v>42</v>
      </c>
      <c r="C63" s="27" t="s">
        <v>38</v>
      </c>
      <c r="D63" s="31">
        <v>14</v>
      </c>
      <c r="E63" s="29">
        <v>1998.7547999999999</v>
      </c>
      <c r="F63" s="30">
        <v>1.4544257283764599</v>
      </c>
      <c r="G63" s="29">
        <v>10.2447</v>
      </c>
    </row>
    <row r="64" spans="1:9" x14ac:dyDescent="0.2">
      <c r="A64" s="26" t="s">
        <v>40</v>
      </c>
      <c r="B64" s="26"/>
      <c r="C64" s="26"/>
      <c r="D64" s="32"/>
      <c r="E64" s="33">
        <f>SUM(E62:E63)</f>
        <v>1998.7547999999999</v>
      </c>
      <c r="F64" s="34">
        <f>SUM(F62:F63)</f>
        <v>1.4544257283764599</v>
      </c>
      <c r="G64" s="33"/>
      <c r="H64" s="18"/>
      <c r="I64" s="18"/>
    </row>
    <row r="65" spans="1:9" x14ac:dyDescent="0.2">
      <c r="A65" s="27"/>
      <c r="B65" s="27"/>
      <c r="C65" s="27"/>
      <c r="D65" s="28"/>
      <c r="E65" s="29"/>
      <c r="F65" s="30"/>
      <c r="G65" s="29"/>
    </row>
    <row r="66" spans="1:9" x14ac:dyDescent="0.2">
      <c r="A66" s="26" t="s">
        <v>58</v>
      </c>
      <c r="B66" s="27"/>
      <c r="C66" s="27"/>
      <c r="D66" s="28"/>
      <c r="E66" s="29"/>
      <c r="F66" s="30"/>
      <c r="G66" s="29"/>
    </row>
    <row r="67" spans="1:9" x14ac:dyDescent="0.2">
      <c r="A67" s="26" t="s">
        <v>59</v>
      </c>
      <c r="B67" s="27"/>
      <c r="C67" s="27"/>
      <c r="D67" s="28"/>
      <c r="E67" s="29"/>
      <c r="F67" s="30"/>
      <c r="G67" s="29"/>
    </row>
    <row r="68" spans="1:9" x14ac:dyDescent="0.2">
      <c r="A68" s="27" t="s">
        <v>184</v>
      </c>
      <c r="B68" s="27" t="s">
        <v>183</v>
      </c>
      <c r="C68" s="27" t="s">
        <v>61</v>
      </c>
      <c r="D68" s="31">
        <v>2500</v>
      </c>
      <c r="E68" s="29">
        <v>2400.4949999999999</v>
      </c>
      <c r="F68" s="30">
        <v>1.74675837618454</v>
      </c>
      <c r="G68" s="29">
        <v>4.25</v>
      </c>
    </row>
    <row r="69" spans="1:9" x14ac:dyDescent="0.2">
      <c r="A69" s="26" t="s">
        <v>40</v>
      </c>
      <c r="B69" s="26"/>
      <c r="C69" s="26"/>
      <c r="D69" s="32"/>
      <c r="E69" s="33">
        <f>SUM(E67:E68)</f>
        <v>2400.4949999999999</v>
      </c>
      <c r="F69" s="34">
        <f>SUM(F67:F68)</f>
        <v>1.74675837618454</v>
      </c>
      <c r="G69" s="33"/>
      <c r="H69" s="18"/>
      <c r="I69" s="18"/>
    </row>
    <row r="70" spans="1:9" x14ac:dyDescent="0.2">
      <c r="A70" s="27"/>
      <c r="B70" s="27"/>
      <c r="C70" s="27"/>
      <c r="D70" s="28"/>
      <c r="E70" s="29"/>
      <c r="F70" s="30"/>
      <c r="G70" s="29"/>
    </row>
    <row r="71" spans="1:9" x14ac:dyDescent="0.2">
      <c r="A71" s="26" t="s">
        <v>62</v>
      </c>
      <c r="B71" s="27"/>
      <c r="C71" s="27"/>
      <c r="D71" s="28"/>
      <c r="E71" s="29"/>
      <c r="F71" s="30"/>
      <c r="G71" s="29"/>
    </row>
    <row r="72" spans="1:9" x14ac:dyDescent="0.2">
      <c r="A72" s="27" t="s">
        <v>64</v>
      </c>
      <c r="B72" s="27" t="s">
        <v>63</v>
      </c>
      <c r="C72" s="27" t="s">
        <v>60</v>
      </c>
      <c r="D72" s="31">
        <v>1200</v>
      </c>
      <c r="E72" s="29">
        <v>5991.27</v>
      </c>
      <c r="F72" s="30">
        <v>4.3596429305135604</v>
      </c>
      <c r="G72" s="29">
        <v>3.3241000000000001</v>
      </c>
    </row>
    <row r="73" spans="1:9" x14ac:dyDescent="0.2">
      <c r="A73" s="26" t="s">
        <v>40</v>
      </c>
      <c r="B73" s="26"/>
      <c r="C73" s="26"/>
      <c r="D73" s="32"/>
      <c r="E73" s="33">
        <f>SUM(E71:E72)</f>
        <v>5991.27</v>
      </c>
      <c r="F73" s="34">
        <f>SUM(F71:F72)</f>
        <v>4.3596429305135604</v>
      </c>
      <c r="G73" s="33"/>
      <c r="H73" s="18"/>
      <c r="I73" s="18"/>
    </row>
    <row r="74" spans="1:9" x14ac:dyDescent="0.2">
      <c r="A74" s="27"/>
      <c r="B74" s="27"/>
      <c r="C74" s="27"/>
      <c r="D74" s="28"/>
      <c r="E74" s="29"/>
      <c r="F74" s="30"/>
      <c r="G74" s="29"/>
    </row>
    <row r="75" spans="1:9" x14ac:dyDescent="0.2">
      <c r="A75" s="26" t="s">
        <v>65</v>
      </c>
      <c r="B75" s="27"/>
      <c r="C75" s="27"/>
      <c r="D75" s="28"/>
      <c r="E75" s="29"/>
      <c r="F75" s="30"/>
      <c r="G75" s="29"/>
    </row>
    <row r="76" spans="1:9" x14ac:dyDescent="0.2">
      <c r="A76" s="27" t="s">
        <v>97</v>
      </c>
      <c r="B76" s="27" t="s">
        <v>96</v>
      </c>
      <c r="C76" s="27" t="s">
        <v>81</v>
      </c>
      <c r="D76" s="31">
        <v>1500000</v>
      </c>
      <c r="E76" s="29">
        <v>1495.7355</v>
      </c>
      <c r="F76" s="30">
        <v>1.0883957322058899</v>
      </c>
      <c r="G76" s="29">
        <v>3.1541000000000001</v>
      </c>
    </row>
    <row r="77" spans="1:9" x14ac:dyDescent="0.2">
      <c r="A77" s="26" t="s">
        <v>40</v>
      </c>
      <c r="B77" s="26"/>
      <c r="C77" s="26"/>
      <c r="D77" s="32"/>
      <c r="E77" s="33">
        <f>SUM(E75:E76)</f>
        <v>1495.7355</v>
      </c>
      <c r="F77" s="34">
        <f>SUM(F75:F76)</f>
        <v>1.0883957322058899</v>
      </c>
      <c r="G77" s="33"/>
      <c r="H77" s="18"/>
      <c r="I77" s="18"/>
    </row>
    <row r="78" spans="1:9" x14ac:dyDescent="0.2">
      <c r="A78" s="27"/>
      <c r="B78" s="27"/>
      <c r="C78" s="27"/>
      <c r="D78" s="28"/>
      <c r="E78" s="29"/>
      <c r="F78" s="30"/>
      <c r="G78" s="29"/>
    </row>
    <row r="79" spans="1:9" x14ac:dyDescent="0.2">
      <c r="A79" s="26" t="s">
        <v>78</v>
      </c>
      <c r="B79" s="27"/>
      <c r="C79" s="27"/>
      <c r="D79" s="28"/>
      <c r="E79" s="29"/>
      <c r="F79" s="30"/>
      <c r="G79" s="29"/>
    </row>
    <row r="80" spans="1:9" x14ac:dyDescent="0.2">
      <c r="A80" s="27" t="s">
        <v>80</v>
      </c>
      <c r="B80" s="27" t="s">
        <v>79</v>
      </c>
      <c r="C80" s="27" t="s">
        <v>81</v>
      </c>
      <c r="D80" s="31">
        <v>6000000</v>
      </c>
      <c r="E80" s="29">
        <v>5850.27</v>
      </c>
      <c r="F80" s="30">
        <v>4.2570420373469302</v>
      </c>
      <c r="G80" s="29">
        <v>5.7614999999999998</v>
      </c>
    </row>
    <row r="81" spans="1:9" x14ac:dyDescent="0.2">
      <c r="A81" s="27" t="s">
        <v>83</v>
      </c>
      <c r="B81" s="27" t="s">
        <v>82</v>
      </c>
      <c r="C81" s="27" t="s">
        <v>81</v>
      </c>
      <c r="D81" s="31">
        <v>2000000</v>
      </c>
      <c r="E81" s="29">
        <v>2107.788</v>
      </c>
      <c r="F81" s="30">
        <v>1.5337654709638</v>
      </c>
      <c r="G81" s="29">
        <v>6.0274999999999999</v>
      </c>
    </row>
    <row r="82" spans="1:9" x14ac:dyDescent="0.2">
      <c r="A82" s="27" t="s">
        <v>241</v>
      </c>
      <c r="B82" s="27" t="s">
        <v>240</v>
      </c>
      <c r="C82" s="27" t="s">
        <v>81</v>
      </c>
      <c r="D82" s="31">
        <v>1500000</v>
      </c>
      <c r="E82" s="29">
        <v>1460.0820000000001</v>
      </c>
      <c r="F82" s="30">
        <v>1.06245189571996</v>
      </c>
      <c r="G82" s="29">
        <v>6.2161999999999997</v>
      </c>
    </row>
    <row r="83" spans="1:9" x14ac:dyDescent="0.2">
      <c r="A83" s="27" t="s">
        <v>95</v>
      </c>
      <c r="B83" s="27" t="s">
        <v>94</v>
      </c>
      <c r="C83" s="27" t="s">
        <v>81</v>
      </c>
      <c r="D83" s="31">
        <v>300000</v>
      </c>
      <c r="E83" s="29">
        <v>308.274</v>
      </c>
      <c r="F83" s="30">
        <v>0.22432048042587599</v>
      </c>
      <c r="G83" s="29">
        <v>5.3429000000000002</v>
      </c>
    </row>
    <row r="84" spans="1:9" x14ac:dyDescent="0.2">
      <c r="A84" s="27" t="s">
        <v>85</v>
      </c>
      <c r="B84" s="27" t="s">
        <v>84</v>
      </c>
      <c r="C84" s="27" t="s">
        <v>81</v>
      </c>
      <c r="D84" s="31">
        <v>100000</v>
      </c>
      <c r="E84" s="29">
        <v>106.1127</v>
      </c>
      <c r="F84" s="30">
        <v>7.7214594300157702E-2</v>
      </c>
      <c r="G84" s="29">
        <v>5.0399000000000003</v>
      </c>
    </row>
    <row r="85" spans="1:9" x14ac:dyDescent="0.2">
      <c r="A85" s="27" t="s">
        <v>87</v>
      </c>
      <c r="B85" s="27" t="s">
        <v>86</v>
      </c>
      <c r="C85" s="27" t="s">
        <v>81</v>
      </c>
      <c r="D85" s="31">
        <v>100000</v>
      </c>
      <c r="E85" s="29">
        <v>98.252399999999994</v>
      </c>
      <c r="F85" s="30">
        <v>7.1494921955777405E-2</v>
      </c>
      <c r="G85" s="29">
        <v>5.6814999999999998</v>
      </c>
    </row>
    <row r="86" spans="1:9" x14ac:dyDescent="0.2">
      <c r="A86" s="26" t="s">
        <v>40</v>
      </c>
      <c r="B86" s="26"/>
      <c r="C86" s="26"/>
      <c r="D86" s="32"/>
      <c r="E86" s="33">
        <f>SUM(E80:E85)</f>
        <v>9930.7790999999997</v>
      </c>
      <c r="F86" s="34">
        <f>SUM(F80:F85)</f>
        <v>7.2262894007125009</v>
      </c>
      <c r="G86" s="33"/>
      <c r="H86" s="18"/>
      <c r="I86" s="18"/>
    </row>
    <row r="87" spans="1:9" x14ac:dyDescent="0.2">
      <c r="A87" s="27"/>
      <c r="B87" s="27"/>
      <c r="C87" s="27"/>
      <c r="D87" s="28"/>
      <c r="E87" s="29"/>
      <c r="F87" s="30"/>
      <c r="G87" s="29"/>
    </row>
    <row r="88" spans="1:9" x14ac:dyDescent="0.2">
      <c r="A88" s="26" t="s">
        <v>44</v>
      </c>
      <c r="B88" s="26"/>
      <c r="C88" s="26"/>
      <c r="D88" s="32"/>
      <c r="E88" s="33">
        <f>E41+E46+E51+E60+E64+E69+E73+E77+E86</f>
        <v>135893.2571015</v>
      </c>
      <c r="F88" s="34">
        <f>F41+F46+F51+F60+F64+F69+F73+F77+F86</f>
        <v>98.884890453445763</v>
      </c>
      <c r="G88" s="33"/>
      <c r="H88" s="18"/>
      <c r="I88" s="18"/>
    </row>
    <row r="89" spans="1:9" x14ac:dyDescent="0.2">
      <c r="A89" s="26"/>
      <c r="B89" s="26"/>
      <c r="C89" s="26"/>
      <c r="D89" s="32"/>
      <c r="E89" s="33"/>
      <c r="F89" s="34"/>
      <c r="G89" s="33"/>
      <c r="H89" s="18"/>
      <c r="I89" s="18"/>
    </row>
    <row r="90" spans="1:9" x14ac:dyDescent="0.2">
      <c r="A90" s="26" t="s">
        <v>46</v>
      </c>
      <c r="B90" s="26"/>
      <c r="C90" s="26"/>
      <c r="D90" s="32"/>
      <c r="E90" s="33">
        <f>E92-(E41+E46+E51+E60+E64+E69+E73+E77+E86)</f>
        <v>1532.4471475000028</v>
      </c>
      <c r="F90" s="34">
        <f>F92-(F41+F46+F51+F60+F64+F69+F73+F77+F86)</f>
        <v>1.1151095465542369</v>
      </c>
      <c r="G90" s="33"/>
      <c r="H90" s="18"/>
      <c r="I90" s="18"/>
    </row>
    <row r="91" spans="1:9" x14ac:dyDescent="0.2">
      <c r="A91" s="26"/>
      <c r="B91" s="26"/>
      <c r="C91" s="26"/>
      <c r="D91" s="32"/>
      <c r="E91" s="33"/>
      <c r="F91" s="34"/>
      <c r="G91" s="33"/>
      <c r="H91" s="18"/>
      <c r="I91" s="18"/>
    </row>
    <row r="92" spans="1:9" x14ac:dyDescent="0.2">
      <c r="A92" s="35" t="s">
        <v>45</v>
      </c>
      <c r="B92" s="35"/>
      <c r="C92" s="35"/>
      <c r="D92" s="36"/>
      <c r="E92" s="37">
        <v>137425.704249</v>
      </c>
      <c r="F92" s="38">
        <v>100</v>
      </c>
      <c r="G92" s="37"/>
      <c r="H92" s="18"/>
      <c r="I92" s="18"/>
    </row>
    <row r="94" spans="1:9" x14ac:dyDescent="0.2">
      <c r="A94" s="18" t="s">
        <v>66</v>
      </c>
    </row>
    <row r="95" spans="1:9" x14ac:dyDescent="0.2">
      <c r="A95" s="18" t="s">
        <v>47</v>
      </c>
    </row>
    <row r="96" spans="1:9" x14ac:dyDescent="0.2">
      <c r="A96" s="18" t="s">
        <v>1483</v>
      </c>
    </row>
    <row r="97" spans="1:5" x14ac:dyDescent="0.2">
      <c r="A97" s="18"/>
    </row>
    <row r="98" spans="1:5" x14ac:dyDescent="0.2">
      <c r="A98" s="18" t="s">
        <v>48</v>
      </c>
    </row>
    <row r="99" spans="1:5" x14ac:dyDescent="0.2">
      <c r="A99" s="18" t="s">
        <v>49</v>
      </c>
    </row>
    <row r="100" spans="1:5" x14ac:dyDescent="0.2">
      <c r="A100" s="18" t="s">
        <v>50</v>
      </c>
      <c r="B100" s="18"/>
      <c r="C100" s="39" t="s">
        <v>52</v>
      </c>
      <c r="D100" s="19" t="s">
        <v>51</v>
      </c>
    </row>
    <row r="101" spans="1:5" x14ac:dyDescent="0.2">
      <c r="A101" s="9" t="s">
        <v>70</v>
      </c>
      <c r="C101" s="40">
        <v>119.9378</v>
      </c>
      <c r="D101" s="40">
        <v>151.85169999999999</v>
      </c>
    </row>
    <row r="102" spans="1:5" x14ac:dyDescent="0.2">
      <c r="A102" s="9" t="s">
        <v>76</v>
      </c>
      <c r="C102" s="40">
        <v>19.098299999999998</v>
      </c>
      <c r="D102" s="40">
        <v>24.18</v>
      </c>
    </row>
    <row r="103" spans="1:5" x14ac:dyDescent="0.2">
      <c r="A103" s="9" t="s">
        <v>73</v>
      </c>
      <c r="C103" s="40">
        <v>130.3057</v>
      </c>
      <c r="D103" s="40">
        <v>165.78829999999999</v>
      </c>
    </row>
    <row r="104" spans="1:5" x14ac:dyDescent="0.2">
      <c r="A104" s="9" t="s">
        <v>77</v>
      </c>
      <c r="C104" s="40">
        <v>21.351600000000001</v>
      </c>
      <c r="D104" s="40">
        <v>27.1647</v>
      </c>
    </row>
    <row r="106" spans="1:5" x14ac:dyDescent="0.2">
      <c r="A106" s="18" t="s">
        <v>53</v>
      </c>
      <c r="D106" s="41" t="s">
        <v>54</v>
      </c>
    </row>
    <row r="108" spans="1:5" x14ac:dyDescent="0.2">
      <c r="A108" s="18" t="s">
        <v>224</v>
      </c>
      <c r="D108" s="46">
        <v>0.44879999999999998</v>
      </c>
    </row>
    <row r="110" spans="1:5" x14ac:dyDescent="0.2">
      <c r="A110" s="18" t="s">
        <v>225</v>
      </c>
      <c r="D110" s="42">
        <v>2.52379055981823</v>
      </c>
      <c r="E110" s="13" t="s">
        <v>55</v>
      </c>
    </row>
    <row r="112" spans="1:5" x14ac:dyDescent="0.2">
      <c r="A112" s="18" t="s">
        <v>226</v>
      </c>
      <c r="D112" s="41" t="s">
        <v>54</v>
      </c>
    </row>
    <row r="113" spans="1:4" x14ac:dyDescent="0.2">
      <c r="A113" s="9" t="s">
        <v>1103</v>
      </c>
      <c r="D113" s="41"/>
    </row>
    <row r="114" spans="1:4" x14ac:dyDescent="0.2">
      <c r="A114" s="50" t="s">
        <v>1104</v>
      </c>
      <c r="D114" s="41"/>
    </row>
    <row r="116" spans="1:4" x14ac:dyDescent="0.2">
      <c r="A116" s="18" t="s">
        <v>728</v>
      </c>
    </row>
    <row r="117" spans="1:4" x14ac:dyDescent="0.2">
      <c r="A117" s="50" t="s">
        <v>56</v>
      </c>
    </row>
  </sheetData>
  <mergeCells count="1">
    <mergeCell ref="A1:G1"/>
  </mergeCells>
  <conditionalFormatting sqref="F2:F3 F5:F49 F52:F65540">
    <cfRule type="cellIs" dxfId="33" priority="2" stopIfTrue="1" operator="between">
      <formula>0.009</formula>
      <formula>-0.009</formula>
    </cfRule>
  </conditionalFormatting>
  <conditionalFormatting sqref="F50">
    <cfRule type="cellIs" dxfId="32" priority="1" stopIfTrue="1" operator="between">
      <formula>0.009</formula>
      <formula>-0.009</formula>
    </cfRule>
  </conditionalFormatting>
  <hyperlinks>
    <hyperlink ref="A117" r:id="rId1" xr:uid="{00000000-0004-0000-2600-000000000000}"/>
    <hyperlink ref="A114" r:id="rId2" xr:uid="{BCE19DB8-5905-46D5-A3BC-0D288EAB5BB8}"/>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7"/>
  <sheetViews>
    <sheetView workbookViewId="0">
      <selection sqref="A1:F1"/>
    </sheetView>
  </sheetViews>
  <sheetFormatPr defaultColWidth="9.21875" defaultRowHeight="10.199999999999999" x14ac:dyDescent="0.2"/>
  <cols>
    <col min="1" max="1" width="38.77734375" style="9" bestFit="1" customWidth="1"/>
    <col min="2" max="2" width="25.77734375" style="9" bestFit="1" customWidth="1"/>
    <col min="3" max="3" width="21.218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10</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101</v>
      </c>
      <c r="D7" s="31">
        <v>750000</v>
      </c>
      <c r="E7" s="29">
        <v>4483.125</v>
      </c>
      <c r="F7" s="30">
        <v>8.6324565476665498</v>
      </c>
    </row>
    <row r="8" spans="1:6" x14ac:dyDescent="0.2">
      <c r="A8" s="27" t="s">
        <v>141</v>
      </c>
      <c r="B8" s="27" t="s">
        <v>140</v>
      </c>
      <c r="C8" s="27" t="s">
        <v>101</v>
      </c>
      <c r="D8" s="31">
        <v>1100000</v>
      </c>
      <c r="E8" s="29">
        <v>4291.6499999999996</v>
      </c>
      <c r="F8" s="30">
        <v>8.2637629204613194</v>
      </c>
    </row>
    <row r="9" spans="1:6" x14ac:dyDescent="0.2">
      <c r="A9" s="27" t="s">
        <v>243</v>
      </c>
      <c r="B9" s="27" t="s">
        <v>242</v>
      </c>
      <c r="C9" s="27" t="s">
        <v>136</v>
      </c>
      <c r="D9" s="31">
        <v>2300000</v>
      </c>
      <c r="E9" s="29">
        <v>2960.1</v>
      </c>
      <c r="F9" s="30">
        <v>5.6998041827403298</v>
      </c>
    </row>
    <row r="10" spans="1:6" x14ac:dyDescent="0.2">
      <c r="A10" s="27" t="s">
        <v>103</v>
      </c>
      <c r="B10" s="27" t="s">
        <v>102</v>
      </c>
      <c r="C10" s="27" t="s">
        <v>101</v>
      </c>
      <c r="D10" s="31">
        <v>385000</v>
      </c>
      <c r="E10" s="29">
        <v>2790.48</v>
      </c>
      <c r="F10" s="30">
        <v>5.3731933299054901</v>
      </c>
    </row>
    <row r="11" spans="1:6" x14ac:dyDescent="0.2">
      <c r="A11" s="27" t="s">
        <v>100</v>
      </c>
      <c r="B11" s="27" t="s">
        <v>99</v>
      </c>
      <c r="C11" s="27" t="s">
        <v>101</v>
      </c>
      <c r="D11" s="31">
        <v>150000</v>
      </c>
      <c r="E11" s="29">
        <v>2301.6</v>
      </c>
      <c r="F11" s="30">
        <v>4.4318331498919497</v>
      </c>
    </row>
    <row r="12" spans="1:6" x14ac:dyDescent="0.2">
      <c r="A12" s="27" t="s">
        <v>181</v>
      </c>
      <c r="B12" s="27" t="s">
        <v>180</v>
      </c>
      <c r="C12" s="27" t="s">
        <v>182</v>
      </c>
      <c r="D12" s="31">
        <v>190000</v>
      </c>
      <c r="E12" s="29">
        <v>2281.52</v>
      </c>
      <c r="F12" s="30">
        <v>4.3931682169540602</v>
      </c>
    </row>
    <row r="13" spans="1:6" x14ac:dyDescent="0.2">
      <c r="A13" s="27" t="s">
        <v>105</v>
      </c>
      <c r="B13" s="27" t="s">
        <v>104</v>
      </c>
      <c r="C13" s="27" t="s">
        <v>106</v>
      </c>
      <c r="D13" s="31">
        <v>180000</v>
      </c>
      <c r="E13" s="29">
        <v>2255.94</v>
      </c>
      <c r="F13" s="30">
        <v>4.3439127894365797</v>
      </c>
    </row>
    <row r="14" spans="1:6" x14ac:dyDescent="0.2">
      <c r="A14" s="27" t="s">
        <v>110</v>
      </c>
      <c r="B14" s="27" t="s">
        <v>109</v>
      </c>
      <c r="C14" s="27" t="s">
        <v>111</v>
      </c>
      <c r="D14" s="31">
        <v>400000</v>
      </c>
      <c r="E14" s="29">
        <v>2225.1999999999998</v>
      </c>
      <c r="F14" s="30">
        <v>4.2847215524589704</v>
      </c>
    </row>
    <row r="15" spans="1:6" x14ac:dyDescent="0.2">
      <c r="A15" s="27" t="s">
        <v>150</v>
      </c>
      <c r="B15" s="27" t="s">
        <v>149</v>
      </c>
      <c r="C15" s="27" t="s">
        <v>147</v>
      </c>
      <c r="D15" s="31">
        <v>1900000</v>
      </c>
      <c r="E15" s="29">
        <v>2038.7</v>
      </c>
      <c r="F15" s="30">
        <v>3.9256075089870999</v>
      </c>
    </row>
    <row r="16" spans="1:6" x14ac:dyDescent="0.2">
      <c r="A16" s="27" t="s">
        <v>135</v>
      </c>
      <c r="B16" s="27" t="s">
        <v>134</v>
      </c>
      <c r="C16" s="27" t="s">
        <v>136</v>
      </c>
      <c r="D16" s="31">
        <v>200000</v>
      </c>
      <c r="E16" s="29">
        <v>1612.8</v>
      </c>
      <c r="F16" s="30">
        <v>3.1055181196323098</v>
      </c>
    </row>
    <row r="17" spans="1:6" x14ac:dyDescent="0.2">
      <c r="A17" s="27" t="s">
        <v>245</v>
      </c>
      <c r="B17" s="27" t="s">
        <v>244</v>
      </c>
      <c r="C17" s="27" t="s">
        <v>246</v>
      </c>
      <c r="D17" s="31">
        <v>1100000</v>
      </c>
      <c r="E17" s="29">
        <v>1508.1</v>
      </c>
      <c r="F17" s="30">
        <v>2.9039136137261199</v>
      </c>
    </row>
    <row r="18" spans="1:6" x14ac:dyDescent="0.2">
      <c r="A18" s="27" t="s">
        <v>248</v>
      </c>
      <c r="B18" s="27" t="s">
        <v>247</v>
      </c>
      <c r="C18" s="27" t="s">
        <v>249</v>
      </c>
      <c r="D18" s="31">
        <v>1300000</v>
      </c>
      <c r="E18" s="29">
        <v>1443</v>
      </c>
      <c r="F18" s="30">
        <v>2.77856066879305</v>
      </c>
    </row>
    <row r="19" spans="1:6" x14ac:dyDescent="0.2">
      <c r="A19" s="27" t="s">
        <v>130</v>
      </c>
      <c r="B19" s="27" t="s">
        <v>129</v>
      </c>
      <c r="C19" s="27" t="s">
        <v>125</v>
      </c>
      <c r="D19" s="31">
        <v>550000</v>
      </c>
      <c r="E19" s="29">
        <v>1373.9</v>
      </c>
      <c r="F19" s="30">
        <v>2.6455055459838999</v>
      </c>
    </row>
    <row r="20" spans="1:6" x14ac:dyDescent="0.2">
      <c r="A20" s="27" t="s">
        <v>220</v>
      </c>
      <c r="B20" s="27" t="s">
        <v>219</v>
      </c>
      <c r="C20" s="27" t="s">
        <v>101</v>
      </c>
      <c r="D20" s="31">
        <v>1500000</v>
      </c>
      <c r="E20" s="29">
        <v>1253.25</v>
      </c>
      <c r="F20" s="30">
        <v>2.4131886057968699</v>
      </c>
    </row>
    <row r="21" spans="1:6" x14ac:dyDescent="0.2">
      <c r="A21" s="27" t="s">
        <v>251</v>
      </c>
      <c r="B21" s="27" t="s">
        <v>250</v>
      </c>
      <c r="C21" s="27" t="s">
        <v>133</v>
      </c>
      <c r="D21" s="31">
        <v>600000</v>
      </c>
      <c r="E21" s="29">
        <v>1223.0999999999999</v>
      </c>
      <c r="F21" s="30">
        <v>2.35513344005598</v>
      </c>
    </row>
    <row r="22" spans="1:6" x14ac:dyDescent="0.2">
      <c r="A22" s="27" t="s">
        <v>174</v>
      </c>
      <c r="B22" s="27" t="s">
        <v>173</v>
      </c>
      <c r="C22" s="27" t="s">
        <v>175</v>
      </c>
      <c r="D22" s="31">
        <v>800000</v>
      </c>
      <c r="E22" s="29">
        <v>1217.5999999999999</v>
      </c>
      <c r="F22" s="30">
        <v>2.34454294547638</v>
      </c>
    </row>
    <row r="23" spans="1:6" x14ac:dyDescent="0.2">
      <c r="A23" s="27" t="s">
        <v>207</v>
      </c>
      <c r="B23" s="27" t="s">
        <v>206</v>
      </c>
      <c r="C23" s="27" t="s">
        <v>139</v>
      </c>
      <c r="D23" s="31">
        <v>1200000</v>
      </c>
      <c r="E23" s="29">
        <v>1176.5999999999999</v>
      </c>
      <c r="F23" s="30">
        <v>2.2655956222466398</v>
      </c>
    </row>
    <row r="24" spans="1:6" x14ac:dyDescent="0.2">
      <c r="A24" s="27" t="s">
        <v>253</v>
      </c>
      <c r="B24" s="27" t="s">
        <v>252</v>
      </c>
      <c r="C24" s="27" t="s">
        <v>148</v>
      </c>
      <c r="D24" s="31">
        <v>300000</v>
      </c>
      <c r="E24" s="29">
        <v>1171.05</v>
      </c>
      <c r="F24" s="30">
        <v>2.2549088504435901</v>
      </c>
    </row>
    <row r="25" spans="1:6" x14ac:dyDescent="0.2">
      <c r="A25" s="27" t="s">
        <v>216</v>
      </c>
      <c r="B25" s="27" t="s">
        <v>215</v>
      </c>
      <c r="C25" s="27" t="s">
        <v>125</v>
      </c>
      <c r="D25" s="31">
        <v>800000</v>
      </c>
      <c r="E25" s="29">
        <v>1134.4000000000001</v>
      </c>
      <c r="F25" s="30">
        <v>2.1843376456540802</v>
      </c>
    </row>
    <row r="26" spans="1:6" x14ac:dyDescent="0.2">
      <c r="A26" s="27" t="s">
        <v>146</v>
      </c>
      <c r="B26" s="27" t="s">
        <v>145</v>
      </c>
      <c r="C26" s="27" t="s">
        <v>147</v>
      </c>
      <c r="D26" s="31">
        <v>500000</v>
      </c>
      <c r="E26" s="29">
        <v>1071.5</v>
      </c>
      <c r="F26" s="30">
        <v>2.06322089855284</v>
      </c>
    </row>
    <row r="27" spans="1:6" x14ac:dyDescent="0.2">
      <c r="A27" s="27" t="s">
        <v>255</v>
      </c>
      <c r="B27" s="27" t="s">
        <v>254</v>
      </c>
      <c r="C27" s="27" t="s">
        <v>114</v>
      </c>
      <c r="D27" s="31">
        <v>7000</v>
      </c>
      <c r="E27" s="29">
        <v>1039.8430000000001</v>
      </c>
      <c r="F27" s="30">
        <v>2.00226393729714</v>
      </c>
    </row>
    <row r="28" spans="1:6" x14ac:dyDescent="0.2">
      <c r="A28" s="27" t="s">
        <v>200</v>
      </c>
      <c r="B28" s="27" t="s">
        <v>199</v>
      </c>
      <c r="C28" s="27" t="s">
        <v>106</v>
      </c>
      <c r="D28" s="31">
        <v>100000</v>
      </c>
      <c r="E28" s="29">
        <v>918.85</v>
      </c>
      <c r="F28" s="30">
        <v>1.76928653535724</v>
      </c>
    </row>
    <row r="29" spans="1:6" x14ac:dyDescent="0.2">
      <c r="A29" s="27" t="s">
        <v>152</v>
      </c>
      <c r="B29" s="27" t="s">
        <v>151</v>
      </c>
      <c r="C29" s="27" t="s">
        <v>139</v>
      </c>
      <c r="D29" s="31">
        <v>200000</v>
      </c>
      <c r="E29" s="29">
        <v>899.7</v>
      </c>
      <c r="F29" s="30">
        <v>1.73241235877554</v>
      </c>
    </row>
    <row r="30" spans="1:6" x14ac:dyDescent="0.2">
      <c r="A30" s="27" t="s">
        <v>214</v>
      </c>
      <c r="B30" s="27" t="s">
        <v>213</v>
      </c>
      <c r="C30" s="27" t="s">
        <v>187</v>
      </c>
      <c r="D30" s="31">
        <v>200000</v>
      </c>
      <c r="E30" s="29">
        <v>880.5</v>
      </c>
      <c r="F30" s="30">
        <v>1.6954419049703899</v>
      </c>
    </row>
    <row r="31" spans="1:6" x14ac:dyDescent="0.2">
      <c r="A31" s="27" t="s">
        <v>257</v>
      </c>
      <c r="B31" s="27" t="s">
        <v>256</v>
      </c>
      <c r="C31" s="27" t="s">
        <v>114</v>
      </c>
      <c r="D31" s="31">
        <v>22219</v>
      </c>
      <c r="E31" s="29">
        <v>786.45261449999998</v>
      </c>
      <c r="F31" s="30">
        <v>1.5143494819952601</v>
      </c>
    </row>
    <row r="32" spans="1:6" x14ac:dyDescent="0.2">
      <c r="A32" s="27" t="s">
        <v>259</v>
      </c>
      <c r="B32" s="27" t="s">
        <v>258</v>
      </c>
      <c r="C32" s="27" t="s">
        <v>260</v>
      </c>
      <c r="D32" s="31">
        <v>100000</v>
      </c>
      <c r="E32" s="29">
        <v>739.5</v>
      </c>
      <c r="F32" s="30">
        <v>1.4239401348388501</v>
      </c>
    </row>
    <row r="33" spans="1:9" x14ac:dyDescent="0.2">
      <c r="A33" s="27" t="s">
        <v>262</v>
      </c>
      <c r="B33" s="27" t="s">
        <v>261</v>
      </c>
      <c r="C33" s="27" t="s">
        <v>187</v>
      </c>
      <c r="D33" s="31">
        <v>800000</v>
      </c>
      <c r="E33" s="29">
        <v>684.8</v>
      </c>
      <c r="F33" s="30">
        <v>1.3186128523835601</v>
      </c>
    </row>
    <row r="34" spans="1:9" x14ac:dyDescent="0.2">
      <c r="A34" s="27" t="s">
        <v>264</v>
      </c>
      <c r="B34" s="27" t="s">
        <v>263</v>
      </c>
      <c r="C34" s="27" t="s">
        <v>265</v>
      </c>
      <c r="D34" s="31">
        <v>130000</v>
      </c>
      <c r="E34" s="29">
        <v>625.82000000000005</v>
      </c>
      <c r="F34" s="30">
        <v>1.20504423960088</v>
      </c>
    </row>
    <row r="35" spans="1:9" x14ac:dyDescent="0.2">
      <c r="A35" s="27" t="s">
        <v>267</v>
      </c>
      <c r="B35" s="27" t="s">
        <v>266</v>
      </c>
      <c r="C35" s="27" t="s">
        <v>182</v>
      </c>
      <c r="D35" s="31">
        <v>30000</v>
      </c>
      <c r="E35" s="29">
        <v>519.96</v>
      </c>
      <c r="F35" s="30">
        <v>1.00120610211063</v>
      </c>
    </row>
    <row r="36" spans="1:9" x14ac:dyDescent="0.2">
      <c r="A36" s="27" t="s">
        <v>209</v>
      </c>
      <c r="B36" s="27" t="s">
        <v>208</v>
      </c>
      <c r="C36" s="27" t="s">
        <v>210</v>
      </c>
      <c r="D36" s="31">
        <v>300000</v>
      </c>
      <c r="E36" s="29">
        <v>466.5</v>
      </c>
      <c r="F36" s="30">
        <v>0.898266494796921</v>
      </c>
    </row>
    <row r="37" spans="1:9" x14ac:dyDescent="0.2">
      <c r="A37" s="27" t="s">
        <v>269</v>
      </c>
      <c r="B37" s="27" t="s">
        <v>268</v>
      </c>
      <c r="C37" s="27" t="s">
        <v>106</v>
      </c>
      <c r="D37" s="31">
        <v>50000</v>
      </c>
      <c r="E37" s="29">
        <v>454.72500000000002</v>
      </c>
      <c r="F37" s="30">
        <v>0.87559320867423296</v>
      </c>
    </row>
    <row r="38" spans="1:9" x14ac:dyDescent="0.2">
      <c r="A38" s="27" t="s">
        <v>271</v>
      </c>
      <c r="B38" s="27" t="s">
        <v>270</v>
      </c>
      <c r="C38" s="27" t="s">
        <v>139</v>
      </c>
      <c r="D38" s="31">
        <v>56246</v>
      </c>
      <c r="E38" s="29">
        <v>410.62392299999999</v>
      </c>
      <c r="F38" s="30">
        <v>0.79067462377914399</v>
      </c>
    </row>
    <row r="39" spans="1:9" x14ac:dyDescent="0.2">
      <c r="A39" s="26" t="s">
        <v>40</v>
      </c>
      <c r="B39" s="26"/>
      <c r="C39" s="26"/>
      <c r="D39" s="32"/>
      <c r="E39" s="33">
        <f>SUM(E7:E38)</f>
        <v>48240.889537499992</v>
      </c>
      <c r="F39" s="34">
        <f>SUM(F7:F38)</f>
        <v>92.889978029443867</v>
      </c>
      <c r="G39" s="18"/>
      <c r="H39" s="18"/>
      <c r="I39" s="18"/>
    </row>
    <row r="40" spans="1:9" x14ac:dyDescent="0.2">
      <c r="A40" s="27"/>
      <c r="B40" s="27"/>
      <c r="C40" s="27"/>
      <c r="D40" s="28"/>
      <c r="E40" s="29"/>
      <c r="F40" s="30"/>
    </row>
    <row r="41" spans="1:9" x14ac:dyDescent="0.2">
      <c r="A41" s="26" t="s">
        <v>44</v>
      </c>
      <c r="B41" s="26"/>
      <c r="C41" s="26"/>
      <c r="D41" s="32"/>
      <c r="E41" s="33">
        <f>E39</f>
        <v>48240.889537499992</v>
      </c>
      <c r="F41" s="34">
        <f>F39</f>
        <v>92.889978029443867</v>
      </c>
      <c r="G41" s="18"/>
      <c r="H41" s="18"/>
      <c r="I41" s="18"/>
    </row>
    <row r="42" spans="1:9" x14ac:dyDescent="0.2">
      <c r="A42" s="26"/>
      <c r="B42" s="26"/>
      <c r="C42" s="26"/>
      <c r="D42" s="32"/>
      <c r="E42" s="33"/>
      <c r="F42" s="34"/>
      <c r="G42" s="18"/>
      <c r="H42" s="18"/>
      <c r="I42" s="18"/>
    </row>
    <row r="43" spans="1:9" x14ac:dyDescent="0.2">
      <c r="A43" s="26" t="s">
        <v>46</v>
      </c>
      <c r="B43" s="26"/>
      <c r="C43" s="26"/>
      <c r="D43" s="32"/>
      <c r="E43" s="33">
        <f>E45-(E39)</f>
        <v>3692.4735237000059</v>
      </c>
      <c r="F43" s="34">
        <f>F45-(F39)</f>
        <v>7.1100219705561329</v>
      </c>
      <c r="G43" s="18"/>
      <c r="H43" s="18"/>
      <c r="I43" s="18"/>
    </row>
    <row r="44" spans="1:9" x14ac:dyDescent="0.2">
      <c r="A44" s="26"/>
      <c r="B44" s="26"/>
      <c r="C44" s="26"/>
      <c r="D44" s="32"/>
      <c r="E44" s="33"/>
      <c r="F44" s="34"/>
      <c r="G44" s="18"/>
      <c r="H44" s="18"/>
      <c r="I44" s="18"/>
    </row>
    <row r="45" spans="1:9" x14ac:dyDescent="0.2">
      <c r="A45" s="35" t="s">
        <v>45</v>
      </c>
      <c r="B45" s="35"/>
      <c r="C45" s="35"/>
      <c r="D45" s="36"/>
      <c r="E45" s="37">
        <v>51933.363061199998</v>
      </c>
      <c r="F45" s="38">
        <v>100</v>
      </c>
      <c r="G45" s="18"/>
      <c r="H45" s="18"/>
      <c r="I45" s="18"/>
    </row>
    <row r="48" spans="1:9" x14ac:dyDescent="0.2">
      <c r="A48" s="18" t="s">
        <v>48</v>
      </c>
    </row>
    <row r="49" spans="1:4" x14ac:dyDescent="0.2">
      <c r="A49" s="18" t="s">
        <v>49</v>
      </c>
    </row>
    <row r="50" spans="1:4" x14ac:dyDescent="0.2">
      <c r="A50" s="18" t="s">
        <v>50</v>
      </c>
      <c r="B50" s="18"/>
      <c r="C50" s="39" t="s">
        <v>52</v>
      </c>
      <c r="D50" s="19" t="s">
        <v>51</v>
      </c>
    </row>
    <row r="51" spans="1:4" x14ac:dyDescent="0.2">
      <c r="A51" s="9" t="s">
        <v>70</v>
      </c>
      <c r="C51" s="40">
        <v>219.46369999999999</v>
      </c>
      <c r="D51" s="40">
        <v>319.4631</v>
      </c>
    </row>
    <row r="52" spans="1:4" x14ac:dyDescent="0.2">
      <c r="A52" s="9" t="s">
        <v>76</v>
      </c>
      <c r="C52" s="40">
        <v>47.997</v>
      </c>
      <c r="D52" s="40">
        <v>64.079899999999995</v>
      </c>
    </row>
    <row r="53" spans="1:4" x14ac:dyDescent="0.2">
      <c r="A53" s="9" t="s">
        <v>73</v>
      </c>
      <c r="C53" s="40">
        <v>232.21</v>
      </c>
      <c r="D53" s="40">
        <v>339.56540000000001</v>
      </c>
    </row>
    <row r="54" spans="1:4" x14ac:dyDescent="0.2">
      <c r="A54" s="9" t="s">
        <v>77</v>
      </c>
      <c r="C54" s="40">
        <v>51.719799999999999</v>
      </c>
      <c r="D54" s="40">
        <v>69.826800000000006</v>
      </c>
    </row>
    <row r="56" spans="1:4" x14ac:dyDescent="0.2">
      <c r="A56" s="18" t="s">
        <v>53</v>
      </c>
    </row>
    <row r="57" spans="1:4" x14ac:dyDescent="0.2">
      <c r="A57" s="74" t="s">
        <v>67</v>
      </c>
      <c r="B57" s="75"/>
      <c r="C57" s="44" t="s">
        <v>68</v>
      </c>
    </row>
    <row r="58" spans="1:4" x14ac:dyDescent="0.2">
      <c r="A58" s="68" t="s">
        <v>76</v>
      </c>
      <c r="B58" s="69"/>
      <c r="C58" s="45">
        <v>5</v>
      </c>
    </row>
    <row r="59" spans="1:4" x14ac:dyDescent="0.2">
      <c r="A59" s="68" t="s">
        <v>77</v>
      </c>
      <c r="B59" s="69"/>
      <c r="C59" s="45">
        <v>5</v>
      </c>
    </row>
    <row r="60" spans="1:4" x14ac:dyDescent="0.2">
      <c r="A60" s="9" t="s">
        <v>69</v>
      </c>
    </row>
    <row r="62" spans="1:4" x14ac:dyDescent="0.2">
      <c r="A62" s="18" t="s">
        <v>224</v>
      </c>
      <c r="D62" s="46">
        <v>0.1246</v>
      </c>
    </row>
    <row r="64" spans="1:4" x14ac:dyDescent="0.2">
      <c r="A64" s="18" t="s">
        <v>729</v>
      </c>
    </row>
    <row r="65" spans="1:1" x14ac:dyDescent="0.2">
      <c r="A65" s="50" t="s">
        <v>56</v>
      </c>
    </row>
    <row r="66" spans="1:1" x14ac:dyDescent="0.2">
      <c r="A66" s="18"/>
    </row>
    <row r="67" spans="1:1" ht="14.4" x14ac:dyDescent="0.3">
      <c r="A67" s="43"/>
    </row>
  </sheetData>
  <mergeCells count="4">
    <mergeCell ref="A1:F1"/>
    <mergeCell ref="A57:B57"/>
    <mergeCell ref="A58:B58"/>
    <mergeCell ref="A59:B59"/>
  </mergeCells>
  <conditionalFormatting sqref="F2:F3 F5:F65536">
    <cfRule type="cellIs" dxfId="31" priority="1" stopIfTrue="1" operator="between">
      <formula>0.009</formula>
      <formula>-0.009</formula>
    </cfRule>
  </conditionalFormatting>
  <hyperlinks>
    <hyperlink ref="A65" r:id="rId1" xr:uid="{00000000-0004-0000-27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9"/>
  <sheetViews>
    <sheetView workbookViewId="0">
      <selection sqref="A1:F1"/>
    </sheetView>
  </sheetViews>
  <sheetFormatPr defaultColWidth="9.21875" defaultRowHeight="10.199999999999999" x14ac:dyDescent="0.2"/>
  <cols>
    <col min="1" max="1" width="40.5546875" style="9" bestFit="1" customWidth="1"/>
    <col min="2" max="2" width="26.5546875" style="9" bestFit="1" customWidth="1"/>
    <col min="3" max="3" width="21.218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11</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105</v>
      </c>
      <c r="B7" s="27" t="s">
        <v>104</v>
      </c>
      <c r="C7" s="27" t="s">
        <v>106</v>
      </c>
      <c r="D7" s="31">
        <v>775444</v>
      </c>
      <c r="E7" s="29">
        <v>9718.6396519999998</v>
      </c>
      <c r="F7" s="30">
        <v>9.7896100954835301</v>
      </c>
    </row>
    <row r="8" spans="1:6" x14ac:dyDescent="0.2">
      <c r="A8" s="27" t="s">
        <v>146</v>
      </c>
      <c r="B8" s="27" t="s">
        <v>145</v>
      </c>
      <c r="C8" s="27" t="s">
        <v>147</v>
      </c>
      <c r="D8" s="31">
        <v>3009054</v>
      </c>
      <c r="E8" s="29">
        <v>6448.4027219999998</v>
      </c>
      <c r="F8" s="30">
        <v>6.4954922342494399</v>
      </c>
    </row>
    <row r="9" spans="1:6" x14ac:dyDescent="0.2">
      <c r="A9" s="27" t="s">
        <v>198</v>
      </c>
      <c r="B9" s="27" t="s">
        <v>197</v>
      </c>
      <c r="C9" s="27" t="s">
        <v>147</v>
      </c>
      <c r="D9" s="31">
        <v>6297866</v>
      </c>
      <c r="E9" s="29">
        <v>5992.4194989999996</v>
      </c>
      <c r="F9" s="30">
        <v>6.0361791901308299</v>
      </c>
    </row>
    <row r="10" spans="1:6" x14ac:dyDescent="0.2">
      <c r="A10" s="27" t="s">
        <v>150</v>
      </c>
      <c r="B10" s="27" t="s">
        <v>149</v>
      </c>
      <c r="C10" s="27" t="s">
        <v>147</v>
      </c>
      <c r="D10" s="31">
        <v>3291938</v>
      </c>
      <c r="E10" s="29">
        <v>3532.2494740000002</v>
      </c>
      <c r="F10" s="30">
        <v>3.55804375392401</v>
      </c>
    </row>
    <row r="11" spans="1:6" x14ac:dyDescent="0.2">
      <c r="A11" s="27" t="s">
        <v>230</v>
      </c>
      <c r="B11" s="27" t="s">
        <v>229</v>
      </c>
      <c r="C11" s="27" t="s">
        <v>147</v>
      </c>
      <c r="D11" s="31">
        <v>14497327</v>
      </c>
      <c r="E11" s="29">
        <v>3501.1044710000001</v>
      </c>
      <c r="F11" s="30">
        <v>3.5266713142914798</v>
      </c>
    </row>
    <row r="12" spans="1:6" x14ac:dyDescent="0.2">
      <c r="A12" s="27" t="s">
        <v>274</v>
      </c>
      <c r="B12" s="27" t="s">
        <v>273</v>
      </c>
      <c r="C12" s="27" t="s">
        <v>275</v>
      </c>
      <c r="D12" s="31">
        <v>1436293</v>
      </c>
      <c r="E12" s="29">
        <v>2628.4161899999999</v>
      </c>
      <c r="F12" s="30">
        <v>2.6476102201670901</v>
      </c>
    </row>
    <row r="13" spans="1:6" x14ac:dyDescent="0.2">
      <c r="A13" s="27" t="s">
        <v>277</v>
      </c>
      <c r="B13" s="27" t="s">
        <v>276</v>
      </c>
      <c r="C13" s="27" t="s">
        <v>187</v>
      </c>
      <c r="D13" s="31">
        <v>234585</v>
      </c>
      <c r="E13" s="29">
        <v>2603.3070379999999</v>
      </c>
      <c r="F13" s="30">
        <v>2.6223177083845801</v>
      </c>
    </row>
    <row r="14" spans="1:6" x14ac:dyDescent="0.2">
      <c r="A14" s="27" t="s">
        <v>279</v>
      </c>
      <c r="B14" s="27" t="s">
        <v>278</v>
      </c>
      <c r="C14" s="27" t="s">
        <v>148</v>
      </c>
      <c r="D14" s="31">
        <v>419757</v>
      </c>
      <c r="E14" s="29">
        <v>2573.5301669999999</v>
      </c>
      <c r="F14" s="30">
        <v>2.5923233915468802</v>
      </c>
    </row>
    <row r="15" spans="1:6" x14ac:dyDescent="0.2">
      <c r="A15" s="27" t="s">
        <v>281</v>
      </c>
      <c r="B15" s="27" t="s">
        <v>280</v>
      </c>
      <c r="C15" s="27" t="s">
        <v>133</v>
      </c>
      <c r="D15" s="31">
        <v>401912</v>
      </c>
      <c r="E15" s="29">
        <v>2448.246948</v>
      </c>
      <c r="F15" s="30">
        <v>2.4661252908420499</v>
      </c>
    </row>
    <row r="16" spans="1:6" x14ac:dyDescent="0.2">
      <c r="A16" s="27" t="s">
        <v>228</v>
      </c>
      <c r="B16" s="27" t="s">
        <v>227</v>
      </c>
      <c r="C16" s="27" t="s">
        <v>106</v>
      </c>
      <c r="D16" s="31">
        <v>81194</v>
      </c>
      <c r="E16" s="29">
        <v>2349.997942</v>
      </c>
      <c r="F16" s="30">
        <v>2.3671588206930201</v>
      </c>
    </row>
    <row r="17" spans="1:6" x14ac:dyDescent="0.2">
      <c r="A17" s="27" t="s">
        <v>124</v>
      </c>
      <c r="B17" s="27" t="s">
        <v>123</v>
      </c>
      <c r="C17" s="27" t="s">
        <v>125</v>
      </c>
      <c r="D17" s="31">
        <v>803388</v>
      </c>
      <c r="E17" s="29">
        <v>2049.844482</v>
      </c>
      <c r="F17" s="30">
        <v>2.0648134876601598</v>
      </c>
    </row>
    <row r="18" spans="1:6" x14ac:dyDescent="0.2">
      <c r="A18" s="27" t="s">
        <v>283</v>
      </c>
      <c r="B18" s="27" t="s">
        <v>282</v>
      </c>
      <c r="C18" s="27" t="s">
        <v>128</v>
      </c>
      <c r="D18" s="31">
        <v>3209748</v>
      </c>
      <c r="E18" s="29">
        <v>1925.8488</v>
      </c>
      <c r="F18" s="30">
        <v>1.9399123262045199</v>
      </c>
    </row>
    <row r="19" spans="1:6" x14ac:dyDescent="0.2">
      <c r="A19" s="27" t="s">
        <v>174</v>
      </c>
      <c r="B19" s="27" t="s">
        <v>173</v>
      </c>
      <c r="C19" s="27" t="s">
        <v>175</v>
      </c>
      <c r="D19" s="31">
        <v>1247000</v>
      </c>
      <c r="E19" s="29">
        <v>1897.934</v>
      </c>
      <c r="F19" s="30">
        <v>1.9117936781551399</v>
      </c>
    </row>
    <row r="20" spans="1:6" x14ac:dyDescent="0.2">
      <c r="A20" s="27" t="s">
        <v>285</v>
      </c>
      <c r="B20" s="27" t="s">
        <v>284</v>
      </c>
      <c r="C20" s="27" t="s">
        <v>133</v>
      </c>
      <c r="D20" s="31">
        <v>88206</v>
      </c>
      <c r="E20" s="29">
        <v>1880.5960230000001</v>
      </c>
      <c r="F20" s="30">
        <v>1.8943290904399701</v>
      </c>
    </row>
    <row r="21" spans="1:6" x14ac:dyDescent="0.2">
      <c r="A21" s="27" t="s">
        <v>259</v>
      </c>
      <c r="B21" s="27" t="s">
        <v>258</v>
      </c>
      <c r="C21" s="27" t="s">
        <v>260</v>
      </c>
      <c r="D21" s="31">
        <v>254134</v>
      </c>
      <c r="E21" s="29">
        <v>1879.3209300000001</v>
      </c>
      <c r="F21" s="30">
        <v>1.89304468606318</v>
      </c>
    </row>
    <row r="22" spans="1:6" x14ac:dyDescent="0.2">
      <c r="A22" s="27" t="s">
        <v>287</v>
      </c>
      <c r="B22" s="27" t="s">
        <v>286</v>
      </c>
      <c r="C22" s="27" t="s">
        <v>210</v>
      </c>
      <c r="D22" s="31">
        <v>178656</v>
      </c>
      <c r="E22" s="29">
        <v>1654.9798559999999</v>
      </c>
      <c r="F22" s="30">
        <v>1.66706535958305</v>
      </c>
    </row>
    <row r="23" spans="1:6" x14ac:dyDescent="0.2">
      <c r="A23" s="27" t="s">
        <v>257</v>
      </c>
      <c r="B23" s="27" t="s">
        <v>256</v>
      </c>
      <c r="C23" s="27" t="s">
        <v>114</v>
      </c>
      <c r="D23" s="31">
        <v>46395</v>
      </c>
      <c r="E23" s="29">
        <v>1642.174223</v>
      </c>
      <c r="F23" s="30">
        <v>1.65416621334605</v>
      </c>
    </row>
    <row r="24" spans="1:6" x14ac:dyDescent="0.2">
      <c r="A24" s="27" t="s">
        <v>289</v>
      </c>
      <c r="B24" s="27" t="s">
        <v>288</v>
      </c>
      <c r="C24" s="27" t="s">
        <v>290</v>
      </c>
      <c r="D24" s="31">
        <v>136944</v>
      </c>
      <c r="E24" s="29">
        <v>1621.3484880000001</v>
      </c>
      <c r="F24" s="30">
        <v>1.6331883982502999</v>
      </c>
    </row>
    <row r="25" spans="1:6" x14ac:dyDescent="0.2">
      <c r="A25" s="27" t="s">
        <v>292</v>
      </c>
      <c r="B25" s="27" t="s">
        <v>291</v>
      </c>
      <c r="C25" s="27" t="s">
        <v>136</v>
      </c>
      <c r="D25" s="31">
        <v>1239545</v>
      </c>
      <c r="E25" s="29">
        <v>1597.1537330000001</v>
      </c>
      <c r="F25" s="30">
        <v>1.60881696085916</v>
      </c>
    </row>
    <row r="26" spans="1:6" x14ac:dyDescent="0.2">
      <c r="A26" s="27" t="s">
        <v>130</v>
      </c>
      <c r="B26" s="27" t="s">
        <v>129</v>
      </c>
      <c r="C26" s="27" t="s">
        <v>125</v>
      </c>
      <c r="D26" s="31">
        <v>624255</v>
      </c>
      <c r="E26" s="29">
        <v>1559.3889899999999</v>
      </c>
      <c r="F26" s="30">
        <v>1.5707764405225499</v>
      </c>
    </row>
    <row r="27" spans="1:6" x14ac:dyDescent="0.2">
      <c r="A27" s="27" t="s">
        <v>294</v>
      </c>
      <c r="B27" s="27" t="s">
        <v>293</v>
      </c>
      <c r="C27" s="27" t="s">
        <v>182</v>
      </c>
      <c r="D27" s="31">
        <v>51875</v>
      </c>
      <c r="E27" s="29">
        <v>1394.451875</v>
      </c>
      <c r="F27" s="30">
        <v>1.4046348709262699</v>
      </c>
    </row>
    <row r="28" spans="1:6" x14ac:dyDescent="0.2">
      <c r="A28" s="27" t="s">
        <v>181</v>
      </c>
      <c r="B28" s="27" t="s">
        <v>180</v>
      </c>
      <c r="C28" s="27" t="s">
        <v>182</v>
      </c>
      <c r="D28" s="31">
        <v>114691</v>
      </c>
      <c r="E28" s="29">
        <v>1377.2095280000001</v>
      </c>
      <c r="F28" s="30">
        <v>1.3872666115499399</v>
      </c>
    </row>
    <row r="29" spans="1:6" x14ac:dyDescent="0.2">
      <c r="A29" s="27" t="s">
        <v>262</v>
      </c>
      <c r="B29" s="27" t="s">
        <v>261</v>
      </c>
      <c r="C29" s="27" t="s">
        <v>187</v>
      </c>
      <c r="D29" s="31">
        <v>1505501</v>
      </c>
      <c r="E29" s="29">
        <v>1288.708856</v>
      </c>
      <c r="F29" s="30">
        <v>1.2981196626876099</v>
      </c>
    </row>
    <row r="30" spans="1:6" x14ac:dyDescent="0.2">
      <c r="A30" s="27" t="s">
        <v>220</v>
      </c>
      <c r="B30" s="27" t="s">
        <v>219</v>
      </c>
      <c r="C30" s="27" t="s">
        <v>101</v>
      </c>
      <c r="D30" s="31">
        <v>1505600</v>
      </c>
      <c r="E30" s="29">
        <v>1257.9287999999999</v>
      </c>
      <c r="F30" s="30">
        <v>1.26711483508345</v>
      </c>
    </row>
    <row r="31" spans="1:6" x14ac:dyDescent="0.2">
      <c r="A31" s="27" t="s">
        <v>135</v>
      </c>
      <c r="B31" s="27" t="s">
        <v>134</v>
      </c>
      <c r="C31" s="27" t="s">
        <v>136</v>
      </c>
      <c r="D31" s="31">
        <v>155566</v>
      </c>
      <c r="E31" s="29">
        <v>1254.484224</v>
      </c>
      <c r="F31" s="30">
        <v>1.2636451050397699</v>
      </c>
    </row>
    <row r="32" spans="1:6" x14ac:dyDescent="0.2">
      <c r="A32" s="27" t="s">
        <v>245</v>
      </c>
      <c r="B32" s="27" t="s">
        <v>244</v>
      </c>
      <c r="C32" s="27" t="s">
        <v>246</v>
      </c>
      <c r="D32" s="31">
        <v>821499</v>
      </c>
      <c r="E32" s="29">
        <v>1126.2751290000001</v>
      </c>
      <c r="F32" s="30">
        <v>1.13449976210214</v>
      </c>
    </row>
    <row r="33" spans="1:9" x14ac:dyDescent="0.2">
      <c r="A33" s="27" t="s">
        <v>200</v>
      </c>
      <c r="B33" s="27" t="s">
        <v>199</v>
      </c>
      <c r="C33" s="27" t="s">
        <v>106</v>
      </c>
      <c r="D33" s="31">
        <v>121952</v>
      </c>
      <c r="E33" s="29">
        <v>1120.5559519999999</v>
      </c>
      <c r="F33" s="30">
        <v>1.1287388207665301</v>
      </c>
    </row>
    <row r="34" spans="1:9" x14ac:dyDescent="0.2">
      <c r="A34" s="27" t="s">
        <v>132</v>
      </c>
      <c r="B34" s="27" t="s">
        <v>131</v>
      </c>
      <c r="C34" s="27" t="s">
        <v>133</v>
      </c>
      <c r="D34" s="31">
        <v>64045</v>
      </c>
      <c r="E34" s="29">
        <v>1012.67954</v>
      </c>
      <c r="F34" s="30">
        <v>1.0200746404084899</v>
      </c>
    </row>
    <row r="35" spans="1:9" x14ac:dyDescent="0.2">
      <c r="A35" s="27" t="s">
        <v>207</v>
      </c>
      <c r="B35" s="27" t="s">
        <v>206</v>
      </c>
      <c r="C35" s="27" t="s">
        <v>139</v>
      </c>
      <c r="D35" s="31">
        <v>972460</v>
      </c>
      <c r="E35" s="29">
        <v>953.49703</v>
      </c>
      <c r="F35" s="30">
        <v>0.96045994965773196</v>
      </c>
    </row>
    <row r="36" spans="1:9" x14ac:dyDescent="0.2">
      <c r="A36" s="27" t="s">
        <v>296</v>
      </c>
      <c r="B36" s="27" t="s">
        <v>295</v>
      </c>
      <c r="C36" s="27" t="s">
        <v>175</v>
      </c>
      <c r="D36" s="31">
        <v>709254</v>
      </c>
      <c r="E36" s="29">
        <v>900.75257999999997</v>
      </c>
      <c r="F36" s="30">
        <v>0.90733033289141196</v>
      </c>
    </row>
    <row r="37" spans="1:9" x14ac:dyDescent="0.2">
      <c r="A37" s="27" t="s">
        <v>179</v>
      </c>
      <c r="B37" s="27" t="s">
        <v>178</v>
      </c>
      <c r="C37" s="27" t="s">
        <v>144</v>
      </c>
      <c r="D37" s="31">
        <v>20000</v>
      </c>
      <c r="E37" s="29">
        <v>885.31</v>
      </c>
      <c r="F37" s="30">
        <v>0.89177498332793703</v>
      </c>
    </row>
    <row r="38" spans="1:9" x14ac:dyDescent="0.2">
      <c r="A38" s="27" t="s">
        <v>216</v>
      </c>
      <c r="B38" s="27" t="s">
        <v>215</v>
      </c>
      <c r="C38" s="27" t="s">
        <v>125</v>
      </c>
      <c r="D38" s="31">
        <v>621258</v>
      </c>
      <c r="E38" s="29">
        <v>880.94384400000001</v>
      </c>
      <c r="F38" s="30">
        <v>0.88737694343896301</v>
      </c>
    </row>
    <row r="39" spans="1:9" x14ac:dyDescent="0.2">
      <c r="A39" s="27" t="s">
        <v>243</v>
      </c>
      <c r="B39" s="27" t="s">
        <v>242</v>
      </c>
      <c r="C39" s="27" t="s">
        <v>136</v>
      </c>
      <c r="D39" s="31">
        <v>658906</v>
      </c>
      <c r="E39" s="29">
        <v>848.012022</v>
      </c>
      <c r="F39" s="30">
        <v>0.85420463654645196</v>
      </c>
    </row>
    <row r="40" spans="1:9" x14ac:dyDescent="0.2">
      <c r="A40" s="27" t="s">
        <v>248</v>
      </c>
      <c r="B40" s="27" t="s">
        <v>247</v>
      </c>
      <c r="C40" s="27" t="s">
        <v>249</v>
      </c>
      <c r="D40" s="31">
        <v>753071</v>
      </c>
      <c r="E40" s="29">
        <v>835.90881000000002</v>
      </c>
      <c r="F40" s="30">
        <v>0.84201304074440098</v>
      </c>
    </row>
    <row r="41" spans="1:9" x14ac:dyDescent="0.2">
      <c r="A41" s="27" t="s">
        <v>138</v>
      </c>
      <c r="B41" s="27" t="s">
        <v>137</v>
      </c>
      <c r="C41" s="27" t="s">
        <v>139</v>
      </c>
      <c r="D41" s="31">
        <v>339633</v>
      </c>
      <c r="E41" s="29">
        <v>823.44020850000004</v>
      </c>
      <c r="F41" s="30">
        <v>0.82945338718261397</v>
      </c>
    </row>
    <row r="42" spans="1:9" x14ac:dyDescent="0.2">
      <c r="A42" s="27" t="s">
        <v>298</v>
      </c>
      <c r="B42" s="27" t="s">
        <v>297</v>
      </c>
      <c r="C42" s="27" t="s">
        <v>106</v>
      </c>
      <c r="D42" s="31">
        <v>119545</v>
      </c>
      <c r="E42" s="29">
        <v>779.97135249999997</v>
      </c>
      <c r="F42" s="30">
        <v>0.78566709951537395</v>
      </c>
    </row>
    <row r="43" spans="1:9" x14ac:dyDescent="0.2">
      <c r="A43" s="27" t="s">
        <v>209</v>
      </c>
      <c r="B43" s="27" t="s">
        <v>208</v>
      </c>
      <c r="C43" s="27" t="s">
        <v>210</v>
      </c>
      <c r="D43" s="31">
        <v>439349</v>
      </c>
      <c r="E43" s="29">
        <v>683.18769499999996</v>
      </c>
      <c r="F43" s="30">
        <v>0.68817667858544096</v>
      </c>
    </row>
    <row r="44" spans="1:9" x14ac:dyDescent="0.2">
      <c r="A44" s="27" t="s">
        <v>300</v>
      </c>
      <c r="B44" s="27" t="s">
        <v>299</v>
      </c>
      <c r="C44" s="27" t="s">
        <v>147</v>
      </c>
      <c r="D44" s="31">
        <v>100000</v>
      </c>
      <c r="E44" s="29">
        <v>605.70000000000005</v>
      </c>
      <c r="F44" s="30">
        <v>0.61012312907538702</v>
      </c>
    </row>
    <row r="45" spans="1:9" x14ac:dyDescent="0.2">
      <c r="A45" s="27" t="s">
        <v>302</v>
      </c>
      <c r="B45" s="27" t="s">
        <v>301</v>
      </c>
      <c r="C45" s="27" t="s">
        <v>182</v>
      </c>
      <c r="D45" s="31">
        <v>40800</v>
      </c>
      <c r="E45" s="29">
        <v>585.94920000000002</v>
      </c>
      <c r="F45" s="30">
        <v>0.59022809870103998</v>
      </c>
    </row>
    <row r="46" spans="1:9" x14ac:dyDescent="0.2">
      <c r="A46" s="26" t="s">
        <v>40</v>
      </c>
      <c r="B46" s="26"/>
      <c r="C46" s="26"/>
      <c r="D46" s="32"/>
      <c r="E46" s="33">
        <f>SUM(E7:E45)</f>
        <v>78119.870273999972</v>
      </c>
      <c r="F46" s="34">
        <f>SUM(F7:F45)</f>
        <v>78.690341249027938</v>
      </c>
      <c r="G46" s="18"/>
      <c r="H46" s="18"/>
      <c r="I46" s="18"/>
    </row>
    <row r="47" spans="1:9" x14ac:dyDescent="0.2">
      <c r="A47" s="27"/>
      <c r="B47" s="27"/>
      <c r="C47" s="27"/>
      <c r="D47" s="28"/>
      <c r="E47" s="29"/>
      <c r="F47" s="30"/>
    </row>
    <row r="48" spans="1:9" x14ac:dyDescent="0.2">
      <c r="A48" s="26" t="s">
        <v>221</v>
      </c>
      <c r="B48" s="27"/>
      <c r="C48" s="27"/>
      <c r="D48" s="28"/>
      <c r="E48" s="29"/>
      <c r="F48" s="30"/>
    </row>
    <row r="49" spans="1:9" x14ac:dyDescent="0.2">
      <c r="A49" s="27" t="s">
        <v>223</v>
      </c>
      <c r="B49" s="27" t="s">
        <v>222</v>
      </c>
      <c r="C49" s="27" t="s">
        <v>235</v>
      </c>
      <c r="D49" s="31">
        <v>933400</v>
      </c>
      <c r="E49" s="29">
        <v>2993.1337800000001</v>
      </c>
      <c r="F49" s="30">
        <v>3.0149911632736401</v>
      </c>
    </row>
    <row r="50" spans="1:9" x14ac:dyDescent="0.2">
      <c r="A50" s="27" t="s">
        <v>234</v>
      </c>
      <c r="B50" s="27" t="s">
        <v>233</v>
      </c>
      <c r="C50" s="27" t="s">
        <v>235</v>
      </c>
      <c r="D50" s="31">
        <v>151600</v>
      </c>
      <c r="E50" s="29">
        <v>373.07243999999997</v>
      </c>
      <c r="F50" s="30">
        <v>0.37579680446523001</v>
      </c>
    </row>
    <row r="51" spans="1:9" x14ac:dyDescent="0.2">
      <c r="A51" s="26" t="s">
        <v>40</v>
      </c>
      <c r="B51" s="26"/>
      <c r="C51" s="26"/>
      <c r="D51" s="32"/>
      <c r="E51" s="33">
        <f>SUM(E48:E50)</f>
        <v>3366.20622</v>
      </c>
      <c r="F51" s="33">
        <f>SUM(F48:F50)</f>
        <v>3.3907879677388699</v>
      </c>
      <c r="G51" s="18"/>
      <c r="H51" s="18"/>
      <c r="I51" s="18"/>
    </row>
    <row r="52" spans="1:9" x14ac:dyDescent="0.2">
      <c r="A52" s="27"/>
      <c r="B52" s="27"/>
      <c r="C52" s="27"/>
      <c r="D52" s="28"/>
      <c r="E52" s="29"/>
      <c r="F52" s="30"/>
    </row>
    <row r="53" spans="1:9" x14ac:dyDescent="0.2">
      <c r="A53" s="26" t="s">
        <v>303</v>
      </c>
      <c r="B53" s="27"/>
      <c r="C53" s="27"/>
      <c r="D53" s="28"/>
      <c r="E53" s="29"/>
      <c r="F53" s="30"/>
    </row>
    <row r="54" spans="1:9" x14ac:dyDescent="0.2">
      <c r="A54" s="27" t="s">
        <v>305</v>
      </c>
      <c r="B54" s="27" t="s">
        <v>304</v>
      </c>
      <c r="C54" s="27" t="s">
        <v>133</v>
      </c>
      <c r="D54" s="31">
        <v>86900</v>
      </c>
      <c r="E54" s="29">
        <v>3435.4056860000001</v>
      </c>
      <c r="F54" s="30">
        <v>3.46049276339062</v>
      </c>
    </row>
    <row r="55" spans="1:9" x14ac:dyDescent="0.2">
      <c r="A55" s="27" t="s">
        <v>307</v>
      </c>
      <c r="B55" s="27" t="s">
        <v>306</v>
      </c>
      <c r="C55" s="27" t="s">
        <v>246</v>
      </c>
      <c r="D55" s="31">
        <v>1575983</v>
      </c>
      <c r="E55" s="29">
        <v>2432.9289210000002</v>
      </c>
      <c r="F55" s="30">
        <v>2.4506954038278499</v>
      </c>
    </row>
    <row r="56" spans="1:9" x14ac:dyDescent="0.2">
      <c r="A56" s="27" t="s">
        <v>309</v>
      </c>
      <c r="B56" s="27" t="s">
        <v>308</v>
      </c>
      <c r="C56" s="27" t="s">
        <v>310</v>
      </c>
      <c r="D56" s="31">
        <v>187038</v>
      </c>
      <c r="E56" s="29">
        <v>2336.3713889999999</v>
      </c>
      <c r="F56" s="30">
        <v>2.3534327596811799</v>
      </c>
    </row>
    <row r="57" spans="1:9" x14ac:dyDescent="0.2">
      <c r="A57" s="27" t="s">
        <v>312</v>
      </c>
      <c r="B57" s="27" t="s">
        <v>311</v>
      </c>
      <c r="C57" s="27" t="s">
        <v>275</v>
      </c>
      <c r="D57" s="31">
        <v>2562198</v>
      </c>
      <c r="E57" s="29">
        <v>1988.3874290000001</v>
      </c>
      <c r="F57" s="30">
        <v>2.0029076440410201</v>
      </c>
    </row>
    <row r="58" spans="1:9" x14ac:dyDescent="0.2">
      <c r="A58" s="27" t="s">
        <v>314</v>
      </c>
      <c r="B58" s="27" t="s">
        <v>313</v>
      </c>
      <c r="C58" s="27" t="s">
        <v>106</v>
      </c>
      <c r="D58" s="31">
        <v>633055</v>
      </c>
      <c r="E58" s="29">
        <v>1173.9359939999999</v>
      </c>
      <c r="F58" s="30">
        <v>1.1825086709485</v>
      </c>
    </row>
    <row r="59" spans="1:9" x14ac:dyDescent="0.2">
      <c r="A59" s="27" t="s">
        <v>316</v>
      </c>
      <c r="B59" s="27" t="s">
        <v>315</v>
      </c>
      <c r="C59" s="27" t="s">
        <v>117</v>
      </c>
      <c r="D59" s="31">
        <v>3297307</v>
      </c>
      <c r="E59" s="29">
        <v>1155.450638</v>
      </c>
      <c r="F59" s="30">
        <v>1.16388832548904</v>
      </c>
    </row>
    <row r="60" spans="1:9" x14ac:dyDescent="0.2">
      <c r="A60" s="27" t="s">
        <v>318</v>
      </c>
      <c r="B60" s="27" t="s">
        <v>317</v>
      </c>
      <c r="C60" s="27" t="s">
        <v>319</v>
      </c>
      <c r="D60" s="31">
        <v>500000</v>
      </c>
      <c r="E60" s="29">
        <v>803.77320999999995</v>
      </c>
      <c r="F60" s="30">
        <v>0.80964277026938802</v>
      </c>
    </row>
    <row r="61" spans="1:9" x14ac:dyDescent="0.2">
      <c r="A61" s="27" t="s">
        <v>321</v>
      </c>
      <c r="B61" s="27" t="s">
        <v>320</v>
      </c>
      <c r="C61" s="27" t="s">
        <v>114</v>
      </c>
      <c r="D61" s="31">
        <v>200000</v>
      </c>
      <c r="E61" s="29">
        <v>476.31905640000002</v>
      </c>
      <c r="F61" s="30">
        <v>0.47979738010401801</v>
      </c>
    </row>
    <row r="62" spans="1:9" x14ac:dyDescent="0.2">
      <c r="A62" s="27" t="s">
        <v>323</v>
      </c>
      <c r="B62" s="27" t="s">
        <v>322</v>
      </c>
      <c r="C62" s="27" t="s">
        <v>187</v>
      </c>
      <c r="D62" s="31">
        <v>25000</v>
      </c>
      <c r="E62" s="29">
        <v>258.23826250000002</v>
      </c>
      <c r="F62" s="30">
        <v>0.26012404946919498</v>
      </c>
    </row>
    <row r="63" spans="1:9" x14ac:dyDescent="0.2">
      <c r="A63" s="26" t="s">
        <v>40</v>
      </c>
      <c r="B63" s="26"/>
      <c r="C63" s="26"/>
      <c r="D63" s="32"/>
      <c r="E63" s="33">
        <f>SUM(E53:E62)</f>
        <v>14060.810585899999</v>
      </c>
      <c r="F63" s="34">
        <f>SUM(F53:F62)</f>
        <v>14.16348976722081</v>
      </c>
      <c r="G63" s="18"/>
      <c r="H63" s="18"/>
      <c r="I63" s="18"/>
    </row>
    <row r="64" spans="1:9" x14ac:dyDescent="0.2">
      <c r="A64" s="27"/>
      <c r="B64" s="27"/>
      <c r="C64" s="27"/>
      <c r="D64" s="28"/>
      <c r="E64" s="29"/>
      <c r="F64" s="30"/>
    </row>
    <row r="65" spans="1:9" x14ac:dyDescent="0.2">
      <c r="A65" s="26" t="s">
        <v>44</v>
      </c>
      <c r="B65" s="26"/>
      <c r="C65" s="26"/>
      <c r="D65" s="32"/>
      <c r="E65" s="33">
        <f>E46+E51+E63</f>
        <v>95546.887079899985</v>
      </c>
      <c r="F65" s="34">
        <f>F46+F51+F63</f>
        <v>96.244618983987621</v>
      </c>
      <c r="G65" s="18"/>
      <c r="H65" s="18"/>
      <c r="I65" s="18"/>
    </row>
    <row r="66" spans="1:9" x14ac:dyDescent="0.2">
      <c r="A66" s="26"/>
      <c r="B66" s="26"/>
      <c r="C66" s="26"/>
      <c r="D66" s="32"/>
      <c r="E66" s="33"/>
      <c r="F66" s="34"/>
      <c r="G66" s="18"/>
      <c r="H66" s="18"/>
      <c r="I66" s="18"/>
    </row>
    <row r="67" spans="1:9" x14ac:dyDescent="0.2">
      <c r="A67" s="26" t="s">
        <v>46</v>
      </c>
      <c r="B67" s="26"/>
      <c r="C67" s="26"/>
      <c r="D67" s="32"/>
      <c r="E67" s="33">
        <f>E69-(E46+E51+E63)</f>
        <v>3728.1561262000178</v>
      </c>
      <c r="F67" s="34">
        <f>F69-(F46+F51+F63)</f>
        <v>3.7553810160123788</v>
      </c>
      <c r="G67" s="18"/>
      <c r="H67" s="18"/>
      <c r="I67" s="18"/>
    </row>
    <row r="68" spans="1:9" x14ac:dyDescent="0.2">
      <c r="A68" s="26"/>
      <c r="B68" s="26"/>
      <c r="C68" s="26"/>
      <c r="D68" s="32"/>
      <c r="E68" s="33"/>
      <c r="F68" s="34"/>
      <c r="G68" s="18"/>
      <c r="H68" s="18"/>
      <c r="I68" s="18"/>
    </row>
    <row r="69" spans="1:9" x14ac:dyDescent="0.2">
      <c r="A69" s="35" t="s">
        <v>45</v>
      </c>
      <c r="B69" s="35"/>
      <c r="C69" s="35"/>
      <c r="D69" s="36"/>
      <c r="E69" s="37">
        <v>99275.043206100003</v>
      </c>
      <c r="F69" s="38">
        <v>100</v>
      </c>
      <c r="G69" s="18"/>
      <c r="H69" s="18"/>
      <c r="I69" s="18"/>
    </row>
    <row r="72" spans="1:9" x14ac:dyDescent="0.2">
      <c r="A72" s="18" t="s">
        <v>48</v>
      </c>
    </row>
    <row r="73" spans="1:9" x14ac:dyDescent="0.2">
      <c r="A73" s="18" t="s">
        <v>49</v>
      </c>
    </row>
    <row r="74" spans="1:9" x14ac:dyDescent="0.2">
      <c r="A74" s="18" t="s">
        <v>50</v>
      </c>
      <c r="B74" s="18"/>
      <c r="C74" s="39" t="s">
        <v>52</v>
      </c>
      <c r="D74" s="19" t="s">
        <v>51</v>
      </c>
    </row>
    <row r="75" spans="1:9" x14ac:dyDescent="0.2">
      <c r="A75" s="9" t="s">
        <v>70</v>
      </c>
      <c r="C75" s="40">
        <v>45.6113</v>
      </c>
      <c r="D75" s="40">
        <v>62.000700000000002</v>
      </c>
    </row>
    <row r="76" spans="1:9" x14ac:dyDescent="0.2">
      <c r="A76" s="9" t="s">
        <v>76</v>
      </c>
      <c r="C76" s="40">
        <v>13.2242</v>
      </c>
      <c r="D76" s="40">
        <v>17.025300000000001</v>
      </c>
    </row>
    <row r="77" spans="1:9" x14ac:dyDescent="0.2">
      <c r="A77" s="9" t="s">
        <v>73</v>
      </c>
      <c r="C77" s="40">
        <v>48.015599999999999</v>
      </c>
      <c r="D77" s="40">
        <v>65.562799999999996</v>
      </c>
    </row>
    <row r="78" spans="1:9" x14ac:dyDescent="0.2">
      <c r="A78" s="9" t="s">
        <v>77</v>
      </c>
      <c r="C78" s="40">
        <v>14.155200000000001</v>
      </c>
      <c r="D78" s="40">
        <v>18.370999999999999</v>
      </c>
    </row>
    <row r="80" spans="1:9" x14ac:dyDescent="0.2">
      <c r="A80" s="18" t="s">
        <v>53</v>
      </c>
    </row>
    <row r="81" spans="1:4" x14ac:dyDescent="0.2">
      <c r="A81" s="74" t="s">
        <v>67</v>
      </c>
      <c r="B81" s="75"/>
      <c r="C81" s="44" t="s">
        <v>68</v>
      </c>
    </row>
    <row r="82" spans="1:4" x14ac:dyDescent="0.2">
      <c r="A82" s="68" t="s">
        <v>76</v>
      </c>
      <c r="B82" s="69"/>
      <c r="C82" s="45">
        <v>0.7</v>
      </c>
    </row>
    <row r="83" spans="1:4" x14ac:dyDescent="0.2">
      <c r="A83" s="68" t="s">
        <v>77</v>
      </c>
      <c r="B83" s="69"/>
      <c r="C83" s="45">
        <v>0.7</v>
      </c>
    </row>
    <row r="84" spans="1:4" x14ac:dyDescent="0.2">
      <c r="A84" s="9" t="s">
        <v>69</v>
      </c>
    </row>
    <row r="86" spans="1:4" x14ac:dyDescent="0.2">
      <c r="A86" s="18" t="s">
        <v>224</v>
      </c>
      <c r="D86" s="46">
        <v>7.1099999999999997E-2</v>
      </c>
    </row>
    <row r="88" spans="1:4" x14ac:dyDescent="0.2">
      <c r="A88" s="18" t="s">
        <v>729</v>
      </c>
    </row>
    <row r="89" spans="1:4" x14ac:dyDescent="0.2">
      <c r="A89" s="50" t="s">
        <v>56</v>
      </c>
    </row>
  </sheetData>
  <mergeCells count="4">
    <mergeCell ref="A1:F1"/>
    <mergeCell ref="A81:B81"/>
    <mergeCell ref="A82:B82"/>
    <mergeCell ref="A83:B83"/>
  </mergeCells>
  <conditionalFormatting sqref="F2:F3 F52:F86 F5:F49 F101:F65536">
    <cfRule type="cellIs" dxfId="30" priority="4" stopIfTrue="1" operator="between">
      <formula>0.009</formula>
      <formula>-0.009</formula>
    </cfRule>
  </conditionalFormatting>
  <conditionalFormatting sqref="F50">
    <cfRule type="cellIs" dxfId="29" priority="3" stopIfTrue="1" operator="between">
      <formula>0.009</formula>
      <formula>-0.009</formula>
    </cfRule>
  </conditionalFormatting>
  <conditionalFormatting sqref="F100">
    <cfRule type="cellIs" dxfId="28" priority="2" stopIfTrue="1" operator="between">
      <formula>0.009</formula>
      <formula>-0.009</formula>
    </cfRule>
  </conditionalFormatting>
  <conditionalFormatting sqref="F87:F99">
    <cfRule type="cellIs" dxfId="27" priority="1" stopIfTrue="1" operator="between">
      <formula>0.009</formula>
      <formula>-0.009</formula>
    </cfRule>
  </conditionalFormatting>
  <hyperlinks>
    <hyperlink ref="A89" r:id="rId1" xr:uid="{00000000-0004-0000-28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76"/>
  <sheetViews>
    <sheetView workbookViewId="0">
      <selection sqref="A1:F1"/>
    </sheetView>
  </sheetViews>
  <sheetFormatPr defaultColWidth="9.21875" defaultRowHeight="10.199999999999999" x14ac:dyDescent="0.2"/>
  <cols>
    <col min="1" max="1" width="38.77734375" style="9" bestFit="1" customWidth="1"/>
    <col min="2" max="2" width="33.21875" style="9" bestFit="1" customWidth="1"/>
    <col min="3" max="3" width="26.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12</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105</v>
      </c>
      <c r="B7" s="27" t="s">
        <v>104</v>
      </c>
      <c r="C7" s="27" t="s">
        <v>106</v>
      </c>
      <c r="D7" s="31">
        <v>945647</v>
      </c>
      <c r="E7" s="29">
        <v>11851.79385</v>
      </c>
      <c r="F7" s="30">
        <v>23.217962912581999</v>
      </c>
    </row>
    <row r="8" spans="1:6" x14ac:dyDescent="0.2">
      <c r="A8" s="27" t="s">
        <v>228</v>
      </c>
      <c r="B8" s="27" t="s">
        <v>227</v>
      </c>
      <c r="C8" s="27" t="s">
        <v>106</v>
      </c>
      <c r="D8" s="31">
        <v>167936</v>
      </c>
      <c r="E8" s="29">
        <v>4860.5716480000001</v>
      </c>
      <c r="F8" s="30">
        <v>9.5219823838913094</v>
      </c>
    </row>
    <row r="9" spans="1:6" x14ac:dyDescent="0.2">
      <c r="A9" s="27" t="s">
        <v>269</v>
      </c>
      <c r="B9" s="27" t="s">
        <v>268</v>
      </c>
      <c r="C9" s="27" t="s">
        <v>106</v>
      </c>
      <c r="D9" s="31">
        <v>470000</v>
      </c>
      <c r="E9" s="29">
        <v>4274.415</v>
      </c>
      <c r="F9" s="30">
        <v>8.3736867346021207</v>
      </c>
    </row>
    <row r="10" spans="1:6" x14ac:dyDescent="0.2">
      <c r="A10" s="27" t="s">
        <v>110</v>
      </c>
      <c r="B10" s="27" t="s">
        <v>109</v>
      </c>
      <c r="C10" s="27" t="s">
        <v>111</v>
      </c>
      <c r="D10" s="31">
        <v>600000</v>
      </c>
      <c r="E10" s="29">
        <v>3337.8</v>
      </c>
      <c r="F10" s="30">
        <v>6.5388343393786004</v>
      </c>
    </row>
    <row r="11" spans="1:6" x14ac:dyDescent="0.2">
      <c r="A11" s="27" t="s">
        <v>200</v>
      </c>
      <c r="B11" s="27" t="s">
        <v>199</v>
      </c>
      <c r="C11" s="27" t="s">
        <v>106</v>
      </c>
      <c r="D11" s="31">
        <v>270000</v>
      </c>
      <c r="E11" s="29">
        <v>2480.895</v>
      </c>
      <c r="F11" s="30">
        <v>4.8601358434875301</v>
      </c>
    </row>
    <row r="12" spans="1:6" x14ac:dyDescent="0.2">
      <c r="A12" s="27" t="s">
        <v>325</v>
      </c>
      <c r="B12" s="27" t="s">
        <v>324</v>
      </c>
      <c r="C12" s="27" t="s">
        <v>106</v>
      </c>
      <c r="D12" s="31">
        <v>46300</v>
      </c>
      <c r="E12" s="29">
        <v>2273.4920499999998</v>
      </c>
      <c r="F12" s="30">
        <v>4.4538282362167401</v>
      </c>
    </row>
    <row r="13" spans="1:6" x14ac:dyDescent="0.2">
      <c r="A13" s="27" t="s">
        <v>298</v>
      </c>
      <c r="B13" s="27" t="s">
        <v>297</v>
      </c>
      <c r="C13" s="27" t="s">
        <v>106</v>
      </c>
      <c r="D13" s="31">
        <v>200000</v>
      </c>
      <c r="E13" s="29">
        <v>1304.9000000000001</v>
      </c>
      <c r="F13" s="30">
        <v>2.5563319939646298</v>
      </c>
    </row>
    <row r="14" spans="1:6" x14ac:dyDescent="0.2">
      <c r="A14" s="27" t="s">
        <v>327</v>
      </c>
      <c r="B14" s="27" t="s">
        <v>326</v>
      </c>
      <c r="C14" s="27" t="s">
        <v>106</v>
      </c>
      <c r="D14" s="31">
        <v>31000</v>
      </c>
      <c r="E14" s="29">
        <v>1115.9535000000001</v>
      </c>
      <c r="F14" s="30">
        <v>2.1861810374946802</v>
      </c>
    </row>
    <row r="15" spans="1:6" x14ac:dyDescent="0.2">
      <c r="A15" s="27" t="s">
        <v>329</v>
      </c>
      <c r="B15" s="27" t="s">
        <v>328</v>
      </c>
      <c r="C15" s="27" t="s">
        <v>106</v>
      </c>
      <c r="D15" s="31">
        <v>180000</v>
      </c>
      <c r="E15" s="29">
        <v>957.51</v>
      </c>
      <c r="F15" s="30">
        <v>1.87578622694541</v>
      </c>
    </row>
    <row r="16" spans="1:6" x14ac:dyDescent="0.2">
      <c r="A16" s="27" t="s">
        <v>331</v>
      </c>
      <c r="B16" s="27" t="s">
        <v>330</v>
      </c>
      <c r="C16" s="27" t="s">
        <v>106</v>
      </c>
      <c r="D16" s="31">
        <v>80000</v>
      </c>
      <c r="E16" s="29">
        <v>571.55999999999995</v>
      </c>
      <c r="F16" s="30">
        <v>1.1197004479043799</v>
      </c>
    </row>
    <row r="17" spans="1:9" x14ac:dyDescent="0.2">
      <c r="A17" s="27" t="s">
        <v>333</v>
      </c>
      <c r="B17" s="27" t="s">
        <v>332</v>
      </c>
      <c r="C17" s="27" t="s">
        <v>106</v>
      </c>
      <c r="D17" s="31">
        <v>6000</v>
      </c>
      <c r="E17" s="29">
        <v>515.745</v>
      </c>
      <c r="F17" s="30">
        <v>1.01035745591791</v>
      </c>
    </row>
    <row r="18" spans="1:9" x14ac:dyDescent="0.2">
      <c r="A18" s="27" t="s">
        <v>335</v>
      </c>
      <c r="B18" s="27" t="s">
        <v>334</v>
      </c>
      <c r="C18" s="27" t="s">
        <v>106</v>
      </c>
      <c r="D18" s="31">
        <v>63629</v>
      </c>
      <c r="E18" s="29">
        <v>182.32889950000001</v>
      </c>
      <c r="F18" s="30">
        <v>0.35718691027374599</v>
      </c>
    </row>
    <row r="19" spans="1:9" x14ac:dyDescent="0.2">
      <c r="A19" s="26" t="s">
        <v>40</v>
      </c>
      <c r="B19" s="26"/>
      <c r="C19" s="26"/>
      <c r="D19" s="32"/>
      <c r="E19" s="33">
        <f>SUM(E7:E18)</f>
        <v>33726.964947499997</v>
      </c>
      <c r="F19" s="34">
        <f>SUM(F7:F18)</f>
        <v>66.071974522659048</v>
      </c>
      <c r="G19" s="18"/>
      <c r="H19" s="18"/>
      <c r="I19" s="18"/>
    </row>
    <row r="20" spans="1:9" x14ac:dyDescent="0.2">
      <c r="A20" s="27"/>
      <c r="B20" s="27"/>
      <c r="C20" s="27"/>
      <c r="D20" s="28"/>
      <c r="E20" s="29"/>
      <c r="F20" s="30"/>
    </row>
    <row r="21" spans="1:9" x14ac:dyDescent="0.2">
      <c r="A21" s="26" t="s">
        <v>236</v>
      </c>
      <c r="B21" s="27"/>
      <c r="C21" s="27"/>
      <c r="D21" s="28"/>
      <c r="E21" s="29"/>
      <c r="F21" s="30"/>
    </row>
    <row r="22" spans="1:9" x14ac:dyDescent="0.2">
      <c r="A22" s="27"/>
      <c r="B22" s="27" t="s">
        <v>1486</v>
      </c>
      <c r="C22" s="27" t="s">
        <v>106</v>
      </c>
      <c r="D22" s="31">
        <v>970000</v>
      </c>
      <c r="E22" s="29">
        <v>9.7000000000000003E-2</v>
      </c>
      <c r="F22" s="30">
        <v>1.90025445179377E-4</v>
      </c>
    </row>
    <row r="23" spans="1:9" x14ac:dyDescent="0.2">
      <c r="A23" s="26" t="s">
        <v>40</v>
      </c>
      <c r="B23" s="26"/>
      <c r="C23" s="26"/>
      <c r="D23" s="32"/>
      <c r="E23" s="33">
        <f>SUM(E21:E22)</f>
        <v>9.7000000000000003E-2</v>
      </c>
      <c r="F23" s="34">
        <f>SUM(F21:F22)</f>
        <v>1.90025445179377E-4</v>
      </c>
      <c r="G23" s="18"/>
      <c r="H23" s="18"/>
      <c r="I23" s="18"/>
    </row>
    <row r="24" spans="1:9" x14ac:dyDescent="0.2">
      <c r="A24" s="27"/>
      <c r="B24" s="27"/>
      <c r="C24" s="27"/>
      <c r="D24" s="28"/>
      <c r="E24" s="29"/>
      <c r="F24" s="30"/>
    </row>
    <row r="25" spans="1:9" x14ac:dyDescent="0.2">
      <c r="A25" s="26" t="s">
        <v>303</v>
      </c>
      <c r="B25" s="27"/>
      <c r="C25" s="27"/>
      <c r="D25" s="28"/>
      <c r="E25" s="29"/>
      <c r="F25" s="30"/>
    </row>
    <row r="26" spans="1:9" x14ac:dyDescent="0.2">
      <c r="A26" s="27" t="s">
        <v>337</v>
      </c>
      <c r="B26" s="27" t="s">
        <v>336</v>
      </c>
      <c r="C26" s="27" t="s">
        <v>106</v>
      </c>
      <c r="D26" s="31">
        <v>60135</v>
      </c>
      <c r="E26" s="29">
        <v>1482.228302</v>
      </c>
      <c r="F26" s="30">
        <v>2.9037226076806402</v>
      </c>
    </row>
    <row r="27" spans="1:9" x14ac:dyDescent="0.2">
      <c r="A27" s="27" t="s">
        <v>339</v>
      </c>
      <c r="B27" s="27" t="s">
        <v>338</v>
      </c>
      <c r="C27" s="27" t="s">
        <v>319</v>
      </c>
      <c r="D27" s="31">
        <v>88000</v>
      </c>
      <c r="E27" s="29">
        <v>1405.3645160000001</v>
      </c>
      <c r="F27" s="30">
        <v>2.7531445133216401</v>
      </c>
    </row>
    <row r="28" spans="1:9" x14ac:dyDescent="0.2">
      <c r="A28" s="27" t="s">
        <v>341</v>
      </c>
      <c r="B28" s="27" t="s">
        <v>340</v>
      </c>
      <c r="C28" s="27" t="s">
        <v>319</v>
      </c>
      <c r="D28" s="31">
        <v>3300</v>
      </c>
      <c r="E28" s="29">
        <v>1329.992438</v>
      </c>
      <c r="F28" s="30">
        <v>2.6054887125376802</v>
      </c>
    </row>
    <row r="29" spans="1:9" x14ac:dyDescent="0.2">
      <c r="A29" s="27" t="s">
        <v>343</v>
      </c>
      <c r="B29" s="27" t="s">
        <v>342</v>
      </c>
      <c r="C29" s="27" t="s">
        <v>319</v>
      </c>
      <c r="D29" s="31">
        <v>17000</v>
      </c>
      <c r="E29" s="29">
        <v>915.39848389999997</v>
      </c>
      <c r="F29" s="30">
        <v>1.79328870535695</v>
      </c>
    </row>
    <row r="30" spans="1:9" x14ac:dyDescent="0.2">
      <c r="A30" s="27" t="s">
        <v>345</v>
      </c>
      <c r="B30" s="27" t="s">
        <v>344</v>
      </c>
      <c r="C30" s="27" t="s">
        <v>319</v>
      </c>
      <c r="D30" s="31">
        <v>14982</v>
      </c>
      <c r="E30" s="29">
        <v>668.99943370000005</v>
      </c>
      <c r="F30" s="30">
        <v>1.31058675477931</v>
      </c>
    </row>
    <row r="31" spans="1:9" x14ac:dyDescent="0.2">
      <c r="A31" s="27" t="s">
        <v>347</v>
      </c>
      <c r="B31" s="27" t="s">
        <v>346</v>
      </c>
      <c r="C31" s="27" t="s">
        <v>348</v>
      </c>
      <c r="D31" s="31">
        <v>6000</v>
      </c>
      <c r="E31" s="29">
        <v>600.33232950000001</v>
      </c>
      <c r="F31" s="30">
        <v>1.17606616668876</v>
      </c>
    </row>
    <row r="32" spans="1:9" x14ac:dyDescent="0.2">
      <c r="A32" s="27" t="s">
        <v>350</v>
      </c>
      <c r="B32" s="27" t="s">
        <v>349</v>
      </c>
      <c r="C32" s="27" t="s">
        <v>319</v>
      </c>
      <c r="D32" s="31">
        <v>22000</v>
      </c>
      <c r="E32" s="29">
        <v>519.47467259999996</v>
      </c>
      <c r="F32" s="30">
        <v>1.01766397855903</v>
      </c>
    </row>
    <row r="33" spans="1:9" x14ac:dyDescent="0.2">
      <c r="A33" s="27" t="s">
        <v>352</v>
      </c>
      <c r="B33" s="27" t="s">
        <v>351</v>
      </c>
      <c r="C33" s="27" t="s">
        <v>167</v>
      </c>
      <c r="D33" s="31">
        <v>23400</v>
      </c>
      <c r="E33" s="29">
        <v>515.0415534</v>
      </c>
      <c r="F33" s="30">
        <v>1.0089793862960099</v>
      </c>
    </row>
    <row r="34" spans="1:9" x14ac:dyDescent="0.2">
      <c r="A34" s="27" t="s">
        <v>354</v>
      </c>
      <c r="B34" s="27" t="s">
        <v>353</v>
      </c>
      <c r="C34" s="27" t="s">
        <v>319</v>
      </c>
      <c r="D34" s="31">
        <v>23000</v>
      </c>
      <c r="E34" s="29">
        <v>422.590621</v>
      </c>
      <c r="F34" s="30">
        <v>0.82786567921808596</v>
      </c>
    </row>
    <row r="35" spans="1:9" x14ac:dyDescent="0.2">
      <c r="A35" s="27" t="s">
        <v>356</v>
      </c>
      <c r="B35" s="27" t="s">
        <v>355</v>
      </c>
      <c r="C35" s="27" t="s">
        <v>106</v>
      </c>
      <c r="D35" s="31">
        <v>267</v>
      </c>
      <c r="E35" s="29">
        <v>396.6142767</v>
      </c>
      <c r="F35" s="30">
        <v>0.77697736592179401</v>
      </c>
    </row>
    <row r="36" spans="1:9" x14ac:dyDescent="0.2">
      <c r="A36" s="27" t="s">
        <v>358</v>
      </c>
      <c r="B36" s="27" t="s">
        <v>357</v>
      </c>
      <c r="C36" s="27" t="s">
        <v>359</v>
      </c>
      <c r="D36" s="31">
        <v>2173</v>
      </c>
      <c r="E36" s="29">
        <v>345.63115979999998</v>
      </c>
      <c r="F36" s="30">
        <v>0.677100154730509</v>
      </c>
    </row>
    <row r="37" spans="1:9" x14ac:dyDescent="0.2">
      <c r="A37" s="27" t="s">
        <v>361</v>
      </c>
      <c r="B37" s="27" t="s">
        <v>360</v>
      </c>
      <c r="C37" s="27" t="s">
        <v>106</v>
      </c>
      <c r="D37" s="31">
        <v>1310</v>
      </c>
      <c r="E37" s="29">
        <v>335.4722208</v>
      </c>
      <c r="F37" s="30">
        <v>0.657198537142621</v>
      </c>
    </row>
    <row r="38" spans="1:9" x14ac:dyDescent="0.2">
      <c r="A38" s="27" t="s">
        <v>363</v>
      </c>
      <c r="B38" s="27" t="s">
        <v>362</v>
      </c>
      <c r="C38" s="27" t="s">
        <v>106</v>
      </c>
      <c r="D38" s="31">
        <v>110</v>
      </c>
      <c r="E38" s="29">
        <v>249.95281829999999</v>
      </c>
      <c r="F38" s="30">
        <v>0.48966387186904498</v>
      </c>
    </row>
    <row r="39" spans="1:9" x14ac:dyDescent="0.2">
      <c r="A39" s="27" t="s">
        <v>365</v>
      </c>
      <c r="B39" s="27" t="s">
        <v>364</v>
      </c>
      <c r="C39" s="27" t="s">
        <v>106</v>
      </c>
      <c r="D39" s="31">
        <v>1100</v>
      </c>
      <c r="E39" s="29">
        <v>187.79615419999999</v>
      </c>
      <c r="F39" s="30">
        <v>0.36789740004979299</v>
      </c>
    </row>
    <row r="40" spans="1:9" x14ac:dyDescent="0.2">
      <c r="A40" s="26" t="s">
        <v>40</v>
      </c>
      <c r="B40" s="26"/>
      <c r="C40" s="26"/>
      <c r="D40" s="32"/>
      <c r="E40" s="33">
        <f>SUM(E25:E39)</f>
        <v>9374.8889799000008</v>
      </c>
      <c r="F40" s="34">
        <f>SUM(F25:F39)</f>
        <v>18.365643834151864</v>
      </c>
      <c r="G40" s="18"/>
      <c r="H40" s="18"/>
      <c r="I40" s="18"/>
    </row>
    <row r="41" spans="1:9" x14ac:dyDescent="0.2">
      <c r="A41" s="27"/>
      <c r="B41" s="27"/>
      <c r="C41" s="27"/>
      <c r="D41" s="28"/>
      <c r="E41" s="29"/>
      <c r="F41" s="30"/>
    </row>
    <row r="42" spans="1:9" x14ac:dyDescent="0.2">
      <c r="A42" s="26" t="s">
        <v>366</v>
      </c>
      <c r="B42" s="27"/>
      <c r="C42" s="27"/>
      <c r="D42" s="28"/>
      <c r="E42" s="29"/>
      <c r="F42" s="30"/>
    </row>
    <row r="43" spans="1:9" x14ac:dyDescent="0.2">
      <c r="A43" s="27" t="s">
        <v>368</v>
      </c>
      <c r="B43" s="27" t="s">
        <v>367</v>
      </c>
      <c r="C43" s="27" t="s">
        <v>369</v>
      </c>
      <c r="D43" s="31">
        <v>91868.481</v>
      </c>
      <c r="E43" s="29">
        <v>3897.0733180000002</v>
      </c>
      <c r="F43" s="30">
        <v>7.6344648675218698</v>
      </c>
    </row>
    <row r="44" spans="1:9" x14ac:dyDescent="0.2">
      <c r="A44" s="26" t="s">
        <v>40</v>
      </c>
      <c r="B44" s="26"/>
      <c r="C44" s="26"/>
      <c r="D44" s="32"/>
      <c r="E44" s="33">
        <f>SUM(E43:E43)</f>
        <v>3897.0733180000002</v>
      </c>
      <c r="F44" s="34">
        <f>SUM(F43:F43)</f>
        <v>7.6344648675218698</v>
      </c>
      <c r="G44" s="18"/>
      <c r="H44" s="18"/>
      <c r="I44" s="18"/>
    </row>
    <row r="45" spans="1:9" x14ac:dyDescent="0.2">
      <c r="A45" s="27"/>
      <c r="B45" s="27"/>
      <c r="C45" s="27"/>
      <c r="D45" s="28"/>
      <c r="E45" s="29"/>
      <c r="F45" s="30"/>
    </row>
    <row r="46" spans="1:9" x14ac:dyDescent="0.2">
      <c r="A46" s="26" t="s">
        <v>44</v>
      </c>
      <c r="B46" s="26"/>
      <c r="C46" s="26"/>
      <c r="D46" s="32"/>
      <c r="E46" s="33">
        <f>E19+E23+E40+E44</f>
        <v>46999.024245400004</v>
      </c>
      <c r="F46" s="34">
        <f>F19+F23+F40+F44</f>
        <v>92.072273249777965</v>
      </c>
      <c r="G46" s="18"/>
      <c r="H46" s="18"/>
      <c r="I46" s="18"/>
    </row>
    <row r="47" spans="1:9" x14ac:dyDescent="0.2">
      <c r="A47" s="26"/>
      <c r="B47" s="26"/>
      <c r="C47" s="26"/>
      <c r="D47" s="32"/>
      <c r="E47" s="33"/>
      <c r="F47" s="34"/>
      <c r="G47" s="18"/>
      <c r="H47" s="18"/>
      <c r="I47" s="18"/>
    </row>
    <row r="48" spans="1:9" x14ac:dyDescent="0.2">
      <c r="A48" s="26" t="s">
        <v>46</v>
      </c>
      <c r="B48" s="26"/>
      <c r="C48" s="26"/>
      <c r="D48" s="32"/>
      <c r="E48" s="33">
        <f>E50-(E19+E23+E40+E44)</f>
        <v>4046.7711786999935</v>
      </c>
      <c r="F48" s="34">
        <f>F50-(F19+F23+F40+F44)</f>
        <v>7.9277267502220354</v>
      </c>
      <c r="G48" s="18"/>
      <c r="H48" s="18"/>
      <c r="I48" s="18"/>
    </row>
    <row r="49" spans="1:9" x14ac:dyDescent="0.2">
      <c r="A49" s="26"/>
      <c r="B49" s="26"/>
      <c r="C49" s="26"/>
      <c r="D49" s="32"/>
      <c r="E49" s="33"/>
      <c r="F49" s="34"/>
      <c r="G49" s="18"/>
      <c r="H49" s="18"/>
      <c r="I49" s="18"/>
    </row>
    <row r="50" spans="1:9" x14ac:dyDescent="0.2">
      <c r="A50" s="35" t="s">
        <v>45</v>
      </c>
      <c r="B50" s="35"/>
      <c r="C50" s="35"/>
      <c r="D50" s="36"/>
      <c r="E50" s="37">
        <v>51045.795424099997</v>
      </c>
      <c r="F50" s="38">
        <v>100</v>
      </c>
      <c r="G50" s="18"/>
      <c r="H50" s="18"/>
      <c r="I50" s="18"/>
    </row>
    <row r="51" spans="1:9" x14ac:dyDescent="0.2">
      <c r="F51" s="20" t="s">
        <v>57</v>
      </c>
    </row>
    <row r="52" spans="1:9" x14ac:dyDescent="0.2">
      <c r="A52" s="18" t="s">
        <v>47</v>
      </c>
      <c r="F52" s="20"/>
    </row>
    <row r="53" spans="1:9" x14ac:dyDescent="0.2">
      <c r="A53" s="18" t="s">
        <v>1483</v>
      </c>
    </row>
    <row r="54" spans="1:9" x14ac:dyDescent="0.2">
      <c r="A54" s="18"/>
    </row>
    <row r="55" spans="1:9" x14ac:dyDescent="0.2">
      <c r="A55" s="18" t="s">
        <v>48</v>
      </c>
    </row>
    <row r="56" spans="1:9" x14ac:dyDescent="0.2">
      <c r="A56" s="18" t="s">
        <v>49</v>
      </c>
    </row>
    <row r="57" spans="1:9" x14ac:dyDescent="0.2">
      <c r="A57" s="18" t="s">
        <v>50</v>
      </c>
      <c r="B57" s="18"/>
      <c r="C57" s="39" t="s">
        <v>52</v>
      </c>
      <c r="D57" s="19" t="s">
        <v>51</v>
      </c>
    </row>
    <row r="58" spans="1:9" x14ac:dyDescent="0.2">
      <c r="A58" s="9" t="s">
        <v>70</v>
      </c>
      <c r="C58" s="40">
        <v>204.26769999999999</v>
      </c>
      <c r="D58" s="40">
        <v>270.42700000000002</v>
      </c>
    </row>
    <row r="59" spans="1:9" x14ac:dyDescent="0.2">
      <c r="A59" s="9" t="s">
        <v>76</v>
      </c>
      <c r="C59" s="40">
        <v>29.806899999999999</v>
      </c>
      <c r="D59" s="40">
        <v>36.436399999999999</v>
      </c>
    </row>
    <row r="60" spans="1:9" x14ac:dyDescent="0.2">
      <c r="A60" s="9" t="s">
        <v>73</v>
      </c>
      <c r="C60" s="40">
        <v>214.214</v>
      </c>
      <c r="D60" s="40">
        <v>284.83300000000003</v>
      </c>
    </row>
    <row r="61" spans="1:9" x14ac:dyDescent="0.2">
      <c r="A61" s="9" t="s">
        <v>77</v>
      </c>
      <c r="C61" s="40">
        <v>31.5167</v>
      </c>
      <c r="D61" s="40">
        <v>38.859900000000003</v>
      </c>
    </row>
    <row r="63" spans="1:9" x14ac:dyDescent="0.2">
      <c r="A63" s="18" t="s">
        <v>53</v>
      </c>
    </row>
    <row r="64" spans="1:9" x14ac:dyDescent="0.2">
      <c r="A64" s="74" t="s">
        <v>67</v>
      </c>
      <c r="B64" s="75"/>
      <c r="C64" s="44" t="s">
        <v>68</v>
      </c>
    </row>
    <row r="65" spans="1:4" x14ac:dyDescent="0.2">
      <c r="A65" s="68" t="s">
        <v>76</v>
      </c>
      <c r="B65" s="69"/>
      <c r="C65" s="45">
        <v>2.5</v>
      </c>
    </row>
    <row r="66" spans="1:4" x14ac:dyDescent="0.2">
      <c r="A66" s="68" t="s">
        <v>77</v>
      </c>
      <c r="B66" s="69"/>
      <c r="C66" s="45">
        <v>2.5</v>
      </c>
    </row>
    <row r="67" spans="1:4" x14ac:dyDescent="0.2">
      <c r="A67" s="9" t="s">
        <v>69</v>
      </c>
    </row>
    <row r="69" spans="1:4" x14ac:dyDescent="0.2">
      <c r="A69" s="18" t="s">
        <v>224</v>
      </c>
      <c r="D69" s="46">
        <v>7.0000000000000007E-2</v>
      </c>
    </row>
    <row r="71" spans="1:4" x14ac:dyDescent="0.2">
      <c r="A71" s="18" t="s">
        <v>1477</v>
      </c>
      <c r="D71" s="41" t="s">
        <v>54</v>
      </c>
    </row>
    <row r="72" spans="1:4" x14ac:dyDescent="0.2">
      <c r="A72" s="9" t="s">
        <v>1103</v>
      </c>
      <c r="D72" s="41"/>
    </row>
    <row r="73" spans="1:4" x14ac:dyDescent="0.2">
      <c r="A73" s="50" t="s">
        <v>1104</v>
      </c>
      <c r="D73" s="41"/>
    </row>
    <row r="75" spans="1:4" x14ac:dyDescent="0.2">
      <c r="A75" s="18" t="s">
        <v>1479</v>
      </c>
    </row>
    <row r="76" spans="1:4" x14ac:dyDescent="0.2">
      <c r="A76" s="50" t="s">
        <v>56</v>
      </c>
    </row>
  </sheetData>
  <mergeCells count="4">
    <mergeCell ref="A1:F1"/>
    <mergeCell ref="A64:B64"/>
    <mergeCell ref="A65:B65"/>
    <mergeCell ref="A66:B66"/>
  </mergeCells>
  <conditionalFormatting sqref="F2:F3 F5:F50 F53:F65535">
    <cfRule type="cellIs" dxfId="26" priority="2" stopIfTrue="1" operator="between">
      <formula>0.009</formula>
      <formula>-0.009</formula>
    </cfRule>
  </conditionalFormatting>
  <conditionalFormatting sqref="F51:F52">
    <cfRule type="cellIs" dxfId="25" priority="1" stopIfTrue="1" operator="between">
      <formula>0.009</formula>
      <formula>-0.009</formula>
    </cfRule>
  </conditionalFormatting>
  <hyperlinks>
    <hyperlink ref="A73" r:id="rId1" xr:uid="{D061CEB7-D753-4F8C-8D16-FF754C545083}"/>
    <hyperlink ref="A76" r:id="rId2" xr:uid="{43741131-22FC-41DE-B82C-FF3A31A8E7BE}"/>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86"/>
  <sheetViews>
    <sheetView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35.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13</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371</v>
      </c>
      <c r="B7" s="27" t="s">
        <v>370</v>
      </c>
      <c r="C7" s="27" t="s">
        <v>260</v>
      </c>
      <c r="D7" s="31">
        <v>3242967</v>
      </c>
      <c r="E7" s="29">
        <v>44384.867850000002</v>
      </c>
      <c r="F7" s="30">
        <v>6.9786512299661103</v>
      </c>
    </row>
    <row r="8" spans="1:6" x14ac:dyDescent="0.2">
      <c r="A8" s="27" t="s">
        <v>373</v>
      </c>
      <c r="B8" s="27" t="s">
        <v>372</v>
      </c>
      <c r="C8" s="27" t="s">
        <v>235</v>
      </c>
      <c r="D8" s="31">
        <v>7737595</v>
      </c>
      <c r="E8" s="29">
        <v>22427.419109999999</v>
      </c>
      <c r="F8" s="30">
        <v>3.5262724333416502</v>
      </c>
    </row>
    <row r="9" spans="1:6" x14ac:dyDescent="0.2">
      <c r="A9" s="27" t="s">
        <v>375</v>
      </c>
      <c r="B9" s="27" t="s">
        <v>374</v>
      </c>
      <c r="C9" s="27" t="s">
        <v>376</v>
      </c>
      <c r="D9" s="31">
        <v>2410139</v>
      </c>
      <c r="E9" s="29">
        <v>18095.323609999999</v>
      </c>
      <c r="F9" s="30">
        <v>2.84513525632951</v>
      </c>
    </row>
    <row r="10" spans="1:6" x14ac:dyDescent="0.2">
      <c r="A10" s="27" t="s">
        <v>298</v>
      </c>
      <c r="B10" s="27" t="s">
        <v>297</v>
      </c>
      <c r="C10" s="27" t="s">
        <v>106</v>
      </c>
      <c r="D10" s="31">
        <v>2709141</v>
      </c>
      <c r="E10" s="29">
        <v>17675.79045</v>
      </c>
      <c r="F10" s="30">
        <v>2.7791718831154699</v>
      </c>
    </row>
    <row r="11" spans="1:6" x14ac:dyDescent="0.2">
      <c r="A11" s="27" t="s">
        <v>253</v>
      </c>
      <c r="B11" s="27" t="s">
        <v>252</v>
      </c>
      <c r="C11" s="27" t="s">
        <v>148</v>
      </c>
      <c r="D11" s="31">
        <v>4112021</v>
      </c>
      <c r="E11" s="29">
        <v>16051.27397</v>
      </c>
      <c r="F11" s="30">
        <v>2.5237484813929298</v>
      </c>
    </row>
    <row r="12" spans="1:6" x14ac:dyDescent="0.2">
      <c r="A12" s="27" t="s">
        <v>378</v>
      </c>
      <c r="B12" s="27" t="s">
        <v>377</v>
      </c>
      <c r="C12" s="27" t="s">
        <v>238</v>
      </c>
      <c r="D12" s="31">
        <v>2647305</v>
      </c>
      <c r="E12" s="29">
        <v>15679.987520000001</v>
      </c>
      <c r="F12" s="30">
        <v>2.4653709584560901</v>
      </c>
    </row>
    <row r="13" spans="1:6" x14ac:dyDescent="0.2">
      <c r="A13" s="27" t="s">
        <v>380</v>
      </c>
      <c r="B13" s="27" t="s">
        <v>379</v>
      </c>
      <c r="C13" s="27" t="s">
        <v>133</v>
      </c>
      <c r="D13" s="31">
        <v>10263765</v>
      </c>
      <c r="E13" s="29">
        <v>15277.6142</v>
      </c>
      <c r="F13" s="30">
        <v>2.40210563402134</v>
      </c>
    </row>
    <row r="14" spans="1:6" x14ac:dyDescent="0.2">
      <c r="A14" s="27" t="s">
        <v>138</v>
      </c>
      <c r="B14" s="27" t="s">
        <v>137</v>
      </c>
      <c r="C14" s="27" t="s">
        <v>139</v>
      </c>
      <c r="D14" s="31">
        <v>6289744</v>
      </c>
      <c r="E14" s="29">
        <v>15249.484329999999</v>
      </c>
      <c r="F14" s="30">
        <v>2.3976827628631399</v>
      </c>
    </row>
    <row r="15" spans="1:6" x14ac:dyDescent="0.2">
      <c r="A15" s="27" t="s">
        <v>382</v>
      </c>
      <c r="B15" s="27" t="s">
        <v>381</v>
      </c>
      <c r="C15" s="27" t="s">
        <v>144</v>
      </c>
      <c r="D15" s="31">
        <v>1346988</v>
      </c>
      <c r="E15" s="29">
        <v>15067.40777</v>
      </c>
      <c r="F15" s="30">
        <v>2.3690547896159</v>
      </c>
    </row>
    <row r="16" spans="1:6" x14ac:dyDescent="0.2">
      <c r="A16" s="27" t="s">
        <v>384</v>
      </c>
      <c r="B16" s="27" t="s">
        <v>383</v>
      </c>
      <c r="C16" s="27" t="s">
        <v>117</v>
      </c>
      <c r="D16" s="31">
        <v>1708713</v>
      </c>
      <c r="E16" s="29">
        <v>14870.07488</v>
      </c>
      <c r="F16" s="30">
        <v>2.3380280572582599</v>
      </c>
    </row>
    <row r="17" spans="1:6" x14ac:dyDescent="0.2">
      <c r="A17" s="27" t="s">
        <v>262</v>
      </c>
      <c r="B17" s="27" t="s">
        <v>261</v>
      </c>
      <c r="C17" s="27" t="s">
        <v>187</v>
      </c>
      <c r="D17" s="31">
        <v>16272603</v>
      </c>
      <c r="E17" s="29">
        <v>13929.348169999999</v>
      </c>
      <c r="F17" s="30">
        <v>2.19011720543394</v>
      </c>
    </row>
    <row r="18" spans="1:6" x14ac:dyDescent="0.2">
      <c r="A18" s="27" t="s">
        <v>108</v>
      </c>
      <c r="B18" s="27" t="s">
        <v>107</v>
      </c>
      <c r="C18" s="27" t="s">
        <v>101</v>
      </c>
      <c r="D18" s="31">
        <v>2259945</v>
      </c>
      <c r="E18" s="29">
        <v>13508.821239999999</v>
      </c>
      <c r="F18" s="30">
        <v>2.12399758134953</v>
      </c>
    </row>
    <row r="19" spans="1:6" x14ac:dyDescent="0.2">
      <c r="A19" s="27" t="s">
        <v>289</v>
      </c>
      <c r="B19" s="27" t="s">
        <v>288</v>
      </c>
      <c r="C19" s="27" t="s">
        <v>290</v>
      </c>
      <c r="D19" s="31">
        <v>1138894</v>
      </c>
      <c r="E19" s="29">
        <v>13483.935509999999</v>
      </c>
      <c r="F19" s="30">
        <v>2.1200847876726399</v>
      </c>
    </row>
    <row r="20" spans="1:6" x14ac:dyDescent="0.2">
      <c r="A20" s="27" t="s">
        <v>386</v>
      </c>
      <c r="B20" s="27" t="s">
        <v>385</v>
      </c>
      <c r="C20" s="27" t="s">
        <v>238</v>
      </c>
      <c r="D20" s="31">
        <v>394766</v>
      </c>
      <c r="E20" s="29">
        <v>13438.624169999999</v>
      </c>
      <c r="F20" s="30">
        <v>2.1129604668412401</v>
      </c>
    </row>
    <row r="21" spans="1:6" x14ac:dyDescent="0.2">
      <c r="A21" s="27" t="s">
        <v>287</v>
      </c>
      <c r="B21" s="27" t="s">
        <v>286</v>
      </c>
      <c r="C21" s="27" t="s">
        <v>210</v>
      </c>
      <c r="D21" s="31">
        <v>1443273</v>
      </c>
      <c r="E21" s="29">
        <v>13369.75944</v>
      </c>
      <c r="F21" s="30">
        <v>2.1021328367052199</v>
      </c>
    </row>
    <row r="22" spans="1:6" x14ac:dyDescent="0.2">
      <c r="A22" s="27" t="s">
        <v>116</v>
      </c>
      <c r="B22" s="27" t="s">
        <v>115</v>
      </c>
      <c r="C22" s="27" t="s">
        <v>117</v>
      </c>
      <c r="D22" s="31">
        <v>1261210</v>
      </c>
      <c r="E22" s="29">
        <v>12841.009620000001</v>
      </c>
      <c r="F22" s="30">
        <v>2.0189972826204898</v>
      </c>
    </row>
    <row r="23" spans="1:6" x14ac:dyDescent="0.2">
      <c r="A23" s="27" t="s">
        <v>100</v>
      </c>
      <c r="B23" s="27" t="s">
        <v>99</v>
      </c>
      <c r="C23" s="27" t="s">
        <v>101</v>
      </c>
      <c r="D23" s="31">
        <v>822910</v>
      </c>
      <c r="E23" s="29">
        <v>12626.731040000001</v>
      </c>
      <c r="F23" s="30">
        <v>1.9853061723771099</v>
      </c>
    </row>
    <row r="24" spans="1:6" x14ac:dyDescent="0.2">
      <c r="A24" s="27" t="s">
        <v>388</v>
      </c>
      <c r="B24" s="27" t="s">
        <v>387</v>
      </c>
      <c r="C24" s="27" t="s">
        <v>133</v>
      </c>
      <c r="D24" s="31">
        <v>5468789</v>
      </c>
      <c r="E24" s="29">
        <v>12501.65165</v>
      </c>
      <c r="F24" s="30">
        <v>1.96563988787184</v>
      </c>
    </row>
    <row r="25" spans="1:6" x14ac:dyDescent="0.2">
      <c r="A25" s="27" t="s">
        <v>390</v>
      </c>
      <c r="B25" s="27" t="s">
        <v>389</v>
      </c>
      <c r="C25" s="27" t="s">
        <v>235</v>
      </c>
      <c r="D25" s="31">
        <v>2829248</v>
      </c>
      <c r="E25" s="29">
        <v>12430.301090000001</v>
      </c>
      <c r="F25" s="30">
        <v>1.9544214096511601</v>
      </c>
    </row>
    <row r="26" spans="1:6" x14ac:dyDescent="0.2">
      <c r="A26" s="27" t="s">
        <v>392</v>
      </c>
      <c r="B26" s="27" t="s">
        <v>391</v>
      </c>
      <c r="C26" s="27" t="s">
        <v>117</v>
      </c>
      <c r="D26" s="31">
        <v>168054</v>
      </c>
      <c r="E26" s="29">
        <v>12198.19959</v>
      </c>
      <c r="F26" s="30">
        <v>1.9179279942843299</v>
      </c>
    </row>
    <row r="27" spans="1:6" x14ac:dyDescent="0.2">
      <c r="A27" s="27" t="s">
        <v>394</v>
      </c>
      <c r="B27" s="27" t="s">
        <v>393</v>
      </c>
      <c r="C27" s="27" t="s">
        <v>148</v>
      </c>
      <c r="D27" s="31">
        <v>2367883</v>
      </c>
      <c r="E27" s="29">
        <v>12019.374110000001</v>
      </c>
      <c r="F27" s="30">
        <v>1.8898111896974901</v>
      </c>
    </row>
    <row r="28" spans="1:6" x14ac:dyDescent="0.2">
      <c r="A28" s="27" t="s">
        <v>396</v>
      </c>
      <c r="B28" s="27" t="s">
        <v>395</v>
      </c>
      <c r="C28" s="27" t="s">
        <v>101</v>
      </c>
      <c r="D28" s="31">
        <v>9949095</v>
      </c>
      <c r="E28" s="29">
        <v>11580.746580000001</v>
      </c>
      <c r="F28" s="30">
        <v>1.82084560074775</v>
      </c>
    </row>
    <row r="29" spans="1:6" x14ac:dyDescent="0.2">
      <c r="A29" s="27" t="s">
        <v>156</v>
      </c>
      <c r="B29" s="27" t="s">
        <v>155</v>
      </c>
      <c r="C29" s="27" t="s">
        <v>101</v>
      </c>
      <c r="D29" s="31">
        <v>19398917</v>
      </c>
      <c r="E29" s="29">
        <v>11571.45399</v>
      </c>
      <c r="F29" s="30">
        <v>1.81938452295763</v>
      </c>
    </row>
    <row r="30" spans="1:6" x14ac:dyDescent="0.2">
      <c r="A30" s="27" t="s">
        <v>398</v>
      </c>
      <c r="B30" s="27" t="s">
        <v>397</v>
      </c>
      <c r="C30" s="27" t="s">
        <v>144</v>
      </c>
      <c r="D30" s="31">
        <v>1875900</v>
      </c>
      <c r="E30" s="29">
        <v>11000.277599999999</v>
      </c>
      <c r="F30" s="30">
        <v>1.72957822162827</v>
      </c>
    </row>
    <row r="31" spans="1:6" x14ac:dyDescent="0.2">
      <c r="A31" s="27" t="s">
        <v>400</v>
      </c>
      <c r="B31" s="27" t="s">
        <v>399</v>
      </c>
      <c r="C31" s="27" t="s">
        <v>114</v>
      </c>
      <c r="D31" s="31">
        <v>1000416</v>
      </c>
      <c r="E31" s="29">
        <v>10808.99467</v>
      </c>
      <c r="F31" s="30">
        <v>1.6995027269973599</v>
      </c>
    </row>
    <row r="32" spans="1:6" x14ac:dyDescent="0.2">
      <c r="A32" s="27" t="s">
        <v>402</v>
      </c>
      <c r="B32" s="27" t="s">
        <v>401</v>
      </c>
      <c r="C32" s="27" t="s">
        <v>235</v>
      </c>
      <c r="D32" s="31">
        <v>5211254</v>
      </c>
      <c r="E32" s="29">
        <v>10766.45076</v>
      </c>
      <c r="F32" s="30">
        <v>1.6928135303357399</v>
      </c>
    </row>
    <row r="33" spans="1:6" x14ac:dyDescent="0.2">
      <c r="A33" s="27" t="s">
        <v>404</v>
      </c>
      <c r="B33" s="27" t="s">
        <v>403</v>
      </c>
      <c r="C33" s="27" t="s">
        <v>235</v>
      </c>
      <c r="D33" s="31">
        <v>3270913</v>
      </c>
      <c r="E33" s="29">
        <v>9588.6814599999998</v>
      </c>
      <c r="F33" s="30">
        <v>1.50763237350908</v>
      </c>
    </row>
    <row r="34" spans="1:6" x14ac:dyDescent="0.2">
      <c r="A34" s="27" t="s">
        <v>406</v>
      </c>
      <c r="B34" s="27" t="s">
        <v>405</v>
      </c>
      <c r="C34" s="27" t="s">
        <v>260</v>
      </c>
      <c r="D34" s="31">
        <v>145642</v>
      </c>
      <c r="E34" s="29">
        <v>9553.3141689999993</v>
      </c>
      <c r="F34" s="30">
        <v>1.50207155963729</v>
      </c>
    </row>
    <row r="35" spans="1:6" x14ac:dyDescent="0.2">
      <c r="A35" s="27" t="s">
        <v>408</v>
      </c>
      <c r="B35" s="27" t="s">
        <v>407</v>
      </c>
      <c r="C35" s="27" t="s">
        <v>203</v>
      </c>
      <c r="D35" s="31">
        <v>23086857</v>
      </c>
      <c r="E35" s="29">
        <v>9430.9810849999994</v>
      </c>
      <c r="F35" s="30">
        <v>1.4828370779664799</v>
      </c>
    </row>
    <row r="36" spans="1:6" x14ac:dyDescent="0.2">
      <c r="A36" s="27" t="s">
        <v>271</v>
      </c>
      <c r="B36" s="27" t="s">
        <v>270</v>
      </c>
      <c r="C36" s="27" t="s">
        <v>139</v>
      </c>
      <c r="D36" s="31">
        <v>1275143</v>
      </c>
      <c r="E36" s="29">
        <v>9309.1814720000002</v>
      </c>
      <c r="F36" s="30">
        <v>1.4636864741628499</v>
      </c>
    </row>
    <row r="37" spans="1:6" x14ac:dyDescent="0.2">
      <c r="A37" s="27" t="s">
        <v>179</v>
      </c>
      <c r="B37" s="27" t="s">
        <v>178</v>
      </c>
      <c r="C37" s="27" t="s">
        <v>144</v>
      </c>
      <c r="D37" s="31">
        <v>205825</v>
      </c>
      <c r="E37" s="29">
        <v>9110.9465380000001</v>
      </c>
      <c r="F37" s="30">
        <v>1.4325179130519601</v>
      </c>
    </row>
    <row r="38" spans="1:6" x14ac:dyDescent="0.2">
      <c r="A38" s="27" t="s">
        <v>333</v>
      </c>
      <c r="B38" s="27" t="s">
        <v>332</v>
      </c>
      <c r="C38" s="27" t="s">
        <v>106</v>
      </c>
      <c r="D38" s="31">
        <v>103243</v>
      </c>
      <c r="E38" s="29">
        <v>8874.5101730000006</v>
      </c>
      <c r="F38" s="30">
        <v>1.3953429250584799</v>
      </c>
    </row>
    <row r="39" spans="1:6" x14ac:dyDescent="0.2">
      <c r="A39" s="27" t="s">
        <v>410</v>
      </c>
      <c r="B39" s="27" t="s">
        <v>409</v>
      </c>
      <c r="C39" s="27" t="s">
        <v>170</v>
      </c>
      <c r="D39" s="31">
        <v>10177038</v>
      </c>
      <c r="E39" s="29">
        <v>8828.5804649999991</v>
      </c>
      <c r="F39" s="30">
        <v>1.38812137796929</v>
      </c>
    </row>
    <row r="40" spans="1:6" x14ac:dyDescent="0.2">
      <c r="A40" s="27" t="s">
        <v>412</v>
      </c>
      <c r="B40" s="27" t="s">
        <v>411</v>
      </c>
      <c r="C40" s="27" t="s">
        <v>187</v>
      </c>
      <c r="D40" s="31">
        <v>1603836</v>
      </c>
      <c r="E40" s="29">
        <v>8322.3050039999998</v>
      </c>
      <c r="F40" s="30">
        <v>1.30851947669633</v>
      </c>
    </row>
    <row r="41" spans="1:6" x14ac:dyDescent="0.2">
      <c r="A41" s="27" t="s">
        <v>414</v>
      </c>
      <c r="B41" s="27" t="s">
        <v>413</v>
      </c>
      <c r="C41" s="27" t="s">
        <v>260</v>
      </c>
      <c r="D41" s="31">
        <v>3836227</v>
      </c>
      <c r="E41" s="29">
        <v>8247.8880499999996</v>
      </c>
      <c r="F41" s="30">
        <v>1.29681886807184</v>
      </c>
    </row>
    <row r="42" spans="1:6" x14ac:dyDescent="0.2">
      <c r="A42" s="27" t="s">
        <v>416</v>
      </c>
      <c r="B42" s="27" t="s">
        <v>415</v>
      </c>
      <c r="C42" s="27" t="s">
        <v>106</v>
      </c>
      <c r="D42" s="31">
        <v>5600639</v>
      </c>
      <c r="E42" s="29">
        <v>8098.5239940000001</v>
      </c>
      <c r="F42" s="30">
        <v>1.2733342954323601</v>
      </c>
    </row>
    <row r="43" spans="1:6" x14ac:dyDescent="0.2">
      <c r="A43" s="27" t="s">
        <v>418</v>
      </c>
      <c r="B43" s="27" t="s">
        <v>417</v>
      </c>
      <c r="C43" s="27" t="s">
        <v>419</v>
      </c>
      <c r="D43" s="31">
        <v>393330</v>
      </c>
      <c r="E43" s="29">
        <v>7706.51469</v>
      </c>
      <c r="F43" s="30">
        <v>1.21169850954328</v>
      </c>
    </row>
    <row r="44" spans="1:6" x14ac:dyDescent="0.2">
      <c r="A44" s="27" t="s">
        <v>421</v>
      </c>
      <c r="B44" s="27" t="s">
        <v>420</v>
      </c>
      <c r="C44" s="27" t="s">
        <v>117</v>
      </c>
      <c r="D44" s="31">
        <v>1846602</v>
      </c>
      <c r="E44" s="29">
        <v>7399.3342140000004</v>
      </c>
      <c r="F44" s="30">
        <v>1.16340039555759</v>
      </c>
    </row>
    <row r="45" spans="1:6" x14ac:dyDescent="0.2">
      <c r="A45" s="27" t="s">
        <v>423</v>
      </c>
      <c r="B45" s="27" t="s">
        <v>422</v>
      </c>
      <c r="C45" s="27" t="s">
        <v>170</v>
      </c>
      <c r="D45" s="31">
        <v>2713308</v>
      </c>
      <c r="E45" s="29">
        <v>7248.6023219999997</v>
      </c>
      <c r="F45" s="30">
        <v>1.139700757495</v>
      </c>
    </row>
    <row r="46" spans="1:6" x14ac:dyDescent="0.2">
      <c r="A46" s="27" t="s">
        <v>425</v>
      </c>
      <c r="B46" s="27" t="s">
        <v>424</v>
      </c>
      <c r="C46" s="27" t="s">
        <v>194</v>
      </c>
      <c r="D46" s="31">
        <v>6313159</v>
      </c>
      <c r="E46" s="29">
        <v>7140.1828290000003</v>
      </c>
      <c r="F46" s="30">
        <v>1.12265391552323</v>
      </c>
    </row>
    <row r="47" spans="1:6" x14ac:dyDescent="0.2">
      <c r="A47" s="27" t="s">
        <v>427</v>
      </c>
      <c r="B47" s="27" t="s">
        <v>426</v>
      </c>
      <c r="C47" s="27" t="s">
        <v>101</v>
      </c>
      <c r="D47" s="31">
        <v>4308453</v>
      </c>
      <c r="E47" s="29">
        <v>7121.8728090000004</v>
      </c>
      <c r="F47" s="30">
        <v>1.1197750234642201</v>
      </c>
    </row>
    <row r="48" spans="1:6" x14ac:dyDescent="0.2">
      <c r="A48" s="27" t="s">
        <v>429</v>
      </c>
      <c r="B48" s="27" t="s">
        <v>428</v>
      </c>
      <c r="C48" s="27" t="s">
        <v>148</v>
      </c>
      <c r="D48" s="31">
        <v>1259536</v>
      </c>
      <c r="E48" s="29">
        <v>6977.8294400000004</v>
      </c>
      <c r="F48" s="30">
        <v>1.09712702465441</v>
      </c>
    </row>
    <row r="49" spans="1:6" x14ac:dyDescent="0.2">
      <c r="A49" s="27" t="s">
        <v>431</v>
      </c>
      <c r="B49" s="27" t="s">
        <v>430</v>
      </c>
      <c r="C49" s="27" t="s">
        <v>187</v>
      </c>
      <c r="D49" s="31">
        <v>454140</v>
      </c>
      <c r="E49" s="29">
        <v>6865.9155899999996</v>
      </c>
      <c r="F49" s="30">
        <v>1.07953076347837</v>
      </c>
    </row>
    <row r="50" spans="1:6" x14ac:dyDescent="0.2">
      <c r="A50" s="27" t="s">
        <v>433</v>
      </c>
      <c r="B50" s="27" t="s">
        <v>432</v>
      </c>
      <c r="C50" s="27" t="s">
        <v>101</v>
      </c>
      <c r="D50" s="31">
        <v>13978767</v>
      </c>
      <c r="E50" s="29">
        <v>6549.0523400000002</v>
      </c>
      <c r="F50" s="30">
        <v>1.0297102229099799</v>
      </c>
    </row>
    <row r="51" spans="1:6" x14ac:dyDescent="0.2">
      <c r="A51" s="27" t="s">
        <v>435</v>
      </c>
      <c r="B51" s="27" t="s">
        <v>434</v>
      </c>
      <c r="C51" s="27" t="s">
        <v>133</v>
      </c>
      <c r="D51" s="31">
        <v>1547102</v>
      </c>
      <c r="E51" s="29">
        <v>6190.7286530000001</v>
      </c>
      <c r="F51" s="30">
        <v>0.97337084059032297</v>
      </c>
    </row>
    <row r="52" spans="1:6" x14ac:dyDescent="0.2">
      <c r="A52" s="27" t="s">
        <v>437</v>
      </c>
      <c r="B52" s="27" t="s">
        <v>436</v>
      </c>
      <c r="C52" s="27" t="s">
        <v>170</v>
      </c>
      <c r="D52" s="31">
        <v>24421468</v>
      </c>
      <c r="E52" s="29">
        <v>5934.4167239999997</v>
      </c>
      <c r="F52" s="30">
        <v>0.93307080940366105</v>
      </c>
    </row>
    <row r="53" spans="1:6" x14ac:dyDescent="0.2">
      <c r="A53" s="27" t="s">
        <v>209</v>
      </c>
      <c r="B53" s="27" t="s">
        <v>208</v>
      </c>
      <c r="C53" s="27" t="s">
        <v>210</v>
      </c>
      <c r="D53" s="31">
        <v>3782418</v>
      </c>
      <c r="E53" s="29">
        <v>5881.6599900000001</v>
      </c>
      <c r="F53" s="30">
        <v>0.92477584617740305</v>
      </c>
    </row>
    <row r="54" spans="1:6" x14ac:dyDescent="0.2">
      <c r="A54" s="27" t="s">
        <v>439</v>
      </c>
      <c r="B54" s="27" t="s">
        <v>438</v>
      </c>
      <c r="C54" s="27" t="s">
        <v>194</v>
      </c>
      <c r="D54" s="31">
        <v>2017424</v>
      </c>
      <c r="E54" s="29">
        <v>5865.6602800000001</v>
      </c>
      <c r="F54" s="30">
        <v>0.92226020512045703</v>
      </c>
    </row>
    <row r="55" spans="1:6" x14ac:dyDescent="0.2">
      <c r="A55" s="27" t="s">
        <v>441</v>
      </c>
      <c r="B55" s="27" t="s">
        <v>440</v>
      </c>
      <c r="C55" s="27" t="s">
        <v>148</v>
      </c>
      <c r="D55" s="31">
        <v>1196703</v>
      </c>
      <c r="E55" s="29">
        <v>5756.7397819999996</v>
      </c>
      <c r="F55" s="30">
        <v>0.90513458992419005</v>
      </c>
    </row>
    <row r="56" spans="1:6" x14ac:dyDescent="0.2">
      <c r="A56" s="27" t="s">
        <v>228</v>
      </c>
      <c r="B56" s="27" t="s">
        <v>227</v>
      </c>
      <c r="C56" s="27" t="s">
        <v>106</v>
      </c>
      <c r="D56" s="31">
        <v>193545</v>
      </c>
      <c r="E56" s="29">
        <v>5601.772935</v>
      </c>
      <c r="F56" s="30">
        <v>0.88076908812580001</v>
      </c>
    </row>
    <row r="57" spans="1:6" x14ac:dyDescent="0.2">
      <c r="A57" s="27" t="s">
        <v>443</v>
      </c>
      <c r="B57" s="27" t="s">
        <v>442</v>
      </c>
      <c r="C57" s="27" t="s">
        <v>182</v>
      </c>
      <c r="D57" s="31">
        <v>1488061</v>
      </c>
      <c r="E57" s="29">
        <v>5559.395896</v>
      </c>
      <c r="F57" s="30">
        <v>0.87410612866089599</v>
      </c>
    </row>
    <row r="58" spans="1:6" x14ac:dyDescent="0.2">
      <c r="A58" s="27" t="s">
        <v>445</v>
      </c>
      <c r="B58" s="27" t="s">
        <v>444</v>
      </c>
      <c r="C58" s="27" t="s">
        <v>235</v>
      </c>
      <c r="D58" s="31">
        <v>1915648</v>
      </c>
      <c r="E58" s="29">
        <v>5409.7899520000001</v>
      </c>
      <c r="F58" s="30">
        <v>0.850583523870582</v>
      </c>
    </row>
    <row r="59" spans="1:6" x14ac:dyDescent="0.2">
      <c r="A59" s="27" t="s">
        <v>447</v>
      </c>
      <c r="B59" s="27" t="s">
        <v>446</v>
      </c>
      <c r="C59" s="27" t="s">
        <v>187</v>
      </c>
      <c r="D59" s="31">
        <v>1054022</v>
      </c>
      <c r="E59" s="29">
        <v>4901.2022999999999</v>
      </c>
      <c r="F59" s="30">
        <v>0.77061807584513797</v>
      </c>
    </row>
    <row r="60" spans="1:6" x14ac:dyDescent="0.2">
      <c r="A60" s="27" t="s">
        <v>279</v>
      </c>
      <c r="B60" s="27" t="s">
        <v>278</v>
      </c>
      <c r="C60" s="27" t="s">
        <v>148</v>
      </c>
      <c r="D60" s="31">
        <v>741126</v>
      </c>
      <c r="E60" s="29">
        <v>4543.8435060000002</v>
      </c>
      <c r="F60" s="30">
        <v>0.71443040405313296</v>
      </c>
    </row>
    <row r="61" spans="1:6" x14ac:dyDescent="0.2">
      <c r="A61" s="27" t="s">
        <v>449</v>
      </c>
      <c r="B61" s="27" t="s">
        <v>448</v>
      </c>
      <c r="C61" s="27" t="s">
        <v>167</v>
      </c>
      <c r="D61" s="31">
        <v>988899</v>
      </c>
      <c r="E61" s="29">
        <v>4387.7448629999999</v>
      </c>
      <c r="F61" s="30">
        <v>0.68988694949899299</v>
      </c>
    </row>
    <row r="62" spans="1:6" x14ac:dyDescent="0.2">
      <c r="A62" s="27" t="s">
        <v>451</v>
      </c>
      <c r="B62" s="27" t="s">
        <v>450</v>
      </c>
      <c r="C62" s="27" t="s">
        <v>170</v>
      </c>
      <c r="D62" s="31">
        <v>11046869</v>
      </c>
      <c r="E62" s="29">
        <v>2894.2796779999999</v>
      </c>
      <c r="F62" s="30">
        <v>0.45506879738835598</v>
      </c>
    </row>
    <row r="63" spans="1:6" x14ac:dyDescent="0.2">
      <c r="A63" s="27" t="s">
        <v>453</v>
      </c>
      <c r="B63" s="27" t="s">
        <v>452</v>
      </c>
      <c r="C63" s="27" t="s">
        <v>246</v>
      </c>
      <c r="D63" s="31">
        <v>7989354</v>
      </c>
      <c r="E63" s="29">
        <v>1645.806924</v>
      </c>
      <c r="F63" s="30">
        <v>0.25877090708650902</v>
      </c>
    </row>
    <row r="64" spans="1:6" x14ac:dyDescent="0.2">
      <c r="A64" s="27" t="s">
        <v>455</v>
      </c>
      <c r="B64" s="27" t="s">
        <v>454</v>
      </c>
      <c r="C64" s="27" t="s">
        <v>144</v>
      </c>
      <c r="D64" s="31">
        <v>112700</v>
      </c>
      <c r="E64" s="29">
        <v>327.78795000000002</v>
      </c>
      <c r="F64" s="30">
        <v>5.1538235692540603E-2</v>
      </c>
    </row>
    <row r="65" spans="1:9" x14ac:dyDescent="0.2">
      <c r="A65" s="26" t="s">
        <v>40</v>
      </c>
      <c r="B65" s="26"/>
      <c r="C65" s="26"/>
      <c r="D65" s="32"/>
      <c r="E65" s="33">
        <f>SUM(E7:E64)</f>
        <v>604129.9689969999</v>
      </c>
      <c r="F65" s="34">
        <f>SUM(F7:F64)</f>
        <v>94.987606259152159</v>
      </c>
      <c r="G65" s="18"/>
      <c r="H65" s="18"/>
      <c r="I65" s="18"/>
    </row>
    <row r="66" spans="1:9" x14ac:dyDescent="0.2">
      <c r="A66" s="27"/>
      <c r="B66" s="27"/>
      <c r="C66" s="27"/>
      <c r="D66" s="28"/>
      <c r="E66" s="29"/>
      <c r="F66" s="30"/>
    </row>
    <row r="67" spans="1:9" x14ac:dyDescent="0.2">
      <c r="A67" s="26" t="s">
        <v>44</v>
      </c>
      <c r="B67" s="26"/>
      <c r="C67" s="26"/>
      <c r="D67" s="32"/>
      <c r="E67" s="33">
        <f>E65</f>
        <v>604129.9689969999</v>
      </c>
      <c r="F67" s="34">
        <f>F65</f>
        <v>94.987606259152159</v>
      </c>
      <c r="G67" s="18"/>
      <c r="H67" s="18"/>
      <c r="I67" s="18"/>
    </row>
    <row r="68" spans="1:9" x14ac:dyDescent="0.2">
      <c r="A68" s="26"/>
      <c r="B68" s="26"/>
      <c r="C68" s="26"/>
      <c r="D68" s="32"/>
      <c r="E68" s="33"/>
      <c r="F68" s="34"/>
      <c r="G68" s="18"/>
      <c r="H68" s="18"/>
      <c r="I68" s="18"/>
    </row>
    <row r="69" spans="1:9" x14ac:dyDescent="0.2">
      <c r="A69" s="26" t="s">
        <v>46</v>
      </c>
      <c r="B69" s="26"/>
      <c r="C69" s="26"/>
      <c r="D69" s="32"/>
      <c r="E69" s="33">
        <f>E71-(E65)</f>
        <v>31879.28819890006</v>
      </c>
      <c r="F69" s="34">
        <f>F71-(F65)</f>
        <v>5.0123937408478412</v>
      </c>
      <c r="G69" s="18"/>
      <c r="H69" s="18"/>
      <c r="I69" s="18"/>
    </row>
    <row r="70" spans="1:9" x14ac:dyDescent="0.2">
      <c r="A70" s="26"/>
      <c r="B70" s="26"/>
      <c r="C70" s="26"/>
      <c r="D70" s="32"/>
      <c r="E70" s="33"/>
      <c r="F70" s="34"/>
      <c r="G70" s="18"/>
      <c r="H70" s="18"/>
      <c r="I70" s="18"/>
    </row>
    <row r="71" spans="1:9" x14ac:dyDescent="0.2">
      <c r="A71" s="35" t="s">
        <v>45</v>
      </c>
      <c r="B71" s="35"/>
      <c r="C71" s="35"/>
      <c r="D71" s="36"/>
      <c r="E71" s="37">
        <v>636009.25719589996</v>
      </c>
      <c r="F71" s="38">
        <v>100</v>
      </c>
      <c r="G71" s="18"/>
      <c r="H71" s="18"/>
      <c r="I71" s="18"/>
    </row>
    <row r="74" spans="1:9" x14ac:dyDescent="0.2">
      <c r="A74" s="18" t="s">
        <v>48</v>
      </c>
    </row>
    <row r="75" spans="1:9" x14ac:dyDescent="0.2">
      <c r="A75" s="18" t="s">
        <v>49</v>
      </c>
    </row>
    <row r="76" spans="1:9" x14ac:dyDescent="0.2">
      <c r="A76" s="18" t="s">
        <v>50</v>
      </c>
      <c r="B76" s="18"/>
      <c r="C76" s="39" t="s">
        <v>52</v>
      </c>
      <c r="D76" s="19" t="s">
        <v>51</v>
      </c>
    </row>
    <row r="77" spans="1:9" x14ac:dyDescent="0.2">
      <c r="A77" s="9" t="s">
        <v>70</v>
      </c>
      <c r="C77" s="40">
        <v>46.0732</v>
      </c>
      <c r="D77" s="40">
        <v>66.493399999999994</v>
      </c>
    </row>
    <row r="78" spans="1:9" x14ac:dyDescent="0.2">
      <c r="A78" s="9" t="s">
        <v>76</v>
      </c>
      <c r="C78" s="40">
        <v>19.4133</v>
      </c>
      <c r="D78" s="40">
        <v>26.6906</v>
      </c>
    </row>
    <row r="79" spans="1:9" x14ac:dyDescent="0.2">
      <c r="A79" s="9" t="s">
        <v>73</v>
      </c>
      <c r="C79" s="40">
        <v>50.057000000000002</v>
      </c>
      <c r="D79" s="40">
        <v>72.536299999999997</v>
      </c>
    </row>
    <row r="80" spans="1:9" x14ac:dyDescent="0.2">
      <c r="A80" s="9" t="s">
        <v>77</v>
      </c>
      <c r="C80" s="40">
        <v>21.730799999999999</v>
      </c>
      <c r="D80" s="40">
        <v>30.162199999999999</v>
      </c>
    </row>
    <row r="82" spans="1:4" x14ac:dyDescent="0.2">
      <c r="A82" s="18" t="s">
        <v>53</v>
      </c>
    </row>
    <row r="83" spans="1:4" x14ac:dyDescent="0.2">
      <c r="A83" s="18" t="s">
        <v>224</v>
      </c>
      <c r="D83" s="46">
        <v>9.9900000000000003E-2</v>
      </c>
    </row>
    <row r="85" spans="1:4" x14ac:dyDescent="0.2">
      <c r="A85" s="18" t="s">
        <v>729</v>
      </c>
    </row>
    <row r="86" spans="1:4" x14ac:dyDescent="0.2">
      <c r="A86" s="50" t="s">
        <v>56</v>
      </c>
    </row>
  </sheetData>
  <mergeCells count="1">
    <mergeCell ref="A1:F1"/>
  </mergeCells>
  <conditionalFormatting sqref="F2:F3 F5:F65531">
    <cfRule type="cellIs" dxfId="24" priority="1" stopIfTrue="1" operator="between">
      <formula>0.009</formula>
      <formula>-0.009</formula>
    </cfRule>
  </conditionalFormatting>
  <hyperlinks>
    <hyperlink ref="A86" r:id="rId1" xr:uid="{00000000-0004-0000-2A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9"/>
  <sheetViews>
    <sheetView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35.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14</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1858877</v>
      </c>
      <c r="E7" s="29">
        <v>28522.608690000001</v>
      </c>
      <c r="F7" s="30">
        <v>3.8566654804888501</v>
      </c>
    </row>
    <row r="8" spans="1:6" x14ac:dyDescent="0.2">
      <c r="A8" s="27" t="s">
        <v>457</v>
      </c>
      <c r="B8" s="27" t="s">
        <v>456</v>
      </c>
      <c r="C8" s="27" t="s">
        <v>117</v>
      </c>
      <c r="D8" s="31">
        <v>7341052</v>
      </c>
      <c r="E8" s="29">
        <v>28274.06178</v>
      </c>
      <c r="F8" s="30">
        <v>3.82305837608626</v>
      </c>
    </row>
    <row r="9" spans="1:6" x14ac:dyDescent="0.2">
      <c r="A9" s="27" t="s">
        <v>459</v>
      </c>
      <c r="B9" s="27" t="s">
        <v>458</v>
      </c>
      <c r="C9" s="27" t="s">
        <v>182</v>
      </c>
      <c r="D9" s="31">
        <v>2918543</v>
      </c>
      <c r="E9" s="29">
        <v>28261.711139999999</v>
      </c>
      <c r="F9" s="30">
        <v>3.8213883925490699</v>
      </c>
    </row>
    <row r="10" spans="1:6" x14ac:dyDescent="0.2">
      <c r="A10" s="27" t="s">
        <v>108</v>
      </c>
      <c r="B10" s="27" t="s">
        <v>107</v>
      </c>
      <c r="C10" s="27" t="s">
        <v>101</v>
      </c>
      <c r="D10" s="31">
        <v>4592911</v>
      </c>
      <c r="E10" s="29">
        <v>27454.125499999998</v>
      </c>
      <c r="F10" s="30">
        <v>3.7121912397157599</v>
      </c>
    </row>
    <row r="11" spans="1:6" x14ac:dyDescent="0.2">
      <c r="A11" s="27" t="s">
        <v>116</v>
      </c>
      <c r="B11" s="27" t="s">
        <v>115</v>
      </c>
      <c r="C11" s="27" t="s">
        <v>117</v>
      </c>
      <c r="D11" s="31">
        <v>2622087</v>
      </c>
      <c r="E11" s="29">
        <v>26696.77879</v>
      </c>
      <c r="F11" s="30">
        <v>3.60978711024205</v>
      </c>
    </row>
    <row r="12" spans="1:6" x14ac:dyDescent="0.2">
      <c r="A12" s="27" t="s">
        <v>325</v>
      </c>
      <c r="B12" s="27" t="s">
        <v>324</v>
      </c>
      <c r="C12" s="27" t="s">
        <v>106</v>
      </c>
      <c r="D12" s="31">
        <v>458016</v>
      </c>
      <c r="E12" s="29">
        <v>22490.18866</v>
      </c>
      <c r="F12" s="30">
        <v>3.0409958358792699</v>
      </c>
    </row>
    <row r="13" spans="1:6" x14ac:dyDescent="0.2">
      <c r="A13" s="27" t="s">
        <v>160</v>
      </c>
      <c r="B13" s="27" t="s">
        <v>159</v>
      </c>
      <c r="C13" s="27" t="s">
        <v>133</v>
      </c>
      <c r="D13" s="31">
        <v>4023612</v>
      </c>
      <c r="E13" s="29">
        <v>22489.97927</v>
      </c>
      <c r="F13" s="30">
        <v>3.04096752335029</v>
      </c>
    </row>
    <row r="14" spans="1:6" x14ac:dyDescent="0.2">
      <c r="A14" s="27" t="s">
        <v>292</v>
      </c>
      <c r="B14" s="27" t="s">
        <v>291</v>
      </c>
      <c r="C14" s="27" t="s">
        <v>136</v>
      </c>
      <c r="D14" s="31">
        <v>16789858</v>
      </c>
      <c r="E14" s="29">
        <v>21633.732029999999</v>
      </c>
      <c r="F14" s="30">
        <v>2.92519062477967</v>
      </c>
    </row>
    <row r="15" spans="1:6" x14ac:dyDescent="0.2">
      <c r="A15" s="27" t="s">
        <v>427</v>
      </c>
      <c r="B15" s="27" t="s">
        <v>426</v>
      </c>
      <c r="C15" s="27" t="s">
        <v>101</v>
      </c>
      <c r="D15" s="31">
        <v>13060416</v>
      </c>
      <c r="E15" s="29">
        <v>21588.86765</v>
      </c>
      <c r="F15" s="30">
        <v>2.9191243176080399</v>
      </c>
    </row>
    <row r="16" spans="1:6" x14ac:dyDescent="0.2">
      <c r="A16" s="27" t="s">
        <v>220</v>
      </c>
      <c r="B16" s="27" t="s">
        <v>219</v>
      </c>
      <c r="C16" s="27" t="s">
        <v>101</v>
      </c>
      <c r="D16" s="31">
        <v>23869927</v>
      </c>
      <c r="E16" s="29">
        <v>19943.32401</v>
      </c>
      <c r="F16" s="30">
        <v>2.6966232335732201</v>
      </c>
    </row>
    <row r="17" spans="1:6" x14ac:dyDescent="0.2">
      <c r="A17" s="27" t="s">
        <v>119</v>
      </c>
      <c r="B17" s="27" t="s">
        <v>118</v>
      </c>
      <c r="C17" s="27" t="s">
        <v>101</v>
      </c>
      <c r="D17" s="31">
        <v>1085442</v>
      </c>
      <c r="E17" s="29">
        <v>19324.666649999999</v>
      </c>
      <c r="F17" s="30">
        <v>2.6129718919132001</v>
      </c>
    </row>
    <row r="18" spans="1:6" x14ac:dyDescent="0.2">
      <c r="A18" s="27" t="s">
        <v>461</v>
      </c>
      <c r="B18" s="27" t="s">
        <v>460</v>
      </c>
      <c r="C18" s="27" t="s">
        <v>187</v>
      </c>
      <c r="D18" s="31">
        <v>699058</v>
      </c>
      <c r="E18" s="29">
        <v>18504.414789999999</v>
      </c>
      <c r="F18" s="30">
        <v>2.50206208460382</v>
      </c>
    </row>
    <row r="19" spans="1:6" x14ac:dyDescent="0.2">
      <c r="A19" s="27" t="s">
        <v>152</v>
      </c>
      <c r="B19" s="27" t="s">
        <v>151</v>
      </c>
      <c r="C19" s="27" t="s">
        <v>139</v>
      </c>
      <c r="D19" s="31">
        <v>3864460</v>
      </c>
      <c r="E19" s="29">
        <v>17384.27331</v>
      </c>
      <c r="F19" s="30">
        <v>2.35060290265689</v>
      </c>
    </row>
    <row r="20" spans="1:6" x14ac:dyDescent="0.2">
      <c r="A20" s="27" t="s">
        <v>463</v>
      </c>
      <c r="B20" s="27" t="s">
        <v>462</v>
      </c>
      <c r="C20" s="27" t="s">
        <v>167</v>
      </c>
      <c r="D20" s="31">
        <v>2131049</v>
      </c>
      <c r="E20" s="29">
        <v>17232.727739999998</v>
      </c>
      <c r="F20" s="30">
        <v>2.3301117696440499</v>
      </c>
    </row>
    <row r="21" spans="1:6" x14ac:dyDescent="0.2">
      <c r="A21" s="27" t="s">
        <v>205</v>
      </c>
      <c r="B21" s="27" t="s">
        <v>204</v>
      </c>
      <c r="C21" s="27" t="s">
        <v>187</v>
      </c>
      <c r="D21" s="31">
        <v>2871672</v>
      </c>
      <c r="E21" s="29">
        <v>17228.596160000001</v>
      </c>
      <c r="F21" s="30">
        <v>2.3295531208143099</v>
      </c>
    </row>
    <row r="22" spans="1:6" x14ac:dyDescent="0.2">
      <c r="A22" s="27" t="s">
        <v>113</v>
      </c>
      <c r="B22" s="27" t="s">
        <v>112</v>
      </c>
      <c r="C22" s="27" t="s">
        <v>114</v>
      </c>
      <c r="D22" s="31">
        <v>1061879</v>
      </c>
      <c r="E22" s="29">
        <v>16544.074820000002</v>
      </c>
      <c r="F22" s="30">
        <v>2.23699602509671</v>
      </c>
    </row>
    <row r="23" spans="1:6" x14ac:dyDescent="0.2">
      <c r="A23" s="27" t="s">
        <v>465</v>
      </c>
      <c r="B23" s="27" t="s">
        <v>464</v>
      </c>
      <c r="C23" s="27" t="s">
        <v>419</v>
      </c>
      <c r="D23" s="31">
        <v>537865</v>
      </c>
      <c r="E23" s="29">
        <v>16451.40782</v>
      </c>
      <c r="F23" s="30">
        <v>2.2244661185946502</v>
      </c>
    </row>
    <row r="24" spans="1:6" x14ac:dyDescent="0.2">
      <c r="A24" s="27" t="s">
        <v>294</v>
      </c>
      <c r="B24" s="27" t="s">
        <v>293</v>
      </c>
      <c r="C24" s="27" t="s">
        <v>182</v>
      </c>
      <c r="D24" s="31">
        <v>607739</v>
      </c>
      <c r="E24" s="29">
        <v>16336.63206</v>
      </c>
      <c r="F24" s="30">
        <v>2.2089467908781799</v>
      </c>
    </row>
    <row r="25" spans="1:6" x14ac:dyDescent="0.2">
      <c r="A25" s="27" t="s">
        <v>245</v>
      </c>
      <c r="B25" s="27" t="s">
        <v>244</v>
      </c>
      <c r="C25" s="27" t="s">
        <v>246</v>
      </c>
      <c r="D25" s="31">
        <v>11687252</v>
      </c>
      <c r="E25" s="29">
        <v>16023.22249</v>
      </c>
      <c r="F25" s="30">
        <v>2.1665693252329099</v>
      </c>
    </row>
    <row r="26" spans="1:6" x14ac:dyDescent="0.2">
      <c r="A26" s="27" t="s">
        <v>202</v>
      </c>
      <c r="B26" s="27" t="s">
        <v>201</v>
      </c>
      <c r="C26" s="27" t="s">
        <v>203</v>
      </c>
      <c r="D26" s="31">
        <v>12640848</v>
      </c>
      <c r="E26" s="29">
        <v>15529.28177</v>
      </c>
      <c r="F26" s="30">
        <v>2.0997814607379</v>
      </c>
    </row>
    <row r="27" spans="1:6" x14ac:dyDescent="0.2">
      <c r="A27" s="27" t="s">
        <v>371</v>
      </c>
      <c r="B27" s="27" t="s">
        <v>370</v>
      </c>
      <c r="C27" s="27" t="s">
        <v>260</v>
      </c>
      <c r="D27" s="31">
        <v>1125123</v>
      </c>
      <c r="E27" s="29">
        <v>15398.995940000001</v>
      </c>
      <c r="F27" s="30">
        <v>2.08216494926734</v>
      </c>
    </row>
    <row r="28" spans="1:6" x14ac:dyDescent="0.2">
      <c r="A28" s="27" t="s">
        <v>467</v>
      </c>
      <c r="B28" s="27" t="s">
        <v>466</v>
      </c>
      <c r="C28" s="27" t="s">
        <v>260</v>
      </c>
      <c r="D28" s="31">
        <v>1206117</v>
      </c>
      <c r="E28" s="29">
        <v>14895.54495</v>
      </c>
      <c r="F28" s="30">
        <v>2.0140911599672799</v>
      </c>
    </row>
    <row r="29" spans="1:6" x14ac:dyDescent="0.2">
      <c r="A29" s="27" t="s">
        <v>281</v>
      </c>
      <c r="B29" s="27" t="s">
        <v>280</v>
      </c>
      <c r="C29" s="27" t="s">
        <v>133</v>
      </c>
      <c r="D29" s="31">
        <v>2435553</v>
      </c>
      <c r="E29" s="29">
        <v>14836.1711</v>
      </c>
      <c r="F29" s="30">
        <v>2.0060629645021502</v>
      </c>
    </row>
    <row r="30" spans="1:6" x14ac:dyDescent="0.2">
      <c r="A30" s="27" t="s">
        <v>253</v>
      </c>
      <c r="B30" s="27" t="s">
        <v>252</v>
      </c>
      <c r="C30" s="27" t="s">
        <v>148</v>
      </c>
      <c r="D30" s="31">
        <v>3745052</v>
      </c>
      <c r="E30" s="29">
        <v>14618.81048</v>
      </c>
      <c r="F30" s="30">
        <v>1.976672693469</v>
      </c>
    </row>
    <row r="31" spans="1:6" x14ac:dyDescent="0.2">
      <c r="A31" s="27" t="s">
        <v>469</v>
      </c>
      <c r="B31" s="27" t="s">
        <v>468</v>
      </c>
      <c r="C31" s="27" t="s">
        <v>133</v>
      </c>
      <c r="D31" s="31">
        <v>3166673</v>
      </c>
      <c r="E31" s="29">
        <v>14414.6955</v>
      </c>
      <c r="F31" s="30">
        <v>1.94907342280016</v>
      </c>
    </row>
    <row r="32" spans="1:6" x14ac:dyDescent="0.2">
      <c r="A32" s="27" t="s">
        <v>471</v>
      </c>
      <c r="B32" s="27" t="s">
        <v>470</v>
      </c>
      <c r="C32" s="27" t="s">
        <v>235</v>
      </c>
      <c r="D32" s="31">
        <v>2606125</v>
      </c>
      <c r="E32" s="29">
        <v>14219.018</v>
      </c>
      <c r="F32" s="30">
        <v>1.92261502035316</v>
      </c>
    </row>
    <row r="33" spans="1:6" x14ac:dyDescent="0.2">
      <c r="A33" s="27" t="s">
        <v>473</v>
      </c>
      <c r="B33" s="27" t="s">
        <v>472</v>
      </c>
      <c r="C33" s="27" t="s">
        <v>106</v>
      </c>
      <c r="D33" s="31">
        <v>855954</v>
      </c>
      <c r="E33" s="29">
        <v>14096.70643</v>
      </c>
      <c r="F33" s="30">
        <v>1.9060767431215699</v>
      </c>
    </row>
    <row r="34" spans="1:6" x14ac:dyDescent="0.2">
      <c r="A34" s="27" t="s">
        <v>475</v>
      </c>
      <c r="B34" s="27" t="s">
        <v>474</v>
      </c>
      <c r="C34" s="27" t="s">
        <v>114</v>
      </c>
      <c r="D34" s="31">
        <v>1950821</v>
      </c>
      <c r="E34" s="29">
        <v>13983.484930000001</v>
      </c>
      <c r="F34" s="30">
        <v>1.8907675736327301</v>
      </c>
    </row>
    <row r="35" spans="1:6" x14ac:dyDescent="0.2">
      <c r="A35" s="27" t="s">
        <v>130</v>
      </c>
      <c r="B35" s="27" t="s">
        <v>129</v>
      </c>
      <c r="C35" s="27" t="s">
        <v>125</v>
      </c>
      <c r="D35" s="31">
        <v>5451482</v>
      </c>
      <c r="E35" s="29">
        <v>13617.80204</v>
      </c>
      <c r="F35" s="30">
        <v>1.84132200594302</v>
      </c>
    </row>
    <row r="36" spans="1:6" x14ac:dyDescent="0.2">
      <c r="A36" s="27" t="s">
        <v>477</v>
      </c>
      <c r="B36" s="27" t="s">
        <v>476</v>
      </c>
      <c r="C36" s="27" t="s">
        <v>114</v>
      </c>
      <c r="D36" s="31">
        <v>5610107</v>
      </c>
      <c r="E36" s="29">
        <v>13021.058349999999</v>
      </c>
      <c r="F36" s="30">
        <v>1.7606337065333899</v>
      </c>
    </row>
    <row r="37" spans="1:6" x14ac:dyDescent="0.2">
      <c r="A37" s="27" t="s">
        <v>479</v>
      </c>
      <c r="B37" s="27" t="s">
        <v>478</v>
      </c>
      <c r="C37" s="27" t="s">
        <v>148</v>
      </c>
      <c r="D37" s="31">
        <v>239692</v>
      </c>
      <c r="E37" s="29">
        <v>12447.325409999999</v>
      </c>
      <c r="F37" s="30">
        <v>1.6830567903134801</v>
      </c>
    </row>
    <row r="38" spans="1:6" x14ac:dyDescent="0.2">
      <c r="A38" s="27" t="s">
        <v>481</v>
      </c>
      <c r="B38" s="27" t="s">
        <v>480</v>
      </c>
      <c r="C38" s="27" t="s">
        <v>101</v>
      </c>
      <c r="D38" s="31">
        <v>5234341</v>
      </c>
      <c r="E38" s="29">
        <v>12332.107400000001</v>
      </c>
      <c r="F38" s="30">
        <v>1.6674776640586799</v>
      </c>
    </row>
    <row r="39" spans="1:6" x14ac:dyDescent="0.2">
      <c r="A39" s="27" t="s">
        <v>483</v>
      </c>
      <c r="B39" s="27" t="s">
        <v>482</v>
      </c>
      <c r="C39" s="27" t="s">
        <v>484</v>
      </c>
      <c r="D39" s="31">
        <v>1586228</v>
      </c>
      <c r="E39" s="29">
        <v>12235.36968</v>
      </c>
      <c r="F39" s="30">
        <v>1.6543973378711301</v>
      </c>
    </row>
    <row r="40" spans="1:6" x14ac:dyDescent="0.2">
      <c r="A40" s="27" t="s">
        <v>486</v>
      </c>
      <c r="B40" s="27" t="s">
        <v>485</v>
      </c>
      <c r="C40" s="27" t="s">
        <v>487</v>
      </c>
      <c r="D40" s="31">
        <v>511704</v>
      </c>
      <c r="E40" s="29">
        <v>11140.307779999999</v>
      </c>
      <c r="F40" s="30">
        <v>1.50632927458037</v>
      </c>
    </row>
    <row r="41" spans="1:6" x14ac:dyDescent="0.2">
      <c r="A41" s="27" t="s">
        <v>489</v>
      </c>
      <c r="B41" s="27" t="s">
        <v>488</v>
      </c>
      <c r="C41" s="27" t="s">
        <v>144</v>
      </c>
      <c r="D41" s="31">
        <v>595458</v>
      </c>
      <c r="E41" s="29">
        <v>11013.293439999999</v>
      </c>
      <c r="F41" s="30">
        <v>1.48915511544475</v>
      </c>
    </row>
    <row r="42" spans="1:6" x14ac:dyDescent="0.2">
      <c r="A42" s="27" t="s">
        <v>491</v>
      </c>
      <c r="B42" s="27" t="s">
        <v>490</v>
      </c>
      <c r="C42" s="27" t="s">
        <v>275</v>
      </c>
      <c r="D42" s="31">
        <v>1940126</v>
      </c>
      <c r="E42" s="29">
        <v>10822.99289</v>
      </c>
      <c r="F42" s="30">
        <v>1.46342375370011</v>
      </c>
    </row>
    <row r="43" spans="1:6" x14ac:dyDescent="0.2">
      <c r="A43" s="27" t="s">
        <v>162</v>
      </c>
      <c r="B43" s="27" t="s">
        <v>161</v>
      </c>
      <c r="C43" s="27" t="s">
        <v>136</v>
      </c>
      <c r="D43" s="31">
        <v>1763341</v>
      </c>
      <c r="E43" s="29">
        <v>10487.470600000001</v>
      </c>
      <c r="F43" s="30">
        <v>1.4180563313916701</v>
      </c>
    </row>
    <row r="44" spans="1:6" x14ac:dyDescent="0.2">
      <c r="A44" s="27" t="s">
        <v>255</v>
      </c>
      <c r="B44" s="27" t="s">
        <v>254</v>
      </c>
      <c r="C44" s="27" t="s">
        <v>114</v>
      </c>
      <c r="D44" s="31">
        <v>68736</v>
      </c>
      <c r="E44" s="29">
        <v>10210.664059999999</v>
      </c>
      <c r="F44" s="30">
        <v>1.38062811999649</v>
      </c>
    </row>
    <row r="45" spans="1:6" x14ac:dyDescent="0.2">
      <c r="A45" s="27" t="s">
        <v>262</v>
      </c>
      <c r="B45" s="27" t="s">
        <v>261</v>
      </c>
      <c r="C45" s="27" t="s">
        <v>187</v>
      </c>
      <c r="D45" s="31">
        <v>11253507</v>
      </c>
      <c r="E45" s="29">
        <v>9633.0019919999995</v>
      </c>
      <c r="F45" s="30">
        <v>1.3025199293587699</v>
      </c>
    </row>
    <row r="46" spans="1:6" x14ac:dyDescent="0.2">
      <c r="A46" s="27" t="s">
        <v>493</v>
      </c>
      <c r="B46" s="27" t="s">
        <v>492</v>
      </c>
      <c r="C46" s="27" t="s">
        <v>235</v>
      </c>
      <c r="D46" s="31">
        <v>968720</v>
      </c>
      <c r="E46" s="29">
        <v>9174.2627599999996</v>
      </c>
      <c r="F46" s="30">
        <v>1.2404918105485701</v>
      </c>
    </row>
    <row r="47" spans="1:6" x14ac:dyDescent="0.2">
      <c r="A47" s="27" t="s">
        <v>418</v>
      </c>
      <c r="B47" s="27" t="s">
        <v>417</v>
      </c>
      <c r="C47" s="27" t="s">
        <v>419</v>
      </c>
      <c r="D47" s="31">
        <v>432925</v>
      </c>
      <c r="E47" s="29">
        <v>8482.2995250000004</v>
      </c>
      <c r="F47" s="30">
        <v>1.1469284639698401</v>
      </c>
    </row>
    <row r="48" spans="1:6" x14ac:dyDescent="0.2">
      <c r="A48" s="27" t="s">
        <v>166</v>
      </c>
      <c r="B48" s="27" t="s">
        <v>165</v>
      </c>
      <c r="C48" s="27" t="s">
        <v>167</v>
      </c>
      <c r="D48" s="31">
        <v>4468223</v>
      </c>
      <c r="E48" s="29">
        <v>8203.6574280000004</v>
      </c>
      <c r="F48" s="30">
        <v>1.1092520589610799</v>
      </c>
    </row>
    <row r="49" spans="1:9" x14ac:dyDescent="0.2">
      <c r="A49" s="27" t="s">
        <v>156</v>
      </c>
      <c r="B49" s="27" t="s">
        <v>155</v>
      </c>
      <c r="C49" s="27" t="s">
        <v>101</v>
      </c>
      <c r="D49" s="31">
        <v>12530441</v>
      </c>
      <c r="E49" s="29">
        <v>7474.4080569999996</v>
      </c>
      <c r="F49" s="30">
        <v>1.0106470924108</v>
      </c>
    </row>
    <row r="50" spans="1:9" x14ac:dyDescent="0.2">
      <c r="A50" s="27" t="s">
        <v>495</v>
      </c>
      <c r="B50" s="27" t="s">
        <v>494</v>
      </c>
      <c r="C50" s="27" t="s">
        <v>148</v>
      </c>
      <c r="D50" s="31">
        <v>408622</v>
      </c>
      <c r="E50" s="29">
        <v>7433.8557350000001</v>
      </c>
      <c r="F50" s="30">
        <v>1.00516383728113</v>
      </c>
    </row>
    <row r="51" spans="1:9" x14ac:dyDescent="0.2">
      <c r="A51" s="27" t="s">
        <v>497</v>
      </c>
      <c r="B51" s="27" t="s">
        <v>496</v>
      </c>
      <c r="C51" s="27" t="s">
        <v>235</v>
      </c>
      <c r="D51" s="31">
        <v>821062</v>
      </c>
      <c r="E51" s="29">
        <v>6680.1604319999997</v>
      </c>
      <c r="F51" s="30">
        <v>0.90325343036573102</v>
      </c>
    </row>
    <row r="52" spans="1:9" x14ac:dyDescent="0.2">
      <c r="A52" s="27" t="s">
        <v>499</v>
      </c>
      <c r="B52" s="27" t="s">
        <v>498</v>
      </c>
      <c r="C52" s="27" t="s">
        <v>148</v>
      </c>
      <c r="D52" s="31">
        <v>2553763</v>
      </c>
      <c r="E52" s="29">
        <v>5480.3753980000001</v>
      </c>
      <c r="F52" s="30">
        <v>0.74102529846777998</v>
      </c>
    </row>
    <row r="53" spans="1:9" x14ac:dyDescent="0.2">
      <c r="A53" s="27" t="s">
        <v>501</v>
      </c>
      <c r="B53" s="27" t="s">
        <v>500</v>
      </c>
      <c r="C53" s="27" t="s">
        <v>148</v>
      </c>
      <c r="D53" s="31">
        <v>758421</v>
      </c>
      <c r="E53" s="29">
        <v>4626.7473110000001</v>
      </c>
      <c r="F53" s="30">
        <v>0.62560254692041395</v>
      </c>
    </row>
    <row r="54" spans="1:9" x14ac:dyDescent="0.2">
      <c r="A54" s="27" t="s">
        <v>406</v>
      </c>
      <c r="B54" s="27" t="s">
        <v>405</v>
      </c>
      <c r="C54" s="27" t="s">
        <v>260</v>
      </c>
      <c r="D54" s="31">
        <v>39595</v>
      </c>
      <c r="E54" s="29">
        <v>2597.2142279999998</v>
      </c>
      <c r="F54" s="30">
        <v>0.35118058686104398</v>
      </c>
    </row>
    <row r="55" spans="1:9" x14ac:dyDescent="0.2">
      <c r="A55" s="27" t="s">
        <v>503</v>
      </c>
      <c r="B55" s="27" t="s">
        <v>502</v>
      </c>
      <c r="C55" s="27" t="s">
        <v>148</v>
      </c>
      <c r="D55" s="31">
        <v>114773</v>
      </c>
      <c r="E55" s="29">
        <v>2561.5038140000001</v>
      </c>
      <c r="F55" s="30">
        <v>0.34635202708712498</v>
      </c>
    </row>
    <row r="56" spans="1:9" x14ac:dyDescent="0.2">
      <c r="A56" s="27" t="s">
        <v>172</v>
      </c>
      <c r="B56" s="27" t="s">
        <v>171</v>
      </c>
      <c r="C56" s="27" t="s">
        <v>167</v>
      </c>
      <c r="D56" s="31">
        <v>387844</v>
      </c>
      <c r="E56" s="29">
        <v>559.07712600000002</v>
      </c>
      <c r="F56" s="30">
        <v>7.5595240120202203E-2</v>
      </c>
    </row>
    <row r="57" spans="1:9" x14ac:dyDescent="0.2">
      <c r="A57" s="26" t="s">
        <v>40</v>
      </c>
      <c r="B57" s="26"/>
      <c r="C57" s="26"/>
      <c r="D57" s="32"/>
      <c r="E57" s="33">
        <f>SUM(E7:E56)</f>
        <v>724613.05791600002</v>
      </c>
      <c r="F57" s="34">
        <f>SUM(F7:F56)</f>
        <v>97.978070573744063</v>
      </c>
      <c r="G57" s="18"/>
      <c r="H57" s="18"/>
      <c r="I57" s="18"/>
    </row>
    <row r="58" spans="1:9" x14ac:dyDescent="0.2">
      <c r="A58" s="27"/>
      <c r="B58" s="27"/>
      <c r="C58" s="27"/>
      <c r="D58" s="28"/>
      <c r="E58" s="29"/>
      <c r="F58" s="30"/>
    </row>
    <row r="59" spans="1:9" x14ac:dyDescent="0.2">
      <c r="A59" s="26" t="s">
        <v>236</v>
      </c>
      <c r="B59" s="27"/>
      <c r="C59" s="27"/>
      <c r="D59" s="28"/>
      <c r="E59" s="29"/>
      <c r="F59" s="30"/>
    </row>
    <row r="60" spans="1:9" x14ac:dyDescent="0.2">
      <c r="A60" s="27"/>
      <c r="B60" s="27" t="s">
        <v>1485</v>
      </c>
      <c r="C60" s="27" t="s">
        <v>187</v>
      </c>
      <c r="D60" s="31">
        <v>8100</v>
      </c>
      <c r="E60" s="29">
        <v>8.0999999999999996E-4</v>
      </c>
      <c r="F60" s="30">
        <v>1.0952360890787699E-7</v>
      </c>
    </row>
    <row r="61" spans="1:9" x14ac:dyDescent="0.2">
      <c r="A61" s="26" t="s">
        <v>40</v>
      </c>
      <c r="B61" s="26"/>
      <c r="C61" s="26"/>
      <c r="D61" s="32"/>
      <c r="E61" s="33">
        <f>SUM(E59:E60)</f>
        <v>8.0999999999999996E-4</v>
      </c>
      <c r="F61" s="34">
        <f>SUM(F59:F60)</f>
        <v>1.0952360890787699E-7</v>
      </c>
      <c r="G61" s="18"/>
      <c r="H61" s="18"/>
      <c r="I61" s="18"/>
    </row>
    <row r="62" spans="1:9" x14ac:dyDescent="0.2">
      <c r="A62" s="27"/>
      <c r="B62" s="27"/>
      <c r="C62" s="27"/>
      <c r="D62" s="28"/>
      <c r="E62" s="29"/>
      <c r="F62" s="30"/>
    </row>
    <row r="63" spans="1:9" x14ac:dyDescent="0.2">
      <c r="A63" s="26" t="s">
        <v>44</v>
      </c>
      <c r="B63" s="26"/>
      <c r="C63" s="26"/>
      <c r="D63" s="32"/>
      <c r="E63" s="33">
        <f>E57+E61</f>
        <v>724613.05872600002</v>
      </c>
      <c r="F63" s="34">
        <f>F57+F61</f>
        <v>97.978070683267674</v>
      </c>
      <c r="G63" s="18"/>
      <c r="H63" s="18"/>
      <c r="I63" s="18"/>
    </row>
    <row r="64" spans="1:9" x14ac:dyDescent="0.2">
      <c r="A64" s="26"/>
      <c r="B64" s="26"/>
      <c r="C64" s="26"/>
      <c r="D64" s="32"/>
      <c r="E64" s="33"/>
      <c r="F64" s="34"/>
      <c r="G64" s="18"/>
      <c r="H64" s="18"/>
      <c r="I64" s="18"/>
    </row>
    <row r="65" spans="1:9" x14ac:dyDescent="0.2">
      <c r="A65" s="26" t="s">
        <v>46</v>
      </c>
      <c r="B65" s="26"/>
      <c r="C65" s="26"/>
      <c r="D65" s="32"/>
      <c r="E65" s="33">
        <f>E67-(E57+E61)</f>
        <v>14953.513337299926</v>
      </c>
      <c r="F65" s="34">
        <f>F67-(F57+F61)</f>
        <v>2.0219293167323258</v>
      </c>
      <c r="G65" s="18"/>
      <c r="H65" s="18"/>
      <c r="I65" s="18"/>
    </row>
    <row r="66" spans="1:9" x14ac:dyDescent="0.2">
      <c r="A66" s="26"/>
      <c r="B66" s="26"/>
      <c r="C66" s="26"/>
      <c r="D66" s="32"/>
      <c r="E66" s="33"/>
      <c r="F66" s="34"/>
      <c r="G66" s="18"/>
      <c r="H66" s="18"/>
      <c r="I66" s="18"/>
    </row>
    <row r="67" spans="1:9" x14ac:dyDescent="0.2">
      <c r="A67" s="35" t="s">
        <v>45</v>
      </c>
      <c r="B67" s="35"/>
      <c r="C67" s="35"/>
      <c r="D67" s="36"/>
      <c r="E67" s="37">
        <v>739566.57206329994</v>
      </c>
      <c r="F67" s="38">
        <v>100</v>
      </c>
      <c r="G67" s="18"/>
      <c r="H67" s="18"/>
      <c r="I67" s="18"/>
    </row>
    <row r="68" spans="1:9" x14ac:dyDescent="0.2">
      <c r="F68" s="20" t="s">
        <v>57</v>
      </c>
    </row>
    <row r="69" spans="1:9" x14ac:dyDescent="0.2">
      <c r="A69" s="18" t="s">
        <v>47</v>
      </c>
      <c r="F69" s="20"/>
    </row>
    <row r="70" spans="1:9" x14ac:dyDescent="0.2">
      <c r="A70" s="18" t="s">
        <v>1483</v>
      </c>
    </row>
    <row r="71" spans="1:9" x14ac:dyDescent="0.2">
      <c r="A71" s="18"/>
    </row>
    <row r="72" spans="1:9" x14ac:dyDescent="0.2">
      <c r="A72" s="18" t="s">
        <v>48</v>
      </c>
    </row>
    <row r="73" spans="1:9" x14ac:dyDescent="0.2">
      <c r="A73" s="18" t="s">
        <v>49</v>
      </c>
    </row>
    <row r="74" spans="1:9" x14ac:dyDescent="0.2">
      <c r="A74" s="18" t="s">
        <v>50</v>
      </c>
      <c r="B74" s="18"/>
      <c r="C74" s="39" t="s">
        <v>52</v>
      </c>
      <c r="D74" s="19" t="s">
        <v>51</v>
      </c>
    </row>
    <row r="75" spans="1:9" x14ac:dyDescent="0.2">
      <c r="A75" s="9" t="s">
        <v>70</v>
      </c>
      <c r="C75" s="40">
        <v>919.84050000000002</v>
      </c>
      <c r="D75" s="40">
        <v>1251.56</v>
      </c>
    </row>
    <row r="76" spans="1:9" x14ac:dyDescent="0.2">
      <c r="A76" s="9" t="s">
        <v>76</v>
      </c>
      <c r="C76" s="40">
        <v>48.286099999999998</v>
      </c>
      <c r="D76" s="40">
        <v>65.699200000000005</v>
      </c>
    </row>
    <row r="77" spans="1:9" x14ac:dyDescent="0.2">
      <c r="A77" s="9" t="s">
        <v>73</v>
      </c>
      <c r="C77" s="40">
        <v>993.62440000000004</v>
      </c>
      <c r="D77" s="40">
        <v>1357.3466000000001</v>
      </c>
    </row>
    <row r="78" spans="1:9" x14ac:dyDescent="0.2">
      <c r="A78" s="9" t="s">
        <v>77</v>
      </c>
      <c r="C78" s="40">
        <v>54.183100000000003</v>
      </c>
      <c r="D78" s="40">
        <v>74.016900000000007</v>
      </c>
    </row>
    <row r="80" spans="1:9" x14ac:dyDescent="0.2">
      <c r="A80" s="18" t="s">
        <v>53</v>
      </c>
      <c r="D80" s="41" t="s">
        <v>54</v>
      </c>
    </row>
    <row r="82" spans="1:4" x14ac:dyDescent="0.2">
      <c r="A82" s="18" t="s">
        <v>224</v>
      </c>
      <c r="D82" s="46">
        <v>0.1336</v>
      </c>
    </row>
    <row r="84" spans="1:4" x14ac:dyDescent="0.2">
      <c r="A84" s="18" t="s">
        <v>1477</v>
      </c>
      <c r="D84" s="41" t="s">
        <v>54</v>
      </c>
    </row>
    <row r="85" spans="1:4" x14ac:dyDescent="0.2">
      <c r="A85" s="9" t="s">
        <v>1103</v>
      </c>
      <c r="D85" s="41"/>
    </row>
    <row r="86" spans="1:4" x14ac:dyDescent="0.2">
      <c r="A86" s="50" t="s">
        <v>1104</v>
      </c>
      <c r="D86" s="41"/>
    </row>
    <row r="88" spans="1:4" x14ac:dyDescent="0.2">
      <c r="A88" s="18" t="s">
        <v>1479</v>
      </c>
    </row>
    <row r="89" spans="1:4" x14ac:dyDescent="0.2">
      <c r="A89" s="50" t="s">
        <v>56</v>
      </c>
    </row>
  </sheetData>
  <mergeCells count="1">
    <mergeCell ref="A1:F1"/>
  </mergeCells>
  <conditionalFormatting sqref="F2:F3 F5:F83 F90:F65538">
    <cfRule type="cellIs" dxfId="23" priority="2" stopIfTrue="1" operator="between">
      <formula>0.009</formula>
      <formula>-0.009</formula>
    </cfRule>
  </conditionalFormatting>
  <conditionalFormatting sqref="F84:F89">
    <cfRule type="cellIs" dxfId="22" priority="1" stopIfTrue="1" operator="between">
      <formula>0.009</formula>
      <formula>-0.009</formula>
    </cfRule>
  </conditionalFormatting>
  <hyperlinks>
    <hyperlink ref="A86" r:id="rId1" xr:uid="{9E757296-55CA-4A81-889E-21E1959E41AD}"/>
    <hyperlink ref="A89" r:id="rId2" xr:uid="{0D6B67BC-F861-4AF7-B59D-399F33D280E4}"/>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79"/>
  <sheetViews>
    <sheetView workbookViewId="0">
      <selection sqref="A1:F1"/>
    </sheetView>
  </sheetViews>
  <sheetFormatPr defaultColWidth="9.21875" defaultRowHeight="10.199999999999999" x14ac:dyDescent="0.2"/>
  <cols>
    <col min="1" max="1" width="38.77734375" style="9" bestFit="1" customWidth="1"/>
    <col min="2" max="2" width="35.21875" style="9" bestFit="1" customWidth="1"/>
    <col min="3" max="3" width="21.218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15</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395485</v>
      </c>
      <c r="E7" s="29">
        <v>6068.3218399999996</v>
      </c>
      <c r="F7" s="30">
        <v>9.6704505503238796</v>
      </c>
    </row>
    <row r="8" spans="1:6" x14ac:dyDescent="0.2">
      <c r="A8" s="27" t="s">
        <v>105</v>
      </c>
      <c r="B8" s="27" t="s">
        <v>104</v>
      </c>
      <c r="C8" s="27" t="s">
        <v>106</v>
      </c>
      <c r="D8" s="31">
        <v>405492</v>
      </c>
      <c r="E8" s="29">
        <v>5082.0312359999998</v>
      </c>
      <c r="F8" s="30">
        <v>8.0987022538902398</v>
      </c>
    </row>
    <row r="9" spans="1:6" x14ac:dyDescent="0.2">
      <c r="A9" s="27" t="s">
        <v>325</v>
      </c>
      <c r="B9" s="27" t="s">
        <v>324</v>
      </c>
      <c r="C9" s="27" t="s">
        <v>106</v>
      </c>
      <c r="D9" s="31">
        <v>85910</v>
      </c>
      <c r="E9" s="29">
        <v>4218.4816849999997</v>
      </c>
      <c r="F9" s="30">
        <v>6.7225535506929299</v>
      </c>
    </row>
    <row r="10" spans="1:6" x14ac:dyDescent="0.2">
      <c r="A10" s="27" t="s">
        <v>108</v>
      </c>
      <c r="B10" s="27" t="s">
        <v>107</v>
      </c>
      <c r="C10" s="27" t="s">
        <v>101</v>
      </c>
      <c r="D10" s="31">
        <v>583651</v>
      </c>
      <c r="E10" s="29">
        <v>3488.7738530000001</v>
      </c>
      <c r="F10" s="30">
        <v>5.5596944124340402</v>
      </c>
    </row>
    <row r="11" spans="1:6" x14ac:dyDescent="0.2">
      <c r="A11" s="27" t="s">
        <v>103</v>
      </c>
      <c r="B11" s="27" t="s">
        <v>102</v>
      </c>
      <c r="C11" s="27" t="s">
        <v>101</v>
      </c>
      <c r="D11" s="31">
        <v>458037</v>
      </c>
      <c r="E11" s="29">
        <v>3319.8521759999999</v>
      </c>
      <c r="F11" s="30">
        <v>5.2905015832833904</v>
      </c>
    </row>
    <row r="12" spans="1:6" x14ac:dyDescent="0.2">
      <c r="A12" s="27" t="s">
        <v>255</v>
      </c>
      <c r="B12" s="27" t="s">
        <v>254</v>
      </c>
      <c r="C12" s="27" t="s">
        <v>114</v>
      </c>
      <c r="D12" s="31">
        <v>21180</v>
      </c>
      <c r="E12" s="29">
        <v>3146.26782</v>
      </c>
      <c r="F12" s="30">
        <v>5.0138783297270404</v>
      </c>
    </row>
    <row r="13" spans="1:6" x14ac:dyDescent="0.2">
      <c r="A13" s="27" t="s">
        <v>119</v>
      </c>
      <c r="B13" s="27" t="s">
        <v>118</v>
      </c>
      <c r="C13" s="27" t="s">
        <v>101</v>
      </c>
      <c r="D13" s="31">
        <v>169031</v>
      </c>
      <c r="E13" s="29">
        <v>3009.3434090000001</v>
      </c>
      <c r="F13" s="30">
        <v>4.7956762006013802</v>
      </c>
    </row>
    <row r="14" spans="1:6" x14ac:dyDescent="0.2">
      <c r="A14" s="27" t="s">
        <v>152</v>
      </c>
      <c r="B14" s="27" t="s">
        <v>151</v>
      </c>
      <c r="C14" s="27" t="s">
        <v>139</v>
      </c>
      <c r="D14" s="31">
        <v>523765</v>
      </c>
      <c r="E14" s="29">
        <v>2356.156853</v>
      </c>
      <c r="F14" s="30">
        <v>3.7547610256187798</v>
      </c>
    </row>
    <row r="15" spans="1:6" x14ac:dyDescent="0.2">
      <c r="A15" s="27" t="s">
        <v>135</v>
      </c>
      <c r="B15" s="27" t="s">
        <v>134</v>
      </c>
      <c r="C15" s="27" t="s">
        <v>136</v>
      </c>
      <c r="D15" s="31">
        <v>274264</v>
      </c>
      <c r="E15" s="29">
        <v>2211.6648960000002</v>
      </c>
      <c r="F15" s="30">
        <v>3.5244992890250599</v>
      </c>
    </row>
    <row r="16" spans="1:6" x14ac:dyDescent="0.2">
      <c r="A16" s="27" t="s">
        <v>269</v>
      </c>
      <c r="B16" s="27" t="s">
        <v>268</v>
      </c>
      <c r="C16" s="27" t="s">
        <v>106</v>
      </c>
      <c r="D16" s="31">
        <v>229692</v>
      </c>
      <c r="E16" s="29">
        <v>2088.9338939999998</v>
      </c>
      <c r="F16" s="30">
        <v>3.3289157130173801</v>
      </c>
    </row>
    <row r="17" spans="1:6" x14ac:dyDescent="0.2">
      <c r="A17" s="27" t="s">
        <v>179</v>
      </c>
      <c r="B17" s="27" t="s">
        <v>178</v>
      </c>
      <c r="C17" s="27" t="s">
        <v>144</v>
      </c>
      <c r="D17" s="31">
        <v>38978</v>
      </c>
      <c r="E17" s="29">
        <v>1725.3806589999999</v>
      </c>
      <c r="F17" s="30">
        <v>2.7495589033136598</v>
      </c>
    </row>
    <row r="18" spans="1:6" x14ac:dyDescent="0.2">
      <c r="A18" s="27" t="s">
        <v>193</v>
      </c>
      <c r="B18" s="27" t="s">
        <v>192</v>
      </c>
      <c r="C18" s="27" t="s">
        <v>194</v>
      </c>
      <c r="D18" s="31">
        <v>116490</v>
      </c>
      <c r="E18" s="29">
        <v>1680.36825</v>
      </c>
      <c r="F18" s="30">
        <v>2.6778273295997899</v>
      </c>
    </row>
    <row r="19" spans="1:6" x14ac:dyDescent="0.2">
      <c r="A19" s="27" t="s">
        <v>505</v>
      </c>
      <c r="B19" s="27" t="s">
        <v>504</v>
      </c>
      <c r="C19" s="27" t="s">
        <v>133</v>
      </c>
      <c r="D19" s="31">
        <v>73037</v>
      </c>
      <c r="E19" s="29">
        <v>1663.198564</v>
      </c>
      <c r="F19" s="30">
        <v>2.6504657947627401</v>
      </c>
    </row>
    <row r="20" spans="1:6" x14ac:dyDescent="0.2">
      <c r="A20" s="27" t="s">
        <v>294</v>
      </c>
      <c r="B20" s="27" t="s">
        <v>293</v>
      </c>
      <c r="C20" s="27" t="s">
        <v>182</v>
      </c>
      <c r="D20" s="31">
        <v>60992</v>
      </c>
      <c r="E20" s="29">
        <v>1639.525952</v>
      </c>
      <c r="F20" s="30">
        <v>2.6127412261292799</v>
      </c>
    </row>
    <row r="21" spans="1:6" x14ac:dyDescent="0.2">
      <c r="A21" s="27" t="s">
        <v>164</v>
      </c>
      <c r="B21" s="27" t="s">
        <v>163</v>
      </c>
      <c r="C21" s="27" t="s">
        <v>136</v>
      </c>
      <c r="D21" s="31">
        <v>484457</v>
      </c>
      <c r="E21" s="29">
        <v>1564.5538819999999</v>
      </c>
      <c r="F21" s="30">
        <v>2.4932660706074699</v>
      </c>
    </row>
    <row r="22" spans="1:6" x14ac:dyDescent="0.2">
      <c r="A22" s="27" t="s">
        <v>143</v>
      </c>
      <c r="B22" s="27" t="s">
        <v>142</v>
      </c>
      <c r="C22" s="27" t="s">
        <v>144</v>
      </c>
      <c r="D22" s="31">
        <v>354144</v>
      </c>
      <c r="E22" s="29">
        <v>1541.234688</v>
      </c>
      <c r="F22" s="30">
        <v>2.4561047073185298</v>
      </c>
    </row>
    <row r="23" spans="1:6" x14ac:dyDescent="0.2">
      <c r="A23" s="27" t="s">
        <v>445</v>
      </c>
      <c r="B23" s="27" t="s">
        <v>444</v>
      </c>
      <c r="C23" s="27" t="s">
        <v>235</v>
      </c>
      <c r="D23" s="31">
        <v>538877</v>
      </c>
      <c r="E23" s="29">
        <v>1521.788648</v>
      </c>
      <c r="F23" s="30">
        <v>2.4251155849255701</v>
      </c>
    </row>
    <row r="24" spans="1:6" x14ac:dyDescent="0.2">
      <c r="A24" s="27" t="s">
        <v>425</v>
      </c>
      <c r="B24" s="27" t="s">
        <v>424</v>
      </c>
      <c r="C24" s="27" t="s">
        <v>194</v>
      </c>
      <c r="D24" s="31">
        <v>1262673</v>
      </c>
      <c r="E24" s="29">
        <v>1428.083163</v>
      </c>
      <c r="F24" s="30">
        <v>2.2757869430243698</v>
      </c>
    </row>
    <row r="25" spans="1:6" x14ac:dyDescent="0.2">
      <c r="A25" s="27" t="s">
        <v>110</v>
      </c>
      <c r="B25" s="27" t="s">
        <v>109</v>
      </c>
      <c r="C25" s="27" t="s">
        <v>111</v>
      </c>
      <c r="D25" s="31">
        <v>242272</v>
      </c>
      <c r="E25" s="29">
        <v>1347.7591359999999</v>
      </c>
      <c r="F25" s="30">
        <v>2.1477829327580999</v>
      </c>
    </row>
    <row r="26" spans="1:6" x14ac:dyDescent="0.2">
      <c r="A26" s="27" t="s">
        <v>138</v>
      </c>
      <c r="B26" s="27" t="s">
        <v>137</v>
      </c>
      <c r="C26" s="27" t="s">
        <v>139</v>
      </c>
      <c r="D26" s="31">
        <v>551423</v>
      </c>
      <c r="E26" s="29">
        <v>1336.925064</v>
      </c>
      <c r="F26" s="30">
        <v>2.13051780406238</v>
      </c>
    </row>
    <row r="27" spans="1:6" x14ac:dyDescent="0.2">
      <c r="A27" s="27" t="s">
        <v>331</v>
      </c>
      <c r="B27" s="27" t="s">
        <v>330</v>
      </c>
      <c r="C27" s="27" t="s">
        <v>106</v>
      </c>
      <c r="D27" s="31">
        <v>183588</v>
      </c>
      <c r="E27" s="29">
        <v>1311.644466</v>
      </c>
      <c r="F27" s="30">
        <v>2.0902307561292699</v>
      </c>
    </row>
    <row r="28" spans="1:6" x14ac:dyDescent="0.2">
      <c r="A28" s="27" t="s">
        <v>181</v>
      </c>
      <c r="B28" s="27" t="s">
        <v>180</v>
      </c>
      <c r="C28" s="27" t="s">
        <v>182</v>
      </c>
      <c r="D28" s="31">
        <v>93194</v>
      </c>
      <c r="E28" s="29">
        <v>1119.0735520000001</v>
      </c>
      <c r="F28" s="30">
        <v>1.7833506086406401</v>
      </c>
    </row>
    <row r="29" spans="1:6" x14ac:dyDescent="0.2">
      <c r="A29" s="27" t="s">
        <v>431</v>
      </c>
      <c r="B29" s="27" t="s">
        <v>430</v>
      </c>
      <c r="C29" s="27" t="s">
        <v>187</v>
      </c>
      <c r="D29" s="31">
        <v>71018</v>
      </c>
      <c r="E29" s="29">
        <v>1073.6856330000001</v>
      </c>
      <c r="F29" s="30">
        <v>1.71102062386983</v>
      </c>
    </row>
    <row r="30" spans="1:6" x14ac:dyDescent="0.2">
      <c r="A30" s="27" t="s">
        <v>262</v>
      </c>
      <c r="B30" s="27" t="s">
        <v>261</v>
      </c>
      <c r="C30" s="27" t="s">
        <v>187</v>
      </c>
      <c r="D30" s="31">
        <v>1247117</v>
      </c>
      <c r="E30" s="29">
        <v>1067.532152</v>
      </c>
      <c r="F30" s="30">
        <v>1.7012144640629101</v>
      </c>
    </row>
    <row r="31" spans="1:6" x14ac:dyDescent="0.2">
      <c r="A31" s="27" t="s">
        <v>333</v>
      </c>
      <c r="B31" s="27" t="s">
        <v>332</v>
      </c>
      <c r="C31" s="27" t="s">
        <v>106</v>
      </c>
      <c r="D31" s="31">
        <v>11431</v>
      </c>
      <c r="E31" s="29">
        <v>982.58018249999998</v>
      </c>
      <c r="F31" s="30">
        <v>1.5658353853220299</v>
      </c>
    </row>
    <row r="32" spans="1:6" x14ac:dyDescent="0.2">
      <c r="A32" s="27" t="s">
        <v>507</v>
      </c>
      <c r="B32" s="27" t="s">
        <v>506</v>
      </c>
      <c r="C32" s="27" t="s">
        <v>170</v>
      </c>
      <c r="D32" s="31">
        <v>583460</v>
      </c>
      <c r="E32" s="29">
        <v>713.27985000000001</v>
      </c>
      <c r="F32" s="30">
        <v>1.1366795795997899</v>
      </c>
    </row>
    <row r="33" spans="1:9" x14ac:dyDescent="0.2">
      <c r="A33" s="27" t="s">
        <v>509</v>
      </c>
      <c r="B33" s="27" t="s">
        <v>508</v>
      </c>
      <c r="C33" s="27" t="s">
        <v>144</v>
      </c>
      <c r="D33" s="31">
        <v>145673</v>
      </c>
      <c r="E33" s="29">
        <v>676.72392149999996</v>
      </c>
      <c r="F33" s="30">
        <v>1.07842421539841</v>
      </c>
    </row>
    <row r="34" spans="1:9" x14ac:dyDescent="0.2">
      <c r="A34" s="27" t="s">
        <v>281</v>
      </c>
      <c r="B34" s="27" t="s">
        <v>280</v>
      </c>
      <c r="C34" s="27" t="s">
        <v>133</v>
      </c>
      <c r="D34" s="31">
        <v>106104</v>
      </c>
      <c r="E34" s="29">
        <v>646.33251600000006</v>
      </c>
      <c r="F34" s="30">
        <v>1.0299926074857699</v>
      </c>
    </row>
    <row r="35" spans="1:9" x14ac:dyDescent="0.2">
      <c r="A35" s="27" t="s">
        <v>166</v>
      </c>
      <c r="B35" s="27" t="s">
        <v>165</v>
      </c>
      <c r="C35" s="27" t="s">
        <v>167</v>
      </c>
      <c r="D35" s="31">
        <v>226247</v>
      </c>
      <c r="E35" s="29">
        <v>415.38949200000002</v>
      </c>
      <c r="F35" s="30">
        <v>0.66196283707822601</v>
      </c>
    </row>
    <row r="36" spans="1:9" x14ac:dyDescent="0.2">
      <c r="A36" s="27" t="s">
        <v>418</v>
      </c>
      <c r="B36" s="27" t="s">
        <v>417</v>
      </c>
      <c r="C36" s="27" t="s">
        <v>419</v>
      </c>
      <c r="D36" s="31">
        <v>10788</v>
      </c>
      <c r="E36" s="29">
        <v>211.36928399999999</v>
      </c>
      <c r="F36" s="30">
        <v>0.33683714586558</v>
      </c>
    </row>
    <row r="37" spans="1:9" x14ac:dyDescent="0.2">
      <c r="A37" s="27" t="s">
        <v>511</v>
      </c>
      <c r="B37" s="27" t="s">
        <v>510</v>
      </c>
      <c r="C37" s="27" t="s">
        <v>187</v>
      </c>
      <c r="D37" s="31">
        <v>12795</v>
      </c>
      <c r="E37" s="29">
        <v>203.37652499999999</v>
      </c>
      <c r="F37" s="30">
        <v>0.32409992086201</v>
      </c>
    </row>
    <row r="38" spans="1:9" x14ac:dyDescent="0.2">
      <c r="A38" s="27" t="s">
        <v>513</v>
      </c>
      <c r="B38" s="27" t="s">
        <v>512</v>
      </c>
      <c r="C38" s="27" t="s">
        <v>106</v>
      </c>
      <c r="D38" s="31">
        <v>176709</v>
      </c>
      <c r="E38" s="29">
        <v>187.39989449999999</v>
      </c>
      <c r="F38" s="30">
        <v>0.29863963393513099</v>
      </c>
    </row>
    <row r="39" spans="1:9" x14ac:dyDescent="0.2">
      <c r="A39" s="27" t="s">
        <v>172</v>
      </c>
      <c r="B39" s="27" t="s">
        <v>171</v>
      </c>
      <c r="C39" s="27" t="s">
        <v>167</v>
      </c>
      <c r="D39" s="31">
        <v>26444</v>
      </c>
      <c r="E39" s="29">
        <v>38.119025999999998</v>
      </c>
      <c r="F39" s="30">
        <v>6.0746309388150399E-2</v>
      </c>
    </row>
    <row r="40" spans="1:9" x14ac:dyDescent="0.2">
      <c r="A40" s="26" t="s">
        <v>40</v>
      </c>
      <c r="B40" s="26"/>
      <c r="C40" s="26"/>
      <c r="D40" s="32"/>
      <c r="E40" s="33">
        <f>SUM(E7:E39)</f>
        <v>59085.15216250001</v>
      </c>
      <c r="F40" s="34">
        <f>SUM(F7:F39)</f>
        <v>94.157834292753748</v>
      </c>
      <c r="G40" s="18"/>
      <c r="H40" s="18"/>
      <c r="I40" s="18"/>
    </row>
    <row r="41" spans="1:9" x14ac:dyDescent="0.2">
      <c r="A41" s="27"/>
      <c r="B41" s="27"/>
      <c r="C41" s="27"/>
      <c r="D41" s="28"/>
      <c r="E41" s="29"/>
      <c r="F41" s="30"/>
    </row>
    <row r="42" spans="1:9" x14ac:dyDescent="0.2">
      <c r="A42" s="26" t="s">
        <v>236</v>
      </c>
      <c r="B42" s="27"/>
      <c r="C42" s="27"/>
      <c r="D42" s="28"/>
      <c r="E42" s="29"/>
      <c r="F42" s="30"/>
    </row>
    <row r="43" spans="1:9" x14ac:dyDescent="0.2">
      <c r="A43" s="27"/>
      <c r="B43" s="27" t="s">
        <v>1486</v>
      </c>
      <c r="C43" s="27" t="s">
        <v>106</v>
      </c>
      <c r="D43" s="31">
        <v>489000</v>
      </c>
      <c r="E43" s="29">
        <v>4.8899999999999999E-2</v>
      </c>
      <c r="F43" s="30">
        <v>7.7926821348492893E-5</v>
      </c>
    </row>
    <row r="44" spans="1:9" x14ac:dyDescent="0.2">
      <c r="A44" s="27"/>
      <c r="B44" s="27" t="s">
        <v>1485</v>
      </c>
      <c r="C44" s="27" t="s">
        <v>187</v>
      </c>
      <c r="D44" s="31">
        <v>98000</v>
      </c>
      <c r="E44" s="29">
        <v>9.7999999999999997E-3</v>
      </c>
      <c r="F44" s="30">
        <v>1.5617236180270599E-5</v>
      </c>
    </row>
    <row r="45" spans="1:9" x14ac:dyDescent="0.2">
      <c r="A45" s="27" t="s">
        <v>514</v>
      </c>
      <c r="B45" s="27" t="s">
        <v>1487</v>
      </c>
      <c r="C45" s="27" t="s">
        <v>187</v>
      </c>
      <c r="D45" s="31">
        <v>44170</v>
      </c>
      <c r="E45" s="29">
        <v>4.4169999999999999E-3</v>
      </c>
      <c r="F45" s="30">
        <v>7.0389114498219497E-6</v>
      </c>
    </row>
    <row r="46" spans="1:9" x14ac:dyDescent="0.2">
      <c r="A46" s="27"/>
      <c r="B46" s="27" t="s">
        <v>1488</v>
      </c>
      <c r="C46" s="27" t="s">
        <v>106</v>
      </c>
      <c r="D46" s="31">
        <v>23815</v>
      </c>
      <c r="E46" s="29">
        <v>2.3814999999999999E-3</v>
      </c>
      <c r="F46" s="30">
        <v>3.79514775135861E-6</v>
      </c>
    </row>
    <row r="47" spans="1:9" x14ac:dyDescent="0.2">
      <c r="A47" s="26" t="s">
        <v>40</v>
      </c>
      <c r="B47" s="26"/>
      <c r="C47" s="26"/>
      <c r="D47" s="32"/>
      <c r="E47" s="33">
        <f>SUM(E42:E46)</f>
        <v>6.5498500000000001E-2</v>
      </c>
      <c r="F47" s="34">
        <f>SUM(F42:F46)</f>
        <v>1.0437811672994404E-4</v>
      </c>
      <c r="G47" s="18"/>
      <c r="H47" s="18"/>
      <c r="I47" s="18"/>
    </row>
    <row r="48" spans="1:9" x14ac:dyDescent="0.2">
      <c r="A48" s="27"/>
      <c r="B48" s="27"/>
      <c r="C48" s="27"/>
      <c r="D48" s="28"/>
      <c r="E48" s="29"/>
      <c r="F48" s="30"/>
    </row>
    <row r="49" spans="1:9" x14ac:dyDescent="0.2">
      <c r="A49" s="26" t="s">
        <v>44</v>
      </c>
      <c r="B49" s="26"/>
      <c r="C49" s="26"/>
      <c r="D49" s="32"/>
      <c r="E49" s="33">
        <f>E40+E47</f>
        <v>59085.21766100001</v>
      </c>
      <c r="F49" s="34">
        <f>F40+F47</f>
        <v>94.157938670870479</v>
      </c>
      <c r="G49" s="18"/>
      <c r="H49" s="18"/>
      <c r="I49" s="18"/>
    </row>
    <row r="50" spans="1:9" x14ac:dyDescent="0.2">
      <c r="A50" s="26"/>
      <c r="B50" s="26"/>
      <c r="C50" s="26"/>
      <c r="D50" s="32"/>
      <c r="E50" s="33"/>
      <c r="F50" s="34"/>
      <c r="G50" s="18"/>
      <c r="H50" s="18"/>
      <c r="I50" s="18"/>
    </row>
    <row r="51" spans="1:9" x14ac:dyDescent="0.2">
      <c r="A51" s="26" t="s">
        <v>46</v>
      </c>
      <c r="B51" s="26"/>
      <c r="C51" s="26"/>
      <c r="D51" s="32"/>
      <c r="E51" s="33">
        <f>E53-(E40+E47)</f>
        <v>3665.9624253999937</v>
      </c>
      <c r="F51" s="34">
        <f>F53-(F40+F47)</f>
        <v>5.8420613291295211</v>
      </c>
      <c r="G51" s="18"/>
      <c r="H51" s="18"/>
      <c r="I51" s="18"/>
    </row>
    <row r="52" spans="1:9" x14ac:dyDescent="0.2">
      <c r="A52" s="26"/>
      <c r="B52" s="26"/>
      <c r="C52" s="26"/>
      <c r="D52" s="32"/>
      <c r="E52" s="33"/>
      <c r="F52" s="34"/>
      <c r="G52" s="18"/>
      <c r="H52" s="18"/>
      <c r="I52" s="18"/>
    </row>
    <row r="53" spans="1:9" x14ac:dyDescent="0.2">
      <c r="A53" s="35" t="s">
        <v>45</v>
      </c>
      <c r="B53" s="35"/>
      <c r="C53" s="35"/>
      <c r="D53" s="36"/>
      <c r="E53" s="37">
        <v>62751.180086400003</v>
      </c>
      <c r="F53" s="38">
        <v>100</v>
      </c>
      <c r="G53" s="18"/>
      <c r="H53" s="18"/>
      <c r="I53" s="18"/>
    </row>
    <row r="54" spans="1:9" x14ac:dyDescent="0.2">
      <c r="F54" s="20" t="s">
        <v>57</v>
      </c>
    </row>
    <row r="55" spans="1:9" x14ac:dyDescent="0.2">
      <c r="A55" s="18" t="s">
        <v>47</v>
      </c>
      <c r="F55" s="20"/>
    </row>
    <row r="56" spans="1:9" x14ac:dyDescent="0.2">
      <c r="A56" s="18" t="s">
        <v>1483</v>
      </c>
    </row>
    <row r="57" spans="1:9" x14ac:dyDescent="0.2">
      <c r="A57" s="18"/>
    </row>
    <row r="58" spans="1:9" x14ac:dyDescent="0.2">
      <c r="A58" s="18" t="s">
        <v>48</v>
      </c>
    </row>
    <row r="59" spans="1:9" x14ac:dyDescent="0.2">
      <c r="A59" s="18" t="s">
        <v>49</v>
      </c>
    </row>
    <row r="60" spans="1:9" x14ac:dyDescent="0.2">
      <c r="A60" s="18" t="s">
        <v>50</v>
      </c>
      <c r="B60" s="18"/>
      <c r="C60" s="39" t="s">
        <v>52</v>
      </c>
      <c r="D60" s="19" t="s">
        <v>51</v>
      </c>
    </row>
    <row r="61" spans="1:9" x14ac:dyDescent="0.2">
      <c r="A61" s="9" t="s">
        <v>70</v>
      </c>
      <c r="C61" s="40">
        <v>71.409400000000005</v>
      </c>
      <c r="D61" s="40">
        <v>100.11369999999999</v>
      </c>
    </row>
    <row r="62" spans="1:9" x14ac:dyDescent="0.2">
      <c r="A62" s="9" t="s">
        <v>76</v>
      </c>
      <c r="C62" s="40">
        <v>16.679400000000001</v>
      </c>
      <c r="D62" s="40">
        <v>22.078199999999999</v>
      </c>
    </row>
    <row r="63" spans="1:9" x14ac:dyDescent="0.2">
      <c r="A63" s="9" t="s">
        <v>73</v>
      </c>
      <c r="C63" s="40">
        <v>75.273399999999995</v>
      </c>
      <c r="D63" s="40">
        <v>105.9765</v>
      </c>
    </row>
    <row r="64" spans="1:9" x14ac:dyDescent="0.2">
      <c r="A64" s="9" t="s">
        <v>77</v>
      </c>
      <c r="C64" s="40">
        <v>17.8431</v>
      </c>
      <c r="D64" s="40">
        <v>23.809699999999999</v>
      </c>
    </row>
    <row r="66" spans="1:4" x14ac:dyDescent="0.2">
      <c r="A66" s="18" t="s">
        <v>53</v>
      </c>
    </row>
    <row r="67" spans="1:4" x14ac:dyDescent="0.2">
      <c r="A67" s="74" t="s">
        <v>67</v>
      </c>
      <c r="B67" s="75"/>
      <c r="C67" s="44" t="s">
        <v>68</v>
      </c>
    </row>
    <row r="68" spans="1:4" x14ac:dyDescent="0.2">
      <c r="A68" s="68" t="s">
        <v>76</v>
      </c>
      <c r="B68" s="69"/>
      <c r="C68" s="45">
        <v>1</v>
      </c>
    </row>
    <row r="69" spans="1:4" x14ac:dyDescent="0.2">
      <c r="A69" s="68" t="s">
        <v>77</v>
      </c>
      <c r="B69" s="69"/>
      <c r="C69" s="45">
        <v>1</v>
      </c>
    </row>
    <row r="70" spans="1:4" x14ac:dyDescent="0.2">
      <c r="A70" s="9" t="s">
        <v>69</v>
      </c>
    </row>
    <row r="72" spans="1:4" x14ac:dyDescent="0.2">
      <c r="A72" s="18" t="s">
        <v>224</v>
      </c>
      <c r="D72" s="46">
        <v>0.2127</v>
      </c>
    </row>
    <row r="74" spans="1:4" x14ac:dyDescent="0.2">
      <c r="A74" s="18" t="s">
        <v>1477</v>
      </c>
      <c r="D74" s="41" t="s">
        <v>54</v>
      </c>
    </row>
    <row r="75" spans="1:4" x14ac:dyDescent="0.2">
      <c r="A75" s="9" t="s">
        <v>1103</v>
      </c>
      <c r="D75" s="41"/>
    </row>
    <row r="76" spans="1:4" x14ac:dyDescent="0.2">
      <c r="A76" s="50" t="s">
        <v>1104</v>
      </c>
      <c r="D76" s="41"/>
    </row>
    <row r="78" spans="1:4" x14ac:dyDescent="0.2">
      <c r="A78" s="18" t="s">
        <v>1479</v>
      </c>
    </row>
    <row r="79" spans="1:4" x14ac:dyDescent="0.2">
      <c r="A79" s="50" t="s">
        <v>56</v>
      </c>
    </row>
  </sheetData>
  <mergeCells count="4">
    <mergeCell ref="A1:F1"/>
    <mergeCell ref="A67:B67"/>
    <mergeCell ref="A68:B68"/>
    <mergeCell ref="A69:B69"/>
  </mergeCells>
  <conditionalFormatting sqref="F2:F3 F5:F73 F80:F65538">
    <cfRule type="cellIs" dxfId="21" priority="2" stopIfTrue="1" operator="between">
      <formula>0.009</formula>
      <formula>-0.009</formula>
    </cfRule>
  </conditionalFormatting>
  <conditionalFormatting sqref="F74:F79">
    <cfRule type="cellIs" dxfId="20" priority="1" stopIfTrue="1" operator="between">
      <formula>0.009</formula>
      <formula>-0.009</formula>
    </cfRule>
  </conditionalFormatting>
  <hyperlinks>
    <hyperlink ref="A76" r:id="rId1" xr:uid="{71ADC5D8-FA98-486C-9546-DDFA414D322B}"/>
    <hyperlink ref="A79" r:id="rId2" xr:uid="{8CAF0ECF-1175-48A6-8390-C47096579AD8}"/>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56"/>
  <sheetViews>
    <sheetView workbookViewId="0">
      <selection sqref="A1:F1"/>
    </sheetView>
  </sheetViews>
  <sheetFormatPr defaultColWidth="9.21875" defaultRowHeight="10.199999999999999" x14ac:dyDescent="0.2"/>
  <cols>
    <col min="1" max="1" width="38.77734375" style="9" bestFit="1" customWidth="1"/>
    <col min="2" max="2" width="24.21875" style="9" bestFit="1" customWidth="1"/>
    <col min="3" max="3" width="18.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16</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141</v>
      </c>
      <c r="B7" s="27" t="s">
        <v>140</v>
      </c>
      <c r="C7" s="27" t="s">
        <v>101</v>
      </c>
      <c r="D7" s="31">
        <v>21769231</v>
      </c>
      <c r="E7" s="29">
        <v>84932.654750000002</v>
      </c>
      <c r="F7" s="30">
        <v>10.578615751729901</v>
      </c>
    </row>
    <row r="8" spans="1:6" x14ac:dyDescent="0.2">
      <c r="A8" s="27" t="s">
        <v>108</v>
      </c>
      <c r="B8" s="27" t="s">
        <v>107</v>
      </c>
      <c r="C8" s="27" t="s">
        <v>101</v>
      </c>
      <c r="D8" s="31">
        <v>12400000</v>
      </c>
      <c r="E8" s="29">
        <v>74121</v>
      </c>
      <c r="F8" s="30">
        <v>9.2319918698170191</v>
      </c>
    </row>
    <row r="9" spans="1:6" x14ac:dyDescent="0.2">
      <c r="A9" s="27" t="s">
        <v>103</v>
      </c>
      <c r="B9" s="27" t="s">
        <v>102</v>
      </c>
      <c r="C9" s="27" t="s">
        <v>101</v>
      </c>
      <c r="D9" s="31">
        <v>10000000</v>
      </c>
      <c r="E9" s="29">
        <v>72480</v>
      </c>
      <c r="F9" s="30">
        <v>9.0276004199125399</v>
      </c>
    </row>
    <row r="10" spans="1:6" x14ac:dyDescent="0.2">
      <c r="A10" s="27" t="s">
        <v>110</v>
      </c>
      <c r="B10" s="27" t="s">
        <v>109</v>
      </c>
      <c r="C10" s="27" t="s">
        <v>111</v>
      </c>
      <c r="D10" s="31">
        <v>9000000</v>
      </c>
      <c r="E10" s="29">
        <v>50067</v>
      </c>
      <c r="F10" s="30">
        <v>6.2359943463543202</v>
      </c>
    </row>
    <row r="11" spans="1:6" x14ac:dyDescent="0.2">
      <c r="A11" s="27" t="s">
        <v>152</v>
      </c>
      <c r="B11" s="27" t="s">
        <v>151</v>
      </c>
      <c r="C11" s="27" t="s">
        <v>139</v>
      </c>
      <c r="D11" s="31">
        <v>8700000</v>
      </c>
      <c r="E11" s="29">
        <v>39136.949999999997</v>
      </c>
      <c r="F11" s="30">
        <v>4.8746239825344402</v>
      </c>
    </row>
    <row r="12" spans="1:6" x14ac:dyDescent="0.2">
      <c r="A12" s="27" t="s">
        <v>150</v>
      </c>
      <c r="B12" s="27" t="s">
        <v>149</v>
      </c>
      <c r="C12" s="27" t="s">
        <v>147</v>
      </c>
      <c r="D12" s="31">
        <v>32000000</v>
      </c>
      <c r="E12" s="29">
        <v>34336</v>
      </c>
      <c r="F12" s="30">
        <v>4.2766513247532698</v>
      </c>
    </row>
    <row r="13" spans="1:6" x14ac:dyDescent="0.2">
      <c r="A13" s="27" t="s">
        <v>220</v>
      </c>
      <c r="B13" s="27" t="s">
        <v>219</v>
      </c>
      <c r="C13" s="27" t="s">
        <v>101</v>
      </c>
      <c r="D13" s="31">
        <v>40000000</v>
      </c>
      <c r="E13" s="29">
        <v>33420</v>
      </c>
      <c r="F13" s="30">
        <v>4.1625607896450996</v>
      </c>
    </row>
    <row r="14" spans="1:6" x14ac:dyDescent="0.2">
      <c r="A14" s="27" t="s">
        <v>193</v>
      </c>
      <c r="B14" s="27" t="s">
        <v>192</v>
      </c>
      <c r="C14" s="27" t="s">
        <v>194</v>
      </c>
      <c r="D14" s="31">
        <v>2300000</v>
      </c>
      <c r="E14" s="29">
        <v>33177.5</v>
      </c>
      <c r="F14" s="30">
        <v>4.1323566905580602</v>
      </c>
    </row>
    <row r="15" spans="1:6" x14ac:dyDescent="0.2">
      <c r="A15" s="27" t="s">
        <v>100</v>
      </c>
      <c r="B15" s="27" t="s">
        <v>99</v>
      </c>
      <c r="C15" s="27" t="s">
        <v>101</v>
      </c>
      <c r="D15" s="31">
        <v>2000000</v>
      </c>
      <c r="E15" s="29">
        <v>30688</v>
      </c>
      <c r="F15" s="30">
        <v>3.8222820320954201</v>
      </c>
    </row>
    <row r="16" spans="1:6" x14ac:dyDescent="0.2">
      <c r="A16" s="27" t="s">
        <v>207</v>
      </c>
      <c r="B16" s="27" t="s">
        <v>206</v>
      </c>
      <c r="C16" s="27" t="s">
        <v>139</v>
      </c>
      <c r="D16" s="31">
        <v>31000000</v>
      </c>
      <c r="E16" s="29">
        <v>30395.5</v>
      </c>
      <c r="F16" s="30">
        <v>3.78585028371208</v>
      </c>
    </row>
    <row r="17" spans="1:6" x14ac:dyDescent="0.2">
      <c r="A17" s="27" t="s">
        <v>216</v>
      </c>
      <c r="B17" s="27" t="s">
        <v>215</v>
      </c>
      <c r="C17" s="27" t="s">
        <v>125</v>
      </c>
      <c r="D17" s="31">
        <v>21000000</v>
      </c>
      <c r="E17" s="29">
        <v>29778</v>
      </c>
      <c r="F17" s="30">
        <v>3.70893881490281</v>
      </c>
    </row>
    <row r="18" spans="1:6" x14ac:dyDescent="0.2">
      <c r="A18" s="27" t="s">
        <v>516</v>
      </c>
      <c r="B18" s="27" t="s">
        <v>515</v>
      </c>
      <c r="C18" s="27" t="s">
        <v>144</v>
      </c>
      <c r="D18" s="31">
        <v>2700000</v>
      </c>
      <c r="E18" s="29">
        <v>27495.45</v>
      </c>
      <c r="F18" s="30">
        <v>3.4246403968775398</v>
      </c>
    </row>
    <row r="19" spans="1:6" x14ac:dyDescent="0.2">
      <c r="A19" s="27" t="s">
        <v>267</v>
      </c>
      <c r="B19" s="27" t="s">
        <v>266</v>
      </c>
      <c r="C19" s="27" t="s">
        <v>182</v>
      </c>
      <c r="D19" s="31">
        <v>1500000</v>
      </c>
      <c r="E19" s="29">
        <v>25998</v>
      </c>
      <c r="F19" s="30">
        <v>3.2381285281027301</v>
      </c>
    </row>
    <row r="20" spans="1:6" x14ac:dyDescent="0.2">
      <c r="A20" s="27" t="s">
        <v>518</v>
      </c>
      <c r="B20" s="27" t="s">
        <v>517</v>
      </c>
      <c r="C20" s="27" t="s">
        <v>275</v>
      </c>
      <c r="D20" s="31">
        <v>1500000</v>
      </c>
      <c r="E20" s="29">
        <v>24299.25</v>
      </c>
      <c r="F20" s="30">
        <v>3.0265441432610301</v>
      </c>
    </row>
    <row r="21" spans="1:6" x14ac:dyDescent="0.2">
      <c r="A21" s="27" t="s">
        <v>390</v>
      </c>
      <c r="B21" s="27" t="s">
        <v>389</v>
      </c>
      <c r="C21" s="27" t="s">
        <v>235</v>
      </c>
      <c r="D21" s="31">
        <v>4800000</v>
      </c>
      <c r="E21" s="29">
        <v>21088.799999999999</v>
      </c>
      <c r="F21" s="30">
        <v>2.6266730095950801</v>
      </c>
    </row>
    <row r="22" spans="1:6" x14ac:dyDescent="0.2">
      <c r="A22" s="27" t="s">
        <v>520</v>
      </c>
      <c r="B22" s="27" t="s">
        <v>519</v>
      </c>
      <c r="C22" s="27" t="s">
        <v>148</v>
      </c>
      <c r="D22" s="31">
        <v>4000000</v>
      </c>
      <c r="E22" s="29">
        <v>20008</v>
      </c>
      <c r="F22" s="30">
        <v>2.4920561424063199</v>
      </c>
    </row>
    <row r="23" spans="1:6" x14ac:dyDescent="0.2">
      <c r="A23" s="27" t="s">
        <v>522</v>
      </c>
      <c r="B23" s="27" t="s">
        <v>521</v>
      </c>
      <c r="C23" s="27" t="s">
        <v>144</v>
      </c>
      <c r="D23" s="31">
        <v>2500000</v>
      </c>
      <c r="E23" s="29">
        <v>19676.25</v>
      </c>
      <c r="F23" s="30">
        <v>2.45073568932539</v>
      </c>
    </row>
    <row r="24" spans="1:6" x14ac:dyDescent="0.2">
      <c r="A24" s="27" t="s">
        <v>443</v>
      </c>
      <c r="B24" s="27" t="s">
        <v>442</v>
      </c>
      <c r="C24" s="27" t="s">
        <v>182</v>
      </c>
      <c r="D24" s="31">
        <v>4800000</v>
      </c>
      <c r="E24" s="29">
        <v>17932.8</v>
      </c>
      <c r="F24" s="30">
        <v>2.2335837860128001</v>
      </c>
    </row>
    <row r="25" spans="1:6" x14ac:dyDescent="0.2">
      <c r="A25" s="27" t="s">
        <v>524</v>
      </c>
      <c r="B25" s="27" t="s">
        <v>523</v>
      </c>
      <c r="C25" s="27" t="s">
        <v>182</v>
      </c>
      <c r="D25" s="31">
        <v>260000</v>
      </c>
      <c r="E25" s="29">
        <v>15899</v>
      </c>
      <c r="F25" s="30">
        <v>1.9802679232366101</v>
      </c>
    </row>
    <row r="26" spans="1:6" x14ac:dyDescent="0.2">
      <c r="A26" s="27" t="s">
        <v>526</v>
      </c>
      <c r="B26" s="27" t="s">
        <v>525</v>
      </c>
      <c r="C26" s="27" t="s">
        <v>182</v>
      </c>
      <c r="D26" s="31">
        <v>16000000</v>
      </c>
      <c r="E26" s="29">
        <v>14688</v>
      </c>
      <c r="F26" s="30">
        <v>1.82943425728029</v>
      </c>
    </row>
    <row r="27" spans="1:6" x14ac:dyDescent="0.2">
      <c r="A27" s="27" t="s">
        <v>528</v>
      </c>
      <c r="B27" s="27" t="s">
        <v>527</v>
      </c>
      <c r="C27" s="27" t="s">
        <v>235</v>
      </c>
      <c r="D27" s="31">
        <v>3100000</v>
      </c>
      <c r="E27" s="29">
        <v>13545.45</v>
      </c>
      <c r="F27" s="30">
        <v>1.6871262432106</v>
      </c>
    </row>
    <row r="28" spans="1:6" x14ac:dyDescent="0.2">
      <c r="A28" s="27" t="s">
        <v>465</v>
      </c>
      <c r="B28" s="27" t="s">
        <v>464</v>
      </c>
      <c r="C28" s="27" t="s">
        <v>419</v>
      </c>
      <c r="D28" s="31">
        <v>425000</v>
      </c>
      <c r="E28" s="29">
        <v>12999.262500000001</v>
      </c>
      <c r="F28" s="30">
        <v>1.6190969592101701</v>
      </c>
    </row>
    <row r="29" spans="1:6" x14ac:dyDescent="0.2">
      <c r="A29" s="27" t="s">
        <v>530</v>
      </c>
      <c r="B29" s="27" t="s">
        <v>529</v>
      </c>
      <c r="C29" s="27" t="s">
        <v>235</v>
      </c>
      <c r="D29" s="31">
        <v>15000000</v>
      </c>
      <c r="E29" s="29">
        <v>11595</v>
      </c>
      <c r="F29" s="30">
        <v>1.44419187181134</v>
      </c>
    </row>
    <row r="30" spans="1:6" x14ac:dyDescent="0.2">
      <c r="A30" s="27" t="s">
        <v>532</v>
      </c>
      <c r="B30" s="27" t="s">
        <v>531</v>
      </c>
      <c r="C30" s="27" t="s">
        <v>133</v>
      </c>
      <c r="D30" s="31">
        <v>1000000</v>
      </c>
      <c r="E30" s="29">
        <v>5351</v>
      </c>
      <c r="F30" s="30">
        <v>0.666483027689735</v>
      </c>
    </row>
    <row r="31" spans="1:6" x14ac:dyDescent="0.2">
      <c r="A31" s="27" t="s">
        <v>534</v>
      </c>
      <c r="B31" s="27" t="s">
        <v>533</v>
      </c>
      <c r="C31" s="27" t="s">
        <v>535</v>
      </c>
      <c r="D31" s="31">
        <v>300000</v>
      </c>
      <c r="E31" s="29">
        <v>3261.15</v>
      </c>
      <c r="F31" s="30">
        <v>0.40618597005239798</v>
      </c>
    </row>
    <row r="32" spans="1:6" x14ac:dyDescent="0.2">
      <c r="A32" s="27" t="s">
        <v>105</v>
      </c>
      <c r="B32" s="27" t="s">
        <v>104</v>
      </c>
      <c r="C32" s="27" t="s">
        <v>106</v>
      </c>
      <c r="D32" s="31">
        <v>200000</v>
      </c>
      <c r="E32" s="29">
        <v>2506.6</v>
      </c>
      <c r="F32" s="30">
        <v>0.31220451452197501</v>
      </c>
    </row>
    <row r="33" spans="1:9" x14ac:dyDescent="0.2">
      <c r="A33" s="27" t="s">
        <v>537</v>
      </c>
      <c r="B33" s="27" t="s">
        <v>536</v>
      </c>
      <c r="C33" s="27" t="s">
        <v>275</v>
      </c>
      <c r="D33" s="31">
        <v>1469972</v>
      </c>
      <c r="E33" s="29">
        <v>1214.9318579999999</v>
      </c>
      <c r="F33" s="30">
        <v>0.15132339061045699</v>
      </c>
    </row>
    <row r="34" spans="1:9" x14ac:dyDescent="0.2">
      <c r="A34" s="26" t="s">
        <v>40</v>
      </c>
      <c r="B34" s="26"/>
      <c r="C34" s="26"/>
      <c r="D34" s="32"/>
      <c r="E34" s="33">
        <f>SUM(E7:E33)</f>
        <v>750091.54910800001</v>
      </c>
      <c r="F34" s="34">
        <f>SUM(F7:F33)</f>
        <v>93.426142159219424</v>
      </c>
      <c r="G34" s="18"/>
      <c r="H34" s="18"/>
      <c r="I34" s="18"/>
    </row>
    <row r="35" spans="1:9" x14ac:dyDescent="0.2">
      <c r="A35" s="27"/>
      <c r="B35" s="27"/>
      <c r="C35" s="27"/>
      <c r="D35" s="28"/>
      <c r="E35" s="29"/>
      <c r="F35" s="30"/>
    </row>
    <row r="36" spans="1:9" x14ac:dyDescent="0.2">
      <c r="A36" s="26" t="s">
        <v>44</v>
      </c>
      <c r="B36" s="26"/>
      <c r="C36" s="26"/>
      <c r="D36" s="32"/>
      <c r="E36" s="33">
        <f>E34</f>
        <v>750091.54910800001</v>
      </c>
      <c r="F36" s="34">
        <f>F34</f>
        <v>93.426142159219424</v>
      </c>
      <c r="G36" s="18"/>
      <c r="H36" s="18"/>
      <c r="I36" s="18"/>
    </row>
    <row r="37" spans="1:9" x14ac:dyDescent="0.2">
      <c r="A37" s="26"/>
      <c r="B37" s="26"/>
      <c r="C37" s="26"/>
      <c r="D37" s="32"/>
      <c r="E37" s="33"/>
      <c r="F37" s="34"/>
      <c r="G37" s="18"/>
      <c r="H37" s="18"/>
      <c r="I37" s="18"/>
    </row>
    <row r="38" spans="1:9" x14ac:dyDescent="0.2">
      <c r="A38" s="26" t="s">
        <v>46</v>
      </c>
      <c r="B38" s="26"/>
      <c r="C38" s="26"/>
      <c r="D38" s="32"/>
      <c r="E38" s="33">
        <f>E40-(E34)</f>
        <v>52779.608548999997</v>
      </c>
      <c r="F38" s="34">
        <f>F40-(F34)</f>
        <v>6.5738578407805761</v>
      </c>
      <c r="G38" s="18"/>
      <c r="H38" s="18"/>
      <c r="I38" s="18"/>
    </row>
    <row r="39" spans="1:9" x14ac:dyDescent="0.2">
      <c r="A39" s="26"/>
      <c r="B39" s="26"/>
      <c r="C39" s="26"/>
      <c r="D39" s="32"/>
      <c r="E39" s="33"/>
      <c r="F39" s="34"/>
      <c r="G39" s="18"/>
      <c r="H39" s="18"/>
      <c r="I39" s="18"/>
    </row>
    <row r="40" spans="1:9" x14ac:dyDescent="0.2">
      <c r="A40" s="35" t="s">
        <v>45</v>
      </c>
      <c r="B40" s="35"/>
      <c r="C40" s="35"/>
      <c r="D40" s="36"/>
      <c r="E40" s="37">
        <v>802871.157657</v>
      </c>
      <c r="F40" s="38">
        <v>100</v>
      </c>
      <c r="G40" s="18"/>
      <c r="H40" s="18"/>
      <c r="I40" s="18"/>
    </row>
    <row r="43" spans="1:9" x14ac:dyDescent="0.2">
      <c r="A43" s="18" t="s">
        <v>48</v>
      </c>
    </row>
    <row r="44" spans="1:9" x14ac:dyDescent="0.2">
      <c r="A44" s="18" t="s">
        <v>49</v>
      </c>
    </row>
    <row r="45" spans="1:9" x14ac:dyDescent="0.2">
      <c r="A45" s="18" t="s">
        <v>50</v>
      </c>
      <c r="B45" s="18"/>
      <c r="C45" s="39" t="s">
        <v>52</v>
      </c>
      <c r="D45" s="19" t="s">
        <v>51</v>
      </c>
    </row>
    <row r="46" spans="1:9" x14ac:dyDescent="0.2">
      <c r="A46" s="9" t="s">
        <v>70</v>
      </c>
      <c r="C46" s="40">
        <v>37.840200000000003</v>
      </c>
      <c r="D46" s="40">
        <v>53.2971</v>
      </c>
    </row>
    <row r="47" spans="1:9" x14ac:dyDescent="0.2">
      <c r="A47" s="9" t="s">
        <v>76</v>
      </c>
      <c r="C47" s="40">
        <v>19.0152</v>
      </c>
      <c r="D47" s="40">
        <v>26.782800000000002</v>
      </c>
    </row>
    <row r="48" spans="1:9" x14ac:dyDescent="0.2">
      <c r="A48" s="9" t="s">
        <v>73</v>
      </c>
      <c r="C48" s="40">
        <v>40.970300000000002</v>
      </c>
      <c r="D48" s="40">
        <v>57.9435</v>
      </c>
    </row>
    <row r="49" spans="1:4" x14ac:dyDescent="0.2">
      <c r="A49" s="9" t="s">
        <v>77</v>
      </c>
      <c r="C49" s="40">
        <v>21.2714</v>
      </c>
      <c r="D49" s="40">
        <v>30.083500000000001</v>
      </c>
    </row>
    <row r="51" spans="1:4" x14ac:dyDescent="0.2">
      <c r="A51" s="18" t="s">
        <v>53</v>
      </c>
      <c r="D51" s="41" t="s">
        <v>54</v>
      </c>
    </row>
    <row r="53" spans="1:4" x14ac:dyDescent="0.2">
      <c r="A53" s="18" t="s">
        <v>224</v>
      </c>
      <c r="D53" s="46">
        <v>8.1000000000000003E-2</v>
      </c>
    </row>
    <row r="55" spans="1:4" x14ac:dyDescent="0.2">
      <c r="A55" s="18" t="s">
        <v>729</v>
      </c>
    </row>
    <row r="56" spans="1:4" x14ac:dyDescent="0.2">
      <c r="A56" s="50" t="s">
        <v>56</v>
      </c>
    </row>
  </sheetData>
  <mergeCells count="1">
    <mergeCell ref="A1:F1"/>
  </mergeCells>
  <conditionalFormatting sqref="F2:F3 F5:F65536">
    <cfRule type="cellIs" dxfId="19" priority="1" stopIfTrue="1" operator="between">
      <formula>0.009</formula>
      <formula>-0.009</formula>
    </cfRule>
  </conditionalFormatting>
  <hyperlinks>
    <hyperlink ref="A56" r:id="rId1" xr:uid="{00000000-0004-0000-2D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90"/>
  <sheetViews>
    <sheetView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18.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5" customHeight="1" x14ac:dyDescent="0.2">
      <c r="A1" s="72" t="s">
        <v>730</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5000000</v>
      </c>
      <c r="E7" s="29">
        <v>76720</v>
      </c>
      <c r="F7" s="30">
        <v>7.9996877415191996</v>
      </c>
    </row>
    <row r="8" spans="1:6" x14ac:dyDescent="0.2">
      <c r="A8" s="27" t="s">
        <v>105</v>
      </c>
      <c r="B8" s="27" t="s">
        <v>104</v>
      </c>
      <c r="C8" s="27" t="s">
        <v>106</v>
      </c>
      <c r="D8" s="31">
        <v>5300000</v>
      </c>
      <c r="E8" s="29">
        <v>66424.899999999994</v>
      </c>
      <c r="F8" s="30">
        <v>6.9262051389681796</v>
      </c>
    </row>
    <row r="9" spans="1:6" x14ac:dyDescent="0.2">
      <c r="A9" s="27" t="s">
        <v>108</v>
      </c>
      <c r="B9" s="27" t="s">
        <v>107</v>
      </c>
      <c r="C9" s="27" t="s">
        <v>101</v>
      </c>
      <c r="D9" s="31">
        <v>11000000</v>
      </c>
      <c r="E9" s="29">
        <v>65752.5</v>
      </c>
      <c r="F9" s="30">
        <v>6.8560931728915699</v>
      </c>
    </row>
    <row r="10" spans="1:6" x14ac:dyDescent="0.2">
      <c r="A10" s="27" t="s">
        <v>103</v>
      </c>
      <c r="B10" s="27" t="s">
        <v>102</v>
      </c>
      <c r="C10" s="27" t="s">
        <v>101</v>
      </c>
      <c r="D10" s="31">
        <v>8500000</v>
      </c>
      <c r="E10" s="29">
        <v>61608</v>
      </c>
      <c r="F10" s="30">
        <v>6.4239411154785602</v>
      </c>
    </row>
    <row r="11" spans="1:6" x14ac:dyDescent="0.2">
      <c r="A11" s="27" t="s">
        <v>110</v>
      </c>
      <c r="B11" s="27" t="s">
        <v>109</v>
      </c>
      <c r="C11" s="27" t="s">
        <v>111</v>
      </c>
      <c r="D11" s="31">
        <v>11000000</v>
      </c>
      <c r="E11" s="29">
        <v>61193</v>
      </c>
      <c r="F11" s="30">
        <v>6.3806685605681004</v>
      </c>
    </row>
    <row r="12" spans="1:6" x14ac:dyDescent="0.2">
      <c r="A12" s="27" t="s">
        <v>193</v>
      </c>
      <c r="B12" s="27" t="s">
        <v>192</v>
      </c>
      <c r="C12" s="27" t="s">
        <v>194</v>
      </c>
      <c r="D12" s="31">
        <v>2900000</v>
      </c>
      <c r="E12" s="29">
        <v>41832.5</v>
      </c>
      <c r="F12" s="30">
        <v>4.3619256705826599</v>
      </c>
    </row>
    <row r="13" spans="1:6" x14ac:dyDescent="0.2">
      <c r="A13" s="27" t="s">
        <v>141</v>
      </c>
      <c r="B13" s="27" t="s">
        <v>140</v>
      </c>
      <c r="C13" s="27" t="s">
        <v>101</v>
      </c>
      <c r="D13" s="31">
        <v>10000000</v>
      </c>
      <c r="E13" s="29">
        <v>39015</v>
      </c>
      <c r="F13" s="30">
        <v>4.0681415176664704</v>
      </c>
    </row>
    <row r="14" spans="1:6" x14ac:dyDescent="0.2">
      <c r="A14" s="27" t="s">
        <v>164</v>
      </c>
      <c r="B14" s="27" t="s">
        <v>163</v>
      </c>
      <c r="C14" s="27" t="s">
        <v>136</v>
      </c>
      <c r="D14" s="31">
        <v>10000000</v>
      </c>
      <c r="E14" s="29">
        <v>32295</v>
      </c>
      <c r="F14" s="30">
        <v>3.3674389417669799</v>
      </c>
    </row>
    <row r="15" spans="1:6" x14ac:dyDescent="0.2">
      <c r="A15" s="27" t="s">
        <v>135</v>
      </c>
      <c r="B15" s="27" t="s">
        <v>134</v>
      </c>
      <c r="C15" s="27" t="s">
        <v>136</v>
      </c>
      <c r="D15" s="31">
        <v>3000000</v>
      </c>
      <c r="E15" s="29">
        <v>24192</v>
      </c>
      <c r="F15" s="30">
        <v>2.5225292732381699</v>
      </c>
    </row>
    <row r="16" spans="1:6" x14ac:dyDescent="0.2">
      <c r="A16" s="27" t="s">
        <v>150</v>
      </c>
      <c r="B16" s="27" t="s">
        <v>149</v>
      </c>
      <c r="C16" s="27" t="s">
        <v>147</v>
      </c>
      <c r="D16" s="31">
        <v>22000000</v>
      </c>
      <c r="E16" s="29">
        <v>23606</v>
      </c>
      <c r="F16" s="30">
        <v>2.4614263402802701</v>
      </c>
    </row>
    <row r="17" spans="1:6" x14ac:dyDescent="0.2">
      <c r="A17" s="27" t="s">
        <v>158</v>
      </c>
      <c r="B17" s="27" t="s">
        <v>157</v>
      </c>
      <c r="C17" s="27" t="s">
        <v>133</v>
      </c>
      <c r="D17" s="31">
        <v>1970000</v>
      </c>
      <c r="E17" s="29">
        <v>22878.595000000001</v>
      </c>
      <c r="F17" s="30">
        <v>2.3855789359317301</v>
      </c>
    </row>
    <row r="18" spans="1:6" x14ac:dyDescent="0.2">
      <c r="A18" s="27" t="s">
        <v>269</v>
      </c>
      <c r="B18" s="27" t="s">
        <v>268</v>
      </c>
      <c r="C18" s="27" t="s">
        <v>106</v>
      </c>
      <c r="D18" s="31">
        <v>2500000</v>
      </c>
      <c r="E18" s="29">
        <v>22736.25</v>
      </c>
      <c r="F18" s="30">
        <v>2.3707364495974401</v>
      </c>
    </row>
    <row r="19" spans="1:6" x14ac:dyDescent="0.2">
      <c r="A19" s="27" t="s">
        <v>116</v>
      </c>
      <c r="B19" s="27" t="s">
        <v>115</v>
      </c>
      <c r="C19" s="27" t="s">
        <v>117</v>
      </c>
      <c r="D19" s="31">
        <v>2200000</v>
      </c>
      <c r="E19" s="29">
        <v>22399.3</v>
      </c>
      <c r="F19" s="30">
        <v>2.33560226314665</v>
      </c>
    </row>
    <row r="20" spans="1:6" x14ac:dyDescent="0.2">
      <c r="A20" s="27" t="s">
        <v>166</v>
      </c>
      <c r="B20" s="27" t="s">
        <v>165</v>
      </c>
      <c r="C20" s="27" t="s">
        <v>167</v>
      </c>
      <c r="D20" s="31">
        <v>12000000</v>
      </c>
      <c r="E20" s="29">
        <v>22032</v>
      </c>
      <c r="F20" s="30">
        <v>2.2973034452704799</v>
      </c>
    </row>
    <row r="21" spans="1:6" x14ac:dyDescent="0.2">
      <c r="A21" s="27" t="s">
        <v>138</v>
      </c>
      <c r="B21" s="27" t="s">
        <v>137</v>
      </c>
      <c r="C21" s="27" t="s">
        <v>139</v>
      </c>
      <c r="D21" s="31">
        <v>8500000</v>
      </c>
      <c r="E21" s="29">
        <v>20608.25</v>
      </c>
      <c r="F21" s="30">
        <v>2.1488473005626001</v>
      </c>
    </row>
    <row r="22" spans="1:6" x14ac:dyDescent="0.2">
      <c r="A22" s="27" t="s">
        <v>532</v>
      </c>
      <c r="B22" s="27" t="s">
        <v>531</v>
      </c>
      <c r="C22" s="27" t="s">
        <v>133</v>
      </c>
      <c r="D22" s="31">
        <v>3600000</v>
      </c>
      <c r="E22" s="29">
        <v>19263.599999999999</v>
      </c>
      <c r="F22" s="30">
        <v>2.0086390090918802</v>
      </c>
    </row>
    <row r="23" spans="1:6" x14ac:dyDescent="0.2">
      <c r="A23" s="27" t="s">
        <v>181</v>
      </c>
      <c r="B23" s="27" t="s">
        <v>180</v>
      </c>
      <c r="C23" s="27" t="s">
        <v>182</v>
      </c>
      <c r="D23" s="31">
        <v>1600000</v>
      </c>
      <c r="E23" s="29">
        <v>19212.8</v>
      </c>
      <c r="F23" s="30">
        <v>2.00334203128598</v>
      </c>
    </row>
    <row r="24" spans="1:6" x14ac:dyDescent="0.2">
      <c r="A24" s="27" t="s">
        <v>539</v>
      </c>
      <c r="B24" s="27" t="s">
        <v>538</v>
      </c>
      <c r="C24" s="27" t="s">
        <v>133</v>
      </c>
      <c r="D24" s="31">
        <v>4800000</v>
      </c>
      <c r="E24" s="29">
        <v>19082.400000000001</v>
      </c>
      <c r="F24" s="30">
        <v>1.98974506463459</v>
      </c>
    </row>
    <row r="25" spans="1:6" x14ac:dyDescent="0.2">
      <c r="A25" s="27" t="s">
        <v>541</v>
      </c>
      <c r="B25" s="27" t="s">
        <v>540</v>
      </c>
      <c r="C25" s="27" t="s">
        <v>144</v>
      </c>
      <c r="D25" s="31">
        <v>3000000</v>
      </c>
      <c r="E25" s="29">
        <v>17838</v>
      </c>
      <c r="F25" s="30">
        <v>1.8599899626331999</v>
      </c>
    </row>
    <row r="26" spans="1:6" x14ac:dyDescent="0.2">
      <c r="A26" s="27" t="s">
        <v>200</v>
      </c>
      <c r="B26" s="27" t="s">
        <v>199</v>
      </c>
      <c r="C26" s="27" t="s">
        <v>106</v>
      </c>
      <c r="D26" s="31">
        <v>1900000</v>
      </c>
      <c r="E26" s="29">
        <v>17458.150000000001</v>
      </c>
      <c r="F26" s="30">
        <v>1.8203825409880501</v>
      </c>
    </row>
    <row r="27" spans="1:6" x14ac:dyDescent="0.2">
      <c r="A27" s="27" t="s">
        <v>216</v>
      </c>
      <c r="B27" s="27" t="s">
        <v>215</v>
      </c>
      <c r="C27" s="27" t="s">
        <v>125</v>
      </c>
      <c r="D27" s="31">
        <v>12000000</v>
      </c>
      <c r="E27" s="29">
        <v>17016</v>
      </c>
      <c r="F27" s="30">
        <v>1.7742790225455001</v>
      </c>
    </row>
    <row r="28" spans="1:6" x14ac:dyDescent="0.2">
      <c r="A28" s="27" t="s">
        <v>516</v>
      </c>
      <c r="B28" s="27" t="s">
        <v>515</v>
      </c>
      <c r="C28" s="27" t="s">
        <v>144</v>
      </c>
      <c r="D28" s="31">
        <v>1550000</v>
      </c>
      <c r="E28" s="29">
        <v>15784.424999999999</v>
      </c>
      <c r="F28" s="30">
        <v>1.6458611988976699</v>
      </c>
    </row>
    <row r="29" spans="1:6" x14ac:dyDescent="0.2">
      <c r="A29" s="27" t="s">
        <v>543</v>
      </c>
      <c r="B29" s="27" t="s">
        <v>542</v>
      </c>
      <c r="C29" s="27" t="s">
        <v>187</v>
      </c>
      <c r="D29" s="31">
        <v>12000000</v>
      </c>
      <c r="E29" s="29">
        <v>14838</v>
      </c>
      <c r="F29" s="30">
        <v>1.54717631267807</v>
      </c>
    </row>
    <row r="30" spans="1:6" x14ac:dyDescent="0.2">
      <c r="A30" s="27" t="s">
        <v>545</v>
      </c>
      <c r="B30" s="27" t="s">
        <v>544</v>
      </c>
      <c r="C30" s="27" t="s">
        <v>187</v>
      </c>
      <c r="D30" s="31">
        <v>3000000</v>
      </c>
      <c r="E30" s="29">
        <v>13846.5</v>
      </c>
      <c r="F30" s="30">
        <v>1.4437914013679001</v>
      </c>
    </row>
    <row r="31" spans="1:6" x14ac:dyDescent="0.2">
      <c r="A31" s="27" t="s">
        <v>380</v>
      </c>
      <c r="B31" s="27" t="s">
        <v>379</v>
      </c>
      <c r="C31" s="27" t="s">
        <v>133</v>
      </c>
      <c r="D31" s="31">
        <v>9200000</v>
      </c>
      <c r="E31" s="29">
        <v>13694.2</v>
      </c>
      <c r="F31" s="30">
        <v>1.42791089507185</v>
      </c>
    </row>
    <row r="32" spans="1:6" x14ac:dyDescent="0.2">
      <c r="A32" s="27" t="s">
        <v>267</v>
      </c>
      <c r="B32" s="27" t="s">
        <v>266</v>
      </c>
      <c r="C32" s="27" t="s">
        <v>182</v>
      </c>
      <c r="D32" s="31">
        <v>720000</v>
      </c>
      <c r="E32" s="29">
        <v>12479.04</v>
      </c>
      <c r="F32" s="30">
        <v>1.3012046834453601</v>
      </c>
    </row>
    <row r="33" spans="1:6" x14ac:dyDescent="0.2">
      <c r="A33" s="27" t="s">
        <v>503</v>
      </c>
      <c r="B33" s="27" t="s">
        <v>502</v>
      </c>
      <c r="C33" s="27" t="s">
        <v>148</v>
      </c>
      <c r="D33" s="31">
        <v>403861</v>
      </c>
      <c r="E33" s="29">
        <v>9013.3697979999997</v>
      </c>
      <c r="F33" s="30">
        <v>0.93983503496923804</v>
      </c>
    </row>
    <row r="34" spans="1:6" x14ac:dyDescent="0.2">
      <c r="A34" s="27" t="s">
        <v>245</v>
      </c>
      <c r="B34" s="27" t="s">
        <v>244</v>
      </c>
      <c r="C34" s="27" t="s">
        <v>246</v>
      </c>
      <c r="D34" s="31">
        <v>6000000</v>
      </c>
      <c r="E34" s="29">
        <v>8226</v>
      </c>
      <c r="F34" s="30">
        <v>0.85773502817696701</v>
      </c>
    </row>
    <row r="35" spans="1:6" x14ac:dyDescent="0.2">
      <c r="A35" s="27" t="s">
        <v>524</v>
      </c>
      <c r="B35" s="27" t="s">
        <v>523</v>
      </c>
      <c r="C35" s="27" t="s">
        <v>182</v>
      </c>
      <c r="D35" s="31">
        <v>130000</v>
      </c>
      <c r="E35" s="29">
        <v>7949.5</v>
      </c>
      <c r="F35" s="30">
        <v>0.82890403677276903</v>
      </c>
    </row>
    <row r="36" spans="1:6" x14ac:dyDescent="0.2">
      <c r="A36" s="27" t="s">
        <v>443</v>
      </c>
      <c r="B36" s="27" t="s">
        <v>442</v>
      </c>
      <c r="C36" s="27" t="s">
        <v>182</v>
      </c>
      <c r="D36" s="31">
        <v>2100000</v>
      </c>
      <c r="E36" s="29">
        <v>7845.6</v>
      </c>
      <c r="F36" s="30">
        <v>0.81807025736265704</v>
      </c>
    </row>
    <row r="37" spans="1:6" x14ac:dyDescent="0.2">
      <c r="A37" s="27" t="s">
        <v>243</v>
      </c>
      <c r="B37" s="27" t="s">
        <v>242</v>
      </c>
      <c r="C37" s="27" t="s">
        <v>136</v>
      </c>
      <c r="D37" s="31">
        <v>6000000</v>
      </c>
      <c r="E37" s="29">
        <v>7722</v>
      </c>
      <c r="F37" s="30">
        <v>0.80518233498450498</v>
      </c>
    </row>
    <row r="38" spans="1:6" x14ac:dyDescent="0.2">
      <c r="A38" s="27" t="s">
        <v>264</v>
      </c>
      <c r="B38" s="27" t="s">
        <v>263</v>
      </c>
      <c r="C38" s="27" t="s">
        <v>265</v>
      </c>
      <c r="D38" s="31">
        <v>1600000</v>
      </c>
      <c r="E38" s="29">
        <v>7702.4</v>
      </c>
      <c r="F38" s="30">
        <v>0.803138619138132</v>
      </c>
    </row>
    <row r="39" spans="1:6" x14ac:dyDescent="0.2">
      <c r="A39" s="27" t="s">
        <v>271</v>
      </c>
      <c r="B39" s="27" t="s">
        <v>270</v>
      </c>
      <c r="C39" s="27" t="s">
        <v>139</v>
      </c>
      <c r="D39" s="31">
        <v>1000000</v>
      </c>
      <c r="E39" s="29">
        <v>7300.5</v>
      </c>
      <c r="F39" s="30">
        <v>0.76123201716581002</v>
      </c>
    </row>
    <row r="40" spans="1:6" x14ac:dyDescent="0.2">
      <c r="A40" s="27" t="s">
        <v>207</v>
      </c>
      <c r="B40" s="27" t="s">
        <v>206</v>
      </c>
      <c r="C40" s="27" t="s">
        <v>139</v>
      </c>
      <c r="D40" s="31">
        <v>7000000</v>
      </c>
      <c r="E40" s="29">
        <v>6863.5</v>
      </c>
      <c r="F40" s="30">
        <v>0.71566549548901204</v>
      </c>
    </row>
    <row r="41" spans="1:6" x14ac:dyDescent="0.2">
      <c r="A41" s="27" t="s">
        <v>179</v>
      </c>
      <c r="B41" s="27" t="s">
        <v>178</v>
      </c>
      <c r="C41" s="27" t="s">
        <v>144</v>
      </c>
      <c r="D41" s="31">
        <v>150000</v>
      </c>
      <c r="E41" s="29">
        <v>6639.8249999999998</v>
      </c>
      <c r="F41" s="30">
        <v>0.69234263110444105</v>
      </c>
    </row>
    <row r="42" spans="1:6" x14ac:dyDescent="0.2">
      <c r="A42" s="27" t="s">
        <v>143</v>
      </c>
      <c r="B42" s="27" t="s">
        <v>142</v>
      </c>
      <c r="C42" s="27" t="s">
        <v>144</v>
      </c>
      <c r="D42" s="31">
        <v>1500000</v>
      </c>
      <c r="E42" s="29">
        <v>6528</v>
      </c>
      <c r="F42" s="30">
        <v>0.68068250230236305</v>
      </c>
    </row>
    <row r="43" spans="1:6" x14ac:dyDescent="0.2">
      <c r="A43" s="27" t="s">
        <v>279</v>
      </c>
      <c r="B43" s="27" t="s">
        <v>278</v>
      </c>
      <c r="C43" s="27" t="s">
        <v>148</v>
      </c>
      <c r="D43" s="31">
        <v>1000000</v>
      </c>
      <c r="E43" s="29">
        <v>6131</v>
      </c>
      <c r="F43" s="30">
        <v>0.63928682929163505</v>
      </c>
    </row>
    <row r="44" spans="1:6" x14ac:dyDescent="0.2">
      <c r="A44" s="27" t="s">
        <v>547</v>
      </c>
      <c r="B44" s="27" t="s">
        <v>546</v>
      </c>
      <c r="C44" s="27" t="s">
        <v>275</v>
      </c>
      <c r="D44" s="31">
        <v>5288295</v>
      </c>
      <c r="E44" s="29">
        <v>5230.1237549999996</v>
      </c>
      <c r="F44" s="30">
        <v>0.54535136717286004</v>
      </c>
    </row>
    <row r="45" spans="1:6" x14ac:dyDescent="0.2">
      <c r="A45" s="27" t="s">
        <v>549</v>
      </c>
      <c r="B45" s="27" t="s">
        <v>548</v>
      </c>
      <c r="C45" s="27" t="s">
        <v>117</v>
      </c>
      <c r="D45" s="31">
        <v>326000</v>
      </c>
      <c r="E45" s="29">
        <v>4688.5320000000002</v>
      </c>
      <c r="F45" s="30">
        <v>0.48887893595047599</v>
      </c>
    </row>
    <row r="46" spans="1:6" x14ac:dyDescent="0.2">
      <c r="A46" s="27" t="s">
        <v>418</v>
      </c>
      <c r="B46" s="27" t="s">
        <v>417</v>
      </c>
      <c r="C46" s="27" t="s">
        <v>419</v>
      </c>
      <c r="D46" s="31">
        <v>230000</v>
      </c>
      <c r="E46" s="29">
        <v>4506.3900000000003</v>
      </c>
      <c r="F46" s="30">
        <v>0.4698867680071</v>
      </c>
    </row>
    <row r="47" spans="1:6" x14ac:dyDescent="0.2">
      <c r="A47" s="27" t="s">
        <v>551</v>
      </c>
      <c r="B47" s="27" t="s">
        <v>550</v>
      </c>
      <c r="C47" s="27" t="s">
        <v>167</v>
      </c>
      <c r="D47" s="31">
        <v>2800000</v>
      </c>
      <c r="E47" s="29">
        <v>4407.2</v>
      </c>
      <c r="F47" s="30">
        <v>0.45954410602741702</v>
      </c>
    </row>
    <row r="48" spans="1:6" x14ac:dyDescent="0.2">
      <c r="A48" s="27" t="s">
        <v>169</v>
      </c>
      <c r="B48" s="27" t="s">
        <v>168</v>
      </c>
      <c r="C48" s="27" t="s">
        <v>170</v>
      </c>
      <c r="D48" s="31">
        <v>7000000</v>
      </c>
      <c r="E48" s="29">
        <v>4179</v>
      </c>
      <c r="F48" s="30">
        <v>0.43574941438749598</v>
      </c>
    </row>
    <row r="49" spans="1:9" x14ac:dyDescent="0.2">
      <c r="A49" s="27" t="s">
        <v>156</v>
      </c>
      <c r="B49" s="27" t="s">
        <v>155</v>
      </c>
      <c r="C49" s="27" t="s">
        <v>101</v>
      </c>
      <c r="D49" s="31">
        <v>7000000</v>
      </c>
      <c r="E49" s="29">
        <v>4175.5</v>
      </c>
      <c r="F49" s="30">
        <v>0.43538446512921603</v>
      </c>
    </row>
    <row r="50" spans="1:9" x14ac:dyDescent="0.2">
      <c r="A50" s="27" t="s">
        <v>172</v>
      </c>
      <c r="B50" s="27" t="s">
        <v>171</v>
      </c>
      <c r="C50" s="27" t="s">
        <v>167</v>
      </c>
      <c r="D50" s="31">
        <v>1344155</v>
      </c>
      <c r="E50" s="29">
        <v>1937.5994330000001</v>
      </c>
      <c r="F50" s="30">
        <v>0.20203585026257401</v>
      </c>
    </row>
    <row r="51" spans="1:9" x14ac:dyDescent="0.2">
      <c r="A51" s="27" t="s">
        <v>331</v>
      </c>
      <c r="B51" s="27" t="s">
        <v>330</v>
      </c>
      <c r="C51" s="27" t="s">
        <v>106</v>
      </c>
      <c r="D51" s="31">
        <v>243720</v>
      </c>
      <c r="E51" s="29">
        <v>1741.2575400000001</v>
      </c>
      <c r="F51" s="30">
        <v>0.18156304219976399</v>
      </c>
    </row>
    <row r="52" spans="1:9" x14ac:dyDescent="0.2">
      <c r="A52" s="27" t="s">
        <v>552</v>
      </c>
      <c r="B52" s="27" t="s">
        <v>1481</v>
      </c>
      <c r="C52" s="27" t="s">
        <v>167</v>
      </c>
      <c r="D52" s="31">
        <v>413663</v>
      </c>
      <c r="E52" s="29">
        <v>92.660511999999997</v>
      </c>
      <c r="F52" s="30">
        <v>9.6618243218103798E-3</v>
      </c>
    </row>
    <row r="53" spans="1:9" x14ac:dyDescent="0.2">
      <c r="A53" s="26" t="s">
        <v>40</v>
      </c>
      <c r="B53" s="26"/>
      <c r="C53" s="26"/>
      <c r="D53" s="32"/>
      <c r="E53" s="33">
        <f>SUM(E7:E52)</f>
        <v>896686.36803799996</v>
      </c>
      <c r="F53" s="34">
        <f>SUM(F7:F52)</f>
        <v>93.498578550325362</v>
      </c>
      <c r="G53" s="18"/>
      <c r="H53" s="18"/>
      <c r="I53" s="18"/>
    </row>
    <row r="54" spans="1:9" x14ac:dyDescent="0.2">
      <c r="A54" s="27"/>
      <c r="B54" s="27"/>
      <c r="C54" s="27"/>
      <c r="D54" s="28"/>
      <c r="E54" s="29"/>
      <c r="F54" s="30"/>
    </row>
    <row r="55" spans="1:9" x14ac:dyDescent="0.2">
      <c r="A55" s="26" t="s">
        <v>236</v>
      </c>
      <c r="B55" s="27"/>
      <c r="C55" s="27"/>
      <c r="D55" s="28"/>
      <c r="E55" s="29"/>
      <c r="F55" s="30"/>
    </row>
    <row r="56" spans="1:9" x14ac:dyDescent="0.2">
      <c r="A56" s="27"/>
      <c r="B56" s="27" t="s">
        <v>1485</v>
      </c>
      <c r="C56" s="27" t="s">
        <v>187</v>
      </c>
      <c r="D56" s="31">
        <v>73500</v>
      </c>
      <c r="E56" s="29">
        <v>7.3499999999999998E-3</v>
      </c>
      <c r="F56" s="30">
        <v>7.6639344239006896E-7</v>
      </c>
    </row>
    <row r="57" spans="1:9" x14ac:dyDescent="0.2">
      <c r="A57" s="27"/>
      <c r="B57" s="27" t="s">
        <v>1489</v>
      </c>
      <c r="C57" s="27" t="s">
        <v>106</v>
      </c>
      <c r="D57" s="31">
        <v>45000</v>
      </c>
      <c r="E57" s="29">
        <v>4.4999999999999997E-3</v>
      </c>
      <c r="F57" s="30">
        <v>4.6922047493269502E-7</v>
      </c>
    </row>
    <row r="58" spans="1:9" x14ac:dyDescent="0.2">
      <c r="A58" s="27" t="s">
        <v>514</v>
      </c>
      <c r="B58" s="27" t="s">
        <v>1487</v>
      </c>
      <c r="C58" s="27" t="s">
        <v>187</v>
      </c>
      <c r="D58" s="31">
        <v>38000</v>
      </c>
      <c r="E58" s="29">
        <v>3.8E-3</v>
      </c>
      <c r="F58" s="30">
        <v>3.96230623276498E-7</v>
      </c>
    </row>
    <row r="59" spans="1:9" x14ac:dyDescent="0.2">
      <c r="A59" s="26" t="s">
        <v>40</v>
      </c>
      <c r="B59" s="26"/>
      <c r="C59" s="26"/>
      <c r="D59" s="32"/>
      <c r="E59" s="33">
        <f>SUM(E55:E58)</f>
        <v>1.5650000000000001E-2</v>
      </c>
      <c r="F59" s="34">
        <f>SUM(F55:F58)</f>
        <v>1.631844540599262E-6</v>
      </c>
      <c r="G59" s="18"/>
      <c r="H59" s="18"/>
      <c r="I59" s="18"/>
    </row>
    <row r="60" spans="1:9" x14ac:dyDescent="0.2">
      <c r="A60" s="27"/>
      <c r="B60" s="27"/>
      <c r="C60" s="27"/>
      <c r="D60" s="28"/>
      <c r="E60" s="29"/>
      <c r="F60" s="30"/>
    </row>
    <row r="61" spans="1:9" x14ac:dyDescent="0.2">
      <c r="A61" s="26" t="s">
        <v>44</v>
      </c>
      <c r="B61" s="26"/>
      <c r="C61" s="26"/>
      <c r="D61" s="32"/>
      <c r="E61" s="33">
        <f>E53+E59</f>
        <v>896686.38368799991</v>
      </c>
      <c r="F61" s="34">
        <f>F53+F59</f>
        <v>93.498580182169903</v>
      </c>
      <c r="G61" s="18"/>
      <c r="H61" s="18"/>
      <c r="I61" s="18"/>
    </row>
    <row r="62" spans="1:9" x14ac:dyDescent="0.2">
      <c r="A62" s="26"/>
      <c r="B62" s="26"/>
      <c r="C62" s="26"/>
      <c r="D62" s="32"/>
      <c r="E62" s="33"/>
      <c r="F62" s="34"/>
      <c r="G62" s="18"/>
      <c r="H62" s="18"/>
      <c r="I62" s="18"/>
    </row>
    <row r="63" spans="1:9" x14ac:dyDescent="0.2">
      <c r="A63" s="26" t="s">
        <v>46</v>
      </c>
      <c r="B63" s="26"/>
      <c r="C63" s="26"/>
      <c r="D63" s="32"/>
      <c r="E63" s="33">
        <f>E65-(E53+E59)</f>
        <v>62351.04975850007</v>
      </c>
      <c r="F63" s="34">
        <f>F65-(F53+F59)</f>
        <v>6.5014198178300973</v>
      </c>
      <c r="G63" s="18"/>
      <c r="H63" s="18"/>
      <c r="I63" s="18"/>
    </row>
    <row r="64" spans="1:9" x14ac:dyDescent="0.2">
      <c r="A64" s="26"/>
      <c r="B64" s="26"/>
      <c r="C64" s="26"/>
      <c r="D64" s="32"/>
      <c r="E64" s="33"/>
      <c r="F64" s="34"/>
      <c r="G64" s="18"/>
      <c r="H64" s="18"/>
      <c r="I64" s="18"/>
    </row>
    <row r="65" spans="1:9" x14ac:dyDescent="0.2">
      <c r="A65" s="35" t="s">
        <v>45</v>
      </c>
      <c r="B65" s="35"/>
      <c r="C65" s="35"/>
      <c r="D65" s="36"/>
      <c r="E65" s="37">
        <v>959037.43344649998</v>
      </c>
      <c r="F65" s="38">
        <v>100</v>
      </c>
      <c r="G65" s="18"/>
      <c r="H65" s="18"/>
      <c r="I65" s="18"/>
    </row>
    <row r="66" spans="1:9" x14ac:dyDescent="0.2">
      <c r="F66" s="20" t="s">
        <v>57</v>
      </c>
    </row>
    <row r="67" spans="1:9" x14ac:dyDescent="0.2">
      <c r="A67" s="18" t="s">
        <v>47</v>
      </c>
      <c r="F67" s="20"/>
    </row>
    <row r="68" spans="1:9" x14ac:dyDescent="0.2">
      <c r="A68" s="18" t="s">
        <v>1482</v>
      </c>
      <c r="F68" s="20"/>
    </row>
    <row r="69" spans="1:9" x14ac:dyDescent="0.2">
      <c r="A69" s="18" t="s">
        <v>1483</v>
      </c>
    </row>
    <row r="70" spans="1:9" x14ac:dyDescent="0.2">
      <c r="A70" s="18"/>
    </row>
    <row r="71" spans="1:9" x14ac:dyDescent="0.2">
      <c r="A71" s="18" t="s">
        <v>48</v>
      </c>
    </row>
    <row r="72" spans="1:9" x14ac:dyDescent="0.2">
      <c r="A72" s="18" t="s">
        <v>49</v>
      </c>
    </row>
    <row r="73" spans="1:9" x14ac:dyDescent="0.2">
      <c r="A73" s="18" t="s">
        <v>50</v>
      </c>
      <c r="B73" s="18"/>
      <c r="C73" s="39" t="s">
        <v>52</v>
      </c>
      <c r="D73" s="19" t="s">
        <v>51</v>
      </c>
    </row>
    <row r="74" spans="1:9" x14ac:dyDescent="0.2">
      <c r="A74" s="9" t="s">
        <v>70</v>
      </c>
      <c r="C74" s="40">
        <v>557.77269999999999</v>
      </c>
      <c r="D74" s="40">
        <v>768.52959999999996</v>
      </c>
    </row>
    <row r="75" spans="1:9" x14ac:dyDescent="0.2">
      <c r="A75" s="9" t="s">
        <v>76</v>
      </c>
      <c r="C75" s="40">
        <v>31.476199999999999</v>
      </c>
      <c r="D75" s="40">
        <v>43.369199999999999</v>
      </c>
    </row>
    <row r="76" spans="1:9" x14ac:dyDescent="0.2">
      <c r="A76" s="9" t="s">
        <v>73</v>
      </c>
      <c r="C76" s="40">
        <v>598.49059999999997</v>
      </c>
      <c r="D76" s="40">
        <v>827.62609999999995</v>
      </c>
    </row>
    <row r="77" spans="1:9" x14ac:dyDescent="0.2">
      <c r="A77" s="9" t="s">
        <v>77</v>
      </c>
      <c r="C77" s="40">
        <v>34.5809</v>
      </c>
      <c r="D77" s="40">
        <v>47.820399999999999</v>
      </c>
    </row>
    <row r="79" spans="1:9" x14ac:dyDescent="0.2">
      <c r="A79" s="18" t="s">
        <v>53</v>
      </c>
      <c r="D79" s="41" t="s">
        <v>54</v>
      </c>
    </row>
    <row r="81" spans="1:4" x14ac:dyDescent="0.2">
      <c r="A81" s="18" t="s">
        <v>224</v>
      </c>
      <c r="D81" s="46">
        <v>7.5600000000000001E-2</v>
      </c>
    </row>
    <row r="83" spans="1:4" x14ac:dyDescent="0.2">
      <c r="A83" s="18" t="s">
        <v>1477</v>
      </c>
      <c r="D83" s="41" t="s">
        <v>54</v>
      </c>
    </row>
    <row r="84" spans="1:4" x14ac:dyDescent="0.2">
      <c r="A84" s="9" t="s">
        <v>1103</v>
      </c>
      <c r="D84" s="41"/>
    </row>
    <row r="85" spans="1:4" x14ac:dyDescent="0.2">
      <c r="A85" s="50" t="s">
        <v>1104</v>
      </c>
      <c r="D85" s="41"/>
    </row>
    <row r="87" spans="1:4" x14ac:dyDescent="0.2">
      <c r="A87" s="18" t="s">
        <v>1479</v>
      </c>
    </row>
    <row r="88" spans="1:4" x14ac:dyDescent="0.2">
      <c r="A88" s="50" t="s">
        <v>56</v>
      </c>
    </row>
    <row r="90" spans="1:4" x14ac:dyDescent="0.2">
      <c r="A90" s="18" t="s">
        <v>731</v>
      </c>
    </row>
  </sheetData>
  <mergeCells count="1">
    <mergeCell ref="A1:F1"/>
  </mergeCells>
  <conditionalFormatting sqref="F2:F3 F89:F65534 F5:F82">
    <cfRule type="cellIs" dxfId="18" priority="2" stopIfTrue="1" operator="between">
      <formula>0.009</formula>
      <formula>-0.009</formula>
    </cfRule>
  </conditionalFormatting>
  <conditionalFormatting sqref="F83:F88">
    <cfRule type="cellIs" dxfId="17" priority="1" stopIfTrue="1" operator="between">
      <formula>0.009</formula>
      <formula>-0.009</formula>
    </cfRule>
  </conditionalFormatting>
  <hyperlinks>
    <hyperlink ref="A85" r:id="rId1" xr:uid="{480A50B4-E82F-4035-905F-72C8597BBFCD}"/>
    <hyperlink ref="A88" r:id="rId2" xr:uid="{00814A06-102C-457E-9032-5808A59AAC1B}"/>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79"/>
  <sheetViews>
    <sheetView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35.777343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17</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103</v>
      </c>
      <c r="B7" s="27" t="s">
        <v>102</v>
      </c>
      <c r="C7" s="27" t="s">
        <v>101</v>
      </c>
      <c r="D7" s="31">
        <v>3144468</v>
      </c>
      <c r="E7" s="29">
        <v>22791.104060000001</v>
      </c>
      <c r="F7" s="30">
        <v>9.0137209613004394</v>
      </c>
    </row>
    <row r="8" spans="1:6" x14ac:dyDescent="0.2">
      <c r="A8" s="27" t="s">
        <v>105</v>
      </c>
      <c r="B8" s="27" t="s">
        <v>104</v>
      </c>
      <c r="C8" s="27" t="s">
        <v>106</v>
      </c>
      <c r="D8" s="31">
        <v>1729339</v>
      </c>
      <c r="E8" s="29">
        <v>21673.805690000001</v>
      </c>
      <c r="F8" s="30">
        <v>8.5718373337595093</v>
      </c>
    </row>
    <row r="9" spans="1:6" x14ac:dyDescent="0.2">
      <c r="A9" s="27" t="s">
        <v>100</v>
      </c>
      <c r="B9" s="27" t="s">
        <v>99</v>
      </c>
      <c r="C9" s="27" t="s">
        <v>101</v>
      </c>
      <c r="D9" s="31">
        <v>1188046</v>
      </c>
      <c r="E9" s="29">
        <v>18229.377820000002</v>
      </c>
      <c r="F9" s="30">
        <v>7.2095903969822599</v>
      </c>
    </row>
    <row r="10" spans="1:6" x14ac:dyDescent="0.2">
      <c r="A10" s="27" t="s">
        <v>108</v>
      </c>
      <c r="B10" s="27" t="s">
        <v>107</v>
      </c>
      <c r="C10" s="27" t="s">
        <v>101</v>
      </c>
      <c r="D10" s="31">
        <v>2485871</v>
      </c>
      <c r="E10" s="29">
        <v>14859.293900000001</v>
      </c>
      <c r="F10" s="30">
        <v>5.8767459682492396</v>
      </c>
    </row>
    <row r="11" spans="1:6" x14ac:dyDescent="0.2">
      <c r="A11" s="27" t="s">
        <v>198</v>
      </c>
      <c r="B11" s="27" t="s">
        <v>197</v>
      </c>
      <c r="C11" s="27" t="s">
        <v>147</v>
      </c>
      <c r="D11" s="31">
        <v>13377483</v>
      </c>
      <c r="E11" s="29">
        <v>12728.675069999999</v>
      </c>
      <c r="F11" s="30">
        <v>5.0341012434498698</v>
      </c>
    </row>
    <row r="12" spans="1:6" x14ac:dyDescent="0.2">
      <c r="A12" s="27" t="s">
        <v>110</v>
      </c>
      <c r="B12" s="27" t="s">
        <v>109</v>
      </c>
      <c r="C12" s="27" t="s">
        <v>111</v>
      </c>
      <c r="D12" s="31">
        <v>1433873</v>
      </c>
      <c r="E12" s="29">
        <v>7976.635499</v>
      </c>
      <c r="F12" s="30">
        <v>3.1547030985733402</v>
      </c>
    </row>
    <row r="13" spans="1:6" x14ac:dyDescent="0.2">
      <c r="A13" s="27" t="s">
        <v>465</v>
      </c>
      <c r="B13" s="27" t="s">
        <v>464</v>
      </c>
      <c r="C13" s="27" t="s">
        <v>419</v>
      </c>
      <c r="D13" s="31">
        <v>257232</v>
      </c>
      <c r="E13" s="29">
        <v>7867.8265680000004</v>
      </c>
      <c r="F13" s="30">
        <v>3.1116699335476699</v>
      </c>
    </row>
    <row r="14" spans="1:6" x14ac:dyDescent="0.2">
      <c r="A14" s="27" t="s">
        <v>202</v>
      </c>
      <c r="B14" s="27" t="s">
        <v>201</v>
      </c>
      <c r="C14" s="27" t="s">
        <v>203</v>
      </c>
      <c r="D14" s="31">
        <v>6017530</v>
      </c>
      <c r="E14" s="29">
        <v>7392.535605</v>
      </c>
      <c r="F14" s="30">
        <v>2.9236957088400199</v>
      </c>
    </row>
    <row r="15" spans="1:6" x14ac:dyDescent="0.2">
      <c r="A15" s="27" t="s">
        <v>427</v>
      </c>
      <c r="B15" s="27" t="s">
        <v>426</v>
      </c>
      <c r="C15" s="27" t="s">
        <v>101</v>
      </c>
      <c r="D15" s="31">
        <v>4236879</v>
      </c>
      <c r="E15" s="29">
        <v>7003.5609869999998</v>
      </c>
      <c r="F15" s="30">
        <v>2.7698589899847099</v>
      </c>
    </row>
    <row r="16" spans="1:6" x14ac:dyDescent="0.2">
      <c r="A16" s="27" t="s">
        <v>220</v>
      </c>
      <c r="B16" s="27" t="s">
        <v>219</v>
      </c>
      <c r="C16" s="27" t="s">
        <v>101</v>
      </c>
      <c r="D16" s="31">
        <v>8330054</v>
      </c>
      <c r="E16" s="29">
        <v>6959.7601169999998</v>
      </c>
      <c r="F16" s="30">
        <v>2.75253605472879</v>
      </c>
    </row>
    <row r="17" spans="1:6" x14ac:dyDescent="0.2">
      <c r="A17" s="27" t="s">
        <v>193</v>
      </c>
      <c r="B17" s="27" t="s">
        <v>192</v>
      </c>
      <c r="C17" s="27" t="s">
        <v>194</v>
      </c>
      <c r="D17" s="31">
        <v>399838</v>
      </c>
      <c r="E17" s="29">
        <v>5767.6631500000003</v>
      </c>
      <c r="F17" s="30">
        <v>2.28107010946073</v>
      </c>
    </row>
    <row r="18" spans="1:6" x14ac:dyDescent="0.2">
      <c r="A18" s="27" t="s">
        <v>554</v>
      </c>
      <c r="B18" s="27" t="s">
        <v>553</v>
      </c>
      <c r="C18" s="27" t="s">
        <v>101</v>
      </c>
      <c r="D18" s="31">
        <v>480528</v>
      </c>
      <c r="E18" s="29">
        <v>5107.7723759999999</v>
      </c>
      <c r="F18" s="30">
        <v>2.0200879610701299</v>
      </c>
    </row>
    <row r="19" spans="1:6" x14ac:dyDescent="0.2">
      <c r="A19" s="27" t="s">
        <v>245</v>
      </c>
      <c r="B19" s="27" t="s">
        <v>244</v>
      </c>
      <c r="C19" s="27" t="s">
        <v>246</v>
      </c>
      <c r="D19" s="31">
        <v>3644411</v>
      </c>
      <c r="E19" s="29">
        <v>4996.4874810000001</v>
      </c>
      <c r="F19" s="30">
        <v>1.97607556973986</v>
      </c>
    </row>
    <row r="20" spans="1:6" x14ac:dyDescent="0.2">
      <c r="A20" s="27" t="s">
        <v>130</v>
      </c>
      <c r="B20" s="27" t="s">
        <v>129</v>
      </c>
      <c r="C20" s="27" t="s">
        <v>125</v>
      </c>
      <c r="D20" s="31">
        <v>1965841</v>
      </c>
      <c r="E20" s="29">
        <v>4910.6708179999996</v>
      </c>
      <c r="F20" s="30">
        <v>1.9421356845954001</v>
      </c>
    </row>
    <row r="21" spans="1:6" x14ac:dyDescent="0.2">
      <c r="A21" s="27" t="s">
        <v>292</v>
      </c>
      <c r="B21" s="27" t="s">
        <v>291</v>
      </c>
      <c r="C21" s="27" t="s">
        <v>136</v>
      </c>
      <c r="D21" s="31">
        <v>3769680</v>
      </c>
      <c r="E21" s="29">
        <v>4857.2326800000001</v>
      </c>
      <c r="F21" s="30">
        <v>1.9210012777954699</v>
      </c>
    </row>
    <row r="22" spans="1:6" x14ac:dyDescent="0.2">
      <c r="A22" s="27" t="s">
        <v>259</v>
      </c>
      <c r="B22" s="27" t="s">
        <v>258</v>
      </c>
      <c r="C22" s="27" t="s">
        <v>260</v>
      </c>
      <c r="D22" s="31">
        <v>651059</v>
      </c>
      <c r="E22" s="29">
        <v>4814.5813049999997</v>
      </c>
      <c r="F22" s="30">
        <v>1.9041329597072501</v>
      </c>
    </row>
    <row r="23" spans="1:6" x14ac:dyDescent="0.2">
      <c r="A23" s="27" t="s">
        <v>158</v>
      </c>
      <c r="B23" s="27" t="s">
        <v>157</v>
      </c>
      <c r="C23" s="27" t="s">
        <v>133</v>
      </c>
      <c r="D23" s="31">
        <v>397050</v>
      </c>
      <c r="E23" s="29">
        <v>4611.1401750000005</v>
      </c>
      <c r="F23" s="30">
        <v>1.8236734272052699</v>
      </c>
    </row>
    <row r="24" spans="1:6" x14ac:dyDescent="0.2">
      <c r="A24" s="27" t="s">
        <v>143</v>
      </c>
      <c r="B24" s="27" t="s">
        <v>142</v>
      </c>
      <c r="C24" s="27" t="s">
        <v>144</v>
      </c>
      <c r="D24" s="31">
        <v>1052564</v>
      </c>
      <c r="E24" s="29">
        <v>4580.7585280000003</v>
      </c>
      <c r="F24" s="30">
        <v>1.8116577000302401</v>
      </c>
    </row>
    <row r="25" spans="1:6" x14ac:dyDescent="0.2">
      <c r="A25" s="27" t="s">
        <v>212</v>
      </c>
      <c r="B25" s="27" t="s">
        <v>211</v>
      </c>
      <c r="C25" s="27" t="s">
        <v>148</v>
      </c>
      <c r="D25" s="31">
        <v>2493349</v>
      </c>
      <c r="E25" s="29">
        <v>4505.4816430000001</v>
      </c>
      <c r="F25" s="30">
        <v>1.7818862227714101</v>
      </c>
    </row>
    <row r="26" spans="1:6" x14ac:dyDescent="0.2">
      <c r="A26" s="27" t="s">
        <v>230</v>
      </c>
      <c r="B26" s="27" t="s">
        <v>229</v>
      </c>
      <c r="C26" s="27" t="s">
        <v>147</v>
      </c>
      <c r="D26" s="31">
        <v>18217899</v>
      </c>
      <c r="E26" s="29">
        <v>4399.622609</v>
      </c>
      <c r="F26" s="30">
        <v>1.74001972121023</v>
      </c>
    </row>
    <row r="27" spans="1:6" x14ac:dyDescent="0.2">
      <c r="A27" s="27" t="s">
        <v>113</v>
      </c>
      <c r="B27" s="27" t="s">
        <v>112</v>
      </c>
      <c r="C27" s="27" t="s">
        <v>114</v>
      </c>
      <c r="D27" s="31">
        <v>282387</v>
      </c>
      <c r="E27" s="29">
        <v>4399.5894600000001</v>
      </c>
      <c r="F27" s="30">
        <v>1.7400066110144601</v>
      </c>
    </row>
    <row r="28" spans="1:6" x14ac:dyDescent="0.2">
      <c r="A28" s="27" t="s">
        <v>214</v>
      </c>
      <c r="B28" s="27" t="s">
        <v>213</v>
      </c>
      <c r="C28" s="27" t="s">
        <v>187</v>
      </c>
      <c r="D28" s="31">
        <v>974352</v>
      </c>
      <c r="E28" s="29">
        <v>4289.5846799999999</v>
      </c>
      <c r="F28" s="30">
        <v>1.69650049614092</v>
      </c>
    </row>
    <row r="29" spans="1:6" x14ac:dyDescent="0.2">
      <c r="A29" s="27" t="s">
        <v>116</v>
      </c>
      <c r="B29" s="27" t="s">
        <v>115</v>
      </c>
      <c r="C29" s="27" t="s">
        <v>117</v>
      </c>
      <c r="D29" s="31">
        <v>408797</v>
      </c>
      <c r="E29" s="29">
        <v>4162.1666560000003</v>
      </c>
      <c r="F29" s="30">
        <v>1.6461075660418401</v>
      </c>
    </row>
    <row r="30" spans="1:6" x14ac:dyDescent="0.2">
      <c r="A30" s="27" t="s">
        <v>483</v>
      </c>
      <c r="B30" s="27" t="s">
        <v>482</v>
      </c>
      <c r="C30" s="27" t="s">
        <v>484</v>
      </c>
      <c r="D30" s="31">
        <v>511291</v>
      </c>
      <c r="E30" s="29">
        <v>3943.8431289999999</v>
      </c>
      <c r="F30" s="30">
        <v>1.55976215045846</v>
      </c>
    </row>
    <row r="31" spans="1:6" x14ac:dyDescent="0.2">
      <c r="A31" s="27" t="s">
        <v>281</v>
      </c>
      <c r="B31" s="27" t="s">
        <v>280</v>
      </c>
      <c r="C31" s="27" t="s">
        <v>133</v>
      </c>
      <c r="D31" s="31">
        <v>641207</v>
      </c>
      <c r="E31" s="29">
        <v>3905.9124409999999</v>
      </c>
      <c r="F31" s="30">
        <v>1.5447608307943399</v>
      </c>
    </row>
    <row r="32" spans="1:6" x14ac:dyDescent="0.2">
      <c r="A32" s="27" t="s">
        <v>287</v>
      </c>
      <c r="B32" s="27" t="s">
        <v>286</v>
      </c>
      <c r="C32" s="27" t="s">
        <v>210</v>
      </c>
      <c r="D32" s="31">
        <v>417110</v>
      </c>
      <c r="E32" s="29">
        <v>3863.8984850000002</v>
      </c>
      <c r="F32" s="30">
        <v>1.5281446074263401</v>
      </c>
    </row>
    <row r="33" spans="1:6" x14ac:dyDescent="0.2">
      <c r="A33" s="27" t="s">
        <v>207</v>
      </c>
      <c r="B33" s="27" t="s">
        <v>206</v>
      </c>
      <c r="C33" s="27" t="s">
        <v>139</v>
      </c>
      <c r="D33" s="31">
        <v>3938381</v>
      </c>
      <c r="E33" s="29">
        <v>3861.5825709999999</v>
      </c>
      <c r="F33" s="30">
        <v>1.5272286797682699</v>
      </c>
    </row>
    <row r="34" spans="1:6" x14ac:dyDescent="0.2">
      <c r="A34" s="27" t="s">
        <v>205</v>
      </c>
      <c r="B34" s="27" t="s">
        <v>204</v>
      </c>
      <c r="C34" s="27" t="s">
        <v>187</v>
      </c>
      <c r="D34" s="31">
        <v>560390</v>
      </c>
      <c r="E34" s="29">
        <v>3362.0598049999999</v>
      </c>
      <c r="F34" s="30">
        <v>1.32967094782657</v>
      </c>
    </row>
    <row r="35" spans="1:6" x14ac:dyDescent="0.2">
      <c r="A35" s="27" t="s">
        <v>516</v>
      </c>
      <c r="B35" s="27" t="s">
        <v>515</v>
      </c>
      <c r="C35" s="27" t="s">
        <v>144</v>
      </c>
      <c r="D35" s="31">
        <v>311893</v>
      </c>
      <c r="E35" s="29">
        <v>3176.162366</v>
      </c>
      <c r="F35" s="30">
        <v>1.25614982141887</v>
      </c>
    </row>
    <row r="36" spans="1:6" x14ac:dyDescent="0.2">
      <c r="A36" s="27" t="s">
        <v>135</v>
      </c>
      <c r="B36" s="27" t="s">
        <v>134</v>
      </c>
      <c r="C36" s="27" t="s">
        <v>136</v>
      </c>
      <c r="D36" s="31">
        <v>386570</v>
      </c>
      <c r="E36" s="29">
        <v>3117.3004799999999</v>
      </c>
      <c r="F36" s="30">
        <v>1.2328703605264499</v>
      </c>
    </row>
    <row r="37" spans="1:6" x14ac:dyDescent="0.2">
      <c r="A37" s="27" t="s">
        <v>243</v>
      </c>
      <c r="B37" s="27" t="s">
        <v>242</v>
      </c>
      <c r="C37" s="27" t="s">
        <v>136</v>
      </c>
      <c r="D37" s="31">
        <v>2415915</v>
      </c>
      <c r="E37" s="29">
        <v>3109.2826049999999</v>
      </c>
      <c r="F37" s="30">
        <v>1.2296993474960001</v>
      </c>
    </row>
    <row r="38" spans="1:6" x14ac:dyDescent="0.2">
      <c r="A38" s="27" t="s">
        <v>179</v>
      </c>
      <c r="B38" s="27" t="s">
        <v>178</v>
      </c>
      <c r="C38" s="27" t="s">
        <v>144</v>
      </c>
      <c r="D38" s="31">
        <v>67295</v>
      </c>
      <c r="E38" s="29">
        <v>2978.8468229999999</v>
      </c>
      <c r="F38" s="30">
        <v>1.17811291538539</v>
      </c>
    </row>
    <row r="39" spans="1:6" x14ac:dyDescent="0.2">
      <c r="A39" s="27" t="s">
        <v>200</v>
      </c>
      <c r="B39" s="27" t="s">
        <v>199</v>
      </c>
      <c r="C39" s="27" t="s">
        <v>106</v>
      </c>
      <c r="D39" s="31">
        <v>283932</v>
      </c>
      <c r="E39" s="29">
        <v>2608.9091819999999</v>
      </c>
      <c r="F39" s="30">
        <v>1.03180518670856</v>
      </c>
    </row>
    <row r="40" spans="1:6" x14ac:dyDescent="0.2">
      <c r="A40" s="27" t="s">
        <v>491</v>
      </c>
      <c r="B40" s="27" t="s">
        <v>490</v>
      </c>
      <c r="C40" s="27" t="s">
        <v>275</v>
      </c>
      <c r="D40" s="31">
        <v>441969</v>
      </c>
      <c r="E40" s="29">
        <v>2465.5240669999998</v>
      </c>
      <c r="F40" s="30">
        <v>0.97509738469899399</v>
      </c>
    </row>
    <row r="41" spans="1:6" x14ac:dyDescent="0.2">
      <c r="A41" s="27" t="s">
        <v>285</v>
      </c>
      <c r="B41" s="27" t="s">
        <v>284</v>
      </c>
      <c r="C41" s="27" t="s">
        <v>133</v>
      </c>
      <c r="D41" s="31">
        <v>110633</v>
      </c>
      <c r="E41" s="29">
        <v>2358.7508769999999</v>
      </c>
      <c r="F41" s="30">
        <v>0.93286934088531004</v>
      </c>
    </row>
    <row r="42" spans="1:6" x14ac:dyDescent="0.2">
      <c r="A42" s="27" t="s">
        <v>408</v>
      </c>
      <c r="B42" s="27" t="s">
        <v>407</v>
      </c>
      <c r="C42" s="27" t="s">
        <v>203</v>
      </c>
      <c r="D42" s="31">
        <v>5150797</v>
      </c>
      <c r="E42" s="29">
        <v>2104.1005749999999</v>
      </c>
      <c r="F42" s="30">
        <v>0.83215694192051404</v>
      </c>
    </row>
    <row r="43" spans="1:6" x14ac:dyDescent="0.2">
      <c r="A43" s="27" t="s">
        <v>503</v>
      </c>
      <c r="B43" s="27" t="s">
        <v>502</v>
      </c>
      <c r="C43" s="27" t="s">
        <v>148</v>
      </c>
      <c r="D43" s="31">
        <v>90000</v>
      </c>
      <c r="E43" s="29">
        <v>2008.62</v>
      </c>
      <c r="F43" s="30">
        <v>0.79439504771789904</v>
      </c>
    </row>
    <row r="44" spans="1:6" x14ac:dyDescent="0.2">
      <c r="A44" s="27" t="s">
        <v>283</v>
      </c>
      <c r="B44" s="27" t="s">
        <v>282</v>
      </c>
      <c r="C44" s="27" t="s">
        <v>128</v>
      </c>
      <c r="D44" s="31">
        <v>3050843</v>
      </c>
      <c r="E44" s="29">
        <v>1830.5057999999999</v>
      </c>
      <c r="F44" s="30">
        <v>0.72395213745700604</v>
      </c>
    </row>
    <row r="45" spans="1:6" x14ac:dyDescent="0.2">
      <c r="A45" s="27" t="s">
        <v>160</v>
      </c>
      <c r="B45" s="27" t="s">
        <v>159</v>
      </c>
      <c r="C45" s="27" t="s">
        <v>133</v>
      </c>
      <c r="D45" s="31">
        <v>312320</v>
      </c>
      <c r="E45" s="29">
        <v>1745.71264</v>
      </c>
      <c r="F45" s="30">
        <v>0.69041704053257402</v>
      </c>
    </row>
    <row r="46" spans="1:6" x14ac:dyDescent="0.2">
      <c r="A46" s="27" t="s">
        <v>400</v>
      </c>
      <c r="B46" s="27" t="s">
        <v>399</v>
      </c>
      <c r="C46" s="27" t="s">
        <v>114</v>
      </c>
      <c r="D46" s="31">
        <v>150123</v>
      </c>
      <c r="E46" s="29">
        <v>1622.003954</v>
      </c>
      <c r="F46" s="30">
        <v>0.64149112745887804</v>
      </c>
    </row>
    <row r="47" spans="1:6" x14ac:dyDescent="0.2">
      <c r="A47" s="27" t="s">
        <v>257</v>
      </c>
      <c r="B47" s="27" t="s">
        <v>256</v>
      </c>
      <c r="C47" s="27" t="s">
        <v>114</v>
      </c>
      <c r="D47" s="31">
        <v>42129</v>
      </c>
      <c r="E47" s="29">
        <v>1491.1770200000001</v>
      </c>
      <c r="F47" s="30">
        <v>0.58974999749018397</v>
      </c>
    </row>
    <row r="48" spans="1:6" x14ac:dyDescent="0.2">
      <c r="A48" s="27" t="s">
        <v>166</v>
      </c>
      <c r="B48" s="27" t="s">
        <v>165</v>
      </c>
      <c r="C48" s="27" t="s">
        <v>167</v>
      </c>
      <c r="D48" s="31">
        <v>805716</v>
      </c>
      <c r="E48" s="29">
        <v>1479.294576</v>
      </c>
      <c r="F48" s="30">
        <v>0.58505057466835397</v>
      </c>
    </row>
    <row r="49" spans="1:9" x14ac:dyDescent="0.2">
      <c r="A49" s="27" t="s">
        <v>253</v>
      </c>
      <c r="B49" s="27" t="s">
        <v>252</v>
      </c>
      <c r="C49" s="27" t="s">
        <v>148</v>
      </c>
      <c r="D49" s="31">
        <v>360275</v>
      </c>
      <c r="E49" s="29">
        <v>1406.3334629999999</v>
      </c>
      <c r="F49" s="30">
        <v>0.55619496890759001</v>
      </c>
    </row>
    <row r="50" spans="1:9" x14ac:dyDescent="0.2">
      <c r="A50" s="27" t="s">
        <v>138</v>
      </c>
      <c r="B50" s="27" t="s">
        <v>137</v>
      </c>
      <c r="C50" s="27" t="s">
        <v>139</v>
      </c>
      <c r="D50" s="31">
        <v>525067</v>
      </c>
      <c r="E50" s="29">
        <v>1273.024942</v>
      </c>
      <c r="F50" s="30">
        <v>0.50347238877745204</v>
      </c>
    </row>
    <row r="51" spans="1:9" x14ac:dyDescent="0.2">
      <c r="A51" s="27" t="s">
        <v>124</v>
      </c>
      <c r="B51" s="27" t="s">
        <v>123</v>
      </c>
      <c r="C51" s="27" t="s">
        <v>125</v>
      </c>
      <c r="D51" s="31">
        <v>432307</v>
      </c>
      <c r="E51" s="29">
        <v>1103.031311</v>
      </c>
      <c r="F51" s="30">
        <v>0.43624110629993801</v>
      </c>
    </row>
    <row r="52" spans="1:9" x14ac:dyDescent="0.2">
      <c r="A52" s="27" t="s">
        <v>209</v>
      </c>
      <c r="B52" s="27" t="s">
        <v>208</v>
      </c>
      <c r="C52" s="27" t="s">
        <v>210</v>
      </c>
      <c r="D52" s="31">
        <v>656332</v>
      </c>
      <c r="E52" s="29">
        <v>1020.59626</v>
      </c>
      <c r="F52" s="30">
        <v>0.403638624858564</v>
      </c>
    </row>
    <row r="53" spans="1:9" x14ac:dyDescent="0.2">
      <c r="A53" s="27" t="s">
        <v>169</v>
      </c>
      <c r="B53" s="27" t="s">
        <v>168</v>
      </c>
      <c r="C53" s="27" t="s">
        <v>170</v>
      </c>
      <c r="D53" s="31">
        <v>1656994</v>
      </c>
      <c r="E53" s="29">
        <v>989.22541799999999</v>
      </c>
      <c r="F53" s="30">
        <v>0.39123167803560099</v>
      </c>
    </row>
    <row r="54" spans="1:9" x14ac:dyDescent="0.2">
      <c r="A54" s="27" t="s">
        <v>262</v>
      </c>
      <c r="B54" s="27" t="s">
        <v>261</v>
      </c>
      <c r="C54" s="27" t="s">
        <v>187</v>
      </c>
      <c r="D54" s="31">
        <v>1113029</v>
      </c>
      <c r="E54" s="29">
        <v>952.75282400000003</v>
      </c>
      <c r="F54" s="30">
        <v>0.37680702426782697</v>
      </c>
    </row>
    <row r="55" spans="1:9" x14ac:dyDescent="0.2">
      <c r="A55" s="27" t="s">
        <v>497</v>
      </c>
      <c r="B55" s="27" t="s">
        <v>496</v>
      </c>
      <c r="C55" s="27" t="s">
        <v>235</v>
      </c>
      <c r="D55" s="31">
        <v>105014</v>
      </c>
      <c r="E55" s="29">
        <v>854.39390400000002</v>
      </c>
      <c r="F55" s="30">
        <v>0.337906764912209</v>
      </c>
    </row>
    <row r="56" spans="1:9" x14ac:dyDescent="0.2">
      <c r="A56" s="27" t="s">
        <v>172</v>
      </c>
      <c r="B56" s="27" t="s">
        <v>171</v>
      </c>
      <c r="C56" s="27" t="s">
        <v>167</v>
      </c>
      <c r="D56" s="31">
        <v>94174</v>
      </c>
      <c r="E56" s="29">
        <v>135.75182100000001</v>
      </c>
      <c r="F56" s="30">
        <v>5.3688888053034803E-2</v>
      </c>
    </row>
    <row r="57" spans="1:9" x14ac:dyDescent="0.2">
      <c r="A57" s="26" t="s">
        <v>40</v>
      </c>
      <c r="B57" s="26"/>
      <c r="C57" s="26"/>
      <c r="D57" s="32"/>
      <c r="E57" s="33">
        <f>SUM(E7:E56)</f>
        <v>247653.92421599998</v>
      </c>
      <c r="F57" s="34">
        <f>SUM(F7:F56)</f>
        <v>97.945380880950211</v>
      </c>
      <c r="G57" s="18"/>
      <c r="H57" s="18"/>
      <c r="I57" s="18"/>
    </row>
    <row r="58" spans="1:9" x14ac:dyDescent="0.2">
      <c r="A58" s="27"/>
      <c r="B58" s="27"/>
      <c r="C58" s="27"/>
      <c r="D58" s="28"/>
      <c r="E58" s="29"/>
      <c r="F58" s="30"/>
    </row>
    <row r="59" spans="1:9" x14ac:dyDescent="0.2">
      <c r="A59" s="26" t="s">
        <v>44</v>
      </c>
      <c r="B59" s="26"/>
      <c r="C59" s="26"/>
      <c r="D59" s="32"/>
      <c r="E59" s="33">
        <f>E57</f>
        <v>247653.92421599998</v>
      </c>
      <c r="F59" s="34">
        <f>F57</f>
        <v>97.945380880950211</v>
      </c>
      <c r="G59" s="18"/>
      <c r="H59" s="18"/>
      <c r="I59" s="18"/>
    </row>
    <row r="60" spans="1:9" x14ac:dyDescent="0.2">
      <c r="A60" s="26"/>
      <c r="B60" s="26"/>
      <c r="C60" s="26"/>
      <c r="D60" s="32"/>
      <c r="E60" s="33"/>
      <c r="F60" s="34"/>
      <c r="G60" s="18"/>
      <c r="H60" s="18"/>
      <c r="I60" s="18"/>
    </row>
    <row r="61" spans="1:9" x14ac:dyDescent="0.2">
      <c r="A61" s="26" t="s">
        <v>46</v>
      </c>
      <c r="B61" s="26"/>
      <c r="C61" s="26"/>
      <c r="D61" s="32"/>
      <c r="E61" s="33">
        <f>E63-(E57)</f>
        <v>5195.0840665000142</v>
      </c>
      <c r="F61" s="34">
        <f>F63-(F57)</f>
        <v>2.0546191190497893</v>
      </c>
      <c r="G61" s="18"/>
      <c r="H61" s="18"/>
      <c r="I61" s="18"/>
    </row>
    <row r="62" spans="1:9" x14ac:dyDescent="0.2">
      <c r="A62" s="26"/>
      <c r="B62" s="26"/>
      <c r="C62" s="26"/>
      <c r="D62" s="32"/>
      <c r="E62" s="33"/>
      <c r="F62" s="34"/>
      <c r="G62" s="18"/>
      <c r="H62" s="18"/>
      <c r="I62" s="18"/>
    </row>
    <row r="63" spans="1:9" x14ac:dyDescent="0.2">
      <c r="A63" s="35" t="s">
        <v>45</v>
      </c>
      <c r="B63" s="35"/>
      <c r="C63" s="35"/>
      <c r="D63" s="36"/>
      <c r="E63" s="37">
        <v>252849.0082825</v>
      </c>
      <c r="F63" s="38">
        <v>100</v>
      </c>
      <c r="G63" s="18"/>
      <c r="H63" s="18"/>
      <c r="I63" s="18"/>
    </row>
    <row r="66" spans="1:4" x14ac:dyDescent="0.2">
      <c r="A66" s="18" t="s">
        <v>48</v>
      </c>
    </row>
    <row r="67" spans="1:4" x14ac:dyDescent="0.2">
      <c r="A67" s="18" t="s">
        <v>49</v>
      </c>
    </row>
    <row r="68" spans="1:4" x14ac:dyDescent="0.2">
      <c r="A68" s="18" t="s">
        <v>50</v>
      </c>
      <c r="B68" s="18"/>
      <c r="C68" s="39" t="s">
        <v>52</v>
      </c>
      <c r="D68" s="19" t="s">
        <v>51</v>
      </c>
    </row>
    <row r="69" spans="1:4" x14ac:dyDescent="0.2">
      <c r="A69" s="9" t="s">
        <v>70</v>
      </c>
      <c r="C69" s="40">
        <v>72.179299999999998</v>
      </c>
      <c r="D69" s="40">
        <v>99.242900000000006</v>
      </c>
    </row>
    <row r="70" spans="1:4" x14ac:dyDescent="0.2">
      <c r="A70" s="9" t="s">
        <v>76</v>
      </c>
      <c r="C70" s="40">
        <v>12.6532</v>
      </c>
      <c r="D70" s="40">
        <v>17.397600000000001</v>
      </c>
    </row>
    <row r="71" spans="1:4" x14ac:dyDescent="0.2">
      <c r="A71" s="9" t="s">
        <v>73</v>
      </c>
      <c r="C71" s="40">
        <v>76.463200000000001</v>
      </c>
      <c r="D71" s="40">
        <v>105.56619999999999</v>
      </c>
    </row>
    <row r="72" spans="1:4" x14ac:dyDescent="0.2">
      <c r="A72" s="9" t="s">
        <v>77</v>
      </c>
      <c r="C72" s="40">
        <v>13.7392</v>
      </c>
      <c r="D72" s="40">
        <v>18.9681</v>
      </c>
    </row>
    <row r="74" spans="1:4" x14ac:dyDescent="0.2">
      <c r="A74" s="18" t="s">
        <v>53</v>
      </c>
      <c r="D74" s="41" t="s">
        <v>54</v>
      </c>
    </row>
    <row r="76" spans="1:4" x14ac:dyDescent="0.2">
      <c r="A76" s="18" t="s">
        <v>224</v>
      </c>
      <c r="D76" s="46">
        <v>7.1900000000000006E-2</v>
      </c>
    </row>
    <row r="78" spans="1:4" x14ac:dyDescent="0.2">
      <c r="A78" s="18" t="s">
        <v>729</v>
      </c>
    </row>
    <row r="79" spans="1:4" x14ac:dyDescent="0.2">
      <c r="A79" s="50" t="s">
        <v>56</v>
      </c>
    </row>
  </sheetData>
  <mergeCells count="1">
    <mergeCell ref="A1:F1"/>
  </mergeCells>
  <conditionalFormatting sqref="F2:F3 F5:F65536">
    <cfRule type="cellIs" dxfId="16" priority="1" stopIfTrue="1" operator="between">
      <formula>0.009</formula>
      <formula>-0.009</formula>
    </cfRule>
  </conditionalFormatting>
  <hyperlinks>
    <hyperlink ref="A79" r:id="rId1" xr:uid="{00000000-0004-0000-2F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9"/>
  <sheetViews>
    <sheetView workbookViewId="0">
      <selection sqref="A1:F1"/>
    </sheetView>
  </sheetViews>
  <sheetFormatPr defaultColWidth="9.21875" defaultRowHeight="10.199999999999999" x14ac:dyDescent="0.2"/>
  <cols>
    <col min="1" max="1" width="38.77734375" style="9" bestFit="1" customWidth="1"/>
    <col min="2" max="2" width="25.77734375" style="9" bestFit="1" customWidth="1"/>
    <col min="3" max="3" width="21.218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18</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101</v>
      </c>
      <c r="D7" s="31">
        <v>9500000</v>
      </c>
      <c r="E7" s="29">
        <v>56786.25</v>
      </c>
      <c r="F7" s="30">
        <v>9.4315249914518695</v>
      </c>
    </row>
    <row r="8" spans="1:6" x14ac:dyDescent="0.2">
      <c r="A8" s="27" t="s">
        <v>141</v>
      </c>
      <c r="B8" s="27" t="s">
        <v>140</v>
      </c>
      <c r="C8" s="27" t="s">
        <v>101</v>
      </c>
      <c r="D8" s="31">
        <v>14269231</v>
      </c>
      <c r="E8" s="29">
        <v>55671.404750000002</v>
      </c>
      <c r="F8" s="30">
        <v>9.2463623713285692</v>
      </c>
    </row>
    <row r="9" spans="1:6" x14ac:dyDescent="0.2">
      <c r="A9" s="27" t="s">
        <v>103</v>
      </c>
      <c r="B9" s="27" t="s">
        <v>102</v>
      </c>
      <c r="C9" s="27" t="s">
        <v>101</v>
      </c>
      <c r="D9" s="31">
        <v>7500000</v>
      </c>
      <c r="E9" s="29">
        <v>54360</v>
      </c>
      <c r="F9" s="30">
        <v>9.0285535413119096</v>
      </c>
    </row>
    <row r="10" spans="1:6" x14ac:dyDescent="0.2">
      <c r="A10" s="27" t="s">
        <v>110</v>
      </c>
      <c r="B10" s="27" t="s">
        <v>109</v>
      </c>
      <c r="C10" s="27" t="s">
        <v>111</v>
      </c>
      <c r="D10" s="31">
        <v>6500000</v>
      </c>
      <c r="E10" s="29">
        <v>36159.5</v>
      </c>
      <c r="F10" s="30">
        <v>6.0056655956046399</v>
      </c>
    </row>
    <row r="11" spans="1:6" x14ac:dyDescent="0.2">
      <c r="A11" s="27" t="s">
        <v>100</v>
      </c>
      <c r="B11" s="27" t="s">
        <v>99</v>
      </c>
      <c r="C11" s="27" t="s">
        <v>101</v>
      </c>
      <c r="D11" s="31">
        <v>1900000</v>
      </c>
      <c r="E11" s="29">
        <v>29153.599999999999</v>
      </c>
      <c r="F11" s="30">
        <v>4.8420684054818004</v>
      </c>
    </row>
    <row r="12" spans="1:6" x14ac:dyDescent="0.2">
      <c r="A12" s="27" t="s">
        <v>193</v>
      </c>
      <c r="B12" s="27" t="s">
        <v>192</v>
      </c>
      <c r="C12" s="27" t="s">
        <v>194</v>
      </c>
      <c r="D12" s="31">
        <v>2000000</v>
      </c>
      <c r="E12" s="29">
        <v>28850</v>
      </c>
      <c r="F12" s="30">
        <v>4.7916440336064898</v>
      </c>
    </row>
    <row r="13" spans="1:6" x14ac:dyDescent="0.2">
      <c r="A13" s="27" t="s">
        <v>150</v>
      </c>
      <c r="B13" s="27" t="s">
        <v>149</v>
      </c>
      <c r="C13" s="27" t="s">
        <v>147</v>
      </c>
      <c r="D13" s="31">
        <v>23503715</v>
      </c>
      <c r="E13" s="29">
        <v>25219.486199999999</v>
      </c>
      <c r="F13" s="30">
        <v>4.1886585989896403</v>
      </c>
    </row>
    <row r="14" spans="1:6" x14ac:dyDescent="0.2">
      <c r="A14" s="27" t="s">
        <v>105</v>
      </c>
      <c r="B14" s="27" t="s">
        <v>104</v>
      </c>
      <c r="C14" s="27" t="s">
        <v>106</v>
      </c>
      <c r="D14" s="31">
        <v>2000000</v>
      </c>
      <c r="E14" s="29">
        <v>25066</v>
      </c>
      <c r="F14" s="30">
        <v>4.1631663551604898</v>
      </c>
    </row>
    <row r="15" spans="1:6" x14ac:dyDescent="0.2">
      <c r="A15" s="27" t="s">
        <v>216</v>
      </c>
      <c r="B15" s="27" t="s">
        <v>215</v>
      </c>
      <c r="C15" s="27" t="s">
        <v>125</v>
      </c>
      <c r="D15" s="31">
        <v>16000000</v>
      </c>
      <c r="E15" s="29">
        <v>22688</v>
      </c>
      <c r="F15" s="30">
        <v>3.7682086597734501</v>
      </c>
    </row>
    <row r="16" spans="1:6" x14ac:dyDescent="0.2">
      <c r="A16" s="27" t="s">
        <v>267</v>
      </c>
      <c r="B16" s="27" t="s">
        <v>266</v>
      </c>
      <c r="C16" s="27" t="s">
        <v>182</v>
      </c>
      <c r="D16" s="31">
        <v>1250000</v>
      </c>
      <c r="E16" s="29">
        <v>21665</v>
      </c>
      <c r="F16" s="30">
        <v>3.59830045019357</v>
      </c>
    </row>
    <row r="17" spans="1:6" x14ac:dyDescent="0.2">
      <c r="A17" s="27" t="s">
        <v>207</v>
      </c>
      <c r="B17" s="27" t="s">
        <v>206</v>
      </c>
      <c r="C17" s="27" t="s">
        <v>139</v>
      </c>
      <c r="D17" s="31">
        <v>22000000</v>
      </c>
      <c r="E17" s="29">
        <v>21571</v>
      </c>
      <c r="F17" s="30">
        <v>3.5826881611412702</v>
      </c>
    </row>
    <row r="18" spans="1:6" x14ac:dyDescent="0.2">
      <c r="A18" s="27" t="s">
        <v>516</v>
      </c>
      <c r="B18" s="27" t="s">
        <v>515</v>
      </c>
      <c r="C18" s="27" t="s">
        <v>144</v>
      </c>
      <c r="D18" s="31">
        <v>2100000</v>
      </c>
      <c r="E18" s="29">
        <v>21385.35</v>
      </c>
      <c r="F18" s="30">
        <v>3.5518538902629602</v>
      </c>
    </row>
    <row r="19" spans="1:6" x14ac:dyDescent="0.2">
      <c r="A19" s="27" t="s">
        <v>152</v>
      </c>
      <c r="B19" s="27" t="s">
        <v>151</v>
      </c>
      <c r="C19" s="27" t="s">
        <v>139</v>
      </c>
      <c r="D19" s="31">
        <v>4700000</v>
      </c>
      <c r="E19" s="29">
        <v>21142.95</v>
      </c>
      <c r="F19" s="30">
        <v>3.51159411508978</v>
      </c>
    </row>
    <row r="20" spans="1:6" x14ac:dyDescent="0.2">
      <c r="A20" s="27" t="s">
        <v>518</v>
      </c>
      <c r="B20" s="27" t="s">
        <v>517</v>
      </c>
      <c r="C20" s="27" t="s">
        <v>275</v>
      </c>
      <c r="D20" s="31">
        <v>1250000</v>
      </c>
      <c r="E20" s="29">
        <v>20249.375</v>
      </c>
      <c r="F20" s="30">
        <v>3.3631818683885699</v>
      </c>
    </row>
    <row r="21" spans="1:6" x14ac:dyDescent="0.2">
      <c r="A21" s="27" t="s">
        <v>220</v>
      </c>
      <c r="B21" s="27" t="s">
        <v>219</v>
      </c>
      <c r="C21" s="27" t="s">
        <v>101</v>
      </c>
      <c r="D21" s="31">
        <v>20000000</v>
      </c>
      <c r="E21" s="29">
        <v>16710</v>
      </c>
      <c r="F21" s="30">
        <v>2.7753335113193902</v>
      </c>
    </row>
    <row r="22" spans="1:6" x14ac:dyDescent="0.2">
      <c r="A22" s="27" t="s">
        <v>524</v>
      </c>
      <c r="B22" s="27" t="s">
        <v>523</v>
      </c>
      <c r="C22" s="27" t="s">
        <v>182</v>
      </c>
      <c r="D22" s="31">
        <v>250000</v>
      </c>
      <c r="E22" s="29">
        <v>15287.5</v>
      </c>
      <c r="F22" s="30">
        <v>2.53907307326722</v>
      </c>
    </row>
    <row r="23" spans="1:6" x14ac:dyDescent="0.2">
      <c r="A23" s="27" t="s">
        <v>522</v>
      </c>
      <c r="B23" s="27" t="s">
        <v>521</v>
      </c>
      <c r="C23" s="27" t="s">
        <v>144</v>
      </c>
      <c r="D23" s="31">
        <v>1900000</v>
      </c>
      <c r="E23" s="29">
        <v>14953.95</v>
      </c>
      <c r="F23" s="30">
        <v>2.4836743603587399</v>
      </c>
    </row>
    <row r="24" spans="1:6" x14ac:dyDescent="0.2">
      <c r="A24" s="27" t="s">
        <v>465</v>
      </c>
      <c r="B24" s="27" t="s">
        <v>464</v>
      </c>
      <c r="C24" s="27" t="s">
        <v>419</v>
      </c>
      <c r="D24" s="31">
        <v>375000</v>
      </c>
      <c r="E24" s="29">
        <v>11469.9375</v>
      </c>
      <c r="F24" s="30">
        <v>1.90502106023273</v>
      </c>
    </row>
    <row r="25" spans="1:6" x14ac:dyDescent="0.2">
      <c r="A25" s="27" t="s">
        <v>532</v>
      </c>
      <c r="B25" s="27" t="s">
        <v>531</v>
      </c>
      <c r="C25" s="27" t="s">
        <v>133</v>
      </c>
      <c r="D25" s="31">
        <v>2000000</v>
      </c>
      <c r="E25" s="29">
        <v>10702</v>
      </c>
      <c r="F25" s="30">
        <v>1.7774757174231099</v>
      </c>
    </row>
    <row r="26" spans="1:6" x14ac:dyDescent="0.2">
      <c r="A26" s="27" t="s">
        <v>154</v>
      </c>
      <c r="B26" s="27" t="s">
        <v>153</v>
      </c>
      <c r="C26" s="27" t="s">
        <v>136</v>
      </c>
      <c r="D26" s="31">
        <v>250000</v>
      </c>
      <c r="E26" s="29">
        <v>9496.75</v>
      </c>
      <c r="F26" s="30">
        <v>1.5772979367817099</v>
      </c>
    </row>
    <row r="27" spans="1:6" x14ac:dyDescent="0.2">
      <c r="A27" s="27" t="s">
        <v>181</v>
      </c>
      <c r="B27" s="27" t="s">
        <v>180</v>
      </c>
      <c r="C27" s="27" t="s">
        <v>182</v>
      </c>
      <c r="D27" s="31">
        <v>750000</v>
      </c>
      <c r="E27" s="29">
        <v>9006</v>
      </c>
      <c r="F27" s="30">
        <v>1.4957901617559799</v>
      </c>
    </row>
    <row r="28" spans="1:6" x14ac:dyDescent="0.2">
      <c r="A28" s="27" t="s">
        <v>556</v>
      </c>
      <c r="B28" s="27" t="s">
        <v>555</v>
      </c>
      <c r="C28" s="27" t="s">
        <v>182</v>
      </c>
      <c r="D28" s="31">
        <v>3000000</v>
      </c>
      <c r="E28" s="29">
        <v>8205</v>
      </c>
      <c r="F28" s="30">
        <v>1.3627535284485699</v>
      </c>
    </row>
    <row r="29" spans="1:6" x14ac:dyDescent="0.2">
      <c r="A29" s="27" t="s">
        <v>127</v>
      </c>
      <c r="B29" s="27" t="s">
        <v>126</v>
      </c>
      <c r="C29" s="27" t="s">
        <v>128</v>
      </c>
      <c r="D29" s="31">
        <v>2000000</v>
      </c>
      <c r="E29" s="29">
        <v>6805</v>
      </c>
      <c r="F29" s="30">
        <v>1.13023007447806</v>
      </c>
    </row>
    <row r="30" spans="1:6" x14ac:dyDescent="0.2">
      <c r="A30" s="27" t="s">
        <v>179</v>
      </c>
      <c r="B30" s="27" t="s">
        <v>178</v>
      </c>
      <c r="C30" s="27" t="s">
        <v>144</v>
      </c>
      <c r="D30" s="31">
        <v>150000</v>
      </c>
      <c r="E30" s="29">
        <v>6639.8249999999998</v>
      </c>
      <c r="F30" s="30">
        <v>1.10279645911408</v>
      </c>
    </row>
    <row r="31" spans="1:6" x14ac:dyDescent="0.2">
      <c r="A31" s="27" t="s">
        <v>146</v>
      </c>
      <c r="B31" s="27" t="s">
        <v>145</v>
      </c>
      <c r="C31" s="27" t="s">
        <v>147</v>
      </c>
      <c r="D31" s="31">
        <v>1500000</v>
      </c>
      <c r="E31" s="29">
        <v>3214.5</v>
      </c>
      <c r="F31" s="30">
        <v>0.53389045913442101</v>
      </c>
    </row>
    <row r="32" spans="1:6" x14ac:dyDescent="0.2">
      <c r="A32" s="27" t="s">
        <v>143</v>
      </c>
      <c r="B32" s="27" t="s">
        <v>142</v>
      </c>
      <c r="C32" s="27" t="s">
        <v>144</v>
      </c>
      <c r="D32" s="31">
        <v>500000</v>
      </c>
      <c r="E32" s="29">
        <v>2176</v>
      </c>
      <c r="F32" s="30">
        <v>0.361407882742728</v>
      </c>
    </row>
    <row r="33" spans="1:9" x14ac:dyDescent="0.2">
      <c r="A33" s="26" t="s">
        <v>40</v>
      </c>
      <c r="B33" s="26"/>
      <c r="C33" s="26"/>
      <c r="D33" s="32"/>
      <c r="E33" s="33">
        <f>SUM(E7:E32)</f>
        <v>554634.37844999996</v>
      </c>
      <c r="F33" s="34">
        <f>SUM(F7:F32)</f>
        <v>92.118215262841716</v>
      </c>
      <c r="G33" s="18"/>
      <c r="H33" s="18"/>
      <c r="I33" s="18"/>
    </row>
    <row r="34" spans="1:9" x14ac:dyDescent="0.2">
      <c r="A34" s="27"/>
      <c r="B34" s="27"/>
      <c r="C34" s="27"/>
      <c r="D34" s="28"/>
      <c r="E34" s="29"/>
      <c r="F34" s="30"/>
    </row>
    <row r="35" spans="1:9" x14ac:dyDescent="0.2">
      <c r="A35" s="26" t="s">
        <v>44</v>
      </c>
      <c r="B35" s="26"/>
      <c r="C35" s="26"/>
      <c r="D35" s="32"/>
      <c r="E35" s="33">
        <f>E33</f>
        <v>554634.37844999996</v>
      </c>
      <c r="F35" s="34">
        <f>F33</f>
        <v>92.118215262841716</v>
      </c>
      <c r="G35" s="18"/>
      <c r="H35" s="18"/>
      <c r="I35" s="18"/>
    </row>
    <row r="36" spans="1:9" x14ac:dyDescent="0.2">
      <c r="A36" s="26"/>
      <c r="B36" s="26"/>
      <c r="C36" s="26"/>
      <c r="D36" s="32"/>
      <c r="E36" s="33"/>
      <c r="F36" s="34"/>
      <c r="G36" s="18"/>
      <c r="H36" s="18"/>
      <c r="I36" s="18"/>
    </row>
    <row r="37" spans="1:9" x14ac:dyDescent="0.2">
      <c r="A37" s="26" t="s">
        <v>46</v>
      </c>
      <c r="B37" s="26"/>
      <c r="C37" s="26"/>
      <c r="D37" s="32"/>
      <c r="E37" s="33">
        <f>E39-(E33)</f>
        <v>47455.421995499986</v>
      </c>
      <c r="F37" s="34">
        <f>F39-(F33)</f>
        <v>7.8817847371582843</v>
      </c>
      <c r="G37" s="18"/>
      <c r="H37" s="18"/>
      <c r="I37" s="18"/>
    </row>
    <row r="38" spans="1:9" x14ac:dyDescent="0.2">
      <c r="A38" s="26"/>
      <c r="B38" s="26"/>
      <c r="C38" s="26"/>
      <c r="D38" s="32"/>
      <c r="E38" s="33"/>
      <c r="F38" s="34"/>
      <c r="G38" s="18"/>
      <c r="H38" s="18"/>
      <c r="I38" s="18"/>
    </row>
    <row r="39" spans="1:9" x14ac:dyDescent="0.2">
      <c r="A39" s="35" t="s">
        <v>45</v>
      </c>
      <c r="B39" s="35"/>
      <c r="C39" s="35"/>
      <c r="D39" s="36"/>
      <c r="E39" s="37">
        <v>602089.80044549995</v>
      </c>
      <c r="F39" s="38">
        <v>100</v>
      </c>
      <c r="G39" s="18"/>
      <c r="H39" s="18"/>
      <c r="I39" s="18"/>
    </row>
    <row r="42" spans="1:9" x14ac:dyDescent="0.2">
      <c r="A42" s="18" t="s">
        <v>48</v>
      </c>
    </row>
    <row r="43" spans="1:9" x14ac:dyDescent="0.2">
      <c r="A43" s="18" t="s">
        <v>49</v>
      </c>
    </row>
    <row r="44" spans="1:9" x14ac:dyDescent="0.2">
      <c r="A44" s="18" t="s">
        <v>50</v>
      </c>
      <c r="B44" s="18"/>
      <c r="C44" s="39" t="s">
        <v>52</v>
      </c>
      <c r="D44" s="19" t="s">
        <v>51</v>
      </c>
    </row>
    <row r="45" spans="1:9" x14ac:dyDescent="0.2">
      <c r="A45" s="9" t="s">
        <v>70</v>
      </c>
      <c r="C45" s="40">
        <v>435.803</v>
      </c>
      <c r="D45" s="40">
        <v>602.61559999999997</v>
      </c>
    </row>
    <row r="46" spans="1:9" x14ac:dyDescent="0.2">
      <c r="A46" s="9" t="s">
        <v>76</v>
      </c>
      <c r="C46" s="40">
        <v>32.099499999999999</v>
      </c>
      <c r="D46" s="40">
        <v>40.613399999999999</v>
      </c>
    </row>
    <row r="47" spans="1:9" x14ac:dyDescent="0.2">
      <c r="A47" s="9" t="s">
        <v>73</v>
      </c>
      <c r="C47" s="40">
        <v>464.27550000000002</v>
      </c>
      <c r="D47" s="40">
        <v>644.2604</v>
      </c>
    </row>
    <row r="48" spans="1:9" x14ac:dyDescent="0.2">
      <c r="A48" s="9" t="s">
        <v>77</v>
      </c>
      <c r="C48" s="40">
        <v>35.153399999999998</v>
      </c>
      <c r="D48" s="40">
        <v>45.005299999999998</v>
      </c>
    </row>
    <row r="50" spans="1:4" x14ac:dyDescent="0.2">
      <c r="A50" s="18" t="s">
        <v>53</v>
      </c>
    </row>
    <row r="51" spans="1:4" x14ac:dyDescent="0.2">
      <c r="A51" s="74" t="s">
        <v>67</v>
      </c>
      <c r="B51" s="75"/>
      <c r="C51" s="44" t="s">
        <v>68</v>
      </c>
    </row>
    <row r="52" spans="1:4" x14ac:dyDescent="0.2">
      <c r="A52" s="68" t="s">
        <v>76</v>
      </c>
      <c r="B52" s="69"/>
      <c r="C52" s="45">
        <v>3.5</v>
      </c>
    </row>
    <row r="53" spans="1:4" x14ac:dyDescent="0.2">
      <c r="A53" s="68" t="s">
        <v>77</v>
      </c>
      <c r="B53" s="69"/>
      <c r="C53" s="45">
        <v>3.5</v>
      </c>
    </row>
    <row r="54" spans="1:4" x14ac:dyDescent="0.2">
      <c r="A54" s="9" t="s">
        <v>69</v>
      </c>
    </row>
    <row r="56" spans="1:4" x14ac:dyDescent="0.2">
      <c r="A56" s="18" t="s">
        <v>224</v>
      </c>
      <c r="D56" s="46">
        <v>9.6699999999999994E-2</v>
      </c>
    </row>
    <row r="58" spans="1:4" x14ac:dyDescent="0.2">
      <c r="A58" s="18" t="s">
        <v>729</v>
      </c>
    </row>
    <row r="59" spans="1:4" x14ac:dyDescent="0.2">
      <c r="A59" s="50" t="s">
        <v>56</v>
      </c>
    </row>
  </sheetData>
  <mergeCells count="4">
    <mergeCell ref="A1:F1"/>
    <mergeCell ref="A51:B51"/>
    <mergeCell ref="A52:B52"/>
    <mergeCell ref="A53:B53"/>
  </mergeCells>
  <conditionalFormatting sqref="F2:F3 F5:F65536">
    <cfRule type="cellIs" dxfId="15" priority="1" stopIfTrue="1" operator="between">
      <formula>0.009</formula>
      <formula>-0.009</formula>
    </cfRule>
  </conditionalFormatting>
  <hyperlinks>
    <hyperlink ref="A59" r:id="rId1" xr:uid="{00000000-0004-0000-30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60"/>
  <sheetViews>
    <sheetView workbookViewId="0">
      <selection sqref="A1:F1"/>
    </sheetView>
  </sheetViews>
  <sheetFormatPr defaultColWidth="9.21875" defaultRowHeight="10.199999999999999" x14ac:dyDescent="0.2"/>
  <cols>
    <col min="1" max="1" width="38.77734375" style="9" bestFit="1" customWidth="1"/>
    <col min="2" max="2" width="25.77734375" style="9" bestFit="1" customWidth="1"/>
    <col min="3" max="3" width="21.21875" style="9" bestFit="1" customWidth="1"/>
    <col min="4" max="4" width="15.21875" style="10" bestFit="1" customWidth="1"/>
    <col min="5" max="5" width="23" style="13" bestFit="1" customWidth="1"/>
    <col min="6" max="6" width="13.5546875" style="14" bestFit="1" customWidth="1"/>
    <col min="7" max="16384" width="9.21875" style="9"/>
  </cols>
  <sheetData>
    <row r="1" spans="1:6" s="1" customFormat="1" ht="13.8" x14ac:dyDescent="0.2">
      <c r="A1" s="72" t="s">
        <v>19</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141</v>
      </c>
      <c r="B7" s="27" t="s">
        <v>140</v>
      </c>
      <c r="C7" s="27" t="s">
        <v>101</v>
      </c>
      <c r="D7" s="31">
        <v>2861538</v>
      </c>
      <c r="E7" s="29">
        <v>11164.290510000001</v>
      </c>
      <c r="F7" s="30">
        <v>11.316887102850799</v>
      </c>
    </row>
    <row r="8" spans="1:6" x14ac:dyDescent="0.2">
      <c r="A8" s="27" t="s">
        <v>103</v>
      </c>
      <c r="B8" s="27" t="s">
        <v>102</v>
      </c>
      <c r="C8" s="27" t="s">
        <v>101</v>
      </c>
      <c r="D8" s="31">
        <v>1275000</v>
      </c>
      <c r="E8" s="29">
        <v>9241.2000000000007</v>
      </c>
      <c r="F8" s="30">
        <v>9.3675112629136503</v>
      </c>
    </row>
    <row r="9" spans="1:6" x14ac:dyDescent="0.2">
      <c r="A9" s="27" t="s">
        <v>108</v>
      </c>
      <c r="B9" s="27" t="s">
        <v>107</v>
      </c>
      <c r="C9" s="27" t="s">
        <v>101</v>
      </c>
      <c r="D9" s="31">
        <v>1525000</v>
      </c>
      <c r="E9" s="29">
        <v>9115.6875</v>
      </c>
      <c r="F9" s="30">
        <v>9.2402832235479302</v>
      </c>
    </row>
    <row r="10" spans="1:6" x14ac:dyDescent="0.2">
      <c r="A10" s="27" t="s">
        <v>110</v>
      </c>
      <c r="B10" s="27" t="s">
        <v>109</v>
      </c>
      <c r="C10" s="27" t="s">
        <v>111</v>
      </c>
      <c r="D10" s="31">
        <v>1000000</v>
      </c>
      <c r="E10" s="29">
        <v>5563</v>
      </c>
      <c r="F10" s="30">
        <v>5.6390366138151604</v>
      </c>
    </row>
    <row r="11" spans="1:6" x14ac:dyDescent="0.2">
      <c r="A11" s="27" t="s">
        <v>150</v>
      </c>
      <c r="B11" s="27" t="s">
        <v>149</v>
      </c>
      <c r="C11" s="27" t="s">
        <v>147</v>
      </c>
      <c r="D11" s="31">
        <v>4688274</v>
      </c>
      <c r="E11" s="29">
        <v>5030.5180019999998</v>
      </c>
      <c r="F11" s="30">
        <v>5.0992765054348803</v>
      </c>
    </row>
    <row r="12" spans="1:6" x14ac:dyDescent="0.2">
      <c r="A12" s="27" t="s">
        <v>152</v>
      </c>
      <c r="B12" s="27" t="s">
        <v>151</v>
      </c>
      <c r="C12" s="27" t="s">
        <v>139</v>
      </c>
      <c r="D12" s="31">
        <v>1000000</v>
      </c>
      <c r="E12" s="29">
        <v>4498.5</v>
      </c>
      <c r="F12" s="30">
        <v>4.5599867350795398</v>
      </c>
    </row>
    <row r="13" spans="1:6" x14ac:dyDescent="0.2">
      <c r="A13" s="27" t="s">
        <v>207</v>
      </c>
      <c r="B13" s="27" t="s">
        <v>206</v>
      </c>
      <c r="C13" s="27" t="s">
        <v>139</v>
      </c>
      <c r="D13" s="31">
        <v>4500000</v>
      </c>
      <c r="E13" s="29">
        <v>4412.25</v>
      </c>
      <c r="F13" s="30">
        <v>4.4725578463609397</v>
      </c>
    </row>
    <row r="14" spans="1:6" x14ac:dyDescent="0.2">
      <c r="A14" s="27" t="s">
        <v>216</v>
      </c>
      <c r="B14" s="27" t="s">
        <v>215</v>
      </c>
      <c r="C14" s="27" t="s">
        <v>125</v>
      </c>
      <c r="D14" s="31">
        <v>2700000</v>
      </c>
      <c r="E14" s="29">
        <v>3828.6</v>
      </c>
      <c r="F14" s="30">
        <v>3.8809303576582201</v>
      </c>
    </row>
    <row r="15" spans="1:6" x14ac:dyDescent="0.2">
      <c r="A15" s="27" t="s">
        <v>267</v>
      </c>
      <c r="B15" s="27" t="s">
        <v>266</v>
      </c>
      <c r="C15" s="27" t="s">
        <v>182</v>
      </c>
      <c r="D15" s="31">
        <v>200000</v>
      </c>
      <c r="E15" s="29">
        <v>3466.4</v>
      </c>
      <c r="F15" s="30">
        <v>3.5137797084538702</v>
      </c>
    </row>
    <row r="16" spans="1:6" x14ac:dyDescent="0.2">
      <c r="A16" s="27" t="s">
        <v>193</v>
      </c>
      <c r="B16" s="27" t="s">
        <v>192</v>
      </c>
      <c r="C16" s="27" t="s">
        <v>194</v>
      </c>
      <c r="D16" s="31">
        <v>235000</v>
      </c>
      <c r="E16" s="29">
        <v>3389.875</v>
      </c>
      <c r="F16" s="30">
        <v>3.43620874370963</v>
      </c>
    </row>
    <row r="17" spans="1:6" x14ac:dyDescent="0.2">
      <c r="A17" s="27" t="s">
        <v>520</v>
      </c>
      <c r="B17" s="27" t="s">
        <v>519</v>
      </c>
      <c r="C17" s="27" t="s">
        <v>148</v>
      </c>
      <c r="D17" s="31">
        <v>675000</v>
      </c>
      <c r="E17" s="29">
        <v>3376.35</v>
      </c>
      <c r="F17" s="30">
        <v>3.4224988802902701</v>
      </c>
    </row>
    <row r="18" spans="1:6" x14ac:dyDescent="0.2">
      <c r="A18" s="27" t="s">
        <v>443</v>
      </c>
      <c r="B18" s="27" t="s">
        <v>442</v>
      </c>
      <c r="C18" s="27" t="s">
        <v>182</v>
      </c>
      <c r="D18" s="31">
        <v>900000</v>
      </c>
      <c r="E18" s="29">
        <v>3362.4</v>
      </c>
      <c r="F18" s="30">
        <v>3.4083582078540502</v>
      </c>
    </row>
    <row r="19" spans="1:6" x14ac:dyDescent="0.2">
      <c r="A19" s="27" t="s">
        <v>518</v>
      </c>
      <c r="B19" s="27" t="s">
        <v>517</v>
      </c>
      <c r="C19" s="27" t="s">
        <v>275</v>
      </c>
      <c r="D19" s="31">
        <v>200000</v>
      </c>
      <c r="E19" s="29">
        <v>3239.9</v>
      </c>
      <c r="F19" s="30">
        <v>3.2841838441667699</v>
      </c>
    </row>
    <row r="20" spans="1:6" x14ac:dyDescent="0.2">
      <c r="A20" s="27" t="s">
        <v>390</v>
      </c>
      <c r="B20" s="27" t="s">
        <v>389</v>
      </c>
      <c r="C20" s="27" t="s">
        <v>235</v>
      </c>
      <c r="D20" s="31">
        <v>700000</v>
      </c>
      <c r="E20" s="29">
        <v>3075.45</v>
      </c>
      <c r="F20" s="30">
        <v>3.1174860963433102</v>
      </c>
    </row>
    <row r="21" spans="1:6" x14ac:dyDescent="0.2">
      <c r="A21" s="27" t="s">
        <v>528</v>
      </c>
      <c r="B21" s="27" t="s">
        <v>527</v>
      </c>
      <c r="C21" s="27" t="s">
        <v>235</v>
      </c>
      <c r="D21" s="31">
        <v>550000</v>
      </c>
      <c r="E21" s="29">
        <v>2403.2249999999999</v>
      </c>
      <c r="F21" s="30">
        <v>2.43607294018262</v>
      </c>
    </row>
    <row r="22" spans="1:6" x14ac:dyDescent="0.2">
      <c r="A22" s="27" t="s">
        <v>248</v>
      </c>
      <c r="B22" s="27" t="s">
        <v>247</v>
      </c>
      <c r="C22" s="27" t="s">
        <v>249</v>
      </c>
      <c r="D22" s="31">
        <v>2000000</v>
      </c>
      <c r="E22" s="29">
        <v>2220</v>
      </c>
      <c r="F22" s="30">
        <v>2.2503435704960699</v>
      </c>
    </row>
    <row r="23" spans="1:6" x14ac:dyDescent="0.2">
      <c r="A23" s="27" t="s">
        <v>558</v>
      </c>
      <c r="B23" s="27" t="s">
        <v>557</v>
      </c>
      <c r="C23" s="27" t="s">
        <v>275</v>
      </c>
      <c r="D23" s="31">
        <v>1200000</v>
      </c>
      <c r="E23" s="29">
        <v>2120.4</v>
      </c>
      <c r="F23" s="30">
        <v>2.1493822103062499</v>
      </c>
    </row>
    <row r="24" spans="1:6" x14ac:dyDescent="0.2">
      <c r="A24" s="27" t="s">
        <v>253</v>
      </c>
      <c r="B24" s="27" t="s">
        <v>252</v>
      </c>
      <c r="C24" s="27" t="s">
        <v>148</v>
      </c>
      <c r="D24" s="31">
        <v>525000</v>
      </c>
      <c r="E24" s="29">
        <v>2049.3375000000001</v>
      </c>
      <c r="F24" s="30">
        <v>2.0773484085141898</v>
      </c>
    </row>
    <row r="25" spans="1:6" x14ac:dyDescent="0.2">
      <c r="A25" s="27" t="s">
        <v>547</v>
      </c>
      <c r="B25" s="27" t="s">
        <v>546</v>
      </c>
      <c r="C25" s="27" t="s">
        <v>275</v>
      </c>
      <c r="D25" s="31">
        <v>2000000</v>
      </c>
      <c r="E25" s="29">
        <v>1978</v>
      </c>
      <c r="F25" s="30">
        <v>2.0050358479465</v>
      </c>
    </row>
    <row r="26" spans="1:6" x14ac:dyDescent="0.2">
      <c r="A26" s="27" t="s">
        <v>524</v>
      </c>
      <c r="B26" s="27" t="s">
        <v>523</v>
      </c>
      <c r="C26" s="27" t="s">
        <v>182</v>
      </c>
      <c r="D26" s="31">
        <v>30000</v>
      </c>
      <c r="E26" s="29">
        <v>1834.5</v>
      </c>
      <c r="F26" s="30">
        <v>1.85957445048425</v>
      </c>
    </row>
    <row r="27" spans="1:6" x14ac:dyDescent="0.2">
      <c r="A27" s="27" t="s">
        <v>560</v>
      </c>
      <c r="B27" s="27" t="s">
        <v>559</v>
      </c>
      <c r="C27" s="27" t="s">
        <v>235</v>
      </c>
      <c r="D27" s="31">
        <v>2233265</v>
      </c>
      <c r="E27" s="29">
        <v>1758.6961879999999</v>
      </c>
      <c r="F27" s="30">
        <v>1.78273453113592</v>
      </c>
    </row>
    <row r="28" spans="1:6" x14ac:dyDescent="0.2">
      <c r="A28" s="27" t="s">
        <v>530</v>
      </c>
      <c r="B28" s="27" t="s">
        <v>529</v>
      </c>
      <c r="C28" s="27" t="s">
        <v>235</v>
      </c>
      <c r="D28" s="31">
        <v>2100000</v>
      </c>
      <c r="E28" s="29">
        <v>1623.3</v>
      </c>
      <c r="F28" s="30">
        <v>1.64548771080463</v>
      </c>
    </row>
    <row r="29" spans="1:6" x14ac:dyDescent="0.2">
      <c r="A29" s="27" t="s">
        <v>562</v>
      </c>
      <c r="B29" s="27" t="s">
        <v>561</v>
      </c>
      <c r="C29" s="27" t="s">
        <v>148</v>
      </c>
      <c r="D29" s="31">
        <v>1200000</v>
      </c>
      <c r="E29" s="29">
        <v>1401</v>
      </c>
      <c r="F29" s="30">
        <v>1.42014925327252</v>
      </c>
    </row>
    <row r="30" spans="1:6" x14ac:dyDescent="0.2">
      <c r="A30" s="27" t="s">
        <v>441</v>
      </c>
      <c r="B30" s="27" t="s">
        <v>440</v>
      </c>
      <c r="C30" s="27" t="s">
        <v>148</v>
      </c>
      <c r="D30" s="31">
        <v>250000</v>
      </c>
      <c r="E30" s="29">
        <v>1202.625</v>
      </c>
      <c r="F30" s="30">
        <v>1.21906280921975</v>
      </c>
    </row>
    <row r="31" spans="1:6" x14ac:dyDescent="0.2">
      <c r="A31" s="27" t="s">
        <v>491</v>
      </c>
      <c r="B31" s="27" t="s">
        <v>490</v>
      </c>
      <c r="C31" s="27" t="s">
        <v>275</v>
      </c>
      <c r="D31" s="31">
        <v>200000</v>
      </c>
      <c r="E31" s="29">
        <v>1115.7</v>
      </c>
      <c r="F31" s="30">
        <v>1.1309496944155299</v>
      </c>
    </row>
    <row r="32" spans="1:6" x14ac:dyDescent="0.2">
      <c r="A32" s="27" t="s">
        <v>564</v>
      </c>
      <c r="B32" s="27" t="s">
        <v>563</v>
      </c>
      <c r="C32" s="27" t="s">
        <v>187</v>
      </c>
      <c r="D32" s="31">
        <v>600000</v>
      </c>
      <c r="E32" s="29">
        <v>921.9</v>
      </c>
      <c r="F32" s="30">
        <v>0.93450078272086901</v>
      </c>
    </row>
    <row r="33" spans="1:9" x14ac:dyDescent="0.2">
      <c r="A33" s="27" t="s">
        <v>146</v>
      </c>
      <c r="B33" s="27" t="s">
        <v>145</v>
      </c>
      <c r="C33" s="27" t="s">
        <v>147</v>
      </c>
      <c r="D33" s="31">
        <v>400000</v>
      </c>
      <c r="E33" s="29">
        <v>857.2</v>
      </c>
      <c r="F33" s="30">
        <v>0.868916445328483</v>
      </c>
    </row>
    <row r="34" spans="1:9" x14ac:dyDescent="0.2">
      <c r="A34" s="26" t="s">
        <v>40</v>
      </c>
      <c r="B34" s="26"/>
      <c r="C34" s="26"/>
      <c r="D34" s="32"/>
      <c r="E34" s="33">
        <f>SUM(E7:E33)</f>
        <v>94250.304699999979</v>
      </c>
      <c r="F34" s="34">
        <f>SUM(F7:F33)</f>
        <v>95.538543783306608</v>
      </c>
      <c r="G34" s="18"/>
      <c r="H34" s="18"/>
      <c r="I34" s="18"/>
    </row>
    <row r="35" spans="1:9" x14ac:dyDescent="0.2">
      <c r="A35" s="27"/>
      <c r="B35" s="27"/>
      <c r="C35" s="27"/>
      <c r="D35" s="28"/>
      <c r="E35" s="29"/>
      <c r="F35" s="30"/>
    </row>
    <row r="36" spans="1:9" x14ac:dyDescent="0.2">
      <c r="A36" s="26" t="s">
        <v>44</v>
      </c>
      <c r="B36" s="26"/>
      <c r="C36" s="26"/>
      <c r="D36" s="32"/>
      <c r="E36" s="33">
        <f>E34</f>
        <v>94250.304699999979</v>
      </c>
      <c r="F36" s="34">
        <f>F34</f>
        <v>95.538543783306608</v>
      </c>
      <c r="G36" s="18"/>
      <c r="H36" s="18"/>
      <c r="I36" s="18"/>
    </row>
    <row r="37" spans="1:9" x14ac:dyDescent="0.2">
      <c r="A37" s="26"/>
      <c r="B37" s="26"/>
      <c r="C37" s="26"/>
      <c r="D37" s="32"/>
      <c r="E37" s="33"/>
      <c r="F37" s="34"/>
      <c r="G37" s="18"/>
      <c r="H37" s="18"/>
      <c r="I37" s="18"/>
    </row>
    <row r="38" spans="1:9" x14ac:dyDescent="0.2">
      <c r="A38" s="26" t="s">
        <v>46</v>
      </c>
      <c r="B38" s="26"/>
      <c r="C38" s="26"/>
      <c r="D38" s="32"/>
      <c r="E38" s="33">
        <f>E40-(E34)</f>
        <v>4401.2980644000199</v>
      </c>
      <c r="F38" s="34">
        <f>F40-(F34)</f>
        <v>4.4614562166933922</v>
      </c>
      <c r="G38" s="18"/>
      <c r="H38" s="18"/>
      <c r="I38" s="18"/>
    </row>
    <row r="39" spans="1:9" x14ac:dyDescent="0.2">
      <c r="A39" s="26"/>
      <c r="B39" s="26"/>
      <c r="C39" s="26"/>
      <c r="D39" s="32"/>
      <c r="E39" s="33"/>
      <c r="F39" s="34"/>
      <c r="G39" s="18"/>
      <c r="H39" s="18"/>
      <c r="I39" s="18"/>
    </row>
    <row r="40" spans="1:9" x14ac:dyDescent="0.2">
      <c r="A40" s="35" t="s">
        <v>45</v>
      </c>
      <c r="B40" s="35"/>
      <c r="C40" s="35"/>
      <c r="D40" s="36"/>
      <c r="E40" s="37">
        <v>98651.602764399999</v>
      </c>
      <c r="F40" s="38">
        <v>100</v>
      </c>
      <c r="G40" s="18"/>
      <c r="H40" s="18"/>
      <c r="I40" s="18"/>
    </row>
    <row r="43" spans="1:9" x14ac:dyDescent="0.2">
      <c r="A43" s="18" t="s">
        <v>48</v>
      </c>
    </row>
    <row r="44" spans="1:9" x14ac:dyDescent="0.2">
      <c r="A44" s="18" t="s">
        <v>49</v>
      </c>
    </row>
    <row r="45" spans="1:9" x14ac:dyDescent="0.2">
      <c r="A45" s="18" t="s">
        <v>50</v>
      </c>
      <c r="B45" s="18"/>
      <c r="C45" s="39" t="s">
        <v>52</v>
      </c>
      <c r="D45" s="19" t="s">
        <v>51</v>
      </c>
    </row>
    <row r="46" spans="1:9" x14ac:dyDescent="0.2">
      <c r="A46" s="9" t="s">
        <v>70</v>
      </c>
      <c r="C46" s="40">
        <v>35.340200000000003</v>
      </c>
      <c r="D46" s="40">
        <v>50.626199999999997</v>
      </c>
    </row>
    <row r="47" spans="1:9" x14ac:dyDescent="0.2">
      <c r="A47" s="9" t="s">
        <v>76</v>
      </c>
      <c r="C47" s="40">
        <v>16.8904</v>
      </c>
      <c r="D47" s="40">
        <v>22.213000000000001</v>
      </c>
    </row>
    <row r="48" spans="1:9" x14ac:dyDescent="0.2">
      <c r="A48" s="9" t="s">
        <v>73</v>
      </c>
      <c r="C48" s="40">
        <v>38.644500000000001</v>
      </c>
      <c r="D48" s="40">
        <v>55.636699999999998</v>
      </c>
    </row>
    <row r="49" spans="1:4" x14ac:dyDescent="0.2">
      <c r="A49" s="9" t="s">
        <v>77</v>
      </c>
      <c r="C49" s="40">
        <v>19.073599999999999</v>
      </c>
      <c r="D49" s="40">
        <v>25.473400000000002</v>
      </c>
    </row>
    <row r="51" spans="1:4" x14ac:dyDescent="0.2">
      <c r="A51" s="18" t="s">
        <v>53</v>
      </c>
    </row>
    <row r="52" spans="1:4" x14ac:dyDescent="0.2">
      <c r="A52" s="74" t="s">
        <v>67</v>
      </c>
      <c r="B52" s="75"/>
      <c r="C52" s="44" t="s">
        <v>68</v>
      </c>
    </row>
    <row r="53" spans="1:4" x14ac:dyDescent="0.2">
      <c r="A53" s="68" t="s">
        <v>76</v>
      </c>
      <c r="B53" s="69"/>
      <c r="C53" s="45">
        <v>1.75</v>
      </c>
    </row>
    <row r="54" spans="1:4" x14ac:dyDescent="0.2">
      <c r="A54" s="68" t="s">
        <v>77</v>
      </c>
      <c r="B54" s="69"/>
      <c r="C54" s="45">
        <v>1.75</v>
      </c>
    </row>
    <row r="55" spans="1:4" x14ac:dyDescent="0.2">
      <c r="A55" s="9" t="s">
        <v>69</v>
      </c>
    </row>
    <row r="57" spans="1:4" x14ac:dyDescent="0.2">
      <c r="A57" s="18" t="s">
        <v>224</v>
      </c>
      <c r="D57" s="46">
        <v>2.7799999999999998E-2</v>
      </c>
    </row>
    <row r="59" spans="1:4" x14ac:dyDescent="0.2">
      <c r="A59" s="18" t="s">
        <v>729</v>
      </c>
    </row>
    <row r="60" spans="1:4" x14ac:dyDescent="0.2">
      <c r="A60" s="50" t="s">
        <v>56</v>
      </c>
    </row>
  </sheetData>
  <mergeCells count="4">
    <mergeCell ref="A1:F1"/>
    <mergeCell ref="A52:B52"/>
    <mergeCell ref="A53:B53"/>
    <mergeCell ref="A54:B54"/>
  </mergeCells>
  <conditionalFormatting sqref="F2:F3 F5:F65536">
    <cfRule type="cellIs" dxfId="14" priority="1" stopIfTrue="1" operator="between">
      <formula>0.009</formula>
      <formula>-0.009</formula>
    </cfRule>
  </conditionalFormatting>
  <hyperlinks>
    <hyperlink ref="A60" r:id="rId1" xr:uid="{00000000-0004-0000-31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97"/>
  <sheetViews>
    <sheetView workbookViewId="0">
      <selection sqref="A1:F1"/>
    </sheetView>
  </sheetViews>
  <sheetFormatPr defaultColWidth="9.21875" defaultRowHeight="10.199999999999999" x14ac:dyDescent="0.2"/>
  <cols>
    <col min="1" max="1" width="38.77734375" style="9" bestFit="1" customWidth="1"/>
    <col min="2" max="2" width="39.5546875" style="9" bestFit="1" customWidth="1"/>
    <col min="3" max="3" width="35.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20</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30253</v>
      </c>
      <c r="E7" s="29">
        <v>464.20203199999997</v>
      </c>
      <c r="F7" s="30">
        <v>1.7146173643909499</v>
      </c>
    </row>
    <row r="8" spans="1:6" x14ac:dyDescent="0.2">
      <c r="A8" s="27" t="s">
        <v>108</v>
      </c>
      <c r="B8" s="27" t="s">
        <v>107</v>
      </c>
      <c r="C8" s="27" t="s">
        <v>101</v>
      </c>
      <c r="D8" s="31">
        <v>64814</v>
      </c>
      <c r="E8" s="29">
        <v>387.42568499999999</v>
      </c>
      <c r="F8" s="30">
        <v>1.43102951111609</v>
      </c>
    </row>
    <row r="9" spans="1:6" x14ac:dyDescent="0.2">
      <c r="A9" s="27" t="s">
        <v>119</v>
      </c>
      <c r="B9" s="27" t="s">
        <v>118</v>
      </c>
      <c r="C9" s="27" t="s">
        <v>101</v>
      </c>
      <c r="D9" s="31">
        <v>19241</v>
      </c>
      <c r="E9" s="29">
        <v>342.5571435</v>
      </c>
      <c r="F9" s="30">
        <v>1.2652991285080399</v>
      </c>
    </row>
    <row r="10" spans="1:6" x14ac:dyDescent="0.2">
      <c r="A10" s="27" t="s">
        <v>566</v>
      </c>
      <c r="B10" s="27" t="s">
        <v>565</v>
      </c>
      <c r="C10" s="27" t="s">
        <v>235</v>
      </c>
      <c r="D10" s="31">
        <v>20861</v>
      </c>
      <c r="E10" s="29">
        <v>321.37413550000002</v>
      </c>
      <c r="F10" s="30">
        <v>1.18705571110992</v>
      </c>
    </row>
    <row r="11" spans="1:6" x14ac:dyDescent="0.2">
      <c r="A11" s="27" t="s">
        <v>202</v>
      </c>
      <c r="B11" s="27" t="s">
        <v>201</v>
      </c>
      <c r="C11" s="27" t="s">
        <v>203</v>
      </c>
      <c r="D11" s="31">
        <v>235400</v>
      </c>
      <c r="E11" s="29">
        <v>289.18889999999999</v>
      </c>
      <c r="F11" s="30">
        <v>1.0681735006474899</v>
      </c>
    </row>
    <row r="12" spans="1:6" x14ac:dyDescent="0.2">
      <c r="A12" s="27" t="s">
        <v>127</v>
      </c>
      <c r="B12" s="27" t="s">
        <v>126</v>
      </c>
      <c r="C12" s="27" t="s">
        <v>128</v>
      </c>
      <c r="D12" s="31">
        <v>83344</v>
      </c>
      <c r="E12" s="29">
        <v>283.57796000000002</v>
      </c>
      <c r="F12" s="30">
        <v>1.0474484402398301</v>
      </c>
    </row>
    <row r="13" spans="1:6" x14ac:dyDescent="0.2">
      <c r="A13" s="27" t="s">
        <v>193</v>
      </c>
      <c r="B13" s="27" t="s">
        <v>192</v>
      </c>
      <c r="C13" s="27" t="s">
        <v>194</v>
      </c>
      <c r="D13" s="31">
        <v>18232</v>
      </c>
      <c r="E13" s="29">
        <v>262.9966</v>
      </c>
      <c r="F13" s="30">
        <v>0.971427322695951</v>
      </c>
    </row>
    <row r="14" spans="1:6" x14ac:dyDescent="0.2">
      <c r="A14" s="27" t="s">
        <v>463</v>
      </c>
      <c r="B14" s="27" t="s">
        <v>462</v>
      </c>
      <c r="C14" s="27" t="s">
        <v>167</v>
      </c>
      <c r="D14" s="31">
        <v>31095</v>
      </c>
      <c r="E14" s="29">
        <v>251.44971749999999</v>
      </c>
      <c r="F14" s="30">
        <v>0.92877674412398603</v>
      </c>
    </row>
    <row r="15" spans="1:6" x14ac:dyDescent="0.2">
      <c r="A15" s="27" t="s">
        <v>281</v>
      </c>
      <c r="B15" s="27" t="s">
        <v>280</v>
      </c>
      <c r="C15" s="27" t="s">
        <v>133</v>
      </c>
      <c r="D15" s="31">
        <v>40295</v>
      </c>
      <c r="E15" s="29">
        <v>245.45699250000001</v>
      </c>
      <c r="F15" s="30">
        <v>0.90664148913436604</v>
      </c>
    </row>
    <row r="16" spans="1:6" x14ac:dyDescent="0.2">
      <c r="A16" s="27" t="s">
        <v>568</v>
      </c>
      <c r="B16" s="27" t="s">
        <v>567</v>
      </c>
      <c r="C16" s="27" t="s">
        <v>187</v>
      </c>
      <c r="D16" s="31">
        <v>32972</v>
      </c>
      <c r="E16" s="29">
        <v>198.98602</v>
      </c>
      <c r="F16" s="30">
        <v>0.73499222675320897</v>
      </c>
    </row>
    <row r="17" spans="1:9" x14ac:dyDescent="0.2">
      <c r="A17" s="27" t="s">
        <v>570</v>
      </c>
      <c r="B17" s="27" t="s">
        <v>569</v>
      </c>
      <c r="C17" s="27" t="s">
        <v>419</v>
      </c>
      <c r="D17" s="31">
        <v>36747</v>
      </c>
      <c r="E17" s="29">
        <v>158.5081845</v>
      </c>
      <c r="F17" s="30">
        <v>0.58547974116102997</v>
      </c>
    </row>
    <row r="18" spans="1:9" x14ac:dyDescent="0.2">
      <c r="A18" s="27" t="s">
        <v>471</v>
      </c>
      <c r="B18" s="27" t="s">
        <v>470</v>
      </c>
      <c r="C18" s="27" t="s">
        <v>235</v>
      </c>
      <c r="D18" s="31">
        <v>27579</v>
      </c>
      <c r="E18" s="29">
        <v>150.471024</v>
      </c>
      <c r="F18" s="30">
        <v>0.55579297978619602</v>
      </c>
    </row>
    <row r="19" spans="1:9" x14ac:dyDescent="0.2">
      <c r="A19" s="27" t="s">
        <v>532</v>
      </c>
      <c r="B19" s="27" t="s">
        <v>531</v>
      </c>
      <c r="C19" s="27" t="s">
        <v>133</v>
      </c>
      <c r="D19" s="31">
        <v>25284</v>
      </c>
      <c r="E19" s="29">
        <v>135.29468399999999</v>
      </c>
      <c r="F19" s="30">
        <v>0.49973631846615002</v>
      </c>
    </row>
    <row r="20" spans="1:9" x14ac:dyDescent="0.2">
      <c r="A20" s="27" t="s">
        <v>325</v>
      </c>
      <c r="B20" s="27" t="s">
        <v>324</v>
      </c>
      <c r="C20" s="27" t="s">
        <v>106</v>
      </c>
      <c r="D20" s="31">
        <v>2435</v>
      </c>
      <c r="E20" s="29">
        <v>119.56702249999999</v>
      </c>
      <c r="F20" s="30">
        <v>0.44164324766898699</v>
      </c>
    </row>
    <row r="21" spans="1:9" x14ac:dyDescent="0.2">
      <c r="A21" s="26" t="s">
        <v>40</v>
      </c>
      <c r="B21" s="26"/>
      <c r="C21" s="26"/>
      <c r="D21" s="32"/>
      <c r="E21" s="33">
        <f>SUM(E7:E20)</f>
        <v>3611.0561009999997</v>
      </c>
      <c r="F21" s="34">
        <f>SUM(F7:F20)</f>
        <v>13.338113725802193</v>
      </c>
      <c r="G21" s="18"/>
      <c r="H21" s="18"/>
      <c r="I21" s="18"/>
    </row>
    <row r="22" spans="1:9" x14ac:dyDescent="0.2">
      <c r="A22" s="27"/>
      <c r="B22" s="27"/>
      <c r="C22" s="27"/>
      <c r="D22" s="28"/>
      <c r="E22" s="29"/>
      <c r="F22" s="30"/>
    </row>
    <row r="23" spans="1:9" x14ac:dyDescent="0.2">
      <c r="A23" s="26" t="s">
        <v>303</v>
      </c>
      <c r="B23" s="27"/>
      <c r="C23" s="27"/>
      <c r="D23" s="28"/>
      <c r="E23" s="29"/>
      <c r="F23" s="30"/>
    </row>
    <row r="24" spans="1:9" x14ac:dyDescent="0.2">
      <c r="A24" s="27" t="s">
        <v>339</v>
      </c>
      <c r="B24" s="27" t="s">
        <v>338</v>
      </c>
      <c r="C24" s="27" t="s">
        <v>319</v>
      </c>
      <c r="D24" s="31">
        <v>159714</v>
      </c>
      <c r="E24" s="29">
        <v>2550.6407770000001</v>
      </c>
      <c r="F24" s="30">
        <v>9.4212706215982696</v>
      </c>
    </row>
    <row r="25" spans="1:9" x14ac:dyDescent="0.2">
      <c r="A25" s="27" t="s">
        <v>343</v>
      </c>
      <c r="B25" s="27" t="s">
        <v>342</v>
      </c>
      <c r="C25" s="27" t="s">
        <v>319</v>
      </c>
      <c r="D25" s="31">
        <v>44987</v>
      </c>
      <c r="E25" s="29">
        <v>2422.4136229999999</v>
      </c>
      <c r="F25" s="30">
        <v>8.9476395521960708</v>
      </c>
    </row>
    <row r="26" spans="1:9" x14ac:dyDescent="0.2">
      <c r="A26" s="27" t="s">
        <v>572</v>
      </c>
      <c r="B26" s="27" t="s">
        <v>571</v>
      </c>
      <c r="C26" s="27" t="s">
        <v>106</v>
      </c>
      <c r="D26" s="31">
        <v>38500</v>
      </c>
      <c r="E26" s="29">
        <v>2415.6660750000001</v>
      </c>
      <c r="F26" s="30">
        <v>8.9227162167293699</v>
      </c>
    </row>
    <row r="27" spans="1:9" x14ac:dyDescent="0.2">
      <c r="A27" s="27" t="s">
        <v>352</v>
      </c>
      <c r="B27" s="27" t="s">
        <v>351</v>
      </c>
      <c r="C27" s="27" t="s">
        <v>167</v>
      </c>
      <c r="D27" s="31">
        <v>97004</v>
      </c>
      <c r="E27" s="29">
        <v>2135.0893529999998</v>
      </c>
      <c r="F27" s="30">
        <v>7.8863534125590302</v>
      </c>
    </row>
    <row r="28" spans="1:9" x14ac:dyDescent="0.2">
      <c r="A28" s="27" t="s">
        <v>574</v>
      </c>
      <c r="B28" s="27" t="s">
        <v>573</v>
      </c>
      <c r="C28" s="27" t="s">
        <v>187</v>
      </c>
      <c r="D28" s="31">
        <v>113324</v>
      </c>
      <c r="E28" s="29">
        <v>1041.616194</v>
      </c>
      <c r="F28" s="30">
        <v>3.84740498779896</v>
      </c>
    </row>
    <row r="29" spans="1:9" x14ac:dyDescent="0.2">
      <c r="A29" s="27" t="s">
        <v>576</v>
      </c>
      <c r="B29" s="27" t="s">
        <v>575</v>
      </c>
      <c r="C29" s="27" t="s">
        <v>167</v>
      </c>
      <c r="D29" s="31">
        <v>24800</v>
      </c>
      <c r="E29" s="29">
        <v>798.58451730000002</v>
      </c>
      <c r="F29" s="30">
        <v>2.9497218579524498</v>
      </c>
    </row>
    <row r="30" spans="1:9" x14ac:dyDescent="0.2">
      <c r="A30" s="27" t="s">
        <v>578</v>
      </c>
      <c r="B30" s="27" t="s">
        <v>577</v>
      </c>
      <c r="C30" s="27" t="s">
        <v>170</v>
      </c>
      <c r="D30" s="31">
        <v>3076</v>
      </c>
      <c r="E30" s="29">
        <v>752.87853919999998</v>
      </c>
      <c r="F30" s="30">
        <v>2.7808982460240701</v>
      </c>
    </row>
    <row r="31" spans="1:9" x14ac:dyDescent="0.2">
      <c r="A31" s="27" t="s">
        <v>580</v>
      </c>
      <c r="B31" s="27" t="s">
        <v>579</v>
      </c>
      <c r="C31" s="27" t="s">
        <v>187</v>
      </c>
      <c r="D31" s="31">
        <v>82810</v>
      </c>
      <c r="E31" s="29">
        <v>747.42216599999995</v>
      </c>
      <c r="F31" s="30">
        <v>2.7607441071138901</v>
      </c>
    </row>
    <row r="32" spans="1:9" x14ac:dyDescent="0.2">
      <c r="A32" s="27" t="s">
        <v>582</v>
      </c>
      <c r="B32" s="27" t="s">
        <v>581</v>
      </c>
      <c r="C32" s="27" t="s">
        <v>106</v>
      </c>
      <c r="D32" s="31">
        <v>16700</v>
      </c>
      <c r="E32" s="29">
        <v>569.38924550000002</v>
      </c>
      <c r="F32" s="30">
        <v>2.1031460875461199</v>
      </c>
    </row>
    <row r="33" spans="1:6" x14ac:dyDescent="0.2">
      <c r="A33" s="27" t="s">
        <v>584</v>
      </c>
      <c r="B33" s="27" t="s">
        <v>583</v>
      </c>
      <c r="C33" s="27" t="s">
        <v>101</v>
      </c>
      <c r="D33" s="31">
        <v>86000</v>
      </c>
      <c r="E33" s="29">
        <v>485.03212619999999</v>
      </c>
      <c r="F33" s="30">
        <v>1.7915572284051999</v>
      </c>
    </row>
    <row r="34" spans="1:6" x14ac:dyDescent="0.2">
      <c r="A34" s="27" t="s">
        <v>586</v>
      </c>
      <c r="B34" s="27" t="s">
        <v>585</v>
      </c>
      <c r="C34" s="27" t="s">
        <v>587</v>
      </c>
      <c r="D34" s="31">
        <v>3560</v>
      </c>
      <c r="E34" s="29">
        <v>460.90222069999999</v>
      </c>
      <c r="F34" s="30">
        <v>1.70242889177738</v>
      </c>
    </row>
    <row r="35" spans="1:6" x14ac:dyDescent="0.2">
      <c r="A35" s="27" t="s">
        <v>589</v>
      </c>
      <c r="B35" s="27" t="s">
        <v>588</v>
      </c>
      <c r="C35" s="27" t="s">
        <v>133</v>
      </c>
      <c r="D35" s="31">
        <v>1800</v>
      </c>
      <c r="E35" s="29">
        <v>434.32859560000003</v>
      </c>
      <c r="F35" s="30">
        <v>1.60427421797088</v>
      </c>
    </row>
    <row r="36" spans="1:6" x14ac:dyDescent="0.2">
      <c r="A36" s="27" t="s">
        <v>591</v>
      </c>
      <c r="B36" s="27" t="s">
        <v>590</v>
      </c>
      <c r="C36" s="27" t="s">
        <v>235</v>
      </c>
      <c r="D36" s="31">
        <v>122000</v>
      </c>
      <c r="E36" s="29">
        <v>425.78230719999999</v>
      </c>
      <c r="F36" s="30">
        <v>1.5727068971028599</v>
      </c>
    </row>
    <row r="37" spans="1:6" x14ac:dyDescent="0.2">
      <c r="A37" s="27" t="s">
        <v>593</v>
      </c>
      <c r="B37" s="27" t="s">
        <v>592</v>
      </c>
      <c r="C37" s="27" t="s">
        <v>133</v>
      </c>
      <c r="D37" s="31">
        <v>106000</v>
      </c>
      <c r="E37" s="29">
        <v>425.65918579999999</v>
      </c>
      <c r="F37" s="30">
        <v>1.5722521250945201</v>
      </c>
    </row>
    <row r="38" spans="1:6" x14ac:dyDescent="0.2">
      <c r="A38" s="27" t="s">
        <v>595</v>
      </c>
      <c r="B38" s="27" t="s">
        <v>594</v>
      </c>
      <c r="C38" s="27" t="s">
        <v>167</v>
      </c>
      <c r="D38" s="31">
        <v>36521</v>
      </c>
      <c r="E38" s="29">
        <v>409.52899079999997</v>
      </c>
      <c r="F38" s="30">
        <v>1.51267222123487</v>
      </c>
    </row>
    <row r="39" spans="1:6" x14ac:dyDescent="0.2">
      <c r="A39" s="27" t="s">
        <v>597</v>
      </c>
      <c r="B39" s="27" t="s">
        <v>596</v>
      </c>
      <c r="C39" s="27" t="s">
        <v>260</v>
      </c>
      <c r="D39" s="31">
        <v>750</v>
      </c>
      <c r="E39" s="29">
        <v>406.78937980000001</v>
      </c>
      <c r="F39" s="30">
        <v>1.50255295361332</v>
      </c>
    </row>
    <row r="40" spans="1:6" x14ac:dyDescent="0.2">
      <c r="A40" s="27" t="s">
        <v>599</v>
      </c>
      <c r="B40" s="27" t="s">
        <v>598</v>
      </c>
      <c r="C40" s="27" t="s">
        <v>101</v>
      </c>
      <c r="D40" s="31">
        <v>211929</v>
      </c>
      <c r="E40" s="29">
        <v>366.31832910000003</v>
      </c>
      <c r="F40" s="30">
        <v>1.35306552895386</v>
      </c>
    </row>
    <row r="41" spans="1:6" x14ac:dyDescent="0.2">
      <c r="A41" s="27" t="s">
        <v>601</v>
      </c>
      <c r="B41" s="27" t="s">
        <v>600</v>
      </c>
      <c r="C41" s="27" t="s">
        <v>117</v>
      </c>
      <c r="D41" s="31">
        <v>34200</v>
      </c>
      <c r="E41" s="29">
        <v>361.8456966</v>
      </c>
      <c r="F41" s="30">
        <v>1.33654502102761</v>
      </c>
    </row>
    <row r="42" spans="1:6" x14ac:dyDescent="0.2">
      <c r="A42" s="27" t="s">
        <v>603</v>
      </c>
      <c r="B42" s="27" t="s">
        <v>602</v>
      </c>
      <c r="C42" s="27" t="s">
        <v>182</v>
      </c>
      <c r="D42" s="31">
        <v>662300</v>
      </c>
      <c r="E42" s="29">
        <v>348.04120449999999</v>
      </c>
      <c r="F42" s="30">
        <v>1.28555553750622</v>
      </c>
    </row>
    <row r="43" spans="1:6" x14ac:dyDescent="0.2">
      <c r="A43" s="27" t="s">
        <v>605</v>
      </c>
      <c r="B43" s="27" t="s">
        <v>604</v>
      </c>
      <c r="C43" s="27" t="s">
        <v>376</v>
      </c>
      <c r="D43" s="31">
        <v>57000</v>
      </c>
      <c r="E43" s="29">
        <v>344.41798569999997</v>
      </c>
      <c r="F43" s="30">
        <v>1.2721724985679801</v>
      </c>
    </row>
    <row r="44" spans="1:6" x14ac:dyDescent="0.2">
      <c r="A44" s="27" t="s">
        <v>350</v>
      </c>
      <c r="B44" s="27" t="s">
        <v>349</v>
      </c>
      <c r="C44" s="27" t="s">
        <v>319</v>
      </c>
      <c r="D44" s="31">
        <v>14000</v>
      </c>
      <c r="E44" s="29">
        <v>330.57479169999999</v>
      </c>
      <c r="F44" s="30">
        <v>1.22104006231222</v>
      </c>
    </row>
    <row r="45" spans="1:6" x14ac:dyDescent="0.2">
      <c r="A45" s="27" t="s">
        <v>607</v>
      </c>
      <c r="B45" s="27" t="s">
        <v>606</v>
      </c>
      <c r="C45" s="27" t="s">
        <v>106</v>
      </c>
      <c r="D45" s="31">
        <v>1900</v>
      </c>
      <c r="E45" s="29">
        <v>328.52094640000001</v>
      </c>
      <c r="F45" s="30">
        <v>1.21345379906391</v>
      </c>
    </row>
    <row r="46" spans="1:6" x14ac:dyDescent="0.2">
      <c r="A46" s="27" t="s">
        <v>609</v>
      </c>
      <c r="B46" s="27" t="s">
        <v>608</v>
      </c>
      <c r="C46" s="27" t="s">
        <v>182</v>
      </c>
      <c r="D46" s="31">
        <v>372000</v>
      </c>
      <c r="E46" s="29">
        <v>325.54062970000001</v>
      </c>
      <c r="F46" s="30">
        <v>1.2024454397441799</v>
      </c>
    </row>
    <row r="47" spans="1:6" x14ac:dyDescent="0.2">
      <c r="A47" s="27" t="s">
        <v>611</v>
      </c>
      <c r="B47" s="27" t="s">
        <v>610</v>
      </c>
      <c r="C47" s="27" t="s">
        <v>133</v>
      </c>
      <c r="D47" s="31">
        <v>144400</v>
      </c>
      <c r="E47" s="29">
        <v>324.11999780000002</v>
      </c>
      <c r="F47" s="30">
        <v>1.1971980690817701</v>
      </c>
    </row>
    <row r="48" spans="1:6" x14ac:dyDescent="0.2">
      <c r="A48" s="27" t="s">
        <v>613</v>
      </c>
      <c r="B48" s="27" t="s">
        <v>612</v>
      </c>
      <c r="C48" s="27" t="s">
        <v>133</v>
      </c>
      <c r="D48" s="31">
        <v>6800</v>
      </c>
      <c r="E48" s="29">
        <v>300.54672640000001</v>
      </c>
      <c r="F48" s="30">
        <v>1.11012576501668</v>
      </c>
    </row>
    <row r="49" spans="1:6" x14ac:dyDescent="0.2">
      <c r="A49" s="27" t="s">
        <v>615</v>
      </c>
      <c r="B49" s="27" t="s">
        <v>614</v>
      </c>
      <c r="C49" s="27" t="s">
        <v>187</v>
      </c>
      <c r="D49" s="31">
        <v>17275</v>
      </c>
      <c r="E49" s="29">
        <v>263.44907970000003</v>
      </c>
      <c r="F49" s="30">
        <v>0.97309864142609903</v>
      </c>
    </row>
    <row r="50" spans="1:6" x14ac:dyDescent="0.2">
      <c r="A50" s="27" t="s">
        <v>617</v>
      </c>
      <c r="B50" s="27" t="s">
        <v>616</v>
      </c>
      <c r="C50" s="27" t="s">
        <v>106</v>
      </c>
      <c r="D50" s="31">
        <v>8300</v>
      </c>
      <c r="E50" s="29">
        <v>242.74241710000001</v>
      </c>
      <c r="F50" s="30">
        <v>0.89661469520213199</v>
      </c>
    </row>
    <row r="51" spans="1:6" x14ac:dyDescent="0.2">
      <c r="A51" s="27" t="s">
        <v>619</v>
      </c>
      <c r="B51" s="27" t="s">
        <v>618</v>
      </c>
      <c r="C51" s="27" t="s">
        <v>182</v>
      </c>
      <c r="D51" s="31">
        <v>371100</v>
      </c>
      <c r="E51" s="29">
        <v>238.98833490000001</v>
      </c>
      <c r="F51" s="30">
        <v>0.88274828772489999</v>
      </c>
    </row>
    <row r="52" spans="1:6" x14ac:dyDescent="0.2">
      <c r="A52" s="27" t="s">
        <v>621</v>
      </c>
      <c r="B52" s="27" t="s">
        <v>620</v>
      </c>
      <c r="C52" s="27" t="s">
        <v>275</v>
      </c>
      <c r="D52" s="31">
        <v>7538</v>
      </c>
      <c r="E52" s="29">
        <v>219.19325430000001</v>
      </c>
      <c r="F52" s="30">
        <v>0.80963144077779603</v>
      </c>
    </row>
    <row r="53" spans="1:6" x14ac:dyDescent="0.2">
      <c r="A53" s="27" t="s">
        <v>623</v>
      </c>
      <c r="B53" s="27" t="s">
        <v>622</v>
      </c>
      <c r="C53" s="27" t="s">
        <v>182</v>
      </c>
      <c r="D53" s="31">
        <v>24212</v>
      </c>
      <c r="E53" s="29">
        <v>214.5103421</v>
      </c>
      <c r="F53" s="30">
        <v>0.792334225297193</v>
      </c>
    </row>
    <row r="54" spans="1:6" x14ac:dyDescent="0.2">
      <c r="A54" s="27" t="s">
        <v>625</v>
      </c>
      <c r="B54" s="27" t="s">
        <v>624</v>
      </c>
      <c r="C54" s="27" t="s">
        <v>419</v>
      </c>
      <c r="D54" s="31">
        <v>84000</v>
      </c>
      <c r="E54" s="29">
        <v>206.84399740000001</v>
      </c>
      <c r="F54" s="30">
        <v>0.76401714170453305</v>
      </c>
    </row>
    <row r="55" spans="1:6" x14ac:dyDescent="0.2">
      <c r="A55" s="27" t="s">
        <v>627</v>
      </c>
      <c r="B55" s="27" t="s">
        <v>626</v>
      </c>
      <c r="C55" s="27" t="s">
        <v>319</v>
      </c>
      <c r="D55" s="31">
        <v>1942</v>
      </c>
      <c r="E55" s="29">
        <v>179.35479190000001</v>
      </c>
      <c r="F55" s="30">
        <v>0.66248059978002205</v>
      </c>
    </row>
    <row r="56" spans="1:6" x14ac:dyDescent="0.2">
      <c r="A56" s="27" t="s">
        <v>629</v>
      </c>
      <c r="B56" s="27" t="s">
        <v>628</v>
      </c>
      <c r="C56" s="27" t="s">
        <v>167</v>
      </c>
      <c r="D56" s="31">
        <v>2265900</v>
      </c>
      <c r="E56" s="29">
        <v>178.0271827</v>
      </c>
      <c r="F56" s="30">
        <v>0.65757682592612998</v>
      </c>
    </row>
    <row r="57" spans="1:6" x14ac:dyDescent="0.2">
      <c r="A57" s="27" t="s">
        <v>631</v>
      </c>
      <c r="B57" s="27" t="s">
        <v>630</v>
      </c>
      <c r="C57" s="27" t="s">
        <v>587</v>
      </c>
      <c r="D57" s="31">
        <v>2900</v>
      </c>
      <c r="E57" s="29">
        <v>165.480401</v>
      </c>
      <c r="F57" s="30">
        <v>0.61123293191654304</v>
      </c>
    </row>
    <row r="58" spans="1:6" x14ac:dyDescent="0.2">
      <c r="A58" s="27" t="s">
        <v>633</v>
      </c>
      <c r="B58" s="27" t="s">
        <v>632</v>
      </c>
      <c r="C58" s="27" t="s">
        <v>203</v>
      </c>
      <c r="D58" s="31">
        <v>217546</v>
      </c>
      <c r="E58" s="29">
        <v>159.2989695</v>
      </c>
      <c r="F58" s="30">
        <v>0.58840065403738695</v>
      </c>
    </row>
    <row r="59" spans="1:6" x14ac:dyDescent="0.2">
      <c r="A59" s="27" t="s">
        <v>337</v>
      </c>
      <c r="B59" s="27" t="s">
        <v>336</v>
      </c>
      <c r="C59" s="27" t="s">
        <v>106</v>
      </c>
      <c r="D59" s="31">
        <v>6700</v>
      </c>
      <c r="E59" s="29">
        <v>149.2940414</v>
      </c>
      <c r="F59" s="30">
        <v>0.55144557356125701</v>
      </c>
    </row>
    <row r="60" spans="1:6" x14ac:dyDescent="0.2">
      <c r="A60" s="27" t="s">
        <v>635</v>
      </c>
      <c r="B60" s="27" t="s">
        <v>634</v>
      </c>
      <c r="C60" s="27" t="s">
        <v>133</v>
      </c>
      <c r="D60" s="31">
        <v>101700</v>
      </c>
      <c r="E60" s="29">
        <v>145.44144750000001</v>
      </c>
      <c r="F60" s="30">
        <v>0.53721529462338602</v>
      </c>
    </row>
    <row r="61" spans="1:6" x14ac:dyDescent="0.2">
      <c r="A61" s="27" t="s">
        <v>637</v>
      </c>
      <c r="B61" s="27" t="s">
        <v>636</v>
      </c>
      <c r="C61" s="27" t="s">
        <v>246</v>
      </c>
      <c r="D61" s="31">
        <v>60600</v>
      </c>
      <c r="E61" s="29">
        <v>126.0068539</v>
      </c>
      <c r="F61" s="30">
        <v>0.46542997409630699</v>
      </c>
    </row>
    <row r="62" spans="1:6" x14ac:dyDescent="0.2">
      <c r="A62" s="27" t="s">
        <v>639</v>
      </c>
      <c r="B62" s="27" t="s">
        <v>638</v>
      </c>
      <c r="C62" s="27" t="s">
        <v>640</v>
      </c>
      <c r="D62" s="31">
        <v>21250</v>
      </c>
      <c r="E62" s="29">
        <v>114.0821799</v>
      </c>
      <c r="F62" s="30">
        <v>0.42138395168445097</v>
      </c>
    </row>
    <row r="63" spans="1:6" x14ac:dyDescent="0.2">
      <c r="A63" s="27" t="s">
        <v>642</v>
      </c>
      <c r="B63" s="27" t="s">
        <v>641</v>
      </c>
      <c r="C63" s="27" t="s">
        <v>144</v>
      </c>
      <c r="D63" s="31">
        <v>13280</v>
      </c>
      <c r="E63" s="29">
        <v>108.3835697</v>
      </c>
      <c r="F63" s="30">
        <v>0.40033506493202198</v>
      </c>
    </row>
    <row r="64" spans="1:6" x14ac:dyDescent="0.2">
      <c r="A64" s="27" t="s">
        <v>644</v>
      </c>
      <c r="B64" s="27" t="s">
        <v>643</v>
      </c>
      <c r="C64" s="27" t="s">
        <v>117</v>
      </c>
      <c r="D64" s="31">
        <v>1000</v>
      </c>
      <c r="E64" s="29">
        <v>86.833859899999993</v>
      </c>
      <c r="F64" s="30">
        <v>0.320737165583176</v>
      </c>
    </row>
    <row r="65" spans="1:9" x14ac:dyDescent="0.2">
      <c r="A65" s="27" t="s">
        <v>307</v>
      </c>
      <c r="B65" s="27" t="s">
        <v>306</v>
      </c>
      <c r="C65" s="27" t="s">
        <v>246</v>
      </c>
      <c r="D65" s="31">
        <v>46000</v>
      </c>
      <c r="E65" s="29">
        <v>71.012650699999995</v>
      </c>
      <c r="F65" s="30">
        <v>0.262298558791421</v>
      </c>
    </row>
    <row r="66" spans="1:9" x14ac:dyDescent="0.2">
      <c r="A66" s="27" t="s">
        <v>646</v>
      </c>
      <c r="B66" s="27" t="s">
        <v>645</v>
      </c>
      <c r="C66" s="27" t="s">
        <v>246</v>
      </c>
      <c r="D66" s="31">
        <v>5700</v>
      </c>
      <c r="E66" s="29">
        <v>67.680850599999999</v>
      </c>
      <c r="F66" s="30">
        <v>0.24999192953879501</v>
      </c>
    </row>
    <row r="67" spans="1:9" x14ac:dyDescent="0.2">
      <c r="A67" s="27" t="s">
        <v>648</v>
      </c>
      <c r="B67" s="27" t="s">
        <v>647</v>
      </c>
      <c r="C67" s="27" t="s">
        <v>419</v>
      </c>
      <c r="D67" s="31">
        <v>118300</v>
      </c>
      <c r="E67" s="29">
        <v>57.273170499999999</v>
      </c>
      <c r="F67" s="30">
        <v>0.21154920892940701</v>
      </c>
    </row>
    <row r="68" spans="1:9" x14ac:dyDescent="0.2">
      <c r="A68" s="27" t="s">
        <v>650</v>
      </c>
      <c r="B68" s="27" t="s">
        <v>649</v>
      </c>
      <c r="C68" s="27" t="s">
        <v>238</v>
      </c>
      <c r="D68" s="31">
        <v>646</v>
      </c>
      <c r="E68" s="29">
        <v>2.9275528999999998</v>
      </c>
      <c r="F68" s="30">
        <v>1.0813466317426801E-2</v>
      </c>
    </row>
    <row r="69" spans="1:9" x14ac:dyDescent="0.2">
      <c r="A69" s="27" t="s">
        <v>652</v>
      </c>
      <c r="B69" s="27" t="s">
        <v>651</v>
      </c>
      <c r="C69" s="27" t="s">
        <v>203</v>
      </c>
      <c r="D69" s="31">
        <v>8388</v>
      </c>
      <c r="E69" s="29">
        <v>2.0507667999999999</v>
      </c>
      <c r="F69" s="29">
        <v>7.5748922305373702E-3</v>
      </c>
    </row>
    <row r="70" spans="1:9" x14ac:dyDescent="0.2">
      <c r="A70" s="27" t="s">
        <v>654</v>
      </c>
      <c r="B70" s="27" t="s">
        <v>653</v>
      </c>
      <c r="C70" s="27" t="s">
        <v>203</v>
      </c>
      <c r="D70" s="31">
        <v>8195</v>
      </c>
      <c r="E70" s="29">
        <v>0.23606540000000001</v>
      </c>
      <c r="F70" s="30">
        <v>8.7195187885755502E-4</v>
      </c>
    </row>
    <row r="71" spans="1:9" x14ac:dyDescent="0.2">
      <c r="A71" s="26" t="s">
        <v>40</v>
      </c>
      <c r="B71" s="26"/>
      <c r="C71" s="26"/>
      <c r="D71" s="32"/>
      <c r="E71" s="33">
        <f>SUM(E23:E70)</f>
        <v>22510.761383800003</v>
      </c>
      <c r="F71" s="34">
        <f>SUM(F23:F70)</f>
        <v>83.147723821951502</v>
      </c>
      <c r="G71" s="18"/>
      <c r="H71" s="18"/>
      <c r="I71" s="18"/>
    </row>
    <row r="72" spans="1:9" x14ac:dyDescent="0.2">
      <c r="A72" s="27"/>
      <c r="B72" s="27"/>
      <c r="C72" s="27"/>
      <c r="D72" s="28"/>
      <c r="E72" s="29"/>
      <c r="F72" s="30"/>
    </row>
    <row r="73" spans="1:9" x14ac:dyDescent="0.2">
      <c r="A73" s="26" t="s">
        <v>44</v>
      </c>
      <c r="B73" s="26"/>
      <c r="C73" s="26"/>
      <c r="D73" s="32"/>
      <c r="E73" s="33">
        <f>E21+E71</f>
        <v>26121.817484800002</v>
      </c>
      <c r="F73" s="34">
        <f>F21+F71</f>
        <v>96.48583754775369</v>
      </c>
      <c r="G73" s="18"/>
      <c r="H73" s="18"/>
      <c r="I73" s="18"/>
    </row>
    <row r="74" spans="1:9" x14ac:dyDescent="0.2">
      <c r="A74" s="26"/>
      <c r="B74" s="26"/>
      <c r="C74" s="26"/>
      <c r="D74" s="32"/>
      <c r="E74" s="33"/>
      <c r="F74" s="34"/>
      <c r="G74" s="18"/>
      <c r="H74" s="18"/>
      <c r="I74" s="18"/>
    </row>
    <row r="75" spans="1:9" x14ac:dyDescent="0.2">
      <c r="A75" s="26" t="s">
        <v>46</v>
      </c>
      <c r="B75" s="26"/>
      <c r="C75" s="26"/>
      <c r="D75" s="32"/>
      <c r="E75" s="33">
        <f>E77-(E21+E71)</f>
        <v>951.39672849999988</v>
      </c>
      <c r="F75" s="34">
        <f>F77-(F21+F71)</f>
        <v>3.5141624522463104</v>
      </c>
      <c r="G75" s="18"/>
      <c r="H75" s="18"/>
      <c r="I75" s="18"/>
    </row>
    <row r="76" spans="1:9" x14ac:dyDescent="0.2">
      <c r="A76" s="26"/>
      <c r="B76" s="26"/>
      <c r="C76" s="26"/>
      <c r="D76" s="32"/>
      <c r="E76" s="33"/>
      <c r="F76" s="34"/>
      <c r="G76" s="18"/>
      <c r="H76" s="18"/>
      <c r="I76" s="18"/>
    </row>
    <row r="77" spans="1:9" x14ac:dyDescent="0.2">
      <c r="A77" s="35" t="s">
        <v>45</v>
      </c>
      <c r="B77" s="35"/>
      <c r="C77" s="35"/>
      <c r="D77" s="36"/>
      <c r="E77" s="37">
        <v>27073.214213300002</v>
      </c>
      <c r="F77" s="38">
        <v>100</v>
      </c>
      <c r="G77" s="18"/>
      <c r="H77" s="18"/>
      <c r="I77" s="18"/>
    </row>
    <row r="78" spans="1:9" x14ac:dyDescent="0.2">
      <c r="F78" s="20" t="s">
        <v>57</v>
      </c>
    </row>
    <row r="80" spans="1:9" x14ac:dyDescent="0.2">
      <c r="A80" s="18" t="s">
        <v>48</v>
      </c>
    </row>
    <row r="81" spans="1:4" x14ac:dyDescent="0.2">
      <c r="A81" s="18" t="s">
        <v>49</v>
      </c>
    </row>
    <row r="82" spans="1:4" x14ac:dyDescent="0.2">
      <c r="A82" s="18" t="s">
        <v>50</v>
      </c>
      <c r="B82" s="18"/>
      <c r="C82" s="39" t="s">
        <v>52</v>
      </c>
      <c r="D82" s="19" t="s">
        <v>51</v>
      </c>
    </row>
    <row r="83" spans="1:4" x14ac:dyDescent="0.2">
      <c r="A83" s="9" t="s">
        <v>70</v>
      </c>
      <c r="C83" s="40">
        <v>26.850100000000001</v>
      </c>
      <c r="D83" s="40">
        <v>32.915599999999998</v>
      </c>
    </row>
    <row r="84" spans="1:4" x14ac:dyDescent="0.2">
      <c r="A84" s="9" t="s">
        <v>76</v>
      </c>
      <c r="C84" s="40">
        <v>14.786099999999999</v>
      </c>
      <c r="D84" s="40">
        <v>17.3169</v>
      </c>
    </row>
    <row r="85" spans="1:4" x14ac:dyDescent="0.2">
      <c r="A85" s="9" t="s">
        <v>73</v>
      </c>
      <c r="C85" s="40">
        <v>28.177</v>
      </c>
      <c r="D85" s="40">
        <v>34.650599999999997</v>
      </c>
    </row>
    <row r="86" spans="1:4" x14ac:dyDescent="0.2">
      <c r="A86" s="9" t="s">
        <v>77</v>
      </c>
      <c r="C86" s="40">
        <v>15.632199999999999</v>
      </c>
      <c r="D86" s="40">
        <v>18.4099</v>
      </c>
    </row>
    <row r="88" spans="1:4" x14ac:dyDescent="0.2">
      <c r="A88" s="18" t="s">
        <v>53</v>
      </c>
    </row>
    <row r="89" spans="1:4" x14ac:dyDescent="0.2">
      <c r="A89" s="74" t="s">
        <v>67</v>
      </c>
      <c r="B89" s="75"/>
      <c r="C89" s="44" t="s">
        <v>68</v>
      </c>
    </row>
    <row r="90" spans="1:4" x14ac:dyDescent="0.2">
      <c r="A90" s="68" t="s">
        <v>76</v>
      </c>
      <c r="B90" s="69"/>
      <c r="C90" s="45">
        <v>0.75</v>
      </c>
    </row>
    <row r="91" spans="1:4" x14ac:dyDescent="0.2">
      <c r="A91" s="68" t="s">
        <v>77</v>
      </c>
      <c r="B91" s="69"/>
      <c r="C91" s="45">
        <v>0.75</v>
      </c>
    </row>
    <row r="92" spans="1:4" x14ac:dyDescent="0.2">
      <c r="A92" s="9" t="s">
        <v>69</v>
      </c>
    </row>
    <row r="94" spans="1:4" x14ac:dyDescent="0.2">
      <c r="A94" s="18" t="s">
        <v>224</v>
      </c>
      <c r="D94" s="46">
        <v>0.189</v>
      </c>
    </row>
    <row r="96" spans="1:4" x14ac:dyDescent="0.2">
      <c r="A96" s="18" t="s">
        <v>729</v>
      </c>
    </row>
    <row r="97" spans="1:1" x14ac:dyDescent="0.2">
      <c r="A97" s="50" t="s">
        <v>56</v>
      </c>
    </row>
  </sheetData>
  <mergeCells count="4">
    <mergeCell ref="A1:F1"/>
    <mergeCell ref="A89:B89"/>
    <mergeCell ref="A90:B90"/>
    <mergeCell ref="A91:B91"/>
  </mergeCells>
  <conditionalFormatting sqref="F2:F3 F5:F68 F70:F65536">
    <cfRule type="cellIs" dxfId="13" priority="1" stopIfTrue="1" operator="between">
      <formula>0.009</formula>
      <formula>-0.009</formula>
    </cfRule>
  </conditionalFormatting>
  <hyperlinks>
    <hyperlink ref="A97" r:id="rId1" xr:uid="{00000000-0004-0000-32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80"/>
  <sheetViews>
    <sheetView workbookViewId="0">
      <selection sqref="A1:F1"/>
    </sheetView>
  </sheetViews>
  <sheetFormatPr defaultColWidth="9.21875" defaultRowHeight="10.199999999999999" x14ac:dyDescent="0.2"/>
  <cols>
    <col min="1" max="1" width="38.77734375" style="9" bestFit="1" customWidth="1"/>
    <col min="2" max="2" width="33.44140625" style="9" bestFit="1" customWidth="1"/>
    <col min="3" max="3" width="18.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21</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656</v>
      </c>
      <c r="B7" s="27" t="s">
        <v>655</v>
      </c>
      <c r="C7" s="27" t="s">
        <v>139</v>
      </c>
      <c r="D7" s="31">
        <v>200903</v>
      </c>
      <c r="E7" s="29">
        <v>4190.4347740000003</v>
      </c>
      <c r="F7" s="30">
        <v>10.7891778969373</v>
      </c>
    </row>
    <row r="8" spans="1:6" x14ac:dyDescent="0.2">
      <c r="A8" s="27" t="s">
        <v>100</v>
      </c>
      <c r="B8" s="27" t="s">
        <v>99</v>
      </c>
      <c r="C8" s="27" t="s">
        <v>101</v>
      </c>
      <c r="D8" s="31">
        <v>271286</v>
      </c>
      <c r="E8" s="29">
        <v>4162.612384</v>
      </c>
      <c r="F8" s="30">
        <v>10.717543154621101</v>
      </c>
    </row>
    <row r="9" spans="1:6" x14ac:dyDescent="0.2">
      <c r="A9" s="27" t="s">
        <v>105</v>
      </c>
      <c r="B9" s="27" t="s">
        <v>104</v>
      </c>
      <c r="C9" s="27" t="s">
        <v>106</v>
      </c>
      <c r="D9" s="31">
        <v>228375</v>
      </c>
      <c r="E9" s="29">
        <v>2862.2238750000001</v>
      </c>
      <c r="F9" s="30">
        <v>7.3694125392049603</v>
      </c>
    </row>
    <row r="10" spans="1:6" x14ac:dyDescent="0.2">
      <c r="A10" s="27" t="s">
        <v>186</v>
      </c>
      <c r="B10" s="27" t="s">
        <v>185</v>
      </c>
      <c r="C10" s="27" t="s">
        <v>187</v>
      </c>
      <c r="D10" s="31">
        <v>111903</v>
      </c>
      <c r="E10" s="29">
        <v>2841.6647819999998</v>
      </c>
      <c r="F10" s="30">
        <v>7.3164787211789797</v>
      </c>
    </row>
    <row r="11" spans="1:6" x14ac:dyDescent="0.2">
      <c r="A11" s="27" t="s">
        <v>108</v>
      </c>
      <c r="B11" s="27" t="s">
        <v>107</v>
      </c>
      <c r="C11" s="27" t="s">
        <v>101</v>
      </c>
      <c r="D11" s="31">
        <v>430892</v>
      </c>
      <c r="E11" s="29">
        <v>2575.6569300000001</v>
      </c>
      <c r="F11" s="30">
        <v>6.6315841477047801</v>
      </c>
    </row>
    <row r="12" spans="1:6" x14ac:dyDescent="0.2">
      <c r="A12" s="27" t="s">
        <v>228</v>
      </c>
      <c r="B12" s="27" t="s">
        <v>227</v>
      </c>
      <c r="C12" s="27" t="s">
        <v>106</v>
      </c>
      <c r="D12" s="31">
        <v>64223</v>
      </c>
      <c r="E12" s="29">
        <v>1858.8062890000001</v>
      </c>
      <c r="F12" s="30">
        <v>4.7858976000295002</v>
      </c>
    </row>
    <row r="13" spans="1:6" x14ac:dyDescent="0.2">
      <c r="A13" s="27" t="s">
        <v>119</v>
      </c>
      <c r="B13" s="27" t="s">
        <v>118</v>
      </c>
      <c r="C13" s="27" t="s">
        <v>101</v>
      </c>
      <c r="D13" s="31">
        <v>91938</v>
      </c>
      <c r="E13" s="29">
        <v>1636.8181830000001</v>
      </c>
      <c r="F13" s="30">
        <v>4.2143413544822304</v>
      </c>
    </row>
    <row r="14" spans="1:6" x14ac:dyDescent="0.2">
      <c r="A14" s="27" t="s">
        <v>285</v>
      </c>
      <c r="B14" s="27" t="s">
        <v>284</v>
      </c>
      <c r="C14" s="27" t="s">
        <v>133</v>
      </c>
      <c r="D14" s="31">
        <v>55978</v>
      </c>
      <c r="E14" s="29">
        <v>1193.4789490000001</v>
      </c>
      <c r="F14" s="30">
        <v>3.0728689005984098</v>
      </c>
    </row>
    <row r="15" spans="1:6" x14ac:dyDescent="0.2">
      <c r="A15" s="27" t="s">
        <v>103</v>
      </c>
      <c r="B15" s="27" t="s">
        <v>102</v>
      </c>
      <c r="C15" s="27" t="s">
        <v>101</v>
      </c>
      <c r="D15" s="31">
        <v>153822</v>
      </c>
      <c r="E15" s="29">
        <v>1114.901856</v>
      </c>
      <c r="F15" s="30">
        <v>2.8705552313196598</v>
      </c>
    </row>
    <row r="16" spans="1:6" x14ac:dyDescent="0.2">
      <c r="A16" s="27" t="s">
        <v>251</v>
      </c>
      <c r="B16" s="27" t="s">
        <v>250</v>
      </c>
      <c r="C16" s="27" t="s">
        <v>133</v>
      </c>
      <c r="D16" s="31">
        <v>542707</v>
      </c>
      <c r="E16" s="29">
        <v>1106.3082199999999</v>
      </c>
      <c r="F16" s="30">
        <v>2.8484290624169</v>
      </c>
    </row>
    <row r="17" spans="1:6" x14ac:dyDescent="0.2">
      <c r="A17" s="27" t="s">
        <v>193</v>
      </c>
      <c r="B17" s="27" t="s">
        <v>192</v>
      </c>
      <c r="C17" s="27" t="s">
        <v>194</v>
      </c>
      <c r="D17" s="31">
        <v>75178</v>
      </c>
      <c r="E17" s="29">
        <v>1084.44265</v>
      </c>
      <c r="F17" s="30">
        <v>2.7921314376425799</v>
      </c>
    </row>
    <row r="18" spans="1:6" x14ac:dyDescent="0.2">
      <c r="A18" s="27" t="s">
        <v>141</v>
      </c>
      <c r="B18" s="27" t="s">
        <v>140</v>
      </c>
      <c r="C18" s="27" t="s">
        <v>101</v>
      </c>
      <c r="D18" s="31">
        <v>234249</v>
      </c>
      <c r="E18" s="29">
        <v>913.92247350000002</v>
      </c>
      <c r="F18" s="30">
        <v>2.35309047447315</v>
      </c>
    </row>
    <row r="19" spans="1:6" x14ac:dyDescent="0.2">
      <c r="A19" s="27" t="s">
        <v>658</v>
      </c>
      <c r="B19" s="27" t="s">
        <v>657</v>
      </c>
      <c r="C19" s="27" t="s">
        <v>187</v>
      </c>
      <c r="D19" s="31">
        <v>16438</v>
      </c>
      <c r="E19" s="29">
        <v>865.44426199999998</v>
      </c>
      <c r="F19" s="30">
        <v>2.22827286575051</v>
      </c>
    </row>
    <row r="20" spans="1:6" x14ac:dyDescent="0.2">
      <c r="A20" s="27" t="s">
        <v>110</v>
      </c>
      <c r="B20" s="27" t="s">
        <v>109</v>
      </c>
      <c r="C20" s="27" t="s">
        <v>111</v>
      </c>
      <c r="D20" s="31">
        <v>145301</v>
      </c>
      <c r="E20" s="29">
        <v>808.30946300000005</v>
      </c>
      <c r="F20" s="30">
        <v>2.0811670059143199</v>
      </c>
    </row>
    <row r="21" spans="1:6" x14ac:dyDescent="0.2">
      <c r="A21" s="27" t="s">
        <v>505</v>
      </c>
      <c r="B21" s="27" t="s">
        <v>504</v>
      </c>
      <c r="C21" s="27" t="s">
        <v>133</v>
      </c>
      <c r="D21" s="31">
        <v>27893</v>
      </c>
      <c r="E21" s="29">
        <v>635.179396</v>
      </c>
      <c r="F21" s="30">
        <v>1.6354063168895301</v>
      </c>
    </row>
    <row r="22" spans="1:6" x14ac:dyDescent="0.2">
      <c r="A22" s="27" t="s">
        <v>269</v>
      </c>
      <c r="B22" s="27" t="s">
        <v>268</v>
      </c>
      <c r="C22" s="27" t="s">
        <v>106</v>
      </c>
      <c r="D22" s="31">
        <v>67654</v>
      </c>
      <c r="E22" s="29">
        <v>615.27930300000003</v>
      </c>
      <c r="F22" s="30">
        <v>1.5841692364618001</v>
      </c>
    </row>
    <row r="23" spans="1:6" x14ac:dyDescent="0.2">
      <c r="A23" s="27" t="s">
        <v>191</v>
      </c>
      <c r="B23" s="27" t="s">
        <v>190</v>
      </c>
      <c r="C23" s="27" t="s">
        <v>136</v>
      </c>
      <c r="D23" s="31">
        <v>8243</v>
      </c>
      <c r="E23" s="29">
        <v>565.9767445</v>
      </c>
      <c r="F23" s="30">
        <v>1.4572291686361201</v>
      </c>
    </row>
    <row r="24" spans="1:6" x14ac:dyDescent="0.2">
      <c r="A24" s="27" t="s">
        <v>135</v>
      </c>
      <c r="B24" s="27" t="s">
        <v>134</v>
      </c>
      <c r="C24" s="27" t="s">
        <v>136</v>
      </c>
      <c r="D24" s="31">
        <v>58902</v>
      </c>
      <c r="E24" s="29">
        <v>474.98572799999999</v>
      </c>
      <c r="F24" s="30">
        <v>1.2229531765283701</v>
      </c>
    </row>
    <row r="25" spans="1:6" x14ac:dyDescent="0.2">
      <c r="A25" s="27" t="s">
        <v>524</v>
      </c>
      <c r="B25" s="27" t="s">
        <v>523</v>
      </c>
      <c r="C25" s="27" t="s">
        <v>182</v>
      </c>
      <c r="D25" s="31">
        <v>7098</v>
      </c>
      <c r="E25" s="29">
        <v>434.04270000000002</v>
      </c>
      <c r="F25" s="30">
        <v>1.1175365225162099</v>
      </c>
    </row>
    <row r="26" spans="1:6" x14ac:dyDescent="0.2">
      <c r="A26" s="27" t="s">
        <v>541</v>
      </c>
      <c r="B26" s="27" t="s">
        <v>540</v>
      </c>
      <c r="C26" s="27" t="s">
        <v>144</v>
      </c>
      <c r="D26" s="31">
        <v>66051</v>
      </c>
      <c r="E26" s="29">
        <v>392.73924599999998</v>
      </c>
      <c r="F26" s="30">
        <v>1.0111918740494401</v>
      </c>
    </row>
    <row r="27" spans="1:6" x14ac:dyDescent="0.2">
      <c r="A27" s="27" t="s">
        <v>554</v>
      </c>
      <c r="B27" s="27" t="s">
        <v>553</v>
      </c>
      <c r="C27" s="27" t="s">
        <v>101</v>
      </c>
      <c r="D27" s="31">
        <v>34804</v>
      </c>
      <c r="E27" s="29">
        <v>369.949118</v>
      </c>
      <c r="F27" s="30">
        <v>0.95251377534436099</v>
      </c>
    </row>
    <row r="28" spans="1:6" x14ac:dyDescent="0.2">
      <c r="A28" s="27" t="s">
        <v>232</v>
      </c>
      <c r="B28" s="27" t="s">
        <v>231</v>
      </c>
      <c r="C28" s="27" t="s">
        <v>117</v>
      </c>
      <c r="D28" s="31">
        <v>25864</v>
      </c>
      <c r="E28" s="29">
        <v>363.88061599999997</v>
      </c>
      <c r="F28" s="30">
        <v>0.93688910841190798</v>
      </c>
    </row>
    <row r="29" spans="1:6" x14ac:dyDescent="0.2">
      <c r="A29" s="27" t="s">
        <v>660</v>
      </c>
      <c r="B29" s="27" t="s">
        <v>659</v>
      </c>
      <c r="C29" s="27" t="s">
        <v>187</v>
      </c>
      <c r="D29" s="31">
        <v>3766</v>
      </c>
      <c r="E29" s="29">
        <v>363.36627600000003</v>
      </c>
      <c r="F29" s="30">
        <v>0.93556482917626804</v>
      </c>
    </row>
    <row r="30" spans="1:6" x14ac:dyDescent="0.2">
      <c r="A30" s="27" t="s">
        <v>662</v>
      </c>
      <c r="B30" s="27" t="s">
        <v>661</v>
      </c>
      <c r="C30" s="27" t="s">
        <v>106</v>
      </c>
      <c r="D30" s="31">
        <v>87723</v>
      </c>
      <c r="E30" s="29">
        <v>359.92746899999997</v>
      </c>
      <c r="F30" s="30">
        <v>0.92671087905480698</v>
      </c>
    </row>
    <row r="31" spans="1:6" x14ac:dyDescent="0.2">
      <c r="A31" s="27" t="s">
        <v>218</v>
      </c>
      <c r="B31" s="27" t="s">
        <v>217</v>
      </c>
      <c r="C31" s="27" t="s">
        <v>133</v>
      </c>
      <c r="D31" s="31">
        <v>2189</v>
      </c>
      <c r="E31" s="29">
        <v>352.46402399999999</v>
      </c>
      <c r="F31" s="30">
        <v>0.90749463058134805</v>
      </c>
    </row>
    <row r="32" spans="1:6" x14ac:dyDescent="0.2">
      <c r="A32" s="27" t="s">
        <v>164</v>
      </c>
      <c r="B32" s="27" t="s">
        <v>163</v>
      </c>
      <c r="C32" s="27" t="s">
        <v>136</v>
      </c>
      <c r="D32" s="31">
        <v>108853</v>
      </c>
      <c r="E32" s="29">
        <v>351.54076350000003</v>
      </c>
      <c r="F32" s="30">
        <v>0.90511749734411895</v>
      </c>
    </row>
    <row r="33" spans="1:6" x14ac:dyDescent="0.2">
      <c r="A33" s="27" t="s">
        <v>200</v>
      </c>
      <c r="B33" s="27" t="s">
        <v>199</v>
      </c>
      <c r="C33" s="27" t="s">
        <v>106</v>
      </c>
      <c r="D33" s="31">
        <v>38236</v>
      </c>
      <c r="E33" s="29">
        <v>351.33148599999998</v>
      </c>
      <c r="F33" s="30">
        <v>0.90457866729447001</v>
      </c>
    </row>
    <row r="34" spans="1:6" x14ac:dyDescent="0.2">
      <c r="A34" s="27" t="s">
        <v>146</v>
      </c>
      <c r="B34" s="27" t="s">
        <v>145</v>
      </c>
      <c r="C34" s="27" t="s">
        <v>147</v>
      </c>
      <c r="D34" s="31">
        <v>156065</v>
      </c>
      <c r="E34" s="29">
        <v>334.447295</v>
      </c>
      <c r="F34" s="30">
        <v>0.86110667687592402</v>
      </c>
    </row>
    <row r="35" spans="1:6" x14ac:dyDescent="0.2">
      <c r="A35" s="27" t="s">
        <v>664</v>
      </c>
      <c r="B35" s="27" t="s">
        <v>663</v>
      </c>
      <c r="C35" s="27" t="s">
        <v>187</v>
      </c>
      <c r="D35" s="31">
        <v>47558</v>
      </c>
      <c r="E35" s="29">
        <v>333.215127</v>
      </c>
      <c r="F35" s="30">
        <v>0.85793419467111898</v>
      </c>
    </row>
    <row r="36" spans="1:6" x14ac:dyDescent="0.2">
      <c r="A36" s="27" t="s">
        <v>121</v>
      </c>
      <c r="B36" s="27" t="s">
        <v>120</v>
      </c>
      <c r="C36" s="27" t="s">
        <v>122</v>
      </c>
      <c r="D36" s="31">
        <v>46210</v>
      </c>
      <c r="E36" s="29">
        <v>330.47081500000002</v>
      </c>
      <c r="F36" s="30">
        <v>0.85086837167909601</v>
      </c>
    </row>
    <row r="37" spans="1:6" x14ac:dyDescent="0.2">
      <c r="A37" s="27" t="s">
        <v>179</v>
      </c>
      <c r="B37" s="27" t="s">
        <v>178</v>
      </c>
      <c r="C37" s="27" t="s">
        <v>144</v>
      </c>
      <c r="D37" s="31">
        <v>7297</v>
      </c>
      <c r="E37" s="29">
        <v>323.00535350000001</v>
      </c>
      <c r="F37" s="30">
        <v>0.83164693129157496</v>
      </c>
    </row>
    <row r="38" spans="1:6" x14ac:dyDescent="0.2">
      <c r="A38" s="27" t="s">
        <v>150</v>
      </c>
      <c r="B38" s="27" t="s">
        <v>149</v>
      </c>
      <c r="C38" s="27" t="s">
        <v>147</v>
      </c>
      <c r="D38" s="31">
        <v>297973</v>
      </c>
      <c r="E38" s="29">
        <v>319.72502900000001</v>
      </c>
      <c r="F38" s="30">
        <v>0.82320102853948496</v>
      </c>
    </row>
    <row r="39" spans="1:6" x14ac:dyDescent="0.2">
      <c r="A39" s="27" t="s">
        <v>666</v>
      </c>
      <c r="B39" s="27" t="s">
        <v>665</v>
      </c>
      <c r="C39" s="27" t="s">
        <v>275</v>
      </c>
      <c r="D39" s="31">
        <v>45543</v>
      </c>
      <c r="E39" s="29">
        <v>307.82513699999998</v>
      </c>
      <c r="F39" s="30">
        <v>0.79256219064635003</v>
      </c>
    </row>
    <row r="40" spans="1:6" x14ac:dyDescent="0.2">
      <c r="A40" s="27" t="s">
        <v>154</v>
      </c>
      <c r="B40" s="27" t="s">
        <v>153</v>
      </c>
      <c r="C40" s="27" t="s">
        <v>136</v>
      </c>
      <c r="D40" s="31">
        <v>8023</v>
      </c>
      <c r="E40" s="29">
        <v>304.769701</v>
      </c>
      <c r="F40" s="30">
        <v>0.78469531182956398</v>
      </c>
    </row>
    <row r="41" spans="1:6" x14ac:dyDescent="0.2">
      <c r="A41" s="27" t="s">
        <v>127</v>
      </c>
      <c r="B41" s="27" t="s">
        <v>126</v>
      </c>
      <c r="C41" s="27" t="s">
        <v>128</v>
      </c>
      <c r="D41" s="31">
        <v>85899</v>
      </c>
      <c r="E41" s="29">
        <v>292.27134749999999</v>
      </c>
      <c r="F41" s="30">
        <v>0.75251560576016496</v>
      </c>
    </row>
    <row r="42" spans="1:6" x14ac:dyDescent="0.2">
      <c r="A42" s="27" t="s">
        <v>181</v>
      </c>
      <c r="B42" s="27" t="s">
        <v>180</v>
      </c>
      <c r="C42" s="27" t="s">
        <v>182</v>
      </c>
      <c r="D42" s="31">
        <v>23973</v>
      </c>
      <c r="E42" s="29">
        <v>287.86778399999997</v>
      </c>
      <c r="F42" s="30">
        <v>0.741177682001812</v>
      </c>
    </row>
    <row r="43" spans="1:6" x14ac:dyDescent="0.2">
      <c r="A43" s="27" t="s">
        <v>668</v>
      </c>
      <c r="B43" s="27" t="s">
        <v>667</v>
      </c>
      <c r="C43" s="27" t="s">
        <v>144</v>
      </c>
      <c r="D43" s="31">
        <v>7753</v>
      </c>
      <c r="E43" s="29">
        <v>260.74114300000002</v>
      </c>
      <c r="F43" s="30">
        <v>0.67133429550853496</v>
      </c>
    </row>
    <row r="44" spans="1:6" x14ac:dyDescent="0.2">
      <c r="A44" s="27" t="s">
        <v>670</v>
      </c>
      <c r="B44" s="27" t="s">
        <v>669</v>
      </c>
      <c r="C44" s="27" t="s">
        <v>136</v>
      </c>
      <c r="D44" s="31">
        <v>7692</v>
      </c>
      <c r="E44" s="29">
        <v>247.99008000000001</v>
      </c>
      <c r="F44" s="30">
        <v>0.638503934340371</v>
      </c>
    </row>
    <row r="45" spans="1:6" x14ac:dyDescent="0.2">
      <c r="A45" s="27" t="s">
        <v>672</v>
      </c>
      <c r="B45" s="27" t="s">
        <v>671</v>
      </c>
      <c r="C45" s="27" t="s">
        <v>133</v>
      </c>
      <c r="D45" s="31">
        <v>7346</v>
      </c>
      <c r="E45" s="29">
        <v>247.10107500000001</v>
      </c>
      <c r="F45" s="30">
        <v>0.63621499927430603</v>
      </c>
    </row>
    <row r="46" spans="1:6" x14ac:dyDescent="0.2">
      <c r="A46" s="27" t="s">
        <v>522</v>
      </c>
      <c r="B46" s="27" t="s">
        <v>521</v>
      </c>
      <c r="C46" s="27" t="s">
        <v>144</v>
      </c>
      <c r="D46" s="31">
        <v>30814</v>
      </c>
      <c r="E46" s="29">
        <v>242.52158700000001</v>
      </c>
      <c r="F46" s="30">
        <v>0.62442411995661495</v>
      </c>
    </row>
    <row r="47" spans="1:6" x14ac:dyDescent="0.2">
      <c r="A47" s="27" t="s">
        <v>248</v>
      </c>
      <c r="B47" s="27" t="s">
        <v>247</v>
      </c>
      <c r="C47" s="27" t="s">
        <v>249</v>
      </c>
      <c r="D47" s="31">
        <v>210784</v>
      </c>
      <c r="E47" s="29">
        <v>233.97023999999999</v>
      </c>
      <c r="F47" s="30">
        <v>0.60240683320300903</v>
      </c>
    </row>
    <row r="48" spans="1:6" x14ac:dyDescent="0.2">
      <c r="A48" s="27" t="s">
        <v>674</v>
      </c>
      <c r="B48" s="27" t="s">
        <v>673</v>
      </c>
      <c r="C48" s="27" t="s">
        <v>122</v>
      </c>
      <c r="D48" s="31">
        <v>58927</v>
      </c>
      <c r="E48" s="29">
        <v>233.02682150000001</v>
      </c>
      <c r="F48" s="30">
        <v>0.59997779884816904</v>
      </c>
    </row>
    <row r="49" spans="1:9" x14ac:dyDescent="0.2">
      <c r="A49" s="27" t="s">
        <v>676</v>
      </c>
      <c r="B49" s="27" t="s">
        <v>675</v>
      </c>
      <c r="C49" s="27" t="s">
        <v>182</v>
      </c>
      <c r="D49" s="31">
        <v>806</v>
      </c>
      <c r="E49" s="29">
        <v>213.603702</v>
      </c>
      <c r="F49" s="30">
        <v>0.54996878954459805</v>
      </c>
    </row>
    <row r="50" spans="1:9" x14ac:dyDescent="0.2">
      <c r="A50" s="27" t="s">
        <v>152</v>
      </c>
      <c r="B50" s="27" t="s">
        <v>151</v>
      </c>
      <c r="C50" s="27" t="s">
        <v>139</v>
      </c>
      <c r="D50" s="31">
        <v>47078</v>
      </c>
      <c r="E50" s="29">
        <v>211.780383</v>
      </c>
      <c r="F50" s="30">
        <v>0.545274261622121</v>
      </c>
    </row>
    <row r="51" spans="1:9" x14ac:dyDescent="0.2">
      <c r="A51" s="27" t="s">
        <v>678</v>
      </c>
      <c r="B51" s="27" t="s">
        <v>677</v>
      </c>
      <c r="C51" s="27" t="s">
        <v>136</v>
      </c>
      <c r="D51" s="31">
        <v>8296</v>
      </c>
      <c r="E51" s="29">
        <v>207.28385599999999</v>
      </c>
      <c r="F51" s="30">
        <v>0.53369698328756898</v>
      </c>
    </row>
    <row r="52" spans="1:9" x14ac:dyDescent="0.2">
      <c r="A52" s="27" t="s">
        <v>680</v>
      </c>
      <c r="B52" s="27" t="s">
        <v>679</v>
      </c>
      <c r="C52" s="27" t="s">
        <v>187</v>
      </c>
      <c r="D52" s="31">
        <v>23408</v>
      </c>
      <c r="E52" s="29">
        <v>202.92395200000001</v>
      </c>
      <c r="F52" s="30">
        <v>0.52247147032613805</v>
      </c>
    </row>
    <row r="53" spans="1:9" x14ac:dyDescent="0.2">
      <c r="A53" s="27" t="s">
        <v>174</v>
      </c>
      <c r="B53" s="27" t="s">
        <v>173</v>
      </c>
      <c r="C53" s="27" t="s">
        <v>175</v>
      </c>
      <c r="D53" s="31">
        <v>123394</v>
      </c>
      <c r="E53" s="29">
        <v>187.805668</v>
      </c>
      <c r="F53" s="30">
        <v>0.48354618825648799</v>
      </c>
    </row>
    <row r="54" spans="1:9" x14ac:dyDescent="0.2">
      <c r="A54" s="27" t="s">
        <v>682</v>
      </c>
      <c r="B54" s="27" t="s">
        <v>681</v>
      </c>
      <c r="C54" s="27" t="s">
        <v>487</v>
      </c>
      <c r="D54" s="31">
        <v>32142</v>
      </c>
      <c r="E54" s="29">
        <v>180.49340100000001</v>
      </c>
      <c r="F54" s="30">
        <v>0.46471918014210201</v>
      </c>
    </row>
    <row r="55" spans="1:9" x14ac:dyDescent="0.2">
      <c r="A55" s="27" t="s">
        <v>216</v>
      </c>
      <c r="B55" s="27" t="s">
        <v>215</v>
      </c>
      <c r="C55" s="27" t="s">
        <v>125</v>
      </c>
      <c r="D55" s="31">
        <v>110952</v>
      </c>
      <c r="E55" s="29">
        <v>157.329936</v>
      </c>
      <c r="F55" s="30">
        <v>0.40507984482894899</v>
      </c>
    </row>
    <row r="56" spans="1:9" x14ac:dyDescent="0.2">
      <c r="A56" s="27" t="s">
        <v>207</v>
      </c>
      <c r="B56" s="27" t="s">
        <v>206</v>
      </c>
      <c r="C56" s="27" t="s">
        <v>139</v>
      </c>
      <c r="D56" s="31">
        <v>146180</v>
      </c>
      <c r="E56" s="29">
        <v>143.32948999999999</v>
      </c>
      <c r="F56" s="30">
        <v>0.36903267772645898</v>
      </c>
    </row>
    <row r="57" spans="1:9" x14ac:dyDescent="0.2">
      <c r="A57" s="27" t="s">
        <v>684</v>
      </c>
      <c r="B57" s="27" t="s">
        <v>683</v>
      </c>
      <c r="C57" s="27" t="s">
        <v>101</v>
      </c>
      <c r="D57" s="31">
        <v>92088</v>
      </c>
      <c r="E57" s="29">
        <v>0</v>
      </c>
      <c r="F57" s="29">
        <v>0</v>
      </c>
    </row>
    <row r="58" spans="1:9" x14ac:dyDescent="0.2">
      <c r="A58" s="26" t="s">
        <v>40</v>
      </c>
      <c r="B58" s="26"/>
      <c r="C58" s="26"/>
      <c r="D58" s="32"/>
      <c r="E58" s="33">
        <f>SUM(E7:E57)</f>
        <v>38649.18688400001</v>
      </c>
      <c r="F58" s="34">
        <f>SUM(F7:F57)</f>
        <v>99.510665444723656</v>
      </c>
      <c r="G58" s="18"/>
      <c r="H58" s="18"/>
      <c r="I58" s="18"/>
    </row>
    <row r="59" spans="1:9" x14ac:dyDescent="0.2">
      <c r="A59" s="27"/>
      <c r="B59" s="27"/>
      <c r="C59" s="27"/>
      <c r="D59" s="28"/>
      <c r="E59" s="29"/>
      <c r="F59" s="30"/>
    </row>
    <row r="60" spans="1:9" x14ac:dyDescent="0.2">
      <c r="A60" s="26" t="s">
        <v>44</v>
      </c>
      <c r="B60" s="26"/>
      <c r="C60" s="26"/>
      <c r="D60" s="32"/>
      <c r="E60" s="33">
        <f>E58</f>
        <v>38649.18688400001</v>
      </c>
      <c r="F60" s="34">
        <f>F58</f>
        <v>99.510665444723656</v>
      </c>
      <c r="G60" s="18"/>
      <c r="H60" s="18"/>
      <c r="I60" s="18"/>
    </row>
    <row r="61" spans="1:9" x14ac:dyDescent="0.2">
      <c r="A61" s="26"/>
      <c r="B61" s="26"/>
      <c r="C61" s="26"/>
      <c r="D61" s="32"/>
      <c r="E61" s="33"/>
      <c r="F61" s="34"/>
      <c r="G61" s="18"/>
      <c r="H61" s="18"/>
      <c r="I61" s="18"/>
    </row>
    <row r="62" spans="1:9" x14ac:dyDescent="0.2">
      <c r="A62" s="26" t="s">
        <v>46</v>
      </c>
      <c r="B62" s="26"/>
      <c r="C62" s="26"/>
      <c r="D62" s="32"/>
      <c r="E62" s="33">
        <f>E64-(E58)</f>
        <v>190.05382579998695</v>
      </c>
      <c r="F62" s="34">
        <f>F64-(F58)</f>
        <v>0.48933455527634351</v>
      </c>
      <c r="G62" s="18"/>
      <c r="H62" s="18"/>
      <c r="I62" s="18"/>
    </row>
    <row r="63" spans="1:9" x14ac:dyDescent="0.2">
      <c r="A63" s="26"/>
      <c r="B63" s="26"/>
      <c r="C63" s="26"/>
      <c r="D63" s="32"/>
      <c r="E63" s="33"/>
      <c r="F63" s="34"/>
      <c r="G63" s="18"/>
      <c r="H63" s="18"/>
      <c r="I63" s="18"/>
    </row>
    <row r="64" spans="1:9" x14ac:dyDescent="0.2">
      <c r="A64" s="35" t="s">
        <v>45</v>
      </c>
      <c r="B64" s="35"/>
      <c r="C64" s="35"/>
      <c r="D64" s="36"/>
      <c r="E64" s="37">
        <v>38839.240709799997</v>
      </c>
      <c r="F64" s="38">
        <v>100</v>
      </c>
      <c r="G64" s="18"/>
      <c r="H64" s="18"/>
      <c r="I64" s="18"/>
    </row>
    <row r="65" spans="1:6" x14ac:dyDescent="0.2">
      <c r="F65" s="20"/>
    </row>
    <row r="67" spans="1:6" x14ac:dyDescent="0.2">
      <c r="A67" s="18" t="s">
        <v>48</v>
      </c>
    </row>
    <row r="68" spans="1:6" x14ac:dyDescent="0.2">
      <c r="A68" s="18" t="s">
        <v>49</v>
      </c>
    </row>
    <row r="69" spans="1:6" x14ac:dyDescent="0.2">
      <c r="A69" s="18" t="s">
        <v>50</v>
      </c>
      <c r="B69" s="18"/>
      <c r="C69" s="39" t="s">
        <v>52</v>
      </c>
      <c r="D69" s="19" t="s">
        <v>51</v>
      </c>
    </row>
    <row r="70" spans="1:6" x14ac:dyDescent="0.2">
      <c r="A70" s="9" t="s">
        <v>70</v>
      </c>
      <c r="C70" s="40">
        <v>90.009200000000007</v>
      </c>
      <c r="D70" s="40">
        <v>114.6533</v>
      </c>
    </row>
    <row r="71" spans="1:6" x14ac:dyDescent="0.2">
      <c r="A71" s="9" t="s">
        <v>76</v>
      </c>
      <c r="C71" s="40">
        <v>90.009200000000007</v>
      </c>
      <c r="D71" s="40">
        <v>114.6533</v>
      </c>
    </row>
    <row r="72" spans="1:6" x14ac:dyDescent="0.2">
      <c r="A72" s="9" t="s">
        <v>73</v>
      </c>
      <c r="C72" s="40">
        <v>92.782799999999995</v>
      </c>
      <c r="D72" s="40">
        <v>118.4248</v>
      </c>
    </row>
    <row r="73" spans="1:6" x14ac:dyDescent="0.2">
      <c r="A73" s="9" t="s">
        <v>77</v>
      </c>
      <c r="C73" s="40">
        <v>92.782799999999995</v>
      </c>
      <c r="D73" s="40">
        <v>118.4248</v>
      </c>
    </row>
    <row r="75" spans="1:6" x14ac:dyDescent="0.2">
      <c r="A75" s="18" t="s">
        <v>53</v>
      </c>
      <c r="D75" s="41" t="s">
        <v>54</v>
      </c>
    </row>
    <row r="77" spans="1:6" x14ac:dyDescent="0.2">
      <c r="A77" s="18" t="s">
        <v>224</v>
      </c>
      <c r="D77" s="46">
        <v>1.23E-2</v>
      </c>
    </row>
    <row r="79" spans="1:6" x14ac:dyDescent="0.2">
      <c r="A79" s="18" t="s">
        <v>729</v>
      </c>
    </row>
    <row r="80" spans="1:6" x14ac:dyDescent="0.2">
      <c r="A80" s="50" t="s">
        <v>56</v>
      </c>
    </row>
  </sheetData>
  <mergeCells count="1">
    <mergeCell ref="A1:F1"/>
  </mergeCells>
  <conditionalFormatting sqref="F2:F3 F5:F56 F58:F65536">
    <cfRule type="cellIs" dxfId="12" priority="1" stopIfTrue="1" operator="between">
      <formula>0.009</formula>
      <formula>-0.009</formula>
    </cfRule>
  </conditionalFormatting>
  <hyperlinks>
    <hyperlink ref="A80" r:id="rId1" xr:uid="{00000000-0004-0000-33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97"/>
  <sheetViews>
    <sheetView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35.77734375" style="9" bestFit="1" customWidth="1"/>
    <col min="4" max="4" width="15.21875" style="10" bestFit="1" customWidth="1"/>
    <col min="5" max="5" width="23" style="13" bestFit="1" customWidth="1"/>
    <col min="6" max="6" width="14.77734375" style="14" bestFit="1" customWidth="1"/>
    <col min="7" max="16384" width="9.21875" style="9"/>
  </cols>
  <sheetData>
    <row r="1" spans="1:6" s="1" customFormat="1" ht="13.8" x14ac:dyDescent="0.2">
      <c r="A1" s="72" t="s">
        <v>22</v>
      </c>
      <c r="B1" s="73"/>
      <c r="C1" s="73"/>
      <c r="D1" s="73"/>
      <c r="E1" s="73"/>
      <c r="F1" s="7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272</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103</v>
      </c>
      <c r="B7" s="27" t="s">
        <v>102</v>
      </c>
      <c r="C7" s="27" t="s">
        <v>101</v>
      </c>
      <c r="D7" s="31">
        <v>5829842</v>
      </c>
      <c r="E7" s="29">
        <v>42254.694819999997</v>
      </c>
      <c r="F7" s="30">
        <v>9.5879723641758492</v>
      </c>
    </row>
    <row r="8" spans="1:6" x14ac:dyDescent="0.2">
      <c r="A8" s="27" t="s">
        <v>100</v>
      </c>
      <c r="B8" s="27" t="s">
        <v>99</v>
      </c>
      <c r="C8" s="27" t="s">
        <v>101</v>
      </c>
      <c r="D8" s="31">
        <v>2280104</v>
      </c>
      <c r="E8" s="29">
        <v>34985.915780000003</v>
      </c>
      <c r="F8" s="30">
        <v>7.9386206683772196</v>
      </c>
    </row>
    <row r="9" spans="1:6" x14ac:dyDescent="0.2">
      <c r="A9" s="27" t="s">
        <v>105</v>
      </c>
      <c r="B9" s="27" t="s">
        <v>104</v>
      </c>
      <c r="C9" s="27" t="s">
        <v>106</v>
      </c>
      <c r="D9" s="31">
        <v>2778479</v>
      </c>
      <c r="E9" s="29">
        <v>34822.677309999999</v>
      </c>
      <c r="F9" s="30">
        <v>7.9015803833675298</v>
      </c>
    </row>
    <row r="10" spans="1:6" x14ac:dyDescent="0.2">
      <c r="A10" s="27" t="s">
        <v>108</v>
      </c>
      <c r="B10" s="27" t="s">
        <v>107</v>
      </c>
      <c r="C10" s="27" t="s">
        <v>101</v>
      </c>
      <c r="D10" s="31">
        <v>4283052</v>
      </c>
      <c r="E10" s="29">
        <v>25601.943329999998</v>
      </c>
      <c r="F10" s="30">
        <v>5.80931246013993</v>
      </c>
    </row>
    <row r="11" spans="1:6" x14ac:dyDescent="0.2">
      <c r="A11" s="27" t="s">
        <v>198</v>
      </c>
      <c r="B11" s="27" t="s">
        <v>197</v>
      </c>
      <c r="C11" s="27" t="s">
        <v>147</v>
      </c>
      <c r="D11" s="31">
        <v>20624428</v>
      </c>
      <c r="E11" s="29">
        <v>19624.143240000001</v>
      </c>
      <c r="F11" s="30">
        <v>4.4528955624285</v>
      </c>
    </row>
    <row r="12" spans="1:6" x14ac:dyDescent="0.2">
      <c r="A12" s="27" t="s">
        <v>146</v>
      </c>
      <c r="B12" s="27" t="s">
        <v>145</v>
      </c>
      <c r="C12" s="27" t="s">
        <v>147</v>
      </c>
      <c r="D12" s="31">
        <v>8119223</v>
      </c>
      <c r="E12" s="29">
        <v>17399.494890000002</v>
      </c>
      <c r="F12" s="30">
        <v>3.9481027343020099</v>
      </c>
    </row>
    <row r="13" spans="1:6" x14ac:dyDescent="0.2">
      <c r="A13" s="27" t="s">
        <v>127</v>
      </c>
      <c r="B13" s="27" t="s">
        <v>126</v>
      </c>
      <c r="C13" s="27" t="s">
        <v>128</v>
      </c>
      <c r="D13" s="31">
        <v>4049242</v>
      </c>
      <c r="E13" s="29">
        <v>13777.545910000001</v>
      </c>
      <c r="F13" s="30">
        <v>3.1262497574285901</v>
      </c>
    </row>
    <row r="14" spans="1:6" x14ac:dyDescent="0.2">
      <c r="A14" s="27" t="s">
        <v>110</v>
      </c>
      <c r="B14" s="27" t="s">
        <v>109</v>
      </c>
      <c r="C14" s="27" t="s">
        <v>111</v>
      </c>
      <c r="D14" s="31">
        <v>2294619</v>
      </c>
      <c r="E14" s="29">
        <v>12764.9655</v>
      </c>
      <c r="F14" s="30">
        <v>2.8964861056274498</v>
      </c>
    </row>
    <row r="15" spans="1:6" x14ac:dyDescent="0.2">
      <c r="A15" s="27" t="s">
        <v>119</v>
      </c>
      <c r="B15" s="27" t="s">
        <v>118</v>
      </c>
      <c r="C15" s="27" t="s">
        <v>101</v>
      </c>
      <c r="D15" s="31">
        <v>699652</v>
      </c>
      <c r="E15" s="29">
        <v>12456.25438</v>
      </c>
      <c r="F15" s="30">
        <v>2.8264367608225101</v>
      </c>
    </row>
    <row r="16" spans="1:6" x14ac:dyDescent="0.2">
      <c r="A16" s="27" t="s">
        <v>193</v>
      </c>
      <c r="B16" s="27" t="s">
        <v>192</v>
      </c>
      <c r="C16" s="27" t="s">
        <v>194</v>
      </c>
      <c r="D16" s="31">
        <v>757133</v>
      </c>
      <c r="E16" s="29">
        <v>10921.643529999999</v>
      </c>
      <c r="F16" s="30">
        <v>2.47821968146024</v>
      </c>
    </row>
    <row r="17" spans="1:6" x14ac:dyDescent="0.2">
      <c r="A17" s="27" t="s">
        <v>181</v>
      </c>
      <c r="B17" s="27" t="s">
        <v>180</v>
      </c>
      <c r="C17" s="27" t="s">
        <v>182</v>
      </c>
      <c r="D17" s="31">
        <v>881440</v>
      </c>
      <c r="E17" s="29">
        <v>10584.33152</v>
      </c>
      <c r="F17" s="30">
        <v>2.4016805360762401</v>
      </c>
    </row>
    <row r="18" spans="1:6" x14ac:dyDescent="0.2">
      <c r="A18" s="27" t="s">
        <v>158</v>
      </c>
      <c r="B18" s="27" t="s">
        <v>157</v>
      </c>
      <c r="C18" s="27" t="s">
        <v>133</v>
      </c>
      <c r="D18" s="31">
        <v>871834</v>
      </c>
      <c r="E18" s="29">
        <v>10125.044159999999</v>
      </c>
      <c r="F18" s="30">
        <v>2.2974640807532398</v>
      </c>
    </row>
    <row r="19" spans="1:6" x14ac:dyDescent="0.2">
      <c r="A19" s="27" t="s">
        <v>130</v>
      </c>
      <c r="B19" s="27" t="s">
        <v>129</v>
      </c>
      <c r="C19" s="27" t="s">
        <v>125</v>
      </c>
      <c r="D19" s="31">
        <v>3795176</v>
      </c>
      <c r="E19" s="29">
        <v>9480.3496479999994</v>
      </c>
      <c r="F19" s="30">
        <v>2.1511770660031999</v>
      </c>
    </row>
    <row r="20" spans="1:6" x14ac:dyDescent="0.2">
      <c r="A20" s="27" t="s">
        <v>135</v>
      </c>
      <c r="B20" s="27" t="s">
        <v>134</v>
      </c>
      <c r="C20" s="27" t="s">
        <v>136</v>
      </c>
      <c r="D20" s="31">
        <v>1029699</v>
      </c>
      <c r="E20" s="29">
        <v>8303.4927360000001</v>
      </c>
      <c r="F20" s="30">
        <v>1.88413759034464</v>
      </c>
    </row>
    <row r="21" spans="1:6" x14ac:dyDescent="0.2">
      <c r="A21" s="27" t="s">
        <v>124</v>
      </c>
      <c r="B21" s="27" t="s">
        <v>123</v>
      </c>
      <c r="C21" s="27" t="s">
        <v>125</v>
      </c>
      <c r="D21" s="31">
        <v>3078627</v>
      </c>
      <c r="E21" s="29">
        <v>7855.1167910000004</v>
      </c>
      <c r="F21" s="30">
        <v>1.78239703375715</v>
      </c>
    </row>
    <row r="22" spans="1:6" x14ac:dyDescent="0.2">
      <c r="A22" s="27" t="s">
        <v>202</v>
      </c>
      <c r="B22" s="27" t="s">
        <v>201</v>
      </c>
      <c r="C22" s="27" t="s">
        <v>203</v>
      </c>
      <c r="D22" s="31">
        <v>6223868</v>
      </c>
      <c r="E22" s="29">
        <v>7646.0218379999997</v>
      </c>
      <c r="F22" s="30">
        <v>1.73495149807424</v>
      </c>
    </row>
    <row r="23" spans="1:6" x14ac:dyDescent="0.2">
      <c r="A23" s="27" t="s">
        <v>141</v>
      </c>
      <c r="B23" s="27" t="s">
        <v>140</v>
      </c>
      <c r="C23" s="27" t="s">
        <v>101</v>
      </c>
      <c r="D23" s="31">
        <v>1935519</v>
      </c>
      <c r="E23" s="29">
        <v>7551.4273789999997</v>
      </c>
      <c r="F23" s="30">
        <v>1.71348715990875</v>
      </c>
    </row>
    <row r="24" spans="1:6" x14ac:dyDescent="0.2">
      <c r="A24" s="27" t="s">
        <v>121</v>
      </c>
      <c r="B24" s="27" t="s">
        <v>120</v>
      </c>
      <c r="C24" s="27" t="s">
        <v>122</v>
      </c>
      <c r="D24" s="31">
        <v>960704</v>
      </c>
      <c r="E24" s="29">
        <v>6870.4746560000003</v>
      </c>
      <c r="F24" s="30">
        <v>1.5589728291995399</v>
      </c>
    </row>
    <row r="25" spans="1:6" x14ac:dyDescent="0.2">
      <c r="A25" s="27" t="s">
        <v>186</v>
      </c>
      <c r="B25" s="27" t="s">
        <v>185</v>
      </c>
      <c r="C25" s="27" t="s">
        <v>187</v>
      </c>
      <c r="D25" s="31">
        <v>268692</v>
      </c>
      <c r="E25" s="29">
        <v>6823.1646479999999</v>
      </c>
      <c r="F25" s="30">
        <v>1.5482377605595901</v>
      </c>
    </row>
    <row r="26" spans="1:6" x14ac:dyDescent="0.2">
      <c r="A26" s="27" t="s">
        <v>205</v>
      </c>
      <c r="B26" s="27" t="s">
        <v>204</v>
      </c>
      <c r="C26" s="27" t="s">
        <v>187</v>
      </c>
      <c r="D26" s="31">
        <v>1115794</v>
      </c>
      <c r="E26" s="29">
        <v>6694.2061030000004</v>
      </c>
      <c r="F26" s="30">
        <v>1.5189759005260099</v>
      </c>
    </row>
    <row r="27" spans="1:6" x14ac:dyDescent="0.2">
      <c r="A27" s="27" t="s">
        <v>427</v>
      </c>
      <c r="B27" s="27" t="s">
        <v>426</v>
      </c>
      <c r="C27" s="27" t="s">
        <v>101</v>
      </c>
      <c r="D27" s="31">
        <v>3914508</v>
      </c>
      <c r="E27" s="29">
        <v>6470.681724</v>
      </c>
      <c r="F27" s="30">
        <v>1.4682561975983</v>
      </c>
    </row>
    <row r="28" spans="1:6" x14ac:dyDescent="0.2">
      <c r="A28" s="27" t="s">
        <v>554</v>
      </c>
      <c r="B28" s="27" t="s">
        <v>553</v>
      </c>
      <c r="C28" s="27" t="s">
        <v>101</v>
      </c>
      <c r="D28" s="31">
        <v>605270</v>
      </c>
      <c r="E28" s="29">
        <v>6433.7174649999997</v>
      </c>
      <c r="F28" s="30">
        <v>1.4598686729631301</v>
      </c>
    </row>
    <row r="29" spans="1:6" x14ac:dyDescent="0.2">
      <c r="A29" s="27" t="s">
        <v>138</v>
      </c>
      <c r="B29" s="27" t="s">
        <v>137</v>
      </c>
      <c r="C29" s="27" t="s">
        <v>139</v>
      </c>
      <c r="D29" s="31">
        <v>2520962</v>
      </c>
      <c r="E29" s="29">
        <v>6112.0723690000004</v>
      </c>
      <c r="F29" s="30">
        <v>1.38688449204175</v>
      </c>
    </row>
    <row r="30" spans="1:6" x14ac:dyDescent="0.2">
      <c r="A30" s="27" t="s">
        <v>207</v>
      </c>
      <c r="B30" s="27" t="s">
        <v>206</v>
      </c>
      <c r="C30" s="27" t="s">
        <v>139</v>
      </c>
      <c r="D30" s="31">
        <v>5948967</v>
      </c>
      <c r="E30" s="29">
        <v>5832.9621440000001</v>
      </c>
      <c r="F30" s="30">
        <v>1.32355185799342</v>
      </c>
    </row>
    <row r="31" spans="1:6" x14ac:dyDescent="0.2">
      <c r="A31" s="27" t="s">
        <v>179</v>
      </c>
      <c r="B31" s="27" t="s">
        <v>178</v>
      </c>
      <c r="C31" s="27" t="s">
        <v>144</v>
      </c>
      <c r="D31" s="31">
        <v>127107</v>
      </c>
      <c r="E31" s="29">
        <v>5626.454909</v>
      </c>
      <c r="F31" s="30">
        <v>1.2766934989254699</v>
      </c>
    </row>
    <row r="32" spans="1:6" x14ac:dyDescent="0.2">
      <c r="A32" s="27" t="s">
        <v>245</v>
      </c>
      <c r="B32" s="27" t="s">
        <v>244</v>
      </c>
      <c r="C32" s="27" t="s">
        <v>246</v>
      </c>
      <c r="D32" s="31">
        <v>3970503</v>
      </c>
      <c r="E32" s="29">
        <v>5443.5596130000004</v>
      </c>
      <c r="F32" s="30">
        <v>1.23519290233955</v>
      </c>
    </row>
    <row r="33" spans="1:6" x14ac:dyDescent="0.2">
      <c r="A33" s="27" t="s">
        <v>516</v>
      </c>
      <c r="B33" s="27" t="s">
        <v>515</v>
      </c>
      <c r="C33" s="27" t="s">
        <v>144</v>
      </c>
      <c r="D33" s="31">
        <v>503898</v>
      </c>
      <c r="E33" s="29">
        <v>5131.445283</v>
      </c>
      <c r="F33" s="30">
        <v>1.16437133841036</v>
      </c>
    </row>
    <row r="34" spans="1:6" x14ac:dyDescent="0.2">
      <c r="A34" s="27" t="s">
        <v>214</v>
      </c>
      <c r="B34" s="27" t="s">
        <v>213</v>
      </c>
      <c r="C34" s="27" t="s">
        <v>187</v>
      </c>
      <c r="D34" s="31">
        <v>1158898</v>
      </c>
      <c r="E34" s="29">
        <v>5102.0484450000004</v>
      </c>
      <c r="F34" s="30">
        <v>1.15770093003233</v>
      </c>
    </row>
    <row r="35" spans="1:6" x14ac:dyDescent="0.2">
      <c r="A35" s="27" t="s">
        <v>164</v>
      </c>
      <c r="B35" s="27" t="s">
        <v>163</v>
      </c>
      <c r="C35" s="27" t="s">
        <v>136</v>
      </c>
      <c r="D35" s="31">
        <v>1546634</v>
      </c>
      <c r="E35" s="29">
        <v>4994.8545029999996</v>
      </c>
      <c r="F35" s="30">
        <v>1.1333776552369199</v>
      </c>
    </row>
    <row r="36" spans="1:6" x14ac:dyDescent="0.2">
      <c r="A36" s="27" t="s">
        <v>200</v>
      </c>
      <c r="B36" s="27" t="s">
        <v>199</v>
      </c>
      <c r="C36" s="27" t="s">
        <v>106</v>
      </c>
      <c r="D36" s="31">
        <v>530548</v>
      </c>
      <c r="E36" s="29">
        <v>4874.9402980000004</v>
      </c>
      <c r="F36" s="30">
        <v>1.1061680377373799</v>
      </c>
    </row>
    <row r="37" spans="1:6" x14ac:dyDescent="0.2">
      <c r="A37" s="27" t="s">
        <v>532</v>
      </c>
      <c r="B37" s="27" t="s">
        <v>531</v>
      </c>
      <c r="C37" s="27" t="s">
        <v>133</v>
      </c>
      <c r="D37" s="31">
        <v>896279</v>
      </c>
      <c r="E37" s="29">
        <v>4795.9889290000001</v>
      </c>
      <c r="F37" s="30">
        <v>1.0882532581534601</v>
      </c>
    </row>
    <row r="38" spans="1:6" x14ac:dyDescent="0.2">
      <c r="A38" s="27" t="s">
        <v>212</v>
      </c>
      <c r="B38" s="27" t="s">
        <v>211</v>
      </c>
      <c r="C38" s="27" t="s">
        <v>148</v>
      </c>
      <c r="D38" s="31">
        <v>2627584</v>
      </c>
      <c r="E38" s="29">
        <v>4748.0442880000001</v>
      </c>
      <c r="F38" s="30">
        <v>1.07737418554682</v>
      </c>
    </row>
    <row r="39" spans="1:6" x14ac:dyDescent="0.2">
      <c r="A39" s="27" t="s">
        <v>113</v>
      </c>
      <c r="B39" s="27" t="s">
        <v>112</v>
      </c>
      <c r="C39" s="27" t="s">
        <v>114</v>
      </c>
      <c r="D39" s="31">
        <v>302972</v>
      </c>
      <c r="E39" s="29">
        <v>4720.3037599999998</v>
      </c>
      <c r="F39" s="30">
        <v>1.0710796088858201</v>
      </c>
    </row>
    <row r="40" spans="1:6" x14ac:dyDescent="0.2">
      <c r="A40" s="27" t="s">
        <v>285</v>
      </c>
      <c r="B40" s="27" t="s">
        <v>284</v>
      </c>
      <c r="C40" s="27" t="s">
        <v>133</v>
      </c>
      <c r="D40" s="31">
        <v>206440</v>
      </c>
      <c r="E40" s="29">
        <v>4401.4040199999999</v>
      </c>
      <c r="F40" s="30">
        <v>0.99871837406711395</v>
      </c>
    </row>
    <row r="41" spans="1:6" x14ac:dyDescent="0.2">
      <c r="A41" s="27" t="s">
        <v>228</v>
      </c>
      <c r="B41" s="27" t="s">
        <v>227</v>
      </c>
      <c r="C41" s="27" t="s">
        <v>106</v>
      </c>
      <c r="D41" s="31">
        <v>148117</v>
      </c>
      <c r="E41" s="29">
        <v>4286.950331</v>
      </c>
      <c r="F41" s="30">
        <v>0.97274779702745695</v>
      </c>
    </row>
    <row r="42" spans="1:6" x14ac:dyDescent="0.2">
      <c r="A42" s="27" t="s">
        <v>150</v>
      </c>
      <c r="B42" s="27" t="s">
        <v>149</v>
      </c>
      <c r="C42" s="27" t="s">
        <v>147</v>
      </c>
      <c r="D42" s="31">
        <v>3977486</v>
      </c>
      <c r="E42" s="29">
        <v>4267.8424779999996</v>
      </c>
      <c r="F42" s="30">
        <v>0.96841205238930095</v>
      </c>
    </row>
    <row r="43" spans="1:6" x14ac:dyDescent="0.2">
      <c r="A43" s="27" t="s">
        <v>216</v>
      </c>
      <c r="B43" s="27" t="s">
        <v>215</v>
      </c>
      <c r="C43" s="27" t="s">
        <v>125</v>
      </c>
      <c r="D43" s="31">
        <v>2792178</v>
      </c>
      <c r="E43" s="29">
        <v>3959.3084039999999</v>
      </c>
      <c r="F43" s="30">
        <v>0.89840288092278797</v>
      </c>
    </row>
    <row r="44" spans="1:6" x14ac:dyDescent="0.2">
      <c r="A44" s="27" t="s">
        <v>253</v>
      </c>
      <c r="B44" s="27" t="s">
        <v>252</v>
      </c>
      <c r="C44" s="27" t="s">
        <v>148</v>
      </c>
      <c r="D44" s="31">
        <v>990217</v>
      </c>
      <c r="E44" s="29">
        <v>3865.3120600000002</v>
      </c>
      <c r="F44" s="30">
        <v>0.87707426045955394</v>
      </c>
    </row>
    <row r="45" spans="1:6" x14ac:dyDescent="0.2">
      <c r="A45" s="27" t="s">
        <v>160</v>
      </c>
      <c r="B45" s="27" t="s">
        <v>159</v>
      </c>
      <c r="C45" s="27" t="s">
        <v>133</v>
      </c>
      <c r="D45" s="31">
        <v>607174</v>
      </c>
      <c r="E45" s="29">
        <v>3393.7990730000001</v>
      </c>
      <c r="F45" s="30">
        <v>0.77008369981382396</v>
      </c>
    </row>
    <row r="46" spans="1:6" x14ac:dyDescent="0.2">
      <c r="A46" s="27" t="s">
        <v>154</v>
      </c>
      <c r="B46" s="27" t="s">
        <v>153</v>
      </c>
      <c r="C46" s="27" t="s">
        <v>136</v>
      </c>
      <c r="D46" s="31">
        <v>87369</v>
      </c>
      <c r="E46" s="29">
        <v>3318.886203</v>
      </c>
      <c r="F46" s="30">
        <v>0.75308529217318598</v>
      </c>
    </row>
    <row r="47" spans="1:6" x14ac:dyDescent="0.2">
      <c r="A47" s="27" t="s">
        <v>143</v>
      </c>
      <c r="B47" s="27" t="s">
        <v>142</v>
      </c>
      <c r="C47" s="27" t="s">
        <v>144</v>
      </c>
      <c r="D47" s="31">
        <v>720735</v>
      </c>
      <c r="E47" s="29">
        <v>3136.6387199999999</v>
      </c>
      <c r="F47" s="30">
        <v>0.71173169021514904</v>
      </c>
    </row>
    <row r="48" spans="1:6" x14ac:dyDescent="0.2">
      <c r="A48" s="27" t="s">
        <v>116</v>
      </c>
      <c r="B48" s="27" t="s">
        <v>115</v>
      </c>
      <c r="C48" s="27" t="s">
        <v>117</v>
      </c>
      <c r="D48" s="31">
        <v>300000</v>
      </c>
      <c r="E48" s="29">
        <v>3054.45</v>
      </c>
      <c r="F48" s="30">
        <v>0.69308232641394596</v>
      </c>
    </row>
    <row r="49" spans="1:9" x14ac:dyDescent="0.2">
      <c r="A49" s="27" t="s">
        <v>220</v>
      </c>
      <c r="B49" s="27" t="s">
        <v>219</v>
      </c>
      <c r="C49" s="27" t="s">
        <v>101</v>
      </c>
      <c r="D49" s="31">
        <v>3293517</v>
      </c>
      <c r="E49" s="29">
        <v>2751.7334540000002</v>
      </c>
      <c r="F49" s="30">
        <v>0.62439320465858095</v>
      </c>
    </row>
    <row r="50" spans="1:9" x14ac:dyDescent="0.2">
      <c r="A50" s="27" t="s">
        <v>408</v>
      </c>
      <c r="B50" s="27" t="s">
        <v>407</v>
      </c>
      <c r="C50" s="27" t="s">
        <v>203</v>
      </c>
      <c r="D50" s="31">
        <v>6320734</v>
      </c>
      <c r="E50" s="29">
        <v>2582.019839</v>
      </c>
      <c r="F50" s="30">
        <v>0.58588365069360504</v>
      </c>
    </row>
    <row r="51" spans="1:9" x14ac:dyDescent="0.2">
      <c r="A51" s="27" t="s">
        <v>298</v>
      </c>
      <c r="B51" s="27" t="s">
        <v>297</v>
      </c>
      <c r="C51" s="27" t="s">
        <v>106</v>
      </c>
      <c r="D51" s="31">
        <v>381063</v>
      </c>
      <c r="E51" s="29">
        <v>2486.2455439999999</v>
      </c>
      <c r="F51" s="30">
        <v>0.56415159707044704</v>
      </c>
    </row>
    <row r="52" spans="1:9" x14ac:dyDescent="0.2">
      <c r="A52" s="27" t="s">
        <v>243</v>
      </c>
      <c r="B52" s="27" t="s">
        <v>242</v>
      </c>
      <c r="C52" s="27" t="s">
        <v>136</v>
      </c>
      <c r="D52" s="31">
        <v>1791828</v>
      </c>
      <c r="E52" s="29">
        <v>2306.0826360000001</v>
      </c>
      <c r="F52" s="30">
        <v>0.52327100403073701</v>
      </c>
    </row>
    <row r="53" spans="1:9" x14ac:dyDescent="0.2">
      <c r="A53" s="27" t="s">
        <v>686</v>
      </c>
      <c r="B53" s="27" t="s">
        <v>685</v>
      </c>
      <c r="C53" s="27" t="s">
        <v>235</v>
      </c>
      <c r="D53" s="31">
        <v>771008</v>
      </c>
      <c r="E53" s="29">
        <v>2298.3748479999999</v>
      </c>
      <c r="F53" s="30">
        <v>0.52152203723195301</v>
      </c>
    </row>
    <row r="54" spans="1:9" x14ac:dyDescent="0.2">
      <c r="A54" s="27" t="s">
        <v>209</v>
      </c>
      <c r="B54" s="27" t="s">
        <v>208</v>
      </c>
      <c r="C54" s="27" t="s">
        <v>210</v>
      </c>
      <c r="D54" s="31">
        <v>1278633</v>
      </c>
      <c r="E54" s="29">
        <v>1988.2743149999999</v>
      </c>
      <c r="F54" s="30">
        <v>0.45115742205283899</v>
      </c>
    </row>
    <row r="55" spans="1:9" x14ac:dyDescent="0.2">
      <c r="A55" s="27" t="s">
        <v>166</v>
      </c>
      <c r="B55" s="27" t="s">
        <v>165</v>
      </c>
      <c r="C55" s="27" t="s">
        <v>167</v>
      </c>
      <c r="D55" s="31">
        <v>1075124</v>
      </c>
      <c r="E55" s="29">
        <v>1973.927664</v>
      </c>
      <c r="F55" s="30">
        <v>0.44790203720406802</v>
      </c>
    </row>
    <row r="56" spans="1:9" x14ac:dyDescent="0.2">
      <c r="A56" s="27" t="s">
        <v>169</v>
      </c>
      <c r="B56" s="27" t="s">
        <v>168</v>
      </c>
      <c r="C56" s="27" t="s">
        <v>170</v>
      </c>
      <c r="D56" s="31">
        <v>3057159</v>
      </c>
      <c r="E56" s="29">
        <v>1825.1239230000001</v>
      </c>
      <c r="F56" s="30">
        <v>0.41413712273783798</v>
      </c>
    </row>
    <row r="57" spans="1:9" x14ac:dyDescent="0.2">
      <c r="A57" s="27" t="s">
        <v>262</v>
      </c>
      <c r="B57" s="27" t="s">
        <v>261</v>
      </c>
      <c r="C57" s="27" t="s">
        <v>187</v>
      </c>
      <c r="D57" s="31">
        <v>1695647</v>
      </c>
      <c r="E57" s="29">
        <v>1451.4738319999999</v>
      </c>
      <c r="F57" s="30">
        <v>0.32935253816940002</v>
      </c>
    </row>
    <row r="58" spans="1:9" x14ac:dyDescent="0.2">
      <c r="A58" s="27" t="s">
        <v>172</v>
      </c>
      <c r="B58" s="27" t="s">
        <v>171</v>
      </c>
      <c r="C58" s="27" t="s">
        <v>167</v>
      </c>
      <c r="D58" s="31">
        <v>125663</v>
      </c>
      <c r="E58" s="29">
        <v>181.1432145</v>
      </c>
      <c r="F58" s="30">
        <v>4.1103033449478799E-2</v>
      </c>
    </row>
    <row r="59" spans="1:9" x14ac:dyDescent="0.2">
      <c r="A59" s="26" t="s">
        <v>40</v>
      </c>
      <c r="B59" s="26"/>
      <c r="C59" s="26"/>
      <c r="D59" s="32"/>
      <c r="E59" s="33">
        <f>SUM(E7:E58)</f>
        <v>430358.97245749988</v>
      </c>
      <c r="F59" s="34">
        <f>SUM(F7:F58)</f>
        <v>97.652342589978346</v>
      </c>
      <c r="G59" s="18"/>
      <c r="H59" s="18"/>
      <c r="I59" s="18"/>
    </row>
    <row r="60" spans="1:9" x14ac:dyDescent="0.2">
      <c r="A60" s="27"/>
      <c r="B60" s="27"/>
      <c r="C60" s="27"/>
      <c r="D60" s="28"/>
      <c r="E60" s="29"/>
      <c r="F60" s="30"/>
    </row>
    <row r="61" spans="1:9" x14ac:dyDescent="0.2">
      <c r="A61" s="26" t="s">
        <v>236</v>
      </c>
      <c r="B61" s="27"/>
      <c r="C61" s="27"/>
      <c r="D61" s="28"/>
      <c r="E61" s="29"/>
      <c r="F61" s="30"/>
    </row>
    <row r="62" spans="1:9" x14ac:dyDescent="0.2">
      <c r="A62" s="27" t="s">
        <v>237</v>
      </c>
      <c r="B62" s="27" t="s">
        <v>1484</v>
      </c>
      <c r="C62" s="27" t="s">
        <v>238</v>
      </c>
      <c r="D62" s="31">
        <v>30000</v>
      </c>
      <c r="E62" s="29">
        <v>3.0000000000000001E-3</v>
      </c>
      <c r="F62" s="30">
        <v>6.8072712902219295E-7</v>
      </c>
    </row>
    <row r="63" spans="1:9" x14ac:dyDescent="0.2">
      <c r="A63" s="27" t="s">
        <v>514</v>
      </c>
      <c r="B63" s="27" t="s">
        <v>1487</v>
      </c>
      <c r="C63" s="27" t="s">
        <v>187</v>
      </c>
      <c r="D63" s="31">
        <v>3500</v>
      </c>
      <c r="E63" s="29">
        <v>3.5E-4</v>
      </c>
      <c r="F63" s="30">
        <v>7.9418165052589198E-8</v>
      </c>
    </row>
    <row r="64" spans="1:9" x14ac:dyDescent="0.2">
      <c r="A64" s="27"/>
      <c r="B64" s="27" t="s">
        <v>1485</v>
      </c>
      <c r="C64" s="27" t="s">
        <v>187</v>
      </c>
      <c r="D64" s="31">
        <v>2900</v>
      </c>
      <c r="E64" s="29">
        <v>2.9E-4</v>
      </c>
      <c r="F64" s="30">
        <v>6.5803622472145406E-8</v>
      </c>
    </row>
    <row r="65" spans="1:9" x14ac:dyDescent="0.2">
      <c r="A65" s="26" t="s">
        <v>40</v>
      </c>
      <c r="B65" s="26"/>
      <c r="C65" s="26"/>
      <c r="D65" s="32"/>
      <c r="E65" s="33">
        <f>SUM(E61:E64)</f>
        <v>3.64E-3</v>
      </c>
      <c r="F65" s="34">
        <f>SUM(F61:F64)</f>
        <v>8.2594891654692747E-7</v>
      </c>
      <c r="G65" s="18"/>
      <c r="H65" s="18"/>
      <c r="I65" s="18"/>
    </row>
    <row r="66" spans="1:9" x14ac:dyDescent="0.2">
      <c r="A66" s="27"/>
      <c r="B66" s="27"/>
      <c r="C66" s="27"/>
      <c r="D66" s="28"/>
      <c r="E66" s="29"/>
      <c r="F66" s="30"/>
    </row>
    <row r="67" spans="1:9" x14ac:dyDescent="0.2">
      <c r="A67" s="26" t="s">
        <v>44</v>
      </c>
      <c r="B67" s="26"/>
      <c r="C67" s="26"/>
      <c r="D67" s="32"/>
      <c r="E67" s="33">
        <f>E59+E65</f>
        <v>430358.97609749989</v>
      </c>
      <c r="F67" s="34">
        <f>F59+F65</f>
        <v>97.652343415927263</v>
      </c>
      <c r="G67" s="18"/>
      <c r="H67" s="18"/>
      <c r="I67" s="18"/>
    </row>
    <row r="68" spans="1:9" x14ac:dyDescent="0.2">
      <c r="A68" s="26"/>
      <c r="B68" s="26"/>
      <c r="C68" s="26"/>
      <c r="D68" s="32"/>
      <c r="E68" s="33"/>
      <c r="F68" s="34"/>
      <c r="G68" s="18"/>
      <c r="H68" s="18"/>
      <c r="I68" s="18"/>
    </row>
    <row r="69" spans="1:9" x14ac:dyDescent="0.2">
      <c r="A69" s="26" t="s">
        <v>46</v>
      </c>
      <c r="B69" s="26"/>
      <c r="C69" s="26"/>
      <c r="D69" s="32"/>
      <c r="E69" s="33">
        <f>E71-(E59+E65)</f>
        <v>10346.245142800093</v>
      </c>
      <c r="F69" s="34">
        <f>F71-(F59+F65)</f>
        <v>2.3476565840727375</v>
      </c>
      <c r="G69" s="18"/>
      <c r="H69" s="18"/>
      <c r="I69" s="18"/>
    </row>
    <row r="70" spans="1:9" x14ac:dyDescent="0.2">
      <c r="A70" s="26"/>
      <c r="B70" s="26"/>
      <c r="C70" s="26"/>
      <c r="D70" s="32"/>
      <c r="E70" s="33"/>
      <c r="F70" s="34"/>
      <c r="G70" s="18"/>
      <c r="H70" s="18"/>
      <c r="I70" s="18"/>
    </row>
    <row r="71" spans="1:9" x14ac:dyDescent="0.2">
      <c r="A71" s="35" t="s">
        <v>45</v>
      </c>
      <c r="B71" s="35"/>
      <c r="C71" s="35"/>
      <c r="D71" s="36"/>
      <c r="E71" s="37">
        <v>440705.22124029999</v>
      </c>
      <c r="F71" s="38">
        <v>100</v>
      </c>
      <c r="G71" s="18"/>
      <c r="H71" s="18"/>
      <c r="I71" s="18"/>
    </row>
    <row r="72" spans="1:9" x14ac:dyDescent="0.2">
      <c r="F72" s="20" t="s">
        <v>57</v>
      </c>
    </row>
    <row r="73" spans="1:9" x14ac:dyDescent="0.2">
      <c r="A73" s="18" t="s">
        <v>47</v>
      </c>
      <c r="F73" s="20"/>
    </row>
    <row r="74" spans="1:9" x14ac:dyDescent="0.2">
      <c r="A74" s="18" t="s">
        <v>1483</v>
      </c>
    </row>
    <row r="75" spans="1:9" x14ac:dyDescent="0.2">
      <c r="A75" s="18"/>
    </row>
    <row r="76" spans="1:9" x14ac:dyDescent="0.2">
      <c r="A76" s="18" t="s">
        <v>48</v>
      </c>
    </row>
    <row r="77" spans="1:9" x14ac:dyDescent="0.2">
      <c r="A77" s="18" t="s">
        <v>49</v>
      </c>
    </row>
    <row r="78" spans="1:9" x14ac:dyDescent="0.2">
      <c r="A78" s="18" t="s">
        <v>50</v>
      </c>
      <c r="B78" s="18"/>
      <c r="C78" s="39" t="s">
        <v>52</v>
      </c>
      <c r="D78" s="19" t="s">
        <v>51</v>
      </c>
    </row>
    <row r="79" spans="1:9" x14ac:dyDescent="0.2">
      <c r="A79" s="9" t="s">
        <v>70</v>
      </c>
      <c r="C79" s="40">
        <v>516.08399999999995</v>
      </c>
      <c r="D79" s="40">
        <v>697.84749999999997</v>
      </c>
    </row>
    <row r="80" spans="1:9" x14ac:dyDescent="0.2">
      <c r="A80" s="9" t="s">
        <v>76</v>
      </c>
      <c r="C80" s="40">
        <v>34.320999999999998</v>
      </c>
      <c r="D80" s="40">
        <v>42.732700000000001</v>
      </c>
    </row>
    <row r="81" spans="1:4" x14ac:dyDescent="0.2">
      <c r="A81" s="9" t="s">
        <v>73</v>
      </c>
      <c r="C81" s="40">
        <v>552.63289999999995</v>
      </c>
      <c r="D81" s="40">
        <v>750.49779999999998</v>
      </c>
    </row>
    <row r="82" spans="1:4" x14ac:dyDescent="0.2">
      <c r="A82" s="9" t="s">
        <v>77</v>
      </c>
      <c r="C82" s="40">
        <v>37.664200000000001</v>
      </c>
      <c r="D82" s="40">
        <v>47.470799999999997</v>
      </c>
    </row>
    <row r="84" spans="1:4" x14ac:dyDescent="0.2">
      <c r="A84" s="18" t="s">
        <v>53</v>
      </c>
    </row>
    <row r="85" spans="1:4" x14ac:dyDescent="0.2">
      <c r="A85" s="74" t="s">
        <v>67</v>
      </c>
      <c r="B85" s="75"/>
      <c r="C85" s="44" t="s">
        <v>68</v>
      </c>
    </row>
    <row r="86" spans="1:4" x14ac:dyDescent="0.2">
      <c r="A86" s="68" t="s">
        <v>76</v>
      </c>
      <c r="B86" s="69"/>
      <c r="C86" s="45">
        <v>3.5</v>
      </c>
    </row>
    <row r="87" spans="1:4" x14ac:dyDescent="0.2">
      <c r="A87" s="68" t="s">
        <v>77</v>
      </c>
      <c r="B87" s="69"/>
      <c r="C87" s="45">
        <v>3.5</v>
      </c>
    </row>
    <row r="88" spans="1:4" x14ac:dyDescent="0.2">
      <c r="A88" s="9" t="s">
        <v>69</v>
      </c>
    </row>
    <row r="90" spans="1:4" x14ac:dyDescent="0.2">
      <c r="A90" s="18" t="s">
        <v>224</v>
      </c>
      <c r="D90" s="46">
        <v>0.1429</v>
      </c>
    </row>
    <row r="92" spans="1:4" x14ac:dyDescent="0.2">
      <c r="A92" s="18" t="s">
        <v>1477</v>
      </c>
      <c r="D92" s="41" t="s">
        <v>54</v>
      </c>
    </row>
    <row r="93" spans="1:4" x14ac:dyDescent="0.2">
      <c r="A93" s="9" t="s">
        <v>1103</v>
      </c>
      <c r="D93" s="41"/>
    </row>
    <row r="94" spans="1:4" x14ac:dyDescent="0.2">
      <c r="A94" s="50" t="s">
        <v>1104</v>
      </c>
      <c r="D94" s="41"/>
    </row>
    <row r="96" spans="1:4" x14ac:dyDescent="0.2">
      <c r="A96" s="18" t="s">
        <v>1479</v>
      </c>
    </row>
    <row r="97" spans="1:1" x14ac:dyDescent="0.2">
      <c r="A97" s="50" t="s">
        <v>56</v>
      </c>
    </row>
  </sheetData>
  <mergeCells count="4">
    <mergeCell ref="A1:F1"/>
    <mergeCell ref="A85:B85"/>
    <mergeCell ref="A86:B86"/>
    <mergeCell ref="A87:B87"/>
  </mergeCells>
  <conditionalFormatting sqref="F2:F3 F5:F91 F98:F65538">
    <cfRule type="cellIs" dxfId="11" priority="2" stopIfTrue="1" operator="between">
      <formula>0.009</formula>
      <formula>-0.009</formula>
    </cfRule>
  </conditionalFormatting>
  <conditionalFormatting sqref="F92:F97">
    <cfRule type="cellIs" dxfId="10" priority="1" stopIfTrue="1" operator="between">
      <formula>0.009</formula>
      <formula>-0.009</formula>
    </cfRule>
  </conditionalFormatting>
  <hyperlinks>
    <hyperlink ref="A94" r:id="rId1" xr:uid="{02AD498F-D994-487B-8332-37D7669CB8A7}"/>
    <hyperlink ref="A97" r:id="rId2" xr:uid="{6364C9D5-AE6A-44D9-B19C-D4D82188F788}"/>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29"/>
  <sheetViews>
    <sheetView workbookViewId="0">
      <selection sqref="A1:E1"/>
    </sheetView>
  </sheetViews>
  <sheetFormatPr defaultColWidth="9.21875" defaultRowHeight="10.199999999999999" x14ac:dyDescent="0.2"/>
  <cols>
    <col min="1" max="1" width="35.77734375" style="9" bestFit="1" customWidth="1"/>
    <col min="2" max="2" width="33.5546875" style="9" bestFit="1" customWidth="1"/>
    <col min="3" max="3" width="18.77734375" style="9" bestFit="1" customWidth="1"/>
    <col min="4" max="4" width="23" style="10" bestFit="1" customWidth="1"/>
    <col min="5" max="5" width="13.5546875" style="13" customWidth="1"/>
    <col min="6" max="16384" width="9.21875" style="9"/>
  </cols>
  <sheetData>
    <row r="1" spans="1:8" s="1" customFormat="1" ht="15" customHeight="1" x14ac:dyDescent="0.2">
      <c r="A1" s="72" t="s">
        <v>23</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366</v>
      </c>
      <c r="B5" s="22"/>
      <c r="C5" s="23"/>
      <c r="D5" s="24"/>
      <c r="E5" s="25"/>
    </row>
    <row r="6" spans="1:8" x14ac:dyDescent="0.2">
      <c r="A6" s="27" t="s">
        <v>688</v>
      </c>
      <c r="B6" s="27" t="s">
        <v>687</v>
      </c>
      <c r="C6" s="31">
        <v>5348649.3810000001</v>
      </c>
      <c r="D6" s="29">
        <v>285165.19267000002</v>
      </c>
      <c r="E6" s="30">
        <v>99.991348877661594</v>
      </c>
    </row>
    <row r="7" spans="1:8" x14ac:dyDescent="0.2">
      <c r="A7" s="26" t="s">
        <v>40</v>
      </c>
      <c r="B7" s="26"/>
      <c r="C7" s="32"/>
      <c r="D7" s="33">
        <f>SUM(D6:D6)</f>
        <v>285165.19267000002</v>
      </c>
      <c r="E7" s="34">
        <f>SUM(E6:E6)</f>
        <v>99.991348877661594</v>
      </c>
      <c r="F7" s="18"/>
      <c r="G7" s="18"/>
      <c r="H7" s="18"/>
    </row>
    <row r="8" spans="1:8" x14ac:dyDescent="0.2">
      <c r="A8" s="27"/>
      <c r="B8" s="27"/>
      <c r="C8" s="28"/>
      <c r="D8" s="29"/>
      <c r="E8" s="30"/>
    </row>
    <row r="9" spans="1:8" x14ac:dyDescent="0.2">
      <c r="A9" s="26" t="s">
        <v>44</v>
      </c>
      <c r="B9" s="26"/>
      <c r="C9" s="32"/>
      <c r="D9" s="33">
        <f>D7</f>
        <v>285165.19267000002</v>
      </c>
      <c r="E9" s="34">
        <f>E7</f>
        <v>99.991348877661594</v>
      </c>
      <c r="F9" s="18"/>
      <c r="G9" s="18"/>
      <c r="H9" s="18"/>
    </row>
    <row r="10" spans="1:8" x14ac:dyDescent="0.2">
      <c r="A10" s="26"/>
      <c r="B10" s="26"/>
      <c r="C10" s="32"/>
      <c r="D10" s="33"/>
      <c r="E10" s="34"/>
      <c r="F10" s="18"/>
      <c r="G10" s="18"/>
      <c r="H10" s="18"/>
    </row>
    <row r="11" spans="1:8" x14ac:dyDescent="0.2">
      <c r="A11" s="26" t="s">
        <v>46</v>
      </c>
      <c r="B11" s="26"/>
      <c r="C11" s="32"/>
      <c r="D11" s="33">
        <f>D13-(D7)</f>
        <v>24.672124099975917</v>
      </c>
      <c r="E11" s="33">
        <f>E13-(E7)</f>
        <v>8.6511223384064806E-3</v>
      </c>
      <c r="F11" s="18"/>
      <c r="G11" s="18"/>
      <c r="H11" s="18"/>
    </row>
    <row r="12" spans="1:8" x14ac:dyDescent="0.2">
      <c r="A12" s="26"/>
      <c r="B12" s="26"/>
      <c r="C12" s="32"/>
      <c r="D12" s="33"/>
      <c r="E12" s="34"/>
      <c r="F12" s="18"/>
      <c r="G12" s="18"/>
      <c r="H12" s="18"/>
    </row>
    <row r="13" spans="1:8" x14ac:dyDescent="0.2">
      <c r="A13" s="35" t="s">
        <v>45</v>
      </c>
      <c r="B13" s="35"/>
      <c r="C13" s="36"/>
      <c r="D13" s="37">
        <v>285189.86479409999</v>
      </c>
      <c r="E13" s="38">
        <v>100</v>
      </c>
      <c r="F13" s="18"/>
      <c r="G13" s="18"/>
      <c r="H13" s="18"/>
    </row>
    <row r="14" spans="1:8" x14ac:dyDescent="0.2">
      <c r="C14" s="10"/>
      <c r="D14" s="13"/>
      <c r="E14" s="20"/>
    </row>
    <row r="16" spans="1:8" x14ac:dyDescent="0.2">
      <c r="A16" s="18" t="s">
        <v>48</v>
      </c>
    </row>
    <row r="17" spans="1:4" x14ac:dyDescent="0.2">
      <c r="A17" s="18" t="s">
        <v>49</v>
      </c>
    </row>
    <row r="18" spans="1:4" x14ac:dyDescent="0.2">
      <c r="A18" s="18" t="s">
        <v>50</v>
      </c>
      <c r="B18" s="18"/>
      <c r="C18" s="39" t="s">
        <v>52</v>
      </c>
      <c r="D18" s="41" t="s">
        <v>51</v>
      </c>
    </row>
    <row r="19" spans="1:4" x14ac:dyDescent="0.2">
      <c r="A19" s="9" t="s">
        <v>70</v>
      </c>
      <c r="C19" s="40">
        <v>47.004899999999999</v>
      </c>
      <c r="D19" s="40">
        <v>49.873899999999999</v>
      </c>
    </row>
    <row r="20" spans="1:4" x14ac:dyDescent="0.2">
      <c r="A20" s="9" t="s">
        <v>76</v>
      </c>
      <c r="C20" s="40">
        <v>47.004899999999999</v>
      </c>
      <c r="D20" s="40">
        <v>49.873899999999999</v>
      </c>
    </row>
    <row r="21" spans="1:4" x14ac:dyDescent="0.2">
      <c r="A21" s="9" t="s">
        <v>73</v>
      </c>
      <c r="C21" s="40">
        <v>50.619</v>
      </c>
      <c r="D21" s="40">
        <v>53.9679</v>
      </c>
    </row>
    <row r="22" spans="1:4" x14ac:dyDescent="0.2">
      <c r="A22" s="9" t="s">
        <v>77</v>
      </c>
      <c r="C22" s="40">
        <v>50.619</v>
      </c>
      <c r="D22" s="40">
        <v>53.9679</v>
      </c>
    </row>
    <row r="24" spans="1:4" x14ac:dyDescent="0.2">
      <c r="A24" s="18" t="s">
        <v>53</v>
      </c>
      <c r="D24" s="41" t="s">
        <v>54</v>
      </c>
    </row>
    <row r="26" spans="1:4" x14ac:dyDescent="0.2">
      <c r="A26" s="18" t="s">
        <v>224</v>
      </c>
      <c r="D26" s="46">
        <v>1.89E-2</v>
      </c>
    </row>
    <row r="28" spans="1:4" x14ac:dyDescent="0.2">
      <c r="A28" s="18" t="s">
        <v>729</v>
      </c>
    </row>
    <row r="29" spans="1:4" x14ac:dyDescent="0.2">
      <c r="A29" s="50" t="s">
        <v>56</v>
      </c>
    </row>
  </sheetData>
  <mergeCells count="1">
    <mergeCell ref="A1:E1"/>
  </mergeCells>
  <conditionalFormatting sqref="E5:E10 E12:E13">
    <cfRule type="cellIs" dxfId="9" priority="2" stopIfTrue="1" operator="between">
      <formula>0.009</formula>
      <formula>-0.009</formula>
    </cfRule>
  </conditionalFormatting>
  <conditionalFormatting sqref="E14">
    <cfRule type="cellIs" dxfId="8" priority="1" stopIfTrue="1" operator="between">
      <formula>0.009</formula>
      <formula>-0.009</formula>
    </cfRule>
  </conditionalFormatting>
  <hyperlinks>
    <hyperlink ref="A29" r:id="rId1" xr:uid="{00000000-0004-0000-35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31"/>
  <sheetViews>
    <sheetView workbookViewId="0">
      <selection sqref="A1:E1"/>
    </sheetView>
  </sheetViews>
  <sheetFormatPr defaultColWidth="9.21875" defaultRowHeight="10.199999999999999" x14ac:dyDescent="0.2"/>
  <cols>
    <col min="1" max="1" width="35.77734375" style="9" bestFit="1" customWidth="1"/>
    <col min="2" max="2" width="39.21875" style="9" bestFit="1" customWidth="1"/>
    <col min="3" max="3" width="18.77734375" style="9" bestFit="1" customWidth="1"/>
    <col min="4" max="4" width="23" style="10" bestFit="1" customWidth="1"/>
    <col min="5" max="5" width="13.5546875" style="13" customWidth="1"/>
    <col min="6" max="6" width="13.5546875" style="14" bestFit="1" customWidth="1"/>
    <col min="7" max="16384" width="9.21875" style="9"/>
  </cols>
  <sheetData>
    <row r="1" spans="1:9" s="1" customFormat="1" ht="15" customHeight="1" x14ac:dyDescent="0.2">
      <c r="A1" s="72" t="s">
        <v>1480</v>
      </c>
      <c r="B1" s="73"/>
      <c r="C1" s="73"/>
      <c r="D1" s="73"/>
      <c r="E1" s="73"/>
    </row>
    <row r="2" spans="1:9" s="1" customFormat="1" ht="11.4" x14ac:dyDescent="0.2">
      <c r="D2" s="6"/>
      <c r="E2" s="7"/>
      <c r="F2" s="12"/>
    </row>
    <row r="3" spans="1:9" s="1" customFormat="1" ht="12" x14ac:dyDescent="0.2">
      <c r="A3" s="11" t="s">
        <v>7</v>
      </c>
      <c r="B3" s="2"/>
      <c r="C3" s="3"/>
      <c r="D3" s="4"/>
      <c r="E3" s="5"/>
      <c r="F3" s="12"/>
    </row>
    <row r="4" spans="1:9" s="1" customFormat="1" ht="17.55" customHeight="1" x14ac:dyDescent="0.2">
      <c r="A4" s="8" t="s">
        <v>2</v>
      </c>
      <c r="B4" s="8" t="s">
        <v>0</v>
      </c>
      <c r="C4" s="16" t="s">
        <v>1</v>
      </c>
      <c r="D4" s="15" t="s">
        <v>3</v>
      </c>
      <c r="E4" s="15" t="s">
        <v>4</v>
      </c>
    </row>
    <row r="5" spans="1:9" x14ac:dyDescent="0.2">
      <c r="A5" s="21" t="s">
        <v>366</v>
      </c>
      <c r="B5" s="22"/>
      <c r="C5" s="23"/>
      <c r="D5" s="24"/>
      <c r="E5" s="25"/>
    </row>
    <row r="6" spans="1:9" x14ac:dyDescent="0.2">
      <c r="A6" s="27" t="s">
        <v>690</v>
      </c>
      <c r="B6" s="27" t="s">
        <v>689</v>
      </c>
      <c r="C6" s="31">
        <v>83643.134999999995</v>
      </c>
      <c r="D6" s="29">
        <v>2040.3021160000001</v>
      </c>
      <c r="E6" s="30">
        <v>98.688002516857097</v>
      </c>
    </row>
    <row r="7" spans="1:9" x14ac:dyDescent="0.2">
      <c r="A7" s="26" t="s">
        <v>40</v>
      </c>
      <c r="B7" s="26"/>
      <c r="C7" s="32"/>
      <c r="D7" s="33">
        <f>SUM(D6:D6)</f>
        <v>2040.3021160000001</v>
      </c>
      <c r="E7" s="34">
        <f>SUM(E6:E6)</f>
        <v>98.688002516857097</v>
      </c>
      <c r="G7" s="18"/>
      <c r="H7" s="18"/>
      <c r="I7" s="18"/>
    </row>
    <row r="8" spans="1:9" x14ac:dyDescent="0.2">
      <c r="A8" s="27"/>
      <c r="B8" s="27"/>
      <c r="C8" s="28"/>
      <c r="D8" s="29"/>
      <c r="E8" s="30"/>
    </row>
    <row r="9" spans="1:9" x14ac:dyDescent="0.2">
      <c r="A9" s="26" t="s">
        <v>44</v>
      </c>
      <c r="B9" s="26"/>
      <c r="C9" s="32"/>
      <c r="D9" s="33">
        <f>D7</f>
        <v>2040.3021160000001</v>
      </c>
      <c r="E9" s="34">
        <f>E7</f>
        <v>98.688002516857097</v>
      </c>
      <c r="G9" s="18"/>
      <c r="H9" s="18"/>
      <c r="I9" s="18"/>
    </row>
    <row r="10" spans="1:9" x14ac:dyDescent="0.2">
      <c r="A10" s="26"/>
      <c r="B10" s="26"/>
      <c r="C10" s="32"/>
      <c r="D10" s="33"/>
      <c r="E10" s="34"/>
      <c r="G10" s="18"/>
      <c r="H10" s="18"/>
      <c r="I10" s="18"/>
    </row>
    <row r="11" spans="1:9" x14ac:dyDescent="0.2">
      <c r="A11" s="26" t="s">
        <v>46</v>
      </c>
      <c r="B11" s="26"/>
      <c r="C11" s="32"/>
      <c r="D11" s="33">
        <f>D13-(D7)</f>
        <v>27.124586300000146</v>
      </c>
      <c r="E11" s="34">
        <f>E13-(E7)</f>
        <v>1.3119974831429033</v>
      </c>
      <c r="G11" s="18"/>
      <c r="H11" s="18"/>
      <c r="I11" s="18"/>
    </row>
    <row r="12" spans="1:9" x14ac:dyDescent="0.2">
      <c r="A12" s="26"/>
      <c r="B12" s="26"/>
      <c r="C12" s="32"/>
      <c r="D12" s="33"/>
      <c r="E12" s="34"/>
      <c r="G12" s="18"/>
      <c r="H12" s="18"/>
      <c r="I12" s="18"/>
    </row>
    <row r="13" spans="1:9" x14ac:dyDescent="0.2">
      <c r="A13" s="35" t="s">
        <v>45</v>
      </c>
      <c r="B13" s="35"/>
      <c r="C13" s="36"/>
      <c r="D13" s="37">
        <v>2067.4267023000002</v>
      </c>
      <c r="E13" s="38">
        <v>100</v>
      </c>
      <c r="G13" s="18"/>
      <c r="H13" s="18"/>
      <c r="I13" s="18"/>
    </row>
    <row r="14" spans="1:9" x14ac:dyDescent="0.2">
      <c r="C14" s="10"/>
      <c r="D14" s="13"/>
      <c r="E14" s="14"/>
    </row>
    <row r="16" spans="1:9" x14ac:dyDescent="0.2">
      <c r="A16" s="18" t="s">
        <v>48</v>
      </c>
    </row>
    <row r="17" spans="1:4" x14ac:dyDescent="0.2">
      <c r="A17" s="18" t="s">
        <v>49</v>
      </c>
    </row>
    <row r="18" spans="1:4" x14ac:dyDescent="0.2">
      <c r="A18" s="18" t="s">
        <v>50</v>
      </c>
      <c r="B18" s="18"/>
      <c r="C18" s="39" t="s">
        <v>52</v>
      </c>
      <c r="D18" s="41" t="s">
        <v>51</v>
      </c>
    </row>
    <row r="19" spans="1:4" x14ac:dyDescent="0.2">
      <c r="A19" s="9" t="s">
        <v>70</v>
      </c>
      <c r="C19" s="40">
        <v>8.0370000000000008</v>
      </c>
      <c r="D19" s="40">
        <v>9.1852</v>
      </c>
    </row>
    <row r="20" spans="1:4" x14ac:dyDescent="0.2">
      <c r="A20" s="9" t="s">
        <v>76</v>
      </c>
      <c r="C20" s="40">
        <v>8.0370000000000008</v>
      </c>
      <c r="D20" s="40">
        <v>9.1852</v>
      </c>
    </row>
    <row r="21" spans="1:4" x14ac:dyDescent="0.2">
      <c r="A21" s="9" t="s">
        <v>73</v>
      </c>
      <c r="C21" s="40">
        <v>8.6781000000000006</v>
      </c>
      <c r="D21" s="40">
        <v>9.9594000000000005</v>
      </c>
    </row>
    <row r="22" spans="1:4" x14ac:dyDescent="0.2">
      <c r="A22" s="9" t="s">
        <v>77</v>
      </c>
      <c r="C22" s="40">
        <v>8.6781000000000006</v>
      </c>
      <c r="D22" s="40">
        <v>9.9594000000000005</v>
      </c>
    </row>
    <row r="24" spans="1:4" x14ac:dyDescent="0.2">
      <c r="A24" s="18" t="s">
        <v>53</v>
      </c>
      <c r="D24" s="41" t="s">
        <v>54</v>
      </c>
    </row>
    <row r="26" spans="1:4" x14ac:dyDescent="0.2">
      <c r="A26" s="18" t="s">
        <v>224</v>
      </c>
      <c r="D26" s="46">
        <v>0.1177</v>
      </c>
    </row>
    <row r="28" spans="1:4" x14ac:dyDescent="0.2">
      <c r="A28" s="18" t="s">
        <v>729</v>
      </c>
    </row>
    <row r="29" spans="1:4" x14ac:dyDescent="0.2">
      <c r="A29" s="50" t="s">
        <v>56</v>
      </c>
    </row>
    <row r="31" spans="1:4" x14ac:dyDescent="0.2">
      <c r="A31" s="18"/>
    </row>
  </sheetData>
  <mergeCells count="1">
    <mergeCell ref="A1:E1"/>
  </mergeCells>
  <conditionalFormatting sqref="F2:F3 F15:F65536 E5:E14">
    <cfRule type="cellIs" dxfId="7" priority="1" stopIfTrue="1" operator="between">
      <formula>0.009</formula>
      <formula>-0.009</formula>
    </cfRule>
  </conditionalFormatting>
  <hyperlinks>
    <hyperlink ref="A29" r:id="rId1" xr:uid="{00000000-0004-0000-36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8"/>
  <sheetViews>
    <sheetView workbookViewId="0">
      <selection sqref="A1:E1"/>
    </sheetView>
  </sheetViews>
  <sheetFormatPr defaultColWidth="9.21875" defaultRowHeight="10.199999999999999" x14ac:dyDescent="0.2"/>
  <cols>
    <col min="1" max="1" width="35.77734375" style="9" bestFit="1" customWidth="1"/>
    <col min="2" max="2" width="50.77734375" style="9" customWidth="1"/>
    <col min="3" max="3" width="15.5546875" style="9" bestFit="1" customWidth="1"/>
    <col min="4" max="4" width="23" style="10" customWidth="1"/>
    <col min="5" max="5" width="13.5546875" style="13" bestFit="1" customWidth="1"/>
    <col min="6" max="16384" width="9.21875" style="9"/>
  </cols>
  <sheetData>
    <row r="1" spans="1:8" s="1" customFormat="1" ht="13.8" x14ac:dyDescent="0.2">
      <c r="A1" s="72" t="s">
        <v>24</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691</v>
      </c>
      <c r="B5" s="22"/>
      <c r="C5" s="23"/>
      <c r="D5" s="24"/>
      <c r="E5" s="25"/>
    </row>
    <row r="6" spans="1:8" x14ac:dyDescent="0.2">
      <c r="A6" s="27" t="s">
        <v>693</v>
      </c>
      <c r="B6" s="51" t="s">
        <v>692</v>
      </c>
      <c r="C6" s="31">
        <v>173634.64199999999</v>
      </c>
      <c r="D6" s="29">
        <v>1118.6592390000001</v>
      </c>
      <c r="E6" s="30">
        <v>29.933626253814101</v>
      </c>
    </row>
    <row r="7" spans="1:8" x14ac:dyDescent="0.2">
      <c r="A7" s="27" t="s">
        <v>695</v>
      </c>
      <c r="B7" s="51" t="s">
        <v>694</v>
      </c>
      <c r="C7" s="31">
        <v>2012993</v>
      </c>
      <c r="D7" s="29">
        <v>810.22968249999997</v>
      </c>
      <c r="E7" s="30">
        <v>21.680518651401002</v>
      </c>
    </row>
    <row r="8" spans="1:8" ht="20.399999999999999" x14ac:dyDescent="0.2">
      <c r="A8" s="27" t="s">
        <v>697</v>
      </c>
      <c r="B8" s="51" t="s">
        <v>696</v>
      </c>
      <c r="C8" s="31">
        <v>24945.84</v>
      </c>
      <c r="D8" s="29">
        <v>521.70305370000005</v>
      </c>
      <c r="E8" s="30">
        <v>13.9599832375132</v>
      </c>
    </row>
    <row r="9" spans="1:8" ht="20.399999999999999" x14ac:dyDescent="0.2">
      <c r="A9" s="27" t="s">
        <v>699</v>
      </c>
      <c r="B9" s="51" t="s">
        <v>698</v>
      </c>
      <c r="C9" s="31">
        <v>23973.544999999998</v>
      </c>
      <c r="D9" s="29">
        <v>0</v>
      </c>
      <c r="E9" s="29">
        <v>0</v>
      </c>
    </row>
    <row r="10" spans="1:8" ht="20.399999999999999" x14ac:dyDescent="0.2">
      <c r="A10" s="27" t="s">
        <v>701</v>
      </c>
      <c r="B10" s="51" t="s">
        <v>700</v>
      </c>
      <c r="C10" s="31">
        <v>22876.138999999999</v>
      </c>
      <c r="D10" s="29">
        <v>0</v>
      </c>
      <c r="E10" s="29">
        <v>0</v>
      </c>
    </row>
    <row r="11" spans="1:8" x14ac:dyDescent="0.2">
      <c r="A11" s="26" t="s">
        <v>40</v>
      </c>
      <c r="B11" s="26"/>
      <c r="C11" s="32"/>
      <c r="D11" s="33">
        <v>2450.5919752</v>
      </c>
      <c r="E11" s="34">
        <v>65.574128142728298</v>
      </c>
      <c r="F11" s="18"/>
      <c r="G11" s="18"/>
      <c r="H11" s="18"/>
    </row>
    <row r="12" spans="1:8" x14ac:dyDescent="0.2">
      <c r="A12" s="27"/>
      <c r="B12" s="27"/>
      <c r="C12" s="28"/>
      <c r="D12" s="29"/>
      <c r="E12" s="30"/>
    </row>
    <row r="13" spans="1:8" x14ac:dyDescent="0.2">
      <c r="A13" s="26" t="s">
        <v>44</v>
      </c>
      <c r="B13" s="26"/>
      <c r="C13" s="32"/>
      <c r="D13" s="33">
        <v>2450.5919752</v>
      </c>
      <c r="E13" s="34">
        <v>65.574128142728298</v>
      </c>
      <c r="F13" s="18"/>
      <c r="G13" s="18"/>
      <c r="H13" s="18"/>
    </row>
    <row r="14" spans="1:8" x14ac:dyDescent="0.2">
      <c r="A14" s="26"/>
      <c r="B14" s="26"/>
      <c r="C14" s="32"/>
      <c r="D14" s="33"/>
      <c r="E14" s="34"/>
      <c r="F14" s="18"/>
      <c r="G14" s="18"/>
      <c r="H14" s="18"/>
    </row>
    <row r="15" spans="1:8" x14ac:dyDescent="0.2">
      <c r="A15" s="26" t="s">
        <v>46</v>
      </c>
      <c r="B15" s="26"/>
      <c r="C15" s="32"/>
      <c r="D15" s="33">
        <v>1286.5404039999999</v>
      </c>
      <c r="E15" s="34">
        <v>34.425871857271702</v>
      </c>
      <c r="F15" s="18"/>
      <c r="G15" s="18"/>
      <c r="H15" s="18"/>
    </row>
    <row r="16" spans="1:8" x14ac:dyDescent="0.2">
      <c r="A16" s="26"/>
      <c r="B16" s="26"/>
      <c r="C16" s="32"/>
      <c r="D16" s="33"/>
      <c r="E16" s="34"/>
      <c r="F16" s="18"/>
      <c r="G16" s="18"/>
      <c r="H16" s="18"/>
    </row>
    <row r="17" spans="1:8" x14ac:dyDescent="0.2">
      <c r="A17" s="35" t="s">
        <v>45</v>
      </c>
      <c r="B17" s="35"/>
      <c r="C17" s="36"/>
      <c r="D17" s="37">
        <v>3737.1323791999998</v>
      </c>
      <c r="E17" s="38">
        <v>100</v>
      </c>
      <c r="F17" s="18"/>
      <c r="G17" s="18"/>
      <c r="H17" s="18"/>
    </row>
    <row r="19" spans="1:8" x14ac:dyDescent="0.2">
      <c r="A19" s="18" t="s">
        <v>732</v>
      </c>
    </row>
    <row r="21" spans="1:8" x14ac:dyDescent="0.2">
      <c r="A21" s="18" t="s">
        <v>48</v>
      </c>
    </row>
    <row r="22" spans="1:8" x14ac:dyDescent="0.2">
      <c r="A22" s="18" t="s">
        <v>49</v>
      </c>
    </row>
    <row r="23" spans="1:8" x14ac:dyDescent="0.2">
      <c r="A23" s="18" t="s">
        <v>50</v>
      </c>
      <c r="B23" s="18"/>
      <c r="C23" s="39" t="s">
        <v>52</v>
      </c>
      <c r="D23" s="41" t="s">
        <v>51</v>
      </c>
    </row>
    <row r="24" spans="1:8" x14ac:dyDescent="0.2">
      <c r="A24" s="9" t="s">
        <v>70</v>
      </c>
      <c r="C24" s="40">
        <v>10.471</v>
      </c>
      <c r="D24" s="40">
        <v>11.860200000000001</v>
      </c>
    </row>
    <row r="25" spans="1:8" x14ac:dyDescent="0.2">
      <c r="A25" s="9" t="s">
        <v>76</v>
      </c>
      <c r="C25" s="40">
        <v>10.471</v>
      </c>
      <c r="D25" s="40">
        <v>11.860200000000001</v>
      </c>
    </row>
    <row r="26" spans="1:8" x14ac:dyDescent="0.2">
      <c r="A26" s="9" t="s">
        <v>73</v>
      </c>
      <c r="C26" s="40">
        <v>11.283099999999999</v>
      </c>
      <c r="D26" s="40">
        <v>12.825900000000001</v>
      </c>
    </row>
    <row r="27" spans="1:8" x14ac:dyDescent="0.2">
      <c r="A27" s="9" t="s">
        <v>77</v>
      </c>
      <c r="C27" s="40">
        <v>11.283099999999999</v>
      </c>
      <c r="D27" s="40">
        <v>12.825900000000001</v>
      </c>
    </row>
    <row r="29" spans="1:8" x14ac:dyDescent="0.2">
      <c r="A29" s="18" t="s">
        <v>53</v>
      </c>
      <c r="D29" s="41" t="s">
        <v>54</v>
      </c>
    </row>
    <row r="31" spans="1:8" x14ac:dyDescent="0.2">
      <c r="A31" s="18" t="s">
        <v>224</v>
      </c>
      <c r="D31" s="46">
        <v>0.4007</v>
      </c>
    </row>
    <row r="33" spans="1:4" x14ac:dyDescent="0.2">
      <c r="A33" s="18" t="s">
        <v>1477</v>
      </c>
      <c r="D33" s="19">
        <v>2</v>
      </c>
    </row>
    <row r="34" spans="1:4" x14ac:dyDescent="0.2">
      <c r="A34" s="9" t="s">
        <v>1103</v>
      </c>
    </row>
    <row r="35" spans="1:4" x14ac:dyDescent="0.2">
      <c r="A35" s="50" t="s">
        <v>1104</v>
      </c>
    </row>
    <row r="37" spans="1:4" x14ac:dyDescent="0.2">
      <c r="A37" s="18" t="s">
        <v>1479</v>
      </c>
    </row>
    <row r="38" spans="1:4" x14ac:dyDescent="0.2">
      <c r="A38" s="50" t="s">
        <v>56</v>
      </c>
    </row>
  </sheetData>
  <mergeCells count="1">
    <mergeCell ref="A1:E1"/>
  </mergeCells>
  <conditionalFormatting sqref="E5:E8 E11:E17">
    <cfRule type="cellIs" dxfId="6" priority="1" stopIfTrue="1" operator="between">
      <formula>0.009</formula>
      <formula>-0.009</formula>
    </cfRule>
  </conditionalFormatting>
  <hyperlinks>
    <hyperlink ref="A38" r:id="rId1" xr:uid="{00000000-0004-0000-3700-000000000000}"/>
    <hyperlink ref="A35" r:id="rId2" xr:uid="{00000000-0004-0000-37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35"/>
  <sheetViews>
    <sheetView workbookViewId="0">
      <selection sqref="A1:E1"/>
    </sheetView>
  </sheetViews>
  <sheetFormatPr defaultColWidth="9.21875" defaultRowHeight="10.199999999999999" x14ac:dyDescent="0.2"/>
  <cols>
    <col min="1" max="1" width="35.77734375" style="9" bestFit="1" customWidth="1"/>
    <col min="2" max="2" width="34.44140625" style="9" bestFit="1" customWidth="1"/>
    <col min="3" max="3" width="21.21875" style="9" bestFit="1" customWidth="1"/>
    <col min="4" max="4" width="23" style="10" customWidth="1"/>
    <col min="5" max="5" width="13.5546875" style="13" bestFit="1" customWidth="1"/>
    <col min="6" max="16384" width="9.21875" style="9"/>
  </cols>
  <sheetData>
    <row r="1" spans="1:8" s="1" customFormat="1" ht="13.8" x14ac:dyDescent="0.2">
      <c r="A1" s="72" t="s">
        <v>25</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691</v>
      </c>
      <c r="B5" s="22"/>
      <c r="C5" s="23"/>
      <c r="D5" s="24"/>
      <c r="E5" s="25"/>
    </row>
    <row r="6" spans="1:8" x14ac:dyDescent="0.2">
      <c r="A6" s="27" t="s">
        <v>703</v>
      </c>
      <c r="B6" s="27" t="s">
        <v>702</v>
      </c>
      <c r="C6" s="31">
        <v>4199053.9139999999</v>
      </c>
      <c r="D6" s="29">
        <v>1670.9799129999999</v>
      </c>
      <c r="E6" s="30">
        <v>79.526041359550305</v>
      </c>
    </row>
    <row r="7" spans="1:8" x14ac:dyDescent="0.2">
      <c r="A7" s="27" t="s">
        <v>705</v>
      </c>
      <c r="B7" s="27" t="s">
        <v>704</v>
      </c>
      <c r="C7" s="31">
        <v>59814.764999999999</v>
      </c>
      <c r="D7" s="29">
        <v>203.11024599999999</v>
      </c>
      <c r="E7" s="30">
        <v>9.6665158559236595</v>
      </c>
    </row>
    <row r="8" spans="1:8" x14ac:dyDescent="0.2">
      <c r="A8" s="27" t="s">
        <v>693</v>
      </c>
      <c r="B8" s="27" t="s">
        <v>692</v>
      </c>
      <c r="C8" s="31">
        <v>30897.253000000001</v>
      </c>
      <c r="D8" s="29">
        <v>199.0587658</v>
      </c>
      <c r="E8" s="30">
        <v>9.47369595459155</v>
      </c>
    </row>
    <row r="9" spans="1:8" x14ac:dyDescent="0.2">
      <c r="A9" s="26" t="s">
        <v>40</v>
      </c>
      <c r="B9" s="26"/>
      <c r="C9" s="32"/>
      <c r="D9" s="33">
        <v>2073.1489247999998</v>
      </c>
      <c r="E9" s="34">
        <v>98.666253170065517</v>
      </c>
      <c r="F9" s="18"/>
      <c r="G9" s="18"/>
      <c r="H9" s="18"/>
    </row>
    <row r="10" spans="1:8" x14ac:dyDescent="0.2">
      <c r="A10" s="27"/>
      <c r="B10" s="27"/>
      <c r="C10" s="28"/>
      <c r="D10" s="29"/>
      <c r="E10" s="30"/>
    </row>
    <row r="11" spans="1:8" x14ac:dyDescent="0.2">
      <c r="A11" s="26" t="s">
        <v>44</v>
      </c>
      <c r="B11" s="26"/>
      <c r="C11" s="32"/>
      <c r="D11" s="33">
        <v>2073.1489247999998</v>
      </c>
      <c r="E11" s="34">
        <v>98.666253170065517</v>
      </c>
      <c r="F11" s="18"/>
      <c r="G11" s="18"/>
      <c r="H11" s="18"/>
    </row>
    <row r="12" spans="1:8" x14ac:dyDescent="0.2">
      <c r="A12" s="26"/>
      <c r="B12" s="26"/>
      <c r="C12" s="32"/>
      <c r="D12" s="33"/>
      <c r="E12" s="34"/>
      <c r="F12" s="18"/>
      <c r="G12" s="18"/>
      <c r="H12" s="18"/>
    </row>
    <row r="13" spans="1:8" x14ac:dyDescent="0.2">
      <c r="A13" s="26" t="s">
        <v>46</v>
      </c>
      <c r="B13" s="26"/>
      <c r="C13" s="32"/>
      <c r="D13" s="33">
        <v>28.024331700000403</v>
      </c>
      <c r="E13" s="34">
        <v>1.3337468299344835</v>
      </c>
      <c r="F13" s="18"/>
      <c r="G13" s="18"/>
      <c r="H13" s="18"/>
    </row>
    <row r="14" spans="1:8" x14ac:dyDescent="0.2">
      <c r="A14" s="26"/>
      <c r="B14" s="26"/>
      <c r="C14" s="32"/>
      <c r="D14" s="33"/>
      <c r="E14" s="34"/>
      <c r="F14" s="18"/>
      <c r="G14" s="18"/>
      <c r="H14" s="18"/>
    </row>
    <row r="15" spans="1:8" x14ac:dyDescent="0.2">
      <c r="A15" s="35" t="s">
        <v>45</v>
      </c>
      <c r="B15" s="35"/>
      <c r="C15" s="36"/>
      <c r="D15" s="37">
        <v>2101.1732565000002</v>
      </c>
      <c r="E15" s="38">
        <v>100</v>
      </c>
      <c r="F15" s="18"/>
      <c r="G15" s="18"/>
      <c r="H15" s="18"/>
    </row>
    <row r="18" spans="1:4" x14ac:dyDescent="0.2">
      <c r="A18" s="18" t="s">
        <v>48</v>
      </c>
    </row>
    <row r="19" spans="1:4" x14ac:dyDescent="0.2">
      <c r="A19" s="18" t="s">
        <v>49</v>
      </c>
    </row>
    <row r="20" spans="1:4" x14ac:dyDescent="0.2">
      <c r="A20" s="18" t="s">
        <v>50</v>
      </c>
      <c r="B20" s="18"/>
      <c r="C20" s="39" t="s">
        <v>52</v>
      </c>
      <c r="D20" s="41" t="s">
        <v>51</v>
      </c>
    </row>
    <row r="21" spans="1:4" x14ac:dyDescent="0.2">
      <c r="A21" s="9" t="s">
        <v>88</v>
      </c>
      <c r="C21" s="40">
        <v>40.397399999999998</v>
      </c>
      <c r="D21" s="40">
        <v>43.8324</v>
      </c>
    </row>
    <row r="22" spans="1:4" x14ac:dyDescent="0.2">
      <c r="A22" s="9" t="s">
        <v>706</v>
      </c>
      <c r="C22" s="40">
        <v>13.837</v>
      </c>
      <c r="D22" s="40">
        <v>14.447699999999999</v>
      </c>
    </row>
    <row r="23" spans="1:4" x14ac:dyDescent="0.2">
      <c r="A23" s="9" t="s">
        <v>89</v>
      </c>
      <c r="C23" s="40">
        <v>41.738999999999997</v>
      </c>
      <c r="D23" s="40">
        <v>45.434899999999999</v>
      </c>
    </row>
    <row r="24" spans="1:4" x14ac:dyDescent="0.2">
      <c r="A24" s="9" t="s">
        <v>707</v>
      </c>
      <c r="C24" s="40">
        <v>14.3383</v>
      </c>
      <c r="D24" s="40">
        <v>15.023099999999999</v>
      </c>
    </row>
    <row r="26" spans="1:4" x14ac:dyDescent="0.2">
      <c r="A26" s="18" t="s">
        <v>53</v>
      </c>
    </row>
    <row r="27" spans="1:4" x14ac:dyDescent="0.2">
      <c r="A27" s="74" t="s">
        <v>67</v>
      </c>
      <c r="B27" s="75"/>
      <c r="C27" s="44" t="s">
        <v>68</v>
      </c>
    </row>
    <row r="28" spans="1:4" x14ac:dyDescent="0.2">
      <c r="A28" s="68" t="s">
        <v>706</v>
      </c>
      <c r="B28" s="69"/>
      <c r="C28" s="45">
        <v>0.53</v>
      </c>
    </row>
    <row r="29" spans="1:4" x14ac:dyDescent="0.2">
      <c r="A29" s="68" t="s">
        <v>707</v>
      </c>
      <c r="B29" s="69"/>
      <c r="C29" s="45">
        <v>0.53</v>
      </c>
    </row>
    <row r="30" spans="1:4" x14ac:dyDescent="0.2">
      <c r="A30" s="9" t="s">
        <v>69</v>
      </c>
    </row>
    <row r="32" spans="1:4" x14ac:dyDescent="0.2">
      <c r="A32" s="18" t="s">
        <v>224</v>
      </c>
      <c r="D32" s="46">
        <v>5.2400000000000002E-2</v>
      </c>
    </row>
    <row r="34" spans="1:1" x14ac:dyDescent="0.2">
      <c r="A34" s="18" t="s">
        <v>729</v>
      </c>
    </row>
    <row r="35" spans="1:1" x14ac:dyDescent="0.2">
      <c r="A35" s="50" t="s">
        <v>56</v>
      </c>
    </row>
  </sheetData>
  <mergeCells count="4">
    <mergeCell ref="A1:E1"/>
    <mergeCell ref="A27:B27"/>
    <mergeCell ref="A28:B28"/>
    <mergeCell ref="A29:B29"/>
  </mergeCells>
  <conditionalFormatting sqref="E5:E15">
    <cfRule type="cellIs" dxfId="5" priority="1" stopIfTrue="1" operator="between">
      <formula>0.009</formula>
      <formula>-0.009</formula>
    </cfRule>
  </conditionalFormatting>
  <hyperlinks>
    <hyperlink ref="A35" r:id="rId1" xr:uid="{00000000-0004-0000-3800-000000000000}"/>
  </hyperlinks>
  <pageMargins left="0.7" right="0.7" top="0.75" bottom="0.75" header="0.3" footer="0.3"/>
  <pageSetup paperSize="9" orientation="portrait" r:id="rId2"/>
  <headerFooter>
    <oddFooter>&amp;R&amp;1#&amp;"Calibri"&amp;10&amp;KFF0000|PUBLIC|</oddFooter>
    <evenFooter>&amp;LPUBLIC</evenFooter>
    <firstFooter>&amp;LPUBLIC</first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9"/>
  <sheetViews>
    <sheetView workbookViewId="0">
      <selection sqref="A1:E1"/>
    </sheetView>
  </sheetViews>
  <sheetFormatPr defaultColWidth="9.21875" defaultRowHeight="10.199999999999999" x14ac:dyDescent="0.2"/>
  <cols>
    <col min="1" max="1" width="35.77734375" style="9" bestFit="1" customWidth="1"/>
    <col min="2" max="2" width="50.77734375" style="9" customWidth="1"/>
    <col min="3" max="3" width="15.5546875" style="9" bestFit="1" customWidth="1"/>
    <col min="4" max="4" width="23" style="10" bestFit="1" customWidth="1"/>
    <col min="5" max="5" width="13.5546875" style="13" bestFit="1" customWidth="1"/>
    <col min="6" max="16384" width="9.21875" style="9"/>
  </cols>
  <sheetData>
    <row r="1" spans="1:8" s="1" customFormat="1" ht="13.8" x14ac:dyDescent="0.2">
      <c r="A1" s="72" t="s">
        <v>26</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52" t="s">
        <v>0</v>
      </c>
      <c r="C4" s="16" t="s">
        <v>1</v>
      </c>
      <c r="D4" s="15" t="s">
        <v>3</v>
      </c>
      <c r="E4" s="15" t="s">
        <v>4</v>
      </c>
    </row>
    <row r="5" spans="1:8" x14ac:dyDescent="0.2">
      <c r="A5" s="21" t="s">
        <v>691</v>
      </c>
      <c r="B5" s="53"/>
      <c r="C5" s="23"/>
      <c r="D5" s="24"/>
      <c r="E5" s="25"/>
    </row>
    <row r="6" spans="1:8" x14ac:dyDescent="0.2">
      <c r="A6" s="27" t="s">
        <v>709</v>
      </c>
      <c r="B6" s="51" t="s">
        <v>708</v>
      </c>
      <c r="C6" s="31">
        <v>1570345.355</v>
      </c>
      <c r="D6" s="29">
        <v>1270.4486509999999</v>
      </c>
      <c r="E6" s="30">
        <v>73.714580577927606</v>
      </c>
    </row>
    <row r="7" spans="1:8" x14ac:dyDescent="0.2">
      <c r="A7" s="27" t="s">
        <v>705</v>
      </c>
      <c r="B7" s="51" t="s">
        <v>704</v>
      </c>
      <c r="C7" s="31">
        <v>49169.851000000002</v>
      </c>
      <c r="D7" s="29">
        <v>166.96380120000001</v>
      </c>
      <c r="E7" s="30">
        <v>9.6876537020735398</v>
      </c>
    </row>
    <row r="8" spans="1:8" x14ac:dyDescent="0.2">
      <c r="A8" s="27" t="s">
        <v>693</v>
      </c>
      <c r="B8" s="51" t="s">
        <v>692</v>
      </c>
      <c r="C8" s="31">
        <v>25499.629000000001</v>
      </c>
      <c r="D8" s="29">
        <v>164.2840118</v>
      </c>
      <c r="E8" s="30">
        <v>9.5321656770339693</v>
      </c>
    </row>
    <row r="9" spans="1:8" ht="20.399999999999999" x14ac:dyDescent="0.2">
      <c r="A9" s="27" t="s">
        <v>711</v>
      </c>
      <c r="B9" s="51" t="s">
        <v>710</v>
      </c>
      <c r="C9" s="31">
        <v>258101.05600000001</v>
      </c>
      <c r="D9" s="29">
        <v>95.768396800000005</v>
      </c>
      <c r="E9" s="30">
        <v>5.55671982269872</v>
      </c>
    </row>
    <row r="10" spans="1:8" ht="20.399999999999999" x14ac:dyDescent="0.2">
      <c r="A10" s="27" t="s">
        <v>713</v>
      </c>
      <c r="B10" s="51" t="s">
        <v>712</v>
      </c>
      <c r="C10" s="31">
        <v>489502.28</v>
      </c>
      <c r="D10" s="29">
        <v>0</v>
      </c>
      <c r="E10" s="29">
        <v>0</v>
      </c>
    </row>
    <row r="11" spans="1:8" ht="20.399999999999999" x14ac:dyDescent="0.2">
      <c r="A11" s="27" t="s">
        <v>715</v>
      </c>
      <c r="B11" s="51" t="s">
        <v>714</v>
      </c>
      <c r="C11" s="31">
        <v>371180.549</v>
      </c>
      <c r="D11" s="29">
        <v>0</v>
      </c>
      <c r="E11" s="29">
        <v>0</v>
      </c>
    </row>
    <row r="12" spans="1:8" x14ac:dyDescent="0.2">
      <c r="A12" s="26" t="s">
        <v>40</v>
      </c>
      <c r="B12" s="54"/>
      <c r="C12" s="32"/>
      <c r="D12" s="33">
        <v>1697.4648607999998</v>
      </c>
      <c r="E12" s="34">
        <v>98.49111977973385</v>
      </c>
      <c r="F12" s="18"/>
      <c r="G12" s="18"/>
      <c r="H12" s="18"/>
    </row>
    <row r="13" spans="1:8" x14ac:dyDescent="0.2">
      <c r="A13" s="27"/>
      <c r="B13" s="51"/>
      <c r="C13" s="28"/>
      <c r="D13" s="29"/>
      <c r="E13" s="30"/>
    </row>
    <row r="14" spans="1:8" x14ac:dyDescent="0.2">
      <c r="A14" s="26" t="s">
        <v>44</v>
      </c>
      <c r="B14" s="54"/>
      <c r="C14" s="32"/>
      <c r="D14" s="33">
        <v>1697.4648607999998</v>
      </c>
      <c r="E14" s="34">
        <v>98.49111977973385</v>
      </c>
      <c r="F14" s="18"/>
      <c r="G14" s="18"/>
      <c r="H14" s="18"/>
    </row>
    <row r="15" spans="1:8" x14ac:dyDescent="0.2">
      <c r="A15" s="26"/>
      <c r="B15" s="54"/>
      <c r="C15" s="32"/>
      <c r="D15" s="33"/>
      <c r="E15" s="34"/>
      <c r="F15" s="18"/>
      <c r="G15" s="18"/>
      <c r="H15" s="18"/>
    </row>
    <row r="16" spans="1:8" x14ac:dyDescent="0.2">
      <c r="A16" s="26" t="s">
        <v>46</v>
      </c>
      <c r="B16" s="54"/>
      <c r="C16" s="32"/>
      <c r="D16" s="33">
        <v>26.005097300000216</v>
      </c>
      <c r="E16" s="34">
        <v>1.5088802202661498</v>
      </c>
      <c r="F16" s="18"/>
      <c r="G16" s="18"/>
      <c r="H16" s="18"/>
    </row>
    <row r="17" spans="1:8" x14ac:dyDescent="0.2">
      <c r="A17" s="26"/>
      <c r="B17" s="54"/>
      <c r="C17" s="32"/>
      <c r="D17" s="33"/>
      <c r="E17" s="34"/>
      <c r="F17" s="18"/>
      <c r="G17" s="18"/>
      <c r="H17" s="18"/>
    </row>
    <row r="18" spans="1:8" x14ac:dyDescent="0.2">
      <c r="A18" s="35" t="s">
        <v>45</v>
      </c>
      <c r="B18" s="55"/>
      <c r="C18" s="36"/>
      <c r="D18" s="37">
        <v>1723.4699581</v>
      </c>
      <c r="E18" s="38">
        <v>100</v>
      </c>
      <c r="F18" s="18"/>
      <c r="G18" s="18"/>
      <c r="H18" s="18"/>
    </row>
    <row r="20" spans="1:8" x14ac:dyDescent="0.2">
      <c r="A20" s="18" t="s">
        <v>732</v>
      </c>
    </row>
    <row r="22" spans="1:8" x14ac:dyDescent="0.2">
      <c r="A22" s="18" t="s">
        <v>48</v>
      </c>
    </row>
    <row r="23" spans="1:8" x14ac:dyDescent="0.2">
      <c r="A23" s="18" t="s">
        <v>49</v>
      </c>
    </row>
    <row r="24" spans="1:8" x14ac:dyDescent="0.2">
      <c r="A24" s="18" t="s">
        <v>50</v>
      </c>
      <c r="B24" s="18"/>
      <c r="C24" s="39" t="s">
        <v>52</v>
      </c>
      <c r="D24" s="41" t="s">
        <v>51</v>
      </c>
    </row>
    <row r="25" spans="1:8" x14ac:dyDescent="0.2">
      <c r="A25" s="9" t="s">
        <v>88</v>
      </c>
      <c r="C25" s="40">
        <v>27.8309</v>
      </c>
      <c r="D25" s="40">
        <v>31.777100000000001</v>
      </c>
    </row>
    <row r="26" spans="1:8" x14ac:dyDescent="0.2">
      <c r="A26" s="9" t="s">
        <v>706</v>
      </c>
      <c r="C26" s="40">
        <v>9.5292999999999992</v>
      </c>
      <c r="D26" s="40">
        <v>10.8805</v>
      </c>
    </row>
    <row r="27" spans="1:8" x14ac:dyDescent="0.2">
      <c r="A27" s="9" t="s">
        <v>89</v>
      </c>
      <c r="C27" s="40">
        <v>29.2972</v>
      </c>
      <c r="D27" s="40">
        <v>33.571100000000001</v>
      </c>
    </row>
    <row r="28" spans="1:8" x14ac:dyDescent="0.2">
      <c r="A28" s="9" t="s">
        <v>707</v>
      </c>
      <c r="C28" s="40">
        <v>10.0486</v>
      </c>
      <c r="D28" s="40">
        <v>11.5137</v>
      </c>
    </row>
    <row r="30" spans="1:8" x14ac:dyDescent="0.2">
      <c r="A30" s="18" t="s">
        <v>53</v>
      </c>
      <c r="D30" s="41" t="s">
        <v>54</v>
      </c>
    </row>
    <row r="32" spans="1:8" x14ac:dyDescent="0.2">
      <c r="A32" s="18" t="s">
        <v>224</v>
      </c>
      <c r="D32" s="46">
        <v>0.14119999999999999</v>
      </c>
    </row>
    <row r="34" spans="1:4" x14ac:dyDescent="0.2">
      <c r="A34" s="18" t="s">
        <v>1477</v>
      </c>
      <c r="D34" s="19">
        <v>2</v>
      </c>
    </row>
    <row r="35" spans="1:4" x14ac:dyDescent="0.2">
      <c r="A35" s="9" t="s">
        <v>1103</v>
      </c>
    </row>
    <row r="36" spans="1:4" x14ac:dyDescent="0.2">
      <c r="A36" s="50" t="s">
        <v>1104</v>
      </c>
    </row>
    <row r="38" spans="1:4" x14ac:dyDescent="0.2">
      <c r="A38" s="18" t="s">
        <v>1479</v>
      </c>
    </row>
    <row r="39" spans="1:4" x14ac:dyDescent="0.2">
      <c r="A39" s="50" t="s">
        <v>56</v>
      </c>
    </row>
  </sheetData>
  <mergeCells count="1">
    <mergeCell ref="A1:E1"/>
  </mergeCells>
  <conditionalFormatting sqref="E5:E9 E12:E18">
    <cfRule type="cellIs" dxfId="4" priority="1" stopIfTrue="1" operator="between">
      <formula>0.009</formula>
      <formula>-0.009</formula>
    </cfRule>
  </conditionalFormatting>
  <hyperlinks>
    <hyperlink ref="A39" r:id="rId1" xr:uid="{00000000-0004-0000-3900-000000000000}"/>
    <hyperlink ref="A36" r:id="rId2" xr:uid="{00000000-0004-0000-39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44"/>
  <sheetViews>
    <sheetView workbookViewId="0">
      <selection sqref="A1:E1"/>
    </sheetView>
  </sheetViews>
  <sheetFormatPr defaultColWidth="9.21875" defaultRowHeight="10.199999999999999" x14ac:dyDescent="0.2"/>
  <cols>
    <col min="1" max="1" width="35.77734375" style="9" bestFit="1" customWidth="1"/>
    <col min="2" max="2" width="50.77734375" style="9" customWidth="1"/>
    <col min="3" max="3" width="21.21875" style="9" bestFit="1" customWidth="1"/>
    <col min="4" max="4" width="23" style="10" bestFit="1" customWidth="1"/>
    <col min="5" max="5" width="13.5546875" style="13" bestFit="1" customWidth="1"/>
    <col min="6" max="16384" width="9.21875" style="9"/>
  </cols>
  <sheetData>
    <row r="1" spans="1:8" s="1" customFormat="1" ht="13.8" x14ac:dyDescent="0.2">
      <c r="A1" s="72" t="s">
        <v>27</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691</v>
      </c>
      <c r="B5" s="22"/>
      <c r="C5" s="23"/>
      <c r="D5" s="24"/>
      <c r="E5" s="25"/>
    </row>
    <row r="6" spans="1:8" x14ac:dyDescent="0.2">
      <c r="A6" s="27" t="s">
        <v>709</v>
      </c>
      <c r="B6" s="51" t="s">
        <v>708</v>
      </c>
      <c r="C6" s="31">
        <v>1339374.8659999999</v>
      </c>
      <c r="D6" s="29">
        <v>1083.587751</v>
      </c>
      <c r="E6" s="30">
        <v>57.7503121540785</v>
      </c>
    </row>
    <row r="7" spans="1:8" x14ac:dyDescent="0.2">
      <c r="A7" s="27" t="s">
        <v>693</v>
      </c>
      <c r="B7" s="51" t="s">
        <v>692</v>
      </c>
      <c r="C7" s="31">
        <v>42118.722000000002</v>
      </c>
      <c r="D7" s="29">
        <v>271.3542468</v>
      </c>
      <c r="E7" s="30">
        <v>14.4619505366067</v>
      </c>
    </row>
    <row r="8" spans="1:8" x14ac:dyDescent="0.2">
      <c r="A8" s="27" t="s">
        <v>717</v>
      </c>
      <c r="B8" s="51" t="s">
        <v>716</v>
      </c>
      <c r="C8" s="31">
        <v>13571.735000000001</v>
      </c>
      <c r="D8" s="29">
        <v>184.2154836</v>
      </c>
      <c r="E8" s="30">
        <v>9.8178497050162097</v>
      </c>
    </row>
    <row r="9" spans="1:8" x14ac:dyDescent="0.2">
      <c r="A9" s="27" t="s">
        <v>705</v>
      </c>
      <c r="B9" s="51" t="s">
        <v>704</v>
      </c>
      <c r="C9" s="31">
        <v>53312.771999999997</v>
      </c>
      <c r="D9" s="29">
        <v>181.03172749999999</v>
      </c>
      <c r="E9" s="30">
        <v>9.6481699458755497</v>
      </c>
    </row>
    <row r="10" spans="1:8" ht="20.399999999999999" x14ac:dyDescent="0.2">
      <c r="A10" s="27" t="s">
        <v>711</v>
      </c>
      <c r="B10" s="51" t="s">
        <v>710</v>
      </c>
      <c r="C10" s="31">
        <v>335975.125</v>
      </c>
      <c r="D10" s="29">
        <v>124.6635701</v>
      </c>
      <c r="E10" s="30">
        <v>6.64400283306344</v>
      </c>
    </row>
    <row r="11" spans="1:8" ht="20.399999999999999" x14ac:dyDescent="0.2">
      <c r="A11" s="27" t="s">
        <v>713</v>
      </c>
      <c r="B11" s="51" t="s">
        <v>712</v>
      </c>
      <c r="C11" s="31">
        <v>631308.71</v>
      </c>
      <c r="D11" s="29">
        <v>0</v>
      </c>
      <c r="E11" s="29">
        <v>0</v>
      </c>
    </row>
    <row r="12" spans="1:8" ht="20.399999999999999" x14ac:dyDescent="0.2">
      <c r="A12" s="27" t="s">
        <v>715</v>
      </c>
      <c r="B12" s="51" t="s">
        <v>714</v>
      </c>
      <c r="C12" s="31">
        <v>584729.58299999998</v>
      </c>
      <c r="D12" s="29">
        <v>0</v>
      </c>
      <c r="E12" s="29">
        <v>0</v>
      </c>
    </row>
    <row r="13" spans="1:8" x14ac:dyDescent="0.2">
      <c r="A13" s="26" t="s">
        <v>40</v>
      </c>
      <c r="B13" s="54"/>
      <c r="C13" s="32"/>
      <c r="D13" s="33">
        <v>1844.8527790000001</v>
      </c>
      <c r="E13" s="34">
        <v>98.322285174640413</v>
      </c>
      <c r="F13" s="18"/>
      <c r="G13" s="18"/>
      <c r="H13" s="18"/>
    </row>
    <row r="14" spans="1:8" x14ac:dyDescent="0.2">
      <c r="A14" s="27"/>
      <c r="B14" s="51"/>
      <c r="C14" s="28"/>
      <c r="D14" s="29"/>
      <c r="E14" s="30"/>
    </row>
    <row r="15" spans="1:8" x14ac:dyDescent="0.2">
      <c r="A15" s="26" t="s">
        <v>44</v>
      </c>
      <c r="B15" s="26"/>
      <c r="C15" s="32"/>
      <c r="D15" s="33">
        <v>1844.8527790000001</v>
      </c>
      <c r="E15" s="34">
        <v>98.322285174640413</v>
      </c>
      <c r="F15" s="18"/>
      <c r="G15" s="18"/>
      <c r="H15" s="18"/>
    </row>
    <row r="16" spans="1:8" x14ac:dyDescent="0.2">
      <c r="A16" s="26"/>
      <c r="B16" s="26"/>
      <c r="C16" s="32"/>
      <c r="D16" s="33"/>
      <c r="E16" s="34"/>
      <c r="F16" s="18"/>
      <c r="G16" s="18"/>
      <c r="H16" s="18"/>
    </row>
    <row r="17" spans="1:8" x14ac:dyDescent="0.2">
      <c r="A17" s="26" t="s">
        <v>46</v>
      </c>
      <c r="B17" s="26"/>
      <c r="C17" s="32"/>
      <c r="D17" s="33">
        <v>31.479504899999938</v>
      </c>
      <c r="E17" s="34">
        <v>1.6777148253595868</v>
      </c>
      <c r="F17" s="18"/>
      <c r="G17" s="18"/>
      <c r="H17" s="18"/>
    </row>
    <row r="18" spans="1:8" x14ac:dyDescent="0.2">
      <c r="A18" s="26"/>
      <c r="B18" s="26"/>
      <c r="C18" s="32"/>
      <c r="D18" s="33"/>
      <c r="E18" s="34"/>
      <c r="F18" s="18"/>
      <c r="G18" s="18"/>
      <c r="H18" s="18"/>
    </row>
    <row r="19" spans="1:8" x14ac:dyDescent="0.2">
      <c r="A19" s="35" t="s">
        <v>45</v>
      </c>
      <c r="B19" s="35"/>
      <c r="C19" s="36"/>
      <c r="D19" s="37">
        <v>1876.3322839</v>
      </c>
      <c r="E19" s="38">
        <v>100</v>
      </c>
      <c r="F19" s="18"/>
      <c r="G19" s="18"/>
      <c r="H19" s="18"/>
    </row>
    <row r="21" spans="1:8" x14ac:dyDescent="0.2">
      <c r="A21" s="18" t="s">
        <v>732</v>
      </c>
    </row>
    <row r="23" spans="1:8" x14ac:dyDescent="0.2">
      <c r="A23" s="18" t="s">
        <v>48</v>
      </c>
    </row>
    <row r="24" spans="1:8" x14ac:dyDescent="0.2">
      <c r="A24" s="18" t="s">
        <v>49</v>
      </c>
    </row>
    <row r="25" spans="1:8" x14ac:dyDescent="0.2">
      <c r="A25" s="18" t="s">
        <v>50</v>
      </c>
      <c r="B25" s="18"/>
      <c r="C25" s="39" t="s">
        <v>52</v>
      </c>
      <c r="D25" s="41" t="s">
        <v>51</v>
      </c>
    </row>
    <row r="26" spans="1:8" x14ac:dyDescent="0.2">
      <c r="A26" s="9" t="s">
        <v>88</v>
      </c>
      <c r="C26" s="40">
        <v>41</v>
      </c>
      <c r="D26" s="40">
        <v>49.206099999999999</v>
      </c>
    </row>
    <row r="27" spans="1:8" x14ac:dyDescent="0.2">
      <c r="A27" s="9" t="s">
        <v>706</v>
      </c>
      <c r="C27" s="40">
        <v>11.710800000000001</v>
      </c>
      <c r="D27" s="40">
        <v>12.8775</v>
      </c>
    </row>
    <row r="28" spans="1:8" x14ac:dyDescent="0.2">
      <c r="A28" s="9" t="s">
        <v>89</v>
      </c>
      <c r="C28" s="40">
        <v>43.132599999999996</v>
      </c>
      <c r="D28" s="40">
        <v>51.928100000000001</v>
      </c>
    </row>
    <row r="29" spans="1:8" x14ac:dyDescent="0.2">
      <c r="A29" s="9" t="s">
        <v>707</v>
      </c>
      <c r="C29" s="40">
        <v>12.266299999999999</v>
      </c>
      <c r="D29" s="40">
        <v>13.580299999999999</v>
      </c>
    </row>
    <row r="31" spans="1:8" x14ac:dyDescent="0.2">
      <c r="A31" s="18" t="s">
        <v>53</v>
      </c>
    </row>
    <row r="32" spans="1:8" x14ac:dyDescent="0.2">
      <c r="A32" s="74" t="s">
        <v>67</v>
      </c>
      <c r="B32" s="75"/>
      <c r="C32" s="44" t="s">
        <v>68</v>
      </c>
    </row>
    <row r="33" spans="1:4" x14ac:dyDescent="0.2">
      <c r="A33" s="68" t="s">
        <v>706</v>
      </c>
      <c r="B33" s="69"/>
      <c r="C33" s="45">
        <v>1</v>
      </c>
    </row>
    <row r="34" spans="1:4" x14ac:dyDescent="0.2">
      <c r="A34" s="68" t="s">
        <v>707</v>
      </c>
      <c r="B34" s="69"/>
      <c r="C34" s="45">
        <v>1</v>
      </c>
    </row>
    <row r="35" spans="1:4" x14ac:dyDescent="0.2">
      <c r="A35" s="9" t="s">
        <v>69</v>
      </c>
    </row>
    <row r="37" spans="1:4" x14ac:dyDescent="0.2">
      <c r="A37" s="18" t="s">
        <v>224</v>
      </c>
      <c r="D37" s="46">
        <v>0.17749999999999999</v>
      </c>
    </row>
    <row r="39" spans="1:4" x14ac:dyDescent="0.2">
      <c r="A39" s="18" t="s">
        <v>1477</v>
      </c>
      <c r="D39" s="19">
        <v>2</v>
      </c>
    </row>
    <row r="40" spans="1:4" x14ac:dyDescent="0.2">
      <c r="A40" s="9" t="s">
        <v>1103</v>
      </c>
    </row>
    <row r="41" spans="1:4" x14ac:dyDescent="0.2">
      <c r="A41" s="50" t="s">
        <v>1104</v>
      </c>
    </row>
    <row r="43" spans="1:4" x14ac:dyDescent="0.2">
      <c r="A43" s="18" t="s">
        <v>1479</v>
      </c>
    </row>
    <row r="44" spans="1:4" x14ac:dyDescent="0.2">
      <c r="A44" s="50" t="s">
        <v>56</v>
      </c>
    </row>
  </sheetData>
  <mergeCells count="4">
    <mergeCell ref="A1:E1"/>
    <mergeCell ref="A32:B32"/>
    <mergeCell ref="A33:B33"/>
    <mergeCell ref="A34:B34"/>
  </mergeCells>
  <conditionalFormatting sqref="E5:E10 E13:E19">
    <cfRule type="cellIs" dxfId="3" priority="1" stopIfTrue="1" operator="between">
      <formula>0.009</formula>
      <formula>-0.009</formula>
    </cfRule>
  </conditionalFormatting>
  <hyperlinks>
    <hyperlink ref="A44" r:id="rId1" xr:uid="{00000000-0004-0000-3A00-000000000000}"/>
    <hyperlink ref="A41" r:id="rId2" xr:uid="{00000000-0004-0000-3A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44"/>
  <sheetViews>
    <sheetView workbookViewId="0">
      <selection sqref="A1:E1"/>
    </sheetView>
  </sheetViews>
  <sheetFormatPr defaultColWidth="9.21875" defaultRowHeight="10.199999999999999" x14ac:dyDescent="0.2"/>
  <cols>
    <col min="1" max="1" width="35.77734375" style="9" bestFit="1" customWidth="1"/>
    <col min="2" max="2" width="50.77734375" style="9" customWidth="1"/>
    <col min="3" max="3" width="21.21875" style="9" bestFit="1" customWidth="1"/>
    <col min="4" max="4" width="23" style="10" bestFit="1" customWidth="1"/>
    <col min="5" max="5" width="13.5546875" style="13" bestFit="1" customWidth="1"/>
    <col min="6" max="16384" width="9.21875" style="9"/>
  </cols>
  <sheetData>
    <row r="1" spans="1:8" s="1" customFormat="1" ht="13.8" x14ac:dyDescent="0.2">
      <c r="A1" s="72" t="s">
        <v>28</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691</v>
      </c>
      <c r="B5" s="22"/>
      <c r="C5" s="23"/>
      <c r="D5" s="24"/>
      <c r="E5" s="25"/>
    </row>
    <row r="6" spans="1:8" x14ac:dyDescent="0.2">
      <c r="A6" s="27" t="s">
        <v>709</v>
      </c>
      <c r="B6" s="51" t="s">
        <v>708</v>
      </c>
      <c r="C6" s="31">
        <v>273663.11099999998</v>
      </c>
      <c r="D6" s="29">
        <v>221.4002984</v>
      </c>
      <c r="E6" s="30">
        <v>38.283471003812203</v>
      </c>
    </row>
    <row r="7" spans="1:8" x14ac:dyDescent="0.2">
      <c r="A7" s="27" t="s">
        <v>693</v>
      </c>
      <c r="B7" s="51" t="s">
        <v>692</v>
      </c>
      <c r="C7" s="31">
        <v>30675.603999999999</v>
      </c>
      <c r="D7" s="29">
        <v>197.63076899999999</v>
      </c>
      <c r="E7" s="30">
        <v>34.173358704346697</v>
      </c>
    </row>
    <row r="8" spans="1:8" x14ac:dyDescent="0.2">
      <c r="A8" s="27" t="s">
        <v>717</v>
      </c>
      <c r="B8" s="51" t="s">
        <v>716</v>
      </c>
      <c r="C8" s="31">
        <v>4163.0720000000001</v>
      </c>
      <c r="D8" s="29">
        <v>56.507316199999998</v>
      </c>
      <c r="E8" s="30">
        <v>9.7709723829620092</v>
      </c>
    </row>
    <row r="9" spans="1:8" x14ac:dyDescent="0.2">
      <c r="A9" s="27" t="s">
        <v>705</v>
      </c>
      <c r="B9" s="51" t="s">
        <v>704</v>
      </c>
      <c r="C9" s="31">
        <v>16622.812000000002</v>
      </c>
      <c r="D9" s="29">
        <v>56.445318100000001</v>
      </c>
      <c r="E9" s="30">
        <v>9.7602519707457898</v>
      </c>
    </row>
    <row r="10" spans="1:8" ht="20.399999999999999" x14ac:dyDescent="0.2">
      <c r="A10" s="27" t="s">
        <v>711</v>
      </c>
      <c r="B10" s="51" t="s">
        <v>710</v>
      </c>
      <c r="C10" s="31">
        <v>100173.519</v>
      </c>
      <c r="D10" s="29">
        <v>37.169384200000003</v>
      </c>
      <c r="E10" s="30">
        <v>6.4271505166600802</v>
      </c>
    </row>
    <row r="11" spans="1:8" ht="20.399999999999999" x14ac:dyDescent="0.2">
      <c r="A11" s="27" t="s">
        <v>713</v>
      </c>
      <c r="B11" s="51" t="s">
        <v>712</v>
      </c>
      <c r="C11" s="31">
        <v>196087.27</v>
      </c>
      <c r="D11" s="29">
        <v>0</v>
      </c>
      <c r="E11" s="29">
        <v>0</v>
      </c>
    </row>
    <row r="12" spans="1:8" ht="20.399999999999999" x14ac:dyDescent="0.2">
      <c r="A12" s="27" t="s">
        <v>715</v>
      </c>
      <c r="B12" s="51" t="s">
        <v>714</v>
      </c>
      <c r="C12" s="31">
        <v>177292.25099999999</v>
      </c>
      <c r="D12" s="29">
        <v>0</v>
      </c>
      <c r="E12" s="29">
        <v>0</v>
      </c>
    </row>
    <row r="13" spans="1:8" x14ac:dyDescent="0.2">
      <c r="A13" s="26" t="s">
        <v>40</v>
      </c>
      <c r="B13" s="26"/>
      <c r="C13" s="32"/>
      <c r="D13" s="33">
        <v>569.15308589999995</v>
      </c>
      <c r="E13" s="34">
        <v>98.415204578526769</v>
      </c>
      <c r="F13" s="18"/>
      <c r="G13" s="18"/>
      <c r="H13" s="18"/>
    </row>
    <row r="14" spans="1:8" x14ac:dyDescent="0.2">
      <c r="A14" s="27"/>
      <c r="B14" s="27"/>
      <c r="C14" s="28"/>
      <c r="D14" s="29"/>
      <c r="E14" s="30"/>
    </row>
    <row r="15" spans="1:8" x14ac:dyDescent="0.2">
      <c r="A15" s="26" t="s">
        <v>44</v>
      </c>
      <c r="B15" s="26"/>
      <c r="C15" s="32"/>
      <c r="D15" s="33">
        <v>569.15308589999995</v>
      </c>
      <c r="E15" s="34">
        <v>98.415204578526769</v>
      </c>
      <c r="F15" s="18"/>
      <c r="G15" s="18"/>
      <c r="H15" s="18"/>
    </row>
    <row r="16" spans="1:8" x14ac:dyDescent="0.2">
      <c r="A16" s="26"/>
      <c r="B16" s="26"/>
      <c r="C16" s="32"/>
      <c r="D16" s="33"/>
      <c r="E16" s="34"/>
      <c r="F16" s="18"/>
      <c r="G16" s="18"/>
      <c r="H16" s="18"/>
    </row>
    <row r="17" spans="1:8" x14ac:dyDescent="0.2">
      <c r="A17" s="26" t="s">
        <v>46</v>
      </c>
      <c r="B17" s="26"/>
      <c r="C17" s="32"/>
      <c r="D17" s="33">
        <v>9.1651611000000912</v>
      </c>
      <c r="E17" s="34">
        <v>1.5847954214732312</v>
      </c>
      <c r="F17" s="18"/>
      <c r="G17" s="18"/>
      <c r="H17" s="18"/>
    </row>
    <row r="18" spans="1:8" x14ac:dyDescent="0.2">
      <c r="A18" s="26"/>
      <c r="B18" s="26"/>
      <c r="C18" s="32"/>
      <c r="D18" s="33"/>
      <c r="E18" s="34"/>
      <c r="F18" s="18"/>
      <c r="G18" s="18"/>
      <c r="H18" s="18"/>
    </row>
    <row r="19" spans="1:8" x14ac:dyDescent="0.2">
      <c r="A19" s="35" t="s">
        <v>45</v>
      </c>
      <c r="B19" s="35"/>
      <c r="C19" s="36"/>
      <c r="D19" s="37">
        <v>578.31824700000004</v>
      </c>
      <c r="E19" s="38">
        <v>100</v>
      </c>
      <c r="F19" s="18"/>
      <c r="G19" s="18"/>
      <c r="H19" s="18"/>
    </row>
    <row r="21" spans="1:8" x14ac:dyDescent="0.2">
      <c r="A21" s="18" t="s">
        <v>732</v>
      </c>
    </row>
    <row r="23" spans="1:8" x14ac:dyDescent="0.2">
      <c r="A23" s="18" t="s">
        <v>48</v>
      </c>
    </row>
    <row r="24" spans="1:8" x14ac:dyDescent="0.2">
      <c r="A24" s="18" t="s">
        <v>49</v>
      </c>
    </row>
    <row r="25" spans="1:8" x14ac:dyDescent="0.2">
      <c r="A25" s="18" t="s">
        <v>50</v>
      </c>
      <c r="B25" s="18"/>
      <c r="C25" s="39" t="s">
        <v>52</v>
      </c>
      <c r="D25" s="41" t="s">
        <v>51</v>
      </c>
    </row>
    <row r="26" spans="1:8" x14ac:dyDescent="0.2">
      <c r="A26" s="9" t="s">
        <v>88</v>
      </c>
      <c r="C26" s="40">
        <v>52.207700000000003</v>
      </c>
      <c r="D26" s="40">
        <v>66.362399999999994</v>
      </c>
    </row>
    <row r="27" spans="1:8" x14ac:dyDescent="0.2">
      <c r="A27" s="9" t="s">
        <v>706</v>
      </c>
      <c r="C27" s="40">
        <v>18.421099999999999</v>
      </c>
      <c r="D27" s="40">
        <v>21.543700000000001</v>
      </c>
    </row>
    <row r="28" spans="1:8" x14ac:dyDescent="0.2">
      <c r="A28" s="9" t="s">
        <v>89</v>
      </c>
      <c r="C28" s="40">
        <v>54.593499999999999</v>
      </c>
      <c r="D28" s="40">
        <v>69.61</v>
      </c>
    </row>
    <row r="29" spans="1:8" x14ac:dyDescent="0.2">
      <c r="A29" s="9" t="s">
        <v>707</v>
      </c>
      <c r="C29" s="40">
        <v>19.484000000000002</v>
      </c>
      <c r="D29" s="40">
        <v>22.960799999999999</v>
      </c>
    </row>
    <row r="31" spans="1:8" x14ac:dyDescent="0.2">
      <c r="A31" s="18" t="s">
        <v>53</v>
      </c>
    </row>
    <row r="32" spans="1:8" x14ac:dyDescent="0.2">
      <c r="A32" s="74" t="s">
        <v>67</v>
      </c>
      <c r="B32" s="75"/>
      <c r="C32" s="44" t="s">
        <v>68</v>
      </c>
    </row>
    <row r="33" spans="1:4" x14ac:dyDescent="0.2">
      <c r="A33" s="68" t="s">
        <v>706</v>
      </c>
      <c r="B33" s="69"/>
      <c r="C33" s="45">
        <v>1.5</v>
      </c>
    </row>
    <row r="34" spans="1:4" x14ac:dyDescent="0.2">
      <c r="A34" s="68" t="s">
        <v>707</v>
      </c>
      <c r="B34" s="69"/>
      <c r="C34" s="45">
        <v>1.5</v>
      </c>
    </row>
    <row r="35" spans="1:4" x14ac:dyDescent="0.2">
      <c r="A35" s="9" t="s">
        <v>69</v>
      </c>
    </row>
    <row r="37" spans="1:4" x14ac:dyDescent="0.2">
      <c r="A37" s="18" t="s">
        <v>224</v>
      </c>
      <c r="D37" s="46">
        <v>0.25030000000000002</v>
      </c>
    </row>
    <row r="39" spans="1:4" x14ac:dyDescent="0.2">
      <c r="A39" s="18" t="s">
        <v>1477</v>
      </c>
      <c r="D39" s="19">
        <v>2</v>
      </c>
    </row>
    <row r="40" spans="1:4" x14ac:dyDescent="0.2">
      <c r="A40" s="9" t="s">
        <v>1103</v>
      </c>
    </row>
    <row r="41" spans="1:4" x14ac:dyDescent="0.2">
      <c r="A41" s="50" t="s">
        <v>1104</v>
      </c>
    </row>
    <row r="43" spans="1:4" x14ac:dyDescent="0.2">
      <c r="A43" s="18" t="s">
        <v>1479</v>
      </c>
    </row>
    <row r="44" spans="1:4" x14ac:dyDescent="0.2">
      <c r="A44" s="50" t="s">
        <v>56</v>
      </c>
    </row>
  </sheetData>
  <mergeCells count="4">
    <mergeCell ref="A1:E1"/>
    <mergeCell ref="A32:B32"/>
    <mergeCell ref="A33:B33"/>
    <mergeCell ref="A34:B34"/>
  </mergeCells>
  <conditionalFormatting sqref="E5:E10 E13:E19">
    <cfRule type="cellIs" dxfId="2" priority="1" stopIfTrue="1" operator="between">
      <formula>0.009</formula>
      <formula>-0.009</formula>
    </cfRule>
  </conditionalFormatting>
  <hyperlinks>
    <hyperlink ref="A44" r:id="rId1" xr:uid="{00000000-0004-0000-3B00-000000000000}"/>
    <hyperlink ref="A41" r:id="rId2" xr:uid="{00000000-0004-0000-3B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44"/>
  <sheetViews>
    <sheetView workbookViewId="0">
      <selection sqref="A1:E1"/>
    </sheetView>
  </sheetViews>
  <sheetFormatPr defaultColWidth="9.21875" defaultRowHeight="10.199999999999999" x14ac:dyDescent="0.2"/>
  <cols>
    <col min="1" max="1" width="35.77734375" style="9" bestFit="1" customWidth="1"/>
    <col min="2" max="2" width="50.77734375" style="9" customWidth="1"/>
    <col min="3" max="3" width="21.21875" style="9" bestFit="1" customWidth="1"/>
    <col min="4" max="4" width="23" style="10" bestFit="1" customWidth="1"/>
    <col min="5" max="5" width="13.5546875" style="13" bestFit="1" customWidth="1"/>
    <col min="6" max="16384" width="9.21875" style="9"/>
  </cols>
  <sheetData>
    <row r="1" spans="1:8" s="1" customFormat="1" ht="13.8" x14ac:dyDescent="0.2">
      <c r="A1" s="72" t="s">
        <v>29</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691</v>
      </c>
      <c r="B5" s="53"/>
      <c r="C5" s="23"/>
      <c r="D5" s="24"/>
      <c r="E5" s="25"/>
    </row>
    <row r="6" spans="1:8" x14ac:dyDescent="0.2">
      <c r="A6" s="27" t="s">
        <v>693</v>
      </c>
      <c r="B6" s="51" t="s">
        <v>692</v>
      </c>
      <c r="C6" s="31">
        <v>97361.114000000001</v>
      </c>
      <c r="D6" s="29">
        <v>627.25910250000004</v>
      </c>
      <c r="E6" s="30">
        <v>49.473628353616803</v>
      </c>
    </row>
    <row r="7" spans="1:8" x14ac:dyDescent="0.2">
      <c r="A7" s="27" t="s">
        <v>709</v>
      </c>
      <c r="B7" s="51" t="s">
        <v>708</v>
      </c>
      <c r="C7" s="31">
        <v>271378.80800000002</v>
      </c>
      <c r="D7" s="29">
        <v>219.55224010000001</v>
      </c>
      <c r="E7" s="30">
        <v>17.316681236860099</v>
      </c>
    </row>
    <row r="8" spans="1:8" x14ac:dyDescent="0.2">
      <c r="A8" s="27" t="s">
        <v>717</v>
      </c>
      <c r="B8" s="51" t="s">
        <v>716</v>
      </c>
      <c r="C8" s="31">
        <v>13983.744000000001</v>
      </c>
      <c r="D8" s="29">
        <v>189.80787369999999</v>
      </c>
      <c r="E8" s="30">
        <v>14.970662306210301</v>
      </c>
    </row>
    <row r="9" spans="1:8" x14ac:dyDescent="0.2">
      <c r="A9" s="27" t="s">
        <v>705</v>
      </c>
      <c r="B9" s="51" t="s">
        <v>704</v>
      </c>
      <c r="C9" s="31">
        <v>55329.252</v>
      </c>
      <c r="D9" s="29">
        <v>187.87899590000001</v>
      </c>
      <c r="E9" s="30">
        <v>14.8185264774333</v>
      </c>
    </row>
    <row r="10" spans="1:8" ht="20.399999999999999" x14ac:dyDescent="0.2">
      <c r="A10" s="27" t="s">
        <v>711</v>
      </c>
      <c r="B10" s="51" t="s">
        <v>710</v>
      </c>
      <c r="C10" s="31">
        <v>77152.252999999997</v>
      </c>
      <c r="D10" s="29">
        <v>28.627343499999998</v>
      </c>
      <c r="E10" s="30">
        <v>2.2579163019325499</v>
      </c>
    </row>
    <row r="11" spans="1:8" ht="20.399999999999999" x14ac:dyDescent="0.2">
      <c r="A11" s="27" t="s">
        <v>713</v>
      </c>
      <c r="B11" s="51" t="s">
        <v>712</v>
      </c>
      <c r="C11" s="31">
        <v>167004.62</v>
      </c>
      <c r="D11" s="29">
        <v>0</v>
      </c>
      <c r="E11" s="29">
        <v>0</v>
      </c>
    </row>
    <row r="12" spans="1:8" ht="20.399999999999999" x14ac:dyDescent="0.2">
      <c r="A12" s="27" t="s">
        <v>715</v>
      </c>
      <c r="B12" s="51" t="s">
        <v>714</v>
      </c>
      <c r="C12" s="31">
        <v>147479.853</v>
      </c>
      <c r="D12" s="29">
        <v>0</v>
      </c>
      <c r="E12" s="29">
        <v>0</v>
      </c>
    </row>
    <row r="13" spans="1:8" x14ac:dyDescent="0.2">
      <c r="A13" s="26" t="s">
        <v>40</v>
      </c>
      <c r="B13" s="54"/>
      <c r="C13" s="32"/>
      <c r="D13" s="33">
        <v>1253.1255557000002</v>
      </c>
      <c r="E13" s="34">
        <v>98.837414676053058</v>
      </c>
      <c r="F13" s="18"/>
      <c r="G13" s="18"/>
      <c r="H13" s="18"/>
    </row>
    <row r="14" spans="1:8" x14ac:dyDescent="0.2">
      <c r="A14" s="27"/>
      <c r="B14" s="27"/>
      <c r="C14" s="28"/>
      <c r="D14" s="29"/>
      <c r="E14" s="30"/>
    </row>
    <row r="15" spans="1:8" x14ac:dyDescent="0.2">
      <c r="A15" s="26" t="s">
        <v>44</v>
      </c>
      <c r="B15" s="26"/>
      <c r="C15" s="32"/>
      <c r="D15" s="33">
        <v>1253.1255557000002</v>
      </c>
      <c r="E15" s="34">
        <v>98.837414676053058</v>
      </c>
      <c r="F15" s="18"/>
      <c r="G15" s="18"/>
      <c r="H15" s="18"/>
    </row>
    <row r="16" spans="1:8" x14ac:dyDescent="0.2">
      <c r="A16" s="26"/>
      <c r="B16" s="26"/>
      <c r="C16" s="32"/>
      <c r="D16" s="33"/>
      <c r="E16" s="34"/>
      <c r="F16" s="18"/>
      <c r="G16" s="18"/>
      <c r="H16" s="18"/>
    </row>
    <row r="17" spans="1:8" x14ac:dyDescent="0.2">
      <c r="A17" s="26" t="s">
        <v>46</v>
      </c>
      <c r="B17" s="26"/>
      <c r="C17" s="32"/>
      <c r="D17" s="33">
        <v>14.740019099999927</v>
      </c>
      <c r="E17" s="34">
        <v>1.1625853239469421</v>
      </c>
      <c r="F17" s="18"/>
      <c r="G17" s="18"/>
      <c r="H17" s="18"/>
    </row>
    <row r="18" spans="1:8" x14ac:dyDescent="0.2">
      <c r="A18" s="26"/>
      <c r="B18" s="26"/>
      <c r="C18" s="32"/>
      <c r="D18" s="33"/>
      <c r="E18" s="34"/>
      <c r="F18" s="18"/>
      <c r="G18" s="18"/>
      <c r="H18" s="18"/>
    </row>
    <row r="19" spans="1:8" x14ac:dyDescent="0.2">
      <c r="A19" s="35" t="s">
        <v>45</v>
      </c>
      <c r="B19" s="35"/>
      <c r="C19" s="36"/>
      <c r="D19" s="37">
        <v>1267.8655748000001</v>
      </c>
      <c r="E19" s="38">
        <v>100</v>
      </c>
      <c r="F19" s="18"/>
      <c r="G19" s="18"/>
      <c r="H19" s="18"/>
    </row>
    <row r="21" spans="1:8" x14ac:dyDescent="0.2">
      <c r="A21" s="18" t="s">
        <v>732</v>
      </c>
    </row>
    <row r="23" spans="1:8" x14ac:dyDescent="0.2">
      <c r="A23" s="18" t="s">
        <v>48</v>
      </c>
    </row>
    <row r="24" spans="1:8" x14ac:dyDescent="0.2">
      <c r="A24" s="18" t="s">
        <v>49</v>
      </c>
    </row>
    <row r="25" spans="1:8" x14ac:dyDescent="0.2">
      <c r="A25" s="18" t="s">
        <v>50</v>
      </c>
      <c r="B25" s="18"/>
      <c r="C25" s="39" t="s">
        <v>52</v>
      </c>
      <c r="D25" s="41" t="s">
        <v>51</v>
      </c>
    </row>
    <row r="26" spans="1:8" x14ac:dyDescent="0.2">
      <c r="A26" s="9" t="s">
        <v>70</v>
      </c>
      <c r="C26" s="40">
        <v>75.284800000000004</v>
      </c>
      <c r="D26" s="40">
        <v>100.06959999999999</v>
      </c>
    </row>
    <row r="27" spans="1:8" x14ac:dyDescent="0.2">
      <c r="A27" s="9" t="s">
        <v>76</v>
      </c>
      <c r="C27" s="40">
        <v>24.6145</v>
      </c>
      <c r="D27" s="40">
        <v>30.101700000000001</v>
      </c>
    </row>
    <row r="28" spans="1:8" x14ac:dyDescent="0.2">
      <c r="A28" s="9" t="s">
        <v>73</v>
      </c>
      <c r="C28" s="40">
        <v>78.022599999999997</v>
      </c>
      <c r="D28" s="40">
        <v>104.0509</v>
      </c>
    </row>
    <row r="29" spans="1:8" x14ac:dyDescent="0.2">
      <c r="A29" s="9" t="s">
        <v>77</v>
      </c>
      <c r="C29" s="40">
        <v>25.731300000000001</v>
      </c>
      <c r="D29" s="40">
        <v>31.6874</v>
      </c>
    </row>
    <row r="31" spans="1:8" x14ac:dyDescent="0.2">
      <c r="A31" s="18" t="s">
        <v>53</v>
      </c>
    </row>
    <row r="32" spans="1:8" x14ac:dyDescent="0.2">
      <c r="A32" s="74" t="s">
        <v>67</v>
      </c>
      <c r="B32" s="75"/>
      <c r="C32" s="44" t="s">
        <v>68</v>
      </c>
    </row>
    <row r="33" spans="1:4" x14ac:dyDescent="0.2">
      <c r="A33" s="68" t="s">
        <v>76</v>
      </c>
      <c r="B33" s="69"/>
      <c r="C33" s="45">
        <v>2</v>
      </c>
    </row>
    <row r="34" spans="1:4" x14ac:dyDescent="0.2">
      <c r="A34" s="68" t="s">
        <v>77</v>
      </c>
      <c r="B34" s="69"/>
      <c r="C34" s="45">
        <v>2</v>
      </c>
    </row>
    <row r="35" spans="1:4" x14ac:dyDescent="0.2">
      <c r="A35" s="9" t="s">
        <v>69</v>
      </c>
    </row>
    <row r="37" spans="1:4" x14ac:dyDescent="0.2">
      <c r="A37" s="18" t="s">
        <v>224</v>
      </c>
      <c r="D37" s="46">
        <v>0.14069999999999999</v>
      </c>
    </row>
    <row r="39" spans="1:4" x14ac:dyDescent="0.2">
      <c r="A39" s="18" t="s">
        <v>1477</v>
      </c>
      <c r="D39" s="19">
        <v>2</v>
      </c>
    </row>
    <row r="40" spans="1:4" x14ac:dyDescent="0.2">
      <c r="A40" s="9" t="s">
        <v>1103</v>
      </c>
    </row>
    <row r="41" spans="1:4" x14ac:dyDescent="0.2">
      <c r="A41" s="50" t="s">
        <v>1104</v>
      </c>
    </row>
    <row r="43" spans="1:4" x14ac:dyDescent="0.2">
      <c r="A43" s="18" t="s">
        <v>1479</v>
      </c>
    </row>
    <row r="44" spans="1:4" x14ac:dyDescent="0.2">
      <c r="A44" s="50" t="s">
        <v>56</v>
      </c>
    </row>
  </sheetData>
  <mergeCells count="4">
    <mergeCell ref="A1:E1"/>
    <mergeCell ref="A32:B32"/>
    <mergeCell ref="A33:B33"/>
    <mergeCell ref="A34:B34"/>
  </mergeCells>
  <conditionalFormatting sqref="E5:E10 E13:E19">
    <cfRule type="cellIs" dxfId="1" priority="1" stopIfTrue="1" operator="between">
      <formula>0.009</formula>
      <formula>-0.009</formula>
    </cfRule>
  </conditionalFormatting>
  <hyperlinks>
    <hyperlink ref="A44" r:id="rId1" xr:uid="{00000000-0004-0000-3C00-000000000000}"/>
    <hyperlink ref="A41" r:id="rId2" xr:uid="{00000000-0004-0000-3C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41"/>
  <sheetViews>
    <sheetView workbookViewId="0">
      <selection sqref="A1:E1"/>
    </sheetView>
  </sheetViews>
  <sheetFormatPr defaultColWidth="9.21875" defaultRowHeight="10.199999999999999" x14ac:dyDescent="0.2"/>
  <cols>
    <col min="1" max="1" width="35.77734375" style="9" bestFit="1" customWidth="1"/>
    <col min="2" max="2" width="50.77734375" style="9" customWidth="1"/>
    <col min="3" max="3" width="21.21875" style="9" bestFit="1" customWidth="1"/>
    <col min="4" max="4" width="23" style="10" bestFit="1" customWidth="1"/>
    <col min="5" max="5" width="13.5546875" style="13" customWidth="1"/>
    <col min="6" max="16384" width="9.21875" style="9"/>
  </cols>
  <sheetData>
    <row r="1" spans="1:8" s="1" customFormat="1" ht="13.8" x14ac:dyDescent="0.2">
      <c r="A1" s="72" t="s">
        <v>30</v>
      </c>
      <c r="B1" s="73"/>
      <c r="C1" s="73"/>
      <c r="D1" s="73"/>
      <c r="E1" s="7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691</v>
      </c>
      <c r="B5" s="22"/>
      <c r="C5" s="23"/>
      <c r="D5" s="24"/>
      <c r="E5" s="25"/>
    </row>
    <row r="6" spans="1:8" ht="20.399999999999999" x14ac:dyDescent="0.2">
      <c r="A6" s="27" t="s">
        <v>718</v>
      </c>
      <c r="B6" s="51" t="s">
        <v>733</v>
      </c>
      <c r="C6" s="31">
        <v>4904744.8499999996</v>
      </c>
      <c r="D6" s="29">
        <v>40592.948519999998</v>
      </c>
      <c r="E6" s="30">
        <v>45.813339374994698</v>
      </c>
    </row>
    <row r="7" spans="1:8" ht="20.399999999999999" x14ac:dyDescent="0.2">
      <c r="A7" s="27" t="s">
        <v>697</v>
      </c>
      <c r="B7" s="51" t="s">
        <v>696</v>
      </c>
      <c r="C7" s="31">
        <v>618583.74899999995</v>
      </c>
      <c r="D7" s="29">
        <v>12936.70732</v>
      </c>
      <c r="E7" s="30">
        <v>14.6004117575773</v>
      </c>
    </row>
    <row r="8" spans="1:8" ht="20.399999999999999" x14ac:dyDescent="0.2">
      <c r="A8" s="27" t="s">
        <v>699</v>
      </c>
      <c r="B8" s="51" t="s">
        <v>698</v>
      </c>
      <c r="C8" s="31">
        <v>1370528.45</v>
      </c>
      <c r="D8" s="29">
        <v>0</v>
      </c>
      <c r="E8" s="29">
        <v>0</v>
      </c>
    </row>
    <row r="9" spans="1:8" ht="20.399999999999999" x14ac:dyDescent="0.2">
      <c r="A9" s="27" t="s">
        <v>701</v>
      </c>
      <c r="B9" s="51" t="s">
        <v>700</v>
      </c>
      <c r="C9" s="31">
        <v>1235134.5419999999</v>
      </c>
      <c r="D9" s="29">
        <v>0</v>
      </c>
      <c r="E9" s="29">
        <v>0</v>
      </c>
    </row>
    <row r="10" spans="1:8" x14ac:dyDescent="0.2">
      <c r="A10" s="26" t="s">
        <v>40</v>
      </c>
      <c r="B10" s="26"/>
      <c r="C10" s="32"/>
      <c r="D10" s="33">
        <v>53529.655839999999</v>
      </c>
      <c r="E10" s="34">
        <v>60.413751132571996</v>
      </c>
      <c r="F10" s="18"/>
      <c r="G10" s="18"/>
      <c r="H10" s="18"/>
    </row>
    <row r="11" spans="1:8" x14ac:dyDescent="0.2">
      <c r="A11" s="27"/>
      <c r="B11" s="27"/>
      <c r="C11" s="28"/>
      <c r="D11" s="29"/>
      <c r="E11" s="30"/>
    </row>
    <row r="12" spans="1:8" x14ac:dyDescent="0.2">
      <c r="A12" s="26" t="s">
        <v>44</v>
      </c>
      <c r="B12" s="26"/>
      <c r="C12" s="32"/>
      <c r="D12" s="33">
        <v>53529.655839999999</v>
      </c>
      <c r="E12" s="34">
        <v>60.413751132571996</v>
      </c>
      <c r="F12" s="18"/>
      <c r="G12" s="18"/>
      <c r="H12" s="18"/>
    </row>
    <row r="13" spans="1:8" x14ac:dyDescent="0.2">
      <c r="A13" s="26"/>
      <c r="B13" s="26"/>
      <c r="C13" s="32"/>
      <c r="D13" s="33"/>
      <c r="E13" s="34"/>
      <c r="F13" s="18"/>
      <c r="G13" s="18"/>
      <c r="H13" s="18"/>
    </row>
    <row r="14" spans="1:8" x14ac:dyDescent="0.2">
      <c r="A14" s="26" t="s">
        <v>46</v>
      </c>
      <c r="B14" s="26"/>
      <c r="C14" s="32"/>
      <c r="D14" s="33">
        <v>35075.4296521</v>
      </c>
      <c r="E14" s="34">
        <v>39.586248867428004</v>
      </c>
      <c r="F14" s="18"/>
      <c r="G14" s="18"/>
      <c r="H14" s="18"/>
    </row>
    <row r="15" spans="1:8" x14ac:dyDescent="0.2">
      <c r="A15" s="26"/>
      <c r="B15" s="26"/>
      <c r="C15" s="32"/>
      <c r="D15" s="33"/>
      <c r="E15" s="34"/>
      <c r="F15" s="18"/>
      <c r="G15" s="18"/>
      <c r="H15" s="18"/>
    </row>
    <row r="16" spans="1:8" x14ac:dyDescent="0.2">
      <c r="A16" s="35" t="s">
        <v>45</v>
      </c>
      <c r="B16" s="35"/>
      <c r="C16" s="36"/>
      <c r="D16" s="37">
        <v>88605.085492099999</v>
      </c>
      <c r="E16" s="38">
        <v>100</v>
      </c>
      <c r="F16" s="18"/>
      <c r="G16" s="18"/>
      <c r="H16" s="18"/>
    </row>
    <row r="18" spans="1:4" x14ac:dyDescent="0.2">
      <c r="A18" s="18" t="s">
        <v>732</v>
      </c>
    </row>
    <row r="20" spans="1:4" x14ac:dyDescent="0.2">
      <c r="A20" s="18" t="s">
        <v>48</v>
      </c>
    </row>
    <row r="21" spans="1:4" x14ac:dyDescent="0.2">
      <c r="A21" s="18" t="s">
        <v>49</v>
      </c>
    </row>
    <row r="22" spans="1:4" x14ac:dyDescent="0.2">
      <c r="A22" s="18" t="s">
        <v>50</v>
      </c>
      <c r="B22" s="18"/>
      <c r="C22" s="39" t="s">
        <v>52</v>
      </c>
      <c r="D22" s="41" t="s">
        <v>51</v>
      </c>
    </row>
    <row r="23" spans="1:4" x14ac:dyDescent="0.2">
      <c r="A23" s="9" t="s">
        <v>70</v>
      </c>
      <c r="C23" s="40">
        <v>70.453400000000002</v>
      </c>
      <c r="D23" s="40">
        <v>85.442899999999995</v>
      </c>
    </row>
    <row r="24" spans="1:4" x14ac:dyDescent="0.2">
      <c r="A24" s="9" t="s">
        <v>76</v>
      </c>
      <c r="C24" s="40">
        <v>27.600100000000001</v>
      </c>
      <c r="D24" s="40">
        <v>31.797599999999999</v>
      </c>
    </row>
    <row r="25" spans="1:4" x14ac:dyDescent="0.2">
      <c r="A25" s="9" t="s">
        <v>73</v>
      </c>
      <c r="C25" s="40">
        <v>76.006900000000002</v>
      </c>
      <c r="D25" s="40">
        <v>92.672499999999999</v>
      </c>
    </row>
    <row r="26" spans="1:4" x14ac:dyDescent="0.2">
      <c r="A26" s="9" t="s">
        <v>77</v>
      </c>
      <c r="C26" s="40">
        <v>30.646599999999999</v>
      </c>
      <c r="D26" s="40">
        <v>35.686500000000002</v>
      </c>
    </row>
    <row r="28" spans="1:4" x14ac:dyDescent="0.2">
      <c r="A28" s="18" t="s">
        <v>53</v>
      </c>
    </row>
    <row r="29" spans="1:4" x14ac:dyDescent="0.2">
      <c r="A29" s="74" t="s">
        <v>67</v>
      </c>
      <c r="B29" s="75"/>
      <c r="C29" s="44" t="s">
        <v>68</v>
      </c>
    </row>
    <row r="30" spans="1:4" x14ac:dyDescent="0.2">
      <c r="A30" s="68" t="s">
        <v>76</v>
      </c>
      <c r="B30" s="69"/>
      <c r="C30" s="45">
        <v>1.5</v>
      </c>
    </row>
    <row r="31" spans="1:4" x14ac:dyDescent="0.2">
      <c r="A31" s="68" t="s">
        <v>77</v>
      </c>
      <c r="B31" s="69"/>
      <c r="C31" s="45">
        <v>1.5</v>
      </c>
    </row>
    <row r="32" spans="1:4" x14ac:dyDescent="0.2">
      <c r="A32" s="9" t="s">
        <v>69</v>
      </c>
    </row>
    <row r="34" spans="1:4" x14ac:dyDescent="0.2">
      <c r="A34" s="18" t="s">
        <v>224</v>
      </c>
      <c r="D34" s="46">
        <v>4.9700000000000001E-2</v>
      </c>
    </row>
    <row r="36" spans="1:4" x14ac:dyDescent="0.2">
      <c r="A36" s="18" t="s">
        <v>1477</v>
      </c>
      <c r="D36" s="19">
        <v>2</v>
      </c>
    </row>
    <row r="37" spans="1:4" x14ac:dyDescent="0.2">
      <c r="A37" s="9" t="s">
        <v>1103</v>
      </c>
    </row>
    <row r="38" spans="1:4" x14ac:dyDescent="0.2">
      <c r="A38" s="50" t="s">
        <v>1104</v>
      </c>
    </row>
    <row r="40" spans="1:4" x14ac:dyDescent="0.2">
      <c r="A40" s="18" t="s">
        <v>1479</v>
      </c>
    </row>
    <row r="41" spans="1:4" x14ac:dyDescent="0.2">
      <c r="A41" s="50" t="s">
        <v>56</v>
      </c>
    </row>
  </sheetData>
  <mergeCells count="4">
    <mergeCell ref="A1:E1"/>
    <mergeCell ref="A29:B29"/>
    <mergeCell ref="A30:B30"/>
    <mergeCell ref="A31:B31"/>
  </mergeCells>
  <conditionalFormatting sqref="E5:E7 E10:E16">
    <cfRule type="cellIs" dxfId="0" priority="1" stopIfTrue="1" operator="between">
      <formula>0.009</formula>
      <formula>-0.009</formula>
    </cfRule>
  </conditionalFormatting>
  <hyperlinks>
    <hyperlink ref="A41" r:id="rId1" xr:uid="{00000000-0004-0000-3D00-000000000000}"/>
    <hyperlink ref="A38" r:id="rId2" xr:uid="{00000000-0004-0000-3D00-000001000000}"/>
  </hyperlinks>
  <pageMargins left="0.7" right="0.7" top="0.75" bottom="0.75" header="0.3" footer="0.3"/>
  <pageSetup paperSize="9" orientation="portrait" r:id="rId3"/>
  <headerFooter>
    <oddFooter>&amp;R&amp;1#&amp;"Calibri"&amp;10&amp;KFF0000|PUBLIC|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FILF</vt:lpstr>
      <vt:lpstr>FIONF</vt:lpstr>
      <vt:lpstr>FISF</vt:lpstr>
      <vt:lpstr>FIFRF</vt:lpstr>
      <vt:lpstr>FICDF</vt:lpstr>
      <vt:lpstr>FBPF</vt:lpstr>
      <vt:lpstr>FIGSF</vt:lpstr>
      <vt:lpstr>FIDA</vt:lpstr>
      <vt:lpstr>FILDF</vt:lpstr>
      <vt:lpstr>FIUBF</vt:lpstr>
      <vt:lpstr>FISTIP</vt:lpstr>
      <vt:lpstr>FIIOF</vt:lpstr>
      <vt:lpstr>FICRF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26 February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2021-03-09T05:23:50Z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2021-03-05T15:18:40Z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803ecbb9-2b39-4f8c-8205-7de8e10a21f2</vt:lpwstr>
  </property>
  <property fmtid="{D5CDD505-2E9C-101B-9397-08002B2CF9AE}" pid="10" name="MSIP_Label_3486a02c-2dfb-4efe-823f-aa2d1f0e6ab7_ContentBits">
    <vt:lpwstr>2</vt:lpwstr>
  </property>
  <property fmtid="{D5CDD505-2E9C-101B-9397-08002B2CF9AE}" pid="11" name="Classification">
    <vt:lpwstr>PUBLIC</vt:lpwstr>
  </property>
</Properties>
</file>