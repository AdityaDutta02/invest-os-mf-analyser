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7.xml" ContentType="application/vnd.openxmlformats-officedocument.spreadsheetml.worksheet+xml"/>
  <Override PartName="/xl/worksheets/sheet4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IND\SEBI Reports\2018-2019\Nov\ISIN\Final ISIN\"/>
    </mc:Choice>
  </mc:AlternateContent>
  <bookViews>
    <workbookView xWindow="0" yWindow="0" windowWidth="19200" windowHeight="8145" tabRatio="811"/>
  </bookViews>
  <sheets>
    <sheet name="TIIOF" sheetId="26" r:id="rId1"/>
    <sheet name="FIUBF" sheetId="45" r:id="rId2"/>
    <sheet name="FISTIP" sheetId="46" r:id="rId3"/>
    <sheet name="FISF" sheetId="47" r:id="rId4"/>
    <sheet name="FIPP" sheetId="48" r:id="rId5"/>
    <sheet name="FILF" sheetId="49" r:id="rId6"/>
    <sheet name="FILDF" sheetId="50" r:id="rId7"/>
    <sheet name="FIGSF" sheetId="51" r:id="rId8"/>
    <sheet name="FIFRF" sheetId="52" r:id="rId9"/>
    <sheet name="FIEHF" sheetId="53" r:id="rId10"/>
    <sheet name="FIDHY" sheetId="54" r:id="rId11"/>
    <sheet name="FIDA" sheetId="55" r:id="rId12"/>
    <sheet name="FICRF" sheetId="56" r:id="rId13"/>
    <sheet name="FICDF" sheetId="57" r:id="rId14"/>
    <sheet name="FBPF" sheetId="58" r:id="rId15"/>
    <sheet name="FMPS5A" sheetId="27" r:id="rId16"/>
    <sheet name="FMPS4F" sheetId="28" r:id="rId17"/>
    <sheet name="FMPS4E" sheetId="29" r:id="rId18"/>
    <sheet name="FMPS4D" sheetId="30" r:id="rId19"/>
    <sheet name="FMPS4C" sheetId="31" r:id="rId20"/>
    <sheet name="FMPS4B" sheetId="32" r:id="rId21"/>
    <sheet name="FMPS4A" sheetId="33" r:id="rId22"/>
    <sheet name="FMPS3F" sheetId="34" r:id="rId23"/>
    <sheet name="FMPS3E" sheetId="35" r:id="rId24"/>
    <sheet name="FMPS3D" sheetId="36" r:id="rId25"/>
    <sheet name="FMPS3C" sheetId="37" r:id="rId26"/>
    <sheet name="FMPS3B" sheetId="38" r:id="rId27"/>
    <sheet name="FMPS3A" sheetId="39" r:id="rId28"/>
    <sheet name="FMPS2C" sheetId="40" r:id="rId29"/>
    <sheet name="FMPS2B" sheetId="41" r:id="rId30"/>
    <sheet name="FMPS2A" sheetId="42" r:id="rId31"/>
    <sheet name="FMPS1B" sheetId="43" r:id="rId32"/>
    <sheet name="FMPS1A" sheetId="44" r:id="rId33"/>
    <sheet name="TIVF" sheetId="25" r:id="rId34"/>
    <sheet name="FIUS" sheetId="24" r:id="rId35"/>
    <sheet name="FEGF" sheetId="4" r:id="rId36"/>
    <sheet name="FITX" sheetId="23" r:id="rId37"/>
    <sheet name="FITF" sheetId="22" r:id="rId38"/>
    <sheet name="FISMF" sheetId="21" r:id="rId39"/>
    <sheet name="FIPF" sheetId="20" r:id="rId40"/>
    <sheet name="FIOF" sheetId="19" r:id="rId41"/>
    <sheet name="FIMAS" sheetId="18" r:id="rId42"/>
    <sheet name="FIIF-NSE" sheetId="17" r:id="rId43"/>
    <sheet name="FIFOF-50's+" sheetId="16" r:id="rId44"/>
    <sheet name="FIFOF-50's" sheetId="15" r:id="rId45"/>
    <sheet name="FIFOF-40's" sheetId="14" r:id="rId46"/>
    <sheet name="FIFOF-30's" sheetId="13" r:id="rId47"/>
    <sheet name="FIFOF-20's" sheetId="12" r:id="rId48"/>
    <sheet name="FIFEF" sheetId="11" r:id="rId49"/>
    <sheet name="FIEIF" sheetId="9" r:id="rId50"/>
    <sheet name="FIEF" sheetId="8" r:id="rId51"/>
    <sheet name="FIEAF" sheetId="7" r:id="rId52"/>
    <sheet name="FIBF" sheetId="6" r:id="rId53"/>
    <sheet name="FF" sheetId="5" r:id="rId54"/>
    <sheet name="FBIF" sheetId="3" r:id="rId55"/>
    <sheet name="FAEF" sheetId="2" r:id="rId56"/>
    <sheet name="FIESF" sheetId="10" r:id="rId57"/>
  </sheets>
  <definedNames>
    <definedName name="_xlnm._FilterDatabase" localSheetId="56" hidden="1">FIESF!$A$7:$G$59</definedName>
    <definedName name="_xlnm._FilterDatabase" localSheetId="37" hidden="1">FITF!$A$29:$F$36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4" i="58" l="1"/>
  <c r="F28" i="58"/>
  <c r="E28" i="58"/>
  <c r="F24" i="58"/>
  <c r="E24" i="58"/>
  <c r="F77" i="57"/>
  <c r="F71" i="57"/>
  <c r="E71" i="57"/>
  <c r="F67" i="57"/>
  <c r="E67" i="57"/>
  <c r="F56" i="57"/>
  <c r="E56" i="57"/>
  <c r="F118" i="56"/>
  <c r="F112" i="56"/>
  <c r="E112" i="56"/>
  <c r="F71" i="56"/>
  <c r="E71" i="56"/>
  <c r="F109" i="55"/>
  <c r="F103" i="55"/>
  <c r="E103" i="55"/>
  <c r="F55" i="55"/>
  <c r="E55" i="55"/>
  <c r="F71" i="54"/>
  <c r="F65" i="54"/>
  <c r="E65" i="54"/>
  <c r="F60" i="54"/>
  <c r="E60" i="54"/>
  <c r="F36" i="54"/>
  <c r="E36" i="54"/>
  <c r="F86" i="53"/>
  <c r="F80" i="53"/>
  <c r="E80" i="53"/>
  <c r="F75" i="53"/>
  <c r="E75" i="53"/>
  <c r="F71" i="53"/>
  <c r="E71" i="53"/>
  <c r="F66" i="53"/>
  <c r="E66" i="53"/>
  <c r="F48" i="53"/>
  <c r="E48" i="53"/>
  <c r="E25" i="52"/>
  <c r="E21" i="52"/>
  <c r="E12" i="52"/>
  <c r="E27" i="52" s="1"/>
  <c r="E31" i="52" s="1"/>
  <c r="F15" i="51"/>
  <c r="F9" i="51"/>
  <c r="E9" i="51"/>
  <c r="F115" i="50"/>
  <c r="F109" i="50"/>
  <c r="E109" i="50"/>
  <c r="F90" i="50"/>
  <c r="E90" i="50"/>
  <c r="F79" i="50"/>
  <c r="E79" i="50"/>
  <c r="F45" i="50"/>
  <c r="E45" i="50"/>
  <c r="F78" i="49"/>
  <c r="F72" i="49"/>
  <c r="E72" i="49"/>
  <c r="F24" i="49"/>
  <c r="E24" i="49"/>
  <c r="F14" i="49"/>
  <c r="E14" i="49"/>
  <c r="F78" i="48"/>
  <c r="F72" i="48"/>
  <c r="E72" i="48"/>
  <c r="F67" i="48"/>
  <c r="E67" i="48"/>
  <c r="F63" i="48"/>
  <c r="E63" i="48"/>
  <c r="F42" i="48"/>
  <c r="E42" i="48"/>
  <c r="F35" i="47"/>
  <c r="F29" i="47"/>
  <c r="E29" i="47"/>
  <c r="F14" i="47"/>
  <c r="E14" i="47"/>
  <c r="F156" i="46"/>
  <c r="F150" i="46"/>
  <c r="E150" i="46"/>
  <c r="F85" i="46"/>
  <c r="E85" i="46"/>
  <c r="E148" i="45"/>
  <c r="E152" i="45" s="1"/>
  <c r="E146" i="45"/>
  <c r="E118" i="45"/>
  <c r="E103" i="45"/>
  <c r="E57" i="45"/>
  <c r="F28" i="44"/>
  <c r="F22" i="44"/>
  <c r="E22" i="44"/>
  <c r="F18" i="44"/>
  <c r="E18" i="44"/>
  <c r="F28" i="43"/>
  <c r="F22" i="43"/>
  <c r="E22" i="43"/>
  <c r="F18" i="43"/>
  <c r="E18" i="43"/>
  <c r="F37" i="42"/>
  <c r="F31" i="42"/>
  <c r="E31" i="42"/>
  <c r="F26" i="42"/>
  <c r="E26" i="42"/>
  <c r="F33" i="41"/>
  <c r="F27" i="41"/>
  <c r="E27" i="41"/>
  <c r="F23" i="41"/>
  <c r="E23" i="41"/>
  <c r="F35" i="40"/>
  <c r="F29" i="40"/>
  <c r="E29" i="40"/>
  <c r="F24" i="40"/>
  <c r="E24" i="40"/>
  <c r="F31" i="39"/>
  <c r="F25" i="39"/>
  <c r="E25" i="39"/>
  <c r="F20" i="39"/>
  <c r="E20" i="39"/>
  <c r="F32" i="38"/>
  <c r="F26" i="38"/>
  <c r="E26" i="38"/>
  <c r="F21" i="38"/>
  <c r="E21" i="38"/>
  <c r="F34" i="37"/>
  <c r="F28" i="37"/>
  <c r="E28" i="37"/>
  <c r="F23" i="37"/>
  <c r="E23" i="37"/>
  <c r="F30" i="36"/>
  <c r="F24" i="36"/>
  <c r="E24" i="36"/>
  <c r="F20" i="36"/>
  <c r="E20" i="36"/>
  <c r="F33" i="35"/>
  <c r="F27" i="35"/>
  <c r="E27" i="35"/>
  <c r="F22" i="35"/>
  <c r="E22" i="35"/>
  <c r="F31" i="34"/>
  <c r="F25" i="34"/>
  <c r="E25" i="34"/>
  <c r="F21" i="34"/>
  <c r="E21" i="34"/>
  <c r="F29" i="33"/>
  <c r="F23" i="33"/>
  <c r="E23" i="33"/>
  <c r="F30" i="32"/>
  <c r="F24" i="32"/>
  <c r="E24" i="32"/>
  <c r="F27" i="31"/>
  <c r="F21" i="31"/>
  <c r="E21" i="31"/>
  <c r="F28" i="30"/>
  <c r="F22" i="30"/>
  <c r="E22" i="30"/>
  <c r="F18" i="30"/>
  <c r="E18" i="30"/>
  <c r="F26" i="29"/>
  <c r="F20" i="29"/>
  <c r="E20" i="29"/>
  <c r="F26" i="28"/>
  <c r="F20" i="28"/>
  <c r="E20" i="28"/>
  <c r="F16" i="28"/>
  <c r="E16" i="28"/>
  <c r="F26" i="27"/>
  <c r="F20" i="27"/>
  <c r="E20" i="27"/>
  <c r="F16" i="27"/>
  <c r="E16" i="27"/>
  <c r="F77" i="26"/>
  <c r="F71" i="26"/>
  <c r="E71" i="26"/>
  <c r="F42" i="26"/>
  <c r="E42" i="26"/>
  <c r="F11" i="52" l="1"/>
  <c r="F29" i="52"/>
  <c r="F20" i="52"/>
  <c r="F10" i="52"/>
  <c r="F19" i="52"/>
  <c r="F9" i="52"/>
  <c r="F18" i="52"/>
  <c r="F8" i="52"/>
  <c r="F12" i="52" s="1"/>
  <c r="F17" i="52"/>
  <c r="F16" i="52"/>
  <c r="F24" i="52"/>
  <c r="F25" i="52" s="1"/>
  <c r="F138" i="45"/>
  <c r="F130" i="45"/>
  <c r="F122" i="45"/>
  <c r="F113" i="45"/>
  <c r="F95" i="45"/>
  <c r="F87" i="45"/>
  <c r="F79" i="45"/>
  <c r="F71" i="45"/>
  <c r="F63" i="45"/>
  <c r="F54" i="45"/>
  <c r="F46" i="45"/>
  <c r="F38" i="45"/>
  <c r="F30" i="45"/>
  <c r="F22" i="45"/>
  <c r="F14" i="45"/>
  <c r="F131" i="45"/>
  <c r="F114" i="45"/>
  <c r="F72" i="45"/>
  <c r="F31" i="45"/>
  <c r="F137" i="45"/>
  <c r="F129" i="45"/>
  <c r="F121" i="45"/>
  <c r="F112" i="45"/>
  <c r="F102" i="45"/>
  <c r="F94" i="45"/>
  <c r="F86" i="45"/>
  <c r="F78" i="45"/>
  <c r="F70" i="45"/>
  <c r="F62" i="45"/>
  <c r="F53" i="45"/>
  <c r="F45" i="45"/>
  <c r="F37" i="45"/>
  <c r="F29" i="45"/>
  <c r="F21" i="45"/>
  <c r="F13" i="45"/>
  <c r="F139" i="45"/>
  <c r="F80" i="45"/>
  <c r="F23" i="45"/>
  <c r="F144" i="45"/>
  <c r="F136" i="45"/>
  <c r="F128" i="45"/>
  <c r="F111" i="45"/>
  <c r="F101" i="45"/>
  <c r="F93" i="45"/>
  <c r="F85" i="45"/>
  <c r="F77" i="45"/>
  <c r="F69" i="45"/>
  <c r="F61" i="45"/>
  <c r="F52" i="45"/>
  <c r="F44" i="45"/>
  <c r="F36" i="45"/>
  <c r="F28" i="45"/>
  <c r="F20" i="45"/>
  <c r="F12" i="45"/>
  <c r="F123" i="45"/>
  <c r="F88" i="45"/>
  <c r="F47" i="45"/>
  <c r="F143" i="45"/>
  <c r="F135" i="45"/>
  <c r="F127" i="45"/>
  <c r="F110" i="45"/>
  <c r="F100" i="45"/>
  <c r="F92" i="45"/>
  <c r="F84" i="45"/>
  <c r="F76" i="45"/>
  <c r="F68" i="45"/>
  <c r="F60" i="45"/>
  <c r="F51" i="45"/>
  <c r="F43" i="45"/>
  <c r="F35" i="45"/>
  <c r="F27" i="45"/>
  <c r="F19" i="45"/>
  <c r="F11" i="45"/>
  <c r="F55" i="45"/>
  <c r="F142" i="45"/>
  <c r="F134" i="45"/>
  <c r="F126" i="45"/>
  <c r="F117" i="45"/>
  <c r="F109" i="45"/>
  <c r="F99" i="45"/>
  <c r="F91" i="45"/>
  <c r="F83" i="45"/>
  <c r="F75" i="45"/>
  <c r="F67" i="45"/>
  <c r="F50" i="45"/>
  <c r="F42" i="45"/>
  <c r="F34" i="45"/>
  <c r="F26" i="45"/>
  <c r="F18" i="45"/>
  <c r="F10" i="45"/>
  <c r="F64" i="45"/>
  <c r="F150" i="45"/>
  <c r="F141" i="45"/>
  <c r="F133" i="45"/>
  <c r="F125" i="45"/>
  <c r="F116" i="45"/>
  <c r="F108" i="45"/>
  <c r="F98" i="45"/>
  <c r="F90" i="45"/>
  <c r="F82" i="45"/>
  <c r="F74" i="45"/>
  <c r="F66" i="45"/>
  <c r="F49" i="45"/>
  <c r="F41" i="45"/>
  <c r="F33" i="45"/>
  <c r="F25" i="45"/>
  <c r="F17" i="45"/>
  <c r="F9" i="45"/>
  <c r="F96" i="45"/>
  <c r="F39" i="45"/>
  <c r="F140" i="45"/>
  <c r="F132" i="45"/>
  <c r="F124" i="45"/>
  <c r="F115" i="45"/>
  <c r="F107" i="45"/>
  <c r="F97" i="45"/>
  <c r="F89" i="45"/>
  <c r="F81" i="45"/>
  <c r="F73" i="45"/>
  <c r="F65" i="45"/>
  <c r="F56" i="45"/>
  <c r="F48" i="45"/>
  <c r="F40" i="45"/>
  <c r="F32" i="45"/>
  <c r="F24" i="45"/>
  <c r="F16" i="45"/>
  <c r="F8" i="45"/>
  <c r="F15" i="45"/>
  <c r="G59" i="10"/>
  <c r="B100" i="10" s="1"/>
  <c r="F75" i="10"/>
  <c r="F70" i="10"/>
  <c r="F59" i="10"/>
  <c r="F77" i="10" s="1"/>
  <c r="F82" i="10" s="1"/>
  <c r="E75" i="10"/>
  <c r="F118" i="45" l="1"/>
  <c r="F103" i="45"/>
  <c r="F57" i="45"/>
  <c r="F21" i="52"/>
  <c r="F27" i="52" s="1"/>
  <c r="F31" i="52" s="1"/>
  <c r="F146" i="45"/>
  <c r="F148" i="45" s="1"/>
  <c r="F152" i="45" s="1"/>
  <c r="F57" i="2"/>
  <c r="E57" i="2"/>
  <c r="F48" i="3" l="1"/>
  <c r="E48" i="3"/>
  <c r="F44" i="3"/>
  <c r="E44" i="3"/>
  <c r="E14" i="5"/>
  <c r="D14" i="5"/>
  <c r="E10" i="5"/>
  <c r="D10" i="5"/>
  <c r="F54" i="6"/>
  <c r="E54" i="6"/>
  <c r="F50" i="6"/>
  <c r="E50" i="6"/>
  <c r="F74" i="7"/>
  <c r="F70" i="7"/>
  <c r="F68" i="7"/>
  <c r="F63" i="7"/>
  <c r="F59" i="7"/>
  <c r="E74" i="7"/>
  <c r="E70" i="7"/>
  <c r="E63" i="7"/>
  <c r="F66" i="8"/>
  <c r="E66" i="8"/>
  <c r="F65" i="9"/>
  <c r="E65" i="9"/>
  <c r="E45" i="11"/>
  <c r="E41" i="11"/>
  <c r="F39" i="11"/>
  <c r="E39" i="11"/>
  <c r="F64" i="17"/>
  <c r="E64" i="17"/>
  <c r="F60" i="17"/>
  <c r="E60" i="17"/>
  <c r="F58" i="17"/>
  <c r="E58" i="17"/>
  <c r="E9" i="18"/>
  <c r="D9" i="18"/>
  <c r="E15" i="18" l="1"/>
  <c r="D15" i="18"/>
  <c r="E11" i="18"/>
  <c r="D11" i="18"/>
  <c r="E59" i="19"/>
  <c r="F53" i="19"/>
  <c r="E53" i="19"/>
  <c r="F79" i="20"/>
  <c r="E79" i="20"/>
  <c r="E71" i="20"/>
  <c r="F71" i="20"/>
  <c r="E90" i="21" l="1"/>
  <c r="E86" i="21"/>
  <c r="F38" i="22" l="1"/>
  <c r="E38" i="22"/>
  <c r="F27" i="22"/>
  <c r="F42" i="22"/>
  <c r="F23" i="22"/>
  <c r="F45" i="22" s="1"/>
  <c r="E27" i="22"/>
  <c r="E42" i="22"/>
  <c r="F49" i="22" l="1"/>
  <c r="F74" i="23" l="1"/>
  <c r="E74" i="23"/>
  <c r="F70" i="23"/>
  <c r="E70" i="23"/>
  <c r="E11" i="4"/>
  <c r="D11" i="4"/>
  <c r="E7" i="4"/>
  <c r="D7" i="4"/>
  <c r="E11" i="24"/>
  <c r="D11" i="24"/>
  <c r="E7" i="24"/>
  <c r="D7" i="24"/>
  <c r="F48" i="25" l="1"/>
  <c r="E48" i="25"/>
  <c r="F44" i="25"/>
  <c r="E44" i="25"/>
  <c r="F42" i="25" l="1"/>
  <c r="E42" i="25"/>
  <c r="F38" i="25"/>
  <c r="E38" i="25"/>
  <c r="F68" i="23"/>
  <c r="E68" i="23"/>
  <c r="F62" i="23"/>
  <c r="E62" i="23"/>
  <c r="E23" i="22"/>
  <c r="E45" i="22" s="1"/>
  <c r="F84" i="21"/>
  <c r="F86" i="21" s="1"/>
  <c r="F90" i="21" s="1"/>
  <c r="E84" i="21"/>
  <c r="F67" i="20"/>
  <c r="F81" i="20" s="1"/>
  <c r="F85" i="20" s="1"/>
  <c r="E67" i="20"/>
  <c r="E81" i="20" s="1"/>
  <c r="E85" i="20" s="1"/>
  <c r="E55" i="19"/>
  <c r="F42" i="19"/>
  <c r="F55" i="19" s="1"/>
  <c r="F59" i="19" s="1"/>
  <c r="E42" i="19"/>
  <c r="E15" i="16"/>
  <c r="E9" i="16"/>
  <c r="D9" i="16"/>
  <c r="E16" i="15"/>
  <c r="E10" i="15"/>
  <c r="D10" i="15"/>
  <c r="E17" i="14"/>
  <c r="E11" i="14"/>
  <c r="D11" i="14"/>
  <c r="E17" i="13"/>
  <c r="E11" i="13"/>
  <c r="D11" i="13"/>
  <c r="E17" i="12"/>
  <c r="E11" i="12"/>
  <c r="D11" i="12"/>
  <c r="F35" i="11"/>
  <c r="F41" i="11" s="1"/>
  <c r="F45" i="11" s="1"/>
  <c r="E35" i="11"/>
  <c r="E70" i="10"/>
  <c r="E59" i="10"/>
  <c r="E77" i="10" s="1"/>
  <c r="E82" i="10" s="1"/>
  <c r="F40" i="9"/>
  <c r="E40" i="9"/>
  <c r="F36" i="9"/>
  <c r="E36" i="9"/>
  <c r="F58" i="8"/>
  <c r="F68" i="8" s="1"/>
  <c r="F72" i="8" s="1"/>
  <c r="E58" i="8"/>
  <c r="E68" i="8" s="1"/>
  <c r="E72" i="8" s="1"/>
  <c r="E68" i="7"/>
  <c r="E59" i="7"/>
  <c r="F48" i="6"/>
  <c r="E48" i="6"/>
  <c r="E8" i="5"/>
  <c r="D8" i="5"/>
  <c r="F42" i="3"/>
  <c r="E42" i="3"/>
  <c r="F18" i="2"/>
  <c r="F59" i="2" s="1"/>
  <c r="F63" i="2" s="1"/>
  <c r="E18" i="2"/>
  <c r="E59" i="2" s="1"/>
  <c r="E63" i="2" s="1"/>
  <c r="E67" i="9" l="1"/>
  <c r="E71" i="9" s="1"/>
  <c r="F67" i="9"/>
  <c r="F71" i="9" s="1"/>
  <c r="E49" i="22"/>
</calcChain>
</file>

<file path=xl/sharedStrings.xml><?xml version="1.0" encoding="utf-8"?>
<sst xmlns="http://schemas.openxmlformats.org/spreadsheetml/2006/main" count="7811" uniqueCount="1902">
  <si>
    <t>Franklin Asian Equity Fund As of Date -  30Nov2018</t>
  </si>
  <si>
    <t>ISIN Number</t>
  </si>
  <si>
    <t>Instrument Name</t>
  </si>
  <si>
    <t>Industry Classification</t>
  </si>
  <si>
    <t>Quantity</t>
  </si>
  <si>
    <t xml:space="preserve">Market Value(Rs. in Lakhs) </t>
  </si>
  <si>
    <t>% to Net Assets</t>
  </si>
  <si>
    <t>Equity &amp; Equity Related</t>
  </si>
  <si>
    <t>(a) Listed / awaiting listing on Stock Exchanges</t>
  </si>
  <si>
    <t>INE040A01026</t>
  </si>
  <si>
    <t>HDFC Bank Ltd.</t>
  </si>
  <si>
    <t>Banks</t>
  </si>
  <si>
    <t>INE053A01029</t>
  </si>
  <si>
    <t>Indian Hotels Co. Ltd.</t>
  </si>
  <si>
    <t>Hotels/resorts &amp; Other Recreational Acti</t>
  </si>
  <si>
    <t>INE849A01020</t>
  </si>
  <si>
    <t>Trent Ltd.</t>
  </si>
  <si>
    <t>Retailing</t>
  </si>
  <si>
    <t>INE038A01020</t>
  </si>
  <si>
    <t>Hindalco Industries Ltd.</t>
  </si>
  <si>
    <t>Non - Ferrous Metals</t>
  </si>
  <si>
    <t>INE093I01010</t>
  </si>
  <si>
    <t>Oberoi Realty Ltd.</t>
  </si>
  <si>
    <t>Construction</t>
  </si>
  <si>
    <t>INE298A01020</t>
  </si>
  <si>
    <t>Cummins India Ltd.</t>
  </si>
  <si>
    <t>Industrial Products</t>
  </si>
  <si>
    <t>INE669E01016</t>
  </si>
  <si>
    <t>Vodafone Idea Ltd.</t>
  </si>
  <si>
    <t>Telecom - Services</t>
  </si>
  <si>
    <t>INE338I01027</t>
  </si>
  <si>
    <t>Motilal Oswal Financial Services Ltd.</t>
  </si>
  <si>
    <t>Finance</t>
  </si>
  <si>
    <t>INE155A01022</t>
  </si>
  <si>
    <t>Tata Motors Ltd.</t>
  </si>
  <si>
    <t>Auto</t>
  </si>
  <si>
    <t>INE410P01011</t>
  </si>
  <si>
    <t>Narayana Hrudayalaya Ltd., Reg S</t>
  </si>
  <si>
    <t>Healthcare Services</t>
  </si>
  <si>
    <t>Total</t>
  </si>
  <si>
    <t>Foreign Equity Securities</t>
  </si>
  <si>
    <t>CNE1000002H1</t>
  </si>
  <si>
    <t>China Construction Bank Corp., H</t>
  </si>
  <si>
    <t>CNE1000003X6</t>
  </si>
  <si>
    <t>HK0000069689</t>
  </si>
  <si>
    <t>AIA Group Ltd.</t>
  </si>
  <si>
    <t>HK0669013440</t>
  </si>
  <si>
    <t>Techtronic Industries Co. Ltd.</t>
  </si>
  <si>
    <t>HK0883013259</t>
  </si>
  <si>
    <t>CNOOC Ltd.</t>
  </si>
  <si>
    <t>ID1000061302</t>
  </si>
  <si>
    <t>Indocement Tunggal Prakarsa Tbk PT</t>
  </si>
  <si>
    <t>Cement</t>
  </si>
  <si>
    <t>ID1000106800</t>
  </si>
  <si>
    <t>Semen Indonesia (Persero) Tbk PT</t>
  </si>
  <si>
    <t>ID1000109507</t>
  </si>
  <si>
    <t>Bank Central Asia Tbk PT</t>
  </si>
  <si>
    <t>ID1000113301</t>
  </si>
  <si>
    <t>Matahari Department Store Tbk PT</t>
  </si>
  <si>
    <t>ID1000125503</t>
  </si>
  <si>
    <t>ACE Hardware Indonesia Tbk PT</t>
  </si>
  <si>
    <t>KYG210961051</t>
  </si>
  <si>
    <t>China Mengniu Dairy Co. Ltd.</t>
  </si>
  <si>
    <t>KYG2121R1039</t>
  </si>
  <si>
    <t>China Literature Ltd.</t>
  </si>
  <si>
    <t>Media &amp; Entertainment</t>
  </si>
  <si>
    <t>KYG2162W1024</t>
  </si>
  <si>
    <t>China Yongda Automobiles Services Holdings Ltd.</t>
  </si>
  <si>
    <t>KYG2953R1149</t>
  </si>
  <si>
    <t>AAC Technologies Holdings Inc.</t>
  </si>
  <si>
    <t>Telecom - Equipment &amp; Accessories</t>
  </si>
  <si>
    <t>KYG8586D1097</t>
  </si>
  <si>
    <t>Sunny Optical Technology Group Co. Ltd.</t>
  </si>
  <si>
    <t>Hardware</t>
  </si>
  <si>
    <t>KYG875721634</t>
  </si>
  <si>
    <t>Tencent Holdings Ltd.</t>
  </si>
  <si>
    <t>Software</t>
  </si>
  <si>
    <t>LU0633102719</t>
  </si>
  <si>
    <t>Samsonite International SA</t>
  </si>
  <si>
    <t>Consumer Non Durables</t>
  </si>
  <si>
    <t>SG1L01001701</t>
  </si>
  <si>
    <t>DBS Group Holdings Ltd.</t>
  </si>
  <si>
    <t>TH0003010Z12</t>
  </si>
  <si>
    <t>The Siam Cement PCL, fgn.</t>
  </si>
  <si>
    <t>TH0016010017</t>
  </si>
  <si>
    <t>Kasikornbank PCL, fgn.</t>
  </si>
  <si>
    <t>TH0128B10Z17</t>
  </si>
  <si>
    <t>Minor International PCL, fgn.</t>
  </si>
  <si>
    <t>Hotels, Resorts And Other Recreational Activities</t>
  </si>
  <si>
    <t>TH0737010Y08</t>
  </si>
  <si>
    <t>CP All PCL</t>
  </si>
  <si>
    <t>TW0002330008</t>
  </si>
  <si>
    <t>Taiwan Semiconductor Manufacturing Co. Ltd.</t>
  </si>
  <si>
    <t>TW0003008009</t>
  </si>
  <si>
    <t>Largan Precision Co. Ltd.</t>
  </si>
  <si>
    <t>Consumer Durables</t>
  </si>
  <si>
    <t>TW0006414006</t>
  </si>
  <si>
    <t>Ennoconn Corp.</t>
  </si>
  <si>
    <t>US01609W1027</t>
  </si>
  <si>
    <t>Alibaba Group Holding Ltd., ADR</t>
  </si>
  <si>
    <t>US6475811070</t>
  </si>
  <si>
    <t>New Oriental Education &amp; Technology Group Inc., ADR</t>
  </si>
  <si>
    <t>Diversified Consumer Service</t>
  </si>
  <si>
    <t>Call, Cash &amp; Other Assets</t>
  </si>
  <si>
    <t>Net Asset</t>
  </si>
  <si>
    <t>Note</t>
  </si>
  <si>
    <t>a) NAV at the beginning and at the end of the Half-year ended 30Nov2018</t>
  </si>
  <si>
    <t>NAV as on 31-May-2018</t>
  </si>
  <si>
    <t>NAV as on 30-Nov-2018</t>
  </si>
  <si>
    <t>b) Dividends declared during the Half - year ended 30-Nov-2018</t>
  </si>
  <si>
    <t>Nil</t>
  </si>
  <si>
    <t>c) Portfolio Turnover Ratio during the Half - year 30-Nov-2018</t>
  </si>
  <si>
    <t>Franklin Build India Fund As of Date -  30Nov2018</t>
  </si>
  <si>
    <t>INE062A01020</t>
  </si>
  <si>
    <t>State Bank of India</t>
  </si>
  <si>
    <t>INE090A01021</t>
  </si>
  <si>
    <t>ICICI Bank Ltd.</t>
  </si>
  <si>
    <t>INE238A01034</t>
  </si>
  <si>
    <t>Axis Bank Ltd.</t>
  </si>
  <si>
    <t>INE397D01024</t>
  </si>
  <si>
    <t>Bharti Airtel Ltd.</t>
  </si>
  <si>
    <t>INE242A01010</t>
  </si>
  <si>
    <t>Indian Oil Corp. Ltd.</t>
  </si>
  <si>
    <t>Petroleum Products</t>
  </si>
  <si>
    <t>INE029A01011</t>
  </si>
  <si>
    <t>Bharat Petroleum Corp. Ltd.</t>
  </si>
  <si>
    <t>INE481G01011</t>
  </si>
  <si>
    <t>UltraTech Cement Ltd.</t>
  </si>
  <si>
    <t>INE733E01010</t>
  </si>
  <si>
    <t>NTPC Ltd.</t>
  </si>
  <si>
    <t>Power</t>
  </si>
  <si>
    <t>INE878B01027</t>
  </si>
  <si>
    <t>KEI Industries Ltd.</t>
  </si>
  <si>
    <t>INE129A01019</t>
  </si>
  <si>
    <t>GAIL India Ltd.</t>
  </si>
  <si>
    <t>Gas</t>
  </si>
  <si>
    <t>INE347G01014</t>
  </si>
  <si>
    <t>Petronet LNG Ltd.</t>
  </si>
  <si>
    <t>INE158A01026</t>
  </si>
  <si>
    <t>Hero Motocorp Ltd.</t>
  </si>
  <si>
    <t>INE513A01014</t>
  </si>
  <si>
    <t>Schaeffler India Ltd.</t>
  </si>
  <si>
    <t>INE070A01015</t>
  </si>
  <si>
    <t>Shree Cement Ltd.</t>
  </si>
  <si>
    <t>INE640A01023</t>
  </si>
  <si>
    <t>SKF India Ltd.</t>
  </si>
  <si>
    <t>INE139A01034</t>
  </si>
  <si>
    <t>National Aluminium Co. Ltd.</t>
  </si>
  <si>
    <t>INE058A01010</t>
  </si>
  <si>
    <t>Sanofi India Ltd.</t>
  </si>
  <si>
    <t>Pharmaceuticals</t>
  </si>
  <si>
    <t>INE786A01032</t>
  </si>
  <si>
    <t>JK Lakshmi Cement Ltd.</t>
  </si>
  <si>
    <t>INE671H01015</t>
  </si>
  <si>
    <t>Sobha Ltd.</t>
  </si>
  <si>
    <t>IN9155A01020</t>
  </si>
  <si>
    <t>Tata Motors Ltd., A</t>
  </si>
  <si>
    <t>INE285B01017</t>
  </si>
  <si>
    <t>SpiceJet Ltd.</t>
  </si>
  <si>
    <t>Transportation</t>
  </si>
  <si>
    <t>INE355A01028</t>
  </si>
  <si>
    <t>Somany Ceramics Ltd.</t>
  </si>
  <si>
    <t>INE227C01017</t>
  </si>
  <si>
    <t>M.M. Forgings Ltd.</t>
  </si>
  <si>
    <t>INE686A01026</t>
  </si>
  <si>
    <t>ITD Cementation India Ltd.</t>
  </si>
  <si>
    <t>INE752E01010</t>
  </si>
  <si>
    <t>Power Grid Corp. of India Ltd.</t>
  </si>
  <si>
    <t>INE349A01021</t>
  </si>
  <si>
    <t>NRB Bearings Ltd.</t>
  </si>
  <si>
    <t>INE111A01025</t>
  </si>
  <si>
    <t>Container Corp. of India Ltd.</t>
  </si>
  <si>
    <t>INE067A01029</t>
  </si>
  <si>
    <t>CG Power and Industrial Solutions Ltd.</t>
  </si>
  <si>
    <t>Industrial Capital Goods</t>
  </si>
  <si>
    <t>INE160A01022</t>
  </si>
  <si>
    <t>Punjab National Bank Ltd.</t>
  </si>
  <si>
    <t>INE871K01015</t>
  </si>
  <si>
    <t>Hindustan Media Ventures Ltd.</t>
  </si>
  <si>
    <t>INE472A01039</t>
  </si>
  <si>
    <t>Blue Star Ltd.</t>
  </si>
  <si>
    <r>
      <t>Franklin India Feeder - Franklin European Growth F</t>
    </r>
    <r>
      <rPr>
        <b/>
        <sz val="8"/>
        <color theme="1"/>
        <rFont val="Arial"/>
        <family val="2"/>
      </rPr>
      <t>und As of Date -  30Nov2018</t>
    </r>
  </si>
  <si>
    <t>INF090I01GK1</t>
  </si>
  <si>
    <t>INF090I01FN7</t>
  </si>
  <si>
    <r>
      <t>Franklin India Dynamic PE Ratio Fund of Funds As o</t>
    </r>
    <r>
      <rPr>
        <b/>
        <sz val="8"/>
        <color theme="1"/>
        <rFont val="Arial"/>
        <family val="2"/>
      </rPr>
      <t>f Date -  30Nov2018</t>
    </r>
  </si>
  <si>
    <t>INE009A01021</t>
  </si>
  <si>
    <t>Infosys Ltd.</t>
  </si>
  <si>
    <t>INE018A01030</t>
  </si>
  <si>
    <t>Larsen &amp; Toubro Ltd.</t>
  </si>
  <si>
    <t>Construction Project</t>
  </si>
  <si>
    <t>INE101A01026</t>
  </si>
  <si>
    <t>Mahindra &amp; Mahindra Ltd.</t>
  </si>
  <si>
    <t>INE237A01028</t>
  </si>
  <si>
    <t>Kotak Mahindra Bank Ltd.</t>
  </si>
  <si>
    <t>INE089A01023</t>
  </si>
  <si>
    <t>Dr Reddy's Laboratories Ltd.</t>
  </si>
  <si>
    <t>INE860A01027</t>
  </si>
  <si>
    <t>HCL Technologies Ltd.</t>
  </si>
  <si>
    <t>INE196A01026</t>
  </si>
  <si>
    <t>Marico Ltd.</t>
  </si>
  <si>
    <t>INE669C01036</t>
  </si>
  <si>
    <t>Tech Mahindra Ltd.</t>
  </si>
  <si>
    <t>INE326A01037</t>
  </si>
  <si>
    <t>Lupin Ltd.</t>
  </si>
  <si>
    <t>INE917I01010</t>
  </si>
  <si>
    <t>Bajaj Auto Ltd.</t>
  </si>
  <si>
    <t>INE012A01025</t>
  </si>
  <si>
    <t>ACC Ltd.</t>
  </si>
  <si>
    <t>INE016A01026</t>
  </si>
  <si>
    <t>Dabur India Ltd.</t>
  </si>
  <si>
    <t>INE010B01027</t>
  </si>
  <si>
    <t>Cadila Healthcare Ltd.</t>
  </si>
  <si>
    <t>INE528G01027</t>
  </si>
  <si>
    <t>Yes Bank Ltd.</t>
  </si>
  <si>
    <t>INE686F01025</t>
  </si>
  <si>
    <t>United Breweries Ltd.</t>
  </si>
  <si>
    <t>INE154A01025</t>
  </si>
  <si>
    <t>ITC Ltd.</t>
  </si>
  <si>
    <t>INE044A01036</t>
  </si>
  <si>
    <t>Sun Pharmaceutical Industries Ltd.</t>
  </si>
  <si>
    <t>INE079A01024</t>
  </si>
  <si>
    <t>Ambuja Cements Ltd.</t>
  </si>
  <si>
    <t>INE081A01012</t>
  </si>
  <si>
    <t>Tata Steel Ltd.</t>
  </si>
  <si>
    <t>Ferrous Metals</t>
  </si>
  <si>
    <t>INE226A01021</t>
  </si>
  <si>
    <t>Voltas Ltd.</t>
  </si>
  <si>
    <t>INE647O01011</t>
  </si>
  <si>
    <t>Aditya Birla Fashion and Retail Ltd.</t>
  </si>
  <si>
    <t>INE674K01013</t>
  </si>
  <si>
    <t>Aditya Birla Capital Ltd.</t>
  </si>
  <si>
    <t>INE263A01024</t>
  </si>
  <si>
    <t>Bharat Electronics Ltd.</t>
  </si>
  <si>
    <r>
      <t>Franklin India BlueChip Fund As of Date -  30Nov20</t>
    </r>
    <r>
      <rPr>
        <b/>
        <sz val="8"/>
        <color theme="1"/>
        <rFont val="Arial"/>
        <family val="2"/>
      </rPr>
      <t>18</t>
    </r>
  </si>
  <si>
    <t>INE259A01022</t>
  </si>
  <si>
    <t>Colgate-Palmolive India Ltd.</t>
  </si>
  <si>
    <t>INE531A01024</t>
  </si>
  <si>
    <t>Kansai Nerolac Paints Ltd.</t>
  </si>
  <si>
    <t>INE047A01021</t>
  </si>
  <si>
    <t>Grasim Industries Ltd.</t>
  </si>
  <si>
    <t>INE246F01010</t>
  </si>
  <si>
    <t>Gujarat State Petronet Ltd.</t>
  </si>
  <si>
    <t>INE245A01021</t>
  </si>
  <si>
    <t>Tata Power Co. Ltd.</t>
  </si>
  <si>
    <t>INE149A01033</t>
  </si>
  <si>
    <t>TI Financial Holdings Ltd.</t>
  </si>
  <si>
    <t>Auto Ancillaries</t>
  </si>
  <si>
    <t>INE169A01031</t>
  </si>
  <si>
    <t>Coromandel International Ltd.</t>
  </si>
  <si>
    <t>Fertilisers</t>
  </si>
  <si>
    <t>INE572E01012</t>
  </si>
  <si>
    <t>PNB Housing Finance Ltd.</t>
  </si>
  <si>
    <t>INE239A01016</t>
  </si>
  <si>
    <t>Nestle India Ltd.</t>
  </si>
  <si>
    <t>INE171A01029</t>
  </si>
  <si>
    <t>Federal Bank Ltd.</t>
  </si>
  <si>
    <t>INE486A01013</t>
  </si>
  <si>
    <t>CESC Ltd.</t>
  </si>
  <si>
    <t>INE536H01010</t>
  </si>
  <si>
    <t>Mahindra CIE Automotive Ltd.</t>
  </si>
  <si>
    <t>INE811K01011</t>
  </si>
  <si>
    <t>Prestige Estates Projects Ltd.</t>
  </si>
  <si>
    <t>INE438A01022</t>
  </si>
  <si>
    <t>Apollo Tyres Ltd.</t>
  </si>
  <si>
    <t>INE437A01024</t>
  </si>
  <si>
    <t>Apollo Hospitals Enterprise Ltd.</t>
  </si>
  <si>
    <t>INE152A01029</t>
  </si>
  <si>
    <t>Thermax Ltd.</t>
  </si>
  <si>
    <t>INE787D01026</t>
  </si>
  <si>
    <t>Balkrishna Industries Ltd.</t>
  </si>
  <si>
    <t>INE685A01028</t>
  </si>
  <si>
    <t>Torrent Pharmaceuticals Ltd.</t>
  </si>
  <si>
    <t>INE562A01011</t>
  </si>
  <si>
    <t>Indian Bank</t>
  </si>
  <si>
    <t>INE199G01027</t>
  </si>
  <si>
    <t>Jagran Prakashan Ltd.</t>
  </si>
  <si>
    <t>INE988K01017</t>
  </si>
  <si>
    <t>Equitas Holdings Ltd.</t>
  </si>
  <si>
    <t>INE094A01015</t>
  </si>
  <si>
    <t>Hindustan Petroleum Corp. Ltd.</t>
  </si>
  <si>
    <t>INE836F01026</t>
  </si>
  <si>
    <t>Dish TV India Ltd.</t>
  </si>
  <si>
    <t>INE885A01032</t>
  </si>
  <si>
    <t>Amara Raja Batteries Ltd.</t>
  </si>
  <si>
    <t>INE585B01010</t>
  </si>
  <si>
    <t>Maruti Suzuki India Ltd.</t>
  </si>
  <si>
    <t>INE151A01013</t>
  </si>
  <si>
    <t>Tata Communications Ltd.</t>
  </si>
  <si>
    <t>INE049A01027</t>
  </si>
  <si>
    <t>Himatsingka Seide Ltd.</t>
  </si>
  <si>
    <t>Textile Products</t>
  </si>
  <si>
    <t>(b)Unlisted</t>
  </si>
  <si>
    <t>INE020801028</t>
  </si>
  <si>
    <t>RP-SG Retail Ltd.</t>
  </si>
  <si>
    <t>Unlisted</t>
  </si>
  <si>
    <t>INE425Y01011</t>
  </si>
  <si>
    <t>RP-SG Business Process Services Ltd.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</si>
  <si>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30Nov2018</t>
    </r>
  </si>
  <si>
    <t>Franklin India Equity Fund As of Date -  30Nov2018</t>
  </si>
  <si>
    <t>INE663F01024</t>
  </si>
  <si>
    <t>Info Edge India Ltd.</t>
  </si>
  <si>
    <t>INE176A01028</t>
  </si>
  <si>
    <t>Bata India Ltd.</t>
  </si>
  <si>
    <t>INE494B01023</t>
  </si>
  <si>
    <t>TVS Motor Co. Ltd.</t>
  </si>
  <si>
    <t>INE462A01022</t>
  </si>
  <si>
    <t>Bayer Cropscience Ltd.</t>
  </si>
  <si>
    <t>Pesticides</t>
  </si>
  <si>
    <t>INE183A01016</t>
  </si>
  <si>
    <t>Finolex Industries Ltd.</t>
  </si>
  <si>
    <t>INE055A01016</t>
  </si>
  <si>
    <t>Century Textiles &amp; Industries Ltd.</t>
  </si>
  <si>
    <t>INE036D01028</t>
  </si>
  <si>
    <t>Karur Vysya Bank Ltd.</t>
  </si>
  <si>
    <t>INE517F01014</t>
  </si>
  <si>
    <t>Gujarat Pipavav Port Ltd.</t>
  </si>
  <si>
    <t>INE034A01011</t>
  </si>
  <si>
    <t>Arvind Ltd.</t>
  </si>
  <si>
    <t>INE668F01031</t>
  </si>
  <si>
    <t>Jyothy Laboratories Ltd.</t>
  </si>
  <si>
    <t>INE763G01038</t>
  </si>
  <si>
    <t>ICICI Securities Ltd.</t>
  </si>
  <si>
    <t/>
  </si>
  <si>
    <t>Numero Uno International Ltd.</t>
  </si>
  <si>
    <t>Quantum Information Systems</t>
  </si>
  <si>
    <t>INE696201123</t>
  </si>
  <si>
    <t>Quantum Information Services</t>
  </si>
  <si>
    <t>INE118A01012</t>
  </si>
  <si>
    <t>Bajaj Holdings &amp; Investment Ltd.</t>
  </si>
  <si>
    <t>INE002A01018</t>
  </si>
  <si>
    <t>Reliance Industries Ltd.</t>
  </si>
  <si>
    <t>INE092A01019</t>
  </si>
  <si>
    <t>Tata Chemicals Ltd.</t>
  </si>
  <si>
    <t>Chemicals</t>
  </si>
  <si>
    <t>INE672A01018</t>
  </si>
  <si>
    <t>Tata Investment Corp. Ltd.</t>
  </si>
  <si>
    <t>INE935A01035</t>
  </si>
  <si>
    <t>Glenmark Pharmaceuticals Ltd.</t>
  </si>
  <si>
    <t>INE823G01014</t>
  </si>
  <si>
    <t>JK Cement Ltd.</t>
  </si>
  <si>
    <t>INE376G01013</t>
  </si>
  <si>
    <t>Biocon Ltd.</t>
  </si>
  <si>
    <t>INE522F01014</t>
  </si>
  <si>
    <t>Coal India Ltd.</t>
  </si>
  <si>
    <t>Minerals/mining</t>
  </si>
  <si>
    <t>INE532F01054</t>
  </si>
  <si>
    <t>Edelweiss Financial Services Ltd.</t>
  </si>
  <si>
    <t>INE205A01025</t>
  </si>
  <si>
    <t>Vedanta Ltd.</t>
  </si>
  <si>
    <t>INE825A01012</t>
  </si>
  <si>
    <t>Vardhman Textiles Ltd.</t>
  </si>
  <si>
    <t>Textiles - Cotton</t>
  </si>
  <si>
    <t>INE891D01026</t>
  </si>
  <si>
    <t>Redington India Ltd.</t>
  </si>
  <si>
    <t>INE498L01015</t>
  </si>
  <si>
    <t>L&amp;T Finance Holdings Ltd.</t>
  </si>
  <si>
    <t>INE128A01029</t>
  </si>
  <si>
    <t>Eveready Industries India Ltd.</t>
  </si>
  <si>
    <t>INE213A01029</t>
  </si>
  <si>
    <t>Oil &amp; Natural Gas Corp. Ltd.</t>
  </si>
  <si>
    <t>Oil</t>
  </si>
  <si>
    <t>INE064C01014</t>
  </si>
  <si>
    <t>Trident Ltd.</t>
  </si>
  <si>
    <t>INE017A01032</t>
  </si>
  <si>
    <t>Great Eastern Shipping Co. Ltd.</t>
  </si>
  <si>
    <t>INE576I01022</t>
  </si>
  <si>
    <t>J. Kumar Infraprojects Ltd.</t>
  </si>
  <si>
    <t>INE00R701017</t>
  </si>
  <si>
    <t>Odisha Cement Ltd.</t>
  </si>
  <si>
    <t>BMG2442N1048</t>
  </si>
  <si>
    <t>COSCO Shipping Ports Ltd.</t>
  </si>
  <si>
    <t>BMG4977W1038</t>
  </si>
  <si>
    <t>I.T Ltd.</t>
  </si>
  <si>
    <t>BMG570071099</t>
  </si>
  <si>
    <t>Luye Pharma Group Ltd.</t>
  </si>
  <si>
    <t>CNE1000004J3</t>
  </si>
  <si>
    <t>TravelSky Technology Ltd., H</t>
  </si>
  <si>
    <t>HK0165000859</t>
  </si>
  <si>
    <t>China Everbright Ltd.</t>
  </si>
  <si>
    <t>KYG4387E1070</t>
  </si>
  <si>
    <t>Health &amp; Happiness H&amp;H International Holdings Ltd.</t>
  </si>
  <si>
    <t>KYG982771092</t>
  </si>
  <si>
    <t>Xtep International Holdings Ltd.</t>
  </si>
  <si>
    <t>KYG9829N1025</t>
  </si>
  <si>
    <t>Xinyi Solar Holdings Ltd.</t>
  </si>
  <si>
    <t>TH0528010Z18</t>
  </si>
  <si>
    <t>Delta Electronics Thailand PCL, fgn.</t>
  </si>
  <si>
    <t>TH0999010Z11</t>
  </si>
  <si>
    <t>TISCO Financial Group PCL, fgn.</t>
  </si>
  <si>
    <t>TW0001565000</t>
  </si>
  <si>
    <t>St. Shine Optical Co. Ltd.</t>
  </si>
  <si>
    <t>TW0003034005</t>
  </si>
  <si>
    <t>Novatek Microelectronics Corp. Ltd.</t>
  </si>
  <si>
    <t>Semiconductors</t>
  </si>
  <si>
    <t>TW0004126008</t>
  </si>
  <si>
    <t>Pacific Hospital Supply Co. Ltd.</t>
  </si>
  <si>
    <t>TW0004915004</t>
  </si>
  <si>
    <t>Primax Electronics Ltd.</t>
  </si>
  <si>
    <t>TW0008044009</t>
  </si>
  <si>
    <t>PChome Online Inc.</t>
  </si>
  <si>
    <r>
      <t>Templeton India Equity Income Fund As of Date -  3</t>
    </r>
    <r>
      <rPr>
        <b/>
        <sz val="8"/>
        <color theme="1"/>
        <rFont val="Arial"/>
        <family val="2"/>
      </rPr>
      <t>0Nov2018</t>
    </r>
  </si>
  <si>
    <t>INE208A01029</t>
  </si>
  <si>
    <t>Ashok Leyland Ltd.</t>
  </si>
  <si>
    <t>INE280A01028</t>
  </si>
  <si>
    <t>Titan Co. Ltd.</t>
  </si>
  <si>
    <t>INE584A01023</t>
  </si>
  <si>
    <t>NMDC Ltd.</t>
  </si>
  <si>
    <t>INE093A01033</t>
  </si>
  <si>
    <t>Hexaware Technologies Ltd.</t>
  </si>
  <si>
    <t>INE296A01024</t>
  </si>
  <si>
    <t>Bajaj Finance Ltd.</t>
  </si>
  <si>
    <t>INE406A01037</t>
  </si>
  <si>
    <t>Aurobindo Pharma Ltd.</t>
  </si>
  <si>
    <t>INE001A01036</t>
  </si>
  <si>
    <t>Housing Development Finance Corp. Ltd.</t>
  </si>
  <si>
    <t>INE148I01020</t>
  </si>
  <si>
    <t>Indiabulls Housing Finance Ltd.</t>
  </si>
  <si>
    <t>INE028A01039</t>
  </si>
  <si>
    <t>Bank of Baroda</t>
  </si>
  <si>
    <t>Debt Instruments</t>
  </si>
  <si>
    <t>INE134E08IW3</t>
  </si>
  <si>
    <t>CRISIL AAA</t>
  </si>
  <si>
    <t>INE906B07FE6</t>
  </si>
  <si>
    <t>INE523H07866</t>
  </si>
  <si>
    <t>ICRA AA</t>
  </si>
  <si>
    <t>INE115A07HN3</t>
  </si>
  <si>
    <t>INE851M07119</t>
  </si>
  <si>
    <t>IND AAA</t>
  </si>
  <si>
    <t>INE205A07113</t>
  </si>
  <si>
    <t>CRISIL AA</t>
  </si>
  <si>
    <r>
      <t>Franklin India Equity Savings Fund As of Date -  3</t>
    </r>
    <r>
      <rPr>
        <b/>
        <sz val="8"/>
        <color theme="1"/>
        <rFont val="Arial"/>
        <family val="2"/>
      </rPr>
      <t>0Nov2018</t>
    </r>
  </si>
  <si>
    <t>INE358A01014</t>
  </si>
  <si>
    <t>Abbott India Ltd.</t>
  </si>
  <si>
    <t>INE603J01030</t>
  </si>
  <si>
    <t>PI Industries Ltd.</t>
  </si>
  <si>
    <t>INE876N01018</t>
  </si>
  <si>
    <t>Orient Cement Ltd.</t>
  </si>
  <si>
    <t>INE373A01013</t>
  </si>
  <si>
    <t>BASF India Ltd.</t>
  </si>
  <si>
    <t>INE334L01012</t>
  </si>
  <si>
    <t>Ujjivan Financial Services Ltd.</t>
  </si>
  <si>
    <r>
      <t>Franklin India Focused Equity Fund As of Date -  3</t>
    </r>
    <r>
      <rPr>
        <b/>
        <sz val="8"/>
        <color theme="1"/>
        <rFont val="Arial"/>
        <family val="2"/>
      </rPr>
      <t>0Nov2018</t>
    </r>
  </si>
  <si>
    <t>INF090I01GY2</t>
  </si>
  <si>
    <t>INF090I01FH9</t>
  </si>
  <si>
    <t>INF090I01FW8</t>
  </si>
  <si>
    <t>INF090I01HB8</t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</si>
  <si>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30Nov2018</t>
    </r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</si>
  <si>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30Nov2018</t>
    </r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</si>
  <si>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30Nov2018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</si>
  <si>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30Nov2018</t>
    </r>
  </si>
  <si>
    <t>INF090I01GV8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</si>
  <si>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30Nov2018</t>
    </r>
  </si>
  <si>
    <t>INE467B01029</t>
  </si>
  <si>
    <t>Tata Consultancy Services Ltd.</t>
  </si>
  <si>
    <t>INE030A01027</t>
  </si>
  <si>
    <t>Hindustan Unilever Ltd.</t>
  </si>
  <si>
    <t>INE095A01012</t>
  </si>
  <si>
    <t>IndusInd Bank Ltd.</t>
  </si>
  <si>
    <t>INE021A01026</t>
  </si>
  <si>
    <t>Asian Paints Ltd.</t>
  </si>
  <si>
    <t>INE918I01018</t>
  </si>
  <si>
    <t>Bajaj Finserv Ltd.</t>
  </si>
  <si>
    <t>INE019A01038</t>
  </si>
  <si>
    <t>JSW Steel Ltd.</t>
  </si>
  <si>
    <t>INE075A01022</t>
  </si>
  <si>
    <t>Wipro Ltd.</t>
  </si>
  <si>
    <t>INE066A01013</t>
  </si>
  <si>
    <t>Eicher Motors Ltd.</t>
  </si>
  <si>
    <t>INE059A01026</t>
  </si>
  <si>
    <t>Cipla Ltd.</t>
  </si>
  <si>
    <t>INE742F01042</t>
  </si>
  <si>
    <t>Adani Ports And Special Economic Zone Ltd.</t>
  </si>
  <si>
    <t>INE256A01028</t>
  </si>
  <si>
    <t>Zee Entertainment Enterprises Ltd.</t>
  </si>
  <si>
    <t>INE628A01036</t>
  </si>
  <si>
    <t>UPL Ltd.</t>
  </si>
  <si>
    <t>INE121J01017</t>
  </si>
  <si>
    <t>Bharti Infratel Ltd.</t>
  </si>
  <si>
    <t>Telecom -  Equipment &amp; Accessories</t>
  </si>
  <si>
    <r>
      <t>Franklin India Index Fund - NSE Nifty Plan As of D</t>
    </r>
    <r>
      <rPr>
        <b/>
        <sz val="8"/>
        <color theme="1"/>
        <rFont val="Arial"/>
        <family val="2"/>
      </rPr>
      <t>ate -  30Nov2018</t>
    </r>
  </si>
  <si>
    <r>
      <t>Franklin India Multi-Asset Solution Fund As of Dat</t>
    </r>
    <r>
      <rPr>
        <b/>
        <sz val="8"/>
        <color theme="1"/>
        <rFont val="Arial"/>
        <family val="2"/>
      </rPr>
      <t>e -  30Nov2018</t>
    </r>
  </si>
  <si>
    <t>INE442H01029</t>
  </si>
  <si>
    <t>Ashoka Buildcon Ltd.</t>
  </si>
  <si>
    <t>INE264A01014</t>
  </si>
  <si>
    <t>GlaxoSmithKline Consumer Healthcare Ltd.</t>
  </si>
  <si>
    <t>INE612J01015</t>
  </si>
  <si>
    <t>Repco Home Finance Ltd.</t>
  </si>
  <si>
    <t>INE202Z01029</t>
  </si>
  <si>
    <t>Sundaram Finance Holdings Ltd.</t>
  </si>
  <si>
    <t>INE029L01018</t>
  </si>
  <si>
    <t>Kalyani Investment Co. Ltd.</t>
  </si>
  <si>
    <t>INE230A01023</t>
  </si>
  <si>
    <t>EIH Ltd.</t>
  </si>
  <si>
    <t>Brillio Technologies Pvt. Ltd.</t>
  </si>
  <si>
    <t>Chennai Interactive Business Services Pvt Ltd.</t>
  </si>
  <si>
    <r>
      <t>Franklin India Opportunities Fund As of Date -  30</t>
    </r>
    <r>
      <rPr>
        <b/>
        <sz val="8"/>
        <color theme="1"/>
        <rFont val="Arial"/>
        <family val="2"/>
      </rPr>
      <t>Nov2018</t>
    </r>
  </si>
  <si>
    <t>Franklin India Prima Fund As of Date -  30Nov2018</t>
  </si>
  <si>
    <t>INE235A01022</t>
  </si>
  <si>
    <t>Finolex Cables Ltd.</t>
  </si>
  <si>
    <t>INE491A01021</t>
  </si>
  <si>
    <t>City Union Bank Ltd.</t>
  </si>
  <si>
    <t>INE342J01019</t>
  </si>
  <si>
    <t>Wabco India Ltd.</t>
  </si>
  <si>
    <t>INE115A01026</t>
  </si>
  <si>
    <t>LIC Housing Finance Ltd.</t>
  </si>
  <si>
    <t>INE331A01037</t>
  </si>
  <si>
    <t>Ramco Cements Ltd.</t>
  </si>
  <si>
    <t>INE299U01018</t>
  </si>
  <si>
    <t>Crompton Greaves Consumer Electricals Ltd.</t>
  </si>
  <si>
    <t>INE212H01026</t>
  </si>
  <si>
    <t>AIA Engineering Ltd.</t>
  </si>
  <si>
    <t>INE203G01027</t>
  </si>
  <si>
    <t>Indraprastha Gas Ltd.</t>
  </si>
  <si>
    <t>INE660A01013</t>
  </si>
  <si>
    <t>Sundaram Finance Ltd.</t>
  </si>
  <si>
    <t>INE716A01013</t>
  </si>
  <si>
    <t>Whirlpool of India Ltd.</t>
  </si>
  <si>
    <t>INE548C01032</t>
  </si>
  <si>
    <t>Emami Ltd.</t>
  </si>
  <si>
    <t>INE018I01017</t>
  </si>
  <si>
    <t>Mindtree Ltd.</t>
  </si>
  <si>
    <t>INE217B01036</t>
  </si>
  <si>
    <t>Kajaria Ceramics Ltd.</t>
  </si>
  <si>
    <t>INE976G01028</t>
  </si>
  <si>
    <t>RBL Bank Ltd., Reg S</t>
  </si>
  <si>
    <t>INE465A01025</t>
  </si>
  <si>
    <t>Bharat Forge Ltd.</t>
  </si>
  <si>
    <t>INE302A01020</t>
  </si>
  <si>
    <t>Exide Industries Ltd.</t>
  </si>
  <si>
    <t>INE133A01011</t>
  </si>
  <si>
    <t>Akzo Nobel India Ltd.</t>
  </si>
  <si>
    <t>INE705G01021</t>
  </si>
  <si>
    <t>Him Teknoforge Ltd.</t>
  </si>
  <si>
    <t>INE136B01020</t>
  </si>
  <si>
    <t>Cyient Ltd.</t>
  </si>
  <si>
    <t>INE288B01029</t>
  </si>
  <si>
    <t>Deepak Nitrite Ltd.</t>
  </si>
  <si>
    <t>INE738I01010</t>
  </si>
  <si>
    <t>eClerx Services Ltd.</t>
  </si>
  <si>
    <t>INE100A01010</t>
  </si>
  <si>
    <t>Atul Ltd.</t>
  </si>
  <si>
    <t>INE919I01016</t>
  </si>
  <si>
    <t>Music Broadcast Ltd., Reg S</t>
  </si>
  <si>
    <t>INE600L01024</t>
  </si>
  <si>
    <t>Dr Lal PathLabs Ltd.</t>
  </si>
  <si>
    <t>INE791I01019</t>
  </si>
  <si>
    <t>Brigade Enterprises Ltd.</t>
  </si>
  <si>
    <t>INE317F01035</t>
  </si>
  <si>
    <t>Nesco Ltd.</t>
  </si>
  <si>
    <t>Commercial Services</t>
  </si>
  <si>
    <t>INE054A01027</t>
  </si>
  <si>
    <t>VIP Industries Ltd.</t>
  </si>
  <si>
    <t>INE635Q01029</t>
  </si>
  <si>
    <t>Gulf Oil Lubricants India Ltd.</t>
  </si>
  <si>
    <t>INE463A01038</t>
  </si>
  <si>
    <t>Berger Paints India Ltd.</t>
  </si>
  <si>
    <t>INE752H01013</t>
  </si>
  <si>
    <t>Care Ratings Ltd.</t>
  </si>
  <si>
    <t>INE120A01034</t>
  </si>
  <si>
    <t>Carborundum Universal Ltd.</t>
  </si>
  <si>
    <t>INE758C01029</t>
  </si>
  <si>
    <t>Ahluwalia Contracts India Ltd.</t>
  </si>
  <si>
    <t>INE985S01024</t>
  </si>
  <si>
    <t>TeamLease Services Ltd.</t>
  </si>
  <si>
    <t>INE060A01024</t>
  </si>
  <si>
    <t>Navneet Education Ltd.</t>
  </si>
  <si>
    <t>INE571A01020</t>
  </si>
  <si>
    <t>IPCA Laboratories Ltd.</t>
  </si>
  <si>
    <t>INE152M01016</t>
  </si>
  <si>
    <t>Triveni Turbine Ltd.</t>
  </si>
  <si>
    <t>INE503A01015</t>
  </si>
  <si>
    <t>DCB Bank Ltd.</t>
  </si>
  <si>
    <t>INE572A01028</t>
  </si>
  <si>
    <t>J.B. Chemicals &amp; Pharmaceuticals Ltd.</t>
  </si>
  <si>
    <t>INE038F01029</t>
  </si>
  <si>
    <t>TV Today Network Ltd.</t>
  </si>
  <si>
    <t>INE131A01031</t>
  </si>
  <si>
    <t>Gujarat Mineral Development Corp. Ltd.</t>
  </si>
  <si>
    <t>INE739E01017</t>
  </si>
  <si>
    <t>Cera Sanitaryware Ltd.</t>
  </si>
  <si>
    <t>INE399G01015</t>
  </si>
  <si>
    <t>Ramkrishna Forgings Ltd.</t>
  </si>
  <si>
    <t>INE019C01026</t>
  </si>
  <si>
    <t>Himadri Chemicals &amp; Industries Ltd.</t>
  </si>
  <si>
    <t>INE613A01020</t>
  </si>
  <si>
    <t>Rallis India Ltd.</t>
  </si>
  <si>
    <t>INE274V01019</t>
  </si>
  <si>
    <t>Shankara Building Products Ltd.</t>
  </si>
  <si>
    <t>INE075I01017</t>
  </si>
  <si>
    <t>Healthcare Global Enterprises Ltd.</t>
  </si>
  <si>
    <t>INE539A01019</t>
  </si>
  <si>
    <t>GHCL Ltd.</t>
  </si>
  <si>
    <t>INE269B01029</t>
  </si>
  <si>
    <t>Lakshmi Machine Works Ltd.</t>
  </si>
  <si>
    <t>INE634I01029</t>
  </si>
  <si>
    <t>KNR Constructions Ltd.</t>
  </si>
  <si>
    <t>INE501G01024</t>
  </si>
  <si>
    <t>HT Media Ltd.</t>
  </si>
  <si>
    <t>INE782A01015</t>
  </si>
  <si>
    <t>Johnson Controls Hitachi Air Conditioning India Ltd.</t>
  </si>
  <si>
    <t>INE834I01025</t>
  </si>
  <si>
    <t>Khadim India Ltd.</t>
  </si>
  <si>
    <t>INE255A01020</t>
  </si>
  <si>
    <t>Essel Propack Ltd.</t>
  </si>
  <si>
    <t>INE213C01025</t>
  </si>
  <si>
    <t>Banco Products India Ltd.</t>
  </si>
  <si>
    <t>INE932A01024</t>
  </si>
  <si>
    <t>Pennar Industries Ltd.</t>
  </si>
  <si>
    <t>INE265F01028</t>
  </si>
  <si>
    <t>Entertainment Network India Ltd.</t>
  </si>
  <si>
    <t>INE002S01010</t>
  </si>
  <si>
    <t>Mahanagar Gas Ltd.</t>
  </si>
  <si>
    <t>INE852F01015</t>
  </si>
  <si>
    <t>Gateway Distriparks Ltd.</t>
  </si>
  <si>
    <t>INE429I01024</t>
  </si>
  <si>
    <t>Consolidated Construction Consortium Ltd.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</si>
  <si>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30Nov2018</t>
    </r>
  </si>
  <si>
    <t>INE881D01027</t>
  </si>
  <si>
    <t>Oracle Financial Services Software Ltd.</t>
  </si>
  <si>
    <t>INE246B01019</t>
  </si>
  <si>
    <t>Ramco Systems Ltd.</t>
  </si>
  <si>
    <t>US3696041033</t>
  </si>
  <si>
    <t>General Electric Co.</t>
  </si>
  <si>
    <t>US90184L1026</t>
  </si>
  <si>
    <t>Twitter Inc.</t>
  </si>
  <si>
    <r>
      <t>Franklin India Technology Fund As of Date -  30Nov</t>
    </r>
    <r>
      <rPr>
        <b/>
        <sz val="8"/>
        <color theme="1"/>
        <rFont val="Arial"/>
        <family val="2"/>
      </rPr>
      <t>2018</t>
    </r>
  </si>
  <si>
    <t>Franklin India Taxshield As of Date -  30Nov2018</t>
  </si>
  <si>
    <t>INE854D01024</t>
  </si>
  <si>
    <t>United Spirits Ltd.</t>
  </si>
  <si>
    <t>INE765G01017</t>
  </si>
  <si>
    <t>ICICI Lombard General Insurance Co. Ltd., Reg S</t>
  </si>
  <si>
    <t>INE671B01018</t>
  </si>
  <si>
    <t>Globsyn Technologies Ltd.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</si>
  <si>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30Nov2018</t>
    </r>
  </si>
  <si>
    <t>Templeton India Value Fund As of Date -  30Nov2018</t>
  </si>
  <si>
    <t>INE868B01028</t>
  </si>
  <si>
    <t>NCC Ltd./India</t>
  </si>
  <si>
    <t>INE917M01012</t>
  </si>
  <si>
    <t>Dilip Buildcon Ltd.,</t>
  </si>
  <si>
    <t>Foreign Mutual Fund units</t>
  </si>
  <si>
    <t>Foreign Mutual Fund Units</t>
  </si>
  <si>
    <t>Franklin European Growth Fund, Class I (Acc)</t>
  </si>
  <si>
    <t>Franklin U.S. Opportunities Fund, Class I (Acc)</t>
  </si>
  <si>
    <t>US1924461023</t>
  </si>
  <si>
    <t>US30303M1027</t>
  </si>
  <si>
    <t>LU0626261944</t>
  </si>
  <si>
    <t>US5949181045</t>
  </si>
  <si>
    <t>KR7005930003</t>
  </si>
  <si>
    <t>Mutual Fund Units</t>
  </si>
  <si>
    <t>Cognizant Technology Solutions Corp.</t>
  </si>
  <si>
    <t>Facebook Inc.</t>
  </si>
  <si>
    <t>Microsoft Corp.</t>
  </si>
  <si>
    <t>Samsung Electronics Co. Ltd.</t>
  </si>
  <si>
    <t>Franklin Technology Fund, Class I</t>
  </si>
  <si>
    <t>INE285K01026</t>
  </si>
  <si>
    <t>Techno Electric And Engineering Co Ltd.</t>
  </si>
  <si>
    <t>MU0295S00016</t>
  </si>
  <si>
    <t>MakeMyTrip Ltd.</t>
  </si>
  <si>
    <t>Anveshan Heavy Engineering Ltd</t>
  </si>
  <si>
    <t>INE294Z01018</t>
  </si>
  <si>
    <t>Arvind Fashions Ltd.</t>
  </si>
  <si>
    <t>Anveshan Heavy Engineering Ltd.</t>
  </si>
  <si>
    <t>INE955V01021</t>
  </si>
  <si>
    <t>Retaling</t>
  </si>
  <si>
    <t>Mutual Funds Units / ETF</t>
  </si>
  <si>
    <t>R*Shares Gold Bees</t>
  </si>
  <si>
    <t>INF732E01102</t>
  </si>
  <si>
    <t>Franklin India Short Term Income Plan</t>
  </si>
  <si>
    <t>Franklin India Bluechip Fund</t>
  </si>
  <si>
    <t>Franklin India Savings Fund</t>
  </si>
  <si>
    <t>Templeton India Value Fund</t>
  </si>
  <si>
    <t xml:space="preserve">Franklin India Dynamic Accrual Fund </t>
  </si>
  <si>
    <t>Franklin India Corporate Debt Fund</t>
  </si>
  <si>
    <t>Franklin India Dynamic Accrual Fund</t>
  </si>
  <si>
    <t>Franklin India Prima Fund</t>
  </si>
  <si>
    <t>AEA002301017</t>
  </si>
  <si>
    <t>US30712A1034</t>
  </si>
  <si>
    <t>BRLEVEACNOR2</t>
  </si>
  <si>
    <t>KR7086900008</t>
  </si>
  <si>
    <t>GB00BF5SDZ96</t>
  </si>
  <si>
    <t>Aramex PJSC</t>
  </si>
  <si>
    <t>Mahle-Metal Leve SA</t>
  </si>
  <si>
    <t>Medy-tox Inc.</t>
  </si>
  <si>
    <t>Stock Spirits Group PLC</t>
  </si>
  <si>
    <t>PHY077751022</t>
  </si>
  <si>
    <t>US22943F1003</t>
  </si>
  <si>
    <t>KR7035420009</t>
  </si>
  <si>
    <t>KR7048260004</t>
  </si>
  <si>
    <t>KR7055550008</t>
  </si>
  <si>
    <t>PHY8076N1120</t>
  </si>
  <si>
    <t xml:space="preserve">Cement </t>
  </si>
  <si>
    <t>PHY9297P1004</t>
  </si>
  <si>
    <t>BDO Unibank Inc.</t>
  </si>
  <si>
    <t>Ctrip.com International Ltd., ADR</t>
  </si>
  <si>
    <t>Naver Corp.</t>
  </si>
  <si>
    <t>Osstem Implant Co. Ltd.</t>
  </si>
  <si>
    <t>Shinhan Financial Group Co. Ltd.</t>
  </si>
  <si>
    <t>SM Prime Holdings</t>
  </si>
  <si>
    <t>Universal Robina Corp.</t>
  </si>
  <si>
    <t>Ping An Insurance (Group) Co. of China Ltd.</t>
  </si>
  <si>
    <t>Margin on Derivatives</t>
  </si>
  <si>
    <t>Call,cash and other current asset</t>
  </si>
  <si>
    <t>Money Market Instruments</t>
  </si>
  <si>
    <t>Commercial Paper</t>
  </si>
  <si>
    <t>INE261F14DQ2</t>
  </si>
  <si>
    <t>National Bank For Agriculture And Rural Development (31-Jan-2019) **</t>
  </si>
  <si>
    <t>ICRA A1+</t>
  </si>
  <si>
    <t>Listed / awaiting listing on Stock Exchanges</t>
  </si>
  <si>
    <t>7.50% Power Finance Corp Ltd (17-Sep-2020) **</t>
  </si>
  <si>
    <t>7.17% National Highways Authority Of India (23-Dec-2021) **</t>
  </si>
  <si>
    <t>8.80% JM Financial Products Ltd (28-Sep-2020) **</t>
  </si>
  <si>
    <t>8.65% LIC Housing Finance Ltd (08-Feb-2019) **</t>
  </si>
  <si>
    <t>8.63% Volkswagen Finance Pvt Ltd (28-Dec-2018) **</t>
  </si>
  <si>
    <t>7.60% Vedanta Ltd (31-May-2019) **</t>
  </si>
  <si>
    <t>** Non - Traded / Thinly Traded Scrips</t>
  </si>
  <si>
    <t>% to Net Assets Derivative</t>
  </si>
  <si>
    <t>LU0195948665</t>
  </si>
  <si>
    <t>LU0195949390</t>
  </si>
  <si>
    <t>Fanhua INC., ADR</t>
  </si>
  <si>
    <t>Direct Dividend Plan</t>
  </si>
  <si>
    <t>Direct Growth Plan</t>
  </si>
  <si>
    <t>Dividend Plan</t>
  </si>
  <si>
    <t>Growth Plan</t>
  </si>
  <si>
    <t>Direct Monthly Dividend Plan</t>
  </si>
  <si>
    <t>Direct Quarterly Dividend Plan</t>
  </si>
  <si>
    <t>Monthly Dividend Plan</t>
  </si>
  <si>
    <t>Quarterly Dividend Plan</t>
  </si>
  <si>
    <t>Plan Name</t>
  </si>
  <si>
    <t xml:space="preserve">Dividend per unit </t>
  </si>
  <si>
    <t>Individual/HUF</t>
  </si>
  <si>
    <t>Others</t>
  </si>
  <si>
    <t xml:space="preserve">b) Total outstanding position (as at November, 2018) in Derivative Instruments (Gross Notional) </t>
  </si>
  <si>
    <t>c) Total % of existing assets hedged through futures</t>
  </si>
  <si>
    <t>d) Dividends declared during the Half - year ended 30-Nov-2018</t>
  </si>
  <si>
    <t>e) Portfolio Turnover Ratio during the Half - year 30-Nov-2018</t>
  </si>
  <si>
    <t>(In Years)</t>
  </si>
  <si>
    <t>f) Average Maturity as on 30-Nov-2018</t>
  </si>
  <si>
    <t>Hotels/resorts &amp; Other Recreational Activities</t>
  </si>
  <si>
    <t>****Allotment date for the scheme was August 27, 2018</t>
  </si>
  <si>
    <t>NA****</t>
  </si>
  <si>
    <r>
      <t>Franklin India Income Opportunities Fund As of -30</t>
    </r>
    <r>
      <rPr>
        <b/>
        <sz val="8"/>
        <color theme="1"/>
        <rFont val="Arial"/>
        <family val="2"/>
      </rPr>
      <t>Nov2018</t>
    </r>
  </si>
  <si>
    <t>Rating</t>
  </si>
  <si>
    <t>INE641O08035</t>
  </si>
  <si>
    <t>9.55% Piramal Capital &amp; Housing Finance Limited (08-Mar-2027) **</t>
  </si>
  <si>
    <t>CARE AA+</t>
  </si>
  <si>
    <t>INE01E708057</t>
  </si>
  <si>
    <t>10.32% Andhra Pradesh Capital Region Development Author (16-Aug-2028) **</t>
  </si>
  <si>
    <t>CRISIL A+(SO)</t>
  </si>
  <si>
    <t>INE295J08022</t>
  </si>
  <si>
    <t>9.90% Coastal Gujarat Power Ltd (25-Aug-2028) **</t>
  </si>
  <si>
    <t>CARE AA(SO)</t>
  </si>
  <si>
    <t>INE669E08318</t>
  </si>
  <si>
    <t>10.9% Vodafone Idea Ltd (02-Sep-2023) **</t>
  </si>
  <si>
    <t>CARE AA</t>
  </si>
  <si>
    <t>INE503A08044</t>
  </si>
  <si>
    <t>9.85% DCB Bank Ltd (12-Jan-2028) **</t>
  </si>
  <si>
    <t>CRISIL A+</t>
  </si>
  <si>
    <t>INE146O08134</t>
  </si>
  <si>
    <t>10.15% Hinduja Leyland Finance Ltd (27-Mar-2025) **</t>
  </si>
  <si>
    <t>CARE AA-</t>
  </si>
  <si>
    <t>INE110L08037</t>
  </si>
  <si>
    <t>9.25% Reliance Jio Infocomm Limited (17-Jun-2024) **</t>
  </si>
  <si>
    <t>INE270O08025</t>
  </si>
  <si>
    <t>0.00% RKN Retail Pvt Ltd Tranche 1 (30-Apr-2020) **</t>
  </si>
  <si>
    <t>IND A-</t>
  </si>
  <si>
    <t>INE434A08083</t>
  </si>
  <si>
    <t>9.20% Andhra Bank (31-Oct-2022) **</t>
  </si>
  <si>
    <t>CRISIL AA-</t>
  </si>
  <si>
    <t>INE540P07350</t>
  </si>
  <si>
    <t>10.15% Uttar Pradesh Power Corp Ltd (20-Jan-2028)</t>
  </si>
  <si>
    <t>INE503A08036</t>
  </si>
  <si>
    <t>9.85% DCB Bank Ltd (17-Nov-2027) **</t>
  </si>
  <si>
    <t>ICRA A+ (HYB)</t>
  </si>
  <si>
    <t>INE271C07178</t>
  </si>
  <si>
    <t>12.25% DLF Ltd., Tranche II Series IV, (11-Aug-2020) **</t>
  </si>
  <si>
    <t>ICRA A+</t>
  </si>
  <si>
    <t>INE245A08042</t>
  </si>
  <si>
    <t>10.75% The Tata Power Co Ltd (21-Aug-2022) **</t>
  </si>
  <si>
    <t>INE038A07258</t>
  </si>
  <si>
    <t>9.55% Hindalco Industries Ltd (25-Apr-2022) **</t>
  </si>
  <si>
    <t>INE540P07301</t>
  </si>
  <si>
    <t>10.15% Uttar Pradesh Power Corp Ltd (20-Jan-2023) **</t>
  </si>
  <si>
    <t>INE271C07137</t>
  </si>
  <si>
    <t>12.25% DLF Ltd, Series IV (11-Aug-2020) **</t>
  </si>
  <si>
    <t>INE922K07039</t>
  </si>
  <si>
    <t>0.00% India Shelter Finance Corp Ltd (02-May-2025) **</t>
  </si>
  <si>
    <t>ICRA A-</t>
  </si>
  <si>
    <t>INE155A08365</t>
  </si>
  <si>
    <t>7.4% Tata Motors Ltd (29-Jun-2021) **</t>
  </si>
  <si>
    <t>INE852O07089</t>
  </si>
  <si>
    <t>10.00% Aptus Value Housing Finance India Ltd (20-Jul-2025) **</t>
  </si>
  <si>
    <t>ICRA A</t>
  </si>
  <si>
    <t>INE459T07041</t>
  </si>
  <si>
    <t>9.95% Vastu Housing Finance Corp Ltd (27-Feb-2025) **</t>
  </si>
  <si>
    <t>BWR A</t>
  </si>
  <si>
    <t>INE540P07343</t>
  </si>
  <si>
    <t>10.15% Uttar Pradesh Power Corp Ltd (20-Jan-2027)</t>
  </si>
  <si>
    <t>INE721A08DC8</t>
  </si>
  <si>
    <t>10.25% Shriram Transport Finance Co Ltd (26-Apr-2024) **</t>
  </si>
  <si>
    <t>CRISIL AA+</t>
  </si>
  <si>
    <t>INE658R07257</t>
  </si>
  <si>
    <t>Aspire Home Finance Corp Ltd (SBI MCLR + 200 Bps) (24-Aug-2023) **</t>
  </si>
  <si>
    <t>INE295J08014</t>
  </si>
  <si>
    <t>9.70% Coastal Gujarat Power Ltd (25-Aug-2023) **</t>
  </si>
  <si>
    <t>INE146O08092</t>
  </si>
  <si>
    <t>11.10% Hinduja Leyland Finance Ltd (08-Apr-2022) **</t>
  </si>
  <si>
    <t>INE852O07063</t>
  </si>
  <si>
    <t>10.00% Aptus Value Housing Finance India Ltd (26-Feb-2025) **</t>
  </si>
  <si>
    <t>INE540P07293</t>
  </si>
  <si>
    <t>10.15% Uttar Pradesh Power Corp Ltd (20-Jan-2022) **</t>
  </si>
  <si>
    <t>INE540P07210</t>
  </si>
  <si>
    <t>9.75% Uttar Pradesh Power Corp Ltd (20-Oct-2022) **</t>
  </si>
  <si>
    <t>INE459T07025</t>
  </si>
  <si>
    <t>INE146O08118</t>
  </si>
  <si>
    <t>9.20% Hinduja Leyland Finance Ltd (13-Sep-2024) **</t>
  </si>
  <si>
    <t>INE038A07266</t>
  </si>
  <si>
    <t>9.55% Hindalco Industries Ltd (27-Jun-2022) **</t>
  </si>
  <si>
    <t>INE459T07058</t>
  </si>
  <si>
    <t>INE020B08AN6</t>
  </si>
  <si>
    <t>6.99% Rural Electrification Corp Ltd (31-Dec-2020) **</t>
  </si>
  <si>
    <t>INE115A07MX2</t>
  </si>
  <si>
    <t>0.00% LIC Housing Finance Ltd (25-Mar-2021) **</t>
  </si>
  <si>
    <t>(b) Privately Placed / Unlisted</t>
  </si>
  <si>
    <t>INE575P08016</t>
  </si>
  <si>
    <t>10.25% Star Health &amp; Allied Insurance Co Ltd (06-Sep-2024) **</t>
  </si>
  <si>
    <t>IND A</t>
  </si>
  <si>
    <t>INE720G08066</t>
  </si>
  <si>
    <t>Jindal Power Ltd  (SBI+100 Bps) (21-Dec-2018) **</t>
  </si>
  <si>
    <t>INE971Z07059</t>
  </si>
  <si>
    <t>11.5% Rivaaz Trade Ventures Pvt Ltd (30-Mar-2023) **</t>
  </si>
  <si>
    <t>BWR AA- (SO)</t>
  </si>
  <si>
    <t>INE458U07033</t>
  </si>
  <si>
    <t>0.00% Wadhawan Global Capital Pvt Ltd (02-Aug-2022) **</t>
  </si>
  <si>
    <t>CARE AAA(SO)</t>
  </si>
  <si>
    <t>INE598K07011</t>
  </si>
  <si>
    <t>9.00% Pune Solapur Expressways Pvt Ltd Series A (31-Mar-2029) **</t>
  </si>
  <si>
    <t>ICRA A(SO)</t>
  </si>
  <si>
    <t>INE764L07181</t>
  </si>
  <si>
    <t>0.00% Sadbhav Infrastructure Project Ltd (06-Jun-2023) **</t>
  </si>
  <si>
    <t>CARE A+(SO)</t>
  </si>
  <si>
    <t>INE003S07098</t>
  </si>
  <si>
    <t>12.68% Renew Power Ventures Pvt. Ltd., Series III, (23-Mar-2020) **</t>
  </si>
  <si>
    <t>CARE A+</t>
  </si>
  <si>
    <t>INE00U207051</t>
  </si>
  <si>
    <t>0.00% Adani Rail Infra Private Limited (28-Apr-2023) **</t>
  </si>
  <si>
    <t>INE333T07063</t>
  </si>
  <si>
    <t>11.49% Reliance Big Pvt Ltd Series 3 (14-Jan-2021) **</t>
  </si>
  <si>
    <t>INE964Q07012</t>
  </si>
  <si>
    <t>9.60% Renew Wind Energy (Rajasthan One) Pvt Ltd (31-Mar-2023) **</t>
  </si>
  <si>
    <t>INE946S07148</t>
  </si>
  <si>
    <t>12.80% Nufuture Digital (India) Ltd (30-Sep-2023) **</t>
  </si>
  <si>
    <t>BWR A+ (SO)</t>
  </si>
  <si>
    <t>INE082T07033</t>
  </si>
  <si>
    <t>0.00% Pri-Media Services Pvt. Ltd. Series C (30-Jun-2020) **</t>
  </si>
  <si>
    <t>INE567W07011</t>
  </si>
  <si>
    <t>13.15% Greenko Solar Energy Private Limited (18-May-2020) **</t>
  </si>
  <si>
    <t>INE713G08046</t>
  </si>
  <si>
    <t>8.25% Vodafone Idea Ltd (10-Jul-2020) **</t>
  </si>
  <si>
    <t>INE080T07078</t>
  </si>
  <si>
    <t>13.40% Future Ideas Company Ltd (30-Sep-2023) **</t>
  </si>
  <si>
    <t>INE598K07029</t>
  </si>
  <si>
    <t>9.00% Pune Solapur Expressways Pvt Ltd Series B (31-Mar-2029) **</t>
  </si>
  <si>
    <t>INE720G08074</t>
  </si>
  <si>
    <t>Jindal Power Ltd  (SBI+100 Bps) (20-Dec-2019) **</t>
  </si>
  <si>
    <t>INE003S07080</t>
  </si>
  <si>
    <t>12.68% Renew Power Ventures Pvt. Ltd., Series II, (23-Mar-2020) **</t>
  </si>
  <si>
    <t>INE00MX08011</t>
  </si>
  <si>
    <t>11.7% Svantantra Microfin Private Limited (30-Nov-2023) **</t>
  </si>
  <si>
    <t>INE209W07028</t>
  </si>
  <si>
    <t>9.95% Narmada Wind Energy Pvt Ltd (31-Mar-2023) **</t>
  </si>
  <si>
    <t>INE659X07014</t>
  </si>
  <si>
    <t>9.95% Molagavalli Renewable Pvt Ltd (31-Mar-2023) **</t>
  </si>
  <si>
    <t>INE01EA07016</t>
  </si>
  <si>
    <t>11.90% Rishanth Wholesale Trading Private Ltd (20-Oct-2023) **</t>
  </si>
  <si>
    <t>INE139S07017</t>
  </si>
  <si>
    <t>11.35% Renew Solar Power Private Limited (01-Nov-2022) **</t>
  </si>
  <si>
    <t>INE125X07016</t>
  </si>
  <si>
    <t>9.75% TRPL Roadways Pvt Ltd (25-Mar-2022) **</t>
  </si>
  <si>
    <t>ICRA A+(SO)</t>
  </si>
  <si>
    <t>INE316W07013</t>
  </si>
  <si>
    <t>0.00% Hero Solar Energy Private Limited (21-Jun-2022) **</t>
  </si>
  <si>
    <t>INE003S07189</t>
  </si>
  <si>
    <t>9.45% Renew Power Limited (31-Jul-2025) **</t>
  </si>
  <si>
    <t>c) Average Maturity as on 30-Nov-2018</t>
  </si>
  <si>
    <t>(In Year)</t>
  </si>
  <si>
    <r>
      <t>Franklin India Fixed Maturity Plans – Series 5 – P</t>
    </r>
    <r>
      <rPr>
        <b/>
        <sz val="8"/>
        <color theme="1"/>
        <rFont val="Arial"/>
        <family val="2"/>
      </rPr>
      <t>lan A As of -30Nov2018</t>
    </r>
  </si>
  <si>
    <t>INE053F07942</t>
  </si>
  <si>
    <t>6.70% Indian Railway Finance Corp Ltd (24-Nov-2021) **</t>
  </si>
  <si>
    <t>INE941D08065</t>
  </si>
  <si>
    <t>10.25% Sikka Ports &amp; Terminals Limited (22-Aug-2021) **</t>
  </si>
  <si>
    <t>INE556F08JI1</t>
  </si>
  <si>
    <t>8.81% Small Industries Development Bank Of India (25-Jan-2022) **</t>
  </si>
  <si>
    <t>CARE AAA</t>
  </si>
  <si>
    <t>INE020B08AF2</t>
  </si>
  <si>
    <t>7.46% Rural Electrification Corp Ltd (28-Feb-2022) **</t>
  </si>
  <si>
    <t>INE860H07GE0</t>
  </si>
  <si>
    <t>0.00% Aditya Birla Finance Ltd (08-Apr-2022) **</t>
  </si>
  <si>
    <t>ICRA AAA</t>
  </si>
  <si>
    <t>INE261F08AI7</t>
  </si>
  <si>
    <t>8.60% National Bank For Agriculture And Rural Development (31-Jan-2022)</t>
  </si>
  <si>
    <t>INE476M07BR8</t>
  </si>
  <si>
    <t>9.38% L&amp;T Housing Finance Ltd (11-Mar-2022) **</t>
  </si>
  <si>
    <t>INE535H07AQ5</t>
  </si>
  <si>
    <t>0.00% Fullerton India Credit Co Ltd (19-Apr-2022) **</t>
  </si>
  <si>
    <t>INE580B07463</t>
  </si>
  <si>
    <t>9.35% Gruh Finance Ltd (06-Apr-2022) **</t>
  </si>
  <si>
    <r>
      <t>NA</t>
    </r>
    <r>
      <rPr>
        <vertAlign val="superscript"/>
        <sz val="8"/>
        <color theme="1"/>
        <rFont val="Arial"/>
        <family val="2"/>
      </rPr>
      <t>****</t>
    </r>
  </si>
  <si>
    <t>(In years)</t>
  </si>
  <si>
    <t>****Allotment date for the scheme was October 30, 2018</t>
  </si>
  <si>
    <r>
      <t>Franklin India Fixed Maturity Plans – Series 4 – P</t>
    </r>
    <r>
      <rPr>
        <b/>
        <sz val="8"/>
        <color theme="1"/>
        <rFont val="Arial"/>
        <family val="2"/>
      </rPr>
      <t>lan F As of -30Nov2018</t>
    </r>
  </si>
  <si>
    <t>INE861G08035</t>
  </si>
  <si>
    <t>9.95% Food Corporation Of India (07-Mar-2022)</t>
  </si>
  <si>
    <t>CRISIL AAA(SO)</t>
  </si>
  <si>
    <t>INE115A07LM7</t>
  </si>
  <si>
    <t>7.95% LIC Housing Finance Ltd (24-Mar-2022) **</t>
  </si>
  <si>
    <t>INE134E08IN2</t>
  </si>
  <si>
    <t>7.27% Power Finance Corp Ltd (22-Dec-2021) **</t>
  </si>
  <si>
    <t>INE895D08790</t>
  </si>
  <si>
    <t>8.25% Tata Sons Ltd (23-Mar-2022) **</t>
  </si>
  <si>
    <t>****Allotment date for the scheme was October 10, 2018</t>
  </si>
  <si>
    <r>
      <t>Franklin India Fixed Maturity Plans-Series 4 – Pla</t>
    </r>
    <r>
      <rPr>
        <b/>
        <sz val="8"/>
        <color theme="1"/>
        <rFont val="Arial"/>
        <family val="2"/>
      </rPr>
      <t>n E As of -30Nov2018</t>
    </r>
  </si>
  <si>
    <t>INE752E07MZ9</t>
  </si>
  <si>
    <t>8.40% Power Grid Corp Of India Ltd (14-Sep-2021) **</t>
  </si>
  <si>
    <t>INE481G08057</t>
  </si>
  <si>
    <t>8.36% Ultratech Cement Ltd (07-Jun-2021) **</t>
  </si>
  <si>
    <t>INE134E08IH4</t>
  </si>
  <si>
    <t>7.50% Power Finance Corp Ltd (16-Aug-2021) **</t>
  </si>
  <si>
    <t>INE027E07709</t>
  </si>
  <si>
    <t>8.9492% L&amp;T Finance Ltd (16-Aug-2021) **</t>
  </si>
  <si>
    <t>INE110L07070</t>
  </si>
  <si>
    <t>8.32% Reliance Jio Infocomm Limited (08-Jul-2021) **</t>
  </si>
  <si>
    <t>INE556F08JH3</t>
  </si>
  <si>
    <t>8.40% Small Industries Development Bank Of India (10-Aug-2021) **</t>
  </si>
  <si>
    <t>INE261F08AM9</t>
  </si>
  <si>
    <t>8.37% National Bank For Agriculture And Rural Development (03-Aug-2021) **</t>
  </si>
  <si>
    <t>INE535H07AG6</t>
  </si>
  <si>
    <t>0.00% Fullerton India Credit Co Ltd (08-Apr-2021) **</t>
  </si>
  <si>
    <t>INE660A07PT8</t>
  </si>
  <si>
    <t>0.00% Sundaram Finance Ltd (31-Aug-2021) **</t>
  </si>
  <si>
    <t>INE020B08AO4</t>
  </si>
  <si>
    <t>7.18% Rural Electrification Corp Ltd (21-May-2021) **</t>
  </si>
  <si>
    <t>INE860H07FW4</t>
  </si>
  <si>
    <t>0.00% Aditya Birla Finance Ltd (26-Jul-2021) **</t>
  </si>
  <si>
    <t>****Allotment date for the scheme was September 26, 2018</t>
  </si>
  <si>
    <r>
      <t>Franklin India Fixed Maturity Plans – Series 4 – P</t>
    </r>
    <r>
      <rPr>
        <b/>
        <sz val="8"/>
        <color theme="1"/>
        <rFont val="Arial"/>
        <family val="2"/>
      </rPr>
      <t>lan D As of -30Nov2018</t>
    </r>
  </si>
  <si>
    <t>INE377Y07045</t>
  </si>
  <si>
    <t>8.14% Bajaj Housing Finance Ltd (04-Jun-2021) **</t>
  </si>
  <si>
    <t>INE721A07NV9</t>
  </si>
  <si>
    <t>9.10% Shriram Transport Finance Co Ltd (12-Jul-2021) **</t>
  </si>
  <si>
    <t>INE202B07IM7</t>
  </si>
  <si>
    <t>9.15% Dewan Housing Finance Corp Ltd (09-Sep-2021) **</t>
  </si>
  <si>
    <t>INE848E07815</t>
  </si>
  <si>
    <t>8.50% NHPC Ltd (14-Jul-2021) **</t>
  </si>
  <si>
    <t>INE895D08634</t>
  </si>
  <si>
    <t>8.01% Tata Sons Ltd (02-Sep-2021) **</t>
  </si>
  <si>
    <t>Quarterly Dividend</t>
  </si>
  <si>
    <t>Growth</t>
  </si>
  <si>
    <t>Direct Growth</t>
  </si>
  <si>
    <t>Dividend</t>
  </si>
  <si>
    <t>****Allotment date for the scheme was September 11, 2018</t>
  </si>
  <si>
    <r>
      <t>Franklin India Fixed Maturity Plans – Series 4 – P</t>
    </r>
    <r>
      <rPr>
        <b/>
        <sz val="8"/>
        <color theme="1"/>
        <rFont val="Arial"/>
        <family val="2"/>
      </rPr>
      <t>lan C As of -30Nov2018</t>
    </r>
  </si>
  <si>
    <t>INE891K07440</t>
  </si>
  <si>
    <t>0.00% Axis Finance Ltd (31-Aug-2021) **</t>
  </si>
  <si>
    <t>INE001A07OO9</t>
  </si>
  <si>
    <t>8.75% Housing Development Finance Corp Ltd (04-Mar-2021) **</t>
  </si>
  <si>
    <t>INE831R07201</t>
  </si>
  <si>
    <t>0.00% Aditya Birla Housing Finance Ltd (26-Jul-2021) **</t>
  </si>
  <si>
    <t>Direct Quarterly Dividend</t>
  </si>
  <si>
    <t>****Allotment date for the scheme was August 29, 2018</t>
  </si>
  <si>
    <r>
      <t>Franklin India Fixed Maturity Plans – Series 4 – P</t>
    </r>
    <r>
      <rPr>
        <b/>
        <sz val="8"/>
        <color theme="1"/>
        <rFont val="Arial"/>
        <family val="2"/>
      </rPr>
      <t>lan B As of -30Nov2018</t>
    </r>
  </si>
  <si>
    <t>INE261F08AL1</t>
  </si>
  <si>
    <t>8.39% National Bank For Agriculture And Rural Development (19-Jul-2021) **</t>
  </si>
  <si>
    <t>INE020B07IW2</t>
  </si>
  <si>
    <t>9.4% Rural Electrification Corp Ltd (17-Jul-2021) **</t>
  </si>
  <si>
    <t>INE134E08DN3</t>
  </si>
  <si>
    <t>9.70% Power Finance Corp Ltd (09-Jun-2021) **</t>
  </si>
  <si>
    <t>INE941D07125</t>
  </si>
  <si>
    <t>10.40% Sikka Ports &amp; Terminals Limited (18-Jul-2021) **</t>
  </si>
  <si>
    <t>INE535H07AK8</t>
  </si>
  <si>
    <t>0.00% Fullerton India Credit Co Ltd (15-Jul-2021) **</t>
  </si>
  <si>
    <t>INE027E07642</t>
  </si>
  <si>
    <t>8.25% L&amp;T Finance Ltd (21-Jun-2021) **</t>
  </si>
  <si>
    <t>INE752E07MN5</t>
  </si>
  <si>
    <t>8.40% Power Grid Corp Of India Ltd (27-May-2021) **</t>
  </si>
  <si>
    <t>INE134E08ID3</t>
  </si>
  <si>
    <t>8.05% Power Finance Corp Ltd (27-Apr-2021) **</t>
  </si>
  <si>
    <t>INE660A07PN1</t>
  </si>
  <si>
    <t>0.00% Sundaram Finance Ltd (15-Jun-2021) **</t>
  </si>
  <si>
    <t>INE071G08940</t>
  </si>
  <si>
    <t>9.00% ICICI Home Finance Company Ltd (27-May-2021) **</t>
  </si>
  <si>
    <t>INE774D07RY7</t>
  </si>
  <si>
    <t>0.00% Mahindra &amp; Mahindra Financial Services Ltd (07-Apr-2021) **</t>
  </si>
  <si>
    <t>****Allotment date for the scheme was July 25, 2018</t>
  </si>
  <si>
    <r>
      <t>Franklin India Fixed Maturity Plans – Series 4 – P</t>
    </r>
    <r>
      <rPr>
        <b/>
        <sz val="8"/>
        <color theme="1"/>
        <rFont val="Arial"/>
        <family val="2"/>
      </rPr>
      <t>lan A As of -30Nov2018</t>
    </r>
  </si>
  <si>
    <t>INE110L07112</t>
  </si>
  <si>
    <t>8.7% Reliance Jio Infocomm Limited (15-Jun-2021) **</t>
  </si>
  <si>
    <t>INE891K07390</t>
  </si>
  <si>
    <t>0.00% Axis Finance Ltd (14-Jun-2021) **</t>
  </si>
  <si>
    <t>INE556F08JF7</t>
  </si>
  <si>
    <t>8.50% Small Industries Development Bank Of India (21-Jun-2021) **</t>
  </si>
  <si>
    <t>INE476M07BM9</t>
  </si>
  <si>
    <t>8.8% L&amp;T Housing Finance Ltd (23-Jun-2021) **</t>
  </si>
  <si>
    <t>INE020B08AW7</t>
  </si>
  <si>
    <t>7.73% Rural Electrification Corp Ltd (15-Jun-2021) **</t>
  </si>
  <si>
    <t>INE053F09HR2</t>
  </si>
  <si>
    <t>9.57% Indian Railway Finance Corp Ltd (31-May-2021) **</t>
  </si>
  <si>
    <t>****Allotment date for the scheme was June 27, 2018</t>
  </si>
  <si>
    <r>
      <t>Franklin India Fixed Maturity Plans - Series 3 - P</t>
    </r>
    <r>
      <rPr>
        <b/>
        <sz val="8"/>
        <color theme="1"/>
        <rFont val="Arial"/>
        <family val="2"/>
      </rPr>
      <t>lan F As of -30Nov2018</t>
    </r>
  </si>
  <si>
    <t>INE031A08566</t>
  </si>
  <si>
    <t>7.73% Housing &amp; Urban Development Corp Ltd (15-Apr-2021) **</t>
  </si>
  <si>
    <t>INE774D07SB3</t>
  </si>
  <si>
    <t>8.10% Mahindra &amp; Mahindra Financial Services Ltd (19-Apr-2021) **</t>
  </si>
  <si>
    <t>INE556F08JD2</t>
  </si>
  <si>
    <t>7.65% Small Industries Development Bank Of India (15-Apr-2021) **</t>
  </si>
  <si>
    <t>INE883A07174</t>
  </si>
  <si>
    <t>10.09% MRF Ltd (27-May-2021) **</t>
  </si>
  <si>
    <t>INE134E08DM5</t>
  </si>
  <si>
    <t>9.18% Power Finance Corp Ltd (15-Apr-2021) **</t>
  </si>
  <si>
    <t>INE377Y07029</t>
  </si>
  <si>
    <t>0.00% Bajaj Housing Finance Ltd (06-Apr-2021) **</t>
  </si>
  <si>
    <t>INE756I07BW1</t>
  </si>
  <si>
    <t>0.00% HDB Financial Services Limited (06-Apr-2021) **</t>
  </si>
  <si>
    <t>INE244N07065</t>
  </si>
  <si>
    <t>8.19% Mahindra Vehicle Manufactures Ltd (23-Feb-2021) **</t>
  </si>
  <si>
    <t>****Allotment date for the scheme was June 13, 2018</t>
  </si>
  <si>
    <r>
      <t>Franklin India Fixed Maturity Plans - Series 3 - P</t>
    </r>
    <r>
      <rPr>
        <b/>
        <sz val="8"/>
        <color theme="1"/>
        <rFont val="Arial"/>
        <family val="2"/>
      </rPr>
      <t>lan E As of -30Nov2018</t>
    </r>
  </si>
  <si>
    <t>INE134E08JM2</t>
  </si>
  <si>
    <t>7.75% Power Finance Corp Ltd (15-Apr-2021) **</t>
  </si>
  <si>
    <t>INE031A08590</t>
  </si>
  <si>
    <t>7.68% Housing &amp; Urban Development Corp Ltd (05-Apr-2021) **</t>
  </si>
  <si>
    <t>INE020B08AS5</t>
  </si>
  <si>
    <t>7.70% Rural Electrification Corp Ltd (15-Mar-2021) **</t>
  </si>
  <si>
    <t>INE916DA7PO3</t>
  </si>
  <si>
    <t>0.00% Kotak Mahindra Prime Ltd (27-May-2021) **</t>
  </si>
  <si>
    <t>INE261F08956</t>
  </si>
  <si>
    <t>7.40% National Bank For Agriculture And Rural Development (01-Feb-2021) **</t>
  </si>
  <si>
    <t>INE053F07AK6</t>
  </si>
  <si>
    <t>7.65% Indian Railway Finance Corp Ltd (15-Mar-2021) **</t>
  </si>
  <si>
    <t>INE895D08899</t>
  </si>
  <si>
    <t>8.25% Tata Sons Ltd (24-Mar-2021) **</t>
  </si>
  <si>
    <t>Quarterly Dividend – Direct</t>
  </si>
  <si>
    <r>
      <t>Franklin India Fixed Maturity Plans - Series 3 - P</t>
    </r>
    <r>
      <rPr>
        <b/>
        <sz val="8"/>
        <color theme="1"/>
        <rFont val="Arial"/>
        <family val="2"/>
      </rPr>
      <t>lan D As of -30Nov2018</t>
    </r>
  </si>
  <si>
    <t>INE916DA7PI5</t>
  </si>
  <si>
    <t>0.00% Kotak Mahindra Prime Ltd (26-Apr-2021) **</t>
  </si>
  <si>
    <t>(In Years</t>
  </si>
  <si>
    <r>
      <t>Franklin India Fixed Maturity Plans - Series 3 - P</t>
    </r>
    <r>
      <rPr>
        <b/>
        <sz val="8"/>
        <color theme="1"/>
        <rFont val="Arial"/>
        <family val="2"/>
      </rPr>
      <t>lan C As of -30Nov2018</t>
    </r>
  </si>
  <si>
    <t>INE134E08JK6</t>
  </si>
  <si>
    <t>7.73% Power Finance Corp Ltd (05-Apr-2021) **</t>
  </si>
  <si>
    <t>INE556F08JA8</t>
  </si>
  <si>
    <t>7.52% Small Industries Development Bank Of India (10-Feb-2021) **</t>
  </si>
  <si>
    <t>INE002A08526</t>
  </si>
  <si>
    <t>7.07% Reliance Industries Ltd (24-Dec-2020)</t>
  </si>
  <si>
    <t>INE020B08AR7</t>
  </si>
  <si>
    <t>7.60% Rural Electrification Corp Ltd (17-Apr-2021) **</t>
  </si>
  <si>
    <t>INE752E07GX6</t>
  </si>
  <si>
    <t>8.84% Power Grid Corp Of India Ltd (29-Mar-2021) **</t>
  </si>
  <si>
    <t>INE895D08881</t>
  </si>
  <si>
    <t>8.25% Tata Sons Ltd (23-Mar-2021) **</t>
  </si>
  <si>
    <r>
      <t>Franklin India Fixed Maturity Plans - Series 3 - P</t>
    </r>
    <r>
      <rPr>
        <b/>
        <sz val="8"/>
        <color theme="1"/>
        <rFont val="Arial"/>
        <family val="2"/>
      </rPr>
      <t>lan B As of -30Nov2018</t>
    </r>
  </si>
  <si>
    <t>INE296A07QB7</t>
  </si>
  <si>
    <t>7.50% Bajaj Finance Ltd (10-Aug-2020) **</t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</si>
  <si>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-30Nov2018</t>
    </r>
  </si>
  <si>
    <t>INE115A07AL2</t>
  </si>
  <si>
    <t>9.60% LIC Housing Finance Ltd (07-Mar-2021) **</t>
  </si>
  <si>
    <t>INE115A07MT0</t>
  </si>
  <si>
    <t>7.88% LIC Housing Finance Ltd (28-Jan-2021) **</t>
  </si>
  <si>
    <t>INE031A08541</t>
  </si>
  <si>
    <t>7.14% Housing &amp; Urban Development Corp Ltd (22-Dec-2020) **</t>
  </si>
  <si>
    <r>
      <t>Franklin India Fixed Maturity Plans – Series 2 – P</t>
    </r>
    <r>
      <rPr>
        <b/>
        <sz val="8"/>
        <color theme="1"/>
        <rFont val="Arial"/>
        <family val="2"/>
      </rPr>
      <t>lan C As of -30Nov2018</t>
    </r>
  </si>
  <si>
    <t>INE756I07BU5</t>
  </si>
  <si>
    <t>7.94% HDB Financial Services Limited (15-Apr-2021) **</t>
  </si>
  <si>
    <r>
      <t>Franklin India Fixed Maturity Plans – Series 2 – P</t>
    </r>
    <r>
      <rPr>
        <b/>
        <sz val="8"/>
        <color theme="1"/>
        <rFont val="Arial"/>
        <family val="2"/>
      </rPr>
      <t>lan B As of -30Nov2018</t>
    </r>
  </si>
  <si>
    <t>INE752E07NN3</t>
  </si>
  <si>
    <t>8.13% Power Grid Corp Of India Ltd (23-Apr-2021) **</t>
  </si>
  <si>
    <t>INE477A07274</t>
  </si>
  <si>
    <t>7.64% Can Fin Homes Ltd (28-Feb-2021) **</t>
  </si>
  <si>
    <t>INE115A07JB4</t>
  </si>
  <si>
    <t>8.75% LIC Housing Finance Ltd (12-Feb-2021) **</t>
  </si>
  <si>
    <t>INE115A07IO9</t>
  </si>
  <si>
    <t>8.50% LIC Housing Finance Ltd (05-Jan-2021) **</t>
  </si>
  <si>
    <t>INE895D08725</t>
  </si>
  <si>
    <t>7.85% Tata Sons Ltd (31-Jan-2021) **</t>
  </si>
  <si>
    <t xml:space="preserve">Dividend Plan </t>
  </si>
  <si>
    <r>
      <t>Franklin India Fixed Maturity Plans - Series 2 - P</t>
    </r>
    <r>
      <rPr>
        <b/>
        <sz val="8"/>
        <color theme="1"/>
        <rFont val="Arial"/>
        <family val="2"/>
      </rPr>
      <t>lan A As of -30Nov2018</t>
    </r>
  </si>
  <si>
    <t>INE733E07JZ5</t>
  </si>
  <si>
    <t>8.33% NTPC Ltd (24-Feb-2021) **</t>
  </si>
  <si>
    <t>INE134E07505</t>
  </si>
  <si>
    <t>9.7% Power Finance Corp Ltd (30-Jan-2021) **</t>
  </si>
  <si>
    <t>INE537P07117</t>
  </si>
  <si>
    <t>8.62% India Infradebt Ltd (08-Mar-2021) **</t>
  </si>
  <si>
    <t>INE235P07167</t>
  </si>
  <si>
    <t>8.70% L&amp;T Infrastructure Debt Fund Ltd (24-Feb-2021) **</t>
  </si>
  <si>
    <t>INE848E07419</t>
  </si>
  <si>
    <t>8.78% NHPC Ltd (11-Feb-2021) **</t>
  </si>
  <si>
    <t>INE752E07ER3</t>
  </si>
  <si>
    <t>9.47% Power Grid Corp Of India Ltd (31-Mar-2021) **</t>
  </si>
  <si>
    <t>INE514E08951</t>
  </si>
  <si>
    <t>9.15% Export-Import Bank Of India (18-Mar-2021) **</t>
  </si>
  <si>
    <t>INE514E08928</t>
  </si>
  <si>
    <t>9.15% Export-Import Bank Of India (25-Feb-2021) **</t>
  </si>
  <si>
    <t>INE115A07LK1</t>
  </si>
  <si>
    <t>7.80% LIC Housing Finance Ltd (19-Mar-2020) **</t>
  </si>
  <si>
    <r>
      <t>Franklin India Fixed Maturity Plans - Series 1 - P</t>
    </r>
    <r>
      <rPr>
        <b/>
        <sz val="8"/>
        <color theme="1"/>
        <rFont val="Arial"/>
        <family val="2"/>
      </rPr>
      <t>lan B As of -30Nov2018</t>
    </r>
  </si>
  <si>
    <t>INE261F08477</t>
  </si>
  <si>
    <t>8.15% National Bank For Agriculture And Rural Development (04-Mar-2020) **</t>
  </si>
  <si>
    <t>INE020B08823</t>
  </si>
  <si>
    <t>8.87% Rural Electrification Corp Ltd (08-Mar-2020) **</t>
  </si>
  <si>
    <t>INE752E07MI5</t>
  </si>
  <si>
    <t>8.15% Power Grid Corp Of India Ltd (09-Mar-2020) **</t>
  </si>
  <si>
    <t>INE916DA7MX1</t>
  </si>
  <si>
    <t>7.85% Kotak Mahindra Prime Ltd (07-Apr-2020) **</t>
  </si>
  <si>
    <t>INE733E07CF2</t>
  </si>
  <si>
    <t>8.78% NTPC Ltd (09-Mar-2020) **</t>
  </si>
  <si>
    <t>INE134E08GX5</t>
  </si>
  <si>
    <t>8.36% Power Finance Corp Ltd (26-Feb-2020)</t>
  </si>
  <si>
    <t>INE001A07QF2</t>
  </si>
  <si>
    <t>7.78% Housing Development Finance Corp Ltd (24-Mar-2020) **</t>
  </si>
  <si>
    <t>INE053F07959</t>
  </si>
  <si>
    <t>6.73% Indian Railway Finance Corp Ltd (23-Mar-2020) **</t>
  </si>
  <si>
    <t>INE296A07ON7</t>
  </si>
  <si>
    <t>7.85% Bajaj Finance Ltd (07-Apr-2020) **</t>
  </si>
  <si>
    <t>INE895D08766</t>
  </si>
  <si>
    <t>7.90% Tata Sons Ltd (06-Mar-2020) **</t>
  </si>
  <si>
    <t>Quarterly Direct Dividend Plan</t>
  </si>
  <si>
    <r>
      <t>Franklin India Fixed Maturity Plans – Series 1 – P</t>
    </r>
    <r>
      <rPr>
        <b/>
        <sz val="8"/>
        <color theme="1"/>
        <rFont val="Arial"/>
        <family val="2"/>
      </rPr>
      <t>lan A As of -30Nov2018</t>
    </r>
  </si>
  <si>
    <r>
      <t>Franklin India Ultra Short Bond Fund As of -30Nov2</t>
    </r>
    <r>
      <rPr>
        <b/>
        <sz val="8"/>
        <color theme="1"/>
        <rFont val="Arial"/>
        <family val="2"/>
      </rPr>
      <t>018</t>
    </r>
  </si>
  <si>
    <t>INE003S07213</t>
  </si>
  <si>
    <t>9.60% Renew Power Limited (26-Feb-2021) **</t>
  </si>
  <si>
    <t>INE896L07561</t>
  </si>
  <si>
    <t>Indostar Capital Finance Ltd (SBI MCLR + 95 Bps) (02-May-2023) **</t>
  </si>
  <si>
    <t>INE657N07589</t>
  </si>
  <si>
    <t>Edelweiss Commodities Services Ltd (SBI MCLR + 150 Bps) (29-Nov-2021) **</t>
  </si>
  <si>
    <t>INE658R08115</t>
  </si>
  <si>
    <t>Aspire Home Finance Corp Ltd (SBI + 145 Bps) (21-Jul-2023) **</t>
  </si>
  <si>
    <t>INE271C07129</t>
  </si>
  <si>
    <t>12.25% DLF Ltd, Series III (09-Aug-2019) **</t>
  </si>
  <si>
    <t>INE015L07352</t>
  </si>
  <si>
    <t>10.75% Edelweiss Asset Reconstruction Co Ltd (15-Jul-2019) **</t>
  </si>
  <si>
    <t>ICRA AA(SO)</t>
  </si>
  <si>
    <t>INE866N07016</t>
  </si>
  <si>
    <t>10.90% DLF Emporio Ltd (21-Nov-2021) **</t>
  </si>
  <si>
    <t>CRISIL AA(SO)</t>
  </si>
  <si>
    <t>INE540P07285</t>
  </si>
  <si>
    <t>10.15% Uttar Pradesh Power Corp Ltd (20-Jan-2021) **</t>
  </si>
  <si>
    <t>INE146O08043</t>
  </si>
  <si>
    <t>12.40% Hinduja Leyland Finance Ltd (03-Apr-2020) **</t>
  </si>
  <si>
    <t>IND AA-</t>
  </si>
  <si>
    <t>INE945W07019</t>
  </si>
  <si>
    <t>10.75% Incred Financial Services Private Limited (22-Jun-2020) **</t>
  </si>
  <si>
    <t>CARE A</t>
  </si>
  <si>
    <t>INE623B07107</t>
  </si>
  <si>
    <t>10.25% Future Retail Ltd, Series B (06-Apr-2020) **</t>
  </si>
  <si>
    <t>INE850M07111</t>
  </si>
  <si>
    <t>9.60% IFMR Capital Finance Pvt Ltd (27-Dec-2019) **</t>
  </si>
  <si>
    <t>INE850M08077</t>
  </si>
  <si>
    <t>Northern Arc Capital Ltd (6M SBI MCLR + 205 Bps) Series C (16-Jul-2021) **</t>
  </si>
  <si>
    <t>INE245A08067</t>
  </si>
  <si>
    <t>9.48% The Tata Power Co Ltd (17-Nov-2019) **</t>
  </si>
  <si>
    <t>ICRA AA-</t>
  </si>
  <si>
    <t>INE850M08051</t>
  </si>
  <si>
    <t>Northern Arc Capital Ltd (6M SBI MCLR + 205 Bps) Series A (16-Jul-2021) **</t>
  </si>
  <si>
    <t>INE850M08069</t>
  </si>
  <si>
    <t>Northern Arc Capital Ltd (6M SBI MCLR + 205 Bps) Series B (16-Jul-2021) **</t>
  </si>
  <si>
    <t>INE540P07277</t>
  </si>
  <si>
    <t>10.15% Uttar Pradesh Power Corp Ltd (20-Jan-2020) **</t>
  </si>
  <si>
    <t>INE850M08028</t>
  </si>
  <si>
    <t>10.44% Northern Arc Capital Ltd Series A (02-Aug-2019) **</t>
  </si>
  <si>
    <t>INE850M08044</t>
  </si>
  <si>
    <t>10.44% Northern Arc Capital Ltd Series C (02-Aug-2019) **</t>
  </si>
  <si>
    <t>INE540P07194</t>
  </si>
  <si>
    <t>9.75% Uttar Pradesh Power Corp Ltd (20-Oct-2020) **</t>
  </si>
  <si>
    <t>INE265J07183</t>
  </si>
  <si>
    <t>9.10% JM Financial Asset Reconstruction Co Ltd (26-Sep-2019) **</t>
  </si>
  <si>
    <t>INE155A08084</t>
  </si>
  <si>
    <t>10.00% Tata Motors Ltd (28-May-2019) **</t>
  </si>
  <si>
    <t>INE945W07043</t>
  </si>
  <si>
    <t>0.00% Incred Financial Services Private Limited (26-Jun-2019) **</t>
  </si>
  <si>
    <t>INE657N07415</t>
  </si>
  <si>
    <t>8.40% Edelweiss Commodities Services Ltd (26-Oct-2020) **</t>
  </si>
  <si>
    <t>INE850M08036</t>
  </si>
  <si>
    <t>10.44% Northern Arc Capital Ltd Series B (02-Aug-2019) **</t>
  </si>
  <si>
    <t>INE146O08050</t>
  </si>
  <si>
    <t>12.40% Hinduja Leyland Finance Ltd (26-Apr-2020) **</t>
  </si>
  <si>
    <t>INE865N07018</t>
  </si>
  <si>
    <t>10.90% DLF Promenade Ltd (11-Dec-2021) **</t>
  </si>
  <si>
    <t>INE001A07RD5</t>
  </si>
  <si>
    <t>7.55% Housing Development Finance Corp Ltd (20-Feb-2019) **</t>
  </si>
  <si>
    <t>INE115A07MY0</t>
  </si>
  <si>
    <t>7.9% LIC Housing Finance Ltd (28-Mar-2019) **</t>
  </si>
  <si>
    <t>INE658R08131</t>
  </si>
  <si>
    <t>10.75% Aspire Home Finance Corp Ltd (30-Aug-2019) **</t>
  </si>
  <si>
    <t>INE523H07841</t>
  </si>
  <si>
    <t>8.70% JM Financial Products Ltd (25-Jul-2019) **</t>
  </si>
  <si>
    <t>INE001A07QA3</t>
  </si>
  <si>
    <t>7.49% Housing Development Finance Corp Ltd (25-Jan-2019) **</t>
  </si>
  <si>
    <t>INE850M07137</t>
  </si>
  <si>
    <t>9.69% Northern Arc Capital Ltd (02-May-2019) **</t>
  </si>
  <si>
    <t>INE205A07105</t>
  </si>
  <si>
    <t>7.50% Vedanta Ltd (29-Nov-2019) **</t>
  </si>
  <si>
    <t>INE658R07141</t>
  </si>
  <si>
    <t>10.95% Aspire Home Finance Corp Ltd (05-Jun-2019) **</t>
  </si>
  <si>
    <t>INE657N07399</t>
  </si>
  <si>
    <t>8.40% Edelweiss Commodities Services Ltd (09-Aug-2019) **</t>
  </si>
  <si>
    <t>INE247U07014</t>
  </si>
  <si>
    <t>11.19% Equitas Small Finance Bank Ltd (08-Jan-2021) **</t>
  </si>
  <si>
    <t>CRISIL A</t>
  </si>
  <si>
    <t>INE053F07AL4</t>
  </si>
  <si>
    <t>7.72% Indian Railway Finance Corp Ltd (07-Jun-2019)</t>
  </si>
  <si>
    <t>INE016P07112</t>
  </si>
  <si>
    <t>11.45% Vistaar Financial Services Private Ltd (06-Jan-2020) **</t>
  </si>
  <si>
    <t>INE016P07104</t>
  </si>
  <si>
    <t>11.45% Vistaar Financial Services Private Ltd (04-Jan-2019) **</t>
  </si>
  <si>
    <t>INE155A08118</t>
  </si>
  <si>
    <t>9.69% Tata Motors Ltd (29-Mar-2019) **</t>
  </si>
  <si>
    <t>INE001A07QW7</t>
  </si>
  <si>
    <t>7.33% Housing Development Finance Corp Ltd (11-Dec-2018) **</t>
  </si>
  <si>
    <t>INE616U07036</t>
  </si>
  <si>
    <t>8.70% Edelweiss Agri Value Chain Ltd (30-Jun-2027) **</t>
  </si>
  <si>
    <t>INE053T07026</t>
  </si>
  <si>
    <t>8.12% ONGC Mangalore Petrochemicals Ltd (10-Jun-2019) **</t>
  </si>
  <si>
    <t>INE756I07CA5</t>
  </si>
  <si>
    <t>HDB Financial (91Dtb + 205 Bps) (12Jul2021) **</t>
  </si>
  <si>
    <t>INE701Q07083</t>
  </si>
  <si>
    <t>0.00% Adani Infra India Ltd (27-Apr-2019) **</t>
  </si>
  <si>
    <t>INE606L08158</t>
  </si>
  <si>
    <t>0.00% Aditya Birla Retail Limited (20-Sep-2019) **</t>
  </si>
  <si>
    <t>CRISIL A-</t>
  </si>
  <si>
    <t>INE680R07012</t>
  </si>
  <si>
    <t>9.60% Piramal Realty Private Limited (13-Mar-2020) **</t>
  </si>
  <si>
    <t>ICRA AA-(SO)</t>
  </si>
  <si>
    <t>INE081T08090</t>
  </si>
  <si>
    <t>9.60% Aasan Corporate Solutions Pvt Ltd (13-Dec-2019) **</t>
  </si>
  <si>
    <t>INE529N07010</t>
  </si>
  <si>
    <t>12.25% Greenko Wind Projects Pvt Ltd (14-Dec-2019) **</t>
  </si>
  <si>
    <t>INE896L07660</t>
  </si>
  <si>
    <t>Indostar Capital Finance Ltd (SBI MCLR + 225 Bps) (02-Nov-2021) **</t>
  </si>
  <si>
    <t>INE351E08016</t>
  </si>
  <si>
    <t>9.20% DLF Home Developers Ltd Series I (21-Nov-2019) **</t>
  </si>
  <si>
    <t>BWR A(SO)</t>
  </si>
  <si>
    <t>INE351E08032</t>
  </si>
  <si>
    <t>9.20% DLF Home Developers Ltd III (21-Nov-2019) **</t>
  </si>
  <si>
    <t>INE606L08166</t>
  </si>
  <si>
    <t>0.00% Aditya Birla Retail Limited (24-Jun-2020) **</t>
  </si>
  <si>
    <t>IND A+</t>
  </si>
  <si>
    <t>INE081T08108</t>
  </si>
  <si>
    <t>9.60% Aasan Corporate Solutions Pvt Ltd (20-Dec-2019) **</t>
  </si>
  <si>
    <t>INE157D08027</t>
  </si>
  <si>
    <t>9.00% Clix Capital Services Pvt Ltd (27-Jun-2023) **</t>
  </si>
  <si>
    <t>INE357U08019</t>
  </si>
  <si>
    <t>0.00% Yes Capital India Pvt Ltd (12-Oct-2020)</t>
  </si>
  <si>
    <t>INE567W07029</t>
  </si>
  <si>
    <t>13.15% Greenko Solar Energy Private Limited (15-Jun-2020) **</t>
  </si>
  <si>
    <t>INE081T07027</t>
  </si>
  <si>
    <t>9.60% Aasan Corporate Solutions Pvt Ltd (13-Mar-2020) **</t>
  </si>
  <si>
    <t>INE192L08092</t>
  </si>
  <si>
    <t>0.00% JSW Techno Projects Management Ltd (07-Dec-2018) **</t>
  </si>
  <si>
    <t>INE713G08038</t>
  </si>
  <si>
    <t>8.15% Vodafone Idea Ltd (10-Jul-2019) **</t>
  </si>
  <si>
    <t>INE392R08020</t>
  </si>
  <si>
    <t>0.00% Dolvi Minerals And Metals Pvt Limited (22-Oct-2019) **</t>
  </si>
  <si>
    <t>BWR A-(SO)</t>
  </si>
  <si>
    <t>INE423Y07013</t>
  </si>
  <si>
    <t>9.40% Small Business Fincredit India Pvt Ltd (28-Sep-2020) **</t>
  </si>
  <si>
    <t>INE445K07197</t>
  </si>
  <si>
    <t>0.00% Reliance Broadcast Network Ltd (14-Dec-2018) **</t>
  </si>
  <si>
    <t>INE587B08037</t>
  </si>
  <si>
    <t>11.50% Clix Finance India Private Limited (06-Jan-2022) **</t>
  </si>
  <si>
    <t>INE157D08035</t>
  </si>
  <si>
    <t>11.50% Clix Capital Services Pvt Ltd (06-Sep-2021) **</t>
  </si>
  <si>
    <t>INE157D08068</t>
  </si>
  <si>
    <t>11.50% Clix Capital Services Pvt Ltd (06-Jul-2021) **</t>
  </si>
  <si>
    <t>INE157D08050</t>
  </si>
  <si>
    <t>11.50% Clix Capital Services Pvt Ltd (06-May-2021) **</t>
  </si>
  <si>
    <t>INE476S08029</t>
  </si>
  <si>
    <t>10.00% Greenko Clean Energy Projects Private Limited (07-Dec-2018) **</t>
  </si>
  <si>
    <t>INE139S07025</t>
  </si>
  <si>
    <t>10.25% Renew Solar Power Private Limited (29-Nov-2019) **</t>
  </si>
  <si>
    <t>INE351E08040</t>
  </si>
  <si>
    <t>9.20% DLF Home Developers Ltd Series IV (21-Nov-2019) **</t>
  </si>
  <si>
    <t>INE311S08150</t>
  </si>
  <si>
    <t>9.80% Ma Multi-Trade Pvt Ltd  Series B2 (17-Feb-2020) **</t>
  </si>
  <si>
    <t>INE729R08015</t>
  </si>
  <si>
    <t>0.00% SBK Properties Pvt Ltd (09-Jan-2020) **</t>
  </si>
  <si>
    <t>INE157D08043</t>
  </si>
  <si>
    <t>11.50% Clix Capital Services Pvt Ltd (12-Nov-2021) **</t>
  </si>
  <si>
    <t>INE918T07012</t>
  </si>
  <si>
    <t>0.00% Hero Wind Energy Pvt Ltd (08-Apr-2019) **</t>
  </si>
  <si>
    <t>INE918T07038</t>
  </si>
  <si>
    <t>0.00% Hero Wind Energy Pvt Ltd (21-Jun-2022) **</t>
  </si>
  <si>
    <t>INE003S07155</t>
  </si>
  <si>
    <t>10.30% Renew Power Limited (28-Sep-2022) **</t>
  </si>
  <si>
    <t>INE946S07072</t>
  </si>
  <si>
    <t>12.15% Nufuture Digital (India) Ltd (31-May-2019) **</t>
  </si>
  <si>
    <t>INE960S07032</t>
  </si>
  <si>
    <t>0.00% JSW Logistics Infrastructure Pvt Ltd (14-Dec-2018) **</t>
  </si>
  <si>
    <t>INE960S07040</t>
  </si>
  <si>
    <t>0.00% JSW Logistics Infrastructure Pvt Ltd (15-Mar-2019) **</t>
  </si>
  <si>
    <t>INE960S07057</t>
  </si>
  <si>
    <t>0.00% JSW Logistics Infrastructure Pvt Ltd (14-Jun-2019) **</t>
  </si>
  <si>
    <t>INE960S07065</t>
  </si>
  <si>
    <t>0.00% JSW Logistics Infrastructure Pvt Ltd (13-Sep-2019) **</t>
  </si>
  <si>
    <t>INE351E08024</t>
  </si>
  <si>
    <t>9.20% DLF Home Developers Ltd Series II (21-Nov-2019) **</t>
  </si>
  <si>
    <t>INE285T07065</t>
  </si>
  <si>
    <t>11.90% Bhavna Asset Operators Private Ltd (28-Feb-2019) **</t>
  </si>
  <si>
    <t>INE311S08168</t>
  </si>
  <si>
    <t>9.80% Ma Multi-Trade Pvt Ltd Series B3 (26-Jul-2017) **</t>
  </si>
  <si>
    <t>INE321N07244</t>
  </si>
  <si>
    <t>0.00% KKR India Financial Services Pvt Ltd (10-Mar-2021) **</t>
  </si>
  <si>
    <t>Certificate of Deposit</t>
  </si>
  <si>
    <t>INE040A16CC8</t>
  </si>
  <si>
    <t>HDFC Bank Ltd (08-Mar-2019) **</t>
  </si>
  <si>
    <t>CRISIL A1+</t>
  </si>
  <si>
    <t>INE238A162F3</t>
  </si>
  <si>
    <t>Axis Bank Ltd (04-Dec-2018)</t>
  </si>
  <si>
    <t>INE238A167A3</t>
  </si>
  <si>
    <t>Axis Bank Ltd (24-Dec-2018) **</t>
  </si>
  <si>
    <t>INE238A168A1</t>
  </si>
  <si>
    <t>Axis Bank Ltd (28-Dec-2018) **</t>
  </si>
  <si>
    <t>INE528G16R68</t>
  </si>
  <si>
    <t>Yes Bank Ltd (20-Feb-2019) **</t>
  </si>
  <si>
    <t>INE237A169D4</t>
  </si>
  <si>
    <t>Kotak Mahindra Bank Ltd (24-Dec-2018) **</t>
  </si>
  <si>
    <t>INE261F16264</t>
  </si>
  <si>
    <t>National Bank For Agriculture And Rural Development (14-Feb-2019)</t>
  </si>
  <si>
    <t>INE040A16CA2</t>
  </si>
  <si>
    <t>HDFC Bank Ltd (25-Jan-2019) **</t>
  </si>
  <si>
    <t>INE480Q16283</t>
  </si>
  <si>
    <t>Cooperatieve Rabobank (MIBOR+160) (28-Nov-2019) **</t>
  </si>
  <si>
    <t>INE237A164F0</t>
  </si>
  <si>
    <t>Kotak Mahindra Bank Ltd (MIBOR +108) (28-Jun-2019) **</t>
  </si>
  <si>
    <t>INE238A16Z65</t>
  </si>
  <si>
    <t>Axis Bank Ltd (12-Mar-2019) **</t>
  </si>
  <si>
    <t>INE261F14DV2</t>
  </si>
  <si>
    <t>National Bank For Agriculture And Rural Development (06-Dec-2018) **</t>
  </si>
  <si>
    <t>INE458U14070</t>
  </si>
  <si>
    <t>Wadhawan Global Capital Pvt Ltd (11-Dec-2018) **</t>
  </si>
  <si>
    <t>CARE A1+</t>
  </si>
  <si>
    <t>INE155A14NZ7</t>
  </si>
  <si>
    <t>Tata Motors Ltd (12-Mar-2019) **</t>
  </si>
  <si>
    <t>INE742O14765</t>
  </si>
  <si>
    <t>Reliance Retail Ltd (04-Dec-2018)</t>
  </si>
  <si>
    <t>INE001A14SE7</t>
  </si>
  <si>
    <t>Housing Development Finance Corp Ltd (14-Feb-2019) **</t>
  </si>
  <si>
    <t>INE002A14BH4</t>
  </si>
  <si>
    <t>Reliance Industries Ltd (04-Mar-2019) **</t>
  </si>
  <si>
    <t>INE001A14TJ4</t>
  </si>
  <si>
    <t>Housing Development Finance Corp Ltd (01-Feb-2019) **</t>
  </si>
  <si>
    <t>INE110L14HS6</t>
  </si>
  <si>
    <t>Reliance Jio Infocomm Limited (12-Dec-2018) **</t>
  </si>
  <si>
    <t>INE660N14AZ6</t>
  </si>
  <si>
    <t>S D Corporation Private Ltd (24-May-2019) **</t>
  </si>
  <si>
    <t>CARE A1+(SO)</t>
  </si>
  <si>
    <t>INE660N14AW3</t>
  </si>
  <si>
    <t>S D Corporation Private Ltd (11-Jun-2019) **</t>
  </si>
  <si>
    <t>ICRA A1+(SO)</t>
  </si>
  <si>
    <t>INE660N14AX1</t>
  </si>
  <si>
    <t>S D Corporation Private Ltd (13-Jun-2019) **</t>
  </si>
  <si>
    <t>INE660N14AT9</t>
  </si>
  <si>
    <t>S D Corporation Private Ltd (15-May-2019) **</t>
  </si>
  <si>
    <t>INE660N14BL4</t>
  </si>
  <si>
    <t>S D Corporation Private Ltd (14-Feb-2019) **</t>
  </si>
  <si>
    <t>INE660N14CD9</t>
  </si>
  <si>
    <t>S D Corporation Private Ltd (25-Feb-2019) **</t>
  </si>
  <si>
    <t>INE660N14CE7</t>
  </si>
  <si>
    <t>S D Corporation Private Ltd (26-Feb-2019) **</t>
  </si>
  <si>
    <t>INE115A14AM6</t>
  </si>
  <si>
    <t>LIC Housing Finance Ltd (21-Feb-2019) **</t>
  </si>
  <si>
    <t>INE001A14TU1</t>
  </si>
  <si>
    <t>Housing Development Finance Corp Ltd (11-Feb-2019)</t>
  </si>
  <si>
    <t>INE660N14BA7</t>
  </si>
  <si>
    <t>S D Corporation Private Ltd (05-Jun-2019) **</t>
  </si>
  <si>
    <t>INE027E14GU5</t>
  </si>
  <si>
    <t>L&amp;T Finance Ltd (14-Dec-2018) **</t>
  </si>
  <si>
    <t>National Bank For Agriculture And Rural Development (31-Jan-2019)</t>
  </si>
  <si>
    <t>INE001A14TG0</t>
  </si>
  <si>
    <t>Housing Development Finance Corp Ltd (11-Jan-2019) **</t>
  </si>
  <si>
    <t>INE523H14O26</t>
  </si>
  <si>
    <t>JM Financial Products Ltd (31-Jan-2019) **</t>
  </si>
  <si>
    <t>INE001A14SI8</t>
  </si>
  <si>
    <t>Housing Development Finance Corp Ltd (28-Feb-2019) **</t>
  </si>
  <si>
    <t>INE660N14BM2</t>
  </si>
  <si>
    <t>S D Corporation Private Ltd (22-Feb-2019) **</t>
  </si>
  <si>
    <t>INE688I14HM0</t>
  </si>
  <si>
    <t>Capital First Ltd (14-Feb-2019) **</t>
  </si>
  <si>
    <t>Super Institutional Plan Weekly Dividend Option</t>
  </si>
  <si>
    <t>Direct Super Institutional Plan Weekly Dividend Option</t>
  </si>
  <si>
    <t>Direct Super Institutional Plan Daily Dividend Option</t>
  </si>
  <si>
    <t>Super Institutional Plan Daily Dividend Option</t>
  </si>
  <si>
    <t>Super Institutional Plan Growth Option</t>
  </si>
  <si>
    <t>Retail Plan Weekly Dividend Option</t>
  </si>
  <si>
    <t>Retail Plan Growth Option</t>
  </si>
  <si>
    <t>Direct Super Institutional Plan Growth Option</t>
  </si>
  <si>
    <t>Institutional Plan Daily Dividend Option</t>
  </si>
  <si>
    <t>Retail Plan Daily Dividend Option</t>
  </si>
  <si>
    <t>Institutional Plan Growth Option</t>
  </si>
  <si>
    <t>Institutional Plan Daily Dividend Reinvestment Option</t>
  </si>
  <si>
    <t>Super Institutional Plan Daily Dividend Reinvestment Option</t>
  </si>
  <si>
    <t>Direct Super Institutional Plan Daily Dividend Reinvestment Option</t>
  </si>
  <si>
    <r>
      <t>Franklin India Short Term Income Plan As of -30Nov</t>
    </r>
    <r>
      <rPr>
        <b/>
        <sz val="8"/>
        <color theme="1"/>
        <rFont val="Arial"/>
        <family val="2"/>
      </rPr>
      <t>2018</t>
    </r>
  </si>
  <si>
    <t>INE528G08352</t>
  </si>
  <si>
    <t>9.50% Yes Bank Ltd (23-12-2021) **</t>
  </si>
  <si>
    <t>INE205A07030</t>
  </si>
  <si>
    <t>9.45% Vedanta Ltd (17-Aug-2020) **</t>
  </si>
  <si>
    <t>INE140A07401</t>
  </si>
  <si>
    <t>9.00% Piramal Enterprises Ltd (15-May-2020) **</t>
  </si>
  <si>
    <t>INE01E708024</t>
  </si>
  <si>
    <t>10.32% Andhra Pradesh Capital Region Development Author (16-Aug-2025) **</t>
  </si>
  <si>
    <t>INE01E708016</t>
  </si>
  <si>
    <t>10.32% Andhra Pradesh Capital Region Development Author (16-Aug-2024) **</t>
  </si>
  <si>
    <t>INE252T07040</t>
  </si>
  <si>
    <t>9.70% Xander Finance Pvt Ltd (15-Mar-2021) **</t>
  </si>
  <si>
    <t>INE667A08104</t>
  </si>
  <si>
    <t>9.80% Syndicate Bank (25-Jul-2022) **</t>
  </si>
  <si>
    <t>INE270O08033</t>
  </si>
  <si>
    <t>0.00% RKN Retail Pvt Ltd Tranche 2 (30-Apr-2020) **</t>
  </si>
  <si>
    <t>INE657N07183</t>
  </si>
  <si>
    <t>9.00% Edelweiss Commodities Services Ltd (17-Apr-2020) **</t>
  </si>
  <si>
    <t>INE976G08064</t>
  </si>
  <si>
    <t>10.20% RBL Bank Ltd (15-Apr-2023) **</t>
  </si>
  <si>
    <t>INE852O07097</t>
  </si>
  <si>
    <t>10.00% Aptus Value Housing Finance India Ltd (20-Aug-2025) **</t>
  </si>
  <si>
    <t>INE657N07381</t>
  </si>
  <si>
    <t>8.70% Edelweiss Commodities Services Ltd (30-Jun-2027) **</t>
  </si>
  <si>
    <t>INE434A08067</t>
  </si>
  <si>
    <t>10.99% Andhra Bank (05-Aug-2021) **</t>
  </si>
  <si>
    <t>INE540P07319</t>
  </si>
  <si>
    <t>10.15% Uttar Pradesh Power Corp Ltd (19-Jan-2024) **</t>
  </si>
  <si>
    <t>INE540P07327</t>
  </si>
  <si>
    <t>10.15% Uttar Pradesh Power Corp Ltd (20-Jan-2025)</t>
  </si>
  <si>
    <t>INE540P07335</t>
  </si>
  <si>
    <t>10.15% Uttar Pradesh Power Corp Ltd (20-Jan-2026)</t>
  </si>
  <si>
    <t>INE016P07146</t>
  </si>
  <si>
    <t>10.5% Vistaar Financial Services Private Ltd (24-Aug-2025) **</t>
  </si>
  <si>
    <t>INE852O07055</t>
  </si>
  <si>
    <t>10.00% Aptus Value Housing Finance India Ltd (24-Jan-2025) **</t>
  </si>
  <si>
    <t>INE623B07115</t>
  </si>
  <si>
    <t>10.25% Future Retail Ltd, Series C (06-Apr-2020) **</t>
  </si>
  <si>
    <t>INE271C07160</t>
  </si>
  <si>
    <t>12.25% DLF Ltd, Tranche II Series III (09-Aug-2019) **</t>
  </si>
  <si>
    <t>INE459T07082</t>
  </si>
  <si>
    <t>10.4% Vastu Housing Finance Corp Ltd (27-Nov-2025) **</t>
  </si>
  <si>
    <t>INE124N07200</t>
  </si>
  <si>
    <t>10.9007% Ess Kay Fincorp Limited (11-Jun-2021) **</t>
  </si>
  <si>
    <t>INE124N07168</t>
  </si>
  <si>
    <t>INE252T07057</t>
  </si>
  <si>
    <t>9.70% Xander Finance Pvt Ltd (30-Apr-2021) **</t>
  </si>
  <si>
    <t>INE459T07033</t>
  </si>
  <si>
    <t>INE01E708032</t>
  </si>
  <si>
    <t>10.32% Andhra Pradesh Capital Region Development Author (16-Aug-2026) **</t>
  </si>
  <si>
    <t>INE146O08068</t>
  </si>
  <si>
    <t>11.50% Hinduja Leyland Finance Ltd (31-May-2021) **</t>
  </si>
  <si>
    <t>INE540P07202</t>
  </si>
  <si>
    <t>9.75% Uttar Pradesh Power Corp Ltd (20-Oct-2021) **</t>
  </si>
  <si>
    <t>INE205A07048</t>
  </si>
  <si>
    <t>8.68% Vedanta Ltd (20-Apr-2020) **</t>
  </si>
  <si>
    <t>INE155A08068</t>
  </si>
  <si>
    <t>9.70% Tata Motors Ltd (18-Jun-2020) **</t>
  </si>
  <si>
    <t>INE040A08377</t>
  </si>
  <si>
    <t>8.85% HDFC Bank Ltd (12-May-2022)</t>
  </si>
  <si>
    <t>INE160A08100</t>
  </si>
  <si>
    <t>8.95% Punjab National Bank (03-Mar-2022) **</t>
  </si>
  <si>
    <t>INE608A08025</t>
  </si>
  <si>
    <t>10.90% Punjab &amp; Sindh Bank Ltd (07-May-2022) **</t>
  </si>
  <si>
    <t>INE658R08149</t>
  </si>
  <si>
    <t>Aspire Home Finance Corp Ltd (SBI MCLR + 205 Bps) (28-Sep-2023) **</t>
  </si>
  <si>
    <t>INE852O07048</t>
  </si>
  <si>
    <t>10.00% Aptus Value Housing Finance India Ltd (26-Dec-2024) **</t>
  </si>
  <si>
    <t>INE657N07407</t>
  </si>
  <si>
    <t>8.45% Edelweiss Commodities Services Ltd (11-Aug-2020) **</t>
  </si>
  <si>
    <t>INE128S07333</t>
  </si>
  <si>
    <t>10.21% Five Star Business Finance Ltd (28-Mar-2023) **</t>
  </si>
  <si>
    <t>INE146O08100</t>
  </si>
  <si>
    <t>9.40% Hinduja Leyland Finance Ltd (28-Aug-2024) **</t>
  </si>
  <si>
    <t>INE667A08070</t>
  </si>
  <si>
    <t>11.25% Syndicate Bank (15-Jul-2021) **</t>
  </si>
  <si>
    <t>INE503A08028</t>
  </si>
  <si>
    <t>9.85% DCB Bank Ltd (18-Nov-2026) **</t>
  </si>
  <si>
    <t>INE146O08027</t>
  </si>
  <si>
    <t>12.00% Hinduja Leyland Finance Ltd (28-Mar-2021) **</t>
  </si>
  <si>
    <t>INE705A08094</t>
  </si>
  <si>
    <t>10.49% Vijaya Bank (17-Jan-2022) **</t>
  </si>
  <si>
    <t>INE146O08084</t>
  </si>
  <si>
    <t>11.30% Hinduja Leyland Finance Ltd (21-Jul-2021) **</t>
  </si>
  <si>
    <t>INE128S07317</t>
  </si>
  <si>
    <t>*</t>
  </si>
  <si>
    <t>INE428K07011</t>
  </si>
  <si>
    <t>11.49% Reliance Infrastructure Consulting &amp; Engineers (15-Jan-2021) **</t>
  </si>
  <si>
    <t>INE209W07010</t>
  </si>
  <si>
    <t>9.60% Narmada Wind Energy Pvt Ltd (31-Mar-2023) **</t>
  </si>
  <si>
    <t>INE498F07063</t>
  </si>
  <si>
    <t>0.00% Essel Infraprojects Ltd, Series I (22-May-2020) **</t>
  </si>
  <si>
    <t>INE082T07025</t>
  </si>
  <si>
    <t>0.00% Pri-Media Services Pvt. Ltd. Series B (30-Jun-2020) **</t>
  </si>
  <si>
    <t>INE333T07055</t>
  </si>
  <si>
    <t>11.49% Reliance Big Pvt Ltd Series 2 (14-Jan-2021) **</t>
  </si>
  <si>
    <t>INE720G08082</t>
  </si>
  <si>
    <t>Jindal Power Ltd  (SBI+100 Bps) (22-Dec-2020) **</t>
  </si>
  <si>
    <t>INE971Z07109</t>
  </si>
  <si>
    <t>12.25% Rivaaz Trade Ventures Pvt Ltd (30-Sep-2023) **</t>
  </si>
  <si>
    <t>INE918T07020</t>
  </si>
  <si>
    <t>0.00% Hero Wind Energy Pvt Ltd (08-Feb-2022) **</t>
  </si>
  <si>
    <t>INE971Z07042</t>
  </si>
  <si>
    <t>11.5% Rivaaz Trade Ventures Pvt Ltd (30-Mar-2022) **</t>
  </si>
  <si>
    <t>INE003S07122</t>
  </si>
  <si>
    <t>13.01% Renew Power Ventures Pvt. Ltd., Series VI, (23-Mar-2020) **</t>
  </si>
  <si>
    <t>INE445K07098</t>
  </si>
  <si>
    <t>9.50% Reliance Broadcast Network Ltd (20-Jul-2019) **</t>
  </si>
  <si>
    <t>INE507R07033</t>
  </si>
  <si>
    <t>13.50% Opj Trading Private Ltd (16-Oct-2020) **</t>
  </si>
  <si>
    <t>INE971Z07034</t>
  </si>
  <si>
    <t>11.5% Rivaaz Trade Ventures Pvt Ltd (30-Mar-2021) **</t>
  </si>
  <si>
    <t>INE498F07071</t>
  </si>
  <si>
    <t>0.00% Essel Infraprojects Ltd, Series II (22-May-2020) **</t>
  </si>
  <si>
    <t>INE003S07072</t>
  </si>
  <si>
    <t>12.68% Renew Power Ventures Pvt. Ltd., Series I, (23-Mar-2020) **</t>
  </si>
  <si>
    <t>INE946S07122</t>
  </si>
  <si>
    <t>12.80% Nufuture Digital (India) Ltd (30-Sep-2021) **</t>
  </si>
  <si>
    <t>INE082T07017</t>
  </si>
  <si>
    <t>0.00% Pri-Media Services Pvt. Ltd. Series A (30-Jun-2020) **</t>
  </si>
  <si>
    <t>INE445K07106</t>
  </si>
  <si>
    <t>9.50% Reliance Broadcast Network Ltd (20-Jul-2020) **</t>
  </si>
  <si>
    <t>INE311S08135</t>
  </si>
  <si>
    <t>10.00% Ma Multi-Trade Pvt Ltd (27-Nov-2020) **</t>
  </si>
  <si>
    <t>INE971Z07026</t>
  </si>
  <si>
    <t>11.5% Rivaaz Trade Ventures Pvt Ltd (30-Mar-2020) **</t>
  </si>
  <si>
    <t>INE804K07013</t>
  </si>
  <si>
    <t>11.28% Reliance Big Entertainment Pvt Ltd (26-Apr-2019) **</t>
  </si>
  <si>
    <t>BWR AA+(SO)</t>
  </si>
  <si>
    <t>INE285T07099</t>
  </si>
  <si>
    <t>11.9% Bhavna Asset Operators Private Ltd (07-Aug-2020) **</t>
  </si>
  <si>
    <t>INE971Z07083</t>
  </si>
  <si>
    <t>12.25% Rivaaz Trade Ventures Pvt Ltd (30-Sep-2021) **</t>
  </si>
  <si>
    <t>INE971Z07091</t>
  </si>
  <si>
    <t>12.25% Rivaaz Trade Ventures Pvt Ltd (30-Sep-2022) **</t>
  </si>
  <si>
    <t>INE080T07029</t>
  </si>
  <si>
    <t>12.75% Future Ideas Company Ltd (31-Jul-2019) **</t>
  </si>
  <si>
    <t>INE080T07060</t>
  </si>
  <si>
    <t>13.40% Future Ideas Company Ltd (31-Oct-2022) **</t>
  </si>
  <si>
    <t>INE946S07114</t>
  </si>
  <si>
    <t>12.80% Nufuture Digital (India) Ltd (30-Sep-2020) **</t>
  </si>
  <si>
    <t>INE971Z07075</t>
  </si>
  <si>
    <t>12.25% Rivaaz Trade Ventures Pvt Ltd (30-Sep-2020) **</t>
  </si>
  <si>
    <t>INE080T07052</t>
  </si>
  <si>
    <t>13.40% Future Ideas Company Ltd (31-Oct-2021) **</t>
  </si>
  <si>
    <t>INE971Z07018</t>
  </si>
  <si>
    <t>11.5% Rivaaz Trade Ventures Pvt Ltd (30-Mar-2019) **</t>
  </si>
  <si>
    <t>INE946S07098</t>
  </si>
  <si>
    <t>12.15% Nufuture Digital (India) Ltd (02-Jun-2020) **</t>
  </si>
  <si>
    <t>INE971Z07067</t>
  </si>
  <si>
    <t>12.25% Rivaaz Trade Ventures Pvt Ltd (30-Sep-2019) **</t>
  </si>
  <si>
    <t>INE080T07045</t>
  </si>
  <si>
    <t>13.40% Future Ideas Company Ltd (31-Oct-2020) **</t>
  </si>
  <si>
    <t>INE321N07152</t>
  </si>
  <si>
    <t>0.00% KKR India Financial Services Pvt Ltd (14-Apr-2020) **</t>
  </si>
  <si>
    <t>INE946S07106</t>
  </si>
  <si>
    <t>12.80% Nufuture Digital (India) Ltd (30-Sep-2019) **</t>
  </si>
  <si>
    <t>INE333T07048</t>
  </si>
  <si>
    <t>11.49% Reliance Big Pvt Ltd  Series 1 (14-Jan-2021) **</t>
  </si>
  <si>
    <t>* Less Than 0.01 %</t>
  </si>
  <si>
    <t>Direct Retail Plan Growth Option</t>
  </si>
  <si>
    <t>Direct Retail Plan Monthly Dividend Option</t>
  </si>
  <si>
    <t>Direct Retail Plan Quarterly Dividend Option</t>
  </si>
  <si>
    <t>Direct Retail Plan Weekly Dividend Option</t>
  </si>
  <si>
    <t>Retail Plan Monthly Dividend Option</t>
  </si>
  <si>
    <t>Retail Plan Quarterly Dividend Option</t>
  </si>
  <si>
    <t>Franklin India Savings Fund As of -30Nov2018</t>
  </si>
  <si>
    <t>INE261F16314</t>
  </si>
  <si>
    <t>National Bank For Agriculture And Rural Development (27-Nov-2019) **</t>
  </si>
  <si>
    <t>INE238A16Y82</t>
  </si>
  <si>
    <t>Axis Bank Ltd (26-Feb-2019) **</t>
  </si>
  <si>
    <t>INE514E16BI3</t>
  </si>
  <si>
    <t>Export-Import Bank Of India (13-Mar-2019) **</t>
  </si>
  <si>
    <t>INE556F16416</t>
  </si>
  <si>
    <t>Small Industries Development Bank Of India (28-May-2019) **</t>
  </si>
  <si>
    <t>INE002A14854</t>
  </si>
  <si>
    <t>Reliance Industries Ltd (01-Mar-2019)</t>
  </si>
  <si>
    <t>INE535H14GR6</t>
  </si>
  <si>
    <t>Fullerton India Credit Co Ltd (15-Mar-2019) **</t>
  </si>
  <si>
    <t>INE523H14N43</t>
  </si>
  <si>
    <t>JM Financial Products Ltd (17-Dec-2018) **</t>
  </si>
  <si>
    <t>INE514E14NM5</t>
  </si>
  <si>
    <t>Export-Import Bank Of India (14-Mar-2019) **</t>
  </si>
  <si>
    <t>INE688I14FZ6</t>
  </si>
  <si>
    <t>Capital First Ltd (15-Mar-2019) **</t>
  </si>
  <si>
    <t>INE660N14BB5</t>
  </si>
  <si>
    <t>S D Corporation Private Ltd (21-Jun-2019) **</t>
  </si>
  <si>
    <t>INE001A14UH6</t>
  </si>
  <si>
    <t>Housing Development Finance Corp Ltd (14-Nov-2019) **</t>
  </si>
  <si>
    <t>Lic Housing Finance Ltd (21-Feb-2019) **</t>
  </si>
  <si>
    <t>INE001A14UG8</t>
  </si>
  <si>
    <t>Housing Development Finance Corp Ltd (20-May-2019) **</t>
  </si>
  <si>
    <t>INE580B14HH4</t>
  </si>
  <si>
    <t>Gruh Finance Ltd (21-Mar-2019) **</t>
  </si>
  <si>
    <t>Direct Retail Plan Daily Dividend Option</t>
  </si>
  <si>
    <t>Institutional Plan Dividend Option</t>
  </si>
  <si>
    <t>Franklin India Pension Plan As of -30Nov2018</t>
  </si>
  <si>
    <t>Industry/Rating</t>
  </si>
  <si>
    <t>INE062A08124</t>
  </si>
  <si>
    <t>9.00% State Bank Of India (06-Sep-2021) **</t>
  </si>
  <si>
    <t>INE146O08035</t>
  </si>
  <si>
    <t>12.40% Hinduja Leyland Finance Ltd (03-Nov-2019) **</t>
  </si>
  <si>
    <t>INE205A07139</t>
  </si>
  <si>
    <t>8.50% Vedanta Ltd (05-Apr-2021) **</t>
  </si>
  <si>
    <t>INE081A08207</t>
  </si>
  <si>
    <t>9.15% Tata Steel Ltd (24-Jan-2021) **</t>
  </si>
  <si>
    <t>BWR AA</t>
  </si>
  <si>
    <t>INE514E08FL5</t>
  </si>
  <si>
    <t>8.60% Export-Import Bank Of India (31-Mar-2022) **</t>
  </si>
  <si>
    <t>ICRA AA+</t>
  </si>
  <si>
    <t>INE053F07AC3</t>
  </si>
  <si>
    <t>7.33% Indian Railway Finance Corp Ltd (27-Aug-2027) **</t>
  </si>
  <si>
    <t>INE002A08542</t>
  </si>
  <si>
    <t>8.95% Reliance Industries Ltd (09-Nov-2028)</t>
  </si>
  <si>
    <t>INE265J07100</t>
  </si>
  <si>
    <t>9.40% JM Financial Asset Reconstruction Co Ltd (27-Feb-2019) **</t>
  </si>
  <si>
    <t>INE115A07GB0</t>
  </si>
  <si>
    <t>8.70% LIC Housing Finance Ltd (08-Nov-2019) **</t>
  </si>
  <si>
    <t>(d) Securitised Debt Instruments/Unlisted</t>
  </si>
  <si>
    <t>Government Securities</t>
  </si>
  <si>
    <t>IN0020170174</t>
  </si>
  <si>
    <t>7.17% GOI 2028 (08-Jan-2028)</t>
  </si>
  <si>
    <t>SOVEREIGN</t>
  </si>
  <si>
    <t>IN0020180025</t>
  </si>
  <si>
    <t>7.37% GOI 2023 (16-Apr-2023)</t>
  </si>
  <si>
    <t>Franklin India Liquid Fund As of -30Nov2018</t>
  </si>
  <si>
    <t>INE155A08274</t>
  </si>
  <si>
    <t>8.25% Tata Motors Ltd (28-Jan-2019) **</t>
  </si>
  <si>
    <t>INE081A08199</t>
  </si>
  <si>
    <t>9.15% Tata Steel Ltd (24-Jan-2019) **</t>
  </si>
  <si>
    <t>INE001A07QZ0</t>
  </si>
  <si>
    <t>6.96% Housing Development Finance Corp Ltd (28-Dec-2018) **</t>
  </si>
  <si>
    <t>INE115A07MP8</t>
  </si>
  <si>
    <t>7.2% LIC Housing Finance Ltd (12-Feb-2019) **</t>
  </si>
  <si>
    <t>INE095A16XD6</t>
  </si>
  <si>
    <t>Indusind Bank Ltd (17-Dec-2018) **</t>
  </si>
  <si>
    <t>INE092T16GM9</t>
  </si>
  <si>
    <t>IDFC Bank Ltd (27-Dec-2018) **</t>
  </si>
  <si>
    <t>INE095A16WZ1</t>
  </si>
  <si>
    <t>Indusind Bank Ltd (29-Jan-2019)</t>
  </si>
  <si>
    <t>INE092T16HO3</t>
  </si>
  <si>
    <t>IDFC Bank Ltd (15-Feb-2019)</t>
  </si>
  <si>
    <t>INE238A16Y66</t>
  </si>
  <si>
    <t>Axis Bank Ltd (22-Feb-2019) **</t>
  </si>
  <si>
    <t>INE095A16XG9</t>
  </si>
  <si>
    <t>Indusind Bank Ltd (14-Dec-2018) **</t>
  </si>
  <si>
    <t>INE733E14237</t>
  </si>
  <si>
    <t>NTPC Ltd (28-Feb-2019) **</t>
  </si>
  <si>
    <t>INE110L14IQ8</t>
  </si>
  <si>
    <t>Reliance Jio Infocomm Limited (14-Jan-2019) **</t>
  </si>
  <si>
    <t>INE896L14CQ5</t>
  </si>
  <si>
    <t>Indostar Capital Finance Ltd (14-Jan-2019) **</t>
  </si>
  <si>
    <t>INE742O14989</t>
  </si>
  <si>
    <t>Reliance Retail Ltd (22-Feb-2019) **</t>
  </si>
  <si>
    <t>INE774D14OY0</t>
  </si>
  <si>
    <t>Mahindra &amp; Mahindra Financial Services Ltd (07-Dec-2018) **</t>
  </si>
  <si>
    <t>INE261F14EJ5</t>
  </si>
  <si>
    <t>National Bank For Agriculture And Rural Development (28-Jan-2019) **</t>
  </si>
  <si>
    <t>INE110L14IZ9</t>
  </si>
  <si>
    <t>Reliance Jio Infocomm Limited (04-Feb-2019) **</t>
  </si>
  <si>
    <t>INE725H14699</t>
  </si>
  <si>
    <t>Tata Projects Ltd (26-Feb-2019) **</t>
  </si>
  <si>
    <t>INE688I14HG2</t>
  </si>
  <si>
    <t>Capital First Ltd (26-Dec-2018) **</t>
  </si>
  <si>
    <t>INE071G14BY1</t>
  </si>
  <si>
    <t>ICICI Home Finance Company Limited (07-Jan-2019) **</t>
  </si>
  <si>
    <t>INE957N14BG4</t>
  </si>
  <si>
    <t>Hero Fincorp Ltd (14-Jan-2019) **</t>
  </si>
  <si>
    <t>INE020B14565</t>
  </si>
  <si>
    <t>Rural Electrification Corp Ltd (15-Feb-2019) **</t>
  </si>
  <si>
    <t>INE110L14JE2</t>
  </si>
  <si>
    <t>Reliance Jio Infocomm Limited (18-Feb-2019) **</t>
  </si>
  <si>
    <t>INE607M14269</t>
  </si>
  <si>
    <t>Tata Power Renewable Energy Ltd (07-Dec-2018) **</t>
  </si>
  <si>
    <t>INE296A14OL7</t>
  </si>
  <si>
    <t>Bajaj Finance Ltd (17-Dec-2018) **</t>
  </si>
  <si>
    <t>INE134E14AC0</t>
  </si>
  <si>
    <t>Power Finance Corp Ltd (04-Dec-2018) **</t>
  </si>
  <si>
    <t>INE296A14OI3</t>
  </si>
  <si>
    <t>Bajaj Finance Ltd (11-Dec-2018) **</t>
  </si>
  <si>
    <t>INE205A14PC4</t>
  </si>
  <si>
    <t>Vedanta Ltd (20-Dec-2018) **</t>
  </si>
  <si>
    <t>INE115A14AT1</t>
  </si>
  <si>
    <t>LIC Housing Finance Ltd (24-Dec-2018) **</t>
  </si>
  <si>
    <t>INE965U14355</t>
  </si>
  <si>
    <t>Capital First Home Finance Ltd (28-Dec-2018) **</t>
  </si>
  <si>
    <t>INE110L14IM7</t>
  </si>
  <si>
    <t>Reliance Jio Infocomm Limited (10-Jan-2019) **</t>
  </si>
  <si>
    <t>INE134E14AF3</t>
  </si>
  <si>
    <t>Power Finance Corp Ltd (15-Jan-2019) **</t>
  </si>
  <si>
    <t>INE261F14EE6</t>
  </si>
  <si>
    <t>National Bank For Agriculture And Rural Development (18-Jan-2019) **</t>
  </si>
  <si>
    <t>INE261F14ED8</t>
  </si>
  <si>
    <t>National Bank For Agriculture And Rural Development (21-Jan-2019) **</t>
  </si>
  <si>
    <t>INE055A14GU4</t>
  </si>
  <si>
    <t>Century Textiles &amp; Industries Ltd (29-Jan-2019)</t>
  </si>
  <si>
    <t>INE965U14363</t>
  </si>
  <si>
    <t>Capital First Home Finance Ltd (08-Feb-2019) **</t>
  </si>
  <si>
    <t>INE965U14397</t>
  </si>
  <si>
    <t>Capital First Home Finance Ltd (28-Feb-2019)</t>
  </si>
  <si>
    <t>INE012114KC8</t>
  </si>
  <si>
    <t>JM Financial Services Ltd (31-Dec-2018) **</t>
  </si>
  <si>
    <t>INE901W14992</t>
  </si>
  <si>
    <t>JM Financial Capital Ltd (15-Feb-2019) **</t>
  </si>
  <si>
    <t>INE891K14GX5</t>
  </si>
  <si>
    <t>Axis Finance Ltd (11-Jan-2019) **</t>
  </si>
  <si>
    <t>INE001A14RZ4</t>
  </si>
  <si>
    <t>Housing Development Finance Corp Ltd (15-Jan-2019) **</t>
  </si>
  <si>
    <t>INE001A14SL2</t>
  </si>
  <si>
    <t>Housing Development Finance Corp Ltd (22-Jan-2019) **</t>
  </si>
  <si>
    <t>INE660N14BY7</t>
  </si>
  <si>
    <t>S D Corporation Private Ltd (07-Feb-2019) **</t>
  </si>
  <si>
    <t>INE660N14BX9</t>
  </si>
  <si>
    <t>S D Corporation Private Ltd (08-Feb-2019) **</t>
  </si>
  <si>
    <t>INE660N14CC1</t>
  </si>
  <si>
    <t>S D Corporation Private Ltd (18-Feb-2019) **</t>
  </si>
  <si>
    <t>INE660N14CB3</t>
  </si>
  <si>
    <t>S D Corporation Private Ltd (11-Feb-2019) **</t>
  </si>
  <si>
    <t>INE660N14BZ4</t>
  </si>
  <si>
    <t>S D Corporation Private Ltd (12-Feb-2019) **</t>
  </si>
  <si>
    <t>INE660N14CA5</t>
  </si>
  <si>
    <t>S D Corporation Private Ltd (13-Feb-2019) **</t>
  </si>
  <si>
    <t>Institutional Plan Weekly Dividend Option</t>
  </si>
  <si>
    <t>Regular Plan Weekly Dividend Option</t>
  </si>
  <si>
    <t>Direct Super Institutional Growth Option</t>
  </si>
  <si>
    <t>Regular Plan Daily Dividend Reinvestment Option</t>
  </si>
  <si>
    <t>Unclaimed Dividend Plan - Growth</t>
  </si>
  <si>
    <t>Unclaimed Redemption Plan - Growth</t>
  </si>
  <si>
    <t>Regular Plan Growth Option</t>
  </si>
  <si>
    <t>Direct Super Institutional Weekly Dividend Option</t>
  </si>
  <si>
    <t>Direct Super Institutional Daily Dividend Reinvestment Option</t>
  </si>
  <si>
    <t>Regular Plan Daily Divdend Reinvestment Option</t>
  </si>
  <si>
    <t>Direct Super Institutional Plan Daily Divdend Reinvestment Option</t>
  </si>
  <si>
    <t>Franklin India Low Duration Fund As of -30Nov2018</t>
  </si>
  <si>
    <t>INE245A08091</t>
  </si>
  <si>
    <t>7.99% The Tata Power Co Ltd (16-Nov-2020) **</t>
  </si>
  <si>
    <t>INE124N07150</t>
  </si>
  <si>
    <t>10.434553% Ess Kay Fincorp Limited (27-Sep-2019) **</t>
  </si>
  <si>
    <t>INE945W07027</t>
  </si>
  <si>
    <t>0.00% Incred Financial Services Private Limited (22-Jun-2020) **</t>
  </si>
  <si>
    <t>INE459T07074</t>
  </si>
  <si>
    <t>Vastu Housing Finance Corp Ltd (6M SBI MCLR + 185 Bps) (25-Aug-2023) **</t>
  </si>
  <si>
    <t>INE459T07066</t>
  </si>
  <si>
    <t>INE146O07052</t>
  </si>
  <si>
    <t>10.65% Hinduja Leyland Finance Ltd (16-Feb-2020) **</t>
  </si>
  <si>
    <t>INE434A09149</t>
  </si>
  <si>
    <t>9.55% Andhra Bank (26-Dec-2019) **</t>
  </si>
  <si>
    <t>INE134E08GN6</t>
  </si>
  <si>
    <t>8.96% Power Finance Corp Ltd (21-Oct-2019) **</t>
  </si>
  <si>
    <t>INE311S08176</t>
  </si>
  <si>
    <t>10.5% Ma Multi-Trade Pvt Ltd (12-Jul-2021) **</t>
  </si>
  <si>
    <t>INE476S08037</t>
  </si>
  <si>
    <t>10.75% Greenko Clean Energy Projects Private Limited (04-Dec-2020) **</t>
  </si>
  <si>
    <t>INE458U07025</t>
  </si>
  <si>
    <t>0.00% Wadhawan Global Capital Pvt Ltd (31-Jul-2020) **</t>
  </si>
  <si>
    <t>INE157D08019</t>
  </si>
  <si>
    <t>9.00% Clix Capital Services Pvt Ltd (25-May-2023) **</t>
  </si>
  <si>
    <t>INE840S07077</t>
  </si>
  <si>
    <t>11.90% Legitimate Asset Operators Pvt Ltd (31-May-2019) **</t>
  </si>
  <si>
    <t>INE960S07073</t>
  </si>
  <si>
    <t>0.00% JSW Logistics Infrastructure Pvt Ltd (13-Dec-2019) **</t>
  </si>
  <si>
    <t>INE960S07081</t>
  </si>
  <si>
    <t>0.00% JSW Logistics Infrastructure Pvt Ltd (13-Mar-2020) **</t>
  </si>
  <si>
    <t>INE840S07085</t>
  </si>
  <si>
    <t>11.90% Legitimate Asset Operators Pvt Ltd (30-Nov-2019) **</t>
  </si>
  <si>
    <t>INE285T07073</t>
  </si>
  <si>
    <t>11.90% Bhavna Asset Operators Private Ltd (31-Aug-2019) **</t>
  </si>
  <si>
    <t>INE238A164E2</t>
  </si>
  <si>
    <t>Axis Bank Ltd (08-Aug-2019) **</t>
  </si>
  <si>
    <t>INE238A165G4</t>
  </si>
  <si>
    <t>Axis Bank Ltd (14-Nov-2019) **</t>
  </si>
  <si>
    <t>INE556F16325</t>
  </si>
  <si>
    <t>Small Industries Development Bank Of India (07-Feb-2019) **</t>
  </si>
  <si>
    <t>INE556F16424</t>
  </si>
  <si>
    <t>Small Industries Development Bank Of India (06-Jun-2019) **</t>
  </si>
  <si>
    <t>INE477A14AA5</t>
  </si>
  <si>
    <t>Canfin Homes Ltd (14-May-2019) **</t>
  </si>
  <si>
    <t>INE660N14AV5</t>
  </si>
  <si>
    <t>S D Corporation Private Ltd (04-Jun-2019) **</t>
  </si>
  <si>
    <t>INE660N14AU7</t>
  </si>
  <si>
    <t>S D Corporation Private Ltd (07-Jun-2019) **</t>
  </si>
  <si>
    <t>INE660N14AY9</t>
  </si>
  <si>
    <t>S D Corporation Private Ltd (14-Jun-2019) **</t>
  </si>
  <si>
    <t>INE660N14BC3</t>
  </si>
  <si>
    <t>S D Corporation Private Ltd (19-Jun-2019) **</t>
  </si>
  <si>
    <r>
      <t>Franklin India Government Securities Fund As of -3</t>
    </r>
    <r>
      <rPr>
        <b/>
        <sz val="8"/>
        <color theme="1"/>
        <rFont val="Arial"/>
        <family val="2"/>
      </rPr>
      <t>0Nov2018</t>
    </r>
  </si>
  <si>
    <t>IN0020150051</t>
  </si>
  <si>
    <t>7.73% GOI 2034 (19-Dec-2034)</t>
  </si>
  <si>
    <t>Growth Option</t>
  </si>
  <si>
    <t>Direct Growth Option</t>
  </si>
  <si>
    <t>Quarterly Dividend Option</t>
  </si>
  <si>
    <t>Direct Quarterly Dividend Option</t>
  </si>
  <si>
    <t>Franklin India Floating Rate Fund As of -30Nov2018</t>
  </si>
  <si>
    <t>IN0020092071</t>
  </si>
  <si>
    <t>GOI FRB 2020 (21Dec2020)</t>
  </si>
  <si>
    <t>Franklin India Equity Hybrid Fund As of -30Nov2018</t>
  </si>
  <si>
    <t>INE265J07282</t>
  </si>
  <si>
    <t>10.25% JM Financial Asset Reconstruction Co Ltd (31-Aug-2021) **</t>
  </si>
  <si>
    <t>d) Portfolio Turnover Ratio during the Half - year 30-Nov-2018</t>
  </si>
  <si>
    <t>Franklin India Debt Hybrid Fund As of -30Nov2018</t>
  </si>
  <si>
    <t>INE134E08HV7</t>
  </si>
  <si>
    <t>8.36% Power Finance Corp Ltd (04-Sep-2020) **</t>
  </si>
  <si>
    <t>INE528G09061</t>
  </si>
  <si>
    <t>10.25% Yes Bank Ltd (05-Mar-2020) **</t>
  </si>
  <si>
    <r>
      <t>Franklin India Dynamic Accrual Fund As of -30Nov20</t>
    </r>
    <r>
      <rPr>
        <b/>
        <sz val="8"/>
        <color theme="1"/>
        <rFont val="Arial"/>
        <family val="2"/>
      </rPr>
      <t>18</t>
    </r>
  </si>
  <si>
    <t>INE01E708040</t>
  </si>
  <si>
    <t>10.32% Andhra Pradesh Capital Region Development Author (16-Aug-2027) **</t>
  </si>
  <si>
    <t>INE764L07173</t>
  </si>
  <si>
    <t>0.00% Sadbhav Infrastructure Project Ltd (23-Apr-2023) **</t>
  </si>
  <si>
    <t>INE124N07143</t>
  </si>
  <si>
    <t>10.9007% Esskay Fincorp Ltd (11-Jun-2021) **</t>
  </si>
  <si>
    <t>INE949L08152</t>
  </si>
  <si>
    <t>11.75% AU Small Finance Bank Ltd (04-May-2021) **</t>
  </si>
  <si>
    <t>INE658R08024</t>
  </si>
  <si>
    <t>11.00% Aspire Home Finance Corp Ltd (03-May-2021) **</t>
  </si>
  <si>
    <t>INE540P07228</t>
  </si>
  <si>
    <t>9.75% Uttar Pradesh Power Corp Ltd (20-Oct-2023) **</t>
  </si>
  <si>
    <t>INE658R08032</t>
  </si>
  <si>
    <t>11.00% Aspire Home Finance Corp Ltd (16-May-2021) **</t>
  </si>
  <si>
    <t>INE949L08137</t>
  </si>
  <si>
    <t>13.00% AU Small Finance Bank Ltd (19-Sep-2019) **</t>
  </si>
  <si>
    <t>INE850M08010</t>
  </si>
  <si>
    <t>14.50% IFMR Capital Finance Pvt Ltd (18-Dec-2018) **</t>
  </si>
  <si>
    <t>INE003S07106</t>
  </si>
  <si>
    <t>13.01% Renew Power Ventures Pvt. Ltd., Series IV, (23-Mar-2020) **</t>
  </si>
  <si>
    <t>INE445K07031</t>
  </si>
  <si>
    <t>9.50% Reliance Broadcast Network Ltd (13-May-2019) **</t>
  </si>
  <si>
    <t>INE575P08024</t>
  </si>
  <si>
    <t>10.20% Star Health &amp; Allied Insurance Co Ltd (31-Oct-2024) **</t>
  </si>
  <si>
    <t>INE458O07036</t>
  </si>
  <si>
    <t>9.41% Renew Wind Energy Delhi Pvt Ltd (30-Sep-2030) **</t>
  </si>
  <si>
    <t>INE922K07013</t>
  </si>
  <si>
    <t>9.99% India Shelter Finance Corp Ltd (10-Feb-2022) **</t>
  </si>
  <si>
    <t>INE080T07037</t>
  </si>
  <si>
    <t>12.75% Future Ideas Company Ltd (30-Jun-2020) **</t>
  </si>
  <si>
    <t>INE840S07093</t>
  </si>
  <si>
    <t>11.90% Legitimate Asset Operators Pvt Ltd (11-May-2020) **</t>
  </si>
  <si>
    <t>INE003S07171</t>
  </si>
  <si>
    <t>9.50% Renew Power Limited (09-Sep-2020) **</t>
  </si>
  <si>
    <t>Franklin India Credit Risk Fund As of -30Nov2018</t>
  </si>
  <si>
    <t>INE945W07035</t>
  </si>
  <si>
    <t>10.25% Incred Financial Services Private Limited (26-Apr-2021) **</t>
  </si>
  <si>
    <t>INE016P07120</t>
  </si>
  <si>
    <t>10.50% Vistaar Financial Services Private Ltd (22-Jun-2023) **</t>
  </si>
  <si>
    <t>INE016P07138</t>
  </si>
  <si>
    <t>10.5% Vistaar Financial Services Private Ltd (23-Jul-2024) **</t>
  </si>
  <si>
    <t>INE128S07341</t>
  </si>
  <si>
    <t>INE128S07325</t>
  </si>
  <si>
    <t>INE852O07071</t>
  </si>
  <si>
    <t>10.00% Aptus Value Housing Finance India Ltd (20-Jun-2025) **</t>
  </si>
  <si>
    <t>INE090A08TW2</t>
  </si>
  <si>
    <t>9.20% ICICI Bank Ltd (17-Mar-2022)</t>
  </si>
  <si>
    <t>INE311S08143</t>
  </si>
  <si>
    <t>9.80% Ma Multi-Trade Pvt Ltd Series B1 (17-Feb-2020) **</t>
  </si>
  <si>
    <t>INE946S07130</t>
  </si>
  <si>
    <t>12.80% Nufuture Digital (India) Ltd (30-Sep-2022) **</t>
  </si>
  <si>
    <t>INE946S07080</t>
  </si>
  <si>
    <t>12.15% Nufuture Digital (India) Ltd (30-Nov-2019) **</t>
  </si>
  <si>
    <t>INE285T07081</t>
  </si>
  <si>
    <t>11.90% Bhavna Asset Operators Private Ltd (29-Feb-2020) **</t>
  </si>
  <si>
    <t>INE003S07114</t>
  </si>
  <si>
    <t>13.01% Renew Power Ventures Pvt. Ltd., Series V, (23-Mar-2020) **</t>
  </si>
  <si>
    <r>
      <t>Franklin India Corporate Debt Fund As of -30Nov201</t>
    </r>
    <r>
      <rPr>
        <b/>
        <sz val="8"/>
        <color theme="1"/>
        <rFont val="Arial"/>
        <family val="2"/>
      </rPr>
      <t>8</t>
    </r>
  </si>
  <si>
    <t>INE438A07144</t>
  </si>
  <si>
    <t>7.80% Apollo Tyres Ltd (29-Apr-2022) **</t>
  </si>
  <si>
    <t>INE261F08AS6</t>
  </si>
  <si>
    <t>8.56% National Bank For Agriculture And Rural Development (14-Nov-2028) **</t>
  </si>
  <si>
    <t>INE020B08BE3</t>
  </si>
  <si>
    <t>8.54% Rural Electrification Corp Ltd (15-Nov-2028)</t>
  </si>
  <si>
    <t>INE029A08040</t>
  </si>
  <si>
    <t>7.69% Bharat Petroleum Corp Ltd (16-Jan-2023) **</t>
  </si>
  <si>
    <t>INE115A07NM3</t>
  </si>
  <si>
    <t>0.00% LIC Housing Finance Ltd (25-Feb-2022) **</t>
  </si>
  <si>
    <t>INE110L08011</t>
  </si>
  <si>
    <t>8.95% Reliance Jio Infocomm Limited (15-Sep-2020) **</t>
  </si>
  <si>
    <t>INE752E07NJ1</t>
  </si>
  <si>
    <t>8.32% Power Grid Corp Of India Ltd (23-Dec-2020) **</t>
  </si>
  <si>
    <t>INE090A08UB4</t>
  </si>
  <si>
    <t>9.15% ICICI Bank Ltd (20-Jun-2023)</t>
  </si>
  <si>
    <t>INE756I07CD9</t>
  </si>
  <si>
    <t>0.00% HDB Financial Services Ltd (29-Oct-2021) **</t>
  </si>
  <si>
    <t>INE029A07075</t>
  </si>
  <si>
    <t>7.35% Bharat Petroleum Corp Ltd (10-Mar-2022) **</t>
  </si>
  <si>
    <t>INE752E07LT4</t>
  </si>
  <si>
    <t>8.93% Power Grid Corp Of India Ltd (20-Oct-2019) **</t>
  </si>
  <si>
    <t>INE906B07FG1</t>
  </si>
  <si>
    <t>7.6% National Highways Authority Of India (18-Mar-2022) **</t>
  </si>
  <si>
    <t>8.50% Lic Housing Finance Ltd (05-Jan-2021) **</t>
  </si>
  <si>
    <t>INE801J08019</t>
  </si>
  <si>
    <t>7.48% Bennett Coleman And Co Ltd (26-Apr-2021) **</t>
  </si>
  <si>
    <t>IN2920150306</t>
  </si>
  <si>
    <t xml:space="preserve"> 8.39% Rajasthan SDL Uday (15Mar2021)</t>
  </si>
  <si>
    <t>Direct Annual Dividend Plan</t>
  </si>
  <si>
    <t>Half Yearly Dividend Plan</t>
  </si>
  <si>
    <t>Annual Dividend Plan</t>
  </si>
  <si>
    <t>Direct Half Yearly Dividend Plan</t>
  </si>
  <si>
    <r>
      <t>Franklin India Banking &amp; PSU Debt Fund As of -30No</t>
    </r>
    <r>
      <rPr>
        <b/>
        <sz val="8"/>
        <color theme="1"/>
        <rFont val="Arial"/>
        <family val="2"/>
      </rPr>
      <t>v2018</t>
    </r>
  </si>
  <si>
    <t>INE848E07799</t>
  </si>
  <si>
    <t>8.50% NHPC Ltd (13-Jul-2019) **</t>
  </si>
  <si>
    <t>Dividend Option</t>
  </si>
  <si>
    <t>Direct Dividend Option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</si>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</sst>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_(* #,##0.0000_);_(* \(#,##0.0000\);_(* &quot;-&quot;??_);_(@_)"/>
  </numFmts>
  <fonts count="8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vertAlign val="superscript"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5" fillId="0" borderId="0"/>
  </cellStyleXfs>
  <cellXfs count="94">
    <xf numFmtId="0" fontId="0" fillId="0" borderId="0" xfId="0"/>
    <xf numFmtId="2" fontId="2" fillId="0" borderId="0" xfId="0" applyNumberFormat="1" applyFont="1"/>
    <xf numFmtId="0" fontId="2" fillId="0" borderId="0" xfId="0" applyFont="1"/>
    <xf numFmtId="2" fontId="3" fillId="0" borderId="1" xfId="0" applyNumberFormat="1" applyFont="1" applyBorder="1"/>
    <xf numFmtId="0" fontId="3" fillId="0" borderId="0" xfId="0" applyFont="1"/>
    <xf numFmtId="2" fontId="2" fillId="0" borderId="3" xfId="0" applyNumberFormat="1" applyFont="1" applyBorder="1"/>
    <xf numFmtId="2" fontId="3" fillId="0" borderId="2" xfId="0" applyNumberFormat="1" applyFont="1" applyBorder="1"/>
    <xf numFmtId="2" fontId="2" fillId="0" borderId="2" xfId="0" applyNumberFormat="1" applyFont="1" applyBorder="1"/>
    <xf numFmtId="2" fontId="3" fillId="0" borderId="3" xfId="0" applyNumberFormat="1" applyFont="1" applyBorder="1"/>
    <xf numFmtId="2" fontId="3" fillId="0" borderId="0" xfId="0" applyNumberFormat="1" applyFont="1"/>
    <xf numFmtId="164" fontId="2" fillId="0" borderId="0" xfId="0" applyNumberFormat="1" applyFont="1"/>
    <xf numFmtId="2" fontId="2" fillId="0" borderId="0" xfId="0" applyNumberFormat="1" applyFont="1" applyAlignment="1">
      <alignment horizontal="right"/>
    </xf>
    <xf numFmtId="43" fontId="2" fillId="0" borderId="2" xfId="1" applyFont="1" applyBorder="1"/>
    <xf numFmtId="165" fontId="2" fillId="0" borderId="2" xfId="1" applyNumberFormat="1" applyFont="1" applyBorder="1"/>
    <xf numFmtId="43" fontId="3" fillId="0" borderId="2" xfId="1" applyFont="1" applyBorder="1"/>
    <xf numFmtId="43" fontId="3" fillId="0" borderId="3" xfId="1" applyFont="1" applyBorder="1"/>
    <xf numFmtId="43" fontId="2" fillId="0" borderId="2" xfId="1" applyNumberFormat="1" applyFont="1" applyBorder="1"/>
    <xf numFmtId="43" fontId="3" fillId="0" borderId="2" xfId="1" applyNumberFormat="1" applyFont="1" applyBorder="1"/>
    <xf numFmtId="43" fontId="3" fillId="0" borderId="3" xfId="1" applyNumberFormat="1" applyFont="1" applyBorder="1"/>
    <xf numFmtId="2" fontId="3" fillId="0" borderId="2" xfId="0" applyNumberFormat="1" applyFont="1" applyFill="1" applyBorder="1"/>
    <xf numFmtId="43" fontId="3" fillId="0" borderId="1" xfId="1" applyFont="1" applyBorder="1"/>
    <xf numFmtId="43" fontId="2" fillId="0" borderId="3" xfId="1" applyFont="1" applyBorder="1"/>
    <xf numFmtId="43" fontId="2" fillId="0" borderId="0" xfId="1" applyFont="1"/>
    <xf numFmtId="165" fontId="3" fillId="0" borderId="1" xfId="1" applyNumberFormat="1" applyFont="1" applyBorder="1"/>
    <xf numFmtId="165" fontId="2" fillId="0" borderId="3" xfId="1" applyNumberFormat="1" applyFont="1" applyBorder="1"/>
    <xf numFmtId="165" fontId="2" fillId="0" borderId="0" xfId="1" applyNumberFormat="1" applyFont="1"/>
    <xf numFmtId="165" fontId="3" fillId="0" borderId="2" xfId="1" applyNumberFormat="1" applyFont="1" applyBorder="1"/>
    <xf numFmtId="0" fontId="3" fillId="0" borderId="0" xfId="0" applyFont="1" applyFill="1"/>
    <xf numFmtId="2" fontId="2" fillId="0" borderId="2" xfId="0" applyNumberFormat="1" applyFont="1" applyFill="1" applyBorder="1"/>
    <xf numFmtId="165" fontId="2" fillId="0" borderId="2" xfId="1" applyNumberFormat="1" applyFont="1" applyFill="1" applyBorder="1" applyAlignment="1">
      <alignment wrapText="1"/>
    </xf>
    <xf numFmtId="43" fontId="2" fillId="0" borderId="2" xfId="1" applyFont="1" applyFill="1" applyBorder="1"/>
    <xf numFmtId="43" fontId="3" fillId="0" borderId="2" xfId="1" applyFont="1" applyFill="1" applyBorder="1"/>
    <xf numFmtId="43" fontId="2" fillId="0" borderId="0" xfId="1" applyNumberFormat="1" applyFont="1"/>
    <xf numFmtId="43" fontId="3" fillId="0" borderId="1" xfId="1" applyNumberFormat="1" applyFont="1" applyBorder="1"/>
    <xf numFmtId="43" fontId="2" fillId="0" borderId="3" xfId="1" applyNumberFormat="1" applyFont="1" applyBorder="1"/>
    <xf numFmtId="2" fontId="2" fillId="0" borderId="2" xfId="0" applyNumberFormat="1" applyFont="1" applyBorder="1" applyAlignment="1">
      <alignment wrapText="1"/>
    </xf>
    <xf numFmtId="2" fontId="2" fillId="0" borderId="2" xfId="0" applyNumberFormat="1" applyFont="1" applyFill="1" applyBorder="1" applyAlignment="1">
      <alignment vertical="top"/>
    </xf>
    <xf numFmtId="2" fontId="2" fillId="0" borderId="2" xfId="0" applyNumberFormat="1" applyFont="1" applyFill="1" applyBorder="1" applyAlignment="1">
      <alignment wrapText="1"/>
    </xf>
    <xf numFmtId="43" fontId="3" fillId="0" borderId="1" xfId="1" applyFont="1" applyBorder="1" applyAlignment="1">
      <alignment wrapText="1"/>
    </xf>
    <xf numFmtId="43" fontId="2" fillId="0" borderId="3" xfId="1" applyFont="1" applyBorder="1" applyAlignment="1">
      <alignment wrapText="1"/>
    </xf>
    <xf numFmtId="10" fontId="2" fillId="0" borderId="0" xfId="2" applyNumberFormat="1" applyFont="1" applyAlignment="1"/>
    <xf numFmtId="0" fontId="3" fillId="0" borderId="5" xfId="3" applyFont="1" applyFill="1" applyBorder="1"/>
    <xf numFmtId="0" fontId="2" fillId="0" borderId="6" xfId="3" applyFont="1" applyFill="1" applyBorder="1" applyAlignment="1"/>
    <xf numFmtId="0" fontId="3" fillId="0" borderId="4" xfId="3" applyFont="1" applyFill="1" applyBorder="1" applyAlignment="1">
      <alignment horizontal="center"/>
    </xf>
    <xf numFmtId="0" fontId="6" fillId="0" borderId="5" xfId="4" applyFont="1" applyFill="1" applyBorder="1" applyAlignment="1">
      <alignment vertical="center"/>
    </xf>
    <xf numFmtId="0" fontId="6" fillId="0" borderId="6" xfId="4" applyFont="1" applyFill="1" applyBorder="1" applyAlignment="1">
      <alignment vertical="center"/>
    </xf>
    <xf numFmtId="166" fontId="6" fillId="0" borderId="3" xfId="4" applyNumberFormat="1" applyFont="1" applyFill="1" applyBorder="1"/>
    <xf numFmtId="0" fontId="6" fillId="0" borderId="0" xfId="4" applyFont="1" applyFill="1" applyBorder="1" applyAlignment="1">
      <alignment vertical="center"/>
    </xf>
    <xf numFmtId="166" fontId="6" fillId="0" borderId="0" xfId="4" applyNumberFormat="1" applyFont="1" applyFill="1" applyBorder="1"/>
    <xf numFmtId="43" fontId="3" fillId="0" borderId="4" xfId="1" applyFont="1" applyFill="1" applyBorder="1" applyAlignment="1">
      <alignment horizontal="center"/>
    </xf>
    <xf numFmtId="166" fontId="6" fillId="0" borderId="3" xfId="1" applyNumberFormat="1" applyFont="1" applyFill="1" applyBorder="1"/>
    <xf numFmtId="2" fontId="3" fillId="0" borderId="0" xfId="0" applyNumberFormat="1" applyFont="1" applyAlignment="1">
      <alignment wrapText="1"/>
    </xf>
    <xf numFmtId="10" fontId="2" fillId="0" borderId="0" xfId="2" applyNumberFormat="1" applyFont="1"/>
    <xf numFmtId="2" fontId="2" fillId="0" borderId="0" xfId="0" applyNumberFormat="1" applyFont="1" applyFill="1"/>
    <xf numFmtId="166" fontId="6" fillId="0" borderId="0" xfId="1" applyNumberFormat="1" applyFont="1" applyFill="1" applyBorder="1"/>
    <xf numFmtId="2" fontId="2" fillId="0" borderId="0" xfId="0" applyNumberFormat="1" applyFont="1" applyAlignment="1">
      <alignment horizontal="right" wrapText="1"/>
    </xf>
    <xf numFmtId="2" fontId="1" fillId="2" borderId="0" xfId="0" applyNumberFormat="1" applyFont="1" applyFill="1" applyAlignment="1">
      <alignment horizontal="center"/>
    </xf>
    <xf numFmtId="2" fontId="3" fillId="0" borderId="5" xfId="3" applyNumberFormat="1" applyFont="1" applyFill="1" applyBorder="1" applyAlignment="1">
      <alignment horizontal="center"/>
    </xf>
    <xf numFmtId="2" fontId="3" fillId="0" borderId="6" xfId="3" applyNumberFormat="1" applyFont="1" applyFill="1" applyBorder="1" applyAlignment="1">
      <alignment horizontal="center"/>
    </xf>
    <xf numFmtId="0" fontId="6" fillId="0" borderId="5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/>
    </xf>
    <xf numFmtId="43" fontId="3" fillId="0" borderId="6" xfId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/>
    <xf numFmtId="0" fontId="2" fillId="0" borderId="3" xfId="0" applyFont="1" applyBorder="1"/>
    <xf numFmtId="0" fontId="3" fillId="0" borderId="2" xfId="0" applyFont="1" applyBorder="1"/>
    <xf numFmtId="0" fontId="2" fillId="0" borderId="2" xfId="0" applyFont="1" applyBorder="1"/>
    <xf numFmtId="2" fontId="2" fillId="0" borderId="2" xfId="0" applyNumberFormat="1" applyFont="1" applyBorder="1" applyAlignment="1">
      <alignment horizontal="right"/>
    </xf>
    <xf numFmtId="0" fontId="3" fillId="0" borderId="3" xfId="0" applyFont="1" applyBorder="1"/>
    <xf numFmtId="0" fontId="2" fillId="0" borderId="0" xfId="0" applyFont="1" applyAlignment="1">
      <alignment horizontal="right"/>
    </xf>
    <xf numFmtId="4" fontId="2" fillId="0" borderId="0" xfId="0" applyNumberFormat="1" applyFont="1"/>
    <xf numFmtId="2" fontId="2" fillId="0" borderId="0" xfId="0" applyNumberFormat="1" applyFont="1" applyFill="1" applyAlignment="1">
      <alignment horizontal="right"/>
    </xf>
    <xf numFmtId="2" fontId="3" fillId="0" borderId="0" xfId="0" applyNumberFormat="1" applyFont="1" applyFill="1"/>
    <xf numFmtId="0" fontId="3" fillId="0" borderId="0" xfId="0" applyFont="1" applyAlignment="1">
      <alignment horizontal="right"/>
    </xf>
    <xf numFmtId="2" fontId="3" fillId="0" borderId="2" xfId="0" applyNumberFormat="1" applyFont="1" applyBorder="1" applyAlignment="1">
      <alignment horizontal="right"/>
    </xf>
    <xf numFmtId="0" fontId="3" fillId="0" borderId="4" xfId="3" applyFont="1" applyFill="1" applyBorder="1"/>
    <xf numFmtId="0" fontId="2" fillId="0" borderId="4" xfId="3" applyFont="1" applyFill="1" applyBorder="1" applyAlignment="1"/>
    <xf numFmtId="2" fontId="3" fillId="0" borderId="4" xfId="3" applyNumberFormat="1" applyFont="1" applyFill="1" applyBorder="1" applyAlignment="1">
      <alignment horizontal="center"/>
    </xf>
    <xf numFmtId="0" fontId="6" fillId="0" borderId="4" xfId="4" applyFont="1" applyFill="1" applyBorder="1" applyAlignment="1">
      <alignment horizontal="left"/>
    </xf>
    <xf numFmtId="166" fontId="6" fillId="0" borderId="4" xfId="4" applyNumberFormat="1" applyFont="1" applyFill="1" applyBorder="1"/>
    <xf numFmtId="0" fontId="3" fillId="0" borderId="7" xfId="3" applyFont="1" applyFill="1" applyBorder="1"/>
    <xf numFmtId="0" fontId="2" fillId="0" borderId="8" xfId="3" applyFont="1" applyFill="1" applyBorder="1" applyAlignment="1"/>
    <xf numFmtId="0" fontId="6" fillId="0" borderId="9" xfId="4" applyFont="1" applyFill="1" applyBorder="1" applyAlignment="1">
      <alignment horizontal="left"/>
    </xf>
    <xf numFmtId="0" fontId="6" fillId="0" borderId="10" xfId="4" applyFont="1" applyFill="1" applyBorder="1" applyAlignment="1">
      <alignment horizontal="left"/>
    </xf>
    <xf numFmtId="0" fontId="2" fillId="0" borderId="0" xfId="0" applyFont="1" applyFill="1"/>
    <xf numFmtId="164" fontId="2" fillId="0" borderId="0" xfId="0" applyNumberFormat="1" applyFont="1" applyFill="1"/>
    <xf numFmtId="0" fontId="2" fillId="0" borderId="0" xfId="0" applyFont="1" applyFill="1" applyAlignment="1">
      <alignment horizontal="right"/>
    </xf>
    <xf numFmtId="4" fontId="2" fillId="3" borderId="0" xfId="0" applyNumberFormat="1" applyFont="1" applyFill="1"/>
    <xf numFmtId="2" fontId="2" fillId="3" borderId="0" xfId="0" applyNumberFormat="1" applyFont="1" applyFill="1"/>
    <xf numFmtId="0" fontId="2" fillId="0" borderId="2" xfId="0" applyFont="1" applyFill="1" applyBorder="1"/>
    <xf numFmtId="4" fontId="2" fillId="0" borderId="0" xfId="0" applyNumberFormat="1" applyFont="1" applyFill="1"/>
    <xf numFmtId="0" fontId="3" fillId="0" borderId="5" xfId="3" applyFont="1" applyFill="1" applyBorder="1" applyAlignment="1">
      <alignment horizontal="left"/>
    </xf>
    <xf numFmtId="0" fontId="3" fillId="0" borderId="6" xfId="3" applyFont="1" applyFill="1" applyBorder="1" applyAlignment="1">
      <alignment horizontal="left"/>
    </xf>
    <xf numFmtId="2" fontId="3" fillId="0" borderId="0" xfId="0" applyNumberFormat="1" applyFont="1" applyAlignment="1"/>
  </cellXfs>
  <cellStyles count="5">
    <cellStyle name="Comma" xfId="1" builtinId="3"/>
    <cellStyle name="Normal" xfId="0" builtinId="0"/>
    <cellStyle name="Normal 2" xfId="4"/>
    <cellStyle name="Normal 3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showGridLines="0" tabSelected="1" workbookViewId="0">
      <selection sqref="A1:F1"/>
    </sheetView>
  </sheetViews>
  <sheetFormatPr defaultRowHeight="11.25" x14ac:dyDescent="0.2"/>
  <cols>
    <col min="1" max="1" width="58.7109375" style="2" bestFit="1" customWidth="1"/>
    <col min="2" max="2" width="56.42578125" style="2" customWidth="1"/>
    <col min="3" max="3" width="11.7109375" style="2" customWidth="1"/>
    <col min="4" max="4" width="6.85546875" style="2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2" t="s">
        <v>740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742</v>
      </c>
      <c r="B8" s="66" t="s">
        <v>743</v>
      </c>
      <c r="C8" s="66" t="s">
        <v>744</v>
      </c>
      <c r="D8" s="66">
        <v>2797</v>
      </c>
      <c r="E8" s="7">
        <v>26569.430219999998</v>
      </c>
      <c r="F8" s="7">
        <v>7.0316464867855402</v>
      </c>
    </row>
    <row r="9" spans="1:6" x14ac:dyDescent="0.2">
      <c r="A9" s="66" t="s">
        <v>745</v>
      </c>
      <c r="B9" s="66" t="s">
        <v>746</v>
      </c>
      <c r="C9" s="66" t="s">
        <v>747</v>
      </c>
      <c r="D9" s="66">
        <v>9215</v>
      </c>
      <c r="E9" s="7">
        <v>18421.172030000002</v>
      </c>
      <c r="F9" s="7">
        <v>4.8751956106953998</v>
      </c>
    </row>
    <row r="10" spans="1:6" x14ac:dyDescent="0.2">
      <c r="A10" s="66" t="s">
        <v>748</v>
      </c>
      <c r="B10" s="66" t="s">
        <v>749</v>
      </c>
      <c r="C10" s="66" t="s">
        <v>750</v>
      </c>
      <c r="D10" s="66">
        <v>1650</v>
      </c>
      <c r="E10" s="7">
        <v>16402.616999999998</v>
      </c>
      <c r="F10" s="7">
        <v>4.3409814680677297</v>
      </c>
    </row>
    <row r="11" spans="1:6" x14ac:dyDescent="0.2">
      <c r="A11" s="66" t="s">
        <v>751</v>
      </c>
      <c r="B11" s="66" t="s">
        <v>752</v>
      </c>
      <c r="C11" s="66" t="s">
        <v>753</v>
      </c>
      <c r="D11" s="66">
        <v>1450</v>
      </c>
      <c r="E11" s="7">
        <v>14291.5335</v>
      </c>
      <c r="F11" s="7">
        <v>3.7822795029457299</v>
      </c>
    </row>
    <row r="12" spans="1:6" x14ac:dyDescent="0.2">
      <c r="A12" s="66" t="s">
        <v>754</v>
      </c>
      <c r="B12" s="66" t="s">
        <v>755</v>
      </c>
      <c r="C12" s="66" t="s">
        <v>756</v>
      </c>
      <c r="D12" s="66">
        <v>12100</v>
      </c>
      <c r="E12" s="7">
        <v>11527.573200000001</v>
      </c>
      <c r="F12" s="7">
        <v>3.05079254322614</v>
      </c>
    </row>
    <row r="13" spans="1:6" x14ac:dyDescent="0.2">
      <c r="A13" s="66" t="s">
        <v>757</v>
      </c>
      <c r="B13" s="66" t="s">
        <v>758</v>
      </c>
      <c r="C13" s="66" t="s">
        <v>759</v>
      </c>
      <c r="D13" s="66">
        <v>1000</v>
      </c>
      <c r="E13" s="7">
        <v>9820.32</v>
      </c>
      <c r="F13" s="7">
        <v>2.5989649779968</v>
      </c>
    </row>
    <row r="14" spans="1:6" x14ac:dyDescent="0.2">
      <c r="A14" s="66" t="s">
        <v>760</v>
      </c>
      <c r="B14" s="66" t="s">
        <v>761</v>
      </c>
      <c r="C14" s="66" t="s">
        <v>421</v>
      </c>
      <c r="D14" s="66">
        <v>900</v>
      </c>
      <c r="E14" s="7">
        <v>8990.8739999999998</v>
      </c>
      <c r="F14" s="7">
        <v>2.37945063374534</v>
      </c>
    </row>
    <row r="15" spans="1:6" x14ac:dyDescent="0.2">
      <c r="A15" s="66" t="s">
        <v>762</v>
      </c>
      <c r="B15" s="66" t="s">
        <v>763</v>
      </c>
      <c r="C15" s="66" t="s">
        <v>764</v>
      </c>
      <c r="D15" s="66">
        <v>75</v>
      </c>
      <c r="E15" s="7">
        <v>8678.8425000000007</v>
      </c>
      <c r="F15" s="7">
        <v>2.2968709478968301</v>
      </c>
    </row>
    <row r="16" spans="1:6" x14ac:dyDescent="0.2">
      <c r="A16" s="66" t="s">
        <v>765</v>
      </c>
      <c r="B16" s="66" t="s">
        <v>766</v>
      </c>
      <c r="C16" s="66" t="s">
        <v>767</v>
      </c>
      <c r="D16" s="66">
        <v>750</v>
      </c>
      <c r="E16" s="7">
        <v>7136.5874999999996</v>
      </c>
      <c r="F16" s="7">
        <v>1.8887104467990601</v>
      </c>
    </row>
    <row r="17" spans="1:6" x14ac:dyDescent="0.2">
      <c r="A17" s="66" t="s">
        <v>768</v>
      </c>
      <c r="B17" s="66" t="s">
        <v>769</v>
      </c>
      <c r="C17" s="66" t="s">
        <v>747</v>
      </c>
      <c r="D17" s="66">
        <v>646</v>
      </c>
      <c r="E17" s="7">
        <v>6432.24784</v>
      </c>
      <c r="F17" s="7">
        <v>1.70230571569517</v>
      </c>
    </row>
    <row r="18" spans="1:6" x14ac:dyDescent="0.2">
      <c r="A18" s="66" t="s">
        <v>770</v>
      </c>
      <c r="B18" s="66" t="s">
        <v>771</v>
      </c>
      <c r="C18" s="66" t="s">
        <v>772</v>
      </c>
      <c r="D18" s="66">
        <v>6700</v>
      </c>
      <c r="E18" s="7">
        <v>6390.9290000000001</v>
      </c>
      <c r="F18" s="7">
        <v>1.69137061194178</v>
      </c>
    </row>
    <row r="19" spans="1:6" x14ac:dyDescent="0.2">
      <c r="A19" s="66" t="s">
        <v>773</v>
      </c>
      <c r="B19" s="66" t="s">
        <v>774</v>
      </c>
      <c r="C19" s="66" t="s">
        <v>775</v>
      </c>
      <c r="D19" s="66">
        <v>11</v>
      </c>
      <c r="E19" s="7">
        <v>5646.7785000000003</v>
      </c>
      <c r="F19" s="7">
        <v>1.4944298719395399</v>
      </c>
    </row>
    <row r="20" spans="1:6" x14ac:dyDescent="0.2">
      <c r="A20" s="66" t="s">
        <v>776</v>
      </c>
      <c r="B20" s="66" t="s">
        <v>777</v>
      </c>
      <c r="C20" s="66" t="s">
        <v>767</v>
      </c>
      <c r="D20" s="66">
        <v>514</v>
      </c>
      <c r="E20" s="7">
        <v>5318.7075199999999</v>
      </c>
      <c r="F20" s="7">
        <v>1.4076053094693699</v>
      </c>
    </row>
    <row r="21" spans="1:6" x14ac:dyDescent="0.2">
      <c r="A21" s="66" t="s">
        <v>778</v>
      </c>
      <c r="B21" s="66" t="s">
        <v>779</v>
      </c>
      <c r="C21" s="66" t="s">
        <v>744</v>
      </c>
      <c r="D21" s="66">
        <v>500</v>
      </c>
      <c r="E21" s="7">
        <v>5052.1000000000004</v>
      </c>
      <c r="F21" s="7">
        <v>1.3370471599028999</v>
      </c>
    </row>
    <row r="22" spans="1:6" x14ac:dyDescent="0.2">
      <c r="A22" s="66" t="s">
        <v>780</v>
      </c>
      <c r="B22" s="66" t="s">
        <v>781</v>
      </c>
      <c r="C22" s="66" t="s">
        <v>747</v>
      </c>
      <c r="D22" s="66">
        <v>501</v>
      </c>
      <c r="E22" s="7">
        <v>5007.6703500000003</v>
      </c>
      <c r="F22" s="7">
        <v>1.32528877480601</v>
      </c>
    </row>
    <row r="23" spans="1:6" x14ac:dyDescent="0.2">
      <c r="A23" s="66" t="s">
        <v>782</v>
      </c>
      <c r="B23" s="66" t="s">
        <v>783</v>
      </c>
      <c r="C23" s="66" t="s">
        <v>775</v>
      </c>
      <c r="D23" s="66">
        <v>8</v>
      </c>
      <c r="E23" s="7">
        <v>4106.7479999999996</v>
      </c>
      <c r="F23" s="7">
        <v>1.0868580886832999</v>
      </c>
    </row>
    <row r="24" spans="1:6" x14ac:dyDescent="0.2">
      <c r="A24" s="66" t="s">
        <v>784</v>
      </c>
      <c r="B24" s="66" t="s">
        <v>785</v>
      </c>
      <c r="C24" s="66" t="s">
        <v>786</v>
      </c>
      <c r="D24" s="66">
        <v>400</v>
      </c>
      <c r="E24" s="7">
        <v>4049.5639999999999</v>
      </c>
      <c r="F24" s="7">
        <v>1.0717242424031601</v>
      </c>
    </row>
    <row r="25" spans="1:6" x14ac:dyDescent="0.2">
      <c r="A25" s="66" t="s">
        <v>787</v>
      </c>
      <c r="B25" s="66" t="s">
        <v>788</v>
      </c>
      <c r="C25" s="66" t="s">
        <v>744</v>
      </c>
      <c r="D25" s="66">
        <v>419</v>
      </c>
      <c r="E25" s="7">
        <v>4013.06468</v>
      </c>
      <c r="F25" s="7">
        <v>1.06206463310319</v>
      </c>
    </row>
    <row r="26" spans="1:6" x14ac:dyDescent="0.2">
      <c r="A26" s="66" t="s">
        <v>789</v>
      </c>
      <c r="B26" s="66" t="s">
        <v>790</v>
      </c>
      <c r="C26" s="66" t="s">
        <v>791</v>
      </c>
      <c r="D26" s="66">
        <v>4000</v>
      </c>
      <c r="E26" s="7">
        <v>3953.3919999999998</v>
      </c>
      <c r="F26" s="7">
        <v>1.0462721532793999</v>
      </c>
    </row>
    <row r="27" spans="1:6" x14ac:dyDescent="0.2">
      <c r="A27" s="66" t="s">
        <v>792</v>
      </c>
      <c r="B27" s="66" t="s">
        <v>793</v>
      </c>
      <c r="C27" s="66" t="s">
        <v>794</v>
      </c>
      <c r="D27" s="66">
        <v>400</v>
      </c>
      <c r="E27" s="7">
        <v>3936.66</v>
      </c>
      <c r="F27" s="7">
        <v>1.0418440000204601</v>
      </c>
    </row>
    <row r="28" spans="1:6" x14ac:dyDescent="0.2">
      <c r="A28" s="66" t="s">
        <v>795</v>
      </c>
      <c r="B28" s="66" t="s">
        <v>796</v>
      </c>
      <c r="C28" s="66" t="s">
        <v>747</v>
      </c>
      <c r="D28" s="66">
        <v>350</v>
      </c>
      <c r="E28" s="7">
        <v>3484.3024999999998</v>
      </c>
      <c r="F28" s="7">
        <v>0.922126791209115</v>
      </c>
    </row>
    <row r="29" spans="1:6" x14ac:dyDescent="0.2">
      <c r="A29" s="66" t="s">
        <v>797</v>
      </c>
      <c r="B29" s="66" t="s">
        <v>798</v>
      </c>
      <c r="C29" s="66" t="s">
        <v>799</v>
      </c>
      <c r="D29" s="66">
        <v>320</v>
      </c>
      <c r="E29" s="7">
        <v>3176.7743999999998</v>
      </c>
      <c r="F29" s="7">
        <v>0.84073893809945</v>
      </c>
    </row>
    <row r="30" spans="1:6" x14ac:dyDescent="0.2">
      <c r="A30" s="66" t="s">
        <v>800</v>
      </c>
      <c r="B30" s="66" t="s">
        <v>801</v>
      </c>
      <c r="C30" s="66" t="s">
        <v>756</v>
      </c>
      <c r="D30" s="66">
        <v>300</v>
      </c>
      <c r="E30" s="7">
        <v>2991.8910000000001</v>
      </c>
      <c r="F30" s="7">
        <v>0.79180922077730898</v>
      </c>
    </row>
    <row r="31" spans="1:6" x14ac:dyDescent="0.2">
      <c r="A31" s="66" t="s">
        <v>802</v>
      </c>
      <c r="B31" s="66" t="s">
        <v>803</v>
      </c>
      <c r="C31" s="66" t="s">
        <v>750</v>
      </c>
      <c r="D31" s="66">
        <v>250</v>
      </c>
      <c r="E31" s="7">
        <v>2488.2950000000001</v>
      </c>
      <c r="F31" s="7">
        <v>0.65853165272868397</v>
      </c>
    </row>
    <row r="32" spans="1:6" x14ac:dyDescent="0.2">
      <c r="A32" s="66" t="s">
        <v>804</v>
      </c>
      <c r="B32" s="66" t="s">
        <v>805</v>
      </c>
      <c r="C32" s="66" t="s">
        <v>759</v>
      </c>
      <c r="D32" s="66">
        <v>200</v>
      </c>
      <c r="E32" s="7">
        <v>2041.126</v>
      </c>
      <c r="F32" s="7">
        <v>0.54018758957739599</v>
      </c>
    </row>
    <row r="33" spans="1:6" x14ac:dyDescent="0.2">
      <c r="A33" s="66" t="s">
        <v>806</v>
      </c>
      <c r="B33" s="66" t="s">
        <v>807</v>
      </c>
      <c r="C33" s="66" t="s">
        <v>791</v>
      </c>
      <c r="D33" s="66">
        <v>2000</v>
      </c>
      <c r="E33" s="7">
        <v>1978.5160000000001</v>
      </c>
      <c r="F33" s="7">
        <v>0.52361774284405305</v>
      </c>
    </row>
    <row r="34" spans="1:6" x14ac:dyDescent="0.2">
      <c r="A34" s="66" t="s">
        <v>808</v>
      </c>
      <c r="B34" s="66" t="s">
        <v>809</v>
      </c>
      <c r="C34" s="66" t="s">
        <v>747</v>
      </c>
      <c r="D34" s="66">
        <v>150</v>
      </c>
      <c r="E34" s="7">
        <v>1502.4195</v>
      </c>
      <c r="F34" s="7">
        <v>0.39761796588700399</v>
      </c>
    </row>
    <row r="35" spans="1:6" x14ac:dyDescent="0.2">
      <c r="A35" s="66" t="s">
        <v>810</v>
      </c>
      <c r="B35" s="66" t="s">
        <v>811</v>
      </c>
      <c r="C35" s="66" t="s">
        <v>747</v>
      </c>
      <c r="D35" s="66">
        <v>150</v>
      </c>
      <c r="E35" s="7">
        <v>1483.038</v>
      </c>
      <c r="F35" s="7">
        <v>0.392488617788261</v>
      </c>
    </row>
    <row r="36" spans="1:6" x14ac:dyDescent="0.2">
      <c r="A36" s="66" t="s">
        <v>812</v>
      </c>
      <c r="B36" s="66" t="s">
        <v>793</v>
      </c>
      <c r="C36" s="66" t="s">
        <v>794</v>
      </c>
      <c r="D36" s="66">
        <v>150</v>
      </c>
      <c r="E36" s="7">
        <v>1476.2474999999999</v>
      </c>
      <c r="F36" s="7">
        <v>0.390691500007671</v>
      </c>
    </row>
    <row r="37" spans="1:6" x14ac:dyDescent="0.2">
      <c r="A37" s="66" t="s">
        <v>813</v>
      </c>
      <c r="B37" s="66" t="s">
        <v>814</v>
      </c>
      <c r="C37" s="66" t="s">
        <v>759</v>
      </c>
      <c r="D37" s="66">
        <v>150</v>
      </c>
      <c r="E37" s="7">
        <v>1416.4949999999999</v>
      </c>
      <c r="F37" s="7">
        <v>0.37487789568034202</v>
      </c>
    </row>
    <row r="38" spans="1:6" x14ac:dyDescent="0.2">
      <c r="A38" s="66" t="s">
        <v>815</v>
      </c>
      <c r="B38" s="66" t="s">
        <v>816</v>
      </c>
      <c r="C38" s="66" t="s">
        <v>744</v>
      </c>
      <c r="D38" s="66">
        <v>90</v>
      </c>
      <c r="E38" s="7">
        <v>909.80640000000005</v>
      </c>
      <c r="F38" s="7">
        <v>0.240781865596778</v>
      </c>
    </row>
    <row r="39" spans="1:6" x14ac:dyDescent="0.2">
      <c r="A39" s="66" t="s">
        <v>817</v>
      </c>
      <c r="B39" s="66" t="s">
        <v>793</v>
      </c>
      <c r="C39" s="66" t="s">
        <v>794</v>
      </c>
      <c r="D39" s="66">
        <v>40</v>
      </c>
      <c r="E39" s="7">
        <v>393.666</v>
      </c>
      <c r="F39" s="7">
        <v>0.104184400002046</v>
      </c>
    </row>
    <row r="40" spans="1:6" x14ac:dyDescent="0.2">
      <c r="A40" s="66" t="s">
        <v>818</v>
      </c>
      <c r="B40" s="66" t="s">
        <v>819</v>
      </c>
      <c r="C40" s="66" t="s">
        <v>421</v>
      </c>
      <c r="D40" s="66">
        <v>40</v>
      </c>
      <c r="E40" s="7">
        <v>389.46159999999998</v>
      </c>
      <c r="F40" s="7">
        <v>0.103071698139633</v>
      </c>
    </row>
    <row r="41" spans="1:6" x14ac:dyDescent="0.2">
      <c r="A41" s="66" t="s">
        <v>820</v>
      </c>
      <c r="B41" s="66" t="s">
        <v>821</v>
      </c>
      <c r="C41" s="66" t="s">
        <v>421</v>
      </c>
      <c r="D41" s="66">
        <v>5</v>
      </c>
      <c r="E41" s="7">
        <v>52.098050000000001</v>
      </c>
      <c r="F41" s="67">
        <v>0.01</v>
      </c>
    </row>
    <row r="42" spans="1:6" x14ac:dyDescent="0.2">
      <c r="A42" s="65" t="s">
        <v>39</v>
      </c>
      <c r="B42" s="66"/>
      <c r="C42" s="66"/>
      <c r="D42" s="66"/>
      <c r="E42" s="6">
        <f>SUM(E8:E41)</f>
        <v>199530.94878999997</v>
      </c>
      <c r="F42" s="6">
        <f>SUM(F8:F41)</f>
        <v>52.802429057740575</v>
      </c>
    </row>
    <row r="43" spans="1:6" x14ac:dyDescent="0.2">
      <c r="A43" s="66"/>
      <c r="B43" s="66"/>
      <c r="C43" s="66"/>
      <c r="D43" s="66"/>
      <c r="E43" s="7"/>
      <c r="F43" s="7"/>
    </row>
    <row r="44" spans="1:6" x14ac:dyDescent="0.2">
      <c r="A44" s="65" t="s">
        <v>822</v>
      </c>
      <c r="B44" s="66"/>
      <c r="C44" s="66"/>
      <c r="D44" s="66"/>
      <c r="E44" s="7"/>
      <c r="F44" s="7"/>
    </row>
    <row r="45" spans="1:6" x14ac:dyDescent="0.2">
      <c r="A45" s="66" t="s">
        <v>823</v>
      </c>
      <c r="B45" s="66" t="s">
        <v>824</v>
      </c>
      <c r="C45" s="66" t="s">
        <v>825</v>
      </c>
      <c r="D45" s="66">
        <v>1850</v>
      </c>
      <c r="E45" s="7">
        <v>17829.707999999999</v>
      </c>
      <c r="F45" s="7">
        <v>4.7186636138037601</v>
      </c>
    </row>
    <row r="46" spans="1:6" x14ac:dyDescent="0.2">
      <c r="A46" s="66" t="s">
        <v>826</v>
      </c>
      <c r="B46" s="66" t="s">
        <v>827</v>
      </c>
      <c r="C46" s="66" t="s">
        <v>786</v>
      </c>
      <c r="D46" s="66">
        <v>1650</v>
      </c>
      <c r="E46" s="7">
        <v>16479.078000000001</v>
      </c>
      <c r="F46" s="7">
        <v>4.3612170063376299</v>
      </c>
    </row>
    <row r="47" spans="1:6" x14ac:dyDescent="0.2">
      <c r="A47" s="66" t="s">
        <v>828</v>
      </c>
      <c r="B47" s="66" t="s">
        <v>829</v>
      </c>
      <c r="C47" s="66" t="s">
        <v>830</v>
      </c>
      <c r="D47" s="66">
        <v>1450</v>
      </c>
      <c r="E47" s="7">
        <v>14181.4205</v>
      </c>
      <c r="F47" s="7">
        <v>3.7531379036269499</v>
      </c>
    </row>
    <row r="48" spans="1:6" x14ac:dyDescent="0.2">
      <c r="A48" s="66" t="s">
        <v>831</v>
      </c>
      <c r="B48" s="66" t="s">
        <v>832</v>
      </c>
      <c r="C48" s="66" t="s">
        <v>833</v>
      </c>
      <c r="D48" s="66">
        <v>1250</v>
      </c>
      <c r="E48" s="7">
        <v>13813.9</v>
      </c>
      <c r="F48" s="7">
        <v>3.65587295623259</v>
      </c>
    </row>
    <row r="49" spans="1:6" x14ac:dyDescent="0.2">
      <c r="A49" s="66" t="s">
        <v>834</v>
      </c>
      <c r="B49" s="66" t="s">
        <v>835</v>
      </c>
      <c r="C49" s="66" t="s">
        <v>836</v>
      </c>
      <c r="D49" s="66">
        <v>12673</v>
      </c>
      <c r="E49" s="7">
        <v>12229.267578000001</v>
      </c>
      <c r="F49" s="7">
        <v>3.2364971957913502</v>
      </c>
    </row>
    <row r="50" spans="1:6" x14ac:dyDescent="0.2">
      <c r="A50" s="66" t="s">
        <v>837</v>
      </c>
      <c r="B50" s="66" t="s">
        <v>838</v>
      </c>
      <c r="C50" s="66" t="s">
        <v>839</v>
      </c>
      <c r="D50" s="66">
        <v>1000</v>
      </c>
      <c r="E50" s="7">
        <v>10398.76</v>
      </c>
      <c r="F50" s="7">
        <v>2.7520501424183701</v>
      </c>
    </row>
    <row r="51" spans="1:6" x14ac:dyDescent="0.2">
      <c r="A51" s="66" t="s">
        <v>840</v>
      </c>
      <c r="B51" s="66" t="s">
        <v>841</v>
      </c>
      <c r="C51" s="66" t="s">
        <v>842</v>
      </c>
      <c r="D51" s="66">
        <v>1000</v>
      </c>
      <c r="E51" s="7">
        <v>10228.17</v>
      </c>
      <c r="F51" s="7">
        <v>2.7069031985716898</v>
      </c>
    </row>
    <row r="52" spans="1:6" x14ac:dyDescent="0.2">
      <c r="A52" s="66" t="s">
        <v>843</v>
      </c>
      <c r="B52" s="66" t="s">
        <v>844</v>
      </c>
      <c r="C52" s="66" t="s">
        <v>830</v>
      </c>
      <c r="D52" s="66">
        <v>100</v>
      </c>
      <c r="E52" s="7">
        <v>10198.32</v>
      </c>
      <c r="F52" s="7">
        <v>2.6990033435167402</v>
      </c>
    </row>
    <row r="53" spans="1:6" x14ac:dyDescent="0.2">
      <c r="A53" s="66" t="s">
        <v>845</v>
      </c>
      <c r="B53" s="66" t="s">
        <v>846</v>
      </c>
      <c r="C53" s="66" t="s">
        <v>830</v>
      </c>
      <c r="D53" s="66">
        <v>850</v>
      </c>
      <c r="E53" s="7">
        <v>8458.5794999999998</v>
      </c>
      <c r="F53" s="7">
        <v>2.23857795714413</v>
      </c>
    </row>
    <row r="54" spans="1:6" x14ac:dyDescent="0.2">
      <c r="A54" s="66" t="s">
        <v>847</v>
      </c>
      <c r="B54" s="66" t="s">
        <v>848</v>
      </c>
      <c r="C54" s="66" t="s">
        <v>839</v>
      </c>
      <c r="D54" s="66">
        <v>770</v>
      </c>
      <c r="E54" s="7">
        <v>7287.6418999999996</v>
      </c>
      <c r="F54" s="7">
        <v>1.9286872597106901</v>
      </c>
    </row>
    <row r="55" spans="1:6" x14ac:dyDescent="0.2">
      <c r="A55" s="66" t="s">
        <v>849</v>
      </c>
      <c r="B55" s="66" t="s">
        <v>850</v>
      </c>
      <c r="C55" s="66" t="s">
        <v>851</v>
      </c>
      <c r="D55" s="66">
        <v>688</v>
      </c>
      <c r="E55" s="7">
        <v>6923.8806400000003</v>
      </c>
      <c r="F55" s="7">
        <v>1.8324172018009699</v>
      </c>
    </row>
    <row r="56" spans="1:6" x14ac:dyDescent="0.2">
      <c r="A56" s="66" t="s">
        <v>852</v>
      </c>
      <c r="B56" s="66" t="s">
        <v>853</v>
      </c>
      <c r="C56" s="66" t="s">
        <v>836</v>
      </c>
      <c r="D56" s="66">
        <v>44</v>
      </c>
      <c r="E56" s="7">
        <v>6452.7496000000001</v>
      </c>
      <c r="F56" s="7">
        <v>1.7077315425752799</v>
      </c>
    </row>
    <row r="57" spans="1:6" x14ac:dyDescent="0.2">
      <c r="A57" s="66" t="s">
        <v>854</v>
      </c>
      <c r="B57" s="66" t="s">
        <v>855</v>
      </c>
      <c r="C57" s="66" t="s">
        <v>839</v>
      </c>
      <c r="D57" s="66">
        <v>6000</v>
      </c>
      <c r="E57" s="7">
        <v>6148.74</v>
      </c>
      <c r="F57" s="7">
        <v>1.62727486668541</v>
      </c>
    </row>
    <row r="58" spans="1:6" x14ac:dyDescent="0.2">
      <c r="A58" s="66" t="s">
        <v>856</v>
      </c>
      <c r="B58" s="66" t="s">
        <v>857</v>
      </c>
      <c r="C58" s="66" t="s">
        <v>756</v>
      </c>
      <c r="D58" s="66">
        <v>420</v>
      </c>
      <c r="E58" s="7">
        <v>4037.1743999999999</v>
      </c>
      <c r="F58" s="7">
        <v>1.0684453129496001</v>
      </c>
    </row>
    <row r="59" spans="1:6" x14ac:dyDescent="0.2">
      <c r="A59" s="66" t="s">
        <v>858</v>
      </c>
      <c r="B59" s="66" t="s">
        <v>859</v>
      </c>
      <c r="C59" s="66" t="s">
        <v>851</v>
      </c>
      <c r="D59" s="66">
        <v>400</v>
      </c>
      <c r="E59" s="7">
        <v>4021.3440000000001</v>
      </c>
      <c r="F59" s="7">
        <v>1.0642557697180499</v>
      </c>
    </row>
    <row r="60" spans="1:6" x14ac:dyDescent="0.2">
      <c r="A60" s="66" t="s">
        <v>860</v>
      </c>
      <c r="B60" s="66" t="s">
        <v>861</v>
      </c>
      <c r="C60" s="66" t="s">
        <v>836</v>
      </c>
      <c r="D60" s="66">
        <v>3559</v>
      </c>
      <c r="E60" s="7">
        <v>3434.385174</v>
      </c>
      <c r="F60" s="7">
        <v>0.90891608299703497</v>
      </c>
    </row>
    <row r="61" spans="1:6" x14ac:dyDescent="0.2">
      <c r="A61" s="66" t="s">
        <v>862</v>
      </c>
      <c r="B61" s="66" t="s">
        <v>863</v>
      </c>
      <c r="C61" s="66" t="s">
        <v>786</v>
      </c>
      <c r="D61" s="66">
        <v>350</v>
      </c>
      <c r="E61" s="7">
        <v>3377.8359999999998</v>
      </c>
      <c r="F61" s="7">
        <v>0.89395024453549299</v>
      </c>
    </row>
    <row r="62" spans="1:6" x14ac:dyDescent="0.2">
      <c r="A62" s="66" t="s">
        <v>864</v>
      </c>
      <c r="B62" s="66" t="s">
        <v>865</v>
      </c>
      <c r="C62" s="66" t="s">
        <v>842</v>
      </c>
      <c r="D62" s="66">
        <v>320</v>
      </c>
      <c r="E62" s="7">
        <v>3273.0144</v>
      </c>
      <c r="F62" s="7">
        <v>0.86620902354294005</v>
      </c>
    </row>
    <row r="63" spans="1:6" x14ac:dyDescent="0.2">
      <c r="A63" s="66" t="s">
        <v>866</v>
      </c>
      <c r="B63" s="66" t="s">
        <v>867</v>
      </c>
      <c r="C63" s="66" t="s">
        <v>786</v>
      </c>
      <c r="D63" s="66">
        <v>300</v>
      </c>
      <c r="E63" s="7">
        <v>2972.7449999999999</v>
      </c>
      <c r="F63" s="7">
        <v>0.78674219816819602</v>
      </c>
    </row>
    <row r="64" spans="1:6" x14ac:dyDescent="0.2">
      <c r="A64" s="66" t="s">
        <v>868</v>
      </c>
      <c r="B64" s="66" t="s">
        <v>869</v>
      </c>
      <c r="C64" s="66" t="s">
        <v>839</v>
      </c>
      <c r="D64" s="66">
        <v>250</v>
      </c>
      <c r="E64" s="7">
        <v>2422.8575000000001</v>
      </c>
      <c r="F64" s="7">
        <v>0.64121350314214598</v>
      </c>
    </row>
    <row r="65" spans="1:10" x14ac:dyDescent="0.2">
      <c r="A65" s="66" t="s">
        <v>870</v>
      </c>
      <c r="B65" s="66" t="s">
        <v>871</v>
      </c>
      <c r="C65" s="66" t="s">
        <v>839</v>
      </c>
      <c r="D65" s="66">
        <v>110</v>
      </c>
      <c r="E65" s="7">
        <v>1074.7308</v>
      </c>
      <c r="F65" s="7">
        <v>0.28442939842840997</v>
      </c>
    </row>
    <row r="66" spans="1:10" x14ac:dyDescent="0.2">
      <c r="A66" s="66" t="s">
        <v>872</v>
      </c>
      <c r="B66" s="66" t="s">
        <v>873</v>
      </c>
      <c r="C66" s="66" t="s">
        <v>825</v>
      </c>
      <c r="D66" s="66">
        <v>10</v>
      </c>
      <c r="E66" s="7">
        <v>1003.235</v>
      </c>
      <c r="F66" s="7">
        <v>0.26550790908041899</v>
      </c>
    </row>
    <row r="67" spans="1:10" x14ac:dyDescent="0.2">
      <c r="A67" s="66" t="s">
        <v>874</v>
      </c>
      <c r="B67" s="66" t="s">
        <v>875</v>
      </c>
      <c r="C67" s="66" t="s">
        <v>839</v>
      </c>
      <c r="D67" s="66">
        <v>100</v>
      </c>
      <c r="E67" s="7">
        <v>995.178</v>
      </c>
      <c r="F67" s="7">
        <v>0.26337560984498498</v>
      </c>
    </row>
    <row r="68" spans="1:10" x14ac:dyDescent="0.2">
      <c r="A68" s="66" t="s">
        <v>876</v>
      </c>
      <c r="B68" s="66" t="s">
        <v>877</v>
      </c>
      <c r="C68" s="66" t="s">
        <v>878</v>
      </c>
      <c r="D68" s="66">
        <v>100</v>
      </c>
      <c r="E68" s="7">
        <v>985.33600000000001</v>
      </c>
      <c r="F68" s="7">
        <v>0.26077090721681701</v>
      </c>
    </row>
    <row r="69" spans="1:10" x14ac:dyDescent="0.2">
      <c r="A69" s="66" t="s">
        <v>879</v>
      </c>
      <c r="B69" s="66" t="s">
        <v>880</v>
      </c>
      <c r="C69" s="66" t="s">
        <v>791</v>
      </c>
      <c r="D69" s="66">
        <v>50</v>
      </c>
      <c r="E69" s="7">
        <v>595.19500000000005</v>
      </c>
      <c r="F69" s="7">
        <v>0.157519404671009</v>
      </c>
    </row>
    <row r="70" spans="1:10" x14ac:dyDescent="0.2">
      <c r="A70" s="66" t="s">
        <v>881</v>
      </c>
      <c r="B70" s="66" t="s">
        <v>882</v>
      </c>
      <c r="C70" s="66" t="s">
        <v>842</v>
      </c>
      <c r="D70" s="66">
        <v>50</v>
      </c>
      <c r="E70" s="7">
        <v>487.47800000000001</v>
      </c>
      <c r="F70" s="7">
        <v>0.12901191097071399</v>
      </c>
    </row>
    <row r="71" spans="1:10" x14ac:dyDescent="0.2">
      <c r="A71" s="65" t="s">
        <v>39</v>
      </c>
      <c r="B71" s="66"/>
      <c r="C71" s="66"/>
      <c r="D71" s="66"/>
      <c r="E71" s="6">
        <f>SUM(E45:E70)</f>
        <v>169310.72499200003</v>
      </c>
      <c r="F71" s="6">
        <f>SUM(F45:F70)</f>
        <v>44.808381463481389</v>
      </c>
    </row>
    <row r="72" spans="1:10" x14ac:dyDescent="0.2">
      <c r="A72" s="66"/>
      <c r="B72" s="66"/>
      <c r="C72" s="66"/>
      <c r="D72" s="66"/>
      <c r="E72" s="7"/>
      <c r="F72" s="7"/>
    </row>
    <row r="73" spans="1:10" x14ac:dyDescent="0.2">
      <c r="A73" s="65" t="s">
        <v>39</v>
      </c>
      <c r="B73" s="66"/>
      <c r="C73" s="66"/>
      <c r="D73" s="66"/>
      <c r="E73" s="6">
        <v>368841.67378199997</v>
      </c>
      <c r="F73" s="6">
        <v>97.61459836188007</v>
      </c>
      <c r="I73" s="1"/>
      <c r="J73" s="1"/>
    </row>
    <row r="74" spans="1:10" x14ac:dyDescent="0.2">
      <c r="A74" s="66"/>
      <c r="B74" s="66"/>
      <c r="C74" s="66"/>
      <c r="D74" s="66"/>
      <c r="E74" s="7"/>
      <c r="F74" s="7"/>
    </row>
    <row r="75" spans="1:10" x14ac:dyDescent="0.2">
      <c r="A75" s="65" t="s">
        <v>103</v>
      </c>
      <c r="B75" s="66"/>
      <c r="C75" s="66"/>
      <c r="D75" s="66"/>
      <c r="E75" s="6">
        <v>9013.3639516000003</v>
      </c>
      <c r="F75" s="6">
        <v>2.39</v>
      </c>
      <c r="I75" s="1"/>
      <c r="J75" s="1"/>
    </row>
    <row r="76" spans="1:10" x14ac:dyDescent="0.2">
      <c r="A76" s="66"/>
      <c r="B76" s="66"/>
      <c r="C76" s="66"/>
      <c r="D76" s="66"/>
      <c r="E76" s="7"/>
      <c r="F76" s="7"/>
    </row>
    <row r="77" spans="1:10" x14ac:dyDescent="0.2">
      <c r="A77" s="68" t="s">
        <v>104</v>
      </c>
      <c r="B77" s="64"/>
      <c r="C77" s="64"/>
      <c r="D77" s="64"/>
      <c r="E77" s="8">
        <v>377855.03395160002</v>
      </c>
      <c r="F77" s="8">
        <f xml:space="preserve"> ROUND(SUM(F73:F76),2)</f>
        <v>100</v>
      </c>
      <c r="I77" s="1"/>
      <c r="J77" s="1"/>
    </row>
    <row r="78" spans="1:10" x14ac:dyDescent="0.2">
      <c r="A78" s="4" t="s">
        <v>714</v>
      </c>
      <c r="F78" s="9"/>
    </row>
    <row r="80" spans="1:10" x14ac:dyDescent="0.2">
      <c r="A80" s="4" t="s">
        <v>105</v>
      </c>
    </row>
    <row r="81" spans="1:4" x14ac:dyDescent="0.2">
      <c r="A81" s="4" t="s">
        <v>106</v>
      </c>
    </row>
    <row r="82" spans="1:4" x14ac:dyDescent="0.2">
      <c r="A82" s="4" t="s">
        <v>107</v>
      </c>
    </row>
    <row r="83" spans="1:4" x14ac:dyDescent="0.2">
      <c r="A83" s="2" t="s">
        <v>722</v>
      </c>
      <c r="D83" s="10">
        <v>20.691099999999999</v>
      </c>
    </row>
    <row r="84" spans="1:4" x14ac:dyDescent="0.2">
      <c r="A84" s="2" t="s">
        <v>719</v>
      </c>
      <c r="D84" s="10">
        <v>11.5756</v>
      </c>
    </row>
    <row r="85" spans="1:4" x14ac:dyDescent="0.2">
      <c r="A85" s="2" t="s">
        <v>720</v>
      </c>
      <c r="D85" s="10">
        <v>21.587499999999999</v>
      </c>
    </row>
    <row r="86" spans="1:4" x14ac:dyDescent="0.2">
      <c r="A86" s="2" t="s">
        <v>721</v>
      </c>
      <c r="D86" s="10">
        <v>11.042400000000001</v>
      </c>
    </row>
    <row r="88" spans="1:4" x14ac:dyDescent="0.2">
      <c r="A88" s="4" t="s">
        <v>108</v>
      </c>
    </row>
    <row r="89" spans="1:4" x14ac:dyDescent="0.2">
      <c r="A89" s="2" t="s">
        <v>721</v>
      </c>
      <c r="D89" s="10">
        <v>11.0488</v>
      </c>
    </row>
    <row r="90" spans="1:4" x14ac:dyDescent="0.2">
      <c r="A90" s="2" t="s">
        <v>719</v>
      </c>
      <c r="D90" s="10">
        <v>11.651</v>
      </c>
    </row>
    <row r="91" spans="1:4" x14ac:dyDescent="0.2">
      <c r="A91" s="2" t="s">
        <v>720</v>
      </c>
      <c r="D91" s="10">
        <v>22.573499999999999</v>
      </c>
    </row>
    <row r="92" spans="1:4" x14ac:dyDescent="0.2">
      <c r="A92" s="2" t="s">
        <v>722</v>
      </c>
      <c r="D92" s="10">
        <v>21.552800000000001</v>
      </c>
    </row>
    <row r="94" spans="1:4" x14ac:dyDescent="0.2">
      <c r="A94" s="4" t="s">
        <v>109</v>
      </c>
      <c r="D94" s="69"/>
    </row>
    <row r="95" spans="1:4" x14ac:dyDescent="0.2">
      <c r="A95" s="41" t="s">
        <v>727</v>
      </c>
      <c r="B95" s="42"/>
      <c r="C95" s="57" t="s">
        <v>728</v>
      </c>
      <c r="D95" s="58"/>
    </row>
    <row r="96" spans="1:4" x14ac:dyDescent="0.2">
      <c r="A96" s="59"/>
      <c r="B96" s="60"/>
      <c r="C96" s="43" t="s">
        <v>729</v>
      </c>
      <c r="D96" s="43" t="s">
        <v>730</v>
      </c>
    </row>
    <row r="97" spans="1:5" x14ac:dyDescent="0.2">
      <c r="A97" s="44" t="s">
        <v>721</v>
      </c>
      <c r="B97" s="45"/>
      <c r="C97" s="46">
        <v>0.31694198800000001</v>
      </c>
      <c r="D97" s="46">
        <v>0.29348986040000002</v>
      </c>
    </row>
    <row r="98" spans="1:5" x14ac:dyDescent="0.2">
      <c r="A98" s="44" t="s">
        <v>719</v>
      </c>
      <c r="B98" s="45"/>
      <c r="C98" s="46">
        <v>0.31694198800000001</v>
      </c>
      <c r="D98" s="46">
        <v>0.29348986040000002</v>
      </c>
    </row>
    <row r="99" spans="1:5" x14ac:dyDescent="0.2">
      <c r="A99" s="4"/>
      <c r="D99" s="69"/>
    </row>
    <row r="100" spans="1:5" x14ac:dyDescent="0.2">
      <c r="A100" s="4" t="s">
        <v>883</v>
      </c>
      <c r="D100" s="70">
        <v>4.4486471487788055</v>
      </c>
      <c r="E100" s="1" t="s">
        <v>884</v>
      </c>
    </row>
  </sheetData>
  <mergeCells count="3">
    <mergeCell ref="A1:F1"/>
    <mergeCell ref="C95:D95"/>
    <mergeCell ref="A96:B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showGridLines="0" zoomScaleNormal="100" workbookViewId="0">
      <selection sqref="A1:F1"/>
    </sheetView>
  </sheetViews>
  <sheetFormatPr defaultRowHeight="11.25" x14ac:dyDescent="0.2"/>
  <cols>
    <col min="1" max="1" width="38" style="2" customWidth="1"/>
    <col min="2" max="2" width="84.85546875" style="2" bestFit="1" customWidth="1"/>
    <col min="3" max="3" width="11.570312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8" width="9.140625" style="2"/>
    <col min="9" max="9" width="13.7109375" style="2" bestFit="1" customWidth="1"/>
    <col min="10" max="10" width="9.28515625" style="2" bestFit="1" customWidth="1"/>
    <col min="11" max="16384" width="9.140625" style="2"/>
  </cols>
  <sheetData>
    <row r="1" spans="1:6" ht="15" customHeight="1" x14ac:dyDescent="0.2">
      <c r="A1" s="62" t="s">
        <v>1125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1126</v>
      </c>
      <c r="B8" s="66" t="s">
        <v>1127</v>
      </c>
      <c r="C8" s="66" t="s">
        <v>842</v>
      </c>
      <c r="D8" s="66">
        <v>6740</v>
      </c>
      <c r="E8" s="7">
        <v>67122.649000000005</v>
      </c>
      <c r="F8" s="7">
        <f>E8/$E$152*100</f>
        <v>4.566041887523931</v>
      </c>
    </row>
    <row r="9" spans="1:6" x14ac:dyDescent="0.2">
      <c r="A9" s="66" t="s">
        <v>1128</v>
      </c>
      <c r="B9" s="66" t="s">
        <v>1129</v>
      </c>
      <c r="C9" s="66" t="s">
        <v>759</v>
      </c>
      <c r="D9" s="66">
        <v>4400</v>
      </c>
      <c r="E9" s="7">
        <v>43864.523999999998</v>
      </c>
      <c r="F9" s="7">
        <f t="shared" ref="F9:F56" si="0">E9/$E$152*100</f>
        <v>2.9838997260119871</v>
      </c>
    </row>
    <row r="10" spans="1:6" x14ac:dyDescent="0.2">
      <c r="A10" s="66" t="s">
        <v>1130</v>
      </c>
      <c r="B10" s="66" t="s">
        <v>1131</v>
      </c>
      <c r="C10" s="66" t="s">
        <v>424</v>
      </c>
      <c r="D10" s="66">
        <v>7500</v>
      </c>
      <c r="E10" s="7">
        <v>37508.175000000003</v>
      </c>
      <c r="F10" s="7">
        <f t="shared" si="0"/>
        <v>2.5515068419689149</v>
      </c>
    </row>
    <row r="11" spans="1:6" x14ac:dyDescent="0.2">
      <c r="A11" s="66" t="s">
        <v>1132</v>
      </c>
      <c r="B11" s="66" t="s">
        <v>1133</v>
      </c>
      <c r="C11" s="66" t="s">
        <v>775</v>
      </c>
      <c r="D11" s="66">
        <v>2400</v>
      </c>
      <c r="E11" s="7">
        <v>23976.191999999999</v>
      </c>
      <c r="F11" s="7">
        <f t="shared" si="0"/>
        <v>1.6309889226111467</v>
      </c>
    </row>
    <row r="12" spans="1:6" x14ac:dyDescent="0.2">
      <c r="A12" s="66" t="s">
        <v>428</v>
      </c>
      <c r="B12" s="66" t="s">
        <v>713</v>
      </c>
      <c r="C12" s="66" t="s">
        <v>429</v>
      </c>
      <c r="D12" s="66">
        <v>2200</v>
      </c>
      <c r="E12" s="7">
        <v>21811.196</v>
      </c>
      <c r="F12" s="7">
        <f t="shared" si="0"/>
        <v>1.4837143056287068</v>
      </c>
    </row>
    <row r="13" spans="1:6" x14ac:dyDescent="0.2">
      <c r="A13" s="66" t="s">
        <v>1134</v>
      </c>
      <c r="B13" s="66" t="s">
        <v>1135</v>
      </c>
      <c r="C13" s="66" t="s">
        <v>775</v>
      </c>
      <c r="D13" s="66">
        <v>40</v>
      </c>
      <c r="E13" s="7">
        <v>20247.84</v>
      </c>
      <c r="F13" s="7">
        <f t="shared" si="0"/>
        <v>1.3773664619804049</v>
      </c>
    </row>
    <row r="14" spans="1:6" x14ac:dyDescent="0.2">
      <c r="A14" s="66" t="s">
        <v>1136</v>
      </c>
      <c r="B14" s="66" t="s">
        <v>1137</v>
      </c>
      <c r="C14" s="66" t="s">
        <v>1138</v>
      </c>
      <c r="D14" s="66">
        <v>1740</v>
      </c>
      <c r="E14" s="7">
        <v>17340.178800000002</v>
      </c>
      <c r="F14" s="7">
        <f t="shared" si="0"/>
        <v>1.1795717826624283</v>
      </c>
    </row>
    <row r="15" spans="1:6" x14ac:dyDescent="0.2">
      <c r="A15" s="66" t="s">
        <v>1139</v>
      </c>
      <c r="B15" s="66" t="s">
        <v>1140</v>
      </c>
      <c r="C15" s="66" t="s">
        <v>1141</v>
      </c>
      <c r="D15" s="66">
        <v>1515</v>
      </c>
      <c r="E15" s="7">
        <v>15270.715200000001</v>
      </c>
      <c r="F15" s="7">
        <f t="shared" si="0"/>
        <v>1.0387957909058145</v>
      </c>
    </row>
    <row r="16" spans="1:6" x14ac:dyDescent="0.2">
      <c r="A16" s="66" t="s">
        <v>1142</v>
      </c>
      <c r="B16" s="66" t="s">
        <v>1143</v>
      </c>
      <c r="C16" s="66" t="s">
        <v>747</v>
      </c>
      <c r="D16" s="66">
        <v>1412</v>
      </c>
      <c r="E16" s="7">
        <v>14135.29196</v>
      </c>
      <c r="F16" s="7">
        <f t="shared" si="0"/>
        <v>0.96155822428492432</v>
      </c>
    </row>
    <row r="17" spans="1:6" x14ac:dyDescent="0.2">
      <c r="A17" s="66" t="s">
        <v>808</v>
      </c>
      <c r="B17" s="66" t="s">
        <v>809</v>
      </c>
      <c r="C17" s="66" t="s">
        <v>747</v>
      </c>
      <c r="D17" s="66">
        <v>1188</v>
      </c>
      <c r="E17" s="7">
        <v>11899.16244</v>
      </c>
      <c r="F17" s="7">
        <f t="shared" si="0"/>
        <v>0.80944472449964633</v>
      </c>
    </row>
    <row r="18" spans="1:6" x14ac:dyDescent="0.2">
      <c r="A18" s="66" t="s">
        <v>1144</v>
      </c>
      <c r="B18" s="66" t="s">
        <v>1145</v>
      </c>
      <c r="C18" s="66" t="s">
        <v>1146</v>
      </c>
      <c r="D18" s="66">
        <v>1050</v>
      </c>
      <c r="E18" s="7">
        <v>10784.791499999999</v>
      </c>
      <c r="F18" s="7">
        <f t="shared" si="0"/>
        <v>0.73363924801615088</v>
      </c>
    </row>
    <row r="19" spans="1:6" x14ac:dyDescent="0.2">
      <c r="A19" s="66" t="s">
        <v>1147</v>
      </c>
      <c r="B19" s="66" t="s">
        <v>1148</v>
      </c>
      <c r="C19" s="66" t="s">
        <v>1149</v>
      </c>
      <c r="D19" s="66">
        <v>1070</v>
      </c>
      <c r="E19" s="7">
        <v>10668.830900000001</v>
      </c>
      <c r="F19" s="7">
        <f t="shared" si="0"/>
        <v>0.72575098727569054</v>
      </c>
    </row>
    <row r="20" spans="1:6" x14ac:dyDescent="0.2">
      <c r="A20" s="66" t="s">
        <v>1150</v>
      </c>
      <c r="B20" s="66" t="s">
        <v>1151</v>
      </c>
      <c r="C20" s="66" t="s">
        <v>759</v>
      </c>
      <c r="D20" s="66">
        <v>1000</v>
      </c>
      <c r="E20" s="7">
        <v>10218.129999999999</v>
      </c>
      <c r="F20" s="7">
        <f t="shared" si="0"/>
        <v>0.69509189948931993</v>
      </c>
    </row>
    <row r="21" spans="1:6" x14ac:dyDescent="0.2">
      <c r="A21" s="66" t="s">
        <v>1152</v>
      </c>
      <c r="B21" s="66" t="s">
        <v>1153</v>
      </c>
      <c r="C21" s="66" t="s">
        <v>775</v>
      </c>
      <c r="D21" s="66">
        <v>1000</v>
      </c>
      <c r="E21" s="7">
        <v>9774.44</v>
      </c>
      <c r="F21" s="7">
        <f t="shared" si="0"/>
        <v>0.66490973064977543</v>
      </c>
    </row>
    <row r="22" spans="1:6" x14ac:dyDescent="0.2">
      <c r="A22" s="66" t="s">
        <v>1154</v>
      </c>
      <c r="B22" s="66" t="s">
        <v>1155</v>
      </c>
      <c r="C22" s="66" t="s">
        <v>775</v>
      </c>
      <c r="D22" s="66">
        <v>840</v>
      </c>
      <c r="E22" s="7">
        <v>8391.9530797000007</v>
      </c>
      <c r="F22" s="7">
        <f t="shared" si="0"/>
        <v>0.57086556998138827</v>
      </c>
    </row>
    <row r="23" spans="1:6" x14ac:dyDescent="0.2">
      <c r="A23" s="66" t="s">
        <v>1156</v>
      </c>
      <c r="B23" s="66" t="s">
        <v>1157</v>
      </c>
      <c r="C23" s="66" t="s">
        <v>1158</v>
      </c>
      <c r="D23" s="66">
        <v>830</v>
      </c>
      <c r="E23" s="7">
        <v>8309.6280000000006</v>
      </c>
      <c r="F23" s="7">
        <f t="shared" si="0"/>
        <v>0.56526537738017024</v>
      </c>
    </row>
    <row r="24" spans="1:6" x14ac:dyDescent="0.2">
      <c r="A24" s="66" t="s">
        <v>1159</v>
      </c>
      <c r="B24" s="66" t="s">
        <v>1160</v>
      </c>
      <c r="C24" s="66" t="s">
        <v>775</v>
      </c>
      <c r="D24" s="66">
        <v>800</v>
      </c>
      <c r="E24" s="7">
        <v>7992.3362663999997</v>
      </c>
      <c r="F24" s="7">
        <f t="shared" si="0"/>
        <v>0.54368149522166531</v>
      </c>
    </row>
    <row r="25" spans="1:6" x14ac:dyDescent="0.2">
      <c r="A25" s="66" t="s">
        <v>1161</v>
      </c>
      <c r="B25" s="66" t="s">
        <v>1162</v>
      </c>
      <c r="C25" s="66" t="s">
        <v>775</v>
      </c>
      <c r="D25" s="66">
        <v>800</v>
      </c>
      <c r="E25" s="7">
        <v>7992.3362663999997</v>
      </c>
      <c r="F25" s="7">
        <f t="shared" si="0"/>
        <v>0.54368149522166531</v>
      </c>
    </row>
    <row r="26" spans="1:6" x14ac:dyDescent="0.2">
      <c r="A26" s="66" t="s">
        <v>1163</v>
      </c>
      <c r="B26" s="66" t="s">
        <v>1164</v>
      </c>
      <c r="C26" s="66" t="s">
        <v>747</v>
      </c>
      <c r="D26" s="66">
        <v>794</v>
      </c>
      <c r="E26" s="7">
        <v>7949.0754200000001</v>
      </c>
      <c r="F26" s="7">
        <f t="shared" si="0"/>
        <v>0.54073866087744671</v>
      </c>
    </row>
    <row r="27" spans="1:6" x14ac:dyDescent="0.2">
      <c r="A27" s="66" t="s">
        <v>1165</v>
      </c>
      <c r="B27" s="66" t="s">
        <v>1166</v>
      </c>
      <c r="C27" s="66" t="s">
        <v>775</v>
      </c>
      <c r="D27" s="66">
        <v>800</v>
      </c>
      <c r="E27" s="7">
        <v>7923.6239999999998</v>
      </c>
      <c r="F27" s="7">
        <f t="shared" si="0"/>
        <v>0.53900731904948984</v>
      </c>
    </row>
    <row r="28" spans="1:6" x14ac:dyDescent="0.2">
      <c r="A28" s="66" t="s">
        <v>1167</v>
      </c>
      <c r="B28" s="66" t="s">
        <v>1168</v>
      </c>
      <c r="C28" s="66" t="s">
        <v>775</v>
      </c>
      <c r="D28" s="66">
        <v>800</v>
      </c>
      <c r="E28" s="7">
        <v>7923.6239999999998</v>
      </c>
      <c r="F28" s="7">
        <f t="shared" si="0"/>
        <v>0.53900731904948984</v>
      </c>
    </row>
    <row r="29" spans="1:6" x14ac:dyDescent="0.2">
      <c r="A29" s="66" t="s">
        <v>1169</v>
      </c>
      <c r="B29" s="66" t="s">
        <v>1170</v>
      </c>
      <c r="C29" s="66" t="s">
        <v>747</v>
      </c>
      <c r="D29" s="66">
        <v>750</v>
      </c>
      <c r="E29" s="7">
        <v>7467.8024999999998</v>
      </c>
      <c r="F29" s="7">
        <f t="shared" si="0"/>
        <v>0.50799990064092859</v>
      </c>
    </row>
    <row r="30" spans="1:6" x14ac:dyDescent="0.2">
      <c r="A30" s="66" t="s">
        <v>1171</v>
      </c>
      <c r="B30" s="66" t="s">
        <v>1172</v>
      </c>
      <c r="C30" s="66" t="s">
        <v>1158</v>
      </c>
      <c r="D30" s="66">
        <v>750</v>
      </c>
      <c r="E30" s="7">
        <v>7394.0249999999996</v>
      </c>
      <c r="F30" s="7">
        <f t="shared" si="0"/>
        <v>0.50298116016546268</v>
      </c>
    </row>
    <row r="31" spans="1:6" x14ac:dyDescent="0.2">
      <c r="A31" s="66" t="s">
        <v>1173</v>
      </c>
      <c r="B31" s="66" t="s">
        <v>1174</v>
      </c>
      <c r="C31" s="66" t="s">
        <v>424</v>
      </c>
      <c r="D31" s="66">
        <v>650</v>
      </c>
      <c r="E31" s="7">
        <v>6527.5860000000002</v>
      </c>
      <c r="F31" s="7">
        <f t="shared" si="0"/>
        <v>0.4440413414019877</v>
      </c>
    </row>
    <row r="32" spans="1:6" x14ac:dyDescent="0.2">
      <c r="A32" s="66" t="s">
        <v>1175</v>
      </c>
      <c r="B32" s="66" t="s">
        <v>1176</v>
      </c>
      <c r="C32" s="66" t="s">
        <v>1149</v>
      </c>
      <c r="D32" s="66">
        <v>570</v>
      </c>
      <c r="E32" s="7">
        <v>5999.6376</v>
      </c>
      <c r="F32" s="7">
        <f t="shared" si="0"/>
        <v>0.40812746516549947</v>
      </c>
    </row>
    <row r="33" spans="1:6" x14ac:dyDescent="0.2">
      <c r="A33" s="66" t="s">
        <v>1177</v>
      </c>
      <c r="B33" s="66" t="s">
        <v>1178</v>
      </c>
      <c r="C33" s="66" t="s">
        <v>429</v>
      </c>
      <c r="D33" s="66">
        <v>600</v>
      </c>
      <c r="E33" s="7">
        <v>5886.1620000000003</v>
      </c>
      <c r="F33" s="7">
        <f t="shared" si="0"/>
        <v>0.40040824742705905</v>
      </c>
    </row>
    <row r="34" spans="1:6" x14ac:dyDescent="0.2">
      <c r="A34" s="66" t="s">
        <v>1179</v>
      </c>
      <c r="B34" s="66" t="s">
        <v>1180</v>
      </c>
      <c r="C34" s="66" t="s">
        <v>775</v>
      </c>
      <c r="D34" s="66">
        <v>520</v>
      </c>
      <c r="E34" s="7">
        <v>5150.3555999999999</v>
      </c>
      <c r="F34" s="7">
        <f t="shared" si="0"/>
        <v>0.35035475738216837</v>
      </c>
    </row>
    <row r="35" spans="1:6" x14ac:dyDescent="0.2">
      <c r="A35" s="66" t="s">
        <v>1181</v>
      </c>
      <c r="B35" s="66" t="s">
        <v>1182</v>
      </c>
      <c r="C35" s="66" t="s">
        <v>759</v>
      </c>
      <c r="D35" s="66">
        <v>500</v>
      </c>
      <c r="E35" s="7">
        <v>5140.58</v>
      </c>
      <c r="F35" s="7">
        <f t="shared" si="0"/>
        <v>0.34968976874210922</v>
      </c>
    </row>
    <row r="36" spans="1:6" x14ac:dyDescent="0.2">
      <c r="A36" s="66" t="s">
        <v>1183</v>
      </c>
      <c r="B36" s="66" t="s">
        <v>1184</v>
      </c>
      <c r="C36" s="66" t="s">
        <v>1141</v>
      </c>
      <c r="D36" s="66">
        <v>500</v>
      </c>
      <c r="E36" s="7">
        <v>5044.8549999999996</v>
      </c>
      <c r="F36" s="7">
        <f t="shared" si="0"/>
        <v>0.3431780418333093</v>
      </c>
    </row>
    <row r="37" spans="1:6" x14ac:dyDescent="0.2">
      <c r="A37" s="66" t="s">
        <v>1185</v>
      </c>
      <c r="B37" s="66" t="s">
        <v>1186</v>
      </c>
      <c r="C37" s="66" t="s">
        <v>421</v>
      </c>
      <c r="D37" s="66">
        <v>50</v>
      </c>
      <c r="E37" s="7">
        <v>4994.875</v>
      </c>
      <c r="F37" s="7">
        <f t="shared" si="0"/>
        <v>0.33977813469408957</v>
      </c>
    </row>
    <row r="38" spans="1:6" x14ac:dyDescent="0.2">
      <c r="A38" s="66" t="s">
        <v>1187</v>
      </c>
      <c r="B38" s="66" t="s">
        <v>1188</v>
      </c>
      <c r="C38" s="66" t="s">
        <v>421</v>
      </c>
      <c r="D38" s="66">
        <v>500</v>
      </c>
      <c r="E38" s="7">
        <v>4993.8649999999998</v>
      </c>
      <c r="F38" s="7">
        <f t="shared" si="0"/>
        <v>0.33970942908763468</v>
      </c>
    </row>
    <row r="39" spans="1:6" x14ac:dyDescent="0.2">
      <c r="A39" s="66" t="s">
        <v>1189</v>
      </c>
      <c r="B39" s="66" t="s">
        <v>1190</v>
      </c>
      <c r="C39" s="66" t="s">
        <v>775</v>
      </c>
      <c r="D39" s="66">
        <v>500</v>
      </c>
      <c r="E39" s="7">
        <v>4982.9250000000002</v>
      </c>
      <c r="F39" s="7">
        <f t="shared" si="0"/>
        <v>0.33896523172662907</v>
      </c>
    </row>
    <row r="40" spans="1:6" x14ac:dyDescent="0.2">
      <c r="A40" s="66" t="s">
        <v>1191</v>
      </c>
      <c r="B40" s="66" t="s">
        <v>1192</v>
      </c>
      <c r="C40" s="66" t="s">
        <v>429</v>
      </c>
      <c r="D40" s="66">
        <v>450</v>
      </c>
      <c r="E40" s="7">
        <v>4439.3895000000002</v>
      </c>
      <c r="F40" s="7">
        <f t="shared" si="0"/>
        <v>0.30199103751155476</v>
      </c>
    </row>
    <row r="41" spans="1:6" x14ac:dyDescent="0.2">
      <c r="A41" s="66" t="s">
        <v>1193</v>
      </c>
      <c r="B41" s="66" t="s">
        <v>1194</v>
      </c>
      <c r="C41" s="66" t="s">
        <v>421</v>
      </c>
      <c r="D41" s="66">
        <v>40</v>
      </c>
      <c r="E41" s="7">
        <v>3996.8319999999999</v>
      </c>
      <c r="F41" s="7">
        <f t="shared" si="0"/>
        <v>0.27188590738419827</v>
      </c>
    </row>
    <row r="42" spans="1:6" x14ac:dyDescent="0.2">
      <c r="A42" s="66" t="s">
        <v>1195</v>
      </c>
      <c r="B42" s="66" t="s">
        <v>1196</v>
      </c>
      <c r="C42" s="66" t="s">
        <v>775</v>
      </c>
      <c r="D42" s="66">
        <v>400</v>
      </c>
      <c r="E42" s="7">
        <v>3965.268</v>
      </c>
      <c r="F42" s="7">
        <f t="shared" si="0"/>
        <v>0.26973875514445572</v>
      </c>
    </row>
    <row r="43" spans="1:6" x14ac:dyDescent="0.2">
      <c r="A43" s="66" t="s">
        <v>1197</v>
      </c>
      <c r="B43" s="66" t="s">
        <v>1198</v>
      </c>
      <c r="C43" s="66" t="s">
        <v>429</v>
      </c>
      <c r="D43" s="66">
        <v>350</v>
      </c>
      <c r="E43" s="7">
        <v>3438.6415000000002</v>
      </c>
      <c r="F43" s="7">
        <f t="shared" si="0"/>
        <v>0.23391480162199976</v>
      </c>
    </row>
    <row r="44" spans="1:6" x14ac:dyDescent="0.2">
      <c r="A44" s="66" t="s">
        <v>1199</v>
      </c>
      <c r="B44" s="66" t="s">
        <v>1200</v>
      </c>
      <c r="C44" s="66" t="s">
        <v>775</v>
      </c>
      <c r="D44" s="66">
        <v>250</v>
      </c>
      <c r="E44" s="7">
        <v>2494.96</v>
      </c>
      <c r="F44" s="7">
        <f t="shared" si="0"/>
        <v>0.16972053453517169</v>
      </c>
    </row>
    <row r="45" spans="1:6" x14ac:dyDescent="0.2">
      <c r="A45" s="66" t="s">
        <v>1201</v>
      </c>
      <c r="B45" s="66" t="s">
        <v>1202</v>
      </c>
      <c r="C45" s="66" t="s">
        <v>424</v>
      </c>
      <c r="D45" s="66">
        <v>250</v>
      </c>
      <c r="E45" s="7">
        <v>2460.4499999999998</v>
      </c>
      <c r="F45" s="7">
        <f t="shared" si="0"/>
        <v>0.16737297960571035</v>
      </c>
    </row>
    <row r="46" spans="1:6" x14ac:dyDescent="0.2">
      <c r="A46" s="66" t="s">
        <v>1203</v>
      </c>
      <c r="B46" s="66" t="s">
        <v>1204</v>
      </c>
      <c r="C46" s="66" t="s">
        <v>1205</v>
      </c>
      <c r="D46" s="66">
        <v>200</v>
      </c>
      <c r="E46" s="7">
        <v>2005.9780000000001</v>
      </c>
      <c r="F46" s="7">
        <f t="shared" si="0"/>
        <v>0.13645736141092227</v>
      </c>
    </row>
    <row r="47" spans="1:6" x14ac:dyDescent="0.2">
      <c r="A47" s="66" t="s">
        <v>1206</v>
      </c>
      <c r="B47" s="66" t="s">
        <v>1207</v>
      </c>
      <c r="C47" s="66" t="s">
        <v>421</v>
      </c>
      <c r="D47" s="66">
        <v>200</v>
      </c>
      <c r="E47" s="7">
        <v>1995.6959999999999</v>
      </c>
      <c r="F47" s="7">
        <f t="shared" si="0"/>
        <v>0.13575792473214157</v>
      </c>
    </row>
    <row r="48" spans="1:6" x14ac:dyDescent="0.2">
      <c r="A48" s="66" t="s">
        <v>1208</v>
      </c>
      <c r="B48" s="66" t="s">
        <v>1209</v>
      </c>
      <c r="C48" s="66" t="s">
        <v>786</v>
      </c>
      <c r="D48" s="66">
        <v>150</v>
      </c>
      <c r="E48" s="7">
        <v>1534.923</v>
      </c>
      <c r="F48" s="7">
        <f t="shared" si="0"/>
        <v>0.10441367878856948</v>
      </c>
    </row>
    <row r="49" spans="1:6" x14ac:dyDescent="0.2">
      <c r="A49" s="66" t="s">
        <v>1210</v>
      </c>
      <c r="B49" s="66" t="s">
        <v>1211</v>
      </c>
      <c r="C49" s="66" t="s">
        <v>786</v>
      </c>
      <c r="D49" s="66">
        <v>150</v>
      </c>
      <c r="E49" s="7">
        <v>1519.9049934</v>
      </c>
      <c r="F49" s="7">
        <f t="shared" si="0"/>
        <v>0.10339207358936599</v>
      </c>
    </row>
    <row r="50" spans="1:6" x14ac:dyDescent="0.2">
      <c r="A50" s="66" t="s">
        <v>1212</v>
      </c>
      <c r="B50" s="66" t="s">
        <v>1213</v>
      </c>
      <c r="C50" s="66" t="s">
        <v>424</v>
      </c>
      <c r="D50" s="66">
        <v>150</v>
      </c>
      <c r="E50" s="7">
        <v>1507.8765000000001</v>
      </c>
      <c r="F50" s="7">
        <f t="shared" si="0"/>
        <v>0.10257383108066816</v>
      </c>
    </row>
    <row r="51" spans="1:6" x14ac:dyDescent="0.2">
      <c r="A51" s="66" t="s">
        <v>426</v>
      </c>
      <c r="B51" s="66" t="s">
        <v>712</v>
      </c>
      <c r="C51" s="66" t="s">
        <v>427</v>
      </c>
      <c r="D51" s="66">
        <v>150</v>
      </c>
      <c r="E51" s="7">
        <v>1499.8839</v>
      </c>
      <c r="F51" s="7">
        <f t="shared" si="0"/>
        <v>0.10203013164487527</v>
      </c>
    </row>
    <row r="52" spans="1:6" x14ac:dyDescent="0.2">
      <c r="A52" s="66" t="s">
        <v>1214</v>
      </c>
      <c r="B52" s="66" t="s">
        <v>1215</v>
      </c>
      <c r="C52" s="66" t="s">
        <v>421</v>
      </c>
      <c r="D52" s="66">
        <v>10</v>
      </c>
      <c r="E52" s="7">
        <v>999.76689520000002</v>
      </c>
      <c r="F52" s="7">
        <f t="shared" si="0"/>
        <v>6.8009495889277974E-2</v>
      </c>
    </row>
    <row r="53" spans="1:6" x14ac:dyDescent="0.2">
      <c r="A53" s="66" t="s">
        <v>1216</v>
      </c>
      <c r="B53" s="66" t="s">
        <v>1217</v>
      </c>
      <c r="C53" s="66" t="s">
        <v>424</v>
      </c>
      <c r="D53" s="66">
        <v>70</v>
      </c>
      <c r="E53" s="7">
        <v>677.2808</v>
      </c>
      <c r="F53" s="7">
        <f t="shared" si="0"/>
        <v>4.6072265449710097E-2</v>
      </c>
    </row>
    <row r="54" spans="1:6" x14ac:dyDescent="0.2">
      <c r="A54" s="66" t="s">
        <v>780</v>
      </c>
      <c r="B54" s="66" t="s">
        <v>781</v>
      </c>
      <c r="C54" s="66" t="s">
        <v>747</v>
      </c>
      <c r="D54" s="66">
        <v>61</v>
      </c>
      <c r="E54" s="7">
        <v>609.71635000000003</v>
      </c>
      <c r="F54" s="7">
        <f t="shared" si="0"/>
        <v>4.1476169893238296E-2</v>
      </c>
    </row>
    <row r="55" spans="1:6" x14ac:dyDescent="0.2">
      <c r="A55" s="66" t="s">
        <v>1218</v>
      </c>
      <c r="B55" s="66" t="s">
        <v>1219</v>
      </c>
      <c r="C55" s="66" t="s">
        <v>427</v>
      </c>
      <c r="D55" s="66">
        <v>50</v>
      </c>
      <c r="E55" s="7">
        <v>499.18</v>
      </c>
      <c r="F55" s="7">
        <f t="shared" si="0"/>
        <v>3.3956895673384342E-2</v>
      </c>
    </row>
    <row r="56" spans="1:6" x14ac:dyDescent="0.2">
      <c r="A56" s="66" t="s">
        <v>1220</v>
      </c>
      <c r="B56" s="66" t="s">
        <v>1221</v>
      </c>
      <c r="C56" s="66" t="s">
        <v>421</v>
      </c>
      <c r="D56" s="66">
        <v>50</v>
      </c>
      <c r="E56" s="7">
        <v>493.3845</v>
      </c>
      <c r="F56" s="7">
        <f t="shared" si="0"/>
        <v>3.3562654740504218E-2</v>
      </c>
    </row>
    <row r="57" spans="1:6" x14ac:dyDescent="0.2">
      <c r="A57" s="65" t="s">
        <v>39</v>
      </c>
      <c r="B57" s="66"/>
      <c r="C57" s="66"/>
      <c r="D57" s="66"/>
      <c r="E57" s="6">
        <f>SUM(E8:E56)</f>
        <v>468826.49447110016</v>
      </c>
      <c r="F57" s="6">
        <f>SUM(F8:F56)</f>
        <v>31.892087747252784</v>
      </c>
    </row>
    <row r="58" spans="1:6" x14ac:dyDescent="0.2">
      <c r="A58" s="66"/>
      <c r="B58" s="66"/>
      <c r="C58" s="66"/>
      <c r="D58" s="66"/>
      <c r="E58" s="7"/>
      <c r="F58" s="7"/>
    </row>
    <row r="59" spans="1:6" x14ac:dyDescent="0.2">
      <c r="A59" s="65" t="s">
        <v>822</v>
      </c>
      <c r="B59" s="66"/>
      <c r="C59" s="66"/>
      <c r="D59" s="66"/>
      <c r="E59" s="7"/>
      <c r="F59" s="7"/>
    </row>
    <row r="60" spans="1:6" x14ac:dyDescent="0.2">
      <c r="A60" s="66" t="s">
        <v>856</v>
      </c>
      <c r="B60" s="66" t="s">
        <v>857</v>
      </c>
      <c r="C60" s="66" t="s">
        <v>756</v>
      </c>
      <c r="D60" s="66">
        <v>6060</v>
      </c>
      <c r="E60" s="7">
        <v>58250.659200000002</v>
      </c>
      <c r="F60" s="7">
        <f t="shared" ref="F60:F102" si="1">E60/$E$152*100</f>
        <v>3.9625216502269036</v>
      </c>
    </row>
    <row r="61" spans="1:6" x14ac:dyDescent="0.2">
      <c r="A61" s="66" t="s">
        <v>1222</v>
      </c>
      <c r="B61" s="66" t="s">
        <v>1223</v>
      </c>
      <c r="C61" s="66" t="s">
        <v>830</v>
      </c>
      <c r="D61" s="66">
        <v>500</v>
      </c>
      <c r="E61" s="7">
        <v>53252.95</v>
      </c>
      <c r="F61" s="7">
        <f t="shared" si="1"/>
        <v>3.6225507180775525</v>
      </c>
    </row>
    <row r="62" spans="1:6" x14ac:dyDescent="0.2">
      <c r="A62" s="66" t="s">
        <v>1224</v>
      </c>
      <c r="B62" s="66" t="s">
        <v>1225</v>
      </c>
      <c r="C62" s="66" t="s">
        <v>1226</v>
      </c>
      <c r="D62" s="66">
        <v>400</v>
      </c>
      <c r="E62" s="7">
        <v>49159.68</v>
      </c>
      <c r="F62" s="7">
        <f t="shared" si="1"/>
        <v>3.3441045817079185</v>
      </c>
    </row>
    <row r="63" spans="1:6" x14ac:dyDescent="0.2">
      <c r="A63" s="66" t="s">
        <v>1227</v>
      </c>
      <c r="B63" s="66" t="s">
        <v>1228</v>
      </c>
      <c r="C63" s="66" t="s">
        <v>1229</v>
      </c>
      <c r="D63" s="66">
        <v>3500</v>
      </c>
      <c r="E63" s="7">
        <v>34997.512665499999</v>
      </c>
      <c r="F63" s="7">
        <f t="shared" si="1"/>
        <v>2.3807181505876249</v>
      </c>
    </row>
    <row r="64" spans="1:6" x14ac:dyDescent="0.2">
      <c r="A64" s="66" t="s">
        <v>1230</v>
      </c>
      <c r="B64" s="66" t="s">
        <v>1231</v>
      </c>
      <c r="C64" s="66" t="s">
        <v>1229</v>
      </c>
      <c r="D64" s="66">
        <v>3450</v>
      </c>
      <c r="E64" s="7">
        <v>34498.998999800002</v>
      </c>
      <c r="F64" s="7">
        <f t="shared" si="1"/>
        <v>2.3468065825401645</v>
      </c>
    </row>
    <row r="65" spans="1:6" x14ac:dyDescent="0.2">
      <c r="A65" s="66" t="s">
        <v>1232</v>
      </c>
      <c r="B65" s="66" t="s">
        <v>1233</v>
      </c>
      <c r="C65" s="66" t="s">
        <v>839</v>
      </c>
      <c r="D65" s="66">
        <v>32000</v>
      </c>
      <c r="E65" s="7">
        <v>32527.423999999999</v>
      </c>
      <c r="F65" s="7">
        <f t="shared" si="1"/>
        <v>2.2126894973595457</v>
      </c>
    </row>
    <row r="66" spans="1:6" x14ac:dyDescent="0.2">
      <c r="A66" s="66" t="s">
        <v>1234</v>
      </c>
      <c r="B66" s="66" t="s">
        <v>1235</v>
      </c>
      <c r="C66" s="66" t="s">
        <v>759</v>
      </c>
      <c r="D66" s="66">
        <v>2500</v>
      </c>
      <c r="E66" s="7">
        <v>25046.9</v>
      </c>
      <c r="F66" s="7">
        <f t="shared" si="1"/>
        <v>1.7038242121913745</v>
      </c>
    </row>
    <row r="67" spans="1:6" x14ac:dyDescent="0.2">
      <c r="A67" s="66" t="s">
        <v>1236</v>
      </c>
      <c r="B67" s="66" t="s">
        <v>1237</v>
      </c>
      <c r="C67" s="66" t="s">
        <v>1238</v>
      </c>
      <c r="D67" s="66">
        <v>2500</v>
      </c>
      <c r="E67" s="7">
        <v>24844.974999999999</v>
      </c>
      <c r="F67" s="7">
        <f t="shared" si="1"/>
        <v>1.6900881928018794</v>
      </c>
    </row>
    <row r="68" spans="1:6" x14ac:dyDescent="0.2">
      <c r="A68" s="66" t="s">
        <v>1239</v>
      </c>
      <c r="B68" s="66" t="s">
        <v>1240</v>
      </c>
      <c r="C68" s="66" t="s">
        <v>1238</v>
      </c>
      <c r="D68" s="66">
        <v>2500</v>
      </c>
      <c r="E68" s="7">
        <v>24785.35</v>
      </c>
      <c r="F68" s="7">
        <f t="shared" si="1"/>
        <v>1.6860321811336922</v>
      </c>
    </row>
    <row r="69" spans="1:6" x14ac:dyDescent="0.2">
      <c r="A69" s="66" t="s">
        <v>1241</v>
      </c>
      <c r="B69" s="66" t="s">
        <v>1242</v>
      </c>
      <c r="C69" s="66" t="s">
        <v>1243</v>
      </c>
      <c r="D69" s="66">
        <v>208</v>
      </c>
      <c r="E69" s="7">
        <v>24414.2912</v>
      </c>
      <c r="F69" s="7">
        <f t="shared" si="1"/>
        <v>1.660790775307555</v>
      </c>
    </row>
    <row r="70" spans="1:6" x14ac:dyDescent="0.2">
      <c r="A70" s="66" t="s">
        <v>1244</v>
      </c>
      <c r="B70" s="66" t="s">
        <v>1245</v>
      </c>
      <c r="C70" s="66" t="s">
        <v>1229</v>
      </c>
      <c r="D70" s="66">
        <v>2350</v>
      </c>
      <c r="E70" s="7">
        <v>23496.271332600001</v>
      </c>
      <c r="F70" s="7">
        <f t="shared" si="1"/>
        <v>1.5983421498349883</v>
      </c>
    </row>
    <row r="71" spans="1:6" x14ac:dyDescent="0.2">
      <c r="A71" s="66" t="s">
        <v>1246</v>
      </c>
      <c r="B71" s="66" t="s">
        <v>1247</v>
      </c>
      <c r="C71" s="66" t="s">
        <v>759</v>
      </c>
      <c r="D71" s="66">
        <v>2350</v>
      </c>
      <c r="E71" s="7">
        <v>23237.340499999998</v>
      </c>
      <c r="F71" s="7">
        <f t="shared" si="1"/>
        <v>1.5807282885640626</v>
      </c>
    </row>
    <row r="72" spans="1:6" x14ac:dyDescent="0.2">
      <c r="A72" s="66" t="s">
        <v>1248</v>
      </c>
      <c r="B72" s="66" t="s">
        <v>1249</v>
      </c>
      <c r="C72" s="66" t="s">
        <v>753</v>
      </c>
      <c r="D72" s="66">
        <v>1676</v>
      </c>
      <c r="E72" s="7">
        <v>18611.09172</v>
      </c>
      <c r="F72" s="7">
        <f t="shared" si="1"/>
        <v>1.2660260825830907</v>
      </c>
    </row>
    <row r="73" spans="1:6" x14ac:dyDescent="0.2">
      <c r="A73" s="66" t="s">
        <v>1250</v>
      </c>
      <c r="B73" s="66" t="s">
        <v>1251</v>
      </c>
      <c r="C73" s="66" t="s">
        <v>839</v>
      </c>
      <c r="D73" s="66">
        <v>15000</v>
      </c>
      <c r="E73" s="7">
        <v>15017.655000000001</v>
      </c>
      <c r="F73" s="7">
        <f t="shared" si="1"/>
        <v>1.0215812814894001</v>
      </c>
    </row>
    <row r="74" spans="1:6" x14ac:dyDescent="0.2">
      <c r="A74" s="66" t="s">
        <v>1252</v>
      </c>
      <c r="B74" s="66" t="s">
        <v>1253</v>
      </c>
      <c r="C74" s="66" t="s">
        <v>1229</v>
      </c>
      <c r="D74" s="66">
        <v>1500</v>
      </c>
      <c r="E74" s="7">
        <v>14998.5342495</v>
      </c>
      <c r="F74" s="7">
        <f t="shared" si="1"/>
        <v>1.0202805856884358</v>
      </c>
    </row>
    <row r="75" spans="1:6" x14ac:dyDescent="0.2">
      <c r="A75" s="66" t="s">
        <v>1254</v>
      </c>
      <c r="B75" s="66" t="s">
        <v>1255</v>
      </c>
      <c r="C75" s="66" t="s">
        <v>1238</v>
      </c>
      <c r="D75" s="66">
        <v>100</v>
      </c>
      <c r="E75" s="7">
        <v>14155.9781</v>
      </c>
      <c r="F75" s="7">
        <f t="shared" si="1"/>
        <v>0.96296540625909199</v>
      </c>
    </row>
    <row r="76" spans="1:6" x14ac:dyDescent="0.2">
      <c r="A76" s="66" t="s">
        <v>1256</v>
      </c>
      <c r="B76" s="66" t="s">
        <v>1257</v>
      </c>
      <c r="C76" s="66" t="s">
        <v>756</v>
      </c>
      <c r="D76" s="66">
        <v>1300</v>
      </c>
      <c r="E76" s="7">
        <v>12809.16</v>
      </c>
      <c r="F76" s="7">
        <f t="shared" si="1"/>
        <v>0.87134762968005086</v>
      </c>
    </row>
    <row r="77" spans="1:6" x14ac:dyDescent="0.2">
      <c r="A77" s="66" t="s">
        <v>1258</v>
      </c>
      <c r="B77" s="66" t="s">
        <v>1259</v>
      </c>
      <c r="C77" s="66" t="s">
        <v>1260</v>
      </c>
      <c r="D77" s="66">
        <v>780</v>
      </c>
      <c r="E77" s="7">
        <v>12772.734</v>
      </c>
      <c r="F77" s="7">
        <f t="shared" si="1"/>
        <v>0.86886973817438418</v>
      </c>
    </row>
    <row r="78" spans="1:6" x14ac:dyDescent="0.2">
      <c r="A78" s="66" t="s">
        <v>879</v>
      </c>
      <c r="B78" s="66" t="s">
        <v>880</v>
      </c>
      <c r="C78" s="66" t="s">
        <v>791</v>
      </c>
      <c r="D78" s="66">
        <v>1000</v>
      </c>
      <c r="E78" s="7">
        <v>11903.9</v>
      </c>
      <c r="F78" s="7">
        <f t="shared" si="1"/>
        <v>0.80976699869065238</v>
      </c>
    </row>
    <row r="79" spans="1:6" x14ac:dyDescent="0.2">
      <c r="A79" s="66" t="s">
        <v>1261</v>
      </c>
      <c r="B79" s="66" t="s">
        <v>1262</v>
      </c>
      <c r="C79" s="66" t="s">
        <v>791</v>
      </c>
      <c r="D79" s="66">
        <v>1190</v>
      </c>
      <c r="E79" s="7">
        <v>11545.427600000001</v>
      </c>
      <c r="F79" s="7">
        <f t="shared" si="1"/>
        <v>0.78538178716657769</v>
      </c>
    </row>
    <row r="80" spans="1:6" x14ac:dyDescent="0.2">
      <c r="A80" s="66" t="s">
        <v>1263</v>
      </c>
      <c r="B80" s="66" t="s">
        <v>1264</v>
      </c>
      <c r="C80" s="66" t="s">
        <v>750</v>
      </c>
      <c r="D80" s="66">
        <v>1000</v>
      </c>
      <c r="E80" s="7">
        <v>11061.89961</v>
      </c>
      <c r="F80" s="7">
        <f t="shared" si="1"/>
        <v>0.75248962499743766</v>
      </c>
    </row>
    <row r="81" spans="1:6" x14ac:dyDescent="0.2">
      <c r="A81" s="66" t="s">
        <v>1265</v>
      </c>
      <c r="B81" s="66" t="s">
        <v>1266</v>
      </c>
      <c r="C81" s="66" t="s">
        <v>759</v>
      </c>
      <c r="D81" s="66">
        <v>1000</v>
      </c>
      <c r="E81" s="7">
        <v>10035.700000000001</v>
      </c>
      <c r="F81" s="7">
        <f t="shared" si="1"/>
        <v>0.68268203435510899</v>
      </c>
    </row>
    <row r="82" spans="1:6" x14ac:dyDescent="0.2">
      <c r="A82" s="66" t="s">
        <v>1267</v>
      </c>
      <c r="B82" s="66" t="s">
        <v>1268</v>
      </c>
      <c r="C82" s="66" t="s">
        <v>759</v>
      </c>
      <c r="D82" s="66">
        <v>1000</v>
      </c>
      <c r="E82" s="7">
        <v>10027.82</v>
      </c>
      <c r="F82" s="7">
        <f t="shared" si="1"/>
        <v>0.68214599457405534</v>
      </c>
    </row>
    <row r="83" spans="1:6" x14ac:dyDescent="0.2">
      <c r="A83" s="66" t="s">
        <v>1269</v>
      </c>
      <c r="B83" s="66" t="s">
        <v>1270</v>
      </c>
      <c r="C83" s="66" t="s">
        <v>759</v>
      </c>
      <c r="D83" s="66">
        <v>1000</v>
      </c>
      <c r="E83" s="7">
        <v>10025.219999999999</v>
      </c>
      <c r="F83" s="7">
        <f t="shared" si="1"/>
        <v>0.68196912865644888</v>
      </c>
    </row>
    <row r="84" spans="1:6" x14ac:dyDescent="0.2">
      <c r="A84" s="66" t="s">
        <v>1271</v>
      </c>
      <c r="B84" s="66" t="s">
        <v>1272</v>
      </c>
      <c r="C84" s="66" t="s">
        <v>759</v>
      </c>
      <c r="D84" s="66">
        <v>1000</v>
      </c>
      <c r="E84" s="7">
        <v>10021.15</v>
      </c>
      <c r="F84" s="7">
        <f t="shared" si="1"/>
        <v>0.6816922654700418</v>
      </c>
    </row>
    <row r="85" spans="1:6" x14ac:dyDescent="0.2">
      <c r="A85" s="66" t="s">
        <v>1273</v>
      </c>
      <c r="B85" s="66" t="s">
        <v>1274</v>
      </c>
      <c r="C85" s="66" t="s">
        <v>839</v>
      </c>
      <c r="D85" s="66">
        <v>10000</v>
      </c>
      <c r="E85" s="7">
        <v>9999.8491599999998</v>
      </c>
      <c r="F85" s="7">
        <f t="shared" si="1"/>
        <v>0.68024326831143089</v>
      </c>
    </row>
    <row r="86" spans="1:6" x14ac:dyDescent="0.2">
      <c r="A86" s="66" t="s">
        <v>1275</v>
      </c>
      <c r="B86" s="66" t="s">
        <v>1276</v>
      </c>
      <c r="C86" s="66" t="s">
        <v>839</v>
      </c>
      <c r="D86" s="66">
        <v>1000</v>
      </c>
      <c r="E86" s="7">
        <v>9871.0499999999993</v>
      </c>
      <c r="F86" s="7">
        <f t="shared" si="1"/>
        <v>0.67148165999591425</v>
      </c>
    </row>
    <row r="87" spans="1:6" x14ac:dyDescent="0.2">
      <c r="A87" s="66" t="s">
        <v>1277</v>
      </c>
      <c r="B87" s="66" t="s">
        <v>1278</v>
      </c>
      <c r="C87" s="66" t="s">
        <v>1238</v>
      </c>
      <c r="D87" s="66">
        <v>950</v>
      </c>
      <c r="E87" s="7">
        <v>9407.6695</v>
      </c>
      <c r="F87" s="7">
        <f t="shared" si="1"/>
        <v>0.63996003794458878</v>
      </c>
    </row>
    <row r="88" spans="1:6" x14ac:dyDescent="0.2">
      <c r="A88" s="66" t="s">
        <v>1279</v>
      </c>
      <c r="B88" s="66" t="s">
        <v>1280</v>
      </c>
      <c r="C88" s="66" t="s">
        <v>851</v>
      </c>
      <c r="D88" s="66">
        <v>950</v>
      </c>
      <c r="E88" s="7">
        <v>9353.6620000000003</v>
      </c>
      <c r="F88" s="7">
        <f t="shared" si="1"/>
        <v>0.63628615869646132</v>
      </c>
    </row>
    <row r="89" spans="1:6" x14ac:dyDescent="0.2">
      <c r="A89" s="66" t="s">
        <v>1281</v>
      </c>
      <c r="B89" s="66" t="s">
        <v>1282</v>
      </c>
      <c r="C89" s="66" t="s">
        <v>1229</v>
      </c>
      <c r="D89" s="66">
        <v>875</v>
      </c>
      <c r="E89" s="7">
        <v>9067.7847208000003</v>
      </c>
      <c r="F89" s="7">
        <f t="shared" si="1"/>
        <v>0.6168392558854805</v>
      </c>
    </row>
    <row r="90" spans="1:6" x14ac:dyDescent="0.2">
      <c r="A90" s="66" t="s">
        <v>1283</v>
      </c>
      <c r="B90" s="66" t="s">
        <v>1284</v>
      </c>
      <c r="C90" s="66" t="s">
        <v>759</v>
      </c>
      <c r="D90" s="66">
        <v>900</v>
      </c>
      <c r="E90" s="7">
        <v>9029.1869999999999</v>
      </c>
      <c r="F90" s="7">
        <f t="shared" si="1"/>
        <v>0.61421363230593806</v>
      </c>
    </row>
    <row r="91" spans="1:6" x14ac:dyDescent="0.2">
      <c r="A91" s="66" t="s">
        <v>1285</v>
      </c>
      <c r="B91" s="66" t="s">
        <v>1286</v>
      </c>
      <c r="C91" s="66" t="s">
        <v>791</v>
      </c>
      <c r="D91" s="66">
        <v>650</v>
      </c>
      <c r="E91" s="7">
        <v>8734.1280000000006</v>
      </c>
      <c r="F91" s="7">
        <f t="shared" si="1"/>
        <v>0.5941421396970733</v>
      </c>
    </row>
    <row r="92" spans="1:6" x14ac:dyDescent="0.2">
      <c r="A92" s="66" t="s">
        <v>1287</v>
      </c>
      <c r="B92" s="66" t="s">
        <v>1288</v>
      </c>
      <c r="C92" s="66" t="s">
        <v>791</v>
      </c>
      <c r="D92" s="66">
        <v>700</v>
      </c>
      <c r="E92" s="7">
        <v>8379.5110000000004</v>
      </c>
      <c r="F92" s="7">
        <f t="shared" si="1"/>
        <v>0.57001919311866767</v>
      </c>
    </row>
    <row r="93" spans="1:6" x14ac:dyDescent="0.2">
      <c r="A93" s="66" t="s">
        <v>1289</v>
      </c>
      <c r="B93" s="66" t="s">
        <v>1290</v>
      </c>
      <c r="C93" s="66" t="s">
        <v>842</v>
      </c>
      <c r="D93" s="66">
        <v>650</v>
      </c>
      <c r="E93" s="7">
        <v>6495.1315000000004</v>
      </c>
      <c r="F93" s="7">
        <f t="shared" si="1"/>
        <v>0.44183361258546489</v>
      </c>
    </row>
    <row r="94" spans="1:6" x14ac:dyDescent="0.2">
      <c r="A94" s="66" t="s">
        <v>1291</v>
      </c>
      <c r="B94" s="66" t="s">
        <v>1292</v>
      </c>
      <c r="C94" s="66" t="s">
        <v>851</v>
      </c>
      <c r="D94" s="66">
        <v>600</v>
      </c>
      <c r="E94" s="7">
        <v>6001.2780000000002</v>
      </c>
      <c r="F94" s="7">
        <f t="shared" si="1"/>
        <v>0.40823905395443855</v>
      </c>
    </row>
    <row r="95" spans="1:6" x14ac:dyDescent="0.2">
      <c r="A95" s="66" t="s">
        <v>1293</v>
      </c>
      <c r="B95" s="66" t="s">
        <v>1294</v>
      </c>
      <c r="C95" s="66" t="s">
        <v>830</v>
      </c>
      <c r="D95" s="66">
        <v>290</v>
      </c>
      <c r="E95" s="7">
        <v>4151.9752037999997</v>
      </c>
      <c r="F95" s="7">
        <f t="shared" si="1"/>
        <v>0.28243957857669638</v>
      </c>
    </row>
    <row r="96" spans="1:6" x14ac:dyDescent="0.2">
      <c r="A96" s="66" t="s">
        <v>1295</v>
      </c>
      <c r="B96" s="66" t="s">
        <v>1296</v>
      </c>
      <c r="C96" s="66" t="s">
        <v>830</v>
      </c>
      <c r="D96" s="66">
        <v>285</v>
      </c>
      <c r="E96" s="7">
        <v>4072.3649999999998</v>
      </c>
      <c r="F96" s="7">
        <f t="shared" si="1"/>
        <v>0.27702406636672505</v>
      </c>
    </row>
    <row r="97" spans="1:10" x14ac:dyDescent="0.2">
      <c r="A97" s="66" t="s">
        <v>1297</v>
      </c>
      <c r="B97" s="66" t="s">
        <v>1298</v>
      </c>
      <c r="C97" s="66" t="s">
        <v>830</v>
      </c>
      <c r="D97" s="66">
        <v>278</v>
      </c>
      <c r="E97" s="7">
        <v>3961.7224000000001</v>
      </c>
      <c r="F97" s="7">
        <f t="shared" si="1"/>
        <v>0.26949756445312278</v>
      </c>
    </row>
    <row r="98" spans="1:10" x14ac:dyDescent="0.2">
      <c r="A98" s="66" t="s">
        <v>1299</v>
      </c>
      <c r="B98" s="66" t="s">
        <v>1300</v>
      </c>
      <c r="C98" s="66" t="s">
        <v>830</v>
      </c>
      <c r="D98" s="66">
        <v>270</v>
      </c>
      <c r="E98" s="7">
        <v>3845.3049000000001</v>
      </c>
      <c r="F98" s="7">
        <f t="shared" si="1"/>
        <v>0.26157822292891064</v>
      </c>
    </row>
    <row r="99" spans="1:10" x14ac:dyDescent="0.2">
      <c r="A99" s="66" t="s">
        <v>1301</v>
      </c>
      <c r="B99" s="66" t="s">
        <v>1302</v>
      </c>
      <c r="C99" s="66" t="s">
        <v>1238</v>
      </c>
      <c r="D99" s="66">
        <v>300</v>
      </c>
      <c r="E99" s="7">
        <v>2977.9560000000001</v>
      </c>
      <c r="F99" s="7">
        <f t="shared" si="1"/>
        <v>0.20257650789680864</v>
      </c>
    </row>
    <row r="100" spans="1:10" x14ac:dyDescent="0.2">
      <c r="A100" s="66" t="s">
        <v>1303</v>
      </c>
      <c r="B100" s="66" t="s">
        <v>1304</v>
      </c>
      <c r="C100" s="66" t="s">
        <v>851</v>
      </c>
      <c r="D100" s="66">
        <v>587</v>
      </c>
      <c r="E100" s="7">
        <v>2936.8490499999998</v>
      </c>
      <c r="F100" s="7">
        <f t="shared" si="1"/>
        <v>0.19978019311536502</v>
      </c>
    </row>
    <row r="101" spans="1:10" x14ac:dyDescent="0.2">
      <c r="A101" s="66" t="s">
        <v>1305</v>
      </c>
      <c r="B101" s="66" t="s">
        <v>1306</v>
      </c>
      <c r="C101" s="66" t="s">
        <v>851</v>
      </c>
      <c r="D101" s="66">
        <v>100</v>
      </c>
      <c r="E101" s="7">
        <v>985.05100000000004</v>
      </c>
      <c r="F101" s="7">
        <f t="shared" si="1"/>
        <v>6.7008441924682319E-2</v>
      </c>
    </row>
    <row r="102" spans="1:10" x14ac:dyDescent="0.2">
      <c r="A102" s="66" t="s">
        <v>1307</v>
      </c>
      <c r="B102" s="66" t="s">
        <v>1308</v>
      </c>
      <c r="C102" s="66" t="s">
        <v>799</v>
      </c>
      <c r="D102" s="66">
        <v>7</v>
      </c>
      <c r="E102" s="7">
        <v>806.88160000000005</v>
      </c>
      <c r="F102" s="7">
        <f t="shared" si="1"/>
        <v>5.4888405609145874E-2</v>
      </c>
    </row>
    <row r="103" spans="1:10" x14ac:dyDescent="0.2">
      <c r="A103" s="65" t="s">
        <v>39</v>
      </c>
      <c r="B103" s="66"/>
      <c r="C103" s="66"/>
      <c r="D103" s="66"/>
      <c r="E103" s="6">
        <f>SUM(E60:E102)</f>
        <v>681575.97921199992</v>
      </c>
      <c r="F103" s="6">
        <f>SUM(F60:F102)</f>
        <v>46.36444653148498</v>
      </c>
      <c r="I103" s="1"/>
      <c r="J103" s="1"/>
    </row>
    <row r="104" spans="1:10" x14ac:dyDescent="0.2">
      <c r="A104" s="66"/>
      <c r="B104" s="66"/>
      <c r="C104" s="66"/>
      <c r="D104" s="66"/>
      <c r="E104" s="7"/>
      <c r="F104" s="7"/>
    </row>
    <row r="105" spans="1:10" x14ac:dyDescent="0.2">
      <c r="A105" s="65" t="s">
        <v>702</v>
      </c>
      <c r="B105" s="66"/>
      <c r="C105" s="66"/>
      <c r="D105" s="66"/>
      <c r="E105" s="7"/>
      <c r="F105" s="7"/>
    </row>
    <row r="106" spans="1:10" x14ac:dyDescent="0.2">
      <c r="A106" s="65" t="s">
        <v>1309</v>
      </c>
      <c r="B106" s="66"/>
      <c r="C106" s="66"/>
      <c r="D106" s="66"/>
      <c r="E106" s="7"/>
      <c r="F106" s="7"/>
    </row>
    <row r="107" spans="1:10" x14ac:dyDescent="0.2">
      <c r="A107" s="66" t="s">
        <v>1310</v>
      </c>
      <c r="B107" s="66" t="s">
        <v>1311</v>
      </c>
      <c r="C107" s="66" t="s">
        <v>1312</v>
      </c>
      <c r="D107" s="66">
        <v>25000</v>
      </c>
      <c r="E107" s="7">
        <v>24523.275000000001</v>
      </c>
      <c r="F107" s="7">
        <f t="shared" ref="F107:F117" si="2">E107/$E$152*100</f>
        <v>1.6682044367657249</v>
      </c>
    </row>
    <row r="108" spans="1:10" x14ac:dyDescent="0.2">
      <c r="A108" s="66" t="s">
        <v>1313</v>
      </c>
      <c r="B108" s="66" t="s">
        <v>1314</v>
      </c>
      <c r="C108" s="66" t="s">
        <v>1312</v>
      </c>
      <c r="D108" s="66">
        <v>17500</v>
      </c>
      <c r="E108" s="7">
        <v>17490.654999999999</v>
      </c>
      <c r="F108" s="7">
        <f t="shared" si="2"/>
        <v>1.1898079792743261</v>
      </c>
    </row>
    <row r="109" spans="1:10" x14ac:dyDescent="0.2">
      <c r="A109" s="66" t="s">
        <v>1315</v>
      </c>
      <c r="B109" s="66" t="s">
        <v>1316</v>
      </c>
      <c r="C109" s="66" t="s">
        <v>706</v>
      </c>
      <c r="D109" s="66">
        <v>15000</v>
      </c>
      <c r="E109" s="7">
        <v>14933.19</v>
      </c>
      <c r="F109" s="7">
        <f t="shared" si="2"/>
        <v>1.0158355200545421</v>
      </c>
    </row>
    <row r="110" spans="1:10" x14ac:dyDescent="0.2">
      <c r="A110" s="66" t="s">
        <v>1317</v>
      </c>
      <c r="B110" s="66" t="s">
        <v>1318</v>
      </c>
      <c r="C110" s="66" t="s">
        <v>706</v>
      </c>
      <c r="D110" s="66">
        <v>8500</v>
      </c>
      <c r="E110" s="7">
        <v>8455.5874999999996</v>
      </c>
      <c r="F110" s="7">
        <f t="shared" si="2"/>
        <v>0.57519432388050939</v>
      </c>
    </row>
    <row r="111" spans="1:10" x14ac:dyDescent="0.2">
      <c r="A111" s="66" t="s">
        <v>1319</v>
      </c>
      <c r="B111" s="66" t="s">
        <v>1320</v>
      </c>
      <c r="C111" s="66" t="s">
        <v>706</v>
      </c>
      <c r="D111" s="66">
        <v>8100</v>
      </c>
      <c r="E111" s="7">
        <v>7947.7038000000002</v>
      </c>
      <c r="F111" s="7">
        <f t="shared" si="2"/>
        <v>0.540645355942867</v>
      </c>
    </row>
    <row r="112" spans="1:10" x14ac:dyDescent="0.2">
      <c r="A112" s="66" t="s">
        <v>1321</v>
      </c>
      <c r="B112" s="66" t="s">
        <v>1322</v>
      </c>
      <c r="C112" s="66" t="s">
        <v>1312</v>
      </c>
      <c r="D112" s="66">
        <v>7500</v>
      </c>
      <c r="E112" s="7">
        <v>7466.5950000000003</v>
      </c>
      <c r="F112" s="7">
        <f t="shared" si="2"/>
        <v>0.50791776002727107</v>
      </c>
    </row>
    <row r="113" spans="1:10" x14ac:dyDescent="0.2">
      <c r="A113" s="66" t="s">
        <v>1323</v>
      </c>
      <c r="B113" s="66" t="s">
        <v>1324</v>
      </c>
      <c r="C113" s="66" t="s">
        <v>1312</v>
      </c>
      <c r="D113" s="66">
        <v>5000</v>
      </c>
      <c r="E113" s="7">
        <v>4927.8999999999996</v>
      </c>
      <c r="F113" s="7">
        <f t="shared" si="2"/>
        <v>0.33522213668189971</v>
      </c>
    </row>
    <row r="114" spans="1:10" x14ac:dyDescent="0.2">
      <c r="A114" s="66" t="s">
        <v>1325</v>
      </c>
      <c r="B114" s="66" t="s">
        <v>1326</v>
      </c>
      <c r="C114" s="66" t="s">
        <v>1312</v>
      </c>
      <c r="D114" s="66">
        <v>2300</v>
      </c>
      <c r="E114" s="7">
        <v>2275.9005999999999</v>
      </c>
      <c r="F114" s="7">
        <f t="shared" si="2"/>
        <v>0.15481894153850881</v>
      </c>
    </row>
    <row r="115" spans="1:10" x14ac:dyDescent="0.2">
      <c r="A115" s="66" t="s">
        <v>1327</v>
      </c>
      <c r="B115" s="66" t="s">
        <v>1328</v>
      </c>
      <c r="C115" s="66" t="s">
        <v>706</v>
      </c>
      <c r="D115" s="66">
        <v>400</v>
      </c>
      <c r="E115" s="7">
        <v>400.03680000000003</v>
      </c>
      <c r="F115" s="7">
        <f t="shared" si="2"/>
        <v>2.7212644503214312E-2</v>
      </c>
    </row>
    <row r="116" spans="1:10" x14ac:dyDescent="0.2">
      <c r="A116" s="66" t="s">
        <v>1329</v>
      </c>
      <c r="B116" s="66" t="s">
        <v>1330</v>
      </c>
      <c r="C116" s="66" t="s">
        <v>1312</v>
      </c>
      <c r="D116" s="66">
        <v>300</v>
      </c>
      <c r="E116" s="7">
        <v>299.50799999999998</v>
      </c>
      <c r="F116" s="7">
        <f t="shared" si="2"/>
        <v>2.0374137404030605E-2</v>
      </c>
    </row>
    <row r="117" spans="1:10" x14ac:dyDescent="0.2">
      <c r="A117" s="66" t="s">
        <v>1331</v>
      </c>
      <c r="B117" s="66" t="s">
        <v>1332</v>
      </c>
      <c r="C117" s="66" t="s">
        <v>1312</v>
      </c>
      <c r="D117" s="66">
        <v>300</v>
      </c>
      <c r="E117" s="7">
        <v>294.02820000000003</v>
      </c>
      <c r="F117" s="7">
        <f t="shared" si="2"/>
        <v>2.0001372075069086E-2</v>
      </c>
    </row>
    <row r="118" spans="1:10" x14ac:dyDescent="0.2">
      <c r="A118" s="65" t="s">
        <v>39</v>
      </c>
      <c r="B118" s="66"/>
      <c r="C118" s="66"/>
      <c r="D118" s="66"/>
      <c r="E118" s="6">
        <f>SUM(E107:E117)</f>
        <v>89014.3799</v>
      </c>
      <c r="F118" s="6">
        <f>SUM(F107:F117)</f>
        <v>6.0552346081479627</v>
      </c>
      <c r="I118" s="70"/>
      <c r="J118" s="70"/>
    </row>
    <row r="119" spans="1:10" x14ac:dyDescent="0.2">
      <c r="A119" s="66"/>
      <c r="B119" s="66"/>
      <c r="C119" s="66"/>
      <c r="D119" s="66"/>
      <c r="E119" s="7"/>
      <c r="F119" s="7"/>
    </row>
    <row r="120" spans="1:10" x14ac:dyDescent="0.2">
      <c r="A120" s="65" t="s">
        <v>703</v>
      </c>
      <c r="B120" s="66"/>
      <c r="C120" s="66"/>
      <c r="D120" s="66"/>
      <c r="E120" s="7"/>
      <c r="F120" s="7"/>
    </row>
    <row r="121" spans="1:10" x14ac:dyDescent="0.2">
      <c r="A121" s="66" t="s">
        <v>1333</v>
      </c>
      <c r="B121" s="66" t="s">
        <v>1334</v>
      </c>
      <c r="C121" s="66" t="s">
        <v>706</v>
      </c>
      <c r="D121" s="66">
        <v>8000</v>
      </c>
      <c r="E121" s="7">
        <v>39962.519999999997</v>
      </c>
      <c r="F121" s="7">
        <f t="shared" ref="F121:F144" si="3">E121/$E$152*100</f>
        <v>2.7184645267950143</v>
      </c>
    </row>
    <row r="122" spans="1:10" x14ac:dyDescent="0.2">
      <c r="A122" s="66" t="s">
        <v>1335</v>
      </c>
      <c r="B122" s="66" t="s">
        <v>1336</v>
      </c>
      <c r="C122" s="66" t="s">
        <v>1337</v>
      </c>
      <c r="D122" s="66">
        <v>4400</v>
      </c>
      <c r="E122" s="7">
        <v>21942.887999999999</v>
      </c>
      <c r="F122" s="7">
        <f t="shared" si="3"/>
        <v>1.4926727004061806</v>
      </c>
    </row>
    <row r="123" spans="1:10" x14ac:dyDescent="0.2">
      <c r="A123" s="66" t="s">
        <v>1338</v>
      </c>
      <c r="B123" s="66" t="s">
        <v>1339</v>
      </c>
      <c r="C123" s="66" t="s">
        <v>1312</v>
      </c>
      <c r="D123" s="66">
        <v>4000</v>
      </c>
      <c r="E123" s="7">
        <v>19595.240000000002</v>
      </c>
      <c r="F123" s="7">
        <f t="shared" si="3"/>
        <v>1.33297311666118</v>
      </c>
    </row>
    <row r="124" spans="1:10" x14ac:dyDescent="0.2">
      <c r="A124" s="66" t="s">
        <v>1340</v>
      </c>
      <c r="B124" s="66" t="s">
        <v>1341</v>
      </c>
      <c r="C124" s="66" t="s">
        <v>1312</v>
      </c>
      <c r="D124" s="66">
        <v>3700</v>
      </c>
      <c r="E124" s="7">
        <v>18489.788</v>
      </c>
      <c r="F124" s="7">
        <f t="shared" si="3"/>
        <v>1.2577743542189066</v>
      </c>
    </row>
    <row r="125" spans="1:10" x14ac:dyDescent="0.2">
      <c r="A125" s="66" t="s">
        <v>1342</v>
      </c>
      <c r="B125" s="66" t="s">
        <v>1343</v>
      </c>
      <c r="C125" s="66" t="s">
        <v>706</v>
      </c>
      <c r="D125" s="66">
        <v>3000</v>
      </c>
      <c r="E125" s="7">
        <v>14773.844999999999</v>
      </c>
      <c r="F125" s="7">
        <f t="shared" si="3"/>
        <v>1.0049960201926178</v>
      </c>
    </row>
    <row r="126" spans="1:10" x14ac:dyDescent="0.2">
      <c r="A126" s="66" t="s">
        <v>1344</v>
      </c>
      <c r="B126" s="66" t="s">
        <v>1345</v>
      </c>
      <c r="C126" s="66" t="s">
        <v>1312</v>
      </c>
      <c r="D126" s="66">
        <v>3000</v>
      </c>
      <c r="E126" s="7">
        <v>14722.424999999999</v>
      </c>
      <c r="F126" s="7">
        <f t="shared" si="3"/>
        <v>1.001498156545185</v>
      </c>
    </row>
    <row r="127" spans="1:10" x14ac:dyDescent="0.2">
      <c r="A127" s="66" t="s">
        <v>1346</v>
      </c>
      <c r="B127" s="66" t="s">
        <v>1347</v>
      </c>
      <c r="C127" s="66" t="s">
        <v>1312</v>
      </c>
      <c r="D127" s="66">
        <v>2500</v>
      </c>
      <c r="E127" s="7">
        <v>12343.8</v>
      </c>
      <c r="F127" s="7">
        <f t="shared" si="3"/>
        <v>0.83969135144260909</v>
      </c>
    </row>
    <row r="128" spans="1:10" x14ac:dyDescent="0.2">
      <c r="A128" s="66" t="s">
        <v>1348</v>
      </c>
      <c r="B128" s="66" t="s">
        <v>1349</v>
      </c>
      <c r="C128" s="66" t="s">
        <v>1312</v>
      </c>
      <c r="D128" s="66">
        <v>1000</v>
      </c>
      <c r="E128" s="7">
        <v>4989.1499999999996</v>
      </c>
      <c r="F128" s="7">
        <f t="shared" si="3"/>
        <v>0.33938868954859064</v>
      </c>
    </row>
    <row r="129" spans="1:6" x14ac:dyDescent="0.2">
      <c r="A129" s="66" t="s">
        <v>1350</v>
      </c>
      <c r="B129" s="66" t="s">
        <v>1351</v>
      </c>
      <c r="C129" s="66" t="s">
        <v>1352</v>
      </c>
      <c r="D129" s="66">
        <v>1000</v>
      </c>
      <c r="E129" s="7">
        <v>4743.8900000000003</v>
      </c>
      <c r="F129" s="7">
        <f t="shared" si="3"/>
        <v>0.32270479149006626</v>
      </c>
    </row>
    <row r="130" spans="1:6" x14ac:dyDescent="0.2">
      <c r="A130" s="66" t="s">
        <v>1353</v>
      </c>
      <c r="B130" s="66" t="s">
        <v>1354</v>
      </c>
      <c r="C130" s="66" t="s">
        <v>1355</v>
      </c>
      <c r="D130" s="66">
        <v>1000</v>
      </c>
      <c r="E130" s="7">
        <v>4718.8850000000002</v>
      </c>
      <c r="F130" s="7">
        <f t="shared" si="3"/>
        <v>0.32100381754016244</v>
      </c>
    </row>
    <row r="131" spans="1:6" x14ac:dyDescent="0.2">
      <c r="A131" s="66" t="s">
        <v>1356</v>
      </c>
      <c r="B131" s="66" t="s">
        <v>1357</v>
      </c>
      <c r="C131" s="66" t="s">
        <v>1355</v>
      </c>
      <c r="D131" s="66">
        <v>1000</v>
      </c>
      <c r="E131" s="7">
        <v>4716.125</v>
      </c>
      <c r="F131" s="7">
        <f t="shared" si="3"/>
        <v>0.32081606756608788</v>
      </c>
    </row>
    <row r="132" spans="1:6" x14ac:dyDescent="0.2">
      <c r="A132" s="66" t="s">
        <v>1358</v>
      </c>
      <c r="B132" s="66" t="s">
        <v>1359</v>
      </c>
      <c r="C132" s="66" t="s">
        <v>1352</v>
      </c>
      <c r="D132" s="66">
        <v>700</v>
      </c>
      <c r="E132" s="7">
        <v>3329.5464999999999</v>
      </c>
      <c r="F132" s="7">
        <f t="shared" si="3"/>
        <v>0.22649357574458509</v>
      </c>
    </row>
    <row r="133" spans="1:6" x14ac:dyDescent="0.2">
      <c r="A133" s="66" t="s">
        <v>1360</v>
      </c>
      <c r="B133" s="66" t="s">
        <v>1361</v>
      </c>
      <c r="C133" s="66" t="s">
        <v>1355</v>
      </c>
      <c r="D133" s="66">
        <v>600</v>
      </c>
      <c r="E133" s="7">
        <v>2936.9969999999998</v>
      </c>
      <c r="F133" s="7">
        <f t="shared" si="3"/>
        <v>0.19979025746633036</v>
      </c>
    </row>
    <row r="134" spans="1:6" x14ac:dyDescent="0.2">
      <c r="A134" s="66" t="s">
        <v>1362</v>
      </c>
      <c r="B134" s="66" t="s">
        <v>1363</v>
      </c>
      <c r="C134" s="66" t="s">
        <v>1355</v>
      </c>
      <c r="D134" s="66">
        <v>600</v>
      </c>
      <c r="E134" s="7">
        <v>2927.337</v>
      </c>
      <c r="F134" s="7">
        <f t="shared" si="3"/>
        <v>0.19913313255706938</v>
      </c>
    </row>
    <row r="135" spans="1:6" x14ac:dyDescent="0.2">
      <c r="A135" s="66" t="s">
        <v>1364</v>
      </c>
      <c r="B135" s="66" t="s">
        <v>1365</v>
      </c>
      <c r="C135" s="66" t="s">
        <v>1355</v>
      </c>
      <c r="D135" s="66">
        <v>600</v>
      </c>
      <c r="E135" s="7">
        <v>2926.5149999999999</v>
      </c>
      <c r="F135" s="7">
        <f t="shared" si="3"/>
        <v>0.19907721571696457</v>
      </c>
    </row>
    <row r="136" spans="1:6" x14ac:dyDescent="0.2">
      <c r="A136" s="66" t="s">
        <v>1366</v>
      </c>
      <c r="B136" s="66" t="s">
        <v>1367</v>
      </c>
      <c r="C136" s="66" t="s">
        <v>1312</v>
      </c>
      <c r="D136" s="66">
        <v>580</v>
      </c>
      <c r="E136" s="7">
        <v>2851.9470000000001</v>
      </c>
      <c r="F136" s="7">
        <f t="shared" si="3"/>
        <v>0.19400470120001093</v>
      </c>
    </row>
    <row r="137" spans="1:6" x14ac:dyDescent="0.2">
      <c r="A137" s="66" t="s">
        <v>1368</v>
      </c>
      <c r="B137" s="66" t="s">
        <v>1369</v>
      </c>
      <c r="C137" s="66" t="s">
        <v>1312</v>
      </c>
      <c r="D137" s="66">
        <v>500</v>
      </c>
      <c r="E137" s="7">
        <v>2463.7925</v>
      </c>
      <c r="F137" s="7">
        <f t="shared" si="3"/>
        <v>0.16760035434786408</v>
      </c>
    </row>
    <row r="138" spans="1:6" x14ac:dyDescent="0.2">
      <c r="A138" s="66" t="s">
        <v>1370</v>
      </c>
      <c r="B138" s="66" t="s">
        <v>1371</v>
      </c>
      <c r="C138" s="66" t="s">
        <v>1352</v>
      </c>
      <c r="D138" s="66">
        <v>500</v>
      </c>
      <c r="E138" s="7">
        <v>2363.5974999999999</v>
      </c>
      <c r="F138" s="7">
        <f t="shared" si="3"/>
        <v>0.16078455411148693</v>
      </c>
    </row>
    <row r="139" spans="1:6" x14ac:dyDescent="0.2">
      <c r="A139" s="66" t="s">
        <v>1372</v>
      </c>
      <c r="B139" s="66" t="s">
        <v>1373</v>
      </c>
      <c r="C139" s="66" t="s">
        <v>1337</v>
      </c>
      <c r="D139" s="66">
        <v>400</v>
      </c>
      <c r="E139" s="7">
        <v>1994.354</v>
      </c>
      <c r="F139" s="7">
        <f t="shared" si="3"/>
        <v>0.13566663470851548</v>
      </c>
    </row>
    <row r="140" spans="1:6" x14ac:dyDescent="0.2">
      <c r="A140" s="66" t="s">
        <v>704</v>
      </c>
      <c r="B140" s="66" t="s">
        <v>1374</v>
      </c>
      <c r="C140" s="66" t="s">
        <v>706</v>
      </c>
      <c r="D140" s="66">
        <v>400</v>
      </c>
      <c r="E140" s="7">
        <v>1976.434</v>
      </c>
      <c r="F140" s="7">
        <f t="shared" si="3"/>
        <v>0.13444762038408933</v>
      </c>
    </row>
    <row r="141" spans="1:6" x14ac:dyDescent="0.2">
      <c r="A141" s="66" t="s">
        <v>1375</v>
      </c>
      <c r="B141" s="66" t="s">
        <v>1376</v>
      </c>
      <c r="C141" s="66" t="s">
        <v>1312</v>
      </c>
      <c r="D141" s="66">
        <v>100</v>
      </c>
      <c r="E141" s="7">
        <v>495.87849999999997</v>
      </c>
      <c r="F141" s="7">
        <f t="shared" si="3"/>
        <v>3.3732309970700584E-2</v>
      </c>
    </row>
    <row r="142" spans="1:6" x14ac:dyDescent="0.2">
      <c r="A142" s="66" t="s">
        <v>1377</v>
      </c>
      <c r="B142" s="66" t="s">
        <v>1378</v>
      </c>
      <c r="C142" s="66" t="s">
        <v>706</v>
      </c>
      <c r="D142" s="66">
        <v>100</v>
      </c>
      <c r="E142" s="7">
        <v>492.18200000000002</v>
      </c>
      <c r="F142" s="7">
        <f t="shared" si="3"/>
        <v>3.3480854253611234E-2</v>
      </c>
    </row>
    <row r="143" spans="1:6" x14ac:dyDescent="0.2">
      <c r="A143" s="66" t="s">
        <v>1379</v>
      </c>
      <c r="B143" s="66" t="s">
        <v>1380</v>
      </c>
      <c r="C143" s="66" t="s">
        <v>1312</v>
      </c>
      <c r="D143" s="66">
        <v>100</v>
      </c>
      <c r="E143" s="7">
        <v>491.02050000000003</v>
      </c>
      <c r="F143" s="7">
        <f t="shared" si="3"/>
        <v>3.3401842806188187E-2</v>
      </c>
    </row>
    <row r="144" spans="1:6" x14ac:dyDescent="0.2">
      <c r="A144" s="66" t="s">
        <v>1381</v>
      </c>
      <c r="B144" s="66" t="s">
        <v>1382</v>
      </c>
      <c r="C144" s="66" t="s">
        <v>1355</v>
      </c>
      <c r="D144" s="66">
        <v>60</v>
      </c>
      <c r="E144" s="7">
        <v>292.9812</v>
      </c>
      <c r="F144" s="7">
        <f t="shared" si="3"/>
        <v>1.9930149530556017E-2</v>
      </c>
    </row>
    <row r="145" spans="1:10" x14ac:dyDescent="0.2">
      <c r="A145" s="66" t="s">
        <v>1383</v>
      </c>
      <c r="B145" s="66" t="s">
        <v>1384</v>
      </c>
      <c r="C145" s="66" t="s">
        <v>1312</v>
      </c>
      <c r="D145" s="66">
        <v>20</v>
      </c>
      <c r="E145" s="7">
        <v>98.164500000000004</v>
      </c>
      <c r="F145" s="74">
        <v>0.01</v>
      </c>
    </row>
    <row r="146" spans="1:10" x14ac:dyDescent="0.2">
      <c r="A146" s="65" t="s">
        <v>39</v>
      </c>
      <c r="B146" s="66"/>
      <c r="C146" s="66"/>
      <c r="D146" s="66"/>
      <c r="E146" s="6">
        <f>SUM(E121:E145)</f>
        <v>186639.30320000005</v>
      </c>
      <c r="F146" s="6">
        <f>SUM(F121:F145)</f>
        <v>12.699526795204573</v>
      </c>
      <c r="I146" s="70"/>
      <c r="J146" s="70"/>
    </row>
    <row r="147" spans="1:10" x14ac:dyDescent="0.2">
      <c r="A147" s="66"/>
      <c r="B147" s="66"/>
      <c r="C147" s="66"/>
      <c r="D147" s="66"/>
      <c r="E147" s="7"/>
      <c r="F147" s="7"/>
    </row>
    <row r="148" spans="1:10" x14ac:dyDescent="0.2">
      <c r="A148" s="65" t="s">
        <v>39</v>
      </c>
      <c r="B148" s="66"/>
      <c r="C148" s="66"/>
      <c r="D148" s="66"/>
      <c r="E148" s="6">
        <f>E146+E118+E103+E57</f>
        <v>1426056.1567831002</v>
      </c>
      <c r="F148" s="6">
        <f>F146+F118+F103+F57</f>
        <v>97.011295682090307</v>
      </c>
      <c r="I148" s="1"/>
      <c r="J148" s="1"/>
    </row>
    <row r="149" spans="1:10" x14ac:dyDescent="0.2">
      <c r="A149" s="66"/>
      <c r="B149" s="66"/>
      <c r="C149" s="66"/>
      <c r="D149" s="66"/>
      <c r="E149" s="7"/>
      <c r="F149" s="7"/>
    </row>
    <row r="150" spans="1:10" x14ac:dyDescent="0.2">
      <c r="A150" s="65" t="s">
        <v>103</v>
      </c>
      <c r="B150" s="66"/>
      <c r="C150" s="66"/>
      <c r="D150" s="66"/>
      <c r="E150" s="6">
        <v>43983.992944899997</v>
      </c>
      <c r="F150" s="6">
        <f t="shared" ref="F150" si="4">E150/$E$152*100</f>
        <v>2.9920266431524545</v>
      </c>
      <c r="I150" s="1"/>
      <c r="J150" s="1"/>
    </row>
    <row r="151" spans="1:10" x14ac:dyDescent="0.2">
      <c r="A151" s="66"/>
      <c r="B151" s="66"/>
      <c r="C151" s="66"/>
      <c r="D151" s="66"/>
      <c r="E151" s="7"/>
      <c r="F151" s="7"/>
    </row>
    <row r="152" spans="1:10" x14ac:dyDescent="0.2">
      <c r="A152" s="68" t="s">
        <v>104</v>
      </c>
      <c r="B152" s="64"/>
      <c r="C152" s="64"/>
      <c r="D152" s="64"/>
      <c r="E152" s="8">
        <f>E148+E150</f>
        <v>1470040.1497280002</v>
      </c>
      <c r="F152" s="8">
        <f xml:space="preserve"> ROUND(SUM(F148:F151),2)+0.01</f>
        <v>100.01</v>
      </c>
      <c r="I152" s="1"/>
      <c r="J152" s="1"/>
    </row>
    <row r="153" spans="1:10" x14ac:dyDescent="0.2">
      <c r="A153" s="4" t="s">
        <v>714</v>
      </c>
      <c r="F153" s="9"/>
    </row>
    <row r="155" spans="1:10" x14ac:dyDescent="0.2">
      <c r="A155" s="4" t="s">
        <v>105</v>
      </c>
    </row>
    <row r="156" spans="1:10" x14ac:dyDescent="0.2">
      <c r="A156" s="4" t="s">
        <v>106</v>
      </c>
    </row>
    <row r="157" spans="1:10" x14ac:dyDescent="0.2">
      <c r="A157" s="4" t="s">
        <v>107</v>
      </c>
    </row>
    <row r="158" spans="1:10" x14ac:dyDescent="0.2">
      <c r="A158" s="2" t="s">
        <v>1385</v>
      </c>
      <c r="D158" s="10">
        <v>10.111700000000001</v>
      </c>
    </row>
    <row r="159" spans="1:10" x14ac:dyDescent="0.2">
      <c r="A159" s="2" t="s">
        <v>1386</v>
      </c>
      <c r="D159" s="10">
        <v>10.1043</v>
      </c>
    </row>
    <row r="160" spans="1:10" x14ac:dyDescent="0.2">
      <c r="A160" s="2" t="s">
        <v>1387</v>
      </c>
      <c r="D160" s="10">
        <v>10.0456</v>
      </c>
    </row>
    <row r="161" spans="1:4" x14ac:dyDescent="0.2">
      <c r="A161" s="2" t="s">
        <v>1388</v>
      </c>
      <c r="D161" s="10">
        <v>10.063000000000001</v>
      </c>
    </row>
    <row r="162" spans="1:4" x14ac:dyDescent="0.2">
      <c r="A162" s="2" t="s">
        <v>1389</v>
      </c>
      <c r="D162" s="10">
        <v>24.300999999999998</v>
      </c>
    </row>
    <row r="163" spans="1:4" x14ac:dyDescent="0.2">
      <c r="A163" s="2" t="s">
        <v>1390</v>
      </c>
      <c r="D163" s="10">
        <v>10.1387</v>
      </c>
    </row>
    <row r="164" spans="1:4" x14ac:dyDescent="0.2">
      <c r="A164" s="2" t="s">
        <v>1391</v>
      </c>
      <c r="D164" s="10">
        <v>23.117999999999999</v>
      </c>
    </row>
    <row r="165" spans="1:4" x14ac:dyDescent="0.2">
      <c r="A165" s="2" t="s">
        <v>1392</v>
      </c>
      <c r="D165" s="10">
        <v>24.392600000000002</v>
      </c>
    </row>
    <row r="166" spans="1:4" x14ac:dyDescent="0.2">
      <c r="A166" s="2" t="s">
        <v>1393</v>
      </c>
      <c r="D166" s="10">
        <v>9.9995999999999992</v>
      </c>
    </row>
    <row r="167" spans="1:4" x14ac:dyDescent="0.2">
      <c r="A167" s="2" t="s">
        <v>1394</v>
      </c>
      <c r="D167" s="10">
        <v>10.033200000000001</v>
      </c>
    </row>
    <row r="168" spans="1:4" x14ac:dyDescent="0.2">
      <c r="A168" s="2" t="s">
        <v>1395</v>
      </c>
      <c r="D168" s="10">
        <v>23.605599999999999</v>
      </c>
    </row>
    <row r="170" spans="1:4" x14ac:dyDescent="0.2">
      <c r="A170" s="4" t="s">
        <v>108</v>
      </c>
    </row>
    <row r="171" spans="1:4" x14ac:dyDescent="0.2">
      <c r="A171" s="2" t="s">
        <v>1393</v>
      </c>
      <c r="D171" s="10">
        <v>10</v>
      </c>
    </row>
    <row r="172" spans="1:4" x14ac:dyDescent="0.2">
      <c r="A172" s="2" t="s">
        <v>1386</v>
      </c>
      <c r="D172" s="10">
        <v>10.116899999999999</v>
      </c>
    </row>
    <row r="173" spans="1:4" x14ac:dyDescent="0.2">
      <c r="A173" s="2" t="s">
        <v>1387</v>
      </c>
      <c r="D173" s="10">
        <v>10.046799999999999</v>
      </c>
    </row>
    <row r="174" spans="1:4" x14ac:dyDescent="0.2">
      <c r="A174" s="2" t="s">
        <v>1392</v>
      </c>
      <c r="D174" s="10">
        <v>25.509699999999999</v>
      </c>
    </row>
    <row r="175" spans="1:4" x14ac:dyDescent="0.2">
      <c r="A175" s="2" t="s">
        <v>1390</v>
      </c>
      <c r="D175" s="10">
        <v>10.151199999999999</v>
      </c>
    </row>
    <row r="176" spans="1:4" x14ac:dyDescent="0.2">
      <c r="A176" s="2" t="s">
        <v>1391</v>
      </c>
      <c r="D176" s="10">
        <v>24.113600000000002</v>
      </c>
    </row>
    <row r="177" spans="1:4" x14ac:dyDescent="0.2">
      <c r="A177" s="2" t="s">
        <v>1395</v>
      </c>
      <c r="D177" s="10">
        <v>24.646899999999999</v>
      </c>
    </row>
    <row r="178" spans="1:4" x14ac:dyDescent="0.2">
      <c r="A178" s="2" t="s">
        <v>1394</v>
      </c>
      <c r="D178" s="10">
        <v>10.0372</v>
      </c>
    </row>
    <row r="179" spans="1:4" x14ac:dyDescent="0.2">
      <c r="A179" s="2" t="s">
        <v>1385</v>
      </c>
      <c r="D179" s="10">
        <v>10.1243</v>
      </c>
    </row>
    <row r="180" spans="1:4" x14ac:dyDescent="0.2">
      <c r="A180" s="2" t="s">
        <v>1388</v>
      </c>
      <c r="D180" s="10">
        <v>10.0656</v>
      </c>
    </row>
    <row r="181" spans="1:4" x14ac:dyDescent="0.2">
      <c r="A181" s="2" t="s">
        <v>1389</v>
      </c>
      <c r="D181" s="10">
        <v>25.404699999999998</v>
      </c>
    </row>
    <row r="183" spans="1:4" x14ac:dyDescent="0.2">
      <c r="A183" s="4" t="s">
        <v>109</v>
      </c>
      <c r="D183" s="69"/>
    </row>
    <row r="184" spans="1:4" x14ac:dyDescent="0.2">
      <c r="A184" s="75" t="s">
        <v>727</v>
      </c>
      <c r="B184" s="76"/>
      <c r="C184" s="77" t="s">
        <v>728</v>
      </c>
      <c r="D184" s="77"/>
    </row>
    <row r="185" spans="1:4" x14ac:dyDescent="0.2">
      <c r="A185" s="78"/>
      <c r="B185" s="78"/>
      <c r="C185" s="43" t="s">
        <v>729</v>
      </c>
      <c r="D185" s="43" t="s">
        <v>730</v>
      </c>
    </row>
    <row r="186" spans="1:4" x14ac:dyDescent="0.2">
      <c r="A186" s="44" t="s">
        <v>1394</v>
      </c>
      <c r="B186" s="45"/>
      <c r="C186" s="79">
        <v>0.30181613980000005</v>
      </c>
      <c r="D186" s="79">
        <v>0.27948324989999995</v>
      </c>
    </row>
    <row r="187" spans="1:4" x14ac:dyDescent="0.2">
      <c r="A187" s="44" t="s">
        <v>1396</v>
      </c>
      <c r="B187" s="45"/>
      <c r="C187" s="79">
        <v>0.31076262969999996</v>
      </c>
      <c r="D187" s="79">
        <v>0.28776774430000002</v>
      </c>
    </row>
    <row r="188" spans="1:4" x14ac:dyDescent="0.2">
      <c r="A188" s="44" t="s">
        <v>1397</v>
      </c>
      <c r="B188" s="45"/>
      <c r="C188" s="79">
        <v>0.32003808550000001</v>
      </c>
      <c r="D188" s="79">
        <v>0.29635686169999992</v>
      </c>
    </row>
    <row r="189" spans="1:4" x14ac:dyDescent="0.2">
      <c r="A189" s="44" t="s">
        <v>1390</v>
      </c>
      <c r="B189" s="45"/>
      <c r="C189" s="79">
        <v>0.29893392059999996</v>
      </c>
      <c r="D189" s="79">
        <v>0.27681430020000003</v>
      </c>
    </row>
    <row r="190" spans="1:4" x14ac:dyDescent="0.2">
      <c r="A190" s="44" t="s">
        <v>1385</v>
      </c>
      <c r="B190" s="45"/>
      <c r="C190" s="79">
        <v>0.314492891</v>
      </c>
      <c r="D190" s="79">
        <v>0.29122198440000002</v>
      </c>
    </row>
    <row r="191" spans="1:4" x14ac:dyDescent="0.2">
      <c r="A191" s="44" t="s">
        <v>1398</v>
      </c>
      <c r="B191" s="45"/>
      <c r="C191" s="79">
        <v>0.32295979720000006</v>
      </c>
      <c r="D191" s="79">
        <v>0.29906238200000013</v>
      </c>
    </row>
    <row r="192" spans="1:4" x14ac:dyDescent="0.2">
      <c r="A192" s="44" t="s">
        <v>1386</v>
      </c>
      <c r="B192" s="45"/>
      <c r="C192" s="79">
        <v>0.31665385889999997</v>
      </c>
      <c r="D192" s="79">
        <v>0.2932230515</v>
      </c>
    </row>
    <row r="194" spans="1:5" x14ac:dyDescent="0.2">
      <c r="A194" s="4" t="s">
        <v>883</v>
      </c>
      <c r="D194" s="70">
        <v>0.54787083057000829</v>
      </c>
      <c r="E194" s="1" t="s">
        <v>735</v>
      </c>
    </row>
  </sheetData>
  <mergeCells count="3">
    <mergeCell ref="A1:F1"/>
    <mergeCell ref="C184:D184"/>
    <mergeCell ref="A185:B18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1.5703125" style="2" bestFit="1" customWidth="1"/>
    <col min="3" max="3" width="12.140625" style="2" bestFit="1" customWidth="1"/>
    <col min="4" max="4" width="8.285156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2" t="s">
        <v>1399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751</v>
      </c>
      <c r="B8" s="66" t="s">
        <v>752</v>
      </c>
      <c r="C8" s="66" t="s">
        <v>753</v>
      </c>
      <c r="D8" s="66">
        <v>5230</v>
      </c>
      <c r="E8" s="7">
        <v>51548.082900000001</v>
      </c>
      <c r="F8" s="7">
        <v>4.4270714210056497</v>
      </c>
    </row>
    <row r="9" spans="1:6" x14ac:dyDescent="0.2">
      <c r="A9" s="66" t="s">
        <v>1400</v>
      </c>
      <c r="B9" s="66" t="s">
        <v>1401</v>
      </c>
      <c r="C9" s="66" t="s">
        <v>753</v>
      </c>
      <c r="D9" s="66">
        <v>3523</v>
      </c>
      <c r="E9" s="7">
        <v>33225.518689999997</v>
      </c>
      <c r="F9" s="7">
        <v>2.8534862203495801</v>
      </c>
    </row>
    <row r="10" spans="1:6" x14ac:dyDescent="0.2">
      <c r="A10" s="66" t="s">
        <v>748</v>
      </c>
      <c r="B10" s="66" t="s">
        <v>749</v>
      </c>
      <c r="C10" s="66" t="s">
        <v>750</v>
      </c>
      <c r="D10" s="66">
        <v>3150</v>
      </c>
      <c r="E10" s="7">
        <v>31314.087</v>
      </c>
      <c r="F10" s="7">
        <v>2.68932794070184</v>
      </c>
    </row>
    <row r="11" spans="1:6" x14ac:dyDescent="0.2">
      <c r="A11" s="66" t="s">
        <v>1216</v>
      </c>
      <c r="B11" s="66" t="s">
        <v>1217</v>
      </c>
      <c r="C11" s="66" t="s">
        <v>424</v>
      </c>
      <c r="D11" s="66">
        <v>3100</v>
      </c>
      <c r="E11" s="7">
        <v>29993.864000000001</v>
      </c>
      <c r="F11" s="7">
        <v>2.5759440632840702</v>
      </c>
    </row>
    <row r="12" spans="1:6" x14ac:dyDescent="0.2">
      <c r="A12" s="66" t="s">
        <v>1402</v>
      </c>
      <c r="B12" s="66" t="s">
        <v>1403</v>
      </c>
      <c r="C12" s="66" t="s">
        <v>429</v>
      </c>
      <c r="D12" s="66">
        <v>2770</v>
      </c>
      <c r="E12" s="7">
        <v>27627.425999999999</v>
      </c>
      <c r="F12" s="7">
        <v>2.3727087643165898</v>
      </c>
    </row>
    <row r="13" spans="1:6" x14ac:dyDescent="0.2">
      <c r="A13" s="66" t="s">
        <v>1404</v>
      </c>
      <c r="B13" s="66" t="s">
        <v>1405</v>
      </c>
      <c r="C13" s="66" t="s">
        <v>424</v>
      </c>
      <c r="D13" s="66">
        <v>2700</v>
      </c>
      <c r="E13" s="7">
        <v>26999.9755515</v>
      </c>
      <c r="F13" s="7">
        <v>2.31882183404917</v>
      </c>
    </row>
    <row r="14" spans="1:6" x14ac:dyDescent="0.2">
      <c r="A14" s="66" t="s">
        <v>802</v>
      </c>
      <c r="B14" s="66" t="s">
        <v>803</v>
      </c>
      <c r="C14" s="66" t="s">
        <v>750</v>
      </c>
      <c r="D14" s="66">
        <v>2500</v>
      </c>
      <c r="E14" s="7">
        <v>24882.95</v>
      </c>
      <c r="F14" s="7">
        <v>2.13700666674672</v>
      </c>
    </row>
    <row r="15" spans="1:6" x14ac:dyDescent="0.2">
      <c r="A15" s="66" t="s">
        <v>797</v>
      </c>
      <c r="B15" s="66" t="s">
        <v>798</v>
      </c>
      <c r="C15" s="66" t="s">
        <v>799</v>
      </c>
      <c r="D15" s="66">
        <v>2350</v>
      </c>
      <c r="E15" s="7">
        <v>23329.437000000002</v>
      </c>
      <c r="F15" s="7">
        <v>2.0035872917177202</v>
      </c>
    </row>
    <row r="16" spans="1:6" x14ac:dyDescent="0.2">
      <c r="A16" s="66" t="s">
        <v>1406</v>
      </c>
      <c r="B16" s="66" t="s">
        <v>1407</v>
      </c>
      <c r="C16" s="66" t="s">
        <v>747</v>
      </c>
      <c r="D16" s="66">
        <v>11500</v>
      </c>
      <c r="E16" s="7">
        <v>22991.512999999999</v>
      </c>
      <c r="F16" s="7">
        <v>1.97456557842192</v>
      </c>
    </row>
    <row r="17" spans="1:6" x14ac:dyDescent="0.2">
      <c r="A17" s="66" t="s">
        <v>1408</v>
      </c>
      <c r="B17" s="66" t="s">
        <v>1409</v>
      </c>
      <c r="C17" s="66" t="s">
        <v>747</v>
      </c>
      <c r="D17" s="66">
        <v>11155</v>
      </c>
      <c r="E17" s="7">
        <v>22323.363689999998</v>
      </c>
      <c r="F17" s="7">
        <v>1.91718333355738</v>
      </c>
    </row>
    <row r="18" spans="1:6" x14ac:dyDescent="0.2">
      <c r="A18" s="66" t="s">
        <v>765</v>
      </c>
      <c r="B18" s="66" t="s">
        <v>766</v>
      </c>
      <c r="C18" s="66" t="s">
        <v>767</v>
      </c>
      <c r="D18" s="66">
        <v>2150</v>
      </c>
      <c r="E18" s="7">
        <v>20458.217499999999</v>
      </c>
      <c r="F18" s="7">
        <v>1.7570001622498299</v>
      </c>
    </row>
    <row r="19" spans="1:6" x14ac:dyDescent="0.2">
      <c r="A19" s="66" t="s">
        <v>1410</v>
      </c>
      <c r="B19" s="66" t="s">
        <v>1411</v>
      </c>
      <c r="C19" s="66" t="s">
        <v>775</v>
      </c>
      <c r="D19" s="66">
        <v>1600</v>
      </c>
      <c r="E19" s="7">
        <v>15766.944</v>
      </c>
      <c r="F19" s="7">
        <v>1.3541024855261199</v>
      </c>
    </row>
    <row r="20" spans="1:6" x14ac:dyDescent="0.2">
      <c r="A20" s="66" t="s">
        <v>1412</v>
      </c>
      <c r="B20" s="66" t="s">
        <v>1413</v>
      </c>
      <c r="C20" s="66" t="s">
        <v>842</v>
      </c>
      <c r="D20" s="66">
        <v>1615</v>
      </c>
      <c r="E20" s="7">
        <v>15525.8994</v>
      </c>
      <c r="F20" s="7">
        <v>1.33340100450465</v>
      </c>
    </row>
    <row r="21" spans="1:6" x14ac:dyDescent="0.2">
      <c r="A21" s="66" t="s">
        <v>1414</v>
      </c>
      <c r="B21" s="66" t="s">
        <v>1415</v>
      </c>
      <c r="C21" s="66" t="s">
        <v>764</v>
      </c>
      <c r="D21" s="66">
        <v>130</v>
      </c>
      <c r="E21" s="7">
        <v>14944.449000000001</v>
      </c>
      <c r="F21" s="7">
        <v>1.2834646673266801</v>
      </c>
    </row>
    <row r="22" spans="1:6" x14ac:dyDescent="0.2">
      <c r="A22" s="66" t="s">
        <v>1416</v>
      </c>
      <c r="B22" s="66" t="s">
        <v>1417</v>
      </c>
      <c r="C22" s="66" t="s">
        <v>424</v>
      </c>
      <c r="D22" s="66">
        <v>1330</v>
      </c>
      <c r="E22" s="7">
        <v>13733.3938</v>
      </c>
      <c r="F22" s="7">
        <v>1.17945637907314</v>
      </c>
    </row>
    <row r="23" spans="1:6" x14ac:dyDescent="0.2">
      <c r="A23" s="66" t="s">
        <v>1418</v>
      </c>
      <c r="B23" s="66" t="s">
        <v>1419</v>
      </c>
      <c r="C23" s="66" t="s">
        <v>1158</v>
      </c>
      <c r="D23" s="66">
        <v>1250</v>
      </c>
      <c r="E23" s="7">
        <v>12510.987499999999</v>
      </c>
      <c r="F23" s="7">
        <v>1.07447323147315</v>
      </c>
    </row>
    <row r="24" spans="1:6" x14ac:dyDescent="0.2">
      <c r="A24" s="66" t="s">
        <v>808</v>
      </c>
      <c r="B24" s="66" t="s">
        <v>809</v>
      </c>
      <c r="C24" s="66" t="s">
        <v>747</v>
      </c>
      <c r="D24" s="66">
        <v>1249</v>
      </c>
      <c r="E24" s="7">
        <v>12510.14637</v>
      </c>
      <c r="F24" s="7">
        <v>1.07440099323703</v>
      </c>
    </row>
    <row r="25" spans="1:6" x14ac:dyDescent="0.2">
      <c r="A25" s="66" t="s">
        <v>1420</v>
      </c>
      <c r="B25" s="66" t="s">
        <v>1421</v>
      </c>
      <c r="C25" s="66" t="s">
        <v>791</v>
      </c>
      <c r="D25" s="66">
        <v>12500</v>
      </c>
      <c r="E25" s="7">
        <v>12352.2875</v>
      </c>
      <c r="F25" s="7">
        <v>1.0608436996848101</v>
      </c>
    </row>
    <row r="26" spans="1:6" x14ac:dyDescent="0.2">
      <c r="A26" s="66" t="s">
        <v>1422</v>
      </c>
      <c r="B26" s="66" t="s">
        <v>1423</v>
      </c>
      <c r="C26" s="66" t="s">
        <v>424</v>
      </c>
      <c r="D26" s="66">
        <v>1000</v>
      </c>
      <c r="E26" s="7">
        <v>9692.3799999999992</v>
      </c>
      <c r="F26" s="7">
        <v>0.83240454514607598</v>
      </c>
    </row>
    <row r="27" spans="1:6" x14ac:dyDescent="0.2">
      <c r="A27" s="66" t="s">
        <v>1424</v>
      </c>
      <c r="B27" s="66" t="s">
        <v>1425</v>
      </c>
      <c r="C27" s="66" t="s">
        <v>767</v>
      </c>
      <c r="D27" s="66">
        <v>922</v>
      </c>
      <c r="E27" s="7">
        <v>9258.2168999999994</v>
      </c>
      <c r="F27" s="7">
        <v>0.79511759005612803</v>
      </c>
    </row>
    <row r="28" spans="1:6" x14ac:dyDescent="0.2">
      <c r="A28" s="66" t="s">
        <v>780</v>
      </c>
      <c r="B28" s="66" t="s">
        <v>781</v>
      </c>
      <c r="C28" s="66" t="s">
        <v>747</v>
      </c>
      <c r="D28" s="66">
        <v>879</v>
      </c>
      <c r="E28" s="7">
        <v>8785.9126500000002</v>
      </c>
      <c r="F28" s="7">
        <v>0.75455498268912302</v>
      </c>
    </row>
    <row r="29" spans="1:6" x14ac:dyDescent="0.2">
      <c r="A29" s="66" t="s">
        <v>789</v>
      </c>
      <c r="B29" s="66" t="s">
        <v>790</v>
      </c>
      <c r="C29" s="66" t="s">
        <v>791</v>
      </c>
      <c r="D29" s="66">
        <v>8500</v>
      </c>
      <c r="E29" s="7">
        <v>8400.9580000000005</v>
      </c>
      <c r="F29" s="7">
        <v>0.72149416580667403</v>
      </c>
    </row>
    <row r="30" spans="1:6" x14ac:dyDescent="0.2">
      <c r="A30" s="66" t="s">
        <v>1426</v>
      </c>
      <c r="B30" s="66" t="s">
        <v>1427</v>
      </c>
      <c r="C30" s="66" t="s">
        <v>747</v>
      </c>
      <c r="D30" s="66">
        <v>822</v>
      </c>
      <c r="E30" s="7">
        <v>8202.6393599999992</v>
      </c>
      <c r="F30" s="7">
        <v>0.70446209140150295</v>
      </c>
    </row>
    <row r="31" spans="1:6" x14ac:dyDescent="0.2">
      <c r="A31" s="66" t="s">
        <v>1428</v>
      </c>
      <c r="B31" s="66" t="s">
        <v>1429</v>
      </c>
      <c r="C31" s="66" t="s">
        <v>747</v>
      </c>
      <c r="D31" s="66">
        <v>822</v>
      </c>
      <c r="E31" s="7">
        <v>8193.3096600000008</v>
      </c>
      <c r="F31" s="7">
        <v>0.703660834673553</v>
      </c>
    </row>
    <row r="32" spans="1:6" x14ac:dyDescent="0.2">
      <c r="A32" s="66" t="s">
        <v>1430</v>
      </c>
      <c r="B32" s="66" t="s">
        <v>1431</v>
      </c>
      <c r="C32" s="66" t="s">
        <v>747</v>
      </c>
      <c r="D32" s="66">
        <v>754</v>
      </c>
      <c r="E32" s="7">
        <v>7512.7127399999999</v>
      </c>
      <c r="F32" s="7">
        <v>0.64520955958730797</v>
      </c>
    </row>
    <row r="33" spans="1:6" x14ac:dyDescent="0.2">
      <c r="A33" s="66" t="s">
        <v>1432</v>
      </c>
      <c r="B33" s="66" t="s">
        <v>1433</v>
      </c>
      <c r="C33" s="66" t="s">
        <v>786</v>
      </c>
      <c r="D33" s="66">
        <v>690</v>
      </c>
      <c r="E33" s="7">
        <v>6786.3432000000003</v>
      </c>
      <c r="F33" s="7">
        <v>0.58282722350972305</v>
      </c>
    </row>
    <row r="34" spans="1:6" x14ac:dyDescent="0.2">
      <c r="A34" s="66" t="s">
        <v>1142</v>
      </c>
      <c r="B34" s="66" t="s">
        <v>1143</v>
      </c>
      <c r="C34" s="66" t="s">
        <v>747</v>
      </c>
      <c r="D34" s="66">
        <v>650</v>
      </c>
      <c r="E34" s="7">
        <v>6507.0394999999999</v>
      </c>
      <c r="F34" s="7">
        <v>0.55883996038589601</v>
      </c>
    </row>
    <row r="35" spans="1:6" x14ac:dyDescent="0.2">
      <c r="A35" s="66" t="s">
        <v>787</v>
      </c>
      <c r="B35" s="66" t="s">
        <v>788</v>
      </c>
      <c r="C35" s="66" t="s">
        <v>744</v>
      </c>
      <c r="D35" s="66">
        <v>629</v>
      </c>
      <c r="E35" s="7">
        <v>6024.3858799999998</v>
      </c>
      <c r="F35" s="7">
        <v>0.51738852461684803</v>
      </c>
    </row>
    <row r="36" spans="1:6" x14ac:dyDescent="0.2">
      <c r="A36" s="66" t="s">
        <v>1434</v>
      </c>
      <c r="B36" s="66" t="s">
        <v>1435</v>
      </c>
      <c r="C36" s="66" t="s">
        <v>791</v>
      </c>
      <c r="D36" s="66">
        <v>6000</v>
      </c>
      <c r="E36" s="7">
        <v>5937.2759999999998</v>
      </c>
      <c r="F36" s="7">
        <v>0.50990732185353005</v>
      </c>
    </row>
    <row r="37" spans="1:6" x14ac:dyDescent="0.2">
      <c r="A37" s="66" t="s">
        <v>762</v>
      </c>
      <c r="B37" s="66" t="s">
        <v>763</v>
      </c>
      <c r="C37" s="66" t="s">
        <v>764</v>
      </c>
      <c r="D37" s="66">
        <v>50</v>
      </c>
      <c r="E37" s="7">
        <v>5785.8950000000004</v>
      </c>
      <c r="F37" s="7">
        <v>0.49690636311596897</v>
      </c>
    </row>
    <row r="38" spans="1:6" x14ac:dyDescent="0.2">
      <c r="A38" s="66" t="s">
        <v>800</v>
      </c>
      <c r="B38" s="66" t="s">
        <v>801</v>
      </c>
      <c r="C38" s="66" t="s">
        <v>756</v>
      </c>
      <c r="D38" s="66">
        <v>550</v>
      </c>
      <c r="E38" s="7">
        <v>5485.1334999999999</v>
      </c>
      <c r="F38" s="7">
        <v>0.47107625331786501</v>
      </c>
    </row>
    <row r="39" spans="1:6" x14ac:dyDescent="0.2">
      <c r="A39" s="66" t="s">
        <v>1436</v>
      </c>
      <c r="B39" s="66" t="s">
        <v>1437</v>
      </c>
      <c r="C39" s="66" t="s">
        <v>759</v>
      </c>
      <c r="D39" s="66">
        <v>500</v>
      </c>
      <c r="E39" s="7">
        <v>5101.3100000000004</v>
      </c>
      <c r="F39" s="7">
        <v>0.43811258227588401</v>
      </c>
    </row>
    <row r="40" spans="1:6" x14ac:dyDescent="0.2">
      <c r="A40" s="66" t="s">
        <v>776</v>
      </c>
      <c r="B40" s="66" t="s">
        <v>777</v>
      </c>
      <c r="C40" s="66" t="s">
        <v>767</v>
      </c>
      <c r="D40" s="66">
        <v>490</v>
      </c>
      <c r="E40" s="7">
        <v>5070.3631999999998</v>
      </c>
      <c r="F40" s="7">
        <v>0.435454797812447</v>
      </c>
    </row>
    <row r="41" spans="1:6" x14ac:dyDescent="0.2">
      <c r="A41" s="66" t="s">
        <v>1438</v>
      </c>
      <c r="B41" s="66" t="s">
        <v>1439</v>
      </c>
      <c r="C41" s="66" t="s">
        <v>775</v>
      </c>
      <c r="D41" s="66">
        <v>10</v>
      </c>
      <c r="E41" s="7">
        <v>5061.96</v>
      </c>
      <c r="F41" s="7">
        <v>0.43473311109837098</v>
      </c>
    </row>
    <row r="42" spans="1:6" x14ac:dyDescent="0.2">
      <c r="A42" s="66" t="s">
        <v>1440</v>
      </c>
      <c r="B42" s="66" t="s">
        <v>1441</v>
      </c>
      <c r="C42" s="66" t="s">
        <v>794</v>
      </c>
      <c r="D42" s="66">
        <v>500</v>
      </c>
      <c r="E42" s="7">
        <v>4997.3999999999996</v>
      </c>
      <c r="F42" s="7">
        <v>0.42918854542568502</v>
      </c>
    </row>
    <row r="43" spans="1:6" x14ac:dyDescent="0.2">
      <c r="A43" s="66" t="s">
        <v>1442</v>
      </c>
      <c r="B43" s="66" t="s">
        <v>1443</v>
      </c>
      <c r="C43" s="66" t="s">
        <v>794</v>
      </c>
      <c r="D43" s="66">
        <v>500</v>
      </c>
      <c r="E43" s="7">
        <v>4976.1400000000003</v>
      </c>
      <c r="F43" s="7">
        <v>0.42736268628378099</v>
      </c>
    </row>
    <row r="44" spans="1:6" x14ac:dyDescent="0.2">
      <c r="A44" s="66" t="s">
        <v>1444</v>
      </c>
      <c r="B44" s="66" t="s">
        <v>1443</v>
      </c>
      <c r="C44" s="66" t="s">
        <v>794</v>
      </c>
      <c r="D44" s="66">
        <v>500</v>
      </c>
      <c r="E44" s="7">
        <v>4941.5349999999999</v>
      </c>
      <c r="F44" s="7">
        <v>0.424390726942032</v>
      </c>
    </row>
    <row r="45" spans="1:6" x14ac:dyDescent="0.2">
      <c r="A45" s="66" t="s">
        <v>1445</v>
      </c>
      <c r="B45" s="66" t="s">
        <v>1446</v>
      </c>
      <c r="C45" s="66" t="s">
        <v>775</v>
      </c>
      <c r="D45" s="66">
        <v>500</v>
      </c>
      <c r="E45" s="7">
        <v>4923.085</v>
      </c>
      <c r="F45" s="7">
        <v>0.422806197253974</v>
      </c>
    </row>
    <row r="46" spans="1:6" x14ac:dyDescent="0.2">
      <c r="A46" s="66" t="s">
        <v>1447</v>
      </c>
      <c r="B46" s="66" t="s">
        <v>793</v>
      </c>
      <c r="C46" s="66" t="s">
        <v>794</v>
      </c>
      <c r="D46" s="66">
        <v>500</v>
      </c>
      <c r="E46" s="7">
        <v>4920.8249999999998</v>
      </c>
      <c r="F46" s="7">
        <v>0.42261210310248298</v>
      </c>
    </row>
    <row r="47" spans="1:6" x14ac:dyDescent="0.2">
      <c r="A47" s="66" t="s">
        <v>1448</v>
      </c>
      <c r="B47" s="66" t="s">
        <v>1449</v>
      </c>
      <c r="C47" s="66" t="s">
        <v>747</v>
      </c>
      <c r="D47" s="66">
        <v>2250</v>
      </c>
      <c r="E47" s="7">
        <v>4498.3035</v>
      </c>
      <c r="F47" s="7">
        <v>0.38632495618687102</v>
      </c>
    </row>
    <row r="48" spans="1:6" x14ac:dyDescent="0.2">
      <c r="A48" s="66" t="s">
        <v>1450</v>
      </c>
      <c r="B48" s="66" t="s">
        <v>1451</v>
      </c>
      <c r="C48" s="66" t="s">
        <v>1158</v>
      </c>
      <c r="D48" s="66">
        <v>370</v>
      </c>
      <c r="E48" s="7">
        <v>3800.7806</v>
      </c>
      <c r="F48" s="7">
        <v>0.32642003785891899</v>
      </c>
    </row>
    <row r="49" spans="1:6" x14ac:dyDescent="0.2">
      <c r="A49" s="66" t="s">
        <v>1452</v>
      </c>
      <c r="B49" s="66" t="s">
        <v>1453</v>
      </c>
      <c r="C49" s="66" t="s">
        <v>747</v>
      </c>
      <c r="D49" s="66">
        <v>350</v>
      </c>
      <c r="E49" s="7">
        <v>3474.8735000000001</v>
      </c>
      <c r="F49" s="7">
        <v>0.29843036439013498</v>
      </c>
    </row>
    <row r="50" spans="1:6" x14ac:dyDescent="0.2">
      <c r="A50" s="66" t="s">
        <v>1454</v>
      </c>
      <c r="B50" s="66" t="s">
        <v>1455</v>
      </c>
      <c r="C50" s="66" t="s">
        <v>429</v>
      </c>
      <c r="D50" s="66">
        <v>350</v>
      </c>
      <c r="E50" s="7">
        <v>3454.6925000000001</v>
      </c>
      <c r="F50" s="7">
        <v>0.29669717232321302</v>
      </c>
    </row>
    <row r="51" spans="1:6" x14ac:dyDescent="0.2">
      <c r="A51" s="66" t="s">
        <v>812</v>
      </c>
      <c r="B51" s="66" t="s">
        <v>793</v>
      </c>
      <c r="C51" s="66" t="s">
        <v>794</v>
      </c>
      <c r="D51" s="66">
        <v>350</v>
      </c>
      <c r="E51" s="7">
        <v>3444.5774999999999</v>
      </c>
      <c r="F51" s="7">
        <v>0.29582847217173802</v>
      </c>
    </row>
    <row r="52" spans="1:6" x14ac:dyDescent="0.2">
      <c r="A52" s="66" t="s">
        <v>1456</v>
      </c>
      <c r="B52" s="66" t="s">
        <v>1457</v>
      </c>
      <c r="C52" s="66" t="s">
        <v>744</v>
      </c>
      <c r="D52" s="66">
        <v>340</v>
      </c>
      <c r="E52" s="7">
        <v>3419.9205999999999</v>
      </c>
      <c r="F52" s="7">
        <v>0.29371087921425898</v>
      </c>
    </row>
    <row r="53" spans="1:6" x14ac:dyDescent="0.2">
      <c r="A53" s="66" t="s">
        <v>815</v>
      </c>
      <c r="B53" s="66" t="s">
        <v>816</v>
      </c>
      <c r="C53" s="66" t="s">
        <v>744</v>
      </c>
      <c r="D53" s="66">
        <v>300</v>
      </c>
      <c r="E53" s="7">
        <v>3032.6880000000001</v>
      </c>
      <c r="F53" s="7">
        <v>0.260454426591814</v>
      </c>
    </row>
    <row r="54" spans="1:6" x14ac:dyDescent="0.2">
      <c r="A54" s="66" t="s">
        <v>1177</v>
      </c>
      <c r="B54" s="66" t="s">
        <v>1178</v>
      </c>
      <c r="C54" s="66" t="s">
        <v>429</v>
      </c>
      <c r="D54" s="66">
        <v>300</v>
      </c>
      <c r="E54" s="7">
        <v>2943.0810000000001</v>
      </c>
      <c r="F54" s="7">
        <v>0.25275876524992402</v>
      </c>
    </row>
    <row r="55" spans="1:6" x14ac:dyDescent="0.2">
      <c r="A55" s="66" t="s">
        <v>1458</v>
      </c>
      <c r="B55" s="66" t="s">
        <v>1459</v>
      </c>
      <c r="C55" s="66" t="s">
        <v>799</v>
      </c>
      <c r="D55" s="66">
        <v>300</v>
      </c>
      <c r="E55" s="7">
        <v>2934.027</v>
      </c>
      <c r="F55" s="7">
        <v>0.25198118629080801</v>
      </c>
    </row>
    <row r="56" spans="1:6" x14ac:dyDescent="0.2">
      <c r="A56" s="66" t="s">
        <v>1460</v>
      </c>
      <c r="B56" s="66" t="s">
        <v>1461</v>
      </c>
      <c r="C56" s="66" t="s">
        <v>1243</v>
      </c>
      <c r="D56" s="66">
        <v>300</v>
      </c>
      <c r="E56" s="7">
        <v>2855.9490000000001</v>
      </c>
      <c r="F56" s="7">
        <v>0.245275662768628</v>
      </c>
    </row>
    <row r="57" spans="1:6" x14ac:dyDescent="0.2">
      <c r="A57" s="66" t="s">
        <v>1462</v>
      </c>
      <c r="B57" s="66" t="s">
        <v>1463</v>
      </c>
      <c r="C57" s="66" t="s">
        <v>842</v>
      </c>
      <c r="D57" s="66">
        <v>272</v>
      </c>
      <c r="E57" s="7">
        <v>2704.68912</v>
      </c>
      <c r="F57" s="7">
        <v>0.232285106103469</v>
      </c>
    </row>
    <row r="58" spans="1:6" x14ac:dyDescent="0.2">
      <c r="A58" s="66" t="s">
        <v>782</v>
      </c>
      <c r="B58" s="66" t="s">
        <v>783</v>
      </c>
      <c r="C58" s="66" t="s">
        <v>775</v>
      </c>
      <c r="D58" s="66">
        <v>5</v>
      </c>
      <c r="E58" s="7">
        <v>2566.7175000000002</v>
      </c>
      <c r="F58" s="7">
        <v>0.2204357766726</v>
      </c>
    </row>
    <row r="59" spans="1:6" x14ac:dyDescent="0.2">
      <c r="A59" s="66" t="s">
        <v>1464</v>
      </c>
      <c r="B59" s="66" t="s">
        <v>1465</v>
      </c>
      <c r="C59" s="66" t="s">
        <v>756</v>
      </c>
      <c r="D59" s="66">
        <v>250</v>
      </c>
      <c r="E59" s="7">
        <v>2498.8074999999999</v>
      </c>
      <c r="F59" s="7">
        <v>0.21460350506739301</v>
      </c>
    </row>
    <row r="60" spans="1:6" x14ac:dyDescent="0.2">
      <c r="A60" s="66" t="s">
        <v>1466</v>
      </c>
      <c r="B60" s="66" t="s">
        <v>1467</v>
      </c>
      <c r="C60" s="66" t="s">
        <v>791</v>
      </c>
      <c r="D60" s="66">
        <v>2500</v>
      </c>
      <c r="E60" s="7">
        <v>2475.8024999999998</v>
      </c>
      <c r="F60" s="7">
        <v>0.212627781193475</v>
      </c>
    </row>
    <row r="61" spans="1:6" x14ac:dyDescent="0.2">
      <c r="A61" s="66" t="s">
        <v>1468</v>
      </c>
      <c r="B61" s="66" t="s">
        <v>1469</v>
      </c>
      <c r="C61" s="66" t="s">
        <v>424</v>
      </c>
      <c r="D61" s="66">
        <v>250</v>
      </c>
      <c r="E61" s="7">
        <v>2414.15</v>
      </c>
      <c r="F61" s="7">
        <v>0.207332918505506</v>
      </c>
    </row>
    <row r="62" spans="1:6" x14ac:dyDescent="0.2">
      <c r="A62" s="66" t="s">
        <v>1470</v>
      </c>
      <c r="B62" s="66" t="s">
        <v>1471</v>
      </c>
      <c r="C62" s="66" t="s">
        <v>1149</v>
      </c>
      <c r="D62" s="66">
        <v>240</v>
      </c>
      <c r="E62" s="7">
        <v>2367.4848000000002</v>
      </c>
      <c r="F62" s="7">
        <v>0.20332520063021101</v>
      </c>
    </row>
    <row r="63" spans="1:6" x14ac:dyDescent="0.2">
      <c r="A63" s="66" t="s">
        <v>806</v>
      </c>
      <c r="B63" s="66" t="s">
        <v>807</v>
      </c>
      <c r="C63" s="66" t="s">
        <v>791</v>
      </c>
      <c r="D63" s="66">
        <v>2000</v>
      </c>
      <c r="E63" s="7">
        <v>1978.5160000000001</v>
      </c>
      <c r="F63" s="7">
        <v>0.16991963904058999</v>
      </c>
    </row>
    <row r="64" spans="1:6" x14ac:dyDescent="0.2">
      <c r="A64" s="66" t="s">
        <v>1472</v>
      </c>
      <c r="B64" s="66" t="s">
        <v>1473</v>
      </c>
      <c r="C64" s="66" t="s">
        <v>759</v>
      </c>
      <c r="D64" s="66">
        <v>200</v>
      </c>
      <c r="E64" s="7">
        <v>1904.9380000000001</v>
      </c>
      <c r="F64" s="7">
        <v>0.163600586174033</v>
      </c>
    </row>
    <row r="65" spans="1:6" x14ac:dyDescent="0.2">
      <c r="A65" s="66" t="s">
        <v>804</v>
      </c>
      <c r="B65" s="66" t="s">
        <v>805</v>
      </c>
      <c r="C65" s="66" t="s">
        <v>759</v>
      </c>
      <c r="D65" s="66">
        <v>150</v>
      </c>
      <c r="E65" s="7">
        <v>1530.8444999999999</v>
      </c>
      <c r="F65" s="7">
        <v>0.13147255057187901</v>
      </c>
    </row>
    <row r="66" spans="1:6" x14ac:dyDescent="0.2">
      <c r="A66" s="66" t="s">
        <v>1134</v>
      </c>
      <c r="B66" s="66" t="s">
        <v>1135</v>
      </c>
      <c r="C66" s="66" t="s">
        <v>775</v>
      </c>
      <c r="D66" s="66">
        <v>3</v>
      </c>
      <c r="E66" s="7">
        <v>1518.588</v>
      </c>
      <c r="F66" s="7">
        <v>0.13041993332951099</v>
      </c>
    </row>
    <row r="67" spans="1:6" x14ac:dyDescent="0.2">
      <c r="A67" s="66" t="s">
        <v>1474</v>
      </c>
      <c r="B67" s="66" t="s">
        <v>1475</v>
      </c>
      <c r="C67" s="66" t="s">
        <v>842</v>
      </c>
      <c r="D67" s="66">
        <v>140</v>
      </c>
      <c r="E67" s="7">
        <v>1404.4828</v>
      </c>
      <c r="F67" s="7">
        <v>0.120620308561931</v>
      </c>
    </row>
    <row r="68" spans="1:6" x14ac:dyDescent="0.2">
      <c r="A68" s="66" t="s">
        <v>1476</v>
      </c>
      <c r="B68" s="66" t="s">
        <v>1477</v>
      </c>
      <c r="C68" s="66" t="s">
        <v>775</v>
      </c>
      <c r="D68" s="66">
        <v>1400</v>
      </c>
      <c r="E68" s="7">
        <v>1343.7983999999999</v>
      </c>
      <c r="F68" s="7">
        <v>0.115408588594342</v>
      </c>
    </row>
    <row r="69" spans="1:6" x14ac:dyDescent="0.2">
      <c r="A69" s="66" t="s">
        <v>1478</v>
      </c>
      <c r="B69" s="66" t="s">
        <v>1479</v>
      </c>
      <c r="C69" s="66" t="s">
        <v>1146</v>
      </c>
      <c r="D69" s="66">
        <v>100</v>
      </c>
      <c r="E69" s="7">
        <v>1033.239</v>
      </c>
      <c r="F69" s="7">
        <v>8.8737011943628499E-2</v>
      </c>
    </row>
    <row r="70" spans="1:6" x14ac:dyDescent="0.2">
      <c r="A70" s="66" t="s">
        <v>1480</v>
      </c>
      <c r="B70" s="66" t="s">
        <v>1481</v>
      </c>
      <c r="C70" s="66" t="s">
        <v>1158</v>
      </c>
      <c r="D70" s="66">
        <v>97</v>
      </c>
      <c r="E70" s="7">
        <v>962.66679999999997</v>
      </c>
      <c r="F70" s="7">
        <v>8.2676104298555E-2</v>
      </c>
    </row>
    <row r="71" spans="1:6" x14ac:dyDescent="0.2">
      <c r="A71" s="66" t="s">
        <v>929</v>
      </c>
      <c r="B71" s="66" t="s">
        <v>930</v>
      </c>
      <c r="C71" s="66" t="s">
        <v>421</v>
      </c>
      <c r="D71" s="66">
        <v>90</v>
      </c>
      <c r="E71" s="7">
        <v>884.49210000000005</v>
      </c>
      <c r="F71" s="7">
        <v>7.5962275951396596E-2</v>
      </c>
    </row>
    <row r="72" spans="1:6" x14ac:dyDescent="0.2">
      <c r="A72" s="66" t="s">
        <v>1169</v>
      </c>
      <c r="B72" s="66" t="s">
        <v>1170</v>
      </c>
      <c r="C72" s="66" t="s">
        <v>747</v>
      </c>
      <c r="D72" s="66">
        <v>76</v>
      </c>
      <c r="E72" s="7">
        <v>756.73731999999995</v>
      </c>
      <c r="F72" s="7">
        <v>6.4990392932350996E-2</v>
      </c>
    </row>
    <row r="73" spans="1:6" x14ac:dyDescent="0.2">
      <c r="A73" s="66" t="s">
        <v>768</v>
      </c>
      <c r="B73" s="66" t="s">
        <v>769</v>
      </c>
      <c r="C73" s="66" t="s">
        <v>747</v>
      </c>
      <c r="D73" s="66">
        <v>62</v>
      </c>
      <c r="E73" s="7">
        <v>617.33648000000005</v>
      </c>
      <c r="F73" s="7">
        <v>5.3018318703608402E-2</v>
      </c>
    </row>
    <row r="74" spans="1:6" x14ac:dyDescent="0.2">
      <c r="A74" s="66" t="s">
        <v>795</v>
      </c>
      <c r="B74" s="66" t="s">
        <v>796</v>
      </c>
      <c r="C74" s="66" t="s">
        <v>747</v>
      </c>
      <c r="D74" s="66">
        <v>62</v>
      </c>
      <c r="E74" s="7">
        <v>617.21929999999998</v>
      </c>
      <c r="F74" s="7">
        <v>5.3008255007735899E-2</v>
      </c>
    </row>
    <row r="75" spans="1:6" x14ac:dyDescent="0.2">
      <c r="A75" s="66" t="s">
        <v>990</v>
      </c>
      <c r="B75" s="66" t="s">
        <v>991</v>
      </c>
      <c r="C75" s="66" t="s">
        <v>427</v>
      </c>
      <c r="D75" s="66">
        <v>50</v>
      </c>
      <c r="E75" s="7">
        <v>514.36850000000004</v>
      </c>
      <c r="F75" s="7">
        <v>4.4175184761634297E-2</v>
      </c>
    </row>
    <row r="76" spans="1:6" x14ac:dyDescent="0.2">
      <c r="A76" s="66" t="s">
        <v>1482</v>
      </c>
      <c r="B76" s="66" t="s">
        <v>1483</v>
      </c>
      <c r="C76" s="66" t="s">
        <v>1158</v>
      </c>
      <c r="D76" s="66">
        <v>50</v>
      </c>
      <c r="E76" s="7">
        <v>511.71350000000001</v>
      </c>
      <c r="F76" s="7">
        <v>4.3947167074816197E-2</v>
      </c>
    </row>
    <row r="77" spans="1:6" x14ac:dyDescent="0.2">
      <c r="A77" s="66" t="s">
        <v>1484</v>
      </c>
      <c r="B77" s="66" t="s">
        <v>1471</v>
      </c>
      <c r="C77" s="66" t="s">
        <v>1149</v>
      </c>
      <c r="D77" s="66">
        <v>50</v>
      </c>
      <c r="E77" s="7">
        <v>493.22800000000001</v>
      </c>
      <c r="F77" s="7">
        <v>4.2359588562696601E-2</v>
      </c>
    </row>
    <row r="78" spans="1:6" x14ac:dyDescent="0.2">
      <c r="A78" s="66" t="s">
        <v>1105</v>
      </c>
      <c r="B78" s="66" t="s">
        <v>1106</v>
      </c>
      <c r="C78" s="66" t="s">
        <v>897</v>
      </c>
      <c r="D78" s="66">
        <v>45</v>
      </c>
      <c r="E78" s="7">
        <v>452.25945000000002</v>
      </c>
      <c r="F78" s="7">
        <v>3.8841112478592899E-2</v>
      </c>
    </row>
    <row r="79" spans="1:6" x14ac:dyDescent="0.2">
      <c r="A79" s="66" t="s">
        <v>420</v>
      </c>
      <c r="B79" s="66" t="s">
        <v>708</v>
      </c>
      <c r="C79" s="66" t="s">
        <v>421</v>
      </c>
      <c r="D79" s="66">
        <v>30</v>
      </c>
      <c r="E79" s="7">
        <v>295.05509999999998</v>
      </c>
      <c r="F79" s="7">
        <v>2.5340030653826E-2</v>
      </c>
    </row>
    <row r="80" spans="1:6" x14ac:dyDescent="0.2">
      <c r="A80" s="66" t="s">
        <v>742</v>
      </c>
      <c r="B80" s="66" t="s">
        <v>743</v>
      </c>
      <c r="C80" s="66" t="s">
        <v>744</v>
      </c>
      <c r="D80" s="66">
        <v>30</v>
      </c>
      <c r="E80" s="7">
        <v>284.9778</v>
      </c>
      <c r="F80" s="7">
        <v>2.44745682676215E-2</v>
      </c>
    </row>
    <row r="81" spans="1:6" x14ac:dyDescent="0.2">
      <c r="A81" s="66" t="s">
        <v>949</v>
      </c>
      <c r="B81" s="66" t="s">
        <v>950</v>
      </c>
      <c r="C81" s="66" t="s">
        <v>892</v>
      </c>
      <c r="D81" s="66">
        <v>24000</v>
      </c>
      <c r="E81" s="7">
        <v>228.86376000000001</v>
      </c>
      <c r="F81" s="7">
        <v>1.9655361639062899E-2</v>
      </c>
    </row>
    <row r="82" spans="1:6" x14ac:dyDescent="0.2">
      <c r="A82" s="66" t="s">
        <v>1115</v>
      </c>
      <c r="B82" s="66" t="s">
        <v>1116</v>
      </c>
      <c r="C82" s="66" t="s">
        <v>421</v>
      </c>
      <c r="D82" s="66">
        <v>1</v>
      </c>
      <c r="E82" s="7">
        <v>98.605199999999996</v>
      </c>
      <c r="F82" s="67">
        <v>0.01</v>
      </c>
    </row>
    <row r="83" spans="1:6" x14ac:dyDescent="0.2">
      <c r="A83" s="66" t="s">
        <v>947</v>
      </c>
      <c r="B83" s="66" t="s">
        <v>948</v>
      </c>
      <c r="C83" s="66" t="s">
        <v>799</v>
      </c>
      <c r="D83" s="66">
        <v>4000</v>
      </c>
      <c r="E83" s="7">
        <v>38.927199999999999</v>
      </c>
      <c r="F83" s="74" t="s">
        <v>1485</v>
      </c>
    </row>
    <row r="84" spans="1:6" x14ac:dyDescent="0.2">
      <c r="A84" s="66" t="s">
        <v>1100</v>
      </c>
      <c r="B84" s="66" t="s">
        <v>1101</v>
      </c>
      <c r="C84" s="66" t="s">
        <v>421</v>
      </c>
      <c r="D84" s="66">
        <v>1</v>
      </c>
      <c r="E84" s="7">
        <v>9.8635199999999994</v>
      </c>
      <c r="F84" s="74" t="s">
        <v>1485</v>
      </c>
    </row>
    <row r="85" spans="1:6" x14ac:dyDescent="0.2">
      <c r="A85" s="65" t="s">
        <v>39</v>
      </c>
      <c r="B85" s="66"/>
      <c r="C85" s="66"/>
      <c r="D85" s="66"/>
      <c r="E85" s="6">
        <f>SUM(E8:E84)</f>
        <v>614970.62884149991</v>
      </c>
      <c r="F85" s="6">
        <f>SUM(F8:F84)</f>
        <v>52.812475093347672</v>
      </c>
    </row>
    <row r="86" spans="1:6" x14ac:dyDescent="0.2">
      <c r="A86" s="66"/>
      <c r="B86" s="66"/>
      <c r="C86" s="66"/>
      <c r="D86" s="66"/>
      <c r="E86" s="7"/>
      <c r="F86" s="7"/>
    </row>
    <row r="87" spans="1:6" x14ac:dyDescent="0.2">
      <c r="A87" s="65" t="s">
        <v>822</v>
      </c>
      <c r="B87" s="66"/>
      <c r="C87" s="66"/>
      <c r="D87" s="66"/>
      <c r="E87" s="7"/>
      <c r="F87" s="7"/>
    </row>
    <row r="88" spans="1:6" x14ac:dyDescent="0.2">
      <c r="A88" s="66" t="s">
        <v>843</v>
      </c>
      <c r="B88" s="66" t="s">
        <v>844</v>
      </c>
      <c r="C88" s="66" t="s">
        <v>830</v>
      </c>
      <c r="D88" s="66">
        <v>500</v>
      </c>
      <c r="E88" s="7">
        <v>50991.6</v>
      </c>
      <c r="F88" s="7">
        <v>4.3792793518486297</v>
      </c>
    </row>
    <row r="89" spans="1:6" x14ac:dyDescent="0.2">
      <c r="A89" s="66" t="s">
        <v>1258</v>
      </c>
      <c r="B89" s="66" t="s">
        <v>1259</v>
      </c>
      <c r="C89" s="66" t="s">
        <v>1260</v>
      </c>
      <c r="D89" s="66">
        <v>2380</v>
      </c>
      <c r="E89" s="7">
        <v>38973.214</v>
      </c>
      <c r="F89" s="7">
        <v>3.3471119036346799</v>
      </c>
    </row>
    <row r="90" spans="1:6" x14ac:dyDescent="0.2">
      <c r="A90" s="66" t="s">
        <v>872</v>
      </c>
      <c r="B90" s="66" t="s">
        <v>873</v>
      </c>
      <c r="C90" s="66" t="s">
        <v>825</v>
      </c>
      <c r="D90" s="66">
        <v>350</v>
      </c>
      <c r="E90" s="7">
        <v>35113.224999999999</v>
      </c>
      <c r="F90" s="7">
        <v>3.01560690818321</v>
      </c>
    </row>
    <row r="91" spans="1:6" x14ac:dyDescent="0.2">
      <c r="A91" s="66" t="s">
        <v>854</v>
      </c>
      <c r="B91" s="66" t="s">
        <v>855</v>
      </c>
      <c r="C91" s="66" t="s">
        <v>839</v>
      </c>
      <c r="D91" s="66">
        <v>30000</v>
      </c>
      <c r="E91" s="7">
        <v>30743.7</v>
      </c>
      <c r="F91" s="7">
        <v>2.6403417545130701</v>
      </c>
    </row>
    <row r="92" spans="1:6" x14ac:dyDescent="0.2">
      <c r="A92" s="66" t="s">
        <v>1248</v>
      </c>
      <c r="B92" s="66" t="s">
        <v>1249</v>
      </c>
      <c r="C92" s="66" t="s">
        <v>753</v>
      </c>
      <c r="D92" s="66">
        <v>2210</v>
      </c>
      <c r="E92" s="7">
        <v>24540.878700000001</v>
      </c>
      <c r="F92" s="7">
        <v>2.1076287735064598</v>
      </c>
    </row>
    <row r="93" spans="1:6" x14ac:dyDescent="0.2">
      <c r="A93" s="66" t="s">
        <v>881</v>
      </c>
      <c r="B93" s="66" t="s">
        <v>882</v>
      </c>
      <c r="C93" s="66" t="s">
        <v>842</v>
      </c>
      <c r="D93" s="66">
        <v>2400</v>
      </c>
      <c r="E93" s="7">
        <v>23398.944</v>
      </c>
      <c r="F93" s="7">
        <v>2.0095567174644899</v>
      </c>
    </row>
    <row r="94" spans="1:6" x14ac:dyDescent="0.2">
      <c r="A94" s="66" t="s">
        <v>1486</v>
      </c>
      <c r="B94" s="66" t="s">
        <v>1487</v>
      </c>
      <c r="C94" s="66" t="s">
        <v>830</v>
      </c>
      <c r="D94" s="66">
        <v>2330</v>
      </c>
      <c r="E94" s="7">
        <v>22901.430199999999</v>
      </c>
      <c r="F94" s="7">
        <v>1.96682905424938</v>
      </c>
    </row>
    <row r="95" spans="1:6" x14ac:dyDescent="0.2">
      <c r="A95" s="66" t="s">
        <v>1488</v>
      </c>
      <c r="B95" s="66" t="s">
        <v>1489</v>
      </c>
      <c r="C95" s="66" t="s">
        <v>839</v>
      </c>
      <c r="D95" s="66">
        <v>1660</v>
      </c>
      <c r="E95" s="7">
        <v>15680.974200000001</v>
      </c>
      <c r="F95" s="7">
        <v>1.3467191955328199</v>
      </c>
    </row>
    <row r="96" spans="1:6" x14ac:dyDescent="0.2">
      <c r="A96" s="66" t="s">
        <v>1490</v>
      </c>
      <c r="B96" s="66" t="s">
        <v>1491</v>
      </c>
      <c r="C96" s="66" t="s">
        <v>1238</v>
      </c>
      <c r="D96" s="66">
        <v>98</v>
      </c>
      <c r="E96" s="7">
        <v>14629.7438</v>
      </c>
      <c r="F96" s="7">
        <v>1.2564370395550599</v>
      </c>
    </row>
    <row r="97" spans="1:6" x14ac:dyDescent="0.2">
      <c r="A97" s="66" t="s">
        <v>862</v>
      </c>
      <c r="B97" s="66" t="s">
        <v>863</v>
      </c>
      <c r="C97" s="66" t="s">
        <v>786</v>
      </c>
      <c r="D97" s="66">
        <v>1300</v>
      </c>
      <c r="E97" s="7">
        <v>12546.248</v>
      </c>
      <c r="F97" s="7">
        <v>1.07750148670707</v>
      </c>
    </row>
    <row r="98" spans="1:6" x14ac:dyDescent="0.2">
      <c r="A98" s="66" t="s">
        <v>1289</v>
      </c>
      <c r="B98" s="66" t="s">
        <v>1290</v>
      </c>
      <c r="C98" s="66" t="s">
        <v>842</v>
      </c>
      <c r="D98" s="66">
        <v>1150</v>
      </c>
      <c r="E98" s="7">
        <v>11491.386500000001</v>
      </c>
      <c r="F98" s="7">
        <v>0.98690748326316802</v>
      </c>
    </row>
    <row r="99" spans="1:6" x14ac:dyDescent="0.2">
      <c r="A99" s="66" t="s">
        <v>1492</v>
      </c>
      <c r="B99" s="66" t="s">
        <v>1493</v>
      </c>
      <c r="C99" s="66" t="s">
        <v>836</v>
      </c>
      <c r="D99" s="66">
        <v>75</v>
      </c>
      <c r="E99" s="7">
        <v>11012.084999999999</v>
      </c>
      <c r="F99" s="7">
        <v>0.94574393549725899</v>
      </c>
    </row>
    <row r="100" spans="1:6" x14ac:dyDescent="0.2">
      <c r="A100" s="66" t="s">
        <v>1494</v>
      </c>
      <c r="B100" s="66" t="s">
        <v>1495</v>
      </c>
      <c r="C100" s="66" t="s">
        <v>830</v>
      </c>
      <c r="D100" s="66">
        <v>1100</v>
      </c>
      <c r="E100" s="7">
        <v>10956.99</v>
      </c>
      <c r="F100" s="7">
        <v>0.94101224643690196</v>
      </c>
    </row>
    <row r="101" spans="1:6" x14ac:dyDescent="0.2">
      <c r="A101" s="66" t="s">
        <v>834</v>
      </c>
      <c r="B101" s="66" t="s">
        <v>835</v>
      </c>
      <c r="C101" s="66" t="s">
        <v>836</v>
      </c>
      <c r="D101" s="66">
        <v>10977</v>
      </c>
      <c r="E101" s="7">
        <v>10592.651322</v>
      </c>
      <c r="F101" s="7">
        <v>0.90972197804671195</v>
      </c>
    </row>
    <row r="102" spans="1:6" x14ac:dyDescent="0.2">
      <c r="A102" s="66" t="s">
        <v>831</v>
      </c>
      <c r="B102" s="66" t="s">
        <v>832</v>
      </c>
      <c r="C102" s="66" t="s">
        <v>833</v>
      </c>
      <c r="D102" s="66">
        <v>940</v>
      </c>
      <c r="E102" s="7">
        <v>10388.052799999999</v>
      </c>
      <c r="F102" s="7">
        <v>0.89215057250514496</v>
      </c>
    </row>
    <row r="103" spans="1:6" x14ac:dyDescent="0.2">
      <c r="A103" s="66" t="s">
        <v>1496</v>
      </c>
      <c r="B103" s="66" t="s">
        <v>1497</v>
      </c>
      <c r="C103" s="66" t="s">
        <v>786</v>
      </c>
      <c r="D103" s="66">
        <v>1112</v>
      </c>
      <c r="E103" s="7">
        <v>10357.5016</v>
      </c>
      <c r="F103" s="7">
        <v>0.88952676310645595</v>
      </c>
    </row>
    <row r="104" spans="1:6" x14ac:dyDescent="0.2">
      <c r="A104" s="66" t="s">
        <v>1261</v>
      </c>
      <c r="B104" s="66" t="s">
        <v>1262</v>
      </c>
      <c r="C104" s="66" t="s">
        <v>791</v>
      </c>
      <c r="D104" s="66">
        <v>1050</v>
      </c>
      <c r="E104" s="7">
        <v>10187.142</v>
      </c>
      <c r="F104" s="7">
        <v>0.87489587726115603</v>
      </c>
    </row>
    <row r="105" spans="1:6" x14ac:dyDescent="0.2">
      <c r="A105" s="66" t="s">
        <v>1498</v>
      </c>
      <c r="B105" s="66" t="s">
        <v>1499</v>
      </c>
      <c r="C105" s="66" t="s">
        <v>830</v>
      </c>
      <c r="D105" s="66">
        <v>1000</v>
      </c>
      <c r="E105" s="7">
        <v>10032.31</v>
      </c>
      <c r="F105" s="7">
        <v>0.86159853847191603</v>
      </c>
    </row>
    <row r="106" spans="1:6" x14ac:dyDescent="0.2">
      <c r="A106" s="66" t="s">
        <v>1500</v>
      </c>
      <c r="B106" s="66" t="s">
        <v>1501</v>
      </c>
      <c r="C106" s="66" t="s">
        <v>791</v>
      </c>
      <c r="D106" s="66">
        <v>740</v>
      </c>
      <c r="E106" s="7">
        <v>9394.6034</v>
      </c>
      <c r="F106" s="7">
        <v>0.80683078562796595</v>
      </c>
    </row>
    <row r="107" spans="1:6" x14ac:dyDescent="0.2">
      <c r="A107" s="66" t="s">
        <v>847</v>
      </c>
      <c r="B107" s="66" t="s">
        <v>848</v>
      </c>
      <c r="C107" s="66" t="s">
        <v>839</v>
      </c>
      <c r="D107" s="66">
        <v>910</v>
      </c>
      <c r="E107" s="7">
        <v>8612.6677</v>
      </c>
      <c r="F107" s="7">
        <v>0.73967629615355601</v>
      </c>
    </row>
    <row r="108" spans="1:6" x14ac:dyDescent="0.2">
      <c r="A108" s="66" t="s">
        <v>1502</v>
      </c>
      <c r="B108" s="66" t="s">
        <v>1503</v>
      </c>
      <c r="C108" s="66" t="s">
        <v>830</v>
      </c>
      <c r="D108" s="66">
        <v>800</v>
      </c>
      <c r="E108" s="7">
        <v>7876.6239999999998</v>
      </c>
      <c r="F108" s="7">
        <v>0.67646312030756806</v>
      </c>
    </row>
    <row r="109" spans="1:6" x14ac:dyDescent="0.2">
      <c r="A109" s="66" t="s">
        <v>1504</v>
      </c>
      <c r="B109" s="66" t="s">
        <v>1505</v>
      </c>
      <c r="C109" s="66" t="s">
        <v>842</v>
      </c>
      <c r="D109" s="66">
        <v>750</v>
      </c>
      <c r="E109" s="7">
        <v>7687.2</v>
      </c>
      <c r="F109" s="7">
        <v>0.66019493864736201</v>
      </c>
    </row>
    <row r="110" spans="1:6" x14ac:dyDescent="0.2">
      <c r="A110" s="66" t="s">
        <v>1506</v>
      </c>
      <c r="B110" s="66" t="s">
        <v>1507</v>
      </c>
      <c r="C110" s="66" t="s">
        <v>750</v>
      </c>
      <c r="D110" s="66">
        <v>666</v>
      </c>
      <c r="E110" s="7">
        <v>7001.43822</v>
      </c>
      <c r="F110" s="7">
        <v>0.60130009315435995</v>
      </c>
    </row>
    <row r="111" spans="1:6" x14ac:dyDescent="0.2">
      <c r="A111" s="66" t="s">
        <v>1508</v>
      </c>
      <c r="B111" s="66" t="s">
        <v>1509</v>
      </c>
      <c r="C111" s="66" t="s">
        <v>1260</v>
      </c>
      <c r="D111" s="66">
        <v>700</v>
      </c>
      <c r="E111" s="7">
        <v>6794.8649999999998</v>
      </c>
      <c r="F111" s="7">
        <v>0.58355909587263299</v>
      </c>
    </row>
    <row r="112" spans="1:6" x14ac:dyDescent="0.2">
      <c r="A112" s="66" t="s">
        <v>852</v>
      </c>
      <c r="B112" s="66" t="s">
        <v>853</v>
      </c>
      <c r="C112" s="66" t="s">
        <v>836</v>
      </c>
      <c r="D112" s="66">
        <v>44</v>
      </c>
      <c r="E112" s="7">
        <v>6452.7496000000001</v>
      </c>
      <c r="F112" s="7">
        <v>0.55417741521994801</v>
      </c>
    </row>
    <row r="113" spans="1:6" x14ac:dyDescent="0.2">
      <c r="A113" s="66" t="s">
        <v>1510</v>
      </c>
      <c r="B113" s="66" t="s">
        <v>1511</v>
      </c>
      <c r="C113" s="66" t="s">
        <v>830</v>
      </c>
      <c r="D113" s="66">
        <v>600</v>
      </c>
      <c r="E113" s="7">
        <v>5932.4520000000002</v>
      </c>
      <c r="F113" s="7">
        <v>0.50949302531070095</v>
      </c>
    </row>
    <row r="114" spans="1:6" x14ac:dyDescent="0.2">
      <c r="A114" s="66" t="s">
        <v>1512</v>
      </c>
      <c r="B114" s="66" t="s">
        <v>1513</v>
      </c>
      <c r="C114" s="66" t="s">
        <v>1238</v>
      </c>
      <c r="D114" s="66">
        <v>38</v>
      </c>
      <c r="E114" s="7">
        <v>5612.201</v>
      </c>
      <c r="F114" s="7">
        <v>0.48198911110308901</v>
      </c>
    </row>
    <row r="115" spans="1:6" x14ac:dyDescent="0.2">
      <c r="A115" s="66" t="s">
        <v>1514</v>
      </c>
      <c r="B115" s="66" t="s">
        <v>1515</v>
      </c>
      <c r="C115" s="66" t="s">
        <v>842</v>
      </c>
      <c r="D115" s="66">
        <v>500</v>
      </c>
      <c r="E115" s="7">
        <v>5114.085</v>
      </c>
      <c r="F115" s="7">
        <v>0.439209729526016</v>
      </c>
    </row>
    <row r="116" spans="1:6" x14ac:dyDescent="0.2">
      <c r="A116" s="66" t="s">
        <v>1516</v>
      </c>
      <c r="B116" s="66" t="s">
        <v>1517</v>
      </c>
      <c r="C116" s="66" t="s">
        <v>851</v>
      </c>
      <c r="D116" s="66">
        <v>500</v>
      </c>
      <c r="E116" s="7">
        <v>5024.3249999999998</v>
      </c>
      <c r="F116" s="7">
        <v>0.431500928181836</v>
      </c>
    </row>
    <row r="117" spans="1:6" x14ac:dyDescent="0.2">
      <c r="A117" s="66" t="s">
        <v>1518</v>
      </c>
      <c r="B117" s="66" t="s">
        <v>1519</v>
      </c>
      <c r="C117" s="66" t="s">
        <v>836</v>
      </c>
      <c r="D117" s="66">
        <v>34</v>
      </c>
      <c r="E117" s="7">
        <v>4986.2156000000004</v>
      </c>
      <c r="F117" s="7">
        <v>0.42822800266995997</v>
      </c>
    </row>
    <row r="118" spans="1:6" x14ac:dyDescent="0.2">
      <c r="A118" s="66" t="s">
        <v>1520</v>
      </c>
      <c r="B118" s="66" t="s">
        <v>1521</v>
      </c>
      <c r="C118" s="66" t="s">
        <v>750</v>
      </c>
      <c r="D118" s="66">
        <v>468</v>
      </c>
      <c r="E118" s="7">
        <v>4910.8035600000003</v>
      </c>
      <c r="F118" s="7">
        <v>0.42175143810534999</v>
      </c>
    </row>
    <row r="119" spans="1:6" x14ac:dyDescent="0.2">
      <c r="A119" s="66" t="s">
        <v>1522</v>
      </c>
      <c r="B119" s="66" t="s">
        <v>1523</v>
      </c>
      <c r="C119" s="66" t="s">
        <v>851</v>
      </c>
      <c r="D119" s="66">
        <v>500</v>
      </c>
      <c r="E119" s="7">
        <v>4893.8649999999998</v>
      </c>
      <c r="F119" s="7">
        <v>0.42029671446345501</v>
      </c>
    </row>
    <row r="120" spans="1:6" x14ac:dyDescent="0.2">
      <c r="A120" s="66" t="s">
        <v>837</v>
      </c>
      <c r="B120" s="66" t="s">
        <v>838</v>
      </c>
      <c r="C120" s="66" t="s">
        <v>839</v>
      </c>
      <c r="D120" s="66">
        <v>400</v>
      </c>
      <c r="E120" s="7">
        <v>4159.5039999999999</v>
      </c>
      <c r="F120" s="7">
        <v>0.35722805287796</v>
      </c>
    </row>
    <row r="121" spans="1:6" x14ac:dyDescent="0.2">
      <c r="A121" s="66" t="s">
        <v>856</v>
      </c>
      <c r="B121" s="66" t="s">
        <v>857</v>
      </c>
      <c r="C121" s="66" t="s">
        <v>756</v>
      </c>
      <c r="D121" s="66">
        <v>430</v>
      </c>
      <c r="E121" s="7">
        <v>4133.2975999999999</v>
      </c>
      <c r="F121" s="7">
        <v>0.35497738519139399</v>
      </c>
    </row>
    <row r="122" spans="1:6" x14ac:dyDescent="0.2">
      <c r="A122" s="66" t="s">
        <v>1524</v>
      </c>
      <c r="B122" s="66" t="s">
        <v>1525</v>
      </c>
      <c r="C122" s="66" t="s">
        <v>830</v>
      </c>
      <c r="D122" s="66">
        <v>400</v>
      </c>
      <c r="E122" s="7">
        <v>3972.6080000000002</v>
      </c>
      <c r="F122" s="7">
        <v>0.34117698184384698</v>
      </c>
    </row>
    <row r="123" spans="1:6" x14ac:dyDescent="0.2">
      <c r="A123" s="66" t="s">
        <v>1526</v>
      </c>
      <c r="B123" s="66" t="s">
        <v>1527</v>
      </c>
      <c r="C123" s="66" t="s">
        <v>1528</v>
      </c>
      <c r="D123" s="66">
        <v>400</v>
      </c>
      <c r="E123" s="7">
        <v>3964.768</v>
      </c>
      <c r="F123" s="7">
        <v>0.34050366407938198</v>
      </c>
    </row>
    <row r="124" spans="1:6" x14ac:dyDescent="0.2">
      <c r="A124" s="66" t="s">
        <v>1529</v>
      </c>
      <c r="B124" s="66" t="s">
        <v>1530</v>
      </c>
      <c r="C124" s="66" t="s">
        <v>851</v>
      </c>
      <c r="D124" s="66">
        <v>394</v>
      </c>
      <c r="E124" s="7">
        <v>3928.8025200000002</v>
      </c>
      <c r="F124" s="7">
        <v>0.33741486349373001</v>
      </c>
    </row>
    <row r="125" spans="1:6" x14ac:dyDescent="0.2">
      <c r="A125" s="66" t="s">
        <v>1531</v>
      </c>
      <c r="B125" s="66" t="s">
        <v>1532</v>
      </c>
      <c r="C125" s="66" t="s">
        <v>830</v>
      </c>
      <c r="D125" s="66">
        <v>375</v>
      </c>
      <c r="E125" s="7">
        <v>3766.69875</v>
      </c>
      <c r="F125" s="7">
        <v>0.32349300787794599</v>
      </c>
    </row>
    <row r="126" spans="1:6" x14ac:dyDescent="0.2">
      <c r="A126" s="66" t="s">
        <v>870</v>
      </c>
      <c r="B126" s="66" t="s">
        <v>871</v>
      </c>
      <c r="C126" s="66" t="s">
        <v>839</v>
      </c>
      <c r="D126" s="66">
        <v>385</v>
      </c>
      <c r="E126" s="7">
        <v>3761.5578</v>
      </c>
      <c r="F126" s="7">
        <v>0.32305149091860602</v>
      </c>
    </row>
    <row r="127" spans="1:6" x14ac:dyDescent="0.2">
      <c r="A127" s="66" t="s">
        <v>1533</v>
      </c>
      <c r="B127" s="66" t="s">
        <v>1534</v>
      </c>
      <c r="C127" s="66" t="s">
        <v>830</v>
      </c>
      <c r="D127" s="66">
        <v>350</v>
      </c>
      <c r="E127" s="7">
        <v>3514.7105000000001</v>
      </c>
      <c r="F127" s="7">
        <v>0.301851660280822</v>
      </c>
    </row>
    <row r="128" spans="1:6" x14ac:dyDescent="0.2">
      <c r="A128" s="66" t="s">
        <v>1535</v>
      </c>
      <c r="B128" s="66" t="s">
        <v>1536</v>
      </c>
      <c r="C128" s="66" t="s">
        <v>851</v>
      </c>
      <c r="D128" s="66">
        <v>600</v>
      </c>
      <c r="E128" s="7">
        <v>3377.52</v>
      </c>
      <c r="F128" s="7">
        <v>0.29006941528517999</v>
      </c>
    </row>
    <row r="129" spans="1:6" x14ac:dyDescent="0.2">
      <c r="A129" s="66" t="s">
        <v>1537</v>
      </c>
      <c r="B129" s="66" t="s">
        <v>1538</v>
      </c>
      <c r="C129" s="66" t="s">
        <v>851</v>
      </c>
      <c r="D129" s="66">
        <v>300</v>
      </c>
      <c r="E129" s="7">
        <v>3015.4679999999998</v>
      </c>
      <c r="F129" s="7">
        <v>0.25897553221629199</v>
      </c>
    </row>
    <row r="130" spans="1:6" x14ac:dyDescent="0.2">
      <c r="A130" s="66" t="s">
        <v>866</v>
      </c>
      <c r="B130" s="66" t="s">
        <v>867</v>
      </c>
      <c r="C130" s="66" t="s">
        <v>786</v>
      </c>
      <c r="D130" s="66">
        <v>300</v>
      </c>
      <c r="E130" s="7">
        <v>2972.7449999999999</v>
      </c>
      <c r="F130" s="7">
        <v>0.25530637981179799</v>
      </c>
    </row>
    <row r="131" spans="1:6" x14ac:dyDescent="0.2">
      <c r="A131" s="66" t="s">
        <v>1539</v>
      </c>
      <c r="B131" s="66" t="s">
        <v>1540</v>
      </c>
      <c r="C131" s="66" t="s">
        <v>851</v>
      </c>
      <c r="D131" s="66">
        <v>250</v>
      </c>
      <c r="E131" s="7">
        <v>2507.84</v>
      </c>
      <c r="F131" s="7">
        <v>0.21537923755559901</v>
      </c>
    </row>
    <row r="132" spans="1:6" x14ac:dyDescent="0.2">
      <c r="A132" s="66" t="s">
        <v>1541</v>
      </c>
      <c r="B132" s="66" t="s">
        <v>1542</v>
      </c>
      <c r="C132" s="66" t="s">
        <v>830</v>
      </c>
      <c r="D132" s="66">
        <v>250</v>
      </c>
      <c r="E132" s="7">
        <v>2507.335</v>
      </c>
      <c r="F132" s="7">
        <v>0.215335866959801</v>
      </c>
    </row>
    <row r="133" spans="1:6" x14ac:dyDescent="0.2">
      <c r="A133" s="66" t="s">
        <v>1543</v>
      </c>
      <c r="B133" s="66" t="s">
        <v>1544</v>
      </c>
      <c r="C133" s="66" t="s">
        <v>851</v>
      </c>
      <c r="D133" s="66">
        <v>200</v>
      </c>
      <c r="E133" s="7">
        <v>2010.316</v>
      </c>
      <c r="F133" s="7">
        <v>0.172650698340333</v>
      </c>
    </row>
    <row r="134" spans="1:6" x14ac:dyDescent="0.2">
      <c r="A134" s="66" t="s">
        <v>1545</v>
      </c>
      <c r="B134" s="66" t="s">
        <v>1546</v>
      </c>
      <c r="C134" s="66" t="s">
        <v>830</v>
      </c>
      <c r="D134" s="66">
        <v>200</v>
      </c>
      <c r="E134" s="7">
        <v>2001.2380000000001</v>
      </c>
      <c r="F134" s="7">
        <v>0.171871058204388</v>
      </c>
    </row>
    <row r="135" spans="1:6" x14ac:dyDescent="0.2">
      <c r="A135" s="66" t="s">
        <v>1547</v>
      </c>
      <c r="B135" s="66" t="s">
        <v>1548</v>
      </c>
      <c r="C135" s="66" t="s">
        <v>851</v>
      </c>
      <c r="D135" s="66">
        <v>200</v>
      </c>
      <c r="E135" s="7">
        <v>1990.8520000000001</v>
      </c>
      <c r="F135" s="7">
        <v>0.170979083931207</v>
      </c>
    </row>
    <row r="136" spans="1:6" x14ac:dyDescent="0.2">
      <c r="A136" s="66" t="s">
        <v>864</v>
      </c>
      <c r="B136" s="66" t="s">
        <v>865</v>
      </c>
      <c r="C136" s="66" t="s">
        <v>842</v>
      </c>
      <c r="D136" s="66">
        <v>180</v>
      </c>
      <c r="E136" s="7">
        <v>1841.0706</v>
      </c>
      <c r="F136" s="7">
        <v>0.15811550262936599</v>
      </c>
    </row>
    <row r="137" spans="1:6" x14ac:dyDescent="0.2">
      <c r="A137" s="66" t="s">
        <v>1307</v>
      </c>
      <c r="B137" s="66" t="s">
        <v>1308</v>
      </c>
      <c r="C137" s="66" t="s">
        <v>799</v>
      </c>
      <c r="D137" s="66">
        <v>15</v>
      </c>
      <c r="E137" s="7">
        <v>1729.0319999999999</v>
      </c>
      <c r="F137" s="7">
        <v>0.148493362363322</v>
      </c>
    </row>
    <row r="138" spans="1:6" x14ac:dyDescent="0.2">
      <c r="A138" s="66" t="s">
        <v>868</v>
      </c>
      <c r="B138" s="66" t="s">
        <v>869</v>
      </c>
      <c r="C138" s="66" t="s">
        <v>839</v>
      </c>
      <c r="D138" s="66">
        <v>150</v>
      </c>
      <c r="E138" s="7">
        <v>1453.7145</v>
      </c>
      <c r="F138" s="7">
        <v>0.124848443534483</v>
      </c>
    </row>
    <row r="139" spans="1:6" x14ac:dyDescent="0.2">
      <c r="A139" s="66" t="s">
        <v>1549</v>
      </c>
      <c r="B139" s="66" t="s">
        <v>1550</v>
      </c>
      <c r="C139" s="66" t="s">
        <v>830</v>
      </c>
      <c r="D139" s="66">
        <v>125</v>
      </c>
      <c r="E139" s="7">
        <v>1251.875</v>
      </c>
      <c r="F139" s="7">
        <v>0.10751398933541</v>
      </c>
    </row>
    <row r="140" spans="1:6" x14ac:dyDescent="0.2">
      <c r="A140" s="66" t="s">
        <v>874</v>
      </c>
      <c r="B140" s="66" t="s">
        <v>875</v>
      </c>
      <c r="C140" s="66" t="s">
        <v>839</v>
      </c>
      <c r="D140" s="66">
        <v>102</v>
      </c>
      <c r="E140" s="7">
        <v>1015.08156</v>
      </c>
      <c r="F140" s="7">
        <v>8.7177608001127602E-2</v>
      </c>
    </row>
    <row r="141" spans="1:6" x14ac:dyDescent="0.2">
      <c r="A141" s="66" t="s">
        <v>1551</v>
      </c>
      <c r="B141" s="66" t="s">
        <v>1552</v>
      </c>
      <c r="C141" s="66" t="s">
        <v>851</v>
      </c>
      <c r="D141" s="66">
        <v>100</v>
      </c>
      <c r="E141" s="7">
        <v>1003.59</v>
      </c>
      <c r="F141" s="7">
        <v>8.6190685617273596E-2</v>
      </c>
    </row>
    <row r="142" spans="1:6" x14ac:dyDescent="0.2">
      <c r="A142" s="66" t="s">
        <v>1283</v>
      </c>
      <c r="B142" s="66" t="s">
        <v>1284</v>
      </c>
      <c r="C142" s="66" t="s">
        <v>759</v>
      </c>
      <c r="D142" s="66">
        <v>100</v>
      </c>
      <c r="E142" s="7">
        <v>1003.2430000000001</v>
      </c>
      <c r="F142" s="7">
        <v>8.6160884435606599E-2</v>
      </c>
    </row>
    <row r="143" spans="1:6" x14ac:dyDescent="0.2">
      <c r="A143" s="66" t="s">
        <v>876</v>
      </c>
      <c r="B143" s="66" t="s">
        <v>877</v>
      </c>
      <c r="C143" s="66" t="s">
        <v>878</v>
      </c>
      <c r="D143" s="66">
        <v>100</v>
      </c>
      <c r="E143" s="7">
        <v>985.33600000000001</v>
      </c>
      <c r="F143" s="7">
        <v>8.4622988873326699E-2</v>
      </c>
    </row>
    <row r="144" spans="1:6" x14ac:dyDescent="0.2">
      <c r="A144" s="66" t="s">
        <v>1553</v>
      </c>
      <c r="B144" s="66" t="s">
        <v>1554</v>
      </c>
      <c r="C144" s="66" t="s">
        <v>799</v>
      </c>
      <c r="D144" s="66">
        <v>5</v>
      </c>
      <c r="E144" s="7">
        <v>663.51300000000003</v>
      </c>
      <c r="F144" s="7">
        <v>5.6984067583349798E-2</v>
      </c>
    </row>
    <row r="145" spans="1:9" x14ac:dyDescent="0.2">
      <c r="A145" s="66" t="s">
        <v>1555</v>
      </c>
      <c r="B145" s="66" t="s">
        <v>1556</v>
      </c>
      <c r="C145" s="66" t="s">
        <v>851</v>
      </c>
      <c r="D145" s="66">
        <v>62</v>
      </c>
      <c r="E145" s="7">
        <v>621.15754000000004</v>
      </c>
      <c r="F145" s="7">
        <v>5.3346480384359199E-2</v>
      </c>
    </row>
    <row r="146" spans="1:9" x14ac:dyDescent="0.2">
      <c r="A146" s="66" t="s">
        <v>1287</v>
      </c>
      <c r="B146" s="66" t="s">
        <v>1288</v>
      </c>
      <c r="C146" s="66" t="s">
        <v>791</v>
      </c>
      <c r="D146" s="66">
        <v>50</v>
      </c>
      <c r="E146" s="7">
        <v>598.53650000000005</v>
      </c>
      <c r="F146" s="7">
        <v>5.1403731904426403E-2</v>
      </c>
    </row>
    <row r="147" spans="1:9" x14ac:dyDescent="0.2">
      <c r="A147" s="66" t="s">
        <v>1557</v>
      </c>
      <c r="B147" s="66" t="s">
        <v>1558</v>
      </c>
      <c r="C147" s="66" t="s">
        <v>830</v>
      </c>
      <c r="D147" s="66">
        <v>40</v>
      </c>
      <c r="E147" s="7">
        <v>399.51600000000002</v>
      </c>
      <c r="F147" s="7">
        <v>3.4311380100509901E-2</v>
      </c>
    </row>
    <row r="148" spans="1:9" x14ac:dyDescent="0.2">
      <c r="A148" s="66" t="s">
        <v>953</v>
      </c>
      <c r="B148" s="66" t="s">
        <v>954</v>
      </c>
      <c r="C148" s="66" t="s">
        <v>421</v>
      </c>
      <c r="D148" s="66">
        <v>16</v>
      </c>
      <c r="E148" s="7">
        <v>155.35151999999999</v>
      </c>
      <c r="F148" s="67">
        <v>0.01</v>
      </c>
    </row>
    <row r="149" spans="1:9" x14ac:dyDescent="0.2">
      <c r="A149" s="66" t="s">
        <v>1121</v>
      </c>
      <c r="B149" s="66" t="s">
        <v>1122</v>
      </c>
      <c r="C149" s="66" t="s">
        <v>421</v>
      </c>
      <c r="D149" s="66">
        <v>9</v>
      </c>
      <c r="E149" s="7">
        <v>88.705709999999996</v>
      </c>
      <c r="F149" s="67">
        <v>0.01</v>
      </c>
    </row>
    <row r="150" spans="1:9" x14ac:dyDescent="0.2">
      <c r="A150" s="65" t="s">
        <v>39</v>
      </c>
      <c r="B150" s="66"/>
      <c r="C150" s="66"/>
      <c r="D150" s="66"/>
      <c r="E150" s="6">
        <f>SUM(E88:E149)</f>
        <v>509227.15630200016</v>
      </c>
      <c r="F150" s="6">
        <f>SUM(F88:F149)</f>
        <v>43.73267377775823</v>
      </c>
      <c r="H150" s="1"/>
      <c r="I150" s="1"/>
    </row>
    <row r="151" spans="1:9" x14ac:dyDescent="0.2">
      <c r="A151" s="66"/>
      <c r="B151" s="66"/>
      <c r="C151" s="66"/>
      <c r="D151" s="66"/>
      <c r="E151" s="7"/>
      <c r="F151" s="7"/>
    </row>
    <row r="152" spans="1:9" x14ac:dyDescent="0.2">
      <c r="A152" s="65" t="s">
        <v>39</v>
      </c>
      <c r="B152" s="66"/>
      <c r="C152" s="66"/>
      <c r="D152" s="66"/>
      <c r="E152" s="6">
        <v>1124197.7851435</v>
      </c>
      <c r="F152" s="6">
        <v>96.548767794556227</v>
      </c>
      <c r="H152" s="1"/>
      <c r="I152" s="1"/>
    </row>
    <row r="153" spans="1:9" x14ac:dyDescent="0.2">
      <c r="A153" s="66"/>
      <c r="B153" s="66"/>
      <c r="C153" s="66"/>
      <c r="D153" s="66"/>
      <c r="E153" s="7"/>
      <c r="F153" s="7"/>
    </row>
    <row r="154" spans="1:9" x14ac:dyDescent="0.2">
      <c r="A154" s="65" t="s">
        <v>103</v>
      </c>
      <c r="B154" s="66"/>
      <c r="C154" s="66"/>
      <c r="D154" s="66"/>
      <c r="E154" s="6">
        <v>40185.5686107</v>
      </c>
      <c r="F154" s="6">
        <v>3.45</v>
      </c>
      <c r="H154" s="1"/>
      <c r="I154" s="1"/>
    </row>
    <row r="155" spans="1:9" x14ac:dyDescent="0.2">
      <c r="A155" s="66"/>
      <c r="B155" s="66"/>
      <c r="C155" s="66"/>
      <c r="D155" s="66"/>
      <c r="E155" s="7"/>
      <c r="F155" s="7"/>
    </row>
    <row r="156" spans="1:9" x14ac:dyDescent="0.2">
      <c r="A156" s="68" t="s">
        <v>104</v>
      </c>
      <c r="B156" s="64"/>
      <c r="C156" s="64"/>
      <c r="D156" s="64"/>
      <c r="E156" s="8">
        <v>1164383.3586106999</v>
      </c>
      <c r="F156" s="8">
        <f xml:space="preserve"> ROUND(SUM(F152:F155),2)</f>
        <v>100</v>
      </c>
      <c r="H156" s="1"/>
      <c r="I156" s="1"/>
    </row>
    <row r="157" spans="1:9" x14ac:dyDescent="0.2">
      <c r="A157" s="4" t="s">
        <v>714</v>
      </c>
      <c r="F157" s="9" t="s">
        <v>1559</v>
      </c>
    </row>
    <row r="159" spans="1:9" x14ac:dyDescent="0.2">
      <c r="A159" s="4" t="s">
        <v>105</v>
      </c>
    </row>
    <row r="160" spans="1:9" x14ac:dyDescent="0.2">
      <c r="A160" s="4" t="s">
        <v>106</v>
      </c>
    </row>
    <row r="161" spans="1:4" x14ac:dyDescent="0.2">
      <c r="A161" s="4" t="s">
        <v>107</v>
      </c>
    </row>
    <row r="162" spans="1:4" x14ac:dyDescent="0.2">
      <c r="A162" s="2" t="s">
        <v>1560</v>
      </c>
      <c r="D162" s="10">
        <v>3836.5711000000001</v>
      </c>
    </row>
    <row r="163" spans="1:4" x14ac:dyDescent="0.2">
      <c r="A163" s="2" t="s">
        <v>1561</v>
      </c>
      <c r="D163" s="10">
        <v>1260.0145</v>
      </c>
    </row>
    <row r="164" spans="1:4" x14ac:dyDescent="0.2">
      <c r="A164" s="2" t="s">
        <v>1562</v>
      </c>
      <c r="D164" s="10">
        <v>1317.5465999999999</v>
      </c>
    </row>
    <row r="165" spans="1:4" x14ac:dyDescent="0.2">
      <c r="A165" s="2" t="s">
        <v>1563</v>
      </c>
      <c r="D165" s="10">
        <v>1091.0812000000001</v>
      </c>
    </row>
    <row r="166" spans="1:4" x14ac:dyDescent="0.2">
      <c r="A166" s="2" t="s">
        <v>1395</v>
      </c>
      <c r="D166" s="10">
        <v>3027.3231999999998</v>
      </c>
    </row>
    <row r="167" spans="1:4" x14ac:dyDescent="0.2">
      <c r="A167" s="2" t="s">
        <v>1391</v>
      </c>
      <c r="D167" s="10">
        <v>3678.4612999999999</v>
      </c>
    </row>
    <row r="168" spans="1:4" x14ac:dyDescent="0.2">
      <c r="A168" s="2" t="s">
        <v>1564</v>
      </c>
      <c r="D168" s="10">
        <v>1199.9709</v>
      </c>
    </row>
    <row r="169" spans="1:4" x14ac:dyDescent="0.2">
      <c r="A169" s="2" t="s">
        <v>1565</v>
      </c>
      <c r="D169" s="10">
        <v>1253.6686999999999</v>
      </c>
    </row>
    <row r="170" spans="1:4" x14ac:dyDescent="0.2">
      <c r="A170" s="2" t="s">
        <v>1390</v>
      </c>
      <c r="D170" s="10">
        <v>1087.0554999999999</v>
      </c>
    </row>
    <row r="172" spans="1:4" x14ac:dyDescent="0.2">
      <c r="A172" s="4" t="s">
        <v>108</v>
      </c>
    </row>
    <row r="173" spans="1:4" x14ac:dyDescent="0.2">
      <c r="A173" s="2" t="s">
        <v>1561</v>
      </c>
      <c r="D173" s="10">
        <v>1269.7922000000001</v>
      </c>
    </row>
    <row r="174" spans="1:4" x14ac:dyDescent="0.2">
      <c r="A174" s="2" t="s">
        <v>1563</v>
      </c>
      <c r="D174" s="10">
        <v>1090.5689</v>
      </c>
    </row>
    <row r="175" spans="1:4" x14ac:dyDescent="0.2">
      <c r="A175" s="2" t="s">
        <v>1565</v>
      </c>
      <c r="D175" s="10">
        <v>1257.1815999999999</v>
      </c>
    </row>
    <row r="176" spans="1:4" x14ac:dyDescent="0.2">
      <c r="A176" s="2" t="s">
        <v>1564</v>
      </c>
      <c r="D176" s="10">
        <v>1202.1401000000001</v>
      </c>
    </row>
    <row r="177" spans="1:4" x14ac:dyDescent="0.2">
      <c r="A177" s="2" t="s">
        <v>1390</v>
      </c>
      <c r="D177" s="10">
        <v>1086.0269000000001</v>
      </c>
    </row>
    <row r="178" spans="1:4" x14ac:dyDescent="0.2">
      <c r="A178" s="2" t="s">
        <v>1395</v>
      </c>
      <c r="D178" s="10">
        <v>3166.4859000000001</v>
      </c>
    </row>
    <row r="179" spans="1:4" x14ac:dyDescent="0.2">
      <c r="A179" s="2" t="s">
        <v>1560</v>
      </c>
      <c r="D179" s="10">
        <v>4020.3478</v>
      </c>
    </row>
    <row r="180" spans="1:4" x14ac:dyDescent="0.2">
      <c r="A180" s="2" t="s">
        <v>1391</v>
      </c>
      <c r="D180" s="10">
        <v>3840.0765999999999</v>
      </c>
    </row>
    <row r="181" spans="1:4" x14ac:dyDescent="0.2">
      <c r="A181" s="2" t="s">
        <v>1562</v>
      </c>
      <c r="D181" s="10">
        <v>1329.0902000000001</v>
      </c>
    </row>
    <row r="183" spans="1:4" x14ac:dyDescent="0.2">
      <c r="A183" s="4" t="s">
        <v>109</v>
      </c>
      <c r="D183" s="69"/>
    </row>
    <row r="184" spans="1:4" x14ac:dyDescent="0.2">
      <c r="A184" s="80" t="s">
        <v>727</v>
      </c>
      <c r="B184" s="81"/>
      <c r="C184" s="77" t="s">
        <v>728</v>
      </c>
      <c r="D184" s="77"/>
    </row>
    <row r="185" spans="1:4" x14ac:dyDescent="0.2">
      <c r="A185" s="82"/>
      <c r="B185" s="83"/>
      <c r="C185" s="43" t="s">
        <v>729</v>
      </c>
      <c r="D185" s="43" t="s">
        <v>730</v>
      </c>
    </row>
    <row r="186" spans="1:4" x14ac:dyDescent="0.2">
      <c r="A186" s="44" t="s">
        <v>1565</v>
      </c>
      <c r="B186" s="45"/>
      <c r="C186" s="79">
        <v>36.016134999999998</v>
      </c>
      <c r="D186" s="79">
        <v>33.3511205</v>
      </c>
    </row>
    <row r="187" spans="1:4" x14ac:dyDescent="0.2">
      <c r="A187" s="44" t="s">
        <v>1564</v>
      </c>
      <c r="B187" s="45"/>
      <c r="C187" s="79">
        <v>35.65597365</v>
      </c>
      <c r="D187" s="79">
        <v>33.017609298000004</v>
      </c>
    </row>
    <row r="188" spans="1:4" x14ac:dyDescent="0.2">
      <c r="A188" s="44" t="s">
        <v>1390</v>
      </c>
      <c r="B188" s="45"/>
      <c r="C188" s="79">
        <v>34.371782343</v>
      </c>
      <c r="D188" s="79">
        <v>31.828441743999999</v>
      </c>
    </row>
    <row r="189" spans="1:4" x14ac:dyDescent="0.2">
      <c r="A189" s="44" t="s">
        <v>1562</v>
      </c>
      <c r="B189" s="45"/>
      <c r="C189" s="79">
        <v>36.016134999999998</v>
      </c>
      <c r="D189" s="79">
        <v>33.3511205</v>
      </c>
    </row>
    <row r="190" spans="1:4" x14ac:dyDescent="0.2">
      <c r="A190" s="44" t="s">
        <v>1561</v>
      </c>
      <c r="B190" s="45"/>
      <c r="C190" s="79">
        <v>35.65597365</v>
      </c>
      <c r="D190" s="79">
        <v>33.017609298000004</v>
      </c>
    </row>
    <row r="191" spans="1:4" x14ac:dyDescent="0.2">
      <c r="A191" s="44" t="s">
        <v>1563</v>
      </c>
      <c r="B191" s="45"/>
      <c r="C191" s="79">
        <v>37.256890852000005</v>
      </c>
      <c r="D191" s="79">
        <v>34.500066602000004</v>
      </c>
    </row>
    <row r="192" spans="1:4" x14ac:dyDescent="0.2">
      <c r="A192" s="47"/>
      <c r="B192" s="47"/>
      <c r="C192" s="48"/>
      <c r="D192" s="48"/>
    </row>
    <row r="193" spans="1:5" x14ac:dyDescent="0.2">
      <c r="A193" s="4" t="s">
        <v>883</v>
      </c>
      <c r="D193" s="70">
        <v>2.8353551778045945</v>
      </c>
      <c r="E193" s="1" t="s">
        <v>735</v>
      </c>
    </row>
  </sheetData>
  <mergeCells count="3">
    <mergeCell ref="A1:F1"/>
    <mergeCell ref="C184:D184"/>
    <mergeCell ref="A185:B18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140625" style="2" bestFit="1" customWidth="1"/>
    <col min="3" max="3" width="11.57031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10" ht="15" customHeight="1" x14ac:dyDescent="0.2">
      <c r="A1" s="62" t="s">
        <v>1566</v>
      </c>
      <c r="B1" s="62"/>
      <c r="C1" s="62"/>
      <c r="D1" s="62"/>
      <c r="E1" s="62"/>
      <c r="F1" s="62"/>
    </row>
    <row r="3" spans="1:10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10" x14ac:dyDescent="0.2">
      <c r="A4" s="64"/>
      <c r="B4" s="64"/>
      <c r="C4" s="64"/>
      <c r="D4" s="64"/>
      <c r="E4" s="5"/>
      <c r="F4" s="5"/>
    </row>
    <row r="5" spans="1:10" x14ac:dyDescent="0.2">
      <c r="A5" s="65" t="s">
        <v>702</v>
      </c>
      <c r="B5" s="66"/>
      <c r="C5" s="66"/>
      <c r="D5" s="66"/>
      <c r="E5" s="7"/>
      <c r="F5" s="7"/>
    </row>
    <row r="6" spans="1:10" x14ac:dyDescent="0.2">
      <c r="A6" s="65" t="s">
        <v>1309</v>
      </c>
      <c r="B6" s="66"/>
      <c r="C6" s="66"/>
      <c r="D6" s="66"/>
      <c r="E6" s="7"/>
      <c r="F6" s="7"/>
    </row>
    <row r="7" spans="1:10" x14ac:dyDescent="0.2">
      <c r="A7" s="66" t="s">
        <v>1310</v>
      </c>
      <c r="B7" s="66" t="s">
        <v>1311</v>
      </c>
      <c r="C7" s="66" t="s">
        <v>1312</v>
      </c>
      <c r="D7" s="66">
        <v>5000</v>
      </c>
      <c r="E7" s="7">
        <v>4904.6549999999997</v>
      </c>
      <c r="F7" s="7">
        <v>9.5846808489737096</v>
      </c>
    </row>
    <row r="8" spans="1:10" x14ac:dyDescent="0.2">
      <c r="A8" s="66" t="s">
        <v>1567</v>
      </c>
      <c r="B8" s="66" t="s">
        <v>1568</v>
      </c>
      <c r="C8" s="66" t="s">
        <v>1312</v>
      </c>
      <c r="D8" s="66">
        <v>5000</v>
      </c>
      <c r="E8" s="7">
        <v>4618.5749999999998</v>
      </c>
      <c r="F8" s="7">
        <v>9.0256230768624395</v>
      </c>
    </row>
    <row r="9" spans="1:10" x14ac:dyDescent="0.2">
      <c r="A9" s="66" t="s">
        <v>1319</v>
      </c>
      <c r="B9" s="66" t="s">
        <v>1320</v>
      </c>
      <c r="C9" s="66" t="s">
        <v>706</v>
      </c>
      <c r="D9" s="66">
        <v>3500</v>
      </c>
      <c r="E9" s="7">
        <v>3434.1930000000002</v>
      </c>
      <c r="F9" s="7">
        <v>6.7111027949528701</v>
      </c>
    </row>
    <row r="10" spans="1:10" x14ac:dyDescent="0.2">
      <c r="A10" s="66" t="s">
        <v>1569</v>
      </c>
      <c r="B10" s="66" t="s">
        <v>1570</v>
      </c>
      <c r="C10" s="66" t="s">
        <v>1312</v>
      </c>
      <c r="D10" s="66">
        <v>2500</v>
      </c>
      <c r="E10" s="7">
        <v>2457.7049999999999</v>
      </c>
      <c r="F10" s="7">
        <v>4.8028491394250796</v>
      </c>
    </row>
    <row r="11" spans="1:10" x14ac:dyDescent="0.2">
      <c r="A11" s="66" t="s">
        <v>1571</v>
      </c>
      <c r="B11" s="66" t="s">
        <v>1572</v>
      </c>
      <c r="C11" s="66" t="s">
        <v>1312</v>
      </c>
      <c r="D11" s="66">
        <v>2500</v>
      </c>
      <c r="E11" s="7">
        <v>2449.7849999999999</v>
      </c>
      <c r="F11" s="7">
        <v>4.7873718688884503</v>
      </c>
    </row>
    <row r="12" spans="1:10" x14ac:dyDescent="0.2">
      <c r="A12" s="66" t="s">
        <v>1573</v>
      </c>
      <c r="B12" s="66" t="s">
        <v>1574</v>
      </c>
      <c r="C12" s="66" t="s">
        <v>1312</v>
      </c>
      <c r="D12" s="66">
        <v>2500</v>
      </c>
      <c r="E12" s="7">
        <v>2404.6624999999999</v>
      </c>
      <c r="F12" s="7">
        <v>4.6991934421473598</v>
      </c>
    </row>
    <row r="13" spans="1:10" x14ac:dyDescent="0.2">
      <c r="A13" s="66" t="s">
        <v>1317</v>
      </c>
      <c r="B13" s="66" t="s">
        <v>1318</v>
      </c>
      <c r="C13" s="66" t="s">
        <v>706</v>
      </c>
      <c r="D13" s="66">
        <v>1500</v>
      </c>
      <c r="E13" s="7">
        <v>1492.1624999999999</v>
      </c>
      <c r="F13" s="7">
        <v>2.9159851890309798</v>
      </c>
    </row>
    <row r="14" spans="1:10" x14ac:dyDescent="0.2">
      <c r="A14" s="65" t="s">
        <v>39</v>
      </c>
      <c r="B14" s="66"/>
      <c r="C14" s="66"/>
      <c r="D14" s="66"/>
      <c r="E14" s="6">
        <f>SUM(E7:E13)</f>
        <v>21761.737999999998</v>
      </c>
      <c r="F14" s="6">
        <f>SUM(F7:F13)</f>
        <v>42.526806360280887</v>
      </c>
      <c r="I14" s="1"/>
      <c r="J14" s="1"/>
    </row>
    <row r="15" spans="1:10" x14ac:dyDescent="0.2">
      <c r="A15" s="66"/>
      <c r="B15" s="66"/>
      <c r="C15" s="66"/>
      <c r="D15" s="66"/>
      <c r="E15" s="7"/>
      <c r="F15" s="7"/>
    </row>
    <row r="16" spans="1:10" x14ac:dyDescent="0.2">
      <c r="A16" s="65" t="s">
        <v>703</v>
      </c>
      <c r="B16" s="66"/>
      <c r="C16" s="66"/>
      <c r="D16" s="66"/>
      <c r="E16" s="7"/>
      <c r="F16" s="7"/>
    </row>
    <row r="17" spans="1:10" x14ac:dyDescent="0.2">
      <c r="A17" s="66" t="s">
        <v>1575</v>
      </c>
      <c r="B17" s="66" t="s">
        <v>1576</v>
      </c>
      <c r="C17" s="66" t="s">
        <v>1337</v>
      </c>
      <c r="D17" s="66">
        <v>1000</v>
      </c>
      <c r="E17" s="7">
        <v>4910.3999999999996</v>
      </c>
      <c r="F17" s="7">
        <v>9.5959077327152507</v>
      </c>
    </row>
    <row r="18" spans="1:10" x14ac:dyDescent="0.2">
      <c r="A18" s="66" t="s">
        <v>1577</v>
      </c>
      <c r="B18" s="66" t="s">
        <v>1578</v>
      </c>
      <c r="C18" s="66" t="s">
        <v>706</v>
      </c>
      <c r="D18" s="66">
        <v>800</v>
      </c>
      <c r="E18" s="7">
        <v>3908.404</v>
      </c>
      <c r="F18" s="7">
        <v>7.6378063225348702</v>
      </c>
    </row>
    <row r="19" spans="1:10" x14ac:dyDescent="0.2">
      <c r="A19" s="66" t="s">
        <v>1579</v>
      </c>
      <c r="B19" s="66" t="s">
        <v>1580</v>
      </c>
      <c r="C19" s="66" t="s">
        <v>706</v>
      </c>
      <c r="D19" s="66">
        <v>560</v>
      </c>
      <c r="E19" s="7">
        <v>2788.8755999999998</v>
      </c>
      <c r="F19" s="7">
        <v>5.45002299927111</v>
      </c>
    </row>
    <row r="20" spans="1:10" x14ac:dyDescent="0.2">
      <c r="A20" s="66" t="s">
        <v>1581</v>
      </c>
      <c r="B20" s="66" t="s">
        <v>1582</v>
      </c>
      <c r="C20" s="66" t="s">
        <v>1312</v>
      </c>
      <c r="D20" s="66">
        <v>500</v>
      </c>
      <c r="E20" s="7">
        <v>2448.5925000000002</v>
      </c>
      <c r="F20" s="7">
        <v>4.7850414844042399</v>
      </c>
    </row>
    <row r="21" spans="1:10" x14ac:dyDescent="0.2">
      <c r="A21" s="66" t="s">
        <v>1583</v>
      </c>
      <c r="B21" s="66" t="s">
        <v>1584</v>
      </c>
      <c r="C21" s="66" t="s">
        <v>1337</v>
      </c>
      <c r="D21" s="66">
        <v>500</v>
      </c>
      <c r="E21" s="7">
        <v>2435.4650000000001</v>
      </c>
      <c r="F21" s="7">
        <v>4.75938771306968</v>
      </c>
    </row>
    <row r="22" spans="1:10" x14ac:dyDescent="0.2">
      <c r="A22" s="66" t="s">
        <v>1585</v>
      </c>
      <c r="B22" s="66" t="s">
        <v>1586</v>
      </c>
      <c r="C22" s="66" t="s">
        <v>1352</v>
      </c>
      <c r="D22" s="66">
        <v>500</v>
      </c>
      <c r="E22" s="7">
        <v>2352.5549999999998</v>
      </c>
      <c r="F22" s="7">
        <v>4.5973649226413196</v>
      </c>
    </row>
    <row r="23" spans="1:10" x14ac:dyDescent="0.2">
      <c r="A23" s="66" t="s">
        <v>1587</v>
      </c>
      <c r="B23" s="66" t="s">
        <v>1588</v>
      </c>
      <c r="C23" s="66" t="s">
        <v>706</v>
      </c>
      <c r="D23" s="66">
        <v>500</v>
      </c>
      <c r="E23" s="7">
        <v>2306.1799999999998</v>
      </c>
      <c r="F23" s="7">
        <v>4.5067388593665001</v>
      </c>
    </row>
    <row r="24" spans="1:10" x14ac:dyDescent="0.2">
      <c r="A24" s="66" t="s">
        <v>1381</v>
      </c>
      <c r="B24" s="66" t="s">
        <v>1382</v>
      </c>
      <c r="C24" s="66" t="s">
        <v>1355</v>
      </c>
      <c r="D24" s="66">
        <v>440</v>
      </c>
      <c r="E24" s="7">
        <v>2148.5288</v>
      </c>
      <c r="F24" s="7">
        <v>4.1986567542117603</v>
      </c>
    </row>
    <row r="25" spans="1:10" x14ac:dyDescent="0.2">
      <c r="A25" s="66" t="s">
        <v>1366</v>
      </c>
      <c r="B25" s="66" t="s">
        <v>1589</v>
      </c>
      <c r="C25" s="66" t="s">
        <v>1312</v>
      </c>
      <c r="D25" s="66">
        <v>420</v>
      </c>
      <c r="E25" s="7">
        <v>2065.203</v>
      </c>
      <c r="F25" s="7">
        <v>4.0358214070802196</v>
      </c>
    </row>
    <row r="26" spans="1:10" x14ac:dyDescent="0.2">
      <c r="A26" s="66" t="s">
        <v>1590</v>
      </c>
      <c r="B26" s="66" t="s">
        <v>1591</v>
      </c>
      <c r="C26" s="66" t="s">
        <v>706</v>
      </c>
      <c r="D26" s="66">
        <v>400</v>
      </c>
      <c r="E26" s="7">
        <v>1922.9760000000001</v>
      </c>
      <c r="F26" s="7">
        <v>3.7578812862955799</v>
      </c>
    </row>
    <row r="27" spans="1:10" x14ac:dyDescent="0.2">
      <c r="A27" s="66" t="s">
        <v>1592</v>
      </c>
      <c r="B27" s="66" t="s">
        <v>1593</v>
      </c>
      <c r="C27" s="66" t="s">
        <v>1312</v>
      </c>
      <c r="D27" s="66">
        <v>200</v>
      </c>
      <c r="E27" s="7">
        <v>977.01900000000001</v>
      </c>
      <c r="F27" s="7">
        <v>1.90929133616604</v>
      </c>
    </row>
    <row r="28" spans="1:10" x14ac:dyDescent="0.2">
      <c r="A28" s="66" t="s">
        <v>1372</v>
      </c>
      <c r="B28" s="66" t="s">
        <v>1373</v>
      </c>
      <c r="C28" s="66" t="s">
        <v>1337</v>
      </c>
      <c r="D28" s="66">
        <v>100</v>
      </c>
      <c r="E28" s="7">
        <v>498.58850000000001</v>
      </c>
      <c r="F28" s="7">
        <v>0.97434205820155095</v>
      </c>
    </row>
    <row r="29" spans="1:10" x14ac:dyDescent="0.2">
      <c r="A29" s="65" t="s">
        <v>39</v>
      </c>
      <c r="B29" s="66"/>
      <c r="C29" s="66"/>
      <c r="D29" s="66"/>
      <c r="E29" s="6">
        <f>SUM(E17:E28)</f>
        <v>28762.787400000001</v>
      </c>
      <c r="F29" s="6">
        <f>SUM(F17:F28)</f>
        <v>56.20826287595812</v>
      </c>
      <c r="I29" s="1"/>
      <c r="J29" s="1"/>
    </row>
    <row r="30" spans="1:10" x14ac:dyDescent="0.2">
      <c r="A30" s="66"/>
      <c r="B30" s="66"/>
      <c r="C30" s="66"/>
      <c r="D30" s="66"/>
      <c r="E30" s="7"/>
      <c r="F30" s="7"/>
    </row>
    <row r="31" spans="1:10" x14ac:dyDescent="0.2">
      <c r="A31" s="65" t="s">
        <v>39</v>
      </c>
      <c r="B31" s="66"/>
      <c r="C31" s="66"/>
      <c r="D31" s="66"/>
      <c r="E31" s="6">
        <v>50524.525399999999</v>
      </c>
      <c r="F31" s="6">
        <v>98.735069236239028</v>
      </c>
      <c r="I31" s="1"/>
      <c r="J31" s="1"/>
    </row>
    <row r="32" spans="1:10" x14ac:dyDescent="0.2">
      <c r="A32" s="66"/>
      <c r="B32" s="66"/>
      <c r="C32" s="66"/>
      <c r="D32" s="66"/>
      <c r="E32" s="7"/>
      <c r="F32" s="7"/>
    </row>
    <row r="33" spans="1:10" x14ac:dyDescent="0.2">
      <c r="A33" s="65" t="s">
        <v>103</v>
      </c>
      <c r="B33" s="66"/>
      <c r="C33" s="66"/>
      <c r="D33" s="66"/>
      <c r="E33" s="6">
        <v>647.28341020000005</v>
      </c>
      <c r="F33" s="6">
        <v>1.26</v>
      </c>
      <c r="I33" s="1"/>
      <c r="J33" s="1"/>
    </row>
    <row r="34" spans="1:10" x14ac:dyDescent="0.2">
      <c r="A34" s="66"/>
      <c r="B34" s="66"/>
      <c r="C34" s="66"/>
      <c r="D34" s="66"/>
      <c r="E34" s="7"/>
      <c r="F34" s="7"/>
    </row>
    <row r="35" spans="1:10" x14ac:dyDescent="0.2">
      <c r="A35" s="68" t="s">
        <v>104</v>
      </c>
      <c r="B35" s="64"/>
      <c r="C35" s="64"/>
      <c r="D35" s="64"/>
      <c r="E35" s="8">
        <v>51171.813410199997</v>
      </c>
      <c r="F35" s="8">
        <f xml:space="preserve"> ROUND(SUM(F31:F34),2)</f>
        <v>100</v>
      </c>
      <c r="I35" s="1"/>
      <c r="J35" s="1"/>
    </row>
    <row r="36" spans="1:10" x14ac:dyDescent="0.2">
      <c r="A36" s="4" t="s">
        <v>714</v>
      </c>
    </row>
    <row r="38" spans="1:10" x14ac:dyDescent="0.2">
      <c r="A38" s="4" t="s">
        <v>105</v>
      </c>
    </row>
    <row r="39" spans="1:10" x14ac:dyDescent="0.2">
      <c r="A39" s="27" t="s">
        <v>106</v>
      </c>
      <c r="B39" s="84"/>
      <c r="C39" s="84"/>
      <c r="D39" s="84"/>
    </row>
    <row r="40" spans="1:10" x14ac:dyDescent="0.2">
      <c r="A40" s="27" t="s">
        <v>107</v>
      </c>
      <c r="B40" s="84"/>
      <c r="C40" s="84"/>
      <c r="D40" s="84"/>
    </row>
    <row r="41" spans="1:10" x14ac:dyDescent="0.2">
      <c r="A41" s="84" t="s">
        <v>1561</v>
      </c>
      <c r="B41" s="84"/>
      <c r="C41" s="84"/>
      <c r="D41" s="85">
        <v>10.3088</v>
      </c>
    </row>
    <row r="42" spans="1:10" x14ac:dyDescent="0.2">
      <c r="A42" s="84" t="s">
        <v>1391</v>
      </c>
      <c r="B42" s="84"/>
      <c r="C42" s="84"/>
      <c r="D42" s="85">
        <v>32.0501</v>
      </c>
    </row>
    <row r="43" spans="1:10" x14ac:dyDescent="0.2">
      <c r="A43" s="84" t="s">
        <v>1394</v>
      </c>
      <c r="B43" s="84"/>
      <c r="C43" s="84"/>
      <c r="D43" s="85">
        <v>9.9987999999999992</v>
      </c>
    </row>
    <row r="44" spans="1:10" x14ac:dyDescent="0.2">
      <c r="A44" s="84" t="s">
        <v>1594</v>
      </c>
      <c r="B44" s="84"/>
      <c r="C44" s="84"/>
      <c r="D44" s="85">
        <v>9.9989000000000008</v>
      </c>
    </row>
    <row r="45" spans="1:10" x14ac:dyDescent="0.2">
      <c r="A45" s="84" t="s">
        <v>1560</v>
      </c>
      <c r="B45" s="84"/>
      <c r="C45" s="84"/>
      <c r="D45" s="85">
        <v>32.741199999999999</v>
      </c>
    </row>
    <row r="46" spans="1:10" x14ac:dyDescent="0.2">
      <c r="A46" s="84" t="s">
        <v>1564</v>
      </c>
      <c r="B46" s="84"/>
      <c r="C46" s="84"/>
      <c r="D46" s="85">
        <v>10.065799999999999</v>
      </c>
    </row>
    <row r="47" spans="1:10" x14ac:dyDescent="0.2">
      <c r="A47" s="84" t="s">
        <v>1565</v>
      </c>
      <c r="B47" s="84"/>
      <c r="C47" s="84"/>
      <c r="D47" s="85">
        <v>10.9964</v>
      </c>
    </row>
    <row r="48" spans="1:10" x14ac:dyDescent="0.2">
      <c r="A48" s="84" t="s">
        <v>1595</v>
      </c>
      <c r="B48" s="84"/>
      <c r="C48" s="84"/>
      <c r="D48" s="85">
        <v>10.3681</v>
      </c>
    </row>
    <row r="49" spans="1:4" x14ac:dyDescent="0.2">
      <c r="A49" s="84" t="s">
        <v>1562</v>
      </c>
      <c r="B49" s="84"/>
      <c r="C49" s="84"/>
      <c r="D49" s="85">
        <v>11.277100000000001</v>
      </c>
    </row>
    <row r="50" spans="1:4" x14ac:dyDescent="0.2">
      <c r="A50" s="84"/>
      <c r="B50" s="84"/>
      <c r="C50" s="84"/>
      <c r="D50" s="84"/>
    </row>
    <row r="51" spans="1:4" x14ac:dyDescent="0.2">
      <c r="A51" s="27" t="s">
        <v>108</v>
      </c>
      <c r="B51" s="84"/>
      <c r="C51" s="84"/>
      <c r="D51" s="84"/>
    </row>
    <row r="52" spans="1:4" x14ac:dyDescent="0.2">
      <c r="A52" s="84" t="s">
        <v>1560</v>
      </c>
      <c r="B52" s="84"/>
      <c r="C52" s="84"/>
      <c r="D52" s="85">
        <v>34.0627</v>
      </c>
    </row>
    <row r="53" spans="1:4" x14ac:dyDescent="0.2">
      <c r="A53" s="84" t="s">
        <v>1561</v>
      </c>
      <c r="B53" s="84"/>
      <c r="C53" s="84"/>
      <c r="D53" s="85">
        <v>10.409700000000001</v>
      </c>
    </row>
    <row r="54" spans="1:4" x14ac:dyDescent="0.2">
      <c r="A54" s="84" t="s">
        <v>1562</v>
      </c>
      <c r="B54" s="84"/>
      <c r="C54" s="84"/>
      <c r="D54" s="85">
        <v>11.280900000000001</v>
      </c>
    </row>
    <row r="55" spans="1:4" x14ac:dyDescent="0.2">
      <c r="A55" s="84" t="s">
        <v>1391</v>
      </c>
      <c r="B55" s="84"/>
      <c r="C55" s="84"/>
      <c r="D55" s="85">
        <v>33.3095</v>
      </c>
    </row>
    <row r="56" spans="1:4" x14ac:dyDescent="0.2">
      <c r="A56" s="84" t="s">
        <v>1394</v>
      </c>
      <c r="B56" s="84"/>
      <c r="C56" s="84"/>
      <c r="D56" s="85">
        <v>10</v>
      </c>
    </row>
    <row r="57" spans="1:4" x14ac:dyDescent="0.2">
      <c r="A57" s="84" t="s">
        <v>1594</v>
      </c>
      <c r="B57" s="84"/>
      <c r="C57" s="84"/>
      <c r="D57" s="85">
        <v>10.001200000000001</v>
      </c>
    </row>
    <row r="58" spans="1:4" x14ac:dyDescent="0.2">
      <c r="A58" s="84" t="s">
        <v>1595</v>
      </c>
      <c r="B58" s="84"/>
      <c r="C58" s="84"/>
      <c r="D58" s="85">
        <v>10.367699999999999</v>
      </c>
    </row>
    <row r="59" spans="1:4" x14ac:dyDescent="0.2">
      <c r="A59" s="84" t="s">
        <v>1564</v>
      </c>
      <c r="B59" s="84"/>
      <c r="C59" s="84"/>
      <c r="D59" s="85">
        <v>10.1464</v>
      </c>
    </row>
    <row r="60" spans="1:4" x14ac:dyDescent="0.2">
      <c r="A60" s="84" t="s">
        <v>1565</v>
      </c>
      <c r="B60" s="84"/>
      <c r="C60" s="84"/>
      <c r="D60" s="85">
        <v>10.977600000000001</v>
      </c>
    </row>
    <row r="61" spans="1:4" x14ac:dyDescent="0.2">
      <c r="A61" s="84"/>
      <c r="B61" s="84"/>
      <c r="C61" s="84"/>
      <c r="D61" s="84"/>
    </row>
    <row r="62" spans="1:4" x14ac:dyDescent="0.2">
      <c r="A62" s="27" t="s">
        <v>109</v>
      </c>
      <c r="B62" s="84"/>
      <c r="C62" s="84"/>
      <c r="D62" s="86"/>
    </row>
    <row r="63" spans="1:4" x14ac:dyDescent="0.2">
      <c r="A63" s="75" t="s">
        <v>727</v>
      </c>
      <c r="B63" s="76"/>
      <c r="C63" s="77" t="s">
        <v>728</v>
      </c>
      <c r="D63" s="77"/>
    </row>
    <row r="64" spans="1:4" x14ac:dyDescent="0.2">
      <c r="A64" s="78"/>
      <c r="B64" s="78"/>
      <c r="C64" s="43" t="s">
        <v>729</v>
      </c>
      <c r="D64" s="43" t="s">
        <v>730</v>
      </c>
    </row>
    <row r="65" spans="1:5" x14ac:dyDescent="0.2">
      <c r="A65" s="44" t="s">
        <v>1565</v>
      </c>
      <c r="B65" s="45"/>
      <c r="C65" s="79">
        <v>0.31694198800000001</v>
      </c>
      <c r="D65" s="79">
        <v>0.29348986040000002</v>
      </c>
    </row>
    <row r="66" spans="1:5" x14ac:dyDescent="0.2">
      <c r="A66" s="44" t="s">
        <v>1595</v>
      </c>
      <c r="B66" s="45"/>
      <c r="C66" s="79">
        <v>0.2702650768</v>
      </c>
      <c r="D66" s="79">
        <v>0.25026680839999998</v>
      </c>
    </row>
    <row r="67" spans="1:5" x14ac:dyDescent="0.2">
      <c r="A67" s="44" t="s">
        <v>1562</v>
      </c>
      <c r="B67" s="45"/>
      <c r="C67" s="79">
        <v>0.31694198800000001</v>
      </c>
      <c r="D67" s="79">
        <v>0.29348986040000002</v>
      </c>
    </row>
    <row r="68" spans="1:5" x14ac:dyDescent="0.2">
      <c r="A68" s="44" t="s">
        <v>1394</v>
      </c>
      <c r="B68" s="45"/>
      <c r="C68" s="79">
        <v>0.27687758099999987</v>
      </c>
      <c r="D68" s="79">
        <v>0.2563900194999999</v>
      </c>
    </row>
    <row r="69" spans="1:5" x14ac:dyDescent="0.2">
      <c r="A69" s="44" t="s">
        <v>1594</v>
      </c>
      <c r="B69" s="45"/>
      <c r="C69" s="79">
        <v>0.28349569930000001</v>
      </c>
      <c r="D69" s="79">
        <v>0.2625184304</v>
      </c>
    </row>
    <row r="70" spans="1:5" x14ac:dyDescent="0.2">
      <c r="A70" s="44" t="s">
        <v>1564</v>
      </c>
      <c r="B70" s="45"/>
      <c r="C70" s="79">
        <v>0.22330003700000001</v>
      </c>
      <c r="D70" s="79">
        <v>0.20677694730000001</v>
      </c>
    </row>
    <row r="71" spans="1:5" x14ac:dyDescent="0.2">
      <c r="A71" s="44" t="s">
        <v>1561</v>
      </c>
      <c r="B71" s="45"/>
      <c r="C71" s="79">
        <v>0.22330003700000001</v>
      </c>
      <c r="D71" s="79">
        <v>0.20677694730000001</v>
      </c>
    </row>
    <row r="72" spans="1:5" x14ac:dyDescent="0.2">
      <c r="A72" s="84"/>
      <c r="B72" s="84"/>
      <c r="C72" s="84"/>
      <c r="D72" s="84"/>
    </row>
    <row r="73" spans="1:5" x14ac:dyDescent="0.2">
      <c r="A73" s="4" t="s">
        <v>883</v>
      </c>
      <c r="D73" s="87">
        <v>0.36774284784212885</v>
      </c>
      <c r="E73" s="88" t="s">
        <v>735</v>
      </c>
    </row>
  </sheetData>
  <mergeCells count="3">
    <mergeCell ref="A1:F1"/>
    <mergeCell ref="C63:D63"/>
    <mergeCell ref="A64:B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3.7109375" style="2" bestFit="1" customWidth="1"/>
    <col min="3" max="3" width="18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2" t="s">
        <v>1596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1597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7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6" t="s">
        <v>9</v>
      </c>
      <c r="B7" s="66" t="s">
        <v>10</v>
      </c>
      <c r="C7" s="66" t="s">
        <v>11</v>
      </c>
      <c r="D7" s="66">
        <v>79000</v>
      </c>
      <c r="E7" s="7">
        <v>1681.4755</v>
      </c>
      <c r="F7" s="7">
        <v>3.92756129562048</v>
      </c>
    </row>
    <row r="8" spans="1:6" x14ac:dyDescent="0.2">
      <c r="A8" s="66" t="s">
        <v>117</v>
      </c>
      <c r="B8" s="66" t="s">
        <v>118</v>
      </c>
      <c r="C8" s="66" t="s">
        <v>11</v>
      </c>
      <c r="D8" s="66">
        <v>206475</v>
      </c>
      <c r="E8" s="7">
        <v>1292.0173124999999</v>
      </c>
      <c r="F8" s="7">
        <v>3.0178716192097901</v>
      </c>
    </row>
    <row r="9" spans="1:6" x14ac:dyDescent="0.2">
      <c r="A9" s="66" t="s">
        <v>185</v>
      </c>
      <c r="B9" s="66" t="s">
        <v>186</v>
      </c>
      <c r="C9" s="66" t="s">
        <v>76</v>
      </c>
      <c r="D9" s="66">
        <v>109904</v>
      </c>
      <c r="E9" s="7">
        <v>733.55424800000003</v>
      </c>
      <c r="F9" s="7">
        <v>1.7134232837069501</v>
      </c>
    </row>
    <row r="10" spans="1:6" x14ac:dyDescent="0.2">
      <c r="A10" s="66" t="s">
        <v>238</v>
      </c>
      <c r="B10" s="66" t="s">
        <v>239</v>
      </c>
      <c r="C10" s="66" t="s">
        <v>52</v>
      </c>
      <c r="D10" s="66">
        <v>79950</v>
      </c>
      <c r="E10" s="7">
        <v>692.56687499999998</v>
      </c>
      <c r="F10" s="7">
        <v>1.61768568907417</v>
      </c>
    </row>
    <row r="11" spans="1:6" x14ac:dyDescent="0.2">
      <c r="A11" s="66" t="s">
        <v>194</v>
      </c>
      <c r="B11" s="66" t="s">
        <v>195</v>
      </c>
      <c r="C11" s="66" t="s">
        <v>150</v>
      </c>
      <c r="D11" s="66">
        <v>25367</v>
      </c>
      <c r="E11" s="7">
        <v>690.54047400000002</v>
      </c>
      <c r="F11" s="7">
        <v>1.61295245678086</v>
      </c>
    </row>
    <row r="12" spans="1:6" x14ac:dyDescent="0.2">
      <c r="A12" s="66" t="s">
        <v>192</v>
      </c>
      <c r="B12" s="66" t="s">
        <v>193</v>
      </c>
      <c r="C12" s="66" t="s">
        <v>11</v>
      </c>
      <c r="D12" s="66">
        <v>53853</v>
      </c>
      <c r="E12" s="7">
        <v>664.51909350000005</v>
      </c>
      <c r="F12" s="7">
        <v>1.5521721677368501</v>
      </c>
    </row>
    <row r="13" spans="1:6" x14ac:dyDescent="0.2">
      <c r="A13" s="66" t="s">
        <v>18</v>
      </c>
      <c r="B13" s="66" t="s">
        <v>19</v>
      </c>
      <c r="C13" s="66" t="s">
        <v>20</v>
      </c>
      <c r="D13" s="66">
        <v>254936</v>
      </c>
      <c r="E13" s="7">
        <v>576.66523199999995</v>
      </c>
      <c r="F13" s="7">
        <v>1.3469646425019</v>
      </c>
    </row>
    <row r="14" spans="1:6" x14ac:dyDescent="0.2">
      <c r="A14" s="66" t="s">
        <v>190</v>
      </c>
      <c r="B14" s="66" t="s">
        <v>191</v>
      </c>
      <c r="C14" s="66" t="s">
        <v>35</v>
      </c>
      <c r="D14" s="66">
        <v>66526</v>
      </c>
      <c r="E14" s="7">
        <v>526.154134</v>
      </c>
      <c r="F14" s="7">
        <v>1.22898169627159</v>
      </c>
    </row>
    <row r="15" spans="1:6" x14ac:dyDescent="0.2">
      <c r="A15" s="66" t="s">
        <v>119</v>
      </c>
      <c r="B15" s="66" t="s">
        <v>120</v>
      </c>
      <c r="C15" s="66" t="s">
        <v>29</v>
      </c>
      <c r="D15" s="66">
        <v>160000</v>
      </c>
      <c r="E15" s="7">
        <v>501.6</v>
      </c>
      <c r="F15" s="7">
        <v>1.17162857614234</v>
      </c>
    </row>
    <row r="16" spans="1:6" x14ac:dyDescent="0.2">
      <c r="A16" s="66" t="s">
        <v>278</v>
      </c>
      <c r="B16" s="66" t="s">
        <v>279</v>
      </c>
      <c r="C16" s="66" t="s">
        <v>123</v>
      </c>
      <c r="D16" s="66">
        <v>203475</v>
      </c>
      <c r="E16" s="7">
        <v>472.77416249999999</v>
      </c>
      <c r="F16" s="7">
        <v>1.1042976851012001</v>
      </c>
    </row>
    <row r="17" spans="1:6" x14ac:dyDescent="0.2">
      <c r="A17" s="66" t="s">
        <v>458</v>
      </c>
      <c r="B17" s="66" t="s">
        <v>459</v>
      </c>
      <c r="C17" s="66" t="s">
        <v>79</v>
      </c>
      <c r="D17" s="66">
        <v>34000</v>
      </c>
      <c r="E17" s="7">
        <v>457.62299999999999</v>
      </c>
      <c r="F17" s="7">
        <v>1.0689078626395301</v>
      </c>
    </row>
    <row r="18" spans="1:6" x14ac:dyDescent="0.2">
      <c r="A18" s="66" t="s">
        <v>136</v>
      </c>
      <c r="B18" s="66" t="s">
        <v>137</v>
      </c>
      <c r="C18" s="66" t="s">
        <v>135</v>
      </c>
      <c r="D18" s="66">
        <v>190244</v>
      </c>
      <c r="E18" s="7">
        <v>407.50264800000002</v>
      </c>
      <c r="F18" s="7">
        <v>0.95183761413571499</v>
      </c>
    </row>
    <row r="19" spans="1:6" x14ac:dyDescent="0.2">
      <c r="A19" s="66" t="s">
        <v>222</v>
      </c>
      <c r="B19" s="66" t="s">
        <v>223</v>
      </c>
      <c r="C19" s="66" t="s">
        <v>224</v>
      </c>
      <c r="D19" s="66">
        <v>74355</v>
      </c>
      <c r="E19" s="7">
        <v>393.70972499999999</v>
      </c>
      <c r="F19" s="7">
        <v>0.91962034392971204</v>
      </c>
    </row>
    <row r="20" spans="1:6" x14ac:dyDescent="0.2">
      <c r="A20" s="66" t="s">
        <v>268</v>
      </c>
      <c r="B20" s="66" t="s">
        <v>269</v>
      </c>
      <c r="C20" s="66" t="s">
        <v>246</v>
      </c>
      <c r="D20" s="66">
        <v>40000</v>
      </c>
      <c r="E20" s="7">
        <v>384.16</v>
      </c>
      <c r="F20" s="7">
        <v>0.89731426198333797</v>
      </c>
    </row>
    <row r="21" spans="1:6" x14ac:dyDescent="0.2">
      <c r="A21" s="66" t="s">
        <v>115</v>
      </c>
      <c r="B21" s="66" t="s">
        <v>116</v>
      </c>
      <c r="C21" s="66" t="s">
        <v>11</v>
      </c>
      <c r="D21" s="66">
        <v>106474</v>
      </c>
      <c r="E21" s="7">
        <v>378.14241099999998</v>
      </c>
      <c r="F21" s="7">
        <v>0.88325848201547597</v>
      </c>
    </row>
    <row r="22" spans="1:6" x14ac:dyDescent="0.2">
      <c r="A22" s="66" t="s">
        <v>225</v>
      </c>
      <c r="B22" s="66" t="s">
        <v>226</v>
      </c>
      <c r="C22" s="66" t="s">
        <v>189</v>
      </c>
      <c r="D22" s="66">
        <v>60000</v>
      </c>
      <c r="E22" s="7">
        <v>332.37</v>
      </c>
      <c r="F22" s="7">
        <v>0.77634407865317101</v>
      </c>
    </row>
    <row r="23" spans="1:6" x14ac:dyDescent="0.2">
      <c r="A23" s="66" t="s">
        <v>234</v>
      </c>
      <c r="B23" s="66" t="s">
        <v>235</v>
      </c>
      <c r="C23" s="66" t="s">
        <v>79</v>
      </c>
      <c r="D23" s="66">
        <v>26468</v>
      </c>
      <c r="E23" s="7">
        <v>322.81696199999999</v>
      </c>
      <c r="F23" s="7">
        <v>0.75403025825888503</v>
      </c>
    </row>
    <row r="24" spans="1:6" x14ac:dyDescent="0.2">
      <c r="A24" s="66" t="s">
        <v>240</v>
      </c>
      <c r="B24" s="66" t="s">
        <v>241</v>
      </c>
      <c r="C24" s="66" t="s">
        <v>135</v>
      </c>
      <c r="D24" s="66">
        <v>168573</v>
      </c>
      <c r="E24" s="7">
        <v>315.48436950000001</v>
      </c>
      <c r="F24" s="7">
        <v>0.736902915933911</v>
      </c>
    </row>
    <row r="25" spans="1:6" x14ac:dyDescent="0.2">
      <c r="A25" s="66" t="s">
        <v>124</v>
      </c>
      <c r="B25" s="66" t="s">
        <v>125</v>
      </c>
      <c r="C25" s="66" t="s">
        <v>123</v>
      </c>
      <c r="D25" s="66">
        <v>93000</v>
      </c>
      <c r="E25" s="7">
        <v>301.69200000000001</v>
      </c>
      <c r="F25" s="7">
        <v>0.70468693858360398</v>
      </c>
    </row>
    <row r="26" spans="1:6" x14ac:dyDescent="0.2">
      <c r="A26" s="66" t="s">
        <v>210</v>
      </c>
      <c r="B26" s="66" t="s">
        <v>211</v>
      </c>
      <c r="C26" s="66" t="s">
        <v>150</v>
      </c>
      <c r="D26" s="66">
        <v>72000</v>
      </c>
      <c r="E26" s="7">
        <v>263.01600000000002</v>
      </c>
      <c r="F26" s="7">
        <v>0.61434820889683905</v>
      </c>
    </row>
    <row r="27" spans="1:6" x14ac:dyDescent="0.2">
      <c r="A27" s="66" t="s">
        <v>236</v>
      </c>
      <c r="B27" s="66" t="s">
        <v>237</v>
      </c>
      <c r="C27" s="66" t="s">
        <v>79</v>
      </c>
      <c r="D27" s="66">
        <v>57182</v>
      </c>
      <c r="E27" s="7">
        <v>262.80847199999999</v>
      </c>
      <c r="F27" s="7">
        <v>0.613863468595504</v>
      </c>
    </row>
    <row r="28" spans="1:6" x14ac:dyDescent="0.2">
      <c r="A28" s="66" t="s">
        <v>24</v>
      </c>
      <c r="B28" s="66" t="s">
        <v>25</v>
      </c>
      <c r="C28" s="66" t="s">
        <v>26</v>
      </c>
      <c r="D28" s="66">
        <v>32100</v>
      </c>
      <c r="E28" s="7">
        <v>259.04700000000003</v>
      </c>
      <c r="F28" s="7">
        <v>0.60507748756767499</v>
      </c>
    </row>
    <row r="29" spans="1:6" x14ac:dyDescent="0.2">
      <c r="A29" s="66" t="s">
        <v>128</v>
      </c>
      <c r="B29" s="66" t="s">
        <v>129</v>
      </c>
      <c r="C29" s="66" t="s">
        <v>130</v>
      </c>
      <c r="D29" s="66">
        <v>184376</v>
      </c>
      <c r="E29" s="7">
        <v>258.679528</v>
      </c>
      <c r="F29" s="7">
        <v>0.60421915284651795</v>
      </c>
    </row>
    <row r="30" spans="1:6" x14ac:dyDescent="0.2">
      <c r="A30" s="66" t="s">
        <v>113</v>
      </c>
      <c r="B30" s="66" t="s">
        <v>114</v>
      </c>
      <c r="C30" s="66" t="s">
        <v>11</v>
      </c>
      <c r="D30" s="66">
        <v>88509</v>
      </c>
      <c r="E30" s="7">
        <v>251.94086849999999</v>
      </c>
      <c r="F30" s="7">
        <v>0.58847910891690602</v>
      </c>
    </row>
    <row r="31" spans="1:6" x14ac:dyDescent="0.2">
      <c r="A31" s="66" t="s">
        <v>312</v>
      </c>
      <c r="B31" s="66" t="s">
        <v>313</v>
      </c>
      <c r="C31" s="66" t="s">
        <v>11</v>
      </c>
      <c r="D31" s="66">
        <v>301582</v>
      </c>
      <c r="E31" s="7">
        <v>238.24977999999999</v>
      </c>
      <c r="F31" s="7">
        <v>0.55649970196895204</v>
      </c>
    </row>
    <row r="32" spans="1:6" x14ac:dyDescent="0.2">
      <c r="A32" s="66" t="s">
        <v>166</v>
      </c>
      <c r="B32" s="66" t="s">
        <v>167</v>
      </c>
      <c r="C32" s="66" t="s">
        <v>130</v>
      </c>
      <c r="D32" s="66">
        <v>130625</v>
      </c>
      <c r="E32" s="7">
        <v>235.32093750000001</v>
      </c>
      <c r="F32" s="7">
        <v>0.54965856247927902</v>
      </c>
    </row>
    <row r="33" spans="1:10" x14ac:dyDescent="0.2">
      <c r="A33" s="66" t="s">
        <v>227</v>
      </c>
      <c r="B33" s="66" t="s">
        <v>228</v>
      </c>
      <c r="C33" s="66" t="s">
        <v>17</v>
      </c>
      <c r="D33" s="66">
        <v>122410</v>
      </c>
      <c r="E33" s="7">
        <v>221.62330499999999</v>
      </c>
      <c r="F33" s="7">
        <v>0.51766387016967697</v>
      </c>
    </row>
    <row r="34" spans="1:10" x14ac:dyDescent="0.2">
      <c r="A34" s="66" t="s">
        <v>204</v>
      </c>
      <c r="B34" s="66" t="s">
        <v>205</v>
      </c>
      <c r="C34" s="66" t="s">
        <v>35</v>
      </c>
      <c r="D34" s="66">
        <v>7423</v>
      </c>
      <c r="E34" s="7">
        <v>203.813311</v>
      </c>
      <c r="F34" s="7">
        <v>0.47606359522684699</v>
      </c>
    </row>
    <row r="35" spans="1:10" x14ac:dyDescent="0.2">
      <c r="A35" s="66" t="s">
        <v>282</v>
      </c>
      <c r="B35" s="66" t="s">
        <v>283</v>
      </c>
      <c r="C35" s="66" t="s">
        <v>246</v>
      </c>
      <c r="D35" s="66">
        <v>27000</v>
      </c>
      <c r="E35" s="7">
        <v>191.4975</v>
      </c>
      <c r="F35" s="7">
        <v>0.44729653759931898</v>
      </c>
    </row>
    <row r="36" spans="1:10" x14ac:dyDescent="0.2">
      <c r="A36" s="66" t="s">
        <v>214</v>
      </c>
      <c r="B36" s="66" t="s">
        <v>215</v>
      </c>
      <c r="C36" s="66" t="s">
        <v>79</v>
      </c>
      <c r="D36" s="66">
        <v>15000</v>
      </c>
      <c r="E36" s="7">
        <v>185.98500000000001</v>
      </c>
      <c r="F36" s="7">
        <v>0.43442053575325701</v>
      </c>
    </row>
    <row r="37" spans="1:10" x14ac:dyDescent="0.2">
      <c r="A37" s="66" t="s">
        <v>274</v>
      </c>
      <c r="B37" s="66" t="s">
        <v>275</v>
      </c>
      <c r="C37" s="66" t="s">
        <v>65</v>
      </c>
      <c r="D37" s="66">
        <v>153047</v>
      </c>
      <c r="E37" s="7">
        <v>171.10654600000001</v>
      </c>
      <c r="F37" s="7">
        <v>0.39966770107379301</v>
      </c>
    </row>
    <row r="38" spans="1:10" x14ac:dyDescent="0.2">
      <c r="A38" s="66" t="s">
        <v>303</v>
      </c>
      <c r="B38" s="66" t="s">
        <v>304</v>
      </c>
      <c r="C38" s="66" t="s">
        <v>35</v>
      </c>
      <c r="D38" s="66">
        <v>23121</v>
      </c>
      <c r="E38" s="7">
        <v>128.876454</v>
      </c>
      <c r="F38" s="7">
        <v>0.30102738496470099</v>
      </c>
    </row>
    <row r="39" spans="1:10" x14ac:dyDescent="0.2">
      <c r="A39" s="66" t="s">
        <v>33</v>
      </c>
      <c r="B39" s="66" t="s">
        <v>34</v>
      </c>
      <c r="C39" s="66" t="s">
        <v>35</v>
      </c>
      <c r="D39" s="66">
        <v>74940</v>
      </c>
      <c r="E39" s="7">
        <v>128.85933</v>
      </c>
      <c r="F39" s="7">
        <v>0.30098738702264</v>
      </c>
    </row>
    <row r="40" spans="1:10" x14ac:dyDescent="0.2">
      <c r="A40" s="66" t="s">
        <v>270</v>
      </c>
      <c r="B40" s="66" t="s">
        <v>271</v>
      </c>
      <c r="C40" s="66" t="s">
        <v>150</v>
      </c>
      <c r="D40" s="66">
        <v>7072</v>
      </c>
      <c r="E40" s="7">
        <v>125.443136</v>
      </c>
      <c r="F40" s="7">
        <v>0.29300790035588198</v>
      </c>
    </row>
    <row r="41" spans="1:10" x14ac:dyDescent="0.2">
      <c r="A41" s="66" t="s">
        <v>342</v>
      </c>
      <c r="B41" s="66" t="s">
        <v>343</v>
      </c>
      <c r="C41" s="66" t="s">
        <v>344</v>
      </c>
      <c r="D41" s="66">
        <v>984</v>
      </c>
      <c r="E41" s="7">
        <v>2.4098160000000002</v>
      </c>
      <c r="F41" s="67">
        <v>5.0000000000000001E-3</v>
      </c>
    </row>
    <row r="42" spans="1:10" x14ac:dyDescent="0.2">
      <c r="A42" s="65" t="s">
        <v>39</v>
      </c>
      <c r="B42" s="66"/>
      <c r="C42" s="66"/>
      <c r="D42" s="66"/>
      <c r="E42" s="6">
        <f>SUM(E7:E41)</f>
        <v>14254.045131000004</v>
      </c>
      <c r="F42" s="6">
        <f>SUM(F7:F41)</f>
        <v>33.293722471717267</v>
      </c>
      <c r="I42" s="1"/>
      <c r="J42" s="1"/>
    </row>
    <row r="43" spans="1:10" x14ac:dyDescent="0.2">
      <c r="A43" s="66"/>
      <c r="B43" s="66"/>
      <c r="C43" s="66"/>
      <c r="D43" s="66"/>
      <c r="E43" s="7"/>
      <c r="F43" s="7"/>
    </row>
    <row r="44" spans="1:10" x14ac:dyDescent="0.2">
      <c r="A44" s="65" t="s">
        <v>419</v>
      </c>
      <c r="B44" s="66"/>
      <c r="C44" s="66"/>
      <c r="D44" s="66"/>
      <c r="E44" s="7"/>
      <c r="F44" s="7"/>
    </row>
    <row r="45" spans="1:10" x14ac:dyDescent="0.2">
      <c r="A45" s="65" t="s">
        <v>8</v>
      </c>
      <c r="B45" s="66"/>
      <c r="C45" s="66"/>
      <c r="D45" s="66"/>
      <c r="E45" s="7"/>
      <c r="F45" s="7"/>
    </row>
    <row r="46" spans="1:10" x14ac:dyDescent="0.2">
      <c r="A46" s="65"/>
      <c r="B46" s="66"/>
      <c r="C46" s="66"/>
      <c r="D46" s="66"/>
      <c r="E46" s="7"/>
      <c r="F46" s="7"/>
    </row>
    <row r="47" spans="1:10" x14ac:dyDescent="0.2">
      <c r="A47" s="66" t="s">
        <v>1598</v>
      </c>
      <c r="B47" s="66" t="s">
        <v>1599</v>
      </c>
      <c r="C47" s="66" t="s">
        <v>799</v>
      </c>
      <c r="D47" s="66">
        <v>250</v>
      </c>
      <c r="E47" s="7">
        <v>2474.2175000000002</v>
      </c>
      <c r="F47" s="7">
        <v>5.7792343034120197</v>
      </c>
    </row>
    <row r="48" spans="1:10" x14ac:dyDescent="0.2">
      <c r="A48" s="66" t="s">
        <v>1600</v>
      </c>
      <c r="B48" s="66" t="s">
        <v>1601</v>
      </c>
      <c r="C48" s="66" t="s">
        <v>1146</v>
      </c>
      <c r="D48" s="66">
        <v>200</v>
      </c>
      <c r="E48" s="7">
        <v>2040.2</v>
      </c>
      <c r="F48" s="7">
        <v>4.76546375806541</v>
      </c>
    </row>
    <row r="49" spans="1:6" x14ac:dyDescent="0.2">
      <c r="A49" s="66" t="s">
        <v>1177</v>
      </c>
      <c r="B49" s="66" t="s">
        <v>1178</v>
      </c>
      <c r="C49" s="66" t="s">
        <v>429</v>
      </c>
      <c r="D49" s="66">
        <v>200</v>
      </c>
      <c r="E49" s="7">
        <v>1962.0540000000001</v>
      </c>
      <c r="F49" s="7">
        <v>4.5829316872695198</v>
      </c>
    </row>
    <row r="50" spans="1:6" x14ac:dyDescent="0.2">
      <c r="A50" s="66" t="s">
        <v>1602</v>
      </c>
      <c r="B50" s="66" t="s">
        <v>1603</v>
      </c>
      <c r="C50" s="66" t="s">
        <v>429</v>
      </c>
      <c r="D50" s="66">
        <v>200</v>
      </c>
      <c r="E50" s="7">
        <v>1953.568</v>
      </c>
      <c r="F50" s="7">
        <v>4.5631102357201803</v>
      </c>
    </row>
    <row r="51" spans="1:6" x14ac:dyDescent="0.2">
      <c r="A51" s="66" t="s">
        <v>1604</v>
      </c>
      <c r="B51" s="66" t="s">
        <v>1605</v>
      </c>
      <c r="C51" s="66" t="s">
        <v>1606</v>
      </c>
      <c r="D51" s="66">
        <v>150</v>
      </c>
      <c r="E51" s="7">
        <v>1500.3630000000001</v>
      </c>
      <c r="F51" s="7">
        <v>3.5045218608186901</v>
      </c>
    </row>
    <row r="52" spans="1:6" x14ac:dyDescent="0.2">
      <c r="A52" s="66" t="s">
        <v>802</v>
      </c>
      <c r="B52" s="66" t="s">
        <v>803</v>
      </c>
      <c r="C52" s="66" t="s">
        <v>750</v>
      </c>
      <c r="D52" s="66">
        <v>150</v>
      </c>
      <c r="E52" s="7">
        <v>1492.9770000000001</v>
      </c>
      <c r="F52" s="7">
        <v>3.4872697701819502</v>
      </c>
    </row>
    <row r="53" spans="1:6" x14ac:dyDescent="0.2">
      <c r="A53" s="66" t="s">
        <v>1191</v>
      </c>
      <c r="B53" s="66" t="s">
        <v>1192</v>
      </c>
      <c r="C53" s="66" t="s">
        <v>429</v>
      </c>
      <c r="D53" s="66">
        <v>150</v>
      </c>
      <c r="E53" s="7">
        <v>1479.7964999999999</v>
      </c>
      <c r="F53" s="7">
        <v>3.4564829869924698</v>
      </c>
    </row>
    <row r="54" spans="1:6" x14ac:dyDescent="0.2">
      <c r="A54" s="66" t="s">
        <v>1607</v>
      </c>
      <c r="B54" s="66" t="s">
        <v>1608</v>
      </c>
      <c r="C54" s="66" t="s">
        <v>1609</v>
      </c>
      <c r="D54" s="66">
        <v>150</v>
      </c>
      <c r="E54" s="7">
        <v>1469.625</v>
      </c>
      <c r="F54" s="7">
        <v>3.4327245737902499</v>
      </c>
    </row>
    <row r="55" spans="1:6" x14ac:dyDescent="0.2">
      <c r="A55" s="66" t="s">
        <v>1156</v>
      </c>
      <c r="B55" s="66" t="s">
        <v>1157</v>
      </c>
      <c r="C55" s="66" t="s">
        <v>1158</v>
      </c>
      <c r="D55" s="66">
        <v>100</v>
      </c>
      <c r="E55" s="7">
        <v>1001.16</v>
      </c>
      <c r="F55" s="7">
        <v>2.3384921556831499</v>
      </c>
    </row>
    <row r="56" spans="1:6" x14ac:dyDescent="0.2">
      <c r="A56" s="66" t="s">
        <v>1610</v>
      </c>
      <c r="B56" s="66" t="s">
        <v>1611</v>
      </c>
      <c r="C56" s="66" t="s">
        <v>421</v>
      </c>
      <c r="D56" s="66">
        <v>100</v>
      </c>
      <c r="E56" s="7">
        <v>928.72900000000004</v>
      </c>
      <c r="F56" s="7">
        <v>2.1693090827194998</v>
      </c>
    </row>
    <row r="57" spans="1:6" x14ac:dyDescent="0.2">
      <c r="A57" s="66" t="s">
        <v>1612</v>
      </c>
      <c r="B57" s="66" t="s">
        <v>1613</v>
      </c>
      <c r="C57" s="66" t="s">
        <v>421</v>
      </c>
      <c r="D57" s="66">
        <v>70</v>
      </c>
      <c r="E57" s="7">
        <v>709.20150000000001</v>
      </c>
      <c r="F57" s="7">
        <v>1.65654055750202</v>
      </c>
    </row>
    <row r="58" spans="1:6" x14ac:dyDescent="0.2">
      <c r="A58" s="66" t="s">
        <v>1614</v>
      </c>
      <c r="B58" s="66" t="s">
        <v>1615</v>
      </c>
      <c r="C58" s="66" t="s">
        <v>1158</v>
      </c>
      <c r="D58" s="66">
        <v>50</v>
      </c>
      <c r="E58" s="7">
        <v>498.71949999999998</v>
      </c>
      <c r="F58" s="7">
        <v>1.16490035422532</v>
      </c>
    </row>
    <row r="59" spans="1:6" x14ac:dyDescent="0.2">
      <c r="A59" s="66" t="s">
        <v>1128</v>
      </c>
      <c r="B59" s="66" t="s">
        <v>1129</v>
      </c>
      <c r="C59" s="66" t="s">
        <v>759</v>
      </c>
      <c r="D59" s="66">
        <v>50</v>
      </c>
      <c r="E59" s="7">
        <v>498.46050000000002</v>
      </c>
      <c r="F59" s="7">
        <v>1.16429538651954</v>
      </c>
    </row>
    <row r="60" spans="1:6" x14ac:dyDescent="0.2">
      <c r="A60" s="66" t="s">
        <v>423</v>
      </c>
      <c r="B60" s="66" t="s">
        <v>710</v>
      </c>
      <c r="C60" s="66" t="s">
        <v>424</v>
      </c>
      <c r="D60" s="66">
        <v>50</v>
      </c>
      <c r="E60" s="7">
        <v>484.5335</v>
      </c>
      <c r="F60" s="7">
        <v>1.1317649415834601</v>
      </c>
    </row>
    <row r="61" spans="1:6" x14ac:dyDescent="0.2">
      <c r="A61" s="66" t="s">
        <v>1183</v>
      </c>
      <c r="B61" s="66" t="s">
        <v>1184</v>
      </c>
      <c r="C61" s="66" t="s">
        <v>1141</v>
      </c>
      <c r="D61" s="66">
        <v>44</v>
      </c>
      <c r="E61" s="7">
        <v>443.94724000000002</v>
      </c>
      <c r="F61" s="7">
        <v>1.0369642597358899</v>
      </c>
    </row>
    <row r="62" spans="1:6" x14ac:dyDescent="0.2">
      <c r="A62" s="66" t="s">
        <v>1616</v>
      </c>
      <c r="B62" s="66" t="s">
        <v>1617</v>
      </c>
      <c r="C62" s="66" t="s">
        <v>421</v>
      </c>
      <c r="D62" s="66">
        <v>40</v>
      </c>
      <c r="E62" s="7">
        <v>399.31040000000002</v>
      </c>
      <c r="F62" s="7">
        <v>0.932702303410745</v>
      </c>
    </row>
    <row r="63" spans="1:6" x14ac:dyDescent="0.2">
      <c r="A63" s="65" t="s">
        <v>39</v>
      </c>
      <c r="B63" s="66"/>
      <c r="C63" s="66"/>
      <c r="D63" s="66"/>
      <c r="E63" s="6">
        <f>SUM(E47:E62)</f>
        <v>19336.862640000003</v>
      </c>
      <c r="F63" s="6">
        <f>SUM(F47:F62)</f>
        <v>45.166708217630109</v>
      </c>
    </row>
    <row r="64" spans="1:6" x14ac:dyDescent="0.2">
      <c r="A64" s="66"/>
      <c r="B64" s="66"/>
      <c r="C64" s="66"/>
      <c r="D64" s="66"/>
      <c r="E64" s="7"/>
      <c r="F64" s="7"/>
    </row>
    <row r="65" spans="1:10" x14ac:dyDescent="0.2">
      <c r="A65" s="65" t="s">
        <v>1618</v>
      </c>
      <c r="B65" s="66"/>
      <c r="C65" s="66"/>
      <c r="D65" s="66"/>
      <c r="E65" s="7"/>
      <c r="F65" s="7"/>
    </row>
    <row r="66" spans="1:10" x14ac:dyDescent="0.2">
      <c r="A66" s="66" t="s">
        <v>1307</v>
      </c>
      <c r="B66" s="66" t="s">
        <v>1308</v>
      </c>
      <c r="C66" s="66" t="s">
        <v>799</v>
      </c>
      <c r="D66" s="66">
        <v>14</v>
      </c>
      <c r="E66" s="7">
        <v>1613.7632000000001</v>
      </c>
      <c r="F66" s="7">
        <v>3.7694000802370602</v>
      </c>
    </row>
    <row r="67" spans="1:10" x14ac:dyDescent="0.2">
      <c r="A67" s="65" t="s">
        <v>39</v>
      </c>
      <c r="B67" s="66"/>
      <c r="C67" s="66"/>
      <c r="D67" s="66"/>
      <c r="E67" s="6">
        <f>SUM(E66:E66)</f>
        <v>1613.7632000000001</v>
      </c>
      <c r="F67" s="6">
        <f>SUM(F66:F66)</f>
        <v>3.7694000802370602</v>
      </c>
      <c r="I67" s="1"/>
      <c r="J67" s="1"/>
    </row>
    <row r="68" spans="1:10" x14ac:dyDescent="0.2">
      <c r="A68" s="66"/>
      <c r="B68" s="66"/>
      <c r="C68" s="66"/>
      <c r="D68" s="66"/>
      <c r="E68" s="7"/>
      <c r="F68" s="7"/>
    </row>
    <row r="69" spans="1:10" x14ac:dyDescent="0.2">
      <c r="A69" s="65" t="s">
        <v>1619</v>
      </c>
      <c r="B69" s="66"/>
      <c r="C69" s="66"/>
      <c r="D69" s="66"/>
      <c r="E69" s="7"/>
      <c r="F69" s="7"/>
    </row>
    <row r="70" spans="1:10" x14ac:dyDescent="0.2">
      <c r="A70" s="66" t="s">
        <v>1620</v>
      </c>
      <c r="B70" s="66" t="s">
        <v>1621</v>
      </c>
      <c r="C70" s="66" t="s">
        <v>1622</v>
      </c>
      <c r="D70" s="66">
        <v>4725000</v>
      </c>
      <c r="E70" s="7">
        <v>4590.7344000000003</v>
      </c>
      <c r="F70" s="7">
        <v>10.722957752232199</v>
      </c>
    </row>
    <row r="71" spans="1:10" x14ac:dyDescent="0.2">
      <c r="A71" s="66" t="s">
        <v>1623</v>
      </c>
      <c r="B71" s="66" t="s">
        <v>1624</v>
      </c>
      <c r="C71" s="66" t="s">
        <v>1622</v>
      </c>
      <c r="D71" s="66">
        <v>500000</v>
      </c>
      <c r="E71" s="7">
        <v>498.14949999999999</v>
      </c>
      <c r="F71" s="7">
        <v>1.16356895811607</v>
      </c>
    </row>
    <row r="72" spans="1:10" x14ac:dyDescent="0.2">
      <c r="A72" s="65" t="s">
        <v>39</v>
      </c>
      <c r="B72" s="66"/>
      <c r="C72" s="66"/>
      <c r="D72" s="66"/>
      <c r="E72" s="6">
        <f>SUM(E70:E71)</f>
        <v>5088.8839000000007</v>
      </c>
      <c r="F72" s="6">
        <f>SUM(F70:F71)</f>
        <v>11.886526710348269</v>
      </c>
      <c r="I72" s="1"/>
      <c r="J72" s="1"/>
    </row>
    <row r="73" spans="1:10" x14ac:dyDescent="0.2">
      <c r="A73" s="66"/>
      <c r="B73" s="66"/>
      <c r="C73" s="66"/>
      <c r="D73" s="66"/>
      <c r="E73" s="7"/>
      <c r="F73" s="7"/>
    </row>
    <row r="74" spans="1:10" x14ac:dyDescent="0.2">
      <c r="A74" s="65" t="s">
        <v>39</v>
      </c>
      <c r="B74" s="66"/>
      <c r="C74" s="66"/>
      <c r="D74" s="66"/>
      <c r="E74" s="6">
        <v>40293.554871000008</v>
      </c>
      <c r="F74" s="6">
        <v>94.116986286329961</v>
      </c>
      <c r="I74" s="1"/>
      <c r="J74" s="1"/>
    </row>
    <row r="75" spans="1:10" x14ac:dyDescent="0.2">
      <c r="A75" s="66"/>
      <c r="B75" s="66"/>
      <c r="C75" s="66"/>
      <c r="D75" s="66"/>
      <c r="E75" s="7"/>
      <c r="F75" s="7"/>
    </row>
    <row r="76" spans="1:10" x14ac:dyDescent="0.2">
      <c r="A76" s="65" t="s">
        <v>103</v>
      </c>
      <c r="B76" s="66"/>
      <c r="C76" s="66"/>
      <c r="D76" s="66"/>
      <c r="E76" s="6">
        <v>2518.6526223999999</v>
      </c>
      <c r="F76" s="6">
        <v>5.88</v>
      </c>
      <c r="I76" s="1"/>
      <c r="J76" s="1"/>
    </row>
    <row r="77" spans="1:10" x14ac:dyDescent="0.2">
      <c r="A77" s="66"/>
      <c r="B77" s="66"/>
      <c r="C77" s="66"/>
      <c r="D77" s="66"/>
      <c r="E77" s="7"/>
      <c r="F77" s="7"/>
    </row>
    <row r="78" spans="1:10" x14ac:dyDescent="0.2">
      <c r="A78" s="68" t="s">
        <v>104</v>
      </c>
      <c r="B78" s="64"/>
      <c r="C78" s="64"/>
      <c r="D78" s="64"/>
      <c r="E78" s="8">
        <v>42812.205622399997</v>
      </c>
      <c r="F78" s="8">
        <f xml:space="preserve"> ROUND(SUM(F74:F77),2)</f>
        <v>100</v>
      </c>
      <c r="I78" s="1"/>
      <c r="J78" s="1"/>
    </row>
    <row r="79" spans="1:10" x14ac:dyDescent="0.2">
      <c r="A79" s="4" t="s">
        <v>714</v>
      </c>
      <c r="F79" s="9"/>
    </row>
    <row r="80" spans="1:10" x14ac:dyDescent="0.2">
      <c r="A80" s="4"/>
      <c r="F80" s="9"/>
    </row>
    <row r="81" spans="1:4" x14ac:dyDescent="0.2">
      <c r="A81" s="4" t="s">
        <v>105</v>
      </c>
    </row>
    <row r="82" spans="1:4" x14ac:dyDescent="0.2">
      <c r="A82" s="4" t="s">
        <v>106</v>
      </c>
    </row>
    <row r="83" spans="1:4" x14ac:dyDescent="0.2">
      <c r="A83" s="4" t="s">
        <v>107</v>
      </c>
    </row>
    <row r="84" spans="1:4" x14ac:dyDescent="0.2">
      <c r="A84" s="2" t="s">
        <v>722</v>
      </c>
      <c r="D84" s="10">
        <v>121.1733</v>
      </c>
    </row>
    <row r="85" spans="1:4" x14ac:dyDescent="0.2">
      <c r="A85" s="2" t="s">
        <v>719</v>
      </c>
      <c r="D85" s="10">
        <v>18.545300000000001</v>
      </c>
    </row>
    <row r="86" spans="1:4" x14ac:dyDescent="0.2">
      <c r="A86" s="2" t="s">
        <v>721</v>
      </c>
      <c r="D86" s="10">
        <v>17.777699999999999</v>
      </c>
    </row>
    <row r="87" spans="1:4" x14ac:dyDescent="0.2">
      <c r="A87" s="2" t="s">
        <v>720</v>
      </c>
      <c r="D87" s="10">
        <v>125.78319999999999</v>
      </c>
    </row>
    <row r="89" spans="1:4" x14ac:dyDescent="0.2">
      <c r="A89" s="4" t="s">
        <v>108</v>
      </c>
    </row>
    <row r="90" spans="1:4" x14ac:dyDescent="0.2">
      <c r="A90" s="2" t="s">
        <v>721</v>
      </c>
      <c r="D90" s="10">
        <v>17.878799999999998</v>
      </c>
    </row>
    <row r="91" spans="1:4" x14ac:dyDescent="0.2">
      <c r="A91" s="2" t="s">
        <v>720</v>
      </c>
      <c r="D91" s="10">
        <v>126.9665</v>
      </c>
    </row>
    <row r="92" spans="1:4" x14ac:dyDescent="0.2">
      <c r="A92" s="2" t="s">
        <v>719</v>
      </c>
      <c r="D92" s="10">
        <v>18.715599999999998</v>
      </c>
    </row>
    <row r="93" spans="1:4" x14ac:dyDescent="0.2">
      <c r="A93" s="2" t="s">
        <v>722</v>
      </c>
      <c r="D93" s="10">
        <v>121.8618</v>
      </c>
    </row>
    <row r="95" spans="1:4" x14ac:dyDescent="0.2">
      <c r="A95" s="4" t="s">
        <v>109</v>
      </c>
      <c r="D95" s="69" t="s">
        <v>110</v>
      </c>
    </row>
    <row r="97" spans="1:5" x14ac:dyDescent="0.2">
      <c r="A97" s="4" t="s">
        <v>883</v>
      </c>
      <c r="D97" s="70">
        <v>3.5339815319479331</v>
      </c>
      <c r="E97" s="1" t="s">
        <v>735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showGridLines="0" zoomScaleNormal="100" workbookViewId="0">
      <selection sqref="A1:F1"/>
    </sheetView>
  </sheetViews>
  <sheetFormatPr defaultRowHeight="11.25" x14ac:dyDescent="0.2"/>
  <cols>
    <col min="1" max="1" width="38" style="2" customWidth="1"/>
    <col min="2" max="2" width="57.42578125" style="2" bestFit="1" customWidth="1"/>
    <col min="3" max="3" width="11.5703125" style="2" bestFit="1" customWidth="1"/>
    <col min="4" max="4" width="8.285156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10" ht="15" customHeight="1" x14ac:dyDescent="0.2">
      <c r="A1" s="62" t="s">
        <v>1625</v>
      </c>
      <c r="B1" s="62"/>
      <c r="C1" s="62"/>
      <c r="D1" s="62"/>
      <c r="E1" s="62"/>
      <c r="F1" s="62"/>
    </row>
    <row r="3" spans="1:10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10" x14ac:dyDescent="0.2">
      <c r="A4" s="64"/>
      <c r="B4" s="64"/>
      <c r="C4" s="64"/>
      <c r="D4" s="64"/>
      <c r="E4" s="5"/>
      <c r="F4" s="5"/>
    </row>
    <row r="5" spans="1:10" x14ac:dyDescent="0.2">
      <c r="A5" s="65" t="s">
        <v>419</v>
      </c>
      <c r="B5" s="66"/>
      <c r="C5" s="66"/>
      <c r="D5" s="66"/>
      <c r="E5" s="7"/>
      <c r="F5" s="7"/>
    </row>
    <row r="6" spans="1:10" x14ac:dyDescent="0.2">
      <c r="A6" s="65" t="s">
        <v>8</v>
      </c>
      <c r="B6" s="66"/>
      <c r="C6" s="66"/>
      <c r="D6" s="66"/>
      <c r="E6" s="7"/>
      <c r="F6" s="7"/>
    </row>
    <row r="7" spans="1:10" x14ac:dyDescent="0.2">
      <c r="A7" s="65"/>
      <c r="B7" s="66"/>
      <c r="C7" s="66"/>
      <c r="D7" s="66"/>
      <c r="E7" s="7"/>
      <c r="F7" s="7"/>
    </row>
    <row r="8" spans="1:10" x14ac:dyDescent="0.2">
      <c r="A8" s="66" t="s">
        <v>1626</v>
      </c>
      <c r="B8" s="66" t="s">
        <v>1627</v>
      </c>
      <c r="C8" s="66" t="s">
        <v>744</v>
      </c>
      <c r="D8" s="66">
        <v>2500</v>
      </c>
      <c r="E8" s="7">
        <v>25003.334999999999</v>
      </c>
      <c r="F8" s="7">
        <v>3.45771875820909</v>
      </c>
    </row>
    <row r="9" spans="1:10" x14ac:dyDescent="0.2">
      <c r="A9" s="66" t="s">
        <v>1628</v>
      </c>
      <c r="B9" s="66" t="s">
        <v>1629</v>
      </c>
      <c r="C9" s="66" t="s">
        <v>1606</v>
      </c>
      <c r="D9" s="66">
        <v>1550</v>
      </c>
      <c r="E9" s="7">
        <v>15517.92575</v>
      </c>
      <c r="F9" s="7">
        <v>2.1459786446196398</v>
      </c>
    </row>
    <row r="10" spans="1:10" x14ac:dyDescent="0.2">
      <c r="A10" s="66" t="s">
        <v>1214</v>
      </c>
      <c r="B10" s="66" t="s">
        <v>1215</v>
      </c>
      <c r="C10" s="66" t="s">
        <v>421</v>
      </c>
      <c r="D10" s="66">
        <v>100</v>
      </c>
      <c r="E10" s="7">
        <v>9997.6689523999994</v>
      </c>
      <c r="F10" s="7">
        <v>1.38258066274271</v>
      </c>
    </row>
    <row r="11" spans="1:10" x14ac:dyDescent="0.2">
      <c r="A11" s="66" t="s">
        <v>1630</v>
      </c>
      <c r="B11" s="66" t="s">
        <v>1631</v>
      </c>
      <c r="C11" s="66" t="s">
        <v>421</v>
      </c>
      <c r="D11" s="66">
        <v>100</v>
      </c>
      <c r="E11" s="7">
        <v>9995.3015718999995</v>
      </c>
      <c r="F11" s="7">
        <v>1.38225327697747</v>
      </c>
    </row>
    <row r="12" spans="1:10" x14ac:dyDescent="0.2">
      <c r="A12" s="66" t="s">
        <v>1193</v>
      </c>
      <c r="B12" s="66" t="s">
        <v>1194</v>
      </c>
      <c r="C12" s="66" t="s">
        <v>421</v>
      </c>
      <c r="D12" s="66">
        <v>75</v>
      </c>
      <c r="E12" s="7">
        <v>7494.06</v>
      </c>
      <c r="F12" s="7">
        <v>1.0363558236189001</v>
      </c>
    </row>
    <row r="13" spans="1:10" x14ac:dyDescent="0.2">
      <c r="A13" s="66" t="s">
        <v>1632</v>
      </c>
      <c r="B13" s="66" t="s">
        <v>1633</v>
      </c>
      <c r="C13" s="66" t="s">
        <v>421</v>
      </c>
      <c r="D13" s="66">
        <v>500</v>
      </c>
      <c r="E13" s="7">
        <v>4992.2700000000004</v>
      </c>
      <c r="F13" s="7">
        <v>0.69038252797254795</v>
      </c>
    </row>
    <row r="14" spans="1:10" x14ac:dyDescent="0.2">
      <c r="A14" s="65" t="s">
        <v>39</v>
      </c>
      <c r="B14" s="66"/>
      <c r="C14" s="66"/>
      <c r="D14" s="66"/>
      <c r="E14" s="6">
        <f>SUM(E8:E13)</f>
        <v>73000.561274299995</v>
      </c>
      <c r="F14" s="6">
        <f>SUM(F8:F13)</f>
        <v>10.095269694140359</v>
      </c>
      <c r="J14" s="1"/>
    </row>
    <row r="15" spans="1:10" x14ac:dyDescent="0.2">
      <c r="A15" s="66"/>
      <c r="B15" s="66"/>
      <c r="C15" s="66"/>
      <c r="D15" s="66"/>
      <c r="E15" s="7"/>
      <c r="F15" s="7"/>
    </row>
    <row r="16" spans="1:10" x14ac:dyDescent="0.2">
      <c r="A16" s="65" t="s">
        <v>702</v>
      </c>
      <c r="B16" s="66"/>
      <c r="C16" s="66"/>
      <c r="D16" s="66"/>
      <c r="E16" s="7"/>
      <c r="F16" s="7"/>
    </row>
    <row r="17" spans="1:10" x14ac:dyDescent="0.2">
      <c r="A17" s="65" t="s">
        <v>1309</v>
      </c>
      <c r="B17" s="66"/>
      <c r="C17" s="66"/>
      <c r="D17" s="66"/>
      <c r="E17" s="7"/>
      <c r="F17" s="7"/>
    </row>
    <row r="18" spans="1:10" x14ac:dyDescent="0.2">
      <c r="A18" s="66" t="s">
        <v>1634</v>
      </c>
      <c r="B18" s="66" t="s">
        <v>1635</v>
      </c>
      <c r="C18" s="66" t="s">
        <v>1312</v>
      </c>
      <c r="D18" s="66">
        <v>20000</v>
      </c>
      <c r="E18" s="7">
        <v>19938.82</v>
      </c>
      <c r="F18" s="7">
        <v>2.7573454473395</v>
      </c>
    </row>
    <row r="19" spans="1:10" x14ac:dyDescent="0.2">
      <c r="A19" s="66" t="s">
        <v>1636</v>
      </c>
      <c r="B19" s="66" t="s">
        <v>1637</v>
      </c>
      <c r="C19" s="66" t="s">
        <v>706</v>
      </c>
      <c r="D19" s="66">
        <v>17500</v>
      </c>
      <c r="E19" s="7">
        <v>17411.59</v>
      </c>
      <c r="F19" s="7">
        <v>2.4078540464000402</v>
      </c>
    </row>
    <row r="20" spans="1:10" x14ac:dyDescent="0.2">
      <c r="A20" s="66" t="s">
        <v>1638</v>
      </c>
      <c r="B20" s="66" t="s">
        <v>1639</v>
      </c>
      <c r="C20" s="66" t="s">
        <v>1312</v>
      </c>
      <c r="D20" s="66">
        <v>10000</v>
      </c>
      <c r="E20" s="7">
        <v>9885.6200000000008</v>
      </c>
      <c r="F20" s="7">
        <v>1.3670853792314901</v>
      </c>
    </row>
    <row r="21" spans="1:10" x14ac:dyDescent="0.2">
      <c r="A21" s="66" t="s">
        <v>1640</v>
      </c>
      <c r="B21" s="66" t="s">
        <v>1641</v>
      </c>
      <c r="C21" s="66" t="s">
        <v>706</v>
      </c>
      <c r="D21" s="66">
        <v>7500</v>
      </c>
      <c r="E21" s="7">
        <v>7388.4674999999997</v>
      </c>
      <c r="F21" s="7">
        <v>1.0217534048625201</v>
      </c>
    </row>
    <row r="22" spans="1:10" x14ac:dyDescent="0.2">
      <c r="A22" s="66" t="s">
        <v>1642</v>
      </c>
      <c r="B22" s="66" t="s">
        <v>1643</v>
      </c>
      <c r="C22" s="66" t="s">
        <v>1312</v>
      </c>
      <c r="D22" s="66">
        <v>7500</v>
      </c>
      <c r="E22" s="7">
        <v>7378.8525</v>
      </c>
      <c r="F22" s="7">
        <v>1.0204237436049199</v>
      </c>
    </row>
    <row r="23" spans="1:10" x14ac:dyDescent="0.2">
      <c r="A23" s="66" t="s">
        <v>1644</v>
      </c>
      <c r="B23" s="66" t="s">
        <v>1645</v>
      </c>
      <c r="C23" s="66" t="s">
        <v>1312</v>
      </c>
      <c r="D23" s="66">
        <v>5000</v>
      </c>
      <c r="E23" s="7">
        <v>4987.5649999999996</v>
      </c>
      <c r="F23" s="7">
        <v>0.68973187209974596</v>
      </c>
    </row>
    <row r="24" spans="1:10" x14ac:dyDescent="0.2">
      <c r="A24" s="65" t="s">
        <v>39</v>
      </c>
      <c r="B24" s="66"/>
      <c r="C24" s="66"/>
      <c r="D24" s="66"/>
      <c r="E24" s="6">
        <f>SUM(E18:E23)</f>
        <v>66990.915000000008</v>
      </c>
      <c r="F24" s="6">
        <f>SUM(F18:F23)</f>
        <v>9.2641938935382164</v>
      </c>
      <c r="J24" s="1"/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5" t="s">
        <v>703</v>
      </c>
      <c r="B26" s="66"/>
      <c r="C26" s="66"/>
      <c r="D26" s="66"/>
      <c r="E26" s="7"/>
      <c r="F26" s="7"/>
    </row>
    <row r="27" spans="1:10" x14ac:dyDescent="0.2">
      <c r="A27" s="66" t="s">
        <v>1646</v>
      </c>
      <c r="B27" s="66" t="s">
        <v>1647</v>
      </c>
      <c r="C27" s="66" t="s">
        <v>706</v>
      </c>
      <c r="D27" s="66">
        <v>8000</v>
      </c>
      <c r="E27" s="7">
        <v>39308</v>
      </c>
      <c r="F27" s="7">
        <v>5.43591520681872</v>
      </c>
    </row>
    <row r="28" spans="1:10" x14ac:dyDescent="0.2">
      <c r="A28" s="66" t="s">
        <v>704</v>
      </c>
      <c r="B28" s="66" t="s">
        <v>1374</v>
      </c>
      <c r="C28" s="66" t="s">
        <v>706</v>
      </c>
      <c r="D28" s="66">
        <v>6500</v>
      </c>
      <c r="E28" s="7">
        <v>32117.052500000002</v>
      </c>
      <c r="F28" s="7">
        <v>4.4414769024866496</v>
      </c>
    </row>
    <row r="29" spans="1:10" x14ac:dyDescent="0.2">
      <c r="A29" s="66" t="s">
        <v>1375</v>
      </c>
      <c r="B29" s="66" t="s">
        <v>1376</v>
      </c>
      <c r="C29" s="66" t="s">
        <v>1312</v>
      </c>
      <c r="D29" s="66">
        <v>5900</v>
      </c>
      <c r="E29" s="7">
        <v>29256.8315</v>
      </c>
      <c r="F29" s="7">
        <v>4.0459360754600304</v>
      </c>
    </row>
    <row r="30" spans="1:10" x14ac:dyDescent="0.2">
      <c r="A30" s="66" t="s">
        <v>1648</v>
      </c>
      <c r="B30" s="66" t="s">
        <v>1649</v>
      </c>
      <c r="C30" s="66" t="s">
        <v>1312</v>
      </c>
      <c r="D30" s="66">
        <v>5000</v>
      </c>
      <c r="E30" s="7">
        <v>24778.674999999999</v>
      </c>
      <c r="F30" s="7">
        <v>3.4266504588714501</v>
      </c>
    </row>
    <row r="31" spans="1:10" x14ac:dyDescent="0.2">
      <c r="A31" s="66" t="s">
        <v>1650</v>
      </c>
      <c r="B31" s="66" t="s">
        <v>1651</v>
      </c>
      <c r="C31" s="66" t="s">
        <v>706</v>
      </c>
      <c r="D31" s="66">
        <v>5000</v>
      </c>
      <c r="E31" s="7">
        <v>24705.474999999999</v>
      </c>
      <c r="F31" s="7">
        <v>3.41652760873562</v>
      </c>
    </row>
    <row r="32" spans="1:10" x14ac:dyDescent="0.2">
      <c r="A32" s="66" t="s">
        <v>1652</v>
      </c>
      <c r="B32" s="66" t="s">
        <v>1653</v>
      </c>
      <c r="C32" s="66" t="s">
        <v>1337</v>
      </c>
      <c r="D32" s="66">
        <v>5000</v>
      </c>
      <c r="E32" s="7">
        <v>24588.2</v>
      </c>
      <c r="F32" s="7">
        <v>3.4003096135214199</v>
      </c>
    </row>
    <row r="33" spans="1:6" x14ac:dyDescent="0.2">
      <c r="A33" s="66" t="s">
        <v>1654</v>
      </c>
      <c r="B33" s="66" t="s">
        <v>1655</v>
      </c>
      <c r="C33" s="66" t="s">
        <v>1312</v>
      </c>
      <c r="D33" s="66">
        <v>4000</v>
      </c>
      <c r="E33" s="7">
        <v>19975.14</v>
      </c>
      <c r="F33" s="7">
        <v>2.7623681511227498</v>
      </c>
    </row>
    <row r="34" spans="1:6" x14ac:dyDescent="0.2">
      <c r="A34" s="66" t="s">
        <v>1656</v>
      </c>
      <c r="B34" s="66" t="s">
        <v>1657</v>
      </c>
      <c r="C34" s="66" t="s">
        <v>706</v>
      </c>
      <c r="D34" s="66">
        <v>4000</v>
      </c>
      <c r="E34" s="7">
        <v>19773.759999999998</v>
      </c>
      <c r="F34" s="7">
        <v>2.7345192500250302</v>
      </c>
    </row>
    <row r="35" spans="1:6" x14ac:dyDescent="0.2">
      <c r="A35" s="66" t="s">
        <v>1658</v>
      </c>
      <c r="B35" s="66" t="s">
        <v>1659</v>
      </c>
      <c r="C35" s="66" t="s">
        <v>1312</v>
      </c>
      <c r="D35" s="66">
        <v>4000</v>
      </c>
      <c r="E35" s="7">
        <v>19743</v>
      </c>
      <c r="F35" s="7">
        <v>2.7302654403231399</v>
      </c>
    </row>
    <row r="36" spans="1:6" x14ac:dyDescent="0.2">
      <c r="A36" s="66" t="s">
        <v>1660</v>
      </c>
      <c r="B36" s="66" t="s">
        <v>1661</v>
      </c>
      <c r="C36" s="66" t="s">
        <v>1312</v>
      </c>
      <c r="D36" s="66">
        <v>4000</v>
      </c>
      <c r="E36" s="7">
        <v>19623.48</v>
      </c>
      <c r="F36" s="7">
        <v>2.7137369833800502</v>
      </c>
    </row>
    <row r="37" spans="1:6" x14ac:dyDescent="0.2">
      <c r="A37" s="66" t="s">
        <v>1579</v>
      </c>
      <c r="B37" s="66" t="s">
        <v>1580</v>
      </c>
      <c r="C37" s="66" t="s">
        <v>706</v>
      </c>
      <c r="D37" s="66">
        <v>3440</v>
      </c>
      <c r="E37" s="7">
        <v>17131.664400000001</v>
      </c>
      <c r="F37" s="7">
        <v>2.3691430505259699</v>
      </c>
    </row>
    <row r="38" spans="1:6" x14ac:dyDescent="0.2">
      <c r="A38" s="66" t="s">
        <v>1662</v>
      </c>
      <c r="B38" s="66" t="s">
        <v>1663</v>
      </c>
      <c r="C38" s="66" t="s">
        <v>1337</v>
      </c>
      <c r="D38" s="66">
        <v>3000</v>
      </c>
      <c r="E38" s="7">
        <v>14905.365</v>
      </c>
      <c r="F38" s="7">
        <v>2.0612674332625298</v>
      </c>
    </row>
    <row r="39" spans="1:6" x14ac:dyDescent="0.2">
      <c r="A39" s="66" t="s">
        <v>1664</v>
      </c>
      <c r="B39" s="66" t="s">
        <v>1665</v>
      </c>
      <c r="C39" s="66" t="s">
        <v>706</v>
      </c>
      <c r="D39" s="66">
        <v>3000</v>
      </c>
      <c r="E39" s="7">
        <v>14879.34</v>
      </c>
      <c r="F39" s="7">
        <v>2.0576684281425202</v>
      </c>
    </row>
    <row r="40" spans="1:6" x14ac:dyDescent="0.2">
      <c r="A40" s="66" t="s">
        <v>1666</v>
      </c>
      <c r="B40" s="66" t="s">
        <v>1667</v>
      </c>
      <c r="C40" s="66" t="s">
        <v>1312</v>
      </c>
      <c r="D40" s="66">
        <v>3000</v>
      </c>
      <c r="E40" s="7">
        <v>14861.16</v>
      </c>
      <c r="F40" s="7">
        <v>2.0551543104448502</v>
      </c>
    </row>
    <row r="41" spans="1:6" x14ac:dyDescent="0.2">
      <c r="A41" s="66" t="s">
        <v>1668</v>
      </c>
      <c r="B41" s="66" t="s">
        <v>1669</v>
      </c>
      <c r="C41" s="66" t="s">
        <v>1337</v>
      </c>
      <c r="D41" s="66">
        <v>3000</v>
      </c>
      <c r="E41" s="7">
        <v>14779.965</v>
      </c>
      <c r="F41" s="7">
        <v>2.0439258293413198</v>
      </c>
    </row>
    <row r="42" spans="1:6" x14ac:dyDescent="0.2">
      <c r="A42" s="66" t="s">
        <v>1670</v>
      </c>
      <c r="B42" s="66" t="s">
        <v>1671</v>
      </c>
      <c r="C42" s="66" t="s">
        <v>1312</v>
      </c>
      <c r="D42" s="66">
        <v>3000</v>
      </c>
      <c r="E42" s="7">
        <v>14766.06</v>
      </c>
      <c r="F42" s="7">
        <v>2.0420029026864199</v>
      </c>
    </row>
    <row r="43" spans="1:6" x14ac:dyDescent="0.2">
      <c r="A43" s="66" t="s">
        <v>1672</v>
      </c>
      <c r="B43" s="66" t="s">
        <v>1673</v>
      </c>
      <c r="C43" s="66" t="s">
        <v>1337</v>
      </c>
      <c r="D43" s="66">
        <v>2500</v>
      </c>
      <c r="E43" s="7">
        <v>12484.612499999999</v>
      </c>
      <c r="F43" s="7">
        <v>1.7265008379970801</v>
      </c>
    </row>
    <row r="44" spans="1:6" x14ac:dyDescent="0.2">
      <c r="A44" s="66" t="s">
        <v>1674</v>
      </c>
      <c r="B44" s="66" t="s">
        <v>1675</v>
      </c>
      <c r="C44" s="66" t="s">
        <v>1312</v>
      </c>
      <c r="D44" s="66">
        <v>2500</v>
      </c>
      <c r="E44" s="7">
        <v>12457.4</v>
      </c>
      <c r="F44" s="7">
        <v>1.7227376131429599</v>
      </c>
    </row>
    <row r="45" spans="1:6" x14ac:dyDescent="0.2">
      <c r="A45" s="66" t="s">
        <v>1377</v>
      </c>
      <c r="B45" s="66" t="s">
        <v>1378</v>
      </c>
      <c r="C45" s="66" t="s">
        <v>706</v>
      </c>
      <c r="D45" s="66">
        <v>2400</v>
      </c>
      <c r="E45" s="7">
        <v>11812.368</v>
      </c>
      <c r="F45" s="7">
        <v>1.63353594280398</v>
      </c>
    </row>
    <row r="46" spans="1:6" x14ac:dyDescent="0.2">
      <c r="A46" s="66" t="s">
        <v>1340</v>
      </c>
      <c r="B46" s="66" t="s">
        <v>1341</v>
      </c>
      <c r="C46" s="66" t="s">
        <v>1312</v>
      </c>
      <c r="D46" s="66">
        <v>2300</v>
      </c>
      <c r="E46" s="7">
        <v>11493.652</v>
      </c>
      <c r="F46" s="7">
        <v>1.58946061078362</v>
      </c>
    </row>
    <row r="47" spans="1:6" x14ac:dyDescent="0.2">
      <c r="A47" s="66" t="s">
        <v>1346</v>
      </c>
      <c r="B47" s="66" t="s">
        <v>1347</v>
      </c>
      <c r="C47" s="66" t="s">
        <v>1312</v>
      </c>
      <c r="D47" s="66">
        <v>2300</v>
      </c>
      <c r="E47" s="7">
        <v>11356.296</v>
      </c>
      <c r="F47" s="7">
        <v>1.57046560800688</v>
      </c>
    </row>
    <row r="48" spans="1:6" x14ac:dyDescent="0.2">
      <c r="A48" s="66" t="s">
        <v>1676</v>
      </c>
      <c r="B48" s="66" t="s">
        <v>1677</v>
      </c>
      <c r="C48" s="66" t="s">
        <v>1312</v>
      </c>
      <c r="D48" s="66">
        <v>2000</v>
      </c>
      <c r="E48" s="7">
        <v>9994</v>
      </c>
      <c r="F48" s="7">
        <v>1.3820732822058199</v>
      </c>
    </row>
    <row r="49" spans="1:6" x14ac:dyDescent="0.2">
      <c r="A49" s="66" t="s">
        <v>1678</v>
      </c>
      <c r="B49" s="66" t="s">
        <v>1679</v>
      </c>
      <c r="C49" s="66" t="s">
        <v>1312</v>
      </c>
      <c r="D49" s="66">
        <v>2000</v>
      </c>
      <c r="E49" s="7">
        <v>9979.3700000000008</v>
      </c>
      <c r="F49" s="7">
        <v>1.3800500950816801</v>
      </c>
    </row>
    <row r="50" spans="1:6" x14ac:dyDescent="0.2">
      <c r="A50" s="66" t="s">
        <v>1680</v>
      </c>
      <c r="B50" s="66" t="s">
        <v>1681</v>
      </c>
      <c r="C50" s="66" t="s">
        <v>1312</v>
      </c>
      <c r="D50" s="66">
        <v>2000</v>
      </c>
      <c r="E50" s="7">
        <v>9963.7000000000007</v>
      </c>
      <c r="F50" s="7">
        <v>1.37788308604304</v>
      </c>
    </row>
    <row r="51" spans="1:6" x14ac:dyDescent="0.2">
      <c r="A51" s="66" t="s">
        <v>1682</v>
      </c>
      <c r="B51" s="66" t="s">
        <v>1683</v>
      </c>
      <c r="C51" s="66" t="s">
        <v>1312</v>
      </c>
      <c r="D51" s="66">
        <v>2000</v>
      </c>
      <c r="E51" s="7">
        <v>9952.9599999999991</v>
      </c>
      <c r="F51" s="7">
        <v>1.3763978481952399</v>
      </c>
    </row>
    <row r="52" spans="1:6" x14ac:dyDescent="0.2">
      <c r="A52" s="66" t="s">
        <v>1684</v>
      </c>
      <c r="B52" s="66" t="s">
        <v>1685</v>
      </c>
      <c r="C52" s="66" t="s">
        <v>1337</v>
      </c>
      <c r="D52" s="66">
        <v>2000</v>
      </c>
      <c r="E52" s="7">
        <v>9930.9500000000007</v>
      </c>
      <c r="F52" s="7">
        <v>1.3733540786393701</v>
      </c>
    </row>
    <row r="53" spans="1:6" x14ac:dyDescent="0.2">
      <c r="A53" s="66" t="s">
        <v>1686</v>
      </c>
      <c r="B53" s="66" t="s">
        <v>1687</v>
      </c>
      <c r="C53" s="66" t="s">
        <v>1312</v>
      </c>
      <c r="D53" s="66">
        <v>2000</v>
      </c>
      <c r="E53" s="7">
        <v>9918.48</v>
      </c>
      <c r="F53" s="7">
        <v>1.3716295985684199</v>
      </c>
    </row>
    <row r="54" spans="1:6" x14ac:dyDescent="0.2">
      <c r="A54" s="66" t="s">
        <v>1688</v>
      </c>
      <c r="B54" s="66" t="s">
        <v>1689</v>
      </c>
      <c r="C54" s="66" t="s">
        <v>1337</v>
      </c>
      <c r="D54" s="66">
        <v>2000</v>
      </c>
      <c r="E54" s="7">
        <v>9912.25</v>
      </c>
      <c r="F54" s="7">
        <v>1.3707680499844499</v>
      </c>
    </row>
    <row r="55" spans="1:6" x14ac:dyDescent="0.2">
      <c r="A55" s="66" t="s">
        <v>1690</v>
      </c>
      <c r="B55" s="66" t="s">
        <v>1691</v>
      </c>
      <c r="C55" s="66" t="s">
        <v>706</v>
      </c>
      <c r="D55" s="66">
        <v>2000</v>
      </c>
      <c r="E55" s="7">
        <v>9905.17</v>
      </c>
      <c r="F55" s="7">
        <v>1.3697889546434501</v>
      </c>
    </row>
    <row r="56" spans="1:6" x14ac:dyDescent="0.2">
      <c r="A56" s="66" t="s">
        <v>1692</v>
      </c>
      <c r="B56" s="66" t="s">
        <v>1693</v>
      </c>
      <c r="C56" s="66" t="s">
        <v>1312</v>
      </c>
      <c r="D56" s="66">
        <v>2000</v>
      </c>
      <c r="E56" s="7">
        <v>9899.51</v>
      </c>
      <c r="F56" s="7">
        <v>1.3690062315318501</v>
      </c>
    </row>
    <row r="57" spans="1:6" x14ac:dyDescent="0.2">
      <c r="A57" s="89" t="s">
        <v>1694</v>
      </c>
      <c r="B57" s="89" t="s">
        <v>1695</v>
      </c>
      <c r="C57" s="89" t="s">
        <v>1312</v>
      </c>
      <c r="D57" s="89">
        <v>2000</v>
      </c>
      <c r="E57" s="28">
        <v>9881.64</v>
      </c>
      <c r="F57" s="28">
        <v>1.3665349838279299</v>
      </c>
    </row>
    <row r="58" spans="1:6" x14ac:dyDescent="0.2">
      <c r="A58" s="66" t="s">
        <v>1696</v>
      </c>
      <c r="B58" s="66" t="s">
        <v>1697</v>
      </c>
      <c r="C58" s="66" t="s">
        <v>706</v>
      </c>
      <c r="D58" s="66">
        <v>2000</v>
      </c>
      <c r="E58" s="7">
        <v>9831.7999999999993</v>
      </c>
      <c r="F58" s="7">
        <v>1.3596425951562101</v>
      </c>
    </row>
    <row r="59" spans="1:6" x14ac:dyDescent="0.2">
      <c r="A59" s="89" t="s">
        <v>1698</v>
      </c>
      <c r="B59" s="89" t="s">
        <v>1699</v>
      </c>
      <c r="C59" s="89" t="s">
        <v>706</v>
      </c>
      <c r="D59" s="89">
        <v>2000</v>
      </c>
      <c r="E59" s="28">
        <v>9782.93</v>
      </c>
      <c r="F59" s="28">
        <v>1.3528843480778201</v>
      </c>
    </row>
    <row r="60" spans="1:6" x14ac:dyDescent="0.2">
      <c r="A60" s="66" t="s">
        <v>1700</v>
      </c>
      <c r="B60" s="66" t="s">
        <v>1701</v>
      </c>
      <c r="C60" s="66" t="s">
        <v>706</v>
      </c>
      <c r="D60" s="66">
        <v>1500</v>
      </c>
      <c r="E60" s="7">
        <v>7441.89</v>
      </c>
      <c r="F60" s="7">
        <v>1.0291412185425901</v>
      </c>
    </row>
    <row r="61" spans="1:6" x14ac:dyDescent="0.2">
      <c r="A61" s="66" t="s">
        <v>1702</v>
      </c>
      <c r="B61" s="66" t="s">
        <v>1703</v>
      </c>
      <c r="C61" s="66" t="s">
        <v>706</v>
      </c>
      <c r="D61" s="66">
        <v>1500</v>
      </c>
      <c r="E61" s="7">
        <v>7352.2725</v>
      </c>
      <c r="F61" s="7">
        <v>1.0167479873670799</v>
      </c>
    </row>
    <row r="62" spans="1:6" x14ac:dyDescent="0.2">
      <c r="A62" s="66" t="s">
        <v>1704</v>
      </c>
      <c r="B62" s="66" t="s">
        <v>1705</v>
      </c>
      <c r="C62" s="66" t="s">
        <v>706</v>
      </c>
      <c r="D62" s="66">
        <v>1400</v>
      </c>
      <c r="E62" s="7">
        <v>6936.7269999999999</v>
      </c>
      <c r="F62" s="7">
        <v>0.95928207451027803</v>
      </c>
    </row>
    <row r="63" spans="1:6" x14ac:dyDescent="0.2">
      <c r="A63" s="66" t="s">
        <v>1706</v>
      </c>
      <c r="B63" s="66" t="s">
        <v>1707</v>
      </c>
      <c r="C63" s="66" t="s">
        <v>1312</v>
      </c>
      <c r="D63" s="66">
        <v>1000</v>
      </c>
      <c r="E63" s="7">
        <v>4954.7950000000001</v>
      </c>
      <c r="F63" s="7">
        <v>0.68520009889003197</v>
      </c>
    </row>
    <row r="64" spans="1:6" x14ac:dyDescent="0.2">
      <c r="A64" s="66" t="s">
        <v>1708</v>
      </c>
      <c r="B64" s="66" t="s">
        <v>1709</v>
      </c>
      <c r="C64" s="66" t="s">
        <v>1312</v>
      </c>
      <c r="D64" s="66">
        <v>1000</v>
      </c>
      <c r="E64" s="7">
        <v>4947.82</v>
      </c>
      <c r="F64" s="7">
        <v>0.68423552403077803</v>
      </c>
    </row>
    <row r="65" spans="1:10" x14ac:dyDescent="0.2">
      <c r="A65" s="66" t="s">
        <v>1383</v>
      </c>
      <c r="B65" s="66" t="s">
        <v>1384</v>
      </c>
      <c r="C65" s="66" t="s">
        <v>1312</v>
      </c>
      <c r="D65" s="66">
        <v>980</v>
      </c>
      <c r="E65" s="7">
        <v>4810.0604999999996</v>
      </c>
      <c r="F65" s="7">
        <v>0.66518472111702598</v>
      </c>
    </row>
    <row r="66" spans="1:10" x14ac:dyDescent="0.2">
      <c r="A66" s="66" t="s">
        <v>1710</v>
      </c>
      <c r="B66" s="66" t="s">
        <v>1711</v>
      </c>
      <c r="C66" s="66" t="s">
        <v>1355</v>
      </c>
      <c r="D66" s="66">
        <v>840</v>
      </c>
      <c r="E66" s="7">
        <v>4119.8724000000002</v>
      </c>
      <c r="F66" s="7">
        <v>0.56973840005374798</v>
      </c>
    </row>
    <row r="67" spans="1:10" x14ac:dyDescent="0.2">
      <c r="A67" s="66" t="s">
        <v>1712</v>
      </c>
      <c r="B67" s="66" t="s">
        <v>1713</v>
      </c>
      <c r="C67" s="66" t="s">
        <v>1355</v>
      </c>
      <c r="D67" s="66">
        <v>600</v>
      </c>
      <c r="E67" s="7">
        <v>2941.9380000000001</v>
      </c>
      <c r="F67" s="7">
        <v>0.40684149566800298</v>
      </c>
    </row>
    <row r="68" spans="1:10" x14ac:dyDescent="0.2">
      <c r="A68" s="66" t="s">
        <v>1714</v>
      </c>
      <c r="B68" s="66" t="s">
        <v>1715</v>
      </c>
      <c r="C68" s="66" t="s">
        <v>1352</v>
      </c>
      <c r="D68" s="66">
        <v>600</v>
      </c>
      <c r="E68" s="7">
        <v>2933.1210000000001</v>
      </c>
      <c r="F68" s="7">
        <v>0.40562219007172401</v>
      </c>
    </row>
    <row r="69" spans="1:10" x14ac:dyDescent="0.2">
      <c r="A69" s="66" t="s">
        <v>1716</v>
      </c>
      <c r="B69" s="66" t="s">
        <v>1717</v>
      </c>
      <c r="C69" s="66" t="s">
        <v>1352</v>
      </c>
      <c r="D69" s="66">
        <v>500</v>
      </c>
      <c r="E69" s="7">
        <v>2449.5549999999998</v>
      </c>
      <c r="F69" s="7">
        <v>0.33874970170038798</v>
      </c>
    </row>
    <row r="70" spans="1:10" x14ac:dyDescent="0.2">
      <c r="A70" s="66" t="s">
        <v>1718</v>
      </c>
      <c r="B70" s="66" t="s">
        <v>1719</v>
      </c>
      <c r="C70" s="66" t="s">
        <v>1355</v>
      </c>
      <c r="D70" s="66">
        <v>500</v>
      </c>
      <c r="E70" s="7">
        <v>2448.8674999999998</v>
      </c>
      <c r="F70" s="7">
        <v>0.33865462711748601</v>
      </c>
    </row>
    <row r="71" spans="1:10" x14ac:dyDescent="0.2">
      <c r="A71" s="66" t="s">
        <v>1720</v>
      </c>
      <c r="B71" s="66" t="s">
        <v>1721</v>
      </c>
      <c r="C71" s="66" t="s">
        <v>1355</v>
      </c>
      <c r="D71" s="66">
        <v>500</v>
      </c>
      <c r="E71" s="7">
        <v>2448.1824999999999</v>
      </c>
      <c r="F71" s="7">
        <v>0.338559898260341</v>
      </c>
    </row>
    <row r="72" spans="1:10" x14ac:dyDescent="0.2">
      <c r="A72" s="65" t="s">
        <v>39</v>
      </c>
      <c r="B72" s="66"/>
      <c r="C72" s="66"/>
      <c r="D72" s="66"/>
      <c r="E72" s="6">
        <f>SUM(E27:E71)</f>
        <v>577535.35830000008</v>
      </c>
      <c r="F72" s="6">
        <f>SUM(F27:F71)</f>
        <v>79.867539347167806</v>
      </c>
      <c r="I72" s="1"/>
      <c r="J72" s="1"/>
    </row>
    <row r="73" spans="1:10" x14ac:dyDescent="0.2">
      <c r="A73" s="66"/>
      <c r="B73" s="66"/>
      <c r="C73" s="66"/>
      <c r="D73" s="66"/>
      <c r="E73" s="7"/>
      <c r="F73" s="7"/>
    </row>
    <row r="74" spans="1:10" x14ac:dyDescent="0.2">
      <c r="A74" s="65" t="s">
        <v>39</v>
      </c>
      <c r="B74" s="66"/>
      <c r="C74" s="66"/>
      <c r="D74" s="66"/>
      <c r="E74" s="6">
        <v>717526.8345743001</v>
      </c>
      <c r="F74" s="6">
        <v>99.227002934846368</v>
      </c>
      <c r="I74" s="1"/>
      <c r="J74" s="1"/>
    </row>
    <row r="75" spans="1:10" x14ac:dyDescent="0.2">
      <c r="A75" s="66"/>
      <c r="B75" s="66"/>
      <c r="C75" s="66"/>
      <c r="D75" s="66"/>
      <c r="E75" s="7"/>
      <c r="F75" s="7"/>
    </row>
    <row r="76" spans="1:10" x14ac:dyDescent="0.2">
      <c r="A76" s="65" t="s">
        <v>103</v>
      </c>
      <c r="B76" s="66"/>
      <c r="C76" s="66"/>
      <c r="D76" s="66"/>
      <c r="E76" s="6">
        <v>5589.6739273000003</v>
      </c>
      <c r="F76" s="6">
        <v>0.77</v>
      </c>
      <c r="I76" s="1"/>
      <c r="J76" s="1"/>
    </row>
    <row r="77" spans="1:10" x14ac:dyDescent="0.2">
      <c r="A77" s="66"/>
      <c r="B77" s="66"/>
      <c r="C77" s="66"/>
      <c r="D77" s="66"/>
      <c r="E77" s="7"/>
      <c r="F77" s="7"/>
    </row>
    <row r="78" spans="1:10" x14ac:dyDescent="0.2">
      <c r="A78" s="68" t="s">
        <v>104</v>
      </c>
      <c r="B78" s="64"/>
      <c r="C78" s="64"/>
      <c r="D78" s="64"/>
      <c r="E78" s="8">
        <v>723116.50392729999</v>
      </c>
      <c r="F78" s="8">
        <f xml:space="preserve"> ROUND(SUM(F74:F77),2)</f>
        <v>100</v>
      </c>
      <c r="I78" s="1"/>
      <c r="J78" s="1"/>
    </row>
    <row r="79" spans="1:10" x14ac:dyDescent="0.2">
      <c r="A79" s="4" t="s">
        <v>714</v>
      </c>
    </row>
    <row r="81" spans="1:5" x14ac:dyDescent="0.2">
      <c r="A81" s="4" t="s">
        <v>105</v>
      </c>
    </row>
    <row r="82" spans="1:5" x14ac:dyDescent="0.2">
      <c r="A82" s="4" t="s">
        <v>106</v>
      </c>
    </row>
    <row r="83" spans="1:5" x14ac:dyDescent="0.2">
      <c r="A83" s="4" t="s">
        <v>107</v>
      </c>
    </row>
    <row r="84" spans="1:5" x14ac:dyDescent="0.2">
      <c r="A84" s="84" t="s">
        <v>1385</v>
      </c>
      <c r="B84" s="84"/>
      <c r="C84" s="84"/>
      <c r="D84" s="85">
        <v>1021.9775</v>
      </c>
      <c r="E84" s="53"/>
    </row>
    <row r="85" spans="1:5" x14ac:dyDescent="0.2">
      <c r="A85" s="84" t="s">
        <v>1397</v>
      </c>
      <c r="B85" s="84"/>
      <c r="C85" s="84"/>
      <c r="D85" s="85">
        <v>1000.7051</v>
      </c>
      <c r="E85" s="53"/>
    </row>
    <row r="86" spans="1:5" x14ac:dyDescent="0.2">
      <c r="A86" s="84" t="s">
        <v>1389</v>
      </c>
      <c r="B86" s="84"/>
      <c r="C86" s="84"/>
      <c r="D86" s="85">
        <v>2620.5681</v>
      </c>
      <c r="E86" s="53"/>
    </row>
    <row r="87" spans="1:5" x14ac:dyDescent="0.2">
      <c r="A87" s="84" t="s">
        <v>1722</v>
      </c>
      <c r="B87" s="84"/>
      <c r="C87" s="84"/>
      <c r="D87" s="85">
        <v>1055.5517</v>
      </c>
      <c r="E87" s="53"/>
    </row>
    <row r="88" spans="1:5" x14ac:dyDescent="0.2">
      <c r="A88" s="84" t="s">
        <v>1723</v>
      </c>
      <c r="B88" s="84"/>
      <c r="C88" s="84"/>
      <c r="D88" s="85">
        <v>1245.2707</v>
      </c>
      <c r="E88" s="53"/>
    </row>
    <row r="89" spans="1:5" x14ac:dyDescent="0.2">
      <c r="A89" s="84" t="s">
        <v>1724</v>
      </c>
      <c r="B89" s="84"/>
      <c r="C89" s="84"/>
      <c r="D89" s="85">
        <v>2629.0661</v>
      </c>
      <c r="E89" s="53"/>
    </row>
    <row r="90" spans="1:5" x14ac:dyDescent="0.2">
      <c r="A90" s="84" t="s">
        <v>1396</v>
      </c>
      <c r="B90" s="84"/>
      <c r="C90" s="84"/>
      <c r="D90" s="85">
        <v>1000.6505</v>
      </c>
      <c r="E90" s="53"/>
    </row>
    <row r="91" spans="1:5" x14ac:dyDescent="0.2">
      <c r="A91" s="84" t="s">
        <v>1725</v>
      </c>
      <c r="B91" s="84"/>
      <c r="C91" s="84"/>
      <c r="D91" s="85">
        <v>1512.2955999999999</v>
      </c>
      <c r="E91" s="53"/>
    </row>
    <row r="92" spans="1:5" x14ac:dyDescent="0.2">
      <c r="A92" s="84" t="s">
        <v>1395</v>
      </c>
      <c r="B92" s="84"/>
      <c r="C92" s="84"/>
      <c r="D92" s="85">
        <v>2674.0378999999998</v>
      </c>
      <c r="E92" s="53"/>
    </row>
    <row r="93" spans="1:5" x14ac:dyDescent="0.2">
      <c r="A93" s="84" t="s">
        <v>1726</v>
      </c>
      <c r="B93" s="84"/>
      <c r="C93" s="84"/>
      <c r="D93" s="85">
        <v>11.1533</v>
      </c>
      <c r="E93" s="53"/>
    </row>
    <row r="94" spans="1:5" x14ac:dyDescent="0.2">
      <c r="A94" s="84" t="s">
        <v>1727</v>
      </c>
      <c r="B94" s="84"/>
      <c r="C94" s="84"/>
      <c r="D94" s="85">
        <v>11.1533</v>
      </c>
      <c r="E94" s="53"/>
    </row>
    <row r="95" spans="1:5" x14ac:dyDescent="0.2">
      <c r="A95" s="84" t="s">
        <v>1728</v>
      </c>
      <c r="B95" s="84"/>
      <c r="C95" s="84"/>
      <c r="D95" s="85">
        <v>4132.7740999999996</v>
      </c>
      <c r="E95" s="53"/>
    </row>
    <row r="96" spans="1:5" x14ac:dyDescent="0.2">
      <c r="A96" s="84" t="s">
        <v>1729</v>
      </c>
      <c r="B96" s="84"/>
      <c r="C96" s="84"/>
      <c r="D96" s="85">
        <v>1022.2481</v>
      </c>
      <c r="E96" s="53"/>
    </row>
    <row r="97" spans="1:5" x14ac:dyDescent="0.2">
      <c r="A97" s="84" t="s">
        <v>1730</v>
      </c>
      <c r="B97" s="84"/>
      <c r="C97" s="84"/>
      <c r="D97" s="85">
        <v>1001.8422</v>
      </c>
      <c r="E97" s="53"/>
    </row>
    <row r="98" spans="1:5" x14ac:dyDescent="0.2">
      <c r="A98" s="84"/>
      <c r="B98" s="84"/>
      <c r="C98" s="84"/>
      <c r="D98" s="84"/>
      <c r="E98" s="53"/>
    </row>
    <row r="99" spans="1:5" x14ac:dyDescent="0.2">
      <c r="A99" s="27" t="s">
        <v>108</v>
      </c>
      <c r="B99" s="84"/>
      <c r="C99" s="84"/>
      <c r="D99" s="84"/>
      <c r="E99" s="53"/>
    </row>
    <row r="100" spans="1:5" x14ac:dyDescent="0.2">
      <c r="A100" s="84" t="s">
        <v>1722</v>
      </c>
      <c r="B100" s="84"/>
      <c r="C100" s="84"/>
      <c r="D100" s="85">
        <v>1055.8035</v>
      </c>
      <c r="E100" s="53"/>
    </row>
    <row r="101" spans="1:5" x14ac:dyDescent="0.2">
      <c r="A101" s="84" t="s">
        <v>1389</v>
      </c>
      <c r="B101" s="84"/>
      <c r="C101" s="84"/>
      <c r="D101" s="85">
        <v>2719.7226999999998</v>
      </c>
      <c r="E101" s="53"/>
    </row>
    <row r="102" spans="1:5" x14ac:dyDescent="0.2">
      <c r="A102" s="84" t="s">
        <v>1730</v>
      </c>
      <c r="B102" s="84"/>
      <c r="C102" s="84"/>
      <c r="D102" s="85">
        <v>1001.8422</v>
      </c>
      <c r="E102" s="53"/>
    </row>
    <row r="103" spans="1:5" x14ac:dyDescent="0.2">
      <c r="A103" s="84" t="s">
        <v>1385</v>
      </c>
      <c r="B103" s="84"/>
      <c r="C103" s="84"/>
      <c r="D103" s="85">
        <v>1022.2375</v>
      </c>
      <c r="E103" s="53"/>
    </row>
    <row r="104" spans="1:5" x14ac:dyDescent="0.2">
      <c r="A104" s="84" t="s">
        <v>1397</v>
      </c>
      <c r="B104" s="84"/>
      <c r="C104" s="84"/>
      <c r="D104" s="85">
        <v>1000.7051</v>
      </c>
      <c r="E104" s="53"/>
    </row>
    <row r="105" spans="1:5" x14ac:dyDescent="0.2">
      <c r="A105" s="84" t="s">
        <v>1729</v>
      </c>
      <c r="B105" s="84"/>
      <c r="C105" s="84"/>
      <c r="D105" s="85">
        <v>1022.5104</v>
      </c>
      <c r="E105" s="53"/>
    </row>
    <row r="106" spans="1:5" x14ac:dyDescent="0.2">
      <c r="A106" s="84" t="s">
        <v>1725</v>
      </c>
      <c r="B106" s="84"/>
      <c r="C106" s="84"/>
      <c r="D106" s="85">
        <v>1512.2955999999999</v>
      </c>
      <c r="E106" s="53"/>
    </row>
    <row r="107" spans="1:5" x14ac:dyDescent="0.2">
      <c r="A107" s="84" t="s">
        <v>1395</v>
      </c>
      <c r="B107" s="84"/>
      <c r="C107" s="84"/>
      <c r="D107" s="85">
        <v>2769.2125000000001</v>
      </c>
      <c r="E107" s="53"/>
    </row>
    <row r="108" spans="1:5" x14ac:dyDescent="0.2">
      <c r="A108" s="84" t="s">
        <v>1726</v>
      </c>
      <c r="B108" s="84"/>
      <c r="C108" s="84"/>
      <c r="D108" s="85">
        <v>11.5566</v>
      </c>
      <c r="E108" s="53"/>
    </row>
    <row r="109" spans="1:5" x14ac:dyDescent="0.2">
      <c r="A109" s="84" t="s">
        <v>1727</v>
      </c>
      <c r="B109" s="84"/>
      <c r="C109" s="84"/>
      <c r="D109" s="85">
        <v>11.5566</v>
      </c>
      <c r="E109" s="53"/>
    </row>
    <row r="110" spans="1:5" x14ac:dyDescent="0.2">
      <c r="A110" s="84" t="s">
        <v>1728</v>
      </c>
      <c r="B110" s="84"/>
      <c r="C110" s="84"/>
      <c r="D110" s="85">
        <v>4274.5072</v>
      </c>
      <c r="E110" s="53"/>
    </row>
    <row r="111" spans="1:5" x14ac:dyDescent="0.2">
      <c r="A111" s="84" t="s">
        <v>1396</v>
      </c>
      <c r="B111" s="84"/>
      <c r="C111" s="84"/>
      <c r="D111" s="85">
        <v>1000.6505</v>
      </c>
      <c r="E111" s="53"/>
    </row>
    <row r="112" spans="1:5" x14ac:dyDescent="0.2">
      <c r="A112" s="84" t="s">
        <v>1723</v>
      </c>
      <c r="B112" s="84"/>
      <c r="C112" s="84"/>
      <c r="D112" s="85">
        <v>1245.5633</v>
      </c>
      <c r="E112" s="53"/>
    </row>
    <row r="113" spans="1:5" x14ac:dyDescent="0.2">
      <c r="A113" s="84" t="s">
        <v>1724</v>
      </c>
      <c r="B113" s="84"/>
      <c r="C113" s="84"/>
      <c r="D113" s="85">
        <v>2729.3326000000002</v>
      </c>
      <c r="E113" s="53"/>
    </row>
    <row r="114" spans="1:5" x14ac:dyDescent="0.2">
      <c r="A114" s="84"/>
      <c r="B114" s="84"/>
      <c r="C114" s="84"/>
      <c r="D114" s="84"/>
      <c r="E114" s="53"/>
    </row>
    <row r="115" spans="1:5" x14ac:dyDescent="0.2">
      <c r="A115" s="27" t="s">
        <v>109</v>
      </c>
      <c r="B115" s="84"/>
      <c r="C115" s="84"/>
      <c r="D115" s="86"/>
      <c r="E115" s="53"/>
    </row>
    <row r="116" spans="1:5" x14ac:dyDescent="0.2">
      <c r="A116" s="75" t="s">
        <v>727</v>
      </c>
      <c r="B116" s="76"/>
      <c r="C116" s="77" t="s">
        <v>728</v>
      </c>
      <c r="D116" s="77"/>
      <c r="E116" s="53"/>
    </row>
    <row r="117" spans="1:5" x14ac:dyDescent="0.2">
      <c r="A117" s="78"/>
      <c r="B117" s="78"/>
      <c r="C117" s="43" t="s">
        <v>729</v>
      </c>
      <c r="D117" s="43" t="s">
        <v>730</v>
      </c>
      <c r="E117" s="53"/>
    </row>
    <row r="118" spans="1:5" x14ac:dyDescent="0.2">
      <c r="A118" s="44" t="s">
        <v>1723</v>
      </c>
      <c r="B118" s="45"/>
      <c r="C118" s="79">
        <v>30.032446090000001</v>
      </c>
      <c r="D118" s="79">
        <v>27.810194747000004</v>
      </c>
      <c r="E118" s="53"/>
    </row>
    <row r="119" spans="1:5" x14ac:dyDescent="0.2">
      <c r="A119" s="44" t="s">
        <v>1731</v>
      </c>
      <c r="B119" s="45"/>
      <c r="C119" s="79">
        <v>36.736874659999991</v>
      </c>
      <c r="D119" s="79">
        <v>34.018529015999995</v>
      </c>
      <c r="E119" s="53"/>
    </row>
    <row r="120" spans="1:5" x14ac:dyDescent="0.2">
      <c r="A120" s="44" t="s">
        <v>1722</v>
      </c>
      <c r="B120" s="45"/>
      <c r="C120" s="79">
        <v>26.385988101000002</v>
      </c>
      <c r="D120" s="79">
        <v>24.433556475000003</v>
      </c>
      <c r="E120" s="53"/>
    </row>
    <row r="121" spans="1:5" x14ac:dyDescent="0.2">
      <c r="A121" s="44" t="s">
        <v>1396</v>
      </c>
      <c r="B121" s="45"/>
      <c r="C121" s="79">
        <v>25.21090576600001</v>
      </c>
      <c r="D121" s="79">
        <v>23.34542437599999</v>
      </c>
      <c r="E121" s="53"/>
    </row>
    <row r="122" spans="1:5" x14ac:dyDescent="0.2">
      <c r="A122" s="44" t="s">
        <v>1397</v>
      </c>
      <c r="B122" s="45"/>
      <c r="C122" s="79">
        <v>26.775238990999991</v>
      </c>
      <c r="D122" s="79">
        <v>24.794004740000005</v>
      </c>
      <c r="E122" s="53"/>
    </row>
    <row r="123" spans="1:5" x14ac:dyDescent="0.2">
      <c r="A123" s="44" t="s">
        <v>1385</v>
      </c>
      <c r="B123" s="45"/>
      <c r="C123" s="79">
        <v>27.149198500000004</v>
      </c>
      <c r="D123" s="79">
        <v>25.140293112999998</v>
      </c>
      <c r="E123" s="53"/>
    </row>
    <row r="124" spans="1:5" x14ac:dyDescent="0.2">
      <c r="A124" s="44" t="s">
        <v>1732</v>
      </c>
      <c r="B124" s="45"/>
      <c r="C124" s="79">
        <v>27.003797420999994</v>
      </c>
      <c r="D124" s="79">
        <v>25.00565099000001</v>
      </c>
      <c r="E124" s="53"/>
    </row>
    <row r="125" spans="1:5" x14ac:dyDescent="0.2">
      <c r="A125" s="44" t="s">
        <v>1386</v>
      </c>
      <c r="B125" s="45"/>
      <c r="C125" s="79">
        <v>27.358216455000004</v>
      </c>
      <c r="D125" s="79">
        <v>25.333844777000007</v>
      </c>
      <c r="E125" s="53"/>
    </row>
    <row r="126" spans="1:5" x14ac:dyDescent="0.2">
      <c r="A126" s="84"/>
      <c r="B126" s="84"/>
      <c r="C126" s="84"/>
      <c r="D126" s="84"/>
      <c r="E126" s="53"/>
    </row>
    <row r="127" spans="1:5" x14ac:dyDescent="0.2">
      <c r="A127" s="27" t="s">
        <v>883</v>
      </c>
      <c r="B127" s="84"/>
      <c r="C127" s="84"/>
      <c r="D127" s="90">
        <v>0.14000000000000001</v>
      </c>
      <c r="E127" s="53" t="s">
        <v>735</v>
      </c>
    </row>
    <row r="128" spans="1:5" x14ac:dyDescent="0.2">
      <c r="A128" s="84"/>
      <c r="B128" s="84"/>
      <c r="C128" s="84"/>
      <c r="D128" s="84"/>
      <c r="E128" s="53"/>
    </row>
  </sheetData>
  <mergeCells count="3">
    <mergeCell ref="A1:F1"/>
    <mergeCell ref="C116:D116"/>
    <mergeCell ref="A117:B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1733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1126</v>
      </c>
      <c r="B8" s="66" t="s">
        <v>1127</v>
      </c>
      <c r="C8" s="66" t="s">
        <v>842</v>
      </c>
      <c r="D8" s="66">
        <v>2170</v>
      </c>
      <c r="E8" s="7">
        <v>21610.7045</v>
      </c>
      <c r="F8" s="7">
        <v>3.31050339107823</v>
      </c>
    </row>
    <row r="9" spans="1:6" x14ac:dyDescent="0.2">
      <c r="A9" s="66" t="s">
        <v>1177</v>
      </c>
      <c r="B9" s="66" t="s">
        <v>1178</v>
      </c>
      <c r="C9" s="66" t="s">
        <v>429</v>
      </c>
      <c r="D9" s="66">
        <v>2200</v>
      </c>
      <c r="E9" s="7">
        <v>21582.594000000001</v>
      </c>
      <c r="F9" s="7">
        <v>3.3061971961749199</v>
      </c>
    </row>
    <row r="10" spans="1:6" x14ac:dyDescent="0.2">
      <c r="A10" s="66" t="s">
        <v>1464</v>
      </c>
      <c r="B10" s="66" t="s">
        <v>1465</v>
      </c>
      <c r="C10" s="66" t="s">
        <v>756</v>
      </c>
      <c r="D10" s="66">
        <v>1500</v>
      </c>
      <c r="E10" s="7">
        <v>14992.844999999999</v>
      </c>
      <c r="F10" s="7">
        <v>2.2967258755683</v>
      </c>
    </row>
    <row r="11" spans="1:6" x14ac:dyDescent="0.2">
      <c r="A11" s="66" t="s">
        <v>751</v>
      </c>
      <c r="B11" s="66" t="s">
        <v>752</v>
      </c>
      <c r="C11" s="66" t="s">
        <v>753</v>
      </c>
      <c r="D11" s="66">
        <v>1510</v>
      </c>
      <c r="E11" s="7">
        <v>14882.907300000001</v>
      </c>
      <c r="F11" s="7">
        <v>2.2798847249867702</v>
      </c>
    </row>
    <row r="12" spans="1:6" x14ac:dyDescent="0.2">
      <c r="A12" s="66" t="s">
        <v>1454</v>
      </c>
      <c r="B12" s="66" t="s">
        <v>1455</v>
      </c>
      <c r="C12" s="66" t="s">
        <v>429</v>
      </c>
      <c r="D12" s="66">
        <v>1350</v>
      </c>
      <c r="E12" s="7">
        <v>13325.2425</v>
      </c>
      <c r="F12" s="7">
        <v>2.04126896849613</v>
      </c>
    </row>
    <row r="13" spans="1:6" x14ac:dyDescent="0.2">
      <c r="A13" s="66" t="s">
        <v>1402</v>
      </c>
      <c r="B13" s="66" t="s">
        <v>1403</v>
      </c>
      <c r="C13" s="66" t="s">
        <v>429</v>
      </c>
      <c r="D13" s="66">
        <v>1150</v>
      </c>
      <c r="E13" s="7">
        <v>11469.87</v>
      </c>
      <c r="F13" s="7">
        <v>1.75704792642121</v>
      </c>
    </row>
    <row r="14" spans="1:6" x14ac:dyDescent="0.2">
      <c r="A14" s="66" t="s">
        <v>1142</v>
      </c>
      <c r="B14" s="66" t="s">
        <v>1143</v>
      </c>
      <c r="C14" s="66" t="s">
        <v>747</v>
      </c>
      <c r="D14" s="66">
        <v>1102</v>
      </c>
      <c r="E14" s="7">
        <v>11031.934660000001</v>
      </c>
      <c r="F14" s="7">
        <v>1.6899614310159801</v>
      </c>
    </row>
    <row r="15" spans="1:6" x14ac:dyDescent="0.2">
      <c r="A15" s="66" t="s">
        <v>1734</v>
      </c>
      <c r="B15" s="66" t="s">
        <v>1735</v>
      </c>
      <c r="C15" s="66" t="s">
        <v>753</v>
      </c>
      <c r="D15" s="66">
        <v>1100</v>
      </c>
      <c r="E15" s="7">
        <v>10703.528</v>
      </c>
      <c r="F15" s="7">
        <v>1.6396534291837099</v>
      </c>
    </row>
    <row r="16" spans="1:6" x14ac:dyDescent="0.2">
      <c r="A16" s="66" t="s">
        <v>1130</v>
      </c>
      <c r="B16" s="66" t="s">
        <v>1131</v>
      </c>
      <c r="C16" s="66" t="s">
        <v>424</v>
      </c>
      <c r="D16" s="66">
        <v>2000</v>
      </c>
      <c r="E16" s="7">
        <v>10002.18</v>
      </c>
      <c r="F16" s="7">
        <v>1.53221524120951</v>
      </c>
    </row>
    <row r="17" spans="1:6" x14ac:dyDescent="0.2">
      <c r="A17" s="66" t="s">
        <v>800</v>
      </c>
      <c r="B17" s="66" t="s">
        <v>801</v>
      </c>
      <c r="C17" s="66" t="s">
        <v>756</v>
      </c>
      <c r="D17" s="66">
        <v>1000</v>
      </c>
      <c r="E17" s="7">
        <v>9972.9699999999993</v>
      </c>
      <c r="F17" s="7">
        <v>1.5277406159582401</v>
      </c>
    </row>
    <row r="18" spans="1:6" x14ac:dyDescent="0.2">
      <c r="A18" s="66" t="s">
        <v>1163</v>
      </c>
      <c r="B18" s="66" t="s">
        <v>1164</v>
      </c>
      <c r="C18" s="66" t="s">
        <v>747</v>
      </c>
      <c r="D18" s="66">
        <v>788</v>
      </c>
      <c r="E18" s="7">
        <v>7889.00684</v>
      </c>
      <c r="F18" s="7">
        <v>1.2085021983461599</v>
      </c>
    </row>
    <row r="19" spans="1:6" x14ac:dyDescent="0.2">
      <c r="A19" s="66" t="s">
        <v>1736</v>
      </c>
      <c r="B19" s="66" t="s">
        <v>1737</v>
      </c>
      <c r="C19" s="66" t="s">
        <v>794</v>
      </c>
      <c r="D19" s="66">
        <v>750</v>
      </c>
      <c r="E19" s="7">
        <v>7463.5424999999996</v>
      </c>
      <c r="F19" s="7">
        <v>1.1433261120990501</v>
      </c>
    </row>
    <row r="20" spans="1:6" x14ac:dyDescent="0.2">
      <c r="A20" s="66" t="s">
        <v>1738</v>
      </c>
      <c r="B20" s="66" t="s">
        <v>1739</v>
      </c>
      <c r="C20" s="66" t="s">
        <v>1149</v>
      </c>
      <c r="D20" s="66">
        <v>500</v>
      </c>
      <c r="E20" s="7">
        <v>5357.87</v>
      </c>
      <c r="F20" s="7">
        <v>0.82076208130819195</v>
      </c>
    </row>
    <row r="21" spans="1:6" x14ac:dyDescent="0.2">
      <c r="A21" s="66" t="s">
        <v>1740</v>
      </c>
      <c r="B21" s="66" t="s">
        <v>1741</v>
      </c>
      <c r="C21" s="66" t="s">
        <v>794</v>
      </c>
      <c r="D21" s="66">
        <v>500</v>
      </c>
      <c r="E21" s="7">
        <v>5005.165</v>
      </c>
      <c r="F21" s="7">
        <v>0.76673186223087098</v>
      </c>
    </row>
    <row r="22" spans="1:6" x14ac:dyDescent="0.2">
      <c r="A22" s="66" t="s">
        <v>1742</v>
      </c>
      <c r="B22" s="66" t="s">
        <v>1741</v>
      </c>
      <c r="C22" s="66" t="s">
        <v>794</v>
      </c>
      <c r="D22" s="66">
        <v>500</v>
      </c>
      <c r="E22" s="7">
        <v>5005.165</v>
      </c>
      <c r="F22" s="7">
        <v>0.76673186223087098</v>
      </c>
    </row>
    <row r="23" spans="1:6" x14ac:dyDescent="0.2">
      <c r="A23" s="66" t="s">
        <v>1147</v>
      </c>
      <c r="B23" s="66" t="s">
        <v>1148</v>
      </c>
      <c r="C23" s="66" t="s">
        <v>1149</v>
      </c>
      <c r="D23" s="66">
        <v>430</v>
      </c>
      <c r="E23" s="7">
        <v>4287.4741000000004</v>
      </c>
      <c r="F23" s="7">
        <v>0.65679013598145697</v>
      </c>
    </row>
    <row r="24" spans="1:6" x14ac:dyDescent="0.2">
      <c r="A24" s="66" t="s">
        <v>1410</v>
      </c>
      <c r="B24" s="66" t="s">
        <v>1411</v>
      </c>
      <c r="C24" s="66" t="s">
        <v>775</v>
      </c>
      <c r="D24" s="66">
        <v>400</v>
      </c>
      <c r="E24" s="7">
        <v>3941.7359999999999</v>
      </c>
      <c r="F24" s="7">
        <v>0.60382716328082398</v>
      </c>
    </row>
    <row r="25" spans="1:6" x14ac:dyDescent="0.2">
      <c r="A25" s="66" t="s">
        <v>782</v>
      </c>
      <c r="B25" s="66" t="s">
        <v>783</v>
      </c>
      <c r="C25" s="66" t="s">
        <v>775</v>
      </c>
      <c r="D25" s="66">
        <v>7</v>
      </c>
      <c r="E25" s="7">
        <v>3593.4045000000001</v>
      </c>
      <c r="F25" s="7">
        <v>0.55046691248615998</v>
      </c>
    </row>
    <row r="26" spans="1:6" x14ac:dyDescent="0.2">
      <c r="A26" s="66" t="s">
        <v>1134</v>
      </c>
      <c r="B26" s="66" t="s">
        <v>1135</v>
      </c>
      <c r="C26" s="66" t="s">
        <v>775</v>
      </c>
      <c r="D26" s="66">
        <v>7</v>
      </c>
      <c r="E26" s="7">
        <v>3543.3719999999998</v>
      </c>
      <c r="F26" s="7">
        <v>0.54280252741652402</v>
      </c>
    </row>
    <row r="27" spans="1:6" x14ac:dyDescent="0.2">
      <c r="A27" s="66" t="s">
        <v>1743</v>
      </c>
      <c r="B27" s="66" t="s">
        <v>1744</v>
      </c>
      <c r="C27" s="66" t="s">
        <v>759</v>
      </c>
      <c r="D27" s="66">
        <v>300</v>
      </c>
      <c r="E27" s="7">
        <v>3023.373</v>
      </c>
      <c r="F27" s="7">
        <v>0.46314485346807499</v>
      </c>
    </row>
    <row r="28" spans="1:6" x14ac:dyDescent="0.2">
      <c r="A28" s="66" t="s">
        <v>1452</v>
      </c>
      <c r="B28" s="66" t="s">
        <v>1453</v>
      </c>
      <c r="C28" s="66" t="s">
        <v>747</v>
      </c>
      <c r="D28" s="66">
        <v>300</v>
      </c>
      <c r="E28" s="7">
        <v>2978.4630000000002</v>
      </c>
      <c r="F28" s="7">
        <v>0.45626517458979798</v>
      </c>
    </row>
    <row r="29" spans="1:6" x14ac:dyDescent="0.2">
      <c r="A29" s="66" t="s">
        <v>1203</v>
      </c>
      <c r="B29" s="66" t="s">
        <v>1204</v>
      </c>
      <c r="C29" s="66" t="s">
        <v>1205</v>
      </c>
      <c r="D29" s="66">
        <v>280</v>
      </c>
      <c r="E29" s="7">
        <v>2808.3692000000001</v>
      </c>
      <c r="F29" s="7">
        <v>0.43020882359479101</v>
      </c>
    </row>
    <row r="30" spans="1:6" x14ac:dyDescent="0.2">
      <c r="A30" s="66" t="s">
        <v>1179</v>
      </c>
      <c r="B30" s="66" t="s">
        <v>1180</v>
      </c>
      <c r="C30" s="66" t="s">
        <v>775</v>
      </c>
      <c r="D30" s="66">
        <v>280</v>
      </c>
      <c r="E30" s="7">
        <v>2773.2683999999999</v>
      </c>
      <c r="F30" s="7">
        <v>0.42483179771256901</v>
      </c>
    </row>
    <row r="31" spans="1:6" x14ac:dyDescent="0.2">
      <c r="A31" s="66" t="s">
        <v>1197</v>
      </c>
      <c r="B31" s="66" t="s">
        <v>1198</v>
      </c>
      <c r="C31" s="66" t="s">
        <v>429</v>
      </c>
      <c r="D31" s="66">
        <v>270</v>
      </c>
      <c r="E31" s="7">
        <v>2652.6662999999999</v>
      </c>
      <c r="F31" s="7">
        <v>0.40635698764697598</v>
      </c>
    </row>
    <row r="32" spans="1:6" x14ac:dyDescent="0.2">
      <c r="A32" s="66" t="s">
        <v>1136</v>
      </c>
      <c r="B32" s="66" t="s">
        <v>1137</v>
      </c>
      <c r="C32" s="66" t="s">
        <v>1138</v>
      </c>
      <c r="D32" s="66">
        <v>260</v>
      </c>
      <c r="E32" s="7">
        <v>2591.0612000000001</v>
      </c>
      <c r="F32" s="7">
        <v>0.39691981763441497</v>
      </c>
    </row>
    <row r="33" spans="1:6" x14ac:dyDescent="0.2">
      <c r="A33" s="66" t="s">
        <v>1745</v>
      </c>
      <c r="B33" s="66" t="s">
        <v>1746</v>
      </c>
      <c r="C33" s="66" t="s">
        <v>767</v>
      </c>
      <c r="D33" s="66">
        <v>241</v>
      </c>
      <c r="E33" s="7">
        <v>2382.9357</v>
      </c>
      <c r="F33" s="7">
        <v>0.36503746166958001</v>
      </c>
    </row>
    <row r="34" spans="1:6" x14ac:dyDescent="0.2">
      <c r="A34" s="66" t="s">
        <v>1216</v>
      </c>
      <c r="B34" s="66" t="s">
        <v>1217</v>
      </c>
      <c r="C34" s="66" t="s">
        <v>424</v>
      </c>
      <c r="D34" s="66">
        <v>200</v>
      </c>
      <c r="E34" s="7">
        <v>1935.088</v>
      </c>
      <c r="F34" s="7">
        <v>0.29643251038089902</v>
      </c>
    </row>
    <row r="35" spans="1:6" x14ac:dyDescent="0.2">
      <c r="A35" s="66" t="s">
        <v>1175</v>
      </c>
      <c r="B35" s="66" t="s">
        <v>1176</v>
      </c>
      <c r="C35" s="66" t="s">
        <v>1149</v>
      </c>
      <c r="D35" s="66">
        <v>180</v>
      </c>
      <c r="E35" s="7">
        <v>1894.6224</v>
      </c>
      <c r="F35" s="7">
        <v>0.290233660823634</v>
      </c>
    </row>
    <row r="36" spans="1:6" x14ac:dyDescent="0.2">
      <c r="A36" s="66" t="s">
        <v>808</v>
      </c>
      <c r="B36" s="66" t="s">
        <v>809</v>
      </c>
      <c r="C36" s="66" t="s">
        <v>747</v>
      </c>
      <c r="D36" s="66">
        <v>176</v>
      </c>
      <c r="E36" s="7">
        <v>1762.83888</v>
      </c>
      <c r="F36" s="7">
        <v>0.27004598994746098</v>
      </c>
    </row>
    <row r="37" spans="1:6" x14ac:dyDescent="0.2">
      <c r="A37" s="66" t="s">
        <v>1169</v>
      </c>
      <c r="B37" s="66" t="s">
        <v>1170</v>
      </c>
      <c r="C37" s="66" t="s">
        <v>747</v>
      </c>
      <c r="D37" s="66">
        <v>174</v>
      </c>
      <c r="E37" s="7">
        <v>1732.53018</v>
      </c>
      <c r="F37" s="7">
        <v>0.265403056898741</v>
      </c>
    </row>
    <row r="38" spans="1:6" x14ac:dyDescent="0.2">
      <c r="A38" s="66" t="s">
        <v>1470</v>
      </c>
      <c r="B38" s="66" t="s">
        <v>1471</v>
      </c>
      <c r="C38" s="66" t="s">
        <v>1149</v>
      </c>
      <c r="D38" s="66">
        <v>150</v>
      </c>
      <c r="E38" s="7">
        <v>1479.6780000000001</v>
      </c>
      <c r="F38" s="7">
        <v>0.22666910450345801</v>
      </c>
    </row>
    <row r="39" spans="1:6" x14ac:dyDescent="0.2">
      <c r="A39" s="66" t="s">
        <v>1747</v>
      </c>
      <c r="B39" s="66" t="s">
        <v>1748</v>
      </c>
      <c r="C39" s="66" t="s">
        <v>421</v>
      </c>
      <c r="D39" s="66">
        <v>100</v>
      </c>
      <c r="E39" s="7">
        <v>1003.401</v>
      </c>
      <c r="F39" s="7">
        <v>0.153709121935904</v>
      </c>
    </row>
    <row r="40" spans="1:6" x14ac:dyDescent="0.2">
      <c r="A40" s="66" t="s">
        <v>1050</v>
      </c>
      <c r="B40" s="66" t="s">
        <v>1051</v>
      </c>
      <c r="C40" s="66" t="s">
        <v>421</v>
      </c>
      <c r="D40" s="66">
        <v>73</v>
      </c>
      <c r="E40" s="7">
        <v>712.06170999999995</v>
      </c>
      <c r="F40" s="7">
        <v>0.109079401164916</v>
      </c>
    </row>
    <row r="41" spans="1:6" x14ac:dyDescent="0.2">
      <c r="A41" s="66" t="s">
        <v>1426</v>
      </c>
      <c r="B41" s="66" t="s">
        <v>1427</v>
      </c>
      <c r="C41" s="66" t="s">
        <v>747</v>
      </c>
      <c r="D41" s="66">
        <v>62</v>
      </c>
      <c r="E41" s="7">
        <v>618.69056</v>
      </c>
      <c r="F41" s="7">
        <v>9.4776049383678798E-2</v>
      </c>
    </row>
    <row r="42" spans="1:6" x14ac:dyDescent="0.2">
      <c r="A42" s="66" t="s">
        <v>1428</v>
      </c>
      <c r="B42" s="66" t="s">
        <v>1429</v>
      </c>
      <c r="C42" s="66" t="s">
        <v>747</v>
      </c>
      <c r="D42" s="66">
        <v>62</v>
      </c>
      <c r="E42" s="7">
        <v>617.98685999999998</v>
      </c>
      <c r="F42" s="7">
        <v>9.4668250897224901E-2</v>
      </c>
    </row>
    <row r="43" spans="1:6" x14ac:dyDescent="0.2">
      <c r="A43" s="66" t="s">
        <v>780</v>
      </c>
      <c r="B43" s="66" t="s">
        <v>781</v>
      </c>
      <c r="C43" s="66" t="s">
        <v>747</v>
      </c>
      <c r="D43" s="66">
        <v>55</v>
      </c>
      <c r="E43" s="7">
        <v>549.74424999999997</v>
      </c>
      <c r="F43" s="7">
        <v>8.4214293145823099E-2</v>
      </c>
    </row>
    <row r="44" spans="1:6" x14ac:dyDescent="0.2">
      <c r="A44" s="66" t="s">
        <v>1418</v>
      </c>
      <c r="B44" s="66" t="s">
        <v>1419</v>
      </c>
      <c r="C44" s="66" t="s">
        <v>1158</v>
      </c>
      <c r="D44" s="66">
        <v>50</v>
      </c>
      <c r="E44" s="7">
        <v>500.43950000000001</v>
      </c>
      <c r="F44" s="7">
        <v>7.6661390737145702E-2</v>
      </c>
    </row>
    <row r="45" spans="1:6" x14ac:dyDescent="0.2">
      <c r="A45" s="65" t="s">
        <v>39</v>
      </c>
      <c r="B45" s="66"/>
      <c r="C45" s="66"/>
      <c r="D45" s="66"/>
      <c r="E45" s="6">
        <f>SUM(E8:E44)</f>
        <v>217678.73004000002</v>
      </c>
      <c r="F45" s="6">
        <f>SUM(F8:F44)</f>
        <v>33.345797401608188</v>
      </c>
    </row>
    <row r="46" spans="1:6" x14ac:dyDescent="0.2">
      <c r="A46" s="66"/>
      <c r="B46" s="66"/>
      <c r="C46" s="66"/>
      <c r="D46" s="66"/>
      <c r="E46" s="7"/>
      <c r="F46" s="7"/>
    </row>
    <row r="47" spans="1:6" x14ac:dyDescent="0.2">
      <c r="A47" s="65" t="s">
        <v>822</v>
      </c>
      <c r="B47" s="66"/>
      <c r="C47" s="66"/>
      <c r="D47" s="66"/>
      <c r="E47" s="7"/>
      <c r="F47" s="7"/>
    </row>
    <row r="48" spans="1:6" x14ac:dyDescent="0.2">
      <c r="A48" s="66" t="s">
        <v>1749</v>
      </c>
      <c r="B48" s="66" t="s">
        <v>1750</v>
      </c>
      <c r="C48" s="66" t="s">
        <v>851</v>
      </c>
      <c r="D48" s="66">
        <v>2250</v>
      </c>
      <c r="E48" s="7">
        <v>22397.759999999998</v>
      </c>
      <c r="F48" s="7">
        <v>3.4310709506280199</v>
      </c>
    </row>
    <row r="49" spans="1:6" x14ac:dyDescent="0.2">
      <c r="A49" s="66" t="s">
        <v>1751</v>
      </c>
      <c r="B49" s="66" t="s">
        <v>1752</v>
      </c>
      <c r="C49" s="66" t="s">
        <v>839</v>
      </c>
      <c r="D49" s="66">
        <v>30000</v>
      </c>
      <c r="E49" s="7">
        <v>20247.57</v>
      </c>
      <c r="F49" s="7">
        <v>3.1016873672995602</v>
      </c>
    </row>
    <row r="50" spans="1:6" x14ac:dyDescent="0.2">
      <c r="A50" s="66" t="s">
        <v>1753</v>
      </c>
      <c r="B50" s="66" t="s">
        <v>1754</v>
      </c>
      <c r="C50" s="66" t="s">
        <v>833</v>
      </c>
      <c r="D50" s="66">
        <v>1766</v>
      </c>
      <c r="E50" s="7">
        <v>20157.777419999999</v>
      </c>
      <c r="F50" s="7">
        <v>3.0879322099615099</v>
      </c>
    </row>
    <row r="51" spans="1:6" x14ac:dyDescent="0.2">
      <c r="A51" s="66" t="s">
        <v>1755</v>
      </c>
      <c r="B51" s="66" t="s">
        <v>1756</v>
      </c>
      <c r="C51" s="66" t="s">
        <v>759</v>
      </c>
      <c r="D51" s="66">
        <v>2000</v>
      </c>
      <c r="E51" s="7">
        <v>19812.099999999999</v>
      </c>
      <c r="F51" s="7">
        <v>3.0349785327165502</v>
      </c>
    </row>
    <row r="52" spans="1:6" x14ac:dyDescent="0.2">
      <c r="A52" s="66" t="s">
        <v>1512</v>
      </c>
      <c r="B52" s="66" t="s">
        <v>1513</v>
      </c>
      <c r="C52" s="66" t="s">
        <v>1238</v>
      </c>
      <c r="D52" s="66">
        <v>133</v>
      </c>
      <c r="E52" s="7">
        <v>19642.7035</v>
      </c>
      <c r="F52" s="7">
        <v>3.0090289998039701</v>
      </c>
    </row>
    <row r="53" spans="1:6" x14ac:dyDescent="0.2">
      <c r="A53" s="66" t="s">
        <v>1301</v>
      </c>
      <c r="B53" s="66" t="s">
        <v>1302</v>
      </c>
      <c r="C53" s="66" t="s">
        <v>1238</v>
      </c>
      <c r="D53" s="66">
        <v>1900</v>
      </c>
      <c r="E53" s="7">
        <v>18860.387999999999</v>
      </c>
      <c r="F53" s="7">
        <v>2.8891875519861498</v>
      </c>
    </row>
    <row r="54" spans="1:6" x14ac:dyDescent="0.2">
      <c r="A54" s="66" t="s">
        <v>856</v>
      </c>
      <c r="B54" s="66" t="s">
        <v>857</v>
      </c>
      <c r="C54" s="66" t="s">
        <v>756</v>
      </c>
      <c r="D54" s="66">
        <v>1820</v>
      </c>
      <c r="E54" s="7">
        <v>17494.422399999999</v>
      </c>
      <c r="F54" s="7">
        <v>2.6799378372951699</v>
      </c>
    </row>
    <row r="55" spans="1:6" x14ac:dyDescent="0.2">
      <c r="A55" s="66" t="s">
        <v>874</v>
      </c>
      <c r="B55" s="66" t="s">
        <v>875</v>
      </c>
      <c r="C55" s="66" t="s">
        <v>839</v>
      </c>
      <c r="D55" s="66">
        <v>1498</v>
      </c>
      <c r="E55" s="7">
        <v>14907.766439999999</v>
      </c>
      <c r="F55" s="7">
        <v>2.2836928501346301</v>
      </c>
    </row>
    <row r="56" spans="1:6" x14ac:dyDescent="0.2">
      <c r="A56" s="66" t="s">
        <v>1486</v>
      </c>
      <c r="B56" s="66" t="s">
        <v>1487</v>
      </c>
      <c r="C56" s="66" t="s">
        <v>830</v>
      </c>
      <c r="D56" s="66">
        <v>1510</v>
      </c>
      <c r="E56" s="7">
        <v>14841.6994</v>
      </c>
      <c r="F56" s="7">
        <v>2.27357216388127</v>
      </c>
    </row>
    <row r="57" spans="1:6" x14ac:dyDescent="0.2">
      <c r="A57" s="66" t="s">
        <v>1248</v>
      </c>
      <c r="B57" s="66" t="s">
        <v>1249</v>
      </c>
      <c r="C57" s="66" t="s">
        <v>753</v>
      </c>
      <c r="D57" s="66">
        <v>1247</v>
      </c>
      <c r="E57" s="7">
        <v>13847.274090000001</v>
      </c>
      <c r="F57" s="7">
        <v>2.1212380111039302</v>
      </c>
    </row>
    <row r="58" spans="1:6" x14ac:dyDescent="0.2">
      <c r="A58" s="66" t="s">
        <v>1490</v>
      </c>
      <c r="B58" s="66" t="s">
        <v>1491</v>
      </c>
      <c r="C58" s="66" t="s">
        <v>1238</v>
      </c>
      <c r="D58" s="66">
        <v>68</v>
      </c>
      <c r="E58" s="7">
        <v>10151.2508</v>
      </c>
      <c r="F58" s="7">
        <v>1.5550511181662601</v>
      </c>
    </row>
    <row r="59" spans="1:6" x14ac:dyDescent="0.2">
      <c r="A59" s="66" t="s">
        <v>1263</v>
      </c>
      <c r="B59" s="66" t="s">
        <v>1264</v>
      </c>
      <c r="C59" s="66" t="s">
        <v>750</v>
      </c>
      <c r="D59" s="66">
        <v>800</v>
      </c>
      <c r="E59" s="7">
        <v>8849.5196880000003</v>
      </c>
      <c r="F59" s="7">
        <v>1.3556413645162499</v>
      </c>
    </row>
    <row r="60" spans="1:6" x14ac:dyDescent="0.2">
      <c r="A60" s="66" t="s">
        <v>1261</v>
      </c>
      <c r="B60" s="66" t="s">
        <v>1262</v>
      </c>
      <c r="C60" s="66" t="s">
        <v>791</v>
      </c>
      <c r="D60" s="66">
        <v>700</v>
      </c>
      <c r="E60" s="7">
        <v>6791.4279999999999</v>
      </c>
      <c r="F60" s="7">
        <v>1.0403661492971501</v>
      </c>
    </row>
    <row r="61" spans="1:6" x14ac:dyDescent="0.2">
      <c r="A61" s="66" t="s">
        <v>1246</v>
      </c>
      <c r="B61" s="66" t="s">
        <v>1247</v>
      </c>
      <c r="C61" s="66" t="s">
        <v>759</v>
      </c>
      <c r="D61" s="66">
        <v>650</v>
      </c>
      <c r="E61" s="7">
        <v>6427.3495000000003</v>
      </c>
      <c r="F61" s="7">
        <v>0.98459364503341196</v>
      </c>
    </row>
    <row r="62" spans="1:6" x14ac:dyDescent="0.2">
      <c r="A62" s="66" t="s">
        <v>1757</v>
      </c>
      <c r="B62" s="66" t="s">
        <v>1758</v>
      </c>
      <c r="C62" s="66" t="s">
        <v>839</v>
      </c>
      <c r="D62" s="66">
        <v>597</v>
      </c>
      <c r="E62" s="7">
        <v>5971.61787</v>
      </c>
      <c r="F62" s="7">
        <v>0.914780969258006</v>
      </c>
    </row>
    <row r="63" spans="1:6" x14ac:dyDescent="0.2">
      <c r="A63" s="66" t="s">
        <v>1258</v>
      </c>
      <c r="B63" s="66" t="s">
        <v>1259</v>
      </c>
      <c r="C63" s="66" t="s">
        <v>1260</v>
      </c>
      <c r="D63" s="66">
        <v>350</v>
      </c>
      <c r="E63" s="7">
        <v>5731.3549999999996</v>
      </c>
      <c r="F63" s="7">
        <v>0.87797554970839398</v>
      </c>
    </row>
    <row r="64" spans="1:6" x14ac:dyDescent="0.2">
      <c r="A64" s="66" t="s">
        <v>1287</v>
      </c>
      <c r="B64" s="66" t="s">
        <v>1288</v>
      </c>
      <c r="C64" s="66" t="s">
        <v>791</v>
      </c>
      <c r="D64" s="66">
        <v>450</v>
      </c>
      <c r="E64" s="7">
        <v>5386.8284999999996</v>
      </c>
      <c r="F64" s="7">
        <v>0.82519817974498899</v>
      </c>
    </row>
    <row r="65" spans="1:10" x14ac:dyDescent="0.2">
      <c r="A65" s="66" t="s">
        <v>1241</v>
      </c>
      <c r="B65" s="66" t="s">
        <v>1242</v>
      </c>
      <c r="C65" s="66" t="s">
        <v>1243</v>
      </c>
      <c r="D65" s="66">
        <v>42</v>
      </c>
      <c r="E65" s="7">
        <v>4929.8087999999998</v>
      </c>
      <c r="F65" s="7">
        <v>0.755188186936122</v>
      </c>
    </row>
    <row r="66" spans="1:10" x14ac:dyDescent="0.2">
      <c r="A66" s="66" t="s">
        <v>879</v>
      </c>
      <c r="B66" s="66" t="s">
        <v>880</v>
      </c>
      <c r="C66" s="66" t="s">
        <v>791</v>
      </c>
      <c r="D66" s="66">
        <v>400</v>
      </c>
      <c r="E66" s="7">
        <v>4761.5600000000004</v>
      </c>
      <c r="F66" s="7">
        <v>0.72941446803932097</v>
      </c>
    </row>
    <row r="67" spans="1:10" x14ac:dyDescent="0.2">
      <c r="A67" s="66" t="s">
        <v>1557</v>
      </c>
      <c r="B67" s="66" t="s">
        <v>1558</v>
      </c>
      <c r="C67" s="66" t="s">
        <v>830</v>
      </c>
      <c r="D67" s="66">
        <v>460</v>
      </c>
      <c r="E67" s="7">
        <v>4594.4340000000002</v>
      </c>
      <c r="F67" s="7">
        <v>0.703812748773883</v>
      </c>
    </row>
    <row r="68" spans="1:10" x14ac:dyDescent="0.2">
      <c r="A68" s="66" t="s">
        <v>876</v>
      </c>
      <c r="B68" s="66" t="s">
        <v>877</v>
      </c>
      <c r="C68" s="66" t="s">
        <v>878</v>
      </c>
      <c r="D68" s="66">
        <v>450</v>
      </c>
      <c r="E68" s="7">
        <v>4434.0119999999997</v>
      </c>
      <c r="F68" s="7">
        <v>0.67923800272599</v>
      </c>
    </row>
    <row r="69" spans="1:10" x14ac:dyDescent="0.2">
      <c r="A69" s="66" t="s">
        <v>1759</v>
      </c>
      <c r="B69" s="66" t="s">
        <v>1760</v>
      </c>
      <c r="C69" s="66" t="s">
        <v>830</v>
      </c>
      <c r="D69" s="66">
        <v>260</v>
      </c>
      <c r="E69" s="7">
        <v>3699.8442</v>
      </c>
      <c r="F69" s="7">
        <v>0.56677221099206299</v>
      </c>
    </row>
    <row r="70" spans="1:10" x14ac:dyDescent="0.2">
      <c r="A70" s="66" t="s">
        <v>1761</v>
      </c>
      <c r="B70" s="66" t="s">
        <v>1762</v>
      </c>
      <c r="C70" s="66" t="s">
        <v>830</v>
      </c>
      <c r="D70" s="66">
        <v>257</v>
      </c>
      <c r="E70" s="7">
        <v>3654.3652400000001</v>
      </c>
      <c r="F70" s="7">
        <v>0.55980537419584897</v>
      </c>
    </row>
    <row r="71" spans="1:10" x14ac:dyDescent="0.2">
      <c r="A71" s="66" t="s">
        <v>1763</v>
      </c>
      <c r="B71" s="66" t="s">
        <v>1764</v>
      </c>
      <c r="C71" s="66" t="s">
        <v>839</v>
      </c>
      <c r="D71" s="66">
        <v>320</v>
      </c>
      <c r="E71" s="7">
        <v>3196.2687999999998</v>
      </c>
      <c r="F71" s="7">
        <v>0.48963043760084501</v>
      </c>
    </row>
    <row r="72" spans="1:10" x14ac:dyDescent="0.2">
      <c r="A72" s="66" t="s">
        <v>1765</v>
      </c>
      <c r="B72" s="66" t="s">
        <v>1766</v>
      </c>
      <c r="C72" s="66" t="s">
        <v>851</v>
      </c>
      <c r="D72" s="66">
        <v>307</v>
      </c>
      <c r="E72" s="7">
        <v>3069.48117</v>
      </c>
      <c r="F72" s="7">
        <v>0.47020807776700502</v>
      </c>
    </row>
    <row r="73" spans="1:10" x14ac:dyDescent="0.2">
      <c r="A73" s="66" t="s">
        <v>1500</v>
      </c>
      <c r="B73" s="66" t="s">
        <v>1501</v>
      </c>
      <c r="C73" s="66" t="s">
        <v>791</v>
      </c>
      <c r="D73" s="66">
        <v>210</v>
      </c>
      <c r="E73" s="7">
        <v>2666.0360999999998</v>
      </c>
      <c r="F73" s="7">
        <v>0.40840508229553502</v>
      </c>
    </row>
    <row r="74" spans="1:10" x14ac:dyDescent="0.2">
      <c r="A74" s="66" t="s">
        <v>1518</v>
      </c>
      <c r="B74" s="66" t="s">
        <v>1519</v>
      </c>
      <c r="C74" s="66" t="s">
        <v>836</v>
      </c>
      <c r="D74" s="66">
        <v>16</v>
      </c>
      <c r="E74" s="7">
        <v>2346.4544000000001</v>
      </c>
      <c r="F74" s="7">
        <v>0.35944895957512302</v>
      </c>
    </row>
    <row r="75" spans="1:10" x14ac:dyDescent="0.2">
      <c r="A75" s="66" t="s">
        <v>847</v>
      </c>
      <c r="B75" s="66" t="s">
        <v>848</v>
      </c>
      <c r="C75" s="66" t="s">
        <v>839</v>
      </c>
      <c r="D75" s="66">
        <v>180</v>
      </c>
      <c r="E75" s="7">
        <v>1703.6045999999999</v>
      </c>
      <c r="F75" s="7">
        <v>0.26097200141515398</v>
      </c>
    </row>
    <row r="76" spans="1:10" x14ac:dyDescent="0.2">
      <c r="A76" s="66" t="s">
        <v>868</v>
      </c>
      <c r="B76" s="66" t="s">
        <v>869</v>
      </c>
      <c r="C76" s="66" t="s">
        <v>839</v>
      </c>
      <c r="D76" s="66">
        <v>120</v>
      </c>
      <c r="E76" s="7">
        <v>1162.9716000000001</v>
      </c>
      <c r="F76" s="7">
        <v>0.17815344361067301</v>
      </c>
    </row>
    <row r="77" spans="1:10" x14ac:dyDescent="0.2">
      <c r="A77" s="66" t="s">
        <v>1230</v>
      </c>
      <c r="B77" s="66" t="s">
        <v>1231</v>
      </c>
      <c r="C77" s="66" t="s">
        <v>1229</v>
      </c>
      <c r="D77" s="66">
        <v>50</v>
      </c>
      <c r="E77" s="7">
        <v>499.98549279999997</v>
      </c>
      <c r="F77" s="7">
        <v>7.6591842223575804E-2</v>
      </c>
    </row>
    <row r="78" spans="1:10" x14ac:dyDescent="0.2">
      <c r="A78" s="66" t="s">
        <v>1488</v>
      </c>
      <c r="B78" s="66" t="s">
        <v>1489</v>
      </c>
      <c r="C78" s="66" t="s">
        <v>839</v>
      </c>
      <c r="D78" s="66">
        <v>40</v>
      </c>
      <c r="E78" s="7">
        <v>377.85480000000001</v>
      </c>
      <c r="F78" s="7">
        <v>5.7882869886781603E-2</v>
      </c>
    </row>
    <row r="79" spans="1:10" x14ac:dyDescent="0.2">
      <c r="A79" s="65" t="s">
        <v>39</v>
      </c>
      <c r="B79" s="66"/>
      <c r="C79" s="66"/>
      <c r="D79" s="66"/>
      <c r="E79" s="6">
        <f>SUM(E48:E78)</f>
        <v>272615.49181080004</v>
      </c>
      <c r="F79" s="6">
        <f>SUM(F48:F78)</f>
        <v>41.761457156573151</v>
      </c>
      <c r="I79" s="1"/>
      <c r="J79" s="1"/>
    </row>
    <row r="80" spans="1:10" x14ac:dyDescent="0.2">
      <c r="A80" s="66"/>
      <c r="B80" s="66"/>
      <c r="C80" s="66"/>
      <c r="D80" s="66"/>
      <c r="E80" s="7"/>
      <c r="F80" s="7"/>
    </row>
    <row r="81" spans="1:6" x14ac:dyDescent="0.2">
      <c r="A81" s="65" t="s">
        <v>702</v>
      </c>
      <c r="B81" s="66"/>
      <c r="C81" s="66"/>
      <c r="D81" s="66"/>
      <c r="E81" s="7"/>
      <c r="F81" s="7"/>
    </row>
    <row r="82" spans="1:6" x14ac:dyDescent="0.2">
      <c r="A82" s="65" t="s">
        <v>1309</v>
      </c>
      <c r="B82" s="66"/>
      <c r="C82" s="66"/>
      <c r="D82" s="66"/>
      <c r="E82" s="7"/>
      <c r="F82" s="7"/>
    </row>
    <row r="83" spans="1:6" x14ac:dyDescent="0.2">
      <c r="A83" s="66" t="s">
        <v>1767</v>
      </c>
      <c r="B83" s="66" t="s">
        <v>1768</v>
      </c>
      <c r="C83" s="66" t="s">
        <v>706</v>
      </c>
      <c r="D83" s="66">
        <v>5000</v>
      </c>
      <c r="E83" s="7">
        <v>4731.8100000000004</v>
      </c>
      <c r="F83" s="7">
        <v>0.72485712119833401</v>
      </c>
    </row>
    <row r="84" spans="1:6" x14ac:dyDescent="0.2">
      <c r="A84" s="66" t="s">
        <v>1769</v>
      </c>
      <c r="B84" s="66" t="s">
        <v>1770</v>
      </c>
      <c r="C84" s="66" t="s">
        <v>1312</v>
      </c>
      <c r="D84" s="66">
        <v>5000</v>
      </c>
      <c r="E84" s="7">
        <v>4631.3</v>
      </c>
      <c r="F84" s="7">
        <v>0.70946018234160801</v>
      </c>
    </row>
    <row r="85" spans="1:6" x14ac:dyDescent="0.2">
      <c r="A85" s="66" t="s">
        <v>1771</v>
      </c>
      <c r="B85" s="66" t="s">
        <v>1772</v>
      </c>
      <c r="C85" s="66" t="s">
        <v>1337</v>
      </c>
      <c r="D85" s="66">
        <v>2500</v>
      </c>
      <c r="E85" s="7">
        <v>2467.2049999999999</v>
      </c>
      <c r="F85" s="7">
        <v>0.37794651807788898</v>
      </c>
    </row>
    <row r="86" spans="1:6" x14ac:dyDescent="0.2">
      <c r="A86" s="66" t="s">
        <v>1323</v>
      </c>
      <c r="B86" s="66" t="s">
        <v>1324</v>
      </c>
      <c r="C86" s="66" t="s">
        <v>1312</v>
      </c>
      <c r="D86" s="66">
        <v>1500</v>
      </c>
      <c r="E86" s="7">
        <v>1478.37</v>
      </c>
      <c r="F86" s="7">
        <v>0.22646873443058399</v>
      </c>
    </row>
    <row r="87" spans="1:6" x14ac:dyDescent="0.2">
      <c r="A87" s="66" t="s">
        <v>1773</v>
      </c>
      <c r="B87" s="66" t="s">
        <v>1774</v>
      </c>
      <c r="C87" s="66" t="s">
        <v>1312</v>
      </c>
      <c r="D87" s="66">
        <v>1200</v>
      </c>
      <c r="E87" s="7">
        <v>1152.0168000000001</v>
      </c>
      <c r="F87" s="7">
        <v>0.17647529829391201</v>
      </c>
    </row>
    <row r="88" spans="1:6" x14ac:dyDescent="0.2">
      <c r="A88" s="66" t="s">
        <v>1331</v>
      </c>
      <c r="B88" s="66" t="s">
        <v>1332</v>
      </c>
      <c r="C88" s="66" t="s">
        <v>1312</v>
      </c>
      <c r="D88" s="66">
        <v>800</v>
      </c>
      <c r="E88" s="7">
        <v>784.0752</v>
      </c>
      <c r="F88" s="7">
        <v>0.120111012968612</v>
      </c>
    </row>
    <row r="89" spans="1:6" x14ac:dyDescent="0.2">
      <c r="A89" s="66" t="s">
        <v>1325</v>
      </c>
      <c r="B89" s="66" t="s">
        <v>1326</v>
      </c>
      <c r="C89" s="66" t="s">
        <v>1312</v>
      </c>
      <c r="D89" s="66">
        <v>200</v>
      </c>
      <c r="E89" s="7">
        <v>197.90440000000001</v>
      </c>
      <c r="F89" s="7">
        <v>3.0316604778400601E-2</v>
      </c>
    </row>
    <row r="90" spans="1:6" x14ac:dyDescent="0.2">
      <c r="A90" s="65" t="s">
        <v>39</v>
      </c>
      <c r="B90" s="66"/>
      <c r="C90" s="66"/>
      <c r="D90" s="66"/>
      <c r="E90" s="6">
        <f>SUM(E83:E89)</f>
        <v>15442.681399999999</v>
      </c>
      <c r="F90" s="6">
        <f>SUM(F83:F89)</f>
        <v>2.3656354720893398</v>
      </c>
    </row>
    <row r="91" spans="1:6" x14ac:dyDescent="0.2">
      <c r="A91" s="66"/>
      <c r="B91" s="66"/>
      <c r="C91" s="66"/>
      <c r="D91" s="66"/>
      <c r="E91" s="7"/>
      <c r="F91" s="7"/>
    </row>
    <row r="92" spans="1:6" x14ac:dyDescent="0.2">
      <c r="A92" s="65" t="s">
        <v>703</v>
      </c>
      <c r="B92" s="66"/>
      <c r="C92" s="66"/>
      <c r="D92" s="66"/>
      <c r="E92" s="7"/>
      <c r="F92" s="7"/>
    </row>
    <row r="93" spans="1:6" x14ac:dyDescent="0.2">
      <c r="A93" s="66" t="s">
        <v>1379</v>
      </c>
      <c r="B93" s="66" t="s">
        <v>1380</v>
      </c>
      <c r="C93" s="66" t="s">
        <v>1312</v>
      </c>
      <c r="D93" s="66">
        <v>6400</v>
      </c>
      <c r="E93" s="7">
        <v>31425.312000000002</v>
      </c>
      <c r="F93" s="7">
        <v>4.8139847519404704</v>
      </c>
    </row>
    <row r="94" spans="1:6" x14ac:dyDescent="0.2">
      <c r="A94" s="66" t="s">
        <v>704</v>
      </c>
      <c r="B94" s="66" t="s">
        <v>1374</v>
      </c>
      <c r="C94" s="66" t="s">
        <v>706</v>
      </c>
      <c r="D94" s="66">
        <v>5000</v>
      </c>
      <c r="E94" s="7">
        <v>24705.424999999999</v>
      </c>
      <c r="F94" s="7">
        <v>3.78457783458789</v>
      </c>
    </row>
    <row r="95" spans="1:6" x14ac:dyDescent="0.2">
      <c r="A95" s="66" t="s">
        <v>1590</v>
      </c>
      <c r="B95" s="66" t="s">
        <v>1591</v>
      </c>
      <c r="C95" s="66" t="s">
        <v>706</v>
      </c>
      <c r="D95" s="66">
        <v>1600</v>
      </c>
      <c r="E95" s="7">
        <v>7691.9040000000005</v>
      </c>
      <c r="F95" s="7">
        <v>1.17830838304453</v>
      </c>
    </row>
    <row r="96" spans="1:6" x14ac:dyDescent="0.2">
      <c r="A96" s="66" t="s">
        <v>1366</v>
      </c>
      <c r="B96" s="66" t="s">
        <v>1367</v>
      </c>
      <c r="C96" s="66" t="s">
        <v>1312</v>
      </c>
      <c r="D96" s="66">
        <v>1500</v>
      </c>
      <c r="E96" s="7">
        <v>7375.7250000000004</v>
      </c>
      <c r="F96" s="7">
        <v>1.12987351357104</v>
      </c>
    </row>
    <row r="97" spans="1:10" x14ac:dyDescent="0.2">
      <c r="A97" s="66" t="s">
        <v>1775</v>
      </c>
      <c r="B97" s="66" t="s">
        <v>1776</v>
      </c>
      <c r="C97" s="66" t="s">
        <v>1312</v>
      </c>
      <c r="D97" s="66">
        <v>1500</v>
      </c>
      <c r="E97" s="7">
        <v>7218.63</v>
      </c>
      <c r="F97" s="7">
        <v>1.1058084244286901</v>
      </c>
    </row>
    <row r="98" spans="1:10" x14ac:dyDescent="0.2">
      <c r="A98" s="66" t="s">
        <v>1587</v>
      </c>
      <c r="B98" s="66" t="s">
        <v>1588</v>
      </c>
      <c r="C98" s="66" t="s">
        <v>706</v>
      </c>
      <c r="D98" s="66">
        <v>1500</v>
      </c>
      <c r="E98" s="7">
        <v>6918.54</v>
      </c>
      <c r="F98" s="7">
        <v>1.0598381987644301</v>
      </c>
    </row>
    <row r="99" spans="1:10" x14ac:dyDescent="0.2">
      <c r="A99" s="66" t="s">
        <v>1710</v>
      </c>
      <c r="B99" s="66" t="s">
        <v>1711</v>
      </c>
      <c r="C99" s="66" t="s">
        <v>1355</v>
      </c>
      <c r="D99" s="66">
        <v>1260</v>
      </c>
      <c r="E99" s="7">
        <v>6179.8086000000003</v>
      </c>
      <c r="F99" s="7">
        <v>0.94667331768450302</v>
      </c>
    </row>
    <row r="100" spans="1:10" x14ac:dyDescent="0.2">
      <c r="A100" s="66" t="s">
        <v>1777</v>
      </c>
      <c r="B100" s="66" t="s">
        <v>1778</v>
      </c>
      <c r="C100" s="66" t="s">
        <v>1352</v>
      </c>
      <c r="D100" s="66">
        <v>1200</v>
      </c>
      <c r="E100" s="7">
        <v>5674.2960000000003</v>
      </c>
      <c r="F100" s="7">
        <v>0.86923478824957501</v>
      </c>
    </row>
    <row r="101" spans="1:10" x14ac:dyDescent="0.2">
      <c r="A101" s="66" t="s">
        <v>1335</v>
      </c>
      <c r="B101" s="66" t="s">
        <v>1336</v>
      </c>
      <c r="C101" s="66" t="s">
        <v>1337</v>
      </c>
      <c r="D101" s="66">
        <v>1100</v>
      </c>
      <c r="E101" s="7">
        <v>5485.7219999999998</v>
      </c>
      <c r="F101" s="7">
        <v>0.84034748999101105</v>
      </c>
    </row>
    <row r="102" spans="1:10" x14ac:dyDescent="0.2">
      <c r="A102" s="66" t="s">
        <v>1708</v>
      </c>
      <c r="B102" s="66" t="s">
        <v>1709</v>
      </c>
      <c r="C102" s="66" t="s">
        <v>1312</v>
      </c>
      <c r="D102" s="66">
        <v>1000</v>
      </c>
      <c r="E102" s="7">
        <v>4947.82</v>
      </c>
      <c r="F102" s="7">
        <v>0.75794728896712704</v>
      </c>
    </row>
    <row r="103" spans="1:10" x14ac:dyDescent="0.2">
      <c r="A103" s="66" t="s">
        <v>1779</v>
      </c>
      <c r="B103" s="66" t="s">
        <v>1780</v>
      </c>
      <c r="C103" s="66" t="s">
        <v>1352</v>
      </c>
      <c r="D103" s="66">
        <v>1000</v>
      </c>
      <c r="E103" s="7">
        <v>4724.42</v>
      </c>
      <c r="F103" s="7">
        <v>0.72372506092421995</v>
      </c>
    </row>
    <row r="104" spans="1:10" x14ac:dyDescent="0.2">
      <c r="A104" s="66" t="s">
        <v>1781</v>
      </c>
      <c r="B104" s="66" t="s">
        <v>1782</v>
      </c>
      <c r="C104" s="66" t="s">
        <v>1352</v>
      </c>
      <c r="D104" s="66">
        <v>1000</v>
      </c>
      <c r="E104" s="7">
        <v>4714.7449999999999</v>
      </c>
      <c r="F104" s="7">
        <v>0.72224296577509195</v>
      </c>
    </row>
    <row r="105" spans="1:10" x14ac:dyDescent="0.2">
      <c r="A105" s="66" t="s">
        <v>1783</v>
      </c>
      <c r="B105" s="66" t="s">
        <v>1784</v>
      </c>
      <c r="C105" s="66" t="s">
        <v>1352</v>
      </c>
      <c r="D105" s="66">
        <v>1000</v>
      </c>
      <c r="E105" s="7">
        <v>4707.8599999999997</v>
      </c>
      <c r="F105" s="7">
        <v>0.72118826550617798</v>
      </c>
    </row>
    <row r="106" spans="1:10" x14ac:dyDescent="0.2">
      <c r="A106" s="66" t="s">
        <v>1370</v>
      </c>
      <c r="B106" s="66" t="s">
        <v>1371</v>
      </c>
      <c r="C106" s="66" t="s">
        <v>1352</v>
      </c>
      <c r="D106" s="66">
        <v>500</v>
      </c>
      <c r="E106" s="7">
        <v>2363.5974999999999</v>
      </c>
      <c r="F106" s="7">
        <v>0.36207507899124802</v>
      </c>
    </row>
    <row r="107" spans="1:10" x14ac:dyDescent="0.2">
      <c r="A107" s="66" t="s">
        <v>1585</v>
      </c>
      <c r="B107" s="66" t="s">
        <v>1586</v>
      </c>
      <c r="C107" s="66" t="s">
        <v>1352</v>
      </c>
      <c r="D107" s="66">
        <v>500</v>
      </c>
      <c r="E107" s="7">
        <v>2352.5549999999998</v>
      </c>
      <c r="F107" s="7">
        <v>0.360383499075564</v>
      </c>
    </row>
    <row r="108" spans="1:10" x14ac:dyDescent="0.2">
      <c r="A108" s="66" t="s">
        <v>1358</v>
      </c>
      <c r="B108" s="66" t="s">
        <v>1359</v>
      </c>
      <c r="C108" s="66" t="s">
        <v>1352</v>
      </c>
      <c r="D108" s="66">
        <v>300</v>
      </c>
      <c r="E108" s="7">
        <v>1426.9485</v>
      </c>
      <c r="F108" s="7">
        <v>0.21859157104961499</v>
      </c>
    </row>
    <row r="109" spans="1:10" x14ac:dyDescent="0.2">
      <c r="A109" s="65" t="s">
        <v>39</v>
      </c>
      <c r="B109" s="66"/>
      <c r="C109" s="66"/>
      <c r="D109" s="66"/>
      <c r="E109" s="6">
        <f>SUM(E93:E108)</f>
        <v>127913.30859999999</v>
      </c>
      <c r="F109" s="6">
        <f>SUM(F93:F108)</f>
        <v>19.594800432551178</v>
      </c>
      <c r="I109" s="1"/>
      <c r="J109" s="1"/>
    </row>
    <row r="110" spans="1:10" x14ac:dyDescent="0.2">
      <c r="A110" s="66"/>
      <c r="B110" s="66"/>
      <c r="C110" s="66"/>
      <c r="D110" s="66"/>
      <c r="E110" s="7"/>
      <c r="F110" s="7"/>
    </row>
    <row r="111" spans="1:10" x14ac:dyDescent="0.2">
      <c r="A111" s="65" t="s">
        <v>39</v>
      </c>
      <c r="B111" s="66"/>
      <c r="C111" s="66"/>
      <c r="D111" s="66"/>
      <c r="E111" s="6">
        <v>633650.21185080009</v>
      </c>
      <c r="F111" s="6">
        <v>97.06769046282183</v>
      </c>
      <c r="I111" s="1"/>
      <c r="J111" s="1"/>
    </row>
    <row r="112" spans="1:10" x14ac:dyDescent="0.2">
      <c r="A112" s="66"/>
      <c r="B112" s="66"/>
      <c r="C112" s="66"/>
      <c r="D112" s="66"/>
      <c r="E112" s="7"/>
      <c r="F112" s="7"/>
    </row>
    <row r="113" spans="1:10" x14ac:dyDescent="0.2">
      <c r="A113" s="65" t="s">
        <v>103</v>
      </c>
      <c r="B113" s="66"/>
      <c r="C113" s="66"/>
      <c r="D113" s="66"/>
      <c r="E113" s="6">
        <v>19141.886762099999</v>
      </c>
      <c r="F113" s="6">
        <v>2.93</v>
      </c>
      <c r="I113" s="1"/>
      <c r="J113" s="1"/>
    </row>
    <row r="114" spans="1:10" x14ac:dyDescent="0.2">
      <c r="A114" s="66"/>
      <c r="B114" s="66"/>
      <c r="C114" s="66"/>
      <c r="D114" s="66"/>
      <c r="E114" s="7"/>
      <c r="F114" s="7"/>
    </row>
    <row r="115" spans="1:10" x14ac:dyDescent="0.2">
      <c r="A115" s="68" t="s">
        <v>104</v>
      </c>
      <c r="B115" s="64"/>
      <c r="C115" s="64"/>
      <c r="D115" s="64"/>
      <c r="E115" s="8">
        <v>652792.0967621</v>
      </c>
      <c r="F115" s="8">
        <f xml:space="preserve"> ROUND(SUM(F111:F114),2)</f>
        <v>100</v>
      </c>
      <c r="I115" s="1"/>
      <c r="J115" s="1"/>
    </row>
    <row r="116" spans="1:10" x14ac:dyDescent="0.2">
      <c r="A116" s="4" t="s">
        <v>714</v>
      </c>
    </row>
    <row r="118" spans="1:10" x14ac:dyDescent="0.2">
      <c r="A118" s="4" t="s">
        <v>105</v>
      </c>
    </row>
    <row r="119" spans="1:10" x14ac:dyDescent="0.2">
      <c r="A119" s="4" t="s">
        <v>106</v>
      </c>
    </row>
    <row r="120" spans="1:10" x14ac:dyDescent="0.2">
      <c r="A120" s="27" t="s">
        <v>107</v>
      </c>
      <c r="B120" s="84"/>
      <c r="C120" s="84"/>
      <c r="D120" s="84"/>
      <c r="E120" s="53"/>
    </row>
    <row r="121" spans="1:10" x14ac:dyDescent="0.2">
      <c r="A121" s="84" t="s">
        <v>723</v>
      </c>
      <c r="B121" s="84"/>
      <c r="C121" s="84"/>
      <c r="D121" s="85">
        <v>10.744899999999999</v>
      </c>
      <c r="E121" s="53"/>
    </row>
    <row r="122" spans="1:10" x14ac:dyDescent="0.2">
      <c r="A122" s="84" t="s">
        <v>726</v>
      </c>
      <c r="B122" s="84"/>
      <c r="C122" s="84"/>
      <c r="D122" s="85">
        <v>10.4536</v>
      </c>
      <c r="E122" s="53"/>
    </row>
    <row r="123" spans="1:10" x14ac:dyDescent="0.2">
      <c r="A123" s="84" t="s">
        <v>725</v>
      </c>
      <c r="B123" s="84"/>
      <c r="C123" s="84"/>
      <c r="D123" s="85">
        <v>10.518599999999999</v>
      </c>
      <c r="E123" s="53"/>
    </row>
    <row r="124" spans="1:10" x14ac:dyDescent="0.2">
      <c r="A124" s="84" t="s">
        <v>720</v>
      </c>
      <c r="B124" s="84"/>
      <c r="C124" s="84"/>
      <c r="D124" s="85">
        <v>20.462599999999998</v>
      </c>
      <c r="E124" s="53"/>
    </row>
    <row r="125" spans="1:10" x14ac:dyDescent="0.2">
      <c r="A125" s="84" t="s">
        <v>722</v>
      </c>
      <c r="B125" s="84"/>
      <c r="C125" s="84"/>
      <c r="D125" s="85">
        <v>20.125800000000002</v>
      </c>
      <c r="E125" s="53"/>
    </row>
    <row r="126" spans="1:10" x14ac:dyDescent="0.2">
      <c r="A126" s="84" t="s">
        <v>724</v>
      </c>
      <c r="B126" s="84"/>
      <c r="C126" s="84"/>
      <c r="D126" s="85">
        <v>10.680999999999999</v>
      </c>
      <c r="E126" s="53"/>
    </row>
    <row r="127" spans="1:10" x14ac:dyDescent="0.2">
      <c r="A127" s="84"/>
      <c r="B127" s="84"/>
      <c r="C127" s="84"/>
      <c r="D127" s="84"/>
      <c r="E127" s="53"/>
    </row>
    <row r="128" spans="1:10" x14ac:dyDescent="0.2">
      <c r="A128" s="27" t="s">
        <v>108</v>
      </c>
      <c r="B128" s="84"/>
      <c r="C128" s="84"/>
      <c r="D128" s="84"/>
      <c r="E128" s="53"/>
    </row>
    <row r="129" spans="1:5" x14ac:dyDescent="0.2">
      <c r="A129" s="84" t="s">
        <v>722</v>
      </c>
      <c r="B129" s="84"/>
      <c r="C129" s="84"/>
      <c r="D129" s="85">
        <v>21.0002</v>
      </c>
      <c r="E129" s="53"/>
    </row>
    <row r="130" spans="1:5" x14ac:dyDescent="0.2">
      <c r="A130" s="84" t="s">
        <v>724</v>
      </c>
      <c r="B130" s="84"/>
      <c r="C130" s="84"/>
      <c r="D130" s="85">
        <v>10.742599999999999</v>
      </c>
      <c r="E130" s="53"/>
    </row>
    <row r="131" spans="1:5" x14ac:dyDescent="0.2">
      <c r="A131" s="84" t="s">
        <v>720</v>
      </c>
      <c r="B131" s="84"/>
      <c r="C131" s="84"/>
      <c r="D131" s="85">
        <v>21.389199999999999</v>
      </c>
      <c r="E131" s="53"/>
    </row>
    <row r="132" spans="1:5" x14ac:dyDescent="0.2">
      <c r="A132" s="84" t="s">
        <v>725</v>
      </c>
      <c r="B132" s="84"/>
      <c r="C132" s="84"/>
      <c r="D132" s="85">
        <v>10.588200000000001</v>
      </c>
      <c r="E132" s="53"/>
    </row>
    <row r="133" spans="1:5" x14ac:dyDescent="0.2">
      <c r="A133" s="84" t="s">
        <v>726</v>
      </c>
      <c r="B133" s="84"/>
      <c r="C133" s="84"/>
      <c r="D133" s="85">
        <v>10.4861</v>
      </c>
      <c r="E133" s="53"/>
    </row>
    <row r="134" spans="1:5" x14ac:dyDescent="0.2">
      <c r="A134" s="84" t="s">
        <v>723</v>
      </c>
      <c r="B134" s="84"/>
      <c r="C134" s="84"/>
      <c r="D134" s="85">
        <v>10.8437</v>
      </c>
      <c r="E134" s="53"/>
    </row>
    <row r="135" spans="1:5" x14ac:dyDescent="0.2">
      <c r="A135" s="84"/>
      <c r="B135" s="84"/>
      <c r="C135" s="84"/>
      <c r="D135" s="84"/>
      <c r="E135" s="53"/>
    </row>
    <row r="136" spans="1:5" x14ac:dyDescent="0.2">
      <c r="A136" s="4" t="s">
        <v>109</v>
      </c>
      <c r="D136" s="69"/>
    </row>
    <row r="137" spans="1:5" x14ac:dyDescent="0.2">
      <c r="A137" s="91" t="s">
        <v>727</v>
      </c>
      <c r="B137" s="92"/>
      <c r="C137" s="77" t="s">
        <v>728</v>
      </c>
      <c r="D137" s="77"/>
    </row>
    <row r="138" spans="1:5" x14ac:dyDescent="0.2">
      <c r="A138" s="78"/>
      <c r="B138" s="78"/>
      <c r="C138" s="43" t="s">
        <v>729</v>
      </c>
      <c r="D138" s="43" t="s">
        <v>730</v>
      </c>
    </row>
    <row r="139" spans="1:5" x14ac:dyDescent="0.2">
      <c r="A139" s="44" t="s">
        <v>725</v>
      </c>
      <c r="B139" s="45"/>
      <c r="C139" s="79">
        <v>0.27372262600000002</v>
      </c>
      <c r="D139" s="79">
        <v>0.25346851589999997</v>
      </c>
    </row>
    <row r="140" spans="1:5" x14ac:dyDescent="0.2">
      <c r="A140" s="44" t="s">
        <v>726</v>
      </c>
      <c r="B140" s="45"/>
      <c r="C140" s="79">
        <v>0.29533230700000002</v>
      </c>
      <c r="D140" s="79">
        <v>0.2734791882</v>
      </c>
    </row>
    <row r="141" spans="1:5" x14ac:dyDescent="0.2">
      <c r="A141" s="44" t="s">
        <v>723</v>
      </c>
      <c r="B141" s="45"/>
      <c r="C141" s="79">
        <v>0.27372262600000002</v>
      </c>
      <c r="D141" s="79">
        <v>0.25346851589999997</v>
      </c>
    </row>
    <row r="142" spans="1:5" x14ac:dyDescent="0.2">
      <c r="A142" s="44" t="s">
        <v>724</v>
      </c>
      <c r="B142" s="45"/>
      <c r="C142" s="79">
        <v>0.29533230700000002</v>
      </c>
      <c r="D142" s="79">
        <v>0.2734791882</v>
      </c>
    </row>
    <row r="144" spans="1:5" x14ac:dyDescent="0.2">
      <c r="A144" s="4" t="s">
        <v>883</v>
      </c>
      <c r="D144" s="70">
        <v>0.92703439724757963</v>
      </c>
      <c r="E144" s="1" t="s">
        <v>735</v>
      </c>
    </row>
  </sheetData>
  <mergeCells count="4">
    <mergeCell ref="A1:F1"/>
    <mergeCell ref="A137:B137"/>
    <mergeCell ref="C137:D137"/>
    <mergeCell ref="A138:B1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37" style="2" customWidth="1"/>
    <col min="3" max="3" width="11.7109375" style="2" bestFit="1" customWidth="1"/>
    <col min="4" max="4" width="7.8554687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10" ht="15" customHeight="1" x14ac:dyDescent="0.2">
      <c r="A1" s="62" t="s">
        <v>1785</v>
      </c>
      <c r="B1" s="62"/>
      <c r="C1" s="62"/>
      <c r="D1" s="62"/>
      <c r="E1" s="62"/>
      <c r="F1" s="62"/>
    </row>
    <row r="3" spans="1:10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10" x14ac:dyDescent="0.2">
      <c r="A4" s="64"/>
      <c r="B4" s="64"/>
      <c r="C4" s="64"/>
      <c r="D4" s="64"/>
      <c r="E4" s="5"/>
      <c r="F4" s="5"/>
    </row>
    <row r="5" spans="1:10" x14ac:dyDescent="0.2">
      <c r="A5" s="65" t="s">
        <v>1619</v>
      </c>
      <c r="B5" s="66"/>
      <c r="C5" s="66"/>
      <c r="D5" s="66"/>
      <c r="E5" s="7"/>
      <c r="F5" s="7"/>
    </row>
    <row r="6" spans="1:10" x14ac:dyDescent="0.2">
      <c r="A6" s="66" t="s">
        <v>1620</v>
      </c>
      <c r="B6" s="66" t="s">
        <v>1621</v>
      </c>
      <c r="C6" s="66" t="s">
        <v>1622</v>
      </c>
      <c r="D6" s="66">
        <v>12000000</v>
      </c>
      <c r="E6" s="7">
        <v>11659.008</v>
      </c>
      <c r="F6" s="7">
        <v>43.902766491215999</v>
      </c>
    </row>
    <row r="7" spans="1:10" x14ac:dyDescent="0.2">
      <c r="A7" s="66" t="s">
        <v>1786</v>
      </c>
      <c r="B7" s="66" t="s">
        <v>1787</v>
      </c>
      <c r="C7" s="66" t="s">
        <v>1622</v>
      </c>
      <c r="D7" s="66">
        <v>10000000</v>
      </c>
      <c r="E7" s="7">
        <v>9944.91</v>
      </c>
      <c r="F7" s="7">
        <v>37.448216992917303</v>
      </c>
    </row>
    <row r="8" spans="1:10" x14ac:dyDescent="0.2">
      <c r="A8" s="66" t="s">
        <v>1623</v>
      </c>
      <c r="B8" s="66" t="s">
        <v>1624</v>
      </c>
      <c r="C8" s="66" t="s">
        <v>1622</v>
      </c>
      <c r="D8" s="66">
        <v>500000</v>
      </c>
      <c r="E8" s="7">
        <v>498.14949999999999</v>
      </c>
      <c r="F8" s="7">
        <v>1.87581492149383</v>
      </c>
    </row>
    <row r="9" spans="1:10" x14ac:dyDescent="0.2">
      <c r="A9" s="65" t="s">
        <v>39</v>
      </c>
      <c r="B9" s="66"/>
      <c r="C9" s="66"/>
      <c r="D9" s="66"/>
      <c r="E9" s="6">
        <f>SUM(E6:E8)</f>
        <v>22102.067499999997</v>
      </c>
      <c r="F9" s="6">
        <f>SUM(F6:F8)</f>
        <v>83.226798405627136</v>
      </c>
      <c r="I9" s="1"/>
      <c r="J9" s="1"/>
    </row>
    <row r="10" spans="1:10" x14ac:dyDescent="0.2">
      <c r="A10" s="66"/>
      <c r="B10" s="66"/>
      <c r="C10" s="66"/>
      <c r="D10" s="66"/>
      <c r="E10" s="7"/>
      <c r="F10" s="7"/>
    </row>
    <row r="11" spans="1:10" x14ac:dyDescent="0.2">
      <c r="A11" s="65" t="s">
        <v>39</v>
      </c>
      <c r="B11" s="66"/>
      <c r="C11" s="66"/>
      <c r="D11" s="66"/>
      <c r="E11" s="6">
        <v>22102.067499999997</v>
      </c>
      <c r="F11" s="6">
        <v>83.226798405627136</v>
      </c>
      <c r="I11" s="1"/>
      <c r="J11" s="1"/>
    </row>
    <row r="12" spans="1:10" x14ac:dyDescent="0.2">
      <c r="A12" s="66"/>
      <c r="B12" s="66"/>
      <c r="C12" s="66"/>
      <c r="D12" s="66"/>
      <c r="E12" s="7"/>
      <c r="F12" s="7"/>
    </row>
    <row r="13" spans="1:10" x14ac:dyDescent="0.2">
      <c r="A13" s="65" t="s">
        <v>103</v>
      </c>
      <c r="B13" s="66"/>
      <c r="C13" s="66"/>
      <c r="D13" s="66"/>
      <c r="E13" s="6">
        <v>4454.3612498000002</v>
      </c>
      <c r="F13" s="6">
        <v>16.77</v>
      </c>
      <c r="I13" s="1"/>
      <c r="J13" s="1"/>
    </row>
    <row r="14" spans="1:10" x14ac:dyDescent="0.2">
      <c r="A14" s="66"/>
      <c r="B14" s="66"/>
      <c r="C14" s="66"/>
      <c r="D14" s="66"/>
      <c r="E14" s="7"/>
      <c r="F14" s="7"/>
    </row>
    <row r="15" spans="1:10" x14ac:dyDescent="0.2">
      <c r="A15" s="68" t="s">
        <v>104</v>
      </c>
      <c r="B15" s="64"/>
      <c r="C15" s="64"/>
      <c r="D15" s="64"/>
      <c r="E15" s="8">
        <v>26556.4312498</v>
      </c>
      <c r="F15" s="8">
        <f xml:space="preserve"> ROUND(SUM(F11:F14),2)</f>
        <v>100</v>
      </c>
      <c r="I15" s="1"/>
      <c r="J15" s="1"/>
    </row>
    <row r="17" spans="1:4" x14ac:dyDescent="0.2">
      <c r="A17" s="4" t="s">
        <v>105</v>
      </c>
    </row>
    <row r="18" spans="1:4" x14ac:dyDescent="0.2">
      <c r="A18" s="4" t="s">
        <v>106</v>
      </c>
    </row>
    <row r="19" spans="1:4" x14ac:dyDescent="0.2">
      <c r="A19" s="4" t="s">
        <v>107</v>
      </c>
    </row>
    <row r="20" spans="1:4" x14ac:dyDescent="0.2">
      <c r="A20" s="2" t="s">
        <v>1788</v>
      </c>
      <c r="D20" s="10">
        <v>38.080500000000001</v>
      </c>
    </row>
    <row r="21" spans="1:4" x14ac:dyDescent="0.2">
      <c r="A21" s="2" t="s">
        <v>1789</v>
      </c>
      <c r="D21" s="10">
        <v>40.156799999999997</v>
      </c>
    </row>
    <row r="22" spans="1:4" x14ac:dyDescent="0.2">
      <c r="A22" s="2" t="s">
        <v>1790</v>
      </c>
      <c r="D22" s="10">
        <v>10.6538</v>
      </c>
    </row>
    <row r="23" spans="1:4" x14ac:dyDescent="0.2">
      <c r="A23" s="2" t="s">
        <v>1791</v>
      </c>
      <c r="D23" s="10">
        <v>11.3596</v>
      </c>
    </row>
    <row r="25" spans="1:4" x14ac:dyDescent="0.2">
      <c r="A25" s="4" t="s">
        <v>108</v>
      </c>
    </row>
    <row r="26" spans="1:4" x14ac:dyDescent="0.2">
      <c r="A26" s="2" t="s">
        <v>1788</v>
      </c>
      <c r="D26" s="10">
        <v>39.709400000000002</v>
      </c>
    </row>
    <row r="27" spans="1:4" x14ac:dyDescent="0.2">
      <c r="A27" s="2" t="s">
        <v>1789</v>
      </c>
      <c r="D27" s="10">
        <v>42.075600000000001</v>
      </c>
    </row>
    <row r="28" spans="1:4" x14ac:dyDescent="0.2">
      <c r="A28" s="2" t="s">
        <v>1790</v>
      </c>
      <c r="D28" s="10">
        <v>10.6913</v>
      </c>
    </row>
    <row r="29" spans="1:4" x14ac:dyDescent="0.2">
      <c r="A29" s="2" t="s">
        <v>1791</v>
      </c>
      <c r="D29" s="10">
        <v>11.482699999999999</v>
      </c>
    </row>
    <row r="31" spans="1:4" x14ac:dyDescent="0.2">
      <c r="A31" s="4" t="s">
        <v>109</v>
      </c>
      <c r="D31" s="69"/>
    </row>
    <row r="32" spans="1:4" x14ac:dyDescent="0.2">
      <c r="A32" s="75" t="s">
        <v>727</v>
      </c>
      <c r="B32" s="76"/>
      <c r="C32" s="77" t="s">
        <v>728</v>
      </c>
      <c r="D32" s="77"/>
    </row>
    <row r="33" spans="1:5" x14ac:dyDescent="0.2">
      <c r="A33" s="78"/>
      <c r="B33" s="78"/>
      <c r="C33" s="43" t="s">
        <v>729</v>
      </c>
      <c r="D33" s="43" t="s">
        <v>730</v>
      </c>
    </row>
    <row r="34" spans="1:5" x14ac:dyDescent="0.2">
      <c r="A34" s="44" t="s">
        <v>1790</v>
      </c>
      <c r="B34" s="45"/>
      <c r="C34" s="79">
        <v>0.28812908000000004</v>
      </c>
      <c r="D34" s="79">
        <v>0.26680896400000004</v>
      </c>
    </row>
    <row r="35" spans="1:5" x14ac:dyDescent="0.2">
      <c r="A35" s="44" t="s">
        <v>1791</v>
      </c>
      <c r="B35" s="45"/>
      <c r="C35" s="79">
        <v>0.28812908000000004</v>
      </c>
      <c r="D35" s="79">
        <v>0.26680896400000004</v>
      </c>
    </row>
    <row r="37" spans="1:5" x14ac:dyDescent="0.2">
      <c r="A37" s="4" t="s">
        <v>883</v>
      </c>
      <c r="D37" s="70">
        <v>10.098002315653174</v>
      </c>
      <c r="E37" s="1" t="s">
        <v>735</v>
      </c>
    </row>
  </sheetData>
  <mergeCells count="3">
    <mergeCell ref="A1:F1"/>
    <mergeCell ref="C32:D32"/>
    <mergeCell ref="A33:B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showGridLines="0" workbookViewId="0">
      <selection sqref="A1:F1"/>
    </sheetView>
  </sheetViews>
  <sheetFormatPr defaultRowHeight="11.25" x14ac:dyDescent="0.2"/>
  <cols>
    <col min="1" max="1" width="40.7109375" style="2" customWidth="1"/>
    <col min="2" max="2" width="83.7109375" style="2" bestFit="1" customWidth="1"/>
    <col min="3" max="3" width="11.7109375" style="2" bestFit="1" customWidth="1"/>
    <col min="4" max="4" width="6.85546875" style="2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10" ht="15" customHeight="1" x14ac:dyDescent="0.2">
      <c r="A1" s="62" t="s">
        <v>1792</v>
      </c>
      <c r="B1" s="62"/>
      <c r="C1" s="62"/>
      <c r="D1" s="62"/>
      <c r="E1" s="62"/>
      <c r="F1" s="62"/>
    </row>
    <row r="3" spans="1:10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10" x14ac:dyDescent="0.2">
      <c r="A4" s="64"/>
      <c r="B4" s="64"/>
      <c r="C4" s="64"/>
      <c r="D4" s="64"/>
      <c r="E4" s="5"/>
      <c r="F4" s="5"/>
    </row>
    <row r="5" spans="1:10" x14ac:dyDescent="0.2">
      <c r="A5" s="65" t="s">
        <v>419</v>
      </c>
      <c r="B5" s="66"/>
      <c r="C5" s="66"/>
      <c r="D5" s="66"/>
      <c r="E5" s="7"/>
      <c r="F5" s="7"/>
    </row>
    <row r="6" spans="1:10" x14ac:dyDescent="0.2">
      <c r="A6" s="65" t="s">
        <v>8</v>
      </c>
      <c r="B6" s="66"/>
      <c r="C6" s="66"/>
      <c r="D6" s="66"/>
      <c r="E6" s="7"/>
      <c r="F6" s="7"/>
    </row>
    <row r="7" spans="1:10" x14ac:dyDescent="0.2">
      <c r="A7" s="65"/>
      <c r="B7" s="66"/>
      <c r="C7" s="66"/>
      <c r="D7" s="66"/>
      <c r="E7" s="7"/>
      <c r="F7" s="7"/>
    </row>
    <row r="8" spans="1:10" x14ac:dyDescent="0.2">
      <c r="A8" s="66" t="s">
        <v>1220</v>
      </c>
      <c r="B8" s="66" t="s">
        <v>1221</v>
      </c>
      <c r="C8" s="66" t="s">
        <v>421</v>
      </c>
      <c r="D8" s="66">
        <v>200</v>
      </c>
      <c r="E8" s="7">
        <v>1973.538</v>
      </c>
      <c r="F8" s="7">
        <f>E8/$E$31*100</f>
        <v>9.2274284072931803</v>
      </c>
    </row>
    <row r="9" spans="1:10" x14ac:dyDescent="0.2">
      <c r="A9" s="66" t="s">
        <v>1132</v>
      </c>
      <c r="B9" s="66" t="s">
        <v>1133</v>
      </c>
      <c r="C9" s="66" t="s">
        <v>775</v>
      </c>
      <c r="D9" s="66">
        <v>100</v>
      </c>
      <c r="E9" s="7">
        <v>999.00800000000004</v>
      </c>
      <c r="F9" s="7">
        <f t="shared" ref="F9:F11" si="0">E9/$E$31*100</f>
        <v>4.6709385876092302</v>
      </c>
    </row>
    <row r="10" spans="1:10" x14ac:dyDescent="0.2">
      <c r="A10" s="66" t="s">
        <v>1128</v>
      </c>
      <c r="B10" s="66" t="s">
        <v>1129</v>
      </c>
      <c r="C10" s="66" t="s">
        <v>759</v>
      </c>
      <c r="D10" s="66">
        <v>100</v>
      </c>
      <c r="E10" s="7">
        <v>996.92100000000005</v>
      </c>
      <c r="F10" s="7">
        <f t="shared" si="0"/>
        <v>4.661180658911622</v>
      </c>
    </row>
    <row r="11" spans="1:10" x14ac:dyDescent="0.2">
      <c r="A11" s="66" t="s">
        <v>1154</v>
      </c>
      <c r="B11" s="66" t="s">
        <v>1155</v>
      </c>
      <c r="C11" s="66" t="s">
        <v>775</v>
      </c>
      <c r="D11" s="66">
        <v>60</v>
      </c>
      <c r="E11" s="7">
        <v>599.42521999999997</v>
      </c>
      <c r="F11" s="7">
        <f t="shared" si="0"/>
        <v>2.8026586278429724</v>
      </c>
    </row>
    <row r="12" spans="1:10" x14ac:dyDescent="0.2">
      <c r="A12" s="65" t="s">
        <v>39</v>
      </c>
      <c r="B12" s="66"/>
      <c r="C12" s="66"/>
      <c r="D12" s="66"/>
      <c r="E12" s="6">
        <f>SUM(E8:E11)</f>
        <v>4568.8922200000006</v>
      </c>
      <c r="F12" s="6">
        <f>SUM(F8:F11)</f>
        <v>21.362206281657006</v>
      </c>
      <c r="I12" s="1"/>
      <c r="J12" s="1"/>
    </row>
    <row r="13" spans="1:10" x14ac:dyDescent="0.2">
      <c r="A13" s="66"/>
      <c r="B13" s="66"/>
      <c r="C13" s="66"/>
      <c r="D13" s="66"/>
      <c r="E13" s="7"/>
      <c r="F13" s="7"/>
    </row>
    <row r="14" spans="1:10" x14ac:dyDescent="0.2">
      <c r="A14" s="65" t="s">
        <v>702</v>
      </c>
      <c r="B14" s="66"/>
      <c r="C14" s="66"/>
      <c r="D14" s="66"/>
      <c r="E14" s="7"/>
      <c r="F14" s="7"/>
    </row>
    <row r="15" spans="1:10" x14ac:dyDescent="0.2">
      <c r="A15" s="65" t="s">
        <v>1309</v>
      </c>
      <c r="B15" s="66"/>
      <c r="C15" s="66"/>
      <c r="D15" s="66"/>
      <c r="E15" s="7"/>
      <c r="F15" s="7"/>
    </row>
    <row r="16" spans="1:10" x14ac:dyDescent="0.2">
      <c r="A16" s="66" t="s">
        <v>1331</v>
      </c>
      <c r="B16" s="66" t="s">
        <v>1332</v>
      </c>
      <c r="C16" s="66" t="s">
        <v>1312</v>
      </c>
      <c r="D16" s="66">
        <v>1400</v>
      </c>
      <c r="E16" s="7">
        <v>1372.1315999999999</v>
      </c>
      <c r="F16" s="7">
        <f t="shared" ref="F16:F20" si="1">E16/$E$31*100</f>
        <v>6.4155066202853162</v>
      </c>
    </row>
    <row r="17" spans="1:10" x14ac:dyDescent="0.2">
      <c r="A17" s="66" t="s">
        <v>1773</v>
      </c>
      <c r="B17" s="66" t="s">
        <v>1774</v>
      </c>
      <c r="C17" s="66" t="s">
        <v>1312</v>
      </c>
      <c r="D17" s="66">
        <v>1300</v>
      </c>
      <c r="E17" s="7">
        <v>1248.0182</v>
      </c>
      <c r="F17" s="7">
        <f t="shared" si="1"/>
        <v>5.8352048916711512</v>
      </c>
      <c r="H17" s="1"/>
    </row>
    <row r="18" spans="1:10" x14ac:dyDescent="0.2">
      <c r="A18" s="66" t="s">
        <v>1319</v>
      </c>
      <c r="B18" s="66" t="s">
        <v>1320</v>
      </c>
      <c r="C18" s="66" t="s">
        <v>706</v>
      </c>
      <c r="D18" s="66">
        <v>900</v>
      </c>
      <c r="E18" s="7">
        <v>883.07820000000004</v>
      </c>
      <c r="F18" s="7">
        <f t="shared" si="1"/>
        <v>4.1288999089661962</v>
      </c>
    </row>
    <row r="19" spans="1:10" x14ac:dyDescent="0.2">
      <c r="A19" s="66" t="s">
        <v>1327</v>
      </c>
      <c r="B19" s="66" t="s">
        <v>1328</v>
      </c>
      <c r="C19" s="66" t="s">
        <v>706</v>
      </c>
      <c r="D19" s="66">
        <v>2100</v>
      </c>
      <c r="E19" s="7">
        <v>2100.1932000000002</v>
      </c>
      <c r="F19" s="7">
        <f t="shared" si="1"/>
        <v>9.8196145169152906</v>
      </c>
    </row>
    <row r="20" spans="1:10" x14ac:dyDescent="0.2">
      <c r="A20" s="66" t="s">
        <v>1329</v>
      </c>
      <c r="B20" s="66" t="s">
        <v>1330</v>
      </c>
      <c r="C20" s="66" t="s">
        <v>1312</v>
      </c>
      <c r="D20" s="66">
        <v>2200</v>
      </c>
      <c r="E20" s="7">
        <v>2196.3919999999998</v>
      </c>
      <c r="F20" s="7">
        <f t="shared" si="1"/>
        <v>10.2693993905116</v>
      </c>
    </row>
    <row r="21" spans="1:10" x14ac:dyDescent="0.2">
      <c r="A21" s="65" t="s">
        <v>39</v>
      </c>
      <c r="B21" s="66"/>
      <c r="C21" s="66"/>
      <c r="D21" s="66"/>
      <c r="E21" s="6">
        <f>SUM(E16:E20)</f>
        <v>7799.8132000000005</v>
      </c>
      <c r="F21" s="6">
        <f>SUM(F16:F20)</f>
        <v>36.468625328349553</v>
      </c>
      <c r="I21" s="1"/>
      <c r="J21" s="1"/>
    </row>
    <row r="22" spans="1:10" x14ac:dyDescent="0.2">
      <c r="A22" s="65"/>
      <c r="B22" s="66"/>
      <c r="C22" s="66"/>
      <c r="D22" s="66"/>
      <c r="E22" s="6"/>
      <c r="F22" s="6"/>
    </row>
    <row r="23" spans="1:10" x14ac:dyDescent="0.2">
      <c r="A23" s="65" t="s">
        <v>1619</v>
      </c>
      <c r="B23" s="66"/>
      <c r="C23" s="66"/>
      <c r="D23" s="66"/>
      <c r="E23" s="7"/>
      <c r="F23" s="7"/>
    </row>
    <row r="24" spans="1:10" x14ac:dyDescent="0.2">
      <c r="A24" s="66" t="s">
        <v>1793</v>
      </c>
      <c r="B24" s="66" t="s">
        <v>1794</v>
      </c>
      <c r="C24" s="66" t="s">
        <v>1622</v>
      </c>
      <c r="D24" s="66">
        <v>8500000</v>
      </c>
      <c r="E24" s="7">
        <v>8431.4560000000001</v>
      </c>
      <c r="F24" s="7">
        <f t="shared" ref="F24" si="2">E24/$E$31*100</f>
        <v>39.421919724496071</v>
      </c>
      <c r="I24" s="1"/>
      <c r="J24" s="1"/>
    </row>
    <row r="25" spans="1:10" x14ac:dyDescent="0.2">
      <c r="A25" s="65" t="s">
        <v>39</v>
      </c>
      <c r="B25" s="66"/>
      <c r="C25" s="66"/>
      <c r="D25" s="66"/>
      <c r="E25" s="6">
        <f>SUM(E24:E24)</f>
        <v>8431.4560000000001</v>
      </c>
      <c r="F25" s="6">
        <f>SUM(F24:F24)</f>
        <v>39.421919724496071</v>
      </c>
    </row>
    <row r="26" spans="1:10" x14ac:dyDescent="0.2">
      <c r="A26" s="65"/>
      <c r="B26" s="66"/>
      <c r="C26" s="66"/>
      <c r="D26" s="66"/>
      <c r="E26" s="6"/>
      <c r="F26" s="6"/>
    </row>
    <row r="27" spans="1:10" x14ac:dyDescent="0.2">
      <c r="A27" s="65" t="s">
        <v>39</v>
      </c>
      <c r="B27" s="66"/>
      <c r="C27" s="66"/>
      <c r="D27" s="66"/>
      <c r="E27" s="6">
        <f>E12+E21+E25</f>
        <v>20800.161420000004</v>
      </c>
      <c r="F27" s="6">
        <f>F12+F21+F25</f>
        <v>97.252751334502619</v>
      </c>
      <c r="I27" s="1"/>
      <c r="J27" s="1"/>
    </row>
    <row r="28" spans="1:10" x14ac:dyDescent="0.2">
      <c r="A28" s="66"/>
      <c r="B28" s="66"/>
      <c r="C28" s="66"/>
      <c r="D28" s="66"/>
      <c r="E28" s="7"/>
      <c r="F28" s="7"/>
    </row>
    <row r="29" spans="1:10" x14ac:dyDescent="0.2">
      <c r="A29" s="65" t="s">
        <v>103</v>
      </c>
      <c r="B29" s="66"/>
      <c r="C29" s="66"/>
      <c r="D29" s="66"/>
      <c r="E29" s="6">
        <v>587.57428370000002</v>
      </c>
      <c r="F29" s="6">
        <f t="shared" ref="F29" si="3">E29/$E$31*100</f>
        <v>2.7472486654973567</v>
      </c>
      <c r="I29" s="1"/>
      <c r="J29" s="1"/>
    </row>
    <row r="30" spans="1:10" x14ac:dyDescent="0.2">
      <c r="A30" s="66"/>
      <c r="B30" s="66"/>
      <c r="C30" s="66"/>
      <c r="D30" s="66"/>
      <c r="E30" s="7"/>
      <c r="F30" s="7"/>
    </row>
    <row r="31" spans="1:10" x14ac:dyDescent="0.2">
      <c r="A31" s="68" t="s">
        <v>104</v>
      </c>
      <c r="B31" s="64"/>
      <c r="C31" s="64"/>
      <c r="D31" s="64"/>
      <c r="E31" s="8">
        <f>E27+E29</f>
        <v>21387.735703700004</v>
      </c>
      <c r="F31" s="8">
        <f xml:space="preserve"> ROUND(SUM(F27:F30),2)</f>
        <v>100</v>
      </c>
      <c r="I31" s="1"/>
      <c r="J31" s="1"/>
    </row>
    <row r="32" spans="1:10" x14ac:dyDescent="0.2">
      <c r="A32" s="4" t="s">
        <v>714</v>
      </c>
    </row>
    <row r="34" spans="1:6" x14ac:dyDescent="0.2">
      <c r="A34" s="4" t="s">
        <v>105</v>
      </c>
    </row>
    <row r="35" spans="1:6" x14ac:dyDescent="0.2">
      <c r="A35" s="27" t="s">
        <v>106</v>
      </c>
      <c r="B35" s="84"/>
      <c r="C35" s="84"/>
      <c r="D35" s="84"/>
      <c r="E35" s="53"/>
      <c r="F35" s="53"/>
    </row>
    <row r="36" spans="1:6" x14ac:dyDescent="0.2">
      <c r="A36" s="27" t="s">
        <v>107</v>
      </c>
      <c r="B36" s="84"/>
      <c r="C36" s="84"/>
      <c r="D36" s="84"/>
      <c r="E36" s="53"/>
      <c r="F36" s="53"/>
    </row>
    <row r="37" spans="1:6" x14ac:dyDescent="0.2">
      <c r="A37" s="84" t="s">
        <v>719</v>
      </c>
      <c r="B37" s="84"/>
      <c r="C37" s="84"/>
      <c r="D37" s="85">
        <v>10.0146</v>
      </c>
      <c r="E37" s="53"/>
      <c r="F37" s="53"/>
    </row>
    <row r="38" spans="1:6" x14ac:dyDescent="0.2">
      <c r="A38" s="84" t="s">
        <v>722</v>
      </c>
      <c r="B38" s="84"/>
      <c r="C38" s="84"/>
      <c r="D38" s="85">
        <v>26.316700000000001</v>
      </c>
      <c r="E38" s="53"/>
      <c r="F38" s="53"/>
    </row>
    <row r="39" spans="1:6" x14ac:dyDescent="0.2">
      <c r="A39" s="84" t="s">
        <v>720</v>
      </c>
      <c r="B39" s="84"/>
      <c r="C39" s="84"/>
      <c r="D39" s="85">
        <v>27.411799999999999</v>
      </c>
      <c r="E39" s="53"/>
      <c r="F39" s="53"/>
    </row>
    <row r="40" spans="1:6" x14ac:dyDescent="0.2">
      <c r="A40" s="84" t="s">
        <v>721</v>
      </c>
      <c r="B40" s="84"/>
      <c r="C40" s="84"/>
      <c r="D40" s="85">
        <v>10.012700000000001</v>
      </c>
      <c r="E40" s="53"/>
      <c r="F40" s="53"/>
    </row>
    <row r="41" spans="1:6" x14ac:dyDescent="0.2">
      <c r="A41" s="84"/>
      <c r="B41" s="84"/>
      <c r="C41" s="84"/>
      <c r="D41" s="84"/>
      <c r="E41" s="53"/>
      <c r="F41" s="53"/>
    </row>
    <row r="42" spans="1:6" x14ac:dyDescent="0.2">
      <c r="A42" s="27" t="s">
        <v>108</v>
      </c>
      <c r="B42" s="84"/>
      <c r="C42" s="84"/>
      <c r="D42" s="84"/>
      <c r="E42" s="53"/>
      <c r="F42" s="53"/>
    </row>
    <row r="43" spans="1:6" x14ac:dyDescent="0.2">
      <c r="A43" s="84" t="s">
        <v>721</v>
      </c>
      <c r="B43" s="84"/>
      <c r="C43" s="84"/>
      <c r="D43" s="85">
        <v>10</v>
      </c>
      <c r="E43" s="53"/>
      <c r="F43" s="53"/>
    </row>
    <row r="44" spans="1:6" x14ac:dyDescent="0.2">
      <c r="A44" s="84" t="s">
        <v>720</v>
      </c>
      <c r="B44" s="84"/>
      <c r="C44" s="84"/>
      <c r="D44" s="85">
        <v>28.415900000000001</v>
      </c>
      <c r="E44" s="53"/>
      <c r="F44" s="53"/>
    </row>
    <row r="45" spans="1:6" x14ac:dyDescent="0.2">
      <c r="A45" s="84" t="s">
        <v>722</v>
      </c>
      <c r="B45" s="84"/>
      <c r="C45" s="84"/>
      <c r="D45" s="85">
        <v>27.210899999999999</v>
      </c>
      <c r="E45" s="53"/>
      <c r="F45" s="53"/>
    </row>
    <row r="46" spans="1:6" x14ac:dyDescent="0.2">
      <c r="A46" s="84" t="s">
        <v>719</v>
      </c>
      <c r="B46" s="84"/>
      <c r="C46" s="84"/>
      <c r="D46" s="85">
        <v>10</v>
      </c>
      <c r="E46" s="53"/>
      <c r="F46" s="53"/>
    </row>
    <row r="47" spans="1:6" x14ac:dyDescent="0.2">
      <c r="A47" s="84"/>
      <c r="B47" s="84"/>
      <c r="C47" s="84"/>
      <c r="D47" s="84"/>
      <c r="E47" s="53"/>
      <c r="F47" s="53"/>
    </row>
    <row r="48" spans="1:6" s="84" customFormat="1" x14ac:dyDescent="0.2">
      <c r="A48" s="27" t="s">
        <v>109</v>
      </c>
      <c r="D48" s="86"/>
      <c r="E48" s="53"/>
      <c r="F48" s="53"/>
    </row>
    <row r="49" spans="1:6" s="84" customFormat="1" x14ac:dyDescent="0.2">
      <c r="A49" s="75" t="s">
        <v>727</v>
      </c>
      <c r="B49" s="76"/>
      <c r="C49" s="77" t="s">
        <v>728</v>
      </c>
      <c r="D49" s="77"/>
      <c r="E49" s="53"/>
      <c r="F49" s="53"/>
    </row>
    <row r="50" spans="1:6" s="84" customFormat="1" x14ac:dyDescent="0.2">
      <c r="A50" s="78"/>
      <c r="B50" s="78"/>
      <c r="C50" s="43" t="s">
        <v>729</v>
      </c>
      <c r="D50" s="43" t="s">
        <v>730</v>
      </c>
      <c r="E50" s="53"/>
      <c r="F50" s="53"/>
    </row>
    <row r="51" spans="1:6" s="84" customFormat="1" x14ac:dyDescent="0.2">
      <c r="A51" s="44" t="s">
        <v>721</v>
      </c>
      <c r="B51" s="45"/>
      <c r="C51" s="79">
        <v>0.25004430319999998</v>
      </c>
      <c r="D51" s="79">
        <v>0.23154227139999994</v>
      </c>
      <c r="E51" s="53"/>
      <c r="F51" s="53"/>
    </row>
    <row r="52" spans="1:6" s="84" customFormat="1" x14ac:dyDescent="0.2">
      <c r="A52" s="44" t="s">
        <v>719</v>
      </c>
      <c r="B52" s="45"/>
      <c r="C52" s="79">
        <v>0.26969100470000013</v>
      </c>
      <c r="D52" s="79">
        <v>0.24973521420000003</v>
      </c>
      <c r="E52" s="53"/>
      <c r="F52" s="53"/>
    </row>
    <row r="53" spans="1:6" x14ac:dyDescent="0.2">
      <c r="A53" s="84"/>
      <c r="B53" s="84"/>
      <c r="C53" s="84"/>
      <c r="D53" s="84"/>
      <c r="E53" s="53"/>
      <c r="F53" s="53"/>
    </row>
    <row r="54" spans="1:6" x14ac:dyDescent="0.2">
      <c r="A54" s="27" t="s">
        <v>883</v>
      </c>
      <c r="B54" s="84"/>
      <c r="C54" s="84"/>
      <c r="D54" s="90">
        <v>1.32</v>
      </c>
      <c r="E54" s="53" t="s">
        <v>735</v>
      </c>
      <c r="F54" s="53"/>
    </row>
    <row r="55" spans="1:6" x14ac:dyDescent="0.2">
      <c r="A55" s="84"/>
      <c r="B55" s="84"/>
      <c r="C55" s="84"/>
      <c r="D55" s="84"/>
      <c r="E55" s="53"/>
      <c r="F55" s="53"/>
    </row>
  </sheetData>
  <mergeCells count="3">
    <mergeCell ref="A1:F1"/>
    <mergeCell ref="C49:D49"/>
    <mergeCell ref="A50:B5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3.7109375" style="2" bestFit="1" customWidth="1"/>
    <col min="3" max="3" width="29.14062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2" t="s">
        <v>1795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1597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7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6" t="s">
        <v>117</v>
      </c>
      <c r="B7" s="66" t="s">
        <v>118</v>
      </c>
      <c r="C7" s="66" t="s">
        <v>11</v>
      </c>
      <c r="D7" s="66">
        <v>1747178</v>
      </c>
      <c r="E7" s="7">
        <v>10932.966334999999</v>
      </c>
      <c r="F7" s="7">
        <v>5.6337055101435496</v>
      </c>
    </row>
    <row r="8" spans="1:6" x14ac:dyDescent="0.2">
      <c r="A8" s="66" t="s">
        <v>9</v>
      </c>
      <c r="B8" s="66" t="s">
        <v>10</v>
      </c>
      <c r="C8" s="66" t="s">
        <v>11</v>
      </c>
      <c r="D8" s="66">
        <v>494434</v>
      </c>
      <c r="E8" s="7">
        <v>10523.780473000001</v>
      </c>
      <c r="F8" s="7">
        <v>5.4228539832306302</v>
      </c>
    </row>
    <row r="9" spans="1:6" x14ac:dyDescent="0.2">
      <c r="A9" s="66" t="s">
        <v>192</v>
      </c>
      <c r="B9" s="66" t="s">
        <v>193</v>
      </c>
      <c r="C9" s="66" t="s">
        <v>11</v>
      </c>
      <c r="D9" s="66">
        <v>559760</v>
      </c>
      <c r="E9" s="7">
        <v>6907.15852</v>
      </c>
      <c r="F9" s="7">
        <v>3.5592259064208398</v>
      </c>
    </row>
    <row r="10" spans="1:6" x14ac:dyDescent="0.2">
      <c r="A10" s="66" t="s">
        <v>18</v>
      </c>
      <c r="B10" s="66" t="s">
        <v>19</v>
      </c>
      <c r="C10" s="66" t="s">
        <v>20</v>
      </c>
      <c r="D10" s="66">
        <v>3044188</v>
      </c>
      <c r="E10" s="7">
        <v>6885.9532559999998</v>
      </c>
      <c r="F10" s="7">
        <v>3.5482989348213398</v>
      </c>
    </row>
    <row r="11" spans="1:6" x14ac:dyDescent="0.2">
      <c r="A11" s="66" t="s">
        <v>190</v>
      </c>
      <c r="B11" s="66" t="s">
        <v>191</v>
      </c>
      <c r="C11" s="66" t="s">
        <v>35</v>
      </c>
      <c r="D11" s="66">
        <v>821320</v>
      </c>
      <c r="E11" s="7">
        <v>6495.81988</v>
      </c>
      <c r="F11" s="7">
        <v>3.3472650632520198</v>
      </c>
    </row>
    <row r="12" spans="1:6" x14ac:dyDescent="0.2">
      <c r="A12" s="66" t="s">
        <v>115</v>
      </c>
      <c r="B12" s="66" t="s">
        <v>116</v>
      </c>
      <c r="C12" s="66" t="s">
        <v>11</v>
      </c>
      <c r="D12" s="66">
        <v>1506302</v>
      </c>
      <c r="E12" s="7">
        <v>5349.6315530000002</v>
      </c>
      <c r="F12" s="7">
        <v>2.75663967434817</v>
      </c>
    </row>
    <row r="13" spans="1:6" x14ac:dyDescent="0.2">
      <c r="A13" s="66" t="s">
        <v>238</v>
      </c>
      <c r="B13" s="66" t="s">
        <v>239</v>
      </c>
      <c r="C13" s="66" t="s">
        <v>52</v>
      </c>
      <c r="D13" s="66">
        <v>600350</v>
      </c>
      <c r="E13" s="7">
        <v>5200.5318749999997</v>
      </c>
      <c r="F13" s="7">
        <v>2.6798093200078101</v>
      </c>
    </row>
    <row r="14" spans="1:6" x14ac:dyDescent="0.2">
      <c r="A14" s="66" t="s">
        <v>185</v>
      </c>
      <c r="B14" s="66" t="s">
        <v>186</v>
      </c>
      <c r="C14" s="66" t="s">
        <v>76</v>
      </c>
      <c r="D14" s="66">
        <v>763784</v>
      </c>
      <c r="E14" s="7">
        <v>5097.8763079999999</v>
      </c>
      <c r="F14" s="7">
        <v>2.6269113949860001</v>
      </c>
    </row>
    <row r="15" spans="1:6" x14ac:dyDescent="0.2">
      <c r="A15" s="66" t="s">
        <v>166</v>
      </c>
      <c r="B15" s="66" t="s">
        <v>167</v>
      </c>
      <c r="C15" s="66" t="s">
        <v>130</v>
      </c>
      <c r="D15" s="66">
        <v>2508769</v>
      </c>
      <c r="E15" s="7">
        <v>4519.5473535000001</v>
      </c>
      <c r="F15" s="7">
        <v>2.32890123765003</v>
      </c>
    </row>
    <row r="16" spans="1:6" x14ac:dyDescent="0.2">
      <c r="A16" s="66" t="s">
        <v>194</v>
      </c>
      <c r="B16" s="66" t="s">
        <v>195</v>
      </c>
      <c r="C16" s="66" t="s">
        <v>150</v>
      </c>
      <c r="D16" s="66">
        <v>154688</v>
      </c>
      <c r="E16" s="7">
        <v>4210.9167360000001</v>
      </c>
      <c r="F16" s="7">
        <v>2.16986534957248</v>
      </c>
    </row>
    <row r="17" spans="1:6" x14ac:dyDescent="0.2">
      <c r="A17" s="66" t="s">
        <v>121</v>
      </c>
      <c r="B17" s="66" t="s">
        <v>122</v>
      </c>
      <c r="C17" s="66" t="s">
        <v>123</v>
      </c>
      <c r="D17" s="66">
        <v>2637936</v>
      </c>
      <c r="E17" s="7">
        <v>3550.6618560000002</v>
      </c>
      <c r="F17" s="7">
        <v>1.8296391528039699</v>
      </c>
    </row>
    <row r="18" spans="1:6" x14ac:dyDescent="0.2">
      <c r="A18" s="66" t="s">
        <v>234</v>
      </c>
      <c r="B18" s="66" t="s">
        <v>235</v>
      </c>
      <c r="C18" s="66" t="s">
        <v>79</v>
      </c>
      <c r="D18" s="66">
        <v>276850</v>
      </c>
      <c r="E18" s="7">
        <v>3376.6010249999999</v>
      </c>
      <c r="F18" s="7">
        <v>1.73994643514091</v>
      </c>
    </row>
    <row r="19" spans="1:6" x14ac:dyDescent="0.2">
      <c r="A19" s="66" t="s">
        <v>136</v>
      </c>
      <c r="B19" s="66" t="s">
        <v>137</v>
      </c>
      <c r="C19" s="66" t="s">
        <v>135</v>
      </c>
      <c r="D19" s="66">
        <v>1446976</v>
      </c>
      <c r="E19" s="7">
        <v>3099.4225919999999</v>
      </c>
      <c r="F19" s="7">
        <v>1.5971177080198899</v>
      </c>
    </row>
    <row r="20" spans="1:6" x14ac:dyDescent="0.2">
      <c r="A20" s="66" t="s">
        <v>252</v>
      </c>
      <c r="B20" s="66" t="s">
        <v>253</v>
      </c>
      <c r="C20" s="66" t="s">
        <v>79</v>
      </c>
      <c r="D20" s="66">
        <v>28764</v>
      </c>
      <c r="E20" s="7">
        <v>3096.4014539999998</v>
      </c>
      <c r="F20" s="7">
        <v>1.59556092998948</v>
      </c>
    </row>
    <row r="21" spans="1:6" x14ac:dyDescent="0.2">
      <c r="A21" s="66" t="s">
        <v>200</v>
      </c>
      <c r="B21" s="66" t="s">
        <v>201</v>
      </c>
      <c r="C21" s="66" t="s">
        <v>76</v>
      </c>
      <c r="D21" s="66">
        <v>437745</v>
      </c>
      <c r="E21" s="7">
        <v>3090.2608274999998</v>
      </c>
      <c r="F21" s="7">
        <v>1.5923966943841801</v>
      </c>
    </row>
    <row r="22" spans="1:6" x14ac:dyDescent="0.2">
      <c r="A22" s="66" t="s">
        <v>119</v>
      </c>
      <c r="B22" s="66" t="s">
        <v>120</v>
      </c>
      <c r="C22" s="66" t="s">
        <v>29</v>
      </c>
      <c r="D22" s="66">
        <v>985150</v>
      </c>
      <c r="E22" s="7">
        <v>3088.4452500000002</v>
      </c>
      <c r="F22" s="7">
        <v>1.5914611359408</v>
      </c>
    </row>
    <row r="23" spans="1:6" x14ac:dyDescent="0.2">
      <c r="A23" s="66" t="s">
        <v>128</v>
      </c>
      <c r="B23" s="66" t="s">
        <v>129</v>
      </c>
      <c r="C23" s="66" t="s">
        <v>130</v>
      </c>
      <c r="D23" s="66">
        <v>2093346</v>
      </c>
      <c r="E23" s="7">
        <v>2936.964438</v>
      </c>
      <c r="F23" s="7">
        <v>1.5134037945847401</v>
      </c>
    </row>
    <row r="24" spans="1:6" x14ac:dyDescent="0.2">
      <c r="A24" s="66" t="s">
        <v>113</v>
      </c>
      <c r="B24" s="66" t="s">
        <v>114</v>
      </c>
      <c r="C24" s="66" t="s">
        <v>11</v>
      </c>
      <c r="D24" s="66">
        <v>1001388</v>
      </c>
      <c r="E24" s="7">
        <v>2850.4509419999999</v>
      </c>
      <c r="F24" s="7">
        <v>1.4688238019109601</v>
      </c>
    </row>
    <row r="25" spans="1:6" x14ac:dyDescent="0.2">
      <c r="A25" s="66" t="s">
        <v>240</v>
      </c>
      <c r="B25" s="66" t="s">
        <v>241</v>
      </c>
      <c r="C25" s="66" t="s">
        <v>135</v>
      </c>
      <c r="D25" s="66">
        <v>1516102</v>
      </c>
      <c r="E25" s="7">
        <v>2837.3848929999999</v>
      </c>
      <c r="F25" s="7">
        <v>1.4620909290572801</v>
      </c>
    </row>
    <row r="26" spans="1:6" x14ac:dyDescent="0.2">
      <c r="A26" s="66" t="s">
        <v>222</v>
      </c>
      <c r="B26" s="66" t="s">
        <v>223</v>
      </c>
      <c r="C26" s="66" t="s">
        <v>224</v>
      </c>
      <c r="D26" s="66">
        <v>535077</v>
      </c>
      <c r="E26" s="7">
        <v>2833.2327150000001</v>
      </c>
      <c r="F26" s="7">
        <v>1.45995133149877</v>
      </c>
    </row>
    <row r="27" spans="1:6" x14ac:dyDescent="0.2">
      <c r="A27" s="66" t="s">
        <v>278</v>
      </c>
      <c r="B27" s="66" t="s">
        <v>279</v>
      </c>
      <c r="C27" s="66" t="s">
        <v>123</v>
      </c>
      <c r="D27" s="66">
        <v>998372</v>
      </c>
      <c r="E27" s="7">
        <v>2319.7173419999999</v>
      </c>
      <c r="F27" s="7">
        <v>1.1953393041890299</v>
      </c>
    </row>
    <row r="28" spans="1:6" x14ac:dyDescent="0.2">
      <c r="A28" s="66" t="s">
        <v>12</v>
      </c>
      <c r="B28" s="66" t="s">
        <v>13</v>
      </c>
      <c r="C28" s="66" t="s">
        <v>14</v>
      </c>
      <c r="D28" s="66">
        <v>1583382</v>
      </c>
      <c r="E28" s="7">
        <v>2284.0285349999999</v>
      </c>
      <c r="F28" s="7">
        <v>1.1769490318250899</v>
      </c>
    </row>
    <row r="29" spans="1:6" x14ac:dyDescent="0.2">
      <c r="A29" s="66" t="s">
        <v>214</v>
      </c>
      <c r="B29" s="66" t="s">
        <v>215</v>
      </c>
      <c r="C29" s="66" t="s">
        <v>79</v>
      </c>
      <c r="D29" s="66">
        <v>178251</v>
      </c>
      <c r="E29" s="7">
        <v>2210.134149</v>
      </c>
      <c r="F29" s="7">
        <v>1.13887160646578</v>
      </c>
    </row>
    <row r="30" spans="1:6" x14ac:dyDescent="0.2">
      <c r="A30" s="66" t="s">
        <v>227</v>
      </c>
      <c r="B30" s="66" t="s">
        <v>228</v>
      </c>
      <c r="C30" s="66" t="s">
        <v>17</v>
      </c>
      <c r="D30" s="66">
        <v>1164796</v>
      </c>
      <c r="E30" s="7">
        <v>2108.8631580000001</v>
      </c>
      <c r="F30" s="7">
        <v>1.08668714686601</v>
      </c>
    </row>
    <row r="31" spans="1:6" x14ac:dyDescent="0.2">
      <c r="A31" s="66" t="s">
        <v>288</v>
      </c>
      <c r="B31" s="66" t="s">
        <v>289</v>
      </c>
      <c r="C31" s="66" t="s">
        <v>290</v>
      </c>
      <c r="D31" s="66">
        <v>921918</v>
      </c>
      <c r="E31" s="7">
        <v>1982.5846590000001</v>
      </c>
      <c r="F31" s="7">
        <v>1.0216164374326999</v>
      </c>
    </row>
    <row r="32" spans="1:6" x14ac:dyDescent="0.2">
      <c r="A32" s="66" t="s">
        <v>33</v>
      </c>
      <c r="B32" s="66" t="s">
        <v>34</v>
      </c>
      <c r="C32" s="66" t="s">
        <v>35</v>
      </c>
      <c r="D32" s="66">
        <v>1081483</v>
      </c>
      <c r="E32" s="7">
        <v>1859.6100185</v>
      </c>
      <c r="F32" s="7">
        <v>0.95824819055766297</v>
      </c>
    </row>
    <row r="33" spans="1:10" x14ac:dyDescent="0.2">
      <c r="A33" s="66" t="s">
        <v>225</v>
      </c>
      <c r="B33" s="66" t="s">
        <v>226</v>
      </c>
      <c r="C33" s="66" t="s">
        <v>189</v>
      </c>
      <c r="D33" s="66">
        <v>324626</v>
      </c>
      <c r="E33" s="7">
        <v>1798.265727</v>
      </c>
      <c r="F33" s="7">
        <v>0.92663776915418405</v>
      </c>
    </row>
    <row r="34" spans="1:10" x14ac:dyDescent="0.2">
      <c r="A34" s="66" t="s">
        <v>250</v>
      </c>
      <c r="B34" s="66" t="s">
        <v>251</v>
      </c>
      <c r="C34" s="66" t="s">
        <v>32</v>
      </c>
      <c r="D34" s="66">
        <v>196933</v>
      </c>
      <c r="E34" s="7">
        <v>1785.197645</v>
      </c>
      <c r="F34" s="7">
        <v>0.91990384870528197</v>
      </c>
    </row>
    <row r="35" spans="1:10" x14ac:dyDescent="0.2">
      <c r="A35" s="66" t="s">
        <v>268</v>
      </c>
      <c r="B35" s="66" t="s">
        <v>269</v>
      </c>
      <c r="C35" s="66" t="s">
        <v>246</v>
      </c>
      <c r="D35" s="66">
        <v>180000</v>
      </c>
      <c r="E35" s="7">
        <v>1728.72</v>
      </c>
      <c r="F35" s="7">
        <v>0.89080118707740896</v>
      </c>
    </row>
    <row r="36" spans="1:10" x14ac:dyDescent="0.2">
      <c r="A36" s="66" t="s">
        <v>282</v>
      </c>
      <c r="B36" s="66" t="s">
        <v>283</v>
      </c>
      <c r="C36" s="66" t="s">
        <v>246</v>
      </c>
      <c r="D36" s="66">
        <v>219383</v>
      </c>
      <c r="E36" s="7">
        <v>1555.9739274999999</v>
      </c>
      <c r="F36" s="7">
        <v>0.80178595821098797</v>
      </c>
    </row>
    <row r="37" spans="1:10" x14ac:dyDescent="0.2">
      <c r="A37" s="66" t="s">
        <v>204</v>
      </c>
      <c r="B37" s="66" t="s">
        <v>205</v>
      </c>
      <c r="C37" s="66" t="s">
        <v>35</v>
      </c>
      <c r="D37" s="66">
        <v>51783</v>
      </c>
      <c r="E37" s="7">
        <v>1421.8058309999999</v>
      </c>
      <c r="F37" s="7">
        <v>0.73264977674139398</v>
      </c>
    </row>
    <row r="38" spans="1:10" x14ac:dyDescent="0.2">
      <c r="A38" s="66" t="s">
        <v>274</v>
      </c>
      <c r="B38" s="66" t="s">
        <v>275</v>
      </c>
      <c r="C38" s="66" t="s">
        <v>65</v>
      </c>
      <c r="D38" s="66">
        <v>1265151</v>
      </c>
      <c r="E38" s="7">
        <v>1414.4388180000001</v>
      </c>
      <c r="F38" s="7">
        <v>0.72885359001039396</v>
      </c>
    </row>
    <row r="39" spans="1:10" x14ac:dyDescent="0.2">
      <c r="A39" s="66" t="s">
        <v>403</v>
      </c>
      <c r="B39" s="66" t="s">
        <v>404</v>
      </c>
      <c r="C39" s="66" t="s">
        <v>95</v>
      </c>
      <c r="D39" s="66">
        <v>147561</v>
      </c>
      <c r="E39" s="7">
        <v>1368.038031</v>
      </c>
      <c r="F39" s="7">
        <v>0.70494348534282103</v>
      </c>
    </row>
    <row r="40" spans="1:10" x14ac:dyDescent="0.2">
      <c r="A40" s="66" t="s">
        <v>210</v>
      </c>
      <c r="B40" s="66" t="s">
        <v>211</v>
      </c>
      <c r="C40" s="66" t="s">
        <v>150</v>
      </c>
      <c r="D40" s="66">
        <v>374001</v>
      </c>
      <c r="E40" s="7">
        <v>1366.225653</v>
      </c>
      <c r="F40" s="7">
        <v>0.70400957558656596</v>
      </c>
    </row>
    <row r="41" spans="1:10" x14ac:dyDescent="0.2">
      <c r="A41" s="66" t="s">
        <v>458</v>
      </c>
      <c r="B41" s="66" t="s">
        <v>459</v>
      </c>
      <c r="C41" s="66" t="s">
        <v>79</v>
      </c>
      <c r="D41" s="66">
        <v>100000</v>
      </c>
      <c r="E41" s="7">
        <v>1345.95</v>
      </c>
      <c r="F41" s="7">
        <v>0.69356162811030098</v>
      </c>
    </row>
    <row r="42" spans="1:10" x14ac:dyDescent="0.2">
      <c r="A42" s="66" t="s">
        <v>124</v>
      </c>
      <c r="B42" s="66" t="s">
        <v>125</v>
      </c>
      <c r="C42" s="66" t="s">
        <v>123</v>
      </c>
      <c r="D42" s="66">
        <v>398568</v>
      </c>
      <c r="E42" s="7">
        <v>1292.954592</v>
      </c>
      <c r="F42" s="7">
        <v>0.66625334663264602</v>
      </c>
    </row>
    <row r="43" spans="1:10" x14ac:dyDescent="0.2">
      <c r="A43" s="66" t="s">
        <v>258</v>
      </c>
      <c r="B43" s="66" t="s">
        <v>259</v>
      </c>
      <c r="C43" s="66" t="s">
        <v>26</v>
      </c>
      <c r="D43" s="66">
        <v>377910</v>
      </c>
      <c r="E43" s="7">
        <v>977.84212500000001</v>
      </c>
      <c r="F43" s="7">
        <v>0.50387739236215001</v>
      </c>
    </row>
    <row r="44" spans="1:10" x14ac:dyDescent="0.2">
      <c r="A44" s="66" t="s">
        <v>272</v>
      </c>
      <c r="B44" s="66" t="s">
        <v>273</v>
      </c>
      <c r="C44" s="66" t="s">
        <v>11</v>
      </c>
      <c r="D44" s="66">
        <v>389628</v>
      </c>
      <c r="E44" s="7">
        <v>895.36514399999999</v>
      </c>
      <c r="F44" s="7">
        <v>0.46137739665355598</v>
      </c>
    </row>
    <row r="45" spans="1:10" x14ac:dyDescent="0.2">
      <c r="A45" s="66" t="s">
        <v>244</v>
      </c>
      <c r="B45" s="66" t="s">
        <v>245</v>
      </c>
      <c r="C45" s="66" t="s">
        <v>246</v>
      </c>
      <c r="D45" s="66">
        <v>64527</v>
      </c>
      <c r="E45" s="7">
        <v>336.08887950000002</v>
      </c>
      <c r="F45" s="7">
        <v>0.173184999781408</v>
      </c>
    </row>
    <row r="46" spans="1:10" x14ac:dyDescent="0.2">
      <c r="A46" s="66" t="s">
        <v>631</v>
      </c>
      <c r="B46" s="66" t="s">
        <v>632</v>
      </c>
      <c r="C46" s="66" t="s">
        <v>294</v>
      </c>
      <c r="D46" s="66">
        <v>270000</v>
      </c>
      <c r="E46" s="7">
        <v>2.7E-2</v>
      </c>
      <c r="F46" s="74" t="s">
        <v>1485</v>
      </c>
    </row>
    <row r="47" spans="1:10" x14ac:dyDescent="0.2">
      <c r="A47" s="66" t="s">
        <v>322</v>
      </c>
      <c r="B47" s="66" t="s">
        <v>323</v>
      </c>
      <c r="C47" s="66" t="s">
        <v>294</v>
      </c>
      <c r="D47" s="66">
        <v>27500</v>
      </c>
      <c r="E47" s="7">
        <v>2.7499999999999998E-3</v>
      </c>
      <c r="F47" s="74" t="s">
        <v>1485</v>
      </c>
    </row>
    <row r="48" spans="1:10" x14ac:dyDescent="0.2">
      <c r="A48" s="65" t="s">
        <v>39</v>
      </c>
      <c r="B48" s="66"/>
      <c r="C48" s="66"/>
      <c r="D48" s="66"/>
      <c r="E48" s="6">
        <f>SUM(E7:E47)</f>
        <v>126935.84226650001</v>
      </c>
      <c r="F48" s="6">
        <f>SUM(F7:F47)</f>
        <v>65.409419959469233</v>
      </c>
      <c r="I48" s="1"/>
      <c r="J48" s="1"/>
    </row>
    <row r="49" spans="1:6" x14ac:dyDescent="0.2">
      <c r="A49" s="66"/>
      <c r="B49" s="66"/>
      <c r="C49" s="66"/>
      <c r="D49" s="66"/>
      <c r="E49" s="7"/>
      <c r="F49" s="7"/>
    </row>
    <row r="50" spans="1:6" x14ac:dyDescent="0.2">
      <c r="A50" s="65" t="s">
        <v>419</v>
      </c>
      <c r="B50" s="66"/>
      <c r="C50" s="66"/>
      <c r="D50" s="66"/>
      <c r="E50" s="7"/>
      <c r="F50" s="7"/>
    </row>
    <row r="51" spans="1:6" x14ac:dyDescent="0.2">
      <c r="A51" s="65" t="s">
        <v>8</v>
      </c>
      <c r="B51" s="66"/>
      <c r="C51" s="66"/>
      <c r="D51" s="66"/>
      <c r="E51" s="7"/>
      <c r="F51" s="7"/>
    </row>
    <row r="52" spans="1:6" x14ac:dyDescent="0.2">
      <c r="A52" s="65"/>
      <c r="B52" s="66"/>
      <c r="C52" s="66"/>
      <c r="D52" s="66"/>
      <c r="E52" s="7"/>
      <c r="F52" s="7"/>
    </row>
    <row r="53" spans="1:6" x14ac:dyDescent="0.2">
      <c r="A53" s="66" t="s">
        <v>802</v>
      </c>
      <c r="B53" s="66" t="s">
        <v>803</v>
      </c>
      <c r="C53" s="66" t="s">
        <v>750</v>
      </c>
      <c r="D53" s="66">
        <v>1000</v>
      </c>
      <c r="E53" s="7">
        <v>9953.18</v>
      </c>
      <c r="F53" s="7">
        <v>5.12882627562308</v>
      </c>
    </row>
    <row r="54" spans="1:6" x14ac:dyDescent="0.2">
      <c r="A54" s="66" t="s">
        <v>1600</v>
      </c>
      <c r="B54" s="66" t="s">
        <v>1601</v>
      </c>
      <c r="C54" s="66" t="s">
        <v>1146</v>
      </c>
      <c r="D54" s="66">
        <v>900</v>
      </c>
      <c r="E54" s="7">
        <v>9180.9</v>
      </c>
      <c r="F54" s="7">
        <v>4.7308740677721</v>
      </c>
    </row>
    <row r="55" spans="1:6" x14ac:dyDescent="0.2">
      <c r="A55" s="66" t="s">
        <v>1607</v>
      </c>
      <c r="B55" s="66" t="s">
        <v>1608</v>
      </c>
      <c r="C55" s="66" t="s">
        <v>1609</v>
      </c>
      <c r="D55" s="66">
        <v>900</v>
      </c>
      <c r="E55" s="7">
        <v>8817.75</v>
      </c>
      <c r="F55" s="7">
        <v>4.5437446014113503</v>
      </c>
    </row>
    <row r="56" spans="1:6" x14ac:dyDescent="0.2">
      <c r="A56" s="66" t="s">
        <v>1191</v>
      </c>
      <c r="B56" s="66" t="s">
        <v>1192</v>
      </c>
      <c r="C56" s="66" t="s">
        <v>429</v>
      </c>
      <c r="D56" s="66">
        <v>500</v>
      </c>
      <c r="E56" s="7">
        <v>4932.6549999999997</v>
      </c>
      <c r="F56" s="7">
        <v>2.5417736414476102</v>
      </c>
    </row>
    <row r="57" spans="1:6" x14ac:dyDescent="0.2">
      <c r="A57" s="66" t="s">
        <v>1128</v>
      </c>
      <c r="B57" s="66" t="s">
        <v>1129</v>
      </c>
      <c r="C57" s="66" t="s">
        <v>759</v>
      </c>
      <c r="D57" s="66">
        <v>450</v>
      </c>
      <c r="E57" s="7">
        <v>4486.1445000000003</v>
      </c>
      <c r="F57" s="7">
        <v>2.31168890624323</v>
      </c>
    </row>
    <row r="58" spans="1:6" x14ac:dyDescent="0.2">
      <c r="A58" s="66" t="s">
        <v>1598</v>
      </c>
      <c r="B58" s="66" t="s">
        <v>1599</v>
      </c>
      <c r="C58" s="66" t="s">
        <v>799</v>
      </c>
      <c r="D58" s="66">
        <v>350</v>
      </c>
      <c r="E58" s="7">
        <v>3463.9045000000001</v>
      </c>
      <c r="F58" s="7">
        <v>1.78493350023299</v>
      </c>
    </row>
    <row r="59" spans="1:6" x14ac:dyDescent="0.2">
      <c r="A59" s="66" t="s">
        <v>1614</v>
      </c>
      <c r="B59" s="66" t="s">
        <v>1615</v>
      </c>
      <c r="C59" s="66" t="s">
        <v>1158</v>
      </c>
      <c r="D59" s="66">
        <v>300</v>
      </c>
      <c r="E59" s="7">
        <v>2992.317</v>
      </c>
      <c r="F59" s="7">
        <v>1.54192670629825</v>
      </c>
    </row>
    <row r="60" spans="1:6" x14ac:dyDescent="0.2">
      <c r="A60" s="66" t="s">
        <v>1796</v>
      </c>
      <c r="B60" s="66" t="s">
        <v>1797</v>
      </c>
      <c r="C60" s="66" t="s">
        <v>1158</v>
      </c>
      <c r="D60" s="66">
        <v>250</v>
      </c>
      <c r="E60" s="7">
        <v>2439.36</v>
      </c>
      <c r="F60" s="7">
        <v>1.2569905963424699</v>
      </c>
    </row>
    <row r="61" spans="1:6" x14ac:dyDescent="0.2">
      <c r="A61" s="66" t="s">
        <v>1610</v>
      </c>
      <c r="B61" s="66" t="s">
        <v>1611</v>
      </c>
      <c r="C61" s="66" t="s">
        <v>421</v>
      </c>
      <c r="D61" s="66">
        <v>210</v>
      </c>
      <c r="E61" s="7">
        <v>1950.3308999999999</v>
      </c>
      <c r="F61" s="7">
        <v>1.0049962289519101</v>
      </c>
    </row>
    <row r="62" spans="1:6" x14ac:dyDescent="0.2">
      <c r="A62" s="66" t="s">
        <v>1612</v>
      </c>
      <c r="B62" s="66" t="s">
        <v>1613</v>
      </c>
      <c r="C62" s="66" t="s">
        <v>421</v>
      </c>
      <c r="D62" s="66">
        <v>160</v>
      </c>
      <c r="E62" s="7">
        <v>1621.0319999999999</v>
      </c>
      <c r="F62" s="7">
        <v>0.83531007328570706</v>
      </c>
    </row>
    <row r="63" spans="1:6" x14ac:dyDescent="0.2">
      <c r="A63" s="66" t="s">
        <v>1602</v>
      </c>
      <c r="B63" s="66" t="s">
        <v>1603</v>
      </c>
      <c r="C63" s="66" t="s">
        <v>429</v>
      </c>
      <c r="D63" s="66">
        <v>150</v>
      </c>
      <c r="E63" s="7">
        <v>1465.1759999999999</v>
      </c>
      <c r="F63" s="7">
        <v>0.75499821837968595</v>
      </c>
    </row>
    <row r="64" spans="1:6" x14ac:dyDescent="0.2">
      <c r="A64" s="66" t="s">
        <v>1616</v>
      </c>
      <c r="B64" s="66" t="s">
        <v>1617</v>
      </c>
      <c r="C64" s="66" t="s">
        <v>421</v>
      </c>
      <c r="D64" s="66">
        <v>110</v>
      </c>
      <c r="E64" s="7">
        <v>1098.1035999999999</v>
      </c>
      <c r="F64" s="7">
        <v>0.56584755797004505</v>
      </c>
    </row>
    <row r="65" spans="1:10" x14ac:dyDescent="0.2">
      <c r="A65" s="66" t="s">
        <v>423</v>
      </c>
      <c r="B65" s="66" t="s">
        <v>710</v>
      </c>
      <c r="C65" s="66" t="s">
        <v>424</v>
      </c>
      <c r="D65" s="66">
        <v>20</v>
      </c>
      <c r="E65" s="7">
        <v>193.8134</v>
      </c>
      <c r="F65" s="7">
        <v>9.9871122444067706E-2</v>
      </c>
    </row>
    <row r="66" spans="1:10" x14ac:dyDescent="0.2">
      <c r="A66" s="65" t="s">
        <v>39</v>
      </c>
      <c r="B66" s="66"/>
      <c r="C66" s="66"/>
      <c r="D66" s="66"/>
      <c r="E66" s="6">
        <f>SUM(E53:E65)</f>
        <v>52594.666900000004</v>
      </c>
      <c r="F66" s="6">
        <f>SUM(F53:F65)</f>
        <v>27.101781496402495</v>
      </c>
      <c r="I66" s="1"/>
      <c r="J66" s="1"/>
    </row>
    <row r="67" spans="1:10" x14ac:dyDescent="0.2">
      <c r="A67" s="66"/>
      <c r="B67" s="66"/>
      <c r="C67" s="66"/>
      <c r="D67" s="66"/>
      <c r="E67" s="7"/>
      <c r="F67" s="7"/>
    </row>
    <row r="68" spans="1:10" x14ac:dyDescent="0.2">
      <c r="A68" s="65" t="s">
        <v>822</v>
      </c>
      <c r="B68" s="66"/>
      <c r="C68" s="66"/>
      <c r="D68" s="66"/>
      <c r="E68" s="7"/>
      <c r="F68" s="7"/>
    </row>
    <row r="69" spans="1:10" x14ac:dyDescent="0.2">
      <c r="A69" s="66" t="s">
        <v>1289</v>
      </c>
      <c r="B69" s="66" t="s">
        <v>1290</v>
      </c>
      <c r="C69" s="66" t="s">
        <v>842</v>
      </c>
      <c r="D69" s="66">
        <v>200</v>
      </c>
      <c r="E69" s="7">
        <v>1998.502</v>
      </c>
      <c r="F69" s="7">
        <v>1.0298185674814799</v>
      </c>
    </row>
    <row r="70" spans="1:10" x14ac:dyDescent="0.2">
      <c r="A70" s="66" t="s">
        <v>1307</v>
      </c>
      <c r="B70" s="66" t="s">
        <v>1308</v>
      </c>
      <c r="C70" s="66" t="s">
        <v>799</v>
      </c>
      <c r="D70" s="66">
        <v>14</v>
      </c>
      <c r="E70" s="7">
        <v>1613.7632000000001</v>
      </c>
      <c r="F70" s="7">
        <v>0.83156449524610099</v>
      </c>
    </row>
    <row r="71" spans="1:10" x14ac:dyDescent="0.2">
      <c r="A71" s="65" t="s">
        <v>39</v>
      </c>
      <c r="B71" s="66"/>
      <c r="C71" s="66"/>
      <c r="D71" s="66"/>
      <c r="E71" s="6">
        <f>SUM(E69:E70)</f>
        <v>3612.2651999999998</v>
      </c>
      <c r="F71" s="6">
        <f>SUM(F69:F70)</f>
        <v>1.8613830627275809</v>
      </c>
      <c r="I71" s="1"/>
      <c r="J71" s="1"/>
    </row>
    <row r="72" spans="1:10" x14ac:dyDescent="0.2">
      <c r="A72" s="66"/>
      <c r="B72" s="66"/>
      <c r="C72" s="66"/>
      <c r="D72" s="66"/>
      <c r="E72" s="7"/>
      <c r="F72" s="7"/>
    </row>
    <row r="73" spans="1:10" x14ac:dyDescent="0.2">
      <c r="A73" s="65" t="s">
        <v>703</v>
      </c>
      <c r="B73" s="66"/>
      <c r="C73" s="66"/>
      <c r="D73" s="66"/>
      <c r="E73" s="7"/>
      <c r="F73" s="7"/>
    </row>
    <row r="74" spans="1:10" x14ac:dyDescent="0.2">
      <c r="A74" s="66" t="s">
        <v>1346</v>
      </c>
      <c r="B74" s="66" t="s">
        <v>1347</v>
      </c>
      <c r="C74" s="66" t="s">
        <v>1312</v>
      </c>
      <c r="D74" s="66">
        <v>200</v>
      </c>
      <c r="E74" s="7">
        <v>987.50400000000002</v>
      </c>
      <c r="F74" s="7">
        <v>0.50885611055792201</v>
      </c>
    </row>
    <row r="75" spans="1:10" x14ac:dyDescent="0.2">
      <c r="A75" s="65" t="s">
        <v>39</v>
      </c>
      <c r="B75" s="66"/>
      <c r="C75" s="66"/>
      <c r="D75" s="66"/>
      <c r="E75" s="6">
        <f>SUM(E74:E74)</f>
        <v>987.50400000000002</v>
      </c>
      <c r="F75" s="6">
        <f>SUM(F74:F74)</f>
        <v>0.50885611055792201</v>
      </c>
      <c r="I75" s="1"/>
      <c r="J75" s="1"/>
    </row>
    <row r="76" spans="1:10" x14ac:dyDescent="0.2">
      <c r="A76" s="66"/>
      <c r="B76" s="66"/>
      <c r="C76" s="66"/>
      <c r="D76" s="66"/>
      <c r="E76" s="7"/>
      <c r="F76" s="7"/>
    </row>
    <row r="77" spans="1:10" x14ac:dyDescent="0.2">
      <c r="A77" s="65" t="s">
        <v>1619</v>
      </c>
      <c r="B77" s="66"/>
      <c r="C77" s="66"/>
      <c r="D77" s="66"/>
      <c r="E77" s="7"/>
      <c r="F77" s="7"/>
    </row>
    <row r="78" spans="1:10" x14ac:dyDescent="0.2">
      <c r="A78" s="66" t="s">
        <v>1620</v>
      </c>
      <c r="B78" s="66" t="s">
        <v>1621</v>
      </c>
      <c r="C78" s="66" t="s">
        <v>1622</v>
      </c>
      <c r="D78" s="66">
        <v>5200000</v>
      </c>
      <c r="E78" s="7">
        <v>5052.2367999999997</v>
      </c>
      <c r="F78" s="7">
        <v>2.6033935737633498</v>
      </c>
    </row>
    <row r="79" spans="1:10" x14ac:dyDescent="0.2">
      <c r="A79" s="66" t="s">
        <v>1623</v>
      </c>
      <c r="B79" s="66" t="s">
        <v>1624</v>
      </c>
      <c r="C79" s="66" t="s">
        <v>1622</v>
      </c>
      <c r="D79" s="66">
        <v>500000</v>
      </c>
      <c r="E79" s="7">
        <v>498.14949999999999</v>
      </c>
      <c r="F79" s="7">
        <v>0.25669406609631301</v>
      </c>
    </row>
    <row r="80" spans="1:10" x14ac:dyDescent="0.2">
      <c r="A80" s="65" t="s">
        <v>39</v>
      </c>
      <c r="B80" s="66"/>
      <c r="C80" s="66"/>
      <c r="D80" s="66"/>
      <c r="E80" s="6">
        <f>SUM(E78:E79)</f>
        <v>5550.3863000000001</v>
      </c>
      <c r="F80" s="6">
        <f>SUM(F78:F79)</f>
        <v>2.8600876398596626</v>
      </c>
      <c r="I80" s="1"/>
      <c r="J80" s="1"/>
    </row>
    <row r="81" spans="1:10" x14ac:dyDescent="0.2">
      <c r="A81" s="66"/>
      <c r="B81" s="66"/>
      <c r="C81" s="66"/>
      <c r="D81" s="66"/>
      <c r="E81" s="7"/>
      <c r="F81" s="7"/>
    </row>
    <row r="82" spans="1:10" x14ac:dyDescent="0.2">
      <c r="A82" s="65" t="s">
        <v>39</v>
      </c>
      <c r="B82" s="66"/>
      <c r="C82" s="66"/>
      <c r="D82" s="66"/>
      <c r="E82" s="6">
        <v>189680.6646665</v>
      </c>
      <c r="F82" s="6">
        <v>97.741543599050331</v>
      </c>
      <c r="I82" s="1"/>
      <c r="J82" s="1"/>
    </row>
    <row r="83" spans="1:10" x14ac:dyDescent="0.2">
      <c r="A83" s="66"/>
      <c r="B83" s="66"/>
      <c r="C83" s="66"/>
      <c r="D83" s="66"/>
      <c r="E83" s="7"/>
      <c r="F83" s="7"/>
    </row>
    <row r="84" spans="1:10" x14ac:dyDescent="0.2">
      <c r="A84" s="65" t="s">
        <v>103</v>
      </c>
      <c r="B84" s="66"/>
      <c r="C84" s="66"/>
      <c r="D84" s="66"/>
      <c r="E84" s="6">
        <v>4382.8443012999996</v>
      </c>
      <c r="F84" s="6">
        <v>2.2599999999999998</v>
      </c>
      <c r="I84" s="1"/>
      <c r="J84" s="1"/>
    </row>
    <row r="85" spans="1:10" x14ac:dyDescent="0.2">
      <c r="A85" s="66"/>
      <c r="B85" s="66"/>
      <c r="C85" s="66"/>
      <c r="D85" s="66"/>
      <c r="E85" s="7"/>
      <c r="F85" s="7"/>
    </row>
    <row r="86" spans="1:10" x14ac:dyDescent="0.2">
      <c r="A86" s="68" t="s">
        <v>104</v>
      </c>
      <c r="B86" s="64"/>
      <c r="C86" s="64"/>
      <c r="D86" s="64"/>
      <c r="E86" s="8">
        <v>194063.50430130001</v>
      </c>
      <c r="F86" s="8">
        <f xml:space="preserve"> ROUND(SUM(F82:F85),2)</f>
        <v>100</v>
      </c>
      <c r="I86" s="1"/>
      <c r="J86" s="1"/>
    </row>
    <row r="87" spans="1:10" x14ac:dyDescent="0.2">
      <c r="A87" s="4" t="s">
        <v>714</v>
      </c>
      <c r="F87" s="9" t="s">
        <v>1559</v>
      </c>
    </row>
    <row r="88" spans="1:10" x14ac:dyDescent="0.2">
      <c r="F88" s="9"/>
    </row>
    <row r="89" spans="1:10" x14ac:dyDescent="0.2">
      <c r="A89" s="4" t="s">
        <v>105</v>
      </c>
    </row>
    <row r="90" spans="1:10" x14ac:dyDescent="0.2">
      <c r="A90" s="4" t="s">
        <v>106</v>
      </c>
    </row>
    <row r="91" spans="1:10" x14ac:dyDescent="0.2">
      <c r="A91" s="4" t="s">
        <v>107</v>
      </c>
    </row>
    <row r="92" spans="1:10" x14ac:dyDescent="0.2">
      <c r="A92" s="2" t="s">
        <v>722</v>
      </c>
      <c r="D92" s="10">
        <v>116.7526</v>
      </c>
    </row>
    <row r="93" spans="1:10" x14ac:dyDescent="0.2">
      <c r="A93" s="2" t="s">
        <v>719</v>
      </c>
      <c r="D93" s="10">
        <v>23.3</v>
      </c>
    </row>
    <row r="94" spans="1:10" x14ac:dyDescent="0.2">
      <c r="A94" s="2" t="s">
        <v>720</v>
      </c>
      <c r="D94" s="10">
        <v>123.7865</v>
      </c>
    </row>
    <row r="95" spans="1:10" x14ac:dyDescent="0.2">
      <c r="A95" s="2" t="s">
        <v>721</v>
      </c>
      <c r="D95" s="10">
        <v>21.653199999999998</v>
      </c>
    </row>
    <row r="97" spans="1:5" x14ac:dyDescent="0.2">
      <c r="A97" s="4" t="s">
        <v>108</v>
      </c>
    </row>
    <row r="98" spans="1:5" x14ac:dyDescent="0.2">
      <c r="A98" s="2" t="s">
        <v>721</v>
      </c>
      <c r="D98" s="10">
        <v>21.113199999999999</v>
      </c>
    </row>
    <row r="99" spans="1:5" x14ac:dyDescent="0.2">
      <c r="A99" s="2" t="s">
        <v>720</v>
      </c>
      <c r="D99" s="10">
        <v>121.4098</v>
      </c>
    </row>
    <row r="100" spans="1:5" x14ac:dyDescent="0.2">
      <c r="A100" s="2" t="s">
        <v>719</v>
      </c>
      <c r="D100" s="10">
        <v>22.8522</v>
      </c>
    </row>
    <row r="101" spans="1:5" x14ac:dyDescent="0.2">
      <c r="A101" s="2" t="s">
        <v>722</v>
      </c>
      <c r="D101" s="10">
        <v>113.8403</v>
      </c>
    </row>
    <row r="103" spans="1:5" x14ac:dyDescent="0.2">
      <c r="A103" s="4" t="s">
        <v>109</v>
      </c>
      <c r="D103" s="69" t="s">
        <v>110</v>
      </c>
    </row>
    <row r="105" spans="1:5" x14ac:dyDescent="0.2">
      <c r="A105" s="4" t="s">
        <v>883</v>
      </c>
      <c r="D105" s="70">
        <v>3.0363481951556897</v>
      </c>
      <c r="E105" s="1" t="s">
        <v>735</v>
      </c>
    </row>
    <row r="107" spans="1:5" x14ac:dyDescent="0.2">
      <c r="A107" s="93" t="s">
        <v>1798</v>
      </c>
      <c r="B107" s="40"/>
      <c r="D107" s="40">
        <v>0.59520070803714487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showGridLines="0" workbookViewId="0">
      <selection sqref="A1:F1"/>
    </sheetView>
  </sheetViews>
  <sheetFormatPr defaultRowHeight="11.25" x14ac:dyDescent="0.2"/>
  <cols>
    <col min="1" max="1" width="41.5703125" style="2" customWidth="1"/>
    <col min="2" max="2" width="47.7109375" style="2" bestFit="1" customWidth="1"/>
    <col min="3" max="3" width="18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2" t="s">
        <v>1799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1597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7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6" t="s">
        <v>9</v>
      </c>
      <c r="B7" s="66" t="s">
        <v>10</v>
      </c>
      <c r="C7" s="66" t="s">
        <v>11</v>
      </c>
      <c r="D7" s="66">
        <v>29743</v>
      </c>
      <c r="E7" s="7">
        <v>633.06488349999995</v>
      </c>
      <c r="F7" s="7">
        <v>1.8595656265587801</v>
      </c>
    </row>
    <row r="8" spans="1:6" x14ac:dyDescent="0.2">
      <c r="A8" s="66" t="s">
        <v>117</v>
      </c>
      <c r="B8" s="66" t="s">
        <v>118</v>
      </c>
      <c r="C8" s="66" t="s">
        <v>11</v>
      </c>
      <c r="D8" s="66">
        <v>95488</v>
      </c>
      <c r="E8" s="7">
        <v>597.51616000000001</v>
      </c>
      <c r="F8" s="7">
        <v>1.7551447591065099</v>
      </c>
    </row>
    <row r="9" spans="1:6" x14ac:dyDescent="0.2">
      <c r="A9" s="66" t="s">
        <v>185</v>
      </c>
      <c r="B9" s="66" t="s">
        <v>186</v>
      </c>
      <c r="C9" s="66" t="s">
        <v>76</v>
      </c>
      <c r="D9" s="66">
        <v>63338</v>
      </c>
      <c r="E9" s="7">
        <v>422.749481</v>
      </c>
      <c r="F9" s="7">
        <v>1.2417848849345701</v>
      </c>
    </row>
    <row r="10" spans="1:6" x14ac:dyDescent="0.2">
      <c r="A10" s="66" t="s">
        <v>192</v>
      </c>
      <c r="B10" s="66" t="s">
        <v>193</v>
      </c>
      <c r="C10" s="66" t="s">
        <v>11</v>
      </c>
      <c r="D10" s="66">
        <v>30909</v>
      </c>
      <c r="E10" s="7">
        <v>381.40160550000002</v>
      </c>
      <c r="F10" s="7">
        <v>1.1203295807232001</v>
      </c>
    </row>
    <row r="11" spans="1:6" x14ac:dyDescent="0.2">
      <c r="A11" s="66" t="s">
        <v>190</v>
      </c>
      <c r="B11" s="66" t="s">
        <v>191</v>
      </c>
      <c r="C11" s="66" t="s">
        <v>35</v>
      </c>
      <c r="D11" s="66">
        <v>47341</v>
      </c>
      <c r="E11" s="7">
        <v>374.41996899999998</v>
      </c>
      <c r="F11" s="7">
        <v>1.09982171242895</v>
      </c>
    </row>
    <row r="12" spans="1:6" x14ac:dyDescent="0.2">
      <c r="A12" s="66" t="s">
        <v>240</v>
      </c>
      <c r="B12" s="66" t="s">
        <v>241</v>
      </c>
      <c r="C12" s="66" t="s">
        <v>135</v>
      </c>
      <c r="D12" s="66">
        <v>170586</v>
      </c>
      <c r="E12" s="7">
        <v>319.25169899999997</v>
      </c>
      <c r="F12" s="7">
        <v>0.93777036312406903</v>
      </c>
    </row>
    <row r="13" spans="1:6" x14ac:dyDescent="0.2">
      <c r="A13" s="66" t="s">
        <v>119</v>
      </c>
      <c r="B13" s="66" t="s">
        <v>120</v>
      </c>
      <c r="C13" s="66" t="s">
        <v>29</v>
      </c>
      <c r="D13" s="66">
        <v>100000</v>
      </c>
      <c r="E13" s="7">
        <v>313.5</v>
      </c>
      <c r="F13" s="7">
        <v>0.92087531486996299</v>
      </c>
    </row>
    <row r="14" spans="1:6" x14ac:dyDescent="0.2">
      <c r="A14" s="66" t="s">
        <v>236</v>
      </c>
      <c r="B14" s="66" t="s">
        <v>237</v>
      </c>
      <c r="C14" s="66" t="s">
        <v>79</v>
      </c>
      <c r="D14" s="66">
        <v>67697</v>
      </c>
      <c r="E14" s="7">
        <v>311.13541199999997</v>
      </c>
      <c r="F14" s="7">
        <v>0.91392957094958704</v>
      </c>
    </row>
    <row r="15" spans="1:6" x14ac:dyDescent="0.2">
      <c r="A15" s="66" t="s">
        <v>238</v>
      </c>
      <c r="B15" s="66" t="s">
        <v>239</v>
      </c>
      <c r="C15" s="66" t="s">
        <v>52</v>
      </c>
      <c r="D15" s="66">
        <v>34754</v>
      </c>
      <c r="E15" s="7">
        <v>301.05652500000002</v>
      </c>
      <c r="F15" s="7">
        <v>0.88432383493790001</v>
      </c>
    </row>
    <row r="16" spans="1:6" x14ac:dyDescent="0.2">
      <c r="A16" s="66" t="s">
        <v>194</v>
      </c>
      <c r="B16" s="66" t="s">
        <v>195</v>
      </c>
      <c r="C16" s="66" t="s">
        <v>150</v>
      </c>
      <c r="D16" s="66">
        <v>10300</v>
      </c>
      <c r="E16" s="7">
        <v>280.38659999999999</v>
      </c>
      <c r="F16" s="7">
        <v>0.82360796988937202</v>
      </c>
    </row>
    <row r="17" spans="1:6" x14ac:dyDescent="0.2">
      <c r="A17" s="66" t="s">
        <v>166</v>
      </c>
      <c r="B17" s="66" t="s">
        <v>167</v>
      </c>
      <c r="C17" s="66" t="s">
        <v>130</v>
      </c>
      <c r="D17" s="66">
        <v>138926</v>
      </c>
      <c r="E17" s="7">
        <v>250.27518900000001</v>
      </c>
      <c r="F17" s="7">
        <v>0.73515867137006197</v>
      </c>
    </row>
    <row r="18" spans="1:6" x14ac:dyDescent="0.2">
      <c r="A18" s="66" t="s">
        <v>268</v>
      </c>
      <c r="B18" s="66" t="s">
        <v>269</v>
      </c>
      <c r="C18" s="66" t="s">
        <v>246</v>
      </c>
      <c r="D18" s="66">
        <v>26000</v>
      </c>
      <c r="E18" s="7">
        <v>249.70400000000001</v>
      </c>
      <c r="F18" s="7">
        <v>0.733480860045579</v>
      </c>
    </row>
    <row r="19" spans="1:6" x14ac:dyDescent="0.2">
      <c r="A19" s="66" t="s">
        <v>458</v>
      </c>
      <c r="B19" s="66" t="s">
        <v>459</v>
      </c>
      <c r="C19" s="66" t="s">
        <v>79</v>
      </c>
      <c r="D19" s="66">
        <v>16810</v>
      </c>
      <c r="E19" s="7">
        <v>226.25419500000001</v>
      </c>
      <c r="F19" s="7">
        <v>0.66459937180630002</v>
      </c>
    </row>
    <row r="20" spans="1:6" x14ac:dyDescent="0.2">
      <c r="A20" s="66" t="s">
        <v>225</v>
      </c>
      <c r="B20" s="66" t="s">
        <v>226</v>
      </c>
      <c r="C20" s="66" t="s">
        <v>189</v>
      </c>
      <c r="D20" s="66">
        <v>40000</v>
      </c>
      <c r="E20" s="7">
        <v>221.58</v>
      </c>
      <c r="F20" s="7">
        <v>0.65086938522770799</v>
      </c>
    </row>
    <row r="21" spans="1:6" x14ac:dyDescent="0.2">
      <c r="A21" s="66" t="s">
        <v>18</v>
      </c>
      <c r="B21" s="66" t="s">
        <v>19</v>
      </c>
      <c r="C21" s="66" t="s">
        <v>20</v>
      </c>
      <c r="D21" s="66">
        <v>96457</v>
      </c>
      <c r="E21" s="7">
        <v>218.185734</v>
      </c>
      <c r="F21" s="7">
        <v>0.64089906378750805</v>
      </c>
    </row>
    <row r="22" spans="1:6" x14ac:dyDescent="0.2">
      <c r="A22" s="66" t="s">
        <v>124</v>
      </c>
      <c r="B22" s="66" t="s">
        <v>125</v>
      </c>
      <c r="C22" s="66" t="s">
        <v>123</v>
      </c>
      <c r="D22" s="66">
        <v>60000</v>
      </c>
      <c r="E22" s="7">
        <v>194.64</v>
      </c>
      <c r="F22" s="7">
        <v>0.57173579357668103</v>
      </c>
    </row>
    <row r="23" spans="1:6" x14ac:dyDescent="0.2">
      <c r="A23" s="66" t="s">
        <v>210</v>
      </c>
      <c r="B23" s="66" t="s">
        <v>211</v>
      </c>
      <c r="C23" s="66" t="s">
        <v>150</v>
      </c>
      <c r="D23" s="66">
        <v>45000</v>
      </c>
      <c r="E23" s="7">
        <v>164.38499999999999</v>
      </c>
      <c r="F23" s="7">
        <v>0.48286471653875201</v>
      </c>
    </row>
    <row r="24" spans="1:6" x14ac:dyDescent="0.2">
      <c r="A24" s="66" t="s">
        <v>24</v>
      </c>
      <c r="B24" s="66" t="s">
        <v>25</v>
      </c>
      <c r="C24" s="66" t="s">
        <v>26</v>
      </c>
      <c r="D24" s="66">
        <v>20015</v>
      </c>
      <c r="E24" s="7">
        <v>161.52105</v>
      </c>
      <c r="F24" s="7">
        <v>0.47445214601874602</v>
      </c>
    </row>
    <row r="25" spans="1:6" x14ac:dyDescent="0.2">
      <c r="A25" s="66" t="s">
        <v>303</v>
      </c>
      <c r="B25" s="66" t="s">
        <v>304</v>
      </c>
      <c r="C25" s="66" t="s">
        <v>35</v>
      </c>
      <c r="D25" s="66">
        <v>25761</v>
      </c>
      <c r="E25" s="7">
        <v>143.591814</v>
      </c>
      <c r="F25" s="7">
        <v>0.421786784465707</v>
      </c>
    </row>
    <row r="26" spans="1:6" x14ac:dyDescent="0.2">
      <c r="A26" s="66" t="s">
        <v>214</v>
      </c>
      <c r="B26" s="66" t="s">
        <v>215</v>
      </c>
      <c r="C26" s="66" t="s">
        <v>79</v>
      </c>
      <c r="D26" s="66">
        <v>10000</v>
      </c>
      <c r="E26" s="7">
        <v>123.99</v>
      </c>
      <c r="F26" s="7">
        <v>0.36420839008206302</v>
      </c>
    </row>
    <row r="27" spans="1:6" x14ac:dyDescent="0.2">
      <c r="A27" s="66" t="s">
        <v>282</v>
      </c>
      <c r="B27" s="66" t="s">
        <v>283</v>
      </c>
      <c r="C27" s="66" t="s">
        <v>246</v>
      </c>
      <c r="D27" s="66">
        <v>17000</v>
      </c>
      <c r="E27" s="7">
        <v>120.57250000000001</v>
      </c>
      <c r="F27" s="7">
        <v>0.354169821059517</v>
      </c>
    </row>
    <row r="28" spans="1:6" x14ac:dyDescent="0.2">
      <c r="A28" s="66" t="s">
        <v>234</v>
      </c>
      <c r="B28" s="66" t="s">
        <v>235</v>
      </c>
      <c r="C28" s="66" t="s">
        <v>79</v>
      </c>
      <c r="D28" s="66">
        <v>9526</v>
      </c>
      <c r="E28" s="7">
        <v>116.183859</v>
      </c>
      <c r="F28" s="7">
        <v>0.34127862117841301</v>
      </c>
    </row>
    <row r="29" spans="1:6" x14ac:dyDescent="0.2">
      <c r="A29" s="66" t="s">
        <v>227</v>
      </c>
      <c r="B29" s="66" t="s">
        <v>228</v>
      </c>
      <c r="C29" s="66" t="s">
        <v>17</v>
      </c>
      <c r="D29" s="66">
        <v>63596</v>
      </c>
      <c r="E29" s="7">
        <v>115.140558</v>
      </c>
      <c r="F29" s="7">
        <v>0.338214027440361</v>
      </c>
    </row>
    <row r="30" spans="1:6" x14ac:dyDescent="0.2">
      <c r="A30" s="66" t="s">
        <v>274</v>
      </c>
      <c r="B30" s="66" t="s">
        <v>275</v>
      </c>
      <c r="C30" s="66" t="s">
        <v>65</v>
      </c>
      <c r="D30" s="66">
        <v>97694</v>
      </c>
      <c r="E30" s="7">
        <v>109.221892</v>
      </c>
      <c r="F30" s="7">
        <v>0.32082853009949902</v>
      </c>
    </row>
    <row r="31" spans="1:6" x14ac:dyDescent="0.2">
      <c r="A31" s="66" t="s">
        <v>115</v>
      </c>
      <c r="B31" s="66" t="s">
        <v>116</v>
      </c>
      <c r="C31" s="66" t="s">
        <v>11</v>
      </c>
      <c r="D31" s="66">
        <v>30374</v>
      </c>
      <c r="E31" s="7">
        <v>107.873261</v>
      </c>
      <c r="F31" s="7">
        <v>0.31686705961539002</v>
      </c>
    </row>
    <row r="32" spans="1:6" x14ac:dyDescent="0.2">
      <c r="A32" s="66" t="s">
        <v>113</v>
      </c>
      <c r="B32" s="66" t="s">
        <v>114</v>
      </c>
      <c r="C32" s="66" t="s">
        <v>11</v>
      </c>
      <c r="D32" s="66">
        <v>29755</v>
      </c>
      <c r="E32" s="7">
        <v>84.697607500000004</v>
      </c>
      <c r="F32" s="7">
        <v>0.248790864355008</v>
      </c>
    </row>
    <row r="33" spans="1:10" x14ac:dyDescent="0.2">
      <c r="A33" s="66" t="s">
        <v>33</v>
      </c>
      <c r="B33" s="66" t="s">
        <v>34</v>
      </c>
      <c r="C33" s="66" t="s">
        <v>35</v>
      </c>
      <c r="D33" s="66">
        <v>40000</v>
      </c>
      <c r="E33" s="7">
        <v>68.78</v>
      </c>
      <c r="F33" s="7">
        <v>0.20203446301995501</v>
      </c>
    </row>
    <row r="34" spans="1:10" x14ac:dyDescent="0.2">
      <c r="A34" s="66" t="s">
        <v>312</v>
      </c>
      <c r="B34" s="66" t="s">
        <v>313</v>
      </c>
      <c r="C34" s="66" t="s">
        <v>11</v>
      </c>
      <c r="D34" s="66">
        <v>77000</v>
      </c>
      <c r="E34" s="7">
        <v>60.83</v>
      </c>
      <c r="F34" s="7">
        <v>0.17868212249932999</v>
      </c>
    </row>
    <row r="35" spans="1:10" x14ac:dyDescent="0.2">
      <c r="A35" s="66" t="s">
        <v>342</v>
      </c>
      <c r="B35" s="66" t="s">
        <v>343</v>
      </c>
      <c r="C35" s="66" t="s">
        <v>344</v>
      </c>
      <c r="D35" s="66">
        <v>581</v>
      </c>
      <c r="E35" s="7">
        <v>1.4228689999999999</v>
      </c>
      <c r="F35" s="74" t="s">
        <v>1485</v>
      </c>
    </row>
    <row r="36" spans="1:10" x14ac:dyDescent="0.2">
      <c r="A36" s="65" t="s">
        <v>39</v>
      </c>
      <c r="B36" s="66"/>
      <c r="C36" s="66"/>
      <c r="D36" s="66"/>
      <c r="E36" s="6">
        <f>SUM(E7:E35)</f>
        <v>6673.3318634999996</v>
      </c>
      <c r="F36" s="6">
        <f>SUM(F7:F35)</f>
        <v>19.598074309709478</v>
      </c>
      <c r="I36" s="1"/>
      <c r="J36" s="1"/>
    </row>
    <row r="37" spans="1:10" x14ac:dyDescent="0.2">
      <c r="A37" s="66"/>
      <c r="B37" s="66"/>
      <c r="C37" s="66"/>
      <c r="D37" s="66"/>
      <c r="E37" s="7"/>
      <c r="F37" s="7"/>
    </row>
    <row r="38" spans="1:10" x14ac:dyDescent="0.2">
      <c r="A38" s="65" t="s">
        <v>419</v>
      </c>
      <c r="B38" s="66"/>
      <c r="C38" s="66"/>
      <c r="D38" s="66"/>
      <c r="E38" s="7"/>
      <c r="F38" s="7"/>
    </row>
    <row r="39" spans="1:10" x14ac:dyDescent="0.2">
      <c r="A39" s="65" t="s">
        <v>8</v>
      </c>
      <c r="B39" s="66"/>
      <c r="C39" s="66"/>
      <c r="D39" s="66"/>
      <c r="E39" s="7"/>
      <c r="F39" s="7"/>
    </row>
    <row r="40" spans="1:10" x14ac:dyDescent="0.2">
      <c r="A40" s="65"/>
      <c r="B40" s="66"/>
      <c r="C40" s="66"/>
      <c r="D40" s="66"/>
      <c r="E40" s="7"/>
      <c r="F40" s="7"/>
    </row>
    <row r="41" spans="1:10" x14ac:dyDescent="0.2">
      <c r="A41" s="66" t="s">
        <v>426</v>
      </c>
      <c r="B41" s="66" t="s">
        <v>712</v>
      </c>
      <c r="C41" s="66" t="s">
        <v>427</v>
      </c>
      <c r="D41" s="66">
        <v>300</v>
      </c>
      <c r="E41" s="7">
        <v>2999.7678000000001</v>
      </c>
      <c r="F41" s="7">
        <v>8.8115219054602107</v>
      </c>
    </row>
    <row r="42" spans="1:10" x14ac:dyDescent="0.2">
      <c r="A42" s="66" t="s">
        <v>1607</v>
      </c>
      <c r="B42" s="66" t="s">
        <v>1608</v>
      </c>
      <c r="C42" s="66" t="s">
        <v>1609</v>
      </c>
      <c r="D42" s="66">
        <v>250</v>
      </c>
      <c r="E42" s="7">
        <v>2449.375</v>
      </c>
      <c r="F42" s="7">
        <v>7.19479736637836</v>
      </c>
    </row>
    <row r="43" spans="1:10" x14ac:dyDescent="0.2">
      <c r="A43" s="66" t="s">
        <v>1598</v>
      </c>
      <c r="B43" s="66" t="s">
        <v>1599</v>
      </c>
      <c r="C43" s="66" t="s">
        <v>799</v>
      </c>
      <c r="D43" s="66">
        <v>200</v>
      </c>
      <c r="E43" s="7">
        <v>1979.374</v>
      </c>
      <c r="F43" s="7">
        <v>5.8142158070029302</v>
      </c>
    </row>
    <row r="44" spans="1:10" x14ac:dyDescent="0.2">
      <c r="A44" s="66" t="s">
        <v>1177</v>
      </c>
      <c r="B44" s="66" t="s">
        <v>1178</v>
      </c>
      <c r="C44" s="66" t="s">
        <v>429</v>
      </c>
      <c r="D44" s="66">
        <v>200</v>
      </c>
      <c r="E44" s="7">
        <v>1962.0540000000001</v>
      </c>
      <c r="F44" s="7">
        <v>5.7633400160825197</v>
      </c>
    </row>
    <row r="45" spans="1:10" x14ac:dyDescent="0.2">
      <c r="A45" s="66" t="s">
        <v>1156</v>
      </c>
      <c r="B45" s="66" t="s">
        <v>1157</v>
      </c>
      <c r="C45" s="66" t="s">
        <v>1158</v>
      </c>
      <c r="D45" s="66">
        <v>170</v>
      </c>
      <c r="E45" s="7">
        <v>1701.972</v>
      </c>
      <c r="F45" s="7">
        <v>4.9993748051032201</v>
      </c>
    </row>
    <row r="46" spans="1:10" x14ac:dyDescent="0.2">
      <c r="A46" s="66" t="s">
        <v>802</v>
      </c>
      <c r="B46" s="66" t="s">
        <v>803</v>
      </c>
      <c r="C46" s="66" t="s">
        <v>750</v>
      </c>
      <c r="D46" s="66">
        <v>150</v>
      </c>
      <c r="E46" s="7">
        <v>1492.9770000000001</v>
      </c>
      <c r="F46" s="7">
        <v>4.38547261552986</v>
      </c>
    </row>
    <row r="47" spans="1:10" x14ac:dyDescent="0.2">
      <c r="A47" s="66" t="s">
        <v>1191</v>
      </c>
      <c r="B47" s="66" t="s">
        <v>1192</v>
      </c>
      <c r="C47" s="66" t="s">
        <v>429</v>
      </c>
      <c r="D47" s="66">
        <v>150</v>
      </c>
      <c r="E47" s="7">
        <v>1479.7964999999999</v>
      </c>
      <c r="F47" s="7">
        <v>4.3467561973874602</v>
      </c>
    </row>
    <row r="48" spans="1:10" x14ac:dyDescent="0.2">
      <c r="A48" s="66" t="s">
        <v>1197</v>
      </c>
      <c r="B48" s="66" t="s">
        <v>1198</v>
      </c>
      <c r="C48" s="66" t="s">
        <v>429</v>
      </c>
      <c r="D48" s="66">
        <v>130</v>
      </c>
      <c r="E48" s="7">
        <v>1277.2097000000001</v>
      </c>
      <c r="F48" s="7">
        <v>3.7516774629743899</v>
      </c>
    </row>
    <row r="49" spans="1:10" x14ac:dyDescent="0.2">
      <c r="A49" s="66" t="s">
        <v>1604</v>
      </c>
      <c r="B49" s="66" t="s">
        <v>1605</v>
      </c>
      <c r="C49" s="66" t="s">
        <v>1606</v>
      </c>
      <c r="D49" s="66">
        <v>100</v>
      </c>
      <c r="E49" s="7">
        <v>1000.242</v>
      </c>
      <c r="F49" s="7">
        <v>2.9381121744694099</v>
      </c>
    </row>
    <row r="50" spans="1:10" x14ac:dyDescent="0.2">
      <c r="A50" s="66" t="s">
        <v>1616</v>
      </c>
      <c r="B50" s="66" t="s">
        <v>1617</v>
      </c>
      <c r="C50" s="66" t="s">
        <v>421</v>
      </c>
      <c r="D50" s="66">
        <v>100</v>
      </c>
      <c r="E50" s="7">
        <v>998.27599999999995</v>
      </c>
      <c r="F50" s="7">
        <v>2.93233724346771</v>
      </c>
    </row>
    <row r="51" spans="1:10" x14ac:dyDescent="0.2">
      <c r="A51" s="66" t="s">
        <v>1800</v>
      </c>
      <c r="B51" s="66" t="s">
        <v>1801</v>
      </c>
      <c r="C51" s="66" t="s">
        <v>421</v>
      </c>
      <c r="D51" s="66">
        <v>100</v>
      </c>
      <c r="E51" s="7">
        <v>996.69299999999998</v>
      </c>
      <c r="F51" s="7">
        <v>2.9276873371728498</v>
      </c>
    </row>
    <row r="52" spans="1:10" x14ac:dyDescent="0.2">
      <c r="A52" s="66" t="s">
        <v>1610</v>
      </c>
      <c r="B52" s="66" t="s">
        <v>1611</v>
      </c>
      <c r="C52" s="66" t="s">
        <v>421</v>
      </c>
      <c r="D52" s="66">
        <v>90</v>
      </c>
      <c r="E52" s="7">
        <v>835.85609999999997</v>
      </c>
      <c r="F52" s="7">
        <v>2.4552448142694701</v>
      </c>
    </row>
    <row r="53" spans="1:10" x14ac:dyDescent="0.2">
      <c r="A53" s="66" t="s">
        <v>1612</v>
      </c>
      <c r="B53" s="66" t="s">
        <v>1613</v>
      </c>
      <c r="C53" s="66" t="s">
        <v>421</v>
      </c>
      <c r="D53" s="66">
        <v>70</v>
      </c>
      <c r="E53" s="7">
        <v>709.20150000000001</v>
      </c>
      <c r="F53" s="7">
        <v>2.0832094246212098</v>
      </c>
    </row>
    <row r="54" spans="1:10" x14ac:dyDescent="0.2">
      <c r="A54" s="66" t="s">
        <v>815</v>
      </c>
      <c r="B54" s="66" t="s">
        <v>816</v>
      </c>
      <c r="C54" s="66" t="s">
        <v>744</v>
      </c>
      <c r="D54" s="66">
        <v>70</v>
      </c>
      <c r="E54" s="7">
        <v>707.62720000000002</v>
      </c>
      <c r="F54" s="7">
        <v>2.0785850737178602</v>
      </c>
    </row>
    <row r="55" spans="1:10" x14ac:dyDescent="0.2">
      <c r="A55" s="66" t="s">
        <v>1214</v>
      </c>
      <c r="B55" s="66" t="s">
        <v>1215</v>
      </c>
      <c r="C55" s="66" t="s">
        <v>421</v>
      </c>
      <c r="D55" s="66">
        <v>5</v>
      </c>
      <c r="E55" s="7">
        <v>499.88344760000001</v>
      </c>
      <c r="F55" s="7">
        <v>1.46835830050058</v>
      </c>
    </row>
    <row r="56" spans="1:10" x14ac:dyDescent="0.2">
      <c r="A56" s="66" t="s">
        <v>1614</v>
      </c>
      <c r="B56" s="66" t="s">
        <v>1615</v>
      </c>
      <c r="C56" s="66" t="s">
        <v>1158</v>
      </c>
      <c r="D56" s="66">
        <v>50</v>
      </c>
      <c r="E56" s="7">
        <v>498.71949999999998</v>
      </c>
      <c r="F56" s="7">
        <v>1.46493931928003</v>
      </c>
    </row>
    <row r="57" spans="1:10" x14ac:dyDescent="0.2">
      <c r="A57" s="66" t="s">
        <v>1802</v>
      </c>
      <c r="B57" s="66" t="s">
        <v>1803</v>
      </c>
      <c r="C57" s="66" t="s">
        <v>753</v>
      </c>
      <c r="D57" s="66">
        <v>50</v>
      </c>
      <c r="E57" s="7">
        <v>498.38799999999998</v>
      </c>
      <c r="F57" s="7">
        <v>1.4639655707413399</v>
      </c>
    </row>
    <row r="58" spans="1:10" x14ac:dyDescent="0.2">
      <c r="A58" s="66" t="s">
        <v>1602</v>
      </c>
      <c r="B58" s="66" t="s">
        <v>1603</v>
      </c>
      <c r="C58" s="66" t="s">
        <v>429</v>
      </c>
      <c r="D58" s="66">
        <v>50</v>
      </c>
      <c r="E58" s="7">
        <v>488.392</v>
      </c>
      <c r="F58" s="7">
        <v>1.4346033071131401</v>
      </c>
    </row>
    <row r="59" spans="1:10" x14ac:dyDescent="0.2">
      <c r="A59" s="66" t="s">
        <v>423</v>
      </c>
      <c r="B59" s="66" t="s">
        <v>710</v>
      </c>
      <c r="C59" s="66" t="s">
        <v>424</v>
      </c>
      <c r="D59" s="66">
        <v>50</v>
      </c>
      <c r="E59" s="7">
        <v>484.5335</v>
      </c>
      <c r="F59" s="7">
        <v>1.4232693441069999</v>
      </c>
    </row>
    <row r="60" spans="1:10" x14ac:dyDescent="0.2">
      <c r="A60" s="65" t="s">
        <v>39</v>
      </c>
      <c r="B60" s="66"/>
      <c r="C60" s="66"/>
      <c r="D60" s="66"/>
      <c r="E60" s="6">
        <f>SUM(E41:E59)</f>
        <v>23060.338247600001</v>
      </c>
      <c r="F60" s="6">
        <f>SUM(F41:F59)</f>
        <v>67.737468085379547</v>
      </c>
      <c r="I60" s="1"/>
      <c r="J60" s="1"/>
    </row>
    <row r="61" spans="1:10" x14ac:dyDescent="0.2">
      <c r="A61" s="66"/>
      <c r="B61" s="66"/>
      <c r="C61" s="66"/>
      <c r="D61" s="66"/>
      <c r="E61" s="7"/>
      <c r="F61" s="7"/>
    </row>
    <row r="62" spans="1:10" x14ac:dyDescent="0.2">
      <c r="A62" s="65" t="s">
        <v>1619</v>
      </c>
      <c r="B62" s="66"/>
      <c r="C62" s="66"/>
      <c r="D62" s="66"/>
      <c r="E62" s="7"/>
      <c r="F62" s="7"/>
    </row>
    <row r="63" spans="1:10" x14ac:dyDescent="0.2">
      <c r="A63" s="66" t="s">
        <v>1620</v>
      </c>
      <c r="B63" s="66" t="s">
        <v>1621</v>
      </c>
      <c r="C63" s="66" t="s">
        <v>1622</v>
      </c>
      <c r="D63" s="66">
        <v>2075000</v>
      </c>
      <c r="E63" s="7">
        <v>2016.0368000000001</v>
      </c>
      <c r="F63" s="7">
        <v>5.9219091642406099</v>
      </c>
    </row>
    <row r="64" spans="1:10" x14ac:dyDescent="0.2">
      <c r="A64" s="66" t="s">
        <v>1623</v>
      </c>
      <c r="B64" s="66" t="s">
        <v>1624</v>
      </c>
      <c r="C64" s="66" t="s">
        <v>1622</v>
      </c>
      <c r="D64" s="66">
        <v>500000</v>
      </c>
      <c r="E64" s="7">
        <v>498.14949999999999</v>
      </c>
      <c r="F64" s="7">
        <v>1.4632650005257199</v>
      </c>
    </row>
    <row r="65" spans="1:10" x14ac:dyDescent="0.2">
      <c r="A65" s="65" t="s">
        <v>39</v>
      </c>
      <c r="B65" s="66"/>
      <c r="C65" s="66"/>
      <c r="D65" s="66"/>
      <c r="E65" s="6">
        <f>SUM(E63:E64)</f>
        <v>2514.1863000000003</v>
      </c>
      <c r="F65" s="6">
        <f>SUM(F63:F64)</f>
        <v>7.3851741647663296</v>
      </c>
      <c r="I65" s="1"/>
      <c r="J65" s="1"/>
    </row>
    <row r="66" spans="1:10" x14ac:dyDescent="0.2">
      <c r="A66" s="66"/>
      <c r="B66" s="66"/>
      <c r="C66" s="66"/>
      <c r="D66" s="66"/>
      <c r="E66" s="7"/>
      <c r="F66" s="7"/>
    </row>
    <row r="67" spans="1:10" x14ac:dyDescent="0.2">
      <c r="A67" s="65" t="s">
        <v>39</v>
      </c>
      <c r="B67" s="66"/>
      <c r="C67" s="66"/>
      <c r="D67" s="66"/>
      <c r="E67" s="6">
        <v>32247.856411100001</v>
      </c>
      <c r="F67" s="6">
        <v>94.724896097138924</v>
      </c>
      <c r="I67" s="1"/>
      <c r="J67" s="1"/>
    </row>
    <row r="68" spans="1:10" x14ac:dyDescent="0.2">
      <c r="A68" s="66"/>
      <c r="B68" s="66"/>
      <c r="C68" s="66"/>
      <c r="D68" s="66"/>
      <c r="E68" s="7"/>
      <c r="F68" s="7"/>
    </row>
    <row r="69" spans="1:10" x14ac:dyDescent="0.2">
      <c r="A69" s="65" t="s">
        <v>103</v>
      </c>
      <c r="B69" s="66"/>
      <c r="C69" s="66"/>
      <c r="D69" s="66"/>
      <c r="E69" s="6">
        <v>1795.8367891</v>
      </c>
      <c r="F69" s="6">
        <v>5.28</v>
      </c>
      <c r="I69" s="1"/>
      <c r="J69" s="1"/>
    </row>
    <row r="70" spans="1:10" x14ac:dyDescent="0.2">
      <c r="A70" s="66"/>
      <c r="B70" s="66"/>
      <c r="C70" s="66"/>
      <c r="D70" s="66"/>
      <c r="E70" s="7"/>
      <c r="F70" s="7"/>
    </row>
    <row r="71" spans="1:10" x14ac:dyDescent="0.2">
      <c r="A71" s="68" t="s">
        <v>104</v>
      </c>
      <c r="B71" s="64"/>
      <c r="C71" s="64"/>
      <c r="D71" s="64"/>
      <c r="E71" s="8">
        <v>34043.696789100002</v>
      </c>
      <c r="F71" s="8">
        <f xml:space="preserve"> ROUND(SUM(F67:F70),2)</f>
        <v>100</v>
      </c>
      <c r="I71" s="1"/>
      <c r="J71" s="1"/>
    </row>
    <row r="72" spans="1:10" x14ac:dyDescent="0.2">
      <c r="A72" s="4" t="s">
        <v>714</v>
      </c>
      <c r="F72" s="9" t="s">
        <v>1559</v>
      </c>
    </row>
    <row r="74" spans="1:10" x14ac:dyDescent="0.2">
      <c r="A74" s="4" t="s">
        <v>105</v>
      </c>
    </row>
    <row r="75" spans="1:10" x14ac:dyDescent="0.2">
      <c r="A75" s="4" t="s">
        <v>106</v>
      </c>
    </row>
    <row r="76" spans="1:10" x14ac:dyDescent="0.2">
      <c r="A76" s="4" t="s">
        <v>107</v>
      </c>
    </row>
    <row r="77" spans="1:10" x14ac:dyDescent="0.2">
      <c r="A77" s="2" t="s">
        <v>723</v>
      </c>
      <c r="D77" s="10">
        <v>14.1755</v>
      </c>
    </row>
    <row r="78" spans="1:10" x14ac:dyDescent="0.2">
      <c r="A78" s="2" t="s">
        <v>726</v>
      </c>
      <c r="D78" s="10">
        <v>13.173</v>
      </c>
    </row>
    <row r="79" spans="1:10" x14ac:dyDescent="0.2">
      <c r="A79" s="2" t="s">
        <v>725</v>
      </c>
      <c r="D79" s="10">
        <v>13.501799999999999</v>
      </c>
    </row>
    <row r="80" spans="1:10" x14ac:dyDescent="0.2">
      <c r="A80" s="2" t="s">
        <v>720</v>
      </c>
      <c r="D80" s="10">
        <v>54.981900000000003</v>
      </c>
    </row>
    <row r="81" spans="1:4" x14ac:dyDescent="0.2">
      <c r="A81" s="2" t="s">
        <v>722</v>
      </c>
      <c r="D81" s="10">
        <v>52.795900000000003</v>
      </c>
    </row>
    <row r="82" spans="1:4" x14ac:dyDescent="0.2">
      <c r="A82" s="2" t="s">
        <v>724</v>
      </c>
      <c r="D82" s="10">
        <v>13.8222</v>
      </c>
    </row>
    <row r="84" spans="1:4" x14ac:dyDescent="0.2">
      <c r="A84" s="4" t="s">
        <v>108</v>
      </c>
    </row>
    <row r="85" spans="1:4" x14ac:dyDescent="0.2">
      <c r="A85" s="2" t="s">
        <v>720</v>
      </c>
      <c r="D85" s="10">
        <v>56.041600000000003</v>
      </c>
    </row>
    <row r="86" spans="1:4" x14ac:dyDescent="0.2">
      <c r="A86" s="2" t="s">
        <v>726</v>
      </c>
      <c r="D86" s="10">
        <v>12.837899999999999</v>
      </c>
    </row>
    <row r="87" spans="1:4" x14ac:dyDescent="0.2">
      <c r="A87" s="2" t="s">
        <v>723</v>
      </c>
      <c r="D87" s="10">
        <v>13.9194</v>
      </c>
    </row>
    <row r="88" spans="1:4" x14ac:dyDescent="0.2">
      <c r="A88" s="2" t="s">
        <v>724</v>
      </c>
      <c r="D88" s="10">
        <v>13.5419</v>
      </c>
    </row>
    <row r="89" spans="1:4" x14ac:dyDescent="0.2">
      <c r="A89" s="2" t="s">
        <v>725</v>
      </c>
      <c r="D89" s="10">
        <v>13.1892</v>
      </c>
    </row>
    <row r="90" spans="1:4" x14ac:dyDescent="0.2">
      <c r="A90" s="2" t="s">
        <v>722</v>
      </c>
      <c r="D90" s="10">
        <v>53.624499999999998</v>
      </c>
    </row>
    <row r="92" spans="1:4" x14ac:dyDescent="0.2">
      <c r="A92" s="4" t="s">
        <v>109</v>
      </c>
      <c r="D92" s="69"/>
    </row>
    <row r="93" spans="1:4" x14ac:dyDescent="0.2">
      <c r="A93" s="75" t="s">
        <v>727</v>
      </c>
      <c r="B93" s="76"/>
      <c r="C93" s="77" t="s">
        <v>728</v>
      </c>
      <c r="D93" s="77"/>
    </row>
    <row r="94" spans="1:4" x14ac:dyDescent="0.2">
      <c r="A94" s="78"/>
      <c r="B94" s="78"/>
      <c r="C94" s="43" t="s">
        <v>729</v>
      </c>
      <c r="D94" s="43" t="s">
        <v>730</v>
      </c>
    </row>
    <row r="95" spans="1:4" x14ac:dyDescent="0.2">
      <c r="A95" s="44" t="s">
        <v>725</v>
      </c>
      <c r="B95" s="45"/>
      <c r="C95" s="79">
        <v>0.37456780399999995</v>
      </c>
      <c r="D95" s="79">
        <v>0.34685165350000002</v>
      </c>
    </row>
    <row r="96" spans="1:4" x14ac:dyDescent="0.2">
      <c r="A96" s="44" t="s">
        <v>726</v>
      </c>
      <c r="B96" s="45"/>
      <c r="C96" s="79">
        <v>0.38537264449999997</v>
      </c>
      <c r="D96" s="79">
        <v>0.35685698939999999</v>
      </c>
    </row>
    <row r="97" spans="1:5" x14ac:dyDescent="0.2">
      <c r="A97" s="44" t="s">
        <v>723</v>
      </c>
      <c r="B97" s="45"/>
      <c r="C97" s="79">
        <v>0.37456780399999995</v>
      </c>
      <c r="D97" s="79">
        <v>0.34685165350000002</v>
      </c>
    </row>
    <row r="98" spans="1:5" x14ac:dyDescent="0.2">
      <c r="A98" s="44" t="s">
        <v>724</v>
      </c>
      <c r="B98" s="45"/>
      <c r="C98" s="79">
        <v>0.38537264449999997</v>
      </c>
      <c r="D98" s="79">
        <v>0.35685698939999999</v>
      </c>
    </row>
    <row r="99" spans="1:5" x14ac:dyDescent="0.2">
      <c r="A99" s="4"/>
      <c r="D99" s="69"/>
    </row>
    <row r="100" spans="1:5" x14ac:dyDescent="0.2">
      <c r="A100" s="4" t="s">
        <v>883</v>
      </c>
      <c r="D100" s="70">
        <v>2.7056776367655324</v>
      </c>
      <c r="E100" s="1" t="s">
        <v>735</v>
      </c>
    </row>
  </sheetData>
  <mergeCells count="3">
    <mergeCell ref="A1:F1"/>
    <mergeCell ref="C93:D93"/>
    <mergeCell ref="A94:B9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1804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748</v>
      </c>
      <c r="B8" s="66" t="s">
        <v>749</v>
      </c>
      <c r="C8" s="66" t="s">
        <v>750</v>
      </c>
      <c r="D8" s="66">
        <v>1350</v>
      </c>
      <c r="E8" s="7">
        <v>13420.323</v>
      </c>
      <c r="F8" s="7">
        <v>3.6439840416418998</v>
      </c>
    </row>
    <row r="9" spans="1:6" x14ac:dyDescent="0.2">
      <c r="A9" s="66" t="s">
        <v>780</v>
      </c>
      <c r="B9" s="66" t="s">
        <v>781</v>
      </c>
      <c r="C9" s="66" t="s">
        <v>747</v>
      </c>
      <c r="D9" s="66">
        <v>1112</v>
      </c>
      <c r="E9" s="7">
        <v>11114.8292</v>
      </c>
      <c r="F9" s="7">
        <v>3.0179795397156601</v>
      </c>
    </row>
    <row r="10" spans="1:6" x14ac:dyDescent="0.2">
      <c r="A10" s="66" t="s">
        <v>1805</v>
      </c>
      <c r="B10" s="66" t="s">
        <v>1806</v>
      </c>
      <c r="C10" s="66" t="s">
        <v>747</v>
      </c>
      <c r="D10" s="66">
        <v>5250</v>
      </c>
      <c r="E10" s="7">
        <v>10492.083000000001</v>
      </c>
      <c r="F10" s="7">
        <v>2.8488869467286499</v>
      </c>
    </row>
    <row r="11" spans="1:6" x14ac:dyDescent="0.2">
      <c r="A11" s="66" t="s">
        <v>751</v>
      </c>
      <c r="B11" s="66" t="s">
        <v>752</v>
      </c>
      <c r="C11" s="66" t="s">
        <v>753</v>
      </c>
      <c r="D11" s="66">
        <v>940</v>
      </c>
      <c r="E11" s="7">
        <v>9264.8562000000002</v>
      </c>
      <c r="F11" s="7">
        <v>2.5156613697678498</v>
      </c>
    </row>
    <row r="12" spans="1:6" x14ac:dyDescent="0.2">
      <c r="A12" s="66" t="s">
        <v>1807</v>
      </c>
      <c r="B12" s="66" t="s">
        <v>1808</v>
      </c>
      <c r="C12" s="66" t="s">
        <v>839</v>
      </c>
      <c r="D12" s="66">
        <v>850</v>
      </c>
      <c r="E12" s="7">
        <v>8946.7005000000008</v>
      </c>
      <c r="F12" s="7">
        <v>2.4292734122233601</v>
      </c>
    </row>
    <row r="13" spans="1:6" x14ac:dyDescent="0.2">
      <c r="A13" s="66" t="s">
        <v>762</v>
      </c>
      <c r="B13" s="66" t="s">
        <v>763</v>
      </c>
      <c r="C13" s="66" t="s">
        <v>764</v>
      </c>
      <c r="D13" s="66">
        <v>75</v>
      </c>
      <c r="E13" s="7">
        <v>8678.8425000000007</v>
      </c>
      <c r="F13" s="7">
        <v>2.3565426532523501</v>
      </c>
    </row>
    <row r="14" spans="1:6" x14ac:dyDescent="0.2">
      <c r="A14" s="66" t="s">
        <v>797</v>
      </c>
      <c r="B14" s="66" t="s">
        <v>798</v>
      </c>
      <c r="C14" s="66" t="s">
        <v>799</v>
      </c>
      <c r="D14" s="66">
        <v>800</v>
      </c>
      <c r="E14" s="7">
        <v>7941.9359999999997</v>
      </c>
      <c r="F14" s="7">
        <v>2.15645242247458</v>
      </c>
    </row>
    <row r="15" spans="1:6" x14ac:dyDescent="0.2">
      <c r="A15" s="66" t="s">
        <v>745</v>
      </c>
      <c r="B15" s="66" t="s">
        <v>746</v>
      </c>
      <c r="C15" s="66" t="s">
        <v>747</v>
      </c>
      <c r="D15" s="66">
        <v>3235</v>
      </c>
      <c r="E15" s="7">
        <v>6466.9008700000004</v>
      </c>
      <c r="F15" s="7">
        <v>1.75594011926242</v>
      </c>
    </row>
    <row r="16" spans="1:6" x14ac:dyDescent="0.2">
      <c r="A16" s="66" t="s">
        <v>1400</v>
      </c>
      <c r="B16" s="66" t="s">
        <v>1401</v>
      </c>
      <c r="C16" s="66" t="s">
        <v>753</v>
      </c>
      <c r="D16" s="66">
        <v>682</v>
      </c>
      <c r="E16" s="7">
        <v>6431.9624599999997</v>
      </c>
      <c r="F16" s="7">
        <v>1.7464533872008701</v>
      </c>
    </row>
    <row r="17" spans="1:6" x14ac:dyDescent="0.2">
      <c r="A17" s="66" t="s">
        <v>742</v>
      </c>
      <c r="B17" s="66" t="s">
        <v>743</v>
      </c>
      <c r="C17" s="66" t="s">
        <v>744</v>
      </c>
      <c r="D17" s="66">
        <v>650</v>
      </c>
      <c r="E17" s="7">
        <v>6174.5190000000002</v>
      </c>
      <c r="F17" s="7">
        <v>1.67655046013533</v>
      </c>
    </row>
    <row r="18" spans="1:6" x14ac:dyDescent="0.2">
      <c r="A18" s="66" t="s">
        <v>782</v>
      </c>
      <c r="B18" s="66" t="s">
        <v>783</v>
      </c>
      <c r="C18" s="66" t="s">
        <v>775</v>
      </c>
      <c r="D18" s="66">
        <v>11</v>
      </c>
      <c r="E18" s="7">
        <v>5646.7785000000003</v>
      </c>
      <c r="F18" s="7">
        <v>1.53325450815801</v>
      </c>
    </row>
    <row r="19" spans="1:6" x14ac:dyDescent="0.2">
      <c r="A19" s="66" t="s">
        <v>817</v>
      </c>
      <c r="B19" s="66" t="s">
        <v>793</v>
      </c>
      <c r="C19" s="66" t="s">
        <v>794</v>
      </c>
      <c r="D19" s="66">
        <v>560</v>
      </c>
      <c r="E19" s="7">
        <v>5511.3239999999996</v>
      </c>
      <c r="F19" s="7">
        <v>1.4964749137794999</v>
      </c>
    </row>
    <row r="20" spans="1:6" x14ac:dyDescent="0.2">
      <c r="A20" s="66" t="s">
        <v>1436</v>
      </c>
      <c r="B20" s="66" t="s">
        <v>1437</v>
      </c>
      <c r="C20" s="66" t="s">
        <v>759</v>
      </c>
      <c r="D20" s="66">
        <v>500</v>
      </c>
      <c r="E20" s="7">
        <v>5101.3100000000004</v>
      </c>
      <c r="F20" s="7">
        <v>1.3851449202428501</v>
      </c>
    </row>
    <row r="21" spans="1:6" x14ac:dyDescent="0.2">
      <c r="A21" s="66" t="s">
        <v>1809</v>
      </c>
      <c r="B21" s="66" t="s">
        <v>1810</v>
      </c>
      <c r="C21" s="66" t="s">
        <v>794</v>
      </c>
      <c r="D21" s="66">
        <v>500</v>
      </c>
      <c r="E21" s="7">
        <v>4941.3599999999997</v>
      </c>
      <c r="F21" s="7">
        <v>1.3417141289376999</v>
      </c>
    </row>
    <row r="22" spans="1:6" x14ac:dyDescent="0.2">
      <c r="A22" s="66" t="s">
        <v>1422</v>
      </c>
      <c r="B22" s="66" t="s">
        <v>1423</v>
      </c>
      <c r="C22" s="66" t="s">
        <v>424</v>
      </c>
      <c r="D22" s="66">
        <v>450</v>
      </c>
      <c r="E22" s="7">
        <v>4361.5709999999999</v>
      </c>
      <c r="F22" s="7">
        <v>1.18428558839367</v>
      </c>
    </row>
    <row r="23" spans="1:6" x14ac:dyDescent="0.2">
      <c r="A23" s="66" t="s">
        <v>773</v>
      </c>
      <c r="B23" s="66" t="s">
        <v>774</v>
      </c>
      <c r="C23" s="66" t="s">
        <v>775</v>
      </c>
      <c r="D23" s="66">
        <v>8</v>
      </c>
      <c r="E23" s="7">
        <v>4106.7479999999996</v>
      </c>
      <c r="F23" s="7">
        <v>1.1150941877512801</v>
      </c>
    </row>
    <row r="24" spans="1:6" x14ac:dyDescent="0.2">
      <c r="A24" s="66" t="s">
        <v>1811</v>
      </c>
      <c r="B24" s="66" t="s">
        <v>1812</v>
      </c>
      <c r="C24" s="66" t="s">
        <v>1146</v>
      </c>
      <c r="D24" s="66">
        <v>300</v>
      </c>
      <c r="E24" s="7">
        <v>3046.8449999999998</v>
      </c>
      <c r="F24" s="7">
        <v>0.82730159008515802</v>
      </c>
    </row>
    <row r="25" spans="1:6" x14ac:dyDescent="0.2">
      <c r="A25" s="66" t="s">
        <v>1813</v>
      </c>
      <c r="B25" s="66" t="s">
        <v>1814</v>
      </c>
      <c r="C25" s="66" t="s">
        <v>775</v>
      </c>
      <c r="D25" s="66">
        <v>300</v>
      </c>
      <c r="E25" s="7">
        <v>2977.83</v>
      </c>
      <c r="F25" s="7">
        <v>0.80856213361798401</v>
      </c>
    </row>
    <row r="26" spans="1:6" x14ac:dyDescent="0.2">
      <c r="A26" s="66" t="s">
        <v>810</v>
      </c>
      <c r="B26" s="66" t="s">
        <v>811</v>
      </c>
      <c r="C26" s="66" t="s">
        <v>747</v>
      </c>
      <c r="D26" s="66">
        <v>300</v>
      </c>
      <c r="E26" s="7">
        <v>2966.076</v>
      </c>
      <c r="F26" s="7">
        <v>0.805370601758024</v>
      </c>
    </row>
    <row r="27" spans="1:6" x14ac:dyDescent="0.2">
      <c r="A27" s="66" t="s">
        <v>1458</v>
      </c>
      <c r="B27" s="66" t="s">
        <v>1459</v>
      </c>
      <c r="C27" s="66" t="s">
        <v>799</v>
      </c>
      <c r="D27" s="66">
        <v>300</v>
      </c>
      <c r="E27" s="7">
        <v>2934.027</v>
      </c>
      <c r="F27" s="7">
        <v>0.79666842338641697</v>
      </c>
    </row>
    <row r="28" spans="1:6" x14ac:dyDescent="0.2">
      <c r="A28" s="66" t="s">
        <v>1412</v>
      </c>
      <c r="B28" s="66" t="s">
        <v>1413</v>
      </c>
      <c r="C28" s="66" t="s">
        <v>842</v>
      </c>
      <c r="D28" s="66">
        <v>300</v>
      </c>
      <c r="E28" s="7">
        <v>2884.0680000000002</v>
      </c>
      <c r="F28" s="7">
        <v>0.78310319110874504</v>
      </c>
    </row>
    <row r="29" spans="1:6" x14ac:dyDescent="0.2">
      <c r="A29" s="66" t="s">
        <v>1482</v>
      </c>
      <c r="B29" s="66" t="s">
        <v>1483</v>
      </c>
      <c r="C29" s="66" t="s">
        <v>1158</v>
      </c>
      <c r="D29" s="66">
        <v>280</v>
      </c>
      <c r="E29" s="7">
        <v>2865.5956000000001</v>
      </c>
      <c r="F29" s="7">
        <v>0.77808743025031901</v>
      </c>
    </row>
    <row r="30" spans="1:6" x14ac:dyDescent="0.2">
      <c r="A30" s="66" t="s">
        <v>1815</v>
      </c>
      <c r="B30" s="66" t="s">
        <v>1816</v>
      </c>
      <c r="C30" s="66" t="s">
        <v>747</v>
      </c>
      <c r="D30" s="66">
        <v>270</v>
      </c>
      <c r="E30" s="7">
        <v>2659.9292999999998</v>
      </c>
      <c r="F30" s="7">
        <v>0.72224341553446303</v>
      </c>
    </row>
    <row r="31" spans="1:6" x14ac:dyDescent="0.2">
      <c r="A31" s="66" t="s">
        <v>1464</v>
      </c>
      <c r="B31" s="66" t="s">
        <v>1465</v>
      </c>
      <c r="C31" s="66" t="s">
        <v>756</v>
      </c>
      <c r="D31" s="66">
        <v>250</v>
      </c>
      <c r="E31" s="7">
        <v>2498.8074999999999</v>
      </c>
      <c r="F31" s="7">
        <v>0.67849444854159602</v>
      </c>
    </row>
    <row r="32" spans="1:6" x14ac:dyDescent="0.2">
      <c r="A32" s="66" t="s">
        <v>802</v>
      </c>
      <c r="B32" s="66" t="s">
        <v>803</v>
      </c>
      <c r="C32" s="66" t="s">
        <v>750</v>
      </c>
      <c r="D32" s="66">
        <v>250</v>
      </c>
      <c r="E32" s="7">
        <v>2488.2950000000001</v>
      </c>
      <c r="F32" s="7">
        <v>0.67564001782202598</v>
      </c>
    </row>
    <row r="33" spans="1:6" x14ac:dyDescent="0.2">
      <c r="A33" s="66" t="s">
        <v>1442</v>
      </c>
      <c r="B33" s="66" t="s">
        <v>1443</v>
      </c>
      <c r="C33" s="66" t="s">
        <v>794</v>
      </c>
      <c r="D33" s="66">
        <v>250</v>
      </c>
      <c r="E33" s="7">
        <v>2488.0700000000002</v>
      </c>
      <c r="F33" s="7">
        <v>0.67557892417998999</v>
      </c>
    </row>
    <row r="34" spans="1:6" x14ac:dyDescent="0.2">
      <c r="A34" s="66" t="s">
        <v>1445</v>
      </c>
      <c r="B34" s="66" t="s">
        <v>1446</v>
      </c>
      <c r="C34" s="66" t="s">
        <v>775</v>
      </c>
      <c r="D34" s="66">
        <v>250</v>
      </c>
      <c r="E34" s="7">
        <v>2461.5425</v>
      </c>
      <c r="F34" s="7">
        <v>0.66837598378394603</v>
      </c>
    </row>
    <row r="35" spans="1:6" x14ac:dyDescent="0.2">
      <c r="A35" s="66" t="s">
        <v>1216</v>
      </c>
      <c r="B35" s="66" t="s">
        <v>1217</v>
      </c>
      <c r="C35" s="66" t="s">
        <v>424</v>
      </c>
      <c r="D35" s="66">
        <v>250</v>
      </c>
      <c r="E35" s="7">
        <v>2418.86</v>
      </c>
      <c r="F35" s="7">
        <v>0.65678651988971803</v>
      </c>
    </row>
    <row r="36" spans="1:6" x14ac:dyDescent="0.2">
      <c r="A36" s="66" t="s">
        <v>1472</v>
      </c>
      <c r="B36" s="66" t="s">
        <v>1473</v>
      </c>
      <c r="C36" s="66" t="s">
        <v>759</v>
      </c>
      <c r="D36" s="66">
        <v>250</v>
      </c>
      <c r="E36" s="7">
        <v>2381.1725000000001</v>
      </c>
      <c r="F36" s="7">
        <v>0.64655333484868804</v>
      </c>
    </row>
    <row r="37" spans="1:6" x14ac:dyDescent="0.2">
      <c r="A37" s="66" t="s">
        <v>1416</v>
      </c>
      <c r="B37" s="66" t="s">
        <v>1417</v>
      </c>
      <c r="C37" s="66" t="s">
        <v>424</v>
      </c>
      <c r="D37" s="66">
        <v>211</v>
      </c>
      <c r="E37" s="7">
        <v>2178.7564600000001</v>
      </c>
      <c r="F37" s="7">
        <v>0.59159185444822804</v>
      </c>
    </row>
    <row r="38" spans="1:6" x14ac:dyDescent="0.2">
      <c r="A38" s="66" t="s">
        <v>1460</v>
      </c>
      <c r="B38" s="66" t="s">
        <v>1461</v>
      </c>
      <c r="C38" s="66" t="s">
        <v>1243</v>
      </c>
      <c r="D38" s="66">
        <v>210</v>
      </c>
      <c r="E38" s="7">
        <v>1999.1642999999999</v>
      </c>
      <c r="F38" s="7">
        <v>0.54282768051262298</v>
      </c>
    </row>
    <row r="39" spans="1:6" x14ac:dyDescent="0.2">
      <c r="A39" s="66" t="s">
        <v>800</v>
      </c>
      <c r="B39" s="66" t="s">
        <v>801</v>
      </c>
      <c r="C39" s="66" t="s">
        <v>756</v>
      </c>
      <c r="D39" s="66">
        <v>200</v>
      </c>
      <c r="E39" s="7">
        <v>1994.5940000000001</v>
      </c>
      <c r="F39" s="7">
        <v>0.54158671930285796</v>
      </c>
    </row>
    <row r="40" spans="1:6" x14ac:dyDescent="0.2">
      <c r="A40" s="66" t="s">
        <v>1817</v>
      </c>
      <c r="B40" s="66" t="s">
        <v>1818</v>
      </c>
      <c r="C40" s="66" t="s">
        <v>775</v>
      </c>
      <c r="D40" s="66">
        <v>200</v>
      </c>
      <c r="E40" s="7">
        <v>1984.7639999999999</v>
      </c>
      <c r="F40" s="7">
        <v>0.53891760596412996</v>
      </c>
    </row>
    <row r="41" spans="1:6" x14ac:dyDescent="0.2">
      <c r="A41" s="66" t="s">
        <v>1454</v>
      </c>
      <c r="B41" s="66" t="s">
        <v>1455</v>
      </c>
      <c r="C41" s="66" t="s">
        <v>429</v>
      </c>
      <c r="D41" s="66">
        <v>150</v>
      </c>
      <c r="E41" s="7">
        <v>1480.5825</v>
      </c>
      <c r="F41" s="7">
        <v>0.40201856559892601</v>
      </c>
    </row>
    <row r="42" spans="1:6" x14ac:dyDescent="0.2">
      <c r="A42" s="66" t="s">
        <v>1450</v>
      </c>
      <c r="B42" s="66" t="s">
        <v>1451</v>
      </c>
      <c r="C42" s="66" t="s">
        <v>1158</v>
      </c>
      <c r="D42" s="66">
        <v>140</v>
      </c>
      <c r="E42" s="7">
        <v>1438.1332</v>
      </c>
      <c r="F42" s="7">
        <v>0.39049242187057698</v>
      </c>
    </row>
    <row r="43" spans="1:6" x14ac:dyDescent="0.2">
      <c r="A43" s="66" t="s">
        <v>808</v>
      </c>
      <c r="B43" s="66" t="s">
        <v>809</v>
      </c>
      <c r="C43" s="66" t="s">
        <v>747</v>
      </c>
      <c r="D43" s="66">
        <v>120</v>
      </c>
      <c r="E43" s="7">
        <v>1201.9356</v>
      </c>
      <c r="F43" s="7">
        <v>0.32635832576319401</v>
      </c>
    </row>
    <row r="44" spans="1:6" x14ac:dyDescent="0.2">
      <c r="A44" s="66" t="s">
        <v>804</v>
      </c>
      <c r="B44" s="66" t="s">
        <v>805</v>
      </c>
      <c r="C44" s="66" t="s">
        <v>759</v>
      </c>
      <c r="D44" s="66">
        <v>100</v>
      </c>
      <c r="E44" s="7">
        <v>1020.563</v>
      </c>
      <c r="F44" s="7">
        <v>0.27711071376524898</v>
      </c>
    </row>
    <row r="45" spans="1:6" x14ac:dyDescent="0.2">
      <c r="A45" s="66" t="s">
        <v>1195</v>
      </c>
      <c r="B45" s="66" t="s">
        <v>1196</v>
      </c>
      <c r="C45" s="66" t="s">
        <v>775</v>
      </c>
      <c r="D45" s="66">
        <v>100</v>
      </c>
      <c r="E45" s="7">
        <v>991.31700000000001</v>
      </c>
      <c r="F45" s="7">
        <v>0.269169626409761</v>
      </c>
    </row>
    <row r="46" spans="1:6" x14ac:dyDescent="0.2">
      <c r="A46" s="66" t="s">
        <v>1179</v>
      </c>
      <c r="B46" s="66" t="s">
        <v>1180</v>
      </c>
      <c r="C46" s="66" t="s">
        <v>775</v>
      </c>
      <c r="D46" s="66">
        <v>100</v>
      </c>
      <c r="E46" s="7">
        <v>990.45299999999997</v>
      </c>
      <c r="F46" s="7">
        <v>0.268935026824343</v>
      </c>
    </row>
    <row r="47" spans="1:6" x14ac:dyDescent="0.2">
      <c r="A47" s="66" t="s">
        <v>815</v>
      </c>
      <c r="B47" s="66" t="s">
        <v>816</v>
      </c>
      <c r="C47" s="66" t="s">
        <v>744</v>
      </c>
      <c r="D47" s="66">
        <v>90</v>
      </c>
      <c r="E47" s="7">
        <v>909.80640000000005</v>
      </c>
      <c r="F47" s="7">
        <v>0.24703727343847601</v>
      </c>
    </row>
    <row r="48" spans="1:6" x14ac:dyDescent="0.2">
      <c r="A48" s="66" t="s">
        <v>1418</v>
      </c>
      <c r="B48" s="66" t="s">
        <v>1419</v>
      </c>
      <c r="C48" s="66" t="s">
        <v>1158</v>
      </c>
      <c r="D48" s="66">
        <v>80</v>
      </c>
      <c r="E48" s="7">
        <v>800.70320000000004</v>
      </c>
      <c r="F48" s="7">
        <v>0.217412776346114</v>
      </c>
    </row>
    <row r="49" spans="1:6" x14ac:dyDescent="0.2">
      <c r="A49" s="66" t="s">
        <v>1424</v>
      </c>
      <c r="B49" s="66" t="s">
        <v>1425</v>
      </c>
      <c r="C49" s="66" t="s">
        <v>767</v>
      </c>
      <c r="D49" s="66">
        <v>58</v>
      </c>
      <c r="E49" s="7">
        <v>582.40409999999997</v>
      </c>
      <c r="F49" s="7">
        <v>0.15813861158087</v>
      </c>
    </row>
    <row r="50" spans="1:6" x14ac:dyDescent="0.2">
      <c r="A50" s="66" t="s">
        <v>1819</v>
      </c>
      <c r="B50" s="66" t="s">
        <v>1820</v>
      </c>
      <c r="C50" s="66" t="s">
        <v>767</v>
      </c>
      <c r="D50" s="66">
        <v>50</v>
      </c>
      <c r="E50" s="7">
        <v>507.10550000000001</v>
      </c>
      <c r="F50" s="7">
        <v>0.13769298618437401</v>
      </c>
    </row>
    <row r="51" spans="1:6" x14ac:dyDescent="0.2">
      <c r="A51" s="66" t="s">
        <v>1126</v>
      </c>
      <c r="B51" s="66" t="s">
        <v>1127</v>
      </c>
      <c r="C51" s="66" t="s">
        <v>842</v>
      </c>
      <c r="D51" s="66">
        <v>40</v>
      </c>
      <c r="E51" s="7">
        <v>398.35399999999998</v>
      </c>
      <c r="F51" s="7">
        <v>0.10816398524269601</v>
      </c>
    </row>
    <row r="52" spans="1:6" x14ac:dyDescent="0.2">
      <c r="A52" s="66" t="s">
        <v>1203</v>
      </c>
      <c r="B52" s="66" t="s">
        <v>1204</v>
      </c>
      <c r="C52" s="66" t="s">
        <v>1205</v>
      </c>
      <c r="D52" s="66">
        <v>20</v>
      </c>
      <c r="E52" s="7">
        <v>200.59780000000001</v>
      </c>
      <c r="F52" s="7">
        <v>5.4467778606258101E-2</v>
      </c>
    </row>
    <row r="53" spans="1:6" x14ac:dyDescent="0.2">
      <c r="A53" s="66" t="s">
        <v>1821</v>
      </c>
      <c r="B53" s="66" t="s">
        <v>1822</v>
      </c>
      <c r="C53" s="66" t="s">
        <v>775</v>
      </c>
      <c r="D53" s="66">
        <v>1500</v>
      </c>
      <c r="E53" s="7">
        <v>150.1071</v>
      </c>
      <c r="F53" s="7">
        <v>4.0758175264272299E-2</v>
      </c>
    </row>
    <row r="54" spans="1:6" x14ac:dyDescent="0.2">
      <c r="A54" s="66" t="s">
        <v>770</v>
      </c>
      <c r="B54" s="66" t="s">
        <v>771</v>
      </c>
      <c r="C54" s="66" t="s">
        <v>772</v>
      </c>
      <c r="D54" s="66">
        <v>100</v>
      </c>
      <c r="E54" s="7">
        <v>95.387</v>
      </c>
      <c r="F54" s="7">
        <v>2.5900174368388599E-2</v>
      </c>
    </row>
    <row r="55" spans="1:6" x14ac:dyDescent="0.2">
      <c r="A55" s="65" t="s">
        <v>39</v>
      </c>
      <c r="B55" s="66"/>
      <c r="C55" s="66"/>
      <c r="D55" s="66"/>
      <c r="E55" s="6">
        <f>SUM(E8:E54)</f>
        <v>172597.89078999998</v>
      </c>
      <c r="F55" s="6">
        <f>SUM(F8:F54)</f>
        <v>46.865038915964384</v>
      </c>
    </row>
    <row r="56" spans="1:6" x14ac:dyDescent="0.2">
      <c r="A56" s="66"/>
      <c r="B56" s="66"/>
      <c r="C56" s="66"/>
      <c r="D56" s="66"/>
      <c r="E56" s="7"/>
      <c r="F56" s="7"/>
    </row>
    <row r="57" spans="1:6" x14ac:dyDescent="0.2">
      <c r="A57" s="65" t="s">
        <v>822</v>
      </c>
      <c r="B57" s="66"/>
      <c r="C57" s="66"/>
      <c r="D57" s="66"/>
      <c r="E57" s="7"/>
      <c r="F57" s="7"/>
    </row>
    <row r="58" spans="1:6" x14ac:dyDescent="0.2">
      <c r="A58" s="66" t="s">
        <v>1258</v>
      </c>
      <c r="B58" s="66" t="s">
        <v>1259</v>
      </c>
      <c r="C58" s="66" t="s">
        <v>1260</v>
      </c>
      <c r="D58" s="66">
        <v>740</v>
      </c>
      <c r="E58" s="7">
        <v>12117.722</v>
      </c>
      <c r="F58" s="7">
        <v>3.29029231182089</v>
      </c>
    </row>
    <row r="59" spans="1:6" x14ac:dyDescent="0.2">
      <c r="A59" s="66" t="s">
        <v>834</v>
      </c>
      <c r="B59" s="66" t="s">
        <v>835</v>
      </c>
      <c r="C59" s="66" t="s">
        <v>836</v>
      </c>
      <c r="D59" s="66">
        <v>11978</v>
      </c>
      <c r="E59" s="7">
        <v>11558.602308</v>
      </c>
      <c r="F59" s="7">
        <v>3.1384760526283402</v>
      </c>
    </row>
    <row r="60" spans="1:6" x14ac:dyDescent="0.2">
      <c r="A60" s="66" t="s">
        <v>1261</v>
      </c>
      <c r="B60" s="66" t="s">
        <v>1262</v>
      </c>
      <c r="C60" s="66" t="s">
        <v>791</v>
      </c>
      <c r="D60" s="66">
        <v>1060</v>
      </c>
      <c r="E60" s="7">
        <v>10284.162399999999</v>
      </c>
      <c r="F60" s="7">
        <v>2.79243082802506</v>
      </c>
    </row>
    <row r="61" spans="1:6" x14ac:dyDescent="0.2">
      <c r="A61" s="66" t="s">
        <v>843</v>
      </c>
      <c r="B61" s="66" t="s">
        <v>844</v>
      </c>
      <c r="C61" s="66" t="s">
        <v>830</v>
      </c>
      <c r="D61" s="66">
        <v>100</v>
      </c>
      <c r="E61" s="7">
        <v>10198.32</v>
      </c>
      <c r="F61" s="7">
        <v>2.7691222731045602</v>
      </c>
    </row>
    <row r="62" spans="1:6" x14ac:dyDescent="0.2">
      <c r="A62" s="66" t="s">
        <v>1522</v>
      </c>
      <c r="B62" s="66" t="s">
        <v>1523</v>
      </c>
      <c r="C62" s="66" t="s">
        <v>851</v>
      </c>
      <c r="D62" s="66">
        <v>1000</v>
      </c>
      <c r="E62" s="7">
        <v>9787.73</v>
      </c>
      <c r="F62" s="7">
        <v>2.6576358798443001</v>
      </c>
    </row>
    <row r="63" spans="1:6" x14ac:dyDescent="0.2">
      <c r="A63" s="66" t="s">
        <v>854</v>
      </c>
      <c r="B63" s="66" t="s">
        <v>855</v>
      </c>
      <c r="C63" s="66" t="s">
        <v>839</v>
      </c>
      <c r="D63" s="66">
        <v>9000</v>
      </c>
      <c r="E63" s="7">
        <v>9223.11</v>
      </c>
      <c r="F63" s="7">
        <v>2.5043261368826899</v>
      </c>
    </row>
    <row r="64" spans="1:6" x14ac:dyDescent="0.2">
      <c r="A64" s="66" t="s">
        <v>856</v>
      </c>
      <c r="B64" s="66" t="s">
        <v>857</v>
      </c>
      <c r="C64" s="66" t="s">
        <v>756</v>
      </c>
      <c r="D64" s="66">
        <v>900</v>
      </c>
      <c r="E64" s="7">
        <v>8651.0879999999997</v>
      </c>
      <c r="F64" s="7">
        <v>2.34900654886173</v>
      </c>
    </row>
    <row r="65" spans="1:6" x14ac:dyDescent="0.2">
      <c r="A65" s="66" t="s">
        <v>1526</v>
      </c>
      <c r="B65" s="66" t="s">
        <v>1527</v>
      </c>
      <c r="C65" s="66" t="s">
        <v>1528</v>
      </c>
      <c r="D65" s="66">
        <v>600</v>
      </c>
      <c r="E65" s="7">
        <v>5947.152</v>
      </c>
      <c r="F65" s="7">
        <v>1.6148141129851099</v>
      </c>
    </row>
    <row r="66" spans="1:6" x14ac:dyDescent="0.2">
      <c r="A66" s="66" t="s">
        <v>828</v>
      </c>
      <c r="B66" s="66" t="s">
        <v>829</v>
      </c>
      <c r="C66" s="66" t="s">
        <v>830</v>
      </c>
      <c r="D66" s="66">
        <v>550</v>
      </c>
      <c r="E66" s="7">
        <v>5379.1594999999998</v>
      </c>
      <c r="F66" s="7">
        <v>1.4605886442111999</v>
      </c>
    </row>
    <row r="67" spans="1:6" x14ac:dyDescent="0.2">
      <c r="A67" s="66" t="s">
        <v>837</v>
      </c>
      <c r="B67" s="66" t="s">
        <v>838</v>
      </c>
      <c r="C67" s="66" t="s">
        <v>839</v>
      </c>
      <c r="D67" s="66">
        <v>500</v>
      </c>
      <c r="E67" s="7">
        <v>5199.38</v>
      </c>
      <c r="F67" s="7">
        <v>1.4117736023516001</v>
      </c>
    </row>
    <row r="68" spans="1:6" x14ac:dyDescent="0.2">
      <c r="A68" s="66" t="s">
        <v>1823</v>
      </c>
      <c r="B68" s="66" t="s">
        <v>1824</v>
      </c>
      <c r="C68" s="66" t="s">
        <v>842</v>
      </c>
      <c r="D68" s="66">
        <v>500</v>
      </c>
      <c r="E68" s="7">
        <v>5124.8</v>
      </c>
      <c r="F68" s="7">
        <v>1.39152309647141</v>
      </c>
    </row>
    <row r="69" spans="1:6" x14ac:dyDescent="0.2">
      <c r="A69" s="66" t="s">
        <v>1508</v>
      </c>
      <c r="B69" s="66" t="s">
        <v>1509</v>
      </c>
      <c r="C69" s="66" t="s">
        <v>1260</v>
      </c>
      <c r="D69" s="66">
        <v>470</v>
      </c>
      <c r="E69" s="7">
        <v>4562.2664999999997</v>
      </c>
      <c r="F69" s="7">
        <v>1.23877989521694</v>
      </c>
    </row>
    <row r="70" spans="1:6" x14ac:dyDescent="0.2">
      <c r="A70" s="66" t="s">
        <v>845</v>
      </c>
      <c r="B70" s="66" t="s">
        <v>846</v>
      </c>
      <c r="C70" s="66" t="s">
        <v>830</v>
      </c>
      <c r="D70" s="66">
        <v>450</v>
      </c>
      <c r="E70" s="7">
        <v>4478.0715</v>
      </c>
      <c r="F70" s="7">
        <v>1.2159186543670699</v>
      </c>
    </row>
    <row r="71" spans="1:6" x14ac:dyDescent="0.2">
      <c r="A71" s="66" t="s">
        <v>870</v>
      </c>
      <c r="B71" s="66" t="s">
        <v>871</v>
      </c>
      <c r="C71" s="66" t="s">
        <v>839</v>
      </c>
      <c r="D71" s="66">
        <v>440</v>
      </c>
      <c r="E71" s="7">
        <v>4298.9232000000002</v>
      </c>
      <c r="F71" s="7">
        <v>1.16727500053793</v>
      </c>
    </row>
    <row r="72" spans="1:6" x14ac:dyDescent="0.2">
      <c r="A72" s="66" t="s">
        <v>847</v>
      </c>
      <c r="B72" s="66" t="s">
        <v>848</v>
      </c>
      <c r="C72" s="66" t="s">
        <v>839</v>
      </c>
      <c r="D72" s="66">
        <v>450</v>
      </c>
      <c r="E72" s="7">
        <v>4259.0114999999996</v>
      </c>
      <c r="F72" s="7">
        <v>1.1564378844808201</v>
      </c>
    </row>
    <row r="73" spans="1:6" x14ac:dyDescent="0.2">
      <c r="A73" s="66" t="s">
        <v>1825</v>
      </c>
      <c r="B73" s="66" t="s">
        <v>1826</v>
      </c>
      <c r="C73" s="66" t="s">
        <v>750</v>
      </c>
      <c r="D73" s="66">
        <v>370</v>
      </c>
      <c r="E73" s="7">
        <v>3935.6122999999998</v>
      </c>
      <c r="F73" s="7">
        <v>1.0686261735495901</v>
      </c>
    </row>
    <row r="74" spans="1:6" x14ac:dyDescent="0.2">
      <c r="A74" s="66" t="s">
        <v>881</v>
      </c>
      <c r="B74" s="66" t="s">
        <v>882</v>
      </c>
      <c r="C74" s="66" t="s">
        <v>842</v>
      </c>
      <c r="D74" s="66">
        <v>400</v>
      </c>
      <c r="E74" s="7">
        <v>3899.8240000000001</v>
      </c>
      <c r="F74" s="7">
        <v>1.0589086731528099</v>
      </c>
    </row>
    <row r="75" spans="1:6" x14ac:dyDescent="0.2">
      <c r="A75" s="66" t="s">
        <v>1248</v>
      </c>
      <c r="B75" s="66" t="s">
        <v>1249</v>
      </c>
      <c r="C75" s="66" t="s">
        <v>753</v>
      </c>
      <c r="D75" s="66">
        <v>345</v>
      </c>
      <c r="E75" s="7">
        <v>3831.0421500000002</v>
      </c>
      <c r="F75" s="7">
        <v>1.0402325232751499</v>
      </c>
    </row>
    <row r="76" spans="1:6" x14ac:dyDescent="0.2">
      <c r="A76" s="66" t="s">
        <v>1827</v>
      </c>
      <c r="B76" s="66" t="s">
        <v>1828</v>
      </c>
      <c r="C76" s="66" t="s">
        <v>825</v>
      </c>
      <c r="D76" s="66">
        <v>390</v>
      </c>
      <c r="E76" s="7">
        <v>3748.4733000000001</v>
      </c>
      <c r="F76" s="7">
        <v>1.0178128265408199</v>
      </c>
    </row>
    <row r="77" spans="1:6" x14ac:dyDescent="0.2">
      <c r="A77" s="66" t="s">
        <v>879</v>
      </c>
      <c r="B77" s="66" t="s">
        <v>880</v>
      </c>
      <c r="C77" s="66" t="s">
        <v>791</v>
      </c>
      <c r="D77" s="66">
        <v>300</v>
      </c>
      <c r="E77" s="7">
        <v>3571.17</v>
      </c>
      <c r="F77" s="7">
        <v>0.96967014057637202</v>
      </c>
    </row>
    <row r="78" spans="1:6" x14ac:dyDescent="0.2">
      <c r="A78" s="66" t="s">
        <v>1829</v>
      </c>
      <c r="B78" s="66" t="s">
        <v>1830</v>
      </c>
      <c r="C78" s="66" t="s">
        <v>839</v>
      </c>
      <c r="D78" s="66">
        <v>400</v>
      </c>
      <c r="E78" s="7">
        <v>3513.404</v>
      </c>
      <c r="F78" s="7">
        <v>0.95398509468369896</v>
      </c>
    </row>
    <row r="79" spans="1:6" x14ac:dyDescent="0.2">
      <c r="A79" s="66" t="s">
        <v>876</v>
      </c>
      <c r="B79" s="66" t="s">
        <v>877</v>
      </c>
      <c r="C79" s="66" t="s">
        <v>878</v>
      </c>
      <c r="D79" s="66">
        <v>350</v>
      </c>
      <c r="E79" s="7">
        <v>3448.6759999999999</v>
      </c>
      <c r="F79" s="7">
        <v>0.936409675742784</v>
      </c>
    </row>
    <row r="80" spans="1:6" x14ac:dyDescent="0.2">
      <c r="A80" s="66" t="s">
        <v>852</v>
      </c>
      <c r="B80" s="66" t="s">
        <v>853</v>
      </c>
      <c r="C80" s="66" t="s">
        <v>836</v>
      </c>
      <c r="D80" s="66">
        <v>22</v>
      </c>
      <c r="E80" s="7">
        <v>3226.3748000000001</v>
      </c>
      <c r="F80" s="7">
        <v>0.87604883157846403</v>
      </c>
    </row>
    <row r="81" spans="1:6" x14ac:dyDescent="0.2">
      <c r="A81" s="66" t="s">
        <v>1496</v>
      </c>
      <c r="B81" s="66" t="s">
        <v>1497</v>
      </c>
      <c r="C81" s="66" t="s">
        <v>786</v>
      </c>
      <c r="D81" s="66">
        <v>338</v>
      </c>
      <c r="E81" s="7">
        <v>3148.2334000000001</v>
      </c>
      <c r="F81" s="7">
        <v>0.85483130837939103</v>
      </c>
    </row>
    <row r="82" spans="1:6" x14ac:dyDescent="0.2">
      <c r="A82" s="66" t="s">
        <v>1301</v>
      </c>
      <c r="B82" s="66" t="s">
        <v>1302</v>
      </c>
      <c r="C82" s="66" t="s">
        <v>1238</v>
      </c>
      <c r="D82" s="66">
        <v>300</v>
      </c>
      <c r="E82" s="7">
        <v>2977.9560000000001</v>
      </c>
      <c r="F82" s="7">
        <v>0.80859634605752395</v>
      </c>
    </row>
    <row r="83" spans="1:6" x14ac:dyDescent="0.2">
      <c r="A83" s="66" t="s">
        <v>849</v>
      </c>
      <c r="B83" s="66" t="s">
        <v>850</v>
      </c>
      <c r="C83" s="66" t="s">
        <v>851</v>
      </c>
      <c r="D83" s="66">
        <v>250</v>
      </c>
      <c r="E83" s="7">
        <v>2515.9450000000002</v>
      </c>
      <c r="F83" s="7">
        <v>0.68314774761000496</v>
      </c>
    </row>
    <row r="84" spans="1:6" x14ac:dyDescent="0.2">
      <c r="A84" s="66" t="s">
        <v>1512</v>
      </c>
      <c r="B84" s="66" t="s">
        <v>1513</v>
      </c>
      <c r="C84" s="66" t="s">
        <v>1238</v>
      </c>
      <c r="D84" s="66">
        <v>17</v>
      </c>
      <c r="E84" s="7">
        <v>2510.7215000000001</v>
      </c>
      <c r="F84" s="7">
        <v>0.68172942476922704</v>
      </c>
    </row>
    <row r="85" spans="1:6" x14ac:dyDescent="0.2">
      <c r="A85" s="66" t="s">
        <v>1498</v>
      </c>
      <c r="B85" s="66" t="s">
        <v>1499</v>
      </c>
      <c r="C85" s="66" t="s">
        <v>830</v>
      </c>
      <c r="D85" s="66">
        <v>250</v>
      </c>
      <c r="E85" s="7">
        <v>2508.0774999999999</v>
      </c>
      <c r="F85" s="7">
        <v>0.68101150659347898</v>
      </c>
    </row>
    <row r="86" spans="1:6" x14ac:dyDescent="0.2">
      <c r="A86" s="66" t="s">
        <v>1529</v>
      </c>
      <c r="B86" s="66" t="s">
        <v>1530</v>
      </c>
      <c r="C86" s="66" t="s">
        <v>851</v>
      </c>
      <c r="D86" s="66">
        <v>250</v>
      </c>
      <c r="E86" s="7">
        <v>2492.895</v>
      </c>
      <c r="F86" s="7">
        <v>0.67688904339253897</v>
      </c>
    </row>
    <row r="87" spans="1:6" x14ac:dyDescent="0.2">
      <c r="A87" s="66" t="s">
        <v>1831</v>
      </c>
      <c r="B87" s="66" t="s">
        <v>1832</v>
      </c>
      <c r="C87" s="66" t="s">
        <v>786</v>
      </c>
      <c r="D87" s="66">
        <v>2500</v>
      </c>
      <c r="E87" s="7">
        <v>2300.9274999999998</v>
      </c>
      <c r="F87" s="7">
        <v>0.62476462682567302</v>
      </c>
    </row>
    <row r="88" spans="1:6" x14ac:dyDescent="0.2">
      <c r="A88" s="66" t="s">
        <v>1833</v>
      </c>
      <c r="B88" s="66" t="s">
        <v>1834</v>
      </c>
      <c r="C88" s="66" t="s">
        <v>851</v>
      </c>
      <c r="D88" s="66">
        <v>230</v>
      </c>
      <c r="E88" s="7">
        <v>2290.6091000000001</v>
      </c>
      <c r="F88" s="7">
        <v>0.62196289955463202</v>
      </c>
    </row>
    <row r="89" spans="1:6" x14ac:dyDescent="0.2">
      <c r="A89" s="66" t="s">
        <v>1547</v>
      </c>
      <c r="B89" s="66" t="s">
        <v>1548</v>
      </c>
      <c r="C89" s="66" t="s">
        <v>851</v>
      </c>
      <c r="D89" s="66">
        <v>230</v>
      </c>
      <c r="E89" s="7">
        <v>2289.4798000000001</v>
      </c>
      <c r="F89" s="7">
        <v>0.62165626377707095</v>
      </c>
    </row>
    <row r="90" spans="1:6" x14ac:dyDescent="0.2">
      <c r="A90" s="66" t="s">
        <v>1835</v>
      </c>
      <c r="B90" s="66" t="s">
        <v>1836</v>
      </c>
      <c r="C90" s="66" t="s">
        <v>839</v>
      </c>
      <c r="D90" s="66">
        <v>200</v>
      </c>
      <c r="E90" s="7">
        <v>1995.136</v>
      </c>
      <c r="F90" s="7">
        <v>0.54173388709834003</v>
      </c>
    </row>
    <row r="91" spans="1:6" x14ac:dyDescent="0.2">
      <c r="A91" s="66" t="s">
        <v>1500</v>
      </c>
      <c r="B91" s="66" t="s">
        <v>1501</v>
      </c>
      <c r="C91" s="66" t="s">
        <v>791</v>
      </c>
      <c r="D91" s="66">
        <v>150</v>
      </c>
      <c r="E91" s="7">
        <v>1904.3115</v>
      </c>
      <c r="F91" s="7">
        <v>0.51707255602679303</v>
      </c>
    </row>
    <row r="92" spans="1:6" x14ac:dyDescent="0.2">
      <c r="A92" s="66" t="s">
        <v>831</v>
      </c>
      <c r="B92" s="66" t="s">
        <v>832</v>
      </c>
      <c r="C92" s="66" t="s">
        <v>833</v>
      </c>
      <c r="D92" s="66">
        <v>150</v>
      </c>
      <c r="E92" s="7">
        <v>1657.6679999999999</v>
      </c>
      <c r="F92" s="7">
        <v>0.45010211291788199</v>
      </c>
    </row>
    <row r="93" spans="1:6" x14ac:dyDescent="0.2">
      <c r="A93" s="66" t="s">
        <v>1504</v>
      </c>
      <c r="B93" s="66" t="s">
        <v>1505</v>
      </c>
      <c r="C93" s="66" t="s">
        <v>842</v>
      </c>
      <c r="D93" s="66">
        <v>160</v>
      </c>
      <c r="E93" s="7">
        <v>1639.9359999999999</v>
      </c>
      <c r="F93" s="7">
        <v>0.44528739087085001</v>
      </c>
    </row>
    <row r="94" spans="1:6" x14ac:dyDescent="0.2">
      <c r="A94" s="66" t="s">
        <v>1753</v>
      </c>
      <c r="B94" s="66" t="s">
        <v>1754</v>
      </c>
      <c r="C94" s="66" t="s">
        <v>833</v>
      </c>
      <c r="D94" s="66">
        <v>140</v>
      </c>
      <c r="E94" s="7">
        <v>1598.0118</v>
      </c>
      <c r="F94" s="7">
        <v>0.43390382612664802</v>
      </c>
    </row>
    <row r="95" spans="1:6" x14ac:dyDescent="0.2">
      <c r="A95" s="66" t="s">
        <v>1244</v>
      </c>
      <c r="B95" s="66" t="s">
        <v>1245</v>
      </c>
      <c r="C95" s="66" t="s">
        <v>1229</v>
      </c>
      <c r="D95" s="66">
        <v>150</v>
      </c>
      <c r="E95" s="7">
        <v>1499.7619999999999</v>
      </c>
      <c r="F95" s="7">
        <v>0.40722632340972298</v>
      </c>
    </row>
    <row r="96" spans="1:6" x14ac:dyDescent="0.2">
      <c r="A96" s="66" t="s">
        <v>1277</v>
      </c>
      <c r="B96" s="66" t="s">
        <v>1278</v>
      </c>
      <c r="C96" s="66" t="s">
        <v>1238</v>
      </c>
      <c r="D96" s="66">
        <v>150</v>
      </c>
      <c r="E96" s="7">
        <v>1485.4214999999999</v>
      </c>
      <c r="F96" s="7">
        <v>0.40333248619364698</v>
      </c>
    </row>
    <row r="97" spans="1:10" x14ac:dyDescent="0.2">
      <c r="A97" s="66" t="s">
        <v>872</v>
      </c>
      <c r="B97" s="66" t="s">
        <v>873</v>
      </c>
      <c r="C97" s="66" t="s">
        <v>825</v>
      </c>
      <c r="D97" s="66">
        <v>10</v>
      </c>
      <c r="E97" s="7">
        <v>1003.235</v>
      </c>
      <c r="F97" s="7">
        <v>0.272405688746583</v>
      </c>
    </row>
    <row r="98" spans="1:10" x14ac:dyDescent="0.2">
      <c r="A98" s="66" t="s">
        <v>874</v>
      </c>
      <c r="B98" s="66" t="s">
        <v>875</v>
      </c>
      <c r="C98" s="66" t="s">
        <v>839</v>
      </c>
      <c r="D98" s="66">
        <v>100</v>
      </c>
      <c r="E98" s="7">
        <v>995.178</v>
      </c>
      <c r="F98" s="7">
        <v>0.270217993307099</v>
      </c>
    </row>
    <row r="99" spans="1:10" x14ac:dyDescent="0.2">
      <c r="A99" s="66" t="s">
        <v>823</v>
      </c>
      <c r="B99" s="66" t="s">
        <v>824</v>
      </c>
      <c r="C99" s="66" t="s">
        <v>825</v>
      </c>
      <c r="D99" s="66">
        <v>100</v>
      </c>
      <c r="E99" s="7">
        <v>963.76800000000003</v>
      </c>
      <c r="F99" s="7">
        <v>0.26168932087887398</v>
      </c>
    </row>
    <row r="100" spans="1:10" x14ac:dyDescent="0.2">
      <c r="A100" s="66" t="s">
        <v>1287</v>
      </c>
      <c r="B100" s="66" t="s">
        <v>1288</v>
      </c>
      <c r="C100" s="66" t="s">
        <v>791</v>
      </c>
      <c r="D100" s="66">
        <v>50</v>
      </c>
      <c r="E100" s="7">
        <v>598.53650000000005</v>
      </c>
      <c r="F100" s="7">
        <v>0.16251899856212099</v>
      </c>
    </row>
    <row r="101" spans="1:10" x14ac:dyDescent="0.2">
      <c r="A101" s="66" t="s">
        <v>868</v>
      </c>
      <c r="B101" s="66" t="s">
        <v>869</v>
      </c>
      <c r="C101" s="66" t="s">
        <v>839</v>
      </c>
      <c r="D101" s="66">
        <v>50</v>
      </c>
      <c r="E101" s="7">
        <v>484.57150000000001</v>
      </c>
      <c r="F101" s="7">
        <v>0.13157439005264501</v>
      </c>
    </row>
    <row r="102" spans="1:10" x14ac:dyDescent="0.2">
      <c r="A102" s="66" t="s">
        <v>1837</v>
      </c>
      <c r="B102" s="66" t="s">
        <v>1838</v>
      </c>
      <c r="C102" s="66" t="s">
        <v>842</v>
      </c>
      <c r="D102" s="66">
        <v>40</v>
      </c>
      <c r="E102" s="7">
        <v>396.22199999999998</v>
      </c>
      <c r="F102" s="7">
        <v>0.107585089043493</v>
      </c>
    </row>
    <row r="103" spans="1:10" x14ac:dyDescent="0.2">
      <c r="A103" s="65" t="s">
        <v>39</v>
      </c>
      <c r="B103" s="66"/>
      <c r="C103" s="66"/>
      <c r="D103" s="66"/>
      <c r="E103" s="6">
        <f>SUM(E58:E102)</f>
        <v>179500.67805799999</v>
      </c>
      <c r="F103" s="6">
        <f>SUM(F58:F102)</f>
        <v>48.739334091083585</v>
      </c>
      <c r="I103" s="1"/>
      <c r="J103" s="1"/>
    </row>
    <row r="104" spans="1:10" x14ac:dyDescent="0.2">
      <c r="A104" s="66"/>
      <c r="B104" s="66"/>
      <c r="C104" s="66"/>
      <c r="D104" s="66"/>
      <c r="E104" s="7"/>
      <c r="F104" s="7"/>
    </row>
    <row r="105" spans="1:10" x14ac:dyDescent="0.2">
      <c r="A105" s="65" t="s">
        <v>39</v>
      </c>
      <c r="B105" s="66"/>
      <c r="C105" s="66"/>
      <c r="D105" s="66"/>
      <c r="E105" s="6">
        <v>352098.56884800002</v>
      </c>
      <c r="F105" s="6">
        <v>95.604373007047954</v>
      </c>
      <c r="I105" s="1"/>
      <c r="J105" s="1"/>
    </row>
    <row r="106" spans="1:10" x14ac:dyDescent="0.2">
      <c r="A106" s="66"/>
      <c r="B106" s="66"/>
      <c r="C106" s="66"/>
      <c r="D106" s="66"/>
      <c r="E106" s="7"/>
      <c r="F106" s="7"/>
    </row>
    <row r="107" spans="1:10" x14ac:dyDescent="0.2">
      <c r="A107" s="65" t="s">
        <v>103</v>
      </c>
      <c r="B107" s="66"/>
      <c r="C107" s="66"/>
      <c r="D107" s="66"/>
      <c r="E107" s="6">
        <v>16188.5258445</v>
      </c>
      <c r="F107" s="6">
        <v>4.4000000000000004</v>
      </c>
      <c r="I107" s="1"/>
      <c r="J107" s="1"/>
    </row>
    <row r="108" spans="1:10" x14ac:dyDescent="0.2">
      <c r="A108" s="66"/>
      <c r="B108" s="66"/>
      <c r="C108" s="66"/>
      <c r="D108" s="66"/>
      <c r="E108" s="7"/>
      <c r="F108" s="7"/>
    </row>
    <row r="109" spans="1:10" x14ac:dyDescent="0.2">
      <c r="A109" s="68" t="s">
        <v>104</v>
      </c>
      <c r="B109" s="64"/>
      <c r="C109" s="64"/>
      <c r="D109" s="64"/>
      <c r="E109" s="8">
        <v>368287.0958445</v>
      </c>
      <c r="F109" s="8">
        <f xml:space="preserve"> ROUND(SUM(F105:F108),2)</f>
        <v>100</v>
      </c>
      <c r="I109" s="1"/>
      <c r="J109" s="1"/>
    </row>
    <row r="110" spans="1:10" x14ac:dyDescent="0.2">
      <c r="A110" s="4" t="s">
        <v>714</v>
      </c>
    </row>
    <row r="112" spans="1:10" x14ac:dyDescent="0.2">
      <c r="A112" s="4" t="s">
        <v>105</v>
      </c>
    </row>
    <row r="113" spans="1:4" x14ac:dyDescent="0.2">
      <c r="A113" s="4" t="s">
        <v>106</v>
      </c>
    </row>
    <row r="114" spans="1:4" x14ac:dyDescent="0.2">
      <c r="A114" s="4" t="s">
        <v>107</v>
      </c>
    </row>
    <row r="115" spans="1:4" x14ac:dyDescent="0.2">
      <c r="A115" s="2" t="s">
        <v>722</v>
      </c>
      <c r="D115" s="10">
        <v>61.375900000000001</v>
      </c>
    </row>
    <row r="116" spans="1:4" x14ac:dyDescent="0.2">
      <c r="A116" s="2" t="s">
        <v>719</v>
      </c>
      <c r="D116" s="10">
        <v>12.4565</v>
      </c>
    </row>
    <row r="117" spans="1:4" x14ac:dyDescent="0.2">
      <c r="A117" s="2" t="s">
        <v>720</v>
      </c>
      <c r="D117" s="10">
        <v>64.039599999999993</v>
      </c>
    </row>
    <row r="118" spans="1:4" x14ac:dyDescent="0.2">
      <c r="A118" s="2" t="s">
        <v>721</v>
      </c>
      <c r="D118" s="10">
        <v>11.8223</v>
      </c>
    </row>
    <row r="120" spans="1:4" x14ac:dyDescent="0.2">
      <c r="A120" s="4" t="s">
        <v>108</v>
      </c>
    </row>
    <row r="121" spans="1:4" x14ac:dyDescent="0.2">
      <c r="A121" s="2" t="s">
        <v>721</v>
      </c>
      <c r="D121" s="10">
        <v>11.872999999999999</v>
      </c>
    </row>
    <row r="122" spans="1:4" x14ac:dyDescent="0.2">
      <c r="A122" s="2" t="s">
        <v>720</v>
      </c>
      <c r="D122" s="10">
        <v>67.144199999999998</v>
      </c>
    </row>
    <row r="123" spans="1:4" x14ac:dyDescent="0.2">
      <c r="A123" s="2" t="s">
        <v>719</v>
      </c>
      <c r="D123" s="10">
        <v>12.5952</v>
      </c>
    </row>
    <row r="124" spans="1:4" x14ac:dyDescent="0.2">
      <c r="A124" s="2" t="s">
        <v>722</v>
      </c>
      <c r="D124" s="10">
        <v>64.048599999999993</v>
      </c>
    </row>
    <row r="126" spans="1:4" x14ac:dyDescent="0.2">
      <c r="A126" s="4" t="s">
        <v>109</v>
      </c>
      <c r="D126" s="69"/>
    </row>
    <row r="127" spans="1:4" x14ac:dyDescent="0.2">
      <c r="A127" s="75" t="s">
        <v>727</v>
      </c>
      <c r="B127" s="76"/>
      <c r="C127" s="77" t="s">
        <v>728</v>
      </c>
      <c r="D127" s="77"/>
    </row>
    <row r="128" spans="1:4" x14ac:dyDescent="0.2">
      <c r="A128" s="78"/>
      <c r="B128" s="78"/>
      <c r="C128" s="43" t="s">
        <v>729</v>
      </c>
      <c r="D128" s="43" t="s">
        <v>730</v>
      </c>
    </row>
    <row r="129" spans="1:5" x14ac:dyDescent="0.2">
      <c r="A129" s="44" t="s">
        <v>721</v>
      </c>
      <c r="B129" s="45"/>
      <c r="C129" s="79">
        <v>0.32414521499999999</v>
      </c>
      <c r="D129" s="79">
        <v>0.30016008459999999</v>
      </c>
    </row>
    <row r="130" spans="1:5" x14ac:dyDescent="0.2">
      <c r="A130" s="44" t="s">
        <v>719</v>
      </c>
      <c r="B130" s="45"/>
      <c r="C130" s="79">
        <v>0.32414521499999999</v>
      </c>
      <c r="D130" s="79">
        <v>0.30016008459999999</v>
      </c>
    </row>
    <row r="132" spans="1:5" x14ac:dyDescent="0.2">
      <c r="A132" s="4" t="s">
        <v>883</v>
      </c>
      <c r="D132" s="70">
        <v>3.0141861036922242</v>
      </c>
      <c r="E132" s="1" t="s">
        <v>735</v>
      </c>
    </row>
  </sheetData>
  <mergeCells count="3">
    <mergeCell ref="A1:F1"/>
    <mergeCell ref="C127:D127"/>
    <mergeCell ref="A128:B1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42578125" style="2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2" t="s">
        <v>1839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751</v>
      </c>
      <c r="B8" s="66" t="s">
        <v>752</v>
      </c>
      <c r="C8" s="66" t="s">
        <v>753</v>
      </c>
      <c r="D8" s="66">
        <v>3370</v>
      </c>
      <c r="E8" s="7">
        <v>33215.4951</v>
      </c>
      <c r="F8" s="7">
        <v>4.7379425320512398</v>
      </c>
    </row>
    <row r="9" spans="1:6" x14ac:dyDescent="0.2">
      <c r="A9" s="66" t="s">
        <v>748</v>
      </c>
      <c r="B9" s="66" t="s">
        <v>749</v>
      </c>
      <c r="C9" s="66" t="s">
        <v>750</v>
      </c>
      <c r="D9" s="66">
        <v>2850</v>
      </c>
      <c r="E9" s="7">
        <v>28331.793000000001</v>
      </c>
      <c r="F9" s="7">
        <v>4.0413188681920804</v>
      </c>
    </row>
    <row r="10" spans="1:6" x14ac:dyDescent="0.2">
      <c r="A10" s="66" t="s">
        <v>1404</v>
      </c>
      <c r="B10" s="66" t="s">
        <v>1405</v>
      </c>
      <c r="C10" s="66" t="s">
        <v>424</v>
      </c>
      <c r="D10" s="66">
        <v>2300</v>
      </c>
      <c r="E10" s="7">
        <v>22999.9791735</v>
      </c>
      <c r="F10" s="7">
        <v>3.2807754102216702</v>
      </c>
    </row>
    <row r="11" spans="1:6" x14ac:dyDescent="0.2">
      <c r="A11" s="66" t="s">
        <v>1448</v>
      </c>
      <c r="B11" s="66" t="s">
        <v>1449</v>
      </c>
      <c r="C11" s="66" t="s">
        <v>747</v>
      </c>
      <c r="D11" s="66">
        <v>10250</v>
      </c>
      <c r="E11" s="7">
        <v>20492.271499999999</v>
      </c>
      <c r="F11" s="7">
        <v>2.9230696223519899</v>
      </c>
    </row>
    <row r="12" spans="1:6" x14ac:dyDescent="0.2">
      <c r="A12" s="66" t="s">
        <v>797</v>
      </c>
      <c r="B12" s="66" t="s">
        <v>798</v>
      </c>
      <c r="C12" s="66" t="s">
        <v>799</v>
      </c>
      <c r="D12" s="66">
        <v>2030</v>
      </c>
      <c r="E12" s="7">
        <v>20152.6626</v>
      </c>
      <c r="F12" s="7">
        <v>2.8746269468257402</v>
      </c>
    </row>
    <row r="13" spans="1:6" x14ac:dyDescent="0.2">
      <c r="A13" s="66" t="s">
        <v>1402</v>
      </c>
      <c r="B13" s="66" t="s">
        <v>1403</v>
      </c>
      <c r="C13" s="66" t="s">
        <v>429</v>
      </c>
      <c r="D13" s="66">
        <v>1830</v>
      </c>
      <c r="E13" s="7">
        <v>18252.054</v>
      </c>
      <c r="F13" s="7">
        <v>2.6035193118014401</v>
      </c>
    </row>
    <row r="14" spans="1:6" x14ac:dyDescent="0.2">
      <c r="A14" s="66" t="s">
        <v>1400</v>
      </c>
      <c r="B14" s="66" t="s">
        <v>1401</v>
      </c>
      <c r="C14" s="66" t="s">
        <v>753</v>
      </c>
      <c r="D14" s="66">
        <v>1695</v>
      </c>
      <c r="E14" s="7">
        <v>15985.59585</v>
      </c>
      <c r="F14" s="7">
        <v>2.28022596832816</v>
      </c>
    </row>
    <row r="15" spans="1:6" x14ac:dyDescent="0.2">
      <c r="A15" s="66" t="s">
        <v>1805</v>
      </c>
      <c r="B15" s="66" t="s">
        <v>1806</v>
      </c>
      <c r="C15" s="66" t="s">
        <v>747</v>
      </c>
      <c r="D15" s="66">
        <v>7250</v>
      </c>
      <c r="E15" s="7">
        <v>14489.066999999999</v>
      </c>
      <c r="F15" s="7">
        <v>2.06675729452065</v>
      </c>
    </row>
    <row r="16" spans="1:6" x14ac:dyDescent="0.2">
      <c r="A16" s="66" t="s">
        <v>770</v>
      </c>
      <c r="B16" s="66" t="s">
        <v>771</v>
      </c>
      <c r="C16" s="66" t="s">
        <v>772</v>
      </c>
      <c r="D16" s="66">
        <v>13200</v>
      </c>
      <c r="E16" s="7">
        <v>12591.084000000001</v>
      </c>
      <c r="F16" s="7">
        <v>1.7960241817449201</v>
      </c>
    </row>
    <row r="17" spans="1:6" x14ac:dyDescent="0.2">
      <c r="A17" s="66" t="s">
        <v>776</v>
      </c>
      <c r="B17" s="66" t="s">
        <v>777</v>
      </c>
      <c r="C17" s="66" t="s">
        <v>767</v>
      </c>
      <c r="D17" s="66">
        <v>1000</v>
      </c>
      <c r="E17" s="7">
        <v>10347.68</v>
      </c>
      <c r="F17" s="7">
        <v>1.47601934074606</v>
      </c>
    </row>
    <row r="18" spans="1:6" x14ac:dyDescent="0.2">
      <c r="A18" s="66" t="s">
        <v>782</v>
      </c>
      <c r="B18" s="66" t="s">
        <v>783</v>
      </c>
      <c r="C18" s="66" t="s">
        <v>775</v>
      </c>
      <c r="D18" s="66">
        <v>19</v>
      </c>
      <c r="E18" s="7">
        <v>9753.5264999999999</v>
      </c>
      <c r="F18" s="7">
        <v>1.3912677773645099</v>
      </c>
    </row>
    <row r="19" spans="1:6" x14ac:dyDescent="0.2">
      <c r="A19" s="66" t="s">
        <v>1424</v>
      </c>
      <c r="B19" s="66" t="s">
        <v>1425</v>
      </c>
      <c r="C19" s="66" t="s">
        <v>767</v>
      </c>
      <c r="D19" s="66">
        <v>929</v>
      </c>
      <c r="E19" s="7">
        <v>9328.5070500000002</v>
      </c>
      <c r="F19" s="7">
        <v>1.33064192418841</v>
      </c>
    </row>
    <row r="20" spans="1:6" x14ac:dyDescent="0.2">
      <c r="A20" s="66" t="s">
        <v>1807</v>
      </c>
      <c r="B20" s="66" t="s">
        <v>1808</v>
      </c>
      <c r="C20" s="66" t="s">
        <v>839</v>
      </c>
      <c r="D20" s="66">
        <v>850</v>
      </c>
      <c r="E20" s="7">
        <v>8946.7005000000008</v>
      </c>
      <c r="F20" s="7">
        <v>1.2761800687557401</v>
      </c>
    </row>
    <row r="21" spans="1:6" x14ac:dyDescent="0.2">
      <c r="A21" s="66" t="s">
        <v>1414</v>
      </c>
      <c r="B21" s="66" t="s">
        <v>1415</v>
      </c>
      <c r="C21" s="66" t="s">
        <v>764</v>
      </c>
      <c r="D21" s="66">
        <v>70</v>
      </c>
      <c r="E21" s="7">
        <v>8047.0110000000004</v>
      </c>
      <c r="F21" s="7">
        <v>1.14784607479129</v>
      </c>
    </row>
    <row r="22" spans="1:6" x14ac:dyDescent="0.2">
      <c r="A22" s="66" t="s">
        <v>813</v>
      </c>
      <c r="B22" s="66" t="s">
        <v>814</v>
      </c>
      <c r="C22" s="66" t="s">
        <v>759</v>
      </c>
      <c r="D22" s="66">
        <v>850</v>
      </c>
      <c r="E22" s="7">
        <v>8026.8050000000003</v>
      </c>
      <c r="F22" s="7">
        <v>1.1449638396623401</v>
      </c>
    </row>
    <row r="23" spans="1:6" x14ac:dyDescent="0.2">
      <c r="A23" s="66" t="s">
        <v>1840</v>
      </c>
      <c r="B23" s="66" t="s">
        <v>1841</v>
      </c>
      <c r="C23" s="66" t="s">
        <v>1149</v>
      </c>
      <c r="D23" s="66">
        <v>750</v>
      </c>
      <c r="E23" s="7">
        <v>7373.4525000000003</v>
      </c>
      <c r="F23" s="7">
        <v>1.0517679806558</v>
      </c>
    </row>
    <row r="24" spans="1:6" x14ac:dyDescent="0.2">
      <c r="A24" s="66" t="s">
        <v>802</v>
      </c>
      <c r="B24" s="66" t="s">
        <v>803</v>
      </c>
      <c r="C24" s="66" t="s">
        <v>750</v>
      </c>
      <c r="D24" s="66">
        <v>700</v>
      </c>
      <c r="E24" s="7">
        <v>6967.2259999999997</v>
      </c>
      <c r="F24" s="7">
        <v>0.993822801569898</v>
      </c>
    </row>
    <row r="25" spans="1:6" x14ac:dyDescent="0.2">
      <c r="A25" s="66" t="s">
        <v>795</v>
      </c>
      <c r="B25" s="66" t="s">
        <v>796</v>
      </c>
      <c r="C25" s="66" t="s">
        <v>747</v>
      </c>
      <c r="D25" s="66">
        <v>648</v>
      </c>
      <c r="E25" s="7">
        <v>6450.9372000000003</v>
      </c>
      <c r="F25" s="7">
        <v>0.92017805664054497</v>
      </c>
    </row>
    <row r="26" spans="1:6" x14ac:dyDescent="0.2">
      <c r="A26" s="66" t="s">
        <v>1842</v>
      </c>
      <c r="B26" s="66" t="s">
        <v>1843</v>
      </c>
      <c r="C26" s="66" t="s">
        <v>786</v>
      </c>
      <c r="D26" s="66">
        <v>650</v>
      </c>
      <c r="E26" s="7">
        <v>6439.1859999999997</v>
      </c>
      <c r="F26" s="7">
        <v>0.91850183564443999</v>
      </c>
    </row>
    <row r="27" spans="1:6" x14ac:dyDescent="0.2">
      <c r="A27" s="66" t="s">
        <v>1844</v>
      </c>
      <c r="B27" s="66" t="s">
        <v>1845</v>
      </c>
      <c r="C27" s="66" t="s">
        <v>786</v>
      </c>
      <c r="D27" s="66">
        <v>650</v>
      </c>
      <c r="E27" s="7">
        <v>6414.5770000000002</v>
      </c>
      <c r="F27" s="7">
        <v>0.91499154541934402</v>
      </c>
    </row>
    <row r="28" spans="1:6" x14ac:dyDescent="0.2">
      <c r="A28" s="66" t="s">
        <v>1846</v>
      </c>
      <c r="B28" s="66" t="s">
        <v>1471</v>
      </c>
      <c r="C28" s="66" t="s">
        <v>1149</v>
      </c>
      <c r="D28" s="66">
        <v>650</v>
      </c>
      <c r="E28" s="7">
        <v>6411.9380000000001</v>
      </c>
      <c r="F28" s="7">
        <v>0.91461511176076205</v>
      </c>
    </row>
    <row r="29" spans="1:6" x14ac:dyDescent="0.2">
      <c r="A29" s="66" t="s">
        <v>1847</v>
      </c>
      <c r="B29" s="66" t="s">
        <v>1471</v>
      </c>
      <c r="C29" s="66" t="s">
        <v>1149</v>
      </c>
      <c r="D29" s="66">
        <v>650</v>
      </c>
      <c r="E29" s="7">
        <v>6411.9380000000001</v>
      </c>
      <c r="F29" s="7">
        <v>0.91461511176076205</v>
      </c>
    </row>
    <row r="30" spans="1:6" x14ac:dyDescent="0.2">
      <c r="A30" s="66" t="s">
        <v>784</v>
      </c>
      <c r="B30" s="66" t="s">
        <v>785</v>
      </c>
      <c r="C30" s="66" t="s">
        <v>786</v>
      </c>
      <c r="D30" s="66">
        <v>600</v>
      </c>
      <c r="E30" s="7">
        <v>6074.3459999999995</v>
      </c>
      <c r="F30" s="7">
        <v>0.86646013197001304</v>
      </c>
    </row>
    <row r="31" spans="1:6" x14ac:dyDescent="0.2">
      <c r="A31" s="66" t="s">
        <v>780</v>
      </c>
      <c r="B31" s="66" t="s">
        <v>781</v>
      </c>
      <c r="C31" s="66" t="s">
        <v>747</v>
      </c>
      <c r="D31" s="66">
        <v>606</v>
      </c>
      <c r="E31" s="7">
        <v>6057.1821</v>
      </c>
      <c r="F31" s="7">
        <v>0.86401182970683599</v>
      </c>
    </row>
    <row r="32" spans="1:6" x14ac:dyDescent="0.2">
      <c r="A32" s="66" t="s">
        <v>1466</v>
      </c>
      <c r="B32" s="66" t="s">
        <v>1467</v>
      </c>
      <c r="C32" s="66" t="s">
        <v>791</v>
      </c>
      <c r="D32" s="66">
        <v>5500</v>
      </c>
      <c r="E32" s="7">
        <v>5446.7655000000004</v>
      </c>
      <c r="F32" s="7">
        <v>0.77694045646061505</v>
      </c>
    </row>
    <row r="33" spans="1:6" x14ac:dyDescent="0.2">
      <c r="A33" s="66" t="s">
        <v>810</v>
      </c>
      <c r="B33" s="66" t="s">
        <v>811</v>
      </c>
      <c r="C33" s="66" t="s">
        <v>747</v>
      </c>
      <c r="D33" s="66">
        <v>550</v>
      </c>
      <c r="E33" s="7">
        <v>5437.8059999999996</v>
      </c>
      <c r="F33" s="7">
        <v>0.77566245063869099</v>
      </c>
    </row>
    <row r="34" spans="1:6" x14ac:dyDescent="0.2">
      <c r="A34" s="66" t="s">
        <v>1422</v>
      </c>
      <c r="B34" s="66" t="s">
        <v>1423</v>
      </c>
      <c r="C34" s="66" t="s">
        <v>424</v>
      </c>
      <c r="D34" s="66">
        <v>550</v>
      </c>
      <c r="E34" s="7">
        <v>5330.8090000000002</v>
      </c>
      <c r="F34" s="7">
        <v>0.76040012696789605</v>
      </c>
    </row>
    <row r="35" spans="1:6" x14ac:dyDescent="0.2">
      <c r="A35" s="66" t="s">
        <v>1482</v>
      </c>
      <c r="B35" s="66" t="s">
        <v>1483</v>
      </c>
      <c r="C35" s="66" t="s">
        <v>1158</v>
      </c>
      <c r="D35" s="66">
        <v>520</v>
      </c>
      <c r="E35" s="7">
        <v>5321.8203999999996</v>
      </c>
      <c r="F35" s="7">
        <v>0.75911797024810701</v>
      </c>
    </row>
    <row r="36" spans="1:6" x14ac:dyDescent="0.2">
      <c r="A36" s="66" t="s">
        <v>1472</v>
      </c>
      <c r="B36" s="66" t="s">
        <v>1473</v>
      </c>
      <c r="C36" s="66" t="s">
        <v>759</v>
      </c>
      <c r="D36" s="66">
        <v>550</v>
      </c>
      <c r="E36" s="7">
        <v>5238.5794999999998</v>
      </c>
      <c r="F36" s="7">
        <v>0.74724427698148999</v>
      </c>
    </row>
    <row r="37" spans="1:6" x14ac:dyDescent="0.2">
      <c r="A37" s="66" t="s">
        <v>1848</v>
      </c>
      <c r="B37" s="66" t="s">
        <v>1849</v>
      </c>
      <c r="C37" s="66" t="s">
        <v>791</v>
      </c>
      <c r="D37" s="66">
        <v>5000</v>
      </c>
      <c r="E37" s="7">
        <v>4942.5349999999999</v>
      </c>
      <c r="F37" s="7">
        <v>0.70501573805087903</v>
      </c>
    </row>
    <row r="38" spans="1:6" x14ac:dyDescent="0.2">
      <c r="A38" s="66" t="s">
        <v>1416</v>
      </c>
      <c r="B38" s="66" t="s">
        <v>1417</v>
      </c>
      <c r="C38" s="66" t="s">
        <v>424</v>
      </c>
      <c r="D38" s="66">
        <v>459</v>
      </c>
      <c r="E38" s="7">
        <v>4739.5697399999999</v>
      </c>
      <c r="F38" s="7">
        <v>0.67606425817717297</v>
      </c>
    </row>
    <row r="39" spans="1:6" x14ac:dyDescent="0.2">
      <c r="A39" s="66" t="s">
        <v>1811</v>
      </c>
      <c r="B39" s="66" t="s">
        <v>1812</v>
      </c>
      <c r="C39" s="66" t="s">
        <v>1146</v>
      </c>
      <c r="D39" s="66">
        <v>450</v>
      </c>
      <c r="E39" s="7">
        <v>4570.2674999999999</v>
      </c>
      <c r="F39" s="7">
        <v>0.65191455692320799</v>
      </c>
    </row>
    <row r="40" spans="1:6" x14ac:dyDescent="0.2">
      <c r="A40" s="66" t="s">
        <v>1438</v>
      </c>
      <c r="B40" s="66" t="s">
        <v>1439</v>
      </c>
      <c r="C40" s="66" t="s">
        <v>775</v>
      </c>
      <c r="D40" s="66">
        <v>9</v>
      </c>
      <c r="E40" s="7">
        <v>4555.7640000000001</v>
      </c>
      <c r="F40" s="7">
        <v>0.64984574086893199</v>
      </c>
    </row>
    <row r="41" spans="1:6" x14ac:dyDescent="0.2">
      <c r="A41" s="66" t="s">
        <v>800</v>
      </c>
      <c r="B41" s="66" t="s">
        <v>801</v>
      </c>
      <c r="C41" s="66" t="s">
        <v>756</v>
      </c>
      <c r="D41" s="66">
        <v>450</v>
      </c>
      <c r="E41" s="7">
        <v>4487.8365000000003</v>
      </c>
      <c r="F41" s="7">
        <v>0.64015638984836198</v>
      </c>
    </row>
    <row r="42" spans="1:6" x14ac:dyDescent="0.2">
      <c r="A42" s="66" t="s">
        <v>1216</v>
      </c>
      <c r="B42" s="66" t="s">
        <v>1217</v>
      </c>
      <c r="C42" s="66" t="s">
        <v>424</v>
      </c>
      <c r="D42" s="66">
        <v>380</v>
      </c>
      <c r="E42" s="7">
        <v>3676.6671999999999</v>
      </c>
      <c r="F42" s="7">
        <v>0.52444914190298297</v>
      </c>
    </row>
    <row r="43" spans="1:6" x14ac:dyDescent="0.2">
      <c r="A43" s="66" t="s">
        <v>1418</v>
      </c>
      <c r="B43" s="66" t="s">
        <v>1419</v>
      </c>
      <c r="C43" s="66" t="s">
        <v>1158</v>
      </c>
      <c r="D43" s="66">
        <v>360</v>
      </c>
      <c r="E43" s="7">
        <v>3603.1644000000001</v>
      </c>
      <c r="F43" s="7">
        <v>0.51396451593861303</v>
      </c>
    </row>
    <row r="44" spans="1:6" x14ac:dyDescent="0.2">
      <c r="A44" s="66" t="s">
        <v>768</v>
      </c>
      <c r="B44" s="66" t="s">
        <v>769</v>
      </c>
      <c r="C44" s="66" t="s">
        <v>747</v>
      </c>
      <c r="D44" s="66">
        <v>352</v>
      </c>
      <c r="E44" s="7">
        <v>3504.87808</v>
      </c>
      <c r="F44" s="7">
        <v>0.49994470577336297</v>
      </c>
    </row>
    <row r="45" spans="1:6" x14ac:dyDescent="0.2">
      <c r="A45" s="66" t="s">
        <v>1452</v>
      </c>
      <c r="B45" s="66" t="s">
        <v>1453</v>
      </c>
      <c r="C45" s="66" t="s">
        <v>747</v>
      </c>
      <c r="D45" s="66">
        <v>350</v>
      </c>
      <c r="E45" s="7">
        <v>3474.8735000000001</v>
      </c>
      <c r="F45" s="7">
        <v>0.49566477632145101</v>
      </c>
    </row>
    <row r="46" spans="1:6" x14ac:dyDescent="0.2">
      <c r="A46" s="66" t="s">
        <v>808</v>
      </c>
      <c r="B46" s="66" t="s">
        <v>809</v>
      </c>
      <c r="C46" s="66" t="s">
        <v>747</v>
      </c>
      <c r="D46" s="66">
        <v>331</v>
      </c>
      <c r="E46" s="7">
        <v>3315.3390300000001</v>
      </c>
      <c r="F46" s="7">
        <v>0.47290837457384499</v>
      </c>
    </row>
    <row r="47" spans="1:6" x14ac:dyDescent="0.2">
      <c r="A47" s="66" t="s">
        <v>1430</v>
      </c>
      <c r="B47" s="66" t="s">
        <v>1431</v>
      </c>
      <c r="C47" s="66" t="s">
        <v>747</v>
      </c>
      <c r="D47" s="66">
        <v>306</v>
      </c>
      <c r="E47" s="7">
        <v>3048.9258599999998</v>
      </c>
      <c r="F47" s="7">
        <v>0.43490652376772498</v>
      </c>
    </row>
    <row r="48" spans="1:6" x14ac:dyDescent="0.2">
      <c r="A48" s="66" t="s">
        <v>1470</v>
      </c>
      <c r="B48" s="66" t="s">
        <v>1471</v>
      </c>
      <c r="C48" s="66" t="s">
        <v>1149</v>
      </c>
      <c r="D48" s="66">
        <v>260</v>
      </c>
      <c r="E48" s="7">
        <v>2564.7752</v>
      </c>
      <c r="F48" s="7">
        <v>0.36584604470430498</v>
      </c>
    </row>
    <row r="49" spans="1:6" x14ac:dyDescent="0.2">
      <c r="A49" s="66" t="s">
        <v>1444</v>
      </c>
      <c r="B49" s="66" t="s">
        <v>1443</v>
      </c>
      <c r="C49" s="66" t="s">
        <v>794</v>
      </c>
      <c r="D49" s="66">
        <v>250</v>
      </c>
      <c r="E49" s="7">
        <v>2470.7674999999999</v>
      </c>
      <c r="F49" s="7">
        <v>0.35243654775628802</v>
      </c>
    </row>
    <row r="50" spans="1:6" x14ac:dyDescent="0.2">
      <c r="A50" s="66" t="s">
        <v>1445</v>
      </c>
      <c r="B50" s="66" t="s">
        <v>1446</v>
      </c>
      <c r="C50" s="66" t="s">
        <v>775</v>
      </c>
      <c r="D50" s="66">
        <v>250</v>
      </c>
      <c r="E50" s="7">
        <v>2461.5425</v>
      </c>
      <c r="F50" s="7">
        <v>0.35112067034044397</v>
      </c>
    </row>
    <row r="51" spans="1:6" x14ac:dyDescent="0.2">
      <c r="A51" s="66" t="s">
        <v>1458</v>
      </c>
      <c r="B51" s="66" t="s">
        <v>1459</v>
      </c>
      <c r="C51" s="66" t="s">
        <v>799</v>
      </c>
      <c r="D51" s="66">
        <v>250</v>
      </c>
      <c r="E51" s="7">
        <v>2445.0225</v>
      </c>
      <c r="F51" s="7">
        <v>0.34876421560768001</v>
      </c>
    </row>
    <row r="52" spans="1:6" x14ac:dyDescent="0.2">
      <c r="A52" s="66" t="s">
        <v>787</v>
      </c>
      <c r="B52" s="66" t="s">
        <v>788</v>
      </c>
      <c r="C52" s="66" t="s">
        <v>744</v>
      </c>
      <c r="D52" s="66">
        <v>252</v>
      </c>
      <c r="E52" s="7">
        <v>2413.5854399999998</v>
      </c>
      <c r="F52" s="7">
        <v>0.34427995357250002</v>
      </c>
    </row>
    <row r="53" spans="1:6" x14ac:dyDescent="0.2">
      <c r="A53" s="66" t="s">
        <v>1412</v>
      </c>
      <c r="B53" s="66" t="s">
        <v>1413</v>
      </c>
      <c r="C53" s="66" t="s">
        <v>842</v>
      </c>
      <c r="D53" s="66">
        <v>250</v>
      </c>
      <c r="E53" s="7">
        <v>2403.39</v>
      </c>
      <c r="F53" s="7">
        <v>0.34282565013178501</v>
      </c>
    </row>
    <row r="54" spans="1:6" x14ac:dyDescent="0.2">
      <c r="A54" s="66" t="s">
        <v>1434</v>
      </c>
      <c r="B54" s="66" t="s">
        <v>1435</v>
      </c>
      <c r="C54" s="66" t="s">
        <v>791</v>
      </c>
      <c r="D54" s="66">
        <v>2000</v>
      </c>
      <c r="E54" s="7">
        <v>1979.0920000000001</v>
      </c>
      <c r="F54" s="7">
        <v>0.28230270641494498</v>
      </c>
    </row>
    <row r="55" spans="1:6" x14ac:dyDescent="0.2">
      <c r="A55" s="66" t="s">
        <v>1426</v>
      </c>
      <c r="B55" s="66" t="s">
        <v>1427</v>
      </c>
      <c r="C55" s="66" t="s">
        <v>747</v>
      </c>
      <c r="D55" s="66">
        <v>176</v>
      </c>
      <c r="E55" s="7">
        <v>1756.28288</v>
      </c>
      <c r="F55" s="7">
        <v>0.25052064798111201</v>
      </c>
    </row>
    <row r="56" spans="1:6" x14ac:dyDescent="0.2">
      <c r="A56" s="66" t="s">
        <v>1428</v>
      </c>
      <c r="B56" s="66" t="s">
        <v>1429</v>
      </c>
      <c r="C56" s="66" t="s">
        <v>747</v>
      </c>
      <c r="D56" s="66">
        <v>176</v>
      </c>
      <c r="E56" s="7">
        <v>1754.2852800000001</v>
      </c>
      <c r="F56" s="7">
        <v>0.25023570524659799</v>
      </c>
    </row>
    <row r="57" spans="1:6" x14ac:dyDescent="0.2">
      <c r="A57" s="66" t="s">
        <v>742</v>
      </c>
      <c r="B57" s="66" t="s">
        <v>743</v>
      </c>
      <c r="C57" s="66" t="s">
        <v>744</v>
      </c>
      <c r="D57" s="66">
        <v>175</v>
      </c>
      <c r="E57" s="7">
        <v>1662.3705</v>
      </c>
      <c r="F57" s="7">
        <v>0.23712474771984601</v>
      </c>
    </row>
    <row r="58" spans="1:6" x14ac:dyDescent="0.2">
      <c r="A58" s="66" t="s">
        <v>1456</v>
      </c>
      <c r="B58" s="66" t="s">
        <v>1457</v>
      </c>
      <c r="C58" s="66" t="s">
        <v>744</v>
      </c>
      <c r="D58" s="66">
        <v>160</v>
      </c>
      <c r="E58" s="7">
        <v>1609.3743999999999</v>
      </c>
      <c r="F58" s="7">
        <v>0.22956524949569199</v>
      </c>
    </row>
    <row r="59" spans="1:6" x14ac:dyDescent="0.2">
      <c r="A59" s="66" t="s">
        <v>804</v>
      </c>
      <c r="B59" s="66" t="s">
        <v>805</v>
      </c>
      <c r="C59" s="66" t="s">
        <v>759</v>
      </c>
      <c r="D59" s="66">
        <v>150</v>
      </c>
      <c r="E59" s="7">
        <v>1530.8444999999999</v>
      </c>
      <c r="F59" s="7">
        <v>0.21836354522702001</v>
      </c>
    </row>
    <row r="60" spans="1:6" x14ac:dyDescent="0.2">
      <c r="A60" s="66" t="s">
        <v>963</v>
      </c>
      <c r="B60" s="66" t="s">
        <v>964</v>
      </c>
      <c r="C60" s="66" t="s">
        <v>421</v>
      </c>
      <c r="D60" s="66">
        <v>13</v>
      </c>
      <c r="E60" s="7">
        <v>1294.6088999999999</v>
      </c>
      <c r="F60" s="7">
        <v>0.18466629960551401</v>
      </c>
    </row>
    <row r="61" spans="1:6" x14ac:dyDescent="0.2">
      <c r="A61" s="66" t="s">
        <v>1474</v>
      </c>
      <c r="B61" s="66" t="s">
        <v>1475</v>
      </c>
      <c r="C61" s="66" t="s">
        <v>842</v>
      </c>
      <c r="D61" s="66">
        <v>110</v>
      </c>
      <c r="E61" s="7">
        <v>1103.5222000000001</v>
      </c>
      <c r="F61" s="7">
        <v>0.157409207681591</v>
      </c>
    </row>
    <row r="62" spans="1:6" x14ac:dyDescent="0.2">
      <c r="A62" s="66" t="s">
        <v>1199</v>
      </c>
      <c r="B62" s="66" t="s">
        <v>1200</v>
      </c>
      <c r="C62" s="66" t="s">
        <v>775</v>
      </c>
      <c r="D62" s="66">
        <v>100</v>
      </c>
      <c r="E62" s="7">
        <v>997.98400000000004</v>
      </c>
      <c r="F62" s="7">
        <v>0.14235497094567201</v>
      </c>
    </row>
    <row r="63" spans="1:6" x14ac:dyDescent="0.2">
      <c r="A63" s="66" t="s">
        <v>1850</v>
      </c>
      <c r="B63" s="66" t="s">
        <v>1851</v>
      </c>
      <c r="C63" s="66" t="s">
        <v>744</v>
      </c>
      <c r="D63" s="66">
        <v>100</v>
      </c>
      <c r="E63" s="7">
        <v>977.4</v>
      </c>
      <c r="F63" s="7">
        <v>0.139418816937246</v>
      </c>
    </row>
    <row r="64" spans="1:6" x14ac:dyDescent="0.2">
      <c r="A64" s="66" t="s">
        <v>1450</v>
      </c>
      <c r="B64" s="66" t="s">
        <v>1451</v>
      </c>
      <c r="C64" s="66" t="s">
        <v>1158</v>
      </c>
      <c r="D64" s="66">
        <v>90</v>
      </c>
      <c r="E64" s="7">
        <v>924.51419999999996</v>
      </c>
      <c r="F64" s="7">
        <v>0.13187505218506701</v>
      </c>
    </row>
    <row r="65" spans="1:6" x14ac:dyDescent="0.2">
      <c r="A65" s="66" t="s">
        <v>927</v>
      </c>
      <c r="B65" s="66" t="s">
        <v>928</v>
      </c>
      <c r="C65" s="66" t="s">
        <v>892</v>
      </c>
      <c r="D65" s="66">
        <v>74</v>
      </c>
      <c r="E65" s="7">
        <v>731.61135999999999</v>
      </c>
      <c r="F65" s="7">
        <v>0.10435890144163</v>
      </c>
    </row>
    <row r="66" spans="1:6" x14ac:dyDescent="0.2">
      <c r="A66" s="66" t="s">
        <v>754</v>
      </c>
      <c r="B66" s="66" t="s">
        <v>755</v>
      </c>
      <c r="C66" s="66" t="s">
        <v>756</v>
      </c>
      <c r="D66" s="66">
        <v>400</v>
      </c>
      <c r="E66" s="7">
        <v>381.07679999999999</v>
      </c>
      <c r="F66" s="7">
        <v>5.4357762040343101E-2</v>
      </c>
    </row>
    <row r="67" spans="1:6" x14ac:dyDescent="0.2">
      <c r="A67" s="66" t="s">
        <v>1460</v>
      </c>
      <c r="B67" s="66" t="s">
        <v>1461</v>
      </c>
      <c r="C67" s="66" t="s">
        <v>1243</v>
      </c>
      <c r="D67" s="66">
        <v>40</v>
      </c>
      <c r="E67" s="7">
        <v>380.79320000000001</v>
      </c>
      <c r="F67" s="7">
        <v>5.4317308616480403E-2</v>
      </c>
    </row>
    <row r="68" spans="1:6" x14ac:dyDescent="0.2">
      <c r="A68" s="66" t="s">
        <v>818</v>
      </c>
      <c r="B68" s="66" t="s">
        <v>819</v>
      </c>
      <c r="C68" s="66" t="s">
        <v>421</v>
      </c>
      <c r="D68" s="66">
        <v>26</v>
      </c>
      <c r="E68" s="7">
        <v>253.15003999999999</v>
      </c>
      <c r="F68" s="7">
        <v>3.6109964277078403E-2</v>
      </c>
    </row>
    <row r="69" spans="1:6" x14ac:dyDescent="0.2">
      <c r="A69" s="66" t="s">
        <v>1034</v>
      </c>
      <c r="B69" s="66" t="s">
        <v>1035</v>
      </c>
      <c r="C69" s="66" t="s">
        <v>421</v>
      </c>
      <c r="D69" s="66">
        <v>4</v>
      </c>
      <c r="E69" s="7">
        <v>39.288040000000002</v>
      </c>
      <c r="F69" s="67">
        <v>0.01</v>
      </c>
    </row>
    <row r="70" spans="1:6" x14ac:dyDescent="0.2">
      <c r="A70" s="66" t="s">
        <v>1036</v>
      </c>
      <c r="B70" s="66" t="s">
        <v>1037</v>
      </c>
      <c r="C70" s="66" t="s">
        <v>421</v>
      </c>
      <c r="D70" s="66">
        <v>1</v>
      </c>
      <c r="E70" s="7">
        <v>9.8675499999999996</v>
      </c>
      <c r="F70" s="74" t="s">
        <v>1485</v>
      </c>
    </row>
    <row r="71" spans="1:6" x14ac:dyDescent="0.2">
      <c r="A71" s="65" t="s">
        <v>39</v>
      </c>
      <c r="B71" s="66"/>
      <c r="C71" s="66"/>
      <c r="D71" s="66"/>
      <c r="E71" s="6">
        <f>SUM(E8:E70)</f>
        <v>402401.76527350006</v>
      </c>
      <c r="F71" s="6">
        <f>SUM(F8:F70)</f>
        <v>57.402597538046813</v>
      </c>
    </row>
    <row r="72" spans="1:6" x14ac:dyDescent="0.2">
      <c r="A72" s="66"/>
      <c r="B72" s="66"/>
      <c r="C72" s="66"/>
      <c r="D72" s="66"/>
      <c r="E72" s="7"/>
      <c r="F72" s="7"/>
    </row>
    <row r="73" spans="1:6" x14ac:dyDescent="0.2">
      <c r="A73" s="65" t="s">
        <v>822</v>
      </c>
      <c r="B73" s="66"/>
      <c r="C73" s="66"/>
      <c r="D73" s="66"/>
      <c r="E73" s="7"/>
      <c r="F73" s="7"/>
    </row>
    <row r="74" spans="1:6" x14ac:dyDescent="0.2">
      <c r="A74" s="66" t="s">
        <v>1258</v>
      </c>
      <c r="B74" s="66" t="s">
        <v>1259</v>
      </c>
      <c r="C74" s="66" t="s">
        <v>1260</v>
      </c>
      <c r="D74" s="66">
        <v>2750</v>
      </c>
      <c r="E74" s="7">
        <v>45032.074999999997</v>
      </c>
      <c r="F74" s="7">
        <v>6.4234894830461604</v>
      </c>
    </row>
    <row r="75" spans="1:6" x14ac:dyDescent="0.2">
      <c r="A75" s="66" t="s">
        <v>843</v>
      </c>
      <c r="B75" s="66" t="s">
        <v>844</v>
      </c>
      <c r="C75" s="66" t="s">
        <v>830</v>
      </c>
      <c r="D75" s="66">
        <v>300</v>
      </c>
      <c r="E75" s="7">
        <v>30594.959999999999</v>
      </c>
      <c r="F75" s="7">
        <v>4.36414275367542</v>
      </c>
    </row>
    <row r="76" spans="1:6" x14ac:dyDescent="0.2">
      <c r="A76" s="66" t="s">
        <v>1837</v>
      </c>
      <c r="B76" s="66" t="s">
        <v>1838</v>
      </c>
      <c r="C76" s="66" t="s">
        <v>842</v>
      </c>
      <c r="D76" s="66">
        <v>2795</v>
      </c>
      <c r="E76" s="7">
        <v>27686.01225</v>
      </c>
      <c r="F76" s="7">
        <v>3.9492030628249402</v>
      </c>
    </row>
    <row r="77" spans="1:6" x14ac:dyDescent="0.2">
      <c r="A77" s="66" t="s">
        <v>872</v>
      </c>
      <c r="B77" s="66" t="s">
        <v>873</v>
      </c>
      <c r="C77" s="66" t="s">
        <v>825</v>
      </c>
      <c r="D77" s="66">
        <v>230</v>
      </c>
      <c r="E77" s="7">
        <v>23074.404999999999</v>
      </c>
      <c r="F77" s="7">
        <v>3.29139169902892</v>
      </c>
    </row>
    <row r="78" spans="1:6" x14ac:dyDescent="0.2">
      <c r="A78" s="66" t="s">
        <v>1277</v>
      </c>
      <c r="B78" s="66" t="s">
        <v>1278</v>
      </c>
      <c r="C78" s="66" t="s">
        <v>1238</v>
      </c>
      <c r="D78" s="66">
        <v>1400</v>
      </c>
      <c r="E78" s="7">
        <v>13863.933999999999</v>
      </c>
      <c r="F78" s="7">
        <v>1.9775867366237501</v>
      </c>
    </row>
    <row r="79" spans="1:6" x14ac:dyDescent="0.2">
      <c r="A79" s="66" t="s">
        <v>1486</v>
      </c>
      <c r="B79" s="66" t="s">
        <v>1487</v>
      </c>
      <c r="C79" s="66" t="s">
        <v>830</v>
      </c>
      <c r="D79" s="66">
        <v>1360</v>
      </c>
      <c r="E79" s="7">
        <v>13367.358399999999</v>
      </c>
      <c r="F79" s="7">
        <v>1.9067539325804701</v>
      </c>
    </row>
    <row r="80" spans="1:6" x14ac:dyDescent="0.2">
      <c r="A80" s="66" t="s">
        <v>845</v>
      </c>
      <c r="B80" s="66" t="s">
        <v>846</v>
      </c>
      <c r="C80" s="66" t="s">
        <v>830</v>
      </c>
      <c r="D80" s="66">
        <v>1200</v>
      </c>
      <c r="E80" s="7">
        <v>11941.523999999999</v>
      </c>
      <c r="F80" s="7">
        <v>1.7033692945648899</v>
      </c>
    </row>
    <row r="81" spans="1:6" x14ac:dyDescent="0.2">
      <c r="A81" s="66" t="s">
        <v>1852</v>
      </c>
      <c r="B81" s="66" t="s">
        <v>1853</v>
      </c>
      <c r="C81" s="66" t="s">
        <v>851</v>
      </c>
      <c r="D81" s="66">
        <v>1000</v>
      </c>
      <c r="E81" s="7">
        <v>9845.9599999999991</v>
      </c>
      <c r="F81" s="7">
        <v>1.4044527264287301</v>
      </c>
    </row>
    <row r="82" spans="1:6" x14ac:dyDescent="0.2">
      <c r="A82" s="66" t="s">
        <v>1494</v>
      </c>
      <c r="B82" s="66" t="s">
        <v>1495</v>
      </c>
      <c r="C82" s="66" t="s">
        <v>830</v>
      </c>
      <c r="D82" s="66">
        <v>900</v>
      </c>
      <c r="E82" s="7">
        <v>8964.81</v>
      </c>
      <c r="F82" s="7">
        <v>1.2787632538031399</v>
      </c>
    </row>
    <row r="83" spans="1:6" x14ac:dyDescent="0.2">
      <c r="A83" s="66" t="s">
        <v>1829</v>
      </c>
      <c r="B83" s="66" t="s">
        <v>1830</v>
      </c>
      <c r="C83" s="66" t="s">
        <v>839</v>
      </c>
      <c r="D83" s="66">
        <v>1000</v>
      </c>
      <c r="E83" s="7">
        <v>8783.51</v>
      </c>
      <c r="F83" s="7">
        <v>1.2529021616088301</v>
      </c>
    </row>
    <row r="84" spans="1:6" x14ac:dyDescent="0.2">
      <c r="A84" s="66" t="s">
        <v>1854</v>
      </c>
      <c r="B84" s="66" t="s">
        <v>1855</v>
      </c>
      <c r="C84" s="66" t="s">
        <v>851</v>
      </c>
      <c r="D84" s="66">
        <v>750</v>
      </c>
      <c r="E84" s="7">
        <v>7542.585</v>
      </c>
      <c r="F84" s="7">
        <v>1.07589346976531</v>
      </c>
    </row>
    <row r="85" spans="1:6" x14ac:dyDescent="0.2">
      <c r="A85" s="66" t="s">
        <v>1856</v>
      </c>
      <c r="B85" s="66" t="s">
        <v>1857</v>
      </c>
      <c r="C85" s="66" t="s">
        <v>851</v>
      </c>
      <c r="D85" s="66">
        <v>750</v>
      </c>
      <c r="E85" s="7">
        <v>7477.74</v>
      </c>
      <c r="F85" s="7">
        <v>1.06664381436906</v>
      </c>
    </row>
    <row r="86" spans="1:6" x14ac:dyDescent="0.2">
      <c r="A86" s="66" t="s">
        <v>1858</v>
      </c>
      <c r="B86" s="66" t="s">
        <v>1859</v>
      </c>
      <c r="C86" s="66" t="s">
        <v>851</v>
      </c>
      <c r="D86" s="66">
        <v>644</v>
      </c>
      <c r="E86" s="7">
        <v>6429.7604000000001</v>
      </c>
      <c r="F86" s="7">
        <v>0.91715734413541194</v>
      </c>
    </row>
    <row r="87" spans="1:6" x14ac:dyDescent="0.2">
      <c r="A87" s="66" t="s">
        <v>870</v>
      </c>
      <c r="B87" s="66" t="s">
        <v>871</v>
      </c>
      <c r="C87" s="66" t="s">
        <v>839</v>
      </c>
      <c r="D87" s="66">
        <v>580</v>
      </c>
      <c r="E87" s="7">
        <v>5666.7623999999996</v>
      </c>
      <c r="F87" s="7">
        <v>0.80832137269538296</v>
      </c>
    </row>
    <row r="88" spans="1:6" x14ac:dyDescent="0.2">
      <c r="A88" s="66" t="s">
        <v>1508</v>
      </c>
      <c r="B88" s="66" t="s">
        <v>1509</v>
      </c>
      <c r="C88" s="66" t="s">
        <v>1260</v>
      </c>
      <c r="D88" s="66">
        <v>580</v>
      </c>
      <c r="E88" s="7">
        <v>5630.0309999999999</v>
      </c>
      <c r="F88" s="7">
        <v>0.803081912563964</v>
      </c>
    </row>
    <row r="89" spans="1:6" x14ac:dyDescent="0.2">
      <c r="A89" s="66" t="s">
        <v>1512</v>
      </c>
      <c r="B89" s="66" t="s">
        <v>1513</v>
      </c>
      <c r="C89" s="66" t="s">
        <v>1238</v>
      </c>
      <c r="D89" s="66">
        <v>37</v>
      </c>
      <c r="E89" s="7">
        <v>5464.5114999999996</v>
      </c>
      <c r="F89" s="7">
        <v>0.77947179094533803</v>
      </c>
    </row>
    <row r="90" spans="1:6" x14ac:dyDescent="0.2">
      <c r="A90" s="66" t="s">
        <v>1860</v>
      </c>
      <c r="B90" s="66" t="s">
        <v>1861</v>
      </c>
      <c r="C90" s="66" t="s">
        <v>842</v>
      </c>
      <c r="D90" s="66">
        <v>500</v>
      </c>
      <c r="E90" s="7">
        <v>5124.8</v>
      </c>
      <c r="F90" s="7">
        <v>0.73101448029465599</v>
      </c>
    </row>
    <row r="91" spans="1:6" x14ac:dyDescent="0.2">
      <c r="A91" s="66" t="s">
        <v>1490</v>
      </c>
      <c r="B91" s="66" t="s">
        <v>1491</v>
      </c>
      <c r="C91" s="66" t="s">
        <v>1238</v>
      </c>
      <c r="D91" s="66">
        <v>34</v>
      </c>
      <c r="E91" s="7">
        <v>5075.6253999999999</v>
      </c>
      <c r="F91" s="7">
        <v>0.72400009053062697</v>
      </c>
    </row>
    <row r="92" spans="1:6" x14ac:dyDescent="0.2">
      <c r="A92" s="66" t="s">
        <v>1835</v>
      </c>
      <c r="B92" s="66" t="s">
        <v>1836</v>
      </c>
      <c r="C92" s="66" t="s">
        <v>839</v>
      </c>
      <c r="D92" s="66">
        <v>422</v>
      </c>
      <c r="E92" s="7">
        <v>4209.7369600000002</v>
      </c>
      <c r="F92" s="7">
        <v>0.60048756556189598</v>
      </c>
    </row>
    <row r="93" spans="1:6" x14ac:dyDescent="0.2">
      <c r="A93" s="66" t="s">
        <v>1833</v>
      </c>
      <c r="B93" s="66" t="s">
        <v>1834</v>
      </c>
      <c r="C93" s="66" t="s">
        <v>851</v>
      </c>
      <c r="D93" s="66">
        <v>370</v>
      </c>
      <c r="E93" s="7">
        <v>3684.8928999999998</v>
      </c>
      <c r="F93" s="7">
        <v>0.52562247663030104</v>
      </c>
    </row>
    <row r="94" spans="1:6" x14ac:dyDescent="0.2">
      <c r="A94" s="66" t="s">
        <v>1248</v>
      </c>
      <c r="B94" s="66" t="s">
        <v>1249</v>
      </c>
      <c r="C94" s="66" t="s">
        <v>753</v>
      </c>
      <c r="D94" s="66">
        <v>322</v>
      </c>
      <c r="E94" s="7">
        <v>3575.6393400000002</v>
      </c>
      <c r="F94" s="7">
        <v>0.51003827151327397</v>
      </c>
    </row>
    <row r="95" spans="1:6" x14ac:dyDescent="0.2">
      <c r="A95" s="66" t="s">
        <v>1763</v>
      </c>
      <c r="B95" s="66" t="s">
        <v>1764</v>
      </c>
      <c r="C95" s="66" t="s">
        <v>839</v>
      </c>
      <c r="D95" s="66">
        <v>323</v>
      </c>
      <c r="E95" s="7">
        <v>3226.2338199999999</v>
      </c>
      <c r="F95" s="7">
        <v>0.46019818124343198</v>
      </c>
    </row>
    <row r="96" spans="1:6" x14ac:dyDescent="0.2">
      <c r="A96" s="66" t="s">
        <v>1547</v>
      </c>
      <c r="B96" s="66" t="s">
        <v>1548</v>
      </c>
      <c r="C96" s="66" t="s">
        <v>851</v>
      </c>
      <c r="D96" s="66">
        <v>320</v>
      </c>
      <c r="E96" s="7">
        <v>3185.3631999999998</v>
      </c>
      <c r="F96" s="7">
        <v>0.45436829226462</v>
      </c>
    </row>
    <row r="97" spans="1:10" x14ac:dyDescent="0.2">
      <c r="A97" s="66" t="s">
        <v>876</v>
      </c>
      <c r="B97" s="66" t="s">
        <v>877</v>
      </c>
      <c r="C97" s="66" t="s">
        <v>878</v>
      </c>
      <c r="D97" s="66">
        <v>300</v>
      </c>
      <c r="E97" s="7">
        <v>2956.0079999999998</v>
      </c>
      <c r="F97" s="7">
        <v>0.42165248436365199</v>
      </c>
    </row>
    <row r="98" spans="1:10" x14ac:dyDescent="0.2">
      <c r="A98" s="66" t="s">
        <v>1765</v>
      </c>
      <c r="B98" s="66" t="s">
        <v>1766</v>
      </c>
      <c r="C98" s="66" t="s">
        <v>851</v>
      </c>
      <c r="D98" s="66">
        <v>280</v>
      </c>
      <c r="E98" s="7">
        <v>2799.5268000000001</v>
      </c>
      <c r="F98" s="7">
        <v>0.39933160879897001</v>
      </c>
    </row>
    <row r="99" spans="1:10" x14ac:dyDescent="0.2">
      <c r="A99" s="66" t="s">
        <v>1831</v>
      </c>
      <c r="B99" s="66" t="s">
        <v>1832</v>
      </c>
      <c r="C99" s="66" t="s">
        <v>786</v>
      </c>
      <c r="D99" s="66">
        <v>2500</v>
      </c>
      <c r="E99" s="7">
        <v>2300.9274999999998</v>
      </c>
      <c r="F99" s="7">
        <v>0.328210139050925</v>
      </c>
    </row>
    <row r="100" spans="1:10" x14ac:dyDescent="0.2">
      <c r="A100" s="66" t="s">
        <v>852</v>
      </c>
      <c r="B100" s="66" t="s">
        <v>853</v>
      </c>
      <c r="C100" s="66" t="s">
        <v>836</v>
      </c>
      <c r="D100" s="66">
        <v>15</v>
      </c>
      <c r="E100" s="7">
        <v>2199.8009999999999</v>
      </c>
      <c r="F100" s="7">
        <v>0.31378519840123797</v>
      </c>
    </row>
    <row r="101" spans="1:10" x14ac:dyDescent="0.2">
      <c r="A101" s="66" t="s">
        <v>874</v>
      </c>
      <c r="B101" s="66" t="s">
        <v>875</v>
      </c>
      <c r="C101" s="66" t="s">
        <v>839</v>
      </c>
      <c r="D101" s="66">
        <v>200</v>
      </c>
      <c r="E101" s="7">
        <v>1990.356</v>
      </c>
      <c r="F101" s="7">
        <v>0.28390943196638901</v>
      </c>
    </row>
    <row r="102" spans="1:10" x14ac:dyDescent="0.2">
      <c r="A102" s="66" t="s">
        <v>1305</v>
      </c>
      <c r="B102" s="66" t="s">
        <v>1306</v>
      </c>
      <c r="C102" s="66" t="s">
        <v>851</v>
      </c>
      <c r="D102" s="66">
        <v>200</v>
      </c>
      <c r="E102" s="7">
        <v>1970.1020000000001</v>
      </c>
      <c r="F102" s="7">
        <v>0.28102034999560199</v>
      </c>
    </row>
    <row r="103" spans="1:10" x14ac:dyDescent="0.2">
      <c r="A103" s="66" t="s">
        <v>881</v>
      </c>
      <c r="B103" s="66" t="s">
        <v>882</v>
      </c>
      <c r="C103" s="66" t="s">
        <v>842</v>
      </c>
      <c r="D103" s="66">
        <v>200</v>
      </c>
      <c r="E103" s="7">
        <v>1949.912</v>
      </c>
      <c r="F103" s="7">
        <v>0.27814039714726702</v>
      </c>
    </row>
    <row r="104" spans="1:10" x14ac:dyDescent="0.2">
      <c r="A104" s="66" t="s">
        <v>831</v>
      </c>
      <c r="B104" s="66" t="s">
        <v>832</v>
      </c>
      <c r="C104" s="66" t="s">
        <v>833</v>
      </c>
      <c r="D104" s="66">
        <v>160</v>
      </c>
      <c r="E104" s="7">
        <v>1768.1792</v>
      </c>
      <c r="F104" s="7">
        <v>0.25221756926237499</v>
      </c>
    </row>
    <row r="105" spans="1:10" x14ac:dyDescent="0.2">
      <c r="A105" s="66" t="s">
        <v>1533</v>
      </c>
      <c r="B105" s="66" t="s">
        <v>1534</v>
      </c>
      <c r="C105" s="66" t="s">
        <v>830</v>
      </c>
      <c r="D105" s="66">
        <v>150</v>
      </c>
      <c r="E105" s="7">
        <v>1506.3045</v>
      </c>
      <c r="F105" s="7">
        <v>0.21486309733706699</v>
      </c>
    </row>
    <row r="106" spans="1:10" x14ac:dyDescent="0.2">
      <c r="A106" s="66" t="s">
        <v>1500</v>
      </c>
      <c r="B106" s="66" t="s">
        <v>1501</v>
      </c>
      <c r="C106" s="66" t="s">
        <v>791</v>
      </c>
      <c r="D106" s="66">
        <v>100</v>
      </c>
      <c r="E106" s="7">
        <v>1269.5409999999999</v>
      </c>
      <c r="F106" s="7">
        <v>0.18109055071959099</v>
      </c>
    </row>
    <row r="107" spans="1:10" x14ac:dyDescent="0.2">
      <c r="A107" s="66" t="s">
        <v>868</v>
      </c>
      <c r="B107" s="66" t="s">
        <v>869</v>
      </c>
      <c r="C107" s="66" t="s">
        <v>839</v>
      </c>
      <c r="D107" s="66">
        <v>130</v>
      </c>
      <c r="E107" s="7">
        <v>1259.8859</v>
      </c>
      <c r="F107" s="7">
        <v>0.17971332274802199</v>
      </c>
    </row>
    <row r="108" spans="1:10" x14ac:dyDescent="0.2">
      <c r="A108" s="66" t="s">
        <v>856</v>
      </c>
      <c r="B108" s="66" t="s">
        <v>857</v>
      </c>
      <c r="C108" s="66" t="s">
        <v>756</v>
      </c>
      <c r="D108" s="66">
        <v>120</v>
      </c>
      <c r="E108" s="7">
        <v>1153.4784</v>
      </c>
      <c r="F108" s="7">
        <v>0.164535086853557</v>
      </c>
    </row>
    <row r="109" spans="1:10" x14ac:dyDescent="0.2">
      <c r="A109" s="66" t="s">
        <v>1827</v>
      </c>
      <c r="B109" s="66" t="s">
        <v>1828</v>
      </c>
      <c r="C109" s="66" t="s">
        <v>825</v>
      </c>
      <c r="D109" s="66">
        <v>110</v>
      </c>
      <c r="E109" s="7">
        <v>1057.2617</v>
      </c>
      <c r="F109" s="7">
        <v>0.15081049253843001</v>
      </c>
    </row>
    <row r="110" spans="1:10" x14ac:dyDescent="0.2">
      <c r="A110" s="66" t="s">
        <v>1504</v>
      </c>
      <c r="B110" s="66" t="s">
        <v>1505</v>
      </c>
      <c r="C110" s="66" t="s">
        <v>842</v>
      </c>
      <c r="D110" s="66">
        <v>90</v>
      </c>
      <c r="E110" s="7">
        <v>922.46400000000006</v>
      </c>
      <c r="F110" s="7">
        <v>0.13158260645303799</v>
      </c>
    </row>
    <row r="111" spans="1:10" x14ac:dyDescent="0.2">
      <c r="A111" s="66" t="s">
        <v>823</v>
      </c>
      <c r="B111" s="66" t="s">
        <v>824</v>
      </c>
      <c r="C111" s="66" t="s">
        <v>825</v>
      </c>
      <c r="D111" s="66">
        <v>50</v>
      </c>
      <c r="E111" s="7">
        <v>481.88400000000001</v>
      </c>
      <c r="F111" s="7">
        <v>6.8737156927550294E-2</v>
      </c>
    </row>
    <row r="112" spans="1:10" x14ac:dyDescent="0.2">
      <c r="A112" s="65" t="s">
        <v>39</v>
      </c>
      <c r="B112" s="66"/>
      <c r="C112" s="66"/>
      <c r="D112" s="66"/>
      <c r="E112" s="6">
        <f>SUM(E74:E111)</f>
        <v>285033.86257</v>
      </c>
      <c r="F112" s="6">
        <f>SUM(F74:F111)</f>
        <v>40.657953659262191</v>
      </c>
      <c r="J112" s="1"/>
    </row>
    <row r="113" spans="1:10" x14ac:dyDescent="0.2">
      <c r="A113" s="66"/>
      <c r="B113" s="66"/>
      <c r="C113" s="66"/>
      <c r="D113" s="66"/>
      <c r="E113" s="7"/>
      <c r="F113" s="7"/>
    </row>
    <row r="114" spans="1:10" x14ac:dyDescent="0.2">
      <c r="A114" s="65" t="s">
        <v>39</v>
      </c>
      <c r="B114" s="66"/>
      <c r="C114" s="66"/>
      <c r="D114" s="66"/>
      <c r="E114" s="6">
        <v>687435.62784350011</v>
      </c>
      <c r="F114" s="6">
        <v>98.057562875438393</v>
      </c>
      <c r="I114" s="1"/>
      <c r="J114" s="1"/>
    </row>
    <row r="115" spans="1:10" x14ac:dyDescent="0.2">
      <c r="A115" s="66"/>
      <c r="B115" s="66"/>
      <c r="C115" s="66"/>
      <c r="D115" s="66"/>
      <c r="E115" s="7"/>
      <c r="F115" s="7"/>
    </row>
    <row r="116" spans="1:10" x14ac:dyDescent="0.2">
      <c r="A116" s="65" t="s">
        <v>103</v>
      </c>
      <c r="B116" s="66"/>
      <c r="C116" s="66"/>
      <c r="D116" s="66"/>
      <c r="E116" s="6">
        <v>13617.514382900001</v>
      </c>
      <c r="F116" s="6">
        <v>1.94</v>
      </c>
      <c r="I116" s="1"/>
      <c r="J116" s="1"/>
    </row>
    <row r="117" spans="1:10" x14ac:dyDescent="0.2">
      <c r="A117" s="66"/>
      <c r="B117" s="66"/>
      <c r="C117" s="66"/>
      <c r="D117" s="66"/>
      <c r="E117" s="7"/>
      <c r="F117" s="7"/>
    </row>
    <row r="118" spans="1:10" x14ac:dyDescent="0.2">
      <c r="A118" s="68" t="s">
        <v>104</v>
      </c>
      <c r="B118" s="64"/>
      <c r="C118" s="64"/>
      <c r="D118" s="64"/>
      <c r="E118" s="8">
        <v>701053.14438289998</v>
      </c>
      <c r="F118" s="8">
        <f xml:space="preserve"> ROUND(SUM(F114:F117),2)</f>
        <v>100</v>
      </c>
      <c r="I118" s="1"/>
      <c r="J118" s="1"/>
    </row>
    <row r="119" spans="1:10" x14ac:dyDescent="0.2">
      <c r="A119" s="4" t="s">
        <v>714</v>
      </c>
      <c r="F119" s="9" t="s">
        <v>1559</v>
      </c>
    </row>
    <row r="121" spans="1:10" x14ac:dyDescent="0.2">
      <c r="A121" s="4" t="s">
        <v>105</v>
      </c>
    </row>
    <row r="122" spans="1:10" x14ac:dyDescent="0.2">
      <c r="A122" s="4" t="s">
        <v>106</v>
      </c>
    </row>
    <row r="123" spans="1:10" x14ac:dyDescent="0.2">
      <c r="A123" s="4" t="s">
        <v>107</v>
      </c>
    </row>
    <row r="124" spans="1:10" x14ac:dyDescent="0.2">
      <c r="A124" s="2" t="s">
        <v>722</v>
      </c>
      <c r="D124" s="10">
        <v>18.087</v>
      </c>
    </row>
    <row r="125" spans="1:10" x14ac:dyDescent="0.2">
      <c r="A125" s="2" t="s">
        <v>719</v>
      </c>
      <c r="D125" s="10">
        <v>11.804399999999999</v>
      </c>
    </row>
    <row r="126" spans="1:10" x14ac:dyDescent="0.2">
      <c r="A126" s="2" t="s">
        <v>720</v>
      </c>
      <c r="D126" s="10">
        <v>18.911999999999999</v>
      </c>
    </row>
    <row r="127" spans="1:10" x14ac:dyDescent="0.2">
      <c r="A127" s="2" t="s">
        <v>721</v>
      </c>
      <c r="D127" s="10">
        <v>11.1503</v>
      </c>
    </row>
    <row r="129" spans="1:5" x14ac:dyDescent="0.2">
      <c r="A129" s="4" t="s">
        <v>108</v>
      </c>
    </row>
    <row r="130" spans="1:5" x14ac:dyDescent="0.2">
      <c r="A130" s="2" t="s">
        <v>721</v>
      </c>
      <c r="D130" s="10">
        <v>11.1715</v>
      </c>
    </row>
    <row r="131" spans="1:5" x14ac:dyDescent="0.2">
      <c r="A131" s="2" t="s">
        <v>720</v>
      </c>
      <c r="D131" s="10">
        <v>19.788499999999999</v>
      </c>
    </row>
    <row r="132" spans="1:5" x14ac:dyDescent="0.2">
      <c r="A132" s="2" t="s">
        <v>719</v>
      </c>
      <c r="D132" s="10">
        <v>11.8978</v>
      </c>
    </row>
    <row r="133" spans="1:5" x14ac:dyDescent="0.2">
      <c r="A133" s="2" t="s">
        <v>722</v>
      </c>
      <c r="D133" s="10">
        <v>18.857099999999999</v>
      </c>
    </row>
    <row r="135" spans="1:5" x14ac:dyDescent="0.2">
      <c r="A135" s="4" t="s">
        <v>109</v>
      </c>
      <c r="D135" s="69"/>
    </row>
    <row r="136" spans="1:5" x14ac:dyDescent="0.2">
      <c r="A136" s="75" t="s">
        <v>727</v>
      </c>
      <c r="B136" s="76"/>
      <c r="C136" s="77" t="s">
        <v>728</v>
      </c>
      <c r="D136" s="77"/>
    </row>
    <row r="137" spans="1:5" x14ac:dyDescent="0.2">
      <c r="A137" s="78"/>
      <c r="B137" s="78"/>
      <c r="C137" s="43" t="s">
        <v>729</v>
      </c>
      <c r="D137" s="43" t="s">
        <v>730</v>
      </c>
    </row>
    <row r="138" spans="1:5" x14ac:dyDescent="0.2">
      <c r="A138" s="44" t="s">
        <v>721</v>
      </c>
      <c r="B138" s="45"/>
      <c r="C138" s="79">
        <v>0.31694198800000001</v>
      </c>
      <c r="D138" s="79">
        <v>0.29348986040000002</v>
      </c>
    </row>
    <row r="139" spans="1:5" x14ac:dyDescent="0.2">
      <c r="A139" s="44" t="s">
        <v>719</v>
      </c>
      <c r="B139" s="45"/>
      <c r="C139" s="79">
        <v>0.31694198800000001</v>
      </c>
      <c r="D139" s="79">
        <v>0.29348986040000002</v>
      </c>
    </row>
    <row r="141" spans="1:5" x14ac:dyDescent="0.2">
      <c r="A141" s="4" t="s">
        <v>883</v>
      </c>
      <c r="D141" s="70">
        <v>3.2465924849562113</v>
      </c>
      <c r="E141" s="1" t="s">
        <v>735</v>
      </c>
    </row>
  </sheetData>
  <mergeCells count="3">
    <mergeCell ref="A1:F1"/>
    <mergeCell ref="C136:D136"/>
    <mergeCell ref="A137:B1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2.570312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2" t="s">
        <v>1862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888</v>
      </c>
      <c r="B8" s="66" t="s">
        <v>889</v>
      </c>
      <c r="C8" s="66" t="s">
        <v>421</v>
      </c>
      <c r="D8" s="66">
        <v>634</v>
      </c>
      <c r="E8" s="7">
        <v>6493.3329000000003</v>
      </c>
      <c r="F8" s="7">
        <v>7.9941841257281299</v>
      </c>
    </row>
    <row r="9" spans="1:6" x14ac:dyDescent="0.2">
      <c r="A9" s="66" t="s">
        <v>1458</v>
      </c>
      <c r="B9" s="66" t="s">
        <v>1459</v>
      </c>
      <c r="C9" s="66" t="s">
        <v>799</v>
      </c>
      <c r="D9" s="66">
        <v>500</v>
      </c>
      <c r="E9" s="7">
        <v>4890.0450000000001</v>
      </c>
      <c r="F9" s="7">
        <v>6.0203166409496998</v>
      </c>
    </row>
    <row r="10" spans="1:6" x14ac:dyDescent="0.2">
      <c r="A10" s="66" t="s">
        <v>742</v>
      </c>
      <c r="B10" s="66" t="s">
        <v>743</v>
      </c>
      <c r="C10" s="66" t="s">
        <v>744</v>
      </c>
      <c r="D10" s="66">
        <v>430</v>
      </c>
      <c r="E10" s="7">
        <v>4084.6817999999998</v>
      </c>
      <c r="F10" s="7">
        <v>5.0288039912770497</v>
      </c>
    </row>
    <row r="11" spans="1:6" x14ac:dyDescent="0.2">
      <c r="A11" s="66" t="s">
        <v>1850</v>
      </c>
      <c r="B11" s="66" t="s">
        <v>1851</v>
      </c>
      <c r="C11" s="66" t="s">
        <v>744</v>
      </c>
      <c r="D11" s="66">
        <v>350</v>
      </c>
      <c r="E11" s="7">
        <v>3420.9</v>
      </c>
      <c r="F11" s="7">
        <v>4.2115974795783799</v>
      </c>
    </row>
    <row r="12" spans="1:6" x14ac:dyDescent="0.2">
      <c r="A12" s="66" t="s">
        <v>925</v>
      </c>
      <c r="B12" s="66" t="s">
        <v>926</v>
      </c>
      <c r="C12" s="66" t="s">
        <v>421</v>
      </c>
      <c r="D12" s="66">
        <v>337</v>
      </c>
      <c r="E12" s="7">
        <v>3285.8814299999999</v>
      </c>
      <c r="F12" s="7">
        <v>4.0453710861999399</v>
      </c>
    </row>
    <row r="13" spans="1:6" x14ac:dyDescent="0.2">
      <c r="A13" s="66" t="s">
        <v>1863</v>
      </c>
      <c r="B13" s="66" t="s">
        <v>1864</v>
      </c>
      <c r="C13" s="66" t="s">
        <v>799</v>
      </c>
      <c r="D13" s="66">
        <v>300</v>
      </c>
      <c r="E13" s="7">
        <v>2904.0149999999999</v>
      </c>
      <c r="F13" s="7">
        <v>3.5752410928871901</v>
      </c>
    </row>
    <row r="14" spans="1:6" x14ac:dyDescent="0.2">
      <c r="A14" s="66" t="s">
        <v>1865</v>
      </c>
      <c r="B14" s="66" t="s">
        <v>1866</v>
      </c>
      <c r="C14" s="66" t="s">
        <v>421</v>
      </c>
      <c r="D14" s="66">
        <v>250</v>
      </c>
      <c r="E14" s="7">
        <v>2538.7800000000002</v>
      </c>
      <c r="F14" s="7">
        <v>3.1255866728650301</v>
      </c>
    </row>
    <row r="15" spans="1:6" x14ac:dyDescent="0.2">
      <c r="A15" s="66" t="s">
        <v>1867</v>
      </c>
      <c r="B15" s="66" t="s">
        <v>1868</v>
      </c>
      <c r="C15" s="66" t="s">
        <v>421</v>
      </c>
      <c r="D15" s="66">
        <v>250</v>
      </c>
      <c r="E15" s="7">
        <v>2528.4175</v>
      </c>
      <c r="F15" s="7">
        <v>3.1128290129269698</v>
      </c>
    </row>
    <row r="16" spans="1:6" x14ac:dyDescent="0.2">
      <c r="A16" s="66" t="s">
        <v>1747</v>
      </c>
      <c r="B16" s="66" t="s">
        <v>1748</v>
      </c>
      <c r="C16" s="66" t="s">
        <v>421</v>
      </c>
      <c r="D16" s="66">
        <v>250</v>
      </c>
      <c r="E16" s="7">
        <v>2508.5025000000001</v>
      </c>
      <c r="F16" s="7">
        <v>3.0883109142377898</v>
      </c>
    </row>
    <row r="17" spans="1:6" x14ac:dyDescent="0.2">
      <c r="A17" s="66" t="s">
        <v>1869</v>
      </c>
      <c r="B17" s="66" t="s">
        <v>1870</v>
      </c>
      <c r="C17" s="66" t="s">
        <v>421</v>
      </c>
      <c r="D17" s="66">
        <v>250</v>
      </c>
      <c r="E17" s="7">
        <v>2438.2399999999998</v>
      </c>
      <c r="F17" s="7">
        <v>3.0018081319556802</v>
      </c>
    </row>
    <row r="18" spans="1:6" x14ac:dyDescent="0.2">
      <c r="A18" s="66" t="s">
        <v>1871</v>
      </c>
      <c r="B18" s="66" t="s">
        <v>1872</v>
      </c>
      <c r="C18" s="66" t="s">
        <v>421</v>
      </c>
      <c r="D18" s="66">
        <v>203</v>
      </c>
      <c r="E18" s="7">
        <v>2041.89174</v>
      </c>
      <c r="F18" s="7">
        <v>2.5138490180233002</v>
      </c>
    </row>
    <row r="19" spans="1:6" x14ac:dyDescent="0.2">
      <c r="A19" s="66" t="s">
        <v>929</v>
      </c>
      <c r="B19" s="66" t="s">
        <v>930</v>
      </c>
      <c r="C19" s="66" t="s">
        <v>421</v>
      </c>
      <c r="D19" s="66">
        <v>192</v>
      </c>
      <c r="E19" s="7">
        <v>1886.9164800000001</v>
      </c>
      <c r="F19" s="7">
        <v>2.32305319984299</v>
      </c>
    </row>
    <row r="20" spans="1:6" x14ac:dyDescent="0.2">
      <c r="A20" s="66" t="s">
        <v>976</v>
      </c>
      <c r="B20" s="66" t="s">
        <v>977</v>
      </c>
      <c r="C20" s="66" t="s">
        <v>892</v>
      </c>
      <c r="D20" s="66">
        <v>178</v>
      </c>
      <c r="E20" s="7">
        <v>1831.4366600000001</v>
      </c>
      <c r="F20" s="7">
        <v>2.2547499258275399</v>
      </c>
    </row>
    <row r="21" spans="1:6" x14ac:dyDescent="0.2">
      <c r="A21" s="66" t="s">
        <v>921</v>
      </c>
      <c r="B21" s="66" t="s">
        <v>922</v>
      </c>
      <c r="C21" s="66" t="s">
        <v>892</v>
      </c>
      <c r="D21" s="66">
        <v>179</v>
      </c>
      <c r="E21" s="7">
        <v>1792.4326100000001</v>
      </c>
      <c r="F21" s="7">
        <v>2.2067305862755702</v>
      </c>
    </row>
    <row r="22" spans="1:6" x14ac:dyDescent="0.2">
      <c r="A22" s="66" t="s">
        <v>818</v>
      </c>
      <c r="B22" s="66" t="s">
        <v>819</v>
      </c>
      <c r="C22" s="66" t="s">
        <v>421</v>
      </c>
      <c r="D22" s="66">
        <v>158</v>
      </c>
      <c r="E22" s="7">
        <v>1538.3733199999999</v>
      </c>
      <c r="F22" s="7">
        <v>1.89394872611378</v>
      </c>
    </row>
    <row r="23" spans="1:6" x14ac:dyDescent="0.2">
      <c r="A23" s="66" t="s">
        <v>1873</v>
      </c>
      <c r="B23" s="66" t="s">
        <v>1874</v>
      </c>
      <c r="C23" s="66" t="s">
        <v>912</v>
      </c>
      <c r="D23" s="66">
        <v>150</v>
      </c>
      <c r="E23" s="7">
        <v>1500.8475000000001</v>
      </c>
      <c r="F23" s="7">
        <v>1.8477492906052499</v>
      </c>
    </row>
    <row r="24" spans="1:6" x14ac:dyDescent="0.2">
      <c r="A24" s="66" t="s">
        <v>970</v>
      </c>
      <c r="B24" s="66" t="s">
        <v>971</v>
      </c>
      <c r="C24" s="66" t="s">
        <v>421</v>
      </c>
      <c r="D24" s="66">
        <v>138</v>
      </c>
      <c r="E24" s="7">
        <v>1379.4038399999999</v>
      </c>
      <c r="F24" s="7">
        <v>1.69823547483549</v>
      </c>
    </row>
    <row r="25" spans="1:6" x14ac:dyDescent="0.2">
      <c r="A25" s="66" t="s">
        <v>898</v>
      </c>
      <c r="B25" s="66" t="s">
        <v>899</v>
      </c>
      <c r="C25" s="66" t="s">
        <v>421</v>
      </c>
      <c r="D25" s="66">
        <v>100</v>
      </c>
      <c r="E25" s="7">
        <v>1006.785</v>
      </c>
      <c r="F25" s="7">
        <v>1.2394905342095099</v>
      </c>
    </row>
    <row r="26" spans="1:6" x14ac:dyDescent="0.2">
      <c r="A26" s="66" t="s">
        <v>1424</v>
      </c>
      <c r="B26" s="66" t="s">
        <v>1425</v>
      </c>
      <c r="C26" s="66" t="s">
        <v>767</v>
      </c>
      <c r="D26" s="66">
        <v>100</v>
      </c>
      <c r="E26" s="7">
        <v>1004.145</v>
      </c>
      <c r="F26" s="7">
        <v>1.23624033182239</v>
      </c>
    </row>
    <row r="27" spans="1:6" x14ac:dyDescent="0.2">
      <c r="A27" s="66" t="s">
        <v>1875</v>
      </c>
      <c r="B27" s="66" t="s">
        <v>1876</v>
      </c>
      <c r="C27" s="66" t="s">
        <v>421</v>
      </c>
      <c r="D27" s="66">
        <v>100</v>
      </c>
      <c r="E27" s="7">
        <v>999.173</v>
      </c>
      <c r="F27" s="7">
        <v>1.2301191173266599</v>
      </c>
    </row>
    <row r="28" spans="1:6" x14ac:dyDescent="0.2">
      <c r="A28" s="66" t="s">
        <v>1877</v>
      </c>
      <c r="B28" s="66" t="s">
        <v>1878</v>
      </c>
      <c r="C28" s="66" t="s">
        <v>744</v>
      </c>
      <c r="D28" s="66">
        <v>100</v>
      </c>
      <c r="E28" s="7">
        <v>968.02800000000002</v>
      </c>
      <c r="F28" s="7">
        <v>1.19177534711956</v>
      </c>
    </row>
    <row r="29" spans="1:6" x14ac:dyDescent="0.2">
      <c r="A29" s="66" t="s">
        <v>765</v>
      </c>
      <c r="B29" s="66" t="s">
        <v>766</v>
      </c>
      <c r="C29" s="66" t="s">
        <v>767</v>
      </c>
      <c r="D29" s="66">
        <v>100</v>
      </c>
      <c r="E29" s="7">
        <v>951.54499999999996</v>
      </c>
      <c r="F29" s="7">
        <v>1.17148251153363</v>
      </c>
    </row>
    <row r="30" spans="1:6" x14ac:dyDescent="0.2">
      <c r="A30" s="66" t="s">
        <v>923</v>
      </c>
      <c r="B30" s="66" t="s">
        <v>924</v>
      </c>
      <c r="C30" s="66" t="s">
        <v>421</v>
      </c>
      <c r="D30" s="66">
        <v>55</v>
      </c>
      <c r="E30" s="7">
        <v>548.29830000000004</v>
      </c>
      <c r="F30" s="7">
        <v>0.675030471027247</v>
      </c>
    </row>
    <row r="31" spans="1:6" x14ac:dyDescent="0.2">
      <c r="A31" s="66" t="s">
        <v>893</v>
      </c>
      <c r="B31" s="66" t="s">
        <v>894</v>
      </c>
      <c r="C31" s="66" t="s">
        <v>421</v>
      </c>
      <c r="D31" s="66">
        <v>56</v>
      </c>
      <c r="E31" s="7">
        <v>545.1096</v>
      </c>
      <c r="F31" s="7">
        <v>0.67110474362126205</v>
      </c>
    </row>
    <row r="32" spans="1:6" x14ac:dyDescent="0.2">
      <c r="A32" s="66" t="s">
        <v>1119</v>
      </c>
      <c r="B32" s="66" t="s">
        <v>1120</v>
      </c>
      <c r="C32" s="66" t="s">
        <v>421</v>
      </c>
      <c r="D32" s="66">
        <v>55</v>
      </c>
      <c r="E32" s="7">
        <v>541.23519999999996</v>
      </c>
      <c r="F32" s="7">
        <v>0.66633482539071498</v>
      </c>
    </row>
    <row r="33" spans="1:6" x14ac:dyDescent="0.2">
      <c r="A33" s="66" t="s">
        <v>910</v>
      </c>
      <c r="B33" s="66" t="s">
        <v>911</v>
      </c>
      <c r="C33" s="66" t="s">
        <v>912</v>
      </c>
      <c r="D33" s="66">
        <v>51</v>
      </c>
      <c r="E33" s="7">
        <v>532.06769999999995</v>
      </c>
      <c r="F33" s="7">
        <v>0.65504837448772602</v>
      </c>
    </row>
    <row r="34" spans="1:6" x14ac:dyDescent="0.2">
      <c r="A34" s="66" t="s">
        <v>1879</v>
      </c>
      <c r="B34" s="66" t="s">
        <v>1880</v>
      </c>
      <c r="C34" s="66" t="s">
        <v>421</v>
      </c>
      <c r="D34" s="66">
        <v>50</v>
      </c>
      <c r="E34" s="7">
        <v>507.74849999999998</v>
      </c>
      <c r="F34" s="7">
        <v>0.62510810104349801</v>
      </c>
    </row>
    <row r="35" spans="1:6" x14ac:dyDescent="0.2">
      <c r="A35" s="66" t="s">
        <v>1107</v>
      </c>
      <c r="B35" s="66" t="s">
        <v>1108</v>
      </c>
      <c r="C35" s="66" t="s">
        <v>421</v>
      </c>
      <c r="D35" s="66">
        <v>47</v>
      </c>
      <c r="E35" s="7">
        <v>468.75261999999998</v>
      </c>
      <c r="F35" s="7">
        <v>0.57709881988300105</v>
      </c>
    </row>
    <row r="36" spans="1:6" x14ac:dyDescent="0.2">
      <c r="A36" s="66" t="s">
        <v>1109</v>
      </c>
      <c r="B36" s="66" t="s">
        <v>1110</v>
      </c>
      <c r="C36" s="66" t="s">
        <v>421</v>
      </c>
      <c r="D36" s="66">
        <v>45</v>
      </c>
      <c r="E36" s="7">
        <v>442.79775000000001</v>
      </c>
      <c r="F36" s="7">
        <v>0.545144812143873</v>
      </c>
    </row>
    <row r="37" spans="1:6" x14ac:dyDescent="0.2">
      <c r="A37" s="66" t="s">
        <v>1218</v>
      </c>
      <c r="B37" s="66" t="s">
        <v>1219</v>
      </c>
      <c r="C37" s="66" t="s">
        <v>427</v>
      </c>
      <c r="D37" s="66">
        <v>40</v>
      </c>
      <c r="E37" s="7">
        <v>399.34399999999999</v>
      </c>
      <c r="F37" s="7">
        <v>0.49164728109115902</v>
      </c>
    </row>
    <row r="38" spans="1:6" x14ac:dyDescent="0.2">
      <c r="A38" s="66" t="s">
        <v>1881</v>
      </c>
      <c r="B38" s="66" t="s">
        <v>1882</v>
      </c>
      <c r="C38" s="66" t="s">
        <v>421</v>
      </c>
      <c r="D38" s="66">
        <v>40</v>
      </c>
      <c r="E38" s="7">
        <v>391.46879999999999</v>
      </c>
      <c r="F38" s="7">
        <v>0.48195182887940902</v>
      </c>
    </row>
    <row r="39" spans="1:6" x14ac:dyDescent="0.2">
      <c r="A39" s="66" t="s">
        <v>1103</v>
      </c>
      <c r="B39" s="66" t="s">
        <v>1104</v>
      </c>
      <c r="C39" s="66" t="s">
        <v>421</v>
      </c>
      <c r="D39" s="66">
        <v>37</v>
      </c>
      <c r="E39" s="7">
        <v>369.10127</v>
      </c>
      <c r="F39" s="7">
        <v>0.45441432910672003</v>
      </c>
    </row>
    <row r="40" spans="1:6" x14ac:dyDescent="0.2">
      <c r="A40" s="66" t="s">
        <v>890</v>
      </c>
      <c r="B40" s="66" t="s">
        <v>891</v>
      </c>
      <c r="C40" s="66" t="s">
        <v>892</v>
      </c>
      <c r="D40" s="66">
        <v>24</v>
      </c>
      <c r="E40" s="7">
        <v>243.00023999999999</v>
      </c>
      <c r="F40" s="7">
        <v>0.29916665155980599</v>
      </c>
    </row>
    <row r="41" spans="1:6" x14ac:dyDescent="0.2">
      <c r="A41" s="66" t="s">
        <v>994</v>
      </c>
      <c r="B41" s="66" t="s">
        <v>995</v>
      </c>
      <c r="C41" s="66" t="s">
        <v>421</v>
      </c>
      <c r="D41" s="66">
        <v>23</v>
      </c>
      <c r="E41" s="7">
        <v>228.00452000000001</v>
      </c>
      <c r="F41" s="7">
        <v>0.28070486180960502</v>
      </c>
    </row>
    <row r="42" spans="1:6" x14ac:dyDescent="0.2">
      <c r="A42" s="66" t="s">
        <v>886</v>
      </c>
      <c r="B42" s="66" t="s">
        <v>887</v>
      </c>
      <c r="C42" s="66" t="s">
        <v>421</v>
      </c>
      <c r="D42" s="66">
        <v>22</v>
      </c>
      <c r="E42" s="7">
        <v>210.82248000000001</v>
      </c>
      <c r="F42" s="7">
        <v>0.259551412027964</v>
      </c>
    </row>
    <row r="43" spans="1:6" x14ac:dyDescent="0.2">
      <c r="A43" s="66" t="s">
        <v>1883</v>
      </c>
      <c r="B43" s="66" t="s">
        <v>1884</v>
      </c>
      <c r="C43" s="66" t="s">
        <v>421</v>
      </c>
      <c r="D43" s="66">
        <v>20</v>
      </c>
      <c r="E43" s="7">
        <v>200.87899999999999</v>
      </c>
      <c r="F43" s="7">
        <v>0.24730962322787101</v>
      </c>
    </row>
    <row r="44" spans="1:6" x14ac:dyDescent="0.2">
      <c r="A44" s="66" t="s">
        <v>420</v>
      </c>
      <c r="B44" s="66" t="s">
        <v>708</v>
      </c>
      <c r="C44" s="66" t="s">
        <v>421</v>
      </c>
      <c r="D44" s="66">
        <v>20</v>
      </c>
      <c r="E44" s="7">
        <v>196.70339999999999</v>
      </c>
      <c r="F44" s="7">
        <v>0.24216888645224899</v>
      </c>
    </row>
    <row r="45" spans="1:6" x14ac:dyDescent="0.2">
      <c r="A45" s="66" t="s">
        <v>1607</v>
      </c>
      <c r="B45" s="66" t="s">
        <v>1608</v>
      </c>
      <c r="C45" s="66" t="s">
        <v>1609</v>
      </c>
      <c r="D45" s="66">
        <v>15</v>
      </c>
      <c r="E45" s="7">
        <v>146.96250000000001</v>
      </c>
      <c r="F45" s="7">
        <v>0.18093101072598899</v>
      </c>
    </row>
    <row r="46" spans="1:6" x14ac:dyDescent="0.2">
      <c r="A46" s="66" t="s">
        <v>1885</v>
      </c>
      <c r="B46" s="66" t="s">
        <v>1886</v>
      </c>
      <c r="C46" s="66" t="s">
        <v>421</v>
      </c>
      <c r="D46" s="66">
        <v>5</v>
      </c>
      <c r="E46" s="7">
        <v>49.015650000000001</v>
      </c>
      <c r="F46" s="7">
        <v>6.0344993422752999E-2</v>
      </c>
    </row>
    <row r="47" spans="1:6" x14ac:dyDescent="0.2">
      <c r="A47" s="66" t="s">
        <v>951</v>
      </c>
      <c r="B47" s="66" t="s">
        <v>952</v>
      </c>
      <c r="C47" s="66" t="s">
        <v>892</v>
      </c>
      <c r="D47" s="66">
        <v>40</v>
      </c>
      <c r="E47" s="7">
        <v>40.128399999999999</v>
      </c>
      <c r="F47" s="7">
        <v>4.94035687390783E-2</v>
      </c>
    </row>
    <row r="48" spans="1:6" x14ac:dyDescent="0.2">
      <c r="A48" s="66" t="s">
        <v>939</v>
      </c>
      <c r="B48" s="66" t="s">
        <v>940</v>
      </c>
      <c r="C48" s="66" t="s">
        <v>421</v>
      </c>
      <c r="D48" s="66">
        <v>4</v>
      </c>
      <c r="E48" s="7">
        <v>38.913879999999999</v>
      </c>
      <c r="F48" s="7">
        <v>4.7908327904532498E-2</v>
      </c>
    </row>
    <row r="49" spans="1:6" x14ac:dyDescent="0.2">
      <c r="A49" s="66" t="s">
        <v>1004</v>
      </c>
      <c r="B49" s="66" t="s">
        <v>1005</v>
      </c>
      <c r="C49" s="66" t="s">
        <v>421</v>
      </c>
      <c r="D49" s="66">
        <v>3</v>
      </c>
      <c r="E49" s="7">
        <v>30.942029999999999</v>
      </c>
      <c r="F49" s="7">
        <v>3.8093886275845097E-2</v>
      </c>
    </row>
    <row r="50" spans="1:6" x14ac:dyDescent="0.2">
      <c r="A50" s="66" t="s">
        <v>900</v>
      </c>
      <c r="B50" s="66" t="s">
        <v>901</v>
      </c>
      <c r="C50" s="66" t="s">
        <v>897</v>
      </c>
      <c r="D50" s="66">
        <v>3</v>
      </c>
      <c r="E50" s="7">
        <v>30.09648</v>
      </c>
      <c r="F50" s="7">
        <v>3.7052898159016898E-2</v>
      </c>
    </row>
    <row r="51" spans="1:6" x14ac:dyDescent="0.2">
      <c r="A51" s="66" t="s">
        <v>1030</v>
      </c>
      <c r="B51" s="66" t="s">
        <v>1031</v>
      </c>
      <c r="C51" s="66" t="s">
        <v>421</v>
      </c>
      <c r="D51" s="66">
        <v>2</v>
      </c>
      <c r="E51" s="7">
        <v>19.702780000000001</v>
      </c>
      <c r="F51" s="7">
        <v>2.42568267381938E-2</v>
      </c>
    </row>
    <row r="52" spans="1:6" x14ac:dyDescent="0.2">
      <c r="A52" s="66" t="s">
        <v>1078</v>
      </c>
      <c r="B52" s="66" t="s">
        <v>1887</v>
      </c>
      <c r="C52" s="66" t="s">
        <v>421</v>
      </c>
      <c r="D52" s="66">
        <v>1</v>
      </c>
      <c r="E52" s="7">
        <v>9.9153300000000009</v>
      </c>
      <c r="F52" s="67">
        <v>0.01</v>
      </c>
    </row>
    <row r="53" spans="1:6" x14ac:dyDescent="0.2">
      <c r="A53" s="66" t="s">
        <v>1028</v>
      </c>
      <c r="B53" s="66" t="s">
        <v>1029</v>
      </c>
      <c r="C53" s="66" t="s">
        <v>897</v>
      </c>
      <c r="D53" s="66">
        <v>1</v>
      </c>
      <c r="E53" s="7">
        <v>9.8364100000000008</v>
      </c>
      <c r="F53" s="67">
        <v>0.01</v>
      </c>
    </row>
    <row r="54" spans="1:6" x14ac:dyDescent="0.2">
      <c r="A54" s="66" t="s">
        <v>1034</v>
      </c>
      <c r="B54" s="66" t="s">
        <v>1035</v>
      </c>
      <c r="C54" s="66" t="s">
        <v>421</v>
      </c>
      <c r="D54" s="66">
        <v>1</v>
      </c>
      <c r="E54" s="7">
        <v>9.8220100000000006</v>
      </c>
      <c r="F54" s="67">
        <v>0.01</v>
      </c>
    </row>
    <row r="55" spans="1:6" x14ac:dyDescent="0.2">
      <c r="A55" s="66" t="s">
        <v>1064</v>
      </c>
      <c r="B55" s="66" t="s">
        <v>1065</v>
      </c>
      <c r="C55" s="66" t="s">
        <v>421</v>
      </c>
      <c r="D55" s="66">
        <v>1</v>
      </c>
      <c r="E55" s="7">
        <v>9.7969399999999993</v>
      </c>
      <c r="F55" s="67">
        <v>1.2999999999999999E-2</v>
      </c>
    </row>
    <row r="56" spans="1:6" x14ac:dyDescent="0.2">
      <c r="A56" s="65" t="s">
        <v>39</v>
      </c>
      <c r="B56" s="66"/>
      <c r="C56" s="66"/>
      <c r="D56" s="66"/>
      <c r="E56" s="6">
        <f>SUM(E8:E55)</f>
        <v>58214.240070000022</v>
      </c>
      <c r="F56" s="6">
        <f>SUM(F8:F55)</f>
        <v>71.664249745859053</v>
      </c>
    </row>
    <row r="57" spans="1:6" x14ac:dyDescent="0.2">
      <c r="A57" s="66"/>
      <c r="B57" s="66"/>
      <c r="C57" s="66"/>
      <c r="D57" s="66"/>
      <c r="E57" s="7"/>
      <c r="F57" s="7"/>
    </row>
    <row r="58" spans="1:6" x14ac:dyDescent="0.2">
      <c r="A58" s="65" t="s">
        <v>822</v>
      </c>
      <c r="B58" s="66"/>
      <c r="C58" s="66"/>
      <c r="D58" s="66"/>
      <c r="E58" s="7"/>
      <c r="F58" s="7"/>
    </row>
    <row r="59" spans="1:6" x14ac:dyDescent="0.2">
      <c r="A59" s="66" t="s">
        <v>847</v>
      </c>
      <c r="B59" s="66" t="s">
        <v>848</v>
      </c>
      <c r="C59" s="66" t="s">
        <v>839</v>
      </c>
      <c r="D59" s="66">
        <v>370</v>
      </c>
      <c r="E59" s="7">
        <v>3501.8539000000001</v>
      </c>
      <c r="F59" s="7">
        <v>4.3112628428459496</v>
      </c>
    </row>
    <row r="60" spans="1:6" x14ac:dyDescent="0.2">
      <c r="A60" s="66" t="s">
        <v>1753</v>
      </c>
      <c r="B60" s="66" t="s">
        <v>1754</v>
      </c>
      <c r="C60" s="66" t="s">
        <v>833</v>
      </c>
      <c r="D60" s="66">
        <v>294</v>
      </c>
      <c r="E60" s="7">
        <v>3355.8247799999999</v>
      </c>
      <c r="F60" s="7">
        <v>4.1314809510230202</v>
      </c>
    </row>
    <row r="61" spans="1:6" x14ac:dyDescent="0.2">
      <c r="A61" s="66" t="s">
        <v>831</v>
      </c>
      <c r="B61" s="66" t="s">
        <v>832</v>
      </c>
      <c r="C61" s="66" t="s">
        <v>833</v>
      </c>
      <c r="D61" s="66">
        <v>300</v>
      </c>
      <c r="E61" s="7">
        <v>3315.3359999999998</v>
      </c>
      <c r="F61" s="7">
        <v>4.0816337050353599</v>
      </c>
    </row>
    <row r="62" spans="1:6" x14ac:dyDescent="0.2">
      <c r="A62" s="66" t="s">
        <v>1496</v>
      </c>
      <c r="B62" s="66" t="s">
        <v>1497</v>
      </c>
      <c r="C62" s="66" t="s">
        <v>786</v>
      </c>
      <c r="D62" s="66">
        <v>250</v>
      </c>
      <c r="E62" s="7">
        <v>2328.5749999999998</v>
      </c>
      <c r="F62" s="7">
        <v>2.8667954634772199</v>
      </c>
    </row>
    <row r="63" spans="1:6" x14ac:dyDescent="0.2">
      <c r="A63" s="66" t="s">
        <v>1520</v>
      </c>
      <c r="B63" s="66" t="s">
        <v>1521</v>
      </c>
      <c r="C63" s="66" t="s">
        <v>750</v>
      </c>
      <c r="D63" s="66">
        <v>200</v>
      </c>
      <c r="E63" s="7">
        <v>2098.634</v>
      </c>
      <c r="F63" s="7">
        <v>2.5837065289711698</v>
      </c>
    </row>
    <row r="64" spans="1:6" x14ac:dyDescent="0.2">
      <c r="A64" s="66" t="s">
        <v>881</v>
      </c>
      <c r="B64" s="66" t="s">
        <v>882</v>
      </c>
      <c r="C64" s="66" t="s">
        <v>842</v>
      </c>
      <c r="D64" s="66">
        <v>160</v>
      </c>
      <c r="E64" s="7">
        <v>1559.9295999999999</v>
      </c>
      <c r="F64" s="7">
        <v>1.9204874657779201</v>
      </c>
    </row>
    <row r="65" spans="1:10" x14ac:dyDescent="0.2">
      <c r="A65" s="66" t="s">
        <v>1825</v>
      </c>
      <c r="B65" s="66" t="s">
        <v>1826</v>
      </c>
      <c r="C65" s="66" t="s">
        <v>750</v>
      </c>
      <c r="D65" s="66">
        <v>130</v>
      </c>
      <c r="E65" s="7">
        <v>1382.7827</v>
      </c>
      <c r="F65" s="7">
        <v>1.7023953153043301</v>
      </c>
    </row>
    <row r="66" spans="1:10" x14ac:dyDescent="0.2">
      <c r="A66" s="66" t="s">
        <v>1888</v>
      </c>
      <c r="B66" s="66" t="s">
        <v>1889</v>
      </c>
      <c r="C66" s="66" t="s">
        <v>421</v>
      </c>
      <c r="D66" s="66">
        <v>100</v>
      </c>
      <c r="E66" s="7">
        <v>976.13400000000001</v>
      </c>
      <c r="F66" s="7">
        <v>1.2017549458127299</v>
      </c>
    </row>
    <row r="67" spans="1:10" x14ac:dyDescent="0.2">
      <c r="A67" s="65" t="s">
        <v>39</v>
      </c>
      <c r="B67" s="66"/>
      <c r="C67" s="66"/>
      <c r="D67" s="66"/>
      <c r="E67" s="6">
        <f>SUM(E59:E66)</f>
        <v>18519.06998</v>
      </c>
      <c r="F67" s="6">
        <f>SUM(F59:F66)</f>
        <v>22.799517218247701</v>
      </c>
      <c r="I67" s="1"/>
      <c r="J67" s="1"/>
    </row>
    <row r="68" spans="1:10" x14ac:dyDescent="0.2">
      <c r="A68" s="66"/>
      <c r="B68" s="66"/>
      <c r="C68" s="66"/>
      <c r="D68" s="66"/>
      <c r="E68" s="7"/>
      <c r="F68" s="7"/>
    </row>
    <row r="69" spans="1:10" x14ac:dyDescent="0.2">
      <c r="A69" s="65" t="s">
        <v>1619</v>
      </c>
      <c r="B69" s="66"/>
      <c r="C69" s="66"/>
      <c r="D69" s="66"/>
      <c r="E69" s="7"/>
      <c r="F69" s="7"/>
    </row>
    <row r="70" spans="1:10" x14ac:dyDescent="0.2">
      <c r="A70" s="66" t="s">
        <v>1890</v>
      </c>
      <c r="B70" s="66" t="s">
        <v>1891</v>
      </c>
      <c r="C70" s="66" t="s">
        <v>1622</v>
      </c>
      <c r="D70" s="66">
        <v>500000</v>
      </c>
      <c r="E70" s="7">
        <v>504.94450000000001</v>
      </c>
      <c r="F70" s="7">
        <v>0.62165599214445399</v>
      </c>
    </row>
    <row r="71" spans="1:10" x14ac:dyDescent="0.2">
      <c r="A71" s="65" t="s">
        <v>39</v>
      </c>
      <c r="B71" s="66"/>
      <c r="C71" s="66"/>
      <c r="D71" s="66"/>
      <c r="E71" s="6">
        <f>SUM(E70:E70)</f>
        <v>504.94450000000001</v>
      </c>
      <c r="F71" s="6">
        <f>SUM(F70:F70)</f>
        <v>0.62165599214445399</v>
      </c>
      <c r="I71" s="1"/>
      <c r="J71" s="1"/>
    </row>
    <row r="72" spans="1:10" x14ac:dyDescent="0.2">
      <c r="A72" s="66"/>
      <c r="B72" s="66"/>
      <c r="C72" s="66"/>
      <c r="D72" s="66"/>
      <c r="E72" s="7"/>
      <c r="F72" s="7"/>
    </row>
    <row r="73" spans="1:10" x14ac:dyDescent="0.2">
      <c r="A73" s="65" t="s">
        <v>39</v>
      </c>
      <c r="B73" s="66"/>
      <c r="C73" s="66"/>
      <c r="D73" s="66"/>
      <c r="E73" s="6">
        <v>77238.254550000027</v>
      </c>
      <c r="F73" s="6">
        <v>95.090893679971032</v>
      </c>
      <c r="I73" s="1"/>
      <c r="J73" s="1"/>
    </row>
    <row r="74" spans="1:10" x14ac:dyDescent="0.2">
      <c r="A74" s="66"/>
      <c r="B74" s="66"/>
      <c r="C74" s="66"/>
      <c r="D74" s="66"/>
      <c r="E74" s="7"/>
      <c r="F74" s="7"/>
    </row>
    <row r="75" spans="1:10" x14ac:dyDescent="0.2">
      <c r="A75" s="65" t="s">
        <v>103</v>
      </c>
      <c r="B75" s="66"/>
      <c r="C75" s="66"/>
      <c r="D75" s="66"/>
      <c r="E75" s="6">
        <v>3987.4610653999998</v>
      </c>
      <c r="F75" s="6">
        <v>4.91</v>
      </c>
      <c r="I75" s="1"/>
      <c r="J75" s="1"/>
    </row>
    <row r="76" spans="1:10" x14ac:dyDescent="0.2">
      <c r="A76" s="66"/>
      <c r="B76" s="66"/>
      <c r="C76" s="66"/>
      <c r="D76" s="66"/>
      <c r="E76" s="7"/>
      <c r="F76" s="7"/>
    </row>
    <row r="77" spans="1:10" x14ac:dyDescent="0.2">
      <c r="A77" s="68" t="s">
        <v>104</v>
      </c>
      <c r="B77" s="64"/>
      <c r="C77" s="64"/>
      <c r="D77" s="64"/>
      <c r="E77" s="8">
        <v>81225.711065399999</v>
      </c>
      <c r="F77" s="8">
        <f xml:space="preserve"> ROUND(SUM(F73:F76),2)</f>
        <v>100</v>
      </c>
      <c r="I77" s="1"/>
      <c r="J77" s="1"/>
    </row>
    <row r="78" spans="1:10" x14ac:dyDescent="0.2">
      <c r="A78" s="4" t="s">
        <v>714</v>
      </c>
      <c r="F78" s="9"/>
      <c r="I78" s="1"/>
      <c r="J78" s="1"/>
    </row>
    <row r="79" spans="1:10" x14ac:dyDescent="0.2">
      <c r="A79" s="4"/>
      <c r="F79" s="9"/>
      <c r="I79" s="1"/>
      <c r="J79" s="1"/>
    </row>
    <row r="80" spans="1:10" x14ac:dyDescent="0.2">
      <c r="A80" s="4" t="s">
        <v>105</v>
      </c>
    </row>
    <row r="81" spans="1:4" x14ac:dyDescent="0.2">
      <c r="A81" s="4" t="s">
        <v>106</v>
      </c>
    </row>
    <row r="82" spans="1:4" x14ac:dyDescent="0.2">
      <c r="A82" s="4" t="s">
        <v>107</v>
      </c>
    </row>
    <row r="83" spans="1:4" x14ac:dyDescent="0.2">
      <c r="A83" s="2" t="s">
        <v>722</v>
      </c>
      <c r="D83" s="10">
        <v>61.169699999999999</v>
      </c>
    </row>
    <row r="84" spans="1:4" x14ac:dyDescent="0.2">
      <c r="A84" s="2" t="s">
        <v>720</v>
      </c>
      <c r="D84" s="10">
        <v>63.698399999999999</v>
      </c>
    </row>
    <row r="85" spans="1:4" x14ac:dyDescent="0.2">
      <c r="A85" s="2" t="s">
        <v>1892</v>
      </c>
      <c r="D85" s="10">
        <v>18.136099999999999</v>
      </c>
    </row>
    <row r="86" spans="1:4" x14ac:dyDescent="0.2">
      <c r="A86" s="2" t="s">
        <v>725</v>
      </c>
      <c r="D86" s="10">
        <v>15.718400000000001</v>
      </c>
    </row>
    <row r="87" spans="1:4" x14ac:dyDescent="0.2">
      <c r="A87" s="2" t="s">
        <v>726</v>
      </c>
      <c r="D87" s="10">
        <v>13.401400000000001</v>
      </c>
    </row>
    <row r="88" spans="1:4" x14ac:dyDescent="0.2">
      <c r="A88" s="2" t="s">
        <v>1893</v>
      </c>
      <c r="D88" s="10">
        <v>13.7525</v>
      </c>
    </row>
    <row r="89" spans="1:4" x14ac:dyDescent="0.2">
      <c r="A89" s="2" t="s">
        <v>1894</v>
      </c>
      <c r="D89" s="10">
        <v>17.179099999999998</v>
      </c>
    </row>
    <row r="90" spans="1:4" x14ac:dyDescent="0.2">
      <c r="A90" s="2" t="s">
        <v>1895</v>
      </c>
      <c r="D90" s="10">
        <v>14.7394</v>
      </c>
    </row>
    <row r="91" spans="1:4" x14ac:dyDescent="0.2">
      <c r="A91" s="2" t="s">
        <v>723</v>
      </c>
      <c r="D91" s="10">
        <v>16.552700000000002</v>
      </c>
    </row>
    <row r="92" spans="1:4" x14ac:dyDescent="0.2">
      <c r="A92" s="2" t="s">
        <v>724</v>
      </c>
      <c r="D92" s="10">
        <v>14.124599999999999</v>
      </c>
    </row>
    <row r="94" spans="1:4" x14ac:dyDescent="0.2">
      <c r="A94" s="4" t="s">
        <v>108</v>
      </c>
    </row>
    <row r="95" spans="1:4" x14ac:dyDescent="0.2">
      <c r="A95" s="2" t="s">
        <v>726</v>
      </c>
      <c r="D95" s="10">
        <v>13.3346</v>
      </c>
    </row>
    <row r="96" spans="1:4" x14ac:dyDescent="0.2">
      <c r="A96" s="2" t="s">
        <v>1893</v>
      </c>
      <c r="D96" s="10">
        <v>13.753</v>
      </c>
    </row>
    <row r="97" spans="1:4" x14ac:dyDescent="0.2">
      <c r="A97" s="2" t="s">
        <v>1894</v>
      </c>
      <c r="D97" s="10">
        <v>17.819099999999999</v>
      </c>
    </row>
    <row r="98" spans="1:4" x14ac:dyDescent="0.2">
      <c r="A98" s="2" t="s">
        <v>1895</v>
      </c>
      <c r="D98" s="10">
        <v>14.8225</v>
      </c>
    </row>
    <row r="99" spans="1:4" x14ac:dyDescent="0.2">
      <c r="A99" s="2" t="s">
        <v>723</v>
      </c>
      <c r="D99" s="10">
        <v>16.607399999999998</v>
      </c>
    </row>
    <row r="100" spans="1:4" x14ac:dyDescent="0.2">
      <c r="A100" s="2" t="s">
        <v>724</v>
      </c>
      <c r="D100" s="10">
        <v>14.1267</v>
      </c>
    </row>
    <row r="101" spans="1:4" x14ac:dyDescent="0.2">
      <c r="A101" s="2" t="s">
        <v>1892</v>
      </c>
      <c r="D101" s="10">
        <v>18.867799999999999</v>
      </c>
    </row>
    <row r="102" spans="1:4" x14ac:dyDescent="0.2">
      <c r="A102" s="2" t="s">
        <v>725</v>
      </c>
      <c r="D102" s="10">
        <v>15.6922</v>
      </c>
    </row>
    <row r="103" spans="1:4" x14ac:dyDescent="0.2">
      <c r="A103" s="2" t="s">
        <v>720</v>
      </c>
      <c r="D103" s="10">
        <v>66.265199999999993</v>
      </c>
    </row>
    <row r="104" spans="1:4" x14ac:dyDescent="0.2">
      <c r="A104" s="2" t="s">
        <v>722</v>
      </c>
      <c r="D104" s="10">
        <v>63.448599999999999</v>
      </c>
    </row>
    <row r="106" spans="1:4" x14ac:dyDescent="0.2">
      <c r="A106" s="4" t="s">
        <v>109</v>
      </c>
      <c r="D106" s="69"/>
    </row>
    <row r="107" spans="1:4" x14ac:dyDescent="0.2">
      <c r="A107" s="75" t="s">
        <v>727</v>
      </c>
      <c r="B107" s="76"/>
      <c r="C107" s="77" t="s">
        <v>728</v>
      </c>
      <c r="D107" s="77"/>
    </row>
    <row r="108" spans="1:4" x14ac:dyDescent="0.2">
      <c r="A108" s="78"/>
      <c r="B108" s="78"/>
      <c r="C108" s="43" t="s">
        <v>729</v>
      </c>
      <c r="D108" s="43" t="s">
        <v>730</v>
      </c>
    </row>
    <row r="109" spans="1:4" x14ac:dyDescent="0.2">
      <c r="A109" s="44" t="s">
        <v>725</v>
      </c>
      <c r="B109" s="45"/>
      <c r="C109" s="79">
        <v>0.43219362000000006</v>
      </c>
      <c r="D109" s="79">
        <v>0.40021344600000003</v>
      </c>
    </row>
    <row r="110" spans="1:4" x14ac:dyDescent="0.2">
      <c r="A110" s="44" t="s">
        <v>726</v>
      </c>
      <c r="B110" s="45"/>
      <c r="C110" s="79">
        <v>0.396177485</v>
      </c>
      <c r="D110" s="79">
        <v>0.36686232560000004</v>
      </c>
    </row>
    <row r="111" spans="1:4" x14ac:dyDescent="0.2">
      <c r="A111" s="44" t="s">
        <v>1893</v>
      </c>
      <c r="B111" s="45"/>
      <c r="C111" s="79">
        <v>0.36016134999999999</v>
      </c>
      <c r="D111" s="79">
        <v>0.33351120500000003</v>
      </c>
    </row>
    <row r="112" spans="1:4" x14ac:dyDescent="0.2">
      <c r="A112" s="44" t="s">
        <v>723</v>
      </c>
      <c r="B112" s="45"/>
      <c r="C112" s="79">
        <v>0.43219362000000006</v>
      </c>
      <c r="D112" s="79">
        <v>0.40021344600000003</v>
      </c>
    </row>
    <row r="113" spans="1:5" x14ac:dyDescent="0.2">
      <c r="A113" s="44" t="s">
        <v>724</v>
      </c>
      <c r="B113" s="45"/>
      <c r="C113" s="79">
        <v>0.396177485</v>
      </c>
      <c r="D113" s="79">
        <v>0.36686232560000004</v>
      </c>
    </row>
    <row r="114" spans="1:5" x14ac:dyDescent="0.2">
      <c r="A114" s="44" t="s">
        <v>1895</v>
      </c>
      <c r="B114" s="45"/>
      <c r="C114" s="79">
        <v>0.36016134999999999</v>
      </c>
      <c r="D114" s="79">
        <v>0.33351120500000003</v>
      </c>
    </row>
    <row r="116" spans="1:5" x14ac:dyDescent="0.2">
      <c r="A116" s="4" t="s">
        <v>883</v>
      </c>
      <c r="D116" s="70">
        <v>3.3833972300398703</v>
      </c>
      <c r="E116" s="1" t="s">
        <v>735</v>
      </c>
    </row>
  </sheetData>
  <mergeCells count="3">
    <mergeCell ref="A1:F1"/>
    <mergeCell ref="C107:D107"/>
    <mergeCell ref="A108:B10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3.85546875" style="2" bestFit="1" customWidth="1"/>
    <col min="3" max="3" width="12.57031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1896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893</v>
      </c>
      <c r="B8" s="66" t="s">
        <v>894</v>
      </c>
      <c r="C8" s="66" t="s">
        <v>421</v>
      </c>
      <c r="D8" s="66">
        <v>70</v>
      </c>
      <c r="E8" s="7">
        <v>681.38699999999994</v>
      </c>
      <c r="F8" s="7">
        <v>8.2228870044208797</v>
      </c>
    </row>
    <row r="9" spans="1:6" x14ac:dyDescent="0.2">
      <c r="A9" s="66" t="s">
        <v>1418</v>
      </c>
      <c r="B9" s="66" t="s">
        <v>1419</v>
      </c>
      <c r="C9" s="66" t="s">
        <v>1158</v>
      </c>
      <c r="D9" s="66">
        <v>60</v>
      </c>
      <c r="E9" s="7">
        <v>600.52739999999994</v>
      </c>
      <c r="F9" s="7">
        <v>7.2470841874862</v>
      </c>
    </row>
    <row r="10" spans="1:6" x14ac:dyDescent="0.2">
      <c r="A10" s="66" t="s">
        <v>1218</v>
      </c>
      <c r="B10" s="66" t="s">
        <v>1219</v>
      </c>
      <c r="C10" s="66" t="s">
        <v>427</v>
      </c>
      <c r="D10" s="66">
        <v>60</v>
      </c>
      <c r="E10" s="7">
        <v>599.01599999999996</v>
      </c>
      <c r="F10" s="7">
        <v>7.2288448148264903</v>
      </c>
    </row>
    <row r="11" spans="1:6" x14ac:dyDescent="0.2">
      <c r="A11" s="66" t="s">
        <v>886</v>
      </c>
      <c r="B11" s="66" t="s">
        <v>887</v>
      </c>
      <c r="C11" s="66" t="s">
        <v>421</v>
      </c>
      <c r="D11" s="66">
        <v>53</v>
      </c>
      <c r="E11" s="7">
        <v>507.89051999999998</v>
      </c>
      <c r="F11" s="7">
        <v>6.1291547337659296</v>
      </c>
    </row>
    <row r="12" spans="1:6" x14ac:dyDescent="0.2">
      <c r="A12" s="66" t="s">
        <v>1865</v>
      </c>
      <c r="B12" s="66" t="s">
        <v>1866</v>
      </c>
      <c r="C12" s="66" t="s">
        <v>421</v>
      </c>
      <c r="D12" s="66">
        <v>50</v>
      </c>
      <c r="E12" s="7">
        <v>507.75599999999997</v>
      </c>
      <c r="F12" s="7">
        <v>6.1275313644327403</v>
      </c>
    </row>
    <row r="13" spans="1:6" x14ac:dyDescent="0.2">
      <c r="A13" s="66" t="s">
        <v>890</v>
      </c>
      <c r="B13" s="66" t="s">
        <v>891</v>
      </c>
      <c r="C13" s="66" t="s">
        <v>892</v>
      </c>
      <c r="D13" s="66">
        <v>50</v>
      </c>
      <c r="E13" s="7">
        <v>506.25049999999999</v>
      </c>
      <c r="F13" s="7">
        <v>6.1093631921823803</v>
      </c>
    </row>
    <row r="14" spans="1:6" x14ac:dyDescent="0.2">
      <c r="A14" s="66" t="s">
        <v>1897</v>
      </c>
      <c r="B14" s="66" t="s">
        <v>1898</v>
      </c>
      <c r="C14" s="66" t="s">
        <v>892</v>
      </c>
      <c r="D14" s="66">
        <v>500</v>
      </c>
      <c r="E14" s="7">
        <v>499.78399999999999</v>
      </c>
      <c r="F14" s="7">
        <v>6.0313263367476697</v>
      </c>
    </row>
    <row r="15" spans="1:6" x14ac:dyDescent="0.2">
      <c r="A15" s="66" t="s">
        <v>1850</v>
      </c>
      <c r="B15" s="66" t="s">
        <v>1851</v>
      </c>
      <c r="C15" s="66" t="s">
        <v>744</v>
      </c>
      <c r="D15" s="66">
        <v>50</v>
      </c>
      <c r="E15" s="7">
        <v>488.7</v>
      </c>
      <c r="F15" s="7">
        <v>5.89756611009674</v>
      </c>
    </row>
    <row r="16" spans="1:6" x14ac:dyDescent="0.2">
      <c r="A16" s="66" t="s">
        <v>422</v>
      </c>
      <c r="B16" s="66" t="s">
        <v>709</v>
      </c>
      <c r="C16" s="66" t="s">
        <v>421</v>
      </c>
      <c r="D16" s="66">
        <v>50</v>
      </c>
      <c r="E16" s="7">
        <v>485.82</v>
      </c>
      <c r="F16" s="7">
        <v>5.8628106560409199</v>
      </c>
    </row>
    <row r="17" spans="1:10" x14ac:dyDescent="0.2">
      <c r="A17" s="66" t="s">
        <v>915</v>
      </c>
      <c r="B17" s="66" t="s">
        <v>916</v>
      </c>
      <c r="C17" s="66" t="s">
        <v>421</v>
      </c>
      <c r="D17" s="66">
        <v>50</v>
      </c>
      <c r="E17" s="7">
        <v>483.38200000000001</v>
      </c>
      <c r="F17" s="7">
        <v>5.8333891987533901</v>
      </c>
    </row>
    <row r="18" spans="1:10" x14ac:dyDescent="0.2">
      <c r="A18" s="66" t="s">
        <v>921</v>
      </c>
      <c r="B18" s="66" t="s">
        <v>922</v>
      </c>
      <c r="C18" s="66" t="s">
        <v>892</v>
      </c>
      <c r="D18" s="66">
        <v>40</v>
      </c>
      <c r="E18" s="7">
        <v>400.54360000000003</v>
      </c>
      <c r="F18" s="7">
        <v>4.8337064885945198</v>
      </c>
    </row>
    <row r="19" spans="1:10" x14ac:dyDescent="0.2">
      <c r="A19" s="66" t="s">
        <v>1607</v>
      </c>
      <c r="B19" s="66" t="s">
        <v>1608</v>
      </c>
      <c r="C19" s="66" t="s">
        <v>1609</v>
      </c>
      <c r="D19" s="66">
        <v>35</v>
      </c>
      <c r="E19" s="7">
        <v>342.91250000000002</v>
      </c>
      <c r="F19" s="7">
        <v>4.1382220968458103</v>
      </c>
    </row>
    <row r="20" spans="1:10" x14ac:dyDescent="0.2">
      <c r="A20" s="66" t="s">
        <v>1412</v>
      </c>
      <c r="B20" s="66" t="s">
        <v>1413</v>
      </c>
      <c r="C20" s="66" t="s">
        <v>842</v>
      </c>
      <c r="D20" s="66">
        <v>35</v>
      </c>
      <c r="E20" s="7">
        <v>336.47460000000001</v>
      </c>
      <c r="F20" s="7">
        <v>4.0605303823784604</v>
      </c>
    </row>
    <row r="21" spans="1:10" x14ac:dyDescent="0.2">
      <c r="A21" s="66" t="s">
        <v>910</v>
      </c>
      <c r="B21" s="66" t="s">
        <v>911</v>
      </c>
      <c r="C21" s="66" t="s">
        <v>912</v>
      </c>
      <c r="D21" s="66">
        <v>32</v>
      </c>
      <c r="E21" s="7">
        <v>333.84640000000002</v>
      </c>
      <c r="F21" s="7">
        <v>4.0288136169793303</v>
      </c>
    </row>
    <row r="22" spans="1:10" x14ac:dyDescent="0.2">
      <c r="A22" s="66" t="s">
        <v>1883</v>
      </c>
      <c r="B22" s="66" t="s">
        <v>1884</v>
      </c>
      <c r="C22" s="66" t="s">
        <v>421</v>
      </c>
      <c r="D22" s="66">
        <v>30</v>
      </c>
      <c r="E22" s="7">
        <v>301.31849999999997</v>
      </c>
      <c r="F22" s="7">
        <v>3.6362712787910501</v>
      </c>
    </row>
    <row r="23" spans="1:10" x14ac:dyDescent="0.2">
      <c r="A23" s="66" t="s">
        <v>1072</v>
      </c>
      <c r="B23" s="66" t="s">
        <v>1073</v>
      </c>
      <c r="C23" s="66" t="s">
        <v>421</v>
      </c>
      <c r="D23" s="66">
        <v>1</v>
      </c>
      <c r="E23" s="7">
        <v>9.9505099999999995</v>
      </c>
      <c r="F23" s="7">
        <v>0.12008142122811299</v>
      </c>
    </row>
    <row r="24" spans="1:10" x14ac:dyDescent="0.2">
      <c r="A24" s="65" t="s">
        <v>39</v>
      </c>
      <c r="B24" s="66"/>
      <c r="C24" s="66"/>
      <c r="D24" s="66"/>
      <c r="E24" s="6">
        <f>SUM(E8:E23)</f>
        <v>7085.5595300000004</v>
      </c>
      <c r="F24" s="6">
        <f>SUM(F8:F23)</f>
        <v>85.50758288357062</v>
      </c>
      <c r="I24" s="1"/>
      <c r="J24" s="1"/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5" t="s">
        <v>1619</v>
      </c>
      <c r="B26" s="66"/>
      <c r="C26" s="66"/>
      <c r="D26" s="66"/>
      <c r="E26" s="7"/>
      <c r="F26" s="7"/>
    </row>
    <row r="27" spans="1:10" x14ac:dyDescent="0.2">
      <c r="A27" s="66" t="s">
        <v>1620</v>
      </c>
      <c r="B27" s="66" t="s">
        <v>1621</v>
      </c>
      <c r="C27" s="66" t="s">
        <v>1622</v>
      </c>
      <c r="D27" s="66">
        <v>500000</v>
      </c>
      <c r="E27" s="7">
        <v>485.79199999999997</v>
      </c>
      <c r="F27" s="7">
        <v>5.8624727557931502</v>
      </c>
    </row>
    <row r="28" spans="1:10" x14ac:dyDescent="0.2">
      <c r="A28" s="65" t="s">
        <v>39</v>
      </c>
      <c r="B28" s="66"/>
      <c r="C28" s="66"/>
      <c r="D28" s="66"/>
      <c r="E28" s="6">
        <f>SUM(E27:E27)</f>
        <v>485.79199999999997</v>
      </c>
      <c r="F28" s="6">
        <f>SUM(F27:F27)</f>
        <v>5.8624727557931502</v>
      </c>
      <c r="I28" s="1"/>
      <c r="J28" s="1"/>
    </row>
    <row r="29" spans="1:10" x14ac:dyDescent="0.2">
      <c r="A29" s="66"/>
      <c r="B29" s="66"/>
      <c r="C29" s="66"/>
      <c r="D29" s="66"/>
      <c r="E29" s="7"/>
      <c r="F29" s="7"/>
    </row>
    <row r="30" spans="1:10" x14ac:dyDescent="0.2">
      <c r="A30" s="65" t="s">
        <v>39</v>
      </c>
      <c r="B30" s="66"/>
      <c r="C30" s="66"/>
      <c r="D30" s="66"/>
      <c r="E30" s="6">
        <v>7571.3515300000008</v>
      </c>
      <c r="F30" s="6">
        <v>91.37005563936377</v>
      </c>
      <c r="I30" s="1"/>
      <c r="J30" s="1"/>
    </row>
    <row r="31" spans="1:10" x14ac:dyDescent="0.2">
      <c r="A31" s="66"/>
      <c r="B31" s="66"/>
      <c r="C31" s="66"/>
      <c r="D31" s="66"/>
      <c r="E31" s="7"/>
      <c r="F31" s="7"/>
    </row>
    <row r="32" spans="1:10" x14ac:dyDescent="0.2">
      <c r="A32" s="65" t="s">
        <v>103</v>
      </c>
      <c r="B32" s="66"/>
      <c r="C32" s="66"/>
      <c r="D32" s="66"/>
      <c r="E32" s="6">
        <v>715.1192125</v>
      </c>
      <c r="F32" s="6">
        <v>8.6300000000000008</v>
      </c>
      <c r="I32" s="1"/>
      <c r="J32" s="1"/>
    </row>
    <row r="33" spans="1:10" x14ac:dyDescent="0.2">
      <c r="A33" s="66"/>
      <c r="B33" s="66"/>
      <c r="C33" s="66"/>
      <c r="D33" s="66"/>
      <c r="E33" s="7"/>
      <c r="F33" s="7"/>
    </row>
    <row r="34" spans="1:10" x14ac:dyDescent="0.2">
      <c r="A34" s="68" t="s">
        <v>104</v>
      </c>
      <c r="B34" s="64"/>
      <c r="C34" s="64"/>
      <c r="D34" s="64"/>
      <c r="E34" s="8">
        <v>8286.4692125000001</v>
      </c>
      <c r="F34" s="8">
        <f xml:space="preserve"> ROUND(SUM(F30:F33),2)</f>
        <v>100</v>
      </c>
      <c r="I34" s="1"/>
      <c r="J34" s="1"/>
    </row>
    <row r="35" spans="1:10" x14ac:dyDescent="0.2">
      <c r="A35" s="4" t="s">
        <v>714</v>
      </c>
    </row>
    <row r="36" spans="1:10" x14ac:dyDescent="0.2">
      <c r="A36" s="4"/>
    </row>
    <row r="37" spans="1:10" x14ac:dyDescent="0.2">
      <c r="A37" s="4" t="s">
        <v>105</v>
      </c>
    </row>
    <row r="38" spans="1:10" x14ac:dyDescent="0.2">
      <c r="A38" s="4" t="s">
        <v>106</v>
      </c>
    </row>
    <row r="39" spans="1:10" x14ac:dyDescent="0.2">
      <c r="A39" s="4" t="s">
        <v>107</v>
      </c>
    </row>
    <row r="40" spans="1:10" x14ac:dyDescent="0.2">
      <c r="A40" s="2" t="s">
        <v>722</v>
      </c>
      <c r="D40" s="10">
        <v>13.605399999999999</v>
      </c>
    </row>
    <row r="41" spans="1:10" x14ac:dyDescent="0.2">
      <c r="A41" s="2" t="s">
        <v>719</v>
      </c>
      <c r="D41" s="10">
        <v>10.5733</v>
      </c>
    </row>
    <row r="42" spans="1:10" x14ac:dyDescent="0.2">
      <c r="A42" s="2" t="s">
        <v>720</v>
      </c>
      <c r="D42" s="10">
        <v>13.879200000000001</v>
      </c>
    </row>
    <row r="43" spans="1:10" x14ac:dyDescent="0.2">
      <c r="A43" s="2" t="s">
        <v>721</v>
      </c>
      <c r="D43" s="10">
        <v>10.3466</v>
      </c>
    </row>
    <row r="45" spans="1:10" x14ac:dyDescent="0.2">
      <c r="A45" s="4" t="s">
        <v>108</v>
      </c>
    </row>
    <row r="46" spans="1:10" x14ac:dyDescent="0.2">
      <c r="A46" s="2" t="s">
        <v>720</v>
      </c>
      <c r="D46" s="10">
        <v>14.510199999999999</v>
      </c>
    </row>
    <row r="47" spans="1:10" x14ac:dyDescent="0.2">
      <c r="A47" s="2" t="s">
        <v>721</v>
      </c>
      <c r="D47" s="10">
        <v>10.382899999999999</v>
      </c>
    </row>
    <row r="48" spans="1:10" x14ac:dyDescent="0.2">
      <c r="A48" s="2" t="s">
        <v>722</v>
      </c>
      <c r="D48" s="10">
        <v>14.1967</v>
      </c>
    </row>
    <row r="49" spans="1:5" x14ac:dyDescent="0.2">
      <c r="A49" s="2" t="s">
        <v>719</v>
      </c>
      <c r="D49" s="10">
        <v>10.6387</v>
      </c>
    </row>
    <row r="51" spans="1:5" x14ac:dyDescent="0.2">
      <c r="A51" s="4" t="s">
        <v>109</v>
      </c>
      <c r="D51" s="69"/>
    </row>
    <row r="52" spans="1:5" x14ac:dyDescent="0.2">
      <c r="A52" s="75" t="s">
        <v>727</v>
      </c>
      <c r="B52" s="76"/>
      <c r="C52" s="77" t="s">
        <v>728</v>
      </c>
      <c r="D52" s="77"/>
    </row>
    <row r="53" spans="1:5" x14ac:dyDescent="0.2">
      <c r="A53" s="78"/>
      <c r="B53" s="78"/>
      <c r="C53" s="43" t="s">
        <v>729</v>
      </c>
      <c r="D53" s="43" t="s">
        <v>730</v>
      </c>
    </row>
    <row r="54" spans="1:5" x14ac:dyDescent="0.2">
      <c r="A54" s="44" t="s">
        <v>1899</v>
      </c>
      <c r="B54" s="45"/>
      <c r="C54" s="79">
        <v>0.28812908000000004</v>
      </c>
      <c r="D54" s="79">
        <v>0.26680896400000004</v>
      </c>
    </row>
    <row r="55" spans="1:5" x14ac:dyDescent="0.2">
      <c r="A55" s="44" t="s">
        <v>1900</v>
      </c>
      <c r="B55" s="45"/>
      <c r="C55" s="79">
        <v>0.28812908000000004</v>
      </c>
      <c r="D55" s="79">
        <v>0.26680896400000004</v>
      </c>
    </row>
    <row r="57" spans="1:5" x14ac:dyDescent="0.2">
      <c r="A57" s="4" t="s">
        <v>883</v>
      </c>
      <c r="D57" s="70">
        <v>3.3206639345489815</v>
      </c>
      <c r="E57" s="1" t="s">
        <v>735</v>
      </c>
    </row>
  </sheetData>
  <mergeCells count="3">
    <mergeCell ref="A1:F1"/>
    <mergeCell ref="C52:D52"/>
    <mergeCell ref="A53:B5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140625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885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886</v>
      </c>
      <c r="B8" s="66" t="s">
        <v>887</v>
      </c>
      <c r="C8" s="66" t="s">
        <v>421</v>
      </c>
      <c r="D8" s="66">
        <v>28</v>
      </c>
      <c r="E8" s="7">
        <v>268.31952000000001</v>
      </c>
      <c r="F8" s="7">
        <v>11.9098275393552</v>
      </c>
    </row>
    <row r="9" spans="1:6" x14ac:dyDescent="0.2">
      <c r="A9" s="66" t="s">
        <v>888</v>
      </c>
      <c r="B9" s="66" t="s">
        <v>889</v>
      </c>
      <c r="C9" s="66" t="s">
        <v>421</v>
      </c>
      <c r="D9" s="66">
        <v>26</v>
      </c>
      <c r="E9" s="7">
        <v>266.28809999999999</v>
      </c>
      <c r="F9" s="7">
        <v>11.8196594373103</v>
      </c>
    </row>
    <row r="10" spans="1:6" x14ac:dyDescent="0.2">
      <c r="A10" s="66" t="s">
        <v>890</v>
      </c>
      <c r="B10" s="66" t="s">
        <v>891</v>
      </c>
      <c r="C10" s="66" t="s">
        <v>892</v>
      </c>
      <c r="D10" s="66">
        <v>26</v>
      </c>
      <c r="E10" s="7">
        <v>263.25026000000003</v>
      </c>
      <c r="F10" s="7">
        <v>11.684819637015</v>
      </c>
    </row>
    <row r="11" spans="1:6" x14ac:dyDescent="0.2">
      <c r="A11" s="66" t="s">
        <v>893</v>
      </c>
      <c r="B11" s="66" t="s">
        <v>894</v>
      </c>
      <c r="C11" s="66" t="s">
        <v>421</v>
      </c>
      <c r="D11" s="66">
        <v>27</v>
      </c>
      <c r="E11" s="7">
        <v>262.82069999999999</v>
      </c>
      <c r="F11" s="7">
        <v>11.6657528709526</v>
      </c>
    </row>
    <row r="12" spans="1:6" x14ac:dyDescent="0.2">
      <c r="A12" s="66" t="s">
        <v>895</v>
      </c>
      <c r="B12" s="66" t="s">
        <v>896</v>
      </c>
      <c r="C12" s="66" t="s">
        <v>897</v>
      </c>
      <c r="D12" s="66">
        <v>26</v>
      </c>
      <c r="E12" s="7">
        <v>262.72662000000003</v>
      </c>
      <c r="F12" s="7">
        <v>11.661576966885301</v>
      </c>
    </row>
    <row r="13" spans="1:6" x14ac:dyDescent="0.2">
      <c r="A13" s="66" t="s">
        <v>898</v>
      </c>
      <c r="B13" s="66" t="s">
        <v>899</v>
      </c>
      <c r="C13" s="66" t="s">
        <v>421</v>
      </c>
      <c r="D13" s="66">
        <v>26</v>
      </c>
      <c r="E13" s="7">
        <v>261.76409999999998</v>
      </c>
      <c r="F13" s="7">
        <v>11.618853846319301</v>
      </c>
    </row>
    <row r="14" spans="1:6" x14ac:dyDescent="0.2">
      <c r="A14" s="66" t="s">
        <v>900</v>
      </c>
      <c r="B14" s="66" t="s">
        <v>901</v>
      </c>
      <c r="C14" s="66" t="s">
        <v>897</v>
      </c>
      <c r="D14" s="66">
        <v>26</v>
      </c>
      <c r="E14" s="7">
        <v>260.83616000000001</v>
      </c>
      <c r="F14" s="7">
        <v>11.5776656190637</v>
      </c>
    </row>
    <row r="15" spans="1:6" x14ac:dyDescent="0.2">
      <c r="A15" s="66" t="s">
        <v>902</v>
      </c>
      <c r="B15" s="66" t="s">
        <v>903</v>
      </c>
      <c r="C15" s="66" t="s">
        <v>421</v>
      </c>
      <c r="D15" s="66">
        <v>10</v>
      </c>
      <c r="E15" s="7">
        <v>99.558199999999999</v>
      </c>
      <c r="F15" s="7">
        <v>4.4190634812131302</v>
      </c>
    </row>
    <row r="16" spans="1:6" x14ac:dyDescent="0.2">
      <c r="A16" s="65" t="s">
        <v>39</v>
      </c>
      <c r="B16" s="66"/>
      <c r="C16" s="66"/>
      <c r="D16" s="66"/>
      <c r="E16" s="6">
        <f>SUM(E8:E15)</f>
        <v>1945.56366</v>
      </c>
      <c r="F16" s="6">
        <f>SUM(F8:F15)</f>
        <v>86.357219398114523</v>
      </c>
    </row>
    <row r="17" spans="1:10" x14ac:dyDescent="0.2">
      <c r="A17" s="66"/>
      <c r="B17" s="66"/>
      <c r="C17" s="66"/>
      <c r="D17" s="66"/>
      <c r="E17" s="7"/>
      <c r="F17" s="7"/>
    </row>
    <row r="18" spans="1:10" x14ac:dyDescent="0.2">
      <c r="A18" s="65" t="s">
        <v>822</v>
      </c>
      <c r="B18" s="66"/>
      <c r="C18" s="66"/>
      <c r="D18" s="66"/>
      <c r="E18" s="7"/>
      <c r="F18" s="7"/>
    </row>
    <row r="19" spans="1:10" x14ac:dyDescent="0.2">
      <c r="A19" s="66" t="s">
        <v>904</v>
      </c>
      <c r="B19" s="66" t="s">
        <v>905</v>
      </c>
      <c r="C19" s="66" t="s">
        <v>897</v>
      </c>
      <c r="D19" s="66">
        <v>52</v>
      </c>
      <c r="E19" s="7">
        <v>261.70247999999998</v>
      </c>
      <c r="F19" s="7">
        <v>11.616118735683299</v>
      </c>
    </row>
    <row r="20" spans="1:10" x14ac:dyDescent="0.2">
      <c r="A20" s="65" t="s">
        <v>39</v>
      </c>
      <c r="B20" s="66"/>
      <c r="C20" s="66"/>
      <c r="D20" s="66"/>
      <c r="E20" s="6">
        <f>SUM(E19:E19)</f>
        <v>261.70247999999998</v>
      </c>
      <c r="F20" s="6">
        <f>SUM(F19:F19)</f>
        <v>11.616118735683299</v>
      </c>
    </row>
    <row r="21" spans="1:10" x14ac:dyDescent="0.2">
      <c r="A21" s="66"/>
      <c r="B21" s="66"/>
      <c r="C21" s="66"/>
      <c r="D21" s="66"/>
      <c r="E21" s="7"/>
      <c r="F21" s="7"/>
    </row>
    <row r="22" spans="1:10" x14ac:dyDescent="0.2">
      <c r="A22" s="65" t="s">
        <v>39</v>
      </c>
      <c r="B22" s="66"/>
      <c r="C22" s="66"/>
      <c r="D22" s="66"/>
      <c r="E22" s="6">
        <v>2207.2661400000002</v>
      </c>
      <c r="F22" s="6">
        <v>97.973338133797824</v>
      </c>
      <c r="I22" s="1"/>
      <c r="J22" s="1"/>
    </row>
    <row r="23" spans="1:10" x14ac:dyDescent="0.2">
      <c r="A23" s="66"/>
      <c r="B23" s="66"/>
      <c r="C23" s="66"/>
      <c r="D23" s="66"/>
      <c r="E23" s="7"/>
      <c r="F23" s="7"/>
    </row>
    <row r="24" spans="1:10" x14ac:dyDescent="0.2">
      <c r="A24" s="65" t="s">
        <v>103</v>
      </c>
      <c r="B24" s="66"/>
      <c r="C24" s="66"/>
      <c r="D24" s="66"/>
      <c r="E24" s="6">
        <v>45.655318299999998</v>
      </c>
      <c r="F24" s="6">
        <v>2.0299999999999998</v>
      </c>
      <c r="I24" s="1"/>
      <c r="J24" s="1"/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8" t="s">
        <v>104</v>
      </c>
      <c r="B26" s="64"/>
      <c r="C26" s="64"/>
      <c r="D26" s="64"/>
      <c r="E26" s="8">
        <v>2252.9253183000001</v>
      </c>
      <c r="F26" s="8">
        <f xml:space="preserve"> ROUND(SUM(F22:F25),2)</f>
        <v>100</v>
      </c>
      <c r="I26" s="1"/>
      <c r="J26" s="1"/>
    </row>
    <row r="27" spans="1:10" x14ac:dyDescent="0.2">
      <c r="A27" s="4" t="s">
        <v>714</v>
      </c>
    </row>
    <row r="28" spans="1:10" x14ac:dyDescent="0.2">
      <c r="A28" s="4"/>
    </row>
    <row r="29" spans="1:10" x14ac:dyDescent="0.2">
      <c r="A29" s="4" t="s">
        <v>105</v>
      </c>
    </row>
    <row r="30" spans="1:10" x14ac:dyDescent="0.2">
      <c r="A30" s="4" t="s">
        <v>106</v>
      </c>
    </row>
    <row r="31" spans="1:10" x14ac:dyDescent="0.2">
      <c r="A31" s="4" t="s">
        <v>107</v>
      </c>
      <c r="D31" s="71" t="s">
        <v>906</v>
      </c>
    </row>
    <row r="33" spans="1:5" x14ac:dyDescent="0.2">
      <c r="A33" s="4" t="s">
        <v>108</v>
      </c>
    </row>
    <row r="34" spans="1:5" x14ac:dyDescent="0.2">
      <c r="A34" s="2" t="s">
        <v>724</v>
      </c>
      <c r="D34" s="10">
        <v>10.127700000000001</v>
      </c>
    </row>
    <row r="35" spans="1:5" x14ac:dyDescent="0.2">
      <c r="A35" s="2" t="s">
        <v>726</v>
      </c>
      <c r="D35" s="10">
        <v>10.1251</v>
      </c>
    </row>
    <row r="36" spans="1:5" x14ac:dyDescent="0.2">
      <c r="A36" s="2" t="s">
        <v>720</v>
      </c>
      <c r="D36" s="10">
        <v>10.127700000000001</v>
      </c>
    </row>
    <row r="37" spans="1:5" x14ac:dyDescent="0.2">
      <c r="A37" s="2" t="s">
        <v>721</v>
      </c>
      <c r="D37" s="10">
        <v>10.1251</v>
      </c>
    </row>
    <row r="38" spans="1:5" x14ac:dyDescent="0.2">
      <c r="A38" s="2" t="s">
        <v>722</v>
      </c>
      <c r="D38" s="10">
        <v>10.1251</v>
      </c>
    </row>
    <row r="39" spans="1:5" x14ac:dyDescent="0.2">
      <c r="A39" s="2" t="s">
        <v>719</v>
      </c>
      <c r="D39" s="10">
        <v>10.127700000000001</v>
      </c>
    </row>
    <row r="41" spans="1:5" x14ac:dyDescent="0.2">
      <c r="A41" s="4" t="s">
        <v>109</v>
      </c>
      <c r="D41" s="69" t="s">
        <v>110</v>
      </c>
    </row>
    <row r="43" spans="1:5" x14ac:dyDescent="0.2">
      <c r="A43" s="4" t="s">
        <v>883</v>
      </c>
      <c r="D43" s="70">
        <v>3.1045969330355772</v>
      </c>
      <c r="E43" s="1" t="s">
        <v>907</v>
      </c>
    </row>
    <row r="45" spans="1:5" x14ac:dyDescent="0.2">
      <c r="A45" s="72" t="s">
        <v>908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140625" style="2" bestFit="1" customWidth="1"/>
    <col min="3" max="3" width="12.57031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909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910</v>
      </c>
      <c r="B8" s="66" t="s">
        <v>911</v>
      </c>
      <c r="C8" s="66" t="s">
        <v>912</v>
      </c>
      <c r="D8" s="66">
        <v>49</v>
      </c>
      <c r="E8" s="7">
        <v>511.20229999999998</v>
      </c>
      <c r="F8" s="7">
        <v>11.8316193543828</v>
      </c>
    </row>
    <row r="9" spans="1:6" x14ac:dyDescent="0.2">
      <c r="A9" s="66" t="s">
        <v>895</v>
      </c>
      <c r="B9" s="66" t="s">
        <v>896</v>
      </c>
      <c r="C9" s="66" t="s">
        <v>897</v>
      </c>
      <c r="D9" s="66">
        <v>50</v>
      </c>
      <c r="E9" s="7">
        <v>505.24349999999998</v>
      </c>
      <c r="F9" s="7">
        <v>11.6937047686916</v>
      </c>
    </row>
    <row r="10" spans="1:6" x14ac:dyDescent="0.2">
      <c r="A10" s="66" t="s">
        <v>898</v>
      </c>
      <c r="B10" s="66" t="s">
        <v>899</v>
      </c>
      <c r="C10" s="66" t="s">
        <v>421</v>
      </c>
      <c r="D10" s="66">
        <v>50</v>
      </c>
      <c r="E10" s="7">
        <v>503.39249999999998</v>
      </c>
      <c r="F10" s="7">
        <v>11.650863945352199</v>
      </c>
    </row>
    <row r="11" spans="1:6" x14ac:dyDescent="0.2">
      <c r="A11" s="66" t="s">
        <v>888</v>
      </c>
      <c r="B11" s="66" t="s">
        <v>889</v>
      </c>
      <c r="C11" s="66" t="s">
        <v>421</v>
      </c>
      <c r="D11" s="66">
        <v>49</v>
      </c>
      <c r="E11" s="7">
        <v>501.85064999999997</v>
      </c>
      <c r="F11" s="7">
        <v>11.615178303285401</v>
      </c>
    </row>
    <row r="12" spans="1:6" x14ac:dyDescent="0.2">
      <c r="A12" s="66" t="s">
        <v>893</v>
      </c>
      <c r="B12" s="66" t="s">
        <v>894</v>
      </c>
      <c r="C12" s="66" t="s">
        <v>421</v>
      </c>
      <c r="D12" s="66">
        <v>50</v>
      </c>
      <c r="E12" s="7">
        <v>486.70499999999998</v>
      </c>
      <c r="F12" s="7">
        <v>11.2646369116001</v>
      </c>
    </row>
    <row r="13" spans="1:6" x14ac:dyDescent="0.2">
      <c r="A13" s="66" t="s">
        <v>913</v>
      </c>
      <c r="B13" s="66" t="s">
        <v>914</v>
      </c>
      <c r="C13" s="66" t="s">
        <v>421</v>
      </c>
      <c r="D13" s="66">
        <v>50</v>
      </c>
      <c r="E13" s="7">
        <v>485.92450000000002</v>
      </c>
      <c r="F13" s="7">
        <v>11.246572480148799</v>
      </c>
    </row>
    <row r="14" spans="1:6" x14ac:dyDescent="0.2">
      <c r="A14" s="66" t="s">
        <v>915</v>
      </c>
      <c r="B14" s="66" t="s">
        <v>916</v>
      </c>
      <c r="C14" s="66" t="s">
        <v>421</v>
      </c>
      <c r="D14" s="66">
        <v>50</v>
      </c>
      <c r="E14" s="7">
        <v>483.38200000000001</v>
      </c>
      <c r="F14" s="7">
        <v>11.1877271028715</v>
      </c>
    </row>
    <row r="15" spans="1:6" x14ac:dyDescent="0.2">
      <c r="A15" s="66" t="s">
        <v>900</v>
      </c>
      <c r="B15" s="66" t="s">
        <v>901</v>
      </c>
      <c r="C15" s="66" t="s">
        <v>897</v>
      </c>
      <c r="D15" s="66">
        <v>15</v>
      </c>
      <c r="E15" s="7">
        <v>150.48240000000001</v>
      </c>
      <c r="F15" s="7">
        <v>3.48286867319253</v>
      </c>
    </row>
    <row r="16" spans="1:6" x14ac:dyDescent="0.2">
      <c r="A16" s="65" t="s">
        <v>39</v>
      </c>
      <c r="B16" s="66"/>
      <c r="C16" s="66"/>
      <c r="D16" s="66"/>
      <c r="E16" s="6">
        <f>SUM(E8:E15)</f>
        <v>3628.1828499999997</v>
      </c>
      <c r="F16" s="6">
        <f>SUM(F8:F15)</f>
        <v>83.973171539524941</v>
      </c>
    </row>
    <row r="17" spans="1:10" x14ac:dyDescent="0.2">
      <c r="A17" s="66"/>
      <c r="B17" s="66"/>
      <c r="C17" s="66"/>
      <c r="D17" s="66"/>
      <c r="E17" s="7"/>
      <c r="F17" s="7"/>
    </row>
    <row r="18" spans="1:10" x14ac:dyDescent="0.2">
      <c r="A18" s="65" t="s">
        <v>822</v>
      </c>
      <c r="B18" s="66"/>
      <c r="C18" s="66"/>
      <c r="D18" s="66"/>
      <c r="E18" s="7"/>
      <c r="F18" s="7"/>
    </row>
    <row r="19" spans="1:10" x14ac:dyDescent="0.2">
      <c r="A19" s="66" t="s">
        <v>917</v>
      </c>
      <c r="B19" s="66" t="s">
        <v>918</v>
      </c>
      <c r="C19" s="66" t="s">
        <v>421</v>
      </c>
      <c r="D19" s="66">
        <v>50</v>
      </c>
      <c r="E19" s="7">
        <v>485.27600000000001</v>
      </c>
      <c r="F19" s="7">
        <v>11.2315631479308</v>
      </c>
    </row>
    <row r="20" spans="1:10" x14ac:dyDescent="0.2">
      <c r="A20" s="65" t="s">
        <v>39</v>
      </c>
      <c r="B20" s="66"/>
      <c r="C20" s="66"/>
      <c r="D20" s="66"/>
      <c r="E20" s="6">
        <f>SUM(E19:E19)</f>
        <v>485.27600000000001</v>
      </c>
      <c r="F20" s="6">
        <f>SUM(F19:F19)</f>
        <v>11.2315631479308</v>
      </c>
    </row>
    <row r="21" spans="1:10" x14ac:dyDescent="0.2">
      <c r="A21" s="66"/>
      <c r="B21" s="66"/>
      <c r="C21" s="66"/>
      <c r="D21" s="66"/>
      <c r="E21" s="7"/>
      <c r="F21" s="7"/>
    </row>
    <row r="22" spans="1:10" x14ac:dyDescent="0.2">
      <c r="A22" s="65" t="s">
        <v>39</v>
      </c>
      <c r="B22" s="66"/>
      <c r="C22" s="66"/>
      <c r="D22" s="66"/>
      <c r="E22" s="6">
        <v>4113.45885</v>
      </c>
      <c r="F22" s="6">
        <v>95.204734687455741</v>
      </c>
      <c r="I22" s="1"/>
      <c r="J22" s="1"/>
    </row>
    <row r="23" spans="1:10" x14ac:dyDescent="0.2">
      <c r="A23" s="66"/>
      <c r="B23" s="66"/>
      <c r="C23" s="66"/>
      <c r="D23" s="66"/>
      <c r="E23" s="7"/>
      <c r="F23" s="7"/>
    </row>
    <row r="24" spans="1:10" x14ac:dyDescent="0.2">
      <c r="A24" s="65" t="s">
        <v>103</v>
      </c>
      <c r="B24" s="66"/>
      <c r="C24" s="66"/>
      <c r="D24" s="66"/>
      <c r="E24" s="6">
        <v>207.18525310000001</v>
      </c>
      <c r="F24" s="6">
        <v>4.8</v>
      </c>
      <c r="I24" s="1"/>
      <c r="J24" s="1"/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8" t="s">
        <v>104</v>
      </c>
      <c r="B26" s="64"/>
      <c r="C26" s="64"/>
      <c r="D26" s="64"/>
      <c r="E26" s="8">
        <v>4320.6452531000004</v>
      </c>
      <c r="F26" s="8">
        <f xml:space="preserve"> ROUND(SUM(F22:F25),2)</f>
        <v>100</v>
      </c>
      <c r="I26" s="1"/>
      <c r="J26" s="1"/>
    </row>
    <row r="27" spans="1:10" x14ac:dyDescent="0.2">
      <c r="A27" s="4" t="s">
        <v>714</v>
      </c>
    </row>
    <row r="28" spans="1:10" x14ac:dyDescent="0.2">
      <c r="A28" s="4"/>
    </row>
    <row r="29" spans="1:10" x14ac:dyDescent="0.2">
      <c r="A29" s="4" t="s">
        <v>105</v>
      </c>
    </row>
    <row r="30" spans="1:10" x14ac:dyDescent="0.2">
      <c r="A30" s="4" t="s">
        <v>106</v>
      </c>
    </row>
    <row r="31" spans="1:10" x14ac:dyDescent="0.2">
      <c r="A31" s="4" t="s">
        <v>107</v>
      </c>
      <c r="D31" s="11" t="s">
        <v>906</v>
      </c>
    </row>
    <row r="33" spans="1:5" x14ac:dyDescent="0.2">
      <c r="A33" s="4" t="s">
        <v>108</v>
      </c>
    </row>
    <row r="34" spans="1:5" x14ac:dyDescent="0.2">
      <c r="A34" s="2" t="s">
        <v>722</v>
      </c>
      <c r="D34" s="10">
        <v>10.154199999999999</v>
      </c>
    </row>
    <row r="35" spans="1:5" x14ac:dyDescent="0.2">
      <c r="A35" s="2" t="s">
        <v>724</v>
      </c>
      <c r="D35" s="10">
        <v>10.1691</v>
      </c>
    </row>
    <row r="36" spans="1:5" x14ac:dyDescent="0.2">
      <c r="A36" s="2" t="s">
        <v>719</v>
      </c>
      <c r="D36" s="10">
        <v>10.1691</v>
      </c>
    </row>
    <row r="37" spans="1:5" x14ac:dyDescent="0.2">
      <c r="A37" s="2" t="s">
        <v>720</v>
      </c>
      <c r="D37" s="10">
        <v>10.1691</v>
      </c>
    </row>
    <row r="38" spans="1:5" x14ac:dyDescent="0.2">
      <c r="A38" s="2" t="s">
        <v>721</v>
      </c>
      <c r="D38" s="10">
        <v>10.154199999999999</v>
      </c>
    </row>
    <row r="39" spans="1:5" x14ac:dyDescent="0.2">
      <c r="A39" s="2" t="s">
        <v>726</v>
      </c>
      <c r="D39" s="10">
        <v>10.154199999999999</v>
      </c>
    </row>
    <row r="41" spans="1:5" x14ac:dyDescent="0.2">
      <c r="A41" s="4" t="s">
        <v>109</v>
      </c>
      <c r="D41" s="69" t="s">
        <v>110</v>
      </c>
    </row>
    <row r="44" spans="1:5" x14ac:dyDescent="0.2">
      <c r="A44" s="4" t="s">
        <v>883</v>
      </c>
      <c r="D44" s="70">
        <v>3.0335452703525454</v>
      </c>
      <c r="E44" s="1" t="s">
        <v>735</v>
      </c>
    </row>
    <row r="46" spans="1:5" x14ac:dyDescent="0.2">
      <c r="A46" s="9" t="s">
        <v>919</v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920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921</v>
      </c>
      <c r="B8" s="66" t="s">
        <v>922</v>
      </c>
      <c r="C8" s="66" t="s">
        <v>892</v>
      </c>
      <c r="D8" s="66">
        <v>31</v>
      </c>
      <c r="E8" s="7">
        <v>310.42129</v>
      </c>
      <c r="F8" s="7">
        <v>11.558472465689199</v>
      </c>
    </row>
    <row r="9" spans="1:6" x14ac:dyDescent="0.2">
      <c r="A9" s="66" t="s">
        <v>923</v>
      </c>
      <c r="B9" s="66" t="s">
        <v>924</v>
      </c>
      <c r="C9" s="66" t="s">
        <v>421</v>
      </c>
      <c r="D9" s="66">
        <v>31</v>
      </c>
      <c r="E9" s="7">
        <v>309.04086000000001</v>
      </c>
      <c r="F9" s="7">
        <v>11.507072440433801</v>
      </c>
    </row>
    <row r="10" spans="1:6" x14ac:dyDescent="0.2">
      <c r="A10" s="66" t="s">
        <v>888</v>
      </c>
      <c r="B10" s="66" t="s">
        <v>889</v>
      </c>
      <c r="C10" s="66" t="s">
        <v>421</v>
      </c>
      <c r="D10" s="66">
        <v>30</v>
      </c>
      <c r="E10" s="7">
        <v>307.25549999999998</v>
      </c>
      <c r="F10" s="7">
        <v>11.4405949304623</v>
      </c>
    </row>
    <row r="11" spans="1:6" x14ac:dyDescent="0.2">
      <c r="A11" s="66" t="s">
        <v>925</v>
      </c>
      <c r="B11" s="66" t="s">
        <v>926</v>
      </c>
      <c r="C11" s="66" t="s">
        <v>421</v>
      </c>
      <c r="D11" s="66">
        <v>31</v>
      </c>
      <c r="E11" s="7">
        <v>302.26209</v>
      </c>
      <c r="F11" s="7">
        <v>11.254666342913101</v>
      </c>
    </row>
    <row r="12" spans="1:6" x14ac:dyDescent="0.2">
      <c r="A12" s="66" t="s">
        <v>927</v>
      </c>
      <c r="B12" s="66" t="s">
        <v>928</v>
      </c>
      <c r="C12" s="66" t="s">
        <v>892</v>
      </c>
      <c r="D12" s="66">
        <v>26</v>
      </c>
      <c r="E12" s="7">
        <v>257.05264</v>
      </c>
      <c r="F12" s="7">
        <v>9.5713018320126206</v>
      </c>
    </row>
    <row r="13" spans="1:6" x14ac:dyDescent="0.2">
      <c r="A13" s="66" t="s">
        <v>929</v>
      </c>
      <c r="B13" s="66" t="s">
        <v>930</v>
      </c>
      <c r="C13" s="66" t="s">
        <v>421</v>
      </c>
      <c r="D13" s="66">
        <v>20</v>
      </c>
      <c r="E13" s="7">
        <v>196.5538</v>
      </c>
      <c r="F13" s="7">
        <v>7.3186400498708801</v>
      </c>
    </row>
    <row r="14" spans="1:6" x14ac:dyDescent="0.2">
      <c r="A14" s="66" t="s">
        <v>931</v>
      </c>
      <c r="B14" s="66" t="s">
        <v>932</v>
      </c>
      <c r="C14" s="66" t="s">
        <v>892</v>
      </c>
      <c r="D14" s="66">
        <v>19</v>
      </c>
      <c r="E14" s="7">
        <v>190.06251</v>
      </c>
      <c r="F14" s="7">
        <v>7.0769382106323304</v>
      </c>
    </row>
    <row r="15" spans="1:6" x14ac:dyDescent="0.2">
      <c r="A15" s="66" t="s">
        <v>933</v>
      </c>
      <c r="B15" s="66" t="s">
        <v>934</v>
      </c>
      <c r="C15" s="66" t="s">
        <v>421</v>
      </c>
      <c r="D15" s="66">
        <v>19</v>
      </c>
      <c r="E15" s="7">
        <v>189.86168000000001</v>
      </c>
      <c r="F15" s="7">
        <v>7.0694603471607804</v>
      </c>
    </row>
    <row r="16" spans="1:6" x14ac:dyDescent="0.2">
      <c r="A16" s="66" t="s">
        <v>935</v>
      </c>
      <c r="B16" s="66" t="s">
        <v>936</v>
      </c>
      <c r="C16" s="66" t="s">
        <v>892</v>
      </c>
      <c r="D16" s="66">
        <v>16</v>
      </c>
      <c r="E16" s="7">
        <v>164.41488000000001</v>
      </c>
      <c r="F16" s="7">
        <v>6.12195401748893</v>
      </c>
    </row>
    <row r="17" spans="1:10" x14ac:dyDescent="0.2">
      <c r="A17" s="66" t="s">
        <v>937</v>
      </c>
      <c r="B17" s="66" t="s">
        <v>938</v>
      </c>
      <c r="C17" s="66" t="s">
        <v>421</v>
      </c>
      <c r="D17" s="66">
        <v>20</v>
      </c>
      <c r="E17" s="7">
        <v>156.56800000000001</v>
      </c>
      <c r="F17" s="7">
        <v>5.82977706525228</v>
      </c>
    </row>
    <row r="18" spans="1:10" x14ac:dyDescent="0.2">
      <c r="A18" s="66" t="s">
        <v>939</v>
      </c>
      <c r="B18" s="66" t="s">
        <v>940</v>
      </c>
      <c r="C18" s="66" t="s">
        <v>421</v>
      </c>
      <c r="D18" s="66">
        <v>16</v>
      </c>
      <c r="E18" s="7">
        <v>155.65552</v>
      </c>
      <c r="F18" s="7">
        <v>5.79580106136578</v>
      </c>
    </row>
    <row r="19" spans="1:10" x14ac:dyDescent="0.2">
      <c r="A19" s="66" t="s">
        <v>941</v>
      </c>
      <c r="B19" s="66" t="s">
        <v>942</v>
      </c>
      <c r="C19" s="66" t="s">
        <v>427</v>
      </c>
      <c r="D19" s="66">
        <v>7</v>
      </c>
      <c r="E19" s="7">
        <v>70.894599999999997</v>
      </c>
      <c r="F19" s="7">
        <v>2.63974575347603</v>
      </c>
    </row>
    <row r="20" spans="1:10" x14ac:dyDescent="0.2">
      <c r="A20" s="65" t="s">
        <v>39</v>
      </c>
      <c r="B20" s="66"/>
      <c r="C20" s="66"/>
      <c r="D20" s="66"/>
      <c r="E20" s="6">
        <f>SUM(E8:E19)</f>
        <v>2610.0433699999999</v>
      </c>
      <c r="F20" s="6">
        <f>SUM(F8:F19)</f>
        <v>97.184424516758043</v>
      </c>
    </row>
    <row r="21" spans="1:10" x14ac:dyDescent="0.2">
      <c r="A21" s="66"/>
      <c r="B21" s="66"/>
      <c r="C21" s="66"/>
      <c r="D21" s="66"/>
      <c r="E21" s="7"/>
      <c r="F21" s="7"/>
    </row>
    <row r="22" spans="1:10" x14ac:dyDescent="0.2">
      <c r="A22" s="65" t="s">
        <v>39</v>
      </c>
      <c r="B22" s="66"/>
      <c r="C22" s="66"/>
      <c r="D22" s="66"/>
      <c r="E22" s="6">
        <v>2610.0433699999999</v>
      </c>
      <c r="F22" s="6">
        <v>97.184424516758043</v>
      </c>
      <c r="I22" s="1"/>
      <c r="J22" s="1"/>
    </row>
    <row r="23" spans="1:10" x14ac:dyDescent="0.2">
      <c r="A23" s="66"/>
      <c r="B23" s="66"/>
      <c r="C23" s="66"/>
      <c r="D23" s="66"/>
      <c r="E23" s="7"/>
      <c r="F23" s="7"/>
    </row>
    <row r="24" spans="1:10" x14ac:dyDescent="0.2">
      <c r="A24" s="65" t="s">
        <v>103</v>
      </c>
      <c r="B24" s="66"/>
      <c r="C24" s="66"/>
      <c r="D24" s="66"/>
      <c r="E24" s="6">
        <v>75.620159000000001</v>
      </c>
      <c r="F24" s="6">
        <v>2.82</v>
      </c>
      <c r="I24" s="1"/>
      <c r="J24" s="1"/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8" t="s">
        <v>104</v>
      </c>
      <c r="B26" s="64"/>
      <c r="C26" s="64"/>
      <c r="D26" s="64"/>
      <c r="E26" s="8">
        <v>2685.660159</v>
      </c>
      <c r="F26" s="8">
        <f xml:space="preserve"> ROUND(SUM(F22:F25),2)</f>
        <v>100</v>
      </c>
      <c r="I26" s="1"/>
      <c r="J26" s="1"/>
    </row>
    <row r="27" spans="1:10" x14ac:dyDescent="0.2">
      <c r="A27" s="4" t="s">
        <v>714</v>
      </c>
    </row>
    <row r="28" spans="1:10" x14ac:dyDescent="0.2">
      <c r="A28" s="4"/>
    </row>
    <row r="29" spans="1:10" x14ac:dyDescent="0.2">
      <c r="A29" s="4" t="s">
        <v>105</v>
      </c>
    </row>
    <row r="30" spans="1:10" x14ac:dyDescent="0.2">
      <c r="A30" s="4" t="s">
        <v>106</v>
      </c>
    </row>
    <row r="31" spans="1:10" x14ac:dyDescent="0.2">
      <c r="A31" s="4" t="s">
        <v>107</v>
      </c>
      <c r="D31" s="11" t="s">
        <v>906</v>
      </c>
    </row>
    <row r="33" spans="1:5" x14ac:dyDescent="0.2">
      <c r="A33" s="4" t="s">
        <v>108</v>
      </c>
    </row>
    <row r="34" spans="1:5" x14ac:dyDescent="0.2">
      <c r="A34" s="2" t="s">
        <v>726</v>
      </c>
      <c r="D34" s="10">
        <v>10.2226</v>
      </c>
    </row>
    <row r="35" spans="1:5" x14ac:dyDescent="0.2">
      <c r="A35" s="2" t="s">
        <v>724</v>
      </c>
      <c r="D35" s="10">
        <v>10.2408</v>
      </c>
    </row>
    <row r="36" spans="1:5" x14ac:dyDescent="0.2">
      <c r="A36" s="2" t="s">
        <v>720</v>
      </c>
      <c r="D36" s="10">
        <v>10.2408</v>
      </c>
    </row>
    <row r="37" spans="1:5" x14ac:dyDescent="0.2">
      <c r="A37" s="2" t="s">
        <v>721</v>
      </c>
      <c r="D37" s="10">
        <v>10.2226</v>
      </c>
    </row>
    <row r="38" spans="1:5" x14ac:dyDescent="0.2">
      <c r="A38" s="2" t="s">
        <v>722</v>
      </c>
      <c r="D38" s="10">
        <v>10.2226</v>
      </c>
    </row>
    <row r="40" spans="1:5" x14ac:dyDescent="0.2">
      <c r="A40" s="4" t="s">
        <v>109</v>
      </c>
      <c r="D40" s="69" t="s">
        <v>110</v>
      </c>
    </row>
    <row r="43" spans="1:5" x14ac:dyDescent="0.2">
      <c r="A43" s="4" t="s">
        <v>883</v>
      </c>
      <c r="D43" s="70">
        <v>2.5787106320555635</v>
      </c>
      <c r="E43" s="1" t="s">
        <v>907</v>
      </c>
    </row>
    <row r="45" spans="1:5" x14ac:dyDescent="0.2">
      <c r="A45" s="9" t="s">
        <v>943</v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944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931</v>
      </c>
      <c r="B8" s="66" t="s">
        <v>932</v>
      </c>
      <c r="C8" s="66" t="s">
        <v>892</v>
      </c>
      <c r="D8" s="66">
        <v>41</v>
      </c>
      <c r="E8" s="7">
        <v>410.13488999999998</v>
      </c>
      <c r="F8" s="7">
        <v>11.6811819378108</v>
      </c>
    </row>
    <row r="9" spans="1:6" x14ac:dyDescent="0.2">
      <c r="A9" s="66" t="s">
        <v>933</v>
      </c>
      <c r="B9" s="66" t="s">
        <v>934</v>
      </c>
      <c r="C9" s="66" t="s">
        <v>421</v>
      </c>
      <c r="D9" s="66">
        <v>41</v>
      </c>
      <c r="E9" s="7">
        <v>409.70152000000002</v>
      </c>
      <c r="F9" s="7">
        <v>11.668838989332601</v>
      </c>
    </row>
    <row r="10" spans="1:6" x14ac:dyDescent="0.2">
      <c r="A10" s="66" t="s">
        <v>888</v>
      </c>
      <c r="B10" s="66" t="s">
        <v>889</v>
      </c>
      <c r="C10" s="66" t="s">
        <v>421</v>
      </c>
      <c r="D10" s="66">
        <v>40</v>
      </c>
      <c r="E10" s="7">
        <v>409.67399999999998</v>
      </c>
      <c r="F10" s="7">
        <v>11.668055183480501</v>
      </c>
    </row>
    <row r="11" spans="1:6" x14ac:dyDescent="0.2">
      <c r="A11" s="66" t="s">
        <v>925</v>
      </c>
      <c r="B11" s="66" t="s">
        <v>926</v>
      </c>
      <c r="C11" s="66" t="s">
        <v>421</v>
      </c>
      <c r="D11" s="66">
        <v>42</v>
      </c>
      <c r="E11" s="7">
        <v>409.51638000000003</v>
      </c>
      <c r="F11" s="7">
        <v>11.6635659582477</v>
      </c>
    </row>
    <row r="12" spans="1:6" x14ac:dyDescent="0.2">
      <c r="A12" s="66" t="s">
        <v>929</v>
      </c>
      <c r="B12" s="66" t="s">
        <v>930</v>
      </c>
      <c r="C12" s="66" t="s">
        <v>421</v>
      </c>
      <c r="D12" s="66">
        <v>28</v>
      </c>
      <c r="E12" s="7">
        <v>275.17532</v>
      </c>
      <c r="F12" s="7">
        <v>7.8373556019955197</v>
      </c>
    </row>
    <row r="13" spans="1:6" x14ac:dyDescent="0.2">
      <c r="A13" s="66" t="s">
        <v>937</v>
      </c>
      <c r="B13" s="66" t="s">
        <v>938</v>
      </c>
      <c r="C13" s="66" t="s">
        <v>421</v>
      </c>
      <c r="D13" s="66">
        <v>33</v>
      </c>
      <c r="E13" s="7">
        <v>258.3372</v>
      </c>
      <c r="F13" s="7">
        <v>7.3577837635433196</v>
      </c>
    </row>
    <row r="14" spans="1:6" x14ac:dyDescent="0.2">
      <c r="A14" s="66" t="s">
        <v>945</v>
      </c>
      <c r="B14" s="66" t="s">
        <v>946</v>
      </c>
      <c r="C14" s="66" t="s">
        <v>421</v>
      </c>
      <c r="D14" s="66">
        <v>26</v>
      </c>
      <c r="E14" s="7">
        <v>254.08604</v>
      </c>
      <c r="F14" s="7">
        <v>7.2367051266910796</v>
      </c>
    </row>
    <row r="15" spans="1:6" x14ac:dyDescent="0.2">
      <c r="A15" s="66" t="s">
        <v>947</v>
      </c>
      <c r="B15" s="66" t="s">
        <v>948</v>
      </c>
      <c r="C15" s="66" t="s">
        <v>799</v>
      </c>
      <c r="D15" s="66">
        <v>26000</v>
      </c>
      <c r="E15" s="7">
        <v>253.02680000000001</v>
      </c>
      <c r="F15" s="7">
        <v>7.2065365761544404</v>
      </c>
    </row>
    <row r="16" spans="1:6" x14ac:dyDescent="0.2">
      <c r="A16" s="66" t="s">
        <v>949</v>
      </c>
      <c r="B16" s="66" t="s">
        <v>950</v>
      </c>
      <c r="C16" s="66" t="s">
        <v>892</v>
      </c>
      <c r="D16" s="66">
        <v>26000</v>
      </c>
      <c r="E16" s="7">
        <v>247.93574000000001</v>
      </c>
      <c r="F16" s="7">
        <v>7.06153648090209</v>
      </c>
    </row>
    <row r="17" spans="1:10" x14ac:dyDescent="0.2">
      <c r="A17" s="66" t="s">
        <v>951</v>
      </c>
      <c r="B17" s="66" t="s">
        <v>952</v>
      </c>
      <c r="C17" s="66" t="s">
        <v>892</v>
      </c>
      <c r="D17" s="66">
        <v>150</v>
      </c>
      <c r="E17" s="7">
        <v>150.48150000000001</v>
      </c>
      <c r="F17" s="7">
        <v>4.2859113492506902</v>
      </c>
    </row>
    <row r="18" spans="1:10" x14ac:dyDescent="0.2">
      <c r="A18" s="65" t="s">
        <v>39</v>
      </c>
      <c r="B18" s="66"/>
      <c r="C18" s="66"/>
      <c r="D18" s="66"/>
      <c r="E18" s="6">
        <f>SUM(E8:E17)</f>
        <v>3078.0693900000001</v>
      </c>
      <c r="F18" s="6">
        <f>SUM(F8:F17)</f>
        <v>87.667470967408747</v>
      </c>
    </row>
    <row r="19" spans="1:10" x14ac:dyDescent="0.2">
      <c r="A19" s="66"/>
      <c r="B19" s="66"/>
      <c r="C19" s="66"/>
      <c r="D19" s="66"/>
      <c r="E19" s="7"/>
      <c r="F19" s="7"/>
    </row>
    <row r="20" spans="1:10" x14ac:dyDescent="0.2">
      <c r="A20" s="65" t="s">
        <v>822</v>
      </c>
      <c r="B20" s="66"/>
      <c r="C20" s="66"/>
      <c r="D20" s="66"/>
      <c r="E20" s="7"/>
      <c r="F20" s="7"/>
    </row>
    <row r="21" spans="1:10" x14ac:dyDescent="0.2">
      <c r="A21" s="66" t="s">
        <v>953</v>
      </c>
      <c r="B21" s="66" t="s">
        <v>954</v>
      </c>
      <c r="C21" s="66" t="s">
        <v>421</v>
      </c>
      <c r="D21" s="66">
        <v>34</v>
      </c>
      <c r="E21" s="7">
        <v>330.12198000000001</v>
      </c>
      <c r="F21" s="7">
        <v>9.4023088600200602</v>
      </c>
    </row>
    <row r="22" spans="1:10" x14ac:dyDescent="0.2">
      <c r="A22" s="65" t="s">
        <v>39</v>
      </c>
      <c r="B22" s="66"/>
      <c r="C22" s="66"/>
      <c r="D22" s="66"/>
      <c r="E22" s="6">
        <f>SUM(E21:E21)</f>
        <v>330.12198000000001</v>
      </c>
      <c r="F22" s="6">
        <f>SUM(F21:F21)</f>
        <v>9.4023088600200602</v>
      </c>
    </row>
    <row r="23" spans="1:10" x14ac:dyDescent="0.2">
      <c r="A23" s="66"/>
      <c r="B23" s="66"/>
      <c r="C23" s="66"/>
      <c r="D23" s="66"/>
      <c r="E23" s="7"/>
      <c r="F23" s="7"/>
    </row>
    <row r="24" spans="1:10" x14ac:dyDescent="0.2">
      <c r="A24" s="65" t="s">
        <v>39</v>
      </c>
      <c r="B24" s="66"/>
      <c r="C24" s="66"/>
      <c r="D24" s="66"/>
      <c r="E24" s="6">
        <v>3408.19137</v>
      </c>
      <c r="F24" s="6">
        <v>97.069779827428803</v>
      </c>
      <c r="I24" s="1"/>
      <c r="J24" s="1"/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5" t="s">
        <v>103</v>
      </c>
      <c r="B26" s="66"/>
      <c r="C26" s="66"/>
      <c r="D26" s="66"/>
      <c r="E26" s="6">
        <v>102.88355559999999</v>
      </c>
      <c r="F26" s="6">
        <v>2.93</v>
      </c>
      <c r="I26" s="1"/>
      <c r="J26" s="1"/>
    </row>
    <row r="27" spans="1:10" x14ac:dyDescent="0.2">
      <c r="A27" s="66"/>
      <c r="B27" s="66"/>
      <c r="C27" s="66"/>
      <c r="D27" s="66"/>
      <c r="E27" s="7"/>
      <c r="F27" s="7"/>
    </row>
    <row r="28" spans="1:10" x14ac:dyDescent="0.2">
      <c r="A28" s="68" t="s">
        <v>104</v>
      </c>
      <c r="B28" s="64"/>
      <c r="C28" s="64"/>
      <c r="D28" s="64"/>
      <c r="E28" s="8">
        <v>3511.0735556</v>
      </c>
      <c r="F28" s="8">
        <f xml:space="preserve"> ROUND(SUM(F24:F27),2)</f>
        <v>100</v>
      </c>
      <c r="I28" s="1"/>
      <c r="J28" s="1"/>
    </row>
    <row r="29" spans="1:10" x14ac:dyDescent="0.2">
      <c r="A29" s="4" t="s">
        <v>714</v>
      </c>
    </row>
    <row r="30" spans="1:10" x14ac:dyDescent="0.2">
      <c r="A30" s="4"/>
    </row>
    <row r="31" spans="1:10" x14ac:dyDescent="0.2">
      <c r="A31" s="4" t="s">
        <v>105</v>
      </c>
    </row>
    <row r="32" spans="1:10" x14ac:dyDescent="0.2">
      <c r="A32" s="4" t="s">
        <v>106</v>
      </c>
    </row>
    <row r="33" spans="1:5" x14ac:dyDescent="0.2">
      <c r="A33" s="4" t="s">
        <v>107</v>
      </c>
      <c r="D33" s="11" t="s">
        <v>906</v>
      </c>
    </row>
    <row r="35" spans="1:5" x14ac:dyDescent="0.2">
      <c r="A35" s="4" t="s">
        <v>108</v>
      </c>
    </row>
    <row r="36" spans="1:5" x14ac:dyDescent="0.2">
      <c r="A36" s="2" t="s">
        <v>955</v>
      </c>
      <c r="D36" s="10">
        <v>10.169499999999999</v>
      </c>
    </row>
    <row r="37" spans="1:5" x14ac:dyDescent="0.2">
      <c r="A37" s="2" t="s">
        <v>956</v>
      </c>
      <c r="D37" s="10">
        <v>10.169499999999999</v>
      </c>
    </row>
    <row r="38" spans="1:5" x14ac:dyDescent="0.2">
      <c r="A38" s="2" t="s">
        <v>957</v>
      </c>
      <c r="D38" s="10">
        <v>10.191800000000001</v>
      </c>
    </row>
    <row r="39" spans="1:5" x14ac:dyDescent="0.2">
      <c r="A39" s="2" t="s">
        <v>958</v>
      </c>
      <c r="D39" s="10">
        <v>10.169499999999999</v>
      </c>
    </row>
    <row r="41" spans="1:5" x14ac:dyDescent="0.2">
      <c r="A41" s="4" t="s">
        <v>109</v>
      </c>
      <c r="D41" s="69" t="s">
        <v>110</v>
      </c>
    </row>
    <row r="44" spans="1:5" x14ac:dyDescent="0.2">
      <c r="A44" s="4" t="s">
        <v>883</v>
      </c>
      <c r="D44" s="70">
        <v>2.6071055867493724</v>
      </c>
      <c r="E44" s="1" t="s">
        <v>735</v>
      </c>
    </row>
    <row r="47" spans="1:5" x14ac:dyDescent="0.2">
      <c r="A47" s="9" t="s">
        <v>959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960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820</v>
      </c>
      <c r="B8" s="66" t="s">
        <v>821</v>
      </c>
      <c r="C8" s="66" t="s">
        <v>421</v>
      </c>
      <c r="D8" s="66">
        <v>90</v>
      </c>
      <c r="E8" s="7">
        <v>937.76490000000001</v>
      </c>
      <c r="F8" s="7">
        <v>11.891619796281599</v>
      </c>
    </row>
    <row r="9" spans="1:6" x14ac:dyDescent="0.2">
      <c r="A9" s="66" t="s">
        <v>888</v>
      </c>
      <c r="B9" s="66" t="s">
        <v>889</v>
      </c>
      <c r="C9" s="66" t="s">
        <v>421</v>
      </c>
      <c r="D9" s="66">
        <v>90</v>
      </c>
      <c r="E9" s="7">
        <v>921.76649999999995</v>
      </c>
      <c r="F9" s="7">
        <v>11.688747103830799</v>
      </c>
    </row>
    <row r="10" spans="1:6" x14ac:dyDescent="0.2">
      <c r="A10" s="66" t="s">
        <v>931</v>
      </c>
      <c r="B10" s="66" t="s">
        <v>932</v>
      </c>
      <c r="C10" s="66" t="s">
        <v>892</v>
      </c>
      <c r="D10" s="66">
        <v>90</v>
      </c>
      <c r="E10" s="7">
        <v>900.29610000000002</v>
      </c>
      <c r="F10" s="7">
        <v>11.4164850116219</v>
      </c>
    </row>
    <row r="11" spans="1:6" x14ac:dyDescent="0.2">
      <c r="A11" s="66" t="s">
        <v>933</v>
      </c>
      <c r="B11" s="66" t="s">
        <v>934</v>
      </c>
      <c r="C11" s="66" t="s">
        <v>421</v>
      </c>
      <c r="D11" s="66">
        <v>90</v>
      </c>
      <c r="E11" s="7">
        <v>899.34479999999996</v>
      </c>
      <c r="F11" s="7">
        <v>11.4044217557758</v>
      </c>
    </row>
    <row r="12" spans="1:6" x14ac:dyDescent="0.2">
      <c r="A12" s="66" t="s">
        <v>925</v>
      </c>
      <c r="B12" s="66" t="s">
        <v>926</v>
      </c>
      <c r="C12" s="66" t="s">
        <v>421</v>
      </c>
      <c r="D12" s="66">
        <v>90</v>
      </c>
      <c r="E12" s="7">
        <v>877.53510000000006</v>
      </c>
      <c r="F12" s="7">
        <v>11.1278570642727</v>
      </c>
    </row>
    <row r="13" spans="1:6" x14ac:dyDescent="0.2">
      <c r="A13" s="66" t="s">
        <v>961</v>
      </c>
      <c r="B13" s="66" t="s">
        <v>962</v>
      </c>
      <c r="C13" s="66" t="s">
        <v>421</v>
      </c>
      <c r="D13" s="66">
        <v>60</v>
      </c>
      <c r="E13" s="7">
        <v>602.60339999999997</v>
      </c>
      <c r="F13" s="7">
        <v>7.6415000398784398</v>
      </c>
    </row>
    <row r="14" spans="1:6" x14ac:dyDescent="0.2">
      <c r="A14" s="66" t="s">
        <v>929</v>
      </c>
      <c r="B14" s="66" t="s">
        <v>930</v>
      </c>
      <c r="C14" s="66" t="s">
        <v>421</v>
      </c>
      <c r="D14" s="66">
        <v>60</v>
      </c>
      <c r="E14" s="7">
        <v>589.66139999999996</v>
      </c>
      <c r="F14" s="7">
        <v>7.4773849792662501</v>
      </c>
    </row>
    <row r="15" spans="1:6" x14ac:dyDescent="0.2">
      <c r="A15" s="66" t="s">
        <v>941</v>
      </c>
      <c r="B15" s="66" t="s">
        <v>942</v>
      </c>
      <c r="C15" s="66" t="s">
        <v>427</v>
      </c>
      <c r="D15" s="66">
        <v>58</v>
      </c>
      <c r="E15" s="7">
        <v>587.41240000000005</v>
      </c>
      <c r="F15" s="7">
        <v>7.4488658345191698</v>
      </c>
    </row>
    <row r="16" spans="1:6" x14ac:dyDescent="0.2">
      <c r="A16" s="66" t="s">
        <v>937</v>
      </c>
      <c r="B16" s="66" t="s">
        <v>938</v>
      </c>
      <c r="C16" s="66" t="s">
        <v>421</v>
      </c>
      <c r="D16" s="66">
        <v>75</v>
      </c>
      <c r="E16" s="7">
        <v>587.13</v>
      </c>
      <c r="F16" s="7">
        <v>7.4452847733913003</v>
      </c>
    </row>
    <row r="17" spans="1:10" x14ac:dyDescent="0.2">
      <c r="A17" s="66" t="s">
        <v>951</v>
      </c>
      <c r="B17" s="66" t="s">
        <v>952</v>
      </c>
      <c r="C17" s="66" t="s">
        <v>892</v>
      </c>
      <c r="D17" s="66">
        <v>500</v>
      </c>
      <c r="E17" s="7">
        <v>501.60500000000002</v>
      </c>
      <c r="F17" s="7">
        <v>6.3607583818863702</v>
      </c>
    </row>
    <row r="18" spans="1:10" x14ac:dyDescent="0.2">
      <c r="A18" s="66" t="s">
        <v>963</v>
      </c>
      <c r="B18" s="66" t="s">
        <v>964</v>
      </c>
      <c r="C18" s="66" t="s">
        <v>421</v>
      </c>
      <c r="D18" s="66">
        <v>2</v>
      </c>
      <c r="E18" s="7">
        <v>199.17060000000001</v>
      </c>
      <c r="F18" s="7">
        <v>2.52564480692046</v>
      </c>
    </row>
    <row r="19" spans="1:10" x14ac:dyDescent="0.2">
      <c r="A19" s="66" t="s">
        <v>965</v>
      </c>
      <c r="B19" s="66" t="s">
        <v>966</v>
      </c>
      <c r="C19" s="66" t="s">
        <v>427</v>
      </c>
      <c r="D19" s="66">
        <v>10</v>
      </c>
      <c r="E19" s="7">
        <v>101.8762</v>
      </c>
      <c r="F19" s="7">
        <v>1.2918728742032699</v>
      </c>
    </row>
    <row r="20" spans="1:10" x14ac:dyDescent="0.2">
      <c r="A20" s="66" t="s">
        <v>945</v>
      </c>
      <c r="B20" s="66" t="s">
        <v>946</v>
      </c>
      <c r="C20" s="66" t="s">
        <v>421</v>
      </c>
      <c r="D20" s="66">
        <v>4</v>
      </c>
      <c r="E20" s="7">
        <v>39.090159999999997</v>
      </c>
      <c r="F20" s="7">
        <v>0.49569494496521999</v>
      </c>
    </row>
    <row r="21" spans="1:10" x14ac:dyDescent="0.2">
      <c r="A21" s="65" t="s">
        <v>39</v>
      </c>
      <c r="B21" s="66"/>
      <c r="C21" s="66"/>
      <c r="D21" s="66"/>
      <c r="E21" s="6">
        <f>SUM(E8:E20)</f>
        <v>7745.2565599999998</v>
      </c>
      <c r="F21" s="6">
        <f>SUM(F8:F20)</f>
        <v>98.216137366813271</v>
      </c>
    </row>
    <row r="22" spans="1:10" x14ac:dyDescent="0.2">
      <c r="A22" s="66"/>
      <c r="B22" s="66"/>
      <c r="C22" s="66"/>
      <c r="D22" s="66"/>
      <c r="E22" s="7"/>
      <c r="F22" s="7"/>
    </row>
    <row r="23" spans="1:10" x14ac:dyDescent="0.2">
      <c r="A23" s="65" t="s">
        <v>39</v>
      </c>
      <c r="B23" s="66"/>
      <c r="C23" s="66"/>
      <c r="D23" s="66"/>
      <c r="E23" s="6">
        <v>7745.2565599999998</v>
      </c>
      <c r="F23" s="6">
        <v>98.216137366813271</v>
      </c>
      <c r="I23" s="1"/>
      <c r="J23" s="1"/>
    </row>
    <row r="24" spans="1:10" x14ac:dyDescent="0.2">
      <c r="A24" s="66"/>
      <c r="B24" s="66"/>
      <c r="C24" s="66"/>
      <c r="D24" s="66"/>
      <c r="E24" s="7"/>
      <c r="F24" s="7"/>
    </row>
    <row r="25" spans="1:10" x14ac:dyDescent="0.2">
      <c r="A25" s="65" t="s">
        <v>103</v>
      </c>
      <c r="B25" s="66"/>
      <c r="C25" s="66"/>
      <c r="D25" s="66"/>
      <c r="E25" s="6">
        <v>140.67073160000001</v>
      </c>
      <c r="F25" s="6">
        <v>1.78</v>
      </c>
      <c r="I25" s="1"/>
      <c r="J25" s="1"/>
    </row>
    <row r="26" spans="1:10" x14ac:dyDescent="0.2">
      <c r="A26" s="66"/>
      <c r="B26" s="66"/>
      <c r="C26" s="66"/>
      <c r="D26" s="66"/>
      <c r="E26" s="7"/>
      <c r="F26" s="7"/>
    </row>
    <row r="27" spans="1:10" x14ac:dyDescent="0.2">
      <c r="A27" s="68" t="s">
        <v>104</v>
      </c>
      <c r="B27" s="64"/>
      <c r="C27" s="64"/>
      <c r="D27" s="64"/>
      <c r="E27" s="8">
        <v>7885.9307316000004</v>
      </c>
      <c r="F27" s="8">
        <f xml:space="preserve"> ROUND(SUM(F23:F26),2)</f>
        <v>100</v>
      </c>
      <c r="I27" s="1"/>
      <c r="J27" s="1"/>
    </row>
    <row r="28" spans="1:10" x14ac:dyDescent="0.2">
      <c r="A28" s="4" t="s">
        <v>714</v>
      </c>
    </row>
    <row r="29" spans="1:10" x14ac:dyDescent="0.2">
      <c r="A29" s="4"/>
    </row>
    <row r="30" spans="1:10" x14ac:dyDescent="0.2">
      <c r="A30" s="4" t="s">
        <v>105</v>
      </c>
    </row>
    <row r="31" spans="1:10" x14ac:dyDescent="0.2">
      <c r="A31" s="4" t="s">
        <v>106</v>
      </c>
    </row>
    <row r="32" spans="1:10" x14ac:dyDescent="0.2">
      <c r="A32" s="4" t="s">
        <v>107</v>
      </c>
      <c r="D32" s="11" t="s">
        <v>906</v>
      </c>
    </row>
    <row r="34" spans="1:5" x14ac:dyDescent="0.2">
      <c r="A34" s="4" t="s">
        <v>108</v>
      </c>
    </row>
    <row r="35" spans="1:5" x14ac:dyDescent="0.2">
      <c r="A35" s="2" t="s">
        <v>956</v>
      </c>
      <c r="D35" s="10">
        <v>10.1526</v>
      </c>
    </row>
    <row r="36" spans="1:5" x14ac:dyDescent="0.2">
      <c r="A36" s="2" t="s">
        <v>957</v>
      </c>
      <c r="D36" s="10">
        <v>10.1759</v>
      </c>
    </row>
    <row r="37" spans="1:5" x14ac:dyDescent="0.2">
      <c r="A37" s="2" t="s">
        <v>958</v>
      </c>
      <c r="D37" s="10">
        <v>10.1526</v>
      </c>
    </row>
    <row r="38" spans="1:5" x14ac:dyDescent="0.2">
      <c r="A38" s="2" t="s">
        <v>955</v>
      </c>
      <c r="D38" s="10">
        <v>10.0974</v>
      </c>
    </row>
    <row r="39" spans="1:5" x14ac:dyDescent="0.2">
      <c r="A39" s="2" t="s">
        <v>967</v>
      </c>
      <c r="D39" s="10">
        <v>10.120699999999999</v>
      </c>
    </row>
    <row r="41" spans="1:5" x14ac:dyDescent="0.2">
      <c r="A41" s="4" t="s">
        <v>109</v>
      </c>
      <c r="D41" s="69"/>
    </row>
    <row r="42" spans="1:5" x14ac:dyDescent="0.2">
      <c r="A42" s="41" t="s">
        <v>727</v>
      </c>
      <c r="B42" s="42"/>
      <c r="C42" s="57" t="s">
        <v>728</v>
      </c>
      <c r="D42" s="58"/>
    </row>
    <row r="43" spans="1:5" x14ac:dyDescent="0.2">
      <c r="A43" s="59"/>
      <c r="B43" s="60"/>
      <c r="C43" s="43" t="s">
        <v>729</v>
      </c>
      <c r="D43" s="43" t="s">
        <v>730</v>
      </c>
    </row>
    <row r="44" spans="1:5" x14ac:dyDescent="0.2">
      <c r="A44" s="44" t="s">
        <v>955</v>
      </c>
      <c r="B44" s="45"/>
      <c r="C44" s="46">
        <v>3.9617748500000001E-2</v>
      </c>
      <c r="D44" s="46">
        <v>3.66862326E-2</v>
      </c>
    </row>
    <row r="45" spans="1:5" x14ac:dyDescent="0.2">
      <c r="A45" s="44" t="s">
        <v>967</v>
      </c>
      <c r="B45" s="45"/>
      <c r="C45" s="46">
        <v>3.9617748500000001E-2</v>
      </c>
      <c r="D45" s="46">
        <v>3.66862326E-2</v>
      </c>
    </row>
    <row r="46" spans="1:5" x14ac:dyDescent="0.2">
      <c r="A46" s="47"/>
      <c r="B46" s="47"/>
      <c r="C46" s="48"/>
      <c r="D46" s="48"/>
    </row>
    <row r="47" spans="1:5" x14ac:dyDescent="0.2">
      <c r="A47" s="4" t="s">
        <v>883</v>
      </c>
      <c r="D47" s="70">
        <v>2.5880357844762094</v>
      </c>
      <c r="E47" s="1" t="s">
        <v>735</v>
      </c>
    </row>
    <row r="49" spans="1:1" x14ac:dyDescent="0.2">
      <c r="A49" s="9" t="s">
        <v>968</v>
      </c>
    </row>
  </sheetData>
  <mergeCells count="3">
    <mergeCell ref="A1:F1"/>
    <mergeCell ref="C42:D42"/>
    <mergeCell ref="A43:B4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28515625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969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970</v>
      </c>
      <c r="B8" s="66" t="s">
        <v>971</v>
      </c>
      <c r="C8" s="66" t="s">
        <v>421</v>
      </c>
      <c r="D8" s="66">
        <v>112</v>
      </c>
      <c r="E8" s="7">
        <v>1119.5161599999999</v>
      </c>
      <c r="F8" s="7">
        <v>11.6504281061185</v>
      </c>
    </row>
    <row r="9" spans="1:6" x14ac:dyDescent="0.2">
      <c r="A9" s="66" t="s">
        <v>929</v>
      </c>
      <c r="B9" s="66" t="s">
        <v>930</v>
      </c>
      <c r="C9" s="66" t="s">
        <v>421</v>
      </c>
      <c r="D9" s="66">
        <v>110</v>
      </c>
      <c r="E9" s="7">
        <v>1081.0459000000001</v>
      </c>
      <c r="F9" s="7">
        <v>11.250081050517499</v>
      </c>
    </row>
    <row r="10" spans="1:6" x14ac:dyDescent="0.2">
      <c r="A10" s="66" t="s">
        <v>965</v>
      </c>
      <c r="B10" s="66" t="s">
        <v>966</v>
      </c>
      <c r="C10" s="66" t="s">
        <v>427</v>
      </c>
      <c r="D10" s="66">
        <v>103</v>
      </c>
      <c r="E10" s="7">
        <v>1049.3248599999999</v>
      </c>
      <c r="F10" s="7">
        <v>10.919970857225399</v>
      </c>
    </row>
    <row r="11" spans="1:6" x14ac:dyDescent="0.2">
      <c r="A11" s="66" t="s">
        <v>972</v>
      </c>
      <c r="B11" s="66" t="s">
        <v>973</v>
      </c>
      <c r="C11" s="66" t="s">
        <v>421</v>
      </c>
      <c r="D11" s="66">
        <v>100</v>
      </c>
      <c r="E11" s="7">
        <v>1021.596</v>
      </c>
      <c r="F11" s="7">
        <v>10.6314059383459</v>
      </c>
    </row>
    <row r="12" spans="1:6" x14ac:dyDescent="0.2">
      <c r="A12" s="66" t="s">
        <v>941</v>
      </c>
      <c r="B12" s="66" t="s">
        <v>942</v>
      </c>
      <c r="C12" s="66" t="s">
        <v>427</v>
      </c>
      <c r="D12" s="66">
        <v>85</v>
      </c>
      <c r="E12" s="7">
        <v>860.86300000000006</v>
      </c>
      <c r="F12" s="7">
        <v>8.9587116730119298</v>
      </c>
    </row>
    <row r="13" spans="1:6" x14ac:dyDescent="0.2">
      <c r="A13" s="66" t="s">
        <v>974</v>
      </c>
      <c r="B13" s="66" t="s">
        <v>975</v>
      </c>
      <c r="C13" s="66" t="s">
        <v>421</v>
      </c>
      <c r="D13" s="66">
        <v>77</v>
      </c>
      <c r="E13" s="7">
        <v>788.68020000000001</v>
      </c>
      <c r="F13" s="7">
        <v>8.2075295534984996</v>
      </c>
    </row>
    <row r="14" spans="1:6" x14ac:dyDescent="0.2">
      <c r="A14" s="66" t="s">
        <v>976</v>
      </c>
      <c r="B14" s="66" t="s">
        <v>977</v>
      </c>
      <c r="C14" s="66" t="s">
        <v>892</v>
      </c>
      <c r="D14" s="66">
        <v>72</v>
      </c>
      <c r="E14" s="7">
        <v>740.80583999999999</v>
      </c>
      <c r="F14" s="7">
        <v>7.7093171924492099</v>
      </c>
    </row>
    <row r="15" spans="1:6" x14ac:dyDescent="0.2">
      <c r="A15" s="66" t="s">
        <v>978</v>
      </c>
      <c r="B15" s="66" t="s">
        <v>979</v>
      </c>
      <c r="C15" s="66" t="s">
        <v>421</v>
      </c>
      <c r="D15" s="66">
        <v>70</v>
      </c>
      <c r="E15" s="7">
        <v>711.3442</v>
      </c>
      <c r="F15" s="7">
        <v>7.4027198149639704</v>
      </c>
    </row>
    <row r="16" spans="1:6" x14ac:dyDescent="0.2">
      <c r="A16" s="66" t="s">
        <v>980</v>
      </c>
      <c r="B16" s="66" t="s">
        <v>981</v>
      </c>
      <c r="C16" s="66" t="s">
        <v>892</v>
      </c>
      <c r="D16" s="66">
        <v>21</v>
      </c>
      <c r="E16" s="7">
        <v>511.73902500000003</v>
      </c>
      <c r="F16" s="7">
        <v>5.3254958998159303</v>
      </c>
    </row>
    <row r="17" spans="1:10" x14ac:dyDescent="0.2">
      <c r="A17" s="66" t="s">
        <v>982</v>
      </c>
      <c r="B17" s="66" t="s">
        <v>983</v>
      </c>
      <c r="C17" s="66" t="s">
        <v>421</v>
      </c>
      <c r="D17" s="66">
        <v>33</v>
      </c>
      <c r="E17" s="7">
        <v>330.22604999999999</v>
      </c>
      <c r="F17" s="7">
        <v>3.4365514244050699</v>
      </c>
    </row>
    <row r="18" spans="1:10" x14ac:dyDescent="0.2">
      <c r="A18" s="66" t="s">
        <v>984</v>
      </c>
      <c r="B18" s="66" t="s">
        <v>985</v>
      </c>
      <c r="C18" s="66" t="s">
        <v>421</v>
      </c>
      <c r="D18" s="66">
        <v>33</v>
      </c>
      <c r="E18" s="7">
        <v>326.34723000000002</v>
      </c>
      <c r="F18" s="7">
        <v>3.3961858493814998</v>
      </c>
    </row>
    <row r="19" spans="1:10" x14ac:dyDescent="0.2">
      <c r="A19" s="66" t="s">
        <v>951</v>
      </c>
      <c r="B19" s="66" t="s">
        <v>952</v>
      </c>
      <c r="C19" s="66" t="s">
        <v>892</v>
      </c>
      <c r="D19" s="66">
        <v>310</v>
      </c>
      <c r="E19" s="7">
        <v>310.99509999999998</v>
      </c>
      <c r="F19" s="7">
        <v>3.23642139645857</v>
      </c>
    </row>
    <row r="20" spans="1:10" x14ac:dyDescent="0.2">
      <c r="A20" s="66" t="s">
        <v>986</v>
      </c>
      <c r="B20" s="66" t="s">
        <v>987</v>
      </c>
      <c r="C20" s="66" t="s">
        <v>897</v>
      </c>
      <c r="D20" s="66">
        <v>32</v>
      </c>
      <c r="E20" s="7">
        <v>255.26176000000001</v>
      </c>
      <c r="F20" s="7">
        <v>2.6564232740698199</v>
      </c>
    </row>
    <row r="21" spans="1:10" x14ac:dyDescent="0.2">
      <c r="A21" s="66" t="s">
        <v>988</v>
      </c>
      <c r="B21" s="66" t="s">
        <v>989</v>
      </c>
      <c r="C21" s="66" t="s">
        <v>897</v>
      </c>
      <c r="D21" s="66">
        <v>26</v>
      </c>
      <c r="E21" s="7">
        <v>127.25505</v>
      </c>
      <c r="F21" s="7">
        <v>1.3243005006426301</v>
      </c>
    </row>
    <row r="22" spans="1:10" x14ac:dyDescent="0.2">
      <c r="A22" s="66" t="s">
        <v>963</v>
      </c>
      <c r="B22" s="66" t="s">
        <v>964</v>
      </c>
      <c r="C22" s="66" t="s">
        <v>421</v>
      </c>
      <c r="D22" s="66">
        <v>1</v>
      </c>
      <c r="E22" s="7">
        <v>99.585300000000004</v>
      </c>
      <c r="F22" s="7">
        <v>1.0363507196503901</v>
      </c>
    </row>
    <row r="23" spans="1:10" x14ac:dyDescent="0.2">
      <c r="A23" s="66" t="s">
        <v>990</v>
      </c>
      <c r="B23" s="66" t="s">
        <v>991</v>
      </c>
      <c r="C23" s="66" t="s">
        <v>427</v>
      </c>
      <c r="D23" s="66">
        <v>2</v>
      </c>
      <c r="E23" s="7">
        <v>20.574739999999998</v>
      </c>
      <c r="F23" s="7">
        <v>0.21411439846663799</v>
      </c>
    </row>
    <row r="24" spans="1:10" x14ac:dyDescent="0.2">
      <c r="A24" s="65" t="s">
        <v>39</v>
      </c>
      <c r="B24" s="66"/>
      <c r="C24" s="66"/>
      <c r="D24" s="66"/>
      <c r="E24" s="6">
        <f>SUM(E8:E23)</f>
        <v>9355.1604150000003</v>
      </c>
      <c r="F24" s="6">
        <f>SUM(F8:F23)</f>
        <v>97.35600764902145</v>
      </c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5" t="s">
        <v>39</v>
      </c>
      <c r="B26" s="66"/>
      <c r="C26" s="66"/>
      <c r="D26" s="66"/>
      <c r="E26" s="6">
        <v>9355.1604150000003</v>
      </c>
      <c r="F26" s="6">
        <v>97.35600764902145</v>
      </c>
      <c r="I26" s="1"/>
      <c r="J26" s="1"/>
    </row>
    <row r="27" spans="1:10" x14ac:dyDescent="0.2">
      <c r="A27" s="66"/>
      <c r="B27" s="66"/>
      <c r="C27" s="66"/>
      <c r="D27" s="66"/>
      <c r="E27" s="7"/>
      <c r="F27" s="7"/>
    </row>
    <row r="28" spans="1:10" x14ac:dyDescent="0.2">
      <c r="A28" s="65" t="s">
        <v>103</v>
      </c>
      <c r="B28" s="66"/>
      <c r="C28" s="66"/>
      <c r="D28" s="66"/>
      <c r="E28" s="6">
        <v>254.0676593</v>
      </c>
      <c r="F28" s="6">
        <v>2.64</v>
      </c>
      <c r="I28" s="1"/>
      <c r="J28" s="1"/>
    </row>
    <row r="29" spans="1:10" x14ac:dyDescent="0.2">
      <c r="A29" s="66"/>
      <c r="B29" s="66"/>
      <c r="C29" s="66"/>
      <c r="D29" s="66"/>
      <c r="E29" s="7"/>
      <c r="F29" s="7"/>
    </row>
    <row r="30" spans="1:10" x14ac:dyDescent="0.2">
      <c r="A30" s="68" t="s">
        <v>104</v>
      </c>
      <c r="B30" s="64"/>
      <c r="C30" s="64"/>
      <c r="D30" s="64"/>
      <c r="E30" s="8">
        <v>9609.2276593000006</v>
      </c>
      <c r="F30" s="8">
        <f xml:space="preserve"> ROUND(SUM(F26:F29),2)</f>
        <v>100</v>
      </c>
      <c r="I30" s="1"/>
      <c r="J30" s="1"/>
    </row>
    <row r="31" spans="1:10" x14ac:dyDescent="0.2">
      <c r="A31" s="4" t="s">
        <v>714</v>
      </c>
    </row>
    <row r="32" spans="1:10" x14ac:dyDescent="0.2">
      <c r="A32" s="4"/>
    </row>
    <row r="33" spans="1:5" x14ac:dyDescent="0.2">
      <c r="A33" s="4" t="s">
        <v>105</v>
      </c>
    </row>
    <row r="34" spans="1:5" x14ac:dyDescent="0.2">
      <c r="A34" s="4" t="s">
        <v>106</v>
      </c>
    </row>
    <row r="35" spans="1:5" x14ac:dyDescent="0.2">
      <c r="A35" s="4" t="s">
        <v>107</v>
      </c>
      <c r="D35" s="11" t="s">
        <v>906</v>
      </c>
    </row>
    <row r="37" spans="1:5" x14ac:dyDescent="0.2">
      <c r="A37" s="4" t="s">
        <v>108</v>
      </c>
    </row>
    <row r="38" spans="1:5" x14ac:dyDescent="0.2">
      <c r="A38" s="2" t="s">
        <v>720</v>
      </c>
      <c r="D38" s="10">
        <v>10.216900000000001</v>
      </c>
    </row>
    <row r="39" spans="1:5" x14ac:dyDescent="0.2">
      <c r="A39" s="2" t="s">
        <v>721</v>
      </c>
      <c r="D39" s="10">
        <v>10.181100000000001</v>
      </c>
    </row>
    <row r="40" spans="1:5" x14ac:dyDescent="0.2">
      <c r="A40" s="2" t="s">
        <v>719</v>
      </c>
      <c r="D40" s="10">
        <v>10.216900000000001</v>
      </c>
    </row>
    <row r="41" spans="1:5" x14ac:dyDescent="0.2">
      <c r="A41" s="2" t="s">
        <v>722</v>
      </c>
      <c r="D41" s="10">
        <v>10.181100000000001</v>
      </c>
    </row>
    <row r="42" spans="1:5" x14ac:dyDescent="0.2">
      <c r="A42" s="2" t="s">
        <v>726</v>
      </c>
      <c r="D42" s="10">
        <v>10.181100000000001</v>
      </c>
    </row>
    <row r="44" spans="1:5" x14ac:dyDescent="0.2">
      <c r="A44" s="4" t="s">
        <v>109</v>
      </c>
      <c r="D44" s="69" t="s">
        <v>110</v>
      </c>
    </row>
    <row r="46" spans="1:5" x14ac:dyDescent="0.2">
      <c r="A46" s="4" t="s">
        <v>883</v>
      </c>
      <c r="D46" s="70">
        <v>2.5296201170910901</v>
      </c>
      <c r="E46" s="1" t="s">
        <v>907</v>
      </c>
    </row>
    <row r="48" spans="1:5" x14ac:dyDescent="0.2">
      <c r="A48" s="9" t="s">
        <v>992</v>
      </c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showGridLines="0" workbookViewId="0">
      <selection sqref="A1:F1"/>
    </sheetView>
  </sheetViews>
  <sheetFormatPr defaultRowHeight="11.25" x14ac:dyDescent="0.2"/>
  <cols>
    <col min="1" max="1" width="45.140625" style="2" customWidth="1"/>
    <col min="2" max="2" width="48.5703125" style="2" bestFit="1" customWidth="1"/>
    <col min="3" max="3" width="11.7109375" style="2" bestFit="1" customWidth="1"/>
    <col min="4" max="4" width="6.85546875" style="2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993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994</v>
      </c>
      <c r="B8" s="66" t="s">
        <v>995</v>
      </c>
      <c r="C8" s="66" t="s">
        <v>421</v>
      </c>
      <c r="D8" s="66">
        <v>119</v>
      </c>
      <c r="E8" s="7">
        <v>1179.6755599999999</v>
      </c>
      <c r="F8" s="7">
        <v>11.4627114903292</v>
      </c>
    </row>
    <row r="9" spans="1:6" x14ac:dyDescent="0.2">
      <c r="A9" s="66" t="s">
        <v>923</v>
      </c>
      <c r="B9" s="66" t="s">
        <v>924</v>
      </c>
      <c r="C9" s="66" t="s">
        <v>421</v>
      </c>
      <c r="D9" s="66">
        <v>114</v>
      </c>
      <c r="E9" s="7">
        <v>1136.4728399999999</v>
      </c>
      <c r="F9" s="7">
        <v>11.042917835404699</v>
      </c>
    </row>
    <row r="10" spans="1:6" x14ac:dyDescent="0.2">
      <c r="A10" s="66" t="s">
        <v>996</v>
      </c>
      <c r="B10" s="66" t="s">
        <v>997</v>
      </c>
      <c r="C10" s="66" t="s">
        <v>421</v>
      </c>
      <c r="D10" s="66">
        <v>99</v>
      </c>
      <c r="E10" s="7">
        <v>1015.54596</v>
      </c>
      <c r="F10" s="7">
        <v>9.8678914265625597</v>
      </c>
    </row>
    <row r="11" spans="1:6" x14ac:dyDescent="0.2">
      <c r="A11" s="66" t="s">
        <v>998</v>
      </c>
      <c r="B11" s="66" t="s">
        <v>999</v>
      </c>
      <c r="C11" s="66" t="s">
        <v>892</v>
      </c>
      <c r="D11" s="66">
        <v>100</v>
      </c>
      <c r="E11" s="7">
        <v>1002.2619999999999</v>
      </c>
      <c r="F11" s="7">
        <v>9.7388133935065309</v>
      </c>
    </row>
    <row r="12" spans="1:6" x14ac:dyDescent="0.2">
      <c r="A12" s="66" t="s">
        <v>1000</v>
      </c>
      <c r="B12" s="66" t="s">
        <v>1001</v>
      </c>
      <c r="C12" s="66" t="s">
        <v>892</v>
      </c>
      <c r="D12" s="66">
        <v>100</v>
      </c>
      <c r="E12" s="7">
        <v>989.64499999999998</v>
      </c>
      <c r="F12" s="7">
        <v>9.6162160999985709</v>
      </c>
    </row>
    <row r="13" spans="1:6" x14ac:dyDescent="0.2">
      <c r="A13" s="66" t="s">
        <v>1002</v>
      </c>
      <c r="B13" s="66" t="s">
        <v>1003</v>
      </c>
      <c r="C13" s="66" t="s">
        <v>421</v>
      </c>
      <c r="D13" s="66">
        <v>100</v>
      </c>
      <c r="E13" s="7">
        <v>984.24699999999996</v>
      </c>
      <c r="F13" s="7">
        <v>9.5637646305243802</v>
      </c>
    </row>
    <row r="14" spans="1:6" x14ac:dyDescent="0.2">
      <c r="A14" s="66" t="s">
        <v>986</v>
      </c>
      <c r="B14" s="66" t="s">
        <v>987</v>
      </c>
      <c r="C14" s="66" t="s">
        <v>897</v>
      </c>
      <c r="D14" s="66">
        <v>96</v>
      </c>
      <c r="E14" s="7">
        <v>765.78527999999994</v>
      </c>
      <c r="F14" s="7">
        <v>7.44100838045755</v>
      </c>
    </row>
    <row r="15" spans="1:6" x14ac:dyDescent="0.2">
      <c r="A15" s="66" t="s">
        <v>935</v>
      </c>
      <c r="B15" s="66" t="s">
        <v>936</v>
      </c>
      <c r="C15" s="66" t="s">
        <v>892</v>
      </c>
      <c r="D15" s="66">
        <v>74</v>
      </c>
      <c r="E15" s="7">
        <v>760.41881999999998</v>
      </c>
      <c r="F15" s="7">
        <v>7.3888633799250396</v>
      </c>
    </row>
    <row r="16" spans="1:6" x14ac:dyDescent="0.2">
      <c r="A16" s="66" t="s">
        <v>982</v>
      </c>
      <c r="B16" s="66" t="s">
        <v>983</v>
      </c>
      <c r="C16" s="66" t="s">
        <v>421</v>
      </c>
      <c r="D16" s="66">
        <v>67</v>
      </c>
      <c r="E16" s="7">
        <v>670.45894999999996</v>
      </c>
      <c r="F16" s="7">
        <v>6.5147382641029203</v>
      </c>
    </row>
    <row r="17" spans="1:10" x14ac:dyDescent="0.2">
      <c r="A17" s="66" t="s">
        <v>1004</v>
      </c>
      <c r="B17" s="66" t="s">
        <v>1005</v>
      </c>
      <c r="C17" s="66" t="s">
        <v>421</v>
      </c>
      <c r="D17" s="66">
        <v>47</v>
      </c>
      <c r="E17" s="7">
        <v>484.75846999999999</v>
      </c>
      <c r="F17" s="7">
        <v>4.71031754197179</v>
      </c>
    </row>
    <row r="18" spans="1:10" x14ac:dyDescent="0.2">
      <c r="A18" s="66" t="s">
        <v>963</v>
      </c>
      <c r="B18" s="66" t="s">
        <v>964</v>
      </c>
      <c r="C18" s="66" t="s">
        <v>421</v>
      </c>
      <c r="D18" s="66">
        <v>4</v>
      </c>
      <c r="E18" s="7">
        <v>398.34120000000001</v>
      </c>
      <c r="F18" s="7">
        <v>3.8706152819776301</v>
      </c>
    </row>
    <row r="19" spans="1:10" x14ac:dyDescent="0.2">
      <c r="A19" s="66" t="s">
        <v>974</v>
      </c>
      <c r="B19" s="66" t="s">
        <v>975</v>
      </c>
      <c r="C19" s="66" t="s">
        <v>421</v>
      </c>
      <c r="D19" s="66">
        <v>23</v>
      </c>
      <c r="E19" s="7">
        <v>235.57980000000001</v>
      </c>
      <c r="F19" s="7">
        <v>2.2890897903737599</v>
      </c>
    </row>
    <row r="20" spans="1:10" x14ac:dyDescent="0.2">
      <c r="A20" s="66" t="s">
        <v>939</v>
      </c>
      <c r="B20" s="66" t="s">
        <v>940</v>
      </c>
      <c r="C20" s="66" t="s">
        <v>421</v>
      </c>
      <c r="D20" s="66">
        <v>20</v>
      </c>
      <c r="E20" s="7">
        <v>194.5694</v>
      </c>
      <c r="F20" s="7">
        <v>1.8905985447782401</v>
      </c>
    </row>
    <row r="21" spans="1:10" x14ac:dyDescent="0.2">
      <c r="A21" s="66" t="s">
        <v>984</v>
      </c>
      <c r="B21" s="66" t="s">
        <v>985</v>
      </c>
      <c r="C21" s="66" t="s">
        <v>421</v>
      </c>
      <c r="D21" s="66">
        <v>17</v>
      </c>
      <c r="E21" s="7">
        <v>168.11827</v>
      </c>
      <c r="F21" s="7">
        <v>1.63357730769913</v>
      </c>
    </row>
    <row r="22" spans="1:10" x14ac:dyDescent="0.2">
      <c r="A22" s="66" t="s">
        <v>988</v>
      </c>
      <c r="B22" s="66" t="s">
        <v>989</v>
      </c>
      <c r="C22" s="66" t="s">
        <v>897</v>
      </c>
      <c r="D22" s="66">
        <v>4</v>
      </c>
      <c r="E22" s="7">
        <v>19.5777</v>
      </c>
      <c r="F22" s="7">
        <v>0.19023325934142299</v>
      </c>
    </row>
    <row r="23" spans="1:10" x14ac:dyDescent="0.2">
      <c r="A23" s="65" t="s">
        <v>39</v>
      </c>
      <c r="B23" s="66"/>
      <c r="C23" s="66"/>
      <c r="D23" s="66"/>
      <c r="E23" s="6">
        <f>SUM(E8:E22)</f>
        <v>10005.456250000003</v>
      </c>
      <c r="F23" s="6">
        <f>SUM(F8:F22)</f>
        <v>97.221356626953437</v>
      </c>
    </row>
    <row r="24" spans="1:10" x14ac:dyDescent="0.2">
      <c r="A24" s="66"/>
      <c r="B24" s="66"/>
      <c r="C24" s="66"/>
      <c r="D24" s="66"/>
      <c r="E24" s="7"/>
      <c r="F24" s="7"/>
    </row>
    <row r="25" spans="1:10" x14ac:dyDescent="0.2">
      <c r="A25" s="65" t="s">
        <v>39</v>
      </c>
      <c r="B25" s="66"/>
      <c r="C25" s="66"/>
      <c r="D25" s="66"/>
      <c r="E25" s="6">
        <v>10005.456250000003</v>
      </c>
      <c r="F25" s="6">
        <v>97.221356626953437</v>
      </c>
      <c r="I25" s="1"/>
      <c r="J25" s="1"/>
    </row>
    <row r="26" spans="1:10" x14ac:dyDescent="0.2">
      <c r="A26" s="66"/>
      <c r="B26" s="66"/>
      <c r="C26" s="66"/>
      <c r="D26" s="66"/>
      <c r="E26" s="7"/>
      <c r="F26" s="7"/>
    </row>
    <row r="27" spans="1:10" x14ac:dyDescent="0.2">
      <c r="A27" s="65" t="s">
        <v>103</v>
      </c>
      <c r="B27" s="66"/>
      <c r="C27" s="66"/>
      <c r="D27" s="66"/>
      <c r="E27" s="6">
        <v>285.95805580000001</v>
      </c>
      <c r="F27" s="6">
        <v>2.78</v>
      </c>
      <c r="I27" s="1"/>
      <c r="J27" s="1"/>
    </row>
    <row r="28" spans="1:10" x14ac:dyDescent="0.2">
      <c r="A28" s="66"/>
      <c r="B28" s="66"/>
      <c r="C28" s="66"/>
      <c r="D28" s="66"/>
      <c r="E28" s="7"/>
      <c r="F28" s="7"/>
    </row>
    <row r="29" spans="1:10" x14ac:dyDescent="0.2">
      <c r="A29" s="68" t="s">
        <v>104</v>
      </c>
      <c r="B29" s="64"/>
      <c r="C29" s="64"/>
      <c r="D29" s="64"/>
      <c r="E29" s="8">
        <v>10291.418055800001</v>
      </c>
      <c r="F29" s="8">
        <f xml:space="preserve"> ROUND(SUM(F25:F28),2)</f>
        <v>100</v>
      </c>
      <c r="I29" s="1"/>
      <c r="J29" s="1"/>
    </row>
    <row r="30" spans="1:10" x14ac:dyDescent="0.2">
      <c r="A30" s="4" t="s">
        <v>714</v>
      </c>
    </row>
    <row r="31" spans="1:10" x14ac:dyDescent="0.2">
      <c r="A31" s="4"/>
    </row>
    <row r="32" spans="1:10" x14ac:dyDescent="0.2">
      <c r="A32" s="4" t="s">
        <v>105</v>
      </c>
    </row>
    <row r="33" spans="1:4" x14ac:dyDescent="0.2">
      <c r="A33" s="4" t="s">
        <v>106</v>
      </c>
    </row>
    <row r="34" spans="1:4" x14ac:dyDescent="0.2">
      <c r="A34" s="4" t="s">
        <v>107</v>
      </c>
      <c r="D34" s="11" t="s">
        <v>906</v>
      </c>
    </row>
    <row r="36" spans="1:4" x14ac:dyDescent="0.2">
      <c r="A36" s="4" t="s">
        <v>108</v>
      </c>
    </row>
    <row r="37" spans="1:4" x14ac:dyDescent="0.2">
      <c r="A37" s="2" t="s">
        <v>726</v>
      </c>
      <c r="D37" s="10">
        <v>10.1782</v>
      </c>
    </row>
    <row r="38" spans="1:4" x14ac:dyDescent="0.2">
      <c r="A38" s="2" t="s">
        <v>719</v>
      </c>
      <c r="D38" s="10">
        <v>10.2882</v>
      </c>
    </row>
    <row r="39" spans="1:4" x14ac:dyDescent="0.2">
      <c r="A39" s="2" t="s">
        <v>720</v>
      </c>
      <c r="D39" s="10">
        <v>10.2882</v>
      </c>
    </row>
    <row r="40" spans="1:4" x14ac:dyDescent="0.2">
      <c r="A40" s="2" t="s">
        <v>721</v>
      </c>
      <c r="D40" s="10">
        <v>10.244400000000001</v>
      </c>
    </row>
    <row r="41" spans="1:4" x14ac:dyDescent="0.2">
      <c r="A41" s="2" t="s">
        <v>722</v>
      </c>
      <c r="D41" s="10">
        <v>10.244400000000001</v>
      </c>
    </row>
    <row r="42" spans="1:4" x14ac:dyDescent="0.2">
      <c r="A42" s="2" t="s">
        <v>724</v>
      </c>
      <c r="D42" s="10">
        <v>10.216799999999999</v>
      </c>
    </row>
    <row r="44" spans="1:4" x14ac:dyDescent="0.2">
      <c r="A44" s="4" t="s">
        <v>109</v>
      </c>
      <c r="D44" s="69"/>
    </row>
    <row r="45" spans="1:4" x14ac:dyDescent="0.2">
      <c r="A45" s="41" t="s">
        <v>727</v>
      </c>
      <c r="B45" s="42"/>
      <c r="C45" s="57" t="s">
        <v>728</v>
      </c>
      <c r="D45" s="58"/>
    </row>
    <row r="46" spans="1:4" x14ac:dyDescent="0.2">
      <c r="A46" s="59"/>
      <c r="B46" s="60"/>
      <c r="C46" s="43" t="s">
        <v>729</v>
      </c>
      <c r="D46" s="43" t="s">
        <v>730</v>
      </c>
    </row>
    <row r="47" spans="1:4" x14ac:dyDescent="0.2">
      <c r="A47" s="44" t="s">
        <v>955</v>
      </c>
      <c r="B47" s="45"/>
      <c r="C47" s="46">
        <v>4.6820975500000001E-2</v>
      </c>
      <c r="D47" s="46">
        <v>4.3356456700000004E-2</v>
      </c>
    </row>
    <row r="48" spans="1:4" x14ac:dyDescent="0.2">
      <c r="A48" s="44" t="s">
        <v>967</v>
      </c>
      <c r="B48" s="45"/>
      <c r="C48" s="46">
        <v>5.0422589000000004E-2</v>
      </c>
      <c r="D48" s="46">
        <v>4.6691568700000005E-2</v>
      </c>
    </row>
    <row r="50" spans="1:5" x14ac:dyDescent="0.2">
      <c r="A50" s="4" t="s">
        <v>883</v>
      </c>
      <c r="D50" s="70">
        <v>2.4388600730166194</v>
      </c>
      <c r="E50" s="1" t="s">
        <v>735</v>
      </c>
    </row>
    <row r="52" spans="1:5" x14ac:dyDescent="0.2">
      <c r="A52" s="72" t="s">
        <v>1006</v>
      </c>
    </row>
  </sheetData>
  <mergeCells count="3">
    <mergeCell ref="A1:F1"/>
    <mergeCell ref="C45:D45"/>
    <mergeCell ref="A46:B4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1007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939</v>
      </c>
      <c r="B8" s="66" t="s">
        <v>940</v>
      </c>
      <c r="C8" s="66" t="s">
        <v>421</v>
      </c>
      <c r="D8" s="66">
        <v>105</v>
      </c>
      <c r="E8" s="7">
        <v>1021.4893499999999</v>
      </c>
      <c r="F8" s="7">
        <v>11.574761574939799</v>
      </c>
    </row>
    <row r="9" spans="1:6" x14ac:dyDescent="0.2">
      <c r="A9" s="66" t="s">
        <v>1008</v>
      </c>
      <c r="B9" s="66" t="s">
        <v>1009</v>
      </c>
      <c r="C9" s="66" t="s">
        <v>892</v>
      </c>
      <c r="D9" s="66">
        <v>100</v>
      </c>
      <c r="E9" s="7">
        <v>983.29899999999998</v>
      </c>
      <c r="F9" s="7">
        <v>11.14201678351</v>
      </c>
    </row>
    <row r="10" spans="1:6" x14ac:dyDescent="0.2">
      <c r="A10" s="66" t="s">
        <v>988</v>
      </c>
      <c r="B10" s="66" t="s">
        <v>989</v>
      </c>
      <c r="C10" s="66" t="s">
        <v>897</v>
      </c>
      <c r="D10" s="66">
        <v>170</v>
      </c>
      <c r="E10" s="7">
        <v>832.05224999999996</v>
      </c>
      <c r="F10" s="7">
        <v>9.4282005109912905</v>
      </c>
    </row>
    <row r="11" spans="1:6" x14ac:dyDescent="0.2">
      <c r="A11" s="66" t="s">
        <v>1010</v>
      </c>
      <c r="B11" s="66" t="s">
        <v>1011</v>
      </c>
      <c r="C11" s="66" t="s">
        <v>897</v>
      </c>
      <c r="D11" s="66">
        <v>78</v>
      </c>
      <c r="E11" s="7">
        <v>759.13656000000003</v>
      </c>
      <c r="F11" s="7">
        <v>8.6019738578967502</v>
      </c>
    </row>
    <row r="12" spans="1:6" x14ac:dyDescent="0.2">
      <c r="A12" s="66" t="s">
        <v>935</v>
      </c>
      <c r="B12" s="66" t="s">
        <v>936</v>
      </c>
      <c r="C12" s="66" t="s">
        <v>892</v>
      </c>
      <c r="D12" s="66">
        <v>63</v>
      </c>
      <c r="E12" s="7">
        <v>647.38359000000003</v>
      </c>
      <c r="F12" s="7">
        <v>7.3356718812374799</v>
      </c>
    </row>
    <row r="13" spans="1:6" x14ac:dyDescent="0.2">
      <c r="A13" s="66" t="s">
        <v>1012</v>
      </c>
      <c r="B13" s="66" t="s">
        <v>1013</v>
      </c>
      <c r="C13" s="66" t="s">
        <v>892</v>
      </c>
      <c r="D13" s="66">
        <v>53</v>
      </c>
      <c r="E13" s="7">
        <v>521.82369000000006</v>
      </c>
      <c r="F13" s="7">
        <v>5.9129199887451298</v>
      </c>
    </row>
    <row r="14" spans="1:6" x14ac:dyDescent="0.2">
      <c r="A14" s="66" t="s">
        <v>1014</v>
      </c>
      <c r="B14" s="66" t="s">
        <v>1015</v>
      </c>
      <c r="C14" s="66" t="s">
        <v>892</v>
      </c>
      <c r="D14" s="66">
        <v>50</v>
      </c>
      <c r="E14" s="7">
        <v>514.58050000000003</v>
      </c>
      <c r="F14" s="7">
        <v>5.8308455184709302</v>
      </c>
    </row>
    <row r="15" spans="1:6" x14ac:dyDescent="0.2">
      <c r="A15" s="66" t="s">
        <v>996</v>
      </c>
      <c r="B15" s="66" t="s">
        <v>997</v>
      </c>
      <c r="C15" s="66" t="s">
        <v>421</v>
      </c>
      <c r="D15" s="66">
        <v>50</v>
      </c>
      <c r="E15" s="7">
        <v>512.90200000000004</v>
      </c>
      <c r="F15" s="7">
        <v>5.8118259982933296</v>
      </c>
    </row>
    <row r="16" spans="1:6" x14ac:dyDescent="0.2">
      <c r="A16" s="66" t="s">
        <v>1016</v>
      </c>
      <c r="B16" s="66" t="s">
        <v>1017</v>
      </c>
      <c r="C16" s="66" t="s">
        <v>421</v>
      </c>
      <c r="D16" s="66">
        <v>50</v>
      </c>
      <c r="E16" s="7">
        <v>506.16550000000001</v>
      </c>
      <c r="F16" s="7">
        <v>5.7354929642293104</v>
      </c>
    </row>
    <row r="17" spans="1:10" x14ac:dyDescent="0.2">
      <c r="A17" s="66" t="s">
        <v>984</v>
      </c>
      <c r="B17" s="66" t="s">
        <v>985</v>
      </c>
      <c r="C17" s="66" t="s">
        <v>421</v>
      </c>
      <c r="D17" s="66">
        <v>50</v>
      </c>
      <c r="E17" s="7">
        <v>494.46550000000002</v>
      </c>
      <c r="F17" s="7">
        <v>5.6029172203639401</v>
      </c>
    </row>
    <row r="18" spans="1:10" x14ac:dyDescent="0.2">
      <c r="A18" s="66" t="s">
        <v>1018</v>
      </c>
      <c r="B18" s="66" t="s">
        <v>1019</v>
      </c>
      <c r="C18" s="66" t="s">
        <v>421</v>
      </c>
      <c r="D18" s="66">
        <v>42</v>
      </c>
      <c r="E18" s="7">
        <v>438.29226</v>
      </c>
      <c r="F18" s="7">
        <v>4.9664036239257001</v>
      </c>
    </row>
    <row r="19" spans="1:10" x14ac:dyDescent="0.2">
      <c r="A19" s="66" t="s">
        <v>1020</v>
      </c>
      <c r="B19" s="66" t="s">
        <v>1021</v>
      </c>
      <c r="C19" s="66" t="s">
        <v>421</v>
      </c>
      <c r="D19" s="66">
        <v>21</v>
      </c>
      <c r="E19" s="7">
        <v>217.14860999999999</v>
      </c>
      <c r="F19" s="7">
        <v>2.4605673931691801</v>
      </c>
    </row>
    <row r="20" spans="1:10" x14ac:dyDescent="0.2">
      <c r="A20" s="66" t="s">
        <v>994</v>
      </c>
      <c r="B20" s="66" t="s">
        <v>995</v>
      </c>
      <c r="C20" s="66" t="s">
        <v>421</v>
      </c>
      <c r="D20" s="66">
        <v>8</v>
      </c>
      <c r="E20" s="7">
        <v>79.30592</v>
      </c>
      <c r="F20" s="7">
        <v>0.89863601170315299</v>
      </c>
    </row>
    <row r="21" spans="1:10" x14ac:dyDescent="0.2">
      <c r="A21" s="65" t="s">
        <v>39</v>
      </c>
      <c r="B21" s="66"/>
      <c r="C21" s="66"/>
      <c r="D21" s="66"/>
      <c r="E21" s="6">
        <f>SUM(E8:E20)</f>
        <v>7528.0447300000005</v>
      </c>
      <c r="F21" s="6">
        <f>SUM(F8:F20)</f>
        <v>85.302233327475989</v>
      </c>
    </row>
    <row r="22" spans="1:10" x14ac:dyDescent="0.2">
      <c r="A22" s="66"/>
      <c r="B22" s="66"/>
      <c r="C22" s="66"/>
      <c r="D22" s="66"/>
      <c r="E22" s="7"/>
      <c r="F22" s="7"/>
    </row>
    <row r="23" spans="1:10" x14ac:dyDescent="0.2">
      <c r="A23" s="65" t="s">
        <v>822</v>
      </c>
      <c r="B23" s="66"/>
      <c r="C23" s="66"/>
      <c r="D23" s="66"/>
      <c r="E23" s="7"/>
      <c r="F23" s="7"/>
    </row>
    <row r="24" spans="1:10" x14ac:dyDescent="0.2">
      <c r="A24" s="66" t="s">
        <v>1022</v>
      </c>
      <c r="B24" s="66" t="s">
        <v>1023</v>
      </c>
      <c r="C24" s="66" t="s">
        <v>897</v>
      </c>
      <c r="D24" s="66">
        <v>95</v>
      </c>
      <c r="E24" s="7">
        <v>941.63810000000001</v>
      </c>
      <c r="F24" s="7">
        <v>10.6699462871339</v>
      </c>
    </row>
    <row r="25" spans="1:10" x14ac:dyDescent="0.2">
      <c r="A25" s="65" t="s">
        <v>39</v>
      </c>
      <c r="B25" s="66"/>
      <c r="C25" s="66"/>
      <c r="D25" s="66"/>
      <c r="E25" s="6">
        <f>SUM(E24:E24)</f>
        <v>941.63810000000001</v>
      </c>
      <c r="F25" s="6">
        <f>SUM(F24:F24)</f>
        <v>10.6699462871339</v>
      </c>
    </row>
    <row r="26" spans="1:10" x14ac:dyDescent="0.2">
      <c r="A26" s="66"/>
      <c r="B26" s="66"/>
      <c r="C26" s="66"/>
      <c r="D26" s="66"/>
      <c r="E26" s="7"/>
      <c r="F26" s="7"/>
    </row>
    <row r="27" spans="1:10" x14ac:dyDescent="0.2">
      <c r="A27" s="65" t="s">
        <v>39</v>
      </c>
      <c r="B27" s="66"/>
      <c r="C27" s="66"/>
      <c r="D27" s="66"/>
      <c r="E27" s="6">
        <v>8469.6828299999997</v>
      </c>
      <c r="F27" s="6">
        <v>95.972179614609885</v>
      </c>
      <c r="I27" s="1"/>
      <c r="J27" s="1"/>
    </row>
    <row r="28" spans="1:10" x14ac:dyDescent="0.2">
      <c r="A28" s="66"/>
      <c r="B28" s="66"/>
      <c r="C28" s="66"/>
      <c r="D28" s="66"/>
      <c r="E28" s="7"/>
      <c r="F28" s="7"/>
    </row>
    <row r="29" spans="1:10" x14ac:dyDescent="0.2">
      <c r="A29" s="65" t="s">
        <v>103</v>
      </c>
      <c r="B29" s="66"/>
      <c r="C29" s="66"/>
      <c r="D29" s="66"/>
      <c r="E29" s="6">
        <v>355.46376980000002</v>
      </c>
      <c r="F29" s="6">
        <v>4.03</v>
      </c>
      <c r="I29" s="1"/>
      <c r="J29" s="1"/>
    </row>
    <row r="30" spans="1:10" x14ac:dyDescent="0.2">
      <c r="A30" s="66"/>
      <c r="B30" s="66"/>
      <c r="C30" s="66"/>
      <c r="D30" s="66"/>
      <c r="E30" s="7"/>
      <c r="F30" s="7"/>
    </row>
    <row r="31" spans="1:10" x14ac:dyDescent="0.2">
      <c r="A31" s="68" t="s">
        <v>104</v>
      </c>
      <c r="B31" s="64"/>
      <c r="C31" s="64"/>
      <c r="D31" s="64"/>
      <c r="E31" s="8">
        <v>8825.1437698000009</v>
      </c>
      <c r="F31" s="8">
        <f xml:space="preserve"> ROUND(SUM(F27:F30),2)</f>
        <v>100</v>
      </c>
      <c r="I31" s="1"/>
      <c r="J31" s="1"/>
    </row>
    <row r="32" spans="1:10" x14ac:dyDescent="0.2">
      <c r="A32" s="4" t="s">
        <v>714</v>
      </c>
    </row>
    <row r="33" spans="1:5" x14ac:dyDescent="0.2">
      <c r="A33" s="4"/>
    </row>
    <row r="34" spans="1:5" x14ac:dyDescent="0.2">
      <c r="A34" s="4" t="s">
        <v>105</v>
      </c>
    </row>
    <row r="35" spans="1:5" x14ac:dyDescent="0.2">
      <c r="A35" s="4" t="s">
        <v>106</v>
      </c>
    </row>
    <row r="36" spans="1:5" x14ac:dyDescent="0.2">
      <c r="A36" s="4" t="s">
        <v>107</v>
      </c>
      <c r="D36" s="11" t="s">
        <v>906</v>
      </c>
    </row>
    <row r="38" spans="1:5" x14ac:dyDescent="0.2">
      <c r="A38" s="4" t="s">
        <v>108</v>
      </c>
    </row>
    <row r="39" spans="1:5" x14ac:dyDescent="0.2">
      <c r="A39" s="2" t="s">
        <v>722</v>
      </c>
      <c r="D39" s="10">
        <v>10.3316</v>
      </c>
    </row>
    <row r="40" spans="1:5" x14ac:dyDescent="0.2">
      <c r="A40" s="2" t="s">
        <v>720</v>
      </c>
      <c r="D40" s="10">
        <v>10.367699999999999</v>
      </c>
    </row>
    <row r="41" spans="1:5" x14ac:dyDescent="0.2">
      <c r="A41" s="2" t="s">
        <v>721</v>
      </c>
      <c r="D41" s="10">
        <v>10.3316</v>
      </c>
    </row>
    <row r="43" spans="1:5" x14ac:dyDescent="0.2">
      <c r="A43" s="4" t="s">
        <v>109</v>
      </c>
      <c r="D43" s="69" t="s">
        <v>110</v>
      </c>
    </row>
    <row r="45" spans="1:5" x14ac:dyDescent="0.2">
      <c r="A45" s="4" t="s">
        <v>883</v>
      </c>
      <c r="D45" s="70">
        <v>2.3043351687710567</v>
      </c>
      <c r="E45" s="1" t="s">
        <v>907</v>
      </c>
    </row>
    <row r="47" spans="1:5" x14ac:dyDescent="0.2">
      <c r="A47" s="9" t="s">
        <v>1024</v>
      </c>
    </row>
  </sheetData>
  <mergeCells count="1">
    <mergeCell ref="A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1025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1026</v>
      </c>
      <c r="B8" s="66" t="s">
        <v>1027</v>
      </c>
      <c r="C8" s="66" t="s">
        <v>421</v>
      </c>
      <c r="D8" s="66">
        <v>173</v>
      </c>
      <c r="E8" s="7">
        <v>1700.9446499999999</v>
      </c>
      <c r="F8" s="7">
        <v>10.827761274649999</v>
      </c>
    </row>
    <row r="9" spans="1:6" x14ac:dyDescent="0.2">
      <c r="A9" s="66" t="s">
        <v>1012</v>
      </c>
      <c r="B9" s="66" t="s">
        <v>1013</v>
      </c>
      <c r="C9" s="66" t="s">
        <v>892</v>
      </c>
      <c r="D9" s="66">
        <v>150</v>
      </c>
      <c r="E9" s="7">
        <v>1476.8595</v>
      </c>
      <c r="F9" s="7">
        <v>9.4012948053300498</v>
      </c>
    </row>
    <row r="10" spans="1:6" x14ac:dyDescent="0.2">
      <c r="A10" s="66" t="s">
        <v>988</v>
      </c>
      <c r="B10" s="66" t="s">
        <v>989</v>
      </c>
      <c r="C10" s="66" t="s">
        <v>897</v>
      </c>
      <c r="D10" s="66">
        <v>300</v>
      </c>
      <c r="E10" s="7">
        <v>1468.3275000000001</v>
      </c>
      <c r="F10" s="7">
        <v>9.3469823624205706</v>
      </c>
    </row>
    <row r="11" spans="1:6" x14ac:dyDescent="0.2">
      <c r="A11" s="66" t="s">
        <v>1028</v>
      </c>
      <c r="B11" s="66" t="s">
        <v>1029</v>
      </c>
      <c r="C11" s="66" t="s">
        <v>897</v>
      </c>
      <c r="D11" s="66">
        <v>149</v>
      </c>
      <c r="E11" s="7">
        <v>1465.62509</v>
      </c>
      <c r="F11" s="7">
        <v>9.3297795390681308</v>
      </c>
    </row>
    <row r="12" spans="1:6" x14ac:dyDescent="0.2">
      <c r="A12" s="66" t="s">
        <v>1030</v>
      </c>
      <c r="B12" s="66" t="s">
        <v>1031</v>
      </c>
      <c r="C12" s="66" t="s">
        <v>421</v>
      </c>
      <c r="D12" s="66">
        <v>110</v>
      </c>
      <c r="E12" s="7">
        <v>1083.6529</v>
      </c>
      <c r="F12" s="7">
        <v>6.8982461632612004</v>
      </c>
    </row>
    <row r="13" spans="1:6" x14ac:dyDescent="0.2">
      <c r="A13" s="66" t="s">
        <v>1032</v>
      </c>
      <c r="B13" s="66" t="s">
        <v>1033</v>
      </c>
      <c r="C13" s="66" t="s">
        <v>421</v>
      </c>
      <c r="D13" s="66">
        <v>128</v>
      </c>
      <c r="E13" s="7">
        <v>1026.9926399999999</v>
      </c>
      <c r="F13" s="7">
        <v>6.5375620169313304</v>
      </c>
    </row>
    <row r="14" spans="1:6" x14ac:dyDescent="0.2">
      <c r="A14" s="66" t="s">
        <v>982</v>
      </c>
      <c r="B14" s="66" t="s">
        <v>983</v>
      </c>
      <c r="C14" s="66" t="s">
        <v>421</v>
      </c>
      <c r="D14" s="66">
        <v>100</v>
      </c>
      <c r="E14" s="7">
        <v>1000.6849999999999</v>
      </c>
      <c r="F14" s="7">
        <v>6.3700945772239699</v>
      </c>
    </row>
    <row r="15" spans="1:6" x14ac:dyDescent="0.2">
      <c r="A15" s="66" t="s">
        <v>1020</v>
      </c>
      <c r="B15" s="66" t="s">
        <v>1021</v>
      </c>
      <c r="C15" s="66" t="s">
        <v>421</v>
      </c>
      <c r="D15" s="66">
        <v>89</v>
      </c>
      <c r="E15" s="7">
        <v>920.29648999999995</v>
      </c>
      <c r="F15" s="7">
        <v>5.8583627019364304</v>
      </c>
    </row>
    <row r="16" spans="1:6" x14ac:dyDescent="0.2">
      <c r="A16" s="66" t="s">
        <v>1018</v>
      </c>
      <c r="B16" s="66" t="s">
        <v>1019</v>
      </c>
      <c r="C16" s="66" t="s">
        <v>421</v>
      </c>
      <c r="D16" s="66">
        <v>84</v>
      </c>
      <c r="E16" s="7">
        <v>876.58452</v>
      </c>
      <c r="F16" s="7">
        <v>5.5801039261410699</v>
      </c>
    </row>
    <row r="17" spans="1:10" x14ac:dyDescent="0.2">
      <c r="A17" s="66" t="s">
        <v>1034</v>
      </c>
      <c r="B17" s="66" t="s">
        <v>1035</v>
      </c>
      <c r="C17" s="66" t="s">
        <v>421</v>
      </c>
      <c r="D17" s="66">
        <v>50</v>
      </c>
      <c r="E17" s="7">
        <v>491.10050000000001</v>
      </c>
      <c r="F17" s="7">
        <v>3.12621517452743</v>
      </c>
    </row>
    <row r="18" spans="1:10" x14ac:dyDescent="0.2">
      <c r="A18" s="66" t="s">
        <v>1010</v>
      </c>
      <c r="B18" s="66" t="s">
        <v>1011</v>
      </c>
      <c r="C18" s="66" t="s">
        <v>897</v>
      </c>
      <c r="D18" s="66">
        <v>22</v>
      </c>
      <c r="E18" s="7">
        <v>214.11544000000001</v>
      </c>
      <c r="F18" s="7">
        <v>1.3630019469102901</v>
      </c>
    </row>
    <row r="19" spans="1:10" x14ac:dyDescent="0.2">
      <c r="A19" s="66" t="s">
        <v>1036</v>
      </c>
      <c r="B19" s="66" t="s">
        <v>1037</v>
      </c>
      <c r="C19" s="66" t="s">
        <v>421</v>
      </c>
      <c r="D19" s="66">
        <v>16</v>
      </c>
      <c r="E19" s="7">
        <v>157.88079999999999</v>
      </c>
      <c r="F19" s="7">
        <v>1.0050271843065299</v>
      </c>
    </row>
    <row r="20" spans="1:10" x14ac:dyDescent="0.2">
      <c r="A20" s="66" t="s">
        <v>820</v>
      </c>
      <c r="B20" s="66" t="s">
        <v>821</v>
      </c>
      <c r="C20" s="66" t="s">
        <v>421</v>
      </c>
      <c r="D20" s="66">
        <v>15</v>
      </c>
      <c r="E20" s="7">
        <v>156.29415</v>
      </c>
      <c r="F20" s="7">
        <v>0.99492699237705196</v>
      </c>
    </row>
    <row r="21" spans="1:10" x14ac:dyDescent="0.2">
      <c r="A21" s="66" t="s">
        <v>939</v>
      </c>
      <c r="B21" s="66" t="s">
        <v>940</v>
      </c>
      <c r="C21" s="66" t="s">
        <v>421</v>
      </c>
      <c r="D21" s="66">
        <v>5</v>
      </c>
      <c r="E21" s="7">
        <v>48.64235</v>
      </c>
      <c r="F21" s="7">
        <v>0.30964426363783798</v>
      </c>
    </row>
    <row r="22" spans="1:10" x14ac:dyDescent="0.2">
      <c r="A22" s="65" t="s">
        <v>39</v>
      </c>
      <c r="B22" s="66"/>
      <c r="C22" s="66"/>
      <c r="D22" s="66"/>
      <c r="E22" s="6">
        <f>SUM(E8:E21)</f>
        <v>12088.001530000001</v>
      </c>
      <c r="F22" s="6">
        <f>SUM(F8:F21)</f>
        <v>76.949002928721868</v>
      </c>
    </row>
    <row r="23" spans="1:10" x14ac:dyDescent="0.2">
      <c r="A23" s="66"/>
      <c r="B23" s="66"/>
      <c r="C23" s="66"/>
      <c r="D23" s="66"/>
      <c r="E23" s="7"/>
      <c r="F23" s="7"/>
    </row>
    <row r="24" spans="1:10" x14ac:dyDescent="0.2">
      <c r="A24" s="65" t="s">
        <v>822</v>
      </c>
      <c r="B24" s="66"/>
      <c r="C24" s="66"/>
      <c r="D24" s="66"/>
      <c r="E24" s="7"/>
      <c r="F24" s="7"/>
    </row>
    <row r="25" spans="1:10" x14ac:dyDescent="0.2">
      <c r="A25" s="66" t="s">
        <v>1022</v>
      </c>
      <c r="B25" s="66" t="s">
        <v>1023</v>
      </c>
      <c r="C25" s="66" t="s">
        <v>897</v>
      </c>
      <c r="D25" s="66">
        <v>150</v>
      </c>
      <c r="E25" s="7">
        <v>1486.797</v>
      </c>
      <c r="F25" s="7">
        <v>9.4645542874459707</v>
      </c>
    </row>
    <row r="26" spans="1:10" x14ac:dyDescent="0.2">
      <c r="A26" s="66" t="s">
        <v>1038</v>
      </c>
      <c r="B26" s="66" t="s">
        <v>1039</v>
      </c>
      <c r="C26" s="66" t="s">
        <v>421</v>
      </c>
      <c r="D26" s="66">
        <v>150</v>
      </c>
      <c r="E26" s="7">
        <v>1468.8254999999999</v>
      </c>
      <c r="F26" s="7">
        <v>9.3501524979771702</v>
      </c>
    </row>
    <row r="27" spans="1:10" x14ac:dyDescent="0.2">
      <c r="A27" s="65" t="s">
        <v>39</v>
      </c>
      <c r="B27" s="66"/>
      <c r="C27" s="66"/>
      <c r="D27" s="66"/>
      <c r="E27" s="6">
        <f>SUM(E25:E26)</f>
        <v>2955.6224999999999</v>
      </c>
      <c r="F27" s="6">
        <f>SUM(F25:F26)</f>
        <v>18.814706785423141</v>
      </c>
    </row>
    <row r="28" spans="1:10" x14ac:dyDescent="0.2">
      <c r="A28" s="66"/>
      <c r="B28" s="66"/>
      <c r="C28" s="66"/>
      <c r="D28" s="66"/>
      <c r="E28" s="7"/>
      <c r="F28" s="7"/>
    </row>
    <row r="29" spans="1:10" x14ac:dyDescent="0.2">
      <c r="A29" s="65" t="s">
        <v>39</v>
      </c>
      <c r="B29" s="66"/>
      <c r="C29" s="66"/>
      <c r="D29" s="66"/>
      <c r="E29" s="6">
        <v>15043.624030000001</v>
      </c>
      <c r="F29" s="6">
        <v>95.763709714145023</v>
      </c>
      <c r="I29" s="1"/>
      <c r="J29" s="1"/>
    </row>
    <row r="30" spans="1:10" x14ac:dyDescent="0.2">
      <c r="A30" s="66"/>
      <c r="B30" s="66"/>
      <c r="C30" s="66"/>
      <c r="D30" s="66"/>
      <c r="E30" s="7"/>
      <c r="F30" s="7"/>
    </row>
    <row r="31" spans="1:10" x14ac:dyDescent="0.2">
      <c r="A31" s="65" t="s">
        <v>103</v>
      </c>
      <c r="B31" s="66"/>
      <c r="C31" s="66"/>
      <c r="D31" s="66"/>
      <c r="E31" s="6">
        <v>665.48742170000003</v>
      </c>
      <c r="F31" s="6">
        <v>4.24</v>
      </c>
      <c r="I31" s="1"/>
      <c r="J31" s="1"/>
    </row>
    <row r="32" spans="1:10" x14ac:dyDescent="0.2">
      <c r="A32" s="66"/>
      <c r="B32" s="66"/>
      <c r="C32" s="66"/>
      <c r="D32" s="66"/>
      <c r="E32" s="7"/>
      <c r="F32" s="7"/>
    </row>
    <row r="33" spans="1:10" x14ac:dyDescent="0.2">
      <c r="A33" s="68" t="s">
        <v>104</v>
      </c>
      <c r="B33" s="64"/>
      <c r="C33" s="64"/>
      <c r="D33" s="64"/>
      <c r="E33" s="8">
        <v>15709.1074217</v>
      </c>
      <c r="F33" s="8">
        <f xml:space="preserve"> ROUND(SUM(F29:F32),2)</f>
        <v>100</v>
      </c>
      <c r="I33" s="1"/>
      <c r="J33" s="1"/>
    </row>
    <row r="34" spans="1:10" x14ac:dyDescent="0.2">
      <c r="A34" s="4" t="s">
        <v>714</v>
      </c>
    </row>
    <row r="35" spans="1:10" x14ac:dyDescent="0.2">
      <c r="A35" s="4"/>
    </row>
    <row r="36" spans="1:10" x14ac:dyDescent="0.2">
      <c r="A36" s="4" t="s">
        <v>105</v>
      </c>
    </row>
    <row r="37" spans="1:10" x14ac:dyDescent="0.2">
      <c r="A37" s="4" t="s">
        <v>106</v>
      </c>
    </row>
    <row r="38" spans="1:10" x14ac:dyDescent="0.2">
      <c r="A38" s="4" t="s">
        <v>107</v>
      </c>
    </row>
    <row r="39" spans="1:10" x14ac:dyDescent="0.2">
      <c r="A39" s="2" t="s">
        <v>722</v>
      </c>
      <c r="D39" s="10">
        <v>10.0045</v>
      </c>
    </row>
    <row r="40" spans="1:10" x14ac:dyDescent="0.2">
      <c r="A40" s="2" t="s">
        <v>719</v>
      </c>
      <c r="D40" s="10">
        <v>10.005800000000001</v>
      </c>
    </row>
    <row r="41" spans="1:10" x14ac:dyDescent="0.2">
      <c r="A41" s="2" t="s">
        <v>720</v>
      </c>
      <c r="D41" s="10">
        <v>10.005800000000001</v>
      </c>
    </row>
    <row r="42" spans="1:10" x14ac:dyDescent="0.2">
      <c r="A42" s="2" t="s">
        <v>721</v>
      </c>
      <c r="D42" s="10">
        <v>10.0045</v>
      </c>
    </row>
    <row r="43" spans="1:10" x14ac:dyDescent="0.2">
      <c r="A43" s="2" t="s">
        <v>726</v>
      </c>
      <c r="D43" s="10">
        <v>10.0045</v>
      </c>
    </row>
    <row r="44" spans="1:10" x14ac:dyDescent="0.2">
      <c r="A44" s="2" t="s">
        <v>724</v>
      </c>
      <c r="D44" s="10">
        <v>10.005800000000001</v>
      </c>
    </row>
    <row r="46" spans="1:10" x14ac:dyDescent="0.2">
      <c r="A46" s="4" t="s">
        <v>108</v>
      </c>
    </row>
    <row r="47" spans="1:10" x14ac:dyDescent="0.2">
      <c r="A47" s="2" t="s">
        <v>724</v>
      </c>
      <c r="D47" s="10">
        <v>10.2295</v>
      </c>
    </row>
    <row r="48" spans="1:10" x14ac:dyDescent="0.2">
      <c r="A48" s="2" t="s">
        <v>722</v>
      </c>
      <c r="D48" s="10">
        <v>10.3759</v>
      </c>
    </row>
    <row r="49" spans="1:5" x14ac:dyDescent="0.2">
      <c r="A49" s="2" t="s">
        <v>719</v>
      </c>
      <c r="D49" s="10">
        <v>10.4085</v>
      </c>
    </row>
    <row r="50" spans="1:5" x14ac:dyDescent="0.2">
      <c r="A50" s="2" t="s">
        <v>726</v>
      </c>
      <c r="D50" s="10">
        <v>10.207599999999999</v>
      </c>
    </row>
    <row r="51" spans="1:5" x14ac:dyDescent="0.2">
      <c r="A51" s="2" t="s">
        <v>721</v>
      </c>
      <c r="D51" s="10">
        <v>10.3759</v>
      </c>
    </row>
    <row r="52" spans="1:5" x14ac:dyDescent="0.2">
      <c r="A52" s="2" t="s">
        <v>720</v>
      </c>
      <c r="D52" s="10">
        <v>10.4085</v>
      </c>
    </row>
    <row r="54" spans="1:5" x14ac:dyDescent="0.2">
      <c r="A54" s="4" t="s">
        <v>109</v>
      </c>
      <c r="D54" s="73"/>
    </row>
    <row r="55" spans="1:5" x14ac:dyDescent="0.2">
      <c r="A55" s="41" t="s">
        <v>727</v>
      </c>
      <c r="B55" s="42"/>
      <c r="C55" s="57" t="s">
        <v>728</v>
      </c>
      <c r="D55" s="58"/>
    </row>
    <row r="56" spans="1:5" x14ac:dyDescent="0.2">
      <c r="A56" s="59"/>
      <c r="B56" s="60"/>
      <c r="C56" s="43" t="s">
        <v>729</v>
      </c>
      <c r="D56" s="43" t="s">
        <v>730</v>
      </c>
    </row>
    <row r="57" spans="1:5" x14ac:dyDescent="0.2">
      <c r="A57" s="44" t="s">
        <v>955</v>
      </c>
      <c r="B57" s="45"/>
      <c r="C57" s="46">
        <v>0.11885324550000001</v>
      </c>
      <c r="D57" s="46">
        <v>0.1100586977</v>
      </c>
    </row>
    <row r="58" spans="1:5" x14ac:dyDescent="0.2">
      <c r="A58" s="44" t="s">
        <v>1040</v>
      </c>
      <c r="B58" s="45"/>
      <c r="C58" s="46">
        <v>0.12605647250000002</v>
      </c>
      <c r="D58" s="46">
        <v>0.11672892180000001</v>
      </c>
    </row>
    <row r="59" spans="1:5" x14ac:dyDescent="0.2">
      <c r="A59" s="4"/>
      <c r="D59" s="73"/>
    </row>
    <row r="60" spans="1:5" x14ac:dyDescent="0.2">
      <c r="A60" s="4" t="s">
        <v>883</v>
      </c>
      <c r="D60" s="70">
        <v>2.2630044082894156</v>
      </c>
      <c r="E60" s="1" t="s">
        <v>907</v>
      </c>
    </row>
  </sheetData>
  <mergeCells count="3">
    <mergeCell ref="A1:F1"/>
    <mergeCell ref="C55:D55"/>
    <mergeCell ref="A56:B5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showGridLines="0" workbookViewId="0">
      <selection sqref="A1:F1"/>
    </sheetView>
  </sheetViews>
  <sheetFormatPr defaultRowHeight="11.25" x14ac:dyDescent="0.2"/>
  <cols>
    <col min="1" max="1" width="39.42578125" style="2" customWidth="1"/>
    <col min="2" max="2" width="56" style="2" bestFit="1" customWidth="1"/>
    <col min="3" max="3" width="11.7109375" style="2" bestFit="1" customWidth="1"/>
    <col min="4" max="4" width="6.85546875" style="2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1041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1018</v>
      </c>
      <c r="B8" s="66" t="s">
        <v>1019</v>
      </c>
      <c r="C8" s="66" t="s">
        <v>421</v>
      </c>
      <c r="D8" s="66">
        <v>45</v>
      </c>
      <c r="E8" s="7">
        <v>469.59885000000003</v>
      </c>
      <c r="F8" s="7">
        <v>9.6831948119371205</v>
      </c>
    </row>
    <row r="9" spans="1:6" x14ac:dyDescent="0.2">
      <c r="A9" s="66" t="s">
        <v>1020</v>
      </c>
      <c r="B9" s="66" t="s">
        <v>1021</v>
      </c>
      <c r="C9" s="66" t="s">
        <v>421</v>
      </c>
      <c r="D9" s="66">
        <v>45</v>
      </c>
      <c r="E9" s="7">
        <v>465.31844999999998</v>
      </c>
      <c r="F9" s="7">
        <v>9.5949323575613992</v>
      </c>
    </row>
    <row r="10" spans="1:6" x14ac:dyDescent="0.2">
      <c r="A10" s="66" t="s">
        <v>1012</v>
      </c>
      <c r="B10" s="66" t="s">
        <v>1013</v>
      </c>
      <c r="C10" s="66" t="s">
        <v>892</v>
      </c>
      <c r="D10" s="66">
        <v>46</v>
      </c>
      <c r="E10" s="7">
        <v>452.90357999999998</v>
      </c>
      <c r="F10" s="7">
        <v>9.3389359794295697</v>
      </c>
    </row>
    <row r="11" spans="1:6" x14ac:dyDescent="0.2">
      <c r="A11" s="66" t="s">
        <v>1034</v>
      </c>
      <c r="B11" s="66" t="s">
        <v>1035</v>
      </c>
      <c r="C11" s="66" t="s">
        <v>421</v>
      </c>
      <c r="D11" s="66">
        <v>46</v>
      </c>
      <c r="E11" s="7">
        <v>451.81245999999999</v>
      </c>
      <c r="F11" s="7">
        <v>9.3164369304578791</v>
      </c>
    </row>
    <row r="12" spans="1:6" x14ac:dyDescent="0.2">
      <c r="A12" s="66" t="s">
        <v>1030</v>
      </c>
      <c r="B12" s="66" t="s">
        <v>1031</v>
      </c>
      <c r="C12" s="66" t="s">
        <v>421</v>
      </c>
      <c r="D12" s="66">
        <v>45</v>
      </c>
      <c r="E12" s="7">
        <v>443.31254999999999</v>
      </c>
      <c r="F12" s="7">
        <v>9.1411675821323204</v>
      </c>
    </row>
    <row r="13" spans="1:6" x14ac:dyDescent="0.2">
      <c r="A13" s="66" t="s">
        <v>1026</v>
      </c>
      <c r="B13" s="66" t="s">
        <v>1027</v>
      </c>
      <c r="C13" s="66" t="s">
        <v>421</v>
      </c>
      <c r="D13" s="66">
        <v>45</v>
      </c>
      <c r="E13" s="7">
        <v>442.44225</v>
      </c>
      <c r="F13" s="7">
        <v>9.1232218728427199</v>
      </c>
    </row>
    <row r="14" spans="1:6" x14ac:dyDescent="0.2">
      <c r="A14" s="66" t="s">
        <v>935</v>
      </c>
      <c r="B14" s="66" t="s">
        <v>936</v>
      </c>
      <c r="C14" s="66" t="s">
        <v>892</v>
      </c>
      <c r="D14" s="66">
        <v>34</v>
      </c>
      <c r="E14" s="7">
        <v>349.38162</v>
      </c>
      <c r="F14" s="7">
        <v>7.2042984989639303</v>
      </c>
    </row>
    <row r="15" spans="1:6" x14ac:dyDescent="0.2">
      <c r="A15" s="66" t="s">
        <v>1036</v>
      </c>
      <c r="B15" s="66" t="s">
        <v>1037</v>
      </c>
      <c r="C15" s="66" t="s">
        <v>421</v>
      </c>
      <c r="D15" s="66">
        <v>34</v>
      </c>
      <c r="E15" s="7">
        <v>335.49669999999998</v>
      </c>
      <c r="F15" s="7">
        <v>6.9179894815799203</v>
      </c>
    </row>
    <row r="16" spans="1:6" x14ac:dyDescent="0.2">
      <c r="A16" s="66" t="s">
        <v>820</v>
      </c>
      <c r="B16" s="66" t="s">
        <v>821</v>
      </c>
      <c r="C16" s="66" t="s">
        <v>421</v>
      </c>
      <c r="D16" s="66">
        <v>28</v>
      </c>
      <c r="E16" s="7">
        <v>291.74907999999999</v>
      </c>
      <c r="F16" s="7">
        <v>6.0159073597463602</v>
      </c>
    </row>
    <row r="17" spans="1:10" x14ac:dyDescent="0.2">
      <c r="A17" s="66" t="s">
        <v>990</v>
      </c>
      <c r="B17" s="66" t="s">
        <v>991</v>
      </c>
      <c r="C17" s="66" t="s">
        <v>427</v>
      </c>
      <c r="D17" s="66">
        <v>20</v>
      </c>
      <c r="E17" s="7">
        <v>205.7474</v>
      </c>
      <c r="F17" s="7">
        <v>4.2425405348619396</v>
      </c>
    </row>
    <row r="18" spans="1:10" x14ac:dyDescent="0.2">
      <c r="A18" s="66" t="s">
        <v>1008</v>
      </c>
      <c r="B18" s="66" t="s">
        <v>1009</v>
      </c>
      <c r="C18" s="66" t="s">
        <v>892</v>
      </c>
      <c r="D18" s="66">
        <v>20</v>
      </c>
      <c r="E18" s="7">
        <v>196.65979999999999</v>
      </c>
      <c r="F18" s="7">
        <v>4.0551529354822602</v>
      </c>
    </row>
    <row r="19" spans="1:10" x14ac:dyDescent="0.2">
      <c r="A19" s="66" t="s">
        <v>1042</v>
      </c>
      <c r="B19" s="66" t="s">
        <v>1043</v>
      </c>
      <c r="C19" s="66" t="s">
        <v>421</v>
      </c>
      <c r="D19" s="66">
        <v>17</v>
      </c>
      <c r="E19" s="7">
        <v>137.428</v>
      </c>
      <c r="F19" s="7">
        <v>2.8337848285081901</v>
      </c>
    </row>
    <row r="20" spans="1:10" x14ac:dyDescent="0.2">
      <c r="A20" s="65" t="s">
        <v>39</v>
      </c>
      <c r="B20" s="66"/>
      <c r="C20" s="66"/>
      <c r="D20" s="66"/>
      <c r="E20" s="6">
        <f>SUM(E8:E19)</f>
        <v>4241.8507400000008</v>
      </c>
      <c r="F20" s="6">
        <f>SUM(F8:F19)</f>
        <v>87.467563173503606</v>
      </c>
    </row>
    <row r="21" spans="1:10" x14ac:dyDescent="0.2">
      <c r="A21" s="66"/>
      <c r="B21" s="66"/>
      <c r="C21" s="66"/>
      <c r="D21" s="66"/>
      <c r="E21" s="7"/>
      <c r="F21" s="7"/>
    </row>
    <row r="22" spans="1:10" x14ac:dyDescent="0.2">
      <c r="A22" s="65" t="s">
        <v>822</v>
      </c>
      <c r="B22" s="66"/>
      <c r="C22" s="66"/>
      <c r="D22" s="66"/>
      <c r="E22" s="7"/>
      <c r="F22" s="7"/>
    </row>
    <row r="23" spans="1:10" x14ac:dyDescent="0.2">
      <c r="A23" s="66" t="s">
        <v>1022</v>
      </c>
      <c r="B23" s="66" t="s">
        <v>1023</v>
      </c>
      <c r="C23" s="66" t="s">
        <v>897</v>
      </c>
      <c r="D23" s="66">
        <v>45</v>
      </c>
      <c r="E23" s="7">
        <v>446.03910000000002</v>
      </c>
      <c r="F23" s="7">
        <v>9.1973894293844705</v>
      </c>
    </row>
    <row r="24" spans="1:10" x14ac:dyDescent="0.2">
      <c r="A24" s="65" t="s">
        <v>39</v>
      </c>
      <c r="B24" s="66"/>
      <c r="C24" s="66"/>
      <c r="D24" s="66"/>
      <c r="E24" s="6">
        <f>SUM(E23:E23)</f>
        <v>446.03910000000002</v>
      </c>
      <c r="F24" s="6">
        <f>SUM(F23:F23)</f>
        <v>9.1973894293844705</v>
      </c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5" t="s">
        <v>39</v>
      </c>
      <c r="B26" s="66"/>
      <c r="C26" s="66"/>
      <c r="D26" s="66"/>
      <c r="E26" s="6">
        <v>4687.8898400000007</v>
      </c>
      <c r="F26" s="6">
        <v>96.664952602888079</v>
      </c>
      <c r="I26" s="1"/>
      <c r="J26" s="1"/>
    </row>
    <row r="27" spans="1:10" x14ac:dyDescent="0.2">
      <c r="A27" s="66"/>
      <c r="B27" s="66"/>
      <c r="C27" s="66"/>
      <c r="D27" s="66"/>
      <c r="E27" s="7"/>
      <c r="F27" s="7"/>
    </row>
    <row r="28" spans="1:10" x14ac:dyDescent="0.2">
      <c r="A28" s="65" t="s">
        <v>103</v>
      </c>
      <c r="B28" s="66"/>
      <c r="C28" s="66"/>
      <c r="D28" s="66"/>
      <c r="E28" s="6">
        <v>161.73720589999999</v>
      </c>
      <c r="F28" s="6">
        <v>3.34</v>
      </c>
      <c r="I28" s="1"/>
      <c r="J28" s="1"/>
    </row>
    <row r="29" spans="1:10" x14ac:dyDescent="0.2">
      <c r="A29" s="66"/>
      <c r="B29" s="66"/>
      <c r="C29" s="66"/>
      <c r="D29" s="66"/>
      <c r="E29" s="7"/>
      <c r="F29" s="7"/>
    </row>
    <row r="30" spans="1:10" x14ac:dyDescent="0.2">
      <c r="A30" s="68" t="s">
        <v>104</v>
      </c>
      <c r="B30" s="64"/>
      <c r="C30" s="64"/>
      <c r="D30" s="64"/>
      <c r="E30" s="8">
        <v>4849.6272059000003</v>
      </c>
      <c r="F30" s="8">
        <f xml:space="preserve"> ROUND(SUM(F26:F29),2)</f>
        <v>100</v>
      </c>
      <c r="I30" s="1"/>
      <c r="J30" s="1"/>
    </row>
    <row r="31" spans="1:10" x14ac:dyDescent="0.2">
      <c r="A31" s="4" t="s">
        <v>714</v>
      </c>
    </row>
    <row r="32" spans="1:10" x14ac:dyDescent="0.2">
      <c r="A32" s="4"/>
    </row>
    <row r="33" spans="1:4" x14ac:dyDescent="0.2">
      <c r="A33" s="4" t="s">
        <v>105</v>
      </c>
    </row>
    <row r="34" spans="1:4" x14ac:dyDescent="0.2">
      <c r="A34" s="4" t="s">
        <v>106</v>
      </c>
    </row>
    <row r="35" spans="1:4" x14ac:dyDescent="0.2">
      <c r="A35" s="4" t="s">
        <v>107</v>
      </c>
    </row>
    <row r="36" spans="1:4" x14ac:dyDescent="0.2">
      <c r="A36" s="2" t="s">
        <v>722</v>
      </c>
      <c r="D36" s="10">
        <v>9.9375999999999998</v>
      </c>
    </row>
    <row r="37" spans="1:4" x14ac:dyDescent="0.2">
      <c r="A37" s="2" t="s">
        <v>720</v>
      </c>
      <c r="D37" s="10">
        <v>9.9489999999999998</v>
      </c>
    </row>
    <row r="38" spans="1:4" x14ac:dyDescent="0.2">
      <c r="A38" s="2" t="s">
        <v>721</v>
      </c>
      <c r="D38" s="10">
        <v>9.9375999999999998</v>
      </c>
    </row>
    <row r="39" spans="1:4" x14ac:dyDescent="0.2">
      <c r="A39" s="2" t="s">
        <v>726</v>
      </c>
      <c r="D39" s="10">
        <v>9.9375999999999998</v>
      </c>
    </row>
    <row r="40" spans="1:4" x14ac:dyDescent="0.2">
      <c r="A40" s="2" t="s">
        <v>724</v>
      </c>
      <c r="D40" s="10">
        <v>9.9489999999999998</v>
      </c>
    </row>
    <row r="42" spans="1:4" x14ac:dyDescent="0.2">
      <c r="A42" s="4" t="s">
        <v>108</v>
      </c>
    </row>
    <row r="43" spans="1:4" x14ac:dyDescent="0.2">
      <c r="A43" s="2" t="s">
        <v>726</v>
      </c>
      <c r="D43" s="10">
        <v>10.2019</v>
      </c>
    </row>
    <row r="44" spans="1:4" x14ac:dyDescent="0.2">
      <c r="A44" s="2" t="s">
        <v>720</v>
      </c>
      <c r="D44" s="10">
        <v>10.3468</v>
      </c>
    </row>
    <row r="45" spans="1:4" x14ac:dyDescent="0.2">
      <c r="A45" s="2" t="s">
        <v>721</v>
      </c>
      <c r="D45" s="10">
        <v>10.303900000000001</v>
      </c>
    </row>
    <row r="46" spans="1:4" x14ac:dyDescent="0.2">
      <c r="A46" s="2" t="s">
        <v>724</v>
      </c>
      <c r="D46" s="10">
        <v>10.2447</v>
      </c>
    </row>
    <row r="47" spans="1:4" x14ac:dyDescent="0.2">
      <c r="A47" s="2" t="s">
        <v>722</v>
      </c>
      <c r="D47" s="10">
        <v>10.303900000000001</v>
      </c>
    </row>
    <row r="49" spans="1:5" x14ac:dyDescent="0.2">
      <c r="A49" s="4" t="s">
        <v>109</v>
      </c>
      <c r="D49" s="69"/>
    </row>
    <row r="50" spans="1:5" x14ac:dyDescent="0.2">
      <c r="A50" s="41" t="s">
        <v>727</v>
      </c>
      <c r="B50" s="42"/>
      <c r="C50" s="57" t="s">
        <v>728</v>
      </c>
      <c r="D50" s="58"/>
    </row>
    <row r="51" spans="1:5" x14ac:dyDescent="0.2">
      <c r="A51" s="59"/>
      <c r="B51" s="60"/>
      <c r="C51" s="43" t="s">
        <v>729</v>
      </c>
      <c r="D51" s="43" t="s">
        <v>730</v>
      </c>
    </row>
    <row r="52" spans="1:5" x14ac:dyDescent="0.2">
      <c r="A52" s="44" t="s">
        <v>726</v>
      </c>
      <c r="B52" s="45"/>
      <c r="C52" s="46">
        <v>7.2032270000000009E-2</v>
      </c>
      <c r="D52" s="46">
        <v>6.6702241000000009E-2</v>
      </c>
    </row>
    <row r="53" spans="1:5" x14ac:dyDescent="0.2">
      <c r="A53" s="44" t="s">
        <v>724</v>
      </c>
      <c r="B53" s="45"/>
      <c r="C53" s="46">
        <v>7.2032270000000009E-2</v>
      </c>
      <c r="D53" s="46">
        <v>6.6702241000000009E-2</v>
      </c>
    </row>
    <row r="55" spans="1:5" x14ac:dyDescent="0.2">
      <c r="A55" s="4" t="s">
        <v>883</v>
      </c>
      <c r="D55" s="70">
        <v>2.241328219183905</v>
      </c>
      <c r="E55" s="1" t="s">
        <v>1044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showGridLines="0" workbookViewId="0">
      <selection sqref="A1:F1"/>
    </sheetView>
  </sheetViews>
  <sheetFormatPr defaultRowHeight="11.25" x14ac:dyDescent="0.2"/>
  <cols>
    <col min="1" max="1" width="46" style="2" customWidth="1"/>
    <col min="2" max="2" width="49.140625" style="2" bestFit="1" customWidth="1"/>
    <col min="3" max="3" width="11.7109375" style="2" bestFit="1" customWidth="1"/>
    <col min="4" max="4" width="6.85546875" style="2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1045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1018</v>
      </c>
      <c r="B8" s="66" t="s">
        <v>1019</v>
      </c>
      <c r="C8" s="66" t="s">
        <v>421</v>
      </c>
      <c r="D8" s="66">
        <v>100</v>
      </c>
      <c r="E8" s="7">
        <v>1043.5530000000001</v>
      </c>
      <c r="F8" s="7">
        <v>9.8423287258256398</v>
      </c>
    </row>
    <row r="9" spans="1:6" x14ac:dyDescent="0.2">
      <c r="A9" s="66" t="s">
        <v>1036</v>
      </c>
      <c r="B9" s="66" t="s">
        <v>1037</v>
      </c>
      <c r="C9" s="66" t="s">
        <v>421</v>
      </c>
      <c r="D9" s="66">
        <v>101</v>
      </c>
      <c r="E9" s="7">
        <v>996.62255000000005</v>
      </c>
      <c r="F9" s="7">
        <v>9.3997015510190707</v>
      </c>
    </row>
    <row r="10" spans="1:6" x14ac:dyDescent="0.2">
      <c r="A10" s="66" t="s">
        <v>1008</v>
      </c>
      <c r="B10" s="66" t="s">
        <v>1009</v>
      </c>
      <c r="C10" s="66" t="s">
        <v>892</v>
      </c>
      <c r="D10" s="66">
        <v>101</v>
      </c>
      <c r="E10" s="7">
        <v>993.13198999999997</v>
      </c>
      <c r="F10" s="7">
        <v>9.3667801383479201</v>
      </c>
    </row>
    <row r="11" spans="1:6" x14ac:dyDescent="0.2">
      <c r="A11" s="66" t="s">
        <v>1030</v>
      </c>
      <c r="B11" s="66" t="s">
        <v>1031</v>
      </c>
      <c r="C11" s="66" t="s">
        <v>421</v>
      </c>
      <c r="D11" s="66">
        <v>93</v>
      </c>
      <c r="E11" s="7">
        <v>916.17926999999997</v>
      </c>
      <c r="F11" s="7">
        <v>8.6409962379744591</v>
      </c>
    </row>
    <row r="12" spans="1:6" x14ac:dyDescent="0.2">
      <c r="A12" s="66" t="s">
        <v>1020</v>
      </c>
      <c r="B12" s="66" t="s">
        <v>1021</v>
      </c>
      <c r="C12" s="66" t="s">
        <v>421</v>
      </c>
      <c r="D12" s="66">
        <v>84</v>
      </c>
      <c r="E12" s="7">
        <v>868.59443999999996</v>
      </c>
      <c r="F12" s="7">
        <v>8.1921972414476691</v>
      </c>
    </row>
    <row r="13" spans="1:6" x14ac:dyDescent="0.2">
      <c r="A13" s="66" t="s">
        <v>820</v>
      </c>
      <c r="B13" s="66" t="s">
        <v>821</v>
      </c>
      <c r="C13" s="66" t="s">
        <v>421</v>
      </c>
      <c r="D13" s="66">
        <v>77</v>
      </c>
      <c r="E13" s="7">
        <v>802.30997000000002</v>
      </c>
      <c r="F13" s="7">
        <v>7.5670315400821098</v>
      </c>
    </row>
    <row r="14" spans="1:6" x14ac:dyDescent="0.2">
      <c r="A14" s="66" t="s">
        <v>1046</v>
      </c>
      <c r="B14" s="66" t="s">
        <v>1047</v>
      </c>
      <c r="C14" s="66" t="s">
        <v>421</v>
      </c>
      <c r="D14" s="66">
        <v>75</v>
      </c>
      <c r="E14" s="7">
        <v>737.41650000000004</v>
      </c>
      <c r="F14" s="7">
        <v>6.9549851333356401</v>
      </c>
    </row>
    <row r="15" spans="1:6" x14ac:dyDescent="0.2">
      <c r="A15" s="66" t="s">
        <v>935</v>
      </c>
      <c r="B15" s="66" t="s">
        <v>936</v>
      </c>
      <c r="C15" s="66" t="s">
        <v>892</v>
      </c>
      <c r="D15" s="66">
        <v>70</v>
      </c>
      <c r="E15" s="7">
        <v>719.31510000000003</v>
      </c>
      <c r="F15" s="7">
        <v>6.7842607626542604</v>
      </c>
    </row>
    <row r="16" spans="1:6" x14ac:dyDescent="0.2">
      <c r="A16" s="66" t="s">
        <v>1048</v>
      </c>
      <c r="B16" s="66" t="s">
        <v>1049</v>
      </c>
      <c r="C16" s="66" t="s">
        <v>892</v>
      </c>
      <c r="D16" s="66">
        <v>56</v>
      </c>
      <c r="E16" s="7">
        <v>550.85239999999999</v>
      </c>
      <c r="F16" s="7">
        <v>5.1953953466762099</v>
      </c>
    </row>
    <row r="17" spans="1:10" x14ac:dyDescent="0.2">
      <c r="A17" s="66" t="s">
        <v>1050</v>
      </c>
      <c r="B17" s="66" t="s">
        <v>1051</v>
      </c>
      <c r="C17" s="66" t="s">
        <v>421</v>
      </c>
      <c r="D17" s="66">
        <v>45</v>
      </c>
      <c r="E17" s="7">
        <v>438.94215000000003</v>
      </c>
      <c r="F17" s="7">
        <v>4.1399075388798297</v>
      </c>
    </row>
    <row r="18" spans="1:10" x14ac:dyDescent="0.2">
      <c r="A18" s="66" t="s">
        <v>1026</v>
      </c>
      <c r="B18" s="66" t="s">
        <v>1027</v>
      </c>
      <c r="C18" s="66" t="s">
        <v>421</v>
      </c>
      <c r="D18" s="66">
        <v>27</v>
      </c>
      <c r="E18" s="7">
        <v>265.46535</v>
      </c>
      <c r="F18" s="7">
        <v>2.5037513571580501</v>
      </c>
    </row>
    <row r="19" spans="1:10" x14ac:dyDescent="0.2">
      <c r="A19" s="66" t="s">
        <v>990</v>
      </c>
      <c r="B19" s="66" t="s">
        <v>991</v>
      </c>
      <c r="C19" s="66" t="s">
        <v>427</v>
      </c>
      <c r="D19" s="66">
        <v>8</v>
      </c>
      <c r="E19" s="7">
        <v>82.298959999999994</v>
      </c>
      <c r="F19" s="7">
        <v>0.77620726318028399</v>
      </c>
    </row>
    <row r="20" spans="1:10" x14ac:dyDescent="0.2">
      <c r="A20" s="66" t="s">
        <v>1052</v>
      </c>
      <c r="B20" s="66" t="s">
        <v>1053</v>
      </c>
      <c r="C20" s="66" t="s">
        <v>421</v>
      </c>
      <c r="D20" s="66">
        <v>8</v>
      </c>
      <c r="E20" s="7">
        <v>78.597440000000006</v>
      </c>
      <c r="F20" s="7">
        <v>0.74129616942154097</v>
      </c>
    </row>
    <row r="21" spans="1:10" x14ac:dyDescent="0.2">
      <c r="A21" s="66" t="s">
        <v>1054</v>
      </c>
      <c r="B21" s="66" t="s">
        <v>1055</v>
      </c>
      <c r="C21" s="66" t="s">
        <v>421</v>
      </c>
      <c r="D21" s="66">
        <v>3</v>
      </c>
      <c r="E21" s="7">
        <v>37.8603375</v>
      </c>
      <c r="F21" s="7">
        <v>0.35708189938192297</v>
      </c>
    </row>
    <row r="22" spans="1:10" x14ac:dyDescent="0.2">
      <c r="A22" s="66" t="s">
        <v>1012</v>
      </c>
      <c r="B22" s="66" t="s">
        <v>1013</v>
      </c>
      <c r="C22" s="66" t="s">
        <v>892</v>
      </c>
      <c r="D22" s="66">
        <v>1</v>
      </c>
      <c r="E22" s="7">
        <v>9.8457299999999996</v>
      </c>
      <c r="F22" s="7">
        <v>9.28605554348685E-2</v>
      </c>
    </row>
    <row r="23" spans="1:10" x14ac:dyDescent="0.2">
      <c r="A23" s="65" t="s">
        <v>39</v>
      </c>
      <c r="B23" s="66"/>
      <c r="C23" s="66"/>
      <c r="D23" s="66"/>
      <c r="E23" s="6">
        <f>SUM(E8:E22)</f>
        <v>8540.9851874999986</v>
      </c>
      <c r="F23" s="6">
        <f>SUM(F8:F22)</f>
        <v>80.55478146081947</v>
      </c>
    </row>
    <row r="24" spans="1:10" x14ac:dyDescent="0.2">
      <c r="A24" s="66"/>
      <c r="B24" s="66"/>
      <c r="C24" s="66"/>
      <c r="D24" s="66"/>
      <c r="E24" s="7"/>
      <c r="F24" s="7"/>
    </row>
    <row r="25" spans="1:10" x14ac:dyDescent="0.2">
      <c r="A25" s="65" t="s">
        <v>822</v>
      </c>
      <c r="B25" s="66"/>
      <c r="C25" s="66"/>
      <c r="D25" s="66"/>
      <c r="E25" s="7"/>
      <c r="F25" s="7"/>
    </row>
    <row r="26" spans="1:10" x14ac:dyDescent="0.2">
      <c r="A26" s="66" t="s">
        <v>1022</v>
      </c>
      <c r="B26" s="66" t="s">
        <v>1023</v>
      </c>
      <c r="C26" s="66" t="s">
        <v>897</v>
      </c>
      <c r="D26" s="66">
        <v>100</v>
      </c>
      <c r="E26" s="7">
        <v>991.19799999999998</v>
      </c>
      <c r="F26" s="7">
        <v>9.3485396030493195</v>
      </c>
    </row>
    <row r="27" spans="1:10" x14ac:dyDescent="0.2">
      <c r="A27" s="66" t="s">
        <v>1056</v>
      </c>
      <c r="B27" s="66" t="s">
        <v>1057</v>
      </c>
      <c r="C27" s="66" t="s">
        <v>421</v>
      </c>
      <c r="D27" s="66">
        <v>72</v>
      </c>
      <c r="E27" s="7">
        <v>705.04632000000004</v>
      </c>
      <c r="F27" s="7">
        <v>6.6496839627442599</v>
      </c>
    </row>
    <row r="28" spans="1:10" x14ac:dyDescent="0.2">
      <c r="A28" s="65" t="s">
        <v>39</v>
      </c>
      <c r="B28" s="66"/>
      <c r="C28" s="66"/>
      <c r="D28" s="66"/>
      <c r="E28" s="6">
        <f>SUM(E26:E27)</f>
        <v>1696.24432</v>
      </c>
      <c r="F28" s="6">
        <f>SUM(F26:F27)</f>
        <v>15.99822356579358</v>
      </c>
    </row>
    <row r="29" spans="1:10" x14ac:dyDescent="0.2">
      <c r="A29" s="66"/>
      <c r="B29" s="66"/>
      <c r="C29" s="66"/>
      <c r="D29" s="66"/>
      <c r="E29" s="7"/>
      <c r="F29" s="7"/>
    </row>
    <row r="30" spans="1:10" x14ac:dyDescent="0.2">
      <c r="A30" s="65" t="s">
        <v>39</v>
      </c>
      <c r="B30" s="66"/>
      <c r="C30" s="66"/>
      <c r="D30" s="66"/>
      <c r="E30" s="6">
        <v>10237.229507499998</v>
      </c>
      <c r="F30" s="6">
        <v>96.55300502661305</v>
      </c>
      <c r="I30" s="1"/>
      <c r="J30" s="1"/>
    </row>
    <row r="31" spans="1:10" x14ac:dyDescent="0.2">
      <c r="A31" s="66"/>
      <c r="B31" s="66"/>
      <c r="C31" s="66"/>
      <c r="D31" s="66"/>
      <c r="E31" s="7"/>
      <c r="F31" s="7"/>
    </row>
    <row r="32" spans="1:10" x14ac:dyDescent="0.2">
      <c r="A32" s="65" t="s">
        <v>103</v>
      </c>
      <c r="B32" s="66"/>
      <c r="C32" s="66"/>
      <c r="D32" s="66"/>
      <c r="E32" s="6">
        <v>365.4741879</v>
      </c>
      <c r="F32" s="6">
        <v>3.45</v>
      </c>
      <c r="I32" s="1"/>
      <c r="J32" s="1"/>
    </row>
    <row r="33" spans="1:10" x14ac:dyDescent="0.2">
      <c r="A33" s="66"/>
      <c r="B33" s="66"/>
      <c r="C33" s="66"/>
      <c r="D33" s="66"/>
      <c r="E33" s="7"/>
      <c r="F33" s="7"/>
    </row>
    <row r="34" spans="1:10" x14ac:dyDescent="0.2">
      <c r="A34" s="68" t="s">
        <v>104</v>
      </c>
      <c r="B34" s="64"/>
      <c r="C34" s="64"/>
      <c r="D34" s="64"/>
      <c r="E34" s="8">
        <v>10602.704187900001</v>
      </c>
      <c r="F34" s="8">
        <f xml:space="preserve"> ROUND(SUM(F30:F33),2)</f>
        <v>100</v>
      </c>
      <c r="I34" s="1"/>
      <c r="J34" s="1"/>
    </row>
    <row r="35" spans="1:10" x14ac:dyDescent="0.2">
      <c r="A35" s="4" t="s">
        <v>714</v>
      </c>
    </row>
    <row r="36" spans="1:10" x14ac:dyDescent="0.2">
      <c r="A36" s="4"/>
    </row>
    <row r="37" spans="1:10" x14ac:dyDescent="0.2">
      <c r="A37" s="4" t="s">
        <v>105</v>
      </c>
    </row>
    <row r="38" spans="1:10" x14ac:dyDescent="0.2">
      <c r="A38" s="4" t="s">
        <v>106</v>
      </c>
    </row>
    <row r="39" spans="1:10" x14ac:dyDescent="0.2">
      <c r="A39" s="4" t="s">
        <v>107</v>
      </c>
    </row>
    <row r="40" spans="1:10" x14ac:dyDescent="0.2">
      <c r="A40" s="2" t="s">
        <v>722</v>
      </c>
      <c r="D40" s="10">
        <v>9.9567999999999994</v>
      </c>
    </row>
    <row r="41" spans="1:10" x14ac:dyDescent="0.2">
      <c r="A41" s="2" t="s">
        <v>719</v>
      </c>
      <c r="D41" s="10">
        <v>9.9695999999999998</v>
      </c>
    </row>
    <row r="42" spans="1:10" x14ac:dyDescent="0.2">
      <c r="A42" s="2" t="s">
        <v>720</v>
      </c>
      <c r="D42" s="10">
        <v>9.9695999999999998</v>
      </c>
    </row>
    <row r="43" spans="1:10" x14ac:dyDescent="0.2">
      <c r="A43" s="2" t="s">
        <v>721</v>
      </c>
      <c r="D43" s="10">
        <v>9.9567999999999994</v>
      </c>
    </row>
    <row r="44" spans="1:10" x14ac:dyDescent="0.2">
      <c r="A44" s="2" t="s">
        <v>726</v>
      </c>
      <c r="D44" s="10">
        <v>9.9567999999999994</v>
      </c>
    </row>
    <row r="45" spans="1:10" x14ac:dyDescent="0.2">
      <c r="A45" s="2" t="s">
        <v>724</v>
      </c>
      <c r="D45" s="10">
        <v>9.9695999999999998</v>
      </c>
    </row>
    <row r="47" spans="1:10" x14ac:dyDescent="0.2">
      <c r="A47" s="4" t="s">
        <v>108</v>
      </c>
    </row>
    <row r="48" spans="1:10" x14ac:dyDescent="0.2">
      <c r="A48" s="2" t="s">
        <v>724</v>
      </c>
      <c r="D48" s="10">
        <v>10.253399999999999</v>
      </c>
    </row>
    <row r="49" spans="1:5" x14ac:dyDescent="0.2">
      <c r="A49" s="2" t="s">
        <v>726</v>
      </c>
      <c r="D49" s="10">
        <v>10.224399999999999</v>
      </c>
    </row>
    <row r="50" spans="1:5" x14ac:dyDescent="0.2">
      <c r="A50" s="2" t="s">
        <v>721</v>
      </c>
      <c r="D50" s="10">
        <v>10.3264</v>
      </c>
    </row>
    <row r="51" spans="1:5" x14ac:dyDescent="0.2">
      <c r="A51" s="2" t="s">
        <v>720</v>
      </c>
      <c r="D51" s="10">
        <v>10.370799999999999</v>
      </c>
    </row>
    <row r="52" spans="1:5" x14ac:dyDescent="0.2">
      <c r="A52" s="2" t="s">
        <v>719</v>
      </c>
      <c r="D52" s="10">
        <v>10.370799999999999</v>
      </c>
    </row>
    <row r="53" spans="1:5" x14ac:dyDescent="0.2">
      <c r="A53" s="2" t="s">
        <v>722</v>
      </c>
      <c r="D53" s="10">
        <v>10.3264</v>
      </c>
    </row>
    <row r="55" spans="1:5" x14ac:dyDescent="0.2">
      <c r="A55" s="4" t="s">
        <v>109</v>
      </c>
      <c r="D55" s="73"/>
    </row>
    <row r="56" spans="1:5" x14ac:dyDescent="0.2">
      <c r="A56" s="41" t="s">
        <v>727</v>
      </c>
      <c r="B56" s="42"/>
      <c r="C56" s="57" t="s">
        <v>728</v>
      </c>
      <c r="D56" s="58"/>
    </row>
    <row r="57" spans="1:5" x14ac:dyDescent="0.2">
      <c r="A57" s="59"/>
      <c r="B57" s="60"/>
      <c r="C57" s="43" t="s">
        <v>729</v>
      </c>
      <c r="D57" s="43" t="s">
        <v>730</v>
      </c>
    </row>
    <row r="58" spans="1:5" x14ac:dyDescent="0.2">
      <c r="A58" s="44" t="s">
        <v>726</v>
      </c>
      <c r="B58" s="45"/>
      <c r="C58" s="46">
        <v>7.2032270000000009E-2</v>
      </c>
      <c r="D58" s="46">
        <v>6.6702241000000009E-2</v>
      </c>
    </row>
    <row r="59" spans="1:5" x14ac:dyDescent="0.2">
      <c r="A59" s="44" t="s">
        <v>724</v>
      </c>
      <c r="B59" s="45"/>
      <c r="C59" s="46">
        <v>8.2837110500000005E-2</v>
      </c>
      <c r="D59" s="46">
        <v>7.6707577200000002E-2</v>
      </c>
    </row>
    <row r="61" spans="1:5" x14ac:dyDescent="0.2">
      <c r="A61" s="4" t="s">
        <v>883</v>
      </c>
      <c r="D61" s="70">
        <v>2.2267739390071486</v>
      </c>
      <c r="E61" s="1" t="s">
        <v>735</v>
      </c>
    </row>
  </sheetData>
  <mergeCells count="3">
    <mergeCell ref="A1:F1"/>
    <mergeCell ref="C56:D56"/>
    <mergeCell ref="A57:B5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showGridLines="0" workbookViewId="0">
      <selection sqref="A1:F1"/>
    </sheetView>
  </sheetViews>
  <sheetFormatPr defaultRowHeight="11.25" x14ac:dyDescent="0.2"/>
  <cols>
    <col min="1" max="1" width="46.140625" style="2" customWidth="1"/>
    <col min="2" max="2" width="49.140625" style="2" bestFit="1" customWidth="1"/>
    <col min="3" max="3" width="11.7109375" style="2" bestFit="1" customWidth="1"/>
    <col min="4" max="4" width="6.85546875" style="2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1058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1018</v>
      </c>
      <c r="B8" s="66" t="s">
        <v>1019</v>
      </c>
      <c r="C8" s="66" t="s">
        <v>421</v>
      </c>
      <c r="D8" s="66">
        <v>61</v>
      </c>
      <c r="E8" s="7">
        <v>636.56732999999997</v>
      </c>
      <c r="F8" s="7">
        <v>9.8839422844907094</v>
      </c>
    </row>
    <row r="9" spans="1:6" x14ac:dyDescent="0.2">
      <c r="A9" s="66" t="s">
        <v>1048</v>
      </c>
      <c r="B9" s="66" t="s">
        <v>1049</v>
      </c>
      <c r="C9" s="66" t="s">
        <v>892</v>
      </c>
      <c r="D9" s="66">
        <v>61</v>
      </c>
      <c r="E9" s="7">
        <v>600.03565000000003</v>
      </c>
      <c r="F9" s="7">
        <v>9.3167171071076904</v>
      </c>
    </row>
    <row r="10" spans="1:6" x14ac:dyDescent="0.2">
      <c r="A10" s="66" t="s">
        <v>1008</v>
      </c>
      <c r="B10" s="66" t="s">
        <v>1009</v>
      </c>
      <c r="C10" s="66" t="s">
        <v>892</v>
      </c>
      <c r="D10" s="66">
        <v>61</v>
      </c>
      <c r="E10" s="7">
        <v>599.81239000000005</v>
      </c>
      <c r="F10" s="7">
        <v>9.3132505626426596</v>
      </c>
    </row>
    <row r="11" spans="1:6" x14ac:dyDescent="0.2">
      <c r="A11" s="66" t="s">
        <v>1046</v>
      </c>
      <c r="B11" s="66" t="s">
        <v>1047</v>
      </c>
      <c r="C11" s="66" t="s">
        <v>421</v>
      </c>
      <c r="D11" s="66">
        <v>61</v>
      </c>
      <c r="E11" s="7">
        <v>599.76541999999995</v>
      </c>
      <c r="F11" s="7">
        <v>9.3125212623043794</v>
      </c>
    </row>
    <row r="12" spans="1:6" x14ac:dyDescent="0.2">
      <c r="A12" s="66" t="s">
        <v>1052</v>
      </c>
      <c r="B12" s="66" t="s">
        <v>1053</v>
      </c>
      <c r="C12" s="66" t="s">
        <v>421</v>
      </c>
      <c r="D12" s="66">
        <v>61</v>
      </c>
      <c r="E12" s="7">
        <v>599.30547999999999</v>
      </c>
      <c r="F12" s="7">
        <v>9.3053798018490799</v>
      </c>
    </row>
    <row r="13" spans="1:6" x14ac:dyDescent="0.2">
      <c r="A13" s="66" t="s">
        <v>963</v>
      </c>
      <c r="B13" s="66" t="s">
        <v>964</v>
      </c>
      <c r="C13" s="66" t="s">
        <v>421</v>
      </c>
      <c r="D13" s="66">
        <v>5</v>
      </c>
      <c r="E13" s="7">
        <v>497.92649999999998</v>
      </c>
      <c r="F13" s="7">
        <v>7.7312745344918401</v>
      </c>
    </row>
    <row r="14" spans="1:6" x14ac:dyDescent="0.2">
      <c r="A14" s="66" t="s">
        <v>935</v>
      </c>
      <c r="B14" s="66" t="s">
        <v>936</v>
      </c>
      <c r="C14" s="66" t="s">
        <v>892</v>
      </c>
      <c r="D14" s="66">
        <v>40</v>
      </c>
      <c r="E14" s="7">
        <v>411.03719999999998</v>
      </c>
      <c r="F14" s="7">
        <v>6.3821496487711098</v>
      </c>
    </row>
    <row r="15" spans="1:6" x14ac:dyDescent="0.2">
      <c r="A15" s="66" t="s">
        <v>1050</v>
      </c>
      <c r="B15" s="66" t="s">
        <v>1051</v>
      </c>
      <c r="C15" s="66" t="s">
        <v>421</v>
      </c>
      <c r="D15" s="66">
        <v>36</v>
      </c>
      <c r="E15" s="7">
        <v>351.15372000000002</v>
      </c>
      <c r="F15" s="7">
        <v>5.4523424905645301</v>
      </c>
    </row>
    <row r="16" spans="1:6" x14ac:dyDescent="0.2">
      <c r="A16" s="66" t="s">
        <v>820</v>
      </c>
      <c r="B16" s="66" t="s">
        <v>821</v>
      </c>
      <c r="C16" s="66" t="s">
        <v>421</v>
      </c>
      <c r="D16" s="66">
        <v>30</v>
      </c>
      <c r="E16" s="7">
        <v>312.5883</v>
      </c>
      <c r="F16" s="7">
        <v>4.8535395556775898</v>
      </c>
    </row>
    <row r="17" spans="1:10" x14ac:dyDescent="0.2">
      <c r="A17" s="66" t="s">
        <v>1036</v>
      </c>
      <c r="B17" s="66" t="s">
        <v>1037</v>
      </c>
      <c r="C17" s="66" t="s">
        <v>421</v>
      </c>
      <c r="D17" s="66">
        <v>31</v>
      </c>
      <c r="E17" s="7">
        <v>305.89404999999999</v>
      </c>
      <c r="F17" s="7">
        <v>4.7495983423609198</v>
      </c>
    </row>
    <row r="18" spans="1:10" x14ac:dyDescent="0.2">
      <c r="A18" s="66" t="s">
        <v>990</v>
      </c>
      <c r="B18" s="66" t="s">
        <v>991</v>
      </c>
      <c r="C18" s="66" t="s">
        <v>427</v>
      </c>
      <c r="D18" s="66">
        <v>2</v>
      </c>
      <c r="E18" s="7">
        <v>20.574739999999998</v>
      </c>
      <c r="F18" s="7">
        <v>0.319462738809424</v>
      </c>
    </row>
    <row r="19" spans="1:10" x14ac:dyDescent="0.2">
      <c r="A19" s="66" t="s">
        <v>1020</v>
      </c>
      <c r="B19" s="66" t="s">
        <v>1021</v>
      </c>
      <c r="C19" s="66" t="s">
        <v>421</v>
      </c>
      <c r="D19" s="66">
        <v>1</v>
      </c>
      <c r="E19" s="7">
        <v>10.34041</v>
      </c>
      <c r="F19" s="7">
        <v>0.16055491826445201</v>
      </c>
    </row>
    <row r="20" spans="1:10" x14ac:dyDescent="0.2">
      <c r="A20" s="66" t="s">
        <v>1059</v>
      </c>
      <c r="B20" s="66" t="s">
        <v>1060</v>
      </c>
      <c r="C20" s="66" t="s">
        <v>421</v>
      </c>
      <c r="D20" s="66">
        <v>1</v>
      </c>
      <c r="E20" s="7">
        <v>9.7474100000000004</v>
      </c>
      <c r="F20" s="7">
        <v>0.151347443267733</v>
      </c>
    </row>
    <row r="21" spans="1:10" x14ac:dyDescent="0.2">
      <c r="A21" s="65" t="s">
        <v>39</v>
      </c>
      <c r="B21" s="66"/>
      <c r="C21" s="66"/>
      <c r="D21" s="66"/>
      <c r="E21" s="6">
        <f>SUM(E8:E20)</f>
        <v>4954.7486000000008</v>
      </c>
      <c r="F21" s="6">
        <f>SUM(F8:F20)</f>
        <v>76.93208069060212</v>
      </c>
    </row>
    <row r="22" spans="1:10" x14ac:dyDescent="0.2">
      <c r="A22" s="66"/>
      <c r="B22" s="66"/>
      <c r="C22" s="66"/>
      <c r="D22" s="66"/>
      <c r="E22" s="7"/>
      <c r="F22" s="7"/>
    </row>
    <row r="23" spans="1:10" x14ac:dyDescent="0.2">
      <c r="A23" s="65" t="s">
        <v>822</v>
      </c>
      <c r="B23" s="66"/>
      <c r="C23" s="66"/>
      <c r="D23" s="66"/>
      <c r="E23" s="7"/>
      <c r="F23" s="7"/>
    </row>
    <row r="24" spans="1:10" x14ac:dyDescent="0.2">
      <c r="A24" s="66" t="s">
        <v>1022</v>
      </c>
      <c r="B24" s="66" t="s">
        <v>1023</v>
      </c>
      <c r="C24" s="66" t="s">
        <v>897</v>
      </c>
      <c r="D24" s="66">
        <v>61</v>
      </c>
      <c r="E24" s="7">
        <v>604.63077999999996</v>
      </c>
      <c r="F24" s="7">
        <v>9.3880654116298992</v>
      </c>
    </row>
    <row r="25" spans="1:10" x14ac:dyDescent="0.2">
      <c r="A25" s="66" t="s">
        <v>1056</v>
      </c>
      <c r="B25" s="66" t="s">
        <v>1057</v>
      </c>
      <c r="C25" s="66" t="s">
        <v>421</v>
      </c>
      <c r="D25" s="66">
        <v>61</v>
      </c>
      <c r="E25" s="7">
        <v>597.33091000000002</v>
      </c>
      <c r="F25" s="7">
        <v>9.2747207733427306</v>
      </c>
    </row>
    <row r="26" spans="1:10" x14ac:dyDescent="0.2">
      <c r="A26" s="65" t="s">
        <v>39</v>
      </c>
      <c r="B26" s="66"/>
      <c r="C26" s="66"/>
      <c r="D26" s="66"/>
      <c r="E26" s="6">
        <f>SUM(E24:E25)</f>
        <v>1201.9616900000001</v>
      </c>
      <c r="F26" s="6">
        <f>SUM(F24:F25)</f>
        <v>18.662786184972632</v>
      </c>
    </row>
    <row r="27" spans="1:10" x14ac:dyDescent="0.2">
      <c r="A27" s="66"/>
      <c r="B27" s="66"/>
      <c r="C27" s="66"/>
      <c r="D27" s="66"/>
      <c r="E27" s="7"/>
      <c r="F27" s="7"/>
    </row>
    <row r="28" spans="1:10" x14ac:dyDescent="0.2">
      <c r="A28" s="65" t="s">
        <v>39</v>
      </c>
      <c r="B28" s="66"/>
      <c r="C28" s="66"/>
      <c r="D28" s="66"/>
      <c r="E28" s="6">
        <v>6156.7102900000009</v>
      </c>
      <c r="F28" s="6">
        <v>95.594866875574752</v>
      </c>
      <c r="I28" s="1"/>
      <c r="J28" s="1"/>
    </row>
    <row r="29" spans="1:10" x14ac:dyDescent="0.2">
      <c r="A29" s="66"/>
      <c r="B29" s="66"/>
      <c r="C29" s="66"/>
      <c r="D29" s="66"/>
      <c r="E29" s="7"/>
      <c r="F29" s="7"/>
    </row>
    <row r="30" spans="1:10" x14ac:dyDescent="0.2">
      <c r="A30" s="65" t="s">
        <v>103</v>
      </c>
      <c r="B30" s="66"/>
      <c r="C30" s="66"/>
      <c r="D30" s="66"/>
      <c r="E30" s="6">
        <v>283.70933550000001</v>
      </c>
      <c r="F30" s="6">
        <v>4.41</v>
      </c>
      <c r="I30" s="1"/>
      <c r="J30" s="1"/>
    </row>
    <row r="31" spans="1:10" x14ac:dyDescent="0.2">
      <c r="A31" s="66"/>
      <c r="B31" s="66"/>
      <c r="C31" s="66"/>
      <c r="D31" s="66"/>
      <c r="E31" s="7"/>
      <c r="F31" s="7"/>
    </row>
    <row r="32" spans="1:10" x14ac:dyDescent="0.2">
      <c r="A32" s="68" t="s">
        <v>104</v>
      </c>
      <c r="B32" s="64"/>
      <c r="C32" s="64"/>
      <c r="D32" s="64"/>
      <c r="E32" s="8">
        <v>6440.4193354999998</v>
      </c>
      <c r="F32" s="8">
        <f xml:space="preserve"> ROUND(SUM(F28:F31),2)</f>
        <v>100</v>
      </c>
      <c r="I32" s="1"/>
      <c r="J32" s="1"/>
    </row>
    <row r="33" spans="1:4" x14ac:dyDescent="0.2">
      <c r="A33" s="4" t="s">
        <v>714</v>
      </c>
    </row>
    <row r="34" spans="1:4" x14ac:dyDescent="0.2">
      <c r="A34" s="4"/>
    </row>
    <row r="35" spans="1:4" x14ac:dyDescent="0.2">
      <c r="A35" s="4" t="s">
        <v>105</v>
      </c>
    </row>
    <row r="36" spans="1:4" x14ac:dyDescent="0.2">
      <c r="A36" s="4" t="s">
        <v>106</v>
      </c>
    </row>
    <row r="37" spans="1:4" x14ac:dyDescent="0.2">
      <c r="A37" s="4" t="s">
        <v>107</v>
      </c>
    </row>
    <row r="38" spans="1:4" x14ac:dyDescent="0.2">
      <c r="A38" s="2" t="s">
        <v>722</v>
      </c>
      <c r="D38" s="10">
        <v>10.008100000000001</v>
      </c>
    </row>
    <row r="39" spans="1:4" x14ac:dyDescent="0.2">
      <c r="A39" s="2" t="s">
        <v>720</v>
      </c>
      <c r="D39" s="10">
        <v>10.0197</v>
      </c>
    </row>
    <row r="40" spans="1:4" x14ac:dyDescent="0.2">
      <c r="A40" s="2" t="s">
        <v>721</v>
      </c>
      <c r="D40" s="10">
        <v>10.008100000000001</v>
      </c>
    </row>
    <row r="41" spans="1:4" x14ac:dyDescent="0.2">
      <c r="A41" s="2" t="s">
        <v>726</v>
      </c>
      <c r="D41" s="10">
        <v>10.008100000000001</v>
      </c>
    </row>
    <row r="43" spans="1:4" x14ac:dyDescent="0.2">
      <c r="A43" s="4" t="s">
        <v>108</v>
      </c>
    </row>
    <row r="44" spans="1:4" x14ac:dyDescent="0.2">
      <c r="A44" s="2" t="s">
        <v>722</v>
      </c>
      <c r="D44" s="10">
        <v>10.3904</v>
      </c>
    </row>
    <row r="45" spans="1:4" x14ac:dyDescent="0.2">
      <c r="A45" s="2" t="s">
        <v>720</v>
      </c>
      <c r="D45" s="10">
        <v>10.428599999999999</v>
      </c>
    </row>
    <row r="46" spans="1:4" x14ac:dyDescent="0.2">
      <c r="A46" s="2" t="s">
        <v>721</v>
      </c>
      <c r="D46" s="10">
        <v>10.3904</v>
      </c>
    </row>
    <row r="47" spans="1:4" x14ac:dyDescent="0.2">
      <c r="A47" s="2" t="s">
        <v>726</v>
      </c>
      <c r="D47" s="10">
        <v>10.237399999999999</v>
      </c>
    </row>
    <row r="49" spans="1:5" x14ac:dyDescent="0.2">
      <c r="A49" s="4" t="s">
        <v>109</v>
      </c>
      <c r="D49" s="69"/>
    </row>
    <row r="50" spans="1:5" x14ac:dyDescent="0.2">
      <c r="A50" s="41" t="s">
        <v>727</v>
      </c>
      <c r="B50" s="42"/>
      <c r="C50" s="57" t="s">
        <v>728</v>
      </c>
      <c r="D50" s="58"/>
    </row>
    <row r="51" spans="1:5" x14ac:dyDescent="0.2">
      <c r="A51" s="59"/>
      <c r="B51" s="60"/>
      <c r="C51" s="43" t="s">
        <v>729</v>
      </c>
      <c r="D51" s="43" t="s">
        <v>730</v>
      </c>
    </row>
    <row r="52" spans="1:5" x14ac:dyDescent="0.2">
      <c r="A52" s="44" t="s">
        <v>726</v>
      </c>
      <c r="B52" s="45"/>
      <c r="C52" s="46">
        <v>0.108048405</v>
      </c>
      <c r="D52" s="46">
        <v>0.10005336150000001</v>
      </c>
    </row>
    <row r="54" spans="1:5" x14ac:dyDescent="0.2">
      <c r="A54" s="4" t="s">
        <v>883</v>
      </c>
      <c r="D54" s="70">
        <v>2.1961136589374424</v>
      </c>
      <c r="E54" s="1" t="s">
        <v>735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1061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1018</v>
      </c>
      <c r="B8" s="66" t="s">
        <v>1019</v>
      </c>
      <c r="C8" s="66" t="s">
        <v>421</v>
      </c>
      <c r="D8" s="66">
        <v>67</v>
      </c>
      <c r="E8" s="7">
        <v>699.18051000000003</v>
      </c>
      <c r="F8" s="7">
        <v>9.8341188297762798</v>
      </c>
    </row>
    <row r="9" spans="1:6" x14ac:dyDescent="0.2">
      <c r="A9" s="66" t="s">
        <v>1042</v>
      </c>
      <c r="B9" s="66" t="s">
        <v>1043</v>
      </c>
      <c r="C9" s="66" t="s">
        <v>421</v>
      </c>
      <c r="D9" s="66">
        <v>86</v>
      </c>
      <c r="E9" s="7">
        <v>695.22400000000005</v>
      </c>
      <c r="F9" s="7">
        <v>9.7784696963483508</v>
      </c>
    </row>
    <row r="10" spans="1:6" x14ac:dyDescent="0.2">
      <c r="A10" s="66" t="s">
        <v>1048</v>
      </c>
      <c r="B10" s="66" t="s">
        <v>1049</v>
      </c>
      <c r="C10" s="66" t="s">
        <v>892</v>
      </c>
      <c r="D10" s="66">
        <v>68</v>
      </c>
      <c r="E10" s="7">
        <v>668.8922</v>
      </c>
      <c r="F10" s="7">
        <v>9.4081074701445502</v>
      </c>
    </row>
    <row r="11" spans="1:6" x14ac:dyDescent="0.2">
      <c r="A11" s="66" t="s">
        <v>1008</v>
      </c>
      <c r="B11" s="66" t="s">
        <v>1009</v>
      </c>
      <c r="C11" s="66" t="s">
        <v>892</v>
      </c>
      <c r="D11" s="66">
        <v>68</v>
      </c>
      <c r="E11" s="7">
        <v>668.64332000000002</v>
      </c>
      <c r="F11" s="7">
        <v>9.4046069213458594</v>
      </c>
    </row>
    <row r="12" spans="1:6" x14ac:dyDescent="0.2">
      <c r="A12" s="66" t="s">
        <v>1046</v>
      </c>
      <c r="B12" s="66" t="s">
        <v>1047</v>
      </c>
      <c r="C12" s="66" t="s">
        <v>421</v>
      </c>
      <c r="D12" s="66">
        <v>68</v>
      </c>
      <c r="E12" s="7">
        <v>668.59096</v>
      </c>
      <c r="F12" s="7">
        <v>9.4038704670903908</v>
      </c>
    </row>
    <row r="13" spans="1:6" x14ac:dyDescent="0.2">
      <c r="A13" s="66" t="s">
        <v>1052</v>
      </c>
      <c r="B13" s="66" t="s">
        <v>1053</v>
      </c>
      <c r="C13" s="66" t="s">
        <v>421</v>
      </c>
      <c r="D13" s="66">
        <v>68</v>
      </c>
      <c r="E13" s="7">
        <v>668.07824000000005</v>
      </c>
      <c r="F13" s="7">
        <v>9.3966589539914303</v>
      </c>
    </row>
    <row r="14" spans="1:6" x14ac:dyDescent="0.2">
      <c r="A14" s="66" t="s">
        <v>1036</v>
      </c>
      <c r="B14" s="66" t="s">
        <v>1037</v>
      </c>
      <c r="C14" s="66" t="s">
        <v>421</v>
      </c>
      <c r="D14" s="66">
        <v>67</v>
      </c>
      <c r="E14" s="7">
        <v>661.12585000000001</v>
      </c>
      <c r="F14" s="7">
        <v>9.2988721472468505</v>
      </c>
    </row>
    <row r="15" spans="1:6" x14ac:dyDescent="0.2">
      <c r="A15" s="66" t="s">
        <v>1062</v>
      </c>
      <c r="B15" s="66" t="s">
        <v>1063</v>
      </c>
      <c r="C15" s="66" t="s">
        <v>421</v>
      </c>
      <c r="D15" s="66">
        <v>50</v>
      </c>
      <c r="E15" s="7">
        <v>506.0675</v>
      </c>
      <c r="F15" s="7">
        <v>7.1179443072402098</v>
      </c>
    </row>
    <row r="16" spans="1:6" x14ac:dyDescent="0.2">
      <c r="A16" s="66" t="s">
        <v>1064</v>
      </c>
      <c r="B16" s="66" t="s">
        <v>1065</v>
      </c>
      <c r="C16" s="66" t="s">
        <v>421</v>
      </c>
      <c r="D16" s="66">
        <v>16</v>
      </c>
      <c r="E16" s="7">
        <v>156.75103999999999</v>
      </c>
      <c r="F16" s="7">
        <v>2.2047358757912399</v>
      </c>
    </row>
    <row r="17" spans="1:10" x14ac:dyDescent="0.2">
      <c r="A17" s="66" t="s">
        <v>1020</v>
      </c>
      <c r="B17" s="66" t="s">
        <v>1021</v>
      </c>
      <c r="C17" s="66" t="s">
        <v>421</v>
      </c>
      <c r="D17" s="66">
        <v>4</v>
      </c>
      <c r="E17" s="7">
        <v>41.361640000000001</v>
      </c>
      <c r="F17" s="7">
        <v>0.58176004184445496</v>
      </c>
    </row>
    <row r="18" spans="1:10" x14ac:dyDescent="0.2">
      <c r="A18" s="66" t="s">
        <v>990</v>
      </c>
      <c r="B18" s="66" t="s">
        <v>991</v>
      </c>
      <c r="C18" s="66" t="s">
        <v>427</v>
      </c>
      <c r="D18" s="66">
        <v>3</v>
      </c>
      <c r="E18" s="7">
        <v>30.862110000000001</v>
      </c>
      <c r="F18" s="7">
        <v>0.43408197559400902</v>
      </c>
    </row>
    <row r="19" spans="1:10" x14ac:dyDescent="0.2">
      <c r="A19" s="66" t="s">
        <v>1066</v>
      </c>
      <c r="B19" s="66" t="s">
        <v>1067</v>
      </c>
      <c r="C19" s="66" t="s">
        <v>892</v>
      </c>
      <c r="D19" s="66">
        <v>1</v>
      </c>
      <c r="E19" s="7">
        <v>9.7568300000000008</v>
      </c>
      <c r="F19" s="7">
        <v>0.13723183677120199</v>
      </c>
    </row>
    <row r="20" spans="1:10" x14ac:dyDescent="0.2">
      <c r="A20" s="65" t="s">
        <v>39</v>
      </c>
      <c r="B20" s="66"/>
      <c r="C20" s="66"/>
      <c r="D20" s="66"/>
      <c r="E20" s="6">
        <f>SUM(E8:E19)</f>
        <v>5474.534200000001</v>
      </c>
      <c r="F20" s="6">
        <f>SUM(F8:F19)</f>
        <v>77.000458523184847</v>
      </c>
    </row>
    <row r="21" spans="1:10" x14ac:dyDescent="0.2">
      <c r="A21" s="66"/>
      <c r="B21" s="66"/>
      <c r="C21" s="66"/>
      <c r="D21" s="66"/>
      <c r="E21" s="7"/>
      <c r="F21" s="7"/>
    </row>
    <row r="22" spans="1:10" x14ac:dyDescent="0.2">
      <c r="A22" s="65" t="s">
        <v>822</v>
      </c>
      <c r="B22" s="66"/>
      <c r="C22" s="66"/>
      <c r="D22" s="66"/>
      <c r="E22" s="7"/>
      <c r="F22" s="7"/>
    </row>
    <row r="23" spans="1:10" x14ac:dyDescent="0.2">
      <c r="A23" s="66" t="s">
        <v>1056</v>
      </c>
      <c r="B23" s="66" t="s">
        <v>1057</v>
      </c>
      <c r="C23" s="66" t="s">
        <v>421</v>
      </c>
      <c r="D23" s="66">
        <v>68</v>
      </c>
      <c r="E23" s="7">
        <v>665.87707999999998</v>
      </c>
      <c r="F23" s="7">
        <v>9.3656991822389895</v>
      </c>
    </row>
    <row r="24" spans="1:10" x14ac:dyDescent="0.2">
      <c r="A24" s="66" t="s">
        <v>1022</v>
      </c>
      <c r="B24" s="66" t="s">
        <v>1023</v>
      </c>
      <c r="C24" s="66" t="s">
        <v>897</v>
      </c>
      <c r="D24" s="66">
        <v>67</v>
      </c>
      <c r="E24" s="7">
        <v>664.10266000000001</v>
      </c>
      <c r="F24" s="7">
        <v>9.3407415970598393</v>
      </c>
    </row>
    <row r="25" spans="1:10" x14ac:dyDescent="0.2">
      <c r="A25" s="65" t="s">
        <v>39</v>
      </c>
      <c r="B25" s="66"/>
      <c r="C25" s="66"/>
      <c r="D25" s="66"/>
      <c r="E25" s="6">
        <f>SUM(E23:E24)</f>
        <v>1329.97974</v>
      </c>
      <c r="F25" s="6">
        <f>SUM(F23:F24)</f>
        <v>18.706440779298831</v>
      </c>
    </row>
    <row r="26" spans="1:10" x14ac:dyDescent="0.2">
      <c r="A26" s="66"/>
      <c r="B26" s="66"/>
      <c r="C26" s="66"/>
      <c r="D26" s="66"/>
      <c r="E26" s="7"/>
      <c r="F26" s="7"/>
    </row>
    <row r="27" spans="1:10" x14ac:dyDescent="0.2">
      <c r="A27" s="65" t="s">
        <v>39</v>
      </c>
      <c r="B27" s="66"/>
      <c r="C27" s="66"/>
      <c r="D27" s="66"/>
      <c r="E27" s="6">
        <v>6804.5139400000007</v>
      </c>
      <c r="F27" s="6">
        <v>95.706899302483663</v>
      </c>
      <c r="I27" s="1"/>
      <c r="J27" s="1"/>
    </row>
    <row r="28" spans="1:10" x14ac:dyDescent="0.2">
      <c r="A28" s="66"/>
      <c r="B28" s="66"/>
      <c r="C28" s="66"/>
      <c r="D28" s="66"/>
      <c r="E28" s="7"/>
      <c r="F28" s="7"/>
    </row>
    <row r="29" spans="1:10" x14ac:dyDescent="0.2">
      <c r="A29" s="65" t="s">
        <v>103</v>
      </c>
      <c r="B29" s="66"/>
      <c r="C29" s="66"/>
      <c r="D29" s="66"/>
      <c r="E29" s="6">
        <v>305.2323379</v>
      </c>
      <c r="F29" s="6">
        <v>4.29</v>
      </c>
      <c r="I29" s="1"/>
      <c r="J29" s="1"/>
    </row>
    <row r="30" spans="1:10" x14ac:dyDescent="0.2">
      <c r="A30" s="66"/>
      <c r="B30" s="66"/>
      <c r="C30" s="66"/>
      <c r="D30" s="66"/>
      <c r="E30" s="7"/>
      <c r="F30" s="7"/>
    </row>
    <row r="31" spans="1:10" x14ac:dyDescent="0.2">
      <c r="A31" s="68" t="s">
        <v>104</v>
      </c>
      <c r="B31" s="64"/>
      <c r="C31" s="64"/>
      <c r="D31" s="64"/>
      <c r="E31" s="8">
        <v>7109.7423379000002</v>
      </c>
      <c r="F31" s="8">
        <f xml:space="preserve"> ROUND(SUM(F27:F30),2)</f>
        <v>100</v>
      </c>
      <c r="I31" s="1"/>
      <c r="J31" s="1"/>
    </row>
    <row r="32" spans="1:10" x14ac:dyDescent="0.2">
      <c r="A32" s="4" t="s">
        <v>714</v>
      </c>
    </row>
    <row r="33" spans="1:5" x14ac:dyDescent="0.2">
      <c r="A33" s="4"/>
    </row>
    <row r="34" spans="1:5" x14ac:dyDescent="0.2">
      <c r="A34" s="4" t="s">
        <v>105</v>
      </c>
    </row>
    <row r="35" spans="1:5" x14ac:dyDescent="0.2">
      <c r="A35" s="4" t="s">
        <v>106</v>
      </c>
    </row>
    <row r="36" spans="1:5" x14ac:dyDescent="0.2">
      <c r="A36" s="4" t="s">
        <v>107</v>
      </c>
    </row>
    <row r="37" spans="1:5" x14ac:dyDescent="0.2">
      <c r="A37" s="2" t="s">
        <v>722</v>
      </c>
      <c r="D37" s="10">
        <v>10.025</v>
      </c>
    </row>
    <row r="38" spans="1:5" x14ac:dyDescent="0.2">
      <c r="A38" s="2" t="s">
        <v>720</v>
      </c>
      <c r="D38" s="10">
        <v>10.038500000000001</v>
      </c>
    </row>
    <row r="39" spans="1:5" x14ac:dyDescent="0.2">
      <c r="A39" s="2" t="s">
        <v>721</v>
      </c>
      <c r="D39" s="10">
        <v>10.025</v>
      </c>
    </row>
    <row r="41" spans="1:5" x14ac:dyDescent="0.2">
      <c r="A41" s="4" t="s">
        <v>108</v>
      </c>
    </row>
    <row r="42" spans="1:5" x14ac:dyDescent="0.2">
      <c r="A42" s="2" t="s">
        <v>722</v>
      </c>
      <c r="D42" s="10">
        <v>10.404299999999999</v>
      </c>
    </row>
    <row r="43" spans="1:5" x14ac:dyDescent="0.2">
      <c r="A43" s="2" t="s">
        <v>720</v>
      </c>
      <c r="D43" s="10">
        <v>10.446</v>
      </c>
    </row>
    <row r="44" spans="1:5" x14ac:dyDescent="0.2">
      <c r="A44" s="2" t="s">
        <v>721</v>
      </c>
      <c r="D44" s="10">
        <v>10.404299999999999</v>
      </c>
    </row>
    <row r="46" spans="1:5" x14ac:dyDescent="0.2">
      <c r="A46" s="4" t="s">
        <v>109</v>
      </c>
      <c r="D46" s="73" t="s">
        <v>110</v>
      </c>
    </row>
    <row r="48" spans="1:5" x14ac:dyDescent="0.2">
      <c r="A48" s="4" t="s">
        <v>883</v>
      </c>
      <c r="D48" s="70">
        <v>2.2155549961089696</v>
      </c>
      <c r="E48" s="1" t="s">
        <v>735</v>
      </c>
    </row>
  </sheetData>
  <mergeCells count="1">
    <mergeCell ref="A1:F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showGridLines="0" workbookViewId="0">
      <selection sqref="A1:F1"/>
    </sheetView>
  </sheetViews>
  <sheetFormatPr defaultRowHeight="11.25" x14ac:dyDescent="0.2"/>
  <cols>
    <col min="1" max="1" width="40.42578125" style="2" customWidth="1"/>
    <col min="2" max="2" width="58.7109375" style="2" customWidth="1"/>
    <col min="3" max="3" width="11.7109375" style="2" bestFit="1" customWidth="1"/>
    <col min="4" max="4" width="6.85546875" style="2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1068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1042</v>
      </c>
      <c r="B8" s="66" t="s">
        <v>1043</v>
      </c>
      <c r="C8" s="66" t="s">
        <v>421</v>
      </c>
      <c r="D8" s="66">
        <v>107</v>
      </c>
      <c r="E8" s="7">
        <v>864.98800000000006</v>
      </c>
      <c r="F8" s="7">
        <v>9.7478699443463999</v>
      </c>
    </row>
    <row r="9" spans="1:6" x14ac:dyDescent="0.2">
      <c r="A9" s="66" t="s">
        <v>1066</v>
      </c>
      <c r="B9" s="66" t="s">
        <v>1067</v>
      </c>
      <c r="C9" s="66" t="s">
        <v>892</v>
      </c>
      <c r="D9" s="66">
        <v>87</v>
      </c>
      <c r="E9" s="7">
        <v>848.84420999999998</v>
      </c>
      <c r="F9" s="7">
        <v>9.5659395992678107</v>
      </c>
    </row>
    <row r="10" spans="1:6" x14ac:dyDescent="0.2">
      <c r="A10" s="66" t="s">
        <v>1050</v>
      </c>
      <c r="B10" s="66" t="s">
        <v>1051</v>
      </c>
      <c r="C10" s="66" t="s">
        <v>421</v>
      </c>
      <c r="D10" s="66">
        <v>84</v>
      </c>
      <c r="E10" s="7">
        <v>819.35868000000005</v>
      </c>
      <c r="F10" s="7">
        <v>9.2336562477298401</v>
      </c>
    </row>
    <row r="11" spans="1:6" x14ac:dyDescent="0.2">
      <c r="A11" s="66" t="s">
        <v>1034</v>
      </c>
      <c r="B11" s="66" t="s">
        <v>1035</v>
      </c>
      <c r="C11" s="66" t="s">
        <v>421</v>
      </c>
      <c r="D11" s="66">
        <v>83</v>
      </c>
      <c r="E11" s="7">
        <v>815.22682999999995</v>
      </c>
      <c r="F11" s="7">
        <v>9.1870929006897093</v>
      </c>
    </row>
    <row r="12" spans="1:6" x14ac:dyDescent="0.2">
      <c r="A12" s="66" t="s">
        <v>1064</v>
      </c>
      <c r="B12" s="66" t="s">
        <v>1065</v>
      </c>
      <c r="C12" s="66" t="s">
        <v>421</v>
      </c>
      <c r="D12" s="66">
        <v>83</v>
      </c>
      <c r="E12" s="7">
        <v>813.14602000000002</v>
      </c>
      <c r="F12" s="7">
        <v>9.1636434825950204</v>
      </c>
    </row>
    <row r="13" spans="1:6" x14ac:dyDescent="0.2">
      <c r="A13" s="66" t="s">
        <v>1054</v>
      </c>
      <c r="B13" s="66" t="s">
        <v>1055</v>
      </c>
      <c r="C13" s="66" t="s">
        <v>421</v>
      </c>
      <c r="D13" s="66">
        <v>64</v>
      </c>
      <c r="E13" s="7">
        <v>807.68719999999996</v>
      </c>
      <c r="F13" s="7">
        <v>9.1021260194514806</v>
      </c>
    </row>
    <row r="14" spans="1:6" x14ac:dyDescent="0.2">
      <c r="A14" s="66" t="s">
        <v>1069</v>
      </c>
      <c r="B14" s="66" t="s">
        <v>1070</v>
      </c>
      <c r="C14" s="66" t="s">
        <v>421</v>
      </c>
      <c r="D14" s="66">
        <v>80</v>
      </c>
      <c r="E14" s="7">
        <v>778.73360000000002</v>
      </c>
      <c r="F14" s="7">
        <v>8.7758371839755807</v>
      </c>
    </row>
    <row r="15" spans="1:6" x14ac:dyDescent="0.2">
      <c r="A15" s="66" t="s">
        <v>1048</v>
      </c>
      <c r="B15" s="66" t="s">
        <v>1049</v>
      </c>
      <c r="C15" s="66" t="s">
        <v>892</v>
      </c>
      <c r="D15" s="66">
        <v>65</v>
      </c>
      <c r="E15" s="7">
        <v>639.38225</v>
      </c>
      <c r="F15" s="7">
        <v>7.2054352404005302</v>
      </c>
    </row>
    <row r="16" spans="1:6" x14ac:dyDescent="0.2">
      <c r="A16" s="66" t="s">
        <v>963</v>
      </c>
      <c r="B16" s="66" t="s">
        <v>964</v>
      </c>
      <c r="C16" s="66" t="s">
        <v>421</v>
      </c>
      <c r="D16" s="66">
        <v>4</v>
      </c>
      <c r="E16" s="7">
        <v>398.34120000000001</v>
      </c>
      <c r="F16" s="7">
        <v>4.4890544274312196</v>
      </c>
    </row>
    <row r="17" spans="1:10" x14ac:dyDescent="0.2">
      <c r="A17" s="66" t="s">
        <v>1052</v>
      </c>
      <c r="B17" s="66" t="s">
        <v>1053</v>
      </c>
      <c r="C17" s="66" t="s">
        <v>421</v>
      </c>
      <c r="D17" s="66">
        <v>13</v>
      </c>
      <c r="E17" s="7">
        <v>127.72084</v>
      </c>
      <c r="F17" s="7">
        <v>1.4393334213916</v>
      </c>
    </row>
    <row r="18" spans="1:10" x14ac:dyDescent="0.2">
      <c r="A18" s="66" t="s">
        <v>1046</v>
      </c>
      <c r="B18" s="66" t="s">
        <v>1047</v>
      </c>
      <c r="C18" s="66" t="s">
        <v>421</v>
      </c>
      <c r="D18" s="66">
        <v>8</v>
      </c>
      <c r="E18" s="7">
        <v>78.657759999999996</v>
      </c>
      <c r="F18" s="7">
        <v>0.88642341234053301</v>
      </c>
    </row>
    <row r="19" spans="1:10" x14ac:dyDescent="0.2">
      <c r="A19" s="66" t="s">
        <v>1026</v>
      </c>
      <c r="B19" s="66" t="s">
        <v>1027</v>
      </c>
      <c r="C19" s="66" t="s">
        <v>421</v>
      </c>
      <c r="D19" s="66">
        <v>5</v>
      </c>
      <c r="E19" s="7">
        <v>49.160249999999998</v>
      </c>
      <c r="F19" s="7">
        <v>0.55400505374820797</v>
      </c>
    </row>
    <row r="20" spans="1:10" x14ac:dyDescent="0.2">
      <c r="A20" s="66" t="s">
        <v>1016</v>
      </c>
      <c r="B20" s="66" t="s">
        <v>1017</v>
      </c>
      <c r="C20" s="66" t="s">
        <v>421</v>
      </c>
      <c r="D20" s="66">
        <v>3</v>
      </c>
      <c r="E20" s="7">
        <v>30.36993</v>
      </c>
      <c r="F20" s="7">
        <v>0.34224998249560001</v>
      </c>
    </row>
    <row r="21" spans="1:10" x14ac:dyDescent="0.2">
      <c r="A21" s="66" t="s">
        <v>1059</v>
      </c>
      <c r="B21" s="66" t="s">
        <v>1060</v>
      </c>
      <c r="C21" s="66" t="s">
        <v>421</v>
      </c>
      <c r="D21" s="66">
        <v>3</v>
      </c>
      <c r="E21" s="7">
        <v>29.242229999999999</v>
      </c>
      <c r="F21" s="7">
        <v>0.32954151378130597</v>
      </c>
    </row>
    <row r="22" spans="1:10" x14ac:dyDescent="0.2">
      <c r="A22" s="66" t="s">
        <v>1018</v>
      </c>
      <c r="B22" s="66" t="s">
        <v>1019</v>
      </c>
      <c r="C22" s="66" t="s">
        <v>421</v>
      </c>
      <c r="D22" s="66">
        <v>1</v>
      </c>
      <c r="E22" s="7">
        <v>10.43553</v>
      </c>
      <c r="F22" s="7">
        <v>0.117601850245697</v>
      </c>
    </row>
    <row r="23" spans="1:10" x14ac:dyDescent="0.2">
      <c r="A23" s="66" t="s">
        <v>990</v>
      </c>
      <c r="B23" s="66" t="s">
        <v>991</v>
      </c>
      <c r="C23" s="66" t="s">
        <v>427</v>
      </c>
      <c r="D23" s="66">
        <v>1</v>
      </c>
      <c r="E23" s="7">
        <v>10.287369999999999</v>
      </c>
      <c r="F23" s="7">
        <v>0.11593218036478101</v>
      </c>
    </row>
    <row r="24" spans="1:10" x14ac:dyDescent="0.2">
      <c r="A24" s="65" t="s">
        <v>39</v>
      </c>
      <c r="B24" s="66"/>
      <c r="C24" s="66"/>
      <c r="D24" s="66"/>
      <c r="E24" s="6">
        <f>SUM(E8:E23)</f>
        <v>7121.5818999999983</v>
      </c>
      <c r="F24" s="6">
        <f>SUM(F8:F23)</f>
        <v>80.255742460255306</v>
      </c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5" t="s">
        <v>822</v>
      </c>
      <c r="B26" s="66"/>
      <c r="C26" s="66"/>
      <c r="D26" s="66"/>
      <c r="E26" s="7"/>
      <c r="F26" s="7"/>
    </row>
    <row r="27" spans="1:10" x14ac:dyDescent="0.2">
      <c r="A27" s="66" t="s">
        <v>1022</v>
      </c>
      <c r="B27" s="66" t="s">
        <v>1023</v>
      </c>
      <c r="C27" s="66" t="s">
        <v>897</v>
      </c>
      <c r="D27" s="66">
        <v>82</v>
      </c>
      <c r="E27" s="7">
        <v>812.78236000000004</v>
      </c>
      <c r="F27" s="7">
        <v>9.1595452634475105</v>
      </c>
    </row>
    <row r="28" spans="1:10" x14ac:dyDescent="0.2">
      <c r="A28" s="66" t="s">
        <v>1056</v>
      </c>
      <c r="B28" s="66" t="s">
        <v>1057</v>
      </c>
      <c r="C28" s="66" t="s">
        <v>421</v>
      </c>
      <c r="D28" s="66">
        <v>49</v>
      </c>
      <c r="E28" s="7">
        <v>479.82319000000001</v>
      </c>
      <c r="F28" s="7">
        <v>5.4073051330208202</v>
      </c>
    </row>
    <row r="29" spans="1:10" x14ac:dyDescent="0.2">
      <c r="A29" s="65" t="s">
        <v>39</v>
      </c>
      <c r="B29" s="66"/>
      <c r="C29" s="66"/>
      <c r="D29" s="66"/>
      <c r="E29" s="6">
        <f>SUM(E27:E28)</f>
        <v>1292.60555</v>
      </c>
      <c r="F29" s="6">
        <f>SUM(F27:F28)</f>
        <v>14.566850396468331</v>
      </c>
    </row>
    <row r="30" spans="1:10" x14ac:dyDescent="0.2">
      <c r="A30" s="66"/>
      <c r="B30" s="66"/>
      <c r="C30" s="66"/>
      <c r="D30" s="66"/>
      <c r="E30" s="7"/>
      <c r="F30" s="7"/>
    </row>
    <row r="31" spans="1:10" x14ac:dyDescent="0.2">
      <c r="A31" s="65" t="s">
        <v>39</v>
      </c>
      <c r="B31" s="66"/>
      <c r="C31" s="66"/>
      <c r="D31" s="66"/>
      <c r="E31" s="6">
        <v>8414.1874499999976</v>
      </c>
      <c r="F31" s="6">
        <v>94.822592856723645</v>
      </c>
      <c r="I31" s="1"/>
      <c r="J31" s="1"/>
    </row>
    <row r="32" spans="1:10" x14ac:dyDescent="0.2">
      <c r="A32" s="66"/>
      <c r="B32" s="66"/>
      <c r="C32" s="66"/>
      <c r="D32" s="66"/>
      <c r="E32" s="7"/>
      <c r="F32" s="7"/>
    </row>
    <row r="33" spans="1:10" x14ac:dyDescent="0.2">
      <c r="A33" s="65" t="s">
        <v>103</v>
      </c>
      <c r="B33" s="66"/>
      <c r="C33" s="66"/>
      <c r="D33" s="66"/>
      <c r="E33" s="6">
        <v>459.42038810000003</v>
      </c>
      <c r="F33" s="6">
        <v>5.18</v>
      </c>
      <c r="I33" s="1"/>
      <c r="J33" s="1"/>
    </row>
    <row r="34" spans="1:10" x14ac:dyDescent="0.2">
      <c r="A34" s="66"/>
      <c r="B34" s="66"/>
      <c r="C34" s="66"/>
      <c r="D34" s="66"/>
      <c r="E34" s="7"/>
      <c r="F34" s="7"/>
    </row>
    <row r="35" spans="1:10" x14ac:dyDescent="0.2">
      <c r="A35" s="68" t="s">
        <v>104</v>
      </c>
      <c r="B35" s="64"/>
      <c r="C35" s="64"/>
      <c r="D35" s="64"/>
      <c r="E35" s="8">
        <v>8873.6103880999999</v>
      </c>
      <c r="F35" s="8">
        <f xml:space="preserve"> ROUND(SUM(F31:F34),2)</f>
        <v>100</v>
      </c>
      <c r="I35" s="1"/>
      <c r="J35" s="1"/>
    </row>
    <row r="36" spans="1:10" x14ac:dyDescent="0.2">
      <c r="A36" s="4" t="s">
        <v>714</v>
      </c>
    </row>
    <row r="37" spans="1:10" x14ac:dyDescent="0.2">
      <c r="A37" s="4"/>
    </row>
    <row r="38" spans="1:10" x14ac:dyDescent="0.2">
      <c r="A38" s="4" t="s">
        <v>105</v>
      </c>
    </row>
    <row r="39" spans="1:10" x14ac:dyDescent="0.2">
      <c r="A39" s="4" t="s">
        <v>106</v>
      </c>
    </row>
    <row r="40" spans="1:10" x14ac:dyDescent="0.2">
      <c r="A40" s="4" t="s">
        <v>107</v>
      </c>
    </row>
    <row r="41" spans="1:10" x14ac:dyDescent="0.2">
      <c r="A41" s="2" t="s">
        <v>722</v>
      </c>
      <c r="D41" s="10">
        <v>10.0655</v>
      </c>
    </row>
    <row r="42" spans="1:10" x14ac:dyDescent="0.2">
      <c r="A42" s="2" t="s">
        <v>719</v>
      </c>
      <c r="D42" s="10">
        <v>10.084899999999999</v>
      </c>
    </row>
    <row r="43" spans="1:10" x14ac:dyDescent="0.2">
      <c r="A43" s="2" t="s">
        <v>720</v>
      </c>
      <c r="D43" s="10">
        <v>10.084899999999999</v>
      </c>
    </row>
    <row r="44" spans="1:10" x14ac:dyDescent="0.2">
      <c r="A44" s="2" t="s">
        <v>721</v>
      </c>
      <c r="D44" s="10">
        <v>10.0655</v>
      </c>
    </row>
    <row r="45" spans="1:10" x14ac:dyDescent="0.2">
      <c r="A45" s="2" t="s">
        <v>726</v>
      </c>
      <c r="D45" s="10">
        <v>9.9817</v>
      </c>
    </row>
    <row r="47" spans="1:10" x14ac:dyDescent="0.2">
      <c r="A47" s="4" t="s">
        <v>108</v>
      </c>
    </row>
    <row r="48" spans="1:10" x14ac:dyDescent="0.2">
      <c r="A48" s="2" t="s">
        <v>722</v>
      </c>
      <c r="D48" s="10">
        <v>10.445499999999999</v>
      </c>
    </row>
    <row r="49" spans="1:5" x14ac:dyDescent="0.2">
      <c r="A49" s="2" t="s">
        <v>719</v>
      </c>
      <c r="D49" s="10">
        <v>10.492000000000001</v>
      </c>
    </row>
    <row r="50" spans="1:5" x14ac:dyDescent="0.2">
      <c r="A50" s="2" t="s">
        <v>720</v>
      </c>
      <c r="D50" s="10">
        <v>10.492000000000001</v>
      </c>
    </row>
    <row r="51" spans="1:5" x14ac:dyDescent="0.2">
      <c r="A51" s="2" t="s">
        <v>721</v>
      </c>
      <c r="D51" s="10">
        <v>10.445499999999999</v>
      </c>
    </row>
    <row r="52" spans="1:5" x14ac:dyDescent="0.2">
      <c r="A52" s="2" t="s">
        <v>726</v>
      </c>
      <c r="D52" s="10">
        <v>10.2059</v>
      </c>
    </row>
    <row r="54" spans="1:5" x14ac:dyDescent="0.2">
      <c r="A54" s="4" t="s">
        <v>109</v>
      </c>
      <c r="D54" s="69"/>
    </row>
    <row r="55" spans="1:5" x14ac:dyDescent="0.2">
      <c r="A55" s="41" t="s">
        <v>727</v>
      </c>
      <c r="B55" s="42"/>
      <c r="C55" s="57" t="s">
        <v>728</v>
      </c>
      <c r="D55" s="58"/>
    </row>
    <row r="56" spans="1:5" x14ac:dyDescent="0.2">
      <c r="A56" s="59"/>
      <c r="B56" s="60"/>
      <c r="C56" s="43" t="s">
        <v>729</v>
      </c>
      <c r="D56" s="43" t="s">
        <v>730</v>
      </c>
    </row>
    <row r="57" spans="1:5" x14ac:dyDescent="0.2">
      <c r="A57" s="44" t="s">
        <v>726</v>
      </c>
      <c r="B57" s="45"/>
      <c r="C57" s="46">
        <v>0.108048405</v>
      </c>
      <c r="D57" s="46">
        <v>0.1000533616</v>
      </c>
    </row>
    <row r="59" spans="1:5" x14ac:dyDescent="0.2">
      <c r="A59" s="4" t="s">
        <v>883</v>
      </c>
      <c r="D59" s="70">
        <v>2.1186812330962606</v>
      </c>
      <c r="E59" s="1" t="s">
        <v>735</v>
      </c>
    </row>
  </sheetData>
  <mergeCells count="3">
    <mergeCell ref="A1:F1"/>
    <mergeCell ref="C55:D55"/>
    <mergeCell ref="A56:B5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showGridLines="0" workbookViewId="0">
      <selection sqref="A1:F1"/>
    </sheetView>
  </sheetViews>
  <sheetFormatPr defaultRowHeight="11.25" x14ac:dyDescent="0.2"/>
  <cols>
    <col min="1" max="1" width="40.85546875" style="2" customWidth="1"/>
    <col min="2" max="2" width="56" style="2" bestFit="1" customWidth="1"/>
    <col min="3" max="3" width="11.7109375" style="2" bestFit="1" customWidth="1"/>
    <col min="4" max="4" width="6.85546875" style="2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1071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1066</v>
      </c>
      <c r="B8" s="66" t="s">
        <v>1067</v>
      </c>
      <c r="C8" s="66" t="s">
        <v>892</v>
      </c>
      <c r="D8" s="66">
        <v>106</v>
      </c>
      <c r="E8" s="7">
        <v>1034.22398</v>
      </c>
      <c r="F8" s="7">
        <v>9.6750257425134194</v>
      </c>
    </row>
    <row r="9" spans="1:6" x14ac:dyDescent="0.2">
      <c r="A9" s="66" t="s">
        <v>1072</v>
      </c>
      <c r="B9" s="66" t="s">
        <v>1073</v>
      </c>
      <c r="C9" s="66" t="s">
        <v>421</v>
      </c>
      <c r="D9" s="66">
        <v>99</v>
      </c>
      <c r="E9" s="7">
        <v>985.10049000000004</v>
      </c>
      <c r="F9" s="7">
        <v>9.2154821238167202</v>
      </c>
    </row>
    <row r="10" spans="1:6" x14ac:dyDescent="0.2">
      <c r="A10" s="66" t="s">
        <v>1034</v>
      </c>
      <c r="B10" s="66" t="s">
        <v>1035</v>
      </c>
      <c r="C10" s="66" t="s">
        <v>421</v>
      </c>
      <c r="D10" s="66">
        <v>100</v>
      </c>
      <c r="E10" s="7">
        <v>982.20100000000002</v>
      </c>
      <c r="F10" s="7">
        <v>9.1883577862141799</v>
      </c>
    </row>
    <row r="11" spans="1:6" x14ac:dyDescent="0.2">
      <c r="A11" s="66" t="s">
        <v>1016</v>
      </c>
      <c r="B11" s="66" t="s">
        <v>1017</v>
      </c>
      <c r="C11" s="66" t="s">
        <v>421</v>
      </c>
      <c r="D11" s="66">
        <v>97</v>
      </c>
      <c r="E11" s="7">
        <v>981.96106999999995</v>
      </c>
      <c r="F11" s="7">
        <v>9.1861132734478108</v>
      </c>
    </row>
    <row r="12" spans="1:6" x14ac:dyDescent="0.2">
      <c r="A12" s="66" t="s">
        <v>1050</v>
      </c>
      <c r="B12" s="66" t="s">
        <v>1051</v>
      </c>
      <c r="C12" s="66" t="s">
        <v>421</v>
      </c>
      <c r="D12" s="66">
        <v>100</v>
      </c>
      <c r="E12" s="7">
        <v>975.42700000000002</v>
      </c>
      <c r="F12" s="7">
        <v>9.1249879305086594</v>
      </c>
    </row>
    <row r="13" spans="1:6" x14ac:dyDescent="0.2">
      <c r="A13" s="66" t="s">
        <v>818</v>
      </c>
      <c r="B13" s="66" t="s">
        <v>819</v>
      </c>
      <c r="C13" s="66" t="s">
        <v>421</v>
      </c>
      <c r="D13" s="66">
        <v>100</v>
      </c>
      <c r="E13" s="7">
        <v>973.654</v>
      </c>
      <c r="F13" s="7">
        <v>9.1084017548124905</v>
      </c>
    </row>
    <row r="14" spans="1:6" x14ac:dyDescent="0.2">
      <c r="A14" s="66" t="s">
        <v>1074</v>
      </c>
      <c r="B14" s="66" t="s">
        <v>1075</v>
      </c>
      <c r="C14" s="66" t="s">
        <v>892</v>
      </c>
      <c r="D14" s="66">
        <v>100</v>
      </c>
      <c r="E14" s="7">
        <v>970.30499999999995</v>
      </c>
      <c r="F14" s="7">
        <v>9.0770723118308307</v>
      </c>
    </row>
    <row r="15" spans="1:6" x14ac:dyDescent="0.2">
      <c r="A15" s="66" t="s">
        <v>963</v>
      </c>
      <c r="B15" s="66" t="s">
        <v>964</v>
      </c>
      <c r="C15" s="66" t="s">
        <v>421</v>
      </c>
      <c r="D15" s="66">
        <v>5</v>
      </c>
      <c r="E15" s="7">
        <v>497.92649999999998</v>
      </c>
      <c r="F15" s="7">
        <v>4.6580352017941102</v>
      </c>
    </row>
    <row r="16" spans="1:6" x14ac:dyDescent="0.2">
      <c r="A16" s="66" t="s">
        <v>1076</v>
      </c>
      <c r="B16" s="66" t="s">
        <v>1077</v>
      </c>
      <c r="C16" s="66" t="s">
        <v>892</v>
      </c>
      <c r="D16" s="66">
        <v>50</v>
      </c>
      <c r="E16" s="7">
        <v>497.8775</v>
      </c>
      <c r="F16" s="7">
        <v>4.6575768134076903</v>
      </c>
    </row>
    <row r="17" spans="1:10" x14ac:dyDescent="0.2">
      <c r="A17" s="66" t="s">
        <v>1078</v>
      </c>
      <c r="B17" s="66" t="s">
        <v>1079</v>
      </c>
      <c r="C17" s="66" t="s">
        <v>421</v>
      </c>
      <c r="D17" s="66">
        <v>49</v>
      </c>
      <c r="E17" s="7">
        <v>485.85117000000002</v>
      </c>
      <c r="F17" s="7">
        <v>4.5450721194651296</v>
      </c>
    </row>
    <row r="18" spans="1:10" x14ac:dyDescent="0.2">
      <c r="A18" s="66" t="s">
        <v>1059</v>
      </c>
      <c r="B18" s="66" t="s">
        <v>1060</v>
      </c>
      <c r="C18" s="66" t="s">
        <v>421</v>
      </c>
      <c r="D18" s="66">
        <v>46</v>
      </c>
      <c r="E18" s="7">
        <v>448.38085999999998</v>
      </c>
      <c r="F18" s="7">
        <v>4.1945424268254801</v>
      </c>
    </row>
    <row r="19" spans="1:10" x14ac:dyDescent="0.2">
      <c r="A19" s="66" t="s">
        <v>1042</v>
      </c>
      <c r="B19" s="66" t="s">
        <v>1043</v>
      </c>
      <c r="C19" s="66" t="s">
        <v>421</v>
      </c>
      <c r="D19" s="66">
        <v>18</v>
      </c>
      <c r="E19" s="7">
        <v>145.512</v>
      </c>
      <c r="F19" s="7">
        <v>1.3612451200799001</v>
      </c>
    </row>
    <row r="20" spans="1:10" x14ac:dyDescent="0.2">
      <c r="A20" s="66" t="s">
        <v>990</v>
      </c>
      <c r="B20" s="66" t="s">
        <v>991</v>
      </c>
      <c r="C20" s="66" t="s">
        <v>427</v>
      </c>
      <c r="D20" s="66">
        <v>14</v>
      </c>
      <c r="E20" s="7">
        <v>144.02318</v>
      </c>
      <c r="F20" s="7">
        <v>1.3473174099276299</v>
      </c>
    </row>
    <row r="21" spans="1:10" x14ac:dyDescent="0.2">
      <c r="A21" s="66" t="s">
        <v>1020</v>
      </c>
      <c r="B21" s="66" t="s">
        <v>1021</v>
      </c>
      <c r="C21" s="66" t="s">
        <v>421</v>
      </c>
      <c r="D21" s="66">
        <v>6</v>
      </c>
      <c r="E21" s="7">
        <v>62.042459999999998</v>
      </c>
      <c r="F21" s="7">
        <v>0.58039883935862602</v>
      </c>
    </row>
    <row r="22" spans="1:10" x14ac:dyDescent="0.2">
      <c r="A22" s="66" t="s">
        <v>935</v>
      </c>
      <c r="B22" s="66" t="s">
        <v>936</v>
      </c>
      <c r="C22" s="66" t="s">
        <v>892</v>
      </c>
      <c r="D22" s="66">
        <v>3</v>
      </c>
      <c r="E22" s="7">
        <v>30.82779</v>
      </c>
      <c r="F22" s="7">
        <v>0.28838981458813001</v>
      </c>
    </row>
    <row r="23" spans="1:10" x14ac:dyDescent="0.2">
      <c r="A23" s="65" t="s">
        <v>39</v>
      </c>
      <c r="B23" s="66"/>
      <c r="C23" s="66"/>
      <c r="D23" s="66"/>
      <c r="E23" s="6">
        <f>SUM(E8:E22)</f>
        <v>9215.3140000000003</v>
      </c>
      <c r="F23" s="6">
        <f>SUM(F8:F22)</f>
        <v>86.208018668590796</v>
      </c>
    </row>
    <row r="24" spans="1:10" x14ac:dyDescent="0.2">
      <c r="A24" s="66"/>
      <c r="B24" s="66"/>
      <c r="C24" s="66"/>
      <c r="D24" s="66"/>
      <c r="E24" s="7"/>
      <c r="F24" s="7"/>
    </row>
    <row r="25" spans="1:10" x14ac:dyDescent="0.2">
      <c r="A25" s="65" t="s">
        <v>822</v>
      </c>
      <c r="B25" s="66"/>
      <c r="C25" s="66"/>
      <c r="D25" s="66"/>
      <c r="E25" s="7"/>
      <c r="F25" s="7"/>
    </row>
    <row r="26" spans="1:10" x14ac:dyDescent="0.2">
      <c r="A26" s="66" t="s">
        <v>1080</v>
      </c>
      <c r="B26" s="66" t="s">
        <v>1081</v>
      </c>
      <c r="C26" s="66" t="s">
        <v>421</v>
      </c>
      <c r="D26" s="66">
        <v>100</v>
      </c>
      <c r="E26" s="7">
        <v>973.29</v>
      </c>
      <c r="F26" s="7">
        <v>9.1049965839419809</v>
      </c>
    </row>
    <row r="27" spans="1:10" x14ac:dyDescent="0.2">
      <c r="A27" s="65" t="s">
        <v>39</v>
      </c>
      <c r="B27" s="66"/>
      <c r="C27" s="66"/>
      <c r="D27" s="66"/>
      <c r="E27" s="6">
        <f>SUM(E26:E26)</f>
        <v>973.29</v>
      </c>
      <c r="F27" s="6">
        <f>SUM(F26:F26)</f>
        <v>9.1049965839419809</v>
      </c>
    </row>
    <row r="28" spans="1:10" x14ac:dyDescent="0.2">
      <c r="A28" s="66"/>
      <c r="B28" s="66"/>
      <c r="C28" s="66"/>
      <c r="D28" s="66"/>
      <c r="E28" s="7"/>
      <c r="F28" s="7"/>
    </row>
    <row r="29" spans="1:10" x14ac:dyDescent="0.2">
      <c r="A29" s="65" t="s">
        <v>39</v>
      </c>
      <c r="B29" s="66"/>
      <c r="C29" s="66"/>
      <c r="D29" s="66"/>
      <c r="E29" s="6">
        <v>10188.603999999999</v>
      </c>
      <c r="F29" s="6">
        <v>95.313015252532779</v>
      </c>
      <c r="I29" s="1"/>
      <c r="J29" s="1"/>
    </row>
    <row r="30" spans="1:10" x14ac:dyDescent="0.2">
      <c r="A30" s="66"/>
      <c r="B30" s="66"/>
      <c r="C30" s="66"/>
      <c r="D30" s="66"/>
      <c r="E30" s="7"/>
      <c r="F30" s="7"/>
    </row>
    <row r="31" spans="1:10" x14ac:dyDescent="0.2">
      <c r="A31" s="65" t="s">
        <v>103</v>
      </c>
      <c r="B31" s="66"/>
      <c r="C31" s="66"/>
      <c r="D31" s="66"/>
      <c r="E31" s="6">
        <v>501.02509789999999</v>
      </c>
      <c r="F31" s="6">
        <v>4.6900000000000004</v>
      </c>
      <c r="I31" s="1"/>
      <c r="J31" s="1"/>
    </row>
    <row r="32" spans="1:10" x14ac:dyDescent="0.2">
      <c r="A32" s="66"/>
      <c r="B32" s="66"/>
      <c r="C32" s="66"/>
      <c r="D32" s="66"/>
      <c r="E32" s="7"/>
      <c r="F32" s="7"/>
    </row>
    <row r="33" spans="1:10" x14ac:dyDescent="0.2">
      <c r="A33" s="68" t="s">
        <v>104</v>
      </c>
      <c r="B33" s="64"/>
      <c r="C33" s="64"/>
      <c r="D33" s="64"/>
      <c r="E33" s="8">
        <v>10689.6250979</v>
      </c>
      <c r="F33" s="8">
        <f xml:space="preserve"> ROUND(SUM(F29:F32),2)</f>
        <v>100</v>
      </c>
      <c r="I33" s="1"/>
      <c r="J33" s="1"/>
    </row>
    <row r="34" spans="1:10" x14ac:dyDescent="0.2">
      <c r="A34" s="4" t="s">
        <v>714</v>
      </c>
    </row>
    <row r="35" spans="1:10" x14ac:dyDescent="0.2">
      <c r="A35" s="4"/>
    </row>
    <row r="36" spans="1:10" x14ac:dyDescent="0.2">
      <c r="A36" s="4" t="s">
        <v>105</v>
      </c>
    </row>
    <row r="37" spans="1:10" x14ac:dyDescent="0.2">
      <c r="A37" s="4" t="s">
        <v>106</v>
      </c>
    </row>
    <row r="38" spans="1:10" x14ac:dyDescent="0.2">
      <c r="A38" s="4" t="s">
        <v>107</v>
      </c>
    </row>
    <row r="39" spans="1:10" x14ac:dyDescent="0.2">
      <c r="A39" s="2" t="s">
        <v>722</v>
      </c>
      <c r="D39" s="10">
        <v>10.078799999999999</v>
      </c>
    </row>
    <row r="40" spans="1:10" x14ac:dyDescent="0.2">
      <c r="A40" s="2" t="s">
        <v>720</v>
      </c>
      <c r="D40" s="10">
        <v>10.1012</v>
      </c>
    </row>
    <row r="41" spans="1:10" x14ac:dyDescent="0.2">
      <c r="A41" s="2" t="s">
        <v>1082</v>
      </c>
      <c r="D41" s="10">
        <v>10.078799999999999</v>
      </c>
    </row>
    <row r="42" spans="1:10" x14ac:dyDescent="0.2">
      <c r="A42" s="2" t="s">
        <v>726</v>
      </c>
      <c r="D42" s="10">
        <v>10.034000000000001</v>
      </c>
    </row>
    <row r="44" spans="1:10" x14ac:dyDescent="0.2">
      <c r="A44" s="4" t="s">
        <v>108</v>
      </c>
    </row>
    <row r="45" spans="1:10" x14ac:dyDescent="0.2">
      <c r="A45" s="2" t="s">
        <v>722</v>
      </c>
      <c r="D45" s="10">
        <v>10.4655</v>
      </c>
    </row>
    <row r="46" spans="1:10" x14ac:dyDescent="0.2">
      <c r="A46" s="2" t="s">
        <v>720</v>
      </c>
      <c r="D46" s="10">
        <v>10.5151</v>
      </c>
    </row>
    <row r="47" spans="1:10" x14ac:dyDescent="0.2">
      <c r="A47" s="2" t="s">
        <v>1082</v>
      </c>
      <c r="D47" s="10">
        <v>10.4655</v>
      </c>
    </row>
    <row r="48" spans="1:10" x14ac:dyDescent="0.2">
      <c r="A48" s="2" t="s">
        <v>726</v>
      </c>
      <c r="D48" s="10">
        <v>10.250400000000001</v>
      </c>
    </row>
    <row r="50" spans="1:5" x14ac:dyDescent="0.2">
      <c r="A50" s="4" t="s">
        <v>109</v>
      </c>
      <c r="D50" s="73"/>
    </row>
    <row r="51" spans="1:5" x14ac:dyDescent="0.2">
      <c r="A51" s="41" t="s">
        <v>727</v>
      </c>
      <c r="B51" s="42"/>
      <c r="C51" s="57" t="s">
        <v>728</v>
      </c>
      <c r="D51" s="58"/>
    </row>
    <row r="52" spans="1:5" x14ac:dyDescent="0.2">
      <c r="A52" s="59"/>
      <c r="B52" s="60"/>
      <c r="C52" s="43" t="s">
        <v>729</v>
      </c>
      <c r="D52" s="43" t="s">
        <v>730</v>
      </c>
    </row>
    <row r="53" spans="1:5" x14ac:dyDescent="0.2">
      <c r="A53" s="44" t="s">
        <v>726</v>
      </c>
      <c r="B53" s="45"/>
      <c r="C53" s="46">
        <v>0.1188532455</v>
      </c>
      <c r="D53" s="46">
        <v>0.11005869770000001</v>
      </c>
    </row>
    <row r="55" spans="1:5" x14ac:dyDescent="0.2">
      <c r="A55" s="4" t="s">
        <v>883</v>
      </c>
      <c r="D55" s="70">
        <v>2.0790266463119833</v>
      </c>
      <c r="E55" s="1" t="s">
        <v>735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showGridLines="0" workbookViewId="0">
      <selection sqref="A1:F1"/>
    </sheetView>
  </sheetViews>
  <sheetFormatPr defaultRowHeight="11.25" x14ac:dyDescent="0.2"/>
  <cols>
    <col min="1" max="1" width="41.42578125" style="2" customWidth="1"/>
    <col min="2" max="2" width="56" style="2" bestFit="1" customWidth="1"/>
    <col min="3" max="3" width="11.7109375" style="2" bestFit="1" customWidth="1"/>
    <col min="4" max="4" width="6.85546875" style="2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1083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1066</v>
      </c>
      <c r="B8" s="66" t="s">
        <v>1067</v>
      </c>
      <c r="C8" s="66" t="s">
        <v>892</v>
      </c>
      <c r="D8" s="66">
        <v>156</v>
      </c>
      <c r="E8" s="7">
        <v>1522.06548</v>
      </c>
      <c r="F8" s="7">
        <v>9.3334508387379795</v>
      </c>
    </row>
    <row r="9" spans="1:6" x14ac:dyDescent="0.2">
      <c r="A9" s="66" t="s">
        <v>1084</v>
      </c>
      <c r="B9" s="66" t="s">
        <v>1085</v>
      </c>
      <c r="C9" s="66" t="s">
        <v>421</v>
      </c>
      <c r="D9" s="66">
        <v>150</v>
      </c>
      <c r="E9" s="7">
        <v>1498.6859999999999</v>
      </c>
      <c r="F9" s="7">
        <v>9.1900856352808606</v>
      </c>
    </row>
    <row r="10" spans="1:6" x14ac:dyDescent="0.2">
      <c r="A10" s="66" t="s">
        <v>1074</v>
      </c>
      <c r="B10" s="66" t="s">
        <v>1075</v>
      </c>
      <c r="C10" s="66" t="s">
        <v>892</v>
      </c>
      <c r="D10" s="66">
        <v>150</v>
      </c>
      <c r="E10" s="7">
        <v>1455.4575</v>
      </c>
      <c r="F10" s="7">
        <v>8.9250043461484196</v>
      </c>
    </row>
    <row r="11" spans="1:6" x14ac:dyDescent="0.2">
      <c r="A11" s="66" t="s">
        <v>963</v>
      </c>
      <c r="B11" s="66" t="s">
        <v>964</v>
      </c>
      <c r="C11" s="66" t="s">
        <v>421</v>
      </c>
      <c r="D11" s="66">
        <v>11</v>
      </c>
      <c r="E11" s="7">
        <v>1095.4383</v>
      </c>
      <c r="F11" s="7">
        <v>6.7173322398197399</v>
      </c>
    </row>
    <row r="12" spans="1:6" x14ac:dyDescent="0.2">
      <c r="A12" s="66" t="s">
        <v>1086</v>
      </c>
      <c r="B12" s="66" t="s">
        <v>1087</v>
      </c>
      <c r="C12" s="66" t="s">
        <v>421</v>
      </c>
      <c r="D12" s="66">
        <v>100</v>
      </c>
      <c r="E12" s="7">
        <v>1021.5119999999999</v>
      </c>
      <c r="F12" s="7">
        <v>6.2640091102919602</v>
      </c>
    </row>
    <row r="13" spans="1:6" x14ac:dyDescent="0.2">
      <c r="A13" s="66" t="s">
        <v>1088</v>
      </c>
      <c r="B13" s="66" t="s">
        <v>1089</v>
      </c>
      <c r="C13" s="66" t="s">
        <v>421</v>
      </c>
      <c r="D13" s="66">
        <v>100</v>
      </c>
      <c r="E13" s="7">
        <v>999.42499999999995</v>
      </c>
      <c r="F13" s="7">
        <v>6.1285695175911297</v>
      </c>
    </row>
    <row r="14" spans="1:6" x14ac:dyDescent="0.2">
      <c r="A14" s="66" t="s">
        <v>1090</v>
      </c>
      <c r="B14" s="66" t="s">
        <v>1091</v>
      </c>
      <c r="C14" s="66" t="s">
        <v>421</v>
      </c>
      <c r="D14" s="66">
        <v>40</v>
      </c>
      <c r="E14" s="7">
        <v>996.62900000000002</v>
      </c>
      <c r="F14" s="7">
        <v>6.1114241786500498</v>
      </c>
    </row>
    <row r="15" spans="1:6" x14ac:dyDescent="0.2">
      <c r="A15" s="66" t="s">
        <v>1092</v>
      </c>
      <c r="B15" s="66" t="s">
        <v>1093</v>
      </c>
      <c r="C15" s="66" t="s">
        <v>897</v>
      </c>
      <c r="D15" s="66">
        <v>800</v>
      </c>
      <c r="E15" s="7">
        <v>806.07920000000001</v>
      </c>
      <c r="F15" s="7">
        <v>4.9429546127865898</v>
      </c>
    </row>
    <row r="16" spans="1:6" x14ac:dyDescent="0.2">
      <c r="A16" s="66" t="s">
        <v>1050</v>
      </c>
      <c r="B16" s="66" t="s">
        <v>1051</v>
      </c>
      <c r="C16" s="66" t="s">
        <v>421</v>
      </c>
      <c r="D16" s="66">
        <v>62</v>
      </c>
      <c r="E16" s="7">
        <v>604.76473999999996</v>
      </c>
      <c r="F16" s="7">
        <v>3.7084751240742602</v>
      </c>
    </row>
    <row r="17" spans="1:6" x14ac:dyDescent="0.2">
      <c r="A17" s="66" t="s">
        <v>1094</v>
      </c>
      <c r="B17" s="66" t="s">
        <v>1095</v>
      </c>
      <c r="C17" s="66" t="s">
        <v>421</v>
      </c>
      <c r="D17" s="66">
        <v>40</v>
      </c>
      <c r="E17" s="7">
        <v>511.21300000000002</v>
      </c>
      <c r="F17" s="7">
        <v>3.1348069227769102</v>
      </c>
    </row>
    <row r="18" spans="1:6" x14ac:dyDescent="0.2">
      <c r="A18" s="66" t="s">
        <v>1096</v>
      </c>
      <c r="B18" s="66" t="s">
        <v>1097</v>
      </c>
      <c r="C18" s="66" t="s">
        <v>421</v>
      </c>
      <c r="D18" s="66">
        <v>50</v>
      </c>
      <c r="E18" s="7">
        <v>507.65350000000001</v>
      </c>
      <c r="F18" s="7">
        <v>3.11297972894259</v>
      </c>
    </row>
    <row r="19" spans="1:6" x14ac:dyDescent="0.2">
      <c r="A19" s="66" t="s">
        <v>1098</v>
      </c>
      <c r="B19" s="66" t="s">
        <v>1099</v>
      </c>
      <c r="C19" s="66" t="s">
        <v>421</v>
      </c>
      <c r="D19" s="66">
        <v>50</v>
      </c>
      <c r="E19" s="7">
        <v>507.51949999999999</v>
      </c>
      <c r="F19" s="7">
        <v>3.1121580281492802</v>
      </c>
    </row>
    <row r="20" spans="1:6" x14ac:dyDescent="0.2">
      <c r="A20" s="66" t="s">
        <v>1046</v>
      </c>
      <c r="B20" s="66" t="s">
        <v>1047</v>
      </c>
      <c r="C20" s="66" t="s">
        <v>421</v>
      </c>
      <c r="D20" s="66">
        <v>38</v>
      </c>
      <c r="E20" s="7">
        <v>373.62436000000002</v>
      </c>
      <c r="F20" s="7">
        <v>2.2911002463671499</v>
      </c>
    </row>
    <row r="21" spans="1:6" x14ac:dyDescent="0.2">
      <c r="A21" s="66" t="s">
        <v>818</v>
      </c>
      <c r="B21" s="66" t="s">
        <v>819</v>
      </c>
      <c r="C21" s="66" t="s">
        <v>421</v>
      </c>
      <c r="D21" s="66">
        <v>26</v>
      </c>
      <c r="E21" s="7">
        <v>253.15003999999999</v>
      </c>
      <c r="F21" s="7">
        <v>1.5523402141441101</v>
      </c>
    </row>
    <row r="22" spans="1:6" x14ac:dyDescent="0.2">
      <c r="A22" s="66" t="s">
        <v>1054</v>
      </c>
      <c r="B22" s="66" t="s">
        <v>1055</v>
      </c>
      <c r="C22" s="66" t="s">
        <v>421</v>
      </c>
      <c r="D22" s="66">
        <v>13</v>
      </c>
      <c r="E22" s="7">
        <v>164.0614625</v>
      </c>
      <c r="F22" s="7">
        <v>1.00604055140598</v>
      </c>
    </row>
    <row r="23" spans="1:6" x14ac:dyDescent="0.2">
      <c r="A23" s="66" t="s">
        <v>1034</v>
      </c>
      <c r="B23" s="66" t="s">
        <v>1035</v>
      </c>
      <c r="C23" s="66" t="s">
        <v>421</v>
      </c>
      <c r="D23" s="66">
        <v>16</v>
      </c>
      <c r="E23" s="7">
        <v>157.15216000000001</v>
      </c>
      <c r="F23" s="7">
        <v>0.96367204882767898</v>
      </c>
    </row>
    <row r="24" spans="1:6" x14ac:dyDescent="0.2">
      <c r="A24" s="66" t="s">
        <v>820</v>
      </c>
      <c r="B24" s="66" t="s">
        <v>821</v>
      </c>
      <c r="C24" s="66" t="s">
        <v>421</v>
      </c>
      <c r="D24" s="66">
        <v>5</v>
      </c>
      <c r="E24" s="7">
        <v>52.098050000000001</v>
      </c>
      <c r="F24" s="7">
        <v>0.319470216530443</v>
      </c>
    </row>
    <row r="25" spans="1:6" x14ac:dyDescent="0.2">
      <c r="A25" s="66" t="s">
        <v>1100</v>
      </c>
      <c r="B25" s="66" t="s">
        <v>1101</v>
      </c>
      <c r="C25" s="66" t="s">
        <v>421</v>
      </c>
      <c r="D25" s="66">
        <v>3</v>
      </c>
      <c r="E25" s="7">
        <v>29.59056</v>
      </c>
      <c r="F25" s="7">
        <v>0.18145213900437901</v>
      </c>
    </row>
    <row r="26" spans="1:6" x14ac:dyDescent="0.2">
      <c r="A26" s="65" t="s">
        <v>39</v>
      </c>
      <c r="B26" s="66"/>
      <c r="C26" s="66"/>
      <c r="D26" s="66"/>
      <c r="E26" s="6">
        <f>SUM(E8:E25)</f>
        <v>12556.119852500002</v>
      </c>
      <c r="F26" s="6">
        <f>SUM(F8:F25)</f>
        <v>76.995325699529502</v>
      </c>
    </row>
    <row r="27" spans="1:6" x14ac:dyDescent="0.2">
      <c r="A27" s="66"/>
      <c r="B27" s="66"/>
      <c r="C27" s="66"/>
      <c r="D27" s="66"/>
      <c r="E27" s="7"/>
      <c r="F27" s="7"/>
    </row>
    <row r="28" spans="1:6" x14ac:dyDescent="0.2">
      <c r="A28" s="65" t="s">
        <v>822</v>
      </c>
      <c r="B28" s="66"/>
      <c r="C28" s="66"/>
      <c r="D28" s="66"/>
      <c r="E28" s="7"/>
      <c r="F28" s="7"/>
    </row>
    <row r="29" spans="1:6" x14ac:dyDescent="0.2">
      <c r="A29" s="66" t="s">
        <v>1022</v>
      </c>
      <c r="B29" s="66" t="s">
        <v>1023</v>
      </c>
      <c r="C29" s="66" t="s">
        <v>897</v>
      </c>
      <c r="D29" s="66">
        <v>150</v>
      </c>
      <c r="E29" s="7">
        <v>1486.797</v>
      </c>
      <c r="F29" s="7">
        <v>9.1171811522084507</v>
      </c>
    </row>
    <row r="30" spans="1:6" x14ac:dyDescent="0.2">
      <c r="A30" s="66" t="s">
        <v>1080</v>
      </c>
      <c r="B30" s="66" t="s">
        <v>1081</v>
      </c>
      <c r="C30" s="66" t="s">
        <v>421</v>
      </c>
      <c r="D30" s="66">
        <v>150</v>
      </c>
      <c r="E30" s="7">
        <v>1459.9349999999999</v>
      </c>
      <c r="F30" s="7">
        <v>8.9524608036264794</v>
      </c>
    </row>
    <row r="31" spans="1:6" x14ac:dyDescent="0.2">
      <c r="A31" s="65" t="s">
        <v>39</v>
      </c>
      <c r="B31" s="66"/>
      <c r="C31" s="66"/>
      <c r="D31" s="66"/>
      <c r="E31" s="6">
        <f>SUM(E29:E30)</f>
        <v>2946.732</v>
      </c>
      <c r="F31" s="6">
        <f>SUM(F29:F30)</f>
        <v>18.069641955834932</v>
      </c>
    </row>
    <row r="32" spans="1:6" x14ac:dyDescent="0.2">
      <c r="A32" s="66"/>
      <c r="B32" s="66"/>
      <c r="C32" s="66"/>
      <c r="D32" s="66"/>
      <c r="E32" s="7"/>
      <c r="F32" s="7"/>
    </row>
    <row r="33" spans="1:10" x14ac:dyDescent="0.2">
      <c r="A33" s="65" t="s">
        <v>39</v>
      </c>
      <c r="B33" s="66"/>
      <c r="C33" s="66"/>
      <c r="D33" s="66"/>
      <c r="E33" s="6">
        <v>15502.851852500002</v>
      </c>
      <c r="F33" s="6">
        <v>95.064967655364427</v>
      </c>
      <c r="I33" s="1"/>
      <c r="J33" s="1"/>
    </row>
    <row r="34" spans="1:10" x14ac:dyDescent="0.2">
      <c r="A34" s="66"/>
      <c r="B34" s="66"/>
      <c r="C34" s="66"/>
      <c r="D34" s="66"/>
      <c r="E34" s="7"/>
      <c r="F34" s="7"/>
    </row>
    <row r="35" spans="1:10" x14ac:dyDescent="0.2">
      <c r="A35" s="65" t="s">
        <v>103</v>
      </c>
      <c r="B35" s="66"/>
      <c r="C35" s="66"/>
      <c r="D35" s="66"/>
      <c r="E35" s="6">
        <v>804.78911760000005</v>
      </c>
      <c r="F35" s="6">
        <v>4.9400000000000004</v>
      </c>
      <c r="I35" s="1"/>
      <c r="J35" s="1"/>
    </row>
    <row r="36" spans="1:10" x14ac:dyDescent="0.2">
      <c r="A36" s="66"/>
      <c r="B36" s="66"/>
      <c r="C36" s="66"/>
      <c r="D36" s="66"/>
      <c r="E36" s="7"/>
      <c r="F36" s="7"/>
    </row>
    <row r="37" spans="1:10" x14ac:dyDescent="0.2">
      <c r="A37" s="68" t="s">
        <v>104</v>
      </c>
      <c r="B37" s="64"/>
      <c r="C37" s="64"/>
      <c r="D37" s="64"/>
      <c r="E37" s="8">
        <v>16307.6391176</v>
      </c>
      <c r="F37" s="8">
        <f xml:space="preserve"> ROUND(SUM(F33:F36),2)</f>
        <v>100</v>
      </c>
      <c r="I37" s="1"/>
      <c r="J37" s="1"/>
    </row>
    <row r="38" spans="1:10" x14ac:dyDescent="0.2">
      <c r="A38" s="4" t="s">
        <v>714</v>
      </c>
    </row>
    <row r="39" spans="1:10" x14ac:dyDescent="0.2">
      <c r="A39" s="4"/>
    </row>
    <row r="40" spans="1:10" x14ac:dyDescent="0.2">
      <c r="A40" s="4" t="s">
        <v>105</v>
      </c>
    </row>
    <row r="41" spans="1:10" x14ac:dyDescent="0.2">
      <c r="A41" s="4" t="s">
        <v>106</v>
      </c>
    </row>
    <row r="42" spans="1:10" x14ac:dyDescent="0.2">
      <c r="A42" s="4" t="s">
        <v>107</v>
      </c>
    </row>
    <row r="43" spans="1:10" x14ac:dyDescent="0.2">
      <c r="A43" s="2" t="s">
        <v>722</v>
      </c>
      <c r="D43" s="10">
        <v>10.0571</v>
      </c>
    </row>
    <row r="44" spans="1:10" x14ac:dyDescent="0.2">
      <c r="A44" s="2" t="s">
        <v>719</v>
      </c>
      <c r="D44" s="10">
        <v>10.0824</v>
      </c>
    </row>
    <row r="45" spans="1:10" x14ac:dyDescent="0.2">
      <c r="A45" s="2" t="s">
        <v>720</v>
      </c>
      <c r="D45" s="10">
        <v>10.0824</v>
      </c>
    </row>
    <row r="46" spans="1:10" x14ac:dyDescent="0.2">
      <c r="A46" s="2" t="s">
        <v>1082</v>
      </c>
      <c r="D46" s="10">
        <v>10.0571</v>
      </c>
    </row>
    <row r="47" spans="1:10" x14ac:dyDescent="0.2">
      <c r="A47" s="2" t="s">
        <v>726</v>
      </c>
      <c r="D47" s="10">
        <v>10.037100000000001</v>
      </c>
    </row>
    <row r="48" spans="1:10" x14ac:dyDescent="0.2">
      <c r="A48" s="2" t="s">
        <v>724</v>
      </c>
      <c r="D48" s="10">
        <v>10.032400000000001</v>
      </c>
    </row>
    <row r="50" spans="1:4" x14ac:dyDescent="0.2">
      <c r="A50" s="4" t="s">
        <v>108</v>
      </c>
    </row>
    <row r="51" spans="1:4" x14ac:dyDescent="0.2">
      <c r="A51" s="2" t="s">
        <v>722</v>
      </c>
      <c r="D51" s="10">
        <v>10.45</v>
      </c>
    </row>
    <row r="52" spans="1:4" x14ac:dyDescent="0.2">
      <c r="A52" s="2" t="s">
        <v>719</v>
      </c>
      <c r="D52" s="10">
        <v>10.126200000000001</v>
      </c>
    </row>
    <row r="53" spans="1:4" x14ac:dyDescent="0.2">
      <c r="A53" s="2" t="s">
        <v>720</v>
      </c>
      <c r="D53" s="10">
        <v>10.5024</v>
      </c>
    </row>
    <row r="54" spans="1:4" x14ac:dyDescent="0.2">
      <c r="A54" s="2" t="s">
        <v>724</v>
      </c>
      <c r="D54" s="10">
        <v>10.121</v>
      </c>
    </row>
    <row r="55" spans="1:4" x14ac:dyDescent="0.2">
      <c r="A55" s="2" t="s">
        <v>726</v>
      </c>
      <c r="D55" s="10">
        <v>10.100199999999999</v>
      </c>
    </row>
    <row r="56" spans="1:4" x14ac:dyDescent="0.2">
      <c r="A56" s="2" t="s">
        <v>1082</v>
      </c>
      <c r="D56" s="10">
        <v>10.103899999999999</v>
      </c>
    </row>
    <row r="58" spans="1:4" x14ac:dyDescent="0.2">
      <c r="A58" s="4" t="s">
        <v>109</v>
      </c>
      <c r="D58" s="69"/>
    </row>
    <row r="59" spans="1:4" x14ac:dyDescent="0.2">
      <c r="A59" s="41" t="s">
        <v>727</v>
      </c>
      <c r="B59" s="42"/>
      <c r="C59" s="57" t="s">
        <v>728</v>
      </c>
      <c r="D59" s="58"/>
    </row>
    <row r="60" spans="1:4" x14ac:dyDescent="0.2">
      <c r="A60" s="59"/>
      <c r="B60" s="60"/>
      <c r="C60" s="43" t="s">
        <v>729</v>
      </c>
      <c r="D60" s="43" t="s">
        <v>730</v>
      </c>
    </row>
    <row r="61" spans="1:4" x14ac:dyDescent="0.2">
      <c r="A61" s="44" t="s">
        <v>1082</v>
      </c>
      <c r="B61" s="45"/>
      <c r="C61" s="46">
        <v>0.24851133150000002</v>
      </c>
      <c r="D61" s="46">
        <v>0.23012273150000001</v>
      </c>
    </row>
    <row r="62" spans="1:4" x14ac:dyDescent="0.2">
      <c r="A62" s="44" t="s">
        <v>719</v>
      </c>
      <c r="B62" s="45"/>
      <c r="C62" s="46">
        <v>0.27012101250000004</v>
      </c>
      <c r="D62" s="46">
        <v>0.25013340379999999</v>
      </c>
    </row>
    <row r="63" spans="1:4" x14ac:dyDescent="0.2">
      <c r="A63" s="44" t="s">
        <v>726</v>
      </c>
      <c r="B63" s="45"/>
      <c r="C63" s="46">
        <v>0.23410487750000003</v>
      </c>
      <c r="D63" s="46">
        <v>0.21678228330000002</v>
      </c>
    </row>
    <row r="64" spans="1:4" x14ac:dyDescent="0.2">
      <c r="A64" s="44" t="s">
        <v>724</v>
      </c>
      <c r="B64" s="45"/>
      <c r="C64" s="46">
        <v>0.23410487750000003</v>
      </c>
      <c r="D64" s="46">
        <v>0.21678228330000002</v>
      </c>
    </row>
    <row r="65" spans="1:5" x14ac:dyDescent="0.2">
      <c r="A65" s="47"/>
      <c r="B65" s="47"/>
      <c r="C65" s="48"/>
      <c r="D65" s="48"/>
    </row>
    <row r="66" spans="1:5" x14ac:dyDescent="0.2">
      <c r="A66" s="4" t="s">
        <v>883</v>
      </c>
      <c r="D66" s="70">
        <v>2.1015006662801912</v>
      </c>
      <c r="E66" s="1" t="s">
        <v>907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showGridLines="0" workbookViewId="0">
      <selection sqref="A1:F1"/>
    </sheetView>
  </sheetViews>
  <sheetFormatPr defaultRowHeight="11.25" x14ac:dyDescent="0.2"/>
  <cols>
    <col min="1" max="1" width="40.28515625" style="2" customWidth="1"/>
    <col min="2" max="2" width="56" style="2" bestFit="1" customWidth="1"/>
    <col min="3" max="3" width="11.7109375" style="2" bestFit="1" customWidth="1"/>
    <col min="4" max="4" width="6.85546875" style="2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1102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1103</v>
      </c>
      <c r="B8" s="66" t="s">
        <v>1104</v>
      </c>
      <c r="C8" s="66" t="s">
        <v>421</v>
      </c>
      <c r="D8" s="66">
        <v>26</v>
      </c>
      <c r="E8" s="7">
        <v>259.36846000000003</v>
      </c>
      <c r="F8" s="7">
        <v>11.2984346504646</v>
      </c>
    </row>
    <row r="9" spans="1:6" x14ac:dyDescent="0.2">
      <c r="A9" s="66" t="s">
        <v>1105</v>
      </c>
      <c r="B9" s="66" t="s">
        <v>1106</v>
      </c>
      <c r="C9" s="66" t="s">
        <v>897</v>
      </c>
      <c r="D9" s="66">
        <v>23</v>
      </c>
      <c r="E9" s="7">
        <v>231.15483</v>
      </c>
      <c r="F9" s="7">
        <v>10.069411450005299</v>
      </c>
    </row>
    <row r="10" spans="1:6" x14ac:dyDescent="0.2">
      <c r="A10" s="66" t="s">
        <v>1107</v>
      </c>
      <c r="B10" s="66" t="s">
        <v>1108</v>
      </c>
      <c r="C10" s="66" t="s">
        <v>421</v>
      </c>
      <c r="D10" s="66">
        <v>21</v>
      </c>
      <c r="E10" s="7">
        <v>209.44265999999999</v>
      </c>
      <c r="F10" s="7">
        <v>9.1236004833797804</v>
      </c>
    </row>
    <row r="11" spans="1:6" x14ac:dyDescent="0.2">
      <c r="A11" s="66" t="s">
        <v>1109</v>
      </c>
      <c r="B11" s="66" t="s">
        <v>1110</v>
      </c>
      <c r="C11" s="66" t="s">
        <v>421</v>
      </c>
      <c r="D11" s="66">
        <v>21</v>
      </c>
      <c r="E11" s="7">
        <v>206.63894999999999</v>
      </c>
      <c r="F11" s="7">
        <v>9.0014671514632703</v>
      </c>
    </row>
    <row r="12" spans="1:6" x14ac:dyDescent="0.2">
      <c r="A12" s="66" t="s">
        <v>1111</v>
      </c>
      <c r="B12" s="66" t="s">
        <v>1112</v>
      </c>
      <c r="C12" s="66" t="s">
        <v>421</v>
      </c>
      <c r="D12" s="66">
        <v>20</v>
      </c>
      <c r="E12" s="7">
        <v>201.04900000000001</v>
      </c>
      <c r="F12" s="7">
        <v>8.7579615040365795</v>
      </c>
    </row>
    <row r="13" spans="1:6" x14ac:dyDescent="0.2">
      <c r="A13" s="66" t="s">
        <v>1113</v>
      </c>
      <c r="B13" s="66" t="s">
        <v>1114</v>
      </c>
      <c r="C13" s="66" t="s">
        <v>421</v>
      </c>
      <c r="D13" s="66">
        <v>20</v>
      </c>
      <c r="E13" s="7">
        <v>199.536</v>
      </c>
      <c r="F13" s="7">
        <v>8.6920532142385305</v>
      </c>
    </row>
    <row r="14" spans="1:6" x14ac:dyDescent="0.2">
      <c r="A14" s="66" t="s">
        <v>1115</v>
      </c>
      <c r="B14" s="66" t="s">
        <v>1116</v>
      </c>
      <c r="C14" s="66" t="s">
        <v>421</v>
      </c>
      <c r="D14" s="66">
        <v>2</v>
      </c>
      <c r="E14" s="7">
        <v>197.21039999999999</v>
      </c>
      <c r="F14" s="7">
        <v>8.5907469890208592</v>
      </c>
    </row>
    <row r="15" spans="1:6" x14ac:dyDescent="0.2">
      <c r="A15" s="66" t="s">
        <v>1117</v>
      </c>
      <c r="B15" s="66" t="s">
        <v>1118</v>
      </c>
      <c r="C15" s="66" t="s">
        <v>421</v>
      </c>
      <c r="D15" s="66">
        <v>19</v>
      </c>
      <c r="E15" s="7">
        <v>186.46239</v>
      </c>
      <c r="F15" s="7">
        <v>8.1225493962698394</v>
      </c>
    </row>
    <row r="16" spans="1:6" x14ac:dyDescent="0.2">
      <c r="A16" s="66" t="s">
        <v>1100</v>
      </c>
      <c r="B16" s="66" t="s">
        <v>1101</v>
      </c>
      <c r="C16" s="66" t="s">
        <v>421</v>
      </c>
      <c r="D16" s="66">
        <v>15</v>
      </c>
      <c r="E16" s="7">
        <v>147.9528</v>
      </c>
      <c r="F16" s="7">
        <v>6.4450205015415296</v>
      </c>
    </row>
    <row r="17" spans="1:10" x14ac:dyDescent="0.2">
      <c r="A17" s="66" t="s">
        <v>1119</v>
      </c>
      <c r="B17" s="66" t="s">
        <v>1120</v>
      </c>
      <c r="C17" s="66" t="s">
        <v>421</v>
      </c>
      <c r="D17" s="66">
        <v>13</v>
      </c>
      <c r="E17" s="7">
        <v>127.92832</v>
      </c>
      <c r="F17" s="7">
        <v>5.5727275531640199</v>
      </c>
    </row>
    <row r="18" spans="1:10" x14ac:dyDescent="0.2">
      <c r="A18" s="65" t="s">
        <v>39</v>
      </c>
      <c r="B18" s="66"/>
      <c r="C18" s="66"/>
      <c r="D18" s="66"/>
      <c r="E18" s="6">
        <f>SUM(E8:E17)</f>
        <v>1966.7438099999999</v>
      </c>
      <c r="F18" s="6">
        <f>SUM(F8:F17)</f>
        <v>85.673972893584306</v>
      </c>
    </row>
    <row r="19" spans="1:10" x14ac:dyDescent="0.2">
      <c r="A19" s="66"/>
      <c r="B19" s="66"/>
      <c r="C19" s="66"/>
      <c r="D19" s="66"/>
      <c r="E19" s="7"/>
      <c r="F19" s="7"/>
    </row>
    <row r="20" spans="1:10" x14ac:dyDescent="0.2">
      <c r="A20" s="65" t="s">
        <v>822</v>
      </c>
      <c r="B20" s="66"/>
      <c r="C20" s="66"/>
      <c r="D20" s="66"/>
      <c r="E20" s="7"/>
      <c r="F20" s="7"/>
    </row>
    <row r="21" spans="1:10" x14ac:dyDescent="0.2">
      <c r="A21" s="66" t="s">
        <v>1121</v>
      </c>
      <c r="B21" s="66" t="s">
        <v>1122</v>
      </c>
      <c r="C21" s="66" t="s">
        <v>421</v>
      </c>
      <c r="D21" s="66">
        <v>22</v>
      </c>
      <c r="E21" s="7">
        <v>216.83618000000001</v>
      </c>
      <c r="F21" s="7">
        <v>9.4456720357840407</v>
      </c>
    </row>
    <row r="22" spans="1:10" x14ac:dyDescent="0.2">
      <c r="A22" s="65" t="s">
        <v>39</v>
      </c>
      <c r="B22" s="66"/>
      <c r="C22" s="66"/>
      <c r="D22" s="66"/>
      <c r="E22" s="6">
        <f>SUM(E21:E21)</f>
        <v>216.83618000000001</v>
      </c>
      <c r="F22" s="6">
        <f>SUM(F21:F21)</f>
        <v>9.4456720357840407</v>
      </c>
    </row>
    <row r="23" spans="1:10" x14ac:dyDescent="0.2">
      <c r="A23" s="66"/>
      <c r="B23" s="66"/>
      <c r="C23" s="66"/>
      <c r="D23" s="66"/>
      <c r="E23" s="7"/>
      <c r="F23" s="7"/>
    </row>
    <row r="24" spans="1:10" x14ac:dyDescent="0.2">
      <c r="A24" s="65" t="s">
        <v>39</v>
      </c>
      <c r="B24" s="66"/>
      <c r="C24" s="66"/>
      <c r="D24" s="66"/>
      <c r="E24" s="6">
        <v>2183.5799900000002</v>
      </c>
      <c r="F24" s="6">
        <v>95.119644929368349</v>
      </c>
      <c r="I24" s="1"/>
      <c r="J24" s="1"/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5" t="s">
        <v>103</v>
      </c>
      <c r="B26" s="66"/>
      <c r="C26" s="66"/>
      <c r="D26" s="66"/>
      <c r="E26" s="6">
        <v>112.03410959999999</v>
      </c>
      <c r="F26" s="6">
        <v>4.88</v>
      </c>
      <c r="I26" s="1"/>
      <c r="J26" s="1"/>
    </row>
    <row r="27" spans="1:10" x14ac:dyDescent="0.2">
      <c r="A27" s="66"/>
      <c r="B27" s="66"/>
      <c r="C27" s="66"/>
      <c r="D27" s="66"/>
      <c r="E27" s="7"/>
      <c r="F27" s="7"/>
    </row>
    <row r="28" spans="1:10" x14ac:dyDescent="0.2">
      <c r="A28" s="68" t="s">
        <v>104</v>
      </c>
      <c r="B28" s="64"/>
      <c r="C28" s="64"/>
      <c r="D28" s="64"/>
      <c r="E28" s="8">
        <v>2295.6141096000001</v>
      </c>
      <c r="F28" s="8">
        <f xml:space="preserve"> ROUND(SUM(F24:F27),2)</f>
        <v>100</v>
      </c>
      <c r="I28" s="1"/>
      <c r="J28" s="1"/>
    </row>
    <row r="29" spans="1:10" x14ac:dyDescent="0.2">
      <c r="A29" s="4" t="s">
        <v>714</v>
      </c>
    </row>
    <row r="30" spans="1:10" x14ac:dyDescent="0.2">
      <c r="A30" s="4"/>
    </row>
    <row r="31" spans="1:10" x14ac:dyDescent="0.2">
      <c r="A31" s="4" t="s">
        <v>105</v>
      </c>
    </row>
    <row r="32" spans="1:10" x14ac:dyDescent="0.2">
      <c r="A32" s="4" t="s">
        <v>106</v>
      </c>
    </row>
    <row r="33" spans="1:4" x14ac:dyDescent="0.2">
      <c r="A33" s="4" t="s">
        <v>107</v>
      </c>
    </row>
    <row r="34" spans="1:4" x14ac:dyDescent="0.2">
      <c r="A34" s="2" t="s">
        <v>722</v>
      </c>
      <c r="D34" s="10">
        <v>10.5511</v>
      </c>
    </row>
    <row r="35" spans="1:4" x14ac:dyDescent="0.2">
      <c r="A35" s="2" t="s">
        <v>719</v>
      </c>
      <c r="D35" s="10">
        <v>10.2973</v>
      </c>
    </row>
    <row r="36" spans="1:4" x14ac:dyDescent="0.2">
      <c r="A36" s="2" t="s">
        <v>720</v>
      </c>
      <c r="D36" s="10">
        <v>10.5975</v>
      </c>
    </row>
    <row r="37" spans="1:4" x14ac:dyDescent="0.2">
      <c r="A37" s="2" t="s">
        <v>721</v>
      </c>
      <c r="D37" s="10">
        <v>10.250999999999999</v>
      </c>
    </row>
    <row r="38" spans="1:4" x14ac:dyDescent="0.2">
      <c r="A38" s="2" t="s">
        <v>726</v>
      </c>
      <c r="D38" s="10">
        <v>10.038399999999999</v>
      </c>
    </row>
    <row r="39" spans="1:4" x14ac:dyDescent="0.2">
      <c r="A39" s="2" t="s">
        <v>724</v>
      </c>
      <c r="D39" s="10">
        <v>10.0639</v>
      </c>
    </row>
    <row r="41" spans="1:4" x14ac:dyDescent="0.2">
      <c r="A41" s="4" t="s">
        <v>108</v>
      </c>
    </row>
    <row r="42" spans="1:4" x14ac:dyDescent="0.2">
      <c r="A42" s="2" t="s">
        <v>722</v>
      </c>
      <c r="D42" s="10">
        <v>10.9787</v>
      </c>
    </row>
    <row r="43" spans="1:4" x14ac:dyDescent="0.2">
      <c r="A43" s="2" t="s">
        <v>719</v>
      </c>
      <c r="D43" s="10">
        <v>10.714700000000001</v>
      </c>
    </row>
    <row r="44" spans="1:4" x14ac:dyDescent="0.2">
      <c r="A44" s="2" t="s">
        <v>720</v>
      </c>
      <c r="D44" s="10">
        <v>11.026999999999999</v>
      </c>
    </row>
    <row r="45" spans="1:4" x14ac:dyDescent="0.2">
      <c r="A45" s="2" t="s">
        <v>721</v>
      </c>
      <c r="D45" s="10">
        <v>10.666399999999999</v>
      </c>
    </row>
    <row r="46" spans="1:4" x14ac:dyDescent="0.2">
      <c r="A46" s="2" t="s">
        <v>726</v>
      </c>
      <c r="D46" s="10">
        <v>10.091200000000001</v>
      </c>
    </row>
    <row r="47" spans="1:4" x14ac:dyDescent="0.2">
      <c r="A47" s="2" t="s">
        <v>724</v>
      </c>
      <c r="D47" s="10">
        <v>10.117699999999999</v>
      </c>
    </row>
    <row r="49" spans="1:5" x14ac:dyDescent="0.2">
      <c r="A49" s="4" t="s">
        <v>109</v>
      </c>
      <c r="D49" s="73"/>
    </row>
    <row r="50" spans="1:5" x14ac:dyDescent="0.2">
      <c r="A50" s="41" t="s">
        <v>727</v>
      </c>
      <c r="B50" s="42"/>
      <c r="C50" s="57" t="s">
        <v>728</v>
      </c>
      <c r="D50" s="58"/>
    </row>
    <row r="51" spans="1:5" x14ac:dyDescent="0.2">
      <c r="A51" s="59"/>
      <c r="B51" s="60"/>
      <c r="C51" s="43" t="s">
        <v>729</v>
      </c>
      <c r="D51" s="43" t="s">
        <v>730</v>
      </c>
    </row>
    <row r="52" spans="1:5" x14ac:dyDescent="0.2">
      <c r="A52" s="44" t="s">
        <v>726</v>
      </c>
      <c r="B52" s="45"/>
      <c r="C52" s="46">
        <v>0.25211294500000003</v>
      </c>
      <c r="D52" s="46">
        <v>0.23345784350000004</v>
      </c>
    </row>
    <row r="53" spans="1:5" x14ac:dyDescent="0.2">
      <c r="A53" s="44" t="s">
        <v>1123</v>
      </c>
      <c r="B53" s="45"/>
      <c r="C53" s="46">
        <v>0.25211294500000003</v>
      </c>
      <c r="D53" s="46">
        <v>0.23345784350000004</v>
      </c>
    </row>
    <row r="55" spans="1:5" x14ac:dyDescent="0.2">
      <c r="A55" s="4" t="s">
        <v>883</v>
      </c>
      <c r="D55" s="70">
        <v>1.2263317971395553</v>
      </c>
      <c r="E55" s="1" t="s">
        <v>907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2" t="s">
        <v>1124</v>
      </c>
      <c r="B1" s="62"/>
      <c r="C1" s="62"/>
      <c r="D1" s="62"/>
      <c r="E1" s="62"/>
      <c r="F1" s="62"/>
    </row>
    <row r="3" spans="1:6" s="4" customFormat="1" x14ac:dyDescent="0.2">
      <c r="A3" s="63" t="s">
        <v>1</v>
      </c>
      <c r="B3" s="63" t="s">
        <v>2</v>
      </c>
      <c r="C3" s="63" t="s">
        <v>741</v>
      </c>
      <c r="D3" s="63" t="s">
        <v>4</v>
      </c>
      <c r="E3" s="3" t="s">
        <v>5</v>
      </c>
      <c r="F3" s="3" t="s">
        <v>6</v>
      </c>
    </row>
    <row r="4" spans="1:6" x14ac:dyDescent="0.2">
      <c r="A4" s="64"/>
      <c r="B4" s="64"/>
      <c r="C4" s="64"/>
      <c r="D4" s="64"/>
      <c r="E4" s="5"/>
      <c r="F4" s="5"/>
    </row>
    <row r="5" spans="1:6" x14ac:dyDescent="0.2">
      <c r="A5" s="65" t="s">
        <v>419</v>
      </c>
      <c r="B5" s="66"/>
      <c r="C5" s="66"/>
      <c r="D5" s="66"/>
      <c r="E5" s="7"/>
      <c r="F5" s="7"/>
    </row>
    <row r="6" spans="1:6" x14ac:dyDescent="0.2">
      <c r="A6" s="65" t="s">
        <v>8</v>
      </c>
      <c r="B6" s="66"/>
      <c r="C6" s="66"/>
      <c r="D6" s="66"/>
      <c r="E6" s="7"/>
      <c r="F6" s="7"/>
    </row>
    <row r="7" spans="1:6" x14ac:dyDescent="0.2">
      <c r="A7" s="65"/>
      <c r="B7" s="66"/>
      <c r="C7" s="66"/>
      <c r="D7" s="66"/>
      <c r="E7" s="7"/>
      <c r="F7" s="7"/>
    </row>
    <row r="8" spans="1:6" x14ac:dyDescent="0.2">
      <c r="A8" s="66" t="s">
        <v>1103</v>
      </c>
      <c r="B8" s="66" t="s">
        <v>1104</v>
      </c>
      <c r="C8" s="66" t="s">
        <v>421</v>
      </c>
      <c r="D8" s="66">
        <v>37</v>
      </c>
      <c r="E8" s="7">
        <v>369.10127</v>
      </c>
      <c r="F8" s="7">
        <v>10.785208762530401</v>
      </c>
    </row>
    <row r="9" spans="1:6" x14ac:dyDescent="0.2">
      <c r="A9" s="66" t="s">
        <v>1109</v>
      </c>
      <c r="B9" s="66" t="s">
        <v>1110</v>
      </c>
      <c r="C9" s="66" t="s">
        <v>421</v>
      </c>
      <c r="D9" s="66">
        <v>34</v>
      </c>
      <c r="E9" s="7">
        <v>334.55829999999997</v>
      </c>
      <c r="F9" s="7">
        <v>9.7758566605237096</v>
      </c>
    </row>
    <row r="10" spans="1:6" x14ac:dyDescent="0.2">
      <c r="A10" s="66" t="s">
        <v>1105</v>
      </c>
      <c r="B10" s="66" t="s">
        <v>1106</v>
      </c>
      <c r="C10" s="66" t="s">
        <v>897</v>
      </c>
      <c r="D10" s="66">
        <v>32</v>
      </c>
      <c r="E10" s="7">
        <v>321.60672</v>
      </c>
      <c r="F10" s="7">
        <v>9.3974090488299993</v>
      </c>
    </row>
    <row r="11" spans="1:6" x14ac:dyDescent="0.2">
      <c r="A11" s="66" t="s">
        <v>1107</v>
      </c>
      <c r="B11" s="66" t="s">
        <v>1108</v>
      </c>
      <c r="C11" s="66" t="s">
        <v>421</v>
      </c>
      <c r="D11" s="66">
        <v>32</v>
      </c>
      <c r="E11" s="7">
        <v>319.15071999999998</v>
      </c>
      <c r="F11" s="7">
        <v>9.3256442653580507</v>
      </c>
    </row>
    <row r="12" spans="1:6" x14ac:dyDescent="0.2">
      <c r="A12" s="66" t="s">
        <v>1119</v>
      </c>
      <c r="B12" s="66" t="s">
        <v>1120</v>
      </c>
      <c r="C12" s="66" t="s">
        <v>421</v>
      </c>
      <c r="D12" s="66">
        <v>32</v>
      </c>
      <c r="E12" s="7">
        <v>314.90048000000002</v>
      </c>
      <c r="F12" s="7">
        <v>9.2014514504949094</v>
      </c>
    </row>
    <row r="13" spans="1:6" x14ac:dyDescent="0.2">
      <c r="A13" s="66" t="s">
        <v>1100</v>
      </c>
      <c r="B13" s="66" t="s">
        <v>1101</v>
      </c>
      <c r="C13" s="66" t="s">
        <v>421</v>
      </c>
      <c r="D13" s="66">
        <v>31</v>
      </c>
      <c r="E13" s="7">
        <v>305.76911999999999</v>
      </c>
      <c r="F13" s="7">
        <v>8.9346313881152302</v>
      </c>
    </row>
    <row r="14" spans="1:6" x14ac:dyDescent="0.2">
      <c r="A14" s="66" t="s">
        <v>1117</v>
      </c>
      <c r="B14" s="66" t="s">
        <v>1118</v>
      </c>
      <c r="C14" s="66" t="s">
        <v>421</v>
      </c>
      <c r="D14" s="66">
        <v>31</v>
      </c>
      <c r="E14" s="7">
        <v>304.22811000000002</v>
      </c>
      <c r="F14" s="7">
        <v>8.8896027851111104</v>
      </c>
    </row>
    <row r="15" spans="1:6" x14ac:dyDescent="0.2">
      <c r="A15" s="66" t="s">
        <v>1111</v>
      </c>
      <c r="B15" s="66" t="s">
        <v>1112</v>
      </c>
      <c r="C15" s="66" t="s">
        <v>421</v>
      </c>
      <c r="D15" s="66">
        <v>30</v>
      </c>
      <c r="E15" s="7">
        <v>301.57350000000002</v>
      </c>
      <c r="F15" s="7">
        <v>8.8120345799594499</v>
      </c>
    </row>
    <row r="16" spans="1:6" x14ac:dyDescent="0.2">
      <c r="A16" s="66" t="s">
        <v>1113</v>
      </c>
      <c r="B16" s="66" t="s">
        <v>1114</v>
      </c>
      <c r="C16" s="66" t="s">
        <v>421</v>
      </c>
      <c r="D16" s="66">
        <v>30</v>
      </c>
      <c r="E16" s="7">
        <v>299.30399999999997</v>
      </c>
      <c r="F16" s="7">
        <v>8.7457193616819193</v>
      </c>
    </row>
    <row r="17" spans="1:10" x14ac:dyDescent="0.2">
      <c r="A17" s="66" t="s">
        <v>1115</v>
      </c>
      <c r="B17" s="66" t="s">
        <v>1116</v>
      </c>
      <c r="C17" s="66" t="s">
        <v>421</v>
      </c>
      <c r="D17" s="66">
        <v>2</v>
      </c>
      <c r="E17" s="7">
        <v>197.21039999999999</v>
      </c>
      <c r="F17" s="7">
        <v>5.7625251035904501</v>
      </c>
    </row>
    <row r="18" spans="1:10" x14ac:dyDescent="0.2">
      <c r="A18" s="65" t="s">
        <v>39</v>
      </c>
      <c r="B18" s="66"/>
      <c r="C18" s="66"/>
      <c r="D18" s="66"/>
      <c r="E18" s="6">
        <f>SUM(E8:E17)</f>
        <v>3067.4026200000003</v>
      </c>
      <c r="F18" s="6">
        <f>SUM(F8:F17)</f>
        <v>89.630083406195226</v>
      </c>
    </row>
    <row r="19" spans="1:10" x14ac:dyDescent="0.2">
      <c r="A19" s="66"/>
      <c r="B19" s="66"/>
      <c r="C19" s="66"/>
      <c r="D19" s="66"/>
      <c r="E19" s="7"/>
      <c r="F19" s="7"/>
    </row>
    <row r="20" spans="1:10" x14ac:dyDescent="0.2">
      <c r="A20" s="65" t="s">
        <v>822</v>
      </c>
      <c r="B20" s="66"/>
      <c r="C20" s="66"/>
      <c r="D20" s="66"/>
      <c r="E20" s="7"/>
      <c r="F20" s="7"/>
    </row>
    <row r="21" spans="1:10" x14ac:dyDescent="0.2">
      <c r="A21" s="66" t="s">
        <v>1121</v>
      </c>
      <c r="B21" s="66" t="s">
        <v>1122</v>
      </c>
      <c r="C21" s="66" t="s">
        <v>421</v>
      </c>
      <c r="D21" s="66">
        <v>19</v>
      </c>
      <c r="E21" s="7">
        <v>187.26760999999999</v>
      </c>
      <c r="F21" s="7">
        <v>5.4719949034857498</v>
      </c>
    </row>
    <row r="22" spans="1:10" x14ac:dyDescent="0.2">
      <c r="A22" s="65" t="s">
        <v>39</v>
      </c>
      <c r="B22" s="66"/>
      <c r="C22" s="66"/>
      <c r="D22" s="66"/>
      <c r="E22" s="6">
        <f>SUM(E21:E21)</f>
        <v>187.26760999999999</v>
      </c>
      <c r="F22" s="6">
        <f>SUM(F21:F21)</f>
        <v>5.4719949034857498</v>
      </c>
    </row>
    <row r="23" spans="1:10" x14ac:dyDescent="0.2">
      <c r="A23" s="66"/>
      <c r="B23" s="66"/>
      <c r="C23" s="66"/>
      <c r="D23" s="66"/>
      <c r="E23" s="7"/>
      <c r="F23" s="7"/>
    </row>
    <row r="24" spans="1:10" x14ac:dyDescent="0.2">
      <c r="A24" s="65" t="s">
        <v>39</v>
      </c>
      <c r="B24" s="66"/>
      <c r="C24" s="66"/>
      <c r="D24" s="66"/>
      <c r="E24" s="6">
        <v>3254.6702300000002</v>
      </c>
      <c r="F24" s="6">
        <v>95.102078309680977</v>
      </c>
      <c r="I24" s="1"/>
      <c r="J24" s="1"/>
    </row>
    <row r="25" spans="1:10" x14ac:dyDescent="0.2">
      <c r="A25" s="66"/>
      <c r="B25" s="66"/>
      <c r="C25" s="66"/>
      <c r="D25" s="66"/>
      <c r="E25" s="7"/>
      <c r="F25" s="7"/>
    </row>
    <row r="26" spans="1:10" x14ac:dyDescent="0.2">
      <c r="A26" s="65" t="s">
        <v>103</v>
      </c>
      <c r="B26" s="66"/>
      <c r="C26" s="66"/>
      <c r="D26" s="66"/>
      <c r="E26" s="6">
        <v>167.62138189999999</v>
      </c>
      <c r="F26" s="6">
        <v>4.9000000000000004</v>
      </c>
      <c r="I26" s="1"/>
      <c r="J26" s="1"/>
    </row>
    <row r="27" spans="1:10" x14ac:dyDescent="0.2">
      <c r="A27" s="66"/>
      <c r="B27" s="66"/>
      <c r="C27" s="66"/>
      <c r="D27" s="66"/>
      <c r="E27" s="7"/>
      <c r="F27" s="7"/>
    </row>
    <row r="28" spans="1:10" x14ac:dyDescent="0.2">
      <c r="A28" s="68" t="s">
        <v>104</v>
      </c>
      <c r="B28" s="64"/>
      <c r="C28" s="64"/>
      <c r="D28" s="64"/>
      <c r="E28" s="8">
        <v>3422.2913819</v>
      </c>
      <c r="F28" s="8">
        <f xml:space="preserve"> ROUND(SUM(F24:F27),2)</f>
        <v>100</v>
      </c>
      <c r="I28" s="1"/>
      <c r="J28" s="1"/>
    </row>
    <row r="29" spans="1:10" x14ac:dyDescent="0.2">
      <c r="A29" s="4" t="s">
        <v>714</v>
      </c>
    </row>
    <row r="30" spans="1:10" x14ac:dyDescent="0.2">
      <c r="A30" s="4"/>
    </row>
    <row r="31" spans="1:10" x14ac:dyDescent="0.2">
      <c r="A31" s="4" t="s">
        <v>105</v>
      </c>
    </row>
    <row r="32" spans="1:10" x14ac:dyDescent="0.2">
      <c r="A32" s="4" t="s">
        <v>106</v>
      </c>
    </row>
    <row r="33" spans="1:5" x14ac:dyDescent="0.2">
      <c r="A33" s="4" t="s">
        <v>107</v>
      </c>
    </row>
    <row r="34" spans="1:5" x14ac:dyDescent="0.2">
      <c r="A34" s="2" t="s">
        <v>722</v>
      </c>
      <c r="D34" s="10">
        <v>10.6325</v>
      </c>
    </row>
    <row r="35" spans="1:5" x14ac:dyDescent="0.2">
      <c r="A35" s="2" t="s">
        <v>720</v>
      </c>
      <c r="D35" s="10">
        <v>10.680400000000001</v>
      </c>
    </row>
    <row r="36" spans="1:5" x14ac:dyDescent="0.2">
      <c r="A36" s="2" t="s">
        <v>1082</v>
      </c>
      <c r="D36" s="10">
        <v>10.1312</v>
      </c>
    </row>
    <row r="38" spans="1:5" x14ac:dyDescent="0.2">
      <c r="A38" s="4" t="s">
        <v>108</v>
      </c>
    </row>
    <row r="39" spans="1:5" x14ac:dyDescent="0.2">
      <c r="A39" s="2" t="s">
        <v>722</v>
      </c>
      <c r="D39" s="10">
        <v>11.063700000000001</v>
      </c>
    </row>
    <row r="40" spans="1:5" x14ac:dyDescent="0.2">
      <c r="A40" s="2" t="s">
        <v>720</v>
      </c>
      <c r="D40" s="10">
        <v>11.1136</v>
      </c>
    </row>
    <row r="41" spans="1:5" x14ac:dyDescent="0.2">
      <c r="A41" s="2" t="s">
        <v>1082</v>
      </c>
      <c r="D41" s="10">
        <v>10.5419</v>
      </c>
    </row>
    <row r="43" spans="1:5" x14ac:dyDescent="0.2">
      <c r="A43" s="4" t="s">
        <v>109</v>
      </c>
      <c r="D43" s="69" t="s">
        <v>110</v>
      </c>
    </row>
    <row r="45" spans="1:5" x14ac:dyDescent="0.2">
      <c r="A45" s="4" t="s">
        <v>883</v>
      </c>
      <c r="D45" s="70">
        <v>1.2298179696424465</v>
      </c>
      <c r="E45" s="1" t="s">
        <v>735</v>
      </c>
    </row>
  </sheetData>
  <mergeCells count="1">
    <mergeCell ref="A1:F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27.140625" style="1" bestFit="1" customWidth="1"/>
    <col min="3" max="3" width="20" style="1" bestFit="1" customWidth="1"/>
    <col min="4" max="4" width="11.1406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56" t="s">
        <v>634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13">
        <v>234400</v>
      </c>
      <c r="E8" s="12">
        <v>4989.0868</v>
      </c>
      <c r="F8" s="12">
        <v>9.1282631481604675</v>
      </c>
    </row>
    <row r="9" spans="1:6" x14ac:dyDescent="0.2">
      <c r="A9" s="7" t="s">
        <v>327</v>
      </c>
      <c r="B9" s="7" t="s">
        <v>328</v>
      </c>
      <c r="C9" s="7" t="s">
        <v>32</v>
      </c>
      <c r="D9" s="13">
        <v>150145</v>
      </c>
      <c r="E9" s="12">
        <v>4505.55116</v>
      </c>
      <c r="F9" s="12">
        <v>8.2435640558467824</v>
      </c>
    </row>
    <row r="10" spans="1:6" x14ac:dyDescent="0.2">
      <c r="A10" s="7" t="s">
        <v>329</v>
      </c>
      <c r="B10" s="7" t="s">
        <v>330</v>
      </c>
      <c r="C10" s="7" t="s">
        <v>123</v>
      </c>
      <c r="D10" s="13">
        <v>373800</v>
      </c>
      <c r="E10" s="12">
        <v>4364.3019000000004</v>
      </c>
      <c r="F10" s="12">
        <v>7.985127899802567</v>
      </c>
    </row>
    <row r="11" spans="1:6" x14ac:dyDescent="0.2">
      <c r="A11" s="7" t="s">
        <v>115</v>
      </c>
      <c r="B11" s="7" t="s">
        <v>116</v>
      </c>
      <c r="C11" s="7" t="s">
        <v>11</v>
      </c>
      <c r="D11" s="13">
        <v>1167550</v>
      </c>
      <c r="E11" s="12">
        <v>4146.553825</v>
      </c>
      <c r="F11" s="12">
        <v>7.5867259861286289</v>
      </c>
    </row>
    <row r="12" spans="1:6" x14ac:dyDescent="0.2">
      <c r="A12" s="7" t="s">
        <v>185</v>
      </c>
      <c r="B12" s="7" t="s">
        <v>186</v>
      </c>
      <c r="C12" s="7" t="s">
        <v>76</v>
      </c>
      <c r="D12" s="13">
        <v>520746</v>
      </c>
      <c r="E12" s="12">
        <v>3475.7191769999999</v>
      </c>
      <c r="F12" s="12">
        <v>6.359335996472085</v>
      </c>
    </row>
    <row r="13" spans="1:6" x14ac:dyDescent="0.2">
      <c r="A13" s="7" t="s">
        <v>331</v>
      </c>
      <c r="B13" s="7" t="s">
        <v>332</v>
      </c>
      <c r="C13" s="7" t="s">
        <v>333</v>
      </c>
      <c r="D13" s="13">
        <v>457141</v>
      </c>
      <c r="E13" s="12">
        <v>3188.3299044999999</v>
      </c>
      <c r="F13" s="12">
        <v>5.8335153382028411</v>
      </c>
    </row>
    <row r="14" spans="1:6" x14ac:dyDescent="0.2">
      <c r="A14" s="7" t="s">
        <v>334</v>
      </c>
      <c r="B14" s="7" t="s">
        <v>335</v>
      </c>
      <c r="C14" s="7" t="s">
        <v>32</v>
      </c>
      <c r="D14" s="13">
        <v>259985</v>
      </c>
      <c r="E14" s="12">
        <v>2211.4324099999999</v>
      </c>
      <c r="F14" s="12">
        <v>4.0461386586520574</v>
      </c>
    </row>
    <row r="15" spans="1:6" x14ac:dyDescent="0.2">
      <c r="A15" s="7" t="s">
        <v>262</v>
      </c>
      <c r="B15" s="7" t="s">
        <v>263</v>
      </c>
      <c r="C15" s="7" t="s">
        <v>246</v>
      </c>
      <c r="D15" s="13">
        <v>922300</v>
      </c>
      <c r="E15" s="12">
        <v>2204.7581500000001</v>
      </c>
      <c r="F15" s="12">
        <v>4.0339271249502904</v>
      </c>
    </row>
    <row r="16" spans="1:6" x14ac:dyDescent="0.2">
      <c r="A16" s="7" t="s">
        <v>336</v>
      </c>
      <c r="B16" s="7" t="s">
        <v>337</v>
      </c>
      <c r="C16" s="7" t="s">
        <v>150</v>
      </c>
      <c r="D16" s="13">
        <v>234559</v>
      </c>
      <c r="E16" s="12">
        <v>1532.0221085000001</v>
      </c>
      <c r="F16" s="12">
        <v>2.8030582581140195</v>
      </c>
    </row>
    <row r="17" spans="1:6" x14ac:dyDescent="0.2">
      <c r="A17" s="7" t="s">
        <v>347</v>
      </c>
      <c r="B17" s="7" t="s">
        <v>348</v>
      </c>
      <c r="C17" s="7" t="s">
        <v>20</v>
      </c>
      <c r="D17" s="13">
        <v>759100</v>
      </c>
      <c r="E17" s="12">
        <v>1486.6973499999999</v>
      </c>
      <c r="F17" s="12">
        <v>2.7201299910181604</v>
      </c>
    </row>
    <row r="18" spans="1:6" x14ac:dyDescent="0.2">
      <c r="A18" s="7" t="s">
        <v>212</v>
      </c>
      <c r="B18" s="7" t="s">
        <v>213</v>
      </c>
      <c r="C18" s="7" t="s">
        <v>11</v>
      </c>
      <c r="D18" s="13">
        <v>809000</v>
      </c>
      <c r="E18" s="12">
        <v>1373.682</v>
      </c>
      <c r="F18" s="12">
        <v>2.5133518979648475</v>
      </c>
    </row>
    <row r="19" spans="1:6" x14ac:dyDescent="0.2">
      <c r="A19" s="7" t="s">
        <v>338</v>
      </c>
      <c r="B19" s="7" t="s">
        <v>339</v>
      </c>
      <c r="C19" s="7" t="s">
        <v>52</v>
      </c>
      <c r="D19" s="13">
        <v>176563</v>
      </c>
      <c r="E19" s="12">
        <v>1256.1574634999999</v>
      </c>
      <c r="F19" s="12">
        <v>2.2983235894700762</v>
      </c>
    </row>
    <row r="20" spans="1:6" x14ac:dyDescent="0.2">
      <c r="A20" s="7" t="s">
        <v>340</v>
      </c>
      <c r="B20" s="7" t="s">
        <v>341</v>
      </c>
      <c r="C20" s="7" t="s">
        <v>150</v>
      </c>
      <c r="D20" s="13">
        <v>187122</v>
      </c>
      <c r="E20" s="12">
        <v>1168.2962070000001</v>
      </c>
      <c r="F20" s="12">
        <v>2.1375685851955417</v>
      </c>
    </row>
    <row r="21" spans="1:6" x14ac:dyDescent="0.2">
      <c r="A21" s="7" t="s">
        <v>276</v>
      </c>
      <c r="B21" s="7" t="s">
        <v>277</v>
      </c>
      <c r="C21" s="7" t="s">
        <v>32</v>
      </c>
      <c r="D21" s="13">
        <v>1084661</v>
      </c>
      <c r="E21" s="12">
        <v>1167.6375665</v>
      </c>
      <c r="F21" s="12">
        <v>2.1363635061810742</v>
      </c>
    </row>
    <row r="22" spans="1:6" x14ac:dyDescent="0.2">
      <c r="A22" s="7" t="s">
        <v>349</v>
      </c>
      <c r="B22" s="7" t="s">
        <v>350</v>
      </c>
      <c r="C22" s="7" t="s">
        <v>351</v>
      </c>
      <c r="D22" s="13">
        <v>109433</v>
      </c>
      <c r="E22" s="12">
        <v>1159.8256504999999</v>
      </c>
      <c r="F22" s="12">
        <v>2.1220704646289961</v>
      </c>
    </row>
    <row r="23" spans="1:6" x14ac:dyDescent="0.2">
      <c r="A23" s="7" t="s">
        <v>342</v>
      </c>
      <c r="B23" s="7" t="s">
        <v>343</v>
      </c>
      <c r="C23" s="7" t="s">
        <v>344</v>
      </c>
      <c r="D23" s="13">
        <v>449300</v>
      </c>
      <c r="E23" s="12">
        <v>1100.3357000000001</v>
      </c>
      <c r="F23" s="12">
        <v>2.0132249093993217</v>
      </c>
    </row>
    <row r="24" spans="1:6" x14ac:dyDescent="0.2">
      <c r="A24" s="7" t="s">
        <v>354</v>
      </c>
      <c r="B24" s="7" t="s">
        <v>355</v>
      </c>
      <c r="C24" s="7" t="s">
        <v>32</v>
      </c>
      <c r="D24" s="13">
        <v>721082</v>
      </c>
      <c r="E24" s="12">
        <v>1039.800244</v>
      </c>
      <c r="F24" s="12">
        <v>1.9024664491212022</v>
      </c>
    </row>
    <row r="25" spans="1:6" x14ac:dyDescent="0.2">
      <c r="A25" s="7" t="s">
        <v>254</v>
      </c>
      <c r="B25" s="7" t="s">
        <v>255</v>
      </c>
      <c r="C25" s="7" t="s">
        <v>11</v>
      </c>
      <c r="D25" s="13">
        <v>1191750</v>
      </c>
      <c r="E25" s="12">
        <v>1016.5627500000001</v>
      </c>
      <c r="F25" s="12">
        <v>1.8599500591205715</v>
      </c>
    </row>
    <row r="26" spans="1:6" x14ac:dyDescent="0.2">
      <c r="A26" s="7" t="s">
        <v>345</v>
      </c>
      <c r="B26" s="7" t="s">
        <v>346</v>
      </c>
      <c r="C26" s="7" t="s">
        <v>32</v>
      </c>
      <c r="D26" s="13">
        <v>572110</v>
      </c>
      <c r="E26" s="12">
        <v>970.87067000000002</v>
      </c>
      <c r="F26" s="12">
        <v>1.7763497236790631</v>
      </c>
    </row>
    <row r="27" spans="1:6" x14ac:dyDescent="0.2">
      <c r="A27" s="7" t="s">
        <v>356</v>
      </c>
      <c r="B27" s="7" t="s">
        <v>357</v>
      </c>
      <c r="C27" s="7" t="s">
        <v>79</v>
      </c>
      <c r="D27" s="13">
        <v>484054</v>
      </c>
      <c r="E27" s="12">
        <v>957.94286599999998</v>
      </c>
      <c r="F27" s="12">
        <v>1.7526964176592437</v>
      </c>
    </row>
    <row r="28" spans="1:6" x14ac:dyDescent="0.2">
      <c r="A28" s="7" t="s">
        <v>635</v>
      </c>
      <c r="B28" s="7" t="s">
        <v>636</v>
      </c>
      <c r="C28" s="7" t="s">
        <v>189</v>
      </c>
      <c r="D28" s="13">
        <v>1000000</v>
      </c>
      <c r="E28" s="12">
        <v>870</v>
      </c>
      <c r="F28" s="12">
        <v>1.5917920968822603</v>
      </c>
    </row>
    <row r="29" spans="1:6" x14ac:dyDescent="0.2">
      <c r="A29" s="7" t="s">
        <v>194</v>
      </c>
      <c r="B29" s="7" t="s">
        <v>195</v>
      </c>
      <c r="C29" s="7" t="s">
        <v>150</v>
      </c>
      <c r="D29" s="13">
        <v>30000</v>
      </c>
      <c r="E29" s="12">
        <v>816.66</v>
      </c>
      <c r="F29" s="12">
        <v>1.4941987745285823</v>
      </c>
    </row>
    <row r="30" spans="1:6" x14ac:dyDescent="0.2">
      <c r="A30" s="7" t="s">
        <v>352</v>
      </c>
      <c r="B30" s="7" t="s">
        <v>353</v>
      </c>
      <c r="C30" s="7" t="s">
        <v>159</v>
      </c>
      <c r="D30" s="13">
        <v>875863</v>
      </c>
      <c r="E30" s="12">
        <v>798.78705600000001</v>
      </c>
      <c r="F30" s="12">
        <v>1.461497612451319</v>
      </c>
    </row>
    <row r="31" spans="1:6" x14ac:dyDescent="0.2">
      <c r="A31" s="7" t="s">
        <v>155</v>
      </c>
      <c r="B31" s="7" t="s">
        <v>156</v>
      </c>
      <c r="C31" s="7" t="s">
        <v>35</v>
      </c>
      <c r="D31" s="13">
        <v>805448</v>
      </c>
      <c r="E31" s="12">
        <v>755.10749999999996</v>
      </c>
      <c r="F31" s="12">
        <v>1.3815794836741624</v>
      </c>
    </row>
    <row r="32" spans="1:6" x14ac:dyDescent="0.2">
      <c r="A32" s="7" t="s">
        <v>637</v>
      </c>
      <c r="B32" s="7" t="s">
        <v>638</v>
      </c>
      <c r="C32" s="7" t="s">
        <v>23</v>
      </c>
      <c r="D32" s="13">
        <v>151400</v>
      </c>
      <c r="E32" s="16">
        <v>695.22879999999998</v>
      </c>
      <c r="F32" s="16">
        <v>1.2720226544424569</v>
      </c>
    </row>
    <row r="33" spans="1:6" x14ac:dyDescent="0.2">
      <c r="A33" s="7" t="s">
        <v>358</v>
      </c>
      <c r="B33" s="7" t="s">
        <v>359</v>
      </c>
      <c r="C33" s="7" t="s">
        <v>360</v>
      </c>
      <c r="D33" s="13">
        <v>425242</v>
      </c>
      <c r="E33" s="16">
        <v>596.61452599999996</v>
      </c>
      <c r="F33" s="16">
        <v>1.0915934337608686</v>
      </c>
    </row>
    <row r="34" spans="1:6" x14ac:dyDescent="0.2">
      <c r="A34" s="7" t="s">
        <v>365</v>
      </c>
      <c r="B34" s="7" t="s">
        <v>366</v>
      </c>
      <c r="C34" s="7" t="s">
        <v>23</v>
      </c>
      <c r="D34" s="13">
        <v>373400</v>
      </c>
      <c r="E34" s="16">
        <v>507.0772</v>
      </c>
      <c r="F34" s="16">
        <v>0.92777181548182219</v>
      </c>
    </row>
    <row r="35" spans="1:6" x14ac:dyDescent="0.2">
      <c r="A35" s="7" t="s">
        <v>268</v>
      </c>
      <c r="B35" s="7" t="s">
        <v>269</v>
      </c>
      <c r="C35" s="7" t="s">
        <v>246</v>
      </c>
      <c r="D35" s="13">
        <v>49800</v>
      </c>
      <c r="E35" s="16">
        <v>478.2792</v>
      </c>
      <c r="F35" s="16">
        <v>0.87508166742893101</v>
      </c>
    </row>
    <row r="36" spans="1:6" x14ac:dyDescent="0.2">
      <c r="A36" s="7" t="s">
        <v>361</v>
      </c>
      <c r="B36" s="7" t="s">
        <v>362</v>
      </c>
      <c r="C36" s="7" t="s">
        <v>290</v>
      </c>
      <c r="D36" s="13">
        <v>710100</v>
      </c>
      <c r="E36" s="16">
        <v>458.0145</v>
      </c>
      <c r="F36" s="16">
        <v>0.83800443834193095</v>
      </c>
    </row>
    <row r="37" spans="1:6" x14ac:dyDescent="0.2">
      <c r="A37" s="7" t="s">
        <v>363</v>
      </c>
      <c r="B37" s="7" t="s">
        <v>364</v>
      </c>
      <c r="C37" s="7" t="s">
        <v>159</v>
      </c>
      <c r="D37" s="13">
        <v>154809</v>
      </c>
      <c r="E37" s="16">
        <v>439.88977349999999</v>
      </c>
      <c r="F37" s="16">
        <v>0.8048426033984224</v>
      </c>
    </row>
    <row r="38" spans="1:6" x14ac:dyDescent="0.2">
      <c r="A38" s="6" t="s">
        <v>39</v>
      </c>
      <c r="B38" s="7"/>
      <c r="C38" s="7"/>
      <c r="D38" s="7"/>
      <c r="E38" s="17">
        <f xml:space="preserve"> SUM(E8:E37)</f>
        <v>49731.222457999989</v>
      </c>
      <c r="F38" s="17">
        <f>SUM(F8:F37)</f>
        <v>90.990536640158567</v>
      </c>
    </row>
    <row r="39" spans="1:6" x14ac:dyDescent="0.2">
      <c r="A39" s="7"/>
      <c r="B39" s="7"/>
      <c r="C39" s="7"/>
      <c r="D39" s="13"/>
      <c r="E39" s="16"/>
      <c r="F39" s="16"/>
    </row>
    <row r="40" spans="1:6" x14ac:dyDescent="0.2">
      <c r="A40" s="6" t="s">
        <v>291</v>
      </c>
      <c r="B40" s="7"/>
      <c r="C40" s="7"/>
      <c r="D40" s="13"/>
      <c r="E40" s="16"/>
      <c r="F40" s="16"/>
    </row>
    <row r="41" spans="1:6" x14ac:dyDescent="0.2">
      <c r="A41" s="7" t="s">
        <v>367</v>
      </c>
      <c r="B41" s="7" t="s">
        <v>368</v>
      </c>
      <c r="C41" s="7" t="s">
        <v>1901</v>
      </c>
      <c r="D41" s="13">
        <v>104800</v>
      </c>
      <c r="E41" s="16">
        <v>1243.3996</v>
      </c>
      <c r="F41" s="16">
        <v>2.2749812144213375</v>
      </c>
    </row>
    <row r="42" spans="1:6" x14ac:dyDescent="0.2">
      <c r="A42" s="6" t="s">
        <v>39</v>
      </c>
      <c r="B42" s="7"/>
      <c r="C42" s="7"/>
      <c r="D42" s="13"/>
      <c r="E42" s="17">
        <f>SUM(E41:E41)</f>
        <v>1243.3996</v>
      </c>
      <c r="F42" s="17">
        <f>SUM(F41:F41)</f>
        <v>2.2749812144213375</v>
      </c>
    </row>
    <row r="43" spans="1:6" x14ac:dyDescent="0.2">
      <c r="A43" s="7"/>
      <c r="B43" s="7"/>
      <c r="C43" s="7"/>
      <c r="D43" s="7"/>
      <c r="E43" s="16"/>
      <c r="F43" s="16"/>
    </row>
    <row r="44" spans="1:6" x14ac:dyDescent="0.2">
      <c r="A44" s="6" t="s">
        <v>39</v>
      </c>
      <c r="B44" s="7"/>
      <c r="C44" s="7"/>
      <c r="D44" s="7"/>
      <c r="E44" s="17">
        <f>E38+E42</f>
        <v>50974.622057999986</v>
      </c>
      <c r="F44" s="17">
        <f>F38+F42</f>
        <v>93.265517854579898</v>
      </c>
    </row>
    <row r="45" spans="1:6" x14ac:dyDescent="0.2">
      <c r="A45" s="7"/>
      <c r="B45" s="7"/>
      <c r="C45" s="7"/>
      <c r="D45" s="7"/>
      <c r="E45" s="16"/>
      <c r="F45" s="16"/>
    </row>
    <row r="46" spans="1:6" x14ac:dyDescent="0.2">
      <c r="A46" s="6" t="s">
        <v>103</v>
      </c>
      <c r="B46" s="7"/>
      <c r="C46" s="7"/>
      <c r="D46" s="7"/>
      <c r="E46" s="17">
        <v>3680.7567257000001</v>
      </c>
      <c r="F46" s="17">
        <v>6.73</v>
      </c>
    </row>
    <row r="47" spans="1:6" x14ac:dyDescent="0.2">
      <c r="A47" s="7"/>
      <c r="B47" s="7"/>
      <c r="C47" s="7"/>
      <c r="D47" s="7"/>
      <c r="E47" s="16"/>
      <c r="F47" s="16"/>
    </row>
    <row r="48" spans="1:6" x14ac:dyDescent="0.2">
      <c r="A48" s="8" t="s">
        <v>104</v>
      </c>
      <c r="B48" s="5"/>
      <c r="C48" s="5"/>
      <c r="D48" s="5"/>
      <c r="E48" s="18">
        <f>E46+E44</f>
        <v>54655.378783699984</v>
      </c>
      <c r="F48" s="18">
        <f>F46+F44</f>
        <v>99.995517854579901</v>
      </c>
    </row>
    <row r="50" spans="1:2" x14ac:dyDescent="0.2">
      <c r="A50" s="9" t="s">
        <v>105</v>
      </c>
    </row>
    <row r="51" spans="1:2" x14ac:dyDescent="0.2">
      <c r="A51" s="9" t="s">
        <v>106</v>
      </c>
    </row>
    <row r="52" spans="1:2" x14ac:dyDescent="0.2">
      <c r="A52" s="9" t="s">
        <v>107</v>
      </c>
    </row>
    <row r="53" spans="1:2" x14ac:dyDescent="0.2">
      <c r="A53" s="1" t="s">
        <v>719</v>
      </c>
      <c r="B53" s="10">
        <v>73.327399999999997</v>
      </c>
    </row>
    <row r="54" spans="1:2" x14ac:dyDescent="0.2">
      <c r="A54" s="1" t="s">
        <v>720</v>
      </c>
      <c r="B54" s="10">
        <v>273.2002</v>
      </c>
    </row>
    <row r="55" spans="1:2" x14ac:dyDescent="0.2">
      <c r="A55" s="1" t="s">
        <v>721</v>
      </c>
      <c r="B55" s="10">
        <v>70.123199999999997</v>
      </c>
    </row>
    <row r="56" spans="1:2" x14ac:dyDescent="0.2">
      <c r="A56" s="1" t="s">
        <v>722</v>
      </c>
      <c r="B56" s="10">
        <v>263.31139999999999</v>
      </c>
    </row>
    <row r="58" spans="1:2" x14ac:dyDescent="0.2">
      <c r="A58" s="9" t="s">
        <v>108</v>
      </c>
    </row>
    <row r="59" spans="1:2" x14ac:dyDescent="0.2">
      <c r="A59" s="1" t="s">
        <v>719</v>
      </c>
      <c r="B59" s="10">
        <v>67.475099999999998</v>
      </c>
    </row>
    <row r="60" spans="1:2" x14ac:dyDescent="0.2">
      <c r="A60" s="1" t="s">
        <v>720</v>
      </c>
      <c r="B60" s="10">
        <v>251.43299999999999</v>
      </c>
    </row>
    <row r="61" spans="1:2" x14ac:dyDescent="0.2">
      <c r="A61" s="1" t="s">
        <v>721</v>
      </c>
      <c r="B61" s="10">
        <v>64.292199999999994</v>
      </c>
    </row>
    <row r="62" spans="1:2" x14ac:dyDescent="0.2">
      <c r="A62" s="1" t="s">
        <v>722</v>
      </c>
      <c r="B62" s="10">
        <v>241.4151</v>
      </c>
    </row>
    <row r="64" spans="1:2" x14ac:dyDescent="0.2">
      <c r="A64" s="9" t="s">
        <v>109</v>
      </c>
      <c r="B64" s="11" t="s">
        <v>110</v>
      </c>
    </row>
    <row r="66" spans="1:2" x14ac:dyDescent="0.2">
      <c r="A66" s="9" t="s">
        <v>111</v>
      </c>
      <c r="B66" s="40">
        <v>6.9732280352726661E-2</v>
      </c>
    </row>
  </sheetData>
  <mergeCells count="1">
    <mergeCell ref="A1:F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workbookViewId="0">
      <selection sqref="A1:E1"/>
    </sheetView>
  </sheetViews>
  <sheetFormatPr defaultColWidth="9.140625" defaultRowHeight="11.25" x14ac:dyDescent="0.2"/>
  <cols>
    <col min="1" max="1" width="59" style="1" bestFit="1" customWidth="1"/>
    <col min="2" max="2" width="33.5703125" style="1" bestFit="1" customWidth="1"/>
    <col min="3" max="3" width="11.140625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5" x14ac:dyDescent="0.2">
      <c r="A1" s="56" t="s">
        <v>633</v>
      </c>
      <c r="B1" s="56"/>
      <c r="C1" s="56"/>
      <c r="D1" s="56"/>
      <c r="E1" s="56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640</v>
      </c>
      <c r="B5" s="7"/>
      <c r="C5" s="7"/>
      <c r="D5" s="6"/>
      <c r="E5" s="6"/>
    </row>
    <row r="6" spans="1:5" x14ac:dyDescent="0.2">
      <c r="A6" s="7" t="s">
        <v>716</v>
      </c>
      <c r="B6" s="7" t="s">
        <v>642</v>
      </c>
      <c r="C6" s="13">
        <v>2420421.3790000002</v>
      </c>
      <c r="D6" s="12">
        <v>70604.139404300004</v>
      </c>
      <c r="E6" s="7">
        <v>99.826889253425193</v>
      </c>
    </row>
    <row r="7" spans="1:5" x14ac:dyDescent="0.2">
      <c r="A7" s="6" t="s">
        <v>39</v>
      </c>
      <c r="B7" s="7"/>
      <c r="C7" s="7"/>
      <c r="D7" s="14">
        <f>SUM(D6)</f>
        <v>70604.139404300004</v>
      </c>
      <c r="E7" s="6">
        <f>SUM(E6)</f>
        <v>99.826889253425193</v>
      </c>
    </row>
    <row r="8" spans="1:5" x14ac:dyDescent="0.2">
      <c r="A8" s="7"/>
      <c r="B8" s="7"/>
      <c r="C8" s="7"/>
      <c r="D8" s="7"/>
      <c r="E8" s="7"/>
    </row>
    <row r="9" spans="1:5" x14ac:dyDescent="0.2">
      <c r="A9" s="6" t="s">
        <v>103</v>
      </c>
      <c r="B9" s="7"/>
      <c r="C9" s="7"/>
      <c r="D9" s="14">
        <v>122.43530149999999</v>
      </c>
      <c r="E9" s="6">
        <v>0.1731107465748003</v>
      </c>
    </row>
    <row r="10" spans="1:5" x14ac:dyDescent="0.2">
      <c r="A10" s="7"/>
      <c r="B10" s="7"/>
      <c r="C10" s="7"/>
      <c r="D10" s="7"/>
      <c r="E10" s="7"/>
    </row>
    <row r="11" spans="1:5" x14ac:dyDescent="0.2">
      <c r="A11" s="8" t="s">
        <v>104</v>
      </c>
      <c r="B11" s="5"/>
      <c r="C11" s="5"/>
      <c r="D11" s="15">
        <f>D7+D9</f>
        <v>70726.574705799998</v>
      </c>
      <c r="E11" s="8">
        <f>E7+E9</f>
        <v>100</v>
      </c>
    </row>
    <row r="13" spans="1:5" x14ac:dyDescent="0.2">
      <c r="A13" s="9" t="s">
        <v>105</v>
      </c>
    </row>
    <row r="14" spans="1:5" x14ac:dyDescent="0.2">
      <c r="A14" s="9" t="s">
        <v>106</v>
      </c>
    </row>
    <row r="15" spans="1:5" x14ac:dyDescent="0.2">
      <c r="A15" s="9" t="s">
        <v>107</v>
      </c>
    </row>
    <row r="16" spans="1:5" x14ac:dyDescent="0.2">
      <c r="A16" s="1" t="s">
        <v>719</v>
      </c>
      <c r="B16" s="10">
        <v>29.863499999999998</v>
      </c>
      <c r="E16" s="22"/>
    </row>
    <row r="17" spans="1:5" x14ac:dyDescent="0.2">
      <c r="A17" s="1" t="s">
        <v>720</v>
      </c>
      <c r="B17" s="10">
        <v>29.863499999999998</v>
      </c>
      <c r="E17" s="22"/>
    </row>
    <row r="18" spans="1:5" x14ac:dyDescent="0.2">
      <c r="A18" s="1" t="s">
        <v>721</v>
      </c>
      <c r="B18" s="10">
        <v>28.303799999999999</v>
      </c>
      <c r="E18" s="22"/>
    </row>
    <row r="19" spans="1:5" x14ac:dyDescent="0.2">
      <c r="A19" s="1" t="s">
        <v>722</v>
      </c>
      <c r="B19" s="10">
        <v>28.303799999999999</v>
      </c>
      <c r="E19" s="22"/>
    </row>
    <row r="20" spans="1:5" x14ac:dyDescent="0.2">
      <c r="E20" s="22"/>
    </row>
    <row r="21" spans="1:5" x14ac:dyDescent="0.2">
      <c r="A21" s="9" t="s">
        <v>108</v>
      </c>
      <c r="E21" s="22"/>
    </row>
    <row r="22" spans="1:5" x14ac:dyDescent="0.2">
      <c r="A22" s="1" t="s">
        <v>719</v>
      </c>
      <c r="B22" s="10">
        <v>29.932099999999998</v>
      </c>
      <c r="E22" s="22"/>
    </row>
    <row r="23" spans="1:5" x14ac:dyDescent="0.2">
      <c r="A23" s="1" t="s">
        <v>720</v>
      </c>
      <c r="B23" s="10">
        <v>29.932099999999998</v>
      </c>
      <c r="E23" s="22"/>
    </row>
    <row r="24" spans="1:5" x14ac:dyDescent="0.2">
      <c r="A24" s="1" t="s">
        <v>721</v>
      </c>
      <c r="B24" s="10">
        <v>28.241800000000001</v>
      </c>
      <c r="E24" s="22"/>
    </row>
    <row r="25" spans="1:5" x14ac:dyDescent="0.2">
      <c r="A25" s="1" t="s">
        <v>722</v>
      </c>
      <c r="B25" s="10">
        <v>28.241800000000001</v>
      </c>
      <c r="E25" s="22"/>
    </row>
    <row r="27" spans="1:5" x14ac:dyDescent="0.2">
      <c r="A27" s="9" t="s">
        <v>109</v>
      </c>
      <c r="B27" s="11" t="s">
        <v>110</v>
      </c>
    </row>
    <row r="28" spans="1:5" x14ac:dyDescent="0.2">
      <c r="A28" s="9"/>
      <c r="B28" s="11"/>
    </row>
    <row r="29" spans="1:5" x14ac:dyDescent="0.2">
      <c r="A29" s="9" t="s">
        <v>111</v>
      </c>
      <c r="B29" s="40">
        <v>7.0164179368152793E-2</v>
      </c>
    </row>
  </sheetData>
  <mergeCells count="1">
    <mergeCell ref="A1:E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workbookViewId="0">
      <selection sqref="A1:E1"/>
    </sheetView>
  </sheetViews>
  <sheetFormatPr defaultColWidth="9.140625" defaultRowHeight="11.25" x14ac:dyDescent="0.2"/>
  <cols>
    <col min="1" max="1" width="49.85546875" style="1" customWidth="1"/>
    <col min="2" max="2" width="33.42578125" style="1" bestFit="1" customWidth="1"/>
    <col min="3" max="3" width="9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5" x14ac:dyDescent="0.2">
      <c r="A1" s="56" t="s">
        <v>181</v>
      </c>
      <c r="B1" s="56"/>
      <c r="C1" s="56"/>
      <c r="D1" s="56"/>
      <c r="E1" s="56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640</v>
      </c>
      <c r="B5" s="7"/>
      <c r="C5" s="7"/>
      <c r="D5" s="6"/>
      <c r="E5" s="6"/>
    </row>
    <row r="6" spans="1:5" x14ac:dyDescent="0.2">
      <c r="A6" s="7" t="s">
        <v>717</v>
      </c>
      <c r="B6" s="7" t="s">
        <v>641</v>
      </c>
      <c r="C6" s="13">
        <v>70248.289000000004</v>
      </c>
      <c r="D6" s="12">
        <v>1676.6645641</v>
      </c>
      <c r="E6" s="12">
        <v>97.978809547916228</v>
      </c>
    </row>
    <row r="7" spans="1:5" x14ac:dyDescent="0.2">
      <c r="A7" s="6" t="s">
        <v>39</v>
      </c>
      <c r="B7" s="7"/>
      <c r="C7" s="7"/>
      <c r="D7" s="14">
        <f>SUM(D6)</f>
        <v>1676.6645641</v>
      </c>
      <c r="E7" s="14">
        <f>SUM(E6)</f>
        <v>97.978809547916228</v>
      </c>
    </row>
    <row r="8" spans="1:5" x14ac:dyDescent="0.2">
      <c r="A8" s="6"/>
      <c r="B8" s="7"/>
      <c r="C8" s="7"/>
      <c r="D8" s="12"/>
      <c r="E8" s="12"/>
    </row>
    <row r="9" spans="1:5" x14ac:dyDescent="0.2">
      <c r="A9" s="6" t="s">
        <v>103</v>
      </c>
      <c r="B9" s="7"/>
      <c r="C9" s="7"/>
      <c r="D9" s="14">
        <v>34.5876667</v>
      </c>
      <c r="E9" s="14">
        <v>2.021190452083776</v>
      </c>
    </row>
    <row r="10" spans="1:5" x14ac:dyDescent="0.2">
      <c r="A10" s="7"/>
      <c r="B10" s="7"/>
      <c r="C10" s="7"/>
      <c r="D10" s="12"/>
      <c r="E10" s="12"/>
    </row>
    <row r="11" spans="1:5" x14ac:dyDescent="0.2">
      <c r="A11" s="8" t="s">
        <v>104</v>
      </c>
      <c r="B11" s="5"/>
      <c r="C11" s="5"/>
      <c r="D11" s="15">
        <f>D7+D9</f>
        <v>1711.2522308</v>
      </c>
      <c r="E11" s="15">
        <f>E7+E9</f>
        <v>100</v>
      </c>
    </row>
    <row r="13" spans="1:5" x14ac:dyDescent="0.2">
      <c r="A13" s="9" t="s">
        <v>105</v>
      </c>
    </row>
    <row r="14" spans="1:5" x14ac:dyDescent="0.2">
      <c r="A14" s="9" t="s">
        <v>106</v>
      </c>
    </row>
    <row r="15" spans="1:5" x14ac:dyDescent="0.2">
      <c r="A15" s="9" t="s">
        <v>107</v>
      </c>
    </row>
    <row r="16" spans="1:5" x14ac:dyDescent="0.2">
      <c r="A16" s="1" t="s">
        <v>719</v>
      </c>
      <c r="B16" s="10">
        <v>10.618499999999999</v>
      </c>
    </row>
    <row r="17" spans="1:2" x14ac:dyDescent="0.2">
      <c r="A17" s="1" t="s">
        <v>720</v>
      </c>
      <c r="B17" s="10">
        <v>10.618499999999999</v>
      </c>
    </row>
    <row r="18" spans="1:2" x14ac:dyDescent="0.2">
      <c r="A18" s="1" t="s">
        <v>721</v>
      </c>
      <c r="B18" s="10">
        <v>10.0549</v>
      </c>
    </row>
    <row r="19" spans="1:2" x14ac:dyDescent="0.2">
      <c r="A19" s="1" t="s">
        <v>722</v>
      </c>
      <c r="B19" s="10">
        <v>10.0549</v>
      </c>
    </row>
    <row r="21" spans="1:2" x14ac:dyDescent="0.2">
      <c r="A21" s="9" t="s">
        <v>108</v>
      </c>
    </row>
    <row r="22" spans="1:2" x14ac:dyDescent="0.2">
      <c r="A22" s="1" t="s">
        <v>719</v>
      </c>
      <c r="B22" s="10">
        <v>9.8491</v>
      </c>
    </row>
    <row r="23" spans="1:2" x14ac:dyDescent="0.2">
      <c r="A23" s="1" t="s">
        <v>720</v>
      </c>
      <c r="B23" s="10">
        <v>9.8491</v>
      </c>
    </row>
    <row r="24" spans="1:2" x14ac:dyDescent="0.2">
      <c r="A24" s="1" t="s">
        <v>721</v>
      </c>
      <c r="B24" s="10">
        <v>9.2775999999999996</v>
      </c>
    </row>
    <row r="25" spans="1:2" x14ac:dyDescent="0.2">
      <c r="A25" s="1" t="s">
        <v>722</v>
      </c>
      <c r="B25" s="10">
        <v>9.2775999999999996</v>
      </c>
    </row>
    <row r="27" spans="1:2" x14ac:dyDescent="0.2">
      <c r="A27" s="9" t="s">
        <v>109</v>
      </c>
      <c r="B27" s="11" t="s">
        <v>110</v>
      </c>
    </row>
    <row r="28" spans="1:2" x14ac:dyDescent="0.2">
      <c r="A28" s="9"/>
      <c r="B28" s="11"/>
    </row>
    <row r="29" spans="1:2" x14ac:dyDescent="0.2">
      <c r="A29" s="9" t="s">
        <v>111</v>
      </c>
      <c r="B29" s="40">
        <v>3.603162583309983E-2</v>
      </c>
    </row>
  </sheetData>
  <mergeCells count="1">
    <mergeCell ref="A1:E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9.140625" style="1" bestFit="1" customWidth="1"/>
    <col min="3" max="3" width="32.7109375" style="1" bestFit="1" customWidth="1"/>
    <col min="4" max="4" width="11.1406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56" t="s">
        <v>626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13">
        <v>1445052</v>
      </c>
      <c r="E8" s="12">
        <v>30757.209294</v>
      </c>
      <c r="F8" s="12">
        <v>8.3430207811150883</v>
      </c>
    </row>
    <row r="9" spans="1:6" x14ac:dyDescent="0.2">
      <c r="A9" s="7" t="s">
        <v>117</v>
      </c>
      <c r="B9" s="7" t="s">
        <v>118</v>
      </c>
      <c r="C9" s="7" t="s">
        <v>11</v>
      </c>
      <c r="D9" s="13">
        <v>4614527</v>
      </c>
      <c r="E9" s="12">
        <v>28875.4027025</v>
      </c>
      <c r="F9" s="12">
        <v>7.8325729264722241</v>
      </c>
    </row>
    <row r="10" spans="1:6" x14ac:dyDescent="0.2">
      <c r="A10" s="7" t="s">
        <v>192</v>
      </c>
      <c r="B10" s="7" t="s">
        <v>193</v>
      </c>
      <c r="C10" s="7" t="s">
        <v>11</v>
      </c>
      <c r="D10" s="13">
        <v>1774652</v>
      </c>
      <c r="E10" s="12">
        <v>21898.318353999999</v>
      </c>
      <c r="F10" s="12">
        <v>5.9400098153422523</v>
      </c>
    </row>
    <row r="11" spans="1:6" x14ac:dyDescent="0.2">
      <c r="A11" s="7" t="s">
        <v>190</v>
      </c>
      <c r="B11" s="7" t="s">
        <v>191</v>
      </c>
      <c r="C11" s="7" t="s">
        <v>35</v>
      </c>
      <c r="D11" s="13">
        <v>1959699</v>
      </c>
      <c r="E11" s="12">
        <v>15499.259391</v>
      </c>
      <c r="F11" s="12">
        <v>4.2042384910464428</v>
      </c>
    </row>
    <row r="12" spans="1:6" x14ac:dyDescent="0.2">
      <c r="A12" s="7" t="s">
        <v>18</v>
      </c>
      <c r="B12" s="7" t="s">
        <v>19</v>
      </c>
      <c r="C12" s="7" t="s">
        <v>20</v>
      </c>
      <c r="D12" s="13">
        <v>6549242</v>
      </c>
      <c r="E12" s="12">
        <v>14814.385404000001</v>
      </c>
      <c r="F12" s="12">
        <v>4.0184635772248312</v>
      </c>
    </row>
    <row r="13" spans="1:6" x14ac:dyDescent="0.2">
      <c r="A13" s="7" t="s">
        <v>115</v>
      </c>
      <c r="B13" s="7" t="s">
        <v>116</v>
      </c>
      <c r="C13" s="7" t="s">
        <v>11</v>
      </c>
      <c r="D13" s="13">
        <v>4013153</v>
      </c>
      <c r="E13" s="12">
        <v>14252.712879500001</v>
      </c>
      <c r="F13" s="12">
        <v>3.8661075718638696</v>
      </c>
    </row>
    <row r="14" spans="1:6" x14ac:dyDescent="0.2">
      <c r="A14" s="7" t="s">
        <v>238</v>
      </c>
      <c r="B14" s="7" t="s">
        <v>239</v>
      </c>
      <c r="C14" s="7" t="s">
        <v>52</v>
      </c>
      <c r="D14" s="13">
        <v>1431440</v>
      </c>
      <c r="E14" s="12">
        <v>12399.849</v>
      </c>
      <c r="F14" s="12">
        <v>3.3635105480740153</v>
      </c>
    </row>
    <row r="15" spans="1:6" x14ac:dyDescent="0.2">
      <c r="A15" s="7" t="s">
        <v>166</v>
      </c>
      <c r="B15" s="7" t="s">
        <v>167</v>
      </c>
      <c r="C15" s="7" t="s">
        <v>130</v>
      </c>
      <c r="D15" s="13">
        <v>6423306</v>
      </c>
      <c r="E15" s="12">
        <v>11571.585759</v>
      </c>
      <c r="F15" s="12">
        <v>3.1388407034907897</v>
      </c>
    </row>
    <row r="16" spans="1:6" x14ac:dyDescent="0.2">
      <c r="A16" s="7" t="s">
        <v>185</v>
      </c>
      <c r="B16" s="7" t="s">
        <v>186</v>
      </c>
      <c r="C16" s="7" t="s">
        <v>76</v>
      </c>
      <c r="D16" s="13">
        <v>1721884</v>
      </c>
      <c r="E16" s="12">
        <v>11492.714758</v>
      </c>
      <c r="F16" s="12">
        <v>3.1174466168530688</v>
      </c>
    </row>
    <row r="17" spans="1:6" x14ac:dyDescent="0.2">
      <c r="A17" s="7" t="s">
        <v>121</v>
      </c>
      <c r="B17" s="7" t="s">
        <v>122</v>
      </c>
      <c r="C17" s="7" t="s">
        <v>123</v>
      </c>
      <c r="D17" s="13">
        <v>6110124</v>
      </c>
      <c r="E17" s="12">
        <v>8224.2269039999992</v>
      </c>
      <c r="F17" s="12">
        <v>2.230855709723409</v>
      </c>
    </row>
    <row r="18" spans="1:6" x14ac:dyDescent="0.2">
      <c r="A18" s="7" t="s">
        <v>222</v>
      </c>
      <c r="B18" s="7" t="s">
        <v>223</v>
      </c>
      <c r="C18" s="7" t="s">
        <v>224</v>
      </c>
      <c r="D18" s="13">
        <v>1460704</v>
      </c>
      <c r="E18" s="12">
        <v>7734.4276799999998</v>
      </c>
      <c r="F18" s="12">
        <v>2.0979956356723082</v>
      </c>
    </row>
    <row r="19" spans="1:6" x14ac:dyDescent="0.2">
      <c r="A19" s="7" t="s">
        <v>136</v>
      </c>
      <c r="B19" s="7" t="s">
        <v>137</v>
      </c>
      <c r="C19" s="7" t="s">
        <v>135</v>
      </c>
      <c r="D19" s="13">
        <v>3578627</v>
      </c>
      <c r="E19" s="12">
        <v>7665.4190339999996</v>
      </c>
      <c r="F19" s="12">
        <v>2.0792767537948511</v>
      </c>
    </row>
    <row r="20" spans="1:6" x14ac:dyDescent="0.2">
      <c r="A20" s="7" t="s">
        <v>119</v>
      </c>
      <c r="B20" s="7" t="s">
        <v>120</v>
      </c>
      <c r="C20" s="7" t="s">
        <v>29</v>
      </c>
      <c r="D20" s="13">
        <v>2371971</v>
      </c>
      <c r="E20" s="12">
        <v>7436.1290849999996</v>
      </c>
      <c r="F20" s="12">
        <v>2.0170809026978858</v>
      </c>
    </row>
    <row r="21" spans="1:6" x14ac:dyDescent="0.2">
      <c r="A21" s="7" t="s">
        <v>128</v>
      </c>
      <c r="B21" s="7" t="s">
        <v>129</v>
      </c>
      <c r="C21" s="7" t="s">
        <v>130</v>
      </c>
      <c r="D21" s="13">
        <v>4780035</v>
      </c>
      <c r="E21" s="12">
        <v>6706.3891050000002</v>
      </c>
      <c r="F21" s="12">
        <v>1.8191359019094637</v>
      </c>
    </row>
    <row r="22" spans="1:6" x14ac:dyDescent="0.2">
      <c r="A22" s="7" t="s">
        <v>194</v>
      </c>
      <c r="B22" s="7" t="s">
        <v>195</v>
      </c>
      <c r="C22" s="7" t="s">
        <v>150</v>
      </c>
      <c r="D22" s="13">
        <v>242107</v>
      </c>
      <c r="E22" s="12">
        <v>6590.6367540000001</v>
      </c>
      <c r="F22" s="12">
        <v>1.787737595885506</v>
      </c>
    </row>
    <row r="23" spans="1:6" x14ac:dyDescent="0.2">
      <c r="A23" s="7" t="s">
        <v>200</v>
      </c>
      <c r="B23" s="7" t="s">
        <v>201</v>
      </c>
      <c r="C23" s="7" t="s">
        <v>76</v>
      </c>
      <c r="D23" s="13">
        <v>922467</v>
      </c>
      <c r="E23" s="12">
        <v>6512.1557865000004</v>
      </c>
      <c r="F23" s="12">
        <v>1.7664493074547916</v>
      </c>
    </row>
    <row r="24" spans="1:6" x14ac:dyDescent="0.2">
      <c r="A24" s="7" t="s">
        <v>214</v>
      </c>
      <c r="B24" s="7" t="s">
        <v>215</v>
      </c>
      <c r="C24" s="7" t="s">
        <v>79</v>
      </c>
      <c r="D24" s="13">
        <v>511834</v>
      </c>
      <c r="E24" s="12">
        <v>6346.2297660000004</v>
      </c>
      <c r="F24" s="12">
        <v>1.7214411851662301</v>
      </c>
    </row>
    <row r="25" spans="1:6" x14ac:dyDescent="0.2">
      <c r="A25" s="7" t="s">
        <v>403</v>
      </c>
      <c r="B25" s="7" t="s">
        <v>404</v>
      </c>
      <c r="C25" s="7" t="s">
        <v>95</v>
      </c>
      <c r="D25" s="13">
        <v>649808</v>
      </c>
      <c r="E25" s="12">
        <v>6024.369968</v>
      </c>
      <c r="F25" s="12">
        <v>1.6341353780089032</v>
      </c>
    </row>
    <row r="26" spans="1:6" x14ac:dyDescent="0.2">
      <c r="A26" s="7" t="s">
        <v>454</v>
      </c>
      <c r="B26" s="7" t="s">
        <v>455</v>
      </c>
      <c r="C26" s="7" t="s">
        <v>79</v>
      </c>
      <c r="D26" s="13">
        <v>330103</v>
      </c>
      <c r="E26" s="12">
        <v>5790.0066200000001</v>
      </c>
      <c r="F26" s="12">
        <v>1.5705633463591679</v>
      </c>
    </row>
    <row r="27" spans="1:6" x14ac:dyDescent="0.2">
      <c r="A27" s="7" t="s">
        <v>240</v>
      </c>
      <c r="B27" s="7" t="s">
        <v>241</v>
      </c>
      <c r="C27" s="7" t="s">
        <v>135</v>
      </c>
      <c r="D27" s="13">
        <v>2995176</v>
      </c>
      <c r="E27" s="12">
        <v>5605.4718839999996</v>
      </c>
      <c r="F27" s="12">
        <v>1.5205075326938515</v>
      </c>
    </row>
    <row r="28" spans="1:6" x14ac:dyDescent="0.2">
      <c r="A28" s="7" t="s">
        <v>204</v>
      </c>
      <c r="B28" s="7" t="s">
        <v>205</v>
      </c>
      <c r="C28" s="7" t="s">
        <v>35</v>
      </c>
      <c r="D28" s="13">
        <v>197369</v>
      </c>
      <c r="E28" s="12">
        <v>5419.1606330000004</v>
      </c>
      <c r="F28" s="12">
        <v>1.4699698319554506</v>
      </c>
    </row>
    <row r="29" spans="1:6" x14ac:dyDescent="0.2">
      <c r="A29" s="7" t="s">
        <v>234</v>
      </c>
      <c r="B29" s="7" t="s">
        <v>235</v>
      </c>
      <c r="C29" s="7" t="s">
        <v>79</v>
      </c>
      <c r="D29" s="13">
        <v>440701</v>
      </c>
      <c r="E29" s="12">
        <v>5375.0097464999999</v>
      </c>
      <c r="F29" s="12">
        <v>1.4579937205971938</v>
      </c>
    </row>
    <row r="30" spans="1:6" x14ac:dyDescent="0.2">
      <c r="A30" s="7" t="s">
        <v>113</v>
      </c>
      <c r="B30" s="7" t="s">
        <v>114</v>
      </c>
      <c r="C30" s="7" t="s">
        <v>11</v>
      </c>
      <c r="D30" s="13">
        <v>1872312</v>
      </c>
      <c r="E30" s="12">
        <v>5329.5361080000002</v>
      </c>
      <c r="F30" s="12">
        <v>1.4456588072644545</v>
      </c>
    </row>
    <row r="31" spans="1:6" x14ac:dyDescent="0.2">
      <c r="A31" s="7" t="s">
        <v>278</v>
      </c>
      <c r="B31" s="7" t="s">
        <v>279</v>
      </c>
      <c r="C31" s="7" t="s">
        <v>123</v>
      </c>
      <c r="D31" s="13">
        <v>2144313</v>
      </c>
      <c r="E31" s="12">
        <v>4982.3112554999998</v>
      </c>
      <c r="F31" s="12">
        <v>1.3514726237119614</v>
      </c>
    </row>
    <row r="32" spans="1:6" x14ac:dyDescent="0.2">
      <c r="A32" s="7" t="s">
        <v>244</v>
      </c>
      <c r="B32" s="7" t="s">
        <v>245</v>
      </c>
      <c r="C32" s="7" t="s">
        <v>246</v>
      </c>
      <c r="D32" s="13">
        <v>938734</v>
      </c>
      <c r="E32" s="12">
        <v>4889.3960390000002</v>
      </c>
      <c r="F32" s="12">
        <v>1.3262689852826284</v>
      </c>
    </row>
    <row r="33" spans="1:6" x14ac:dyDescent="0.2">
      <c r="A33" s="7" t="s">
        <v>252</v>
      </c>
      <c r="B33" s="7" t="s">
        <v>253</v>
      </c>
      <c r="C33" s="7" t="s">
        <v>79</v>
      </c>
      <c r="D33" s="13">
        <v>44826</v>
      </c>
      <c r="E33" s="12">
        <v>4825.4516610000001</v>
      </c>
      <c r="F33" s="12">
        <v>1.3089238071362628</v>
      </c>
    </row>
    <row r="34" spans="1:6" x14ac:dyDescent="0.2">
      <c r="A34" s="7" t="s">
        <v>227</v>
      </c>
      <c r="B34" s="7" t="s">
        <v>228</v>
      </c>
      <c r="C34" s="7" t="s">
        <v>17</v>
      </c>
      <c r="D34" s="13">
        <v>2524608</v>
      </c>
      <c r="E34" s="12">
        <v>4570.8027840000004</v>
      </c>
      <c r="F34" s="12">
        <v>1.2398492414827049</v>
      </c>
    </row>
    <row r="35" spans="1:6" x14ac:dyDescent="0.2">
      <c r="A35" s="7" t="s">
        <v>33</v>
      </c>
      <c r="B35" s="7" t="s">
        <v>34</v>
      </c>
      <c r="C35" s="7" t="s">
        <v>35</v>
      </c>
      <c r="D35" s="13">
        <v>2446634</v>
      </c>
      <c r="E35" s="12">
        <v>4206.9871629999998</v>
      </c>
      <c r="F35" s="12">
        <v>1.1411627430594098</v>
      </c>
    </row>
    <row r="36" spans="1:6" x14ac:dyDescent="0.2">
      <c r="A36" s="7" t="s">
        <v>225</v>
      </c>
      <c r="B36" s="7" t="s">
        <v>226</v>
      </c>
      <c r="C36" s="7" t="s">
        <v>189</v>
      </c>
      <c r="D36" s="13">
        <v>750000</v>
      </c>
      <c r="E36" s="12">
        <v>4154.625</v>
      </c>
      <c r="F36" s="12">
        <v>1.1269592888423083</v>
      </c>
    </row>
    <row r="37" spans="1:6" x14ac:dyDescent="0.2">
      <c r="A37" s="7" t="s">
        <v>236</v>
      </c>
      <c r="B37" s="7" t="s">
        <v>237</v>
      </c>
      <c r="C37" s="7" t="s">
        <v>79</v>
      </c>
      <c r="D37" s="13">
        <v>881052</v>
      </c>
      <c r="E37" s="12">
        <v>4049.3149920000001</v>
      </c>
      <c r="F37" s="12">
        <v>1.0983935117327839</v>
      </c>
    </row>
    <row r="38" spans="1:6" x14ac:dyDescent="0.2">
      <c r="A38" s="7" t="s">
        <v>527</v>
      </c>
      <c r="B38" s="7" t="s">
        <v>528</v>
      </c>
      <c r="C38" s="7" t="s">
        <v>246</v>
      </c>
      <c r="D38" s="13">
        <v>1500000</v>
      </c>
      <c r="E38" s="12">
        <v>3942</v>
      </c>
      <c r="F38" s="12">
        <v>1.0692838743849034</v>
      </c>
    </row>
    <row r="39" spans="1:6" x14ac:dyDescent="0.2">
      <c r="A39" s="7" t="s">
        <v>133</v>
      </c>
      <c r="B39" s="7" t="s">
        <v>134</v>
      </c>
      <c r="C39" s="7" t="s">
        <v>135</v>
      </c>
      <c r="D39" s="13">
        <v>1146089</v>
      </c>
      <c r="E39" s="12">
        <v>3931.6583145</v>
      </c>
      <c r="F39" s="12">
        <v>1.0664786492354588</v>
      </c>
    </row>
    <row r="40" spans="1:6" x14ac:dyDescent="0.2">
      <c r="A40" s="7" t="s">
        <v>268</v>
      </c>
      <c r="B40" s="7" t="s">
        <v>269</v>
      </c>
      <c r="C40" s="7" t="s">
        <v>246</v>
      </c>
      <c r="D40" s="13">
        <v>402972</v>
      </c>
      <c r="E40" s="12">
        <v>3870.1430879999998</v>
      </c>
      <c r="F40" s="12">
        <v>1.0497923885237428</v>
      </c>
    </row>
    <row r="41" spans="1:6" x14ac:dyDescent="0.2">
      <c r="A41" s="7" t="s">
        <v>627</v>
      </c>
      <c r="B41" s="7" t="s">
        <v>628</v>
      </c>
      <c r="C41" s="7" t="s">
        <v>79</v>
      </c>
      <c r="D41" s="13">
        <v>546279</v>
      </c>
      <c r="E41" s="12">
        <v>3673.1799959999998</v>
      </c>
      <c r="F41" s="12">
        <v>0.99636533166818975</v>
      </c>
    </row>
    <row r="42" spans="1:6" x14ac:dyDescent="0.2">
      <c r="A42" s="7" t="s">
        <v>274</v>
      </c>
      <c r="B42" s="7" t="s">
        <v>275</v>
      </c>
      <c r="C42" s="7" t="s">
        <v>65</v>
      </c>
      <c r="D42" s="13">
        <v>3057159</v>
      </c>
      <c r="E42" s="12">
        <v>3417.9037619999999</v>
      </c>
      <c r="F42" s="12">
        <v>0.92712059282244963</v>
      </c>
    </row>
    <row r="43" spans="1:6" x14ac:dyDescent="0.2">
      <c r="A43" s="7" t="s">
        <v>210</v>
      </c>
      <c r="B43" s="7" t="s">
        <v>211</v>
      </c>
      <c r="C43" s="7" t="s">
        <v>150</v>
      </c>
      <c r="D43" s="13">
        <v>920735</v>
      </c>
      <c r="E43" s="12">
        <v>3363.4449549999999</v>
      </c>
      <c r="F43" s="12">
        <v>0.91234841521125232</v>
      </c>
    </row>
    <row r="44" spans="1:6" x14ac:dyDescent="0.2">
      <c r="A44" s="7" t="s">
        <v>144</v>
      </c>
      <c r="B44" s="7" t="s">
        <v>145</v>
      </c>
      <c r="C44" s="7" t="s">
        <v>26</v>
      </c>
      <c r="D44" s="13">
        <v>163295</v>
      </c>
      <c r="E44" s="12">
        <v>3113.872355</v>
      </c>
      <c r="F44" s="12">
        <v>0.84465081077991966</v>
      </c>
    </row>
    <row r="45" spans="1:6" x14ac:dyDescent="0.2">
      <c r="A45" s="7" t="s">
        <v>124</v>
      </c>
      <c r="B45" s="7" t="s">
        <v>125</v>
      </c>
      <c r="C45" s="7" t="s">
        <v>123</v>
      </c>
      <c r="D45" s="13">
        <v>919031</v>
      </c>
      <c r="E45" s="12">
        <v>2981.3365640000002</v>
      </c>
      <c r="F45" s="12">
        <v>0.80869992694046056</v>
      </c>
    </row>
    <row r="46" spans="1:6" x14ac:dyDescent="0.2">
      <c r="A46" s="7" t="s">
        <v>258</v>
      </c>
      <c r="B46" s="7" t="s">
        <v>259</v>
      </c>
      <c r="C46" s="7" t="s">
        <v>26</v>
      </c>
      <c r="D46" s="13">
        <v>1124122</v>
      </c>
      <c r="E46" s="12">
        <v>2908.6656750000002</v>
      </c>
      <c r="F46" s="12">
        <v>0.78898764643693053</v>
      </c>
    </row>
    <row r="47" spans="1:6" x14ac:dyDescent="0.2">
      <c r="A47" s="7" t="s">
        <v>282</v>
      </c>
      <c r="B47" s="7" t="s">
        <v>283</v>
      </c>
      <c r="C47" s="7" t="s">
        <v>246</v>
      </c>
      <c r="D47" s="13">
        <v>381779</v>
      </c>
      <c r="E47" s="12">
        <v>2707.7675574999998</v>
      </c>
      <c r="F47" s="12">
        <v>0.73449319756908837</v>
      </c>
    </row>
    <row r="48" spans="1:6" x14ac:dyDescent="0.2">
      <c r="A48" s="7" t="s">
        <v>12</v>
      </c>
      <c r="B48" s="7" t="s">
        <v>13</v>
      </c>
      <c r="C48" s="7" t="s">
        <v>14</v>
      </c>
      <c r="D48" s="13">
        <v>1871216</v>
      </c>
      <c r="E48" s="12">
        <v>2699.2290800000001</v>
      </c>
      <c r="F48" s="12">
        <v>0.73217710007985748</v>
      </c>
    </row>
    <row r="49" spans="1:6" x14ac:dyDescent="0.2">
      <c r="A49" s="7" t="s">
        <v>458</v>
      </c>
      <c r="B49" s="7" t="s">
        <v>459</v>
      </c>
      <c r="C49" s="7" t="s">
        <v>79</v>
      </c>
      <c r="D49" s="13">
        <v>200000</v>
      </c>
      <c r="E49" s="12">
        <v>2691.9</v>
      </c>
      <c r="F49" s="12">
        <v>0.73018905668612921</v>
      </c>
    </row>
    <row r="50" spans="1:6" x14ac:dyDescent="0.2">
      <c r="A50" s="7" t="s">
        <v>288</v>
      </c>
      <c r="B50" s="7" t="s">
        <v>289</v>
      </c>
      <c r="C50" s="7" t="s">
        <v>290</v>
      </c>
      <c r="D50" s="13">
        <v>1078633</v>
      </c>
      <c r="E50" s="12">
        <v>2319.6002665000001</v>
      </c>
      <c r="F50" s="12">
        <v>0.62920120750567587</v>
      </c>
    </row>
    <row r="51" spans="1:6" x14ac:dyDescent="0.2">
      <c r="A51" s="7" t="s">
        <v>533</v>
      </c>
      <c r="B51" s="7" t="s">
        <v>534</v>
      </c>
      <c r="C51" s="7" t="s">
        <v>76</v>
      </c>
      <c r="D51" s="13">
        <v>381063</v>
      </c>
      <c r="E51" s="12">
        <v>2281.043118</v>
      </c>
      <c r="F51" s="12">
        <v>0.61874242081533748</v>
      </c>
    </row>
    <row r="52" spans="1:6" x14ac:dyDescent="0.2">
      <c r="A52" s="7" t="s">
        <v>250</v>
      </c>
      <c r="B52" s="7" t="s">
        <v>251</v>
      </c>
      <c r="C52" s="7" t="s">
        <v>32</v>
      </c>
      <c r="D52" s="13">
        <v>221951</v>
      </c>
      <c r="E52" s="12">
        <v>2011.985815</v>
      </c>
      <c r="F52" s="12">
        <v>0.54575950975917487</v>
      </c>
    </row>
    <row r="53" spans="1:6" x14ac:dyDescent="0.2">
      <c r="A53" s="7" t="s">
        <v>242</v>
      </c>
      <c r="B53" s="7" t="s">
        <v>243</v>
      </c>
      <c r="C53" s="7" t="s">
        <v>130</v>
      </c>
      <c r="D53" s="13">
        <v>2624428</v>
      </c>
      <c r="E53" s="12">
        <v>1997.1897080000001</v>
      </c>
      <c r="F53" s="12">
        <v>0.54174600427496045</v>
      </c>
    </row>
    <row r="54" spans="1:6" x14ac:dyDescent="0.2">
      <c r="A54" s="7" t="s">
        <v>485</v>
      </c>
      <c r="B54" s="7" t="s">
        <v>486</v>
      </c>
      <c r="C54" s="7" t="s">
        <v>32</v>
      </c>
      <c r="D54" s="13">
        <v>515206</v>
      </c>
      <c r="E54" s="12">
        <v>1904.974185</v>
      </c>
      <c r="F54" s="12">
        <v>0.51673216061390759</v>
      </c>
    </row>
    <row r="55" spans="1:6" x14ac:dyDescent="0.2">
      <c r="A55" s="7" t="s">
        <v>276</v>
      </c>
      <c r="B55" s="7" t="s">
        <v>277</v>
      </c>
      <c r="C55" s="7" t="s">
        <v>32</v>
      </c>
      <c r="D55" s="13">
        <v>1695647</v>
      </c>
      <c r="E55" s="12">
        <v>1825.3639955000001</v>
      </c>
      <c r="F55" s="12">
        <v>0.49513756602510084</v>
      </c>
    </row>
    <row r="56" spans="1:6" x14ac:dyDescent="0.2">
      <c r="A56" s="7" t="s">
        <v>314</v>
      </c>
      <c r="B56" s="7" t="s">
        <v>315</v>
      </c>
      <c r="C56" s="7" t="s">
        <v>159</v>
      </c>
      <c r="D56" s="13">
        <v>1774842</v>
      </c>
      <c r="E56" s="12">
        <v>1686.0998999999999</v>
      </c>
      <c r="F56" s="12">
        <v>0.45736160164180573</v>
      </c>
    </row>
    <row r="57" spans="1:6" x14ac:dyDescent="0.2">
      <c r="A57" s="7" t="s">
        <v>155</v>
      </c>
      <c r="B57" s="7" t="s">
        <v>156</v>
      </c>
      <c r="C57" s="7" t="s">
        <v>35</v>
      </c>
      <c r="D57" s="13">
        <v>1791828</v>
      </c>
      <c r="E57" s="12">
        <v>1679.8387499999999</v>
      </c>
      <c r="F57" s="12">
        <v>0.4556632386965736</v>
      </c>
    </row>
    <row r="58" spans="1:6" x14ac:dyDescent="0.2">
      <c r="A58" s="7" t="s">
        <v>284</v>
      </c>
      <c r="B58" s="7" t="s">
        <v>285</v>
      </c>
      <c r="C58" s="7" t="s">
        <v>35</v>
      </c>
      <c r="D58" s="13">
        <v>21647</v>
      </c>
      <c r="E58" s="12">
        <v>1658.5065520000001</v>
      </c>
      <c r="F58" s="12">
        <v>0.4498767913788197</v>
      </c>
    </row>
    <row r="59" spans="1:6" x14ac:dyDescent="0.2">
      <c r="A59" s="7" t="s">
        <v>556</v>
      </c>
      <c r="B59" s="7" t="s">
        <v>557</v>
      </c>
      <c r="C59" s="7" t="s">
        <v>32</v>
      </c>
      <c r="D59" s="13">
        <v>160000</v>
      </c>
      <c r="E59" s="12">
        <v>1533.92</v>
      </c>
      <c r="F59" s="12">
        <v>0.41608217163787187</v>
      </c>
    </row>
    <row r="60" spans="1:6" x14ac:dyDescent="0.2">
      <c r="A60" s="7" t="s">
        <v>303</v>
      </c>
      <c r="B60" s="7" t="s">
        <v>304</v>
      </c>
      <c r="C60" s="7" t="s">
        <v>35</v>
      </c>
      <c r="D60" s="13">
        <v>265282</v>
      </c>
      <c r="E60" s="12">
        <v>1478.6818679999999</v>
      </c>
      <c r="F60" s="12">
        <v>0.40109859888324362</v>
      </c>
    </row>
    <row r="61" spans="1:6" x14ac:dyDescent="0.2">
      <c r="A61" s="7" t="s">
        <v>629</v>
      </c>
      <c r="B61" s="7" t="s">
        <v>630</v>
      </c>
      <c r="C61" s="7" t="s">
        <v>32</v>
      </c>
      <c r="D61" s="13">
        <v>100000</v>
      </c>
      <c r="E61" s="12">
        <v>833.8</v>
      </c>
      <c r="F61" s="12">
        <v>0.22617171346071344</v>
      </c>
    </row>
    <row r="62" spans="1:6" x14ac:dyDescent="0.2">
      <c r="A62" s="6" t="s">
        <v>39</v>
      </c>
      <c r="B62" s="7"/>
      <c r="C62" s="7"/>
      <c r="D62" s="13"/>
      <c r="E62" s="14">
        <f xml:space="preserve"> SUM(E8:E61)</f>
        <v>344511.60101550008</v>
      </c>
      <c r="F62" s="14">
        <f>SUM(F8:F61)</f>
        <v>93.450202816945662</v>
      </c>
    </row>
    <row r="63" spans="1:6" x14ac:dyDescent="0.2">
      <c r="A63" s="7"/>
      <c r="B63" s="7"/>
      <c r="C63" s="7"/>
      <c r="D63" s="13"/>
      <c r="E63" s="12"/>
      <c r="F63" s="12"/>
    </row>
    <row r="64" spans="1:6" x14ac:dyDescent="0.2">
      <c r="A64" s="6" t="s">
        <v>291</v>
      </c>
      <c r="B64" s="7"/>
      <c r="C64" s="7"/>
      <c r="D64" s="13"/>
      <c r="E64" s="12"/>
      <c r="F64" s="12"/>
    </row>
    <row r="65" spans="1:6" x14ac:dyDescent="0.2">
      <c r="A65" s="7" t="s">
        <v>631</v>
      </c>
      <c r="B65" s="7" t="s">
        <v>632</v>
      </c>
      <c r="C65" s="7" t="s">
        <v>76</v>
      </c>
      <c r="D65" s="13">
        <v>30000</v>
      </c>
      <c r="E65" s="12">
        <v>3.0000000000000001E-3</v>
      </c>
      <c r="F65" s="12">
        <v>8.137624614801395E-7</v>
      </c>
    </row>
    <row r="66" spans="1:6" x14ac:dyDescent="0.2">
      <c r="A66" s="7" t="s">
        <v>325</v>
      </c>
      <c r="B66" s="7" t="s">
        <v>326</v>
      </c>
      <c r="C66" s="7" t="s">
        <v>32</v>
      </c>
      <c r="D66" s="13">
        <v>3500</v>
      </c>
      <c r="E66" s="12">
        <v>3.5E-4</v>
      </c>
      <c r="F66" s="12">
        <v>9.4938953839349606E-8</v>
      </c>
    </row>
    <row r="67" spans="1:6" x14ac:dyDescent="0.2">
      <c r="A67" s="7" t="s">
        <v>322</v>
      </c>
      <c r="B67" s="7" t="s">
        <v>323</v>
      </c>
      <c r="C67" s="7" t="s">
        <v>32</v>
      </c>
      <c r="D67" s="13">
        <v>2900</v>
      </c>
      <c r="E67" s="12">
        <v>2.9E-4</v>
      </c>
      <c r="F67" s="12">
        <v>7.8663704609746825E-8</v>
      </c>
    </row>
    <row r="68" spans="1:6" x14ac:dyDescent="0.2">
      <c r="A68" s="6" t="s">
        <v>39</v>
      </c>
      <c r="B68" s="7"/>
      <c r="C68" s="7"/>
      <c r="D68" s="7"/>
      <c r="E68" s="14">
        <f>SUM(E65:E67)</f>
        <v>3.64E-3</v>
      </c>
      <c r="F68" s="14">
        <f>SUM(F65:F67)</f>
        <v>9.8736511992923586E-7</v>
      </c>
    </row>
    <row r="69" spans="1:6" x14ac:dyDescent="0.2">
      <c r="A69" s="7"/>
      <c r="B69" s="7"/>
      <c r="C69" s="7"/>
      <c r="D69" s="7"/>
      <c r="E69" s="12"/>
      <c r="F69" s="12"/>
    </row>
    <row r="70" spans="1:6" x14ac:dyDescent="0.2">
      <c r="A70" s="6" t="s">
        <v>39</v>
      </c>
      <c r="B70" s="7"/>
      <c r="C70" s="7"/>
      <c r="D70" s="7"/>
      <c r="E70" s="14">
        <f>+E62+E68</f>
        <v>344511.60465550009</v>
      </c>
      <c r="F70" s="14">
        <f>+F62+F68</f>
        <v>93.450203804310789</v>
      </c>
    </row>
    <row r="71" spans="1:6" x14ac:dyDescent="0.2">
      <c r="A71" s="7"/>
      <c r="B71" s="7"/>
      <c r="C71" s="7"/>
      <c r="D71" s="7"/>
      <c r="E71" s="12"/>
      <c r="F71" s="12"/>
    </row>
    <row r="72" spans="1:6" x14ac:dyDescent="0.2">
      <c r="A72" s="6" t="s">
        <v>103</v>
      </c>
      <c r="B72" s="7"/>
      <c r="C72" s="7"/>
      <c r="D72" s="7"/>
      <c r="E72" s="14">
        <v>24146.344316899998</v>
      </c>
      <c r="F72" s="14">
        <v>6.55</v>
      </c>
    </row>
    <row r="73" spans="1:6" x14ac:dyDescent="0.2">
      <c r="A73" s="7"/>
      <c r="B73" s="7"/>
      <c r="C73" s="7"/>
      <c r="D73" s="7"/>
      <c r="E73" s="12"/>
      <c r="F73" s="12"/>
    </row>
    <row r="74" spans="1:6" x14ac:dyDescent="0.2">
      <c r="A74" s="8" t="s">
        <v>104</v>
      </c>
      <c r="B74" s="5"/>
      <c r="C74" s="5"/>
      <c r="D74" s="5"/>
      <c r="E74" s="15">
        <f>E70+E72</f>
        <v>368657.9489724001</v>
      </c>
      <c r="F74" s="15">
        <f>F70+F72</f>
        <v>100.00020380431079</v>
      </c>
    </row>
    <row r="76" spans="1:6" x14ac:dyDescent="0.2">
      <c r="A76" s="9" t="s">
        <v>105</v>
      </c>
    </row>
    <row r="77" spans="1:6" x14ac:dyDescent="0.2">
      <c r="A77" s="9" t="s">
        <v>106</v>
      </c>
    </row>
    <row r="78" spans="1:6" x14ac:dyDescent="0.2">
      <c r="A78" s="9" t="s">
        <v>107</v>
      </c>
    </row>
    <row r="79" spans="1:6" x14ac:dyDescent="0.2">
      <c r="A79" s="1" t="s">
        <v>719</v>
      </c>
      <c r="B79" s="10">
        <v>47.393900000000002</v>
      </c>
    </row>
    <row r="80" spans="1:6" x14ac:dyDescent="0.2">
      <c r="A80" s="1" t="s">
        <v>720</v>
      </c>
      <c r="B80" s="10">
        <v>591.65020000000004</v>
      </c>
    </row>
    <row r="81" spans="1:2" x14ac:dyDescent="0.2">
      <c r="A81" s="1" t="s">
        <v>721</v>
      </c>
      <c r="B81" s="10">
        <v>44.697200000000002</v>
      </c>
    </row>
    <row r="82" spans="1:2" x14ac:dyDescent="0.2">
      <c r="A82" s="1" t="s">
        <v>722</v>
      </c>
      <c r="B82" s="10">
        <v>564.69460000000004</v>
      </c>
    </row>
    <row r="84" spans="1:2" x14ac:dyDescent="0.2">
      <c r="A84" s="9" t="s">
        <v>108</v>
      </c>
    </row>
    <row r="85" spans="1:2" x14ac:dyDescent="0.2">
      <c r="A85" s="1" t="s">
        <v>719</v>
      </c>
      <c r="B85" s="10">
        <v>45.531700000000001</v>
      </c>
    </row>
    <row r="86" spans="1:2" x14ac:dyDescent="0.2">
      <c r="A86" s="1" t="s">
        <v>720</v>
      </c>
      <c r="B86" s="10">
        <v>568.4076</v>
      </c>
    </row>
    <row r="87" spans="1:2" x14ac:dyDescent="0.2">
      <c r="A87" s="1" t="s">
        <v>721</v>
      </c>
      <c r="B87" s="10">
        <v>42.735900000000001</v>
      </c>
    </row>
    <row r="88" spans="1:2" x14ac:dyDescent="0.2">
      <c r="A88" s="1" t="s">
        <v>722</v>
      </c>
      <c r="B88" s="10">
        <v>539.91650000000004</v>
      </c>
    </row>
    <row r="90" spans="1:2" x14ac:dyDescent="0.2">
      <c r="A90" s="9" t="s">
        <v>109</v>
      </c>
      <c r="B90" s="11" t="s">
        <v>110</v>
      </c>
    </row>
    <row r="92" spans="1:2" x14ac:dyDescent="0.2">
      <c r="A92" s="9" t="s">
        <v>111</v>
      </c>
      <c r="B92" s="40">
        <v>0.12233630424679415</v>
      </c>
    </row>
  </sheetData>
  <mergeCells count="1">
    <mergeCell ref="A1:F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7.7109375" style="1" bestFit="1" customWidth="1"/>
    <col min="3" max="3" width="19.140625" style="1" bestFit="1" customWidth="1"/>
    <col min="4" max="4" width="9.85546875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625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185</v>
      </c>
      <c r="B8" s="7" t="s">
        <v>186</v>
      </c>
      <c r="C8" s="7" t="s">
        <v>76</v>
      </c>
      <c r="D8" s="13">
        <v>755196</v>
      </c>
      <c r="E8" s="12">
        <v>5040.5557019999997</v>
      </c>
      <c r="F8" s="12">
        <v>21.919940761944662</v>
      </c>
    </row>
    <row r="9" spans="1:6" x14ac:dyDescent="0.2">
      <c r="A9" s="7" t="s">
        <v>196</v>
      </c>
      <c r="B9" s="7" t="s">
        <v>197</v>
      </c>
      <c r="C9" s="7" t="s">
        <v>76</v>
      </c>
      <c r="D9" s="13">
        <v>206795</v>
      </c>
      <c r="E9" s="12">
        <v>2098.9692500000001</v>
      </c>
      <c r="F9" s="12">
        <v>9.1278193003378156</v>
      </c>
    </row>
    <row r="10" spans="1:6" x14ac:dyDescent="0.2">
      <c r="A10" s="7" t="s">
        <v>452</v>
      </c>
      <c r="B10" s="7" t="s">
        <v>453</v>
      </c>
      <c r="C10" s="7" t="s">
        <v>76</v>
      </c>
      <c r="D10" s="13">
        <v>97942</v>
      </c>
      <c r="E10" s="12">
        <v>1927.7434149999999</v>
      </c>
      <c r="F10" s="12">
        <v>8.3832069238442291</v>
      </c>
    </row>
    <row r="11" spans="1:6" x14ac:dyDescent="0.2">
      <c r="A11" s="7" t="s">
        <v>200</v>
      </c>
      <c r="B11" s="7" t="s">
        <v>201</v>
      </c>
      <c r="C11" s="7" t="s">
        <v>76</v>
      </c>
      <c r="D11" s="13">
        <v>266902</v>
      </c>
      <c r="E11" s="12">
        <v>1884.194669</v>
      </c>
      <c r="F11" s="12">
        <v>8.1938258339381669</v>
      </c>
    </row>
    <row r="12" spans="1:6" x14ac:dyDescent="0.2">
      <c r="A12" s="7" t="s">
        <v>119</v>
      </c>
      <c r="B12" s="7" t="s">
        <v>120</v>
      </c>
      <c r="C12" s="7" t="s">
        <v>29</v>
      </c>
      <c r="D12" s="13">
        <v>324366</v>
      </c>
      <c r="E12" s="12">
        <v>1016.88741</v>
      </c>
      <c r="F12" s="12">
        <v>4.4221536486389841</v>
      </c>
    </row>
    <row r="13" spans="1:6" x14ac:dyDescent="0.2">
      <c r="A13" s="7" t="s">
        <v>537</v>
      </c>
      <c r="B13" s="7" t="s">
        <v>538</v>
      </c>
      <c r="C13" s="7" t="s">
        <v>76</v>
      </c>
      <c r="D13" s="13">
        <v>87502</v>
      </c>
      <c r="E13" s="12">
        <v>887.09527600000001</v>
      </c>
      <c r="F13" s="12">
        <v>3.8577246338941364</v>
      </c>
    </row>
    <row r="14" spans="1:6" x14ac:dyDescent="0.2">
      <c r="A14" s="7" t="s">
        <v>299</v>
      </c>
      <c r="B14" s="7" t="s">
        <v>300</v>
      </c>
      <c r="C14" s="7" t="s">
        <v>76</v>
      </c>
      <c r="D14" s="13">
        <v>55000</v>
      </c>
      <c r="E14" s="12">
        <v>850.08</v>
      </c>
      <c r="F14" s="12">
        <v>3.6967557437209573</v>
      </c>
    </row>
    <row r="15" spans="1:6" x14ac:dyDescent="0.2">
      <c r="A15" s="7" t="s">
        <v>533</v>
      </c>
      <c r="B15" s="7" t="s">
        <v>534</v>
      </c>
      <c r="C15" s="7" t="s">
        <v>76</v>
      </c>
      <c r="D15" s="13">
        <v>106143</v>
      </c>
      <c r="E15" s="12">
        <v>635.37199799999996</v>
      </c>
      <c r="F15" s="12">
        <v>2.7630518104248543</v>
      </c>
    </row>
    <row r="16" spans="1:6" x14ac:dyDescent="0.2">
      <c r="A16" s="7" t="s">
        <v>617</v>
      </c>
      <c r="B16" s="7" t="s">
        <v>618</v>
      </c>
      <c r="C16" s="7" t="s">
        <v>76</v>
      </c>
      <c r="D16" s="13">
        <v>15000</v>
      </c>
      <c r="E16" s="12">
        <v>515.82000000000005</v>
      </c>
      <c r="F16" s="12">
        <v>2.243154229867947</v>
      </c>
    </row>
    <row r="17" spans="1:6" x14ac:dyDescent="0.2">
      <c r="A17" s="7" t="s">
        <v>519</v>
      </c>
      <c r="B17" s="7" t="s">
        <v>520</v>
      </c>
      <c r="C17" s="7" t="s">
        <v>76</v>
      </c>
      <c r="D17" s="13">
        <v>57000</v>
      </c>
      <c r="E17" s="12">
        <v>499.69049999999999</v>
      </c>
      <c r="F17" s="12">
        <v>2.1730116294440487</v>
      </c>
    </row>
    <row r="18" spans="1:6" x14ac:dyDescent="0.2">
      <c r="A18" s="7" t="s">
        <v>274</v>
      </c>
      <c r="B18" s="7" t="s">
        <v>275</v>
      </c>
      <c r="C18" s="7" t="s">
        <v>65</v>
      </c>
      <c r="D18" s="13">
        <v>428519</v>
      </c>
      <c r="E18" s="12">
        <v>479.08424200000002</v>
      </c>
      <c r="F18" s="12">
        <v>2.0834008838458744</v>
      </c>
    </row>
    <row r="19" spans="1:6" x14ac:dyDescent="0.2">
      <c r="A19" s="7" t="s">
        <v>27</v>
      </c>
      <c r="B19" s="7" t="s">
        <v>28</v>
      </c>
      <c r="C19" s="7" t="s">
        <v>29</v>
      </c>
      <c r="D19" s="13">
        <v>952876</v>
      </c>
      <c r="E19" s="12">
        <v>336.365228</v>
      </c>
      <c r="F19" s="12">
        <v>1.4627565506740652</v>
      </c>
    </row>
    <row r="20" spans="1:6" x14ac:dyDescent="0.2">
      <c r="A20" s="7" t="s">
        <v>541</v>
      </c>
      <c r="B20" s="7" t="s">
        <v>542</v>
      </c>
      <c r="C20" s="7" t="s">
        <v>65</v>
      </c>
      <c r="D20" s="13">
        <v>70683</v>
      </c>
      <c r="E20" s="12">
        <v>229.29565199999999</v>
      </c>
      <c r="F20" s="12">
        <v>0.99714146732218334</v>
      </c>
    </row>
    <row r="21" spans="1:6" x14ac:dyDescent="0.2">
      <c r="A21" s="7" t="s">
        <v>619</v>
      </c>
      <c r="B21" s="7" t="s">
        <v>620</v>
      </c>
      <c r="C21" s="7" t="s">
        <v>76</v>
      </c>
      <c r="D21" s="13">
        <v>41262</v>
      </c>
      <c r="E21" s="12">
        <v>122.919498</v>
      </c>
      <c r="F21" s="12">
        <v>0.53454187870176539</v>
      </c>
    </row>
    <row r="22" spans="1:6" x14ac:dyDescent="0.2">
      <c r="A22" s="7" t="s">
        <v>280</v>
      </c>
      <c r="B22" s="7" t="s">
        <v>281</v>
      </c>
      <c r="C22" s="7" t="s">
        <v>65</v>
      </c>
      <c r="D22" s="13">
        <v>254904</v>
      </c>
      <c r="E22" s="12">
        <v>97.628231999999997</v>
      </c>
      <c r="F22" s="12">
        <v>0.42455736800691951</v>
      </c>
    </row>
    <row r="23" spans="1:6" x14ac:dyDescent="0.2">
      <c r="A23" s="6" t="s">
        <v>39</v>
      </c>
      <c r="B23" s="7"/>
      <c r="C23" s="7"/>
      <c r="D23" s="13"/>
      <c r="E23" s="14">
        <f xml:space="preserve"> SUM(E8:E22)</f>
        <v>16621.701072</v>
      </c>
      <c r="F23" s="14">
        <f xml:space="preserve"> SUM(F8:F22)</f>
        <v>72.283042664606569</v>
      </c>
    </row>
    <row r="24" spans="1:6" x14ac:dyDescent="0.2">
      <c r="A24" s="6"/>
      <c r="B24" s="7"/>
      <c r="C24" s="7"/>
      <c r="D24" s="13"/>
      <c r="E24" s="14"/>
      <c r="F24" s="14"/>
    </row>
    <row r="25" spans="1:6" x14ac:dyDescent="0.2">
      <c r="A25" s="6" t="s">
        <v>291</v>
      </c>
      <c r="B25" s="7"/>
      <c r="C25" s="7"/>
      <c r="D25" s="13"/>
      <c r="E25" s="14"/>
      <c r="F25" s="14"/>
    </row>
    <row r="26" spans="1:6" x14ac:dyDescent="0.2">
      <c r="A26" s="7" t="s">
        <v>322</v>
      </c>
      <c r="B26" s="7" t="s">
        <v>493</v>
      </c>
      <c r="C26" s="7" t="s">
        <v>76</v>
      </c>
      <c r="D26" s="13">
        <v>970000</v>
      </c>
      <c r="E26" s="12">
        <v>9.7000000000000003E-2</v>
      </c>
      <c r="F26" s="12">
        <v>4.2182536601370797E-4</v>
      </c>
    </row>
    <row r="27" spans="1:6" x14ac:dyDescent="0.2">
      <c r="A27" s="6" t="s">
        <v>39</v>
      </c>
      <c r="B27" s="7"/>
      <c r="C27" s="7"/>
      <c r="D27" s="13"/>
      <c r="E27" s="14">
        <f>SUM(E26)</f>
        <v>9.7000000000000003E-2</v>
      </c>
      <c r="F27" s="14">
        <f>SUM(F26)</f>
        <v>4.2182536601370797E-4</v>
      </c>
    </row>
    <row r="28" spans="1:6" x14ac:dyDescent="0.2">
      <c r="A28" s="7"/>
      <c r="B28" s="7"/>
      <c r="C28" s="7"/>
      <c r="D28" s="13"/>
      <c r="E28" s="12"/>
      <c r="F28" s="12"/>
    </row>
    <row r="29" spans="1:6" x14ac:dyDescent="0.2">
      <c r="A29" s="6" t="s">
        <v>40</v>
      </c>
      <c r="B29" s="7"/>
      <c r="C29" s="7"/>
      <c r="D29" s="13"/>
      <c r="E29" s="12"/>
      <c r="F29" s="12"/>
    </row>
    <row r="30" spans="1:6" x14ac:dyDescent="0.2">
      <c r="A30" s="7" t="s">
        <v>643</v>
      </c>
      <c r="B30" s="7" t="s">
        <v>649</v>
      </c>
      <c r="C30" s="7" t="s">
        <v>76</v>
      </c>
      <c r="D30" s="13">
        <v>35000</v>
      </c>
      <c r="E30" s="12">
        <v>1739.778223</v>
      </c>
      <c r="F30" s="12">
        <v>7.565799852573746</v>
      </c>
    </row>
    <row r="31" spans="1:6" x14ac:dyDescent="0.2">
      <c r="A31" s="7" t="s">
        <v>623</v>
      </c>
      <c r="B31" s="7" t="s">
        <v>624</v>
      </c>
      <c r="C31" s="7" t="s">
        <v>76</v>
      </c>
      <c r="D31" s="13">
        <v>14500</v>
      </c>
      <c r="E31" s="12">
        <v>318.23764629999999</v>
      </c>
      <c r="F31" s="12">
        <v>1.3839248621632827</v>
      </c>
    </row>
    <row r="32" spans="1:6" x14ac:dyDescent="0.2">
      <c r="A32" s="7" t="s">
        <v>647</v>
      </c>
      <c r="B32" s="7" t="s">
        <v>652</v>
      </c>
      <c r="C32" s="7" t="s">
        <v>73</v>
      </c>
      <c r="D32" s="13">
        <v>12000</v>
      </c>
      <c r="E32" s="12">
        <v>312.26968790000001</v>
      </c>
      <c r="F32" s="12">
        <v>1.3579719112722046</v>
      </c>
    </row>
    <row r="33" spans="1:6" x14ac:dyDescent="0.2">
      <c r="A33" s="7" t="s">
        <v>74</v>
      </c>
      <c r="B33" s="7" t="s">
        <v>75</v>
      </c>
      <c r="C33" s="7" t="s">
        <v>76</v>
      </c>
      <c r="D33" s="13">
        <v>10000</v>
      </c>
      <c r="E33" s="12">
        <v>278.34775630000001</v>
      </c>
      <c r="F33" s="12">
        <v>1.2104550946426997</v>
      </c>
    </row>
    <row r="34" spans="1:6" x14ac:dyDescent="0.2">
      <c r="A34" s="7" t="s">
        <v>644</v>
      </c>
      <c r="B34" s="7" t="s">
        <v>650</v>
      </c>
      <c r="C34" s="7" t="s">
        <v>76</v>
      </c>
      <c r="D34" s="13">
        <v>2400</v>
      </c>
      <c r="E34" s="12">
        <v>235.4996964</v>
      </c>
      <c r="F34" s="12">
        <v>1.0241210889695576</v>
      </c>
    </row>
    <row r="35" spans="1:6" x14ac:dyDescent="0.2">
      <c r="A35" s="7" t="s">
        <v>646</v>
      </c>
      <c r="B35" s="7" t="s">
        <v>651</v>
      </c>
      <c r="C35" s="7" t="s">
        <v>76</v>
      </c>
      <c r="D35" s="13">
        <v>3000</v>
      </c>
      <c r="E35" s="12">
        <v>232.1541972</v>
      </c>
      <c r="F35" s="12">
        <v>1.0095724660361702</v>
      </c>
    </row>
    <row r="36" spans="1:6" x14ac:dyDescent="0.2">
      <c r="A36" s="7" t="s">
        <v>91</v>
      </c>
      <c r="B36" s="7" t="s">
        <v>92</v>
      </c>
      <c r="C36" s="7" t="s">
        <v>73</v>
      </c>
      <c r="D36" s="13">
        <v>44000</v>
      </c>
      <c r="E36" s="12">
        <v>224.71986460000002</v>
      </c>
      <c r="F36" s="12">
        <v>0.97724267149944222</v>
      </c>
    </row>
    <row r="37" spans="1:6" x14ac:dyDescent="0.2">
      <c r="A37" s="7" t="s">
        <v>621</v>
      </c>
      <c r="B37" s="7" t="s">
        <v>622</v>
      </c>
      <c r="C37" s="7" t="s">
        <v>26</v>
      </c>
      <c r="D37" s="13">
        <v>30000</v>
      </c>
      <c r="E37" s="12">
        <v>157.0165461</v>
      </c>
      <c r="F37" s="12">
        <v>0.68282022710145096</v>
      </c>
    </row>
    <row r="38" spans="1:6" x14ac:dyDescent="0.2">
      <c r="A38" s="6" t="s">
        <v>39</v>
      </c>
      <c r="B38" s="7"/>
      <c r="C38" s="7"/>
      <c r="D38" s="13"/>
      <c r="E38" s="14">
        <f>SUM(E30:E37)</f>
        <v>3498.0236178000005</v>
      </c>
      <c r="F38" s="14">
        <f>SUM(F30:F37)</f>
        <v>15.211908174258557</v>
      </c>
    </row>
    <row r="39" spans="1:6" x14ac:dyDescent="0.2">
      <c r="A39" s="6"/>
      <c r="B39" s="7"/>
      <c r="C39" s="7"/>
      <c r="D39" s="13"/>
      <c r="E39" s="14"/>
      <c r="F39" s="14"/>
    </row>
    <row r="40" spans="1:6" x14ac:dyDescent="0.2">
      <c r="A40" s="19" t="s">
        <v>639</v>
      </c>
      <c r="B40" s="7"/>
      <c r="C40" s="7"/>
      <c r="D40" s="13"/>
      <c r="E40" s="14"/>
      <c r="F40" s="14"/>
    </row>
    <row r="41" spans="1:6" x14ac:dyDescent="0.2">
      <c r="A41" s="7" t="s">
        <v>645</v>
      </c>
      <c r="B41" s="7" t="s">
        <v>653</v>
      </c>
      <c r="C41" s="7" t="s">
        <v>640</v>
      </c>
      <c r="D41" s="13">
        <v>102868.481</v>
      </c>
      <c r="E41" s="12">
        <v>1875.791823</v>
      </c>
      <c r="F41" s="12">
        <v>8.1572842505411902</v>
      </c>
    </row>
    <row r="42" spans="1:6" x14ac:dyDescent="0.2">
      <c r="A42" s="6" t="s">
        <v>39</v>
      </c>
      <c r="B42" s="7"/>
      <c r="C42" s="7"/>
      <c r="D42" s="13"/>
      <c r="E42" s="14">
        <f>SUM(E41)</f>
        <v>1875.791823</v>
      </c>
      <c r="F42" s="14">
        <f>SUM(F41)</f>
        <v>8.1572842505411902</v>
      </c>
    </row>
    <row r="43" spans="1:6" x14ac:dyDescent="0.2">
      <c r="A43" s="6"/>
      <c r="B43" s="7"/>
      <c r="C43" s="7"/>
      <c r="D43" s="13"/>
      <c r="E43" s="14"/>
      <c r="F43" s="14"/>
    </row>
    <row r="44" spans="1:6" x14ac:dyDescent="0.2">
      <c r="A44" s="6"/>
      <c r="B44" s="7"/>
      <c r="C44" s="7"/>
      <c r="D44" s="13"/>
      <c r="E44" s="14"/>
      <c r="F44" s="14"/>
    </row>
    <row r="45" spans="1:6" x14ac:dyDescent="0.2">
      <c r="A45" s="6" t="s">
        <v>39</v>
      </c>
      <c r="B45" s="7"/>
      <c r="C45" s="7"/>
      <c r="D45" s="13"/>
      <c r="E45" s="14">
        <f>E23+E38+E42+E27</f>
        <v>21995.613512800002</v>
      </c>
      <c r="F45" s="14">
        <f>F23+F38+F42+F27</f>
        <v>95.652656914772336</v>
      </c>
    </row>
    <row r="46" spans="1:6" x14ac:dyDescent="0.2">
      <c r="A46" s="7"/>
      <c r="B46" s="7"/>
      <c r="C46" s="7"/>
      <c r="D46" s="13"/>
      <c r="E46" s="12"/>
      <c r="F46" s="12"/>
    </row>
    <row r="47" spans="1:6" x14ac:dyDescent="0.2">
      <c r="A47" s="6" t="s">
        <v>103</v>
      </c>
      <c r="B47" s="7"/>
      <c r="C47" s="7"/>
      <c r="D47" s="13"/>
      <c r="E47" s="14">
        <v>999.68449799999996</v>
      </c>
      <c r="F47" s="14">
        <v>4.3473430852276271</v>
      </c>
    </row>
    <row r="48" spans="1:6" x14ac:dyDescent="0.2">
      <c r="A48" s="7"/>
      <c r="B48" s="7"/>
      <c r="C48" s="7"/>
      <c r="D48" s="13"/>
      <c r="E48" s="12"/>
      <c r="F48" s="12"/>
    </row>
    <row r="49" spans="1:6" x14ac:dyDescent="0.2">
      <c r="A49" s="8" t="s">
        <v>104</v>
      </c>
      <c r="B49" s="5"/>
      <c r="C49" s="5"/>
      <c r="D49" s="24"/>
      <c r="E49" s="15">
        <f>E45+E47</f>
        <v>22995.298010800001</v>
      </c>
      <c r="F49" s="15">
        <f>F45+F47</f>
        <v>99.999999999999957</v>
      </c>
    </row>
    <row r="51" spans="1:6" x14ac:dyDescent="0.2">
      <c r="A51" s="9" t="s">
        <v>105</v>
      </c>
    </row>
    <row r="52" spans="1:6" x14ac:dyDescent="0.2">
      <c r="A52" s="9" t="s">
        <v>106</v>
      </c>
    </row>
    <row r="53" spans="1:6" x14ac:dyDescent="0.2">
      <c r="A53" s="9" t="s">
        <v>107</v>
      </c>
    </row>
    <row r="54" spans="1:6" x14ac:dyDescent="0.2">
      <c r="A54" s="1" t="s">
        <v>719</v>
      </c>
      <c r="B54" s="10">
        <v>26.761700000000001</v>
      </c>
    </row>
    <row r="55" spans="1:6" x14ac:dyDescent="0.2">
      <c r="A55" s="1" t="s">
        <v>720</v>
      </c>
      <c r="B55" s="10">
        <v>154.15129999999999</v>
      </c>
    </row>
    <row r="56" spans="1:6" x14ac:dyDescent="0.2">
      <c r="A56" s="1" t="s">
        <v>721</v>
      </c>
      <c r="B56" s="10">
        <v>25.892099999999999</v>
      </c>
    </row>
    <row r="57" spans="1:6" x14ac:dyDescent="0.2">
      <c r="A57" s="1" t="s">
        <v>722</v>
      </c>
      <c r="B57" s="10">
        <v>149.48339999999999</v>
      </c>
    </row>
    <row r="59" spans="1:6" x14ac:dyDescent="0.2">
      <c r="A59" s="9" t="s">
        <v>108</v>
      </c>
    </row>
    <row r="60" spans="1:6" x14ac:dyDescent="0.2">
      <c r="A60" s="1" t="s">
        <v>719</v>
      </c>
      <c r="B60" s="10">
        <v>24.961500000000001</v>
      </c>
    </row>
    <row r="61" spans="1:6" x14ac:dyDescent="0.2">
      <c r="A61" s="1" t="s">
        <v>720</v>
      </c>
      <c r="B61" s="10">
        <v>156.76949999999999</v>
      </c>
    </row>
    <row r="62" spans="1:6" x14ac:dyDescent="0.2">
      <c r="A62" s="1" t="s">
        <v>721</v>
      </c>
      <c r="B62" s="10">
        <v>24.008600000000001</v>
      </c>
    </row>
    <row r="63" spans="1:6" x14ac:dyDescent="0.2">
      <c r="A63" s="1" t="s">
        <v>722</v>
      </c>
      <c r="B63" s="10">
        <v>151.5686</v>
      </c>
    </row>
    <row r="65" spans="1:4" x14ac:dyDescent="0.2">
      <c r="A65" s="9" t="s">
        <v>109</v>
      </c>
      <c r="B65" s="11"/>
    </row>
    <row r="66" spans="1:4" x14ac:dyDescent="0.2">
      <c r="A66" s="41" t="s">
        <v>727</v>
      </c>
      <c r="B66" s="42"/>
      <c r="C66" s="57" t="s">
        <v>728</v>
      </c>
      <c r="D66" s="58"/>
    </row>
    <row r="67" spans="1:4" x14ac:dyDescent="0.2">
      <c r="A67" s="59"/>
      <c r="B67" s="60"/>
      <c r="C67" s="43" t="s">
        <v>729</v>
      </c>
      <c r="D67" s="43" t="s">
        <v>730</v>
      </c>
    </row>
    <row r="68" spans="1:4" x14ac:dyDescent="0.2">
      <c r="A68" s="44" t="s">
        <v>721</v>
      </c>
      <c r="B68" s="45"/>
      <c r="C68" s="46">
        <v>1.9921690575</v>
      </c>
      <c r="D68" s="46">
        <v>1.9921690575</v>
      </c>
    </row>
    <row r="69" spans="1:4" x14ac:dyDescent="0.2">
      <c r="A69" s="44" t="s">
        <v>719</v>
      </c>
      <c r="B69" s="45"/>
      <c r="C69" s="46">
        <v>1.9921690575</v>
      </c>
      <c r="D69" s="46">
        <v>1.9921690575</v>
      </c>
    </row>
    <row r="70" spans="1:4" x14ac:dyDescent="0.2">
      <c r="A70" s="47"/>
      <c r="B70" s="47"/>
      <c r="C70" s="48"/>
      <c r="D70" s="48"/>
    </row>
    <row r="71" spans="1:4" x14ac:dyDescent="0.2">
      <c r="A71" s="9" t="s">
        <v>111</v>
      </c>
      <c r="B71" s="40">
        <v>0.11090817771095968</v>
      </c>
    </row>
    <row r="73" spans="1:4" x14ac:dyDescent="0.2">
      <c r="A73" s="2"/>
      <c r="B73" s="2"/>
      <c r="C73" s="2"/>
      <c r="D73" s="2"/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  <row r="76" spans="1:4" x14ac:dyDescent="0.2">
      <c r="A76" s="2"/>
      <c r="B76" s="2"/>
      <c r="C76" s="2"/>
      <c r="D76" s="2"/>
    </row>
  </sheetData>
  <mergeCells count="3">
    <mergeCell ref="C66:D66"/>
    <mergeCell ref="A67:B67"/>
    <mergeCell ref="A1:F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42.7109375" style="1" bestFit="1" customWidth="1"/>
    <col min="3" max="3" width="20" style="1" bestFit="1" customWidth="1"/>
    <col min="4" max="4" width="12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616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9</v>
      </c>
      <c r="B8" s="7" t="s">
        <v>10</v>
      </c>
      <c r="C8" s="7" t="s">
        <v>11</v>
      </c>
      <c r="D8" s="13">
        <v>1383653</v>
      </c>
      <c r="E8" s="12">
        <v>29450.362278500001</v>
      </c>
      <c r="F8" s="12">
        <v>4.3540820817481336</v>
      </c>
    </row>
    <row r="9" spans="1:6" x14ac:dyDescent="0.2">
      <c r="A9" s="7" t="s">
        <v>497</v>
      </c>
      <c r="B9" s="7" t="s">
        <v>498</v>
      </c>
      <c r="C9" s="7" t="s">
        <v>26</v>
      </c>
      <c r="D9" s="13">
        <v>3843709</v>
      </c>
      <c r="E9" s="12">
        <v>17617.640201499999</v>
      </c>
      <c r="F9" s="12">
        <v>2.6046759900144676</v>
      </c>
    </row>
    <row r="10" spans="1:6" x14ac:dyDescent="0.2">
      <c r="A10" s="7" t="s">
        <v>349</v>
      </c>
      <c r="B10" s="7" t="s">
        <v>350</v>
      </c>
      <c r="C10" s="7" t="s">
        <v>351</v>
      </c>
      <c r="D10" s="13">
        <v>1655675</v>
      </c>
      <c r="E10" s="12">
        <v>17547.6714875</v>
      </c>
      <c r="F10" s="12">
        <v>2.5943314814807725</v>
      </c>
    </row>
    <row r="11" spans="1:6" x14ac:dyDescent="0.2">
      <c r="A11" s="7" t="s">
        <v>533</v>
      </c>
      <c r="B11" s="7" t="s">
        <v>534</v>
      </c>
      <c r="C11" s="7" t="s">
        <v>76</v>
      </c>
      <c r="D11" s="13">
        <v>2844726</v>
      </c>
      <c r="E11" s="12">
        <v>17028.529836000002</v>
      </c>
      <c r="F11" s="12">
        <v>2.5175791026370171</v>
      </c>
    </row>
    <row r="12" spans="1:6" x14ac:dyDescent="0.2">
      <c r="A12" s="7" t="s">
        <v>535</v>
      </c>
      <c r="B12" s="7" t="s">
        <v>536</v>
      </c>
      <c r="C12" s="7" t="s">
        <v>333</v>
      </c>
      <c r="D12" s="13">
        <v>5578251</v>
      </c>
      <c r="E12" s="12">
        <v>14372.3637015</v>
      </c>
      <c r="F12" s="12">
        <v>2.1248788274076116</v>
      </c>
    </row>
    <row r="13" spans="1:6" x14ac:dyDescent="0.2">
      <c r="A13" s="7" t="s">
        <v>537</v>
      </c>
      <c r="B13" s="7" t="s">
        <v>538</v>
      </c>
      <c r="C13" s="7" t="s">
        <v>76</v>
      </c>
      <c r="D13" s="13">
        <v>1401949</v>
      </c>
      <c r="E13" s="12">
        <v>14212.958962000001</v>
      </c>
      <c r="F13" s="12">
        <v>2.1013116701197241</v>
      </c>
    </row>
    <row r="14" spans="1:6" x14ac:dyDescent="0.2">
      <c r="A14" s="7" t="s">
        <v>225</v>
      </c>
      <c r="B14" s="7" t="s">
        <v>226</v>
      </c>
      <c r="C14" s="7" t="s">
        <v>189</v>
      </c>
      <c r="D14" s="13">
        <v>2521141</v>
      </c>
      <c r="E14" s="12">
        <v>13965.860569500001</v>
      </c>
      <c r="F14" s="12">
        <v>2.0647794647417799</v>
      </c>
    </row>
    <row r="15" spans="1:6" x14ac:dyDescent="0.2">
      <c r="A15" s="7" t="s">
        <v>539</v>
      </c>
      <c r="B15" s="7" t="s">
        <v>540</v>
      </c>
      <c r="C15" s="7" t="s">
        <v>333</v>
      </c>
      <c r="D15" s="13">
        <v>385642</v>
      </c>
      <c r="E15" s="12">
        <v>13379.270726999999</v>
      </c>
      <c r="F15" s="12">
        <v>1.978055223511332</v>
      </c>
    </row>
    <row r="16" spans="1:6" x14ac:dyDescent="0.2">
      <c r="A16" s="7" t="s">
        <v>278</v>
      </c>
      <c r="B16" s="7" t="s">
        <v>279</v>
      </c>
      <c r="C16" s="7" t="s">
        <v>123</v>
      </c>
      <c r="D16" s="13">
        <v>5516937</v>
      </c>
      <c r="E16" s="12">
        <v>12818.6031195</v>
      </c>
      <c r="F16" s="12">
        <v>1.8951634491913087</v>
      </c>
    </row>
    <row r="17" spans="1:6" x14ac:dyDescent="0.2">
      <c r="A17" s="7" t="s">
        <v>485</v>
      </c>
      <c r="B17" s="7" t="s">
        <v>486</v>
      </c>
      <c r="C17" s="7" t="s">
        <v>32</v>
      </c>
      <c r="D17" s="13">
        <v>3465705</v>
      </c>
      <c r="E17" s="12">
        <v>12814.4442375</v>
      </c>
      <c r="F17" s="12">
        <v>1.8945485802323105</v>
      </c>
    </row>
    <row r="18" spans="1:6" x14ac:dyDescent="0.2">
      <c r="A18" s="7" t="s">
        <v>541</v>
      </c>
      <c r="B18" s="7" t="s">
        <v>542</v>
      </c>
      <c r="C18" s="7" t="s">
        <v>65</v>
      </c>
      <c r="D18" s="13">
        <v>3907435</v>
      </c>
      <c r="E18" s="12">
        <v>12675.719139999999</v>
      </c>
      <c r="F18" s="12">
        <v>1.8740387998906787</v>
      </c>
    </row>
    <row r="19" spans="1:6" x14ac:dyDescent="0.2">
      <c r="A19" s="7" t="s">
        <v>543</v>
      </c>
      <c r="B19" s="7" t="s">
        <v>544</v>
      </c>
      <c r="C19" s="7" t="s">
        <v>38</v>
      </c>
      <c r="D19" s="13">
        <v>1450571</v>
      </c>
      <c r="E19" s="12">
        <v>12510.4495895</v>
      </c>
      <c r="F19" s="12">
        <v>1.8496045609605876</v>
      </c>
    </row>
    <row r="20" spans="1:6" x14ac:dyDescent="0.2">
      <c r="A20" s="7" t="s">
        <v>545</v>
      </c>
      <c r="B20" s="7" t="s">
        <v>546</v>
      </c>
      <c r="C20" s="7" t="s">
        <v>23</v>
      </c>
      <c r="D20" s="13">
        <v>6326658</v>
      </c>
      <c r="E20" s="12">
        <v>12457.189602</v>
      </c>
      <c r="F20" s="12">
        <v>1.8417303502783926</v>
      </c>
    </row>
    <row r="21" spans="1:6" x14ac:dyDescent="0.2">
      <c r="A21" s="7" t="s">
        <v>547</v>
      </c>
      <c r="B21" s="7" t="s">
        <v>548</v>
      </c>
      <c r="C21" s="7" t="s">
        <v>549</v>
      </c>
      <c r="D21" s="13">
        <v>2814517</v>
      </c>
      <c r="E21" s="12">
        <v>12371.209473499999</v>
      </c>
      <c r="F21" s="12">
        <v>1.8290186378265034</v>
      </c>
    </row>
    <row r="22" spans="1:6" x14ac:dyDescent="0.2">
      <c r="A22" s="7" t="s">
        <v>117</v>
      </c>
      <c r="B22" s="7" t="s">
        <v>118</v>
      </c>
      <c r="C22" s="7" t="s">
        <v>11</v>
      </c>
      <c r="D22" s="13">
        <v>1959054</v>
      </c>
      <c r="E22" s="12">
        <v>12258.780405</v>
      </c>
      <c r="F22" s="12">
        <v>1.8123965878838153</v>
      </c>
    </row>
    <row r="23" spans="1:6" x14ac:dyDescent="0.2">
      <c r="A23" s="7" t="s">
        <v>312</v>
      </c>
      <c r="B23" s="7" t="s">
        <v>313</v>
      </c>
      <c r="C23" s="7" t="s">
        <v>11</v>
      </c>
      <c r="D23" s="13">
        <v>15445372</v>
      </c>
      <c r="E23" s="12">
        <v>12201.84388</v>
      </c>
      <c r="F23" s="12">
        <v>1.8039788203550104</v>
      </c>
    </row>
    <row r="24" spans="1:6" x14ac:dyDescent="0.2">
      <c r="A24" s="7" t="s">
        <v>185</v>
      </c>
      <c r="B24" s="7" t="s">
        <v>186</v>
      </c>
      <c r="C24" s="7" t="s">
        <v>76</v>
      </c>
      <c r="D24" s="13">
        <v>1733149</v>
      </c>
      <c r="E24" s="12">
        <v>11567.9030005</v>
      </c>
      <c r="F24" s="12">
        <v>1.7102539758788633</v>
      </c>
    </row>
    <row r="25" spans="1:6" x14ac:dyDescent="0.2">
      <c r="A25" s="7" t="s">
        <v>550</v>
      </c>
      <c r="B25" s="7" t="s">
        <v>551</v>
      </c>
      <c r="C25" s="7" t="s">
        <v>95</v>
      </c>
      <c r="D25" s="13">
        <v>2147736</v>
      </c>
      <c r="E25" s="12">
        <v>11466.762504</v>
      </c>
      <c r="F25" s="12">
        <v>1.6953008822841114</v>
      </c>
    </row>
    <row r="26" spans="1:6" x14ac:dyDescent="0.2">
      <c r="A26" s="7" t="s">
        <v>140</v>
      </c>
      <c r="B26" s="7" t="s">
        <v>141</v>
      </c>
      <c r="C26" s="7" t="s">
        <v>26</v>
      </c>
      <c r="D26" s="13">
        <v>215105</v>
      </c>
      <c r="E26" s="12">
        <v>11354.747635</v>
      </c>
      <c r="F26" s="12">
        <v>1.6787400695718575</v>
      </c>
    </row>
    <row r="27" spans="1:6" x14ac:dyDescent="0.2">
      <c r="A27" s="7" t="s">
        <v>552</v>
      </c>
      <c r="B27" s="7" t="s">
        <v>553</v>
      </c>
      <c r="C27" s="7" t="s">
        <v>123</v>
      </c>
      <c r="D27" s="13">
        <v>1497004</v>
      </c>
      <c r="E27" s="12">
        <v>11039.655998</v>
      </c>
      <c r="F27" s="12">
        <v>1.6321554184970573</v>
      </c>
    </row>
    <row r="28" spans="1:6" x14ac:dyDescent="0.2">
      <c r="A28" s="7" t="s">
        <v>554</v>
      </c>
      <c r="B28" s="7" t="s">
        <v>555</v>
      </c>
      <c r="C28" s="7" t="s">
        <v>79</v>
      </c>
      <c r="D28" s="13">
        <v>3428963</v>
      </c>
      <c r="E28" s="12">
        <v>10965.823673999999</v>
      </c>
      <c r="F28" s="12">
        <v>1.6212396954257347</v>
      </c>
    </row>
    <row r="29" spans="1:6" x14ac:dyDescent="0.2">
      <c r="A29" s="7" t="s">
        <v>276</v>
      </c>
      <c r="B29" s="7" t="s">
        <v>277</v>
      </c>
      <c r="C29" s="7" t="s">
        <v>32</v>
      </c>
      <c r="D29" s="13">
        <v>9772603</v>
      </c>
      <c r="E29" s="12">
        <v>10520.207129500001</v>
      </c>
      <c r="F29" s="12">
        <v>1.5553576192261345</v>
      </c>
    </row>
    <row r="30" spans="1:6" x14ac:dyDescent="0.2">
      <c r="A30" s="7" t="s">
        <v>318</v>
      </c>
      <c r="B30" s="7" t="s">
        <v>319</v>
      </c>
      <c r="C30" s="7" t="s">
        <v>79</v>
      </c>
      <c r="D30" s="13">
        <v>5663234</v>
      </c>
      <c r="E30" s="12">
        <v>10516.625538</v>
      </c>
      <c r="F30" s="12">
        <v>1.5548280996491997</v>
      </c>
    </row>
    <row r="31" spans="1:6" x14ac:dyDescent="0.2">
      <c r="A31" s="7" t="s">
        <v>153</v>
      </c>
      <c r="B31" s="7" t="s">
        <v>154</v>
      </c>
      <c r="C31" s="7" t="s">
        <v>23</v>
      </c>
      <c r="D31" s="13">
        <v>2324335</v>
      </c>
      <c r="E31" s="12">
        <v>10461.831835000001</v>
      </c>
      <c r="F31" s="12">
        <v>1.5467271371493563</v>
      </c>
    </row>
    <row r="32" spans="1:6" x14ac:dyDescent="0.2">
      <c r="A32" s="7" t="s">
        <v>556</v>
      </c>
      <c r="B32" s="7" t="s">
        <v>557</v>
      </c>
      <c r="C32" s="7" t="s">
        <v>32</v>
      </c>
      <c r="D32" s="13">
        <v>1054044</v>
      </c>
      <c r="E32" s="12">
        <v>10105.119828000001</v>
      </c>
      <c r="F32" s="12">
        <v>1.4939891319820315</v>
      </c>
    </row>
    <row r="33" spans="1:6" x14ac:dyDescent="0.2">
      <c r="A33" s="7" t="s">
        <v>558</v>
      </c>
      <c r="B33" s="7" t="s">
        <v>559</v>
      </c>
      <c r="C33" s="7" t="s">
        <v>26</v>
      </c>
      <c r="D33" s="13">
        <v>2534305</v>
      </c>
      <c r="E33" s="12">
        <v>9180.5198624999994</v>
      </c>
      <c r="F33" s="12">
        <v>1.3572918613509166</v>
      </c>
    </row>
    <row r="34" spans="1:6" x14ac:dyDescent="0.2">
      <c r="A34" s="7" t="s">
        <v>560</v>
      </c>
      <c r="B34" s="7" t="s">
        <v>561</v>
      </c>
      <c r="C34" s="7" t="s">
        <v>23</v>
      </c>
      <c r="D34" s="13">
        <v>3223420</v>
      </c>
      <c r="E34" s="12">
        <v>9180.3001600000007</v>
      </c>
      <c r="F34" s="12">
        <v>1.3572593794850056</v>
      </c>
    </row>
    <row r="35" spans="1:6" x14ac:dyDescent="0.2">
      <c r="A35" s="7" t="s">
        <v>562</v>
      </c>
      <c r="B35" s="7" t="s">
        <v>563</v>
      </c>
      <c r="C35" s="7" t="s">
        <v>549</v>
      </c>
      <c r="D35" s="13">
        <v>323284</v>
      </c>
      <c r="E35" s="12">
        <v>9166.7178199999998</v>
      </c>
      <c r="F35" s="12">
        <v>1.3552513015312282</v>
      </c>
    </row>
    <row r="36" spans="1:6" x14ac:dyDescent="0.2">
      <c r="A36" s="7" t="s">
        <v>564</v>
      </c>
      <c r="B36" s="7" t="s">
        <v>565</v>
      </c>
      <c r="C36" s="7" t="s">
        <v>65</v>
      </c>
      <c r="D36" s="13">
        <v>8655298</v>
      </c>
      <c r="E36" s="12">
        <v>9109.7011450000009</v>
      </c>
      <c r="F36" s="12">
        <v>1.3468216842439873</v>
      </c>
    </row>
    <row r="37" spans="1:6" x14ac:dyDescent="0.2">
      <c r="A37" s="7" t="s">
        <v>503</v>
      </c>
      <c r="B37" s="7" t="s">
        <v>504</v>
      </c>
      <c r="C37" s="7" t="s">
        <v>32</v>
      </c>
      <c r="D37" s="13">
        <v>1924002</v>
      </c>
      <c r="E37" s="12">
        <v>8972.5833270000003</v>
      </c>
      <c r="F37" s="12">
        <v>1.3265495317727745</v>
      </c>
    </row>
    <row r="38" spans="1:6" x14ac:dyDescent="0.2">
      <c r="A38" s="7" t="s">
        <v>566</v>
      </c>
      <c r="B38" s="7" t="s">
        <v>567</v>
      </c>
      <c r="C38" s="7" t="s">
        <v>150</v>
      </c>
      <c r="D38" s="13">
        <v>1096154</v>
      </c>
      <c r="E38" s="12">
        <v>8730.3185329999997</v>
      </c>
      <c r="F38" s="12">
        <v>1.2907319486606006</v>
      </c>
    </row>
    <row r="39" spans="1:6" x14ac:dyDescent="0.2">
      <c r="A39" s="7" t="s">
        <v>521</v>
      </c>
      <c r="B39" s="7" t="s">
        <v>522</v>
      </c>
      <c r="C39" s="7" t="s">
        <v>23</v>
      </c>
      <c r="D39" s="13">
        <v>1980000</v>
      </c>
      <c r="E39" s="12">
        <v>8705.07</v>
      </c>
      <c r="F39" s="12">
        <v>1.2869990850684272</v>
      </c>
    </row>
    <row r="40" spans="1:6" x14ac:dyDescent="0.2">
      <c r="A40" s="7" t="s">
        <v>499</v>
      </c>
      <c r="B40" s="7" t="s">
        <v>500</v>
      </c>
      <c r="C40" s="7" t="s">
        <v>11</v>
      </c>
      <c r="D40" s="13">
        <v>4931960</v>
      </c>
      <c r="E40" s="12">
        <v>8598.8722600000001</v>
      </c>
      <c r="F40" s="12">
        <v>1.2712983044639825</v>
      </c>
    </row>
    <row r="41" spans="1:6" x14ac:dyDescent="0.2">
      <c r="A41" s="7" t="s">
        <v>568</v>
      </c>
      <c r="B41" s="7" t="s">
        <v>569</v>
      </c>
      <c r="C41" s="7" t="s">
        <v>174</v>
      </c>
      <c r="D41" s="13">
        <v>7456827</v>
      </c>
      <c r="E41" s="12">
        <v>8575.3510499999993</v>
      </c>
      <c r="F41" s="12">
        <v>1.2678208165460563</v>
      </c>
    </row>
    <row r="42" spans="1:6" x14ac:dyDescent="0.2">
      <c r="A42" s="7" t="s">
        <v>570</v>
      </c>
      <c r="B42" s="7" t="s">
        <v>571</v>
      </c>
      <c r="C42" s="7" t="s">
        <v>11</v>
      </c>
      <c r="D42" s="13">
        <v>5462931</v>
      </c>
      <c r="E42" s="12">
        <v>8571.3387390000007</v>
      </c>
      <c r="F42" s="12">
        <v>1.2672276173430621</v>
      </c>
    </row>
    <row r="43" spans="1:6" x14ac:dyDescent="0.2">
      <c r="A43" s="7" t="s">
        <v>222</v>
      </c>
      <c r="B43" s="7" t="s">
        <v>223</v>
      </c>
      <c r="C43" s="7" t="s">
        <v>224</v>
      </c>
      <c r="D43" s="13">
        <v>1602195</v>
      </c>
      <c r="E43" s="12">
        <v>8483.6225250000007</v>
      </c>
      <c r="F43" s="12">
        <v>1.2542592337271155</v>
      </c>
    </row>
    <row r="44" spans="1:6" x14ac:dyDescent="0.2">
      <c r="A44" s="7" t="s">
        <v>572</v>
      </c>
      <c r="B44" s="7" t="s">
        <v>573</v>
      </c>
      <c r="C44" s="7" t="s">
        <v>150</v>
      </c>
      <c r="D44" s="13">
        <v>2834501</v>
      </c>
      <c r="E44" s="12">
        <v>8462.4027354999998</v>
      </c>
      <c r="F44" s="12">
        <v>1.2511219987971443</v>
      </c>
    </row>
    <row r="45" spans="1:6" x14ac:dyDescent="0.2">
      <c r="A45" s="7" t="s">
        <v>574</v>
      </c>
      <c r="B45" s="7" t="s">
        <v>575</v>
      </c>
      <c r="C45" s="7" t="s">
        <v>65</v>
      </c>
      <c r="D45" s="13">
        <v>2231259</v>
      </c>
      <c r="E45" s="12">
        <v>8446.4309444999999</v>
      </c>
      <c r="F45" s="12">
        <v>1.2487606530062541</v>
      </c>
    </row>
    <row r="46" spans="1:6" x14ac:dyDescent="0.2">
      <c r="A46" s="7" t="s">
        <v>192</v>
      </c>
      <c r="B46" s="7" t="s">
        <v>193</v>
      </c>
      <c r="C46" s="7" t="s">
        <v>11</v>
      </c>
      <c r="D46" s="13">
        <v>673158</v>
      </c>
      <c r="E46" s="12">
        <v>8306.4331409999995</v>
      </c>
      <c r="F46" s="12">
        <v>1.2280627097368617</v>
      </c>
    </row>
    <row r="47" spans="1:6" x14ac:dyDescent="0.2">
      <c r="A47" s="7" t="s">
        <v>481</v>
      </c>
      <c r="B47" s="7" t="s">
        <v>482</v>
      </c>
      <c r="C47" s="7" t="s">
        <v>189</v>
      </c>
      <c r="D47" s="13">
        <v>6313159</v>
      </c>
      <c r="E47" s="12">
        <v>8244.9856540000001</v>
      </c>
      <c r="F47" s="12">
        <v>1.2189780200619074</v>
      </c>
    </row>
    <row r="48" spans="1:6" x14ac:dyDescent="0.2">
      <c r="A48" s="7" t="s">
        <v>433</v>
      </c>
      <c r="B48" s="7" t="s">
        <v>434</v>
      </c>
      <c r="C48" s="7" t="s">
        <v>307</v>
      </c>
      <c r="D48" s="13">
        <v>959761</v>
      </c>
      <c r="E48" s="12">
        <v>7888.7555394999999</v>
      </c>
      <c r="F48" s="12">
        <v>1.1663112601811343</v>
      </c>
    </row>
    <row r="49" spans="1:6" x14ac:dyDescent="0.2">
      <c r="A49" s="7" t="s">
        <v>576</v>
      </c>
      <c r="B49" s="7" t="s">
        <v>577</v>
      </c>
      <c r="C49" s="7" t="s">
        <v>344</v>
      </c>
      <c r="D49" s="13">
        <v>9028098</v>
      </c>
      <c r="E49" s="12">
        <v>7786.7345249999998</v>
      </c>
      <c r="F49" s="12">
        <v>1.1512279866038682</v>
      </c>
    </row>
    <row r="50" spans="1:6" x14ac:dyDescent="0.2">
      <c r="A50" s="7" t="s">
        <v>578</v>
      </c>
      <c r="B50" s="7" t="s">
        <v>579</v>
      </c>
      <c r="C50" s="7" t="s">
        <v>23</v>
      </c>
      <c r="D50" s="13">
        <v>324989</v>
      </c>
      <c r="E50" s="12">
        <v>7669.2529164999996</v>
      </c>
      <c r="F50" s="12">
        <v>1.1338589450393699</v>
      </c>
    </row>
    <row r="51" spans="1:6" x14ac:dyDescent="0.2">
      <c r="A51" s="7" t="s">
        <v>308</v>
      </c>
      <c r="B51" s="7" t="s">
        <v>309</v>
      </c>
      <c r="C51" s="7" t="s">
        <v>26</v>
      </c>
      <c r="D51" s="13">
        <v>1382743</v>
      </c>
      <c r="E51" s="12">
        <v>7658.3221055000004</v>
      </c>
      <c r="F51" s="12">
        <v>1.1322428817847314</v>
      </c>
    </row>
    <row r="52" spans="1:6" x14ac:dyDescent="0.2">
      <c r="A52" s="7" t="s">
        <v>179</v>
      </c>
      <c r="B52" s="7" t="s">
        <v>180</v>
      </c>
      <c r="C52" s="7" t="s">
        <v>95</v>
      </c>
      <c r="D52" s="13">
        <v>1124602</v>
      </c>
      <c r="E52" s="12">
        <v>7620.8654530000003</v>
      </c>
      <c r="F52" s="12">
        <v>1.1267051115545983</v>
      </c>
    </row>
    <row r="53" spans="1:6" x14ac:dyDescent="0.2">
      <c r="A53" s="7" t="s">
        <v>580</v>
      </c>
      <c r="B53" s="7" t="s">
        <v>581</v>
      </c>
      <c r="C53" s="7" t="s">
        <v>26</v>
      </c>
      <c r="D53" s="13">
        <v>1349476</v>
      </c>
      <c r="E53" s="12">
        <v>7408.6232399999999</v>
      </c>
      <c r="F53" s="12">
        <v>1.0953262100703025</v>
      </c>
    </row>
    <row r="54" spans="1:6" x14ac:dyDescent="0.2">
      <c r="A54" s="7" t="s">
        <v>162</v>
      </c>
      <c r="B54" s="7" t="s">
        <v>163</v>
      </c>
      <c r="C54" s="7" t="s">
        <v>26</v>
      </c>
      <c r="D54" s="13">
        <v>1140000</v>
      </c>
      <c r="E54" s="12">
        <v>7036.65</v>
      </c>
      <c r="F54" s="12">
        <v>1.0403319113972374</v>
      </c>
    </row>
    <row r="55" spans="1:6" x14ac:dyDescent="0.2">
      <c r="A55" s="7" t="s">
        <v>582</v>
      </c>
      <c r="B55" s="7" t="s">
        <v>583</v>
      </c>
      <c r="C55" s="7" t="s">
        <v>333</v>
      </c>
      <c r="D55" s="13">
        <v>5188821</v>
      </c>
      <c r="E55" s="12">
        <v>6857.0269515</v>
      </c>
      <c r="F55" s="12">
        <v>1.0137755828350659</v>
      </c>
    </row>
    <row r="56" spans="1:6" x14ac:dyDescent="0.2">
      <c r="A56" s="7" t="s">
        <v>584</v>
      </c>
      <c r="B56" s="7" t="s">
        <v>585</v>
      </c>
      <c r="C56" s="7" t="s">
        <v>307</v>
      </c>
      <c r="D56" s="13">
        <v>4183258</v>
      </c>
      <c r="E56" s="12">
        <v>6768.5114439999998</v>
      </c>
      <c r="F56" s="12">
        <v>1.0006890278542482</v>
      </c>
    </row>
    <row r="57" spans="1:6" x14ac:dyDescent="0.2">
      <c r="A57" s="7" t="s">
        <v>586</v>
      </c>
      <c r="B57" s="7" t="s">
        <v>587</v>
      </c>
      <c r="C57" s="7" t="s">
        <v>224</v>
      </c>
      <c r="D57" s="13">
        <v>970012</v>
      </c>
      <c r="E57" s="12">
        <v>6729.9432559999996</v>
      </c>
      <c r="F57" s="12">
        <v>0.99498692291209978</v>
      </c>
    </row>
    <row r="58" spans="1:6" x14ac:dyDescent="0.2">
      <c r="A58" s="7" t="s">
        <v>588</v>
      </c>
      <c r="B58" s="7" t="s">
        <v>589</v>
      </c>
      <c r="C58" s="7" t="s">
        <v>38</v>
      </c>
      <c r="D58" s="13">
        <v>2979897</v>
      </c>
      <c r="E58" s="12">
        <v>6621.331134</v>
      </c>
      <c r="F58" s="12">
        <v>0.97892918855254385</v>
      </c>
    </row>
    <row r="59" spans="1:6" x14ac:dyDescent="0.2">
      <c r="A59" s="7" t="s">
        <v>30</v>
      </c>
      <c r="B59" s="7" t="s">
        <v>31</v>
      </c>
      <c r="C59" s="7" t="s">
        <v>32</v>
      </c>
      <c r="D59" s="13">
        <v>1075000</v>
      </c>
      <c r="E59" s="12">
        <v>6599.9624999999996</v>
      </c>
      <c r="F59" s="12">
        <v>0.97576994774148051</v>
      </c>
    </row>
    <row r="60" spans="1:6" x14ac:dyDescent="0.2">
      <c r="A60" s="7" t="s">
        <v>151</v>
      </c>
      <c r="B60" s="7" t="s">
        <v>152</v>
      </c>
      <c r="C60" s="7" t="s">
        <v>52</v>
      </c>
      <c r="D60" s="13">
        <v>2345030</v>
      </c>
      <c r="E60" s="12">
        <v>6430.0722599999999</v>
      </c>
      <c r="F60" s="12">
        <v>0.95065256402807508</v>
      </c>
    </row>
    <row r="61" spans="1:6" x14ac:dyDescent="0.2">
      <c r="A61" s="7" t="s">
        <v>590</v>
      </c>
      <c r="B61" s="7" t="s">
        <v>591</v>
      </c>
      <c r="C61" s="7" t="s">
        <v>333</v>
      </c>
      <c r="D61" s="13">
        <v>2736227</v>
      </c>
      <c r="E61" s="12">
        <v>6177.0324524999996</v>
      </c>
      <c r="F61" s="12">
        <v>0.91324195150705079</v>
      </c>
    </row>
    <row r="62" spans="1:6" x14ac:dyDescent="0.2">
      <c r="A62" s="7" t="s">
        <v>288</v>
      </c>
      <c r="B62" s="7" t="s">
        <v>289</v>
      </c>
      <c r="C62" s="7" t="s">
        <v>290</v>
      </c>
      <c r="D62" s="13">
        <v>2761158</v>
      </c>
      <c r="E62" s="12">
        <v>5937.8702789999998</v>
      </c>
      <c r="F62" s="12">
        <v>0.87788307461376047</v>
      </c>
    </row>
    <row r="63" spans="1:6" x14ac:dyDescent="0.2">
      <c r="A63" s="7" t="s">
        <v>144</v>
      </c>
      <c r="B63" s="7" t="s">
        <v>145</v>
      </c>
      <c r="C63" s="7" t="s">
        <v>26</v>
      </c>
      <c r="D63" s="13">
        <v>289935</v>
      </c>
      <c r="E63" s="12">
        <v>5528.7705150000002</v>
      </c>
      <c r="F63" s="12">
        <v>0.81739981348321122</v>
      </c>
    </row>
    <row r="64" spans="1:6" x14ac:dyDescent="0.2">
      <c r="A64" s="7" t="s">
        <v>212</v>
      </c>
      <c r="B64" s="7" t="s">
        <v>213</v>
      </c>
      <c r="C64" s="7" t="s">
        <v>11</v>
      </c>
      <c r="D64" s="13">
        <v>3011706</v>
      </c>
      <c r="E64" s="12">
        <v>5113.8767879999996</v>
      </c>
      <c r="F64" s="12">
        <v>0.75605994521682973</v>
      </c>
    </row>
    <row r="65" spans="1:6" x14ac:dyDescent="0.2">
      <c r="A65" s="7" t="s">
        <v>592</v>
      </c>
      <c r="B65" s="7" t="s">
        <v>593</v>
      </c>
      <c r="C65" s="7" t="s">
        <v>174</v>
      </c>
      <c r="D65" s="13">
        <v>83766</v>
      </c>
      <c r="E65" s="12">
        <v>4886.950323</v>
      </c>
      <c r="F65" s="12">
        <v>0.72251005385090017</v>
      </c>
    </row>
    <row r="66" spans="1:6" x14ac:dyDescent="0.2">
      <c r="A66" s="7" t="s">
        <v>594</v>
      </c>
      <c r="B66" s="7" t="s">
        <v>595</v>
      </c>
      <c r="C66" s="7" t="s">
        <v>23</v>
      </c>
      <c r="D66" s="13">
        <v>2429126</v>
      </c>
      <c r="E66" s="12">
        <v>4733.1520110000001</v>
      </c>
      <c r="F66" s="12">
        <v>0.69977177755569886</v>
      </c>
    </row>
    <row r="67" spans="1:6" x14ac:dyDescent="0.2">
      <c r="A67" s="7" t="s">
        <v>155</v>
      </c>
      <c r="B67" s="7" t="s">
        <v>156</v>
      </c>
      <c r="C67" s="7" t="s">
        <v>35</v>
      </c>
      <c r="D67" s="13">
        <v>4933939</v>
      </c>
      <c r="E67" s="12">
        <v>4625.5678125000004</v>
      </c>
      <c r="F67" s="12">
        <v>0.68386601631112298</v>
      </c>
    </row>
    <row r="68" spans="1:6" x14ac:dyDescent="0.2">
      <c r="A68" s="7" t="s">
        <v>596</v>
      </c>
      <c r="B68" s="7" t="s">
        <v>597</v>
      </c>
      <c r="C68" s="7" t="s">
        <v>65</v>
      </c>
      <c r="D68" s="13">
        <v>11046869</v>
      </c>
      <c r="E68" s="12">
        <v>4369.0366894999997</v>
      </c>
      <c r="F68" s="12">
        <v>0.64593923104775608</v>
      </c>
    </row>
    <row r="69" spans="1:6" x14ac:dyDescent="0.2">
      <c r="A69" s="7" t="s">
        <v>27</v>
      </c>
      <c r="B69" s="7" t="s">
        <v>28</v>
      </c>
      <c r="C69" s="7" t="s">
        <v>29</v>
      </c>
      <c r="D69" s="13">
        <v>12152660</v>
      </c>
      <c r="E69" s="12">
        <v>4289.8889799999997</v>
      </c>
      <c r="F69" s="12">
        <v>0.63423765602173543</v>
      </c>
    </row>
    <row r="70" spans="1:6" x14ac:dyDescent="0.2">
      <c r="A70" s="7" t="s">
        <v>654</v>
      </c>
      <c r="B70" s="7" t="s">
        <v>655</v>
      </c>
      <c r="C70" s="7" t="s">
        <v>130</v>
      </c>
      <c r="D70" s="13">
        <v>2103095</v>
      </c>
      <c r="E70" s="12">
        <v>4159.5012910000005</v>
      </c>
      <c r="F70" s="12">
        <v>0.61496051793471429</v>
      </c>
    </row>
    <row r="71" spans="1:6" x14ac:dyDescent="0.2">
      <c r="A71" s="7" t="s">
        <v>598</v>
      </c>
      <c r="B71" s="7" t="s">
        <v>599</v>
      </c>
      <c r="C71" s="7" t="s">
        <v>95</v>
      </c>
      <c r="D71" s="13">
        <v>218607</v>
      </c>
      <c r="E71" s="12">
        <v>3857.5391220000001</v>
      </c>
      <c r="F71" s="12">
        <v>0.57031699005633085</v>
      </c>
    </row>
    <row r="72" spans="1:6" x14ac:dyDescent="0.2">
      <c r="A72" s="7" t="s">
        <v>600</v>
      </c>
      <c r="B72" s="7" t="s">
        <v>601</v>
      </c>
      <c r="C72" s="7" t="s">
        <v>95</v>
      </c>
      <c r="D72" s="13">
        <v>580666</v>
      </c>
      <c r="E72" s="12">
        <v>3427.381065</v>
      </c>
      <c r="F72" s="12">
        <v>0.50672037040895157</v>
      </c>
    </row>
    <row r="73" spans="1:6" x14ac:dyDescent="0.2">
      <c r="A73" s="7" t="s">
        <v>602</v>
      </c>
      <c r="B73" s="7" t="s">
        <v>603</v>
      </c>
      <c r="C73" s="7" t="s">
        <v>26</v>
      </c>
      <c r="D73" s="13">
        <v>3701644</v>
      </c>
      <c r="E73" s="12">
        <v>3279.6565839999998</v>
      </c>
      <c r="F73" s="12">
        <v>0.48488007827009355</v>
      </c>
    </row>
    <row r="74" spans="1:6" x14ac:dyDescent="0.2">
      <c r="A74" s="7" t="s">
        <v>604</v>
      </c>
      <c r="B74" s="7" t="s">
        <v>605</v>
      </c>
      <c r="C74" s="7" t="s">
        <v>246</v>
      </c>
      <c r="D74" s="13">
        <v>1918887</v>
      </c>
      <c r="E74" s="12">
        <v>3210.297951</v>
      </c>
      <c r="F74" s="12">
        <v>0.4746257670224418</v>
      </c>
    </row>
    <row r="75" spans="1:6" x14ac:dyDescent="0.2">
      <c r="A75" s="7" t="s">
        <v>606</v>
      </c>
      <c r="B75" s="7" t="s">
        <v>607</v>
      </c>
      <c r="C75" s="7" t="s">
        <v>224</v>
      </c>
      <c r="D75" s="13">
        <v>8689354</v>
      </c>
      <c r="E75" s="12">
        <v>3123.8227630000001</v>
      </c>
      <c r="F75" s="12">
        <v>0.46184086261189478</v>
      </c>
    </row>
    <row r="76" spans="1:6" x14ac:dyDescent="0.2">
      <c r="A76" s="7" t="s">
        <v>608</v>
      </c>
      <c r="B76" s="7" t="s">
        <v>609</v>
      </c>
      <c r="C76" s="7" t="s">
        <v>65</v>
      </c>
      <c r="D76" s="13">
        <v>484563</v>
      </c>
      <c r="E76" s="12">
        <v>2974.4899755000001</v>
      </c>
      <c r="F76" s="12">
        <v>0.43976279076603736</v>
      </c>
    </row>
    <row r="77" spans="1:6" x14ac:dyDescent="0.2">
      <c r="A77" s="7" t="s">
        <v>610</v>
      </c>
      <c r="B77" s="7" t="s">
        <v>611</v>
      </c>
      <c r="C77" s="7" t="s">
        <v>135</v>
      </c>
      <c r="D77" s="13">
        <v>319014</v>
      </c>
      <c r="E77" s="12">
        <v>2655.1535220000001</v>
      </c>
      <c r="F77" s="12">
        <v>0.39255056576572189</v>
      </c>
    </row>
    <row r="78" spans="1:6" x14ac:dyDescent="0.2">
      <c r="A78" s="7" t="s">
        <v>314</v>
      </c>
      <c r="B78" s="7" t="s">
        <v>315</v>
      </c>
      <c r="C78" s="7" t="s">
        <v>159</v>
      </c>
      <c r="D78" s="13">
        <v>2043119</v>
      </c>
      <c r="E78" s="12">
        <v>1940.9630500000001</v>
      </c>
      <c r="F78" s="12">
        <v>0.28696123862319595</v>
      </c>
    </row>
    <row r="79" spans="1:6" x14ac:dyDescent="0.2">
      <c r="A79" s="7" t="s">
        <v>274</v>
      </c>
      <c r="B79" s="7" t="s">
        <v>275</v>
      </c>
      <c r="C79" s="7" t="s">
        <v>65</v>
      </c>
      <c r="D79" s="13">
        <v>1330705</v>
      </c>
      <c r="E79" s="12">
        <v>1487.72819</v>
      </c>
      <c r="F79" s="12">
        <v>0.21995283430925974</v>
      </c>
    </row>
    <row r="80" spans="1:6" x14ac:dyDescent="0.2">
      <c r="A80" s="7" t="s">
        <v>612</v>
      </c>
      <c r="B80" s="7" t="s">
        <v>613</v>
      </c>
      <c r="C80" s="7" t="s">
        <v>159</v>
      </c>
      <c r="D80" s="13">
        <v>753057</v>
      </c>
      <c r="E80" s="12">
        <v>1052.773686</v>
      </c>
      <c r="F80" s="12">
        <v>0.15564708505113869</v>
      </c>
    </row>
    <row r="81" spans="1:6" x14ac:dyDescent="0.2">
      <c r="A81" s="7" t="s">
        <v>320</v>
      </c>
      <c r="B81" s="7" t="s">
        <v>321</v>
      </c>
      <c r="C81" s="7" t="s">
        <v>32</v>
      </c>
      <c r="D81" s="13">
        <v>192304</v>
      </c>
      <c r="E81" s="12">
        <v>490.952112</v>
      </c>
      <c r="F81" s="12">
        <v>7.258470281760078E-2</v>
      </c>
    </row>
    <row r="82" spans="1:6" x14ac:dyDescent="0.2">
      <c r="A82" s="7" t="s">
        <v>160</v>
      </c>
      <c r="B82" s="7" t="s">
        <v>161</v>
      </c>
      <c r="C82" s="7" t="s">
        <v>23</v>
      </c>
      <c r="D82" s="13">
        <v>81785</v>
      </c>
      <c r="E82" s="12">
        <v>241.51110499999999</v>
      </c>
      <c r="F82" s="12">
        <v>3.5706154134184431E-2</v>
      </c>
    </row>
    <row r="83" spans="1:6" x14ac:dyDescent="0.2">
      <c r="A83" s="7" t="s">
        <v>614</v>
      </c>
      <c r="B83" s="7" t="s">
        <v>615</v>
      </c>
      <c r="C83" s="7" t="s">
        <v>23</v>
      </c>
      <c r="D83" s="13">
        <v>2334565</v>
      </c>
      <c r="E83" s="12">
        <v>49.025865000000003</v>
      </c>
      <c r="F83" s="12">
        <v>7.248217808666471E-3</v>
      </c>
    </row>
    <row r="84" spans="1:6" x14ac:dyDescent="0.2">
      <c r="A84" s="6" t="s">
        <v>39</v>
      </c>
      <c r="B84" s="7"/>
      <c r="C84" s="7"/>
      <c r="D84" s="26"/>
      <c r="E84" s="14">
        <f xml:space="preserve"> SUM(E8:E83)</f>
        <v>637105.21570600022</v>
      </c>
      <c r="F84" s="14">
        <f>SUM(F8:F83)</f>
        <v>94.192675039482197</v>
      </c>
    </row>
    <row r="85" spans="1:6" x14ac:dyDescent="0.2">
      <c r="A85" s="7"/>
      <c r="B85" s="7"/>
      <c r="C85" s="7"/>
      <c r="D85" s="13"/>
      <c r="E85" s="12"/>
      <c r="F85" s="12"/>
    </row>
    <row r="86" spans="1:6" x14ac:dyDescent="0.2">
      <c r="A86" s="6" t="s">
        <v>39</v>
      </c>
      <c r="B86" s="7"/>
      <c r="C86" s="7"/>
      <c r="D86" s="13"/>
      <c r="E86" s="14">
        <f>E84</f>
        <v>637105.21570600022</v>
      </c>
      <c r="F86" s="14">
        <f>F84</f>
        <v>94.192675039482197</v>
      </c>
    </row>
    <row r="87" spans="1:6" x14ac:dyDescent="0.2">
      <c r="A87" s="7"/>
      <c r="B87" s="7"/>
      <c r="C87" s="7"/>
      <c r="D87" s="13"/>
      <c r="E87" s="12"/>
      <c r="F87" s="12"/>
    </row>
    <row r="88" spans="1:6" x14ac:dyDescent="0.2">
      <c r="A88" s="6" t="s">
        <v>103</v>
      </c>
      <c r="B88" s="7"/>
      <c r="C88" s="7"/>
      <c r="D88" s="13"/>
      <c r="E88" s="14">
        <v>39279.880522500003</v>
      </c>
      <c r="F88" s="14">
        <v>5.8073249605177946</v>
      </c>
    </row>
    <row r="89" spans="1:6" x14ac:dyDescent="0.2">
      <c r="A89" s="7"/>
      <c r="B89" s="7"/>
      <c r="C89" s="7"/>
      <c r="D89" s="13"/>
      <c r="E89" s="12"/>
      <c r="F89" s="12"/>
    </row>
    <row r="90" spans="1:6" x14ac:dyDescent="0.2">
      <c r="A90" s="8" t="s">
        <v>104</v>
      </c>
      <c r="B90" s="5"/>
      <c r="C90" s="5"/>
      <c r="D90" s="24"/>
      <c r="E90" s="15">
        <f>E86+E88</f>
        <v>676385.09622850025</v>
      </c>
      <c r="F90" s="15">
        <f xml:space="preserve"> ROUND(SUM(F86:F89),2)</f>
        <v>100</v>
      </c>
    </row>
    <row r="92" spans="1:6" x14ac:dyDescent="0.2">
      <c r="A92" s="9" t="s">
        <v>105</v>
      </c>
    </row>
    <row r="93" spans="1:6" x14ac:dyDescent="0.2">
      <c r="A93" s="9" t="s">
        <v>106</v>
      </c>
    </row>
    <row r="94" spans="1:6" x14ac:dyDescent="0.2">
      <c r="A94" s="9" t="s">
        <v>107</v>
      </c>
    </row>
    <row r="95" spans="1:6" x14ac:dyDescent="0.2">
      <c r="A95" s="1" t="s">
        <v>719</v>
      </c>
      <c r="B95" s="10">
        <v>31.546500000000002</v>
      </c>
    </row>
    <row r="96" spans="1:6" x14ac:dyDescent="0.2">
      <c r="A96" s="1" t="s">
        <v>720</v>
      </c>
      <c r="B96" s="10">
        <v>63.408799999999999</v>
      </c>
    </row>
    <row r="97" spans="1:2" x14ac:dyDescent="0.2">
      <c r="A97" s="1" t="s">
        <v>721</v>
      </c>
      <c r="B97" s="10">
        <v>29.229299999999999</v>
      </c>
    </row>
    <row r="98" spans="1:2" x14ac:dyDescent="0.2">
      <c r="A98" s="1" t="s">
        <v>722</v>
      </c>
      <c r="B98" s="10">
        <v>59.7059</v>
      </c>
    </row>
    <row r="100" spans="1:2" x14ac:dyDescent="0.2">
      <c r="A100" s="9" t="s">
        <v>108</v>
      </c>
    </row>
    <row r="101" spans="1:2" x14ac:dyDescent="0.2">
      <c r="A101" s="1" t="s">
        <v>719</v>
      </c>
      <c r="B101" s="10">
        <v>27.173999999999999</v>
      </c>
    </row>
    <row r="102" spans="1:2" x14ac:dyDescent="0.2">
      <c r="A102" s="1" t="s">
        <v>720</v>
      </c>
      <c r="B102" s="10">
        <v>54.620100000000001</v>
      </c>
    </row>
    <row r="103" spans="1:2" x14ac:dyDescent="0.2">
      <c r="A103" s="1" t="s">
        <v>721</v>
      </c>
      <c r="B103" s="10">
        <v>25.037299999999998</v>
      </c>
    </row>
    <row r="104" spans="1:2" x14ac:dyDescent="0.2">
      <c r="A104" s="1" t="s">
        <v>722</v>
      </c>
      <c r="B104" s="10">
        <v>51.142299999999999</v>
      </c>
    </row>
    <row r="106" spans="1:2" x14ac:dyDescent="0.2">
      <c r="A106" s="9" t="s">
        <v>109</v>
      </c>
      <c r="B106" s="11" t="s">
        <v>110</v>
      </c>
    </row>
    <row r="108" spans="1:2" x14ac:dyDescent="0.2">
      <c r="A108" s="9" t="s">
        <v>111</v>
      </c>
      <c r="B108" s="40">
        <v>5.9573343544235477E-2</v>
      </c>
    </row>
  </sheetData>
  <mergeCells count="1">
    <mergeCell ref="A1:F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5.85546875" style="1" bestFit="1" customWidth="1"/>
    <col min="3" max="3" width="32.7109375" style="1" bestFit="1" customWidth="1"/>
    <col min="4" max="4" width="12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496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9</v>
      </c>
      <c r="B8" s="7" t="s">
        <v>10</v>
      </c>
      <c r="C8" s="7" t="s">
        <v>11</v>
      </c>
      <c r="D8" s="13">
        <v>1049265</v>
      </c>
      <c r="E8" s="12">
        <v>22333.080892499998</v>
      </c>
      <c r="F8" s="12">
        <v>3.5035208560677935</v>
      </c>
    </row>
    <row r="9" spans="1:6" x14ac:dyDescent="0.2">
      <c r="A9" s="7" t="s">
        <v>497</v>
      </c>
      <c r="B9" s="7" t="s">
        <v>498</v>
      </c>
      <c r="C9" s="7" t="s">
        <v>26</v>
      </c>
      <c r="D9" s="13">
        <v>4145052</v>
      </c>
      <c r="E9" s="12">
        <v>18998.845841999999</v>
      </c>
      <c r="F9" s="12">
        <v>2.9804599270948473</v>
      </c>
    </row>
    <row r="10" spans="1:6" x14ac:dyDescent="0.2">
      <c r="A10" s="7" t="s">
        <v>236</v>
      </c>
      <c r="B10" s="7" t="s">
        <v>237</v>
      </c>
      <c r="C10" s="7" t="s">
        <v>79</v>
      </c>
      <c r="D10" s="13">
        <v>4113311</v>
      </c>
      <c r="E10" s="12">
        <v>18904.777355999999</v>
      </c>
      <c r="F10" s="12">
        <v>2.9657028542043622</v>
      </c>
    </row>
    <row r="11" spans="1:6" x14ac:dyDescent="0.2">
      <c r="A11" s="7" t="s">
        <v>262</v>
      </c>
      <c r="B11" s="7" t="s">
        <v>263</v>
      </c>
      <c r="C11" s="7" t="s">
        <v>246</v>
      </c>
      <c r="D11" s="13">
        <v>7695303</v>
      </c>
      <c r="E11" s="12">
        <v>18395.621821500001</v>
      </c>
      <c r="F11" s="12">
        <v>2.8858286513261491</v>
      </c>
    </row>
    <row r="12" spans="1:6" x14ac:dyDescent="0.2">
      <c r="A12" s="7" t="s">
        <v>499</v>
      </c>
      <c r="B12" s="7" t="s">
        <v>500</v>
      </c>
      <c r="C12" s="7" t="s">
        <v>11</v>
      </c>
      <c r="D12" s="13">
        <v>9688196</v>
      </c>
      <c r="E12" s="12">
        <v>16891.369726000001</v>
      </c>
      <c r="F12" s="12">
        <v>2.649847838166699</v>
      </c>
    </row>
    <row r="13" spans="1:6" x14ac:dyDescent="0.2">
      <c r="A13" s="7" t="s">
        <v>192</v>
      </c>
      <c r="B13" s="7" t="s">
        <v>193</v>
      </c>
      <c r="C13" s="7" t="s">
        <v>11</v>
      </c>
      <c r="D13" s="13">
        <v>1350892</v>
      </c>
      <c r="E13" s="12">
        <v>16669.331834000001</v>
      </c>
      <c r="F13" s="12">
        <v>2.6150154570364905</v>
      </c>
    </row>
    <row r="14" spans="1:6" x14ac:dyDescent="0.2">
      <c r="A14" s="7" t="s">
        <v>225</v>
      </c>
      <c r="B14" s="7" t="s">
        <v>226</v>
      </c>
      <c r="C14" s="7" t="s">
        <v>189</v>
      </c>
      <c r="D14" s="13">
        <v>2979100</v>
      </c>
      <c r="E14" s="12">
        <v>16502.724450000002</v>
      </c>
      <c r="F14" s="12">
        <v>2.5888787834880187</v>
      </c>
    </row>
    <row r="15" spans="1:6" x14ac:dyDescent="0.2">
      <c r="A15" s="7" t="s">
        <v>144</v>
      </c>
      <c r="B15" s="7" t="s">
        <v>145</v>
      </c>
      <c r="C15" s="7" t="s">
        <v>26</v>
      </c>
      <c r="D15" s="13">
        <v>861207</v>
      </c>
      <c r="E15" s="12">
        <v>16422.356283000001</v>
      </c>
      <c r="F15" s="12">
        <v>2.5762709596681086</v>
      </c>
    </row>
    <row r="16" spans="1:6" x14ac:dyDescent="0.2">
      <c r="A16" s="7" t="s">
        <v>299</v>
      </c>
      <c r="B16" s="7" t="s">
        <v>300</v>
      </c>
      <c r="C16" s="7" t="s">
        <v>76</v>
      </c>
      <c r="D16" s="13">
        <v>968016</v>
      </c>
      <c r="E16" s="12">
        <v>14961.655296000001</v>
      </c>
      <c r="F16" s="12">
        <v>2.3471222632985036</v>
      </c>
    </row>
    <row r="17" spans="1:6" x14ac:dyDescent="0.2">
      <c r="A17" s="7" t="s">
        <v>12</v>
      </c>
      <c r="B17" s="7" t="s">
        <v>13</v>
      </c>
      <c r="C17" s="7" t="s">
        <v>14</v>
      </c>
      <c r="D17" s="13">
        <v>10191506</v>
      </c>
      <c r="E17" s="12">
        <v>14701.247405</v>
      </c>
      <c r="F17" s="12">
        <v>2.3062705562906483</v>
      </c>
    </row>
    <row r="18" spans="1:6" x14ac:dyDescent="0.2">
      <c r="A18" s="7" t="s">
        <v>501</v>
      </c>
      <c r="B18" s="7" t="s">
        <v>502</v>
      </c>
      <c r="C18" s="7" t="s">
        <v>246</v>
      </c>
      <c r="D18" s="13">
        <v>213547</v>
      </c>
      <c r="E18" s="12">
        <v>14454.996429999999</v>
      </c>
      <c r="F18" s="12">
        <v>2.2676397273919244</v>
      </c>
    </row>
    <row r="19" spans="1:6" x14ac:dyDescent="0.2">
      <c r="A19" s="7" t="s">
        <v>503</v>
      </c>
      <c r="B19" s="7" t="s">
        <v>504</v>
      </c>
      <c r="C19" s="7" t="s">
        <v>32</v>
      </c>
      <c r="D19" s="13">
        <v>3084425</v>
      </c>
      <c r="E19" s="12">
        <v>14384.2159875</v>
      </c>
      <c r="F19" s="12">
        <v>2.2565359859200647</v>
      </c>
    </row>
    <row r="20" spans="1:6" x14ac:dyDescent="0.2">
      <c r="A20" s="7" t="s">
        <v>140</v>
      </c>
      <c r="B20" s="7" t="s">
        <v>141</v>
      </c>
      <c r="C20" s="7" t="s">
        <v>26</v>
      </c>
      <c r="D20" s="13">
        <v>264692</v>
      </c>
      <c r="E20" s="12">
        <v>13972.296603999999</v>
      </c>
      <c r="F20" s="12">
        <v>2.1919157860444849</v>
      </c>
    </row>
    <row r="21" spans="1:6" x14ac:dyDescent="0.2">
      <c r="A21" s="7" t="s">
        <v>505</v>
      </c>
      <c r="B21" s="7" t="s">
        <v>506</v>
      </c>
      <c r="C21" s="7" t="s">
        <v>52</v>
      </c>
      <c r="D21" s="13">
        <v>2283669</v>
      </c>
      <c r="E21" s="12">
        <v>13775.091408</v>
      </c>
      <c r="F21" s="12">
        <v>2.16097905499351</v>
      </c>
    </row>
    <row r="22" spans="1:6" x14ac:dyDescent="0.2">
      <c r="A22" s="7" t="s">
        <v>331</v>
      </c>
      <c r="B22" s="7" t="s">
        <v>332</v>
      </c>
      <c r="C22" s="7" t="s">
        <v>333</v>
      </c>
      <c r="D22" s="13">
        <v>1931964</v>
      </c>
      <c r="E22" s="12">
        <v>13474.482918</v>
      </c>
      <c r="F22" s="12">
        <v>2.1138208451927416</v>
      </c>
    </row>
    <row r="23" spans="1:6" x14ac:dyDescent="0.2">
      <c r="A23" s="7" t="s">
        <v>507</v>
      </c>
      <c r="B23" s="7" t="s">
        <v>508</v>
      </c>
      <c r="C23" s="7" t="s">
        <v>95</v>
      </c>
      <c r="D23" s="13">
        <v>6026546</v>
      </c>
      <c r="E23" s="12">
        <v>13074.591547</v>
      </c>
      <c r="F23" s="12">
        <v>2.0510875498984711</v>
      </c>
    </row>
    <row r="24" spans="1:6" x14ac:dyDescent="0.2">
      <c r="A24" s="7" t="s">
        <v>240</v>
      </c>
      <c r="B24" s="7" t="s">
        <v>241</v>
      </c>
      <c r="C24" s="7" t="s">
        <v>135</v>
      </c>
      <c r="D24" s="13">
        <v>6772160</v>
      </c>
      <c r="E24" s="12">
        <v>12674.09744</v>
      </c>
      <c r="F24" s="12">
        <v>1.9882596998870576</v>
      </c>
    </row>
    <row r="25" spans="1:6" x14ac:dyDescent="0.2">
      <c r="A25" s="7" t="s">
        <v>509</v>
      </c>
      <c r="B25" s="7" t="s">
        <v>510</v>
      </c>
      <c r="C25" s="7" t="s">
        <v>26</v>
      </c>
      <c r="D25" s="13">
        <v>743371</v>
      </c>
      <c r="E25" s="12">
        <v>12636.1919435</v>
      </c>
      <c r="F25" s="12">
        <v>1.9823132432299311</v>
      </c>
    </row>
    <row r="26" spans="1:6" x14ac:dyDescent="0.2">
      <c r="A26" s="7" t="s">
        <v>511</v>
      </c>
      <c r="B26" s="7" t="s">
        <v>512</v>
      </c>
      <c r="C26" s="7" t="s">
        <v>135</v>
      </c>
      <c r="D26" s="13">
        <v>4689677</v>
      </c>
      <c r="E26" s="12">
        <v>12340.8850255</v>
      </c>
      <c r="F26" s="12">
        <v>1.9359867219974058</v>
      </c>
    </row>
    <row r="27" spans="1:6" x14ac:dyDescent="0.2">
      <c r="A27" s="7" t="s">
        <v>433</v>
      </c>
      <c r="B27" s="7" t="s">
        <v>434</v>
      </c>
      <c r="C27" s="7" t="s">
        <v>307</v>
      </c>
      <c r="D27" s="13">
        <v>1481509</v>
      </c>
      <c r="E27" s="12">
        <v>12177.263225500001</v>
      </c>
      <c r="F27" s="12">
        <v>1.9103184144510046</v>
      </c>
    </row>
    <row r="28" spans="1:6" x14ac:dyDescent="0.2">
      <c r="A28" s="7" t="s">
        <v>276</v>
      </c>
      <c r="B28" s="7" t="s">
        <v>277</v>
      </c>
      <c r="C28" s="7" t="s">
        <v>32</v>
      </c>
      <c r="D28" s="13">
        <v>11253507</v>
      </c>
      <c r="E28" s="12">
        <v>12114.4002855</v>
      </c>
      <c r="F28" s="12">
        <v>1.9004567378456194</v>
      </c>
    </row>
    <row r="29" spans="1:6" x14ac:dyDescent="0.2">
      <c r="A29" s="7" t="s">
        <v>21</v>
      </c>
      <c r="B29" s="7" t="s">
        <v>22</v>
      </c>
      <c r="C29" s="7" t="s">
        <v>23</v>
      </c>
      <c r="D29" s="13">
        <v>2706125</v>
      </c>
      <c r="E29" s="12">
        <v>12077.435874999999</v>
      </c>
      <c r="F29" s="12">
        <v>1.8946579148465723</v>
      </c>
    </row>
    <row r="30" spans="1:6" x14ac:dyDescent="0.2">
      <c r="A30" s="7" t="s">
        <v>513</v>
      </c>
      <c r="B30" s="7" t="s">
        <v>514</v>
      </c>
      <c r="C30" s="7" t="s">
        <v>32</v>
      </c>
      <c r="D30" s="13">
        <v>794058</v>
      </c>
      <c r="E30" s="12">
        <v>11602.378467</v>
      </c>
      <c r="F30" s="12">
        <v>1.8201328842532143</v>
      </c>
    </row>
    <row r="31" spans="1:6" x14ac:dyDescent="0.2">
      <c r="A31" s="7" t="s">
        <v>256</v>
      </c>
      <c r="B31" s="7" t="s">
        <v>257</v>
      </c>
      <c r="C31" s="7" t="s">
        <v>130</v>
      </c>
      <c r="D31" s="13">
        <v>1629004</v>
      </c>
      <c r="E31" s="12">
        <v>11394.88298</v>
      </c>
      <c r="F31" s="12">
        <v>1.7875818551433627</v>
      </c>
    </row>
    <row r="32" spans="1:6" x14ac:dyDescent="0.2">
      <c r="A32" s="7" t="s">
        <v>124</v>
      </c>
      <c r="B32" s="7" t="s">
        <v>125</v>
      </c>
      <c r="C32" s="7" t="s">
        <v>123</v>
      </c>
      <c r="D32" s="13">
        <v>3493744</v>
      </c>
      <c r="E32" s="12">
        <v>11333.705535999999</v>
      </c>
      <c r="F32" s="12">
        <v>1.7779845921411539</v>
      </c>
    </row>
    <row r="33" spans="1:6" x14ac:dyDescent="0.2">
      <c r="A33" s="7" t="s">
        <v>483</v>
      </c>
      <c r="B33" s="7" t="s">
        <v>484</v>
      </c>
      <c r="C33" s="7" t="s">
        <v>79</v>
      </c>
      <c r="D33" s="13">
        <v>152964</v>
      </c>
      <c r="E33" s="12">
        <v>11117.729448</v>
      </c>
      <c r="F33" s="12">
        <v>1.7441031616138487</v>
      </c>
    </row>
    <row r="34" spans="1:6" x14ac:dyDescent="0.2">
      <c r="A34" s="7" t="s">
        <v>264</v>
      </c>
      <c r="B34" s="7" t="s">
        <v>265</v>
      </c>
      <c r="C34" s="7" t="s">
        <v>38</v>
      </c>
      <c r="D34" s="13">
        <v>862584</v>
      </c>
      <c r="E34" s="12">
        <v>10909.962432</v>
      </c>
      <c r="F34" s="12">
        <v>1.7115095361636572</v>
      </c>
    </row>
    <row r="35" spans="1:6" x14ac:dyDescent="0.2">
      <c r="A35" s="7" t="s">
        <v>247</v>
      </c>
      <c r="B35" s="7" t="s">
        <v>248</v>
      </c>
      <c r="C35" s="7" t="s">
        <v>249</v>
      </c>
      <c r="D35" s="13">
        <v>2635580</v>
      </c>
      <c r="E35" s="12">
        <v>10714.950489999999</v>
      </c>
      <c r="F35" s="12">
        <v>1.6809168736793365</v>
      </c>
    </row>
    <row r="36" spans="1:6" x14ac:dyDescent="0.2">
      <c r="A36" s="7" t="s">
        <v>312</v>
      </c>
      <c r="B36" s="7" t="s">
        <v>313</v>
      </c>
      <c r="C36" s="7" t="s">
        <v>11</v>
      </c>
      <c r="D36" s="13">
        <v>12530441</v>
      </c>
      <c r="E36" s="12">
        <v>9899.0483899999999</v>
      </c>
      <c r="F36" s="12">
        <v>1.5529215452417149</v>
      </c>
    </row>
    <row r="37" spans="1:6" x14ac:dyDescent="0.2">
      <c r="A37" s="7" t="s">
        <v>24</v>
      </c>
      <c r="B37" s="7" t="s">
        <v>25</v>
      </c>
      <c r="C37" s="7" t="s">
        <v>26</v>
      </c>
      <c r="D37" s="13">
        <v>1201671</v>
      </c>
      <c r="E37" s="12">
        <v>9697.4849699999995</v>
      </c>
      <c r="F37" s="12">
        <v>1.5213011141337298</v>
      </c>
    </row>
    <row r="38" spans="1:6" x14ac:dyDescent="0.2">
      <c r="A38" s="7" t="s">
        <v>270</v>
      </c>
      <c r="B38" s="7" t="s">
        <v>271</v>
      </c>
      <c r="C38" s="7" t="s">
        <v>150</v>
      </c>
      <c r="D38" s="13">
        <v>542781</v>
      </c>
      <c r="E38" s="12">
        <v>9627.8493780000008</v>
      </c>
      <c r="F38" s="12">
        <v>1.5103769720473348</v>
      </c>
    </row>
    <row r="39" spans="1:6" x14ac:dyDescent="0.2">
      <c r="A39" s="7" t="s">
        <v>515</v>
      </c>
      <c r="B39" s="7" t="s">
        <v>516</v>
      </c>
      <c r="C39" s="7" t="s">
        <v>95</v>
      </c>
      <c r="D39" s="13">
        <v>671609</v>
      </c>
      <c r="E39" s="12">
        <v>9395.1383010000009</v>
      </c>
      <c r="F39" s="12">
        <v>1.4738702260398326</v>
      </c>
    </row>
    <row r="40" spans="1:6" x14ac:dyDescent="0.2">
      <c r="A40" s="7" t="s">
        <v>266</v>
      </c>
      <c r="B40" s="7" t="s">
        <v>267</v>
      </c>
      <c r="C40" s="7" t="s">
        <v>174</v>
      </c>
      <c r="D40" s="13">
        <v>882057</v>
      </c>
      <c r="E40" s="12">
        <v>9184.4185125000004</v>
      </c>
      <c r="F40" s="12">
        <v>1.4408133819192406</v>
      </c>
    </row>
    <row r="41" spans="1:6" x14ac:dyDescent="0.2">
      <c r="A41" s="7" t="s">
        <v>210</v>
      </c>
      <c r="B41" s="7" t="s">
        <v>211</v>
      </c>
      <c r="C41" s="7" t="s">
        <v>150</v>
      </c>
      <c r="D41" s="13">
        <v>2456836</v>
      </c>
      <c r="E41" s="12">
        <v>8974.8219079999999</v>
      </c>
      <c r="F41" s="12">
        <v>1.4079327382336955</v>
      </c>
    </row>
    <row r="42" spans="1:6" x14ac:dyDescent="0.2">
      <c r="A42" s="7" t="s">
        <v>148</v>
      </c>
      <c r="B42" s="7" t="s">
        <v>149</v>
      </c>
      <c r="C42" s="7" t="s">
        <v>150</v>
      </c>
      <c r="D42" s="13">
        <v>145666</v>
      </c>
      <c r="E42" s="12">
        <v>8967.5631250000006</v>
      </c>
      <c r="F42" s="12">
        <v>1.4067940105430297</v>
      </c>
    </row>
    <row r="43" spans="1:6" x14ac:dyDescent="0.2">
      <c r="A43" s="7" t="s">
        <v>338</v>
      </c>
      <c r="B43" s="7" t="s">
        <v>339</v>
      </c>
      <c r="C43" s="7" t="s">
        <v>52</v>
      </c>
      <c r="D43" s="13">
        <v>1217476</v>
      </c>
      <c r="E43" s="12">
        <v>8661.7330020000009</v>
      </c>
      <c r="F43" s="12">
        <v>1.3588166526719039</v>
      </c>
    </row>
    <row r="44" spans="1:6" x14ac:dyDescent="0.2">
      <c r="A44" s="7" t="s">
        <v>268</v>
      </c>
      <c r="B44" s="7" t="s">
        <v>269</v>
      </c>
      <c r="C44" s="7" t="s">
        <v>246</v>
      </c>
      <c r="D44" s="13">
        <v>876836</v>
      </c>
      <c r="E44" s="12">
        <v>8421.1329440000009</v>
      </c>
      <c r="F44" s="12">
        <v>1.3210723161322371</v>
      </c>
    </row>
    <row r="45" spans="1:6" x14ac:dyDescent="0.2">
      <c r="A45" s="7" t="s">
        <v>136</v>
      </c>
      <c r="B45" s="7" t="s">
        <v>137</v>
      </c>
      <c r="C45" s="7" t="s">
        <v>135</v>
      </c>
      <c r="D45" s="13">
        <v>3927799</v>
      </c>
      <c r="E45" s="12">
        <v>8413.3454579999998</v>
      </c>
      <c r="F45" s="12">
        <v>1.3198506477135952</v>
      </c>
    </row>
    <row r="46" spans="1:6" x14ac:dyDescent="0.2">
      <c r="A46" s="7" t="s">
        <v>305</v>
      </c>
      <c r="B46" s="7" t="s">
        <v>306</v>
      </c>
      <c r="C46" s="7" t="s">
        <v>307</v>
      </c>
      <c r="D46" s="13">
        <v>191626</v>
      </c>
      <c r="E46" s="12">
        <v>8240.2054389999994</v>
      </c>
      <c r="F46" s="12">
        <v>1.2926891615529381</v>
      </c>
    </row>
    <row r="47" spans="1:6" x14ac:dyDescent="0.2">
      <c r="A47" s="7" t="s">
        <v>212</v>
      </c>
      <c r="B47" s="7" t="s">
        <v>213</v>
      </c>
      <c r="C47" s="7" t="s">
        <v>11</v>
      </c>
      <c r="D47" s="13">
        <v>4800077</v>
      </c>
      <c r="E47" s="12">
        <v>8150.5307460000004</v>
      </c>
      <c r="F47" s="12">
        <v>1.2786213686362662</v>
      </c>
    </row>
    <row r="48" spans="1:6" x14ac:dyDescent="0.2">
      <c r="A48" s="7" t="s">
        <v>517</v>
      </c>
      <c r="B48" s="7" t="s">
        <v>518</v>
      </c>
      <c r="C48" s="7" t="s">
        <v>79</v>
      </c>
      <c r="D48" s="13">
        <v>1859684</v>
      </c>
      <c r="E48" s="12">
        <v>8135.1876579999998</v>
      </c>
      <c r="F48" s="12">
        <v>1.2762144087965899</v>
      </c>
    </row>
    <row r="49" spans="1:6" x14ac:dyDescent="0.2">
      <c r="A49" s="7" t="s">
        <v>519</v>
      </c>
      <c r="B49" s="7" t="s">
        <v>520</v>
      </c>
      <c r="C49" s="7" t="s">
        <v>76</v>
      </c>
      <c r="D49" s="13">
        <v>885422</v>
      </c>
      <c r="E49" s="12">
        <v>7762.0519629999999</v>
      </c>
      <c r="F49" s="12">
        <v>1.217678432687048</v>
      </c>
    </row>
    <row r="50" spans="1:6" x14ac:dyDescent="0.2">
      <c r="A50" s="7" t="s">
        <v>15</v>
      </c>
      <c r="B50" s="7" t="s">
        <v>16</v>
      </c>
      <c r="C50" s="7" t="s">
        <v>17</v>
      </c>
      <c r="D50" s="13">
        <v>2289496</v>
      </c>
      <c r="E50" s="12">
        <v>7670.9563479999997</v>
      </c>
      <c r="F50" s="12">
        <v>1.2033877314360619</v>
      </c>
    </row>
    <row r="51" spans="1:6" x14ac:dyDescent="0.2">
      <c r="A51" s="7" t="s">
        <v>521</v>
      </c>
      <c r="B51" s="7" t="s">
        <v>522</v>
      </c>
      <c r="C51" s="7" t="s">
        <v>23</v>
      </c>
      <c r="D51" s="13">
        <v>1743720</v>
      </c>
      <c r="E51" s="12">
        <v>7666.2649799999999</v>
      </c>
      <c r="F51" s="12">
        <v>1.2026517691337442</v>
      </c>
    </row>
    <row r="52" spans="1:6" x14ac:dyDescent="0.2">
      <c r="A52" s="7" t="s">
        <v>18</v>
      </c>
      <c r="B52" s="7" t="s">
        <v>19</v>
      </c>
      <c r="C52" s="7" t="s">
        <v>20</v>
      </c>
      <c r="D52" s="13">
        <v>3375865</v>
      </c>
      <c r="E52" s="12">
        <v>7636.2066299999997</v>
      </c>
      <c r="F52" s="12">
        <v>1.1979363401863952</v>
      </c>
    </row>
    <row r="53" spans="1:6" x14ac:dyDescent="0.2">
      <c r="A53" s="7" t="s">
        <v>523</v>
      </c>
      <c r="B53" s="7" t="s">
        <v>524</v>
      </c>
      <c r="C53" s="7" t="s">
        <v>11</v>
      </c>
      <c r="D53" s="13">
        <v>1270000</v>
      </c>
      <c r="E53" s="12">
        <v>6964.68</v>
      </c>
      <c r="F53" s="12">
        <v>1.0925900350825608</v>
      </c>
    </row>
    <row r="54" spans="1:6" x14ac:dyDescent="0.2">
      <c r="A54" s="7" t="s">
        <v>401</v>
      </c>
      <c r="B54" s="7" t="s">
        <v>402</v>
      </c>
      <c r="C54" s="7" t="s">
        <v>35</v>
      </c>
      <c r="D54" s="13">
        <v>6098335</v>
      </c>
      <c r="E54" s="12">
        <v>6851.4793725</v>
      </c>
      <c r="F54" s="12">
        <v>1.0748315913964772</v>
      </c>
    </row>
    <row r="55" spans="1:6" x14ac:dyDescent="0.2">
      <c r="A55" s="7" t="s">
        <v>227</v>
      </c>
      <c r="B55" s="7" t="s">
        <v>228</v>
      </c>
      <c r="C55" s="7" t="s">
        <v>17</v>
      </c>
      <c r="D55" s="13">
        <v>3614324</v>
      </c>
      <c r="E55" s="12">
        <v>6543.7336020000002</v>
      </c>
      <c r="F55" s="12">
        <v>1.0265537147119626</v>
      </c>
    </row>
    <row r="56" spans="1:6" x14ac:dyDescent="0.2">
      <c r="A56" s="7" t="s">
        <v>155</v>
      </c>
      <c r="B56" s="7" t="s">
        <v>156</v>
      </c>
      <c r="C56" s="7" t="s">
        <v>35</v>
      </c>
      <c r="D56" s="13">
        <v>6934152</v>
      </c>
      <c r="E56" s="12">
        <v>6500.7674999999999</v>
      </c>
      <c r="F56" s="12">
        <v>1.0198133713090294</v>
      </c>
    </row>
    <row r="57" spans="1:6" x14ac:dyDescent="0.2">
      <c r="A57" s="7" t="s">
        <v>282</v>
      </c>
      <c r="B57" s="7" t="s">
        <v>283</v>
      </c>
      <c r="C57" s="7" t="s">
        <v>246</v>
      </c>
      <c r="D57" s="13">
        <v>852080</v>
      </c>
      <c r="E57" s="12">
        <v>6043.3774000000003</v>
      </c>
      <c r="F57" s="12">
        <v>0.94805991452344607</v>
      </c>
    </row>
    <row r="58" spans="1:6" x14ac:dyDescent="0.2">
      <c r="A58" s="7" t="s">
        <v>231</v>
      </c>
      <c r="B58" s="7" t="s">
        <v>232</v>
      </c>
      <c r="C58" s="7" t="s">
        <v>174</v>
      </c>
      <c r="D58" s="13">
        <v>7144209</v>
      </c>
      <c r="E58" s="12">
        <v>5947.5539925000003</v>
      </c>
      <c r="F58" s="12">
        <v>0.93302753684605755</v>
      </c>
    </row>
    <row r="59" spans="1:6" x14ac:dyDescent="0.2">
      <c r="A59" s="7" t="s">
        <v>525</v>
      </c>
      <c r="B59" s="7" t="s">
        <v>526</v>
      </c>
      <c r="C59" s="7" t="s">
        <v>26</v>
      </c>
      <c r="D59" s="13">
        <v>532031</v>
      </c>
      <c r="E59" s="12">
        <v>2999.8567935000001</v>
      </c>
      <c r="F59" s="12">
        <v>0.47060505856016693</v>
      </c>
    </row>
    <row r="60" spans="1:6" x14ac:dyDescent="0.2">
      <c r="A60" s="7" t="s">
        <v>27</v>
      </c>
      <c r="B60" s="7" t="s">
        <v>28</v>
      </c>
      <c r="C60" s="7" t="s">
        <v>29</v>
      </c>
      <c r="D60" s="13">
        <v>8299229</v>
      </c>
      <c r="E60" s="12">
        <v>2929.627837</v>
      </c>
      <c r="F60" s="12">
        <v>0.45958783191857727</v>
      </c>
    </row>
    <row r="61" spans="1:6" x14ac:dyDescent="0.2">
      <c r="A61" s="7" t="s">
        <v>527</v>
      </c>
      <c r="B61" s="7" t="s">
        <v>528</v>
      </c>
      <c r="C61" s="7" t="s">
        <v>246</v>
      </c>
      <c r="D61" s="13">
        <v>830494</v>
      </c>
      <c r="E61" s="12">
        <v>2182.5382319999999</v>
      </c>
      <c r="F61" s="12">
        <v>0.34238752153292185</v>
      </c>
    </row>
    <row r="62" spans="1:6" x14ac:dyDescent="0.2">
      <c r="A62" s="7" t="s">
        <v>316</v>
      </c>
      <c r="B62" s="7" t="s">
        <v>317</v>
      </c>
      <c r="C62" s="7" t="s">
        <v>290</v>
      </c>
      <c r="D62" s="13">
        <v>1773564</v>
      </c>
      <c r="E62" s="12">
        <v>1824.9973560000001</v>
      </c>
      <c r="F62" s="12">
        <v>0.28629799577548726</v>
      </c>
    </row>
    <row r="63" spans="1:6" x14ac:dyDescent="0.2">
      <c r="A63" s="7" t="s">
        <v>320</v>
      </c>
      <c r="B63" s="7" t="s">
        <v>321</v>
      </c>
      <c r="C63" s="7" t="s">
        <v>32</v>
      </c>
      <c r="D63" s="13">
        <v>192304</v>
      </c>
      <c r="E63" s="12">
        <v>490.952112</v>
      </c>
      <c r="F63" s="12">
        <v>7.7018525657164036E-2</v>
      </c>
    </row>
    <row r="64" spans="1:6" x14ac:dyDescent="0.2">
      <c r="A64" s="7" t="s">
        <v>487</v>
      </c>
      <c r="B64" s="7" t="s">
        <v>488</v>
      </c>
      <c r="C64" s="7" t="s">
        <v>32</v>
      </c>
      <c r="D64" s="13">
        <v>376519</v>
      </c>
      <c r="E64" s="12">
        <v>381.03722800000003</v>
      </c>
      <c r="F64" s="12">
        <v>5.9775535747267891E-2</v>
      </c>
    </row>
    <row r="65" spans="1:6" x14ac:dyDescent="0.2">
      <c r="A65" s="7" t="s">
        <v>529</v>
      </c>
      <c r="B65" s="7" t="s">
        <v>530</v>
      </c>
      <c r="C65" s="7" t="s">
        <v>79</v>
      </c>
      <c r="D65" s="13">
        <v>12438</v>
      </c>
      <c r="E65" s="12">
        <v>196.43955299999999</v>
      </c>
      <c r="F65" s="12">
        <v>3.0816620161137703E-2</v>
      </c>
    </row>
    <row r="66" spans="1:6" x14ac:dyDescent="0.2">
      <c r="A66" s="7" t="s">
        <v>531</v>
      </c>
      <c r="B66" s="7" t="s">
        <v>532</v>
      </c>
      <c r="C66" s="7" t="s">
        <v>246</v>
      </c>
      <c r="D66" s="13">
        <v>39231</v>
      </c>
      <c r="E66" s="12">
        <v>73.852357499999997</v>
      </c>
      <c r="F66" s="12">
        <v>1.1585650722194677E-2</v>
      </c>
    </row>
    <row r="67" spans="1:6" x14ac:dyDescent="0.2">
      <c r="A67" s="6" t="s">
        <v>39</v>
      </c>
      <c r="B67" s="7"/>
      <c r="C67" s="7"/>
      <c r="D67" s="13"/>
      <c r="E67" s="14">
        <f xml:space="preserve"> SUM(E8:E66)</f>
        <v>595445.40203700005</v>
      </c>
      <c r="F67" s="14">
        <f>SUM(F8:F66)</f>
        <v>93.410998452384817</v>
      </c>
    </row>
    <row r="68" spans="1:6" x14ac:dyDescent="0.2">
      <c r="A68" s="6"/>
      <c r="B68" s="7"/>
      <c r="C68" s="7"/>
      <c r="D68" s="13"/>
      <c r="E68" s="14"/>
      <c r="F68" s="14"/>
    </row>
    <row r="69" spans="1:6" x14ac:dyDescent="0.2">
      <c r="A69" s="27" t="s">
        <v>40</v>
      </c>
      <c r="B69" s="28"/>
      <c r="C69" s="28"/>
      <c r="D69" s="29"/>
      <c r="E69" s="30"/>
      <c r="F69" s="30"/>
    </row>
    <row r="70" spans="1:6" x14ac:dyDescent="0.2">
      <c r="A70" s="28" t="s">
        <v>656</v>
      </c>
      <c r="B70" s="28" t="s">
        <v>657</v>
      </c>
      <c r="C70" s="28" t="s">
        <v>76</v>
      </c>
      <c r="D70" s="29">
        <v>140468</v>
      </c>
      <c r="E70" s="30">
        <v>2414.3749280000002</v>
      </c>
      <c r="F70" s="12">
        <v>0.37875709828534482</v>
      </c>
    </row>
    <row r="71" spans="1:6" x14ac:dyDescent="0.2">
      <c r="A71" s="19" t="s">
        <v>39</v>
      </c>
      <c r="B71" s="28"/>
      <c r="C71" s="28"/>
      <c r="D71" s="29"/>
      <c r="E71" s="31">
        <f>SUM(E70)</f>
        <v>2414.3749280000002</v>
      </c>
      <c r="F71" s="31">
        <f>SUM(F70)</f>
        <v>0.37875709828534482</v>
      </c>
    </row>
    <row r="72" spans="1:6" x14ac:dyDescent="0.2">
      <c r="A72" s="19"/>
      <c r="B72" s="28"/>
      <c r="C72" s="28"/>
      <c r="D72" s="29"/>
      <c r="E72" s="31"/>
      <c r="F72" s="31"/>
    </row>
    <row r="73" spans="1:6" x14ac:dyDescent="0.2">
      <c r="A73" s="6" t="s">
        <v>291</v>
      </c>
      <c r="B73" s="7"/>
      <c r="C73" s="7"/>
      <c r="D73" s="13"/>
      <c r="E73" s="12"/>
      <c r="F73" s="12"/>
    </row>
    <row r="74" spans="1:6" x14ac:dyDescent="0.2">
      <c r="A74" s="7" t="s">
        <v>662</v>
      </c>
      <c r="B74" s="7" t="s">
        <v>660</v>
      </c>
      <c r="C74" s="7" t="s">
        <v>17</v>
      </c>
      <c r="D74" s="13">
        <v>354712</v>
      </c>
      <c r="E74" s="12">
        <v>3227.0278911999999</v>
      </c>
      <c r="F74" s="12">
        <v>0.50624271565364232</v>
      </c>
    </row>
    <row r="75" spans="1:6" x14ac:dyDescent="0.2">
      <c r="A75" s="7" t="s">
        <v>292</v>
      </c>
      <c r="B75" s="7" t="s">
        <v>293</v>
      </c>
      <c r="C75" s="7" t="s">
        <v>17</v>
      </c>
      <c r="D75" s="13">
        <v>977402</v>
      </c>
      <c r="E75" s="12">
        <v>1469.523907</v>
      </c>
      <c r="F75" s="12">
        <v>0.230532799368211</v>
      </c>
    </row>
    <row r="76" spans="1:6" x14ac:dyDescent="0.2">
      <c r="A76" s="7" t="s">
        <v>295</v>
      </c>
      <c r="B76" s="7" t="s">
        <v>296</v>
      </c>
      <c r="C76" s="7" t="s">
        <v>76</v>
      </c>
      <c r="D76" s="13">
        <v>325800</v>
      </c>
      <c r="E76" s="12">
        <v>979.68060000000003</v>
      </c>
      <c r="F76" s="12">
        <v>0.1536882184283706</v>
      </c>
    </row>
    <row r="77" spans="1:6" x14ac:dyDescent="0.2">
      <c r="A77" s="7" t="s">
        <v>659</v>
      </c>
      <c r="B77" s="7" t="s">
        <v>661</v>
      </c>
      <c r="C77" s="7" t="s">
        <v>174</v>
      </c>
      <c r="D77" s="13">
        <v>65687</v>
      </c>
      <c r="E77" s="12">
        <v>363.55783889999998</v>
      </c>
      <c r="F77" s="12">
        <v>5.703344187504536E-2</v>
      </c>
    </row>
    <row r="78" spans="1:6" x14ac:dyDescent="0.2">
      <c r="A78" s="7" t="s">
        <v>322</v>
      </c>
      <c r="B78" s="7" t="s">
        <v>323</v>
      </c>
      <c r="C78" s="7" t="s">
        <v>32</v>
      </c>
      <c r="D78" s="13">
        <v>8100</v>
      </c>
      <c r="E78" s="12">
        <v>8.0999999999999996E-4</v>
      </c>
      <c r="F78" s="12">
        <v>1.2706943153409404E-7</v>
      </c>
    </row>
    <row r="79" spans="1:6" x14ac:dyDescent="0.2">
      <c r="A79" s="6" t="s">
        <v>39</v>
      </c>
      <c r="B79" s="7"/>
      <c r="C79" s="7"/>
      <c r="D79" s="13"/>
      <c r="E79" s="14">
        <f>SUM(E74:E78)</f>
        <v>6039.7910470999996</v>
      </c>
      <c r="F79" s="14">
        <f>SUM(F74:F78)</f>
        <v>0.94749730239470076</v>
      </c>
    </row>
    <row r="80" spans="1:6" x14ac:dyDescent="0.2">
      <c r="A80" s="7"/>
      <c r="B80" s="7"/>
      <c r="C80" s="7"/>
      <c r="D80" s="13"/>
      <c r="E80" s="12"/>
      <c r="F80" s="12"/>
    </row>
    <row r="81" spans="1:6" x14ac:dyDescent="0.2">
      <c r="A81" s="6" t="s">
        <v>39</v>
      </c>
      <c r="B81" s="7"/>
      <c r="C81" s="7"/>
      <c r="D81" s="13"/>
      <c r="E81" s="14">
        <f>E67+E71+E79</f>
        <v>603899.56801210006</v>
      </c>
      <c r="F81" s="14">
        <f>F67+F71+F79</f>
        <v>94.737252853064859</v>
      </c>
    </row>
    <row r="82" spans="1:6" x14ac:dyDescent="0.2">
      <c r="A82" s="7"/>
      <c r="B82" s="7"/>
      <c r="C82" s="7"/>
      <c r="D82" s="13"/>
      <c r="E82" s="12"/>
      <c r="F82" s="12"/>
    </row>
    <row r="83" spans="1:6" x14ac:dyDescent="0.2">
      <c r="A83" s="6" t="s">
        <v>103</v>
      </c>
      <c r="B83" s="7"/>
      <c r="C83" s="7"/>
      <c r="D83" s="13"/>
      <c r="E83" s="14">
        <v>33547.212241000001</v>
      </c>
      <c r="F83" s="14">
        <v>5.2627471468757072</v>
      </c>
    </row>
    <row r="84" spans="1:6" x14ac:dyDescent="0.2">
      <c r="A84" s="7"/>
      <c r="B84" s="7"/>
      <c r="C84" s="7"/>
      <c r="D84" s="13"/>
      <c r="E84" s="12"/>
      <c r="F84" s="12"/>
    </row>
    <row r="85" spans="1:6" x14ac:dyDescent="0.2">
      <c r="A85" s="8" t="s">
        <v>104</v>
      </c>
      <c r="B85" s="5"/>
      <c r="C85" s="5"/>
      <c r="D85" s="24"/>
      <c r="E85" s="15">
        <f>E81+E83</f>
        <v>637446.78025310009</v>
      </c>
      <c r="F85" s="15">
        <f xml:space="preserve"> ROUND(SUM(F81:F84),2)</f>
        <v>100</v>
      </c>
    </row>
    <row r="87" spans="1:6" x14ac:dyDescent="0.2">
      <c r="A87" s="9" t="s">
        <v>105</v>
      </c>
    </row>
    <row r="88" spans="1:6" x14ac:dyDescent="0.2">
      <c r="A88" s="9" t="s">
        <v>106</v>
      </c>
    </row>
    <row r="89" spans="1:6" x14ac:dyDescent="0.2">
      <c r="A89" s="9" t="s">
        <v>107</v>
      </c>
    </row>
    <row r="90" spans="1:6" x14ac:dyDescent="0.2">
      <c r="A90" s="1" t="s">
        <v>719</v>
      </c>
      <c r="B90" s="10">
        <v>67.048100000000005</v>
      </c>
    </row>
    <row r="91" spans="1:6" x14ac:dyDescent="0.2">
      <c r="A91" s="1" t="s">
        <v>720</v>
      </c>
      <c r="B91" s="10">
        <v>1037.252</v>
      </c>
    </row>
    <row r="92" spans="1:6" x14ac:dyDescent="0.2">
      <c r="A92" s="1" t="s">
        <v>721</v>
      </c>
      <c r="B92" s="10">
        <v>62.098399999999998</v>
      </c>
    </row>
    <row r="93" spans="1:6" x14ac:dyDescent="0.2">
      <c r="A93" s="1" t="s">
        <v>722</v>
      </c>
      <c r="B93" s="10">
        <v>980.28480000000002</v>
      </c>
    </row>
    <row r="95" spans="1:6" x14ac:dyDescent="0.2">
      <c r="A95" s="9" t="s">
        <v>108</v>
      </c>
    </row>
    <row r="96" spans="1:6" x14ac:dyDescent="0.2">
      <c r="A96" s="1" t="s">
        <v>719</v>
      </c>
      <c r="B96" s="10">
        <v>62.352499999999999</v>
      </c>
    </row>
    <row r="97" spans="1:2" x14ac:dyDescent="0.2">
      <c r="A97" s="1" t="s">
        <v>720</v>
      </c>
      <c r="B97" s="10">
        <v>964.61469999999997</v>
      </c>
    </row>
    <row r="98" spans="1:2" x14ac:dyDescent="0.2">
      <c r="A98" s="1" t="s">
        <v>721</v>
      </c>
      <c r="B98" s="10">
        <v>57.469499999999996</v>
      </c>
    </row>
    <row r="99" spans="1:2" x14ac:dyDescent="0.2">
      <c r="A99" s="1" t="s">
        <v>722</v>
      </c>
      <c r="B99" s="10">
        <v>907.20809999999994</v>
      </c>
    </row>
    <row r="101" spans="1:2" x14ac:dyDescent="0.2">
      <c r="A101" s="9" t="s">
        <v>109</v>
      </c>
      <c r="B101" s="11" t="s">
        <v>110</v>
      </c>
    </row>
    <row r="103" spans="1:2" x14ac:dyDescent="0.2">
      <c r="A103" s="9" t="s">
        <v>111</v>
      </c>
      <c r="B103" s="40">
        <v>0.13369142335624709</v>
      </c>
    </row>
  </sheetData>
  <mergeCells count="1">
    <mergeCell ref="A1:F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7.5703125" style="1" bestFit="1" customWidth="1"/>
    <col min="3" max="3" width="32.85546875" style="1" bestFit="1" customWidth="1"/>
    <col min="4" max="4" width="11.140625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495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9</v>
      </c>
      <c r="B8" s="7" t="s">
        <v>10</v>
      </c>
      <c r="C8" s="7" t="s">
        <v>11</v>
      </c>
      <c r="D8" s="13">
        <v>301393</v>
      </c>
      <c r="E8" s="12">
        <v>6414.9993084999996</v>
      </c>
      <c r="F8" s="12">
        <v>11.06002333396083</v>
      </c>
    </row>
    <row r="9" spans="1:6" x14ac:dyDescent="0.2">
      <c r="A9" s="7" t="s">
        <v>117</v>
      </c>
      <c r="B9" s="7" t="s">
        <v>118</v>
      </c>
      <c r="C9" s="7" t="s">
        <v>11</v>
      </c>
      <c r="D9" s="13">
        <v>602107</v>
      </c>
      <c r="E9" s="12">
        <v>3767.6845524999999</v>
      </c>
      <c r="F9" s="12">
        <v>6.4958197283730481</v>
      </c>
    </row>
    <row r="10" spans="1:6" x14ac:dyDescent="0.2">
      <c r="A10" s="7" t="s">
        <v>190</v>
      </c>
      <c r="B10" s="7" t="s">
        <v>191</v>
      </c>
      <c r="C10" s="7" t="s">
        <v>35</v>
      </c>
      <c r="D10" s="13">
        <v>343240</v>
      </c>
      <c r="E10" s="12">
        <v>2714.68516</v>
      </c>
      <c r="F10" s="12">
        <v>4.6803561107441061</v>
      </c>
    </row>
    <row r="11" spans="1:6" x14ac:dyDescent="0.2">
      <c r="A11" s="7" t="s">
        <v>185</v>
      </c>
      <c r="B11" s="7" t="s">
        <v>186</v>
      </c>
      <c r="C11" s="7" t="s">
        <v>76</v>
      </c>
      <c r="D11" s="13">
        <v>405492</v>
      </c>
      <c r="E11" s="12">
        <v>2706.4563539999999</v>
      </c>
      <c r="F11" s="12">
        <v>4.6661689250572662</v>
      </c>
    </row>
    <row r="12" spans="1:6" x14ac:dyDescent="0.2">
      <c r="A12" s="7" t="s">
        <v>194</v>
      </c>
      <c r="B12" s="7" t="s">
        <v>195</v>
      </c>
      <c r="C12" s="7" t="s">
        <v>150</v>
      </c>
      <c r="D12" s="13">
        <v>98278</v>
      </c>
      <c r="E12" s="12">
        <v>2675.3237159999999</v>
      </c>
      <c r="F12" s="12">
        <v>4.6124935174431902</v>
      </c>
    </row>
    <row r="13" spans="1:6" x14ac:dyDescent="0.2">
      <c r="A13" s="7" t="s">
        <v>113</v>
      </c>
      <c r="B13" s="7" t="s">
        <v>114</v>
      </c>
      <c r="C13" s="7" t="s">
        <v>11</v>
      </c>
      <c r="D13" s="13">
        <v>902639</v>
      </c>
      <c r="E13" s="12">
        <v>2569.3619134999999</v>
      </c>
      <c r="F13" s="12">
        <v>4.4298060451926924</v>
      </c>
    </row>
    <row r="14" spans="1:6" x14ac:dyDescent="0.2">
      <c r="A14" s="7" t="s">
        <v>192</v>
      </c>
      <c r="B14" s="7" t="s">
        <v>193</v>
      </c>
      <c r="C14" s="7" t="s">
        <v>11</v>
      </c>
      <c r="D14" s="13">
        <v>197693</v>
      </c>
      <c r="E14" s="12">
        <v>2439.4327735000002</v>
      </c>
      <c r="F14" s="12">
        <v>4.2057967739434536</v>
      </c>
    </row>
    <row r="15" spans="1:6" x14ac:dyDescent="0.2">
      <c r="A15" s="7" t="s">
        <v>115</v>
      </c>
      <c r="B15" s="7" t="s">
        <v>116</v>
      </c>
      <c r="C15" s="7" t="s">
        <v>11</v>
      </c>
      <c r="D15" s="13">
        <v>643546</v>
      </c>
      <c r="E15" s="12">
        <v>2285.5536189999998</v>
      </c>
      <c r="F15" s="12">
        <v>3.94049557007191</v>
      </c>
    </row>
    <row r="16" spans="1:6" x14ac:dyDescent="0.2">
      <c r="A16" s="7" t="s">
        <v>299</v>
      </c>
      <c r="B16" s="7" t="s">
        <v>300</v>
      </c>
      <c r="C16" s="7" t="s">
        <v>76</v>
      </c>
      <c r="D16" s="13">
        <v>126574</v>
      </c>
      <c r="E16" s="12">
        <v>1956.3277439999999</v>
      </c>
      <c r="F16" s="12">
        <v>3.3728811893783774</v>
      </c>
    </row>
    <row r="17" spans="1:6" x14ac:dyDescent="0.2">
      <c r="A17" s="7" t="s">
        <v>238</v>
      </c>
      <c r="B17" s="7" t="s">
        <v>239</v>
      </c>
      <c r="C17" s="7" t="s">
        <v>52</v>
      </c>
      <c r="D17" s="13">
        <v>203574</v>
      </c>
      <c r="E17" s="12">
        <v>1763.459775</v>
      </c>
      <c r="F17" s="12">
        <v>3.0403598382556729</v>
      </c>
    </row>
    <row r="18" spans="1:6" x14ac:dyDescent="0.2">
      <c r="A18" s="7" t="s">
        <v>187</v>
      </c>
      <c r="B18" s="7" t="s">
        <v>188</v>
      </c>
      <c r="C18" s="7" t="s">
        <v>189</v>
      </c>
      <c r="D18" s="13">
        <v>116490</v>
      </c>
      <c r="E18" s="12">
        <v>1668.7192500000001</v>
      </c>
      <c r="F18" s="12">
        <v>2.8770188358983853</v>
      </c>
    </row>
    <row r="19" spans="1:6" x14ac:dyDescent="0.2">
      <c r="A19" s="7" t="s">
        <v>481</v>
      </c>
      <c r="B19" s="7" t="s">
        <v>482</v>
      </c>
      <c r="C19" s="7" t="s">
        <v>189</v>
      </c>
      <c r="D19" s="13">
        <v>1262673</v>
      </c>
      <c r="E19" s="12">
        <v>1649.0509380000001</v>
      </c>
      <c r="F19" s="12">
        <v>2.8431089351800187</v>
      </c>
    </row>
    <row r="20" spans="1:6" x14ac:dyDescent="0.2">
      <c r="A20" s="7" t="s">
        <v>483</v>
      </c>
      <c r="B20" s="7" t="s">
        <v>484</v>
      </c>
      <c r="C20" s="7" t="s">
        <v>79</v>
      </c>
      <c r="D20" s="13">
        <v>21578</v>
      </c>
      <c r="E20" s="12">
        <v>1568.3321960000001</v>
      </c>
      <c r="F20" s="12">
        <v>2.7039427206451161</v>
      </c>
    </row>
    <row r="21" spans="1:6" x14ac:dyDescent="0.2">
      <c r="A21" s="7" t="s">
        <v>124</v>
      </c>
      <c r="B21" s="7" t="s">
        <v>125</v>
      </c>
      <c r="C21" s="7" t="s">
        <v>123</v>
      </c>
      <c r="D21" s="13">
        <v>454688</v>
      </c>
      <c r="E21" s="12">
        <v>1475.0078719999999</v>
      </c>
      <c r="F21" s="12">
        <v>2.5430433734388775</v>
      </c>
    </row>
    <row r="22" spans="1:6" x14ac:dyDescent="0.2">
      <c r="A22" s="7" t="s">
        <v>210</v>
      </c>
      <c r="B22" s="7" t="s">
        <v>211</v>
      </c>
      <c r="C22" s="7" t="s">
        <v>150</v>
      </c>
      <c r="D22" s="13">
        <v>387005</v>
      </c>
      <c r="E22" s="12">
        <v>1413.7292649999999</v>
      </c>
      <c r="F22" s="12">
        <v>2.4373936623945456</v>
      </c>
    </row>
    <row r="23" spans="1:6" x14ac:dyDescent="0.2">
      <c r="A23" s="7" t="s">
        <v>222</v>
      </c>
      <c r="B23" s="7" t="s">
        <v>223</v>
      </c>
      <c r="C23" s="7" t="s">
        <v>224</v>
      </c>
      <c r="D23" s="13">
        <v>258995</v>
      </c>
      <c r="E23" s="12">
        <v>1371.3785250000001</v>
      </c>
      <c r="F23" s="12">
        <v>2.3643772597287076</v>
      </c>
    </row>
    <row r="24" spans="1:6" x14ac:dyDescent="0.2">
      <c r="A24" s="7" t="s">
        <v>458</v>
      </c>
      <c r="B24" s="7" t="s">
        <v>459</v>
      </c>
      <c r="C24" s="7" t="s">
        <v>79</v>
      </c>
      <c r="D24" s="13">
        <v>101394</v>
      </c>
      <c r="E24" s="12">
        <v>1364.7125430000001</v>
      </c>
      <c r="F24" s="12">
        <v>2.352884520147883</v>
      </c>
    </row>
    <row r="25" spans="1:6" x14ac:dyDescent="0.2">
      <c r="A25" s="7" t="s">
        <v>276</v>
      </c>
      <c r="B25" s="7" t="s">
        <v>277</v>
      </c>
      <c r="C25" s="7" t="s">
        <v>32</v>
      </c>
      <c r="D25" s="13">
        <v>1247117</v>
      </c>
      <c r="E25" s="12">
        <v>1342.5214504999999</v>
      </c>
      <c r="F25" s="12">
        <v>2.3146251238404072</v>
      </c>
    </row>
    <row r="26" spans="1:6" x14ac:dyDescent="0.2">
      <c r="A26" s="7" t="s">
        <v>256</v>
      </c>
      <c r="B26" s="7" t="s">
        <v>257</v>
      </c>
      <c r="C26" s="7" t="s">
        <v>130</v>
      </c>
      <c r="D26" s="13">
        <v>183307</v>
      </c>
      <c r="E26" s="12">
        <v>1282.232465</v>
      </c>
      <c r="F26" s="12">
        <v>2.2106816073497186</v>
      </c>
    </row>
    <row r="27" spans="1:6" x14ac:dyDescent="0.2">
      <c r="A27" s="7" t="s">
        <v>278</v>
      </c>
      <c r="B27" s="7" t="s">
        <v>279</v>
      </c>
      <c r="C27" s="7" t="s">
        <v>123</v>
      </c>
      <c r="D27" s="13">
        <v>551423</v>
      </c>
      <c r="E27" s="12">
        <v>1281.2313405</v>
      </c>
      <c r="F27" s="12">
        <v>2.2089555806118</v>
      </c>
    </row>
    <row r="28" spans="1:6" x14ac:dyDescent="0.2">
      <c r="A28" s="7" t="s">
        <v>204</v>
      </c>
      <c r="B28" s="7" t="s">
        <v>205</v>
      </c>
      <c r="C28" s="7" t="s">
        <v>35</v>
      </c>
      <c r="D28" s="13">
        <v>45848</v>
      </c>
      <c r="E28" s="12">
        <v>1258.848536</v>
      </c>
      <c r="F28" s="12">
        <v>2.170365655945484</v>
      </c>
    </row>
    <row r="29" spans="1:6" x14ac:dyDescent="0.2">
      <c r="A29" s="7" t="s">
        <v>196</v>
      </c>
      <c r="B29" s="7" t="s">
        <v>197</v>
      </c>
      <c r="C29" s="7" t="s">
        <v>76</v>
      </c>
      <c r="D29" s="13">
        <v>114846</v>
      </c>
      <c r="E29" s="12">
        <v>1165.6868999999999</v>
      </c>
      <c r="F29" s="12">
        <v>2.0097467971679461</v>
      </c>
    </row>
    <row r="30" spans="1:6" x14ac:dyDescent="0.2">
      <c r="A30" s="7" t="s">
        <v>212</v>
      </c>
      <c r="B30" s="7" t="s">
        <v>213</v>
      </c>
      <c r="C30" s="7" t="s">
        <v>11</v>
      </c>
      <c r="D30" s="13">
        <v>631101</v>
      </c>
      <c r="E30" s="12">
        <v>1071.609498</v>
      </c>
      <c r="F30" s="12">
        <v>1.8475490772181198</v>
      </c>
    </row>
    <row r="31" spans="1:6" x14ac:dyDescent="0.2">
      <c r="A31" s="7" t="s">
        <v>121</v>
      </c>
      <c r="B31" s="7" t="s">
        <v>122</v>
      </c>
      <c r="C31" s="7" t="s">
        <v>123</v>
      </c>
      <c r="D31" s="13">
        <v>772456</v>
      </c>
      <c r="E31" s="12">
        <v>1039.725776</v>
      </c>
      <c r="F31" s="12">
        <v>1.7925787346919291</v>
      </c>
    </row>
    <row r="32" spans="1:6" x14ac:dyDescent="0.2">
      <c r="A32" s="7" t="s">
        <v>338</v>
      </c>
      <c r="B32" s="7" t="s">
        <v>339</v>
      </c>
      <c r="C32" s="7" t="s">
        <v>52</v>
      </c>
      <c r="D32" s="13">
        <v>136430</v>
      </c>
      <c r="E32" s="12">
        <v>970.63123499999995</v>
      </c>
      <c r="F32" s="12">
        <v>1.6734536656218904</v>
      </c>
    </row>
    <row r="33" spans="1:6" x14ac:dyDescent="0.2">
      <c r="A33" s="7" t="s">
        <v>485</v>
      </c>
      <c r="B33" s="7" t="s">
        <v>486</v>
      </c>
      <c r="C33" s="7" t="s">
        <v>32</v>
      </c>
      <c r="D33" s="13">
        <v>248911</v>
      </c>
      <c r="E33" s="12">
        <v>920.34842249999997</v>
      </c>
      <c r="F33" s="12">
        <v>1.586761671936046</v>
      </c>
    </row>
    <row r="34" spans="1:6" x14ac:dyDescent="0.2">
      <c r="A34" s="7" t="s">
        <v>342</v>
      </c>
      <c r="B34" s="7" t="s">
        <v>343</v>
      </c>
      <c r="C34" s="7" t="s">
        <v>344</v>
      </c>
      <c r="D34" s="13">
        <v>342595</v>
      </c>
      <c r="E34" s="12">
        <v>839.01515500000005</v>
      </c>
      <c r="F34" s="12">
        <v>1.4465359613603086</v>
      </c>
    </row>
    <row r="35" spans="1:6" x14ac:dyDescent="0.2">
      <c r="A35" s="7" t="s">
        <v>33</v>
      </c>
      <c r="B35" s="7" t="s">
        <v>34</v>
      </c>
      <c r="C35" s="7" t="s">
        <v>35</v>
      </c>
      <c r="D35" s="13">
        <v>484457</v>
      </c>
      <c r="E35" s="12">
        <v>833.02381149999997</v>
      </c>
      <c r="F35" s="12">
        <v>1.4362063579223201</v>
      </c>
    </row>
    <row r="36" spans="1:6" x14ac:dyDescent="0.2">
      <c r="A36" s="7" t="s">
        <v>27</v>
      </c>
      <c r="B36" s="7" t="s">
        <v>28</v>
      </c>
      <c r="C36" s="7" t="s">
        <v>29</v>
      </c>
      <c r="D36" s="13">
        <v>2253145</v>
      </c>
      <c r="E36" s="12">
        <v>795.360185</v>
      </c>
      <c r="F36" s="12">
        <v>1.3712709514009764</v>
      </c>
    </row>
    <row r="37" spans="1:6" x14ac:dyDescent="0.2">
      <c r="A37" s="7" t="s">
        <v>487</v>
      </c>
      <c r="B37" s="7" t="s">
        <v>488</v>
      </c>
      <c r="C37" s="7" t="s">
        <v>32</v>
      </c>
      <c r="D37" s="13">
        <v>593597</v>
      </c>
      <c r="E37" s="12">
        <v>600.72016399999995</v>
      </c>
      <c r="F37" s="12">
        <v>1.0356944266879924</v>
      </c>
    </row>
    <row r="38" spans="1:6" x14ac:dyDescent="0.2">
      <c r="A38" s="7" t="s">
        <v>157</v>
      </c>
      <c r="B38" s="7" t="s">
        <v>158</v>
      </c>
      <c r="C38" s="7" t="s">
        <v>159</v>
      </c>
      <c r="D38" s="13">
        <v>580358</v>
      </c>
      <c r="E38" s="12">
        <v>472.99176999999997</v>
      </c>
      <c r="F38" s="12">
        <v>0.81547943521051647</v>
      </c>
    </row>
    <row r="39" spans="1:6" x14ac:dyDescent="0.2">
      <c r="A39" s="7" t="s">
        <v>489</v>
      </c>
      <c r="B39" s="7" t="s">
        <v>490</v>
      </c>
      <c r="C39" s="7" t="s">
        <v>32</v>
      </c>
      <c r="D39" s="13">
        <v>12795</v>
      </c>
      <c r="E39" s="12">
        <v>251.70963750000001</v>
      </c>
      <c r="F39" s="12">
        <v>0.43396956574010548</v>
      </c>
    </row>
    <row r="40" spans="1:6" x14ac:dyDescent="0.2">
      <c r="A40" s="7" t="s">
        <v>491</v>
      </c>
      <c r="B40" s="7" t="s">
        <v>492</v>
      </c>
      <c r="C40" s="7" t="s">
        <v>737</v>
      </c>
      <c r="D40" s="13">
        <v>105016</v>
      </c>
      <c r="E40" s="12">
        <v>204.78120000000001</v>
      </c>
      <c r="F40" s="12">
        <v>0.35306080974248627</v>
      </c>
    </row>
    <row r="41" spans="1:6" x14ac:dyDescent="0.2">
      <c r="A41" s="7" t="s">
        <v>316</v>
      </c>
      <c r="B41" s="7" t="s">
        <v>317</v>
      </c>
      <c r="C41" s="7" t="s">
        <v>290</v>
      </c>
      <c r="D41" s="13">
        <v>163212</v>
      </c>
      <c r="E41" s="12">
        <v>167.94514799999999</v>
      </c>
      <c r="F41" s="12">
        <v>0.28955221448649432</v>
      </c>
    </row>
    <row r="42" spans="1:6" x14ac:dyDescent="0.2">
      <c r="A42" s="6" t="s">
        <v>39</v>
      </c>
      <c r="B42" s="7"/>
      <c r="C42" s="7"/>
      <c r="D42" s="13"/>
      <c r="E42" s="14">
        <f xml:space="preserve"> SUM(E8:E41)</f>
        <v>54302.598199499997</v>
      </c>
      <c r="F42" s="14">
        <f>SUM(F8:F41)</f>
        <v>93.622457976788624</v>
      </c>
    </row>
    <row r="43" spans="1:6" x14ac:dyDescent="0.2">
      <c r="A43" s="7"/>
      <c r="B43" s="7"/>
      <c r="C43" s="7"/>
      <c r="D43" s="13"/>
      <c r="E43" s="12"/>
      <c r="F43" s="12"/>
    </row>
    <row r="44" spans="1:6" x14ac:dyDescent="0.2">
      <c r="A44" s="6" t="s">
        <v>291</v>
      </c>
      <c r="B44" s="7"/>
      <c r="C44" s="7"/>
      <c r="D44" s="13"/>
      <c r="E44" s="12"/>
      <c r="F44" s="12"/>
    </row>
    <row r="45" spans="1:6" x14ac:dyDescent="0.2">
      <c r="A45" s="7" t="s">
        <v>662</v>
      </c>
      <c r="B45" s="7" t="s">
        <v>660</v>
      </c>
      <c r="C45" s="7" t="s">
        <v>663</v>
      </c>
      <c r="D45" s="13">
        <v>32642</v>
      </c>
      <c r="E45" s="12">
        <v>296.9638592</v>
      </c>
      <c r="F45" s="12">
        <v>0.51199182636592455</v>
      </c>
    </row>
    <row r="46" spans="1:6" x14ac:dyDescent="0.2">
      <c r="A46" s="7" t="s">
        <v>292</v>
      </c>
      <c r="B46" s="7" t="s">
        <v>293</v>
      </c>
      <c r="C46" s="7" t="s">
        <v>663</v>
      </c>
      <c r="D46" s="13">
        <v>109984</v>
      </c>
      <c r="E46" s="12">
        <v>165.36094399999999</v>
      </c>
      <c r="F46" s="12">
        <v>0.28509681937805775</v>
      </c>
    </row>
    <row r="47" spans="1:6" x14ac:dyDescent="0.2">
      <c r="A47" s="7" t="s">
        <v>295</v>
      </c>
      <c r="B47" s="7" t="s">
        <v>296</v>
      </c>
      <c r="C47" s="7" t="s">
        <v>76</v>
      </c>
      <c r="D47" s="13">
        <v>36661</v>
      </c>
      <c r="E47" s="12">
        <v>110.239627</v>
      </c>
      <c r="F47" s="12">
        <v>0.19006281814116555</v>
      </c>
    </row>
    <row r="48" spans="1:6" x14ac:dyDescent="0.2">
      <c r="A48" s="7" t="s">
        <v>659</v>
      </c>
      <c r="B48" s="7" t="s">
        <v>658</v>
      </c>
      <c r="C48" s="7" t="s">
        <v>174</v>
      </c>
      <c r="D48" s="13">
        <v>6044</v>
      </c>
      <c r="E48" s="12">
        <v>33.451726800000003</v>
      </c>
      <c r="F48" s="12">
        <v>5.767372078732047E-2</v>
      </c>
    </row>
    <row r="49" spans="1:6" x14ac:dyDescent="0.2">
      <c r="A49" s="7" t="s">
        <v>322</v>
      </c>
      <c r="B49" s="7" t="s">
        <v>323</v>
      </c>
      <c r="C49" s="7" t="s">
        <v>32</v>
      </c>
      <c r="D49" s="13">
        <v>98000</v>
      </c>
      <c r="E49" s="12">
        <v>9.7999999999999997E-3</v>
      </c>
      <c r="F49" s="12">
        <v>1.6896062409422179E-5</v>
      </c>
    </row>
    <row r="50" spans="1:6" x14ac:dyDescent="0.2">
      <c r="A50" s="7" t="s">
        <v>325</v>
      </c>
      <c r="B50" s="7" t="s">
        <v>326</v>
      </c>
      <c r="C50" s="7" t="s">
        <v>32</v>
      </c>
      <c r="D50" s="13">
        <v>44170</v>
      </c>
      <c r="E50" s="12">
        <v>4.4169999999999999E-3</v>
      </c>
      <c r="F50" s="12">
        <v>7.6152967002467111E-6</v>
      </c>
    </row>
    <row r="51" spans="1:6" x14ac:dyDescent="0.2">
      <c r="A51" s="7" t="s">
        <v>322</v>
      </c>
      <c r="B51" s="7" t="s">
        <v>493</v>
      </c>
      <c r="C51" s="7" t="s">
        <v>76</v>
      </c>
      <c r="D51" s="13">
        <v>489000</v>
      </c>
      <c r="E51" s="12">
        <v>4.8899999999999999E-2</v>
      </c>
      <c r="F51" s="12">
        <v>8.4307903247014758E-5</v>
      </c>
    </row>
    <row r="52" spans="1:6" x14ac:dyDescent="0.2">
      <c r="A52" s="7" t="s">
        <v>322</v>
      </c>
      <c r="B52" s="7" t="s">
        <v>494</v>
      </c>
      <c r="C52" s="7" t="s">
        <v>76</v>
      </c>
      <c r="D52" s="13">
        <v>23815</v>
      </c>
      <c r="E52" s="12">
        <v>2.3814999999999999E-3</v>
      </c>
      <c r="F52" s="12">
        <v>4.1059155742896852E-6</v>
      </c>
    </row>
    <row r="53" spans="1:6" x14ac:dyDescent="0.2">
      <c r="A53" s="6" t="s">
        <v>39</v>
      </c>
      <c r="B53" s="7"/>
      <c r="C53" s="7"/>
      <c r="D53" s="13"/>
      <c r="E53" s="14">
        <f>SUM(E45:E52)</f>
        <v>606.08165550000001</v>
      </c>
      <c r="F53" s="14">
        <f>SUM(F45:F52)</f>
        <v>1.0449381098503994</v>
      </c>
    </row>
    <row r="54" spans="1:6" x14ac:dyDescent="0.2">
      <c r="A54" s="7"/>
      <c r="B54" s="7"/>
      <c r="C54" s="7"/>
      <c r="D54" s="13"/>
      <c r="E54" s="12"/>
      <c r="F54" s="12"/>
    </row>
    <row r="55" spans="1:6" x14ac:dyDescent="0.2">
      <c r="A55" s="6" t="s">
        <v>39</v>
      </c>
      <c r="B55" s="7"/>
      <c r="C55" s="7"/>
      <c r="D55" s="13"/>
      <c r="E55" s="14">
        <f>E42+E53</f>
        <v>54908.679854999995</v>
      </c>
      <c r="F55" s="14">
        <f>F42+F53</f>
        <v>94.66739608663903</v>
      </c>
    </row>
    <row r="56" spans="1:6" x14ac:dyDescent="0.2">
      <c r="A56" s="7"/>
      <c r="B56" s="7"/>
      <c r="C56" s="7"/>
      <c r="D56" s="13"/>
      <c r="E56" s="12"/>
      <c r="F56" s="12"/>
    </row>
    <row r="57" spans="1:6" x14ac:dyDescent="0.2">
      <c r="A57" s="6" t="s">
        <v>103</v>
      </c>
      <c r="B57" s="7"/>
      <c r="C57" s="7"/>
      <c r="D57" s="13"/>
      <c r="E57" s="14">
        <v>3092.9998412999998</v>
      </c>
      <c r="F57" s="14">
        <v>5.3326039133609893</v>
      </c>
    </row>
    <row r="58" spans="1:6" x14ac:dyDescent="0.2">
      <c r="A58" s="7"/>
      <c r="B58" s="7"/>
      <c r="C58" s="7"/>
      <c r="D58" s="13"/>
      <c r="E58" s="12"/>
      <c r="F58" s="12"/>
    </row>
    <row r="59" spans="1:6" x14ac:dyDescent="0.2">
      <c r="A59" s="8" t="s">
        <v>104</v>
      </c>
      <c r="B59" s="5"/>
      <c r="C59" s="5"/>
      <c r="D59" s="24"/>
      <c r="E59" s="15">
        <f>E55+E57</f>
        <v>58001.679696299994</v>
      </c>
      <c r="F59" s="15">
        <f>F55+F57</f>
        <v>100.00000000000001</v>
      </c>
    </row>
    <row r="61" spans="1:6" x14ac:dyDescent="0.2">
      <c r="A61" s="9" t="s">
        <v>105</v>
      </c>
    </row>
    <row r="62" spans="1:6" x14ac:dyDescent="0.2">
      <c r="A62" s="9" t="s">
        <v>106</v>
      </c>
    </row>
    <row r="63" spans="1:6" x14ac:dyDescent="0.2">
      <c r="A63" s="9" t="s">
        <v>107</v>
      </c>
    </row>
    <row r="64" spans="1:6" x14ac:dyDescent="0.2">
      <c r="A64" s="1" t="s">
        <v>719</v>
      </c>
      <c r="B64" s="10">
        <v>21.797499999999999</v>
      </c>
    </row>
    <row r="65" spans="1:4" x14ac:dyDescent="0.2">
      <c r="A65" s="1" t="s">
        <v>720</v>
      </c>
      <c r="B65" s="10">
        <v>77.449299999999994</v>
      </c>
    </row>
    <row r="66" spans="1:4" x14ac:dyDescent="0.2">
      <c r="A66" s="1" t="s">
        <v>721</v>
      </c>
      <c r="B66" s="10">
        <v>20.920999999999999</v>
      </c>
    </row>
    <row r="67" spans="1:4" x14ac:dyDescent="0.2">
      <c r="A67" s="1" t="s">
        <v>722</v>
      </c>
      <c r="B67" s="10">
        <v>74.796000000000006</v>
      </c>
    </row>
    <row r="69" spans="1:4" x14ac:dyDescent="0.2">
      <c r="A69" s="9" t="s">
        <v>108</v>
      </c>
    </row>
    <row r="70" spans="1:4" x14ac:dyDescent="0.2">
      <c r="A70" s="1" t="s">
        <v>719</v>
      </c>
      <c r="B70" s="10">
        <v>18.521799999999999</v>
      </c>
    </row>
    <row r="71" spans="1:4" x14ac:dyDescent="0.2">
      <c r="A71" s="1" t="s">
        <v>720</v>
      </c>
      <c r="B71" s="10">
        <v>72.150300000000001</v>
      </c>
    </row>
    <row r="72" spans="1:4" x14ac:dyDescent="0.2">
      <c r="A72" s="1" t="s">
        <v>721</v>
      </c>
      <c r="B72" s="10">
        <v>17.639399999999998</v>
      </c>
    </row>
    <row r="73" spans="1:4" x14ac:dyDescent="0.2">
      <c r="A73" s="1" t="s">
        <v>722</v>
      </c>
      <c r="B73" s="10">
        <v>69.434100000000001</v>
      </c>
    </row>
    <row r="75" spans="1:4" x14ac:dyDescent="0.2">
      <c r="A75" s="9" t="s">
        <v>109</v>
      </c>
      <c r="B75" s="11"/>
    </row>
    <row r="76" spans="1:4" x14ac:dyDescent="0.2">
      <c r="A76" s="41" t="s">
        <v>727</v>
      </c>
      <c r="B76" s="42"/>
      <c r="C76" s="57" t="s">
        <v>728</v>
      </c>
      <c r="D76" s="58"/>
    </row>
    <row r="77" spans="1:4" x14ac:dyDescent="0.2">
      <c r="A77" s="59"/>
      <c r="B77" s="60"/>
      <c r="C77" s="43" t="s">
        <v>729</v>
      </c>
      <c r="D77" s="43" t="s">
        <v>730</v>
      </c>
    </row>
    <row r="78" spans="1:4" x14ac:dyDescent="0.2">
      <c r="A78" s="44" t="s">
        <v>721</v>
      </c>
      <c r="B78" s="45"/>
      <c r="C78" s="46">
        <v>1.5494648225000001</v>
      </c>
      <c r="D78" s="46">
        <v>1.5494648225000001</v>
      </c>
    </row>
    <row r="79" spans="1:4" x14ac:dyDescent="0.2">
      <c r="A79" s="44" t="s">
        <v>719</v>
      </c>
      <c r="B79" s="45"/>
      <c r="C79" s="46">
        <v>1.5494648225000001</v>
      </c>
      <c r="D79" s="46">
        <v>1.5494648225000001</v>
      </c>
    </row>
    <row r="80" spans="1:4" x14ac:dyDescent="0.2">
      <c r="A80" s="47"/>
      <c r="B80" s="47"/>
      <c r="C80" s="48"/>
      <c r="D80" s="48"/>
    </row>
    <row r="81" spans="1:2" x14ac:dyDescent="0.2">
      <c r="A81" s="9" t="s">
        <v>111</v>
      </c>
      <c r="B81" s="40">
        <v>3.5533201853941342E-2</v>
      </c>
    </row>
  </sheetData>
  <mergeCells count="3">
    <mergeCell ref="C76:D76"/>
    <mergeCell ref="A77:B77"/>
    <mergeCell ref="A1:F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showGridLines="0" workbookViewId="0">
      <selection sqref="A1:E1"/>
    </sheetView>
  </sheetViews>
  <sheetFormatPr defaultColWidth="9.140625" defaultRowHeight="11.25" x14ac:dyDescent="0.2"/>
  <cols>
    <col min="1" max="1" width="49.42578125" style="1" customWidth="1"/>
    <col min="2" max="2" width="34" style="1" bestFit="1" customWidth="1"/>
    <col min="3" max="3" width="9.85546875" style="25" bestFit="1" customWidth="1"/>
    <col min="4" max="4" width="24" style="22" bestFit="1" customWidth="1"/>
    <col min="5" max="5" width="14.140625" style="22" bestFit="1" customWidth="1"/>
    <col min="6" max="16384" width="9.140625" style="2"/>
  </cols>
  <sheetData>
    <row r="1" spans="1:5" x14ac:dyDescent="0.2">
      <c r="A1" s="56" t="s">
        <v>480</v>
      </c>
      <c r="B1" s="56"/>
      <c r="C1" s="56"/>
      <c r="D1" s="56"/>
      <c r="E1" s="56"/>
    </row>
    <row r="3" spans="1:5" s="4" customFormat="1" x14ac:dyDescent="0.2">
      <c r="A3" s="3" t="s">
        <v>1</v>
      </c>
      <c r="B3" s="3" t="s">
        <v>2</v>
      </c>
      <c r="C3" s="23" t="s">
        <v>4</v>
      </c>
      <c r="D3" s="20" t="s">
        <v>5</v>
      </c>
      <c r="E3" s="20" t="s">
        <v>6</v>
      </c>
    </row>
    <row r="4" spans="1:5" x14ac:dyDescent="0.2">
      <c r="A4" s="5"/>
      <c r="B4" s="5"/>
      <c r="C4" s="24"/>
      <c r="D4" s="21"/>
      <c r="E4" s="21"/>
    </row>
    <row r="5" spans="1:5" x14ac:dyDescent="0.2">
      <c r="A5" s="6" t="s">
        <v>664</v>
      </c>
      <c r="B5" s="7"/>
      <c r="C5" s="13"/>
      <c r="D5" s="12"/>
      <c r="E5" s="12"/>
    </row>
    <row r="6" spans="1:5" x14ac:dyDescent="0.2">
      <c r="A6" s="7" t="s">
        <v>182</v>
      </c>
      <c r="B6" s="7" t="s">
        <v>667</v>
      </c>
      <c r="C6" s="13">
        <v>38485.33</v>
      </c>
      <c r="D6" s="12">
        <v>1547.2441984</v>
      </c>
      <c r="E6" s="12">
        <v>49.036091720219538</v>
      </c>
    </row>
    <row r="7" spans="1:5" x14ac:dyDescent="0.2">
      <c r="A7" s="7" t="s">
        <v>183</v>
      </c>
      <c r="B7" s="7" t="s">
        <v>668</v>
      </c>
      <c r="C7" s="13">
        <v>194439.66</v>
      </c>
      <c r="D7" s="12">
        <v>904.78663919999997</v>
      </c>
      <c r="E7" s="12">
        <v>28.674982703389908</v>
      </c>
    </row>
    <row r="8" spans="1:5" x14ac:dyDescent="0.2">
      <c r="A8" s="7" t="s">
        <v>666</v>
      </c>
      <c r="B8" s="7" t="s">
        <v>665</v>
      </c>
      <c r="C8" s="13">
        <v>24978</v>
      </c>
      <c r="D8" s="12">
        <v>674.0438190000001</v>
      </c>
      <c r="E8" s="12">
        <v>21.362157677573144</v>
      </c>
    </row>
    <row r="9" spans="1:5" x14ac:dyDescent="0.2">
      <c r="A9" s="6" t="s">
        <v>39</v>
      </c>
      <c r="B9" s="7"/>
      <c r="C9" s="13"/>
      <c r="D9" s="14">
        <f>SUM(D6:D8)</f>
        <v>3126.0746565999998</v>
      </c>
      <c r="E9" s="14">
        <f>SUM(E6:E8)</f>
        <v>99.073232101182583</v>
      </c>
    </row>
    <row r="10" spans="1:5" x14ac:dyDescent="0.2">
      <c r="A10" s="7"/>
      <c r="B10" s="7"/>
      <c r="C10" s="13"/>
      <c r="D10" s="12"/>
      <c r="E10" s="12"/>
    </row>
    <row r="11" spans="1:5" x14ac:dyDescent="0.2">
      <c r="A11" s="6" t="s">
        <v>39</v>
      </c>
      <c r="B11" s="7"/>
      <c r="C11" s="13"/>
      <c r="D11" s="14">
        <f>D9</f>
        <v>3126.0746565999998</v>
      </c>
      <c r="E11" s="14">
        <f>E9</f>
        <v>99.073232101182583</v>
      </c>
    </row>
    <row r="12" spans="1:5" x14ac:dyDescent="0.2">
      <c r="A12" s="7"/>
      <c r="B12" s="7"/>
      <c r="C12" s="13"/>
      <c r="D12" s="12"/>
      <c r="E12" s="12"/>
    </row>
    <row r="13" spans="1:5" x14ac:dyDescent="0.2">
      <c r="A13" s="6" t="s">
        <v>103</v>
      </c>
      <c r="B13" s="7"/>
      <c r="C13" s="13"/>
      <c r="D13" s="14">
        <v>29.242466199999999</v>
      </c>
      <c r="E13" s="14">
        <v>0.92676789881742538</v>
      </c>
    </row>
    <row r="14" spans="1:5" x14ac:dyDescent="0.2">
      <c r="A14" s="7"/>
      <c r="B14" s="7"/>
      <c r="C14" s="13"/>
      <c r="D14" s="12"/>
      <c r="E14" s="12"/>
    </row>
    <row r="15" spans="1:5" x14ac:dyDescent="0.2">
      <c r="A15" s="8" t="s">
        <v>104</v>
      </c>
      <c r="B15" s="5"/>
      <c r="C15" s="24"/>
      <c r="D15" s="15">
        <f>D11+D13</f>
        <v>3155.3171227999997</v>
      </c>
      <c r="E15" s="15">
        <f>E11+E13</f>
        <v>100.00000000000001</v>
      </c>
    </row>
    <row r="17" spans="1:2" x14ac:dyDescent="0.2">
      <c r="A17" s="9" t="s">
        <v>105</v>
      </c>
    </row>
    <row r="18" spans="1:2" x14ac:dyDescent="0.2">
      <c r="A18" s="9" t="s">
        <v>106</v>
      </c>
    </row>
    <row r="19" spans="1:2" x14ac:dyDescent="0.2">
      <c r="A19" s="9" t="s">
        <v>107</v>
      </c>
    </row>
    <row r="20" spans="1:2" x14ac:dyDescent="0.2">
      <c r="A20" s="1" t="s">
        <v>719</v>
      </c>
      <c r="B20" s="10">
        <v>12.832599999999999</v>
      </c>
    </row>
    <row r="21" spans="1:2" x14ac:dyDescent="0.2">
      <c r="A21" s="1" t="s">
        <v>720</v>
      </c>
      <c r="B21" s="10">
        <v>12.832599999999999</v>
      </c>
    </row>
    <row r="22" spans="1:2" x14ac:dyDescent="0.2">
      <c r="A22" s="1" t="s">
        <v>721</v>
      </c>
      <c r="B22" s="10">
        <v>12.113099999999999</v>
      </c>
    </row>
    <row r="23" spans="1:2" x14ac:dyDescent="0.2">
      <c r="A23" s="1" t="s">
        <v>722</v>
      </c>
      <c r="B23" s="10">
        <v>12.113099999999999</v>
      </c>
    </row>
    <row r="25" spans="1:2" x14ac:dyDescent="0.2">
      <c r="A25" s="9" t="s">
        <v>108</v>
      </c>
    </row>
    <row r="26" spans="1:2" x14ac:dyDescent="0.2">
      <c r="A26" s="1" t="s">
        <v>719</v>
      </c>
      <c r="B26" s="10">
        <v>12.6745</v>
      </c>
    </row>
    <row r="27" spans="1:2" x14ac:dyDescent="0.2">
      <c r="A27" s="1" t="s">
        <v>720</v>
      </c>
      <c r="B27" s="10">
        <v>12.6745</v>
      </c>
    </row>
    <row r="28" spans="1:2" x14ac:dyDescent="0.2">
      <c r="A28" s="1" t="s">
        <v>721</v>
      </c>
      <c r="B28" s="10">
        <v>11.905799999999999</v>
      </c>
    </row>
    <row r="29" spans="1:2" x14ac:dyDescent="0.2">
      <c r="A29" s="1" t="s">
        <v>722</v>
      </c>
      <c r="B29" s="10">
        <v>11.905799999999999</v>
      </c>
    </row>
    <row r="31" spans="1:2" x14ac:dyDescent="0.2">
      <c r="A31" s="9" t="s">
        <v>109</v>
      </c>
      <c r="B31" s="11" t="s">
        <v>110</v>
      </c>
    </row>
    <row r="32" spans="1:2" x14ac:dyDescent="0.2">
      <c r="A32" s="9"/>
      <c r="B32" s="11"/>
    </row>
    <row r="33" spans="1:2" x14ac:dyDescent="0.2">
      <c r="A33" s="9" t="s">
        <v>111</v>
      </c>
      <c r="B33" s="40">
        <v>0.45295753353809803</v>
      </c>
    </row>
  </sheetData>
  <mergeCells count="1">
    <mergeCell ref="A1:E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6.5703125" style="1" bestFit="1" customWidth="1"/>
    <col min="3" max="3" width="29.85546875" style="1" bestFit="1" customWidth="1"/>
    <col min="4" max="4" width="9.85546875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479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329</v>
      </c>
      <c r="B8" s="7" t="s">
        <v>330</v>
      </c>
      <c r="C8" s="7" t="s">
        <v>123</v>
      </c>
      <c r="D8" s="13">
        <v>217514</v>
      </c>
      <c r="E8" s="12">
        <v>2539.584707</v>
      </c>
      <c r="F8" s="12">
        <v>10.220654534860007</v>
      </c>
    </row>
    <row r="9" spans="1:6" x14ac:dyDescent="0.2">
      <c r="A9" s="7" t="s">
        <v>9</v>
      </c>
      <c r="B9" s="7" t="s">
        <v>10</v>
      </c>
      <c r="C9" s="7" t="s">
        <v>11</v>
      </c>
      <c r="D9" s="13">
        <v>119024</v>
      </c>
      <c r="E9" s="12">
        <v>2533.3663280000001</v>
      </c>
      <c r="F9" s="12">
        <v>10.195628433800788</v>
      </c>
    </row>
    <row r="10" spans="1:6" x14ac:dyDescent="0.2">
      <c r="A10" s="7" t="s">
        <v>413</v>
      </c>
      <c r="B10" s="7" t="s">
        <v>414</v>
      </c>
      <c r="C10" s="7" t="s">
        <v>32</v>
      </c>
      <c r="D10" s="13">
        <v>84557</v>
      </c>
      <c r="E10" s="12">
        <v>1681.8387299999999</v>
      </c>
      <c r="F10" s="12">
        <v>6.768623466386976</v>
      </c>
    </row>
    <row r="11" spans="1:6" x14ac:dyDescent="0.2">
      <c r="A11" s="7" t="s">
        <v>185</v>
      </c>
      <c r="B11" s="7" t="s">
        <v>186</v>
      </c>
      <c r="C11" s="7" t="s">
        <v>76</v>
      </c>
      <c r="D11" s="13">
        <v>227096</v>
      </c>
      <c r="E11" s="12">
        <v>1515.752252</v>
      </c>
      <c r="F11" s="12">
        <v>6.1002021651125293</v>
      </c>
    </row>
    <row r="12" spans="1:6" x14ac:dyDescent="0.2">
      <c r="A12" s="7" t="s">
        <v>216</v>
      </c>
      <c r="B12" s="7" t="s">
        <v>217</v>
      </c>
      <c r="C12" s="7" t="s">
        <v>79</v>
      </c>
      <c r="D12" s="13">
        <v>484980</v>
      </c>
      <c r="E12" s="12">
        <v>1386.07284</v>
      </c>
      <c r="F12" s="12">
        <v>5.5783024754969466</v>
      </c>
    </row>
    <row r="13" spans="1:6" x14ac:dyDescent="0.2">
      <c r="A13" s="7" t="s">
        <v>452</v>
      </c>
      <c r="B13" s="7" t="s">
        <v>453</v>
      </c>
      <c r="C13" s="7" t="s">
        <v>76</v>
      </c>
      <c r="D13" s="13">
        <v>66854</v>
      </c>
      <c r="E13" s="12">
        <v>1315.8538550000001</v>
      </c>
      <c r="F13" s="12">
        <v>5.2957035192599982</v>
      </c>
    </row>
    <row r="14" spans="1:6" x14ac:dyDescent="0.2">
      <c r="A14" s="7" t="s">
        <v>115</v>
      </c>
      <c r="B14" s="7" t="s">
        <v>116</v>
      </c>
      <c r="C14" s="7" t="s">
        <v>11</v>
      </c>
      <c r="D14" s="13">
        <v>306628</v>
      </c>
      <c r="E14" s="12">
        <v>1088.9893420000001</v>
      </c>
      <c r="F14" s="12">
        <v>4.3826787214648766</v>
      </c>
    </row>
    <row r="15" spans="1:6" x14ac:dyDescent="0.2">
      <c r="A15" s="7" t="s">
        <v>187</v>
      </c>
      <c r="B15" s="7" t="s">
        <v>188</v>
      </c>
      <c r="C15" s="7" t="s">
        <v>189</v>
      </c>
      <c r="D15" s="13">
        <v>65259</v>
      </c>
      <c r="E15" s="12">
        <v>934.83517500000005</v>
      </c>
      <c r="F15" s="12">
        <v>3.7622794563120663</v>
      </c>
    </row>
    <row r="16" spans="1:6" x14ac:dyDescent="0.2">
      <c r="A16" s="7" t="s">
        <v>192</v>
      </c>
      <c r="B16" s="7" t="s">
        <v>193</v>
      </c>
      <c r="C16" s="7" t="s">
        <v>11</v>
      </c>
      <c r="D16" s="13">
        <v>73683</v>
      </c>
      <c r="E16" s="12">
        <v>909.21137850000002</v>
      </c>
      <c r="F16" s="12">
        <v>3.6591555198762435</v>
      </c>
    </row>
    <row r="17" spans="1:6" x14ac:dyDescent="0.2">
      <c r="A17" s="7" t="s">
        <v>454</v>
      </c>
      <c r="B17" s="7" t="s">
        <v>455</v>
      </c>
      <c r="C17" s="7" t="s">
        <v>79</v>
      </c>
      <c r="D17" s="13">
        <v>38703</v>
      </c>
      <c r="E17" s="12">
        <v>678.85062000000005</v>
      </c>
      <c r="F17" s="12">
        <v>2.7320599500662874</v>
      </c>
    </row>
    <row r="18" spans="1:6" x14ac:dyDescent="0.2">
      <c r="A18" s="7" t="s">
        <v>117</v>
      </c>
      <c r="B18" s="7" t="s">
        <v>118</v>
      </c>
      <c r="C18" s="7" t="s">
        <v>11</v>
      </c>
      <c r="D18" s="13">
        <v>95472</v>
      </c>
      <c r="E18" s="12">
        <v>597.41603999999995</v>
      </c>
      <c r="F18" s="12">
        <v>2.4043234083091782</v>
      </c>
    </row>
    <row r="19" spans="1:6" x14ac:dyDescent="0.2">
      <c r="A19" s="7" t="s">
        <v>284</v>
      </c>
      <c r="B19" s="7" t="s">
        <v>285</v>
      </c>
      <c r="C19" s="7" t="s">
        <v>35</v>
      </c>
      <c r="D19" s="13">
        <v>7690</v>
      </c>
      <c r="E19" s="12">
        <v>589.17704000000003</v>
      </c>
      <c r="F19" s="12">
        <v>2.3711652417472981</v>
      </c>
    </row>
    <row r="20" spans="1:6" x14ac:dyDescent="0.2">
      <c r="A20" s="7" t="s">
        <v>113</v>
      </c>
      <c r="B20" s="7" t="s">
        <v>114</v>
      </c>
      <c r="C20" s="7" t="s">
        <v>11</v>
      </c>
      <c r="D20" s="13">
        <v>191444</v>
      </c>
      <c r="E20" s="12">
        <v>544.94534599999997</v>
      </c>
      <c r="F20" s="12">
        <v>2.1931531192850873</v>
      </c>
    </row>
    <row r="21" spans="1:6" x14ac:dyDescent="0.2">
      <c r="A21" s="7" t="s">
        <v>456</v>
      </c>
      <c r="B21" s="7" t="s">
        <v>457</v>
      </c>
      <c r="C21" s="7" t="s">
        <v>11</v>
      </c>
      <c r="D21" s="13">
        <v>30432</v>
      </c>
      <c r="E21" s="12">
        <v>496.58937600000002</v>
      </c>
      <c r="F21" s="12">
        <v>1.9985426923496201</v>
      </c>
    </row>
    <row r="22" spans="1:6" x14ac:dyDescent="0.2">
      <c r="A22" s="7" t="s">
        <v>190</v>
      </c>
      <c r="B22" s="7" t="s">
        <v>191</v>
      </c>
      <c r="C22" s="7" t="s">
        <v>35</v>
      </c>
      <c r="D22" s="13">
        <v>56965</v>
      </c>
      <c r="E22" s="12">
        <v>450.53618499999999</v>
      </c>
      <c r="F22" s="12">
        <v>1.8131998864406362</v>
      </c>
    </row>
    <row r="23" spans="1:6" x14ac:dyDescent="0.2">
      <c r="A23" s="7" t="s">
        <v>458</v>
      </c>
      <c r="B23" s="7" t="s">
        <v>459</v>
      </c>
      <c r="C23" s="7" t="s">
        <v>79</v>
      </c>
      <c r="D23" s="13">
        <v>25465</v>
      </c>
      <c r="E23" s="12">
        <v>342.74616750000001</v>
      </c>
      <c r="F23" s="12">
        <v>1.3793948914202381</v>
      </c>
    </row>
    <row r="24" spans="1:6" x14ac:dyDescent="0.2">
      <c r="A24" s="7" t="s">
        <v>196</v>
      </c>
      <c r="B24" s="7" t="s">
        <v>197</v>
      </c>
      <c r="C24" s="7" t="s">
        <v>76</v>
      </c>
      <c r="D24" s="13">
        <v>33069</v>
      </c>
      <c r="E24" s="12">
        <v>335.65035</v>
      </c>
      <c r="F24" s="12">
        <v>1.3508375059902453</v>
      </c>
    </row>
    <row r="25" spans="1:6" x14ac:dyDescent="0.2">
      <c r="A25" s="7" t="s">
        <v>218</v>
      </c>
      <c r="B25" s="7" t="s">
        <v>219</v>
      </c>
      <c r="C25" s="7" t="s">
        <v>150</v>
      </c>
      <c r="D25" s="13">
        <v>66500</v>
      </c>
      <c r="E25" s="12">
        <v>327.57900000000001</v>
      </c>
      <c r="F25" s="12">
        <v>1.3183540531829585</v>
      </c>
    </row>
    <row r="26" spans="1:6" x14ac:dyDescent="0.2">
      <c r="A26" s="7" t="s">
        <v>409</v>
      </c>
      <c r="B26" s="7" t="s">
        <v>410</v>
      </c>
      <c r="C26" s="7" t="s">
        <v>32</v>
      </c>
      <c r="D26" s="13">
        <v>12039</v>
      </c>
      <c r="E26" s="12">
        <v>305.51370300000002</v>
      </c>
      <c r="F26" s="12">
        <v>1.2295514323353591</v>
      </c>
    </row>
    <row r="27" spans="1:6" x14ac:dyDescent="0.2">
      <c r="A27" s="7" t="s">
        <v>119</v>
      </c>
      <c r="B27" s="7" t="s">
        <v>120</v>
      </c>
      <c r="C27" s="7" t="s">
        <v>29</v>
      </c>
      <c r="D27" s="13">
        <v>84871</v>
      </c>
      <c r="E27" s="12">
        <v>266.07058499999999</v>
      </c>
      <c r="F27" s="12">
        <v>1.0708111147769266</v>
      </c>
    </row>
    <row r="28" spans="1:6" x14ac:dyDescent="0.2">
      <c r="A28" s="7" t="s">
        <v>200</v>
      </c>
      <c r="B28" s="7" t="s">
        <v>201</v>
      </c>
      <c r="C28" s="7" t="s">
        <v>76</v>
      </c>
      <c r="D28" s="13">
        <v>37021</v>
      </c>
      <c r="E28" s="12">
        <v>261.34974949999997</v>
      </c>
      <c r="F28" s="12">
        <v>1.0518119340729284</v>
      </c>
    </row>
    <row r="29" spans="1:6" x14ac:dyDescent="0.2">
      <c r="A29" s="7" t="s">
        <v>128</v>
      </c>
      <c r="B29" s="7" t="s">
        <v>129</v>
      </c>
      <c r="C29" s="7" t="s">
        <v>130</v>
      </c>
      <c r="D29" s="13">
        <v>182022</v>
      </c>
      <c r="E29" s="12">
        <v>255.37686600000001</v>
      </c>
      <c r="F29" s="12">
        <v>1.0277738389220958</v>
      </c>
    </row>
    <row r="30" spans="1:6" x14ac:dyDescent="0.2">
      <c r="A30" s="7" t="s">
        <v>126</v>
      </c>
      <c r="B30" s="7" t="s">
        <v>127</v>
      </c>
      <c r="C30" s="7" t="s">
        <v>52</v>
      </c>
      <c r="D30" s="13">
        <v>6291</v>
      </c>
      <c r="E30" s="12">
        <v>251.61798150000001</v>
      </c>
      <c r="F30" s="12">
        <v>1.0126460663358752</v>
      </c>
    </row>
    <row r="31" spans="1:6" x14ac:dyDescent="0.2">
      <c r="A31" s="7" t="s">
        <v>358</v>
      </c>
      <c r="B31" s="7" t="s">
        <v>359</v>
      </c>
      <c r="C31" s="7" t="s">
        <v>360</v>
      </c>
      <c r="D31" s="13">
        <v>172100</v>
      </c>
      <c r="E31" s="12">
        <v>241.4563</v>
      </c>
      <c r="F31" s="12">
        <v>0.9717499954867691</v>
      </c>
    </row>
    <row r="32" spans="1:6" x14ac:dyDescent="0.2">
      <c r="A32" s="7" t="s">
        <v>222</v>
      </c>
      <c r="B32" s="7" t="s">
        <v>223</v>
      </c>
      <c r="C32" s="7" t="s">
        <v>224</v>
      </c>
      <c r="D32" s="13">
        <v>43944</v>
      </c>
      <c r="E32" s="12">
        <v>232.68348</v>
      </c>
      <c r="F32" s="12">
        <v>0.93644345018061548</v>
      </c>
    </row>
    <row r="33" spans="1:6" x14ac:dyDescent="0.2">
      <c r="A33" s="7" t="s">
        <v>166</v>
      </c>
      <c r="B33" s="7" t="s">
        <v>167</v>
      </c>
      <c r="C33" s="7" t="s">
        <v>130</v>
      </c>
      <c r="D33" s="13">
        <v>129080</v>
      </c>
      <c r="E33" s="12">
        <v>232.53762</v>
      </c>
      <c r="F33" s="12">
        <v>0.93585643110369898</v>
      </c>
    </row>
    <row r="34" spans="1:6" x14ac:dyDescent="0.2">
      <c r="A34" s="7" t="s">
        <v>138</v>
      </c>
      <c r="B34" s="7" t="s">
        <v>139</v>
      </c>
      <c r="C34" s="7" t="s">
        <v>35</v>
      </c>
      <c r="D34" s="13">
        <v>7562</v>
      </c>
      <c r="E34" s="12">
        <v>231.03422399999999</v>
      </c>
      <c r="F34" s="12">
        <v>0.92980595714126835</v>
      </c>
    </row>
    <row r="35" spans="1:6" x14ac:dyDescent="0.2">
      <c r="A35" s="7" t="s">
        <v>238</v>
      </c>
      <c r="B35" s="7" t="s">
        <v>239</v>
      </c>
      <c r="C35" s="7" t="s">
        <v>52</v>
      </c>
      <c r="D35" s="13">
        <v>25978</v>
      </c>
      <c r="E35" s="12">
        <v>225.034425</v>
      </c>
      <c r="F35" s="12">
        <v>0.90565953954449607</v>
      </c>
    </row>
    <row r="36" spans="1:6" x14ac:dyDescent="0.2">
      <c r="A36" s="7" t="s">
        <v>460</v>
      </c>
      <c r="B36" s="7" t="s">
        <v>461</v>
      </c>
      <c r="C36" s="7" t="s">
        <v>32</v>
      </c>
      <c r="D36" s="13">
        <v>3574</v>
      </c>
      <c r="E36" s="12">
        <v>214.238069</v>
      </c>
      <c r="F36" s="12">
        <v>0.86220919720812472</v>
      </c>
    </row>
    <row r="37" spans="1:6" x14ac:dyDescent="0.2">
      <c r="A37" s="7" t="s">
        <v>204</v>
      </c>
      <c r="B37" s="7" t="s">
        <v>205</v>
      </c>
      <c r="C37" s="7" t="s">
        <v>35</v>
      </c>
      <c r="D37" s="13">
        <v>7788</v>
      </c>
      <c r="E37" s="12">
        <v>213.835116</v>
      </c>
      <c r="F37" s="12">
        <v>0.8605874976462109</v>
      </c>
    </row>
    <row r="38" spans="1:6" x14ac:dyDescent="0.2">
      <c r="A38" s="7" t="s">
        <v>347</v>
      </c>
      <c r="B38" s="7" t="s">
        <v>348</v>
      </c>
      <c r="C38" s="7" t="s">
        <v>20</v>
      </c>
      <c r="D38" s="13">
        <v>108198</v>
      </c>
      <c r="E38" s="12">
        <v>211.90578300000001</v>
      </c>
      <c r="F38" s="12">
        <v>0.85282282414610966</v>
      </c>
    </row>
    <row r="39" spans="1:6" x14ac:dyDescent="0.2">
      <c r="A39" s="7" t="s">
        <v>33</v>
      </c>
      <c r="B39" s="7" t="s">
        <v>34</v>
      </c>
      <c r="C39" s="7" t="s">
        <v>35</v>
      </c>
      <c r="D39" s="13">
        <v>119116</v>
      </c>
      <c r="E39" s="12">
        <v>204.819962</v>
      </c>
      <c r="F39" s="12">
        <v>0.82430567000778299</v>
      </c>
    </row>
    <row r="40" spans="1:6" x14ac:dyDescent="0.2">
      <c r="A40" s="7" t="s">
        <v>462</v>
      </c>
      <c r="B40" s="7" t="s">
        <v>463</v>
      </c>
      <c r="C40" s="7" t="s">
        <v>224</v>
      </c>
      <c r="D40" s="13">
        <v>64311</v>
      </c>
      <c r="E40" s="12">
        <v>202.0973175</v>
      </c>
      <c r="F40" s="12">
        <v>0.8133482844246066</v>
      </c>
    </row>
    <row r="41" spans="1:6" x14ac:dyDescent="0.2">
      <c r="A41" s="7" t="s">
        <v>464</v>
      </c>
      <c r="B41" s="7" t="s">
        <v>465</v>
      </c>
      <c r="C41" s="7" t="s">
        <v>76</v>
      </c>
      <c r="D41" s="13">
        <v>62050</v>
      </c>
      <c r="E41" s="12">
        <v>201.445325</v>
      </c>
      <c r="F41" s="12">
        <v>0.81072431599250372</v>
      </c>
    </row>
    <row r="42" spans="1:6" x14ac:dyDescent="0.2">
      <c r="A42" s="7" t="s">
        <v>403</v>
      </c>
      <c r="B42" s="7" t="s">
        <v>404</v>
      </c>
      <c r="C42" s="7" t="s">
        <v>95</v>
      </c>
      <c r="D42" s="13">
        <v>21602</v>
      </c>
      <c r="E42" s="12">
        <v>200.272142</v>
      </c>
      <c r="F42" s="12">
        <v>0.80600279671570219</v>
      </c>
    </row>
    <row r="43" spans="1:6" x14ac:dyDescent="0.2">
      <c r="A43" s="7" t="s">
        <v>342</v>
      </c>
      <c r="B43" s="7" t="s">
        <v>343</v>
      </c>
      <c r="C43" s="7" t="s">
        <v>344</v>
      </c>
      <c r="D43" s="13">
        <v>78849</v>
      </c>
      <c r="E43" s="12">
        <v>193.101201</v>
      </c>
      <c r="F43" s="12">
        <v>0.77714307392368598</v>
      </c>
    </row>
    <row r="44" spans="1:6" x14ac:dyDescent="0.2">
      <c r="A44" s="7" t="s">
        <v>466</v>
      </c>
      <c r="B44" s="7" t="s">
        <v>467</v>
      </c>
      <c r="C44" s="7" t="s">
        <v>35</v>
      </c>
      <c r="D44" s="13">
        <v>817</v>
      </c>
      <c r="E44" s="12">
        <v>191.22130100000001</v>
      </c>
      <c r="F44" s="12">
        <v>0.76957734539841849</v>
      </c>
    </row>
    <row r="45" spans="1:6" x14ac:dyDescent="0.2">
      <c r="A45" s="7" t="s">
        <v>194</v>
      </c>
      <c r="B45" s="7" t="s">
        <v>195</v>
      </c>
      <c r="C45" s="7" t="s">
        <v>150</v>
      </c>
      <c r="D45" s="13">
        <v>6949</v>
      </c>
      <c r="E45" s="12">
        <v>189.16567800000001</v>
      </c>
      <c r="F45" s="12">
        <v>0.76130441302526231</v>
      </c>
    </row>
    <row r="46" spans="1:6" x14ac:dyDescent="0.2">
      <c r="A46" s="7" t="s">
        <v>18</v>
      </c>
      <c r="B46" s="7" t="s">
        <v>19</v>
      </c>
      <c r="C46" s="7" t="s">
        <v>20</v>
      </c>
      <c r="D46" s="13">
        <v>81043</v>
      </c>
      <c r="E46" s="12">
        <v>183.319266</v>
      </c>
      <c r="F46" s="12">
        <v>0.73777530720108708</v>
      </c>
    </row>
    <row r="47" spans="1:6" x14ac:dyDescent="0.2">
      <c r="A47" s="7" t="s">
        <v>133</v>
      </c>
      <c r="B47" s="7" t="s">
        <v>134</v>
      </c>
      <c r="C47" s="7" t="s">
        <v>135</v>
      </c>
      <c r="D47" s="13">
        <v>50428</v>
      </c>
      <c r="E47" s="12">
        <v>172.99325400000001</v>
      </c>
      <c r="F47" s="12">
        <v>0.69621788205046431</v>
      </c>
    </row>
    <row r="48" spans="1:6" x14ac:dyDescent="0.2">
      <c r="A48" s="7" t="s">
        <v>124</v>
      </c>
      <c r="B48" s="7" t="s">
        <v>125</v>
      </c>
      <c r="C48" s="7" t="s">
        <v>123</v>
      </c>
      <c r="D48" s="13">
        <v>52291</v>
      </c>
      <c r="E48" s="12">
        <v>169.63200399999999</v>
      </c>
      <c r="F48" s="12">
        <v>0.6826904045221085</v>
      </c>
    </row>
    <row r="49" spans="1:6" x14ac:dyDescent="0.2">
      <c r="A49" s="7" t="s">
        <v>212</v>
      </c>
      <c r="B49" s="7" t="s">
        <v>213</v>
      </c>
      <c r="C49" s="7" t="s">
        <v>11</v>
      </c>
      <c r="D49" s="13">
        <v>98411</v>
      </c>
      <c r="E49" s="12">
        <v>167.101878</v>
      </c>
      <c r="F49" s="12">
        <v>0.67250781691068173</v>
      </c>
    </row>
    <row r="50" spans="1:6" x14ac:dyDescent="0.2">
      <c r="A50" s="7" t="s">
        <v>468</v>
      </c>
      <c r="B50" s="7" t="s">
        <v>469</v>
      </c>
      <c r="C50" s="7" t="s">
        <v>150</v>
      </c>
      <c r="D50" s="13">
        <v>30088</v>
      </c>
      <c r="E50" s="12">
        <v>162.73094800000001</v>
      </c>
      <c r="F50" s="12">
        <v>0.65491684410204942</v>
      </c>
    </row>
    <row r="51" spans="1:6" x14ac:dyDescent="0.2">
      <c r="A51" s="7" t="s">
        <v>121</v>
      </c>
      <c r="B51" s="7" t="s">
        <v>122</v>
      </c>
      <c r="C51" s="7" t="s">
        <v>123</v>
      </c>
      <c r="D51" s="13">
        <v>120371</v>
      </c>
      <c r="E51" s="12">
        <v>162.01936599999999</v>
      </c>
      <c r="F51" s="12">
        <v>0.652053055477406</v>
      </c>
    </row>
    <row r="52" spans="1:6" x14ac:dyDescent="0.2">
      <c r="A52" s="7" t="s">
        <v>470</v>
      </c>
      <c r="B52" s="7" t="s">
        <v>471</v>
      </c>
      <c r="C52" s="7" t="s">
        <v>159</v>
      </c>
      <c r="D52" s="13">
        <v>43307</v>
      </c>
      <c r="E52" s="12">
        <v>158.3520455</v>
      </c>
      <c r="F52" s="12">
        <v>0.63729378566616679</v>
      </c>
    </row>
    <row r="53" spans="1:6" x14ac:dyDescent="0.2">
      <c r="A53" s="7" t="s">
        <v>472</v>
      </c>
      <c r="B53" s="7" t="s">
        <v>473</v>
      </c>
      <c r="C53" s="7" t="s">
        <v>65</v>
      </c>
      <c r="D53" s="13">
        <v>30775</v>
      </c>
      <c r="E53" s="12">
        <v>150.36664999999999</v>
      </c>
      <c r="F53" s="12">
        <v>0.60515625998932554</v>
      </c>
    </row>
    <row r="54" spans="1:6" x14ac:dyDescent="0.2">
      <c r="A54" s="7" t="s">
        <v>474</v>
      </c>
      <c r="B54" s="7" t="s">
        <v>475</v>
      </c>
      <c r="C54" s="7" t="s">
        <v>307</v>
      </c>
      <c r="D54" s="13">
        <v>19315</v>
      </c>
      <c r="E54" s="12">
        <v>146.36906999999999</v>
      </c>
      <c r="F54" s="12">
        <v>0.58906784835145154</v>
      </c>
    </row>
    <row r="55" spans="1:6" x14ac:dyDescent="0.2">
      <c r="A55" s="7" t="s">
        <v>415</v>
      </c>
      <c r="B55" s="7" t="s">
        <v>416</v>
      </c>
      <c r="C55" s="7" t="s">
        <v>32</v>
      </c>
      <c r="D55" s="13">
        <v>19615</v>
      </c>
      <c r="E55" s="12">
        <v>140.36493999999999</v>
      </c>
      <c r="F55" s="12">
        <v>0.56490400048166323</v>
      </c>
    </row>
    <row r="56" spans="1:6" x14ac:dyDescent="0.2">
      <c r="A56" s="7" t="s">
        <v>476</v>
      </c>
      <c r="B56" s="7" t="s">
        <v>477</v>
      </c>
      <c r="C56" s="7" t="s">
        <v>478</v>
      </c>
      <c r="D56" s="13">
        <v>47549</v>
      </c>
      <c r="E56" s="12">
        <v>122.0820575</v>
      </c>
      <c r="F56" s="12">
        <v>0.49132384959365527</v>
      </c>
    </row>
    <row r="57" spans="1:6" x14ac:dyDescent="0.2">
      <c r="A57" s="7" t="s">
        <v>278</v>
      </c>
      <c r="B57" s="7" t="s">
        <v>279</v>
      </c>
      <c r="C57" s="7" t="s">
        <v>123</v>
      </c>
      <c r="D57" s="13">
        <v>42399</v>
      </c>
      <c r="E57" s="12">
        <v>98.514076500000002</v>
      </c>
      <c r="F57" s="12">
        <v>0.39647362025450666</v>
      </c>
    </row>
    <row r="58" spans="1:6" x14ac:dyDescent="0.2">
      <c r="A58" s="6" t="s">
        <v>39</v>
      </c>
      <c r="B58" s="7"/>
      <c r="C58" s="7"/>
      <c r="D58" s="13"/>
      <c r="E58" s="14">
        <f>SUM(E8:E57)</f>
        <v>24627.617116000012</v>
      </c>
      <c r="F58" s="14">
        <f>SUM(F8:F57)</f>
        <v>99.114774894351015</v>
      </c>
    </row>
    <row r="59" spans="1:6" x14ac:dyDescent="0.2">
      <c r="A59" s="7"/>
      <c r="B59" s="7"/>
      <c r="C59" s="7"/>
      <c r="D59" s="13"/>
      <c r="E59" s="12"/>
      <c r="F59" s="12"/>
    </row>
    <row r="60" spans="1:6" x14ac:dyDescent="0.2">
      <c r="A60" s="6" t="s">
        <v>39</v>
      </c>
      <c r="B60" s="7"/>
      <c r="C60" s="7"/>
      <c r="D60" s="13"/>
      <c r="E60" s="14">
        <f>E58</f>
        <v>24627.617116000012</v>
      </c>
      <c r="F60" s="14">
        <f>F58</f>
        <v>99.114774894351015</v>
      </c>
    </row>
    <row r="61" spans="1:6" x14ac:dyDescent="0.2">
      <c r="A61" s="7"/>
      <c r="B61" s="7"/>
      <c r="C61" s="7"/>
      <c r="D61" s="13"/>
      <c r="E61" s="12"/>
      <c r="F61" s="12"/>
    </row>
    <row r="62" spans="1:6" x14ac:dyDescent="0.2">
      <c r="A62" s="6" t="s">
        <v>103</v>
      </c>
      <c r="B62" s="7"/>
      <c r="C62" s="7"/>
      <c r="D62" s="13"/>
      <c r="E62" s="14">
        <v>219.95696390000001</v>
      </c>
      <c r="F62" s="14">
        <v>0.89</v>
      </c>
    </row>
    <row r="63" spans="1:6" x14ac:dyDescent="0.2">
      <c r="A63" s="7"/>
      <c r="B63" s="7"/>
      <c r="C63" s="7"/>
      <c r="D63" s="13"/>
      <c r="E63" s="12"/>
      <c r="F63" s="12"/>
    </row>
    <row r="64" spans="1:6" x14ac:dyDescent="0.2">
      <c r="A64" s="8" t="s">
        <v>104</v>
      </c>
      <c r="B64" s="5"/>
      <c r="C64" s="5"/>
      <c r="D64" s="24"/>
      <c r="E64" s="15">
        <f>E60+E62</f>
        <v>24847.574079900012</v>
      </c>
      <c r="F64" s="15">
        <f>F60+F62</f>
        <v>100.00477489435102</v>
      </c>
    </row>
    <row r="66" spans="1:2" x14ac:dyDescent="0.2">
      <c r="A66" s="9" t="s">
        <v>105</v>
      </c>
    </row>
    <row r="67" spans="1:2" x14ac:dyDescent="0.2">
      <c r="A67" s="9" t="s">
        <v>106</v>
      </c>
    </row>
    <row r="68" spans="1:2" x14ac:dyDescent="0.2">
      <c r="A68" s="9" t="s">
        <v>107</v>
      </c>
    </row>
    <row r="69" spans="1:2" x14ac:dyDescent="0.2">
      <c r="A69" s="1" t="s">
        <v>719</v>
      </c>
      <c r="B69" s="10">
        <v>86.527000000000001</v>
      </c>
    </row>
    <row r="70" spans="1:2" x14ac:dyDescent="0.2">
      <c r="A70" s="1" t="s">
        <v>720</v>
      </c>
      <c r="B70" s="10">
        <v>86.527000000000001</v>
      </c>
    </row>
    <row r="71" spans="1:2" x14ac:dyDescent="0.2">
      <c r="A71" s="1" t="s">
        <v>721</v>
      </c>
      <c r="B71" s="10">
        <v>84.810900000000004</v>
      </c>
    </row>
    <row r="72" spans="1:2" x14ac:dyDescent="0.2">
      <c r="A72" s="1" t="s">
        <v>722</v>
      </c>
      <c r="B72" s="10">
        <v>84.810900000000004</v>
      </c>
    </row>
    <row r="74" spans="1:2" x14ac:dyDescent="0.2">
      <c r="A74" s="9" t="s">
        <v>108</v>
      </c>
    </row>
    <row r="75" spans="1:2" x14ac:dyDescent="0.2">
      <c r="A75" s="1" t="s">
        <v>719</v>
      </c>
      <c r="B75" s="10">
        <v>87.953500000000005</v>
      </c>
    </row>
    <row r="76" spans="1:2" x14ac:dyDescent="0.2">
      <c r="A76" s="1" t="s">
        <v>720</v>
      </c>
      <c r="B76" s="10">
        <v>87.953500000000005</v>
      </c>
    </row>
    <row r="77" spans="1:2" x14ac:dyDescent="0.2">
      <c r="A77" s="1" t="s">
        <v>721</v>
      </c>
      <c r="B77" s="10">
        <v>86.027000000000001</v>
      </c>
    </row>
    <row r="78" spans="1:2" x14ac:dyDescent="0.2">
      <c r="A78" s="1" t="s">
        <v>722</v>
      </c>
      <c r="B78" s="10">
        <v>86.027000000000001</v>
      </c>
    </row>
    <row r="80" spans="1:2" x14ac:dyDescent="0.2">
      <c r="A80" s="9" t="s">
        <v>109</v>
      </c>
      <c r="B80" s="11" t="s">
        <v>110</v>
      </c>
    </row>
    <row r="82" spans="1:2" x14ac:dyDescent="0.2">
      <c r="A82" s="9" t="s">
        <v>111</v>
      </c>
      <c r="B82" s="40">
        <v>8.7042371724979709E-2</v>
      </c>
    </row>
  </sheetData>
  <mergeCells count="1">
    <mergeCell ref="A1:F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showGridLines="0" workbookViewId="0">
      <selection sqref="A1:E1"/>
    </sheetView>
  </sheetViews>
  <sheetFormatPr defaultColWidth="9.140625" defaultRowHeight="11.25" x14ac:dyDescent="0.2"/>
  <cols>
    <col min="1" max="1" width="49.42578125" style="1" customWidth="1"/>
    <col min="2" max="2" width="20.28515625" style="1" bestFit="1" customWidth="1"/>
    <col min="3" max="3" width="11.140625" style="25" bestFit="1" customWidth="1"/>
    <col min="4" max="4" width="24" style="32" bestFit="1" customWidth="1"/>
    <col min="5" max="5" width="14.140625" style="32" bestFit="1" customWidth="1"/>
    <col min="6" max="16384" width="9.140625" style="2"/>
  </cols>
  <sheetData>
    <row r="1" spans="1:5" x14ac:dyDescent="0.2">
      <c r="A1" s="56" t="s">
        <v>451</v>
      </c>
      <c r="B1" s="56"/>
      <c r="C1" s="56"/>
      <c r="D1" s="56"/>
      <c r="E1" s="56"/>
    </row>
    <row r="3" spans="1:5" s="4" customFormat="1" x14ac:dyDescent="0.2">
      <c r="A3" s="3" t="s">
        <v>1</v>
      </c>
      <c r="B3" s="3" t="s">
        <v>2</v>
      </c>
      <c r="C3" s="23" t="s">
        <v>4</v>
      </c>
      <c r="D3" s="33" t="s">
        <v>5</v>
      </c>
      <c r="E3" s="33" t="s">
        <v>6</v>
      </c>
    </row>
    <row r="4" spans="1:5" x14ac:dyDescent="0.2">
      <c r="A4" s="5"/>
      <c r="B4" s="5"/>
      <c r="C4" s="24"/>
      <c r="D4" s="34"/>
      <c r="E4" s="34"/>
    </row>
    <row r="5" spans="1:5" x14ac:dyDescent="0.2">
      <c r="A5" s="6" t="s">
        <v>648</v>
      </c>
      <c r="B5" s="7"/>
      <c r="C5" s="13"/>
      <c r="D5" s="16"/>
      <c r="E5" s="16"/>
    </row>
    <row r="6" spans="1:5" x14ac:dyDescent="0.2">
      <c r="A6" s="7" t="s">
        <v>450</v>
      </c>
      <c r="B6" s="7" t="s">
        <v>669</v>
      </c>
      <c r="C6" s="13">
        <v>6519555.5700000003</v>
      </c>
      <c r="D6" s="16">
        <v>2220.7366538000001</v>
      </c>
      <c r="E6" s="16">
        <v>79.346557947514682</v>
      </c>
    </row>
    <row r="7" spans="1:5" x14ac:dyDescent="0.2">
      <c r="A7" s="7" t="s">
        <v>183</v>
      </c>
      <c r="B7" s="7" t="s">
        <v>668</v>
      </c>
      <c r="C7" s="13">
        <v>89960.38</v>
      </c>
      <c r="D7" s="16">
        <v>418.6129201</v>
      </c>
      <c r="E7" s="16">
        <v>14.956971266924645</v>
      </c>
    </row>
    <row r="8" spans="1:5" x14ac:dyDescent="0.2">
      <c r="A8" s="7" t="s">
        <v>442</v>
      </c>
      <c r="B8" s="7" t="s">
        <v>670</v>
      </c>
      <c r="C8" s="13">
        <v>56181.45</v>
      </c>
      <c r="D8" s="16">
        <v>141.25870269999999</v>
      </c>
      <c r="E8" s="16">
        <v>5.0471503769693387</v>
      </c>
    </row>
    <row r="9" spans="1:5" x14ac:dyDescent="0.2">
      <c r="A9" s="6" t="s">
        <v>39</v>
      </c>
      <c r="B9" s="7"/>
      <c r="C9" s="13"/>
      <c r="D9" s="17">
        <f>SUM(D6:D8)</f>
        <v>2780.6082766</v>
      </c>
      <c r="E9" s="17">
        <f>SUM(E6:E8)</f>
        <v>99.350679591408664</v>
      </c>
    </row>
    <row r="10" spans="1:5" x14ac:dyDescent="0.2">
      <c r="A10" s="7"/>
      <c r="B10" s="7"/>
      <c r="C10" s="13"/>
      <c r="D10" s="16"/>
      <c r="E10" s="16"/>
    </row>
    <row r="11" spans="1:5" x14ac:dyDescent="0.2">
      <c r="A11" s="6" t="s">
        <v>39</v>
      </c>
      <c r="B11" s="7"/>
      <c r="C11" s="13"/>
      <c r="D11" s="17">
        <v>2780.6082766</v>
      </c>
      <c r="E11" s="17">
        <v>99.350679591408664</v>
      </c>
    </row>
    <row r="12" spans="1:5" x14ac:dyDescent="0.2">
      <c r="A12" s="7"/>
      <c r="B12" s="7"/>
      <c r="C12" s="13"/>
      <c r="D12" s="16"/>
      <c r="E12" s="16"/>
    </row>
    <row r="13" spans="1:5" x14ac:dyDescent="0.2">
      <c r="A13" s="6" t="s">
        <v>103</v>
      </c>
      <c r="B13" s="7"/>
      <c r="C13" s="13"/>
      <c r="D13" s="17">
        <v>18.173058399999999</v>
      </c>
      <c r="E13" s="17">
        <v>0.65</v>
      </c>
    </row>
    <row r="14" spans="1:5" x14ac:dyDescent="0.2">
      <c r="A14" s="7"/>
      <c r="B14" s="7"/>
      <c r="C14" s="13"/>
      <c r="D14" s="16"/>
      <c r="E14" s="16"/>
    </row>
    <row r="15" spans="1:5" x14ac:dyDescent="0.2">
      <c r="A15" s="8" t="s">
        <v>104</v>
      </c>
      <c r="B15" s="5"/>
      <c r="C15" s="24"/>
      <c r="D15" s="18">
        <v>2798.7813350000001</v>
      </c>
      <c r="E15" s="18">
        <f xml:space="preserve"> ROUND(SUM(E11:E14),2)</f>
        <v>100</v>
      </c>
    </row>
    <row r="17" spans="1:4" x14ac:dyDescent="0.2">
      <c r="A17" s="9" t="s">
        <v>105</v>
      </c>
    </row>
    <row r="18" spans="1:4" x14ac:dyDescent="0.2">
      <c r="A18" s="9" t="s">
        <v>106</v>
      </c>
    </row>
    <row r="19" spans="1:4" x14ac:dyDescent="0.2">
      <c r="A19" s="9" t="s">
        <v>107</v>
      </c>
    </row>
    <row r="20" spans="1:4" x14ac:dyDescent="0.2">
      <c r="A20" s="1" t="s">
        <v>719</v>
      </c>
      <c r="B20" s="10">
        <v>14.847799999999999</v>
      </c>
    </row>
    <row r="21" spans="1:4" x14ac:dyDescent="0.2">
      <c r="A21" s="1" t="s">
        <v>720</v>
      </c>
      <c r="B21" s="10">
        <v>36.402999999999999</v>
      </c>
    </row>
    <row r="22" spans="1:4" x14ac:dyDescent="0.2">
      <c r="A22" s="1" t="s">
        <v>721</v>
      </c>
      <c r="B22" s="10">
        <v>14.5246</v>
      </c>
    </row>
    <row r="23" spans="1:4" x14ac:dyDescent="0.2">
      <c r="A23" s="1" t="s">
        <v>722</v>
      </c>
      <c r="B23" s="10">
        <v>35.594799999999999</v>
      </c>
    </row>
    <row r="25" spans="1:4" x14ac:dyDescent="0.2">
      <c r="A25" s="9" t="s">
        <v>108</v>
      </c>
    </row>
    <row r="26" spans="1:4" x14ac:dyDescent="0.2">
      <c r="A26" s="1" t="s">
        <v>719</v>
      </c>
      <c r="B26" s="10">
        <v>14.6538</v>
      </c>
    </row>
    <row r="27" spans="1:4" x14ac:dyDescent="0.2">
      <c r="A27" s="1" t="s">
        <v>720</v>
      </c>
      <c r="B27" s="10">
        <v>37.298000000000002</v>
      </c>
    </row>
    <row r="28" spans="1:4" x14ac:dyDescent="0.2">
      <c r="A28" s="1" t="s">
        <v>721</v>
      </c>
      <c r="B28" s="10">
        <v>14.298999999999999</v>
      </c>
    </row>
    <row r="29" spans="1:4" x14ac:dyDescent="0.2">
      <c r="A29" s="1" t="s">
        <v>722</v>
      </c>
      <c r="B29" s="10">
        <v>36.406199999999998</v>
      </c>
    </row>
    <row r="31" spans="1:4" x14ac:dyDescent="0.2">
      <c r="A31" s="9" t="s">
        <v>109</v>
      </c>
      <c r="B31" s="11"/>
    </row>
    <row r="32" spans="1:4" x14ac:dyDescent="0.2">
      <c r="A32" s="41" t="s">
        <v>727</v>
      </c>
      <c r="B32" s="42"/>
      <c r="C32" s="57" t="s">
        <v>728</v>
      </c>
      <c r="D32" s="58"/>
    </row>
    <row r="33" spans="1:4" x14ac:dyDescent="0.2">
      <c r="A33" s="59"/>
      <c r="B33" s="60"/>
      <c r="C33" s="43" t="s">
        <v>729</v>
      </c>
      <c r="D33" s="43" t="s">
        <v>730</v>
      </c>
    </row>
    <row r="34" spans="1:4" x14ac:dyDescent="0.2">
      <c r="A34" s="44" t="s">
        <v>721</v>
      </c>
      <c r="B34" s="45"/>
      <c r="C34" s="46">
        <v>0.396177485</v>
      </c>
      <c r="D34" s="46">
        <v>0.36686232560000004</v>
      </c>
    </row>
    <row r="35" spans="1:4" x14ac:dyDescent="0.2">
      <c r="A35" s="44" t="s">
        <v>719</v>
      </c>
      <c r="B35" s="45"/>
      <c r="C35" s="46">
        <v>0.396177485</v>
      </c>
      <c r="D35" s="46">
        <v>0.36686232560000004</v>
      </c>
    </row>
    <row r="36" spans="1:4" x14ac:dyDescent="0.2">
      <c r="A36" s="47"/>
      <c r="B36" s="47"/>
      <c r="C36" s="48"/>
      <c r="D36" s="48"/>
    </row>
    <row r="37" spans="1:4" x14ac:dyDescent="0.2">
      <c r="A37" s="9" t="s">
        <v>111</v>
      </c>
      <c r="B37" s="40">
        <v>5.024820477951062E-2</v>
      </c>
    </row>
  </sheetData>
  <mergeCells count="3">
    <mergeCell ref="C32:D32"/>
    <mergeCell ref="A33:B33"/>
    <mergeCell ref="A1:E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showGridLines="0" workbookViewId="0">
      <selection sqref="A1:E1"/>
    </sheetView>
  </sheetViews>
  <sheetFormatPr defaultColWidth="9.140625" defaultRowHeight="11.25" x14ac:dyDescent="0.2"/>
  <cols>
    <col min="1" max="1" width="59" style="1" bestFit="1" customWidth="1"/>
    <col min="2" max="2" width="26.85546875" style="1" bestFit="1" customWidth="1"/>
    <col min="3" max="3" width="15.28515625" style="1" customWidth="1"/>
    <col min="4" max="4" width="16.140625" style="22" customWidth="1"/>
    <col min="5" max="5" width="14.140625" style="22" bestFit="1" customWidth="1"/>
    <col min="6" max="16384" width="9.140625" style="2"/>
  </cols>
  <sheetData>
    <row r="1" spans="1:5" x14ac:dyDescent="0.2">
      <c r="A1" s="56" t="s">
        <v>449</v>
      </c>
      <c r="B1" s="56"/>
      <c r="C1" s="56"/>
      <c r="D1" s="56"/>
      <c r="E1" s="56"/>
    </row>
    <row r="3" spans="1:5" s="4" customFormat="1" ht="22.5" x14ac:dyDescent="0.2">
      <c r="A3" s="3" t="s">
        <v>1</v>
      </c>
      <c r="B3" s="3" t="s">
        <v>2</v>
      </c>
      <c r="C3" s="3" t="s">
        <v>4</v>
      </c>
      <c r="D3" s="38" t="s">
        <v>5</v>
      </c>
      <c r="E3" s="20" t="s">
        <v>6</v>
      </c>
    </row>
    <row r="4" spans="1:5" x14ac:dyDescent="0.2">
      <c r="A4" s="5"/>
      <c r="B4" s="5"/>
      <c r="C4" s="5"/>
      <c r="D4" s="21"/>
      <c r="E4" s="21"/>
    </row>
    <row r="5" spans="1:5" x14ac:dyDescent="0.2">
      <c r="A5" s="6" t="s">
        <v>648</v>
      </c>
      <c r="B5" s="7"/>
      <c r="C5" s="7"/>
      <c r="D5" s="12"/>
      <c r="E5" s="12"/>
    </row>
    <row r="6" spans="1:5" x14ac:dyDescent="0.2">
      <c r="A6" s="7" t="s">
        <v>445</v>
      </c>
      <c r="B6" s="7" t="s">
        <v>671</v>
      </c>
      <c r="C6" s="13">
        <v>483114.06</v>
      </c>
      <c r="D6" s="12">
        <v>324.38306799999998</v>
      </c>
      <c r="E6" s="12">
        <v>49.946861479571716</v>
      </c>
    </row>
    <row r="7" spans="1:5" x14ac:dyDescent="0.2">
      <c r="A7" s="7" t="s">
        <v>444</v>
      </c>
      <c r="B7" s="7" t="s">
        <v>672</v>
      </c>
      <c r="C7" s="13">
        <v>293864.24</v>
      </c>
      <c r="D7" s="12">
        <v>194.729727</v>
      </c>
      <c r="E7" s="12">
        <v>29.983496858793558</v>
      </c>
    </row>
    <row r="8" spans="1:5" x14ac:dyDescent="0.2">
      <c r="A8" s="7" t="s">
        <v>442</v>
      </c>
      <c r="B8" s="7" t="s">
        <v>670</v>
      </c>
      <c r="C8" s="13">
        <v>26120.240000000002</v>
      </c>
      <c r="D8" s="12">
        <v>65.674908099999996</v>
      </c>
      <c r="E8" s="12">
        <v>10.112289638848543</v>
      </c>
    </row>
    <row r="9" spans="1:5" x14ac:dyDescent="0.2">
      <c r="A9" s="7" t="s">
        <v>183</v>
      </c>
      <c r="B9" s="7" t="s">
        <v>668</v>
      </c>
      <c r="C9" s="13">
        <v>13937.05</v>
      </c>
      <c r="D9" s="12">
        <v>64.853311899999994</v>
      </c>
      <c r="E9" s="12">
        <v>9.9857844181952178</v>
      </c>
    </row>
    <row r="10" spans="1:5" x14ac:dyDescent="0.2">
      <c r="A10" s="6" t="s">
        <v>39</v>
      </c>
      <c r="B10" s="7"/>
      <c r="C10" s="7"/>
      <c r="D10" s="14">
        <f>SUM(D6:D9)</f>
        <v>649.64101500000004</v>
      </c>
      <c r="E10" s="14">
        <f>SUM(E6:E9)</f>
        <v>100.02843239540903</v>
      </c>
    </row>
    <row r="11" spans="1:5" x14ac:dyDescent="0.2">
      <c r="A11" s="7"/>
      <c r="B11" s="7"/>
      <c r="C11" s="7"/>
      <c r="D11" s="12"/>
      <c r="E11" s="12"/>
    </row>
    <row r="12" spans="1:5" x14ac:dyDescent="0.2">
      <c r="A12" s="6" t="s">
        <v>39</v>
      </c>
      <c r="B12" s="7"/>
      <c r="C12" s="7"/>
      <c r="D12" s="14">
        <v>649.64101500000004</v>
      </c>
      <c r="E12" s="14">
        <v>100.02843239540903</v>
      </c>
    </row>
    <row r="13" spans="1:5" x14ac:dyDescent="0.2">
      <c r="A13" s="7"/>
      <c r="B13" s="7"/>
      <c r="C13" s="7"/>
      <c r="D13" s="12"/>
      <c r="E13" s="12"/>
    </row>
    <row r="14" spans="1:5" x14ac:dyDescent="0.2">
      <c r="A14" s="6" t="s">
        <v>103</v>
      </c>
      <c r="B14" s="7"/>
      <c r="C14" s="7"/>
      <c r="D14" s="14">
        <v>-0.18465600000000101</v>
      </c>
      <c r="E14" s="14">
        <v>-0.03</v>
      </c>
    </row>
    <row r="15" spans="1:5" x14ac:dyDescent="0.2">
      <c r="A15" s="7"/>
      <c r="B15" s="7"/>
      <c r="C15" s="7"/>
      <c r="D15" s="12"/>
      <c r="E15" s="12"/>
    </row>
    <row r="16" spans="1:5" x14ac:dyDescent="0.2">
      <c r="A16" s="8" t="s">
        <v>104</v>
      </c>
      <c r="B16" s="5"/>
      <c r="C16" s="5"/>
      <c r="D16" s="15">
        <v>649.45635900000002</v>
      </c>
      <c r="E16" s="15">
        <f xml:space="preserve"> ROUND(SUM(E12:E15),2)</f>
        <v>100</v>
      </c>
    </row>
    <row r="18" spans="1:2" x14ac:dyDescent="0.2">
      <c r="A18" s="9" t="s">
        <v>105</v>
      </c>
    </row>
    <row r="19" spans="1:2" x14ac:dyDescent="0.2">
      <c r="A19" s="9" t="s">
        <v>106</v>
      </c>
    </row>
    <row r="20" spans="1:2" x14ac:dyDescent="0.2">
      <c r="A20" s="9" t="s">
        <v>107</v>
      </c>
    </row>
    <row r="21" spans="1:2" x14ac:dyDescent="0.2">
      <c r="A21" s="1" t="s">
        <v>719</v>
      </c>
      <c r="B21" s="10">
        <v>14.2104</v>
      </c>
    </row>
    <row r="22" spans="1:2" x14ac:dyDescent="0.2">
      <c r="A22" s="1" t="s">
        <v>720</v>
      </c>
      <c r="B22" s="10">
        <v>35.182299999999998</v>
      </c>
    </row>
    <row r="23" spans="1:2" x14ac:dyDescent="0.2">
      <c r="A23" s="1" t="s">
        <v>721</v>
      </c>
      <c r="B23" s="10">
        <v>13.7324</v>
      </c>
    </row>
    <row r="24" spans="1:2" x14ac:dyDescent="0.2">
      <c r="A24" s="1" t="s">
        <v>722</v>
      </c>
      <c r="B24" s="10">
        <v>33.932400000000001</v>
      </c>
    </row>
    <row r="26" spans="1:2" x14ac:dyDescent="0.2">
      <c r="A26" s="9" t="s">
        <v>108</v>
      </c>
    </row>
    <row r="27" spans="1:2" x14ac:dyDescent="0.2">
      <c r="A27" s="1" t="s">
        <v>719</v>
      </c>
      <c r="B27" s="10">
        <v>13.9476</v>
      </c>
    </row>
    <row r="28" spans="1:2" x14ac:dyDescent="0.2">
      <c r="A28" s="1" t="s">
        <v>720</v>
      </c>
      <c r="B28" s="10">
        <v>35.951700000000002</v>
      </c>
    </row>
    <row r="29" spans="1:2" x14ac:dyDescent="0.2">
      <c r="A29" s="1" t="s">
        <v>721</v>
      </c>
      <c r="B29" s="10">
        <v>13.4192</v>
      </c>
    </row>
    <row r="30" spans="1:2" x14ac:dyDescent="0.2">
      <c r="A30" s="1" t="s">
        <v>722</v>
      </c>
      <c r="B30" s="10">
        <v>34.535400000000003</v>
      </c>
    </row>
    <row r="32" spans="1:2" x14ac:dyDescent="0.2">
      <c r="A32" s="9" t="s">
        <v>109</v>
      </c>
      <c r="B32" s="11"/>
    </row>
    <row r="33" spans="1:4" x14ac:dyDescent="0.2">
      <c r="A33" s="41" t="s">
        <v>727</v>
      </c>
      <c r="B33" s="42"/>
      <c r="C33" s="57" t="s">
        <v>728</v>
      </c>
      <c r="D33" s="58"/>
    </row>
    <row r="34" spans="1:4" x14ac:dyDescent="0.2">
      <c r="A34" s="59"/>
      <c r="B34" s="60"/>
      <c r="C34" s="43" t="s">
        <v>729</v>
      </c>
      <c r="D34" s="43" t="s">
        <v>730</v>
      </c>
    </row>
    <row r="35" spans="1:4" x14ac:dyDescent="0.2">
      <c r="A35" s="44" t="s">
        <v>721</v>
      </c>
      <c r="B35" s="45"/>
      <c r="C35" s="46">
        <v>0.396177485</v>
      </c>
      <c r="D35" s="46">
        <v>0.36686232560000004</v>
      </c>
    </row>
    <row r="36" spans="1:4" x14ac:dyDescent="0.2">
      <c r="A36" s="44" t="s">
        <v>719</v>
      </c>
      <c r="B36" s="45"/>
      <c r="C36" s="46">
        <v>0.396177485</v>
      </c>
      <c r="D36" s="46">
        <v>0.36686232560000004</v>
      </c>
    </row>
    <row r="37" spans="1:4" x14ac:dyDescent="0.2">
      <c r="A37" s="47"/>
      <c r="B37" s="47"/>
      <c r="C37" s="48"/>
      <c r="D37" s="48"/>
    </row>
    <row r="38" spans="1:4" x14ac:dyDescent="0.2">
      <c r="A38" s="9" t="s">
        <v>111</v>
      </c>
      <c r="B38" s="40">
        <v>5.0691255804301887E-2</v>
      </c>
    </row>
  </sheetData>
  <mergeCells count="3">
    <mergeCell ref="C33:D33"/>
    <mergeCell ref="A34:B34"/>
    <mergeCell ref="A1:E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workbookViewId="0">
      <selection sqref="A1:E1"/>
    </sheetView>
  </sheetViews>
  <sheetFormatPr defaultColWidth="9.140625" defaultRowHeight="11.25" x14ac:dyDescent="0.2"/>
  <cols>
    <col min="1" max="1" width="59" style="1" bestFit="1" customWidth="1"/>
    <col min="2" max="2" width="26.42578125" style="1" bestFit="1" customWidth="1"/>
    <col min="3" max="3" width="13.85546875" style="25" customWidth="1"/>
    <col min="4" max="4" width="22.28515625" style="22" customWidth="1"/>
    <col min="5" max="5" width="14.140625" style="22" bestFit="1" customWidth="1"/>
    <col min="6" max="16384" width="9.140625" style="2"/>
  </cols>
  <sheetData>
    <row r="1" spans="1:5" x14ac:dyDescent="0.2">
      <c r="A1" s="56" t="s">
        <v>448</v>
      </c>
      <c r="B1" s="56"/>
      <c r="C1" s="56"/>
      <c r="D1" s="56"/>
      <c r="E1" s="56"/>
    </row>
    <row r="3" spans="1:5" s="4" customFormat="1" x14ac:dyDescent="0.2">
      <c r="A3" s="3" t="s">
        <v>1</v>
      </c>
      <c r="B3" s="3" t="s">
        <v>2</v>
      </c>
      <c r="C3" s="23" t="s">
        <v>4</v>
      </c>
      <c r="D3" s="20" t="s">
        <v>5</v>
      </c>
      <c r="E3" s="20" t="s">
        <v>6</v>
      </c>
    </row>
    <row r="4" spans="1:5" x14ac:dyDescent="0.2">
      <c r="A4" s="5"/>
      <c r="B4" s="5"/>
      <c r="C4" s="24"/>
      <c r="D4" s="21"/>
      <c r="E4" s="21"/>
    </row>
    <row r="5" spans="1:5" x14ac:dyDescent="0.2">
      <c r="A5" s="6" t="s">
        <v>648</v>
      </c>
      <c r="B5" s="7"/>
      <c r="C5" s="13"/>
      <c r="D5" s="12"/>
      <c r="E5" s="12"/>
    </row>
    <row r="6" spans="1:5" x14ac:dyDescent="0.2">
      <c r="A6" s="7" t="s">
        <v>445</v>
      </c>
      <c r="B6" s="7" t="s">
        <v>673</v>
      </c>
      <c r="C6" s="13">
        <v>696388.37</v>
      </c>
      <c r="D6" s="12">
        <v>467.58439659999999</v>
      </c>
      <c r="E6" s="12">
        <v>34.938362444658551</v>
      </c>
    </row>
    <row r="7" spans="1:5" x14ac:dyDescent="0.2">
      <c r="A7" s="7" t="s">
        <v>444</v>
      </c>
      <c r="B7" s="7" t="s">
        <v>672</v>
      </c>
      <c r="C7" s="13">
        <v>605102.81000000006</v>
      </c>
      <c r="D7" s="12">
        <v>400.97258390000002</v>
      </c>
      <c r="E7" s="12">
        <v>29.961062791096278</v>
      </c>
    </row>
    <row r="8" spans="1:5" x14ac:dyDescent="0.2">
      <c r="A8" s="7" t="s">
        <v>183</v>
      </c>
      <c r="B8" s="7" t="s">
        <v>668</v>
      </c>
      <c r="C8" s="13">
        <v>57420.29</v>
      </c>
      <c r="D8" s="12">
        <v>267.19401699999997</v>
      </c>
      <c r="E8" s="12">
        <v>19.964997713506378</v>
      </c>
    </row>
    <row r="9" spans="1:5" x14ac:dyDescent="0.2">
      <c r="A9" s="7" t="s">
        <v>443</v>
      </c>
      <c r="B9" s="7" t="s">
        <v>674</v>
      </c>
      <c r="C9" s="13">
        <v>13889.95</v>
      </c>
      <c r="D9" s="12">
        <v>133.98445129999999</v>
      </c>
      <c r="E9" s="12">
        <v>10.011448960887124</v>
      </c>
    </row>
    <row r="10" spans="1:5" x14ac:dyDescent="0.2">
      <c r="A10" s="7" t="s">
        <v>442</v>
      </c>
      <c r="B10" s="7" t="s">
        <v>670</v>
      </c>
      <c r="C10" s="13">
        <v>26908.21</v>
      </c>
      <c r="D10" s="12">
        <v>67.656124700000007</v>
      </c>
      <c r="E10" s="12">
        <v>5.0553316653800771</v>
      </c>
    </row>
    <row r="11" spans="1:5" x14ac:dyDescent="0.2">
      <c r="A11" s="6" t="s">
        <v>39</v>
      </c>
      <c r="B11" s="7"/>
      <c r="C11" s="13"/>
      <c r="D11" s="14">
        <f>SUM(D6:D10)</f>
        <v>1337.3915735</v>
      </c>
      <c r="E11" s="14">
        <f>SUM(E6:E10)</f>
        <v>99.931203575528414</v>
      </c>
    </row>
    <row r="12" spans="1:5" x14ac:dyDescent="0.2">
      <c r="A12" s="7"/>
      <c r="B12" s="7"/>
      <c r="C12" s="13"/>
      <c r="D12" s="12"/>
      <c r="E12" s="12"/>
    </row>
    <row r="13" spans="1:5" x14ac:dyDescent="0.2">
      <c r="A13" s="6" t="s">
        <v>39</v>
      </c>
      <c r="B13" s="7"/>
      <c r="C13" s="13"/>
      <c r="D13" s="14">
        <v>1337.3915735</v>
      </c>
      <c r="E13" s="14">
        <v>99.931203575528414</v>
      </c>
    </row>
    <row r="14" spans="1:5" x14ac:dyDescent="0.2">
      <c r="A14" s="7"/>
      <c r="B14" s="7"/>
      <c r="C14" s="13"/>
      <c r="D14" s="12"/>
      <c r="E14" s="12"/>
    </row>
    <row r="15" spans="1:5" x14ac:dyDescent="0.2">
      <c r="A15" s="6" t="s">
        <v>103</v>
      </c>
      <c r="B15" s="7"/>
      <c r="C15" s="13"/>
      <c r="D15" s="14">
        <v>0.92071099999999995</v>
      </c>
      <c r="E15" s="14">
        <v>7.0000000000000007E-2</v>
      </c>
    </row>
    <row r="16" spans="1:5" x14ac:dyDescent="0.2">
      <c r="A16" s="7"/>
      <c r="B16" s="7"/>
      <c r="C16" s="13"/>
      <c r="D16" s="12"/>
      <c r="E16" s="12"/>
    </row>
    <row r="17" spans="1:5" x14ac:dyDescent="0.2">
      <c r="A17" s="8" t="s">
        <v>104</v>
      </c>
      <c r="B17" s="5"/>
      <c r="C17" s="24"/>
      <c r="D17" s="15">
        <v>1338.3122845</v>
      </c>
      <c r="E17" s="15">
        <f xml:space="preserve"> ROUND(SUM(E13:E16),2)</f>
        <v>100</v>
      </c>
    </row>
    <row r="19" spans="1:5" x14ac:dyDescent="0.2">
      <c r="A19" s="9" t="s">
        <v>105</v>
      </c>
    </row>
    <row r="20" spans="1:5" x14ac:dyDescent="0.2">
      <c r="A20" s="9" t="s">
        <v>106</v>
      </c>
    </row>
    <row r="21" spans="1:5" x14ac:dyDescent="0.2">
      <c r="A21" s="9" t="s">
        <v>107</v>
      </c>
    </row>
    <row r="22" spans="1:5" x14ac:dyDescent="0.2">
      <c r="A22" s="1" t="s">
        <v>719</v>
      </c>
      <c r="B22" s="10">
        <v>15.993499999999999</v>
      </c>
    </row>
    <row r="23" spans="1:5" x14ac:dyDescent="0.2">
      <c r="A23" s="1" t="s">
        <v>720</v>
      </c>
      <c r="B23" s="10">
        <v>47.561599999999999</v>
      </c>
    </row>
    <row r="24" spans="1:5" x14ac:dyDescent="0.2">
      <c r="A24" s="1" t="s">
        <v>721</v>
      </c>
      <c r="B24" s="10">
        <v>15.535299999999999</v>
      </c>
    </row>
    <row r="25" spans="1:5" x14ac:dyDescent="0.2">
      <c r="A25" s="1" t="s">
        <v>722</v>
      </c>
      <c r="B25" s="10">
        <v>45.850900000000003</v>
      </c>
    </row>
    <row r="27" spans="1:5" x14ac:dyDescent="0.2">
      <c r="A27" s="9" t="s">
        <v>108</v>
      </c>
    </row>
    <row r="28" spans="1:5" x14ac:dyDescent="0.2">
      <c r="A28" s="1" t="s">
        <v>719</v>
      </c>
      <c r="B28" s="10">
        <v>14.8582</v>
      </c>
    </row>
    <row r="29" spans="1:5" x14ac:dyDescent="0.2">
      <c r="A29" s="1" t="s">
        <v>720</v>
      </c>
      <c r="B29" s="10">
        <v>48.033799999999999</v>
      </c>
    </row>
    <row r="30" spans="1:5" x14ac:dyDescent="0.2">
      <c r="A30" s="1" t="s">
        <v>721</v>
      </c>
      <c r="B30" s="10">
        <v>14.357200000000001</v>
      </c>
    </row>
    <row r="31" spans="1:5" x14ac:dyDescent="0.2">
      <c r="A31" s="1" t="s">
        <v>722</v>
      </c>
      <c r="B31" s="10">
        <v>46.153399999999998</v>
      </c>
    </row>
    <row r="33" spans="1:4" x14ac:dyDescent="0.2">
      <c r="A33" s="9" t="s">
        <v>109</v>
      </c>
      <c r="B33" s="11"/>
    </row>
    <row r="34" spans="1:4" x14ac:dyDescent="0.2">
      <c r="A34" s="41" t="s">
        <v>727</v>
      </c>
      <c r="B34" s="42"/>
      <c r="C34" s="57" t="s">
        <v>728</v>
      </c>
      <c r="D34" s="58"/>
    </row>
    <row r="35" spans="1:4" x14ac:dyDescent="0.2">
      <c r="A35" s="59"/>
      <c r="B35" s="60"/>
      <c r="C35" s="43" t="s">
        <v>729</v>
      </c>
      <c r="D35" s="43" t="s">
        <v>730</v>
      </c>
    </row>
    <row r="36" spans="1:4" x14ac:dyDescent="0.2">
      <c r="A36" s="44" t="s">
        <v>721</v>
      </c>
      <c r="B36" s="45"/>
      <c r="C36" s="46">
        <v>0.90040337500000001</v>
      </c>
      <c r="D36" s="46">
        <v>0.83377801250000005</v>
      </c>
    </row>
    <row r="37" spans="1:4" x14ac:dyDescent="0.2">
      <c r="A37" s="44" t="s">
        <v>719</v>
      </c>
      <c r="B37" s="45"/>
      <c r="C37" s="46">
        <v>0.90040337500000001</v>
      </c>
      <c r="D37" s="46">
        <v>0.83377801250000005</v>
      </c>
    </row>
    <row r="38" spans="1:4" x14ac:dyDescent="0.2">
      <c r="A38" s="9"/>
      <c r="B38" s="11"/>
    </row>
    <row r="39" spans="1:4" x14ac:dyDescent="0.2">
      <c r="A39" s="9" t="s">
        <v>111</v>
      </c>
      <c r="B39" s="40">
        <v>6.9640786602511912E-2</v>
      </c>
    </row>
  </sheetData>
  <mergeCells count="3">
    <mergeCell ref="C34:D34"/>
    <mergeCell ref="A35:B35"/>
    <mergeCell ref="A1:E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workbookViewId="0">
      <selection sqref="A1:E1"/>
    </sheetView>
  </sheetViews>
  <sheetFormatPr defaultColWidth="9.140625" defaultRowHeight="11.25" x14ac:dyDescent="0.2"/>
  <cols>
    <col min="1" max="1" width="58.7109375" style="1" bestFit="1" customWidth="1"/>
    <col min="2" max="2" width="26.42578125" style="1" bestFit="1" customWidth="1"/>
    <col min="3" max="3" width="15.7109375" style="25" customWidth="1"/>
    <col min="4" max="4" width="17.28515625" style="22" customWidth="1"/>
    <col min="5" max="5" width="14.140625" style="22" bestFit="1" customWidth="1"/>
    <col min="6" max="16384" width="9.140625" style="2"/>
  </cols>
  <sheetData>
    <row r="1" spans="1:5" x14ac:dyDescent="0.2">
      <c r="A1" s="56" t="s">
        <v>447</v>
      </c>
      <c r="B1" s="56"/>
      <c r="C1" s="56"/>
      <c r="D1" s="56"/>
      <c r="E1" s="56"/>
    </row>
    <row r="3" spans="1:5" s="4" customFormat="1" x14ac:dyDescent="0.2">
      <c r="A3" s="3" t="s">
        <v>1</v>
      </c>
      <c r="B3" s="3" t="s">
        <v>2</v>
      </c>
      <c r="C3" s="23" t="s">
        <v>4</v>
      </c>
      <c r="D3" s="20" t="s">
        <v>5</v>
      </c>
      <c r="E3" s="20" t="s">
        <v>6</v>
      </c>
    </row>
    <row r="4" spans="1:5" x14ac:dyDescent="0.2">
      <c r="A4" s="5"/>
      <c r="B4" s="5"/>
      <c r="C4" s="24"/>
      <c r="D4" s="21"/>
      <c r="E4" s="21"/>
    </row>
    <row r="5" spans="1:5" x14ac:dyDescent="0.2">
      <c r="A5" s="6" t="s">
        <v>648</v>
      </c>
      <c r="B5" s="7"/>
      <c r="C5" s="13"/>
      <c r="D5" s="12"/>
      <c r="E5" s="12"/>
    </row>
    <row r="6" spans="1:5" x14ac:dyDescent="0.2">
      <c r="A6" s="7" t="s">
        <v>183</v>
      </c>
      <c r="B6" s="7" t="s">
        <v>668</v>
      </c>
      <c r="C6" s="13">
        <v>55417.94</v>
      </c>
      <c r="D6" s="12">
        <v>257.87648039999999</v>
      </c>
      <c r="E6" s="12">
        <v>34.946989133500914</v>
      </c>
    </row>
    <row r="7" spans="1:5" x14ac:dyDescent="0.2">
      <c r="A7" s="7" t="s">
        <v>445</v>
      </c>
      <c r="B7" s="7" t="s">
        <v>673</v>
      </c>
      <c r="C7" s="13">
        <v>274353.96000000002</v>
      </c>
      <c r="D7" s="12">
        <v>184.21277090000001</v>
      </c>
      <c r="E7" s="12">
        <v>24.964206479430427</v>
      </c>
    </row>
    <row r="8" spans="1:5" x14ac:dyDescent="0.2">
      <c r="A8" s="7" t="s">
        <v>444</v>
      </c>
      <c r="B8" s="7" t="s">
        <v>672</v>
      </c>
      <c r="C8" s="13">
        <v>222500.32</v>
      </c>
      <c r="D8" s="12">
        <v>147.44028270000001</v>
      </c>
      <c r="E8" s="12">
        <v>19.980860407916452</v>
      </c>
    </row>
    <row r="9" spans="1:5" x14ac:dyDescent="0.2">
      <c r="A9" s="7" t="s">
        <v>442</v>
      </c>
      <c r="B9" s="7" t="s">
        <v>670</v>
      </c>
      <c r="C9" s="13">
        <v>29680.05</v>
      </c>
      <c r="D9" s="12">
        <v>74.625445099999993</v>
      </c>
      <c r="E9" s="12">
        <v>10.113115453364038</v>
      </c>
    </row>
    <row r="10" spans="1:5" x14ac:dyDescent="0.2">
      <c r="A10" s="7" t="s">
        <v>443</v>
      </c>
      <c r="B10" s="7" t="s">
        <v>674</v>
      </c>
      <c r="C10" s="13">
        <v>7660.75</v>
      </c>
      <c r="D10" s="12">
        <v>73.896691700000005</v>
      </c>
      <c r="E10" s="12">
        <v>10.014356011978389</v>
      </c>
    </row>
    <row r="11" spans="1:5" x14ac:dyDescent="0.2">
      <c r="A11" s="6" t="s">
        <v>39</v>
      </c>
      <c r="B11" s="7"/>
      <c r="C11" s="13"/>
      <c r="D11" s="14">
        <f>SUM(D6:D10)</f>
        <v>738.05167080000001</v>
      </c>
      <c r="E11" s="14">
        <f>SUM(E6:E10)</f>
        <v>100.01952748619023</v>
      </c>
    </row>
    <row r="12" spans="1:5" x14ac:dyDescent="0.2">
      <c r="A12" s="7"/>
      <c r="B12" s="7"/>
      <c r="C12" s="13"/>
      <c r="D12" s="12"/>
      <c r="E12" s="12"/>
    </row>
    <row r="13" spans="1:5" x14ac:dyDescent="0.2">
      <c r="A13" s="6" t="s">
        <v>39</v>
      </c>
      <c r="B13" s="7"/>
      <c r="C13" s="13"/>
      <c r="D13" s="14">
        <v>738.05167080000001</v>
      </c>
      <c r="E13" s="14">
        <v>100.01952748619023</v>
      </c>
    </row>
    <row r="14" spans="1:5" x14ac:dyDescent="0.2">
      <c r="A14" s="7"/>
      <c r="B14" s="7"/>
      <c r="C14" s="13"/>
      <c r="D14" s="12"/>
      <c r="E14" s="12"/>
    </row>
    <row r="15" spans="1:5" x14ac:dyDescent="0.2">
      <c r="A15" s="6" t="s">
        <v>103</v>
      </c>
      <c r="B15" s="7"/>
      <c r="C15" s="13"/>
      <c r="D15" s="14">
        <v>-0.1440948</v>
      </c>
      <c r="E15" s="14">
        <v>-0.02</v>
      </c>
    </row>
    <row r="16" spans="1:5" x14ac:dyDescent="0.2">
      <c r="A16" s="7"/>
      <c r="B16" s="7"/>
      <c r="C16" s="13"/>
      <c r="D16" s="12"/>
      <c r="E16" s="12"/>
    </row>
    <row r="17" spans="1:5" x14ac:dyDescent="0.2">
      <c r="A17" s="8" t="s">
        <v>104</v>
      </c>
      <c r="B17" s="5"/>
      <c r="C17" s="24"/>
      <c r="D17" s="15">
        <v>737.90757600000006</v>
      </c>
      <c r="E17" s="15">
        <f xml:space="preserve"> ROUND(SUM(E13:E16),2)</f>
        <v>100</v>
      </c>
    </row>
    <row r="19" spans="1:5" x14ac:dyDescent="0.2">
      <c r="A19" s="9" t="s">
        <v>105</v>
      </c>
    </row>
    <row r="20" spans="1:5" x14ac:dyDescent="0.2">
      <c r="A20" s="9" t="s">
        <v>106</v>
      </c>
    </row>
    <row r="21" spans="1:5" x14ac:dyDescent="0.2">
      <c r="A21" s="9" t="s">
        <v>107</v>
      </c>
    </row>
    <row r="22" spans="1:5" x14ac:dyDescent="0.2">
      <c r="A22" s="1" t="s">
        <v>719</v>
      </c>
      <c r="B22" s="10">
        <v>25.2529</v>
      </c>
    </row>
    <row r="23" spans="1:5" x14ac:dyDescent="0.2">
      <c r="A23" s="1" t="s">
        <v>720</v>
      </c>
      <c r="B23" s="10">
        <v>59.551200000000001</v>
      </c>
    </row>
    <row r="24" spans="1:5" x14ac:dyDescent="0.2">
      <c r="A24" s="1" t="s">
        <v>721</v>
      </c>
      <c r="B24" s="10">
        <v>24.3657</v>
      </c>
    </row>
    <row r="25" spans="1:5" x14ac:dyDescent="0.2">
      <c r="A25" s="1" t="s">
        <v>722</v>
      </c>
      <c r="B25" s="10">
        <v>57.754300000000001</v>
      </c>
    </row>
    <row r="27" spans="1:5" x14ac:dyDescent="0.2">
      <c r="A27" s="9" t="s">
        <v>108</v>
      </c>
    </row>
    <row r="28" spans="1:5" x14ac:dyDescent="0.2">
      <c r="A28" s="1" t="s">
        <v>719</v>
      </c>
      <c r="B28" s="10">
        <v>23.065200000000001</v>
      </c>
    </row>
    <row r="29" spans="1:5" x14ac:dyDescent="0.2">
      <c r="A29" s="1" t="s">
        <v>720</v>
      </c>
      <c r="B29" s="10">
        <v>59.283499999999997</v>
      </c>
    </row>
    <row r="30" spans="1:5" x14ac:dyDescent="0.2">
      <c r="A30" s="1" t="s">
        <v>721</v>
      </c>
      <c r="B30" s="10">
        <v>22.116</v>
      </c>
    </row>
    <row r="31" spans="1:5" x14ac:dyDescent="0.2">
      <c r="A31" s="1" t="s">
        <v>722</v>
      </c>
      <c r="B31" s="10">
        <v>57.310299999999998</v>
      </c>
    </row>
    <row r="33" spans="1:4" x14ac:dyDescent="0.2">
      <c r="A33" s="9" t="s">
        <v>109</v>
      </c>
      <c r="B33" s="11"/>
    </row>
    <row r="34" spans="1:4" x14ac:dyDescent="0.2">
      <c r="A34" s="41" t="s">
        <v>727</v>
      </c>
      <c r="B34" s="42"/>
      <c r="C34" s="57" t="s">
        <v>728</v>
      </c>
      <c r="D34" s="58"/>
    </row>
    <row r="35" spans="1:4" x14ac:dyDescent="0.2">
      <c r="A35" s="59"/>
      <c r="B35" s="60"/>
      <c r="C35" s="43" t="s">
        <v>729</v>
      </c>
      <c r="D35" s="43" t="s">
        <v>730</v>
      </c>
    </row>
    <row r="36" spans="1:4" x14ac:dyDescent="0.2">
      <c r="A36" s="44" t="s">
        <v>721</v>
      </c>
      <c r="B36" s="45"/>
      <c r="C36" s="46">
        <v>1.4406454</v>
      </c>
      <c r="D36" s="46">
        <v>1.3340448200000001</v>
      </c>
    </row>
    <row r="37" spans="1:4" x14ac:dyDescent="0.2">
      <c r="A37" s="44" t="s">
        <v>719</v>
      </c>
      <c r="B37" s="45"/>
      <c r="C37" s="46">
        <v>1.4406454</v>
      </c>
      <c r="D37" s="46">
        <v>1.3340448200000001</v>
      </c>
    </row>
    <row r="38" spans="1:4" x14ac:dyDescent="0.2">
      <c r="A38" s="9"/>
      <c r="B38" s="11"/>
    </row>
    <row r="39" spans="1:4" x14ac:dyDescent="0.2">
      <c r="A39" s="9" t="s">
        <v>111</v>
      </c>
      <c r="B39" s="40">
        <v>9.0788655925984868E-2</v>
      </c>
    </row>
  </sheetData>
  <mergeCells count="3">
    <mergeCell ref="C34:D34"/>
    <mergeCell ref="A35:B35"/>
    <mergeCell ref="A1:E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workbookViewId="0">
      <selection sqref="A1:E1"/>
    </sheetView>
  </sheetViews>
  <sheetFormatPr defaultColWidth="9.140625" defaultRowHeight="11.25" x14ac:dyDescent="0.2"/>
  <cols>
    <col min="1" max="1" width="59" style="1" bestFit="1" customWidth="1"/>
    <col min="2" max="2" width="26.42578125" style="1" bestFit="1" customWidth="1"/>
    <col min="3" max="3" width="14.5703125" style="25" customWidth="1"/>
    <col min="4" max="4" width="22.5703125" style="22" customWidth="1"/>
    <col min="5" max="5" width="14.140625" style="22" bestFit="1" customWidth="1"/>
    <col min="6" max="16384" width="9.140625" style="2"/>
  </cols>
  <sheetData>
    <row r="1" spans="1:5" x14ac:dyDescent="0.2">
      <c r="A1" s="56" t="s">
        <v>446</v>
      </c>
      <c r="B1" s="56"/>
      <c r="C1" s="56"/>
      <c r="D1" s="56"/>
      <c r="E1" s="56"/>
    </row>
    <row r="3" spans="1:5" s="4" customFormat="1" x14ac:dyDescent="0.2">
      <c r="A3" s="3" t="s">
        <v>1</v>
      </c>
      <c r="B3" s="3" t="s">
        <v>2</v>
      </c>
      <c r="C3" s="23" t="s">
        <v>4</v>
      </c>
      <c r="D3" s="20" t="s">
        <v>5</v>
      </c>
      <c r="E3" s="20" t="s">
        <v>6</v>
      </c>
    </row>
    <row r="4" spans="1:5" x14ac:dyDescent="0.2">
      <c r="A4" s="5"/>
      <c r="B4" s="5"/>
      <c r="C4" s="24"/>
      <c r="D4" s="21"/>
      <c r="E4" s="21"/>
    </row>
    <row r="5" spans="1:5" x14ac:dyDescent="0.2">
      <c r="A5" s="6" t="s">
        <v>648</v>
      </c>
      <c r="B5" s="7"/>
      <c r="C5" s="13"/>
      <c r="D5" s="12"/>
      <c r="E5" s="12"/>
    </row>
    <row r="6" spans="1:5" x14ac:dyDescent="0.2">
      <c r="A6" s="7" t="s">
        <v>183</v>
      </c>
      <c r="B6" s="7" t="s">
        <v>668</v>
      </c>
      <c r="C6" s="13">
        <v>135903.48000000001</v>
      </c>
      <c r="D6" s="12">
        <v>632.40008980000005</v>
      </c>
      <c r="E6" s="12">
        <v>49.862535270193092</v>
      </c>
    </row>
    <row r="7" spans="1:5" x14ac:dyDescent="0.2">
      <c r="A7" s="7" t="s">
        <v>442</v>
      </c>
      <c r="B7" s="7" t="s">
        <v>670</v>
      </c>
      <c r="C7" s="13">
        <v>76408.039999999994</v>
      </c>
      <c r="D7" s="12">
        <v>192.1150322</v>
      </c>
      <c r="E7" s="12">
        <v>15.147598369311268</v>
      </c>
    </row>
    <row r="8" spans="1:5" x14ac:dyDescent="0.2">
      <c r="A8" s="7" t="s">
        <v>443</v>
      </c>
      <c r="B8" s="7" t="s">
        <v>674</v>
      </c>
      <c r="C8" s="13">
        <v>19729.32</v>
      </c>
      <c r="D8" s="12">
        <v>190.31194020000001</v>
      </c>
      <c r="E8" s="12">
        <v>15.005430871400517</v>
      </c>
    </row>
    <row r="9" spans="1:5" x14ac:dyDescent="0.2">
      <c r="A9" s="7" t="s">
        <v>444</v>
      </c>
      <c r="B9" s="7" t="s">
        <v>672</v>
      </c>
      <c r="C9" s="13">
        <v>191056.86</v>
      </c>
      <c r="D9" s="12">
        <v>126.6042097</v>
      </c>
      <c r="E9" s="12">
        <v>9.9822991383787301</v>
      </c>
    </row>
    <row r="10" spans="1:5" x14ac:dyDescent="0.2">
      <c r="A10" s="7" t="s">
        <v>445</v>
      </c>
      <c r="B10" s="7" t="s">
        <v>673</v>
      </c>
      <c r="C10" s="13">
        <v>188478.67</v>
      </c>
      <c r="D10" s="12">
        <v>126.5524972</v>
      </c>
      <c r="E10" s="12">
        <v>9.978221788617482</v>
      </c>
    </row>
    <row r="11" spans="1:5" x14ac:dyDescent="0.2">
      <c r="A11" s="6" t="s">
        <v>39</v>
      </c>
      <c r="B11" s="7"/>
      <c r="C11" s="13"/>
      <c r="D11" s="14">
        <f>SUM(D6:D10)</f>
        <v>1267.9837691</v>
      </c>
      <c r="E11" s="14">
        <f>SUM(E6:E10)</f>
        <v>99.976085437901105</v>
      </c>
    </row>
    <row r="12" spans="1:5" x14ac:dyDescent="0.2">
      <c r="A12" s="7"/>
      <c r="B12" s="7"/>
      <c r="C12" s="13"/>
      <c r="D12" s="12"/>
      <c r="E12" s="12"/>
    </row>
    <row r="13" spans="1:5" x14ac:dyDescent="0.2">
      <c r="A13" s="6" t="s">
        <v>39</v>
      </c>
      <c r="B13" s="7"/>
      <c r="C13" s="13"/>
      <c r="D13" s="14">
        <v>1267.9837691</v>
      </c>
      <c r="E13" s="14">
        <v>99.976085437901105</v>
      </c>
    </row>
    <row r="14" spans="1:5" x14ac:dyDescent="0.2">
      <c r="A14" s="7"/>
      <c r="B14" s="7"/>
      <c r="C14" s="13"/>
      <c r="D14" s="12"/>
      <c r="E14" s="12"/>
    </row>
    <row r="15" spans="1:5" x14ac:dyDescent="0.2">
      <c r="A15" s="6" t="s">
        <v>103</v>
      </c>
      <c r="B15" s="7"/>
      <c r="C15" s="13"/>
      <c r="D15" s="14">
        <v>0.3033053</v>
      </c>
      <c r="E15" s="14">
        <v>0.02</v>
      </c>
    </row>
    <row r="16" spans="1:5" x14ac:dyDescent="0.2">
      <c r="A16" s="7"/>
      <c r="B16" s="7"/>
      <c r="C16" s="13"/>
      <c r="D16" s="12"/>
      <c r="E16" s="12"/>
    </row>
    <row r="17" spans="1:5" x14ac:dyDescent="0.2">
      <c r="A17" s="8" t="s">
        <v>104</v>
      </c>
      <c r="B17" s="5"/>
      <c r="C17" s="24"/>
      <c r="D17" s="15">
        <v>1268.2870743999999</v>
      </c>
      <c r="E17" s="15">
        <f xml:space="preserve"> ROUND(SUM(E13:E16),2)</f>
        <v>100</v>
      </c>
    </row>
    <row r="19" spans="1:5" x14ac:dyDescent="0.2">
      <c r="A19" s="9" t="s">
        <v>105</v>
      </c>
    </row>
    <row r="20" spans="1:5" x14ac:dyDescent="0.2">
      <c r="A20" s="9" t="s">
        <v>106</v>
      </c>
    </row>
    <row r="21" spans="1:5" x14ac:dyDescent="0.2">
      <c r="A21" s="9" t="s">
        <v>107</v>
      </c>
    </row>
    <row r="22" spans="1:5" x14ac:dyDescent="0.2">
      <c r="A22" s="1" t="s">
        <v>719</v>
      </c>
      <c r="B22" s="10">
        <v>32.628500000000003</v>
      </c>
    </row>
    <row r="23" spans="1:5" x14ac:dyDescent="0.2">
      <c r="A23" s="1" t="s">
        <v>720</v>
      </c>
      <c r="B23" s="10">
        <v>83.286199999999994</v>
      </c>
    </row>
    <row r="24" spans="1:5" x14ac:dyDescent="0.2">
      <c r="A24" s="1" t="s">
        <v>721</v>
      </c>
      <c r="B24" s="10">
        <v>31.750399999999999</v>
      </c>
    </row>
    <row r="25" spans="1:5" x14ac:dyDescent="0.2">
      <c r="A25" s="1" t="s">
        <v>722</v>
      </c>
      <c r="B25" s="10">
        <v>81.382099999999994</v>
      </c>
    </row>
    <row r="27" spans="1:5" x14ac:dyDescent="0.2">
      <c r="A27" s="9" t="s">
        <v>108</v>
      </c>
    </row>
    <row r="28" spans="1:5" x14ac:dyDescent="0.2">
      <c r="A28" s="1" t="s">
        <v>719</v>
      </c>
      <c r="B28" s="10">
        <v>29.1495</v>
      </c>
    </row>
    <row r="29" spans="1:5" x14ac:dyDescent="0.2">
      <c r="A29" s="1" t="s">
        <v>720</v>
      </c>
      <c r="B29" s="10">
        <v>81.0745</v>
      </c>
    </row>
    <row r="30" spans="1:5" x14ac:dyDescent="0.2">
      <c r="A30" s="1" t="s">
        <v>721</v>
      </c>
      <c r="B30" s="10">
        <v>28.2441</v>
      </c>
    </row>
    <row r="31" spans="1:5" x14ac:dyDescent="0.2">
      <c r="A31" s="1" t="s">
        <v>722</v>
      </c>
      <c r="B31" s="10">
        <v>79.057100000000005</v>
      </c>
    </row>
    <row r="33" spans="1:5" x14ac:dyDescent="0.2">
      <c r="A33" s="9" t="s">
        <v>109</v>
      </c>
      <c r="B33" s="11"/>
      <c r="E33" s="2"/>
    </row>
    <row r="34" spans="1:5" x14ac:dyDescent="0.2">
      <c r="A34" s="41" t="s">
        <v>727</v>
      </c>
      <c r="B34" s="42"/>
      <c r="C34" s="57" t="s">
        <v>728</v>
      </c>
      <c r="D34" s="58"/>
      <c r="E34" s="2"/>
    </row>
    <row r="35" spans="1:5" x14ac:dyDescent="0.2">
      <c r="A35" s="59"/>
      <c r="B35" s="60"/>
      <c r="C35" s="43" t="s">
        <v>729</v>
      </c>
      <c r="D35" s="43" t="s">
        <v>730</v>
      </c>
      <c r="E35" s="2"/>
    </row>
    <row r="36" spans="1:5" x14ac:dyDescent="0.2">
      <c r="A36" s="44" t="s">
        <v>721</v>
      </c>
      <c r="B36" s="45"/>
      <c r="C36" s="46">
        <v>1.80080675</v>
      </c>
      <c r="D36" s="46">
        <v>1.6675560250000001</v>
      </c>
      <c r="E36" s="2"/>
    </row>
    <row r="37" spans="1:5" x14ac:dyDescent="0.2">
      <c r="A37" s="44" t="s">
        <v>719</v>
      </c>
      <c r="B37" s="45"/>
      <c r="C37" s="46">
        <v>1.80080675</v>
      </c>
      <c r="D37" s="46">
        <v>1.6675560250000001</v>
      </c>
      <c r="E37" s="2"/>
    </row>
    <row r="38" spans="1:5" x14ac:dyDescent="0.2">
      <c r="A38" s="47"/>
      <c r="B38" s="47"/>
      <c r="C38" s="48"/>
      <c r="D38" s="48"/>
      <c r="E38" s="2"/>
    </row>
    <row r="39" spans="1:5" x14ac:dyDescent="0.2">
      <c r="A39" s="9" t="s">
        <v>111</v>
      </c>
      <c r="B39" s="40">
        <v>7.6534455283317093E-2</v>
      </c>
      <c r="E39" s="2"/>
    </row>
  </sheetData>
  <mergeCells count="3">
    <mergeCell ref="C34:D34"/>
    <mergeCell ref="A35:B35"/>
    <mergeCell ref="A1:E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29.7109375" style="1" customWidth="1"/>
    <col min="3" max="3" width="19.140625" style="1" bestFit="1" customWidth="1"/>
    <col min="4" max="4" width="12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441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9</v>
      </c>
      <c r="B8" s="7" t="s">
        <v>10</v>
      </c>
      <c r="C8" s="7" t="s">
        <v>11</v>
      </c>
      <c r="D8" s="13">
        <v>3400000</v>
      </c>
      <c r="E8" s="12">
        <v>72367.3</v>
      </c>
      <c r="F8" s="12">
        <v>9.9096510926789332</v>
      </c>
    </row>
    <row r="9" spans="1:6" x14ac:dyDescent="0.2">
      <c r="A9" s="7" t="s">
        <v>113</v>
      </c>
      <c r="B9" s="7" t="s">
        <v>114</v>
      </c>
      <c r="C9" s="7" t="s">
        <v>11</v>
      </c>
      <c r="D9" s="13">
        <v>25000000</v>
      </c>
      <c r="E9" s="12">
        <v>71162.5</v>
      </c>
      <c r="F9" s="12">
        <v>9.7446712241960736</v>
      </c>
    </row>
    <row r="10" spans="1:6" x14ac:dyDescent="0.2">
      <c r="A10" s="7" t="s">
        <v>115</v>
      </c>
      <c r="B10" s="7" t="s">
        <v>116</v>
      </c>
      <c r="C10" s="7" t="s">
        <v>11</v>
      </c>
      <c r="D10" s="13">
        <v>19500000</v>
      </c>
      <c r="E10" s="12">
        <v>69254.25</v>
      </c>
      <c r="F10" s="12">
        <v>9.483364091035039</v>
      </c>
    </row>
    <row r="11" spans="1:6" x14ac:dyDescent="0.2">
      <c r="A11" s="7" t="s">
        <v>117</v>
      </c>
      <c r="B11" s="7" t="s">
        <v>118</v>
      </c>
      <c r="C11" s="7" t="s">
        <v>11</v>
      </c>
      <c r="D11" s="13">
        <v>7500000</v>
      </c>
      <c r="E11" s="12">
        <v>46931.25</v>
      </c>
      <c r="F11" s="12">
        <v>6.4265533306243032</v>
      </c>
    </row>
    <row r="12" spans="1:6" x14ac:dyDescent="0.2">
      <c r="A12" s="7" t="s">
        <v>119</v>
      </c>
      <c r="B12" s="7" t="s">
        <v>120</v>
      </c>
      <c r="C12" s="7" t="s">
        <v>29</v>
      </c>
      <c r="D12" s="13">
        <v>12900000</v>
      </c>
      <c r="E12" s="12">
        <v>40441.5</v>
      </c>
      <c r="F12" s="12">
        <v>5.5378762875577099</v>
      </c>
    </row>
    <row r="13" spans="1:6" x14ac:dyDescent="0.2">
      <c r="A13" s="7" t="s">
        <v>124</v>
      </c>
      <c r="B13" s="7" t="s">
        <v>125</v>
      </c>
      <c r="C13" s="7" t="s">
        <v>123</v>
      </c>
      <c r="D13" s="13">
        <v>11883085</v>
      </c>
      <c r="E13" s="12">
        <v>38548.727740000002</v>
      </c>
      <c r="F13" s="12">
        <v>5.2786886061808813</v>
      </c>
    </row>
    <row r="14" spans="1:6" x14ac:dyDescent="0.2">
      <c r="A14" s="7" t="s">
        <v>121</v>
      </c>
      <c r="B14" s="7" t="s">
        <v>122</v>
      </c>
      <c r="C14" s="7" t="s">
        <v>123</v>
      </c>
      <c r="D14" s="13">
        <v>27000000</v>
      </c>
      <c r="E14" s="12">
        <v>36342</v>
      </c>
      <c r="F14" s="12">
        <v>4.9765092798838388</v>
      </c>
    </row>
    <row r="15" spans="1:6" x14ac:dyDescent="0.2">
      <c r="A15" s="7" t="s">
        <v>126</v>
      </c>
      <c r="B15" s="7" t="s">
        <v>127</v>
      </c>
      <c r="C15" s="7" t="s">
        <v>52</v>
      </c>
      <c r="D15" s="13">
        <v>830000</v>
      </c>
      <c r="E15" s="12">
        <v>33197.095000000001</v>
      </c>
      <c r="F15" s="12">
        <v>4.5458601984669365</v>
      </c>
    </row>
    <row r="16" spans="1:6" x14ac:dyDescent="0.2">
      <c r="A16" s="7" t="s">
        <v>431</v>
      </c>
      <c r="B16" s="7" t="s">
        <v>432</v>
      </c>
      <c r="C16" s="7" t="s">
        <v>150</v>
      </c>
      <c r="D16" s="13">
        <v>370000</v>
      </c>
      <c r="E16" s="12">
        <v>27454.555</v>
      </c>
      <c r="F16" s="12">
        <v>3.7595027167624586</v>
      </c>
    </row>
    <row r="17" spans="1:6" x14ac:dyDescent="0.2">
      <c r="A17" s="7" t="s">
        <v>155</v>
      </c>
      <c r="B17" s="7" t="s">
        <v>156</v>
      </c>
      <c r="C17" s="7" t="s">
        <v>35</v>
      </c>
      <c r="D17" s="13">
        <v>25500000</v>
      </c>
      <c r="E17" s="12">
        <v>23906.25</v>
      </c>
      <c r="F17" s="12">
        <v>3.2736138619840136</v>
      </c>
    </row>
    <row r="18" spans="1:6" x14ac:dyDescent="0.2">
      <c r="A18" s="7" t="s">
        <v>128</v>
      </c>
      <c r="B18" s="7" t="s">
        <v>129</v>
      </c>
      <c r="C18" s="7" t="s">
        <v>130</v>
      </c>
      <c r="D18" s="13">
        <v>15400000</v>
      </c>
      <c r="E18" s="12">
        <v>21606.2</v>
      </c>
      <c r="F18" s="12">
        <v>2.9586554070504154</v>
      </c>
    </row>
    <row r="19" spans="1:6" x14ac:dyDescent="0.2">
      <c r="A19" s="7" t="s">
        <v>136</v>
      </c>
      <c r="B19" s="7" t="s">
        <v>137</v>
      </c>
      <c r="C19" s="7" t="s">
        <v>135</v>
      </c>
      <c r="D19" s="13">
        <v>8700000</v>
      </c>
      <c r="E19" s="12">
        <v>18635.400000000001</v>
      </c>
      <c r="F19" s="12">
        <v>2.5518474776937787</v>
      </c>
    </row>
    <row r="20" spans="1:6" x14ac:dyDescent="0.2">
      <c r="A20" s="7" t="s">
        <v>433</v>
      </c>
      <c r="B20" s="7" t="s">
        <v>434</v>
      </c>
      <c r="C20" s="7" t="s">
        <v>307</v>
      </c>
      <c r="D20" s="13">
        <v>2200000</v>
      </c>
      <c r="E20" s="12">
        <v>18082.900000000001</v>
      </c>
      <c r="F20" s="12">
        <v>2.4761906239945923</v>
      </c>
    </row>
    <row r="21" spans="1:6" x14ac:dyDescent="0.2">
      <c r="A21" s="7" t="s">
        <v>153</v>
      </c>
      <c r="B21" s="7" t="s">
        <v>154</v>
      </c>
      <c r="C21" s="7" t="s">
        <v>23</v>
      </c>
      <c r="D21" s="13">
        <v>3800000</v>
      </c>
      <c r="E21" s="12">
        <v>17103.8</v>
      </c>
      <c r="F21" s="12">
        <v>2.3421170937559079</v>
      </c>
    </row>
    <row r="22" spans="1:6" x14ac:dyDescent="0.2">
      <c r="A22" s="7" t="s">
        <v>144</v>
      </c>
      <c r="B22" s="7" t="s">
        <v>145</v>
      </c>
      <c r="C22" s="7" t="s">
        <v>26</v>
      </c>
      <c r="D22" s="13">
        <v>885000</v>
      </c>
      <c r="E22" s="12">
        <v>16876.064999999999</v>
      </c>
      <c r="F22" s="12">
        <v>2.310932091806253</v>
      </c>
    </row>
    <row r="23" spans="1:6" x14ac:dyDescent="0.2">
      <c r="A23" s="7" t="s">
        <v>131</v>
      </c>
      <c r="B23" s="7" t="s">
        <v>132</v>
      </c>
      <c r="C23" s="7" t="s">
        <v>26</v>
      </c>
      <c r="D23" s="13">
        <v>4496481</v>
      </c>
      <c r="E23" s="12">
        <v>16133.373828</v>
      </c>
      <c r="F23" s="12">
        <v>2.2092313183335275</v>
      </c>
    </row>
    <row r="24" spans="1:6" x14ac:dyDescent="0.2">
      <c r="A24" s="7" t="s">
        <v>148</v>
      </c>
      <c r="B24" s="7" t="s">
        <v>149</v>
      </c>
      <c r="C24" s="7" t="s">
        <v>150</v>
      </c>
      <c r="D24" s="13">
        <v>230000</v>
      </c>
      <c r="E24" s="12">
        <v>14159.375</v>
      </c>
      <c r="F24" s="12">
        <v>1.9389208377319695</v>
      </c>
    </row>
    <row r="25" spans="1:6" x14ac:dyDescent="0.2">
      <c r="A25" s="7" t="s">
        <v>151</v>
      </c>
      <c r="B25" s="7" t="s">
        <v>152</v>
      </c>
      <c r="C25" s="7" t="s">
        <v>52</v>
      </c>
      <c r="D25" s="13">
        <v>4500000</v>
      </c>
      <c r="E25" s="12">
        <v>12339</v>
      </c>
      <c r="F25" s="12">
        <v>1.6896469100348546</v>
      </c>
    </row>
    <row r="26" spans="1:6" x14ac:dyDescent="0.2">
      <c r="A26" s="7" t="s">
        <v>27</v>
      </c>
      <c r="B26" s="7" t="s">
        <v>28</v>
      </c>
      <c r="C26" s="7" t="s">
        <v>29</v>
      </c>
      <c r="D26" s="13">
        <v>30000000</v>
      </c>
      <c r="E26" s="12">
        <v>10590</v>
      </c>
      <c r="F26" s="12">
        <v>1.4501467523518203</v>
      </c>
    </row>
    <row r="27" spans="1:6" x14ac:dyDescent="0.2">
      <c r="A27" s="7" t="s">
        <v>140</v>
      </c>
      <c r="B27" s="7" t="s">
        <v>141</v>
      </c>
      <c r="C27" s="7" t="s">
        <v>26</v>
      </c>
      <c r="D27" s="13">
        <v>200000</v>
      </c>
      <c r="E27" s="12">
        <v>10557.4</v>
      </c>
      <c r="F27" s="12">
        <v>1.4456826556448639</v>
      </c>
    </row>
    <row r="28" spans="1:6" x14ac:dyDescent="0.2">
      <c r="A28" s="7" t="s">
        <v>160</v>
      </c>
      <c r="B28" s="7" t="s">
        <v>161</v>
      </c>
      <c r="C28" s="7" t="s">
        <v>23</v>
      </c>
      <c r="D28" s="13">
        <v>3200000</v>
      </c>
      <c r="E28" s="12">
        <v>9449.6</v>
      </c>
      <c r="F28" s="12">
        <v>1.293985528897428</v>
      </c>
    </row>
    <row r="29" spans="1:6" x14ac:dyDescent="0.2">
      <c r="A29" s="7" t="s">
        <v>435</v>
      </c>
      <c r="B29" s="7" t="s">
        <v>436</v>
      </c>
      <c r="C29" s="7" t="s">
        <v>52</v>
      </c>
      <c r="D29" s="13">
        <v>10000000</v>
      </c>
      <c r="E29" s="12">
        <v>7845</v>
      </c>
      <c r="F29" s="12">
        <v>1.0742588547875382</v>
      </c>
    </row>
    <row r="30" spans="1:6" x14ac:dyDescent="0.2">
      <c r="A30" s="7" t="s">
        <v>164</v>
      </c>
      <c r="B30" s="7" t="s">
        <v>165</v>
      </c>
      <c r="C30" s="7" t="s">
        <v>23</v>
      </c>
      <c r="D30" s="13">
        <v>7486059</v>
      </c>
      <c r="E30" s="12">
        <v>7778.0153010000004</v>
      </c>
      <c r="F30" s="12">
        <v>1.0650862727561772</v>
      </c>
    </row>
    <row r="31" spans="1:6" x14ac:dyDescent="0.2">
      <c r="A31" s="7" t="s">
        <v>437</v>
      </c>
      <c r="B31" s="7" t="s">
        <v>438</v>
      </c>
      <c r="C31" s="7" t="s">
        <v>333</v>
      </c>
      <c r="D31" s="13">
        <v>475000</v>
      </c>
      <c r="E31" s="12">
        <v>7544.9</v>
      </c>
      <c r="F31" s="12">
        <v>1.0331645166968129</v>
      </c>
    </row>
    <row r="32" spans="1:6" x14ac:dyDescent="0.2">
      <c r="A32" s="7" t="s">
        <v>439</v>
      </c>
      <c r="B32" s="7" t="s">
        <v>440</v>
      </c>
      <c r="C32" s="7" t="s">
        <v>32</v>
      </c>
      <c r="D32" s="13">
        <v>3424113</v>
      </c>
      <c r="E32" s="12">
        <v>7467.9904530000003</v>
      </c>
      <c r="F32" s="12">
        <v>1.0226328708226959</v>
      </c>
    </row>
    <row r="33" spans="1:6" x14ac:dyDescent="0.2">
      <c r="A33" s="7" t="s">
        <v>157</v>
      </c>
      <c r="B33" s="7" t="s">
        <v>158</v>
      </c>
      <c r="C33" s="7" t="s">
        <v>159</v>
      </c>
      <c r="D33" s="13">
        <v>8381597</v>
      </c>
      <c r="E33" s="12">
        <v>6831.0015549999998</v>
      </c>
      <c r="F33" s="12">
        <v>0.93540648916841207</v>
      </c>
    </row>
    <row r="34" spans="1:6" x14ac:dyDescent="0.2">
      <c r="A34" s="7" t="s">
        <v>175</v>
      </c>
      <c r="B34" s="7" t="s">
        <v>176</v>
      </c>
      <c r="C34" s="7" t="s">
        <v>11</v>
      </c>
      <c r="D34" s="13">
        <v>6965615</v>
      </c>
      <c r="E34" s="12">
        <v>4868.9648850000003</v>
      </c>
      <c r="F34" s="12">
        <v>0.66673405243605333</v>
      </c>
    </row>
    <row r="35" spans="1:6" x14ac:dyDescent="0.2">
      <c r="A35" s="6" t="s">
        <v>39</v>
      </c>
      <c r="B35" s="7"/>
      <c r="C35" s="7"/>
      <c r="D35" s="13"/>
      <c r="E35" s="14">
        <f xml:space="preserve"> SUM(E8:E34)</f>
        <v>667474.41376200004</v>
      </c>
      <c r="F35" s="14">
        <f>SUM(F8:F34)</f>
        <v>91.40093044333328</v>
      </c>
    </row>
    <row r="36" spans="1:6" x14ac:dyDescent="0.2">
      <c r="A36" s="6"/>
      <c r="B36" s="7"/>
      <c r="C36" s="7"/>
      <c r="D36" s="13"/>
      <c r="E36" s="14"/>
      <c r="F36" s="14"/>
    </row>
    <row r="37" spans="1:6" x14ac:dyDescent="0.2">
      <c r="A37" s="6" t="s">
        <v>40</v>
      </c>
      <c r="B37" s="7"/>
      <c r="C37" s="7"/>
      <c r="D37" s="13"/>
      <c r="E37" s="14"/>
      <c r="F37" s="14"/>
    </row>
    <row r="38" spans="1:6" x14ac:dyDescent="0.2">
      <c r="A38" s="7" t="s">
        <v>643</v>
      </c>
      <c r="B38" s="35" t="s">
        <v>649</v>
      </c>
      <c r="C38" s="7" t="s">
        <v>76</v>
      </c>
      <c r="D38" s="13">
        <v>500000</v>
      </c>
      <c r="E38" s="12">
        <v>24529.473750000001</v>
      </c>
      <c r="F38" s="12">
        <v>3.3589553064647526</v>
      </c>
    </row>
    <row r="39" spans="1:6" x14ac:dyDescent="0.2">
      <c r="A39" s="6" t="s">
        <v>39</v>
      </c>
      <c r="B39" s="35"/>
      <c r="C39" s="7"/>
      <c r="D39" s="13"/>
      <c r="E39" s="14">
        <f>SUM(E38)</f>
        <v>24529.473750000001</v>
      </c>
      <c r="F39" s="14">
        <f>SUM(F38)</f>
        <v>3.3589553064647526</v>
      </c>
    </row>
    <row r="40" spans="1:6" x14ac:dyDescent="0.2">
      <c r="A40" s="7"/>
      <c r="B40" s="7"/>
      <c r="C40" s="7"/>
      <c r="D40" s="13"/>
      <c r="E40" s="12"/>
      <c r="F40" s="12"/>
    </row>
    <row r="41" spans="1:6" x14ac:dyDescent="0.2">
      <c r="A41" s="6" t="s">
        <v>39</v>
      </c>
      <c r="B41" s="7"/>
      <c r="C41" s="7"/>
      <c r="D41" s="13"/>
      <c r="E41" s="14">
        <f>E35+E39</f>
        <v>692003.88751200004</v>
      </c>
      <c r="F41" s="14">
        <f>F35+F39</f>
        <v>94.75988574979803</v>
      </c>
    </row>
    <row r="42" spans="1:6" x14ac:dyDescent="0.2">
      <c r="A42" s="7"/>
      <c r="B42" s="7"/>
      <c r="C42" s="7"/>
      <c r="D42" s="13"/>
      <c r="E42" s="12"/>
      <c r="F42" s="12"/>
    </row>
    <row r="43" spans="1:6" x14ac:dyDescent="0.2">
      <c r="A43" s="6" t="s">
        <v>103</v>
      </c>
      <c r="B43" s="7"/>
      <c r="C43" s="7"/>
      <c r="D43" s="13"/>
      <c r="E43" s="14">
        <v>38267.030436499997</v>
      </c>
      <c r="F43" s="14">
        <v>5.240114250201958</v>
      </c>
    </row>
    <row r="44" spans="1:6" x14ac:dyDescent="0.2">
      <c r="A44" s="7"/>
      <c r="B44" s="7"/>
      <c r="C44" s="7"/>
      <c r="D44" s="13"/>
      <c r="E44" s="12"/>
      <c r="F44" s="12"/>
    </row>
    <row r="45" spans="1:6" x14ac:dyDescent="0.2">
      <c r="A45" s="8" t="s">
        <v>104</v>
      </c>
      <c r="B45" s="5"/>
      <c r="C45" s="5"/>
      <c r="D45" s="24"/>
      <c r="E45" s="15">
        <f>E41+E43</f>
        <v>730270.91794850002</v>
      </c>
      <c r="F45" s="15">
        <f>F41+F43</f>
        <v>99.999999999999986</v>
      </c>
    </row>
    <row r="47" spans="1:6" x14ac:dyDescent="0.2">
      <c r="A47" s="9" t="s">
        <v>105</v>
      </c>
    </row>
    <row r="48" spans="1:6" x14ac:dyDescent="0.2">
      <c r="A48" s="9" t="s">
        <v>106</v>
      </c>
    </row>
    <row r="49" spans="1:4" x14ac:dyDescent="0.2">
      <c r="A49" s="9" t="s">
        <v>107</v>
      </c>
    </row>
    <row r="50" spans="1:4" x14ac:dyDescent="0.2">
      <c r="A50" s="1" t="s">
        <v>719</v>
      </c>
      <c r="B50" s="10">
        <v>26.581600000000002</v>
      </c>
    </row>
    <row r="51" spans="1:4" x14ac:dyDescent="0.2">
      <c r="A51" s="1" t="s">
        <v>720</v>
      </c>
      <c r="B51" s="10">
        <v>40.7973</v>
      </c>
    </row>
    <row r="52" spans="1:4" x14ac:dyDescent="0.2">
      <c r="A52" s="1" t="s">
        <v>721</v>
      </c>
      <c r="B52" s="10">
        <v>24.811</v>
      </c>
    </row>
    <row r="53" spans="1:4" x14ac:dyDescent="0.2">
      <c r="A53" s="1" t="s">
        <v>722</v>
      </c>
      <c r="B53" s="10">
        <v>38.506999999999998</v>
      </c>
    </row>
    <row r="55" spans="1:4" x14ac:dyDescent="0.2">
      <c r="A55" s="9" t="s">
        <v>108</v>
      </c>
    </row>
    <row r="56" spans="1:4" x14ac:dyDescent="0.2">
      <c r="A56" s="1" t="s">
        <v>719</v>
      </c>
      <c r="B56" s="10">
        <v>23.677900000000001</v>
      </c>
    </row>
    <row r="57" spans="1:4" x14ac:dyDescent="0.2">
      <c r="A57" s="1" t="s">
        <v>720</v>
      </c>
      <c r="B57" s="10">
        <v>39.564700000000002</v>
      </c>
    </row>
    <row r="58" spans="1:4" x14ac:dyDescent="0.2">
      <c r="A58" s="1" t="s">
        <v>721</v>
      </c>
      <c r="B58" s="10">
        <v>21.834700000000002</v>
      </c>
    </row>
    <row r="59" spans="1:4" x14ac:dyDescent="0.2">
      <c r="A59" s="1" t="s">
        <v>722</v>
      </c>
      <c r="B59" s="10">
        <v>37.138100000000001</v>
      </c>
    </row>
    <row r="61" spans="1:4" x14ac:dyDescent="0.2">
      <c r="A61" s="9" t="s">
        <v>109</v>
      </c>
      <c r="B61" s="11"/>
    </row>
    <row r="62" spans="1:4" x14ac:dyDescent="0.2">
      <c r="A62" s="41" t="s">
        <v>727</v>
      </c>
      <c r="B62" s="42"/>
      <c r="C62" s="57" t="s">
        <v>728</v>
      </c>
      <c r="D62" s="58"/>
    </row>
    <row r="63" spans="1:4" x14ac:dyDescent="0.2">
      <c r="A63" s="59"/>
      <c r="B63" s="60"/>
      <c r="C63" s="43" t="s">
        <v>729</v>
      </c>
      <c r="D63" s="43" t="s">
        <v>730</v>
      </c>
    </row>
    <row r="64" spans="1:4" x14ac:dyDescent="0.2">
      <c r="A64" s="44" t="s">
        <v>721</v>
      </c>
      <c r="B64" s="45"/>
      <c r="C64" s="46">
        <v>1.9921690575000002</v>
      </c>
      <c r="D64" s="46">
        <v>1.9921690575000002</v>
      </c>
    </row>
    <row r="65" spans="1:4" x14ac:dyDescent="0.2">
      <c r="A65" s="44" t="s">
        <v>719</v>
      </c>
      <c r="B65" s="45"/>
      <c r="C65" s="46">
        <v>1.9921690575000002</v>
      </c>
      <c r="D65" s="46">
        <v>1.9921690575000002</v>
      </c>
    </row>
    <row r="66" spans="1:4" x14ac:dyDescent="0.2">
      <c r="A66" s="47"/>
      <c r="B66" s="47"/>
      <c r="C66" s="48"/>
      <c r="D66" s="48"/>
    </row>
    <row r="67" spans="1:4" x14ac:dyDescent="0.2">
      <c r="A67" s="9" t="s">
        <v>111</v>
      </c>
      <c r="B67" s="40">
        <v>0.2480314512092105</v>
      </c>
    </row>
  </sheetData>
  <mergeCells count="3">
    <mergeCell ref="C62:D62"/>
    <mergeCell ref="A63:B63"/>
    <mergeCell ref="A1:F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6.7109375" style="1" bestFit="1" customWidth="1"/>
    <col min="3" max="3" width="20" style="1" bestFit="1" customWidth="1"/>
    <col min="4" max="4" width="11.140625" style="25" bestFit="1" customWidth="1"/>
    <col min="5" max="5" width="24" style="22" bestFit="1" customWidth="1"/>
    <col min="6" max="6" width="14.140625" style="22" bestFit="1" customWidth="1"/>
    <col min="7" max="7" width="13.140625" style="2" bestFit="1" customWidth="1"/>
    <col min="8" max="16384" width="9.140625" style="2"/>
  </cols>
  <sheetData>
    <row r="1" spans="1:6" x14ac:dyDescent="0.2">
      <c r="A1" s="56" t="s">
        <v>400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327</v>
      </c>
      <c r="B8" s="7" t="s">
        <v>328</v>
      </c>
      <c r="C8" s="7" t="s">
        <v>32</v>
      </c>
      <c r="D8" s="13">
        <v>207128</v>
      </c>
      <c r="E8" s="12">
        <v>6215.4970240000002</v>
      </c>
      <c r="F8" s="12">
        <v>6.688978171930982</v>
      </c>
    </row>
    <row r="9" spans="1:6" x14ac:dyDescent="0.2">
      <c r="A9" s="7" t="s">
        <v>9</v>
      </c>
      <c r="B9" s="7" t="s">
        <v>10</v>
      </c>
      <c r="C9" s="7" t="s">
        <v>11</v>
      </c>
      <c r="D9" s="13">
        <v>283200</v>
      </c>
      <c r="E9" s="12">
        <v>6027.7704000000003</v>
      </c>
      <c r="F9" s="12">
        <v>6.4869509993046179</v>
      </c>
    </row>
    <row r="10" spans="1:6" x14ac:dyDescent="0.2">
      <c r="A10" s="7" t="s">
        <v>115</v>
      </c>
      <c r="B10" s="7" t="s">
        <v>116</v>
      </c>
      <c r="C10" s="7" t="s">
        <v>11</v>
      </c>
      <c r="D10" s="13">
        <v>1604200</v>
      </c>
      <c r="E10" s="12">
        <v>5697.3163000000004</v>
      </c>
      <c r="F10" s="12">
        <v>6.1313237255419502</v>
      </c>
    </row>
    <row r="11" spans="1:6" x14ac:dyDescent="0.2">
      <c r="A11" s="7" t="s">
        <v>329</v>
      </c>
      <c r="B11" s="7" t="s">
        <v>330</v>
      </c>
      <c r="C11" s="7" t="s">
        <v>123</v>
      </c>
      <c r="D11" s="13">
        <v>450600</v>
      </c>
      <c r="E11" s="12">
        <v>5260.9803000000002</v>
      </c>
      <c r="F11" s="12">
        <v>5.6617487312401469</v>
      </c>
    </row>
    <row r="12" spans="1:6" x14ac:dyDescent="0.2">
      <c r="A12" s="7" t="s">
        <v>185</v>
      </c>
      <c r="B12" s="7" t="s">
        <v>186</v>
      </c>
      <c r="C12" s="7" t="s">
        <v>76</v>
      </c>
      <c r="D12" s="13">
        <v>565444</v>
      </c>
      <c r="E12" s="12">
        <v>3774.0559779999999</v>
      </c>
      <c r="F12" s="12">
        <v>4.0615542021837241</v>
      </c>
    </row>
    <row r="13" spans="1:6" x14ac:dyDescent="0.2">
      <c r="A13" s="7" t="s">
        <v>331</v>
      </c>
      <c r="B13" s="7" t="s">
        <v>332</v>
      </c>
      <c r="C13" s="7" t="s">
        <v>333</v>
      </c>
      <c r="D13" s="13">
        <v>434134</v>
      </c>
      <c r="E13" s="12">
        <v>3027.8675830000002</v>
      </c>
      <c r="F13" s="12">
        <v>3.2585230259108586</v>
      </c>
    </row>
    <row r="14" spans="1:6" x14ac:dyDescent="0.2">
      <c r="A14" s="7" t="s">
        <v>334</v>
      </c>
      <c r="B14" s="7" t="s">
        <v>335</v>
      </c>
      <c r="C14" s="7" t="s">
        <v>32</v>
      </c>
      <c r="D14" s="13">
        <v>345063</v>
      </c>
      <c r="E14" s="12">
        <v>2935.1058779999998</v>
      </c>
      <c r="F14" s="12">
        <v>3.1586949642867879</v>
      </c>
    </row>
    <row r="15" spans="1:6" x14ac:dyDescent="0.2">
      <c r="A15" s="7" t="s">
        <v>262</v>
      </c>
      <c r="B15" s="7" t="s">
        <v>263</v>
      </c>
      <c r="C15" s="7" t="s">
        <v>246</v>
      </c>
      <c r="D15" s="13">
        <v>1002100</v>
      </c>
      <c r="E15" s="12">
        <v>2395.5200500000001</v>
      </c>
      <c r="F15" s="12">
        <v>2.578004826162879</v>
      </c>
    </row>
    <row r="16" spans="1:6" x14ac:dyDescent="0.2">
      <c r="A16" s="7" t="s">
        <v>336</v>
      </c>
      <c r="B16" s="7" t="s">
        <v>337</v>
      </c>
      <c r="C16" s="7" t="s">
        <v>150</v>
      </c>
      <c r="D16" s="13">
        <v>302822</v>
      </c>
      <c r="E16" s="12">
        <v>1977.881893</v>
      </c>
      <c r="F16" s="12">
        <v>2.1285520301673833</v>
      </c>
    </row>
    <row r="17" spans="1:6" x14ac:dyDescent="0.2">
      <c r="A17" s="7" t="s">
        <v>338</v>
      </c>
      <c r="B17" s="7" t="s">
        <v>339</v>
      </c>
      <c r="C17" s="7" t="s">
        <v>52</v>
      </c>
      <c r="D17" s="13">
        <v>276875</v>
      </c>
      <c r="E17" s="12">
        <v>1969.8271875</v>
      </c>
      <c r="F17" s="12">
        <v>2.1198837371792614</v>
      </c>
    </row>
    <row r="18" spans="1:6" x14ac:dyDescent="0.2">
      <c r="A18" s="7" t="s">
        <v>340</v>
      </c>
      <c r="B18" s="7" t="s">
        <v>341</v>
      </c>
      <c r="C18" s="7" t="s">
        <v>150</v>
      </c>
      <c r="D18" s="13">
        <v>297470</v>
      </c>
      <c r="E18" s="12">
        <v>1857.2539449999999</v>
      </c>
      <c r="F18" s="12">
        <v>1.998734944264001</v>
      </c>
    </row>
    <row r="19" spans="1:6" x14ac:dyDescent="0.2">
      <c r="A19" s="7" t="s">
        <v>342</v>
      </c>
      <c r="B19" s="7" t="s">
        <v>343</v>
      </c>
      <c r="C19" s="7" t="s">
        <v>344</v>
      </c>
      <c r="D19" s="13">
        <v>747000</v>
      </c>
      <c r="E19" s="12">
        <v>1829.403</v>
      </c>
      <c r="F19" s="12">
        <v>1.968762383348388</v>
      </c>
    </row>
    <row r="20" spans="1:6" x14ac:dyDescent="0.2">
      <c r="A20" s="7" t="s">
        <v>212</v>
      </c>
      <c r="B20" s="7" t="s">
        <v>213</v>
      </c>
      <c r="C20" s="7" t="s">
        <v>11</v>
      </c>
      <c r="D20" s="13">
        <v>1056200</v>
      </c>
      <c r="E20" s="12">
        <v>1793.4276</v>
      </c>
      <c r="F20" s="12">
        <v>1.9300464666007322</v>
      </c>
    </row>
    <row r="21" spans="1:6" x14ac:dyDescent="0.2">
      <c r="A21" s="7" t="s">
        <v>345</v>
      </c>
      <c r="B21" s="7" t="s">
        <v>346</v>
      </c>
      <c r="C21" s="7" t="s">
        <v>32</v>
      </c>
      <c r="D21" s="13">
        <v>1043473</v>
      </c>
      <c r="E21" s="12">
        <v>1770.7736809999999</v>
      </c>
      <c r="F21" s="12">
        <v>1.9056668282364015</v>
      </c>
    </row>
    <row r="22" spans="1:6" x14ac:dyDescent="0.2">
      <c r="A22" s="7" t="s">
        <v>276</v>
      </c>
      <c r="B22" s="7" t="s">
        <v>277</v>
      </c>
      <c r="C22" s="7" t="s">
        <v>32</v>
      </c>
      <c r="D22" s="13">
        <v>1505501</v>
      </c>
      <c r="E22" s="12">
        <v>1620.6718265</v>
      </c>
      <c r="F22" s="12">
        <v>1.7441305867355226</v>
      </c>
    </row>
    <row r="23" spans="1:6" x14ac:dyDescent="0.2">
      <c r="A23" s="7" t="s">
        <v>347</v>
      </c>
      <c r="B23" s="7" t="s">
        <v>348</v>
      </c>
      <c r="C23" s="7" t="s">
        <v>20</v>
      </c>
      <c r="D23" s="13">
        <v>799718</v>
      </c>
      <c r="E23" s="12">
        <v>1566.247703</v>
      </c>
      <c r="F23" s="12">
        <v>1.6855605684872159</v>
      </c>
    </row>
    <row r="24" spans="1:6" x14ac:dyDescent="0.2">
      <c r="A24" s="7" t="s">
        <v>349</v>
      </c>
      <c r="B24" s="7" t="s">
        <v>350</v>
      </c>
      <c r="C24" s="7" t="s">
        <v>351</v>
      </c>
      <c r="D24" s="13">
        <v>136944</v>
      </c>
      <c r="E24" s="12">
        <v>1451.4009840000001</v>
      </c>
      <c r="F24" s="12">
        <v>1.5619651112707456</v>
      </c>
    </row>
    <row r="25" spans="1:6" x14ac:dyDescent="0.2">
      <c r="A25" s="7" t="s">
        <v>352</v>
      </c>
      <c r="B25" s="7" t="s">
        <v>353</v>
      </c>
      <c r="C25" s="7" t="s">
        <v>159</v>
      </c>
      <c r="D25" s="13">
        <v>1555420</v>
      </c>
      <c r="E25" s="12">
        <v>1418.54304</v>
      </c>
      <c r="F25" s="12">
        <v>1.5266041305894151</v>
      </c>
    </row>
    <row r="26" spans="1:6" x14ac:dyDescent="0.2">
      <c r="A26" s="7" t="s">
        <v>254</v>
      </c>
      <c r="B26" s="7" t="s">
        <v>255</v>
      </c>
      <c r="C26" s="7" t="s">
        <v>11</v>
      </c>
      <c r="D26" s="13">
        <v>1505600</v>
      </c>
      <c r="E26" s="12">
        <v>1284.2768000000001</v>
      </c>
      <c r="F26" s="12">
        <v>1.382109821426466</v>
      </c>
    </row>
    <row r="27" spans="1:6" x14ac:dyDescent="0.2">
      <c r="A27" s="7" t="s">
        <v>354</v>
      </c>
      <c r="B27" s="7" t="s">
        <v>355</v>
      </c>
      <c r="C27" s="7" t="s">
        <v>32</v>
      </c>
      <c r="D27" s="13">
        <v>865298</v>
      </c>
      <c r="E27" s="12">
        <v>1247.759716</v>
      </c>
      <c r="F27" s="12">
        <v>1.3428109565351471</v>
      </c>
    </row>
    <row r="28" spans="1:6" x14ac:dyDescent="0.2">
      <c r="A28" s="7" t="s">
        <v>356</v>
      </c>
      <c r="B28" s="7" t="s">
        <v>357</v>
      </c>
      <c r="C28" s="7" t="s">
        <v>79</v>
      </c>
      <c r="D28" s="13">
        <v>586400</v>
      </c>
      <c r="E28" s="12">
        <v>1160.4856</v>
      </c>
      <c r="F28" s="12">
        <v>1.2488885148310591</v>
      </c>
    </row>
    <row r="29" spans="1:6" x14ac:dyDescent="0.2">
      <c r="A29" s="7" t="s">
        <v>194</v>
      </c>
      <c r="B29" s="7" t="s">
        <v>195</v>
      </c>
      <c r="C29" s="7" t="s">
        <v>150</v>
      </c>
      <c r="D29" s="13">
        <v>40000</v>
      </c>
      <c r="E29" s="12">
        <v>1088.8800000000001</v>
      </c>
      <c r="F29" s="12">
        <v>1.1718281778156006</v>
      </c>
    </row>
    <row r="30" spans="1:6" x14ac:dyDescent="0.2">
      <c r="A30" s="7" t="s">
        <v>155</v>
      </c>
      <c r="B30" s="7" t="s">
        <v>156</v>
      </c>
      <c r="C30" s="7" t="s">
        <v>35</v>
      </c>
      <c r="D30" s="13">
        <v>1158906</v>
      </c>
      <c r="E30" s="12">
        <v>1086.474375</v>
      </c>
      <c r="F30" s="12">
        <v>1.1692392982694084</v>
      </c>
    </row>
    <row r="31" spans="1:6" x14ac:dyDescent="0.2">
      <c r="A31" s="7" t="s">
        <v>358</v>
      </c>
      <c r="B31" s="7" t="s">
        <v>359</v>
      </c>
      <c r="C31" s="7" t="s">
        <v>360</v>
      </c>
      <c r="D31" s="13">
        <v>766050</v>
      </c>
      <c r="E31" s="12">
        <v>1074.7681500000001</v>
      </c>
      <c r="F31" s="12">
        <v>1.1566413220820879</v>
      </c>
    </row>
    <row r="32" spans="1:6" x14ac:dyDescent="0.2">
      <c r="A32" s="7" t="s">
        <v>361</v>
      </c>
      <c r="B32" s="7" t="s">
        <v>362</v>
      </c>
      <c r="C32" s="7" t="s">
        <v>290</v>
      </c>
      <c r="D32" s="13">
        <v>930600</v>
      </c>
      <c r="E32" s="12">
        <v>600.23699999999997</v>
      </c>
      <c r="F32" s="12">
        <v>0.64596156598293897</v>
      </c>
    </row>
    <row r="33" spans="1:6" x14ac:dyDescent="0.2">
      <c r="A33" s="7" t="s">
        <v>363</v>
      </c>
      <c r="B33" s="7" t="s">
        <v>364</v>
      </c>
      <c r="C33" s="7" t="s">
        <v>159</v>
      </c>
      <c r="D33" s="13">
        <v>192709</v>
      </c>
      <c r="E33" s="12">
        <v>547.58262349999995</v>
      </c>
      <c r="F33" s="12">
        <v>0.58929610967185631</v>
      </c>
    </row>
    <row r="34" spans="1:6" x14ac:dyDescent="0.2">
      <c r="A34" s="7" t="s">
        <v>268</v>
      </c>
      <c r="B34" s="7" t="s">
        <v>269</v>
      </c>
      <c r="C34" s="7" t="s">
        <v>246</v>
      </c>
      <c r="D34" s="13">
        <v>49400</v>
      </c>
      <c r="E34" s="12">
        <v>474.43759999999997</v>
      </c>
      <c r="F34" s="12">
        <v>0.51057907969216687</v>
      </c>
    </row>
    <row r="35" spans="1:6" x14ac:dyDescent="0.2">
      <c r="A35" s="7" t="s">
        <v>365</v>
      </c>
      <c r="B35" s="7" t="s">
        <v>366</v>
      </c>
      <c r="C35" s="7" t="s">
        <v>23</v>
      </c>
      <c r="D35" s="13">
        <v>278259</v>
      </c>
      <c r="E35" s="12">
        <v>377.875722</v>
      </c>
      <c r="F35" s="12">
        <v>0.40666135731395048</v>
      </c>
    </row>
    <row r="36" spans="1:6" x14ac:dyDescent="0.2">
      <c r="A36" s="6" t="s">
        <v>39</v>
      </c>
      <c r="B36" s="7"/>
      <c r="C36" s="7"/>
      <c r="D36" s="13"/>
      <c r="E36" s="14">
        <f xml:space="preserve"> SUM(E8:E35)</f>
        <v>61532.32195949999</v>
      </c>
      <c r="F36" s="14">
        <f>SUM(F8:F35)</f>
        <v>66.219701637061689</v>
      </c>
    </row>
    <row r="37" spans="1:6" x14ac:dyDescent="0.2">
      <c r="A37" s="7"/>
      <c r="B37" s="7"/>
      <c r="C37" s="7"/>
      <c r="D37" s="13"/>
      <c r="E37" s="12"/>
      <c r="F37" s="12"/>
    </row>
    <row r="38" spans="1:6" x14ac:dyDescent="0.2">
      <c r="A38" s="6" t="s">
        <v>291</v>
      </c>
      <c r="B38" s="7"/>
      <c r="C38" s="7"/>
      <c r="D38" s="13"/>
      <c r="E38" s="12"/>
      <c r="F38" s="12"/>
    </row>
    <row r="39" spans="1:6" x14ac:dyDescent="0.2">
      <c r="A39" s="7" t="s">
        <v>367</v>
      </c>
      <c r="B39" s="7" t="s">
        <v>368</v>
      </c>
      <c r="C39" s="7" t="s">
        <v>1901</v>
      </c>
      <c r="D39" s="13">
        <v>140800</v>
      </c>
      <c r="E39" s="12">
        <v>1670.5216</v>
      </c>
      <c r="F39" s="12">
        <v>1.797777792345898</v>
      </c>
    </row>
    <row r="40" spans="1:6" x14ac:dyDescent="0.2">
      <c r="A40" s="6" t="s">
        <v>39</v>
      </c>
      <c r="B40" s="7"/>
      <c r="C40" s="7"/>
      <c r="D40" s="13"/>
      <c r="E40" s="14">
        <f>SUM(E39:E39)</f>
        <v>1670.5216</v>
      </c>
      <c r="F40" s="14">
        <f>SUM(F39:F39)</f>
        <v>1.797777792345898</v>
      </c>
    </row>
    <row r="41" spans="1:6" x14ac:dyDescent="0.2">
      <c r="A41" s="7"/>
      <c r="B41" s="7"/>
      <c r="C41" s="7"/>
      <c r="D41" s="13"/>
      <c r="E41" s="12"/>
      <c r="F41" s="12"/>
    </row>
    <row r="42" spans="1:6" x14ac:dyDescent="0.2">
      <c r="A42" s="6" t="s">
        <v>40</v>
      </c>
      <c r="B42" s="7"/>
      <c r="C42" s="7"/>
      <c r="D42" s="13"/>
      <c r="E42" s="12"/>
      <c r="F42" s="12"/>
    </row>
    <row r="43" spans="1:6" x14ac:dyDescent="0.2">
      <c r="A43" s="7"/>
      <c r="B43" s="7"/>
      <c r="C43" s="7"/>
      <c r="D43" s="13"/>
      <c r="E43" s="12"/>
      <c r="F43" s="12"/>
    </row>
    <row r="44" spans="1:6" x14ac:dyDescent="0.2">
      <c r="A44" s="7" t="s">
        <v>678</v>
      </c>
      <c r="B44" s="7" t="s">
        <v>682</v>
      </c>
      <c r="C44" s="7" t="s">
        <v>150</v>
      </c>
      <c r="D44" s="13">
        <v>6700</v>
      </c>
      <c r="E44" s="12">
        <v>2347.1711919999998</v>
      </c>
      <c r="F44" s="12">
        <v>2.5259728720728001</v>
      </c>
    </row>
    <row r="45" spans="1:6" x14ac:dyDescent="0.2">
      <c r="A45" s="7" t="s">
        <v>375</v>
      </c>
      <c r="B45" s="7" t="s">
        <v>376</v>
      </c>
      <c r="C45" s="7" t="s">
        <v>76</v>
      </c>
      <c r="D45" s="13">
        <v>1178700</v>
      </c>
      <c r="E45" s="12">
        <v>2213.545811</v>
      </c>
      <c r="F45" s="12">
        <v>2.3821682409590452</v>
      </c>
    </row>
    <row r="46" spans="1:6" x14ac:dyDescent="0.2">
      <c r="A46" s="7" t="s">
        <v>383</v>
      </c>
      <c r="B46" s="7" t="s">
        <v>384</v>
      </c>
      <c r="C46" s="7" t="s">
        <v>174</v>
      </c>
      <c r="D46" s="13">
        <v>7989938</v>
      </c>
      <c r="E46" s="12">
        <v>2088.5465549999999</v>
      </c>
      <c r="F46" s="12">
        <v>2.2476468516537169</v>
      </c>
    </row>
    <row r="47" spans="1:6" x14ac:dyDescent="0.2">
      <c r="A47" s="7" t="s">
        <v>675</v>
      </c>
      <c r="B47" s="7" t="s">
        <v>680</v>
      </c>
      <c r="C47" s="7" t="s">
        <v>159</v>
      </c>
      <c r="D47" s="13">
        <v>2562198</v>
      </c>
      <c r="E47" s="12">
        <v>2068.8325490000002</v>
      </c>
      <c r="F47" s="12">
        <v>2.2264310815703054</v>
      </c>
    </row>
    <row r="48" spans="1:6" x14ac:dyDescent="0.2">
      <c r="A48" s="7" t="s">
        <v>379</v>
      </c>
      <c r="B48" s="7" t="s">
        <v>380</v>
      </c>
      <c r="C48" s="7" t="s">
        <v>79</v>
      </c>
      <c r="D48" s="13">
        <v>440700</v>
      </c>
      <c r="E48" s="12">
        <v>1977.6260150000001</v>
      </c>
      <c r="F48" s="12">
        <v>2.1282766600159588</v>
      </c>
    </row>
    <row r="49" spans="1:6" x14ac:dyDescent="0.2">
      <c r="A49" s="7" t="s">
        <v>679</v>
      </c>
      <c r="B49" s="7" t="s">
        <v>683</v>
      </c>
      <c r="C49" s="7" t="s">
        <v>79</v>
      </c>
      <c r="D49" s="13">
        <v>998203</v>
      </c>
      <c r="E49" s="12">
        <v>1706.6641969999998</v>
      </c>
      <c r="F49" s="12">
        <v>1.8366736427463399</v>
      </c>
    </row>
    <row r="50" spans="1:6" x14ac:dyDescent="0.2">
      <c r="A50" s="7" t="s">
        <v>677</v>
      </c>
      <c r="B50" s="7" t="s">
        <v>681</v>
      </c>
      <c r="C50" s="7" t="s">
        <v>246</v>
      </c>
      <c r="D50" s="13">
        <v>340000</v>
      </c>
      <c r="E50" s="12">
        <v>1531.6008830000001</v>
      </c>
      <c r="F50" s="12">
        <v>1.6482744396688842</v>
      </c>
    </row>
    <row r="51" spans="1:6" x14ac:dyDescent="0.2">
      <c r="A51" s="7" t="s">
        <v>373</v>
      </c>
      <c r="B51" s="7" t="s">
        <v>374</v>
      </c>
      <c r="C51" s="7" t="s">
        <v>150</v>
      </c>
      <c r="D51" s="13">
        <v>2678400</v>
      </c>
      <c r="E51" s="12">
        <v>1491.053261</v>
      </c>
      <c r="F51" s="12">
        <v>1.6046380003890592</v>
      </c>
    </row>
    <row r="52" spans="1:6" x14ac:dyDescent="0.2">
      <c r="A52" s="7" t="s">
        <v>369</v>
      </c>
      <c r="B52" s="7" t="s">
        <v>370</v>
      </c>
      <c r="C52" s="7" t="s">
        <v>159</v>
      </c>
      <c r="D52" s="13">
        <v>1975462</v>
      </c>
      <c r="E52" s="12">
        <v>1399.336986</v>
      </c>
      <c r="F52" s="12">
        <v>1.5059350070295665</v>
      </c>
    </row>
    <row r="53" spans="1:6" x14ac:dyDescent="0.2">
      <c r="A53" s="7" t="s">
        <v>381</v>
      </c>
      <c r="B53" s="7" t="s">
        <v>382</v>
      </c>
      <c r="C53" s="7" t="s">
        <v>95</v>
      </c>
      <c r="D53" s="13">
        <v>3204100</v>
      </c>
      <c r="E53" s="12">
        <v>1194.8557410000001</v>
      </c>
      <c r="F53" s="12">
        <v>1.285876887929376</v>
      </c>
    </row>
    <row r="54" spans="1:6" x14ac:dyDescent="0.2">
      <c r="A54" s="7" t="s">
        <v>398</v>
      </c>
      <c r="B54" s="7" t="s">
        <v>399</v>
      </c>
      <c r="C54" s="7" t="s">
        <v>76</v>
      </c>
      <c r="D54" s="13">
        <v>314861</v>
      </c>
      <c r="E54" s="12">
        <v>1051.848356</v>
      </c>
      <c r="F54" s="12">
        <v>1.1319755550196668</v>
      </c>
    </row>
    <row r="55" spans="1:6" x14ac:dyDescent="0.2">
      <c r="A55" s="7" t="s">
        <v>371</v>
      </c>
      <c r="B55" s="7" t="s">
        <v>372</v>
      </c>
      <c r="C55" s="7" t="s">
        <v>17</v>
      </c>
      <c r="D55" s="13">
        <v>2826000</v>
      </c>
      <c r="E55" s="12">
        <v>1033.687216</v>
      </c>
      <c r="F55" s="12">
        <v>1.1124309444167961</v>
      </c>
    </row>
    <row r="56" spans="1:6" x14ac:dyDescent="0.2">
      <c r="A56" s="7" t="s">
        <v>71</v>
      </c>
      <c r="B56" s="7" t="s">
        <v>72</v>
      </c>
      <c r="C56" s="7" t="s">
        <v>73</v>
      </c>
      <c r="D56" s="13">
        <v>140000</v>
      </c>
      <c r="E56" s="12">
        <v>945.49023109999996</v>
      </c>
      <c r="F56" s="12">
        <v>1.0175153319487582</v>
      </c>
    </row>
    <row r="57" spans="1:6" x14ac:dyDescent="0.2">
      <c r="A57" s="7" t="s">
        <v>389</v>
      </c>
      <c r="B57" s="7" t="s">
        <v>390</v>
      </c>
      <c r="C57" s="7" t="s">
        <v>150</v>
      </c>
      <c r="D57" s="13">
        <v>70700</v>
      </c>
      <c r="E57" s="12">
        <v>895.10392899999999</v>
      </c>
      <c r="F57" s="12">
        <v>0.96329072632030577</v>
      </c>
    </row>
    <row r="58" spans="1:6" x14ac:dyDescent="0.2">
      <c r="A58" s="7" t="s">
        <v>394</v>
      </c>
      <c r="B58" s="7" t="s">
        <v>395</v>
      </c>
      <c r="C58" s="7" t="s">
        <v>150</v>
      </c>
      <c r="D58" s="13">
        <v>500000</v>
      </c>
      <c r="E58" s="12">
        <v>794.96747089999997</v>
      </c>
      <c r="F58" s="12">
        <v>0.85552612119556182</v>
      </c>
    </row>
    <row r="59" spans="1:6" x14ac:dyDescent="0.2">
      <c r="A59" s="7" t="s">
        <v>377</v>
      </c>
      <c r="B59" s="7" t="s">
        <v>378</v>
      </c>
      <c r="C59" s="7" t="s">
        <v>32</v>
      </c>
      <c r="D59" s="13">
        <v>500000</v>
      </c>
      <c r="E59" s="12">
        <v>650.37023820000002</v>
      </c>
      <c r="F59" s="12">
        <v>0.69991382993112561</v>
      </c>
    </row>
    <row r="60" spans="1:6" x14ac:dyDescent="0.2">
      <c r="A60" s="7" t="s">
        <v>391</v>
      </c>
      <c r="B60" s="7" t="s">
        <v>392</v>
      </c>
      <c r="C60" s="7" t="s">
        <v>393</v>
      </c>
      <c r="D60" s="13">
        <v>187038</v>
      </c>
      <c r="E60" s="12">
        <v>550.70046600000001</v>
      </c>
      <c r="F60" s="12">
        <v>0.59265146168079308</v>
      </c>
    </row>
    <row r="61" spans="1:6" x14ac:dyDescent="0.2">
      <c r="A61" s="7" t="s">
        <v>396</v>
      </c>
      <c r="B61" s="7" t="s">
        <v>397</v>
      </c>
      <c r="C61" s="7" t="s">
        <v>73</v>
      </c>
      <c r="D61" s="13">
        <v>500000</v>
      </c>
      <c r="E61" s="12">
        <v>520.91885560000003</v>
      </c>
      <c r="F61" s="12">
        <v>0.56060116206334576</v>
      </c>
    </row>
    <row r="62" spans="1:6" x14ac:dyDescent="0.2">
      <c r="A62" s="7" t="s">
        <v>387</v>
      </c>
      <c r="B62" s="7" t="s">
        <v>388</v>
      </c>
      <c r="C62" s="7" t="s">
        <v>11</v>
      </c>
      <c r="D62" s="13">
        <v>300000</v>
      </c>
      <c r="E62" s="12">
        <v>509.2247117</v>
      </c>
      <c r="F62" s="12">
        <v>0.54801618728426038</v>
      </c>
    </row>
    <row r="63" spans="1:6" x14ac:dyDescent="0.2">
      <c r="A63" s="7" t="s">
        <v>385</v>
      </c>
      <c r="B63" s="7" t="s">
        <v>386</v>
      </c>
      <c r="C63" s="7" t="s">
        <v>174</v>
      </c>
      <c r="D63" s="13">
        <v>300000</v>
      </c>
      <c r="E63" s="12">
        <v>443.98029550000001</v>
      </c>
      <c r="F63" s="12">
        <v>0.47780161327400339</v>
      </c>
    </row>
    <row r="64" spans="1:6" x14ac:dyDescent="0.2">
      <c r="A64" s="7" t="s">
        <v>676</v>
      </c>
      <c r="B64" s="7" t="s">
        <v>718</v>
      </c>
      <c r="C64" s="7" t="s">
        <v>32</v>
      </c>
      <c r="D64" s="13">
        <v>25000</v>
      </c>
      <c r="E64" s="12">
        <v>423.07236020000005</v>
      </c>
      <c r="F64" s="12">
        <v>0.45530096331763958</v>
      </c>
    </row>
    <row r="65" spans="1:6" x14ac:dyDescent="0.2">
      <c r="A65" s="6" t="s">
        <v>39</v>
      </c>
      <c r="B65" s="7"/>
      <c r="C65" s="7"/>
      <c r="D65" s="13"/>
      <c r="E65" s="14">
        <f>SUM(E44:E64)</f>
        <v>25838.597320199999</v>
      </c>
      <c r="F65" s="14">
        <f>SUM(F44:F64)</f>
        <v>27.806917580487315</v>
      </c>
    </row>
    <row r="66" spans="1:6" x14ac:dyDescent="0.2">
      <c r="A66" s="7"/>
      <c r="B66" s="7"/>
      <c r="C66" s="7"/>
      <c r="D66" s="13"/>
      <c r="E66" s="12"/>
      <c r="F66" s="12"/>
    </row>
    <row r="67" spans="1:6" x14ac:dyDescent="0.2">
      <c r="A67" s="6" t="s">
        <v>39</v>
      </c>
      <c r="B67" s="7"/>
      <c r="C67" s="7"/>
      <c r="D67" s="13"/>
      <c r="E67" s="14">
        <f>E65+E40+E36</f>
        <v>89041.440879699992</v>
      </c>
      <c r="F67" s="14">
        <f>F65+F40+F36</f>
        <v>95.824397009894909</v>
      </c>
    </row>
    <row r="68" spans="1:6" x14ac:dyDescent="0.2">
      <c r="A68" s="7"/>
      <c r="B68" s="7"/>
      <c r="C68" s="7"/>
      <c r="D68" s="13"/>
      <c r="E68" s="12"/>
      <c r="F68" s="12"/>
    </row>
    <row r="69" spans="1:6" x14ac:dyDescent="0.2">
      <c r="A69" s="6" t="s">
        <v>103</v>
      </c>
      <c r="B69" s="7"/>
      <c r="C69" s="7"/>
      <c r="D69" s="13"/>
      <c r="E69" s="14">
        <v>3880.031791299989</v>
      </c>
      <c r="F69" s="14">
        <v>4.1756029901051228</v>
      </c>
    </row>
    <row r="70" spans="1:6" x14ac:dyDescent="0.2">
      <c r="A70" s="7"/>
      <c r="B70" s="7"/>
      <c r="C70" s="7"/>
      <c r="D70" s="13"/>
      <c r="E70" s="12"/>
      <c r="F70" s="12"/>
    </row>
    <row r="71" spans="1:6" x14ac:dyDescent="0.2">
      <c r="A71" s="8" t="s">
        <v>104</v>
      </c>
      <c r="B71" s="5"/>
      <c r="C71" s="5"/>
      <c r="D71" s="24"/>
      <c r="E71" s="15">
        <f>E67+E69</f>
        <v>92921.472670999981</v>
      </c>
      <c r="F71" s="15">
        <f>F67+F69</f>
        <v>100.00000000000003</v>
      </c>
    </row>
    <row r="73" spans="1:6" x14ac:dyDescent="0.2">
      <c r="A73" s="9" t="s">
        <v>105</v>
      </c>
    </row>
    <row r="74" spans="1:6" x14ac:dyDescent="0.2">
      <c r="A74" s="9" t="s">
        <v>106</v>
      </c>
    </row>
    <row r="75" spans="1:6" x14ac:dyDescent="0.2">
      <c r="A75" s="9" t="s">
        <v>107</v>
      </c>
    </row>
    <row r="76" spans="1:6" x14ac:dyDescent="0.2">
      <c r="A76" s="1" t="s">
        <v>719</v>
      </c>
      <c r="B76" s="10">
        <v>17.781600000000001</v>
      </c>
    </row>
    <row r="77" spans="1:6" x14ac:dyDescent="0.2">
      <c r="A77" s="1" t="s">
        <v>720</v>
      </c>
      <c r="B77" s="10">
        <v>49.7667</v>
      </c>
    </row>
    <row r="78" spans="1:6" x14ac:dyDescent="0.2">
      <c r="A78" s="1" t="s">
        <v>721</v>
      </c>
      <c r="B78" s="10">
        <v>17.081900000000001</v>
      </c>
    </row>
    <row r="79" spans="1:6" x14ac:dyDescent="0.2">
      <c r="A79" s="1" t="s">
        <v>722</v>
      </c>
      <c r="B79" s="10">
        <v>48.149099999999997</v>
      </c>
    </row>
    <row r="81" spans="1:4" x14ac:dyDescent="0.2">
      <c r="A81" s="9" t="s">
        <v>108</v>
      </c>
    </row>
    <row r="82" spans="1:4" x14ac:dyDescent="0.2">
      <c r="A82" s="1" t="s">
        <v>719</v>
      </c>
      <c r="B82" s="10">
        <v>15.5412</v>
      </c>
    </row>
    <row r="83" spans="1:4" x14ac:dyDescent="0.2">
      <c r="A83" s="1" t="s">
        <v>720</v>
      </c>
      <c r="B83" s="10">
        <v>45.569099999999999</v>
      </c>
    </row>
    <row r="84" spans="1:4" x14ac:dyDescent="0.2">
      <c r="A84" s="1" t="s">
        <v>721</v>
      </c>
      <c r="B84" s="10">
        <v>14.8527</v>
      </c>
    </row>
    <row r="85" spans="1:4" x14ac:dyDescent="0.2">
      <c r="A85" s="1" t="s">
        <v>722</v>
      </c>
      <c r="B85" s="10">
        <v>43.942</v>
      </c>
    </row>
    <row r="87" spans="1:4" x14ac:dyDescent="0.2">
      <c r="A87" s="9" t="s">
        <v>109</v>
      </c>
      <c r="B87" s="11"/>
    </row>
    <row r="88" spans="1:4" x14ac:dyDescent="0.2">
      <c r="A88" s="41" t="s">
        <v>727</v>
      </c>
      <c r="B88" s="42"/>
      <c r="C88" s="57" t="s">
        <v>728</v>
      </c>
      <c r="D88" s="61"/>
    </row>
    <row r="89" spans="1:4" x14ac:dyDescent="0.2">
      <c r="A89" s="59"/>
      <c r="B89" s="60"/>
      <c r="C89" s="43" t="s">
        <v>729</v>
      </c>
      <c r="D89" s="49" t="s">
        <v>730</v>
      </c>
    </row>
    <row r="90" spans="1:4" x14ac:dyDescent="0.2">
      <c r="A90" s="44" t="s">
        <v>721</v>
      </c>
      <c r="B90" s="45"/>
      <c r="C90" s="46">
        <v>0.70000393640000003</v>
      </c>
      <c r="D90" s="50">
        <v>0.70000393640000003</v>
      </c>
    </row>
    <row r="91" spans="1:4" x14ac:dyDescent="0.2">
      <c r="A91" s="44" t="s">
        <v>719</v>
      </c>
      <c r="B91" s="45"/>
      <c r="C91" s="46">
        <v>0.70000393640000003</v>
      </c>
      <c r="D91" s="50">
        <v>0.70000393640000003</v>
      </c>
    </row>
    <row r="92" spans="1:4" x14ac:dyDescent="0.2">
      <c r="A92" s="47"/>
      <c r="B92" s="47"/>
      <c r="C92" s="48"/>
      <c r="D92" s="54"/>
    </row>
    <row r="93" spans="1:4" x14ac:dyDescent="0.2">
      <c r="A93" s="9" t="s">
        <v>111</v>
      </c>
      <c r="B93" s="40">
        <v>6.9005015061977926E-2</v>
      </c>
    </row>
  </sheetData>
  <mergeCells count="3">
    <mergeCell ref="C88:D88"/>
    <mergeCell ref="A89:B89"/>
    <mergeCell ref="A1:F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1.42578125" style="1" bestFit="1" customWidth="1"/>
    <col min="3" max="3" width="20" style="1" bestFit="1" customWidth="1"/>
    <col min="4" max="4" width="12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298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9</v>
      </c>
      <c r="B8" s="7" t="s">
        <v>10</v>
      </c>
      <c r="C8" s="7" t="s">
        <v>11</v>
      </c>
      <c r="D8" s="13">
        <v>5000000</v>
      </c>
      <c r="E8" s="12">
        <v>106422.5</v>
      </c>
      <c r="F8" s="12">
        <v>9.4161649567637973</v>
      </c>
    </row>
    <row r="9" spans="1:6" x14ac:dyDescent="0.2">
      <c r="A9" s="7" t="s">
        <v>185</v>
      </c>
      <c r="B9" s="7" t="s">
        <v>186</v>
      </c>
      <c r="C9" s="7" t="s">
        <v>76</v>
      </c>
      <c r="D9" s="13">
        <v>10000000</v>
      </c>
      <c r="E9" s="12">
        <v>66745</v>
      </c>
      <c r="F9" s="12">
        <v>5.9055362356569301</v>
      </c>
    </row>
    <row r="10" spans="1:6" x14ac:dyDescent="0.2">
      <c r="A10" s="7" t="s">
        <v>115</v>
      </c>
      <c r="B10" s="7" t="s">
        <v>116</v>
      </c>
      <c r="C10" s="7" t="s">
        <v>11</v>
      </c>
      <c r="D10" s="13">
        <v>13700000</v>
      </c>
      <c r="E10" s="12">
        <v>48655.55</v>
      </c>
      <c r="F10" s="12">
        <v>4.3049983308235458</v>
      </c>
    </row>
    <row r="11" spans="1:6" x14ac:dyDescent="0.2">
      <c r="A11" s="7" t="s">
        <v>119</v>
      </c>
      <c r="B11" s="7" t="s">
        <v>120</v>
      </c>
      <c r="C11" s="7" t="s">
        <v>29</v>
      </c>
      <c r="D11" s="13">
        <v>15200000</v>
      </c>
      <c r="E11" s="12">
        <v>47652</v>
      </c>
      <c r="F11" s="12">
        <v>4.2162051494722306</v>
      </c>
    </row>
    <row r="12" spans="1:6" x14ac:dyDescent="0.2">
      <c r="A12" s="7" t="s">
        <v>187</v>
      </c>
      <c r="B12" s="7" t="s">
        <v>188</v>
      </c>
      <c r="C12" s="7" t="s">
        <v>189</v>
      </c>
      <c r="D12" s="13">
        <v>3200000</v>
      </c>
      <c r="E12" s="12">
        <v>45840</v>
      </c>
      <c r="F12" s="12">
        <v>4.055881055397613</v>
      </c>
    </row>
    <row r="13" spans="1:6" x14ac:dyDescent="0.2">
      <c r="A13" s="7" t="s">
        <v>190</v>
      </c>
      <c r="B13" s="7" t="s">
        <v>191</v>
      </c>
      <c r="C13" s="7" t="s">
        <v>35</v>
      </c>
      <c r="D13" s="13">
        <v>5200000</v>
      </c>
      <c r="E13" s="12">
        <v>41126.800000000003</v>
      </c>
      <c r="F13" s="12">
        <v>3.6388614526423773</v>
      </c>
    </row>
    <row r="14" spans="1:6" x14ac:dyDescent="0.2">
      <c r="A14" s="7" t="s">
        <v>117</v>
      </c>
      <c r="B14" s="7" t="s">
        <v>118</v>
      </c>
      <c r="C14" s="7" t="s">
        <v>11</v>
      </c>
      <c r="D14" s="13">
        <v>6500000</v>
      </c>
      <c r="E14" s="12">
        <v>40673.75</v>
      </c>
      <c r="F14" s="12">
        <v>3.5987760051696918</v>
      </c>
    </row>
    <row r="15" spans="1:6" x14ac:dyDescent="0.2">
      <c r="A15" s="7" t="s">
        <v>194</v>
      </c>
      <c r="B15" s="7" t="s">
        <v>195</v>
      </c>
      <c r="C15" s="7" t="s">
        <v>150</v>
      </c>
      <c r="D15" s="13">
        <v>1200000</v>
      </c>
      <c r="E15" s="12">
        <v>32666.400000000001</v>
      </c>
      <c r="F15" s="12">
        <v>2.8902930390061212</v>
      </c>
    </row>
    <row r="16" spans="1:6" x14ac:dyDescent="0.2">
      <c r="A16" s="7" t="s">
        <v>192</v>
      </c>
      <c r="B16" s="7" t="s">
        <v>193</v>
      </c>
      <c r="C16" s="7" t="s">
        <v>11</v>
      </c>
      <c r="D16" s="13">
        <v>2600000</v>
      </c>
      <c r="E16" s="12">
        <v>32082.7</v>
      </c>
      <c r="F16" s="12">
        <v>2.8386477996510688</v>
      </c>
    </row>
    <row r="17" spans="1:6" x14ac:dyDescent="0.2">
      <c r="A17" s="7" t="s">
        <v>196</v>
      </c>
      <c r="B17" s="7" t="s">
        <v>197</v>
      </c>
      <c r="C17" s="7" t="s">
        <v>76</v>
      </c>
      <c r="D17" s="13">
        <v>3000000</v>
      </c>
      <c r="E17" s="12">
        <v>30450</v>
      </c>
      <c r="F17" s="12">
        <v>2.6941880047307443</v>
      </c>
    </row>
    <row r="18" spans="1:6" x14ac:dyDescent="0.2">
      <c r="A18" s="7" t="s">
        <v>204</v>
      </c>
      <c r="B18" s="7" t="s">
        <v>205</v>
      </c>
      <c r="C18" s="7" t="s">
        <v>35</v>
      </c>
      <c r="D18" s="13">
        <v>950000</v>
      </c>
      <c r="E18" s="12">
        <v>26084.15</v>
      </c>
      <c r="F18" s="12">
        <v>2.3079016106271739</v>
      </c>
    </row>
    <row r="19" spans="1:6" x14ac:dyDescent="0.2">
      <c r="A19" s="7" t="s">
        <v>202</v>
      </c>
      <c r="B19" s="7" t="s">
        <v>203</v>
      </c>
      <c r="C19" s="7" t="s">
        <v>150</v>
      </c>
      <c r="D19" s="13">
        <v>2800000</v>
      </c>
      <c r="E19" s="12">
        <v>24829</v>
      </c>
      <c r="F19" s="12">
        <v>2.1968470925930919</v>
      </c>
    </row>
    <row r="20" spans="1:6" x14ac:dyDescent="0.2">
      <c r="A20" s="7" t="s">
        <v>200</v>
      </c>
      <c r="B20" s="7" t="s">
        <v>201</v>
      </c>
      <c r="C20" s="7" t="s">
        <v>76</v>
      </c>
      <c r="D20" s="13">
        <v>3500000</v>
      </c>
      <c r="E20" s="12">
        <v>24708.25</v>
      </c>
      <c r="F20" s="12">
        <v>2.1861632436088145</v>
      </c>
    </row>
    <row r="21" spans="1:6" x14ac:dyDescent="0.2">
      <c r="A21" s="7" t="s">
        <v>198</v>
      </c>
      <c r="B21" s="7" t="s">
        <v>199</v>
      </c>
      <c r="C21" s="7" t="s">
        <v>79</v>
      </c>
      <c r="D21" s="13">
        <v>6800000</v>
      </c>
      <c r="E21" s="12">
        <v>24259</v>
      </c>
      <c r="F21" s="12">
        <v>2.146414016642467</v>
      </c>
    </row>
    <row r="22" spans="1:6" x14ac:dyDescent="0.2">
      <c r="A22" s="7" t="s">
        <v>210</v>
      </c>
      <c r="B22" s="7" t="s">
        <v>211</v>
      </c>
      <c r="C22" s="7" t="s">
        <v>150</v>
      </c>
      <c r="D22" s="13">
        <v>6500000</v>
      </c>
      <c r="E22" s="12">
        <v>23744.5</v>
      </c>
      <c r="F22" s="12">
        <v>2.100891529665982</v>
      </c>
    </row>
    <row r="23" spans="1:6" x14ac:dyDescent="0.2">
      <c r="A23" s="7" t="s">
        <v>225</v>
      </c>
      <c r="B23" s="7" t="s">
        <v>226</v>
      </c>
      <c r="C23" s="7" t="s">
        <v>189</v>
      </c>
      <c r="D23" s="13">
        <v>4200000</v>
      </c>
      <c r="E23" s="12">
        <v>23265.9</v>
      </c>
      <c r="F23" s="12">
        <v>2.0585454416835804</v>
      </c>
    </row>
    <row r="24" spans="1:6" x14ac:dyDescent="0.2">
      <c r="A24" s="7" t="s">
        <v>214</v>
      </c>
      <c r="B24" s="7" t="s">
        <v>215</v>
      </c>
      <c r="C24" s="7" t="s">
        <v>79</v>
      </c>
      <c r="D24" s="13">
        <v>1800000</v>
      </c>
      <c r="E24" s="12">
        <v>22318.2</v>
      </c>
      <c r="F24" s="12">
        <v>1.9746938169846204</v>
      </c>
    </row>
    <row r="25" spans="1:6" x14ac:dyDescent="0.2">
      <c r="A25" s="7" t="s">
        <v>206</v>
      </c>
      <c r="B25" s="7" t="s">
        <v>207</v>
      </c>
      <c r="C25" s="7" t="s">
        <v>52</v>
      </c>
      <c r="D25" s="13">
        <v>1500000</v>
      </c>
      <c r="E25" s="12">
        <v>22282.5</v>
      </c>
      <c r="F25" s="12">
        <v>1.9715351138066601</v>
      </c>
    </row>
    <row r="26" spans="1:6" x14ac:dyDescent="0.2">
      <c r="A26" s="7" t="s">
        <v>212</v>
      </c>
      <c r="B26" s="7" t="s">
        <v>213</v>
      </c>
      <c r="C26" s="7" t="s">
        <v>11</v>
      </c>
      <c r="D26" s="13">
        <v>13100000</v>
      </c>
      <c r="E26" s="12">
        <v>22243.8</v>
      </c>
      <c r="F26" s="12">
        <v>1.9681109733868547</v>
      </c>
    </row>
    <row r="27" spans="1:6" x14ac:dyDescent="0.2">
      <c r="A27" s="7" t="s">
        <v>208</v>
      </c>
      <c r="B27" s="7" t="s">
        <v>209</v>
      </c>
      <c r="C27" s="7" t="s">
        <v>79</v>
      </c>
      <c r="D27" s="13">
        <v>5200000</v>
      </c>
      <c r="E27" s="12">
        <v>21273.200000000001</v>
      </c>
      <c r="F27" s="12">
        <v>1.8822331777418086</v>
      </c>
    </row>
    <row r="28" spans="1:6" x14ac:dyDescent="0.2">
      <c r="A28" s="7" t="s">
        <v>33</v>
      </c>
      <c r="B28" s="7" t="s">
        <v>34</v>
      </c>
      <c r="C28" s="7" t="s">
        <v>35</v>
      </c>
      <c r="D28" s="13">
        <v>11000000</v>
      </c>
      <c r="E28" s="12">
        <v>18914.5</v>
      </c>
      <c r="F28" s="12">
        <v>1.6735375702948987</v>
      </c>
    </row>
    <row r="29" spans="1:6" x14ac:dyDescent="0.2">
      <c r="A29" s="7" t="s">
        <v>262</v>
      </c>
      <c r="B29" s="7" t="s">
        <v>263</v>
      </c>
      <c r="C29" s="7" t="s">
        <v>246</v>
      </c>
      <c r="D29" s="13">
        <v>7500000</v>
      </c>
      <c r="E29" s="12">
        <v>17928.75</v>
      </c>
      <c r="F29" s="12">
        <v>1.5863193165785332</v>
      </c>
    </row>
    <row r="30" spans="1:6" x14ac:dyDescent="0.2">
      <c r="A30" s="7" t="s">
        <v>227</v>
      </c>
      <c r="B30" s="7" t="s">
        <v>228</v>
      </c>
      <c r="C30" s="7" t="s">
        <v>17</v>
      </c>
      <c r="D30" s="13">
        <v>9500000</v>
      </c>
      <c r="E30" s="12">
        <v>17199.75</v>
      </c>
      <c r="F30" s="12">
        <v>1.5218180668101025</v>
      </c>
    </row>
    <row r="31" spans="1:6" x14ac:dyDescent="0.2">
      <c r="A31" s="7" t="s">
        <v>299</v>
      </c>
      <c r="B31" s="7" t="s">
        <v>300</v>
      </c>
      <c r="C31" s="7" t="s">
        <v>76</v>
      </c>
      <c r="D31" s="13">
        <v>1100000</v>
      </c>
      <c r="E31" s="12">
        <v>17001.599999999999</v>
      </c>
      <c r="F31" s="12">
        <v>1.504285936986214</v>
      </c>
    </row>
    <row r="32" spans="1:6" x14ac:dyDescent="0.2">
      <c r="A32" s="7" t="s">
        <v>128</v>
      </c>
      <c r="B32" s="7" t="s">
        <v>129</v>
      </c>
      <c r="C32" s="7" t="s">
        <v>130</v>
      </c>
      <c r="D32" s="13">
        <v>12000000</v>
      </c>
      <c r="E32" s="12">
        <v>16836</v>
      </c>
      <c r="F32" s="12">
        <v>1.4896338012363484</v>
      </c>
    </row>
    <row r="33" spans="1:6" x14ac:dyDescent="0.2">
      <c r="A33" s="7" t="s">
        <v>124</v>
      </c>
      <c r="B33" s="7" t="s">
        <v>125</v>
      </c>
      <c r="C33" s="7" t="s">
        <v>123</v>
      </c>
      <c r="D33" s="13">
        <v>5000000</v>
      </c>
      <c r="E33" s="12">
        <v>16220</v>
      </c>
      <c r="F33" s="12">
        <v>1.4351306875774277</v>
      </c>
    </row>
    <row r="34" spans="1:6" x14ac:dyDescent="0.2">
      <c r="A34" s="7" t="s">
        <v>218</v>
      </c>
      <c r="B34" s="7" t="s">
        <v>219</v>
      </c>
      <c r="C34" s="7" t="s">
        <v>150</v>
      </c>
      <c r="D34" s="13">
        <v>3072148</v>
      </c>
      <c r="E34" s="12">
        <v>15133.401048</v>
      </c>
      <c r="F34" s="12">
        <v>1.3389894113071026</v>
      </c>
    </row>
    <row r="35" spans="1:6" x14ac:dyDescent="0.2">
      <c r="A35" s="7" t="s">
        <v>278</v>
      </c>
      <c r="B35" s="7" t="s">
        <v>279</v>
      </c>
      <c r="C35" s="7" t="s">
        <v>123</v>
      </c>
      <c r="D35" s="13">
        <v>6500000</v>
      </c>
      <c r="E35" s="12">
        <v>15102.75</v>
      </c>
      <c r="F35" s="12">
        <v>1.3362774347601722</v>
      </c>
    </row>
    <row r="36" spans="1:6" x14ac:dyDescent="0.2">
      <c r="A36" s="7" t="s">
        <v>27</v>
      </c>
      <c r="B36" s="7" t="s">
        <v>28</v>
      </c>
      <c r="C36" s="7" t="s">
        <v>29</v>
      </c>
      <c r="D36" s="13">
        <v>42000000</v>
      </c>
      <c r="E36" s="12">
        <v>14826</v>
      </c>
      <c r="F36" s="12">
        <v>1.3117908491999348</v>
      </c>
    </row>
    <row r="37" spans="1:6" x14ac:dyDescent="0.2">
      <c r="A37" s="7" t="s">
        <v>301</v>
      </c>
      <c r="B37" s="7" t="s">
        <v>302</v>
      </c>
      <c r="C37" s="7" t="s">
        <v>95</v>
      </c>
      <c r="D37" s="13">
        <v>1400000</v>
      </c>
      <c r="E37" s="12">
        <v>14606.2</v>
      </c>
      <c r="F37" s="12">
        <v>1.292343147280729</v>
      </c>
    </row>
    <row r="38" spans="1:6" x14ac:dyDescent="0.2">
      <c r="A38" s="7" t="s">
        <v>113</v>
      </c>
      <c r="B38" s="7" t="s">
        <v>114</v>
      </c>
      <c r="C38" s="7" t="s">
        <v>11</v>
      </c>
      <c r="D38" s="13">
        <v>5000000</v>
      </c>
      <c r="E38" s="12">
        <v>14232.5</v>
      </c>
      <c r="F38" s="12">
        <v>1.2592785148548544</v>
      </c>
    </row>
    <row r="39" spans="1:6" x14ac:dyDescent="0.2">
      <c r="A39" s="7" t="s">
        <v>18</v>
      </c>
      <c r="B39" s="7" t="s">
        <v>19</v>
      </c>
      <c r="C39" s="7" t="s">
        <v>20</v>
      </c>
      <c r="D39" s="13">
        <v>6000000</v>
      </c>
      <c r="E39" s="12">
        <v>13572</v>
      </c>
      <c r="F39" s="12">
        <v>1.2008380821085602</v>
      </c>
    </row>
    <row r="40" spans="1:6" x14ac:dyDescent="0.2">
      <c r="A40" s="7" t="s">
        <v>144</v>
      </c>
      <c r="B40" s="7" t="s">
        <v>145</v>
      </c>
      <c r="C40" s="7" t="s">
        <v>26</v>
      </c>
      <c r="D40" s="13">
        <v>700000</v>
      </c>
      <c r="E40" s="12">
        <v>13348.3</v>
      </c>
      <c r="F40" s="12">
        <v>1.1810453117749553</v>
      </c>
    </row>
    <row r="41" spans="1:6" x14ac:dyDescent="0.2">
      <c r="A41" s="7" t="s">
        <v>24</v>
      </c>
      <c r="B41" s="7" t="s">
        <v>25</v>
      </c>
      <c r="C41" s="7" t="s">
        <v>26</v>
      </c>
      <c r="D41" s="13">
        <v>1400000</v>
      </c>
      <c r="E41" s="12">
        <v>11298</v>
      </c>
      <c r="F41" s="12">
        <v>0.999636652789752</v>
      </c>
    </row>
    <row r="42" spans="1:6" x14ac:dyDescent="0.2">
      <c r="A42" s="7" t="s">
        <v>303</v>
      </c>
      <c r="B42" s="7" t="s">
        <v>304</v>
      </c>
      <c r="C42" s="7" t="s">
        <v>35</v>
      </c>
      <c r="D42" s="13">
        <v>1946122</v>
      </c>
      <c r="E42" s="12">
        <v>10847.684028</v>
      </c>
      <c r="F42" s="12">
        <v>0.95979310960088282</v>
      </c>
    </row>
    <row r="43" spans="1:6" x14ac:dyDescent="0.2">
      <c r="A43" s="7" t="s">
        <v>151</v>
      </c>
      <c r="B43" s="7" t="s">
        <v>152</v>
      </c>
      <c r="C43" s="7" t="s">
        <v>52</v>
      </c>
      <c r="D43" s="13">
        <v>3900000</v>
      </c>
      <c r="E43" s="12">
        <v>10693.8</v>
      </c>
      <c r="F43" s="12">
        <v>0.94617759228208964</v>
      </c>
    </row>
    <row r="44" spans="1:6" x14ac:dyDescent="0.2">
      <c r="A44" s="7" t="s">
        <v>305</v>
      </c>
      <c r="B44" s="7" t="s">
        <v>306</v>
      </c>
      <c r="C44" s="7" t="s">
        <v>307</v>
      </c>
      <c r="D44" s="13">
        <v>246000</v>
      </c>
      <c r="E44" s="12">
        <v>10578.369000000001</v>
      </c>
      <c r="F44" s="12">
        <v>0.93596436352760459</v>
      </c>
    </row>
    <row r="45" spans="1:6" x14ac:dyDescent="0.2">
      <c r="A45" s="7" t="s">
        <v>133</v>
      </c>
      <c r="B45" s="7" t="s">
        <v>134</v>
      </c>
      <c r="C45" s="7" t="s">
        <v>135</v>
      </c>
      <c r="D45" s="13">
        <v>3000000</v>
      </c>
      <c r="E45" s="12">
        <v>10291.5</v>
      </c>
      <c r="F45" s="12">
        <v>0.91058245815062255</v>
      </c>
    </row>
    <row r="46" spans="1:6" x14ac:dyDescent="0.2">
      <c r="A46" s="7" t="s">
        <v>308</v>
      </c>
      <c r="B46" s="7" t="s">
        <v>309</v>
      </c>
      <c r="C46" s="7" t="s">
        <v>26</v>
      </c>
      <c r="D46" s="13">
        <v>1800000</v>
      </c>
      <c r="E46" s="12">
        <v>9969.2999999999993</v>
      </c>
      <c r="F46" s="12">
        <v>0.88207449837642715</v>
      </c>
    </row>
    <row r="47" spans="1:6" x14ac:dyDescent="0.2">
      <c r="A47" s="7" t="s">
        <v>310</v>
      </c>
      <c r="B47" s="7" t="s">
        <v>311</v>
      </c>
      <c r="C47" s="7" t="s">
        <v>52</v>
      </c>
      <c r="D47" s="13">
        <v>900000</v>
      </c>
      <c r="E47" s="12">
        <v>8289</v>
      </c>
      <c r="F47" s="12">
        <v>0.7334030992188223</v>
      </c>
    </row>
    <row r="48" spans="1:6" x14ac:dyDescent="0.2">
      <c r="A48" s="7" t="s">
        <v>274</v>
      </c>
      <c r="B48" s="7" t="s">
        <v>275</v>
      </c>
      <c r="C48" s="7" t="s">
        <v>65</v>
      </c>
      <c r="D48" s="13">
        <v>6500000</v>
      </c>
      <c r="E48" s="12">
        <v>7267</v>
      </c>
      <c r="F48" s="12">
        <v>0.64297747883015821</v>
      </c>
    </row>
    <row r="49" spans="1:6" x14ac:dyDescent="0.2">
      <c r="A49" s="7" t="s">
        <v>312</v>
      </c>
      <c r="B49" s="7" t="s">
        <v>313</v>
      </c>
      <c r="C49" s="7" t="s">
        <v>11</v>
      </c>
      <c r="D49" s="13">
        <v>9020000</v>
      </c>
      <c r="E49" s="12">
        <v>7125.8</v>
      </c>
      <c r="F49" s="12">
        <v>0.6304842326473018</v>
      </c>
    </row>
    <row r="50" spans="1:6" x14ac:dyDescent="0.2">
      <c r="A50" s="7" t="s">
        <v>229</v>
      </c>
      <c r="B50" s="7" t="s">
        <v>230</v>
      </c>
      <c r="C50" s="7" t="s">
        <v>32</v>
      </c>
      <c r="D50" s="13">
        <v>6500000</v>
      </c>
      <c r="E50" s="12">
        <v>6828.25</v>
      </c>
      <c r="F50" s="12">
        <v>0.60415728221026943</v>
      </c>
    </row>
    <row r="51" spans="1:6" x14ac:dyDescent="0.2">
      <c r="A51" s="7" t="s">
        <v>172</v>
      </c>
      <c r="B51" s="7" t="s">
        <v>173</v>
      </c>
      <c r="C51" s="7" t="s">
        <v>174</v>
      </c>
      <c r="D51" s="13">
        <v>17000000</v>
      </c>
      <c r="E51" s="12">
        <v>6587.5</v>
      </c>
      <c r="F51" s="12">
        <v>0.58285594355217663</v>
      </c>
    </row>
    <row r="52" spans="1:6" x14ac:dyDescent="0.2">
      <c r="A52" s="7" t="s">
        <v>266</v>
      </c>
      <c r="B52" s="7" t="s">
        <v>267</v>
      </c>
      <c r="C52" s="7" t="s">
        <v>174</v>
      </c>
      <c r="D52" s="13">
        <v>600000</v>
      </c>
      <c r="E52" s="12">
        <v>6247.5</v>
      </c>
      <c r="F52" s="12">
        <v>0.55277305614303207</v>
      </c>
    </row>
    <row r="53" spans="1:6" x14ac:dyDescent="0.2">
      <c r="A53" s="7" t="s">
        <v>276</v>
      </c>
      <c r="B53" s="7" t="s">
        <v>277</v>
      </c>
      <c r="C53" s="7" t="s">
        <v>32</v>
      </c>
      <c r="D53" s="13">
        <v>5500000</v>
      </c>
      <c r="E53" s="12">
        <v>5920.75</v>
      </c>
      <c r="F53" s="12">
        <v>0.52386251655203786</v>
      </c>
    </row>
    <row r="54" spans="1:6" x14ac:dyDescent="0.2">
      <c r="A54" s="7" t="s">
        <v>314</v>
      </c>
      <c r="B54" s="7" t="s">
        <v>315</v>
      </c>
      <c r="C54" s="7" t="s">
        <v>159</v>
      </c>
      <c r="D54" s="13">
        <v>5880000</v>
      </c>
      <c r="E54" s="12">
        <v>5586</v>
      </c>
      <c r="F54" s="12">
        <v>0.49424414431612268</v>
      </c>
    </row>
    <row r="55" spans="1:6" x14ac:dyDescent="0.2">
      <c r="A55" s="7" t="s">
        <v>316</v>
      </c>
      <c r="B55" s="7" t="s">
        <v>317</v>
      </c>
      <c r="C55" s="7" t="s">
        <v>290</v>
      </c>
      <c r="D55" s="13">
        <v>5400000</v>
      </c>
      <c r="E55" s="12">
        <v>5556.6</v>
      </c>
      <c r="F55" s="12">
        <v>0.49164285934603796</v>
      </c>
    </row>
    <row r="56" spans="1:6" x14ac:dyDescent="0.2">
      <c r="A56" s="7" t="s">
        <v>318</v>
      </c>
      <c r="B56" s="7" t="s">
        <v>319</v>
      </c>
      <c r="C56" s="7" t="s">
        <v>79</v>
      </c>
      <c r="D56" s="13">
        <v>2500000</v>
      </c>
      <c r="E56" s="12">
        <v>4642.5</v>
      </c>
      <c r="F56" s="12">
        <v>0.4107641317557465</v>
      </c>
    </row>
    <row r="57" spans="1:6" x14ac:dyDescent="0.2">
      <c r="A57" s="7" t="s">
        <v>320</v>
      </c>
      <c r="B57" s="7" t="s">
        <v>321</v>
      </c>
      <c r="C57" s="7" t="s">
        <v>32</v>
      </c>
      <c r="D57" s="13">
        <v>400000</v>
      </c>
      <c r="E57" s="12">
        <v>1021.2</v>
      </c>
      <c r="F57" s="12">
        <v>9.0354837124171958E-2</v>
      </c>
    </row>
    <row r="58" spans="1:6" x14ac:dyDescent="0.2">
      <c r="A58" s="6" t="s">
        <v>39</v>
      </c>
      <c r="B58" s="7"/>
      <c r="C58" s="7"/>
      <c r="D58" s="13"/>
      <c r="E58" s="14">
        <f xml:space="preserve"> SUM(E8:E57)</f>
        <v>1060995.7040760003</v>
      </c>
      <c r="F58" s="14">
        <f>SUM(F8:F57)</f>
        <v>93.875924433248258</v>
      </c>
    </row>
    <row r="59" spans="1:6" x14ac:dyDescent="0.2">
      <c r="A59" s="7"/>
      <c r="B59" s="7"/>
      <c r="C59" s="7"/>
      <c r="D59" s="13"/>
      <c r="E59" s="12"/>
      <c r="F59" s="12"/>
    </row>
    <row r="60" spans="1:6" x14ac:dyDescent="0.2">
      <c r="A60" s="6" t="s">
        <v>291</v>
      </c>
      <c r="B60" s="7"/>
      <c r="C60" s="7"/>
      <c r="D60" s="13"/>
      <c r="E60" s="12"/>
      <c r="F60" s="12"/>
    </row>
    <row r="61" spans="1:6" x14ac:dyDescent="0.2">
      <c r="A61" s="7" t="s">
        <v>662</v>
      </c>
      <c r="B61" s="7" t="s">
        <v>660</v>
      </c>
      <c r="C61" s="7" t="s">
        <v>17</v>
      </c>
      <c r="D61" s="13">
        <v>1080000</v>
      </c>
      <c r="E61" s="12">
        <v>9825.4079999999994</v>
      </c>
      <c r="F61" s="12">
        <v>0.86934306650855475</v>
      </c>
    </row>
    <row r="62" spans="1:6" x14ac:dyDescent="0.2">
      <c r="A62" s="7" t="s">
        <v>659</v>
      </c>
      <c r="B62" s="7" t="s">
        <v>661</v>
      </c>
      <c r="C62" s="7" t="s">
        <v>174</v>
      </c>
      <c r="D62" s="13">
        <v>200000</v>
      </c>
      <c r="E62" s="12">
        <v>1106.94</v>
      </c>
      <c r="F62" s="12">
        <v>9.79410334961133E-2</v>
      </c>
    </row>
    <row r="63" spans="1:6" x14ac:dyDescent="0.2">
      <c r="A63" s="7" t="s">
        <v>322</v>
      </c>
      <c r="B63" s="7" t="s">
        <v>323</v>
      </c>
      <c r="C63" s="7" t="s">
        <v>32</v>
      </c>
      <c r="D63" s="13">
        <v>73500</v>
      </c>
      <c r="E63" s="12">
        <v>7.3499999999999998E-3</v>
      </c>
      <c r="F63" s="12">
        <v>6.5032124252121412E-7</v>
      </c>
    </row>
    <row r="64" spans="1:6" x14ac:dyDescent="0.2">
      <c r="A64" s="7" t="s">
        <v>322</v>
      </c>
      <c r="B64" s="7" t="s">
        <v>324</v>
      </c>
      <c r="C64" s="7" t="s">
        <v>76</v>
      </c>
      <c r="D64" s="13">
        <v>45000</v>
      </c>
      <c r="E64" s="12">
        <v>4.4999999999999997E-3</v>
      </c>
      <c r="F64" s="12">
        <v>3.9815586276809026E-7</v>
      </c>
    </row>
    <row r="65" spans="1:6" x14ac:dyDescent="0.2">
      <c r="A65" s="7" t="s">
        <v>325</v>
      </c>
      <c r="B65" s="7" t="s">
        <v>326</v>
      </c>
      <c r="C65" s="7" t="s">
        <v>32</v>
      </c>
      <c r="D65" s="13">
        <v>38000</v>
      </c>
      <c r="E65" s="12">
        <v>3.8E-3</v>
      </c>
      <c r="F65" s="12">
        <v>3.3622050633749844E-7</v>
      </c>
    </row>
    <row r="66" spans="1:6" x14ac:dyDescent="0.2">
      <c r="A66" s="6" t="s">
        <v>39</v>
      </c>
      <c r="B66" s="7"/>
      <c r="C66" s="7"/>
      <c r="D66" s="13"/>
      <c r="E66" s="14">
        <f>SUM(E61:E65)</f>
        <v>10932.363649999999</v>
      </c>
      <c r="F66" s="14">
        <f>SUM(F61:F65)</f>
        <v>0.9672854847022796</v>
      </c>
    </row>
    <row r="67" spans="1:6" x14ac:dyDescent="0.2">
      <c r="A67" s="7"/>
      <c r="B67" s="7"/>
      <c r="C67" s="7"/>
      <c r="D67" s="13"/>
      <c r="E67" s="12"/>
      <c r="F67" s="12"/>
    </row>
    <row r="68" spans="1:6" x14ac:dyDescent="0.2">
      <c r="A68" s="6" t="s">
        <v>39</v>
      </c>
      <c r="B68" s="7"/>
      <c r="C68" s="7"/>
      <c r="D68" s="13"/>
      <c r="E68" s="14">
        <f>E58+E66</f>
        <v>1071928.0677260002</v>
      </c>
      <c r="F68" s="14">
        <f>F58+F66</f>
        <v>94.843209917950531</v>
      </c>
    </row>
    <row r="69" spans="1:6" x14ac:dyDescent="0.2">
      <c r="A69" s="7"/>
      <c r="B69" s="7"/>
      <c r="C69" s="7"/>
      <c r="D69" s="13"/>
      <c r="E69" s="12"/>
      <c r="F69" s="12"/>
    </row>
    <row r="70" spans="1:6" x14ac:dyDescent="0.2">
      <c r="A70" s="6" t="s">
        <v>103</v>
      </c>
      <c r="B70" s="7"/>
      <c r="C70" s="7"/>
      <c r="D70" s="13"/>
      <c r="E70" s="14">
        <v>58282.591163899997</v>
      </c>
      <c r="F70" s="14">
        <v>5.1567900820494392</v>
      </c>
    </row>
    <row r="71" spans="1:6" x14ac:dyDescent="0.2">
      <c r="A71" s="7"/>
      <c r="B71" s="7"/>
      <c r="C71" s="7"/>
      <c r="D71" s="13"/>
      <c r="E71" s="12"/>
      <c r="F71" s="12"/>
    </row>
    <row r="72" spans="1:6" x14ac:dyDescent="0.2">
      <c r="A72" s="8" t="s">
        <v>104</v>
      </c>
      <c r="B72" s="5"/>
      <c r="C72" s="5"/>
      <c r="D72" s="24"/>
      <c r="E72" s="15">
        <f>E68+E70</f>
        <v>1130210.6588899002</v>
      </c>
      <c r="F72" s="15">
        <f>F68+F70</f>
        <v>99.999999999999972</v>
      </c>
    </row>
    <row r="74" spans="1:6" x14ac:dyDescent="0.2">
      <c r="A74" s="9" t="s">
        <v>105</v>
      </c>
    </row>
    <row r="75" spans="1:6" x14ac:dyDescent="0.2">
      <c r="A75" s="9" t="s">
        <v>106</v>
      </c>
    </row>
    <row r="76" spans="1:6" x14ac:dyDescent="0.2">
      <c r="A76" s="9" t="s">
        <v>107</v>
      </c>
    </row>
    <row r="77" spans="1:6" x14ac:dyDescent="0.2">
      <c r="A77" s="1" t="s">
        <v>719</v>
      </c>
      <c r="B77" s="10">
        <v>40.712699999999998</v>
      </c>
    </row>
    <row r="78" spans="1:6" x14ac:dyDescent="0.2">
      <c r="A78" s="1" t="s">
        <v>720</v>
      </c>
      <c r="B78" s="10">
        <v>610.2038</v>
      </c>
    </row>
    <row r="79" spans="1:6" x14ac:dyDescent="0.2">
      <c r="A79" s="1" t="s">
        <v>721</v>
      </c>
      <c r="B79" s="10">
        <v>38.228400000000001</v>
      </c>
    </row>
    <row r="80" spans="1:6" x14ac:dyDescent="0.2">
      <c r="A80" s="1" t="s">
        <v>722</v>
      </c>
      <c r="B80" s="10">
        <v>579.72149999999999</v>
      </c>
    </row>
    <row r="82" spans="1:2" x14ac:dyDescent="0.2">
      <c r="A82" s="9" t="s">
        <v>108</v>
      </c>
    </row>
    <row r="83" spans="1:2" x14ac:dyDescent="0.2">
      <c r="A83" s="1" t="s">
        <v>719</v>
      </c>
      <c r="B83" s="10">
        <v>39.871200000000002</v>
      </c>
    </row>
    <row r="84" spans="1:2" x14ac:dyDescent="0.2">
      <c r="A84" s="1" t="s">
        <v>720</v>
      </c>
      <c r="B84" s="10">
        <v>597.59289999999999</v>
      </c>
    </row>
    <row r="85" spans="1:2" x14ac:dyDescent="0.2">
      <c r="A85" s="1" t="s">
        <v>721</v>
      </c>
      <c r="B85" s="10">
        <v>37.259599999999999</v>
      </c>
    </row>
    <row r="86" spans="1:2" x14ac:dyDescent="0.2">
      <c r="A86" s="1" t="s">
        <v>722</v>
      </c>
      <c r="B86" s="10">
        <v>565.02769999999998</v>
      </c>
    </row>
    <row r="88" spans="1:2" x14ac:dyDescent="0.2">
      <c r="A88" s="9" t="s">
        <v>109</v>
      </c>
      <c r="B88" s="11" t="s">
        <v>110</v>
      </c>
    </row>
    <row r="90" spans="1:2" x14ac:dyDescent="0.2">
      <c r="A90" s="9" t="s">
        <v>111</v>
      </c>
      <c r="B90" s="40">
        <v>0.11980214476581276</v>
      </c>
    </row>
  </sheetData>
  <mergeCells count="1">
    <mergeCell ref="A1:F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0.85546875" style="1" bestFit="1" customWidth="1"/>
    <col min="3" max="3" width="32.7109375" style="1" bestFit="1" customWidth="1"/>
    <col min="4" max="4" width="11.140625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297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117</v>
      </c>
      <c r="B8" s="7" t="s">
        <v>118</v>
      </c>
      <c r="C8" s="7" t="s">
        <v>11</v>
      </c>
      <c r="D8" s="13">
        <v>3033870</v>
      </c>
      <c r="E8" s="12">
        <v>18984.441524999998</v>
      </c>
      <c r="F8" s="12">
        <v>7.1287766075034442</v>
      </c>
    </row>
    <row r="9" spans="1:6" x14ac:dyDescent="0.2">
      <c r="A9" s="7" t="s">
        <v>9</v>
      </c>
      <c r="B9" s="7" t="s">
        <v>10</v>
      </c>
      <c r="C9" s="7" t="s">
        <v>11</v>
      </c>
      <c r="D9" s="13">
        <v>694023</v>
      </c>
      <c r="E9" s="12">
        <v>14771.932543499999</v>
      </c>
      <c r="F9" s="12">
        <v>5.5469531207988307</v>
      </c>
    </row>
    <row r="10" spans="1:6" x14ac:dyDescent="0.2">
      <c r="A10" s="7" t="s">
        <v>190</v>
      </c>
      <c r="B10" s="7" t="s">
        <v>191</v>
      </c>
      <c r="C10" s="7" t="s">
        <v>35</v>
      </c>
      <c r="D10" s="13">
        <v>1396570</v>
      </c>
      <c r="E10" s="12">
        <v>11045.47213</v>
      </c>
      <c r="F10" s="12">
        <v>4.1476439133320913</v>
      </c>
    </row>
    <row r="11" spans="1:6" x14ac:dyDescent="0.2">
      <c r="A11" s="7" t="s">
        <v>192</v>
      </c>
      <c r="B11" s="7" t="s">
        <v>193</v>
      </c>
      <c r="C11" s="7" t="s">
        <v>11</v>
      </c>
      <c r="D11" s="13">
        <v>860751</v>
      </c>
      <c r="E11" s="12">
        <v>10621.2369645</v>
      </c>
      <c r="F11" s="12">
        <v>3.9883409535945513</v>
      </c>
    </row>
    <row r="12" spans="1:6" x14ac:dyDescent="0.2">
      <c r="A12" s="7" t="s">
        <v>18</v>
      </c>
      <c r="B12" s="7" t="s">
        <v>19</v>
      </c>
      <c r="C12" s="7" t="s">
        <v>20</v>
      </c>
      <c r="D12" s="13">
        <v>4624884</v>
      </c>
      <c r="E12" s="12">
        <v>10461.487607999999</v>
      </c>
      <c r="F12" s="12">
        <v>3.9283540704312379</v>
      </c>
    </row>
    <row r="13" spans="1:6" x14ac:dyDescent="0.2">
      <c r="A13" s="7" t="s">
        <v>115</v>
      </c>
      <c r="B13" s="7" t="s">
        <v>116</v>
      </c>
      <c r="C13" s="7" t="s">
        <v>11</v>
      </c>
      <c r="D13" s="13">
        <v>2691781</v>
      </c>
      <c r="E13" s="12">
        <v>9559.8602214999992</v>
      </c>
      <c r="F13" s="12">
        <v>3.5897873439304084</v>
      </c>
    </row>
    <row r="14" spans="1:6" x14ac:dyDescent="0.2">
      <c r="A14" s="7" t="s">
        <v>185</v>
      </c>
      <c r="B14" s="7" t="s">
        <v>186</v>
      </c>
      <c r="C14" s="7" t="s">
        <v>76</v>
      </c>
      <c r="D14" s="13">
        <v>1342776</v>
      </c>
      <c r="E14" s="12">
        <v>8962.3584119999996</v>
      </c>
      <c r="F14" s="12">
        <v>3.3654216749748356</v>
      </c>
    </row>
    <row r="15" spans="1:6" x14ac:dyDescent="0.2">
      <c r="A15" s="7" t="s">
        <v>234</v>
      </c>
      <c r="B15" s="7" t="s">
        <v>235</v>
      </c>
      <c r="C15" s="7" t="s">
        <v>79</v>
      </c>
      <c r="D15" s="13">
        <v>710346</v>
      </c>
      <c r="E15" s="12">
        <v>8663.7349890000005</v>
      </c>
      <c r="F15" s="12">
        <v>3.2532867106920236</v>
      </c>
    </row>
    <row r="16" spans="1:6" x14ac:dyDescent="0.2">
      <c r="A16" s="7" t="s">
        <v>236</v>
      </c>
      <c r="B16" s="7" t="s">
        <v>237</v>
      </c>
      <c r="C16" s="7" t="s">
        <v>79</v>
      </c>
      <c r="D16" s="13">
        <v>1631156</v>
      </c>
      <c r="E16" s="12">
        <v>7496.7929759999997</v>
      </c>
      <c r="F16" s="12">
        <v>2.8150926814585313</v>
      </c>
    </row>
    <row r="17" spans="1:6" x14ac:dyDescent="0.2">
      <c r="A17" s="7" t="s">
        <v>238</v>
      </c>
      <c r="B17" s="7" t="s">
        <v>239</v>
      </c>
      <c r="C17" s="7" t="s">
        <v>52</v>
      </c>
      <c r="D17" s="13">
        <v>830035</v>
      </c>
      <c r="E17" s="12">
        <v>7190.1781874999997</v>
      </c>
      <c r="F17" s="12">
        <v>2.6999569094161973</v>
      </c>
    </row>
    <row r="18" spans="1:6" x14ac:dyDescent="0.2">
      <c r="A18" s="7" t="s">
        <v>240</v>
      </c>
      <c r="B18" s="7" t="s">
        <v>241</v>
      </c>
      <c r="C18" s="7" t="s">
        <v>135</v>
      </c>
      <c r="D18" s="13">
        <v>3835803</v>
      </c>
      <c r="E18" s="12">
        <v>7178.7053145</v>
      </c>
      <c r="F18" s="12">
        <v>2.6956487738012753</v>
      </c>
    </row>
    <row r="19" spans="1:6" x14ac:dyDescent="0.2">
      <c r="A19" s="7" t="s">
        <v>136</v>
      </c>
      <c r="B19" s="7" t="s">
        <v>137</v>
      </c>
      <c r="C19" s="7" t="s">
        <v>135</v>
      </c>
      <c r="D19" s="13">
        <v>3229392</v>
      </c>
      <c r="E19" s="12">
        <v>6917.3576640000001</v>
      </c>
      <c r="F19" s="12">
        <v>2.5975110953840859</v>
      </c>
    </row>
    <row r="20" spans="1:6" x14ac:dyDescent="0.2">
      <c r="A20" s="7" t="s">
        <v>194</v>
      </c>
      <c r="B20" s="7" t="s">
        <v>195</v>
      </c>
      <c r="C20" s="7" t="s">
        <v>150</v>
      </c>
      <c r="D20" s="13">
        <v>238420</v>
      </c>
      <c r="E20" s="12">
        <v>6490.2692399999996</v>
      </c>
      <c r="F20" s="12">
        <v>2.4371367192225666</v>
      </c>
    </row>
    <row r="21" spans="1:6" x14ac:dyDescent="0.2">
      <c r="A21" s="7" t="s">
        <v>242</v>
      </c>
      <c r="B21" s="7" t="s">
        <v>243</v>
      </c>
      <c r="C21" s="7" t="s">
        <v>130</v>
      </c>
      <c r="D21" s="13">
        <v>8327483</v>
      </c>
      <c r="E21" s="12">
        <v>6337.2145630000005</v>
      </c>
      <c r="F21" s="12">
        <v>2.379663730110416</v>
      </c>
    </row>
    <row r="22" spans="1:6" x14ac:dyDescent="0.2">
      <c r="A22" s="7" t="s">
        <v>12</v>
      </c>
      <c r="B22" s="7" t="s">
        <v>13</v>
      </c>
      <c r="C22" s="7" t="s">
        <v>14</v>
      </c>
      <c r="D22" s="13">
        <v>4317530</v>
      </c>
      <c r="E22" s="12">
        <v>6228.0370249999996</v>
      </c>
      <c r="F22" s="12">
        <v>2.3386668812995457</v>
      </c>
    </row>
    <row r="23" spans="1:6" x14ac:dyDescent="0.2">
      <c r="A23" s="7" t="s">
        <v>121</v>
      </c>
      <c r="B23" s="7" t="s">
        <v>122</v>
      </c>
      <c r="C23" s="7" t="s">
        <v>123</v>
      </c>
      <c r="D23" s="13">
        <v>4558616</v>
      </c>
      <c r="E23" s="12">
        <v>6135.8971359999996</v>
      </c>
      <c r="F23" s="12">
        <v>2.3040677763189654</v>
      </c>
    </row>
    <row r="24" spans="1:6" x14ac:dyDescent="0.2">
      <c r="A24" s="7" t="s">
        <v>244</v>
      </c>
      <c r="B24" s="7" t="s">
        <v>245</v>
      </c>
      <c r="C24" s="7" t="s">
        <v>246</v>
      </c>
      <c r="D24" s="13">
        <v>1151987</v>
      </c>
      <c r="E24" s="12">
        <v>6000.1242894999996</v>
      </c>
      <c r="F24" s="12">
        <v>2.2530842227185732</v>
      </c>
    </row>
    <row r="25" spans="1:6" x14ac:dyDescent="0.2">
      <c r="A25" s="7" t="s">
        <v>247</v>
      </c>
      <c r="B25" s="7" t="s">
        <v>248</v>
      </c>
      <c r="C25" s="7" t="s">
        <v>249</v>
      </c>
      <c r="D25" s="13">
        <v>1315491</v>
      </c>
      <c r="E25" s="12">
        <v>5348.1286604999996</v>
      </c>
      <c r="F25" s="12">
        <v>2.0082557834890604</v>
      </c>
    </row>
    <row r="26" spans="1:6" x14ac:dyDescent="0.2">
      <c r="A26" s="7" t="s">
        <v>250</v>
      </c>
      <c r="B26" s="7" t="s">
        <v>251</v>
      </c>
      <c r="C26" s="7" t="s">
        <v>32</v>
      </c>
      <c r="D26" s="13">
        <v>587569</v>
      </c>
      <c r="E26" s="12">
        <v>5326.3129849999996</v>
      </c>
      <c r="F26" s="12">
        <v>2.0000638608045564</v>
      </c>
    </row>
    <row r="27" spans="1:6" x14ac:dyDescent="0.2">
      <c r="A27" s="7" t="s">
        <v>119</v>
      </c>
      <c r="B27" s="7" t="s">
        <v>120</v>
      </c>
      <c r="C27" s="7" t="s">
        <v>29</v>
      </c>
      <c r="D27" s="13">
        <v>1623483</v>
      </c>
      <c r="E27" s="12">
        <v>5089.619205</v>
      </c>
      <c r="F27" s="12">
        <v>1.911183865057325</v>
      </c>
    </row>
    <row r="28" spans="1:6" x14ac:dyDescent="0.2">
      <c r="A28" s="7" t="s">
        <v>214</v>
      </c>
      <c r="B28" s="7" t="s">
        <v>215</v>
      </c>
      <c r="C28" s="7" t="s">
        <v>79</v>
      </c>
      <c r="D28" s="13">
        <v>397050</v>
      </c>
      <c r="E28" s="12">
        <v>4923.0229499999996</v>
      </c>
      <c r="F28" s="12">
        <v>1.848625928655681</v>
      </c>
    </row>
    <row r="29" spans="1:6" x14ac:dyDescent="0.2">
      <c r="A29" s="7" t="s">
        <v>166</v>
      </c>
      <c r="B29" s="7" t="s">
        <v>167</v>
      </c>
      <c r="C29" s="7" t="s">
        <v>130</v>
      </c>
      <c r="D29" s="13">
        <v>2701385</v>
      </c>
      <c r="E29" s="12">
        <v>4866.5450774999999</v>
      </c>
      <c r="F29" s="12">
        <v>1.8274181340629687</v>
      </c>
    </row>
    <row r="30" spans="1:6" x14ac:dyDescent="0.2">
      <c r="A30" s="7" t="s">
        <v>222</v>
      </c>
      <c r="B30" s="7" t="s">
        <v>223</v>
      </c>
      <c r="C30" s="7" t="s">
        <v>224</v>
      </c>
      <c r="D30" s="13">
        <v>902468</v>
      </c>
      <c r="E30" s="12">
        <v>4778.5680599999996</v>
      </c>
      <c r="F30" s="12">
        <v>1.7943822133841314</v>
      </c>
    </row>
    <row r="31" spans="1:6" x14ac:dyDescent="0.2">
      <c r="A31" s="7" t="s">
        <v>227</v>
      </c>
      <c r="B31" s="7" t="s">
        <v>228</v>
      </c>
      <c r="C31" s="7" t="s">
        <v>17</v>
      </c>
      <c r="D31" s="13">
        <v>2480513</v>
      </c>
      <c r="E31" s="12">
        <v>4490.9687864999996</v>
      </c>
      <c r="F31" s="12">
        <v>1.686386886233638</v>
      </c>
    </row>
    <row r="32" spans="1:6" x14ac:dyDescent="0.2">
      <c r="A32" s="7" t="s">
        <v>225</v>
      </c>
      <c r="B32" s="7" t="s">
        <v>226</v>
      </c>
      <c r="C32" s="7" t="s">
        <v>189</v>
      </c>
      <c r="D32" s="13">
        <v>806517</v>
      </c>
      <c r="E32" s="12">
        <v>4467.7009214999998</v>
      </c>
      <c r="F32" s="12">
        <v>1.6776496573032997</v>
      </c>
    </row>
    <row r="33" spans="1:6" x14ac:dyDescent="0.2">
      <c r="A33" s="7" t="s">
        <v>252</v>
      </c>
      <c r="B33" s="7" t="s">
        <v>253</v>
      </c>
      <c r="C33" s="7" t="s">
        <v>79</v>
      </c>
      <c r="D33" s="13">
        <v>40512</v>
      </c>
      <c r="E33" s="12">
        <v>4361.0560320000004</v>
      </c>
      <c r="F33" s="12">
        <v>1.6376038338548597</v>
      </c>
    </row>
    <row r="34" spans="1:6" x14ac:dyDescent="0.2">
      <c r="A34" s="7" t="s">
        <v>254</v>
      </c>
      <c r="B34" s="7" t="s">
        <v>255</v>
      </c>
      <c r="C34" s="7" t="s">
        <v>11</v>
      </c>
      <c r="D34" s="13">
        <v>4780054</v>
      </c>
      <c r="E34" s="12">
        <v>4077.386062</v>
      </c>
      <c r="F34" s="12">
        <v>1.531083984760315</v>
      </c>
    </row>
    <row r="35" spans="1:6" x14ac:dyDescent="0.2">
      <c r="A35" s="7" t="s">
        <v>256</v>
      </c>
      <c r="B35" s="7" t="s">
        <v>257</v>
      </c>
      <c r="C35" s="7" t="s">
        <v>130</v>
      </c>
      <c r="D35" s="13">
        <v>580784</v>
      </c>
      <c r="E35" s="12">
        <v>4062.5840800000001</v>
      </c>
      <c r="F35" s="12">
        <v>1.5255257478805346</v>
      </c>
    </row>
    <row r="36" spans="1:6" x14ac:dyDescent="0.2">
      <c r="A36" s="7" t="s">
        <v>258</v>
      </c>
      <c r="B36" s="7" t="s">
        <v>259</v>
      </c>
      <c r="C36" s="7" t="s">
        <v>26</v>
      </c>
      <c r="D36" s="13">
        <v>1567000</v>
      </c>
      <c r="E36" s="12">
        <v>4054.6125000000002</v>
      </c>
      <c r="F36" s="12">
        <v>1.5225323697000912</v>
      </c>
    </row>
    <row r="37" spans="1:6" x14ac:dyDescent="0.2">
      <c r="A37" s="7" t="s">
        <v>260</v>
      </c>
      <c r="B37" s="7" t="s">
        <v>261</v>
      </c>
      <c r="C37" s="7" t="s">
        <v>23</v>
      </c>
      <c r="D37" s="13">
        <v>1872299</v>
      </c>
      <c r="E37" s="12">
        <v>4054.4634845</v>
      </c>
      <c r="F37" s="12">
        <v>1.5224764134472217</v>
      </c>
    </row>
    <row r="38" spans="1:6" x14ac:dyDescent="0.2">
      <c r="A38" s="7" t="s">
        <v>262</v>
      </c>
      <c r="B38" s="7" t="s">
        <v>263</v>
      </c>
      <c r="C38" s="7" t="s">
        <v>246</v>
      </c>
      <c r="D38" s="13">
        <v>1677065</v>
      </c>
      <c r="E38" s="12">
        <v>4009.0238825000001</v>
      </c>
      <c r="F38" s="12">
        <v>1.5054135585107047</v>
      </c>
    </row>
    <row r="39" spans="1:6" x14ac:dyDescent="0.2">
      <c r="A39" s="7" t="s">
        <v>264</v>
      </c>
      <c r="B39" s="7" t="s">
        <v>265</v>
      </c>
      <c r="C39" s="7" t="s">
        <v>38</v>
      </c>
      <c r="D39" s="13">
        <v>297232</v>
      </c>
      <c r="E39" s="12">
        <v>3759.3903359999999</v>
      </c>
      <c r="F39" s="12">
        <v>1.411674599458691</v>
      </c>
    </row>
    <row r="40" spans="1:6" x14ac:dyDescent="0.2">
      <c r="A40" s="7" t="s">
        <v>24</v>
      </c>
      <c r="B40" s="7" t="s">
        <v>25</v>
      </c>
      <c r="C40" s="7" t="s">
        <v>26</v>
      </c>
      <c r="D40" s="13">
        <v>423620</v>
      </c>
      <c r="E40" s="12">
        <v>3418.6134000000002</v>
      </c>
      <c r="F40" s="12">
        <v>1.2837107272249779</v>
      </c>
    </row>
    <row r="41" spans="1:6" x14ac:dyDescent="0.2">
      <c r="A41" s="7" t="s">
        <v>155</v>
      </c>
      <c r="B41" s="7" t="s">
        <v>156</v>
      </c>
      <c r="C41" s="7" t="s">
        <v>35</v>
      </c>
      <c r="D41" s="13">
        <v>3415915</v>
      </c>
      <c r="E41" s="12">
        <v>3202.4203124999999</v>
      </c>
      <c r="F41" s="12">
        <v>1.202528869815878</v>
      </c>
    </row>
    <row r="42" spans="1:6" x14ac:dyDescent="0.2">
      <c r="A42" s="7" t="s">
        <v>266</v>
      </c>
      <c r="B42" s="7" t="s">
        <v>267</v>
      </c>
      <c r="C42" s="7" t="s">
        <v>174</v>
      </c>
      <c r="D42" s="13">
        <v>290226</v>
      </c>
      <c r="E42" s="12">
        <v>3021.9782249999998</v>
      </c>
      <c r="F42" s="12">
        <v>1.1347717366558026</v>
      </c>
    </row>
    <row r="43" spans="1:6" x14ac:dyDescent="0.2">
      <c r="A43" s="7" t="s">
        <v>268</v>
      </c>
      <c r="B43" s="7" t="s">
        <v>269</v>
      </c>
      <c r="C43" s="7" t="s">
        <v>246</v>
      </c>
      <c r="D43" s="13">
        <v>307387</v>
      </c>
      <c r="E43" s="12">
        <v>2952.1447480000002</v>
      </c>
      <c r="F43" s="12">
        <v>1.1085488289867698</v>
      </c>
    </row>
    <row r="44" spans="1:6" x14ac:dyDescent="0.2">
      <c r="A44" s="7" t="s">
        <v>270</v>
      </c>
      <c r="B44" s="7" t="s">
        <v>271</v>
      </c>
      <c r="C44" s="7" t="s">
        <v>150</v>
      </c>
      <c r="D44" s="13">
        <v>163446</v>
      </c>
      <c r="E44" s="12">
        <v>2899.205148</v>
      </c>
      <c r="F44" s="12">
        <v>1.0886696778622231</v>
      </c>
    </row>
    <row r="45" spans="1:6" x14ac:dyDescent="0.2">
      <c r="A45" s="7" t="s">
        <v>272</v>
      </c>
      <c r="B45" s="7" t="s">
        <v>273</v>
      </c>
      <c r="C45" s="7" t="s">
        <v>11</v>
      </c>
      <c r="D45" s="13">
        <v>1236509</v>
      </c>
      <c r="E45" s="12">
        <v>2841.4976820000002</v>
      </c>
      <c r="F45" s="12">
        <v>1.0670001632148021</v>
      </c>
    </row>
    <row r="46" spans="1:6" x14ac:dyDescent="0.2">
      <c r="A46" s="7" t="s">
        <v>210</v>
      </c>
      <c r="B46" s="7" t="s">
        <v>211</v>
      </c>
      <c r="C46" s="7" t="s">
        <v>150</v>
      </c>
      <c r="D46" s="13">
        <v>698798</v>
      </c>
      <c r="E46" s="12">
        <v>2552.7090939999998</v>
      </c>
      <c r="F46" s="12">
        <v>0.95855824102618747</v>
      </c>
    </row>
    <row r="47" spans="1:6" x14ac:dyDescent="0.2">
      <c r="A47" s="7" t="s">
        <v>274</v>
      </c>
      <c r="B47" s="7" t="s">
        <v>275</v>
      </c>
      <c r="C47" s="7" t="s">
        <v>65</v>
      </c>
      <c r="D47" s="13">
        <v>1656994</v>
      </c>
      <c r="E47" s="12">
        <v>1852.519292</v>
      </c>
      <c r="F47" s="12">
        <v>0.69563258821006813</v>
      </c>
    </row>
    <row r="48" spans="1:6" x14ac:dyDescent="0.2">
      <c r="A48" s="7" t="s">
        <v>124</v>
      </c>
      <c r="B48" s="7" t="s">
        <v>125</v>
      </c>
      <c r="C48" s="7" t="s">
        <v>123</v>
      </c>
      <c r="D48" s="13">
        <v>545944</v>
      </c>
      <c r="E48" s="12">
        <v>1771.042336</v>
      </c>
      <c r="F48" s="12">
        <v>0.66503748130536888</v>
      </c>
    </row>
    <row r="49" spans="1:6" x14ac:dyDescent="0.2">
      <c r="A49" s="7" t="s">
        <v>276</v>
      </c>
      <c r="B49" s="7" t="s">
        <v>277</v>
      </c>
      <c r="C49" s="7" t="s">
        <v>32</v>
      </c>
      <c r="D49" s="13">
        <v>1614973</v>
      </c>
      <c r="E49" s="12">
        <v>1738.5184345</v>
      </c>
      <c r="F49" s="12">
        <v>0.65282455274001594</v>
      </c>
    </row>
    <row r="50" spans="1:6" x14ac:dyDescent="0.2">
      <c r="A50" s="7" t="s">
        <v>278</v>
      </c>
      <c r="B50" s="7" t="s">
        <v>279</v>
      </c>
      <c r="C50" s="7" t="s">
        <v>123</v>
      </c>
      <c r="D50" s="13">
        <v>733313</v>
      </c>
      <c r="E50" s="12">
        <v>1703.8527555000001</v>
      </c>
      <c r="F50" s="12">
        <v>0.63980737331901505</v>
      </c>
    </row>
    <row r="51" spans="1:6" x14ac:dyDescent="0.2">
      <c r="A51" s="7" t="s">
        <v>280</v>
      </c>
      <c r="B51" s="7" t="s">
        <v>281</v>
      </c>
      <c r="C51" s="7" t="s">
        <v>65</v>
      </c>
      <c r="D51" s="13">
        <v>3997148</v>
      </c>
      <c r="E51" s="12">
        <v>1530.907684</v>
      </c>
      <c r="F51" s="12">
        <v>0.57486541658730606</v>
      </c>
    </row>
    <row r="52" spans="1:6" x14ac:dyDescent="0.2">
      <c r="A52" s="7" t="s">
        <v>200</v>
      </c>
      <c r="B52" s="7" t="s">
        <v>201</v>
      </c>
      <c r="C52" s="7" t="s">
        <v>76</v>
      </c>
      <c r="D52" s="13">
        <v>187368</v>
      </c>
      <c r="E52" s="12">
        <v>1322.7243960000001</v>
      </c>
      <c r="F52" s="12">
        <v>0.49669128902009796</v>
      </c>
    </row>
    <row r="53" spans="1:6" x14ac:dyDescent="0.2">
      <c r="A53" s="7" t="s">
        <v>282</v>
      </c>
      <c r="B53" s="7" t="s">
        <v>283</v>
      </c>
      <c r="C53" s="7" t="s">
        <v>246</v>
      </c>
      <c r="D53" s="13">
        <v>183623</v>
      </c>
      <c r="E53" s="12">
        <v>1302.3461275</v>
      </c>
      <c r="F53" s="12">
        <v>0.48903912166016161</v>
      </c>
    </row>
    <row r="54" spans="1:6" x14ac:dyDescent="0.2">
      <c r="A54" s="7" t="s">
        <v>204</v>
      </c>
      <c r="B54" s="7" t="s">
        <v>205</v>
      </c>
      <c r="C54" s="7" t="s">
        <v>35</v>
      </c>
      <c r="D54" s="13">
        <v>47403</v>
      </c>
      <c r="E54" s="12">
        <v>1301.544171</v>
      </c>
      <c r="F54" s="12">
        <v>0.48873798197533569</v>
      </c>
    </row>
    <row r="55" spans="1:6" x14ac:dyDescent="0.2">
      <c r="A55" s="7" t="s">
        <v>284</v>
      </c>
      <c r="B55" s="7" t="s">
        <v>285</v>
      </c>
      <c r="C55" s="7" t="s">
        <v>35</v>
      </c>
      <c r="D55" s="13">
        <v>16654</v>
      </c>
      <c r="E55" s="12">
        <v>1275.9628640000001</v>
      </c>
      <c r="F55" s="12">
        <v>0.4791320410952305</v>
      </c>
    </row>
    <row r="56" spans="1:6" x14ac:dyDescent="0.2">
      <c r="A56" s="7" t="s">
        <v>286</v>
      </c>
      <c r="B56" s="7" t="s">
        <v>287</v>
      </c>
      <c r="C56" s="7" t="s">
        <v>29</v>
      </c>
      <c r="D56" s="13">
        <v>152190</v>
      </c>
      <c r="E56" s="12">
        <v>818.858295</v>
      </c>
      <c r="F56" s="12">
        <v>0.307486414629</v>
      </c>
    </row>
    <row r="57" spans="1:6" x14ac:dyDescent="0.2">
      <c r="A57" s="7" t="s">
        <v>27</v>
      </c>
      <c r="B57" s="7" t="s">
        <v>28</v>
      </c>
      <c r="C57" s="7" t="s">
        <v>29</v>
      </c>
      <c r="D57" s="13">
        <v>1578063</v>
      </c>
      <c r="E57" s="12">
        <v>557.05623900000001</v>
      </c>
      <c r="F57" s="12">
        <v>0.20917810410264615</v>
      </c>
    </row>
    <row r="58" spans="1:6" x14ac:dyDescent="0.2">
      <c r="A58" s="7" t="s">
        <v>288</v>
      </c>
      <c r="B58" s="7" t="s">
        <v>289</v>
      </c>
      <c r="C58" s="7" t="s">
        <v>290</v>
      </c>
      <c r="D58" s="13">
        <v>156332</v>
      </c>
      <c r="E58" s="12">
        <v>336.19196599999998</v>
      </c>
      <c r="F58" s="12">
        <v>0.12624218730350001</v>
      </c>
    </row>
    <row r="59" spans="1:6" x14ac:dyDescent="0.2">
      <c r="A59" s="6" t="s">
        <v>39</v>
      </c>
      <c r="B59" s="7"/>
      <c r="C59" s="7"/>
      <c r="D59" s="13"/>
      <c r="E59" s="14">
        <f xml:space="preserve"> SUM(E8:E58)</f>
        <v>257114.576982</v>
      </c>
      <c r="F59" s="14">
        <f xml:space="preserve"> SUM(F8:F58)</f>
        <v>96.548132818325016</v>
      </c>
    </row>
    <row r="60" spans="1:6" x14ac:dyDescent="0.2">
      <c r="A60" s="6"/>
      <c r="B60" s="7"/>
      <c r="C60" s="7"/>
      <c r="D60" s="13"/>
      <c r="E60" s="14"/>
      <c r="F60" s="14"/>
    </row>
    <row r="61" spans="1:6" x14ac:dyDescent="0.2">
      <c r="A61" s="27" t="s">
        <v>40</v>
      </c>
      <c r="B61" s="28"/>
      <c r="C61" s="28"/>
      <c r="D61" s="29"/>
      <c r="E61" s="30"/>
      <c r="F61" s="30"/>
    </row>
    <row r="62" spans="1:6" x14ac:dyDescent="0.2">
      <c r="A62" s="36" t="s">
        <v>643</v>
      </c>
      <c r="B62" s="37" t="s">
        <v>649</v>
      </c>
      <c r="C62" s="28" t="s">
        <v>76</v>
      </c>
      <c r="D62" s="29">
        <v>60000</v>
      </c>
      <c r="E62" s="30">
        <v>2943.53685</v>
      </c>
      <c r="F62" s="12">
        <v>1.1053165094149049</v>
      </c>
    </row>
    <row r="63" spans="1:6" x14ac:dyDescent="0.2">
      <c r="A63" s="19" t="s">
        <v>39</v>
      </c>
      <c r="B63" s="28"/>
      <c r="C63" s="28"/>
      <c r="D63" s="29"/>
      <c r="E63" s="31">
        <f>SUM(E62)</f>
        <v>2943.53685</v>
      </c>
      <c r="F63" s="31">
        <f>SUM(F62)</f>
        <v>1.1053165094149049</v>
      </c>
    </row>
    <row r="64" spans="1:6" x14ac:dyDescent="0.2">
      <c r="A64" s="19"/>
      <c r="B64" s="28"/>
      <c r="C64" s="28"/>
      <c r="D64" s="29"/>
      <c r="E64" s="31"/>
      <c r="F64" s="31"/>
    </row>
    <row r="65" spans="1:6" x14ac:dyDescent="0.2">
      <c r="A65" s="6" t="s">
        <v>291</v>
      </c>
      <c r="B65" s="7"/>
      <c r="C65" s="7"/>
      <c r="D65" s="13"/>
      <c r="E65" s="12"/>
      <c r="F65" s="12"/>
    </row>
    <row r="66" spans="1:6" x14ac:dyDescent="0.2">
      <c r="A66" s="7" t="s">
        <v>292</v>
      </c>
      <c r="B66" s="7" t="s">
        <v>293</v>
      </c>
      <c r="C66" s="7" t="s">
        <v>17</v>
      </c>
      <c r="D66" s="13">
        <v>348470</v>
      </c>
      <c r="E66" s="12">
        <v>523.92464500000006</v>
      </c>
      <c r="F66" s="12">
        <v>0.19673698320027602</v>
      </c>
    </row>
    <row r="67" spans="1:6" x14ac:dyDescent="0.2">
      <c r="A67" s="7" t="s">
        <v>295</v>
      </c>
      <c r="B67" s="7" t="s">
        <v>296</v>
      </c>
      <c r="C67" s="7" t="s">
        <v>76</v>
      </c>
      <c r="D67" s="13">
        <v>116156</v>
      </c>
      <c r="E67" s="12">
        <v>349.281092</v>
      </c>
      <c r="F67" s="12">
        <v>0.13115723603530438</v>
      </c>
    </row>
    <row r="68" spans="1:6" x14ac:dyDescent="0.2">
      <c r="A68" s="6" t="s">
        <v>39</v>
      </c>
      <c r="B68" s="7"/>
      <c r="C68" s="7"/>
      <c r="D68" s="13"/>
      <c r="E68" s="14">
        <f>SUM(E66:E67)</f>
        <v>873.205737</v>
      </c>
      <c r="F68" s="14">
        <f>SUM(F66:F67)</f>
        <v>0.32789421923558038</v>
      </c>
    </row>
    <row r="69" spans="1:6" x14ac:dyDescent="0.2">
      <c r="A69" s="7"/>
      <c r="B69" s="7"/>
      <c r="C69" s="7"/>
      <c r="D69" s="13"/>
      <c r="E69" s="12"/>
      <c r="F69" s="12"/>
    </row>
    <row r="70" spans="1:6" x14ac:dyDescent="0.2">
      <c r="A70" s="6" t="s">
        <v>39</v>
      </c>
      <c r="B70" s="7"/>
      <c r="C70" s="7"/>
      <c r="D70" s="13"/>
      <c r="E70" s="14">
        <f>E59+E63+E68</f>
        <v>260931.31956900001</v>
      </c>
      <c r="F70" s="14">
        <f>F59+F63+F68</f>
        <v>97.981343546975495</v>
      </c>
    </row>
    <row r="71" spans="1:6" x14ac:dyDescent="0.2">
      <c r="A71" s="7"/>
      <c r="B71" s="7"/>
      <c r="C71" s="7"/>
      <c r="D71" s="13"/>
      <c r="E71" s="12"/>
      <c r="F71" s="12"/>
    </row>
    <row r="72" spans="1:6" x14ac:dyDescent="0.2">
      <c r="A72" s="6" t="s">
        <v>103</v>
      </c>
      <c r="B72" s="7"/>
      <c r="C72" s="7"/>
      <c r="D72" s="13"/>
      <c r="E72" s="14">
        <v>5375.8263866999996</v>
      </c>
      <c r="F72" s="14">
        <v>2.018656453024458</v>
      </c>
    </row>
    <row r="73" spans="1:6" x14ac:dyDescent="0.2">
      <c r="A73" s="7"/>
      <c r="B73" s="7"/>
      <c r="C73" s="7"/>
      <c r="D73" s="13"/>
      <c r="E73" s="12"/>
      <c r="F73" s="12"/>
    </row>
    <row r="74" spans="1:6" x14ac:dyDescent="0.2">
      <c r="A74" s="8" t="s">
        <v>104</v>
      </c>
      <c r="B74" s="5"/>
      <c r="C74" s="5"/>
      <c r="D74" s="24"/>
      <c r="E74" s="15">
        <f>E70+E72</f>
        <v>266307.14595570002</v>
      </c>
      <c r="F74" s="15">
        <f>F70+F72</f>
        <v>99.999999999999957</v>
      </c>
    </row>
    <row r="76" spans="1:6" x14ac:dyDescent="0.2">
      <c r="A76" s="9" t="s">
        <v>105</v>
      </c>
    </row>
    <row r="77" spans="1:6" x14ac:dyDescent="0.2">
      <c r="A77" s="9" t="s">
        <v>106</v>
      </c>
    </row>
    <row r="78" spans="1:6" x14ac:dyDescent="0.2">
      <c r="A78" s="9" t="s">
        <v>107</v>
      </c>
    </row>
    <row r="79" spans="1:6" x14ac:dyDescent="0.2">
      <c r="A79" s="1" t="s">
        <v>719</v>
      </c>
      <c r="B79" s="10">
        <v>17.8567</v>
      </c>
    </row>
    <row r="80" spans="1:6" x14ac:dyDescent="0.2">
      <c r="A80" s="1" t="s">
        <v>720</v>
      </c>
      <c r="B80" s="10">
        <v>84.087599999999995</v>
      </c>
    </row>
    <row r="81" spans="1:2" x14ac:dyDescent="0.2">
      <c r="A81" s="1" t="s">
        <v>721</v>
      </c>
      <c r="B81" s="10">
        <v>16.947900000000001</v>
      </c>
    </row>
    <row r="82" spans="1:2" x14ac:dyDescent="0.2">
      <c r="A82" s="1" t="s">
        <v>722</v>
      </c>
      <c r="B82" s="10">
        <v>80.852199999999996</v>
      </c>
    </row>
    <row r="84" spans="1:2" x14ac:dyDescent="0.2">
      <c r="A84" s="9" t="s">
        <v>108</v>
      </c>
    </row>
    <row r="85" spans="1:2" x14ac:dyDescent="0.2">
      <c r="A85" s="1" t="s">
        <v>719</v>
      </c>
      <c r="B85" s="10">
        <v>17.034099999999999</v>
      </c>
    </row>
    <row r="86" spans="1:2" x14ac:dyDescent="0.2">
      <c r="A86" s="1" t="s">
        <v>720</v>
      </c>
      <c r="B86" s="10">
        <v>80.216200000000001</v>
      </c>
    </row>
    <row r="87" spans="1:2" x14ac:dyDescent="0.2">
      <c r="A87" s="1" t="s">
        <v>721</v>
      </c>
      <c r="B87" s="10">
        <v>16.107500000000002</v>
      </c>
    </row>
    <row r="88" spans="1:2" x14ac:dyDescent="0.2">
      <c r="A88" s="1" t="s">
        <v>722</v>
      </c>
      <c r="B88" s="10">
        <v>76.843000000000004</v>
      </c>
    </row>
    <row r="90" spans="1:2" x14ac:dyDescent="0.2">
      <c r="A90" s="9" t="s">
        <v>109</v>
      </c>
      <c r="B90" s="11" t="s">
        <v>110</v>
      </c>
    </row>
    <row r="92" spans="1:2" x14ac:dyDescent="0.2">
      <c r="A92" s="9" t="s">
        <v>111</v>
      </c>
      <c r="B92" s="40">
        <v>0.16005797678703229</v>
      </c>
    </row>
  </sheetData>
  <mergeCells count="1">
    <mergeCell ref="A1:F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28.85546875" style="1" bestFit="1" customWidth="1"/>
    <col min="3" max="3" width="20" style="1" bestFit="1" customWidth="1"/>
    <col min="4" max="4" width="12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233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9</v>
      </c>
      <c r="B8" s="7" t="s">
        <v>10</v>
      </c>
      <c r="C8" s="7" t="s">
        <v>11</v>
      </c>
      <c r="D8" s="13">
        <v>3600000</v>
      </c>
      <c r="E8" s="12">
        <v>76624.2</v>
      </c>
      <c r="F8" s="12">
        <v>9.9214281968639959</v>
      </c>
    </row>
    <row r="9" spans="1:6" x14ac:dyDescent="0.2">
      <c r="A9" s="7" t="s">
        <v>185</v>
      </c>
      <c r="B9" s="7" t="s">
        <v>186</v>
      </c>
      <c r="C9" s="7" t="s">
        <v>76</v>
      </c>
      <c r="D9" s="13">
        <v>7400000</v>
      </c>
      <c r="E9" s="12">
        <v>49391.3</v>
      </c>
      <c r="F9" s="12">
        <v>6.3952672458540345</v>
      </c>
    </row>
    <row r="10" spans="1:6" x14ac:dyDescent="0.2">
      <c r="A10" s="7" t="s">
        <v>187</v>
      </c>
      <c r="B10" s="7" t="s">
        <v>188</v>
      </c>
      <c r="C10" s="7" t="s">
        <v>189</v>
      </c>
      <c r="D10" s="13">
        <v>2600000</v>
      </c>
      <c r="E10" s="12">
        <v>37245</v>
      </c>
      <c r="F10" s="12">
        <v>4.8225442248297474</v>
      </c>
    </row>
    <row r="11" spans="1:6" x14ac:dyDescent="0.2">
      <c r="A11" s="7" t="s">
        <v>115</v>
      </c>
      <c r="B11" s="7" t="s">
        <v>116</v>
      </c>
      <c r="C11" s="7" t="s">
        <v>11</v>
      </c>
      <c r="D11" s="13">
        <v>9500000</v>
      </c>
      <c r="E11" s="12">
        <v>33739.25</v>
      </c>
      <c r="F11" s="12">
        <v>4.3686139142861338</v>
      </c>
    </row>
    <row r="12" spans="1:6" x14ac:dyDescent="0.2">
      <c r="A12" s="7" t="s">
        <v>119</v>
      </c>
      <c r="B12" s="7" t="s">
        <v>120</v>
      </c>
      <c r="C12" s="7" t="s">
        <v>29</v>
      </c>
      <c r="D12" s="13">
        <v>10500000</v>
      </c>
      <c r="E12" s="12">
        <v>32917.5</v>
      </c>
      <c r="F12" s="12">
        <v>4.2622123646350705</v>
      </c>
    </row>
    <row r="13" spans="1:6" x14ac:dyDescent="0.2">
      <c r="A13" s="7" t="s">
        <v>190</v>
      </c>
      <c r="B13" s="7" t="s">
        <v>191</v>
      </c>
      <c r="C13" s="7" t="s">
        <v>35</v>
      </c>
      <c r="D13" s="13">
        <v>3800000</v>
      </c>
      <c r="E13" s="12">
        <v>30054.2</v>
      </c>
      <c r="F13" s="12">
        <v>3.8914675430763381</v>
      </c>
    </row>
    <row r="14" spans="1:6" x14ac:dyDescent="0.2">
      <c r="A14" s="7" t="s">
        <v>117</v>
      </c>
      <c r="B14" s="7" t="s">
        <v>118</v>
      </c>
      <c r="C14" s="7" t="s">
        <v>11</v>
      </c>
      <c r="D14" s="13">
        <v>4700000</v>
      </c>
      <c r="E14" s="12">
        <v>29410.25</v>
      </c>
      <c r="F14" s="12">
        <v>3.8080878316095879</v>
      </c>
    </row>
    <row r="15" spans="1:6" x14ac:dyDescent="0.2">
      <c r="A15" s="7" t="s">
        <v>192</v>
      </c>
      <c r="B15" s="7" t="s">
        <v>193</v>
      </c>
      <c r="C15" s="7" t="s">
        <v>11</v>
      </c>
      <c r="D15" s="13">
        <v>1900000</v>
      </c>
      <c r="E15" s="12">
        <v>23445.05</v>
      </c>
      <c r="F15" s="12">
        <v>3.035703865709348</v>
      </c>
    </row>
    <row r="16" spans="1:6" x14ac:dyDescent="0.2">
      <c r="A16" s="7" t="s">
        <v>194</v>
      </c>
      <c r="B16" s="7" t="s">
        <v>195</v>
      </c>
      <c r="C16" s="7" t="s">
        <v>150</v>
      </c>
      <c r="D16" s="13">
        <v>800000</v>
      </c>
      <c r="E16" s="12">
        <v>21777.599999999999</v>
      </c>
      <c r="F16" s="12">
        <v>2.8197996807800321</v>
      </c>
    </row>
    <row r="17" spans="1:6" x14ac:dyDescent="0.2">
      <c r="A17" s="7" t="s">
        <v>196</v>
      </c>
      <c r="B17" s="7" t="s">
        <v>197</v>
      </c>
      <c r="C17" s="7" t="s">
        <v>76</v>
      </c>
      <c r="D17" s="13">
        <v>2000000</v>
      </c>
      <c r="E17" s="12">
        <v>20300</v>
      </c>
      <c r="F17" s="12">
        <v>2.6284775879727178</v>
      </c>
    </row>
    <row r="18" spans="1:6" x14ac:dyDescent="0.2">
      <c r="A18" s="7" t="s">
        <v>198</v>
      </c>
      <c r="B18" s="7" t="s">
        <v>199</v>
      </c>
      <c r="C18" s="7" t="s">
        <v>79</v>
      </c>
      <c r="D18" s="13">
        <v>5000000</v>
      </c>
      <c r="E18" s="12">
        <v>17837.5</v>
      </c>
      <c r="F18" s="12">
        <v>2.3096290135696234</v>
      </c>
    </row>
    <row r="19" spans="1:6" x14ac:dyDescent="0.2">
      <c r="A19" s="7" t="s">
        <v>138</v>
      </c>
      <c r="B19" s="7" t="s">
        <v>139</v>
      </c>
      <c r="C19" s="7" t="s">
        <v>35</v>
      </c>
      <c r="D19" s="13">
        <v>580000</v>
      </c>
      <c r="E19" s="12">
        <v>17720.16</v>
      </c>
      <c r="F19" s="12">
        <v>2.2944356362212135</v>
      </c>
    </row>
    <row r="20" spans="1:6" x14ac:dyDescent="0.2">
      <c r="A20" s="7" t="s">
        <v>200</v>
      </c>
      <c r="B20" s="7" t="s">
        <v>201</v>
      </c>
      <c r="C20" s="7" t="s">
        <v>76</v>
      </c>
      <c r="D20" s="13">
        <v>2500000</v>
      </c>
      <c r="E20" s="12">
        <v>17648.75</v>
      </c>
      <c r="F20" s="12">
        <v>2.2851893512676602</v>
      </c>
    </row>
    <row r="21" spans="1:6" x14ac:dyDescent="0.2">
      <c r="A21" s="7" t="s">
        <v>202</v>
      </c>
      <c r="B21" s="7" t="s">
        <v>203</v>
      </c>
      <c r="C21" s="7" t="s">
        <v>150</v>
      </c>
      <c r="D21" s="13">
        <v>1930000</v>
      </c>
      <c r="E21" s="12">
        <v>17114.275000000001</v>
      </c>
      <c r="F21" s="12">
        <v>2.2159846439360487</v>
      </c>
    </row>
    <row r="22" spans="1:6" x14ac:dyDescent="0.2">
      <c r="A22" s="7" t="s">
        <v>113</v>
      </c>
      <c r="B22" s="7" t="s">
        <v>114</v>
      </c>
      <c r="C22" s="7" t="s">
        <v>11</v>
      </c>
      <c r="D22" s="13">
        <v>6000000</v>
      </c>
      <c r="E22" s="12">
        <v>17079</v>
      </c>
      <c r="F22" s="12">
        <v>2.2114171785707413</v>
      </c>
    </row>
    <row r="23" spans="1:6" x14ac:dyDescent="0.2">
      <c r="A23" s="7" t="s">
        <v>204</v>
      </c>
      <c r="B23" s="7" t="s">
        <v>205</v>
      </c>
      <c r="C23" s="7" t="s">
        <v>35</v>
      </c>
      <c r="D23" s="13">
        <v>600000</v>
      </c>
      <c r="E23" s="12">
        <v>16474.2</v>
      </c>
      <c r="F23" s="12">
        <v>2.1331066738807953</v>
      </c>
    </row>
    <row r="24" spans="1:6" x14ac:dyDescent="0.2">
      <c r="A24" s="7" t="s">
        <v>206</v>
      </c>
      <c r="B24" s="7" t="s">
        <v>207</v>
      </c>
      <c r="C24" s="7" t="s">
        <v>52</v>
      </c>
      <c r="D24" s="13">
        <v>1100000</v>
      </c>
      <c r="E24" s="12">
        <v>16340.5</v>
      </c>
      <c r="F24" s="12">
        <v>2.1157949766634578</v>
      </c>
    </row>
    <row r="25" spans="1:6" x14ac:dyDescent="0.2">
      <c r="A25" s="7" t="s">
        <v>208</v>
      </c>
      <c r="B25" s="7" t="s">
        <v>209</v>
      </c>
      <c r="C25" s="7" t="s">
        <v>79</v>
      </c>
      <c r="D25" s="13">
        <v>3900000</v>
      </c>
      <c r="E25" s="12">
        <v>15954.9</v>
      </c>
      <c r="F25" s="12">
        <v>2.0658668506574345</v>
      </c>
    </row>
    <row r="26" spans="1:6" x14ac:dyDescent="0.2">
      <c r="A26" s="7" t="s">
        <v>210</v>
      </c>
      <c r="B26" s="7" t="s">
        <v>211</v>
      </c>
      <c r="C26" s="7" t="s">
        <v>150</v>
      </c>
      <c r="D26" s="13">
        <v>4300000</v>
      </c>
      <c r="E26" s="12">
        <v>15707.9</v>
      </c>
      <c r="F26" s="12">
        <v>2.0338848819761899</v>
      </c>
    </row>
    <row r="27" spans="1:6" x14ac:dyDescent="0.2">
      <c r="A27" s="7" t="s">
        <v>212</v>
      </c>
      <c r="B27" s="7" t="s">
        <v>213</v>
      </c>
      <c r="C27" s="7" t="s">
        <v>11</v>
      </c>
      <c r="D27" s="13">
        <v>9100000</v>
      </c>
      <c r="E27" s="12">
        <v>15451.8</v>
      </c>
      <c r="F27" s="12">
        <v>2.0007246302382682</v>
      </c>
    </row>
    <row r="28" spans="1:6" x14ac:dyDescent="0.2">
      <c r="A28" s="7" t="s">
        <v>128</v>
      </c>
      <c r="B28" s="7" t="s">
        <v>129</v>
      </c>
      <c r="C28" s="7" t="s">
        <v>130</v>
      </c>
      <c r="D28" s="13">
        <v>11000000</v>
      </c>
      <c r="E28" s="12">
        <v>15433</v>
      </c>
      <c r="F28" s="12">
        <v>1.9982903751321655</v>
      </c>
    </row>
    <row r="29" spans="1:6" x14ac:dyDescent="0.2">
      <c r="A29" s="7" t="s">
        <v>133</v>
      </c>
      <c r="B29" s="7" t="s">
        <v>134</v>
      </c>
      <c r="C29" s="7" t="s">
        <v>135</v>
      </c>
      <c r="D29" s="13">
        <v>4400000</v>
      </c>
      <c r="E29" s="12">
        <v>15094.2</v>
      </c>
      <c r="F29" s="12">
        <v>1.9544219905604829</v>
      </c>
    </row>
    <row r="30" spans="1:6" x14ac:dyDescent="0.2">
      <c r="A30" s="7" t="s">
        <v>214</v>
      </c>
      <c r="B30" s="7" t="s">
        <v>215</v>
      </c>
      <c r="C30" s="7" t="s">
        <v>79</v>
      </c>
      <c r="D30" s="13">
        <v>1200000</v>
      </c>
      <c r="E30" s="12">
        <v>14878.8</v>
      </c>
      <c r="F30" s="12">
        <v>1.926531642163964</v>
      </c>
    </row>
    <row r="31" spans="1:6" x14ac:dyDescent="0.2">
      <c r="A31" s="7" t="s">
        <v>121</v>
      </c>
      <c r="B31" s="7" t="s">
        <v>122</v>
      </c>
      <c r="C31" s="7" t="s">
        <v>123</v>
      </c>
      <c r="D31" s="13">
        <v>11000000</v>
      </c>
      <c r="E31" s="12">
        <v>14806</v>
      </c>
      <c r="F31" s="12">
        <v>1.9171053777105449</v>
      </c>
    </row>
    <row r="32" spans="1:6" x14ac:dyDescent="0.2">
      <c r="A32" s="7" t="s">
        <v>216</v>
      </c>
      <c r="B32" s="7" t="s">
        <v>217</v>
      </c>
      <c r="C32" s="7" t="s">
        <v>79</v>
      </c>
      <c r="D32" s="13">
        <v>5000000</v>
      </c>
      <c r="E32" s="12">
        <v>14290</v>
      </c>
      <c r="F32" s="12">
        <v>1.8502928439472974</v>
      </c>
    </row>
    <row r="33" spans="1:6" x14ac:dyDescent="0.2">
      <c r="A33" s="7" t="s">
        <v>126</v>
      </c>
      <c r="B33" s="7" t="s">
        <v>127</v>
      </c>
      <c r="C33" s="7" t="s">
        <v>52</v>
      </c>
      <c r="D33" s="13">
        <v>350000</v>
      </c>
      <c r="E33" s="12">
        <v>13998.775</v>
      </c>
      <c r="F33" s="12">
        <v>1.8125845490922554</v>
      </c>
    </row>
    <row r="34" spans="1:6" x14ac:dyDescent="0.2">
      <c r="A34" s="7" t="s">
        <v>124</v>
      </c>
      <c r="B34" s="7" t="s">
        <v>125</v>
      </c>
      <c r="C34" s="7" t="s">
        <v>123</v>
      </c>
      <c r="D34" s="13">
        <v>4000000</v>
      </c>
      <c r="E34" s="12">
        <v>12976</v>
      </c>
      <c r="F34" s="12">
        <v>1.6801539498292606</v>
      </c>
    </row>
    <row r="35" spans="1:6" x14ac:dyDescent="0.2">
      <c r="A35" s="7" t="s">
        <v>24</v>
      </c>
      <c r="B35" s="7" t="s">
        <v>25</v>
      </c>
      <c r="C35" s="7" t="s">
        <v>26</v>
      </c>
      <c r="D35" s="13">
        <v>1400000</v>
      </c>
      <c r="E35" s="12">
        <v>11298</v>
      </c>
      <c r="F35" s="12">
        <v>1.4628837334441263</v>
      </c>
    </row>
    <row r="36" spans="1:6" x14ac:dyDescent="0.2">
      <c r="A36" s="7" t="s">
        <v>27</v>
      </c>
      <c r="B36" s="7" t="s">
        <v>28</v>
      </c>
      <c r="C36" s="7" t="s">
        <v>29</v>
      </c>
      <c r="D36" s="13">
        <v>30000000</v>
      </c>
      <c r="E36" s="12">
        <v>10590</v>
      </c>
      <c r="F36" s="12">
        <v>1.371210722001531</v>
      </c>
    </row>
    <row r="37" spans="1:6" x14ac:dyDescent="0.2">
      <c r="A37" s="7" t="s">
        <v>218</v>
      </c>
      <c r="B37" s="7" t="s">
        <v>219</v>
      </c>
      <c r="C37" s="7" t="s">
        <v>150</v>
      </c>
      <c r="D37" s="13">
        <v>2144297</v>
      </c>
      <c r="E37" s="12">
        <v>10562.807022000001</v>
      </c>
      <c r="F37" s="12">
        <v>1.3676897302171354</v>
      </c>
    </row>
    <row r="38" spans="1:6" x14ac:dyDescent="0.2">
      <c r="A38" s="7" t="s">
        <v>18</v>
      </c>
      <c r="B38" s="7" t="s">
        <v>19</v>
      </c>
      <c r="C38" s="7" t="s">
        <v>20</v>
      </c>
      <c r="D38" s="13">
        <v>4500000</v>
      </c>
      <c r="E38" s="12">
        <v>10179</v>
      </c>
      <c r="F38" s="12">
        <v>1.3179937619691771</v>
      </c>
    </row>
    <row r="39" spans="1:6" x14ac:dyDescent="0.2">
      <c r="A39" s="7" t="s">
        <v>220</v>
      </c>
      <c r="B39" s="7" t="s">
        <v>221</v>
      </c>
      <c r="C39" s="7" t="s">
        <v>52</v>
      </c>
      <c r="D39" s="13">
        <v>4600000</v>
      </c>
      <c r="E39" s="12">
        <v>10002.700000000001</v>
      </c>
      <c r="F39" s="12">
        <v>1.2951661462667343</v>
      </c>
    </row>
    <row r="40" spans="1:6" x14ac:dyDescent="0.2">
      <c r="A40" s="7" t="s">
        <v>33</v>
      </c>
      <c r="B40" s="7" t="s">
        <v>34</v>
      </c>
      <c r="C40" s="7" t="s">
        <v>35</v>
      </c>
      <c r="D40" s="13">
        <v>5800000</v>
      </c>
      <c r="E40" s="12">
        <v>9973.1</v>
      </c>
      <c r="F40" s="12">
        <v>1.2913334892911681</v>
      </c>
    </row>
    <row r="41" spans="1:6" x14ac:dyDescent="0.2">
      <c r="A41" s="7" t="s">
        <v>222</v>
      </c>
      <c r="B41" s="7" t="s">
        <v>223</v>
      </c>
      <c r="C41" s="7" t="s">
        <v>224</v>
      </c>
      <c r="D41" s="13">
        <v>1700000</v>
      </c>
      <c r="E41" s="12">
        <v>9001.5</v>
      </c>
      <c r="F41" s="12">
        <v>1.1655291137013013</v>
      </c>
    </row>
    <row r="42" spans="1:6" x14ac:dyDescent="0.2">
      <c r="A42" s="7" t="s">
        <v>225</v>
      </c>
      <c r="B42" s="7" t="s">
        <v>226</v>
      </c>
      <c r="C42" s="7" t="s">
        <v>189</v>
      </c>
      <c r="D42" s="13">
        <v>1500000</v>
      </c>
      <c r="E42" s="12">
        <v>8309.25</v>
      </c>
      <c r="F42" s="12">
        <v>1.0758954383183401</v>
      </c>
    </row>
    <row r="43" spans="1:6" x14ac:dyDescent="0.2">
      <c r="A43" s="7" t="s">
        <v>227</v>
      </c>
      <c r="B43" s="7" t="s">
        <v>228</v>
      </c>
      <c r="C43" s="7" t="s">
        <v>17</v>
      </c>
      <c r="D43" s="13">
        <v>4500000</v>
      </c>
      <c r="E43" s="12">
        <v>8147.25</v>
      </c>
      <c r="F43" s="12">
        <v>1.0549194102763904</v>
      </c>
    </row>
    <row r="44" spans="1:6" x14ac:dyDescent="0.2">
      <c r="A44" s="7" t="s">
        <v>155</v>
      </c>
      <c r="B44" s="7" t="s">
        <v>156</v>
      </c>
      <c r="C44" s="7" t="s">
        <v>35</v>
      </c>
      <c r="D44" s="13">
        <v>7000000</v>
      </c>
      <c r="E44" s="12">
        <v>6562.5</v>
      </c>
      <c r="F44" s="12">
        <v>0.84972335818083544</v>
      </c>
    </row>
    <row r="45" spans="1:6" x14ac:dyDescent="0.2">
      <c r="A45" s="7" t="s">
        <v>229</v>
      </c>
      <c r="B45" s="7" t="s">
        <v>230</v>
      </c>
      <c r="C45" s="7" t="s">
        <v>32</v>
      </c>
      <c r="D45" s="13">
        <v>4500000</v>
      </c>
      <c r="E45" s="12">
        <v>4727.25</v>
      </c>
      <c r="F45" s="12">
        <v>0.61209215161300645</v>
      </c>
    </row>
    <row r="46" spans="1:6" x14ac:dyDescent="0.2">
      <c r="A46" s="7" t="s">
        <v>166</v>
      </c>
      <c r="B46" s="7" t="s">
        <v>167</v>
      </c>
      <c r="C46" s="7" t="s">
        <v>130</v>
      </c>
      <c r="D46" s="13">
        <v>2500000</v>
      </c>
      <c r="E46" s="12">
        <v>4503.75</v>
      </c>
      <c r="F46" s="12">
        <v>0.58315300181439056</v>
      </c>
    </row>
    <row r="47" spans="1:6" x14ac:dyDescent="0.2">
      <c r="A47" s="7" t="s">
        <v>231</v>
      </c>
      <c r="B47" s="7" t="s">
        <v>232</v>
      </c>
      <c r="C47" s="7" t="s">
        <v>174</v>
      </c>
      <c r="D47" s="13">
        <v>5000000</v>
      </c>
      <c r="E47" s="12">
        <v>4162.5</v>
      </c>
      <c r="F47" s="12">
        <v>0.53896738718898718</v>
      </c>
    </row>
    <row r="48" spans="1:6" x14ac:dyDescent="0.2">
      <c r="A48" s="6" t="s">
        <v>39</v>
      </c>
      <c r="B48" s="7"/>
      <c r="C48" s="7"/>
      <c r="D48" s="13"/>
      <c r="E48" s="14">
        <f xml:space="preserve"> SUM(E8:E47)</f>
        <v>731729.71702199988</v>
      </c>
      <c r="F48" s="14">
        <f>SUM(F8:F47)</f>
        <v>94.745574465317546</v>
      </c>
    </row>
    <row r="49" spans="1:6" x14ac:dyDescent="0.2">
      <c r="A49" s="7"/>
      <c r="B49" s="7"/>
      <c r="C49" s="7"/>
      <c r="D49" s="13"/>
      <c r="E49" s="12"/>
      <c r="F49" s="12"/>
    </row>
    <row r="50" spans="1:6" x14ac:dyDescent="0.2">
      <c r="A50" s="6" t="s">
        <v>39</v>
      </c>
      <c r="B50" s="7"/>
      <c r="C50" s="7"/>
      <c r="D50" s="13"/>
      <c r="E50" s="14">
        <f>E48</f>
        <v>731729.71702199988</v>
      </c>
      <c r="F50" s="14">
        <f>F48</f>
        <v>94.745574465317546</v>
      </c>
    </row>
    <row r="51" spans="1:6" x14ac:dyDescent="0.2">
      <c r="A51" s="7"/>
      <c r="B51" s="7"/>
      <c r="C51" s="7"/>
      <c r="D51" s="13"/>
      <c r="E51" s="12"/>
      <c r="F51" s="12"/>
    </row>
    <row r="52" spans="1:6" x14ac:dyDescent="0.2">
      <c r="A52" s="6" t="s">
        <v>103</v>
      </c>
      <c r="B52" s="7"/>
      <c r="C52" s="7"/>
      <c r="D52" s="13"/>
      <c r="E52" s="14">
        <v>40580.463323000004</v>
      </c>
      <c r="F52" s="14">
        <v>5.25</v>
      </c>
    </row>
    <row r="53" spans="1:6" x14ac:dyDescent="0.2">
      <c r="A53" s="7"/>
      <c r="B53" s="7"/>
      <c r="C53" s="7"/>
      <c r="D53" s="13"/>
      <c r="E53" s="12"/>
      <c r="F53" s="12"/>
    </row>
    <row r="54" spans="1:6" x14ac:dyDescent="0.2">
      <c r="A54" s="8" t="s">
        <v>104</v>
      </c>
      <c r="B54" s="5"/>
      <c r="C54" s="5"/>
      <c r="D54" s="24"/>
      <c r="E54" s="15">
        <f>E50+E52</f>
        <v>772310.18034499988</v>
      </c>
      <c r="F54" s="15">
        <f>F50+F52</f>
        <v>99.995574465317546</v>
      </c>
    </row>
    <row r="56" spans="1:6" x14ac:dyDescent="0.2">
      <c r="A56" s="9" t="s">
        <v>105</v>
      </c>
    </row>
    <row r="57" spans="1:6" x14ac:dyDescent="0.2">
      <c r="A57" s="9" t="s">
        <v>106</v>
      </c>
    </row>
    <row r="58" spans="1:6" x14ac:dyDescent="0.2">
      <c r="A58" s="9" t="s">
        <v>107</v>
      </c>
    </row>
    <row r="59" spans="1:6" x14ac:dyDescent="0.2">
      <c r="A59" s="1" t="s">
        <v>719</v>
      </c>
      <c r="B59" s="10">
        <v>42.686599999999999</v>
      </c>
    </row>
    <row r="60" spans="1:6" x14ac:dyDescent="0.2">
      <c r="A60" s="1" t="s">
        <v>720</v>
      </c>
      <c r="B60" s="10">
        <v>473.4538</v>
      </c>
    </row>
    <row r="61" spans="1:6" x14ac:dyDescent="0.2">
      <c r="A61" s="1" t="s">
        <v>721</v>
      </c>
      <c r="B61" s="10">
        <v>40.224800000000002</v>
      </c>
    </row>
    <row r="62" spans="1:6" x14ac:dyDescent="0.2">
      <c r="A62" s="1" t="s">
        <v>722</v>
      </c>
      <c r="B62" s="10">
        <v>452.43880000000001</v>
      </c>
    </row>
    <row r="64" spans="1:6" x14ac:dyDescent="0.2">
      <c r="A64" s="9" t="s">
        <v>108</v>
      </c>
    </row>
    <row r="65" spans="1:2" x14ac:dyDescent="0.2">
      <c r="A65" s="1" t="s">
        <v>719</v>
      </c>
      <c r="B65" s="10">
        <v>41.954099999999997</v>
      </c>
    </row>
    <row r="66" spans="1:2" x14ac:dyDescent="0.2">
      <c r="A66" s="1" t="s">
        <v>720</v>
      </c>
      <c r="B66" s="10">
        <v>465.33030000000002</v>
      </c>
    </row>
    <row r="67" spans="1:2" x14ac:dyDescent="0.2">
      <c r="A67" s="1" t="s">
        <v>721</v>
      </c>
      <c r="B67" s="10">
        <v>39.368899999999996</v>
      </c>
    </row>
    <row r="68" spans="1:2" x14ac:dyDescent="0.2">
      <c r="A68" s="1" t="s">
        <v>722</v>
      </c>
      <c r="B68" s="10">
        <v>442.80959999999999</v>
      </c>
    </row>
    <row r="70" spans="1:2" x14ac:dyDescent="0.2">
      <c r="A70" s="9" t="s">
        <v>109</v>
      </c>
      <c r="B70" s="11" t="s">
        <v>110</v>
      </c>
    </row>
    <row r="72" spans="1:2" x14ac:dyDescent="0.2">
      <c r="A72" s="9" t="s">
        <v>111</v>
      </c>
      <c r="B72" s="40">
        <v>9.1619328576059644E-2</v>
      </c>
    </row>
  </sheetData>
  <mergeCells count="1">
    <mergeCell ref="A1:F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showGridLines="0" workbookViewId="0">
      <selection sqref="A1:E1"/>
    </sheetView>
  </sheetViews>
  <sheetFormatPr defaultColWidth="9.140625" defaultRowHeight="11.25" x14ac:dyDescent="0.2"/>
  <cols>
    <col min="1" max="1" width="59" style="1" bestFit="1" customWidth="1"/>
    <col min="2" max="2" width="27" style="1" bestFit="1" customWidth="1"/>
    <col min="3" max="3" width="11.140625" style="25" bestFit="1" customWidth="1"/>
    <col min="4" max="4" width="24" style="22" bestFit="1" customWidth="1"/>
    <col min="5" max="5" width="14.140625" style="22" bestFit="1" customWidth="1"/>
    <col min="6" max="16384" width="9.140625" style="2"/>
  </cols>
  <sheetData>
    <row r="1" spans="1:5" x14ac:dyDescent="0.2">
      <c r="A1" s="56" t="s">
        <v>184</v>
      </c>
      <c r="B1" s="56"/>
      <c r="C1" s="56"/>
      <c r="D1" s="56"/>
      <c r="E1" s="56"/>
    </row>
    <row r="3" spans="1:5" s="4" customFormat="1" x14ac:dyDescent="0.2">
      <c r="A3" s="3" t="s">
        <v>1</v>
      </c>
      <c r="B3" s="3" t="s">
        <v>2</v>
      </c>
      <c r="C3" s="23" t="s">
        <v>4</v>
      </c>
      <c r="D3" s="20" t="s">
        <v>5</v>
      </c>
      <c r="E3" s="20" t="s">
        <v>6</v>
      </c>
    </row>
    <row r="4" spans="1:5" x14ac:dyDescent="0.2">
      <c r="A4" s="5"/>
      <c r="B4" s="5"/>
      <c r="C4" s="24"/>
      <c r="D4" s="21"/>
      <c r="E4" s="21"/>
    </row>
    <row r="5" spans="1:5" x14ac:dyDescent="0.2">
      <c r="A5" s="6" t="s">
        <v>648</v>
      </c>
      <c r="B5" s="7"/>
      <c r="C5" s="13"/>
      <c r="D5" s="12"/>
      <c r="E5" s="12"/>
    </row>
    <row r="6" spans="1:5" x14ac:dyDescent="0.2">
      <c r="A6" s="7" t="s">
        <v>182</v>
      </c>
      <c r="B6" s="7" t="s">
        <v>667</v>
      </c>
      <c r="C6" s="13">
        <v>1356904.53</v>
      </c>
      <c r="D6" s="12">
        <v>54552.281379799999</v>
      </c>
      <c r="E6" s="12">
        <v>60.134437636917923</v>
      </c>
    </row>
    <row r="7" spans="1:5" x14ac:dyDescent="0.2">
      <c r="A7" s="7" t="s">
        <v>183</v>
      </c>
      <c r="B7" s="7" t="s">
        <v>668</v>
      </c>
      <c r="C7" s="13">
        <v>7808770.6699999999</v>
      </c>
      <c r="D7" s="12">
        <v>36336.575994300001</v>
      </c>
      <c r="E7" s="12">
        <v>40.054778788361887</v>
      </c>
    </row>
    <row r="8" spans="1:5" x14ac:dyDescent="0.2">
      <c r="A8" s="6" t="s">
        <v>39</v>
      </c>
      <c r="B8" s="7"/>
      <c r="C8" s="13"/>
      <c r="D8" s="14">
        <f>SUM(D6:D7)</f>
        <v>90888.8573741</v>
      </c>
      <c r="E8" s="14">
        <f>SUM(E6:E7)</f>
        <v>100.18921642527981</v>
      </c>
    </row>
    <row r="9" spans="1:5" x14ac:dyDescent="0.2">
      <c r="A9" s="7"/>
      <c r="B9" s="7"/>
      <c r="C9" s="13"/>
      <c r="D9" s="12"/>
      <c r="E9" s="12"/>
    </row>
    <row r="10" spans="1:5" x14ac:dyDescent="0.2">
      <c r="A10" s="6" t="s">
        <v>39</v>
      </c>
      <c r="B10" s="7"/>
      <c r="C10" s="13"/>
      <c r="D10" s="14">
        <f>D8</f>
        <v>90888.8573741</v>
      </c>
      <c r="E10" s="14">
        <f>E8</f>
        <v>100.18921642527981</v>
      </c>
    </row>
    <row r="11" spans="1:5" x14ac:dyDescent="0.2">
      <c r="A11" s="7"/>
      <c r="B11" s="7"/>
      <c r="C11" s="13"/>
      <c r="D11" s="12"/>
      <c r="E11" s="12"/>
    </row>
    <row r="12" spans="1:5" x14ac:dyDescent="0.2">
      <c r="A12" s="6" t="s">
        <v>103</v>
      </c>
      <c r="B12" s="7"/>
      <c r="C12" s="13"/>
      <c r="D12" s="14">
        <v>-171.65185339999999</v>
      </c>
      <c r="E12" s="14">
        <v>-0.19</v>
      </c>
    </row>
    <row r="13" spans="1:5" x14ac:dyDescent="0.2">
      <c r="A13" s="7"/>
      <c r="B13" s="7"/>
      <c r="C13" s="13"/>
      <c r="D13" s="12"/>
      <c r="E13" s="12"/>
    </row>
    <row r="14" spans="1:5" x14ac:dyDescent="0.2">
      <c r="A14" s="8" t="s">
        <v>104</v>
      </c>
      <c r="B14" s="5"/>
      <c r="C14" s="24"/>
      <c r="D14" s="15">
        <f>D10+D12</f>
        <v>90717.205520699994</v>
      </c>
      <c r="E14" s="15">
        <f>E10+E12</f>
        <v>99.999216425279812</v>
      </c>
    </row>
    <row r="16" spans="1:5" x14ac:dyDescent="0.2">
      <c r="A16" s="9" t="s">
        <v>105</v>
      </c>
    </row>
    <row r="17" spans="1:4" x14ac:dyDescent="0.2">
      <c r="A17" s="9" t="s">
        <v>106</v>
      </c>
    </row>
    <row r="18" spans="1:4" x14ac:dyDescent="0.2">
      <c r="A18" s="9" t="s">
        <v>107</v>
      </c>
    </row>
    <row r="19" spans="1:4" x14ac:dyDescent="0.2">
      <c r="A19" s="1" t="s">
        <v>719</v>
      </c>
      <c r="B19" s="10">
        <v>40.174900000000001</v>
      </c>
    </row>
    <row r="20" spans="1:4" x14ac:dyDescent="0.2">
      <c r="A20" s="1" t="s">
        <v>720</v>
      </c>
      <c r="B20" s="10">
        <v>82.468699999999998</v>
      </c>
    </row>
    <row r="21" spans="1:4" x14ac:dyDescent="0.2">
      <c r="A21" s="1" t="s">
        <v>721</v>
      </c>
      <c r="B21" s="10">
        <v>37.658499999999997</v>
      </c>
    </row>
    <row r="22" spans="1:4" x14ac:dyDescent="0.2">
      <c r="A22" s="1" t="s">
        <v>722</v>
      </c>
      <c r="B22" s="10">
        <v>78.2684</v>
      </c>
    </row>
    <row r="24" spans="1:4" x14ac:dyDescent="0.2">
      <c r="A24" s="9" t="s">
        <v>108</v>
      </c>
    </row>
    <row r="25" spans="1:4" x14ac:dyDescent="0.2">
      <c r="A25" s="1" t="s">
        <v>719</v>
      </c>
      <c r="B25" s="10">
        <v>39.727600000000002</v>
      </c>
    </row>
    <row r="26" spans="1:4" x14ac:dyDescent="0.2">
      <c r="A26" s="1" t="s">
        <v>720</v>
      </c>
      <c r="B26" s="10">
        <v>85.112899999999996</v>
      </c>
    </row>
    <row r="27" spans="1:4" x14ac:dyDescent="0.2">
      <c r="A27" s="1" t="s">
        <v>721</v>
      </c>
      <c r="B27" s="10">
        <v>36.927700000000002</v>
      </c>
    </row>
    <row r="28" spans="1:4" x14ac:dyDescent="0.2">
      <c r="A28" s="1" t="s">
        <v>722</v>
      </c>
      <c r="B28" s="10">
        <v>80.342200000000005</v>
      </c>
    </row>
    <row r="30" spans="1:4" x14ac:dyDescent="0.2">
      <c r="A30" s="9" t="s">
        <v>109</v>
      </c>
      <c r="B30" s="11"/>
    </row>
    <row r="31" spans="1:4" x14ac:dyDescent="0.2">
      <c r="A31" s="41" t="s">
        <v>727</v>
      </c>
      <c r="B31" s="42"/>
      <c r="C31" s="57" t="s">
        <v>728</v>
      </c>
      <c r="D31" s="58"/>
    </row>
    <row r="32" spans="1:4" x14ac:dyDescent="0.2">
      <c r="A32" s="59"/>
      <c r="B32" s="60"/>
      <c r="C32" s="43" t="s">
        <v>729</v>
      </c>
      <c r="D32" s="43" t="s">
        <v>730</v>
      </c>
    </row>
    <row r="33" spans="1:4" x14ac:dyDescent="0.2">
      <c r="A33" s="44" t="s">
        <v>721</v>
      </c>
      <c r="B33" s="45"/>
      <c r="C33" s="46">
        <v>1.2245485899999999</v>
      </c>
      <c r="D33" s="46">
        <v>1.1339380970000001</v>
      </c>
    </row>
    <row r="34" spans="1:4" x14ac:dyDescent="0.2">
      <c r="A34" s="44" t="s">
        <v>719</v>
      </c>
      <c r="B34" s="45"/>
      <c r="C34" s="46">
        <v>1.2245485899999999</v>
      </c>
      <c r="D34" s="46">
        <v>1.1339380970000001</v>
      </c>
    </row>
    <row r="35" spans="1:4" x14ac:dyDescent="0.2">
      <c r="A35" s="47"/>
      <c r="B35" s="47"/>
      <c r="C35" s="48"/>
      <c r="D35" s="48"/>
    </row>
    <row r="36" spans="1:4" x14ac:dyDescent="0.2">
      <c r="A36" s="9" t="s">
        <v>111</v>
      </c>
      <c r="B36" s="40">
        <v>0.29237817489042606</v>
      </c>
    </row>
  </sheetData>
  <mergeCells count="3">
    <mergeCell ref="C31:D31"/>
    <mergeCell ref="A32:B32"/>
    <mergeCell ref="A1:E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31.42578125" style="1" bestFit="1" customWidth="1"/>
    <col min="3" max="3" width="19.7109375" style="1" bestFit="1" customWidth="1"/>
    <col min="4" max="4" width="11.140625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112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113</v>
      </c>
      <c r="B8" s="7" t="s">
        <v>114</v>
      </c>
      <c r="C8" s="7" t="s">
        <v>11</v>
      </c>
      <c r="D8" s="13">
        <v>3768401</v>
      </c>
      <c r="E8" s="12">
        <v>10726.753446500001</v>
      </c>
      <c r="F8" s="12">
        <v>9.5026189556723342</v>
      </c>
    </row>
    <row r="9" spans="1:6" x14ac:dyDescent="0.2">
      <c r="A9" s="7" t="s">
        <v>115</v>
      </c>
      <c r="B9" s="7" t="s">
        <v>116</v>
      </c>
      <c r="C9" s="7" t="s">
        <v>11</v>
      </c>
      <c r="D9" s="13">
        <v>3000000</v>
      </c>
      <c r="E9" s="12">
        <v>10654.5</v>
      </c>
      <c r="F9" s="12">
        <v>9.438611054889682</v>
      </c>
    </row>
    <row r="10" spans="1:6" x14ac:dyDescent="0.2">
      <c r="A10" s="7" t="s">
        <v>9</v>
      </c>
      <c r="B10" s="7" t="s">
        <v>10</v>
      </c>
      <c r="C10" s="7" t="s">
        <v>11</v>
      </c>
      <c r="D10" s="13">
        <v>400000</v>
      </c>
      <c r="E10" s="12">
        <v>8513.7999999999993</v>
      </c>
      <c r="F10" s="12">
        <v>7.5422072175249673</v>
      </c>
    </row>
    <row r="11" spans="1:6" x14ac:dyDescent="0.2">
      <c r="A11" s="7" t="s">
        <v>117</v>
      </c>
      <c r="B11" s="7" t="s">
        <v>118</v>
      </c>
      <c r="C11" s="7" t="s">
        <v>11</v>
      </c>
      <c r="D11" s="13">
        <v>1250000</v>
      </c>
      <c r="E11" s="12">
        <v>7821.875</v>
      </c>
      <c r="F11" s="12">
        <v>6.9292445300075292</v>
      </c>
    </row>
    <row r="12" spans="1:6" x14ac:dyDescent="0.2">
      <c r="A12" s="7" t="s">
        <v>119</v>
      </c>
      <c r="B12" s="7" t="s">
        <v>120</v>
      </c>
      <c r="C12" s="7" t="s">
        <v>29</v>
      </c>
      <c r="D12" s="13">
        <v>2000000</v>
      </c>
      <c r="E12" s="12">
        <v>6270</v>
      </c>
      <c r="F12" s="12">
        <v>5.5544691270503819</v>
      </c>
    </row>
    <row r="13" spans="1:6" x14ac:dyDescent="0.2">
      <c r="A13" s="7" t="s">
        <v>121</v>
      </c>
      <c r="B13" s="7" t="s">
        <v>122</v>
      </c>
      <c r="C13" s="7" t="s">
        <v>123</v>
      </c>
      <c r="D13" s="13">
        <v>4600000</v>
      </c>
      <c r="E13" s="12">
        <v>6191.6</v>
      </c>
      <c r="F13" s="12">
        <v>5.4850161159561646</v>
      </c>
    </row>
    <row r="14" spans="1:6" x14ac:dyDescent="0.2">
      <c r="A14" s="7" t="s">
        <v>124</v>
      </c>
      <c r="B14" s="7" t="s">
        <v>125</v>
      </c>
      <c r="C14" s="7" t="s">
        <v>123</v>
      </c>
      <c r="D14" s="13">
        <v>1500000</v>
      </c>
      <c r="E14" s="12">
        <v>4866</v>
      </c>
      <c r="F14" s="12">
        <v>4.3106932651080001</v>
      </c>
    </row>
    <row r="15" spans="1:6" x14ac:dyDescent="0.2">
      <c r="A15" s="7" t="s">
        <v>126</v>
      </c>
      <c r="B15" s="7" t="s">
        <v>127</v>
      </c>
      <c r="C15" s="7" t="s">
        <v>52</v>
      </c>
      <c r="D15" s="13">
        <v>90339</v>
      </c>
      <c r="E15" s="12">
        <v>3613.2438135000002</v>
      </c>
      <c r="F15" s="12">
        <v>3.2009013095042329</v>
      </c>
    </row>
    <row r="16" spans="1:6" x14ac:dyDescent="0.2">
      <c r="A16" s="7" t="s">
        <v>128</v>
      </c>
      <c r="B16" s="7" t="s">
        <v>129</v>
      </c>
      <c r="C16" s="7" t="s">
        <v>130</v>
      </c>
      <c r="D16" s="13">
        <v>2500000</v>
      </c>
      <c r="E16" s="12">
        <v>3507.5</v>
      </c>
      <c r="F16" s="12">
        <v>3.107224954247084</v>
      </c>
    </row>
    <row r="17" spans="1:6" x14ac:dyDescent="0.2">
      <c r="A17" s="7" t="s">
        <v>131</v>
      </c>
      <c r="B17" s="7" t="s">
        <v>132</v>
      </c>
      <c r="C17" s="7" t="s">
        <v>26</v>
      </c>
      <c r="D17" s="13">
        <v>971481</v>
      </c>
      <c r="E17" s="12">
        <v>3485.673828</v>
      </c>
      <c r="F17" s="12">
        <v>3.0878895796799881</v>
      </c>
    </row>
    <row r="18" spans="1:6" x14ac:dyDescent="0.2">
      <c r="A18" s="7" t="s">
        <v>133</v>
      </c>
      <c r="B18" s="7" t="s">
        <v>134</v>
      </c>
      <c r="C18" s="7" t="s">
        <v>135</v>
      </c>
      <c r="D18" s="13">
        <v>1000000</v>
      </c>
      <c r="E18" s="12">
        <v>3430.5</v>
      </c>
      <c r="F18" s="12">
        <v>3.0390121754938337</v>
      </c>
    </row>
    <row r="19" spans="1:6" x14ac:dyDescent="0.2">
      <c r="A19" s="7" t="s">
        <v>136</v>
      </c>
      <c r="B19" s="7" t="s">
        <v>137</v>
      </c>
      <c r="C19" s="7" t="s">
        <v>135</v>
      </c>
      <c r="D19" s="13">
        <v>1500000</v>
      </c>
      <c r="E19" s="12">
        <v>3213</v>
      </c>
      <c r="F19" s="12">
        <v>2.8463332225219902</v>
      </c>
    </row>
    <row r="20" spans="1:6" x14ac:dyDescent="0.2">
      <c r="A20" s="7" t="s">
        <v>138</v>
      </c>
      <c r="B20" s="7" t="s">
        <v>139</v>
      </c>
      <c r="C20" s="7" t="s">
        <v>35</v>
      </c>
      <c r="D20" s="13">
        <v>100000</v>
      </c>
      <c r="E20" s="12">
        <v>3055.2</v>
      </c>
      <c r="F20" s="12">
        <v>2.7065413200900044</v>
      </c>
    </row>
    <row r="21" spans="1:6" x14ac:dyDescent="0.2">
      <c r="A21" s="7" t="s">
        <v>140</v>
      </c>
      <c r="B21" s="7" t="s">
        <v>141</v>
      </c>
      <c r="C21" s="7" t="s">
        <v>26</v>
      </c>
      <c r="D21" s="13">
        <v>48000</v>
      </c>
      <c r="E21" s="12">
        <v>2533.7759999999998</v>
      </c>
      <c r="F21" s="12">
        <v>2.2446220999778643</v>
      </c>
    </row>
    <row r="22" spans="1:6" x14ac:dyDescent="0.2">
      <c r="A22" s="7" t="s">
        <v>142</v>
      </c>
      <c r="B22" s="7" t="s">
        <v>143</v>
      </c>
      <c r="C22" s="7" t="s">
        <v>52</v>
      </c>
      <c r="D22" s="13">
        <v>15000</v>
      </c>
      <c r="E22" s="12">
        <v>2473.1025</v>
      </c>
      <c r="F22" s="12">
        <v>2.1908726450209119</v>
      </c>
    </row>
    <row r="23" spans="1:6" x14ac:dyDescent="0.2">
      <c r="A23" s="7" t="s">
        <v>144</v>
      </c>
      <c r="B23" s="7" t="s">
        <v>145</v>
      </c>
      <c r="C23" s="7" t="s">
        <v>26</v>
      </c>
      <c r="D23" s="13">
        <v>125000</v>
      </c>
      <c r="E23" s="12">
        <v>2383.625</v>
      </c>
      <c r="F23" s="12">
        <v>2.1116062955287824</v>
      </c>
    </row>
    <row r="24" spans="1:6" x14ac:dyDescent="0.2">
      <c r="A24" s="7" t="s">
        <v>146</v>
      </c>
      <c r="B24" s="7" t="s">
        <v>147</v>
      </c>
      <c r="C24" s="7" t="s">
        <v>20</v>
      </c>
      <c r="D24" s="13">
        <v>3500000</v>
      </c>
      <c r="E24" s="12">
        <v>2360.75</v>
      </c>
      <c r="F24" s="12">
        <v>2.0913417849576064</v>
      </c>
    </row>
    <row r="25" spans="1:6" x14ac:dyDescent="0.2">
      <c r="A25" s="7" t="s">
        <v>148</v>
      </c>
      <c r="B25" s="7" t="s">
        <v>149</v>
      </c>
      <c r="C25" s="7" t="s">
        <v>150</v>
      </c>
      <c r="D25" s="13">
        <v>37500</v>
      </c>
      <c r="E25" s="12">
        <v>2308.59375</v>
      </c>
      <c r="F25" s="12">
        <v>2.0451375935050189</v>
      </c>
    </row>
    <row r="26" spans="1:6" x14ac:dyDescent="0.2">
      <c r="A26" s="7" t="s">
        <v>151</v>
      </c>
      <c r="B26" s="7" t="s">
        <v>152</v>
      </c>
      <c r="C26" s="7" t="s">
        <v>52</v>
      </c>
      <c r="D26" s="13">
        <v>825000</v>
      </c>
      <c r="E26" s="12">
        <v>2262.15</v>
      </c>
      <c r="F26" s="12">
        <v>2.0039939929437036</v>
      </c>
    </row>
    <row r="27" spans="1:6" x14ac:dyDescent="0.2">
      <c r="A27" s="7" t="s">
        <v>153</v>
      </c>
      <c r="B27" s="7" t="s">
        <v>154</v>
      </c>
      <c r="C27" s="7" t="s">
        <v>23</v>
      </c>
      <c r="D27" s="13">
        <v>500000</v>
      </c>
      <c r="E27" s="12">
        <v>2250.5</v>
      </c>
      <c r="F27" s="12">
        <v>1.9936734881063611</v>
      </c>
    </row>
    <row r="28" spans="1:6" x14ac:dyDescent="0.2">
      <c r="A28" s="7" t="s">
        <v>155</v>
      </c>
      <c r="B28" s="7" t="s">
        <v>156</v>
      </c>
      <c r="C28" s="7" t="s">
        <v>35</v>
      </c>
      <c r="D28" s="13">
        <v>2200000</v>
      </c>
      <c r="E28" s="12">
        <v>2062.5</v>
      </c>
      <c r="F28" s="12">
        <v>1.8271280023192047</v>
      </c>
    </row>
    <row r="29" spans="1:6" x14ac:dyDescent="0.2">
      <c r="A29" s="7" t="s">
        <v>157</v>
      </c>
      <c r="B29" s="7" t="s">
        <v>158</v>
      </c>
      <c r="C29" s="7" t="s">
        <v>159</v>
      </c>
      <c r="D29" s="13">
        <v>2000000</v>
      </c>
      <c r="E29" s="12">
        <v>1630</v>
      </c>
      <c r="F29" s="12">
        <v>1.4439847969843898</v>
      </c>
    </row>
    <row r="30" spans="1:6" x14ac:dyDescent="0.2">
      <c r="A30" s="7" t="s">
        <v>160</v>
      </c>
      <c r="B30" s="7" t="s">
        <v>161</v>
      </c>
      <c r="C30" s="7" t="s">
        <v>23</v>
      </c>
      <c r="D30" s="13">
        <v>550000</v>
      </c>
      <c r="E30" s="12">
        <v>1624.15</v>
      </c>
      <c r="F30" s="12">
        <v>1.4388023975596298</v>
      </c>
    </row>
    <row r="31" spans="1:6" x14ac:dyDescent="0.2">
      <c r="A31" s="7" t="s">
        <v>18</v>
      </c>
      <c r="B31" s="7" t="s">
        <v>19</v>
      </c>
      <c r="C31" s="7" t="s">
        <v>20</v>
      </c>
      <c r="D31" s="13">
        <v>700000</v>
      </c>
      <c r="E31" s="12">
        <v>1583.4</v>
      </c>
      <c r="F31" s="12">
        <v>1.40270277763502</v>
      </c>
    </row>
    <row r="32" spans="1:6" x14ac:dyDescent="0.2">
      <c r="A32" s="7" t="s">
        <v>162</v>
      </c>
      <c r="B32" s="7" t="s">
        <v>163</v>
      </c>
      <c r="C32" s="7" t="s">
        <v>26</v>
      </c>
      <c r="D32" s="13">
        <v>250000</v>
      </c>
      <c r="E32" s="12">
        <v>1543.125</v>
      </c>
      <c r="F32" s="12">
        <v>1.3670239508260957</v>
      </c>
    </row>
    <row r="33" spans="1:6" x14ac:dyDescent="0.2">
      <c r="A33" s="7" t="s">
        <v>164</v>
      </c>
      <c r="B33" s="7" t="s">
        <v>165</v>
      </c>
      <c r="C33" s="7" t="s">
        <v>23</v>
      </c>
      <c r="D33" s="13">
        <v>1475000</v>
      </c>
      <c r="E33" s="12">
        <v>1532.5250000000001</v>
      </c>
      <c r="F33" s="12">
        <v>1.3576336202444796</v>
      </c>
    </row>
    <row r="34" spans="1:6" x14ac:dyDescent="0.2">
      <c r="A34" s="7" t="s">
        <v>27</v>
      </c>
      <c r="B34" s="7" t="s">
        <v>28</v>
      </c>
      <c r="C34" s="7" t="s">
        <v>29</v>
      </c>
      <c r="D34" s="13">
        <v>4000000</v>
      </c>
      <c r="E34" s="12">
        <v>1412</v>
      </c>
      <c r="F34" s="12">
        <v>1.2508629038907719</v>
      </c>
    </row>
    <row r="35" spans="1:6" x14ac:dyDescent="0.2">
      <c r="A35" s="7" t="s">
        <v>166</v>
      </c>
      <c r="B35" s="7" t="s">
        <v>167</v>
      </c>
      <c r="C35" s="7" t="s">
        <v>130</v>
      </c>
      <c r="D35" s="13">
        <v>700000</v>
      </c>
      <c r="E35" s="12">
        <v>1261.05</v>
      </c>
      <c r="F35" s="12">
        <v>1.1171392811270948</v>
      </c>
    </row>
    <row r="36" spans="1:6" x14ac:dyDescent="0.2">
      <c r="A36" s="7" t="s">
        <v>168</v>
      </c>
      <c r="B36" s="7" t="s">
        <v>169</v>
      </c>
      <c r="C36" s="7" t="s">
        <v>26</v>
      </c>
      <c r="D36" s="13">
        <v>650000</v>
      </c>
      <c r="E36" s="12">
        <v>1243.125</v>
      </c>
      <c r="F36" s="12">
        <v>1.1012598777614842</v>
      </c>
    </row>
    <row r="37" spans="1:6" x14ac:dyDescent="0.2">
      <c r="A37" s="7" t="s">
        <v>170</v>
      </c>
      <c r="B37" s="7" t="s">
        <v>171</v>
      </c>
      <c r="C37" s="7" t="s">
        <v>159</v>
      </c>
      <c r="D37" s="13">
        <v>150000</v>
      </c>
      <c r="E37" s="12">
        <v>1012.425</v>
      </c>
      <c r="F37" s="12">
        <v>0.89688730557479801</v>
      </c>
    </row>
    <row r="38" spans="1:6" x14ac:dyDescent="0.2">
      <c r="A38" s="7" t="s">
        <v>172</v>
      </c>
      <c r="B38" s="7" t="s">
        <v>173</v>
      </c>
      <c r="C38" s="7" t="s">
        <v>174</v>
      </c>
      <c r="D38" s="13">
        <v>2000000</v>
      </c>
      <c r="E38" s="12">
        <v>775</v>
      </c>
      <c r="F38" s="12">
        <v>0.68655718875024663</v>
      </c>
    </row>
    <row r="39" spans="1:6" x14ac:dyDescent="0.2">
      <c r="A39" s="7" t="s">
        <v>175</v>
      </c>
      <c r="B39" s="7" t="s">
        <v>176</v>
      </c>
      <c r="C39" s="7" t="s">
        <v>11</v>
      </c>
      <c r="D39" s="13">
        <v>1100000</v>
      </c>
      <c r="E39" s="12">
        <v>768.9</v>
      </c>
      <c r="F39" s="12">
        <v>0.68115331926459954</v>
      </c>
    </row>
    <row r="40" spans="1:6" x14ac:dyDescent="0.2">
      <c r="A40" s="7" t="s">
        <v>177</v>
      </c>
      <c r="B40" s="7" t="s">
        <v>178</v>
      </c>
      <c r="C40" s="7" t="s">
        <v>65</v>
      </c>
      <c r="D40" s="13">
        <v>400000</v>
      </c>
      <c r="E40" s="12">
        <v>517.20000000000005</v>
      </c>
      <c r="F40" s="12">
        <v>0.45817726196339048</v>
      </c>
    </row>
    <row r="41" spans="1:6" x14ac:dyDescent="0.2">
      <c r="A41" s="7" t="s">
        <v>179</v>
      </c>
      <c r="B41" s="7" t="s">
        <v>180</v>
      </c>
      <c r="C41" s="7" t="s">
        <v>95</v>
      </c>
      <c r="D41" s="13">
        <v>65000</v>
      </c>
      <c r="E41" s="12">
        <v>440.47250000000003</v>
      </c>
      <c r="F41" s="12">
        <v>0.39020588557650709</v>
      </c>
    </row>
    <row r="42" spans="1:6" x14ac:dyDescent="0.2">
      <c r="A42" s="6" t="s">
        <v>39</v>
      </c>
      <c r="B42" s="7"/>
      <c r="C42" s="7"/>
      <c r="D42" s="13"/>
      <c r="E42" s="14">
        <f xml:space="preserve"> SUM(E8:E41)</f>
        <v>109328.01583799996</v>
      </c>
      <c r="F42" s="14">
        <f>SUM(F8:F41)</f>
        <v>96.85152929726415</v>
      </c>
    </row>
    <row r="43" spans="1:6" x14ac:dyDescent="0.2">
      <c r="A43" s="7"/>
      <c r="B43" s="7"/>
      <c r="C43" s="7"/>
      <c r="D43" s="13"/>
      <c r="E43" s="12"/>
      <c r="F43" s="12"/>
    </row>
    <row r="44" spans="1:6" x14ac:dyDescent="0.2">
      <c r="A44" s="6" t="s">
        <v>39</v>
      </c>
      <c r="B44" s="7"/>
      <c r="C44" s="7"/>
      <c r="D44" s="13"/>
      <c r="E44" s="14">
        <f>E42</f>
        <v>109328.01583799996</v>
      </c>
      <c r="F44" s="14">
        <f>F42</f>
        <v>96.85152929726415</v>
      </c>
    </row>
    <row r="45" spans="1:6" x14ac:dyDescent="0.2">
      <c r="A45" s="7"/>
      <c r="B45" s="7"/>
      <c r="C45" s="7"/>
      <c r="D45" s="13"/>
      <c r="E45" s="12"/>
      <c r="F45" s="12"/>
    </row>
    <row r="46" spans="1:6" x14ac:dyDescent="0.2">
      <c r="A46" s="6" t="s">
        <v>103</v>
      </c>
      <c r="B46" s="7"/>
      <c r="C46" s="7"/>
      <c r="D46" s="13"/>
      <c r="E46" s="14">
        <v>3554.0590566999999</v>
      </c>
      <c r="F46" s="14">
        <v>3.15</v>
      </c>
    </row>
    <row r="47" spans="1:6" x14ac:dyDescent="0.2">
      <c r="A47" s="7"/>
      <c r="B47" s="7"/>
      <c r="C47" s="7"/>
      <c r="D47" s="13"/>
      <c r="E47" s="12"/>
      <c r="F47" s="12"/>
    </row>
    <row r="48" spans="1:6" x14ac:dyDescent="0.2">
      <c r="A48" s="8" t="s">
        <v>104</v>
      </c>
      <c r="B48" s="5"/>
      <c r="C48" s="5"/>
      <c r="D48" s="24"/>
      <c r="E48" s="15">
        <f>E44+E46</f>
        <v>112882.07489469997</v>
      </c>
      <c r="F48" s="15">
        <f>F44+F46</f>
        <v>100.00152929726416</v>
      </c>
    </row>
    <row r="50" spans="1:2" x14ac:dyDescent="0.2">
      <c r="A50" s="9" t="s">
        <v>105</v>
      </c>
    </row>
    <row r="51" spans="1:2" x14ac:dyDescent="0.2">
      <c r="A51" s="9" t="s">
        <v>106</v>
      </c>
    </row>
    <row r="52" spans="1:2" x14ac:dyDescent="0.2">
      <c r="A52" s="9" t="s">
        <v>107</v>
      </c>
    </row>
    <row r="53" spans="1:2" x14ac:dyDescent="0.2">
      <c r="A53" s="1" t="s">
        <v>719</v>
      </c>
      <c r="B53" s="10">
        <v>24.825600000000001</v>
      </c>
    </row>
    <row r="54" spans="1:2" x14ac:dyDescent="0.2">
      <c r="A54" s="1" t="s">
        <v>720</v>
      </c>
      <c r="B54" s="10">
        <v>42.856699999999996</v>
      </c>
    </row>
    <row r="55" spans="1:2" x14ac:dyDescent="0.2">
      <c r="A55" s="1" t="s">
        <v>721</v>
      </c>
      <c r="B55" s="10">
        <v>22.965900000000001</v>
      </c>
    </row>
    <row r="56" spans="1:2" x14ac:dyDescent="0.2">
      <c r="A56" s="1" t="s">
        <v>722</v>
      </c>
      <c r="B56" s="10">
        <v>40.264600000000002</v>
      </c>
    </row>
    <row r="58" spans="1:2" x14ac:dyDescent="0.2">
      <c r="A58" s="9" t="s">
        <v>108</v>
      </c>
    </row>
    <row r="59" spans="1:2" x14ac:dyDescent="0.2">
      <c r="A59" s="1" t="s">
        <v>719</v>
      </c>
      <c r="B59" s="10">
        <v>23.810199999999998</v>
      </c>
    </row>
    <row r="60" spans="1:2" x14ac:dyDescent="0.2">
      <c r="A60" s="1" t="s">
        <v>720</v>
      </c>
      <c r="B60" s="10">
        <v>41.104399999999998</v>
      </c>
    </row>
    <row r="61" spans="1:2" x14ac:dyDescent="0.2">
      <c r="A61" s="1" t="s">
        <v>721</v>
      </c>
      <c r="B61" s="10">
        <v>21.8809</v>
      </c>
    </row>
    <row r="62" spans="1:2" x14ac:dyDescent="0.2">
      <c r="A62" s="1" t="s">
        <v>722</v>
      </c>
      <c r="B62" s="10">
        <v>38.362099999999998</v>
      </c>
    </row>
    <row r="64" spans="1:2" x14ac:dyDescent="0.2">
      <c r="A64" s="9" t="s">
        <v>109</v>
      </c>
      <c r="B64" s="11" t="s">
        <v>110</v>
      </c>
    </row>
    <row r="66" spans="1:2" x14ac:dyDescent="0.2">
      <c r="A66" s="9" t="s">
        <v>111</v>
      </c>
      <c r="B66" s="40">
        <v>0.19250575995727995</v>
      </c>
    </row>
  </sheetData>
  <mergeCells count="1">
    <mergeCell ref="A1:F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showGridLines="0" workbookViewId="0">
      <selection sqref="A1:F1"/>
    </sheetView>
  </sheetViews>
  <sheetFormatPr defaultColWidth="9.140625" defaultRowHeight="11.25" x14ac:dyDescent="0.2"/>
  <cols>
    <col min="1" max="1" width="59" style="1" bestFit="1" customWidth="1"/>
    <col min="2" max="2" width="45" style="1" bestFit="1" customWidth="1"/>
    <col min="3" max="3" width="40" style="1" bestFit="1" customWidth="1"/>
    <col min="4" max="4" width="11.140625" style="25" bestFit="1" customWidth="1"/>
    <col min="5" max="5" width="24" style="22" bestFit="1" customWidth="1"/>
    <col min="6" max="6" width="14.140625" style="22" bestFit="1" customWidth="1"/>
    <col min="7" max="16384" width="9.140625" style="2"/>
  </cols>
  <sheetData>
    <row r="1" spans="1:6" x14ac:dyDescent="0.2">
      <c r="A1" s="56" t="s">
        <v>0</v>
      </c>
      <c r="B1" s="56"/>
      <c r="C1" s="56"/>
      <c r="D1" s="56"/>
      <c r="E1" s="56"/>
      <c r="F1" s="56"/>
    </row>
    <row r="3" spans="1:6" s="4" customFormat="1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</row>
    <row r="4" spans="1:6" x14ac:dyDescent="0.2">
      <c r="A4" s="5"/>
      <c r="B4" s="5"/>
      <c r="C4" s="5"/>
      <c r="D4" s="24"/>
      <c r="E4" s="21"/>
      <c r="F4" s="21"/>
    </row>
    <row r="5" spans="1:6" x14ac:dyDescent="0.2">
      <c r="A5" s="6" t="s">
        <v>7</v>
      </c>
      <c r="B5" s="7"/>
      <c r="C5" s="7"/>
      <c r="D5" s="13"/>
      <c r="E5" s="12"/>
      <c r="F5" s="12"/>
    </row>
    <row r="6" spans="1:6" x14ac:dyDescent="0.2">
      <c r="A6" s="6" t="s">
        <v>8</v>
      </c>
      <c r="B6" s="7"/>
      <c r="C6" s="7"/>
      <c r="D6" s="13"/>
      <c r="E6" s="12"/>
      <c r="F6" s="12"/>
    </row>
    <row r="7" spans="1:6" x14ac:dyDescent="0.2">
      <c r="A7" s="6"/>
      <c r="B7" s="7"/>
      <c r="C7" s="7"/>
      <c r="D7" s="13"/>
      <c r="E7" s="12"/>
      <c r="F7" s="12"/>
    </row>
    <row r="8" spans="1:6" x14ac:dyDescent="0.2">
      <c r="A8" s="7" t="s">
        <v>9</v>
      </c>
      <c r="B8" s="7" t="s">
        <v>10</v>
      </c>
      <c r="C8" s="7" t="s">
        <v>11</v>
      </c>
      <c r="D8" s="13">
        <v>24627</v>
      </c>
      <c r="E8" s="12">
        <v>524.1733815</v>
      </c>
      <c r="F8" s="12">
        <v>4.6839855693168069</v>
      </c>
    </row>
    <row r="9" spans="1:6" x14ac:dyDescent="0.2">
      <c r="A9" s="7" t="s">
        <v>12</v>
      </c>
      <c r="B9" s="7" t="s">
        <v>13</v>
      </c>
      <c r="C9" s="7" t="s">
        <v>14</v>
      </c>
      <c r="D9" s="13">
        <v>134100</v>
      </c>
      <c r="E9" s="12">
        <v>193.43924999999999</v>
      </c>
      <c r="F9" s="12">
        <v>1.7285628906729713</v>
      </c>
    </row>
    <row r="10" spans="1:6" x14ac:dyDescent="0.2">
      <c r="A10" s="7" t="s">
        <v>15</v>
      </c>
      <c r="B10" s="7" t="s">
        <v>16</v>
      </c>
      <c r="C10" s="7" t="s">
        <v>17</v>
      </c>
      <c r="D10" s="13">
        <v>54190</v>
      </c>
      <c r="E10" s="12">
        <v>181.56359499999999</v>
      </c>
      <c r="F10" s="12">
        <v>1.6224426666985974</v>
      </c>
    </row>
    <row r="11" spans="1:6" x14ac:dyDescent="0.2">
      <c r="A11" s="7" t="s">
        <v>18</v>
      </c>
      <c r="B11" s="7" t="s">
        <v>19</v>
      </c>
      <c r="C11" s="7" t="s">
        <v>20</v>
      </c>
      <c r="D11" s="13">
        <v>56959</v>
      </c>
      <c r="E11" s="12">
        <v>128.84125800000001</v>
      </c>
      <c r="F11" s="12">
        <v>1.151318656200446</v>
      </c>
    </row>
    <row r="12" spans="1:6" x14ac:dyDescent="0.2">
      <c r="A12" s="7" t="s">
        <v>21</v>
      </c>
      <c r="B12" s="7" t="s">
        <v>22</v>
      </c>
      <c r="C12" s="7" t="s">
        <v>23</v>
      </c>
      <c r="D12" s="13">
        <v>27999</v>
      </c>
      <c r="E12" s="12">
        <v>124.959537</v>
      </c>
      <c r="F12" s="12">
        <v>1.1166318029762632</v>
      </c>
    </row>
    <row r="13" spans="1:6" x14ac:dyDescent="0.2">
      <c r="A13" s="7" t="s">
        <v>24</v>
      </c>
      <c r="B13" s="7" t="s">
        <v>25</v>
      </c>
      <c r="C13" s="7" t="s">
        <v>26</v>
      </c>
      <c r="D13" s="13">
        <v>15402</v>
      </c>
      <c r="E13" s="12">
        <v>124.29414</v>
      </c>
      <c r="F13" s="12">
        <v>1.110685850633266</v>
      </c>
    </row>
    <row r="14" spans="1:6" x14ac:dyDescent="0.2">
      <c r="A14" s="7" t="s">
        <v>27</v>
      </c>
      <c r="B14" s="7" t="s">
        <v>28</v>
      </c>
      <c r="C14" s="7" t="s">
        <v>29</v>
      </c>
      <c r="D14" s="13">
        <v>293401</v>
      </c>
      <c r="E14" s="12">
        <v>103.570553</v>
      </c>
      <c r="F14" s="12">
        <v>0.92550097502072715</v>
      </c>
    </row>
    <row r="15" spans="1:6" x14ac:dyDescent="0.2">
      <c r="A15" s="7" t="s">
        <v>30</v>
      </c>
      <c r="B15" s="7" t="s">
        <v>31</v>
      </c>
      <c r="C15" s="7" t="s">
        <v>32</v>
      </c>
      <c r="D15" s="13">
        <v>15620</v>
      </c>
      <c r="E15" s="12">
        <v>95.898989999999998</v>
      </c>
      <c r="F15" s="12">
        <v>0.85694829444912746</v>
      </c>
    </row>
    <row r="16" spans="1:6" x14ac:dyDescent="0.2">
      <c r="A16" s="7" t="s">
        <v>33</v>
      </c>
      <c r="B16" s="7" t="s">
        <v>34</v>
      </c>
      <c r="C16" s="7" t="s">
        <v>35</v>
      </c>
      <c r="D16" s="13">
        <v>54279</v>
      </c>
      <c r="E16" s="12">
        <v>93.3327405</v>
      </c>
      <c r="F16" s="12">
        <v>0.83401642486263927</v>
      </c>
    </row>
    <row r="17" spans="1:6" x14ac:dyDescent="0.2">
      <c r="A17" s="7" t="s">
        <v>36</v>
      </c>
      <c r="B17" s="7" t="s">
        <v>37</v>
      </c>
      <c r="C17" s="7" t="s">
        <v>38</v>
      </c>
      <c r="D17" s="13">
        <v>37307</v>
      </c>
      <c r="E17" s="12">
        <v>82.765579500000001</v>
      </c>
      <c r="F17" s="12">
        <v>0.73958883395558872</v>
      </c>
    </row>
    <row r="18" spans="1:6" x14ac:dyDescent="0.2">
      <c r="A18" s="6" t="s">
        <v>39</v>
      </c>
      <c r="B18" s="7"/>
      <c r="C18" s="7"/>
      <c r="D18" s="13"/>
      <c r="E18" s="14">
        <f xml:space="preserve"> SUM(E8:E17)</f>
        <v>1652.8390244999998</v>
      </c>
      <c r="F18" s="14">
        <f>SUM(F8:F17)</f>
        <v>14.769681964786432</v>
      </c>
    </row>
    <row r="19" spans="1:6" x14ac:dyDescent="0.2">
      <c r="A19" s="7"/>
      <c r="B19" s="7"/>
      <c r="C19" s="7"/>
      <c r="D19" s="13"/>
      <c r="E19" s="12"/>
      <c r="F19" s="12"/>
    </row>
    <row r="20" spans="1:6" x14ac:dyDescent="0.2">
      <c r="A20" s="6" t="s">
        <v>40</v>
      </c>
      <c r="B20" s="7"/>
      <c r="C20" s="7"/>
      <c r="D20" s="13"/>
      <c r="E20" s="12"/>
      <c r="F20" s="12"/>
    </row>
    <row r="21" spans="1:6" x14ac:dyDescent="0.2">
      <c r="A21" s="7" t="s">
        <v>98</v>
      </c>
      <c r="B21" s="7" t="s">
        <v>99</v>
      </c>
      <c r="C21" s="7" t="s">
        <v>17</v>
      </c>
      <c r="D21" s="13">
        <v>9063</v>
      </c>
      <c r="E21" s="12">
        <v>988.41262549999999</v>
      </c>
      <c r="F21" s="12">
        <v>8.8324028609082248</v>
      </c>
    </row>
    <row r="22" spans="1:6" x14ac:dyDescent="0.2">
      <c r="A22" s="7" t="s">
        <v>74</v>
      </c>
      <c r="B22" s="7" t="s">
        <v>75</v>
      </c>
      <c r="C22" s="7" t="s">
        <v>76</v>
      </c>
      <c r="D22" s="13">
        <v>31700</v>
      </c>
      <c r="E22" s="12">
        <v>882.36238739999999</v>
      </c>
      <c r="F22" s="12">
        <v>7.8847435511937114</v>
      </c>
    </row>
    <row r="23" spans="1:6" x14ac:dyDescent="0.2">
      <c r="A23" s="7" t="s">
        <v>647</v>
      </c>
      <c r="B23" s="7" t="s">
        <v>652</v>
      </c>
      <c r="C23" s="7" t="s">
        <v>73</v>
      </c>
      <c r="D23" s="13">
        <v>32100</v>
      </c>
      <c r="E23" s="12">
        <v>835.32141510000008</v>
      </c>
      <c r="F23" s="12">
        <v>7.4643879146879089</v>
      </c>
    </row>
    <row r="24" spans="1:6" x14ac:dyDescent="0.2">
      <c r="A24" s="7" t="s">
        <v>44</v>
      </c>
      <c r="B24" s="7" t="s">
        <v>45</v>
      </c>
      <c r="C24" s="7" t="s">
        <v>32</v>
      </c>
      <c r="D24" s="13">
        <v>140524</v>
      </c>
      <c r="E24" s="12">
        <v>800.46903379999992</v>
      </c>
      <c r="F24" s="12">
        <v>7.1529488816748836</v>
      </c>
    </row>
    <row r="25" spans="1:6" x14ac:dyDescent="0.2">
      <c r="A25" s="7" t="s">
        <v>91</v>
      </c>
      <c r="B25" s="7" t="s">
        <v>92</v>
      </c>
      <c r="C25" s="7" t="s">
        <v>73</v>
      </c>
      <c r="D25" s="13">
        <v>146714</v>
      </c>
      <c r="E25" s="12">
        <v>749.30795930000011</v>
      </c>
      <c r="F25" s="12">
        <v>6.6957762301697992</v>
      </c>
    </row>
    <row r="26" spans="1:6" x14ac:dyDescent="0.2">
      <c r="A26" s="7" t="s">
        <v>43</v>
      </c>
      <c r="B26" s="7" t="s">
        <v>699</v>
      </c>
      <c r="C26" s="7" t="s">
        <v>32</v>
      </c>
      <c r="D26" s="13">
        <v>109310</v>
      </c>
      <c r="E26" s="12">
        <v>738.22526540000001</v>
      </c>
      <c r="F26" s="12">
        <v>6.5967418645783908</v>
      </c>
    </row>
    <row r="27" spans="1:6" x14ac:dyDescent="0.2">
      <c r="A27" s="7" t="s">
        <v>685</v>
      </c>
      <c r="B27" s="7" t="s">
        <v>693</v>
      </c>
      <c r="C27" s="7" t="s">
        <v>159</v>
      </c>
      <c r="D27" s="13">
        <v>16638</v>
      </c>
      <c r="E27" s="12">
        <v>325.56823940000004</v>
      </c>
      <c r="F27" s="12">
        <v>2.9092605404982392</v>
      </c>
    </row>
    <row r="28" spans="1:6" x14ac:dyDescent="0.2">
      <c r="A28" s="7" t="s">
        <v>55</v>
      </c>
      <c r="B28" s="7" t="s">
        <v>56</v>
      </c>
      <c r="C28" s="7" t="s">
        <v>11</v>
      </c>
      <c r="D28" s="13">
        <v>195429</v>
      </c>
      <c r="E28" s="12">
        <v>248.39729589999999</v>
      </c>
      <c r="F28" s="12">
        <v>2.2196650774661988</v>
      </c>
    </row>
    <row r="29" spans="1:6" x14ac:dyDescent="0.2">
      <c r="A29" s="7" t="s">
        <v>684</v>
      </c>
      <c r="B29" s="7" t="s">
        <v>692</v>
      </c>
      <c r="C29" s="7" t="s">
        <v>11</v>
      </c>
      <c r="D29" s="13">
        <v>131360</v>
      </c>
      <c r="E29" s="12">
        <v>227.66579710000002</v>
      </c>
      <c r="F29" s="12">
        <v>2.0344095024279829</v>
      </c>
    </row>
    <row r="30" spans="1:6" x14ac:dyDescent="0.2">
      <c r="A30" s="7" t="s">
        <v>77</v>
      </c>
      <c r="B30" s="7" t="s">
        <v>78</v>
      </c>
      <c r="C30" s="7" t="s">
        <v>79</v>
      </c>
      <c r="D30" s="13">
        <v>101700</v>
      </c>
      <c r="E30" s="12">
        <v>214.12436440000002</v>
      </c>
      <c r="F30" s="12">
        <v>1.9134039771699731</v>
      </c>
    </row>
    <row r="31" spans="1:6" x14ac:dyDescent="0.2">
      <c r="A31" s="7" t="s">
        <v>80</v>
      </c>
      <c r="B31" s="7" t="s">
        <v>81</v>
      </c>
      <c r="C31" s="7" t="s">
        <v>11</v>
      </c>
      <c r="D31" s="13">
        <v>17142</v>
      </c>
      <c r="E31" s="12">
        <v>212.67102600000001</v>
      </c>
      <c r="F31" s="12">
        <v>1.900417022217294</v>
      </c>
    </row>
    <row r="32" spans="1:6" x14ac:dyDescent="0.2">
      <c r="A32" s="7" t="s">
        <v>48</v>
      </c>
      <c r="B32" s="7" t="s">
        <v>49</v>
      </c>
      <c r="C32" s="7" t="s">
        <v>360</v>
      </c>
      <c r="D32" s="13">
        <v>170000</v>
      </c>
      <c r="E32" s="12">
        <v>201.71290930000001</v>
      </c>
      <c r="F32" s="12">
        <v>1.8024958718856847</v>
      </c>
    </row>
    <row r="33" spans="1:6" x14ac:dyDescent="0.2">
      <c r="A33" s="7" t="s">
        <v>84</v>
      </c>
      <c r="B33" s="7" t="s">
        <v>85</v>
      </c>
      <c r="C33" s="7" t="s">
        <v>11</v>
      </c>
      <c r="D33" s="13">
        <v>43451</v>
      </c>
      <c r="E33" s="12">
        <v>178.3934788</v>
      </c>
      <c r="F33" s="12">
        <v>1.5941146762703817</v>
      </c>
    </row>
    <row r="34" spans="1:6" x14ac:dyDescent="0.2">
      <c r="A34" s="7" t="s">
        <v>53</v>
      </c>
      <c r="B34" s="7" t="s">
        <v>54</v>
      </c>
      <c r="C34" s="7" t="s">
        <v>690</v>
      </c>
      <c r="D34" s="13">
        <v>290300</v>
      </c>
      <c r="E34" s="12">
        <v>170.3265098</v>
      </c>
      <c r="F34" s="12">
        <v>1.5220286686291753</v>
      </c>
    </row>
    <row r="35" spans="1:6" x14ac:dyDescent="0.2">
      <c r="A35" s="7" t="s">
        <v>41</v>
      </c>
      <c r="B35" s="7" t="s">
        <v>42</v>
      </c>
      <c r="C35" s="7" t="s">
        <v>11</v>
      </c>
      <c r="D35" s="13">
        <v>265000</v>
      </c>
      <c r="E35" s="12">
        <v>157.6902489</v>
      </c>
      <c r="F35" s="12">
        <v>1.4091117106250379</v>
      </c>
    </row>
    <row r="36" spans="1:6" x14ac:dyDescent="0.2">
      <c r="A36" s="7" t="s">
        <v>93</v>
      </c>
      <c r="B36" s="7" t="s">
        <v>94</v>
      </c>
      <c r="C36" s="7" t="s">
        <v>95</v>
      </c>
      <c r="D36" s="13">
        <v>2000</v>
      </c>
      <c r="E36" s="12">
        <v>152.65187330000001</v>
      </c>
      <c r="F36" s="12">
        <v>1.3640890531683316</v>
      </c>
    </row>
    <row r="37" spans="1:6" x14ac:dyDescent="0.2">
      <c r="A37" s="7" t="s">
        <v>59</v>
      </c>
      <c r="B37" s="7" t="s">
        <v>60</v>
      </c>
      <c r="C37" s="7" t="s">
        <v>17</v>
      </c>
      <c r="D37" s="13">
        <v>1925400</v>
      </c>
      <c r="E37" s="12">
        <v>151.7202748</v>
      </c>
      <c r="F37" s="12">
        <v>1.3557643383231974</v>
      </c>
    </row>
    <row r="38" spans="1:6" x14ac:dyDescent="0.2">
      <c r="A38" s="7" t="s">
        <v>691</v>
      </c>
      <c r="B38" s="7" t="s">
        <v>698</v>
      </c>
      <c r="C38" s="7" t="s">
        <v>79</v>
      </c>
      <c r="D38" s="13">
        <v>87300</v>
      </c>
      <c r="E38" s="12">
        <v>148.74688499999999</v>
      </c>
      <c r="F38" s="12">
        <v>1.32919428458392</v>
      </c>
    </row>
    <row r="39" spans="1:6" x14ac:dyDescent="0.2">
      <c r="A39" s="7" t="s">
        <v>50</v>
      </c>
      <c r="B39" s="7" t="s">
        <v>51</v>
      </c>
      <c r="C39" s="7" t="s">
        <v>690</v>
      </c>
      <c r="D39" s="13">
        <v>155400</v>
      </c>
      <c r="E39" s="12">
        <v>144.8219891</v>
      </c>
      <c r="F39" s="12">
        <v>1.2941216227405015</v>
      </c>
    </row>
    <row r="40" spans="1:6" x14ac:dyDescent="0.2">
      <c r="A40" s="7" t="s">
        <v>100</v>
      </c>
      <c r="B40" s="7" t="s">
        <v>101</v>
      </c>
      <c r="C40" s="7" t="s">
        <v>102</v>
      </c>
      <c r="D40" s="13">
        <v>3660</v>
      </c>
      <c r="E40" s="12">
        <v>142.92944029999998</v>
      </c>
      <c r="F40" s="12">
        <v>1.2772099069203271</v>
      </c>
    </row>
    <row r="41" spans="1:6" x14ac:dyDescent="0.2">
      <c r="A41" s="7" t="s">
        <v>46</v>
      </c>
      <c r="B41" s="7" t="s">
        <v>47</v>
      </c>
      <c r="C41" s="7" t="s">
        <v>17</v>
      </c>
      <c r="D41" s="13">
        <v>37521</v>
      </c>
      <c r="E41" s="12">
        <v>140.92551520000001</v>
      </c>
      <c r="F41" s="12">
        <v>1.2593029383834449</v>
      </c>
    </row>
    <row r="42" spans="1:6" x14ac:dyDescent="0.2">
      <c r="A42" s="7" t="s">
        <v>689</v>
      </c>
      <c r="B42" s="7" t="s">
        <v>697</v>
      </c>
      <c r="C42" s="7" t="s">
        <v>17</v>
      </c>
      <c r="D42" s="13">
        <v>300100</v>
      </c>
      <c r="E42" s="12">
        <v>138.6178429</v>
      </c>
      <c r="F42" s="12">
        <v>1.2386817009581863</v>
      </c>
    </row>
    <row r="43" spans="1:6" x14ac:dyDescent="0.2">
      <c r="A43" s="7" t="s">
        <v>71</v>
      </c>
      <c r="B43" s="7" t="s">
        <v>72</v>
      </c>
      <c r="C43" s="7" t="s">
        <v>73</v>
      </c>
      <c r="D43" s="13">
        <v>20200</v>
      </c>
      <c r="E43" s="12">
        <v>136.42073329999999</v>
      </c>
      <c r="F43" s="12">
        <v>1.2190484459631354</v>
      </c>
    </row>
    <row r="44" spans="1:6" x14ac:dyDescent="0.2">
      <c r="A44" s="7" t="s">
        <v>688</v>
      </c>
      <c r="B44" s="7" t="s">
        <v>696</v>
      </c>
      <c r="C44" s="7" t="s">
        <v>11</v>
      </c>
      <c r="D44" s="13">
        <v>5267</v>
      </c>
      <c r="E44" s="12">
        <v>134.9315953</v>
      </c>
      <c r="F44" s="12">
        <v>1.2057415876813187</v>
      </c>
    </row>
    <row r="45" spans="1:6" x14ac:dyDescent="0.2">
      <c r="A45" s="7" t="s">
        <v>686</v>
      </c>
      <c r="B45" s="7" t="s">
        <v>694</v>
      </c>
      <c r="C45" s="7" t="s">
        <v>65</v>
      </c>
      <c r="D45" s="13">
        <v>1551</v>
      </c>
      <c r="E45" s="12">
        <v>121.9987678</v>
      </c>
      <c r="F45" s="12">
        <v>1.0901745262500171</v>
      </c>
    </row>
    <row r="46" spans="1:6" x14ac:dyDescent="0.2">
      <c r="A46" s="7" t="s">
        <v>89</v>
      </c>
      <c r="B46" s="7" t="s">
        <v>90</v>
      </c>
      <c r="C46" s="7" t="s">
        <v>17</v>
      </c>
      <c r="D46" s="13">
        <v>74400</v>
      </c>
      <c r="E46" s="12">
        <v>107.7392184</v>
      </c>
      <c r="F46" s="12">
        <v>0.96275194820260412</v>
      </c>
    </row>
    <row r="47" spans="1:6" x14ac:dyDescent="0.2">
      <c r="A47" s="7" t="s">
        <v>687</v>
      </c>
      <c r="B47" s="7" t="s">
        <v>695</v>
      </c>
      <c r="C47" s="7" t="s">
        <v>150</v>
      </c>
      <c r="D47" s="13">
        <v>2997</v>
      </c>
      <c r="E47" s="12">
        <v>98.767880299999987</v>
      </c>
      <c r="F47" s="12">
        <v>0.8825845461922025</v>
      </c>
    </row>
    <row r="48" spans="1:6" x14ac:dyDescent="0.2">
      <c r="A48" s="7" t="s">
        <v>96</v>
      </c>
      <c r="B48" s="7" t="s">
        <v>97</v>
      </c>
      <c r="C48" s="7" t="s">
        <v>73</v>
      </c>
      <c r="D48" s="13">
        <v>16010</v>
      </c>
      <c r="E48" s="12">
        <v>95.183765500000007</v>
      </c>
      <c r="F48" s="12">
        <v>0.85055708620571191</v>
      </c>
    </row>
    <row r="49" spans="1:6" x14ac:dyDescent="0.2">
      <c r="A49" s="7" t="s">
        <v>86</v>
      </c>
      <c r="B49" s="7" t="s">
        <v>87</v>
      </c>
      <c r="C49" s="7" t="s">
        <v>88</v>
      </c>
      <c r="D49" s="13">
        <v>117000</v>
      </c>
      <c r="E49" s="12">
        <v>89.989554499999997</v>
      </c>
      <c r="F49" s="12">
        <v>0.80414189186989138</v>
      </c>
    </row>
    <row r="50" spans="1:6" x14ac:dyDescent="0.2">
      <c r="A50" s="7" t="s">
        <v>61</v>
      </c>
      <c r="B50" s="7" t="s">
        <v>62</v>
      </c>
      <c r="C50" s="7" t="s">
        <v>79</v>
      </c>
      <c r="D50" s="13">
        <v>41000</v>
      </c>
      <c r="E50" s="12">
        <v>88.518155100000001</v>
      </c>
      <c r="F50" s="12">
        <v>0.79099354477798289</v>
      </c>
    </row>
    <row r="51" spans="1:6" x14ac:dyDescent="0.2">
      <c r="A51" s="7" t="s">
        <v>656</v>
      </c>
      <c r="B51" s="7" t="s">
        <v>657</v>
      </c>
      <c r="C51" s="7" t="s">
        <v>76</v>
      </c>
      <c r="D51" s="13">
        <v>4500</v>
      </c>
      <c r="E51" s="12">
        <v>77.346350599999994</v>
      </c>
      <c r="F51" s="12">
        <v>0.69116289158555511</v>
      </c>
    </row>
    <row r="52" spans="1:6" x14ac:dyDescent="0.2">
      <c r="A52" s="7" t="s">
        <v>66</v>
      </c>
      <c r="B52" s="7" t="s">
        <v>67</v>
      </c>
      <c r="C52" s="7" t="s">
        <v>35</v>
      </c>
      <c r="D52" s="13">
        <v>149000</v>
      </c>
      <c r="E52" s="12">
        <v>66.464448200000007</v>
      </c>
      <c r="F52" s="12">
        <v>0.59392278820133959</v>
      </c>
    </row>
    <row r="53" spans="1:6" x14ac:dyDescent="0.2">
      <c r="A53" s="7" t="s">
        <v>57</v>
      </c>
      <c r="B53" s="7" t="s">
        <v>58</v>
      </c>
      <c r="C53" s="7" t="s">
        <v>17</v>
      </c>
      <c r="D53" s="13">
        <v>154700</v>
      </c>
      <c r="E53" s="12">
        <v>35.853705699999999</v>
      </c>
      <c r="F53" s="12">
        <v>0.32038681480687081</v>
      </c>
    </row>
    <row r="54" spans="1:6" x14ac:dyDescent="0.2">
      <c r="A54" s="7" t="s">
        <v>82</v>
      </c>
      <c r="B54" s="7" t="s">
        <v>83</v>
      </c>
      <c r="C54" s="7" t="s">
        <v>690</v>
      </c>
      <c r="D54" s="13">
        <v>3412</v>
      </c>
      <c r="E54" s="12">
        <v>31.9984927</v>
      </c>
      <c r="F54" s="12">
        <v>0.28593683566644296</v>
      </c>
    </row>
    <row r="55" spans="1:6" x14ac:dyDescent="0.2">
      <c r="A55" s="7" t="s">
        <v>68</v>
      </c>
      <c r="B55" s="7" t="s">
        <v>69</v>
      </c>
      <c r="C55" s="7" t="s">
        <v>70</v>
      </c>
      <c r="D55" s="13">
        <v>5500</v>
      </c>
      <c r="E55" s="12">
        <v>27.208047099999998</v>
      </c>
      <c r="F55" s="12">
        <v>0.24312966755579518</v>
      </c>
    </row>
    <row r="56" spans="1:6" x14ac:dyDescent="0.2">
      <c r="A56" s="7" t="s">
        <v>63</v>
      </c>
      <c r="B56" s="7" t="s">
        <v>64</v>
      </c>
      <c r="C56" s="7" t="s">
        <v>65</v>
      </c>
      <c r="D56" s="13">
        <v>32</v>
      </c>
      <c r="E56" s="12">
        <v>0.11704879999999999</v>
      </c>
      <c r="F56" s="12">
        <v>1.0459418762107612E-3</v>
      </c>
    </row>
    <row r="57" spans="1:6" x14ac:dyDescent="0.2">
      <c r="A57" s="6" t="s">
        <v>39</v>
      </c>
      <c r="B57" s="7"/>
      <c r="C57" s="7"/>
      <c r="D57" s="13"/>
      <c r="E57" s="14">
        <f>SUM(E21:E56)</f>
        <v>9063.6001400000041</v>
      </c>
      <c r="F57" s="14">
        <f>SUM(F21:F56)</f>
        <v>80.991850712315852</v>
      </c>
    </row>
    <row r="58" spans="1:6" x14ac:dyDescent="0.2">
      <c r="A58" s="7"/>
      <c r="B58" s="7"/>
      <c r="C58" s="7"/>
      <c r="D58" s="13"/>
      <c r="E58" s="12"/>
      <c r="F58" s="12"/>
    </row>
    <row r="59" spans="1:6" x14ac:dyDescent="0.2">
      <c r="A59" s="6" t="s">
        <v>39</v>
      </c>
      <c r="B59" s="7"/>
      <c r="C59" s="7"/>
      <c r="D59" s="13"/>
      <c r="E59" s="14">
        <f>E57+E18</f>
        <v>10716.439164500003</v>
      </c>
      <c r="F59" s="14">
        <f>F57+F18</f>
        <v>95.761532677102281</v>
      </c>
    </row>
    <row r="60" spans="1:6" x14ac:dyDescent="0.2">
      <c r="A60" s="7"/>
      <c r="B60" s="7"/>
      <c r="C60" s="7"/>
      <c r="D60" s="13"/>
      <c r="E60" s="12"/>
      <c r="F60" s="12"/>
    </row>
    <row r="61" spans="1:6" x14ac:dyDescent="0.2">
      <c r="A61" s="6" t="s">
        <v>103</v>
      </c>
      <c r="B61" s="7"/>
      <c r="C61" s="7"/>
      <c r="D61" s="13"/>
      <c r="E61" s="14">
        <v>474.31652300000002</v>
      </c>
      <c r="F61" s="14">
        <v>4.2384673228976686</v>
      </c>
    </row>
    <row r="62" spans="1:6" x14ac:dyDescent="0.2">
      <c r="A62" s="7"/>
      <c r="B62" s="7"/>
      <c r="C62" s="7"/>
      <c r="D62" s="13"/>
      <c r="E62" s="12"/>
      <c r="F62" s="12"/>
    </row>
    <row r="63" spans="1:6" x14ac:dyDescent="0.2">
      <c r="A63" s="8" t="s">
        <v>104</v>
      </c>
      <c r="B63" s="5"/>
      <c r="C63" s="5"/>
      <c r="D63" s="24"/>
      <c r="E63" s="15">
        <f>E59+E61</f>
        <v>11190.755687500003</v>
      </c>
      <c r="F63" s="15">
        <f xml:space="preserve"> ROUND(SUM(F59:F62),2)</f>
        <v>100</v>
      </c>
    </row>
    <row r="65" spans="1:2" x14ac:dyDescent="0.2">
      <c r="A65" s="9" t="s">
        <v>105</v>
      </c>
    </row>
    <row r="66" spans="1:2" x14ac:dyDescent="0.2">
      <c r="A66" s="9" t="s">
        <v>106</v>
      </c>
    </row>
    <row r="67" spans="1:2" x14ac:dyDescent="0.2">
      <c r="A67" s="9" t="s">
        <v>107</v>
      </c>
    </row>
    <row r="68" spans="1:2" x14ac:dyDescent="0.2">
      <c r="A68" s="1" t="s">
        <v>719</v>
      </c>
      <c r="B68" s="10">
        <v>15.0215</v>
      </c>
    </row>
    <row r="69" spans="1:2" x14ac:dyDescent="0.2">
      <c r="A69" s="1" t="s">
        <v>720</v>
      </c>
      <c r="B69" s="10">
        <v>23.504300000000001</v>
      </c>
    </row>
    <row r="70" spans="1:2" x14ac:dyDescent="0.2">
      <c r="A70" s="1" t="s">
        <v>721</v>
      </c>
      <c r="B70" s="10">
        <v>14.474299999999999</v>
      </c>
    </row>
    <row r="71" spans="1:2" x14ac:dyDescent="0.2">
      <c r="A71" s="1" t="s">
        <v>722</v>
      </c>
      <c r="B71" s="10">
        <v>22.6798</v>
      </c>
    </row>
    <row r="73" spans="1:2" x14ac:dyDescent="0.2">
      <c r="A73" s="9" t="s">
        <v>108</v>
      </c>
    </row>
    <row r="74" spans="1:2" x14ac:dyDescent="0.2">
      <c r="A74" s="1" t="s">
        <v>719</v>
      </c>
      <c r="B74" s="10">
        <v>13.0991</v>
      </c>
    </row>
    <row r="75" spans="1:2" x14ac:dyDescent="0.2">
      <c r="A75" s="1" t="s">
        <v>720</v>
      </c>
      <c r="B75" s="10">
        <v>20.505800000000001</v>
      </c>
    </row>
    <row r="76" spans="1:2" x14ac:dyDescent="0.2">
      <c r="A76" s="1" t="s">
        <v>721</v>
      </c>
      <c r="B76" s="10">
        <v>12.5899</v>
      </c>
    </row>
    <row r="77" spans="1:2" x14ac:dyDescent="0.2">
      <c r="A77" s="1" t="s">
        <v>722</v>
      </c>
      <c r="B77" s="10">
        <v>19.7271</v>
      </c>
    </row>
    <row r="79" spans="1:2" x14ac:dyDescent="0.2">
      <c r="A79" s="9" t="s">
        <v>109</v>
      </c>
      <c r="B79" s="11" t="s">
        <v>110</v>
      </c>
    </row>
    <row r="80" spans="1:2" x14ac:dyDescent="0.2">
      <c r="A80" s="9"/>
      <c r="B80" s="11"/>
    </row>
    <row r="81" spans="1:2" x14ac:dyDescent="0.2">
      <c r="A81" s="9" t="s">
        <v>111</v>
      </c>
      <c r="B81" s="40">
        <v>0.10147113219045623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showGridLines="0" workbookViewId="0">
      <selection sqref="A1:G1"/>
    </sheetView>
  </sheetViews>
  <sheetFormatPr defaultColWidth="9.140625" defaultRowHeight="11.25" x14ac:dyDescent="0.2"/>
  <cols>
    <col min="1" max="1" width="59" style="1" bestFit="1" customWidth="1"/>
    <col min="2" max="2" width="44.42578125" style="1" bestFit="1" customWidth="1"/>
    <col min="3" max="3" width="32.7109375" style="1" bestFit="1" customWidth="1"/>
    <col min="4" max="4" width="11.140625" style="25" bestFit="1" customWidth="1"/>
    <col min="5" max="5" width="24" style="22" bestFit="1" customWidth="1"/>
    <col min="6" max="6" width="14.140625" style="22" bestFit="1" customWidth="1"/>
    <col min="7" max="7" width="13.5703125" style="2" customWidth="1"/>
    <col min="8" max="16384" width="9.140625" style="2"/>
  </cols>
  <sheetData>
    <row r="1" spans="1:7" x14ac:dyDescent="0.2">
      <c r="A1" s="56" t="s">
        <v>430</v>
      </c>
      <c r="B1" s="56"/>
      <c r="C1" s="56"/>
      <c r="D1" s="56"/>
      <c r="E1" s="56"/>
      <c r="F1" s="56"/>
      <c r="G1" s="56"/>
    </row>
    <row r="3" spans="1:7" s="4" customFormat="1" ht="33.75" x14ac:dyDescent="0.2">
      <c r="A3" s="3" t="s">
        <v>1</v>
      </c>
      <c r="B3" s="3" t="s">
        <v>2</v>
      </c>
      <c r="C3" s="3" t="s">
        <v>3</v>
      </c>
      <c r="D3" s="23" t="s">
        <v>4</v>
      </c>
      <c r="E3" s="20" t="s">
        <v>5</v>
      </c>
      <c r="F3" s="20" t="s">
        <v>6</v>
      </c>
      <c r="G3" s="38" t="s">
        <v>715</v>
      </c>
    </row>
    <row r="4" spans="1:7" ht="3.75" customHeight="1" x14ac:dyDescent="0.2">
      <c r="A4" s="5"/>
      <c r="B4" s="5"/>
      <c r="C4" s="5"/>
      <c r="D4" s="24"/>
      <c r="E4" s="21"/>
      <c r="F4" s="21"/>
      <c r="G4" s="39"/>
    </row>
    <row r="5" spans="1:7" x14ac:dyDescent="0.2">
      <c r="A5" s="6" t="s">
        <v>7</v>
      </c>
      <c r="B5" s="7"/>
      <c r="C5" s="7"/>
      <c r="D5" s="13"/>
      <c r="E5" s="12"/>
      <c r="F5" s="12"/>
      <c r="G5" s="12"/>
    </row>
    <row r="6" spans="1:7" x14ac:dyDescent="0.2">
      <c r="A6" s="6" t="s">
        <v>8</v>
      </c>
      <c r="B6" s="7"/>
      <c r="C6" s="7"/>
      <c r="D6" s="13"/>
      <c r="E6" s="12"/>
      <c r="F6" s="12"/>
      <c r="G6" s="12"/>
    </row>
    <row r="7" spans="1:7" x14ac:dyDescent="0.2">
      <c r="A7" s="6"/>
      <c r="B7" s="7"/>
      <c r="C7" s="7"/>
      <c r="D7" s="13"/>
      <c r="E7" s="12"/>
      <c r="F7" s="12"/>
      <c r="G7" s="12"/>
    </row>
    <row r="8" spans="1:7" x14ac:dyDescent="0.2">
      <c r="A8" s="7" t="s">
        <v>329</v>
      </c>
      <c r="B8" s="7" t="s">
        <v>330</v>
      </c>
      <c r="C8" s="7" t="s">
        <v>123</v>
      </c>
      <c r="D8" s="13">
        <v>119000</v>
      </c>
      <c r="E8" s="12">
        <v>1389.3844999999999</v>
      </c>
      <c r="F8" s="12">
        <v>5.4088372370650495</v>
      </c>
      <c r="G8" s="12">
        <v>-5.42968411091781</v>
      </c>
    </row>
    <row r="9" spans="1:7" x14ac:dyDescent="0.2">
      <c r="A9" s="7" t="s">
        <v>117</v>
      </c>
      <c r="B9" s="7" t="s">
        <v>118</v>
      </c>
      <c r="C9" s="7" t="s">
        <v>11</v>
      </c>
      <c r="D9" s="13">
        <v>188200</v>
      </c>
      <c r="E9" s="12">
        <v>1177.6614999999999</v>
      </c>
      <c r="F9" s="12">
        <v>4.5846051786657194</v>
      </c>
      <c r="G9" s="12">
        <v>-2.0839539490420904</v>
      </c>
    </row>
    <row r="10" spans="1:7" x14ac:dyDescent="0.2">
      <c r="A10" s="7" t="s">
        <v>212</v>
      </c>
      <c r="B10" s="7" t="s">
        <v>213</v>
      </c>
      <c r="C10" s="7" t="s">
        <v>11</v>
      </c>
      <c r="D10" s="13">
        <v>542500</v>
      </c>
      <c r="E10" s="12">
        <v>921.16499999999996</v>
      </c>
      <c r="F10" s="12">
        <v>3.5860710649075376</v>
      </c>
      <c r="G10" s="12">
        <v>-3.599798663212542</v>
      </c>
    </row>
    <row r="11" spans="1:7" x14ac:dyDescent="0.2">
      <c r="A11" s="7" t="s">
        <v>9</v>
      </c>
      <c r="B11" s="7" t="s">
        <v>10</v>
      </c>
      <c r="C11" s="7" t="s">
        <v>11</v>
      </c>
      <c r="D11" s="13">
        <v>35799</v>
      </c>
      <c r="E11" s="12">
        <v>761.96381550000001</v>
      </c>
      <c r="F11" s="12">
        <v>2.9663050498782471</v>
      </c>
      <c r="G11" s="12"/>
    </row>
    <row r="12" spans="1:7" x14ac:dyDescent="0.2">
      <c r="A12" s="7" t="s">
        <v>27</v>
      </c>
      <c r="B12" s="7" t="s">
        <v>28</v>
      </c>
      <c r="C12" s="7" t="s">
        <v>29</v>
      </c>
      <c r="D12" s="13">
        <v>1617000</v>
      </c>
      <c r="E12" s="12">
        <v>570.80100000000004</v>
      </c>
      <c r="F12" s="12">
        <v>2.2221132478115075</v>
      </c>
      <c r="G12" s="12">
        <v>-2.2347031245696458</v>
      </c>
    </row>
    <row r="13" spans="1:7" x14ac:dyDescent="0.2">
      <c r="A13" s="7" t="s">
        <v>401</v>
      </c>
      <c r="B13" s="7" t="s">
        <v>402</v>
      </c>
      <c r="C13" s="7" t="s">
        <v>35</v>
      </c>
      <c r="D13" s="13">
        <v>488000</v>
      </c>
      <c r="E13" s="12">
        <v>548.26800000000003</v>
      </c>
      <c r="F13" s="12">
        <v>2.1343928727369428</v>
      </c>
      <c r="G13" s="12">
        <v>-2.1334429871683009</v>
      </c>
    </row>
    <row r="14" spans="1:7" x14ac:dyDescent="0.2">
      <c r="A14" s="7" t="s">
        <v>210</v>
      </c>
      <c r="B14" s="7" t="s">
        <v>211</v>
      </c>
      <c r="C14" s="7" t="s">
        <v>150</v>
      </c>
      <c r="D14" s="13">
        <v>148800</v>
      </c>
      <c r="E14" s="12">
        <v>543.56640000000004</v>
      </c>
      <c r="F14" s="12">
        <v>2.116089667861845</v>
      </c>
      <c r="G14" s="12">
        <v>-2.1172482168176958</v>
      </c>
    </row>
    <row r="15" spans="1:7" x14ac:dyDescent="0.2">
      <c r="A15" s="7" t="s">
        <v>403</v>
      </c>
      <c r="B15" s="7" t="s">
        <v>404</v>
      </c>
      <c r="C15" s="7" t="s">
        <v>95</v>
      </c>
      <c r="D15" s="13">
        <v>58500</v>
      </c>
      <c r="E15" s="12">
        <v>542.35350000000005</v>
      </c>
      <c r="F15" s="12">
        <v>2.111367880131497</v>
      </c>
      <c r="G15" s="12">
        <v>-2.1185416573102409</v>
      </c>
    </row>
    <row r="16" spans="1:7" x14ac:dyDescent="0.2">
      <c r="A16" s="7" t="s">
        <v>192</v>
      </c>
      <c r="B16" s="7" t="s">
        <v>193</v>
      </c>
      <c r="C16" s="7" t="s">
        <v>11</v>
      </c>
      <c r="D16" s="13">
        <v>42087</v>
      </c>
      <c r="E16" s="12">
        <v>519.33253649999995</v>
      </c>
      <c r="F16" s="12">
        <v>2.0217478760131873</v>
      </c>
      <c r="G16" s="12"/>
    </row>
    <row r="17" spans="1:7" x14ac:dyDescent="0.2">
      <c r="A17" s="7" t="s">
        <v>405</v>
      </c>
      <c r="B17" s="7" t="s">
        <v>406</v>
      </c>
      <c r="C17" s="7" t="s">
        <v>344</v>
      </c>
      <c r="D17" s="13">
        <v>480000</v>
      </c>
      <c r="E17" s="12">
        <v>460.08</v>
      </c>
      <c r="F17" s="12">
        <v>1.7910793131986777</v>
      </c>
      <c r="G17" s="12">
        <v>-1.7938822542208974</v>
      </c>
    </row>
    <row r="18" spans="1:7" x14ac:dyDescent="0.2">
      <c r="A18" s="7" t="s">
        <v>407</v>
      </c>
      <c r="B18" s="7" t="s">
        <v>408</v>
      </c>
      <c r="C18" s="7" t="s">
        <v>76</v>
      </c>
      <c r="D18" s="13">
        <v>139500</v>
      </c>
      <c r="E18" s="12">
        <v>451.91025000000002</v>
      </c>
      <c r="F18" s="12">
        <v>1.7592746917871733</v>
      </c>
      <c r="G18" s="12">
        <v>-1.7579170172295353</v>
      </c>
    </row>
    <row r="19" spans="1:7" x14ac:dyDescent="0.2">
      <c r="A19" s="7" t="s">
        <v>175</v>
      </c>
      <c r="B19" s="7" t="s">
        <v>176</v>
      </c>
      <c r="C19" s="7" t="s">
        <v>11</v>
      </c>
      <c r="D19" s="13">
        <v>511500</v>
      </c>
      <c r="E19" s="12">
        <v>357.5385</v>
      </c>
      <c r="F19" s="12">
        <v>1.3918879564903612</v>
      </c>
      <c r="G19" s="12">
        <v>-1.3948748405171643</v>
      </c>
    </row>
    <row r="20" spans="1:7" x14ac:dyDescent="0.2">
      <c r="A20" s="7" t="s">
        <v>234</v>
      </c>
      <c r="B20" s="7" t="s">
        <v>235</v>
      </c>
      <c r="C20" s="7" t="s">
        <v>79</v>
      </c>
      <c r="D20" s="13">
        <v>28287</v>
      </c>
      <c r="E20" s="12">
        <v>345.00239549999998</v>
      </c>
      <c r="F20" s="12">
        <v>1.3430852320988491</v>
      </c>
      <c r="G20" s="12"/>
    </row>
    <row r="21" spans="1:7" x14ac:dyDescent="0.2">
      <c r="A21" s="7" t="s">
        <v>115</v>
      </c>
      <c r="B21" s="7" t="s">
        <v>116</v>
      </c>
      <c r="C21" s="7" t="s">
        <v>11</v>
      </c>
      <c r="D21" s="13">
        <v>95061</v>
      </c>
      <c r="E21" s="12">
        <v>337.60914150000002</v>
      </c>
      <c r="F21" s="12">
        <v>1.314303489148442</v>
      </c>
      <c r="G21" s="12"/>
    </row>
    <row r="22" spans="1:7" x14ac:dyDescent="0.2">
      <c r="A22" s="7" t="s">
        <v>238</v>
      </c>
      <c r="B22" s="7" t="s">
        <v>239</v>
      </c>
      <c r="C22" s="7" t="s">
        <v>52</v>
      </c>
      <c r="D22" s="13">
        <v>38712</v>
      </c>
      <c r="E22" s="12">
        <v>335.34269999999998</v>
      </c>
      <c r="F22" s="12">
        <v>1.3054802921278692</v>
      </c>
      <c r="G22" s="12"/>
    </row>
    <row r="23" spans="1:7" x14ac:dyDescent="0.2">
      <c r="A23" s="7" t="s">
        <v>409</v>
      </c>
      <c r="B23" s="7" t="s">
        <v>410</v>
      </c>
      <c r="C23" s="7" t="s">
        <v>32</v>
      </c>
      <c r="D23" s="13">
        <v>13000</v>
      </c>
      <c r="E23" s="12">
        <v>329.90100000000001</v>
      </c>
      <c r="F23" s="12">
        <v>1.284295897460348</v>
      </c>
      <c r="G23" s="12">
        <v>-1.2866238956982474</v>
      </c>
    </row>
    <row r="24" spans="1:7" x14ac:dyDescent="0.2">
      <c r="A24" s="7" t="s">
        <v>411</v>
      </c>
      <c r="B24" s="7" t="s">
        <v>412</v>
      </c>
      <c r="C24" s="7" t="s">
        <v>150</v>
      </c>
      <c r="D24" s="13">
        <v>40000</v>
      </c>
      <c r="E24" s="12">
        <v>324.27999999999997</v>
      </c>
      <c r="F24" s="12">
        <v>1.2624134926188211</v>
      </c>
      <c r="G24" s="12">
        <v>-1.2679415151904216</v>
      </c>
    </row>
    <row r="25" spans="1:7" x14ac:dyDescent="0.2">
      <c r="A25" s="7" t="s">
        <v>190</v>
      </c>
      <c r="B25" s="7" t="s">
        <v>191</v>
      </c>
      <c r="C25" s="7" t="s">
        <v>35</v>
      </c>
      <c r="D25" s="13">
        <v>40438</v>
      </c>
      <c r="E25" s="12">
        <v>319.82414199999999</v>
      </c>
      <c r="F25" s="12">
        <v>1.2450669548724491</v>
      </c>
      <c r="G25" s="12"/>
    </row>
    <row r="26" spans="1:7" x14ac:dyDescent="0.2">
      <c r="A26" s="7" t="s">
        <v>284</v>
      </c>
      <c r="B26" s="7" t="s">
        <v>285</v>
      </c>
      <c r="C26" s="7" t="s">
        <v>35</v>
      </c>
      <c r="D26" s="13">
        <v>4050</v>
      </c>
      <c r="E26" s="12">
        <v>310.29480000000001</v>
      </c>
      <c r="F26" s="12">
        <v>1.2079694776411081</v>
      </c>
      <c r="G26" s="12">
        <v>-1.208001010727608</v>
      </c>
    </row>
    <row r="27" spans="1:7" x14ac:dyDescent="0.2">
      <c r="A27" s="7" t="s">
        <v>18</v>
      </c>
      <c r="B27" s="7" t="s">
        <v>19</v>
      </c>
      <c r="C27" s="7" t="s">
        <v>20</v>
      </c>
      <c r="D27" s="13">
        <v>135335</v>
      </c>
      <c r="E27" s="12">
        <v>306.12777</v>
      </c>
      <c r="F27" s="12">
        <v>1.1917473396857998</v>
      </c>
      <c r="G27" s="12"/>
    </row>
    <row r="28" spans="1:7" x14ac:dyDescent="0.2">
      <c r="A28" s="7" t="s">
        <v>185</v>
      </c>
      <c r="B28" s="7" t="s">
        <v>186</v>
      </c>
      <c r="C28" s="7" t="s">
        <v>76</v>
      </c>
      <c r="D28" s="13">
        <v>42195</v>
      </c>
      <c r="E28" s="12">
        <v>281.63052750000003</v>
      </c>
      <c r="F28" s="12">
        <v>1.096380220332293</v>
      </c>
      <c r="G28" s="12"/>
    </row>
    <row r="29" spans="1:7" x14ac:dyDescent="0.2">
      <c r="A29" s="7" t="s">
        <v>113</v>
      </c>
      <c r="B29" s="7" t="s">
        <v>114</v>
      </c>
      <c r="C29" s="7" t="s">
        <v>11</v>
      </c>
      <c r="D29" s="13">
        <v>97218</v>
      </c>
      <c r="E29" s="12">
        <v>276.73103700000001</v>
      </c>
      <c r="F29" s="12">
        <v>1.0773066329566987</v>
      </c>
      <c r="G29" s="12"/>
    </row>
    <row r="30" spans="1:7" x14ac:dyDescent="0.2">
      <c r="A30" s="7" t="s">
        <v>244</v>
      </c>
      <c r="B30" s="7" t="s">
        <v>245</v>
      </c>
      <c r="C30" s="7" t="s">
        <v>246</v>
      </c>
      <c r="D30" s="13">
        <v>52550</v>
      </c>
      <c r="E30" s="12">
        <v>273.70667500000002</v>
      </c>
      <c r="F30" s="12">
        <v>1.0655328714069154</v>
      </c>
      <c r="G30" s="12"/>
    </row>
    <row r="31" spans="1:7" x14ac:dyDescent="0.2">
      <c r="A31" s="7" t="s">
        <v>136</v>
      </c>
      <c r="B31" s="7" t="s">
        <v>137</v>
      </c>
      <c r="C31" s="7" t="s">
        <v>135</v>
      </c>
      <c r="D31" s="13">
        <v>123156</v>
      </c>
      <c r="E31" s="12">
        <v>263.80015200000003</v>
      </c>
      <c r="F31" s="12">
        <v>1.0269670384843217</v>
      </c>
      <c r="G31" s="12"/>
    </row>
    <row r="32" spans="1:7" x14ac:dyDescent="0.2">
      <c r="A32" s="7" t="s">
        <v>166</v>
      </c>
      <c r="B32" s="7" t="s">
        <v>167</v>
      </c>
      <c r="C32" s="7" t="s">
        <v>130</v>
      </c>
      <c r="D32" s="13">
        <v>145523</v>
      </c>
      <c r="E32" s="12">
        <v>262.15968450000003</v>
      </c>
      <c r="F32" s="12">
        <v>1.0205807417463095</v>
      </c>
      <c r="G32" s="12"/>
    </row>
    <row r="33" spans="1:7" x14ac:dyDescent="0.2">
      <c r="A33" s="7" t="s">
        <v>278</v>
      </c>
      <c r="B33" s="7" t="s">
        <v>279</v>
      </c>
      <c r="C33" s="7" t="s">
        <v>123</v>
      </c>
      <c r="D33" s="13">
        <v>110000</v>
      </c>
      <c r="E33" s="12">
        <v>255.58500000000001</v>
      </c>
      <c r="F33" s="12">
        <v>0.99498566828352464</v>
      </c>
      <c r="G33" s="12"/>
    </row>
    <row r="34" spans="1:7" x14ac:dyDescent="0.2">
      <c r="A34" s="7" t="s">
        <v>240</v>
      </c>
      <c r="B34" s="7" t="s">
        <v>241</v>
      </c>
      <c r="C34" s="7" t="s">
        <v>135</v>
      </c>
      <c r="D34" s="13">
        <v>132933</v>
      </c>
      <c r="E34" s="12">
        <v>248.7841095</v>
      </c>
      <c r="F34" s="12">
        <v>0.96850998082508388</v>
      </c>
      <c r="G34" s="12"/>
    </row>
    <row r="35" spans="1:7" x14ac:dyDescent="0.2">
      <c r="A35" s="7" t="s">
        <v>119</v>
      </c>
      <c r="B35" s="7" t="s">
        <v>120</v>
      </c>
      <c r="C35" s="7" t="s">
        <v>29</v>
      </c>
      <c r="D35" s="13">
        <v>75999</v>
      </c>
      <c r="E35" s="12">
        <v>238.256865</v>
      </c>
      <c r="F35" s="12">
        <v>0.92752769546398472</v>
      </c>
      <c r="G35" s="12">
        <v>-0.10421782412583352</v>
      </c>
    </row>
    <row r="36" spans="1:7" x14ac:dyDescent="0.2">
      <c r="A36" s="7" t="s">
        <v>214</v>
      </c>
      <c r="B36" s="7" t="s">
        <v>215</v>
      </c>
      <c r="C36" s="7" t="s">
        <v>79</v>
      </c>
      <c r="D36" s="13">
        <v>18456</v>
      </c>
      <c r="E36" s="12">
        <v>228.83594400000001</v>
      </c>
      <c r="F36" s="12">
        <v>0.89085229832788004</v>
      </c>
      <c r="G36" s="12"/>
    </row>
    <row r="37" spans="1:7" x14ac:dyDescent="0.2">
      <c r="A37" s="7" t="s">
        <v>262</v>
      </c>
      <c r="B37" s="7" t="s">
        <v>263</v>
      </c>
      <c r="C37" s="7" t="s">
        <v>246</v>
      </c>
      <c r="D37" s="13">
        <v>92685</v>
      </c>
      <c r="E37" s="12">
        <v>221.5634925</v>
      </c>
      <c r="F37" s="12">
        <v>0.86254083632585721</v>
      </c>
      <c r="G37" s="12"/>
    </row>
    <row r="38" spans="1:7" x14ac:dyDescent="0.2">
      <c r="A38" s="7" t="s">
        <v>216</v>
      </c>
      <c r="B38" s="7" t="s">
        <v>217</v>
      </c>
      <c r="C38" s="7" t="s">
        <v>79</v>
      </c>
      <c r="D38" s="13">
        <v>76800</v>
      </c>
      <c r="E38" s="12">
        <v>219.49440000000001</v>
      </c>
      <c r="F38" s="12">
        <v>0.85448591376055438</v>
      </c>
      <c r="G38" s="12">
        <v>-0.85822316845684765</v>
      </c>
    </row>
    <row r="39" spans="1:7" x14ac:dyDescent="0.2">
      <c r="A39" s="7" t="s">
        <v>194</v>
      </c>
      <c r="B39" s="7" t="s">
        <v>195</v>
      </c>
      <c r="C39" s="7" t="s">
        <v>150</v>
      </c>
      <c r="D39" s="13">
        <v>7942</v>
      </c>
      <c r="E39" s="12">
        <v>216.197124</v>
      </c>
      <c r="F39" s="12">
        <v>0.84164970520224591</v>
      </c>
      <c r="G39" s="12"/>
    </row>
    <row r="40" spans="1:7" x14ac:dyDescent="0.2">
      <c r="A40" s="7" t="s">
        <v>128</v>
      </c>
      <c r="B40" s="7" t="s">
        <v>129</v>
      </c>
      <c r="C40" s="7" t="s">
        <v>130</v>
      </c>
      <c r="D40" s="13">
        <v>152948</v>
      </c>
      <c r="E40" s="12">
        <v>214.58604399999999</v>
      </c>
      <c r="F40" s="12">
        <v>0.835377813227137</v>
      </c>
      <c r="G40" s="12"/>
    </row>
    <row r="41" spans="1:7" x14ac:dyDescent="0.2">
      <c r="A41" s="7" t="s">
        <v>200</v>
      </c>
      <c r="B41" s="7" t="s">
        <v>201</v>
      </c>
      <c r="C41" s="7" t="s">
        <v>76</v>
      </c>
      <c r="D41" s="13">
        <v>30288</v>
      </c>
      <c r="E41" s="12">
        <v>213.81813600000001</v>
      </c>
      <c r="F41" s="12">
        <v>0.83238836762367741</v>
      </c>
      <c r="G41" s="12"/>
    </row>
    <row r="42" spans="1:7" x14ac:dyDescent="0.2">
      <c r="A42" s="7" t="s">
        <v>252</v>
      </c>
      <c r="B42" s="7" t="s">
        <v>253</v>
      </c>
      <c r="C42" s="7" t="s">
        <v>79</v>
      </c>
      <c r="D42" s="13">
        <v>1902</v>
      </c>
      <c r="E42" s="12">
        <v>204.74744699999999</v>
      </c>
      <c r="F42" s="12">
        <v>0.79707641443214805</v>
      </c>
      <c r="G42" s="12"/>
    </row>
    <row r="43" spans="1:7" x14ac:dyDescent="0.2">
      <c r="A43" s="7" t="s">
        <v>222</v>
      </c>
      <c r="B43" s="7" t="s">
        <v>223</v>
      </c>
      <c r="C43" s="7" t="s">
        <v>224</v>
      </c>
      <c r="D43" s="13">
        <v>38144</v>
      </c>
      <c r="E43" s="12">
        <v>201.97247999999999</v>
      </c>
      <c r="F43" s="12">
        <v>0.78627354104380454</v>
      </c>
      <c r="G43" s="12"/>
    </row>
    <row r="44" spans="1:7" x14ac:dyDescent="0.2">
      <c r="A44" s="7" t="s">
        <v>250</v>
      </c>
      <c r="B44" s="7" t="s">
        <v>251</v>
      </c>
      <c r="C44" s="7" t="s">
        <v>32</v>
      </c>
      <c r="D44" s="13">
        <v>21957</v>
      </c>
      <c r="E44" s="12">
        <v>199.04020499999999</v>
      </c>
      <c r="F44" s="12">
        <v>0.77485827175778987</v>
      </c>
      <c r="G44" s="12"/>
    </row>
    <row r="45" spans="1:7" x14ac:dyDescent="0.2">
      <c r="A45" s="7" t="s">
        <v>204</v>
      </c>
      <c r="B45" s="7" t="s">
        <v>205</v>
      </c>
      <c r="C45" s="7" t="s">
        <v>35</v>
      </c>
      <c r="D45" s="13">
        <v>7091</v>
      </c>
      <c r="E45" s="12">
        <v>194.697587</v>
      </c>
      <c r="F45" s="12">
        <v>0.75795257434663488</v>
      </c>
      <c r="G45" s="12"/>
    </row>
    <row r="46" spans="1:7" x14ac:dyDescent="0.2">
      <c r="A46" s="7" t="s">
        <v>12</v>
      </c>
      <c r="B46" s="7" t="s">
        <v>13</v>
      </c>
      <c r="C46" s="7" t="s">
        <v>14</v>
      </c>
      <c r="D46" s="13">
        <v>122059</v>
      </c>
      <c r="E46" s="12">
        <v>176.07010750000001</v>
      </c>
      <c r="F46" s="12">
        <v>0.68543628763675313</v>
      </c>
      <c r="G46" s="12"/>
    </row>
    <row r="47" spans="1:7" x14ac:dyDescent="0.2">
      <c r="A47" s="7" t="s">
        <v>121</v>
      </c>
      <c r="B47" s="7" t="s">
        <v>122</v>
      </c>
      <c r="C47" s="7" t="s">
        <v>123</v>
      </c>
      <c r="D47" s="13">
        <v>125203</v>
      </c>
      <c r="E47" s="12">
        <v>168.52323799999999</v>
      </c>
      <c r="F47" s="12">
        <v>0.65605652359384725</v>
      </c>
      <c r="G47" s="12"/>
    </row>
    <row r="48" spans="1:7" x14ac:dyDescent="0.2">
      <c r="A48" s="7" t="s">
        <v>258</v>
      </c>
      <c r="B48" s="7" t="s">
        <v>259</v>
      </c>
      <c r="C48" s="7" t="s">
        <v>26</v>
      </c>
      <c r="D48" s="13">
        <v>64953</v>
      </c>
      <c r="E48" s="12">
        <v>168.0658875</v>
      </c>
      <c r="F48" s="12">
        <v>0.65427607015220446</v>
      </c>
      <c r="G48" s="12"/>
    </row>
    <row r="49" spans="1:7" x14ac:dyDescent="0.2">
      <c r="A49" s="7" t="s">
        <v>242</v>
      </c>
      <c r="B49" s="7" t="s">
        <v>243</v>
      </c>
      <c r="C49" s="7" t="s">
        <v>130</v>
      </c>
      <c r="D49" s="13">
        <v>217938</v>
      </c>
      <c r="E49" s="12">
        <v>165.850818</v>
      </c>
      <c r="F49" s="12">
        <v>0.64565286297356739</v>
      </c>
      <c r="G49" s="12"/>
    </row>
    <row r="50" spans="1:7" x14ac:dyDescent="0.2">
      <c r="A50" s="7" t="s">
        <v>33</v>
      </c>
      <c r="B50" s="7" t="s">
        <v>34</v>
      </c>
      <c r="C50" s="7" t="s">
        <v>35</v>
      </c>
      <c r="D50" s="13">
        <v>96169</v>
      </c>
      <c r="E50" s="12">
        <v>165.3625955</v>
      </c>
      <c r="F50" s="12">
        <v>0.6437522256496494</v>
      </c>
      <c r="G50" s="12"/>
    </row>
    <row r="51" spans="1:7" x14ac:dyDescent="0.2">
      <c r="A51" s="7" t="s">
        <v>288</v>
      </c>
      <c r="B51" s="7" t="s">
        <v>289</v>
      </c>
      <c r="C51" s="7" t="s">
        <v>290</v>
      </c>
      <c r="D51" s="13">
        <v>76471</v>
      </c>
      <c r="E51" s="12">
        <v>164.4508855</v>
      </c>
      <c r="F51" s="12">
        <v>0.64020296265052679</v>
      </c>
      <c r="G51" s="12"/>
    </row>
    <row r="52" spans="1:7" x14ac:dyDescent="0.2">
      <c r="A52" s="7" t="s">
        <v>413</v>
      </c>
      <c r="B52" s="7" t="s">
        <v>414</v>
      </c>
      <c r="C52" s="7" t="s">
        <v>32</v>
      </c>
      <c r="D52" s="13">
        <v>8000</v>
      </c>
      <c r="E52" s="12">
        <v>159.12</v>
      </c>
      <c r="F52" s="12">
        <v>0.61944996591065371</v>
      </c>
      <c r="G52" s="12">
        <v>-0.61983926327485095</v>
      </c>
    </row>
    <row r="53" spans="1:7" x14ac:dyDescent="0.2">
      <c r="A53" s="7" t="s">
        <v>415</v>
      </c>
      <c r="B53" s="7" t="s">
        <v>416</v>
      </c>
      <c r="C53" s="7" t="s">
        <v>32</v>
      </c>
      <c r="D53" s="13">
        <v>21500</v>
      </c>
      <c r="E53" s="12">
        <v>153.85400000000001</v>
      </c>
      <c r="F53" s="12">
        <v>0.59894956671202693</v>
      </c>
      <c r="G53" s="12">
        <v>-0.60058169591142374</v>
      </c>
    </row>
    <row r="54" spans="1:7" x14ac:dyDescent="0.2">
      <c r="A54" s="7" t="s">
        <v>417</v>
      </c>
      <c r="B54" s="7" t="s">
        <v>418</v>
      </c>
      <c r="C54" s="7" t="s">
        <v>11</v>
      </c>
      <c r="D54" s="13">
        <v>136000</v>
      </c>
      <c r="E54" s="12">
        <v>142.86799999999999</v>
      </c>
      <c r="F54" s="12">
        <v>0.55618135828131776</v>
      </c>
      <c r="G54" s="12">
        <v>-0.55618135828131765</v>
      </c>
    </row>
    <row r="55" spans="1:7" x14ac:dyDescent="0.2">
      <c r="A55" s="7" t="s">
        <v>272</v>
      </c>
      <c r="B55" s="7" t="s">
        <v>273</v>
      </c>
      <c r="C55" s="7" t="s">
        <v>11</v>
      </c>
      <c r="D55" s="13">
        <v>50633</v>
      </c>
      <c r="E55" s="12">
        <v>116.354634</v>
      </c>
      <c r="F55" s="12">
        <v>0.45296552328334971</v>
      </c>
      <c r="G55" s="12"/>
    </row>
    <row r="56" spans="1:7" x14ac:dyDescent="0.2">
      <c r="A56" s="7" t="s">
        <v>133</v>
      </c>
      <c r="B56" s="7" t="s">
        <v>134</v>
      </c>
      <c r="C56" s="7" t="s">
        <v>135</v>
      </c>
      <c r="D56" s="13">
        <v>23686</v>
      </c>
      <c r="E56" s="12">
        <v>81.254823000000002</v>
      </c>
      <c r="F56" s="12">
        <v>0.3163228842221355</v>
      </c>
      <c r="G56" s="12"/>
    </row>
    <row r="57" spans="1:7" x14ac:dyDescent="0.2">
      <c r="A57" s="7" t="s">
        <v>208</v>
      </c>
      <c r="B57" s="7" t="s">
        <v>209</v>
      </c>
      <c r="C57" s="7" t="s">
        <v>79</v>
      </c>
      <c r="D57" s="13">
        <v>12500</v>
      </c>
      <c r="E57" s="12">
        <v>51.137500000000003</v>
      </c>
      <c r="F57" s="12">
        <v>0.19907693961636538</v>
      </c>
      <c r="G57" s="12">
        <v>-0.20007451411212077</v>
      </c>
    </row>
    <row r="58" spans="1:7" x14ac:dyDescent="0.2">
      <c r="A58" s="7" t="s">
        <v>220</v>
      </c>
      <c r="B58" s="7" t="s">
        <v>221</v>
      </c>
      <c r="C58" s="7" t="s">
        <v>52</v>
      </c>
      <c r="D58" s="13">
        <v>20000</v>
      </c>
      <c r="E58" s="12">
        <v>43.49</v>
      </c>
      <c r="F58" s="12">
        <v>0.16930542368938117</v>
      </c>
      <c r="G58" s="12">
        <v>-0.16973365078999811</v>
      </c>
    </row>
    <row r="59" spans="1:7" x14ac:dyDescent="0.2">
      <c r="A59" s="6" t="s">
        <v>39</v>
      </c>
      <c r="B59" s="7"/>
      <c r="C59" s="7"/>
      <c r="D59" s="13"/>
      <c r="E59" s="14">
        <f xml:space="preserve"> SUM(E8:E58)</f>
        <v>16824.416349999996</v>
      </c>
      <c r="F59" s="14">
        <f xml:space="preserve"> SUM(F8:F58)</f>
        <v>65.497009392120077</v>
      </c>
      <c r="G59" s="14">
        <f xml:space="preserve"> SUM(G8:G58)</f>
        <v>-31.535464717574595</v>
      </c>
    </row>
    <row r="60" spans="1:7" x14ac:dyDescent="0.2">
      <c r="A60" s="7"/>
      <c r="B60" s="7"/>
      <c r="C60" s="7"/>
      <c r="D60" s="13"/>
      <c r="E60" s="12"/>
      <c r="F60" s="12"/>
      <c r="G60" s="12"/>
    </row>
    <row r="61" spans="1:7" x14ac:dyDescent="0.2">
      <c r="A61" s="6" t="s">
        <v>419</v>
      </c>
      <c r="B61" s="7"/>
      <c r="C61" s="7"/>
      <c r="D61" s="13"/>
      <c r="E61" s="12"/>
      <c r="F61" s="12"/>
      <c r="G61" s="12"/>
    </row>
    <row r="62" spans="1:7" x14ac:dyDescent="0.2">
      <c r="A62" s="6" t="s">
        <v>707</v>
      </c>
      <c r="B62" s="7"/>
      <c r="C62" s="7"/>
      <c r="D62" s="13"/>
      <c r="E62" s="12"/>
      <c r="F62" s="12"/>
      <c r="G62" s="12"/>
    </row>
    <row r="63" spans="1:7" x14ac:dyDescent="0.2">
      <c r="A63" s="6"/>
      <c r="B63" s="7"/>
      <c r="C63" s="7"/>
      <c r="D63" s="13"/>
      <c r="E63" s="12"/>
      <c r="F63" s="12"/>
      <c r="G63" s="12"/>
    </row>
    <row r="64" spans="1:7" x14ac:dyDescent="0.2">
      <c r="A64" s="7" t="s">
        <v>420</v>
      </c>
      <c r="B64" s="7" t="s">
        <v>708</v>
      </c>
      <c r="C64" s="7" t="s">
        <v>421</v>
      </c>
      <c r="D64" s="13">
        <v>100</v>
      </c>
      <c r="E64" s="12">
        <v>983.51700000000005</v>
      </c>
      <c r="F64" s="12">
        <v>3.8288057574318031</v>
      </c>
      <c r="G64" s="12"/>
    </row>
    <row r="65" spans="1:7" x14ac:dyDescent="0.2">
      <c r="A65" s="7" t="s">
        <v>422</v>
      </c>
      <c r="B65" s="7" t="s">
        <v>709</v>
      </c>
      <c r="C65" s="7" t="s">
        <v>421</v>
      </c>
      <c r="D65" s="13">
        <v>100</v>
      </c>
      <c r="E65" s="12">
        <v>971.64</v>
      </c>
      <c r="F65" s="12">
        <v>3.7825689094860961</v>
      </c>
      <c r="G65" s="12"/>
    </row>
    <row r="66" spans="1:7" x14ac:dyDescent="0.2">
      <c r="A66" s="7" t="s">
        <v>423</v>
      </c>
      <c r="B66" s="7" t="s">
        <v>710</v>
      </c>
      <c r="C66" s="7" t="s">
        <v>424</v>
      </c>
      <c r="D66" s="13">
        <v>80</v>
      </c>
      <c r="E66" s="12">
        <v>775.25360000000001</v>
      </c>
      <c r="F66" s="12">
        <v>3.0180418306442411</v>
      </c>
      <c r="G66" s="12"/>
    </row>
    <row r="67" spans="1:7" x14ac:dyDescent="0.2">
      <c r="A67" s="7" t="s">
        <v>425</v>
      </c>
      <c r="B67" s="7" t="s">
        <v>711</v>
      </c>
      <c r="C67" s="7" t="s">
        <v>421</v>
      </c>
      <c r="D67" s="13">
        <v>50</v>
      </c>
      <c r="E67" s="12">
        <v>500.77850000000001</v>
      </c>
      <c r="F67" s="12">
        <v>1.9495175009664929</v>
      </c>
      <c r="G67" s="12"/>
    </row>
    <row r="68" spans="1:7" x14ac:dyDescent="0.2">
      <c r="A68" s="7" t="s">
        <v>426</v>
      </c>
      <c r="B68" s="7" t="s">
        <v>712</v>
      </c>
      <c r="C68" s="7" t="s">
        <v>427</v>
      </c>
      <c r="D68" s="13">
        <v>50</v>
      </c>
      <c r="E68" s="12">
        <v>499.96129999999999</v>
      </c>
      <c r="F68" s="12">
        <v>1.9463361629062728</v>
      </c>
      <c r="G68" s="12"/>
    </row>
    <row r="69" spans="1:7" x14ac:dyDescent="0.2">
      <c r="A69" s="7" t="s">
        <v>428</v>
      </c>
      <c r="B69" s="7" t="s">
        <v>713</v>
      </c>
      <c r="C69" s="7" t="s">
        <v>429</v>
      </c>
      <c r="D69" s="13">
        <v>50</v>
      </c>
      <c r="E69" s="12">
        <v>495.709</v>
      </c>
      <c r="F69" s="12">
        <v>1.9297820710885136</v>
      </c>
      <c r="G69" s="12"/>
    </row>
    <row r="70" spans="1:7" x14ac:dyDescent="0.2">
      <c r="A70" s="6" t="s">
        <v>39</v>
      </c>
      <c r="B70" s="7"/>
      <c r="C70" s="7"/>
      <c r="D70" s="13"/>
      <c r="E70" s="14">
        <f>SUM(E64:E69)</f>
        <v>4226.8594000000003</v>
      </c>
      <c r="F70" s="14">
        <f>SUM(F64:F69)</f>
        <v>16.455052232523418</v>
      </c>
      <c r="G70" s="12"/>
    </row>
    <row r="71" spans="1:7" x14ac:dyDescent="0.2">
      <c r="A71" s="6"/>
      <c r="B71" s="7"/>
      <c r="C71" s="7"/>
      <c r="D71" s="13"/>
      <c r="E71" s="14"/>
      <c r="F71" s="14"/>
      <c r="G71" s="12"/>
    </row>
    <row r="72" spans="1:7" x14ac:dyDescent="0.2">
      <c r="A72" s="6" t="s">
        <v>702</v>
      </c>
      <c r="B72" s="7"/>
      <c r="C72" s="7"/>
      <c r="D72" s="13"/>
      <c r="E72" s="14"/>
      <c r="F72" s="14"/>
      <c r="G72" s="12"/>
    </row>
    <row r="73" spans="1:7" x14ac:dyDescent="0.2">
      <c r="A73" s="6" t="s">
        <v>703</v>
      </c>
      <c r="B73" s="7"/>
      <c r="C73" s="7"/>
      <c r="D73" s="13"/>
      <c r="E73" s="14"/>
      <c r="F73" s="14"/>
      <c r="G73" s="12"/>
    </row>
    <row r="74" spans="1:7" x14ac:dyDescent="0.2">
      <c r="A74" s="7" t="s">
        <v>704</v>
      </c>
      <c r="B74" s="7" t="s">
        <v>705</v>
      </c>
      <c r="C74" s="7" t="s">
        <v>706</v>
      </c>
      <c r="D74" s="13">
        <v>100</v>
      </c>
      <c r="E74" s="12">
        <v>494.10849999999999</v>
      </c>
      <c r="F74" s="12">
        <v>1.9235513667745365</v>
      </c>
      <c r="G74" s="12"/>
    </row>
    <row r="75" spans="1:7" x14ac:dyDescent="0.2">
      <c r="A75" s="6" t="s">
        <v>39</v>
      </c>
      <c r="B75" s="7"/>
      <c r="C75" s="7"/>
      <c r="D75" s="13"/>
      <c r="E75" s="14">
        <f>SUM(E74)</f>
        <v>494.10849999999999</v>
      </c>
      <c r="F75" s="14">
        <f>SUM(F74)</f>
        <v>1.9235513667745365</v>
      </c>
      <c r="G75" s="12"/>
    </row>
    <row r="76" spans="1:7" x14ac:dyDescent="0.2">
      <c r="A76" s="6"/>
      <c r="B76" s="7"/>
      <c r="C76" s="7"/>
      <c r="D76" s="13"/>
      <c r="E76" s="12"/>
      <c r="F76" s="12"/>
      <c r="G76" s="12"/>
    </row>
    <row r="77" spans="1:7" x14ac:dyDescent="0.2">
      <c r="A77" s="6" t="s">
        <v>39</v>
      </c>
      <c r="B77" s="7"/>
      <c r="C77" s="7"/>
      <c r="D77" s="13"/>
      <c r="E77" s="14">
        <f>E59+E70+E75</f>
        <v>21545.384249999996</v>
      </c>
      <c r="F77" s="14">
        <f>F59+F70+F75</f>
        <v>83.875612991418024</v>
      </c>
      <c r="G77" s="12"/>
    </row>
    <row r="78" spans="1:7" x14ac:dyDescent="0.2">
      <c r="A78" s="7"/>
      <c r="B78" s="7"/>
      <c r="C78" s="7"/>
      <c r="D78" s="13"/>
      <c r="E78" s="12"/>
      <c r="F78" s="12"/>
      <c r="G78" s="12"/>
    </row>
    <row r="79" spans="1:7" x14ac:dyDescent="0.2">
      <c r="A79" s="6" t="s">
        <v>700</v>
      </c>
      <c r="B79" s="7"/>
      <c r="C79" s="7"/>
      <c r="D79" s="13"/>
      <c r="E79" s="14">
        <v>2295.0901680000002</v>
      </c>
      <c r="F79" s="14">
        <v>8.934725529974088</v>
      </c>
      <c r="G79" s="12"/>
    </row>
    <row r="80" spans="1:7" x14ac:dyDescent="0.2">
      <c r="A80" s="6" t="s">
        <v>701</v>
      </c>
      <c r="B80" s="7"/>
      <c r="C80" s="7"/>
      <c r="D80" s="13"/>
      <c r="E80" s="14">
        <v>1846.8302485000008</v>
      </c>
      <c r="F80" s="14">
        <v>7.1896614786079045</v>
      </c>
      <c r="G80" s="12"/>
    </row>
    <row r="81" spans="1:7" x14ac:dyDescent="0.2">
      <c r="A81" s="7"/>
      <c r="B81" s="7"/>
      <c r="C81" s="7"/>
      <c r="D81" s="13"/>
      <c r="E81" s="12"/>
      <c r="F81" s="12"/>
      <c r="G81" s="12"/>
    </row>
    <row r="82" spans="1:7" x14ac:dyDescent="0.2">
      <c r="A82" s="8" t="s">
        <v>104</v>
      </c>
      <c r="B82" s="5"/>
      <c r="C82" s="5"/>
      <c r="D82" s="24"/>
      <c r="E82" s="15">
        <f>E77+E79+E80</f>
        <v>25687.304666499997</v>
      </c>
      <c r="F82" s="15">
        <f>F77+F79+F80</f>
        <v>100.00000000000001</v>
      </c>
      <c r="G82" s="21"/>
    </row>
    <row r="83" spans="1:7" x14ac:dyDescent="0.2">
      <c r="A83" s="9" t="s">
        <v>714</v>
      </c>
    </row>
    <row r="84" spans="1:7" x14ac:dyDescent="0.2">
      <c r="A84" s="9" t="s">
        <v>105</v>
      </c>
    </row>
    <row r="85" spans="1:7" x14ac:dyDescent="0.2">
      <c r="A85" s="9" t="s">
        <v>106</v>
      </c>
    </row>
    <row r="86" spans="1:7" x14ac:dyDescent="0.2">
      <c r="A86" s="9" t="s">
        <v>107</v>
      </c>
      <c r="B86" s="55" t="s">
        <v>739</v>
      </c>
    </row>
    <row r="88" spans="1:7" x14ac:dyDescent="0.2">
      <c r="A88" s="9" t="s">
        <v>108</v>
      </c>
    </row>
    <row r="89" spans="1:7" x14ac:dyDescent="0.2">
      <c r="A89" s="1" t="s">
        <v>719</v>
      </c>
      <c r="B89" s="10">
        <v>9.9382999999999999</v>
      </c>
    </row>
    <row r="90" spans="1:7" x14ac:dyDescent="0.2">
      <c r="A90" s="1" t="s">
        <v>720</v>
      </c>
      <c r="B90" s="10">
        <v>9.9382999999999999</v>
      </c>
    </row>
    <row r="91" spans="1:7" x14ac:dyDescent="0.2">
      <c r="A91" s="1" t="s">
        <v>723</v>
      </c>
      <c r="B91" s="10">
        <v>9.9382999999999999</v>
      </c>
    </row>
    <row r="92" spans="1:7" x14ac:dyDescent="0.2">
      <c r="A92" s="1" t="s">
        <v>724</v>
      </c>
      <c r="B92" s="10">
        <v>9.9382999999999999</v>
      </c>
    </row>
    <row r="93" spans="1:7" x14ac:dyDescent="0.2">
      <c r="A93" s="1" t="s">
        <v>721</v>
      </c>
      <c r="B93" s="10">
        <v>9.8918999999999997</v>
      </c>
    </row>
    <row r="94" spans="1:7" x14ac:dyDescent="0.2">
      <c r="A94" s="1" t="s">
        <v>722</v>
      </c>
      <c r="B94" s="10">
        <v>9.8918999999999997</v>
      </c>
    </row>
    <row r="95" spans="1:7" x14ac:dyDescent="0.2">
      <c r="A95" s="1" t="s">
        <v>725</v>
      </c>
      <c r="B95" s="10">
        <v>9.8918999999999997</v>
      </c>
    </row>
    <row r="96" spans="1:7" x14ac:dyDescent="0.2">
      <c r="A96" s="1" t="s">
        <v>726</v>
      </c>
      <c r="B96" s="10">
        <v>9.8918999999999997</v>
      </c>
    </row>
    <row r="97" spans="1:3" x14ac:dyDescent="0.2">
      <c r="B97" s="10"/>
    </row>
    <row r="98" spans="1:3" ht="22.5" x14ac:dyDescent="0.2">
      <c r="A98" s="51" t="s">
        <v>731</v>
      </c>
      <c r="B98" s="22">
        <v>8100.6108999999997</v>
      </c>
    </row>
    <row r="99" spans="1:3" x14ac:dyDescent="0.2">
      <c r="B99" s="10"/>
    </row>
    <row r="100" spans="1:3" x14ac:dyDescent="0.2">
      <c r="A100" s="9" t="s">
        <v>732</v>
      </c>
      <c r="B100" s="52">
        <f>-G59/100</f>
        <v>0.31535464717574596</v>
      </c>
    </row>
    <row r="102" spans="1:3" x14ac:dyDescent="0.2">
      <c r="A102" s="9" t="s">
        <v>733</v>
      </c>
      <c r="B102" s="11" t="s">
        <v>110</v>
      </c>
    </row>
    <row r="103" spans="1:3" x14ac:dyDescent="0.2">
      <c r="A103" s="9"/>
      <c r="B103" s="11"/>
    </row>
    <row r="104" spans="1:3" x14ac:dyDescent="0.2">
      <c r="A104" s="9" t="s">
        <v>734</v>
      </c>
      <c r="B104" s="40">
        <v>1.6945045631095201</v>
      </c>
    </row>
    <row r="106" spans="1:3" x14ac:dyDescent="0.2">
      <c r="A106" s="9" t="s">
        <v>736</v>
      </c>
      <c r="B106" s="53">
        <v>1.0352683605876942</v>
      </c>
      <c r="C106" s="1" t="s">
        <v>735</v>
      </c>
    </row>
    <row r="108" spans="1:3" x14ac:dyDescent="0.2">
      <c r="A108" s="9" t="s">
        <v>738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D98388-07C6-4A9A-AB31-CBD4CD5EC4B6}"/>
</file>

<file path=customXml/itemProps2.xml><?xml version="1.0" encoding="utf-8"?>
<ds:datastoreItem xmlns:ds="http://schemas.openxmlformats.org/officeDocument/2006/customXml" ds:itemID="{BC5631B9-FDC0-473D-A923-F1269127FFCF}"/>
</file>

<file path=customXml/itemProps3.xml><?xml version="1.0" encoding="utf-8"?>
<ds:datastoreItem xmlns:ds="http://schemas.openxmlformats.org/officeDocument/2006/customXml" ds:itemID="{0DE4713E-FC5C-41A5-BADD-8BE119631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TIIOF</vt:lpstr>
      <vt:lpstr>FIUBF</vt:lpstr>
      <vt:lpstr>FISTIP</vt:lpstr>
      <vt:lpstr>FISF</vt:lpstr>
      <vt:lpstr>FIPP</vt:lpstr>
      <vt:lpstr>FILF</vt:lpstr>
      <vt:lpstr>FILDF</vt:lpstr>
      <vt:lpstr>FIGSF</vt:lpstr>
      <vt:lpstr>FIFRF</vt:lpstr>
      <vt:lpstr>FIEHF</vt:lpstr>
      <vt:lpstr>FIDHY</vt:lpstr>
      <vt:lpstr>FIDA</vt:lpstr>
      <vt:lpstr>FICRF</vt:lpstr>
      <vt:lpstr>FICDF</vt:lpstr>
      <vt:lpstr>FBPF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TIVF</vt:lpstr>
      <vt:lpstr>FIUS</vt:lpstr>
      <vt:lpstr>FEGF</vt:lpstr>
      <vt:lpstr>FITX</vt:lpstr>
      <vt:lpstr>FITF</vt:lpstr>
      <vt:lpstr>FISMF</vt:lpstr>
      <vt:lpstr>FIPF</vt:lpstr>
      <vt:lpstr>FIOF</vt:lpstr>
      <vt:lpstr>FIMAS</vt:lpstr>
      <vt:lpstr>FIIF-NSE</vt:lpstr>
      <vt:lpstr>FIFOF-50's+</vt:lpstr>
      <vt:lpstr>FIFOF-50's</vt:lpstr>
      <vt:lpstr>FIFOF-40's</vt:lpstr>
      <vt:lpstr>FIFOF-30's</vt:lpstr>
      <vt:lpstr>FIFOF-20's</vt:lpstr>
      <vt:lpstr>FIFEF</vt:lpstr>
      <vt:lpstr>FIEIF</vt:lpstr>
      <vt:lpstr>FIEF</vt:lpstr>
      <vt:lpstr>FIEAF</vt:lpstr>
      <vt:lpstr>FIBF</vt:lpstr>
      <vt:lpstr>FF</vt:lpstr>
      <vt:lpstr>FBIF</vt:lpstr>
      <vt:lpstr>FAEF</vt:lpstr>
      <vt:lpstr>FIESF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Bhogte, Amey</dc:creator>
  <cp:lastModifiedBy>Bhogte, Amey</cp:lastModifiedBy>
  <cp:lastPrinted>2018-12-03T14:08:28Z</cp:lastPrinted>
  <dcterms:created xsi:type="dcterms:W3CDTF">2018-12-01T07:29:01Z</dcterms:created>
  <dcterms:modified xsi:type="dcterms:W3CDTF">2018-12-07T10:04:18Z</dcterms:modified>
</cp:coreProperties>
</file>